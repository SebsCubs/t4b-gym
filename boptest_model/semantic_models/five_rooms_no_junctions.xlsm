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RL_control/boptest_model/semantic_models/"/>
    </mc:Choice>
  </mc:AlternateContent>
  <xr:revisionPtr revIDLastSave="604" documentId="13_ncr:1_{9E346890-DD60-44FB-8C67-2682B1A0B38E}" xr6:coauthVersionLast="47" xr6:coauthVersionMax="47" xr10:uidLastSave="{A6993D9B-9560-4AC4-9749-DDA68FA93547}"/>
  <bookViews>
    <workbookView xWindow="-120" yWindow="-120" windowWidth="29040" windowHeight="15720" firstSheet="9" activeTab="15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R11" i="4"/>
  <c r="R10" i="4"/>
  <c r="F5" i="1"/>
  <c r="R9" i="4"/>
  <c r="R8" i="4"/>
  <c r="F4" i="1"/>
  <c r="R6" i="4"/>
  <c r="R7" i="4"/>
  <c r="F3" i="1"/>
  <c r="R5" i="4"/>
  <c r="R4" i="4"/>
  <c r="R3" i="4"/>
  <c r="H3" i="7"/>
  <c r="H2" i="7"/>
  <c r="R2" i="4"/>
  <c r="F2" i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Z588" i="16" l="1" a="1"/>
  <c r="Z588" i="16" s="1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59" i="16" l="1" a="1"/>
  <c r="Z159" i="16" s="1"/>
  <c r="Z164" i="16" a="1"/>
  <c r="Z164" i="16" s="1"/>
  <c r="Z160" i="16" a="1"/>
  <c r="Z160" i="16" s="1"/>
  <c r="Z161" i="16" a="1"/>
  <c r="Z161" i="16" s="1"/>
  <c r="Z162" i="16" a="1"/>
  <c r="Z162" i="16" s="1"/>
  <c r="Z163" i="16" a="1"/>
  <c r="Z163" i="16" s="1"/>
  <c r="AQ8" i="16"/>
  <c r="Z476" i="16" s="1" a="1"/>
  <c r="Z476" i="16" s="1"/>
  <c r="AP4" i="16"/>
  <c r="Z433" i="16" s="1" a="1"/>
  <c r="Z433" i="16" s="1"/>
  <c r="AP5" i="16"/>
  <c r="Z434" i="16" s="1" a="1"/>
  <c r="Z434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AQ4" i="16"/>
  <c r="Z472" i="16" s="1" a="1"/>
  <c r="Z472" i="16" s="1"/>
  <c r="AQ5" i="16"/>
  <c r="Z473" i="16" s="1" a="1"/>
  <c r="Z473" i="16" s="1"/>
  <c r="AQ7" i="16"/>
  <c r="Z475" i="16" s="1" a="1"/>
  <c r="Z475" i="16" s="1"/>
  <c r="Z197" i="16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5" i="7"/>
  <c r="C76" i="7"/>
  <c r="C77" i="7"/>
  <c r="C83" i="7"/>
  <c r="C84" i="7"/>
  <c r="C85" i="7"/>
  <c r="C86" i="7"/>
  <c r="C88" i="7"/>
  <c r="C91" i="7"/>
  <c r="C92" i="7"/>
  <c r="C93" i="7"/>
  <c r="C94" i="7"/>
  <c r="C96" i="7"/>
  <c r="C99" i="7"/>
  <c r="C100" i="7"/>
  <c r="C101" i="7"/>
  <c r="C102" i="7"/>
  <c r="C107" i="7"/>
  <c r="C108" i="7"/>
  <c r="C109" i="7"/>
  <c r="C110" i="7"/>
  <c r="A3" i="12"/>
  <c r="C993" i="7"/>
  <c r="C994" i="7"/>
  <c r="C995" i="7"/>
  <c r="C73" i="7"/>
  <c r="C74" i="7"/>
  <c r="C78" i="7"/>
  <c r="C79" i="7"/>
  <c r="C80" i="7"/>
  <c r="C81" i="7"/>
  <c r="C82" i="7"/>
  <c r="C87" i="7"/>
  <c r="C89" i="7"/>
  <c r="C90" i="7"/>
  <c r="C95" i="7"/>
  <c r="C97" i="7"/>
  <c r="C98" i="7"/>
  <c r="C103" i="7"/>
  <c r="C104" i="7"/>
  <c r="C105" i="7"/>
  <c r="C106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AB2" i="16" a="1"/>
  <c r="AB2" i="16" l="1"/>
  <c r="U2" i="16" a="1"/>
  <c r="U2" i="16" s="1"/>
  <c r="V2" i="16" s="1"/>
  <c r="P2" i="16" a="1"/>
  <c r="P2" i="16" s="1"/>
  <c r="P41" i="16" a="1"/>
  <c r="P41" i="16" s="1"/>
  <c r="D180" i="11" a="1"/>
  <c r="D180" i="11" s="1"/>
  <c r="D188" i="11" a="1"/>
  <c r="D188" i="11" s="1"/>
  <c r="D196" i="11" a="1"/>
  <c r="D196" i="11" s="1"/>
  <c r="E196" i="11" s="1"/>
  <c r="D204" i="11" a="1"/>
  <c r="D204" i="11" s="1"/>
  <c r="D212" i="11" a="1"/>
  <c r="D212" i="11" s="1"/>
  <c r="D220" i="11" a="1"/>
  <c r="D220" i="11" s="1"/>
  <c r="G220" i="11" s="1"/>
  <c r="D228" i="11" a="1"/>
  <c r="D228" i="11" s="1"/>
  <c r="G228" i="11" s="1"/>
  <c r="D236" i="11" a="1"/>
  <c r="D236" i="11" s="1"/>
  <c r="F236" i="11" s="1"/>
  <c r="D244" i="11" a="1"/>
  <c r="D244" i="11" s="1"/>
  <c r="E244" i="11" s="1"/>
  <c r="D252" i="11" a="1"/>
  <c r="D252" i="11" s="1"/>
  <c r="D260" i="11" a="1"/>
  <c r="D260" i="11" s="1"/>
  <c r="E260" i="11" s="1"/>
  <c r="D268" i="11" a="1"/>
  <c r="D268" i="11" s="1"/>
  <c r="E268" i="11" s="1"/>
  <c r="D276" i="11" a="1"/>
  <c r="D276" i="11" s="1"/>
  <c r="F276" i="11" s="1"/>
  <c r="D284" i="11" a="1"/>
  <c r="D284" i="11" s="1"/>
  <c r="G284" i="11" s="1"/>
  <c r="D292" i="11" a="1"/>
  <c r="D292" i="11" s="1"/>
  <c r="D300" i="11" a="1"/>
  <c r="D300" i="11" s="1"/>
  <c r="G300" i="11" s="1"/>
  <c r="D308" i="11" a="1"/>
  <c r="D308" i="11" s="1"/>
  <c r="F308" i="11" s="1"/>
  <c r="D316" i="11" a="1"/>
  <c r="D316" i="11" s="1"/>
  <c r="F316" i="11" s="1"/>
  <c r="D324" i="11" a="1"/>
  <c r="D324" i="11" s="1"/>
  <c r="E324" i="11" s="1"/>
  <c r="D332" i="11" a="1"/>
  <c r="D332" i="11" s="1"/>
  <c r="E332" i="11" s="1"/>
  <c r="D340" i="11" a="1"/>
  <c r="D340" i="11" s="1"/>
  <c r="G340" i="11" s="1"/>
  <c r="D348" i="11" a="1"/>
  <c r="D348" i="11" s="1"/>
  <c r="F348" i="11" s="1"/>
  <c r="D356" i="11" a="1"/>
  <c r="D356" i="11" s="1"/>
  <c r="G356" i="11" s="1"/>
  <c r="D364" i="11" a="1"/>
  <c r="D364" i="11" s="1"/>
  <c r="F364" i="11" s="1"/>
  <c r="D372" i="11" a="1"/>
  <c r="D372" i="11" s="1"/>
  <c r="E372" i="11" s="1"/>
  <c r="D380" i="11" a="1"/>
  <c r="D380" i="11" s="1"/>
  <c r="D388" i="11" a="1"/>
  <c r="D388" i="11" s="1"/>
  <c r="E388" i="11" s="1"/>
  <c r="D396" i="11" a="1"/>
  <c r="D396" i="11" s="1"/>
  <c r="D404" i="11" a="1"/>
  <c r="D404" i="11" s="1"/>
  <c r="F404" i="11" s="1"/>
  <c r="D412" i="11" a="1"/>
  <c r="D412" i="11" s="1"/>
  <c r="E412" i="11" s="1"/>
  <c r="D420" i="11" a="1"/>
  <c r="D420" i="11" s="1"/>
  <c r="D428" i="11" a="1"/>
  <c r="D428" i="11" s="1"/>
  <c r="G428" i="11" s="1"/>
  <c r="D436" i="11" a="1"/>
  <c r="D436" i="11" s="1"/>
  <c r="E436" i="11" s="1"/>
  <c r="D444" i="11" a="1"/>
  <c r="D444" i="11" s="1"/>
  <c r="G444" i="11" s="1"/>
  <c r="D452" i="11" a="1"/>
  <c r="D452" i="11" s="1"/>
  <c r="E452" i="11" s="1"/>
  <c r="D460" i="11" a="1"/>
  <c r="D460" i="11" s="1"/>
  <c r="E460" i="11" s="1"/>
  <c r="D468" i="11" a="1"/>
  <c r="D468" i="11" s="1"/>
  <c r="D476" i="11" a="1"/>
  <c r="D476" i="11" s="1"/>
  <c r="G476" i="11" s="1"/>
  <c r="D484" i="11" a="1"/>
  <c r="D484" i="11" s="1"/>
  <c r="D492" i="11" a="1"/>
  <c r="D492" i="11" s="1"/>
  <c r="E492" i="11" s="1"/>
  <c r="D500" i="11" a="1"/>
  <c r="D500" i="11" s="1"/>
  <c r="F500" i="11" s="1"/>
  <c r="D508" i="11" a="1"/>
  <c r="D508" i="11" s="1"/>
  <c r="F508" i="11" s="1"/>
  <c r="D516" i="11" a="1"/>
  <c r="D516" i="11" s="1"/>
  <c r="D524" i="11" a="1"/>
  <c r="D524" i="11" s="1"/>
  <c r="G524" i="11" s="1"/>
  <c r="D532" i="11" a="1"/>
  <c r="D532" i="11" s="1"/>
  <c r="D540" i="11" a="1"/>
  <c r="D540" i="11" s="1"/>
  <c r="D548" i="11" a="1"/>
  <c r="D548" i="11" s="1"/>
  <c r="D556" i="11" a="1"/>
  <c r="D556" i="11" s="1"/>
  <c r="G556" i="11" s="1"/>
  <c r="D564" i="11" a="1"/>
  <c r="D564" i="11" s="1"/>
  <c r="E564" i="11" s="1"/>
  <c r="D572" i="11" a="1"/>
  <c r="D572" i="11" s="1"/>
  <c r="E572" i="11" s="1"/>
  <c r="D580" i="11" a="1"/>
  <c r="D580" i="11" s="1"/>
  <c r="D588" i="11" a="1"/>
  <c r="D588" i="11" s="1"/>
  <c r="E588" i="11" s="1"/>
  <c r="D596" i="11" a="1"/>
  <c r="D596" i="11" s="1"/>
  <c r="F596" i="11" s="1"/>
  <c r="D604" i="11" a="1"/>
  <c r="D604" i="11" s="1"/>
  <c r="F604" i="11" s="1"/>
  <c r="D612" i="11" a="1"/>
  <c r="D612" i="11" s="1"/>
  <c r="D620" i="11" a="1"/>
  <c r="D620" i="11" s="1"/>
  <c r="D628" i="11" a="1"/>
  <c r="D628" i="11" s="1"/>
  <c r="D636" i="11" a="1"/>
  <c r="D636" i="11" s="1"/>
  <c r="D644" i="11" a="1"/>
  <c r="D644" i="11" s="1"/>
  <c r="E644" i="11" s="1"/>
  <c r="D652" i="11" a="1"/>
  <c r="D652" i="11" s="1"/>
  <c r="D660" i="11" a="1"/>
  <c r="D660" i="11" s="1"/>
  <c r="G660" i="11" s="1"/>
  <c r="D668" i="11" a="1"/>
  <c r="D668" i="11" s="1"/>
  <c r="D676" i="11" a="1"/>
  <c r="D676" i="11" s="1"/>
  <c r="D684" i="11" a="1"/>
  <c r="D684" i="11" s="1"/>
  <c r="F684" i="11" s="1"/>
  <c r="D692" i="11" a="1"/>
  <c r="D692" i="11" s="1"/>
  <c r="E692" i="11" s="1"/>
  <c r="D700" i="11" a="1"/>
  <c r="D700" i="11" s="1"/>
  <c r="D708" i="11" a="1"/>
  <c r="D708" i="11" s="1"/>
  <c r="F708" i="11" s="1"/>
  <c r="D716" i="11" a="1"/>
  <c r="D716" i="11" s="1"/>
  <c r="E716" i="11" s="1"/>
  <c r="D724" i="11" a="1"/>
  <c r="D724" i="11" s="1"/>
  <c r="G724" i="11" s="1"/>
  <c r="D732" i="11" a="1"/>
  <c r="D732" i="11" s="1"/>
  <c r="D740" i="11" a="1"/>
  <c r="D740" i="11" s="1"/>
  <c r="D748" i="11" a="1"/>
  <c r="D748" i="11" s="1"/>
  <c r="E748" i="11" s="1"/>
  <c r="D756" i="11" a="1"/>
  <c r="D756" i="11" s="1"/>
  <c r="E756" i="11" s="1"/>
  <c r="D181" i="11" a="1"/>
  <c r="D181" i="11" s="1"/>
  <c r="G181" i="11" s="1"/>
  <c r="D189" i="11" a="1"/>
  <c r="D189" i="11" s="1"/>
  <c r="D197" i="11" a="1"/>
  <c r="D197" i="11" s="1"/>
  <c r="E197" i="11" s="1"/>
  <c r="D205" i="11" a="1"/>
  <c r="D205" i="11" s="1"/>
  <c r="G205" i="11" s="1"/>
  <c r="D213" i="11" a="1"/>
  <c r="D213" i="11" s="1"/>
  <c r="E213" i="11" s="1"/>
  <c r="D221" i="11" a="1"/>
  <c r="D221" i="11" s="1"/>
  <c r="D229" i="11" a="1"/>
  <c r="D229" i="11" s="1"/>
  <c r="D237" i="11" a="1"/>
  <c r="D237" i="11" s="1"/>
  <c r="D245" i="11" a="1"/>
  <c r="D245" i="11" s="1"/>
  <c r="E245" i="11" s="1"/>
  <c r="D253" i="11" a="1"/>
  <c r="D253" i="11" s="1"/>
  <c r="D261" i="11" a="1"/>
  <c r="D261" i="11" s="1"/>
  <c r="E261" i="11" s="1"/>
  <c r="D269" i="11" a="1"/>
  <c r="D269" i="11" s="1"/>
  <c r="E269" i="11" s="1"/>
  <c r="D277" i="11" a="1"/>
  <c r="D277" i="11" s="1"/>
  <c r="G277" i="11" s="1"/>
  <c r="D285" i="11" a="1"/>
  <c r="D285" i="11" s="1"/>
  <c r="E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D333" i="11" a="1"/>
  <c r="D333" i="11" s="1"/>
  <c r="E333" i="11" s="1"/>
  <c r="D341" i="11" a="1"/>
  <c r="D341" i="11" s="1"/>
  <c r="D349" i="11" a="1"/>
  <c r="D349" i="11" s="1"/>
  <c r="D357" i="11" a="1"/>
  <c r="D357" i="11" s="1"/>
  <c r="D365" i="11" a="1"/>
  <c r="D365" i="11" s="1"/>
  <c r="D373" i="11" a="1"/>
  <c r="D373" i="11" s="1"/>
  <c r="F373" i="11" s="1"/>
  <c r="D381" i="11" a="1"/>
  <c r="D381" i="11" s="1"/>
  <c r="E381" i="11" s="1"/>
  <c r="D389" i="11" a="1"/>
  <c r="D389" i="11" s="1"/>
  <c r="F389" i="11" s="1"/>
  <c r="D397" i="11" a="1"/>
  <c r="D397" i="11" s="1"/>
  <c r="D405" i="11" a="1"/>
  <c r="D405" i="11" s="1"/>
  <c r="F405" i="11" s="1"/>
  <c r="D413" i="11" a="1"/>
  <c r="D413" i="11" s="1"/>
  <c r="G413" i="11" s="1"/>
  <c r="D421" i="11" a="1"/>
  <c r="D421" i="11" s="1"/>
  <c r="F421" i="11" s="1"/>
  <c r="D429" i="11" a="1"/>
  <c r="D429" i="11" s="1"/>
  <c r="F429" i="11" s="1"/>
  <c r="D437" i="11" a="1"/>
  <c r="D437" i="11" s="1"/>
  <c r="D445" i="11" a="1"/>
  <c r="D445" i="11" s="1"/>
  <c r="F445" i="11" s="1"/>
  <c r="D453" i="11" a="1"/>
  <c r="D453" i="11" s="1"/>
  <c r="D461" i="11" a="1"/>
  <c r="D461" i="11" s="1"/>
  <c r="F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F493" i="11" s="1"/>
  <c r="D501" i="11" a="1"/>
  <c r="D501" i="11" s="1"/>
  <c r="G501" i="11" s="1"/>
  <c r="D509" i="11" a="1"/>
  <c r="D509" i="11" s="1"/>
  <c r="D517" i="11" a="1"/>
  <c r="D517" i="11" s="1"/>
  <c r="F517" i="11" s="1"/>
  <c r="D525" i="11" a="1"/>
  <c r="D525" i="11" s="1"/>
  <c r="F525" i="11" s="1"/>
  <c r="D533" i="11" a="1"/>
  <c r="D533" i="11" s="1"/>
  <c r="F533" i="11" s="1"/>
  <c r="D541" i="11" a="1"/>
  <c r="D541" i="11" s="1"/>
  <c r="G541" i="11" s="1"/>
  <c r="D549" i="11" a="1"/>
  <c r="D549" i="11" s="1"/>
  <c r="E549" i="11" s="1"/>
  <c r="D557" i="11" a="1"/>
  <c r="D557" i="11" s="1"/>
  <c r="E557" i="11" s="1"/>
  <c r="D565" i="11" a="1"/>
  <c r="D565" i="11" s="1"/>
  <c r="D573" i="11" a="1"/>
  <c r="D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D613" i="11" a="1"/>
  <c r="D613" i="11" s="1"/>
  <c r="G613" i="11" s="1"/>
  <c r="D621" i="11" a="1"/>
  <c r="D621" i="11" s="1"/>
  <c r="F621" i="11" s="1"/>
  <c r="D629" i="11" a="1"/>
  <c r="D629" i="11" s="1"/>
  <c r="D637" i="11" a="1"/>
  <c r="D637" i="11" s="1"/>
  <c r="D645" i="11" a="1"/>
  <c r="D645" i="11" s="1"/>
  <c r="D653" i="11" a="1"/>
  <c r="D653" i="11" s="1"/>
  <c r="G653" i="11" s="1"/>
  <c r="D661" i="11" a="1"/>
  <c r="D661" i="11" s="1"/>
  <c r="F661" i="11" s="1"/>
  <c r="D669" i="11" a="1"/>
  <c r="D669" i="11" s="1"/>
  <c r="F669" i="11" s="1"/>
  <c r="D677" i="11" a="1"/>
  <c r="D677" i="11" s="1"/>
  <c r="G677" i="11" s="1"/>
  <c r="D685" i="11" a="1"/>
  <c r="D685" i="11" s="1"/>
  <c r="E685" i="11" s="1"/>
  <c r="D693" i="11" a="1"/>
  <c r="D693" i="11" s="1"/>
  <c r="G693" i="11" s="1"/>
  <c r="D701" i="11" a="1"/>
  <c r="D701" i="11" s="1"/>
  <c r="D709" i="11" a="1"/>
  <c r="D709" i="11" s="1"/>
  <c r="F709" i="11" s="1"/>
  <c r="D717" i="11" a="1"/>
  <c r="D717" i="11" s="1"/>
  <c r="F717" i="11" s="1"/>
  <c r="D725" i="11" a="1"/>
  <c r="D725" i="11" s="1"/>
  <c r="E725" i="11" s="1"/>
  <c r="D733" i="11" a="1"/>
  <c r="D733" i="11" s="1"/>
  <c r="E733" i="11" s="1"/>
  <c r="D741" i="11" a="1"/>
  <c r="D741" i="11" s="1"/>
  <c r="D749" i="11" a="1"/>
  <c r="D749" i="11" s="1"/>
  <c r="F749" i="11" s="1"/>
  <c r="D757" i="11" a="1"/>
  <c r="D757" i="11" s="1"/>
  <c r="D175" i="11" a="1"/>
  <c r="D175" i="11" s="1"/>
  <c r="G175" i="11" s="1"/>
  <c r="D183" i="11" a="1"/>
  <c r="D183" i="11" s="1"/>
  <c r="D191" i="11" a="1"/>
  <c r="D191" i="11" s="1"/>
  <c r="F191" i="11" s="1"/>
  <c r="D199" i="11" a="1"/>
  <c r="D199" i="11" s="1"/>
  <c r="E199" i="11" s="1"/>
  <c r="D207" i="11" a="1"/>
  <c r="D207" i="11" s="1"/>
  <c r="G207" i="11" s="1"/>
  <c r="D215" i="11" a="1"/>
  <c r="D215" i="11" s="1"/>
  <c r="E215" i="11" s="1"/>
  <c r="D223" i="11" a="1"/>
  <c r="D223" i="11" s="1"/>
  <c r="G223" i="11" s="1"/>
  <c r="D231" i="11" a="1"/>
  <c r="D231" i="11" s="1"/>
  <c r="E231" i="11" s="1"/>
  <c r="D239" i="11" a="1"/>
  <c r="D239" i="11" s="1"/>
  <c r="E239" i="11" s="1"/>
  <c r="D247" i="11" a="1"/>
  <c r="D247" i="11" s="1"/>
  <c r="G247" i="11" s="1"/>
  <c r="D255" i="11" a="1"/>
  <c r="D255" i="11" s="1"/>
  <c r="G255" i="11" s="1"/>
  <c r="D263" i="11" a="1"/>
  <c r="D263" i="11" s="1"/>
  <c r="G263" i="11" s="1"/>
  <c r="D271" i="11" a="1"/>
  <c r="D271" i="11" s="1"/>
  <c r="D279" i="11" a="1"/>
  <c r="D279" i="11" s="1"/>
  <c r="F279" i="11" s="1"/>
  <c r="D287" i="11" a="1"/>
  <c r="D287" i="11" s="1"/>
  <c r="E287" i="11" s="1"/>
  <c r="D295" i="11" a="1"/>
  <c r="D295" i="11" s="1"/>
  <c r="F295" i="11" s="1"/>
  <c r="D303" i="11" a="1"/>
  <c r="D303" i="11" s="1"/>
  <c r="D311" i="11" a="1"/>
  <c r="D311" i="11" s="1"/>
  <c r="G311" i="11" s="1"/>
  <c r="D319" i="11" a="1"/>
  <c r="D319" i="11" s="1"/>
  <c r="G319" i="11" s="1"/>
  <c r="D327" i="11" a="1"/>
  <c r="D327" i="11" s="1"/>
  <c r="G327" i="11" s="1"/>
  <c r="D335" i="11" a="1"/>
  <c r="D335" i="11" s="1"/>
  <c r="D343" i="11" a="1"/>
  <c r="D343" i="11" s="1"/>
  <c r="D351" i="11" a="1"/>
  <c r="D351" i="11" s="1"/>
  <c r="F351" i="11" s="1"/>
  <c r="D359" i="11" a="1"/>
  <c r="D359" i="11" s="1"/>
  <c r="G359" i="11" s="1"/>
  <c r="D367" i="11" a="1"/>
  <c r="D367" i="11" s="1"/>
  <c r="D375" i="11" a="1"/>
  <c r="D375" i="11" s="1"/>
  <c r="D383" i="11" a="1"/>
  <c r="D383" i="11" s="1"/>
  <c r="D391" i="11" a="1"/>
  <c r="D391" i="11" s="1"/>
  <c r="D399" i="11" a="1"/>
  <c r="D399" i="11" s="1"/>
  <c r="E399" i="11" s="1"/>
  <c r="D407" i="11" a="1"/>
  <c r="D407" i="11" s="1"/>
  <c r="F407" i="11" s="1"/>
  <c r="D415" i="11" a="1"/>
  <c r="D415" i="11" s="1"/>
  <c r="F415" i="11" s="1"/>
  <c r="D423" i="11" a="1"/>
  <c r="D423" i="11" s="1"/>
  <c r="D431" i="11" a="1"/>
  <c r="D431" i="11" s="1"/>
  <c r="E431" i="11" s="1"/>
  <c r="D439" i="11" a="1"/>
  <c r="D439" i="11" s="1"/>
  <c r="D447" i="11" a="1"/>
  <c r="D447" i="11" s="1"/>
  <c r="E447" i="11" s="1"/>
  <c r="D455" i="11" a="1"/>
  <c r="D455" i="11" s="1"/>
  <c r="F455" i="11" s="1"/>
  <c r="D463" i="11" a="1"/>
  <c r="D463" i="11" s="1"/>
  <c r="D471" i="11" a="1"/>
  <c r="D471" i="11" s="1"/>
  <c r="F471" i="11" s="1"/>
  <c r="D479" i="11" a="1"/>
  <c r="D479" i="11" s="1"/>
  <c r="G479" i="11" s="1"/>
  <c r="D487" i="11" a="1"/>
  <c r="D487" i="11" s="1"/>
  <c r="E487" i="11" s="1"/>
  <c r="D495" i="11" a="1"/>
  <c r="D495" i="11" s="1"/>
  <c r="D503" i="11" a="1"/>
  <c r="D503" i="11" s="1"/>
  <c r="D511" i="11" a="1"/>
  <c r="D511" i="11" s="1"/>
  <c r="G511" i="11" s="1"/>
  <c r="D519" i="11" a="1"/>
  <c r="D519" i="11" s="1"/>
  <c r="D527" i="11" a="1"/>
  <c r="D527" i="11" s="1"/>
  <c r="D535" i="11" a="1"/>
  <c r="D535" i="11" s="1"/>
  <c r="G535" i="11" s="1"/>
  <c r="D543" i="11" a="1"/>
  <c r="D543" i="11" s="1"/>
  <c r="F543" i="11" s="1"/>
  <c r="D551" i="11" a="1"/>
  <c r="D551" i="11" s="1"/>
  <c r="F551" i="11" s="1"/>
  <c r="D559" i="11" a="1"/>
  <c r="D559" i="11" s="1"/>
  <c r="E559" i="11" s="1"/>
  <c r="D567" i="11" a="1"/>
  <c r="D567" i="11" s="1"/>
  <c r="E567" i="11" s="1"/>
  <c r="D575" i="11" a="1"/>
  <c r="D575" i="11" s="1"/>
  <c r="F575" i="11" s="1"/>
  <c r="D583" i="11" a="1"/>
  <c r="D583" i="11" s="1"/>
  <c r="E583" i="11" s="1"/>
  <c r="D591" i="11" a="1"/>
  <c r="D591" i="11" s="1"/>
  <c r="E591" i="11" s="1"/>
  <c r="D599" i="11" a="1"/>
  <c r="D599" i="11" s="1"/>
  <c r="F599" i="11" s="1"/>
  <c r="D607" i="11" a="1"/>
  <c r="D607" i="11" s="1"/>
  <c r="E607" i="11" s="1"/>
  <c r="D615" i="11" a="1"/>
  <c r="D615" i="11" s="1"/>
  <c r="D623" i="11" a="1"/>
  <c r="D623" i="11" s="1"/>
  <c r="D631" i="11" a="1"/>
  <c r="D631" i="11" s="1"/>
  <c r="E631" i="11" s="1"/>
  <c r="D639" i="11" a="1"/>
  <c r="D639" i="11" s="1"/>
  <c r="F639" i="11" s="1"/>
  <c r="D647" i="11" a="1"/>
  <c r="D647" i="11" s="1"/>
  <c r="G647" i="11" s="1"/>
  <c r="D655" i="11" a="1"/>
  <c r="D655" i="11" s="1"/>
  <c r="D663" i="11" a="1"/>
  <c r="D663" i="11" s="1"/>
  <c r="E663" i="11" s="1"/>
  <c r="D671" i="11" a="1"/>
  <c r="D671" i="11" s="1"/>
  <c r="G671" i="11" s="1"/>
  <c r="D679" i="11" a="1"/>
  <c r="D679" i="11" s="1"/>
  <c r="F679" i="11" s="1"/>
  <c r="D687" i="11" a="1"/>
  <c r="D687" i="11" s="1"/>
  <c r="F687" i="11" s="1"/>
  <c r="D695" i="11" a="1"/>
  <c r="D695" i="11" s="1"/>
  <c r="E695" i="11" s="1"/>
  <c r="D703" i="11" a="1"/>
  <c r="D703" i="11" s="1"/>
  <c r="D711" i="11" a="1"/>
  <c r="D711" i="11" s="1"/>
  <c r="E711" i="11" s="1"/>
  <c r="D719" i="11" a="1"/>
  <c r="D719" i="11" s="1"/>
  <c r="D727" i="11" a="1"/>
  <c r="D727" i="11" s="1"/>
  <c r="F727" i="11" s="1"/>
  <c r="D735" i="11" a="1"/>
  <c r="D735" i="11" s="1"/>
  <c r="G735" i="11" s="1"/>
  <c r="D743" i="11" a="1"/>
  <c r="D743" i="11" s="1"/>
  <c r="F743" i="11" s="1"/>
  <c r="D751" i="11" a="1"/>
  <c r="D751" i="11" s="1"/>
  <c r="D759" i="11" a="1"/>
  <c r="D759" i="11" s="1"/>
  <c r="F759" i="11" s="1"/>
  <c r="D176" i="11" a="1"/>
  <c r="D176" i="11" s="1"/>
  <c r="F176" i="11" s="1"/>
  <c r="D184" i="11" a="1"/>
  <c r="D184" i="11" s="1"/>
  <c r="D192" i="11" a="1"/>
  <c r="D192" i="11" s="1"/>
  <c r="E192" i="11" s="1"/>
  <c r="D200" i="11" a="1"/>
  <c r="D200" i="11" s="1"/>
  <c r="D208" i="11" a="1"/>
  <c r="D208" i="11" s="1"/>
  <c r="D216" i="11" a="1"/>
  <c r="D216" i="11" s="1"/>
  <c r="G216" i="11" s="1"/>
  <c r="D224" i="11" a="1"/>
  <c r="D224" i="11" s="1"/>
  <c r="F224" i="11" s="1"/>
  <c r="D232" i="11" a="1"/>
  <c r="D232" i="11" s="1"/>
  <c r="G232" i="11" s="1"/>
  <c r="D240" i="11" a="1"/>
  <c r="D240" i="11" s="1"/>
  <c r="F240" i="11" s="1"/>
  <c r="D248" i="11" a="1"/>
  <c r="D248" i="11" s="1"/>
  <c r="E248" i="11" s="1"/>
  <c r="D256" i="11" a="1"/>
  <c r="D256" i="11" s="1"/>
  <c r="D264" i="11" a="1"/>
  <c r="D264" i="11" s="1"/>
  <c r="E264" i="11" s="1"/>
  <c r="D272" i="11" a="1"/>
  <c r="D272" i="11" s="1"/>
  <c r="F272" i="11" s="1"/>
  <c r="D280" i="11" a="1"/>
  <c r="D280" i="11" s="1"/>
  <c r="E280" i="11" s="1"/>
  <c r="D288" i="11" a="1"/>
  <c r="D288" i="11" s="1"/>
  <c r="F288" i="11" s="1"/>
  <c r="D296" i="11" a="1"/>
  <c r="D296" i="11" s="1"/>
  <c r="G296" i="11" s="1"/>
  <c r="D304" i="11" a="1"/>
  <c r="D304" i="11" s="1"/>
  <c r="E304" i="11" s="1"/>
  <c r="D312" i="11" a="1"/>
  <c r="D312" i="11" s="1"/>
  <c r="E312" i="11" s="1"/>
  <c r="D320" i="11" a="1"/>
  <c r="D320" i="11" s="1"/>
  <c r="E320" i="11" s="1"/>
  <c r="D328" i="11" a="1"/>
  <c r="D328" i="11" s="1"/>
  <c r="D336" i="11" a="1"/>
  <c r="D336" i="11" s="1"/>
  <c r="F336" i="11" s="1"/>
  <c r="D344" i="11" a="1"/>
  <c r="D344" i="11" s="1"/>
  <c r="G344" i="11" s="1"/>
  <c r="D352" i="11" a="1"/>
  <c r="D352" i="11" s="1"/>
  <c r="E352" i="11" s="1"/>
  <c r="D360" i="11" a="1"/>
  <c r="D360" i="11" s="1"/>
  <c r="D368" i="11" a="1"/>
  <c r="D368" i="11" s="1"/>
  <c r="D376" i="11" a="1"/>
  <c r="D376" i="11" s="1"/>
  <c r="G376" i="11" s="1"/>
  <c r="D384" i="11" a="1"/>
  <c r="D384" i="11" s="1"/>
  <c r="D392" i="11" a="1"/>
  <c r="D392" i="11" s="1"/>
  <c r="G392" i="11" s="1"/>
  <c r="D400" i="11" a="1"/>
  <c r="D400" i="11" s="1"/>
  <c r="D408" i="11" a="1"/>
  <c r="D408" i="11" s="1"/>
  <c r="F408" i="11" s="1"/>
  <c r="D416" i="11" a="1"/>
  <c r="D416" i="11" s="1"/>
  <c r="E416" i="11" s="1"/>
  <c r="D424" i="11" a="1"/>
  <c r="D424" i="11" s="1"/>
  <c r="D432" i="11" a="1"/>
  <c r="D432" i="11" s="1"/>
  <c r="F432" i="11" s="1"/>
  <c r="D440" i="11" a="1"/>
  <c r="D440" i="11" s="1"/>
  <c r="F440" i="11" s="1"/>
  <c r="D448" i="11" a="1"/>
  <c r="D448" i="11" s="1"/>
  <c r="F448" i="11" s="1"/>
  <c r="D456" i="11" a="1"/>
  <c r="D456" i="11" s="1"/>
  <c r="D464" i="11" a="1"/>
  <c r="D464" i="11" s="1"/>
  <c r="D472" i="11" a="1"/>
  <c r="D472" i="11" s="1"/>
  <c r="D480" i="11" a="1"/>
  <c r="D480" i="11" s="1"/>
  <c r="E480" i="11" s="1"/>
  <c r="D488" i="11" a="1"/>
  <c r="D488" i="11" s="1"/>
  <c r="G488" i="11" s="1"/>
  <c r="D496" i="11" a="1"/>
  <c r="D496" i="11" s="1"/>
  <c r="F496" i="11" s="1"/>
  <c r="D504" i="11" a="1"/>
  <c r="D504" i="11" s="1"/>
  <c r="F504" i="11" s="1"/>
  <c r="D512" i="11" a="1"/>
  <c r="D512" i="11" s="1"/>
  <c r="E512" i="11" s="1"/>
  <c r="D520" i="11" a="1"/>
  <c r="D520" i="11" s="1"/>
  <c r="D528" i="11" a="1"/>
  <c r="D528" i="11" s="1"/>
  <c r="F528" i="11" s="1"/>
  <c r="D536" i="11" a="1"/>
  <c r="D536" i="11" s="1"/>
  <c r="F536" i="11" s="1"/>
  <c r="D544" i="11" a="1"/>
  <c r="D544" i="11" s="1"/>
  <c r="D552" i="11" a="1"/>
  <c r="D552" i="11" s="1"/>
  <c r="F552" i="11" s="1"/>
  <c r="D560" i="11" a="1"/>
  <c r="D560" i="11" s="1"/>
  <c r="F560" i="11" s="1"/>
  <c r="D568" i="11" a="1"/>
  <c r="D568" i="11" s="1"/>
  <c r="D576" i="11" a="1"/>
  <c r="D576" i="11" s="1"/>
  <c r="F576" i="11" s="1"/>
  <c r="D584" i="11" a="1"/>
  <c r="D584" i="11" s="1"/>
  <c r="F584" i="11" s="1"/>
  <c r="D592" i="11" a="1"/>
  <c r="D592" i="11" s="1"/>
  <c r="F592" i="11" s="1"/>
  <c r="D600" i="11" a="1"/>
  <c r="D600" i="11" s="1"/>
  <c r="E600" i="11" s="1"/>
  <c r="D608" i="11" a="1"/>
  <c r="D608" i="11" s="1"/>
  <c r="G608" i="11" s="1"/>
  <c r="D616" i="11" a="1"/>
  <c r="D616" i="11" s="1"/>
  <c r="D624" i="11" a="1"/>
  <c r="D624" i="11" s="1"/>
  <c r="F624" i="11" s="1"/>
  <c r="D632" i="11" a="1"/>
  <c r="D632" i="11" s="1"/>
  <c r="G632" i="11" s="1"/>
  <c r="D640" i="11" a="1"/>
  <c r="D640" i="11" s="1"/>
  <c r="F640" i="11" s="1"/>
  <c r="D648" i="11" a="1"/>
  <c r="D648" i="11" s="1"/>
  <c r="D656" i="11" a="1"/>
  <c r="D656" i="11" s="1"/>
  <c r="G656" i="11" s="1"/>
  <c r="D664" i="11" a="1"/>
  <c r="D664" i="11" s="1"/>
  <c r="D672" i="11" a="1"/>
  <c r="D672" i="11" s="1"/>
  <c r="F672" i="11" s="1"/>
  <c r="D680" i="11" a="1"/>
  <c r="D680" i="11" s="1"/>
  <c r="F680" i="11" s="1"/>
  <c r="D688" i="11" a="1"/>
  <c r="D688" i="11" s="1"/>
  <c r="F688" i="11" s="1"/>
  <c r="D696" i="11" a="1"/>
  <c r="D696" i="11" s="1"/>
  <c r="D704" i="11" a="1"/>
  <c r="D704" i="11" s="1"/>
  <c r="E704" i="11" s="1"/>
  <c r="D712" i="11" a="1"/>
  <c r="D712" i="11" s="1"/>
  <c r="G712" i="11" s="1"/>
  <c r="D720" i="11" a="1"/>
  <c r="D720" i="11" s="1"/>
  <c r="F720" i="11" s="1"/>
  <c r="D728" i="11" a="1"/>
  <c r="D728" i="11" s="1"/>
  <c r="F728" i="11" s="1"/>
  <c r="D736" i="11" a="1"/>
  <c r="D736" i="11" s="1"/>
  <c r="D744" i="11" a="1"/>
  <c r="D744" i="11" s="1"/>
  <c r="G744" i="11" s="1"/>
  <c r="D752" i="11" a="1"/>
  <c r="D752" i="11" s="1"/>
  <c r="F752" i="11" s="1"/>
  <c r="D760" i="11" a="1"/>
  <c r="D760" i="11" s="1"/>
  <c r="F760" i="11" s="1"/>
  <c r="D178" i="11" a="1"/>
  <c r="D178" i="11" s="1"/>
  <c r="D186" i="11" a="1"/>
  <c r="D186" i="11" s="1"/>
  <c r="E186" i="11" s="1"/>
  <c r="D194" i="11" a="1"/>
  <c r="D194" i="11" s="1"/>
  <c r="D202" i="11" a="1"/>
  <c r="D202" i="11" s="1"/>
  <c r="G202" i="11" s="1"/>
  <c r="D210" i="11" a="1"/>
  <c r="D210" i="11" s="1"/>
  <c r="F210" i="11" s="1"/>
  <c r="D218" i="11" a="1"/>
  <c r="D218" i="11" s="1"/>
  <c r="D226" i="11" a="1"/>
  <c r="D226" i="11" s="1"/>
  <c r="D234" i="11" a="1"/>
  <c r="D234" i="11" s="1"/>
  <c r="G234" i="11" s="1"/>
  <c r="D242" i="11" a="1"/>
  <c r="D242" i="11" s="1"/>
  <c r="G242" i="11" s="1"/>
  <c r="D250" i="11" a="1"/>
  <c r="D250" i="11" s="1"/>
  <c r="E250" i="11" s="1"/>
  <c r="D258" i="11" a="1"/>
  <c r="D258" i="11" s="1"/>
  <c r="D266" i="11" a="1"/>
  <c r="D266" i="11" s="1"/>
  <c r="F266" i="11" s="1"/>
  <c r="D274" i="11" a="1"/>
  <c r="D274" i="11" s="1"/>
  <c r="D282" i="11" a="1"/>
  <c r="D282" i="11" s="1"/>
  <c r="E282" i="11" s="1"/>
  <c r="D290" i="11" a="1"/>
  <c r="D290" i="11" s="1"/>
  <c r="D298" i="11" a="1"/>
  <c r="D298" i="11" s="1"/>
  <c r="G298" i="11" s="1"/>
  <c r="D306" i="11" a="1"/>
  <c r="D306" i="11" s="1"/>
  <c r="D314" i="11" a="1"/>
  <c r="D314" i="11" s="1"/>
  <c r="D322" i="11" a="1"/>
  <c r="D322" i="11" s="1"/>
  <c r="E322" i="11" s="1"/>
  <c r="D330" i="11" a="1"/>
  <c r="D330" i="11" s="1"/>
  <c r="D338" i="11" a="1"/>
  <c r="D338" i="11" s="1"/>
  <c r="G338" i="11" s="1"/>
  <c r="D346" i="11" a="1"/>
  <c r="D346" i="11" s="1"/>
  <c r="E346" i="11" s="1"/>
  <c r="D354" i="11" a="1"/>
  <c r="D354" i="11" s="1"/>
  <c r="D362" i="11" a="1"/>
  <c r="D362" i="11" s="1"/>
  <c r="D370" i="11" a="1"/>
  <c r="D370" i="11" s="1"/>
  <c r="G370" i="11" s="1"/>
  <c r="D378" i="11" a="1"/>
  <c r="D378" i="11" s="1"/>
  <c r="D386" i="11" a="1"/>
  <c r="D386" i="11" s="1"/>
  <c r="E386" i="11" s="1"/>
  <c r="D394" i="11" a="1"/>
  <c r="D394" i="11" s="1"/>
  <c r="E394" i="11" s="1"/>
  <c r="D402" i="11" a="1"/>
  <c r="D402" i="11" s="1"/>
  <c r="F402" i="11" s="1"/>
  <c r="D410" i="11" a="1"/>
  <c r="D410" i="11" s="1"/>
  <c r="E410" i="11" s="1"/>
  <c r="D418" i="11" a="1"/>
  <c r="D418" i="11" s="1"/>
  <c r="D426" i="11" a="1"/>
  <c r="D426" i="11" s="1"/>
  <c r="G426" i="11" s="1"/>
  <c r="D434" i="11" a="1"/>
  <c r="D434" i="11" s="1"/>
  <c r="D442" i="11" a="1"/>
  <c r="D442" i="11" s="1"/>
  <c r="D450" i="11" a="1"/>
  <c r="D450" i="11" s="1"/>
  <c r="D458" i="11" a="1"/>
  <c r="D458" i="11" s="1"/>
  <c r="F458" i="11" s="1"/>
  <c r="D466" i="11" a="1"/>
  <c r="D466" i="11" s="1"/>
  <c r="D474" i="11" a="1"/>
  <c r="D474" i="11" s="1"/>
  <c r="E474" i="11" s="1"/>
  <c r="D482" i="11" a="1"/>
  <c r="D482" i="11" s="1"/>
  <c r="D490" i="11" a="1"/>
  <c r="D490" i="11" s="1"/>
  <c r="D498" i="11" a="1"/>
  <c r="D498" i="11" s="1"/>
  <c r="E498" i="11" s="1"/>
  <c r="D506" i="11" a="1"/>
  <c r="D506" i="11" s="1"/>
  <c r="F506" i="11" s="1"/>
  <c r="D514" i="11" a="1"/>
  <c r="D514" i="11" s="1"/>
  <c r="F514" i="11" s="1"/>
  <c r="D522" i="11" a="1"/>
  <c r="D522" i="11" s="1"/>
  <c r="F522" i="11" s="1"/>
  <c r="D530" i="11" a="1"/>
  <c r="D530" i="11" s="1"/>
  <c r="D538" i="11" a="1"/>
  <c r="D538" i="11" s="1"/>
  <c r="D546" i="11" a="1"/>
  <c r="D546" i="11" s="1"/>
  <c r="D554" i="11" a="1"/>
  <c r="D554" i="11" s="1"/>
  <c r="F554" i="11" s="1"/>
  <c r="D562" i="11" a="1"/>
  <c r="D562" i="11" s="1"/>
  <c r="D570" i="11" a="1"/>
  <c r="D570" i="11" s="1"/>
  <c r="D578" i="11" a="1"/>
  <c r="D578" i="11" s="1"/>
  <c r="E578" i="11" s="1"/>
  <c r="D586" i="11" a="1"/>
  <c r="D586" i="11" s="1"/>
  <c r="G586" i="11" s="1"/>
  <c r="D594" i="11" a="1"/>
  <c r="D594" i="11" s="1"/>
  <c r="F594" i="11" s="1"/>
  <c r="D602" i="11" a="1"/>
  <c r="D602" i="11" s="1"/>
  <c r="D610" i="11" a="1"/>
  <c r="D610" i="11" s="1"/>
  <c r="F610" i="11" s="1"/>
  <c r="D618" i="11" a="1"/>
  <c r="D618" i="11" s="1"/>
  <c r="E618" i="11" s="1"/>
  <c r="D626" i="11" a="1"/>
  <c r="D626" i="11" s="1"/>
  <c r="D634" i="11" a="1"/>
  <c r="D634" i="11" s="1"/>
  <c r="D642" i="11" a="1"/>
  <c r="D642" i="11" s="1"/>
  <c r="G642" i="11" s="1"/>
  <c r="D650" i="11" a="1"/>
  <c r="D650" i="11" s="1"/>
  <c r="E650" i="11" s="1"/>
  <c r="D658" i="11" a="1"/>
  <c r="D658" i="11" s="1"/>
  <c r="D666" i="11" a="1"/>
  <c r="D666" i="11" s="1"/>
  <c r="D674" i="11" a="1"/>
  <c r="D674" i="11" s="1"/>
  <c r="G674" i="11" s="1"/>
  <c r="D682" i="11" a="1"/>
  <c r="D682" i="11" s="1"/>
  <c r="F682" i="11" s="1"/>
  <c r="D690" i="11" a="1"/>
  <c r="D690" i="11" s="1"/>
  <c r="F690" i="11" s="1"/>
  <c r="D698" i="11" a="1"/>
  <c r="D698" i="11" s="1"/>
  <c r="D706" i="11" a="1"/>
  <c r="D706" i="11" s="1"/>
  <c r="D714" i="11" a="1"/>
  <c r="D714" i="11" s="1"/>
  <c r="F714" i="11" s="1"/>
  <c r="D722" i="11" a="1"/>
  <c r="D722" i="11" s="1"/>
  <c r="D730" i="11" a="1"/>
  <c r="D730" i="11" s="1"/>
  <c r="E730" i="11" s="1"/>
  <c r="D738" i="11" a="1"/>
  <c r="D738" i="11" s="1"/>
  <c r="D746" i="11" a="1"/>
  <c r="D746" i="11" s="1"/>
  <c r="F746" i="11" s="1"/>
  <c r="D754" i="11" a="1"/>
  <c r="D754" i="11" s="1"/>
  <c r="D762" i="11" a="1"/>
  <c r="D762" i="11" s="1"/>
  <c r="G762" i="11" s="1"/>
  <c r="D193" i="11" a="1"/>
  <c r="D193" i="11" s="1"/>
  <c r="F193" i="11" s="1"/>
  <c r="D214" i="11" a="1"/>
  <c r="D214" i="11" s="1"/>
  <c r="G214" i="11" s="1"/>
  <c r="D235" i="11" a="1"/>
  <c r="D235" i="11" s="1"/>
  <c r="F235" i="11" s="1"/>
  <c r="D257" i="11" a="1"/>
  <c r="D257" i="11" s="1"/>
  <c r="D278" i="11" a="1"/>
  <c r="D278" i="11" s="1"/>
  <c r="D299" i="11" a="1"/>
  <c r="D299" i="11" s="1"/>
  <c r="G299" i="11" s="1"/>
  <c r="D321" i="11" a="1"/>
  <c r="D321" i="11" s="1"/>
  <c r="F321" i="11" s="1"/>
  <c r="D342" i="11" a="1"/>
  <c r="D342" i="11" s="1"/>
  <c r="D363" i="11" a="1"/>
  <c r="D363" i="11" s="1"/>
  <c r="D385" i="11" a="1"/>
  <c r="D385" i="11" s="1"/>
  <c r="F385" i="11" s="1"/>
  <c r="D406" i="11" a="1"/>
  <c r="D406" i="11" s="1"/>
  <c r="D427" i="11" a="1"/>
  <c r="D427" i="11" s="1"/>
  <c r="D449" i="11" a="1"/>
  <c r="D449" i="11" s="1"/>
  <c r="G449" i="11" s="1"/>
  <c r="D470" i="11" a="1"/>
  <c r="D470" i="11" s="1"/>
  <c r="D491" i="11" a="1"/>
  <c r="D491" i="11" s="1"/>
  <c r="E491" i="11" s="1"/>
  <c r="D513" i="11" a="1"/>
  <c r="D513" i="11" s="1"/>
  <c r="D534" i="11" a="1"/>
  <c r="D534" i="11" s="1"/>
  <c r="E534" i="11" s="1"/>
  <c r="D555" i="11" a="1"/>
  <c r="D555" i="11" s="1"/>
  <c r="D577" i="11" a="1"/>
  <c r="D577" i="11" s="1"/>
  <c r="E577" i="11" s="1"/>
  <c r="D598" i="11" a="1"/>
  <c r="D598" i="11" s="1"/>
  <c r="D619" i="11" a="1"/>
  <c r="D619" i="11" s="1"/>
  <c r="G619" i="11" s="1"/>
  <c r="D641" i="11" a="1"/>
  <c r="D641" i="11" s="1"/>
  <c r="G641" i="11" s="1"/>
  <c r="D662" i="11" a="1"/>
  <c r="D662" i="11" s="1"/>
  <c r="E662" i="11" s="1"/>
  <c r="D683" i="11" a="1"/>
  <c r="D683" i="11" s="1"/>
  <c r="F683" i="11" s="1"/>
  <c r="D705" i="11" a="1"/>
  <c r="D705" i="11" s="1"/>
  <c r="E705" i="11" s="1"/>
  <c r="D726" i="11" a="1"/>
  <c r="D726" i="11" s="1"/>
  <c r="F726" i="11" s="1"/>
  <c r="D747" i="11" a="1"/>
  <c r="D747" i="11" s="1"/>
  <c r="D765" i="11" a="1"/>
  <c r="D765" i="11" s="1"/>
  <c r="D773" i="11" a="1"/>
  <c r="D773" i="11" s="1"/>
  <c r="D781" i="11" a="1"/>
  <c r="D781" i="11" s="1"/>
  <c r="F781" i="11" s="1"/>
  <c r="D789" i="11" a="1"/>
  <c r="D789" i="11" s="1"/>
  <c r="G789" i="11" s="1"/>
  <c r="D797" i="11" a="1"/>
  <c r="D797" i="11" s="1"/>
  <c r="G797" i="11" s="1"/>
  <c r="D805" i="11" a="1"/>
  <c r="D805" i="11" s="1"/>
  <c r="F805" i="11" s="1"/>
  <c r="D813" i="11" a="1"/>
  <c r="D813" i="11" s="1"/>
  <c r="E813" i="11" s="1"/>
  <c r="D821" i="11" a="1"/>
  <c r="D821" i="11" s="1"/>
  <c r="G821" i="11" s="1"/>
  <c r="D829" i="11" a="1"/>
  <c r="D829" i="11" s="1"/>
  <c r="E829" i="11" s="1"/>
  <c r="D837" i="11" a="1"/>
  <c r="D837" i="11" s="1"/>
  <c r="F837" i="11" s="1"/>
  <c r="D845" i="11" a="1"/>
  <c r="D845" i="11" s="1"/>
  <c r="D853" i="11" a="1"/>
  <c r="D853" i="11" s="1"/>
  <c r="G853" i="11" s="1"/>
  <c r="D861" i="11" a="1"/>
  <c r="D861" i="11" s="1"/>
  <c r="E861" i="11" s="1"/>
  <c r="D869" i="11" a="1"/>
  <c r="D869" i="11" s="1"/>
  <c r="F869" i="11" s="1"/>
  <c r="D877" i="11" a="1"/>
  <c r="D877" i="11" s="1"/>
  <c r="D885" i="11" a="1"/>
  <c r="D885" i="11" s="1"/>
  <c r="G885" i="11" s="1"/>
  <c r="D893" i="11" a="1"/>
  <c r="D893" i="11" s="1"/>
  <c r="E893" i="11" s="1"/>
  <c r="D901" i="11" a="1"/>
  <c r="D901" i="11" s="1"/>
  <c r="E901" i="11" s="1"/>
  <c r="D909" i="11" a="1"/>
  <c r="D909" i="11" s="1"/>
  <c r="F909" i="11" s="1"/>
  <c r="D917" i="11" a="1"/>
  <c r="D917" i="11" s="1"/>
  <c r="E917" i="11" s="1"/>
  <c r="D925" i="11" a="1"/>
  <c r="D925" i="11" s="1"/>
  <c r="E925" i="11" s="1"/>
  <c r="D933" i="11" a="1"/>
  <c r="D933" i="11" s="1"/>
  <c r="F933" i="11" s="1"/>
  <c r="D941" i="11" a="1"/>
  <c r="D941" i="11" s="1"/>
  <c r="E941" i="11" s="1"/>
  <c r="D949" i="11" a="1"/>
  <c r="D949" i="11" s="1"/>
  <c r="G949" i="11" s="1"/>
  <c r="D957" i="11" a="1"/>
  <c r="D957" i="11" s="1"/>
  <c r="D965" i="11" a="1"/>
  <c r="D965" i="11" s="1"/>
  <c r="G965" i="11" s="1"/>
  <c r="D973" i="11" a="1"/>
  <c r="D973" i="11" s="1"/>
  <c r="D981" i="11" a="1"/>
  <c r="D981" i="11" s="1"/>
  <c r="F981" i="11" s="1"/>
  <c r="D989" i="11" a="1"/>
  <c r="D989" i="11" s="1"/>
  <c r="F989" i="11" s="1"/>
  <c r="D174" i="11" a="1"/>
  <c r="D174" i="11" s="1"/>
  <c r="E174" i="11" s="1"/>
  <c r="D195" i="11" a="1"/>
  <c r="D195" i="11" s="1"/>
  <c r="D217" i="11" a="1"/>
  <c r="D217" i="11" s="1"/>
  <c r="F217" i="11" s="1"/>
  <c r="D238" i="11" a="1"/>
  <c r="D238" i="11" s="1"/>
  <c r="F238" i="11" s="1"/>
  <c r="D259" i="11" a="1"/>
  <c r="D259" i="11" s="1"/>
  <c r="D281" i="11" a="1"/>
  <c r="D281" i="11" s="1"/>
  <c r="F281" i="11" s="1"/>
  <c r="D302" i="11" a="1"/>
  <c r="D302" i="11" s="1"/>
  <c r="F302" i="11" s="1"/>
  <c r="D323" i="11" a="1"/>
  <c r="D323" i="11" s="1"/>
  <c r="F323" i="11" s="1"/>
  <c r="D345" i="11" a="1"/>
  <c r="D345" i="11" s="1"/>
  <c r="D366" i="11" a="1"/>
  <c r="D366" i="11" s="1"/>
  <c r="D387" i="11" a="1"/>
  <c r="D387" i="11" s="1"/>
  <c r="F387" i="11" s="1"/>
  <c r="D409" i="11" a="1"/>
  <c r="D409" i="11" s="1"/>
  <c r="E409" i="11" s="1"/>
  <c r="D430" i="11" a="1"/>
  <c r="D430" i="11" s="1"/>
  <c r="D451" i="11" a="1"/>
  <c r="D451" i="11" s="1"/>
  <c r="G451" i="11" s="1"/>
  <c r="D473" i="11" a="1"/>
  <c r="D473" i="11" s="1"/>
  <c r="D494" i="11" a="1"/>
  <c r="D494" i="11" s="1"/>
  <c r="F494" i="11" s="1"/>
  <c r="D515" i="11" a="1"/>
  <c r="D515" i="11" s="1"/>
  <c r="F515" i="11" s="1"/>
  <c r="D537" i="11" a="1"/>
  <c r="D537" i="11" s="1"/>
  <c r="D558" i="11" a="1"/>
  <c r="D558" i="11" s="1"/>
  <c r="D579" i="11" a="1"/>
  <c r="D579" i="11" s="1"/>
  <c r="E579" i="11" s="1"/>
  <c r="D601" i="11" a="1"/>
  <c r="D601" i="11" s="1"/>
  <c r="G601" i="11" s="1"/>
  <c r="D622" i="11" a="1"/>
  <c r="D622" i="11" s="1"/>
  <c r="F622" i="11" s="1"/>
  <c r="D643" i="11" a="1"/>
  <c r="D643" i="11" s="1"/>
  <c r="E643" i="11" s="1"/>
  <c r="D665" i="11" a="1"/>
  <c r="D665" i="11" s="1"/>
  <c r="E665" i="11" s="1"/>
  <c r="D686" i="11" a="1"/>
  <c r="D686" i="11" s="1"/>
  <c r="D707" i="11" a="1"/>
  <c r="D707" i="11" s="1"/>
  <c r="F707" i="11" s="1"/>
  <c r="D729" i="11" a="1"/>
  <c r="D729" i="11" s="1"/>
  <c r="D750" i="11" a="1"/>
  <c r="D750" i="11" s="1"/>
  <c r="D766" i="11" a="1"/>
  <c r="D766" i="11" s="1"/>
  <c r="G766" i="11" s="1"/>
  <c r="D774" i="11" a="1"/>
  <c r="D774" i="11" s="1"/>
  <c r="E774" i="11" s="1"/>
  <c r="D782" i="11" a="1"/>
  <c r="D782" i="11" s="1"/>
  <c r="G782" i="11" s="1"/>
  <c r="D790" i="11" a="1"/>
  <c r="D790" i="11" s="1"/>
  <c r="D798" i="11" a="1"/>
  <c r="D798" i="11" s="1"/>
  <c r="D806" i="11" a="1"/>
  <c r="D806" i="11" s="1"/>
  <c r="D814" i="11" a="1"/>
  <c r="D814" i="11" s="1"/>
  <c r="E814" i="11" s="1"/>
  <c r="D822" i="11" a="1"/>
  <c r="D822" i="11" s="1"/>
  <c r="D830" i="11" a="1"/>
  <c r="D830" i="11" s="1"/>
  <c r="D838" i="11" a="1"/>
  <c r="D838" i="11" s="1"/>
  <c r="F838" i="11" s="1"/>
  <c r="D846" i="11" a="1"/>
  <c r="D846" i="11" s="1"/>
  <c r="E846" i="11" s="1"/>
  <c r="D854" i="11" a="1"/>
  <c r="D854" i="11" s="1"/>
  <c r="E854" i="11" s="1"/>
  <c r="D862" i="11" a="1"/>
  <c r="D862" i="11" s="1"/>
  <c r="E862" i="11" s="1"/>
  <c r="D870" i="11" a="1"/>
  <c r="D870" i="11" s="1"/>
  <c r="G870" i="11" s="1"/>
  <c r="D878" i="11" a="1"/>
  <c r="D878" i="11" s="1"/>
  <c r="D886" i="11" a="1"/>
  <c r="D886" i="11" s="1"/>
  <c r="E886" i="11" s="1"/>
  <c r="D894" i="11" a="1"/>
  <c r="D894" i="11" s="1"/>
  <c r="D902" i="11" a="1"/>
  <c r="D902" i="11" s="1"/>
  <c r="D910" i="11" a="1"/>
  <c r="D910" i="11" s="1"/>
  <c r="F910" i="11" s="1"/>
  <c r="D918" i="11" a="1"/>
  <c r="D918" i="11" s="1"/>
  <c r="E918" i="11" s="1"/>
  <c r="D926" i="11" a="1"/>
  <c r="D926" i="11" s="1"/>
  <c r="D934" i="11" a="1"/>
  <c r="D934" i="11" s="1"/>
  <c r="D942" i="11" a="1"/>
  <c r="D942" i="11" s="1"/>
  <c r="D950" i="11" a="1"/>
  <c r="D950" i="11" s="1"/>
  <c r="F950" i="11" s="1"/>
  <c r="D958" i="11" a="1"/>
  <c r="D958" i="11" s="1"/>
  <c r="F958" i="11" s="1"/>
  <c r="D966" i="11" a="1"/>
  <c r="D966" i="11" s="1"/>
  <c r="D974" i="11" a="1"/>
  <c r="D974" i="11" s="1"/>
  <c r="F974" i="11" s="1"/>
  <c r="D982" i="11" a="1"/>
  <c r="D982" i="11" s="1"/>
  <c r="E982" i="11" s="1"/>
  <c r="D990" i="11" a="1"/>
  <c r="D990" i="11" s="1"/>
  <c r="D177" i="11" a="1"/>
  <c r="D177" i="11" s="1"/>
  <c r="F177" i="11" s="1"/>
  <c r="D198" i="11" a="1"/>
  <c r="D198" i="11" s="1"/>
  <c r="E198" i="11" s="1"/>
  <c r="D219" i="11" a="1"/>
  <c r="D219" i="11" s="1"/>
  <c r="F219" i="11" s="1"/>
  <c r="D241" i="11" a="1"/>
  <c r="D241" i="11" s="1"/>
  <c r="D262" i="11" a="1"/>
  <c r="D262" i="11" s="1"/>
  <c r="D283" i="11" a="1"/>
  <c r="D283" i="11" s="1"/>
  <c r="D305" i="11" a="1"/>
  <c r="D305" i="11" s="1"/>
  <c r="D326" i="11" a="1"/>
  <c r="D326" i="11" s="1"/>
  <c r="F326" i="11" s="1"/>
  <c r="D347" i="11" a="1"/>
  <c r="D347" i="11" s="1"/>
  <c r="E347" i="11" s="1"/>
  <c r="D369" i="11" a="1"/>
  <c r="D369" i="11" s="1"/>
  <c r="G369" i="11" s="1"/>
  <c r="D390" i="11" a="1"/>
  <c r="D390" i="11" s="1"/>
  <c r="E390" i="11" s="1"/>
  <c r="D411" i="11" a="1"/>
  <c r="D411" i="11" s="1"/>
  <c r="F411" i="11" s="1"/>
  <c r="D433" i="11" a="1"/>
  <c r="D433" i="11" s="1"/>
  <c r="G433" i="11" s="1"/>
  <c r="D454" i="11" a="1"/>
  <c r="D454" i="11" s="1"/>
  <c r="D475" i="11" a="1"/>
  <c r="D475" i="11" s="1"/>
  <c r="E475" i="11" s="1"/>
  <c r="D497" i="11" a="1"/>
  <c r="D497" i="11" s="1"/>
  <c r="D518" i="11" a="1"/>
  <c r="D518" i="11" s="1"/>
  <c r="D539" i="11" a="1"/>
  <c r="D539" i="11" s="1"/>
  <c r="E539" i="11" s="1"/>
  <c r="D561" i="11" a="1"/>
  <c r="D561" i="11" s="1"/>
  <c r="D582" i="11" a="1"/>
  <c r="D582" i="11" s="1"/>
  <c r="E582" i="11" s="1"/>
  <c r="D603" i="11" a="1"/>
  <c r="D603" i="11" s="1"/>
  <c r="F603" i="11" s="1"/>
  <c r="D625" i="11" a="1"/>
  <c r="D625" i="11" s="1"/>
  <c r="F625" i="11" s="1"/>
  <c r="D646" i="11" a="1"/>
  <c r="D646" i="11" s="1"/>
  <c r="D667" i="11" a="1"/>
  <c r="D667" i="11" s="1"/>
  <c r="E667" i="11" s="1"/>
  <c r="D689" i="11" a="1"/>
  <c r="D689" i="11" s="1"/>
  <c r="E689" i="11" s="1"/>
  <c r="D710" i="11" a="1"/>
  <c r="D710" i="11" s="1"/>
  <c r="F710" i="11" s="1"/>
  <c r="D731" i="11" a="1"/>
  <c r="D731" i="11" s="1"/>
  <c r="G731" i="11" s="1"/>
  <c r="D753" i="11" a="1"/>
  <c r="D753" i="11" s="1"/>
  <c r="G753" i="11" s="1"/>
  <c r="D767" i="11" a="1"/>
  <c r="D767" i="11" s="1"/>
  <c r="D775" i="11" a="1"/>
  <c r="D775" i="11" s="1"/>
  <c r="E775" i="11" s="1"/>
  <c r="D783" i="11" a="1"/>
  <c r="D783" i="11" s="1"/>
  <c r="E783" i="11" s="1"/>
  <c r="D791" i="11" a="1"/>
  <c r="D791" i="11" s="1"/>
  <c r="D799" i="11" a="1"/>
  <c r="D799" i="11" s="1"/>
  <c r="D807" i="11" a="1"/>
  <c r="D807" i="11" s="1"/>
  <c r="E807" i="11" s="1"/>
  <c r="D815" i="11" a="1"/>
  <c r="D815" i="11" s="1"/>
  <c r="D823" i="11" a="1"/>
  <c r="D823" i="11" s="1"/>
  <c r="G823" i="11" s="1"/>
  <c r="D831" i="11" a="1"/>
  <c r="D831" i="11" s="1"/>
  <c r="D839" i="11" a="1"/>
  <c r="D839" i="11" s="1"/>
  <c r="D847" i="11" a="1"/>
  <c r="D847" i="11" s="1"/>
  <c r="E847" i="11" s="1"/>
  <c r="D855" i="11" a="1"/>
  <c r="D855" i="11" s="1"/>
  <c r="G855" i="11" s="1"/>
  <c r="D863" i="11" a="1"/>
  <c r="D863" i="11" s="1"/>
  <c r="D871" i="11" a="1"/>
  <c r="D871" i="11" s="1"/>
  <c r="E871" i="11" s="1"/>
  <c r="D879" i="11" a="1"/>
  <c r="D879" i="11" s="1"/>
  <c r="E879" i="11" s="1"/>
  <c r="D887" i="11" a="1"/>
  <c r="D887" i="11" s="1"/>
  <c r="G887" i="11" s="1"/>
  <c r="D895" i="11" a="1"/>
  <c r="D895" i="11" s="1"/>
  <c r="D903" i="11" a="1"/>
  <c r="D903" i="11" s="1"/>
  <c r="G903" i="11" s="1"/>
  <c r="D911" i="11" a="1"/>
  <c r="D911" i="11" s="1"/>
  <c r="D919" i="11" a="1"/>
  <c r="D919" i="11" s="1"/>
  <c r="E919" i="11" s="1"/>
  <c r="D927" i="11" a="1"/>
  <c r="D927" i="11" s="1"/>
  <c r="D935" i="11" a="1"/>
  <c r="D935" i="11" s="1"/>
  <c r="E935" i="11" s="1"/>
  <c r="D943" i="11" a="1"/>
  <c r="D943" i="11" s="1"/>
  <c r="F943" i="11" s="1"/>
  <c r="D951" i="11" a="1"/>
  <c r="D951" i="11" s="1"/>
  <c r="G951" i="11" s="1"/>
  <c r="D959" i="11" a="1"/>
  <c r="D959" i="11" s="1"/>
  <c r="G959" i="11" s="1"/>
  <c r="D967" i="11" a="1"/>
  <c r="D967" i="11" s="1"/>
  <c r="F967" i="11" s="1"/>
  <c r="D975" i="11" a="1"/>
  <c r="D975" i="11" s="1"/>
  <c r="G975" i="11" s="1"/>
  <c r="D983" i="11" a="1"/>
  <c r="D983" i="11" s="1"/>
  <c r="D991" i="11" a="1"/>
  <c r="D991" i="11" s="1"/>
  <c r="F991" i="11" s="1"/>
  <c r="D179" i="11" a="1"/>
  <c r="D179" i="11" s="1"/>
  <c r="D201" i="11" a="1"/>
  <c r="D201" i="11" s="1"/>
  <c r="F201" i="11" s="1"/>
  <c r="D222" i="11" a="1"/>
  <c r="D222" i="11" s="1"/>
  <c r="E222" i="11" s="1"/>
  <c r="D243" i="11" a="1"/>
  <c r="D243" i="11" s="1"/>
  <c r="E243" i="11" s="1"/>
  <c r="D265" i="11" a="1"/>
  <c r="D265" i="11" s="1"/>
  <c r="D286" i="11" a="1"/>
  <c r="D286" i="11" s="1"/>
  <c r="E286" i="11" s="1"/>
  <c r="D307" i="11" a="1"/>
  <c r="D307" i="11" s="1"/>
  <c r="D329" i="11" a="1"/>
  <c r="D329" i="11" s="1"/>
  <c r="G329" i="11" s="1"/>
  <c r="D350" i="11" a="1"/>
  <c r="D350" i="11" s="1"/>
  <c r="D371" i="11" a="1"/>
  <c r="D371" i="11" s="1"/>
  <c r="G371" i="11" s="1"/>
  <c r="D393" i="11" a="1"/>
  <c r="D393" i="11" s="1"/>
  <c r="D414" i="11" a="1"/>
  <c r="D414" i="11" s="1"/>
  <c r="G414" i="11" s="1"/>
  <c r="D435" i="11" a="1"/>
  <c r="D435" i="11" s="1"/>
  <c r="D457" i="11" a="1"/>
  <c r="D457" i="11" s="1"/>
  <c r="E457" i="11" s="1"/>
  <c r="D478" i="11" a="1"/>
  <c r="D478" i="11" s="1"/>
  <c r="D499" i="11" a="1"/>
  <c r="D499" i="11" s="1"/>
  <c r="E499" i="11" s="1"/>
  <c r="D521" i="11" a="1"/>
  <c r="D521" i="11" s="1"/>
  <c r="D542" i="11" a="1"/>
  <c r="D542" i="11" s="1"/>
  <c r="D563" i="11" a="1"/>
  <c r="D563" i="11" s="1"/>
  <c r="F563" i="11" s="1"/>
  <c r="D585" i="11" a="1"/>
  <c r="D585" i="11" s="1"/>
  <c r="E585" i="11" s="1"/>
  <c r="D606" i="11" a="1"/>
  <c r="D606" i="11" s="1"/>
  <c r="E606" i="11" s="1"/>
  <c r="D627" i="11" a="1"/>
  <c r="D627" i="11" s="1"/>
  <c r="F627" i="11" s="1"/>
  <c r="D649" i="11" a="1"/>
  <c r="D649" i="11" s="1"/>
  <c r="F649" i="11" s="1"/>
  <c r="D670" i="11" a="1"/>
  <c r="D670" i="11" s="1"/>
  <c r="D691" i="11" a="1"/>
  <c r="D691" i="11" s="1"/>
  <c r="D713" i="11" a="1"/>
  <c r="D713" i="11" s="1"/>
  <c r="F713" i="11" s="1"/>
  <c r="D734" i="11" a="1"/>
  <c r="D734" i="11" s="1"/>
  <c r="E734" i="11" s="1"/>
  <c r="D755" i="11" a="1"/>
  <c r="D755" i="11" s="1"/>
  <c r="D768" i="11" a="1"/>
  <c r="D768" i="11" s="1"/>
  <c r="D776" i="11" a="1"/>
  <c r="D776" i="11" s="1"/>
  <c r="G776" i="11" s="1"/>
  <c r="D784" i="11" a="1"/>
  <c r="D784" i="11" s="1"/>
  <c r="D792" i="11" a="1"/>
  <c r="D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E848" i="11" s="1"/>
  <c r="D856" i="11" a="1"/>
  <c r="D856" i="11" s="1"/>
  <c r="D864" i="11" a="1"/>
  <c r="D864" i="11" s="1"/>
  <c r="D872" i="11" a="1"/>
  <c r="D872" i="11" s="1"/>
  <c r="G872" i="11" s="1"/>
  <c r="D880" i="11" a="1"/>
  <c r="D880" i="11" s="1"/>
  <c r="D888" i="11" a="1"/>
  <c r="D888" i="11" s="1"/>
  <c r="F888" i="11" s="1"/>
  <c r="D896" i="11" a="1"/>
  <c r="D896" i="11" s="1"/>
  <c r="F896" i="11" s="1"/>
  <c r="D904" i="11" a="1"/>
  <c r="D904" i="11" s="1"/>
  <c r="F904" i="11" s="1"/>
  <c r="D912" i="11" a="1"/>
  <c r="D912" i="11" s="1"/>
  <c r="D920" i="11" a="1"/>
  <c r="D920" i="11" s="1"/>
  <c r="G920" i="11" s="1"/>
  <c r="D928" i="11" a="1"/>
  <c r="D928" i="11" s="1"/>
  <c r="G928" i="11" s="1"/>
  <c r="D936" i="11" a="1"/>
  <c r="D936" i="11" s="1"/>
  <c r="E936" i="11" s="1"/>
  <c r="D944" i="11" a="1"/>
  <c r="D944" i="11" s="1"/>
  <c r="D952" i="11" a="1"/>
  <c r="D952" i="11" s="1"/>
  <c r="G952" i="11" s="1"/>
  <c r="D960" i="11" a="1"/>
  <c r="D960" i="11" s="1"/>
  <c r="D968" i="11" a="1"/>
  <c r="D968" i="11" s="1"/>
  <c r="D976" i="11" a="1"/>
  <c r="D976" i="11" s="1"/>
  <c r="D984" i="11" a="1"/>
  <c r="D984" i="11" s="1"/>
  <c r="D992" i="11" a="1"/>
  <c r="D992" i="11" s="1"/>
  <c r="D182" i="11" a="1"/>
  <c r="D182" i="11" s="1"/>
  <c r="G182" i="11" s="1"/>
  <c r="D203" i="11" a="1"/>
  <c r="D203" i="11" s="1"/>
  <c r="E203" i="11" s="1"/>
  <c r="D225" i="11" a="1"/>
  <c r="D225" i="11" s="1"/>
  <c r="G225" i="11" s="1"/>
  <c r="D246" i="11" a="1"/>
  <c r="D246" i="11" s="1"/>
  <c r="F246" i="11" s="1"/>
  <c r="D267" i="11" a="1"/>
  <c r="D267" i="11" s="1"/>
  <c r="D289" i="11" a="1"/>
  <c r="D289" i="11" s="1"/>
  <c r="D310" i="11" a="1"/>
  <c r="D310" i="11" s="1"/>
  <c r="D331" i="11" a="1"/>
  <c r="D331" i="11" s="1"/>
  <c r="E331" i="11" s="1"/>
  <c r="D353" i="11" a="1"/>
  <c r="D353" i="11" s="1"/>
  <c r="D374" i="11" a="1"/>
  <c r="D374" i="11" s="1"/>
  <c r="F374" i="11" s="1"/>
  <c r="D395" i="11" a="1"/>
  <c r="D395" i="11" s="1"/>
  <c r="D417" i="11" a="1"/>
  <c r="D417" i="11" s="1"/>
  <c r="E417" i="11" s="1"/>
  <c r="D438" i="11" a="1"/>
  <c r="D438" i="11" s="1"/>
  <c r="D459" i="11" a="1"/>
  <c r="D459" i="11" s="1"/>
  <c r="D481" i="11" a="1"/>
  <c r="D481" i="11" s="1"/>
  <c r="D502" i="11" a="1"/>
  <c r="D502" i="11" s="1"/>
  <c r="D523" i="11" a="1"/>
  <c r="D523" i="11" s="1"/>
  <c r="F523" i="11" s="1"/>
  <c r="D545" i="11" a="1"/>
  <c r="D545" i="11" s="1"/>
  <c r="D566" i="11" a="1"/>
  <c r="D566" i="11" s="1"/>
  <c r="F566" i="11" s="1"/>
  <c r="D587" i="11" a="1"/>
  <c r="D587" i="11" s="1"/>
  <c r="F587" i="11" s="1"/>
  <c r="D609" i="11" a="1"/>
  <c r="D609" i="11" s="1"/>
  <c r="D630" i="11" a="1"/>
  <c r="D630" i="11" s="1"/>
  <c r="D651" i="11" a="1"/>
  <c r="D651" i="11" s="1"/>
  <c r="F651" i="11" s="1"/>
  <c r="D673" i="11" a="1"/>
  <c r="D673" i="11" s="1"/>
  <c r="D694" i="11" a="1"/>
  <c r="D694" i="11" s="1"/>
  <c r="F694" i="11" s="1"/>
  <c r="D715" i="11" a="1"/>
  <c r="D715" i="11" s="1"/>
  <c r="F715" i="11" s="1"/>
  <c r="D737" i="11" a="1"/>
  <c r="D737" i="11" s="1"/>
  <c r="D758" i="11" a="1"/>
  <c r="D758" i="11" s="1"/>
  <c r="E758" i="11" s="1"/>
  <c r="D769" i="11" a="1"/>
  <c r="D769" i="11" s="1"/>
  <c r="D777" i="11" a="1"/>
  <c r="D777" i="11" s="1"/>
  <c r="D785" i="11" a="1"/>
  <c r="D785" i="11" s="1"/>
  <c r="G785" i="11" s="1"/>
  <c r="D793" i="11" a="1"/>
  <c r="D793" i="11" s="1"/>
  <c r="F793" i="11" s="1"/>
  <c r="D801" i="11" a="1"/>
  <c r="D801" i="11" s="1"/>
  <c r="D809" i="11" a="1"/>
  <c r="D809" i="11" s="1"/>
  <c r="D817" i="11" a="1"/>
  <c r="D817" i="11" s="1"/>
  <c r="D825" i="11" a="1"/>
  <c r="D825" i="11" s="1"/>
  <c r="G825" i="11" s="1"/>
  <c r="D833" i="11" a="1"/>
  <c r="D833" i="11" s="1"/>
  <c r="D841" i="11" a="1"/>
  <c r="D841" i="11" s="1"/>
  <c r="G841" i="11" s="1"/>
  <c r="D849" i="11" a="1"/>
  <c r="D849" i="11" s="1"/>
  <c r="G849" i="11" s="1"/>
  <c r="D857" i="11" a="1"/>
  <c r="D857" i="11" s="1"/>
  <c r="G857" i="11" s="1"/>
  <c r="D865" i="11" a="1"/>
  <c r="D865" i="11" s="1"/>
  <c r="D873" i="11" a="1"/>
  <c r="D873" i="11" s="1"/>
  <c r="F873" i="11" s="1"/>
  <c r="D881" i="11" a="1"/>
  <c r="D881" i="11" s="1"/>
  <c r="F881" i="11" s="1"/>
  <c r="D889" i="11" a="1"/>
  <c r="D889" i="11" s="1"/>
  <c r="G889" i="11" s="1"/>
  <c r="D897" i="11" a="1"/>
  <c r="D897" i="11" s="1"/>
  <c r="D905" i="11" a="1"/>
  <c r="D905" i="11" s="1"/>
  <c r="D913" i="11" a="1"/>
  <c r="D913" i="11" s="1"/>
  <c r="G913" i="11" s="1"/>
  <c r="D921" i="11" a="1"/>
  <c r="D921" i="11" s="1"/>
  <c r="G921" i="11" s="1"/>
  <c r="D929" i="11" a="1"/>
  <c r="D929" i="11" s="1"/>
  <c r="D937" i="11" a="1"/>
  <c r="D937" i="11" s="1"/>
  <c r="F937" i="11" s="1"/>
  <c r="D945" i="11" a="1"/>
  <c r="D945" i="11" s="1"/>
  <c r="F945" i="11" s="1"/>
  <c r="D953" i="11" a="1"/>
  <c r="D953" i="11" s="1"/>
  <c r="G953" i="11" s="1"/>
  <c r="D961" i="11" a="1"/>
  <c r="D961" i="11" s="1"/>
  <c r="G961" i="11" s="1"/>
  <c r="D969" i="11" a="1"/>
  <c r="D969" i="11" s="1"/>
  <c r="D977" i="11" a="1"/>
  <c r="D977" i="11" s="1"/>
  <c r="F977" i="11" s="1"/>
  <c r="D985" i="11" a="1"/>
  <c r="D985" i="11" s="1"/>
  <c r="G985" i="11" s="1"/>
  <c r="D993" i="11" a="1"/>
  <c r="D993" i="11" s="1"/>
  <c r="D185" i="11" a="1"/>
  <c r="D185" i="11" s="1"/>
  <c r="F185" i="11" s="1"/>
  <c r="D206" i="11" a="1"/>
  <c r="D206" i="11" s="1"/>
  <c r="D227" i="11" a="1"/>
  <c r="D227" i="11" s="1"/>
  <c r="F227" i="11" s="1"/>
  <c r="D249" i="11" a="1"/>
  <c r="D249" i="11" s="1"/>
  <c r="F249" i="11" s="1"/>
  <c r="D270" i="11" a="1"/>
  <c r="D270" i="11" s="1"/>
  <c r="G270" i="11" s="1"/>
  <c r="D291" i="11" a="1"/>
  <c r="D291" i="11" s="1"/>
  <c r="D313" i="11" a="1"/>
  <c r="D313" i="11" s="1"/>
  <c r="G313" i="11" s="1"/>
  <c r="D334" i="11" a="1"/>
  <c r="D334" i="11" s="1"/>
  <c r="D355" i="11" a="1"/>
  <c r="D355" i="11" s="1"/>
  <c r="E355" i="11" s="1"/>
  <c r="D377" i="11" a="1"/>
  <c r="D377" i="11" s="1"/>
  <c r="D398" i="11" a="1"/>
  <c r="D398" i="11" s="1"/>
  <c r="D419" i="11" a="1"/>
  <c r="D419" i="11" s="1"/>
  <c r="D441" i="11" a="1"/>
  <c r="D441" i="11" s="1"/>
  <c r="E441" i="11" s="1"/>
  <c r="D462" i="11" a="1"/>
  <c r="D462" i="11" s="1"/>
  <c r="G462" i="11" s="1"/>
  <c r="D483" i="11" a="1"/>
  <c r="D483" i="11" s="1"/>
  <c r="D505" i="11" a="1"/>
  <c r="D505" i="11" s="1"/>
  <c r="E505" i="11" s="1"/>
  <c r="D526" i="11" a="1"/>
  <c r="D526" i="11" s="1"/>
  <c r="D547" i="11" a="1"/>
  <c r="D547" i="11" s="1"/>
  <c r="D569" i="11" a="1"/>
  <c r="D569" i="11" s="1"/>
  <c r="D590" i="11" a="1"/>
  <c r="D590" i="11" s="1"/>
  <c r="F590" i="11" s="1"/>
  <c r="D611" i="11" a="1"/>
  <c r="D611" i="11" s="1"/>
  <c r="D633" i="11" a="1"/>
  <c r="D633" i="11" s="1"/>
  <c r="D654" i="11" a="1"/>
  <c r="D654" i="11" s="1"/>
  <c r="F654" i="11" s="1"/>
  <c r="D675" i="11" a="1"/>
  <c r="D675" i="11" s="1"/>
  <c r="F675" i="11" s="1"/>
  <c r="D697" i="11" a="1"/>
  <c r="D697" i="11" s="1"/>
  <c r="D718" i="11" a="1"/>
  <c r="D718" i="11" s="1"/>
  <c r="G718" i="11" s="1"/>
  <c r="D739" i="11" a="1"/>
  <c r="D739" i="11" s="1"/>
  <c r="D761" i="11" a="1"/>
  <c r="D761" i="11" s="1"/>
  <c r="F761" i="11" s="1"/>
  <c r="D770" i="11" a="1"/>
  <c r="D770" i="11" s="1"/>
  <c r="E770" i="11" s="1"/>
  <c r="D778" i="11" a="1"/>
  <c r="D778" i="11" s="1"/>
  <c r="G778" i="11" s="1"/>
  <c r="D786" i="11" a="1"/>
  <c r="D786" i="11" s="1"/>
  <c r="G786" i="11" s="1"/>
  <c r="D794" i="11" a="1"/>
  <c r="D794" i="11" s="1"/>
  <c r="F794" i="11" s="1"/>
  <c r="D802" i="11" a="1"/>
  <c r="D802" i="11" s="1"/>
  <c r="D810" i="11" a="1"/>
  <c r="D810" i="11" s="1"/>
  <c r="D818" i="11" a="1"/>
  <c r="D818" i="11" s="1"/>
  <c r="D826" i="11" a="1"/>
  <c r="D826" i="11" s="1"/>
  <c r="F826" i="11" s="1"/>
  <c r="D834" i="11" a="1"/>
  <c r="D834" i="11" s="1"/>
  <c r="D842" i="11" a="1"/>
  <c r="D842" i="11" s="1"/>
  <c r="D850" i="11" a="1"/>
  <c r="D850" i="11" s="1"/>
  <c r="D858" i="11" a="1"/>
  <c r="D858" i="11" s="1"/>
  <c r="F858" i="11" s="1"/>
  <c r="D866" i="11" a="1"/>
  <c r="D866" i="11" s="1"/>
  <c r="D874" i="11" a="1"/>
  <c r="D874" i="11" s="1"/>
  <c r="F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F906" i="11" s="1"/>
  <c r="D914" i="11" a="1"/>
  <c r="D914" i="11" s="1"/>
  <c r="D922" i="11" a="1"/>
  <c r="D922" i="11" s="1"/>
  <c r="F922" i="11" s="1"/>
  <c r="D930" i="11" a="1"/>
  <c r="D930" i="11" s="1"/>
  <c r="F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E962" i="11" s="1"/>
  <c r="D970" i="11" a="1"/>
  <c r="D970" i="11" s="1"/>
  <c r="D978" i="11" a="1"/>
  <c r="D978" i="11" s="1"/>
  <c r="E978" i="11" s="1"/>
  <c r="D986" i="11" a="1"/>
  <c r="D986" i="11" s="1"/>
  <c r="F986" i="11" s="1"/>
  <c r="D994" i="11" a="1"/>
  <c r="D994" i="11" s="1"/>
  <c r="F994" i="11" s="1"/>
  <c r="D190" i="11" a="1"/>
  <c r="D190" i="11" s="1"/>
  <c r="D211" i="11" a="1"/>
  <c r="D211" i="11" s="1"/>
  <c r="E211" i="11" s="1"/>
  <c r="D233" i="11" a="1"/>
  <c r="D233" i="11" s="1"/>
  <c r="G233" i="11" s="1"/>
  <c r="D254" i="11" a="1"/>
  <c r="D254" i="11" s="1"/>
  <c r="E254" i="11" s="1"/>
  <c r="D275" i="11" a="1"/>
  <c r="D275" i="11" s="1"/>
  <c r="E275" i="11" s="1"/>
  <c r="D297" i="11" a="1"/>
  <c r="D297" i="11" s="1"/>
  <c r="E297" i="11" s="1"/>
  <c r="D318" i="11" a="1"/>
  <c r="D318" i="11" s="1"/>
  <c r="D339" i="11" a="1"/>
  <c r="D339" i="11" s="1"/>
  <c r="F339" i="11" s="1"/>
  <c r="D361" i="11" a="1"/>
  <c r="D361" i="11" s="1"/>
  <c r="D382" i="11" a="1"/>
  <c r="D382" i="11" s="1"/>
  <c r="D403" i="11" a="1"/>
  <c r="D403" i="11" s="1"/>
  <c r="D425" i="11" a="1"/>
  <c r="D425" i="11" s="1"/>
  <c r="E425" i="11" s="1"/>
  <c r="D446" i="11" a="1"/>
  <c r="D446" i="11" s="1"/>
  <c r="D467" i="11" a="1"/>
  <c r="D467" i="11" s="1"/>
  <c r="D489" i="11" a="1"/>
  <c r="D489" i="11" s="1"/>
  <c r="E489" i="11" s="1"/>
  <c r="D510" i="11" a="1"/>
  <c r="D510" i="11" s="1"/>
  <c r="F510" i="11" s="1"/>
  <c r="D531" i="11" a="1"/>
  <c r="D531" i="11" s="1"/>
  <c r="D553" i="11" a="1"/>
  <c r="D553" i="11" s="1"/>
  <c r="D574" i="11" a="1"/>
  <c r="D574" i="11" s="1"/>
  <c r="D595" i="11" a="1"/>
  <c r="D595" i="11" s="1"/>
  <c r="E595" i="11" s="1"/>
  <c r="D617" i="11" a="1"/>
  <c r="D617" i="11" s="1"/>
  <c r="D638" i="11" a="1"/>
  <c r="D638" i="11" s="1"/>
  <c r="E638" i="11" s="1"/>
  <c r="D659" i="11" a="1"/>
  <c r="D659" i="11" s="1"/>
  <c r="G659" i="11" s="1"/>
  <c r="D681" i="11" a="1"/>
  <c r="D681" i="11" s="1"/>
  <c r="F681" i="11" s="1"/>
  <c r="D702" i="11" a="1"/>
  <c r="D702" i="11" s="1"/>
  <c r="D723" i="11" a="1"/>
  <c r="D723" i="11" s="1"/>
  <c r="F723" i="11" s="1"/>
  <c r="D745" i="11" a="1"/>
  <c r="D745" i="11" s="1"/>
  <c r="G745" i="11" s="1"/>
  <c r="D764" i="11" a="1"/>
  <c r="D764" i="11" s="1"/>
  <c r="E764" i="11" s="1"/>
  <c r="D772" i="11" a="1"/>
  <c r="D772" i="11" s="1"/>
  <c r="D780" i="11" a="1"/>
  <c r="D780" i="11" s="1"/>
  <c r="F780" i="11" s="1"/>
  <c r="D788" i="11" a="1"/>
  <c r="D788" i="11" s="1"/>
  <c r="D796" i="11" a="1"/>
  <c r="D796" i="11" s="1"/>
  <c r="E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E828" i="11" s="1"/>
  <c r="D836" i="11" a="1"/>
  <c r="D836" i="11" s="1"/>
  <c r="E836" i="11" s="1"/>
  <c r="D844" i="11" a="1"/>
  <c r="D844" i="11" s="1"/>
  <c r="D852" i="11" a="1"/>
  <c r="D852" i="11" s="1"/>
  <c r="D860" i="11" a="1"/>
  <c r="D860" i="11" s="1"/>
  <c r="F860" i="11" s="1"/>
  <c r="D868" i="11" a="1"/>
  <c r="D868" i="11" s="1"/>
  <c r="D876" i="11" a="1"/>
  <c r="D876" i="11" s="1"/>
  <c r="D884" i="11" a="1"/>
  <c r="D884" i="11" s="1"/>
  <c r="D892" i="11" a="1"/>
  <c r="D892" i="11" s="1"/>
  <c r="E892" i="11" s="1"/>
  <c r="D900" i="11" a="1"/>
  <c r="D900" i="11" s="1"/>
  <c r="D908" i="11" a="1"/>
  <c r="D908" i="11" s="1"/>
  <c r="F908" i="11" s="1"/>
  <c r="D916" i="11" a="1"/>
  <c r="D916" i="11" s="1"/>
  <c r="E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E956" i="11" s="1"/>
  <c r="D964" i="11" a="1"/>
  <c r="D964" i="11" s="1"/>
  <c r="D972" i="11" a="1"/>
  <c r="D972" i="11" s="1"/>
  <c r="E972" i="11" s="1"/>
  <c r="D980" i="11" a="1"/>
  <c r="D980" i="11" s="1"/>
  <c r="E980" i="11" s="1"/>
  <c r="D988" i="11" a="1"/>
  <c r="D988" i="11" s="1"/>
  <c r="E988" i="11" s="1"/>
  <c r="D273" i="11" a="1"/>
  <c r="D273" i="11" s="1"/>
  <c r="G273" i="11" s="1"/>
  <c r="D443" i="11" a="1"/>
  <c r="D443" i="11" s="1"/>
  <c r="G443" i="11" s="1"/>
  <c r="D614" i="11" a="1"/>
  <c r="D614" i="11" s="1"/>
  <c r="E614" i="11" s="1"/>
  <c r="D771" i="11" a="1"/>
  <c r="D771" i="11" s="1"/>
  <c r="E771" i="11" s="1"/>
  <c r="D835" i="11" a="1"/>
  <c r="D835" i="11" s="1"/>
  <c r="E835" i="11" s="1"/>
  <c r="D899" i="11" a="1"/>
  <c r="D899" i="11" s="1"/>
  <c r="F899" i="11" s="1"/>
  <c r="D963" i="11" a="1"/>
  <c r="D963" i="11" s="1"/>
  <c r="D294" i="11" a="1"/>
  <c r="D294" i="11" s="1"/>
  <c r="F294" i="11" s="1"/>
  <c r="D465" i="11" a="1"/>
  <c r="D465" i="11" s="1"/>
  <c r="G465" i="11" s="1"/>
  <c r="D635" i="11" a="1"/>
  <c r="D635" i="11" s="1"/>
  <c r="F635" i="11" s="1"/>
  <c r="D779" i="11" a="1"/>
  <c r="D779" i="11" s="1"/>
  <c r="G779" i="11" s="1"/>
  <c r="D843" i="11" a="1"/>
  <c r="D843" i="11" s="1"/>
  <c r="D907" i="11" a="1"/>
  <c r="D907" i="11" s="1"/>
  <c r="F907" i="11" s="1"/>
  <c r="D971" i="11" a="1"/>
  <c r="D971" i="11" s="1"/>
  <c r="F971" i="11" s="1"/>
  <c r="D315" i="11" a="1"/>
  <c r="D315" i="11" s="1"/>
  <c r="D486" i="11" a="1"/>
  <c r="D486" i="11" s="1"/>
  <c r="F486" i="11" s="1"/>
  <c r="D657" i="11" a="1"/>
  <c r="D657" i="11" s="1"/>
  <c r="E657" i="11" s="1"/>
  <c r="D787" i="11" a="1"/>
  <c r="D787" i="11" s="1"/>
  <c r="E787" i="11" s="1"/>
  <c r="D851" i="11" a="1"/>
  <c r="D851" i="11" s="1"/>
  <c r="E851" i="11" s="1"/>
  <c r="D915" i="11" a="1"/>
  <c r="D915" i="11" s="1"/>
  <c r="F915" i="11" s="1"/>
  <c r="D979" i="11" a="1"/>
  <c r="D979" i="11" s="1"/>
  <c r="D337" i="11" a="1"/>
  <c r="D337" i="11" s="1"/>
  <c r="F337" i="11" s="1"/>
  <c r="D507" i="11" a="1"/>
  <c r="D507" i="11" s="1"/>
  <c r="D678" i="11" a="1"/>
  <c r="D678" i="11" s="1"/>
  <c r="D795" i="11" a="1"/>
  <c r="D795" i="11" s="1"/>
  <c r="F795" i="11" s="1"/>
  <c r="D859" i="11" a="1"/>
  <c r="D859" i="11" s="1"/>
  <c r="F859" i="11" s="1"/>
  <c r="D923" i="11" a="1"/>
  <c r="D923" i="11" s="1"/>
  <c r="D987" i="11" a="1"/>
  <c r="D987" i="11" s="1"/>
  <c r="G987" i="11" s="1"/>
  <c r="D187" i="11" a="1"/>
  <c r="D187" i="11" s="1"/>
  <c r="D358" i="11" a="1"/>
  <c r="D358" i="11" s="1"/>
  <c r="F358" i="11" s="1"/>
  <c r="D529" i="11" a="1"/>
  <c r="D529" i="11" s="1"/>
  <c r="G529" i="11" s="1"/>
  <c r="D699" i="11" a="1"/>
  <c r="D699" i="11" s="1"/>
  <c r="D803" i="11" a="1"/>
  <c r="D803" i="11" s="1"/>
  <c r="D867" i="11" a="1"/>
  <c r="D867" i="11" s="1"/>
  <c r="G867" i="11" s="1"/>
  <c r="D931" i="11" a="1"/>
  <c r="D931" i="11" s="1"/>
  <c r="D995" i="11" a="1"/>
  <c r="D995" i="11" s="1"/>
  <c r="D209" i="11" a="1"/>
  <c r="D209" i="11" s="1"/>
  <c r="F209" i="11" s="1"/>
  <c r="D379" i="11" a="1"/>
  <c r="D379" i="11" s="1"/>
  <c r="F379" i="11" s="1"/>
  <c r="D550" i="11" a="1"/>
  <c r="D550" i="11" s="1"/>
  <c r="G550" i="11" s="1"/>
  <c r="D721" i="11" a="1"/>
  <c r="D721" i="11" s="1"/>
  <c r="E721" i="11" s="1"/>
  <c r="D811" i="11" a="1"/>
  <c r="D811" i="11" s="1"/>
  <c r="E811" i="11" s="1"/>
  <c r="D875" i="11" a="1"/>
  <c r="D875" i="11" s="1"/>
  <c r="E875" i="11" s="1"/>
  <c r="D939" i="11" a="1"/>
  <c r="D939" i="11" s="1"/>
  <c r="F939" i="11" s="1"/>
  <c r="D251" i="11" a="1"/>
  <c r="D251" i="11" s="1"/>
  <c r="D422" i="11" a="1"/>
  <c r="D422" i="11" s="1"/>
  <c r="D593" i="11" a="1"/>
  <c r="D593" i="11" s="1"/>
  <c r="E593" i="11" s="1"/>
  <c r="D763" i="11" a="1"/>
  <c r="D763" i="11" s="1"/>
  <c r="D827" i="11" a="1"/>
  <c r="D827" i="11" s="1"/>
  <c r="F827" i="11" s="1"/>
  <c r="D891" i="11" a="1"/>
  <c r="D891" i="11" s="1"/>
  <c r="E891" i="11" s="1"/>
  <c r="D955" i="11" a="1"/>
  <c r="D955" i="11" s="1"/>
  <c r="D230" i="11" a="1"/>
  <c r="D230" i="11" s="1"/>
  <c r="D401" i="11" a="1"/>
  <c r="D401" i="11" s="1"/>
  <c r="E401" i="11" s="1"/>
  <c r="D571" i="11" a="1"/>
  <c r="D571" i="11" s="1"/>
  <c r="D742" i="11" a="1"/>
  <c r="D742" i="11" s="1"/>
  <c r="F742" i="11" s="1"/>
  <c r="D819" i="11" a="1"/>
  <c r="D819" i="11" s="1"/>
  <c r="F819" i="11" s="1"/>
  <c r="D883" i="11" a="1"/>
  <c r="D883" i="11" s="1"/>
  <c r="G883" i="11" s="1"/>
  <c r="D947" i="11" a="1"/>
  <c r="D947" i="11" s="1"/>
  <c r="AA4" i="16"/>
  <c r="AB3" i="16" a="1"/>
  <c r="AB3" i="16" l="1"/>
  <c r="Q2" i="16"/>
  <c r="E276" i="11"/>
  <c r="E180" i="11"/>
  <c r="G543" i="11"/>
  <c r="F372" i="11"/>
  <c r="E205" i="11"/>
  <c r="G244" i="11"/>
  <c r="F205" i="11"/>
  <c r="E212" i="11"/>
  <c r="G493" i="11"/>
  <c r="G727" i="11"/>
  <c r="E404" i="11"/>
  <c r="E365" i="11"/>
  <c r="G607" i="11"/>
  <c r="F180" i="11"/>
  <c r="E500" i="11"/>
  <c r="G180" i="11"/>
  <c r="F607" i="11"/>
  <c r="F287" i="11"/>
  <c r="E184" i="11"/>
  <c r="F564" i="11"/>
  <c r="E397" i="11"/>
  <c r="E671" i="11"/>
  <c r="F248" i="11"/>
  <c r="F628" i="11"/>
  <c r="F397" i="11"/>
  <c r="G461" i="11"/>
  <c r="G500" i="11"/>
  <c r="F671" i="11"/>
  <c r="F312" i="11"/>
  <c r="F244" i="11"/>
  <c r="E461" i="11"/>
  <c r="G564" i="11"/>
  <c r="F653" i="11"/>
  <c r="G628" i="11"/>
  <c r="G756" i="11"/>
  <c r="E308" i="11"/>
  <c r="E717" i="11"/>
  <c r="G620" i="11"/>
  <c r="F428" i="11"/>
  <c r="F492" i="11"/>
  <c r="E709" i="11"/>
  <c r="E428" i="11"/>
  <c r="E517" i="11"/>
  <c r="G407" i="11"/>
  <c r="F261" i="11"/>
  <c r="G492" i="11"/>
  <c r="E364" i="11"/>
  <c r="G732" i="11"/>
  <c r="G404" i="11"/>
  <c r="E479" i="11"/>
  <c r="F589" i="11"/>
  <c r="G436" i="11"/>
  <c r="G184" i="11"/>
  <c r="G287" i="11"/>
  <c r="F756" i="11"/>
  <c r="F479" i="11"/>
  <c r="F436" i="11"/>
  <c r="F333" i="11"/>
  <c r="E653" i="11"/>
  <c r="G525" i="11"/>
  <c r="G308" i="11"/>
  <c r="G397" i="11"/>
  <c r="F692" i="11"/>
  <c r="E415" i="11"/>
  <c r="F269" i="11"/>
  <c r="E525" i="11"/>
  <c r="G405" i="11"/>
  <c r="E679" i="11"/>
  <c r="E508" i="11"/>
  <c r="G348" i="11"/>
  <c r="E181" i="11"/>
  <c r="G373" i="11"/>
  <c r="F181" i="11"/>
  <c r="G412" i="11"/>
  <c r="E348" i="11"/>
  <c r="G416" i="11"/>
  <c r="F245" i="11"/>
  <c r="F412" i="11"/>
  <c r="E448" i="11"/>
  <c r="G316" i="11"/>
  <c r="G576" i="11"/>
  <c r="F444" i="11"/>
  <c r="F532" i="11"/>
  <c r="E749" i="11"/>
  <c r="G237" i="11"/>
  <c r="E511" i="11"/>
  <c r="E255" i="11"/>
  <c r="E776" i="11"/>
  <c r="F229" i="11"/>
  <c r="G716" i="11"/>
  <c r="E208" i="11"/>
  <c r="G728" i="11"/>
  <c r="E468" i="11"/>
  <c r="F212" i="11"/>
  <c r="E639" i="11"/>
  <c r="G276" i="11"/>
  <c r="G212" i="11"/>
  <c r="E690" i="11"/>
  <c r="G639" i="11"/>
  <c r="E532" i="11"/>
  <c r="G301" i="11"/>
  <c r="G429" i="11"/>
  <c r="E596" i="11"/>
  <c r="F365" i="11"/>
  <c r="G533" i="11"/>
  <c r="F314" i="11"/>
  <c r="E252" i="11"/>
  <c r="E295" i="11"/>
  <c r="E506" i="11"/>
  <c r="F725" i="11"/>
  <c r="G661" i="11"/>
  <c r="G295" i="11"/>
  <c r="E256" i="11"/>
  <c r="G186" i="11"/>
  <c r="G570" i="11"/>
  <c r="E576" i="11"/>
  <c r="E444" i="11"/>
  <c r="G508" i="11"/>
  <c r="G320" i="11"/>
  <c r="F704" i="11"/>
  <c r="E640" i="11"/>
  <c r="G380" i="11"/>
  <c r="G704" i="11"/>
  <c r="F186" i="11"/>
  <c r="G204" i="11"/>
  <c r="E656" i="11"/>
  <c r="F677" i="11"/>
  <c r="F268" i="11"/>
  <c r="E396" i="11"/>
  <c r="G183" i="11"/>
  <c r="G419" i="11"/>
  <c r="G229" i="11"/>
  <c r="F886" i="11"/>
  <c r="E328" i="11"/>
  <c r="F293" i="11"/>
  <c r="G421" i="11"/>
  <c r="G368" i="11"/>
  <c r="E204" i="11"/>
  <c r="E400" i="11"/>
  <c r="F905" i="11"/>
  <c r="F332" i="11"/>
  <c r="G332" i="11"/>
  <c r="G652" i="11"/>
  <c r="F716" i="11"/>
  <c r="F204" i="11"/>
  <c r="E652" i="11"/>
  <c r="E229" i="11"/>
  <c r="G549" i="11"/>
  <c r="E311" i="11"/>
  <c r="F394" i="11"/>
  <c r="G695" i="11"/>
  <c r="G567" i="11"/>
  <c r="E503" i="11"/>
  <c r="E272" i="11"/>
  <c r="F396" i="11"/>
  <c r="F460" i="11"/>
  <c r="F588" i="11"/>
  <c r="G266" i="11"/>
  <c r="G396" i="11"/>
  <c r="G588" i="11"/>
  <c r="F631" i="11"/>
  <c r="G250" i="11"/>
  <c r="F449" i="11"/>
  <c r="E405" i="11"/>
  <c r="G213" i="11"/>
  <c r="G314" i="11"/>
  <c r="G636" i="11"/>
  <c r="F256" i="11"/>
  <c r="E570" i="11"/>
  <c r="G506" i="11"/>
  <c r="G679" i="11"/>
  <c r="G448" i="11"/>
  <c r="G447" i="11"/>
  <c r="F634" i="11"/>
  <c r="F570" i="11"/>
  <c r="G713" i="11"/>
  <c r="F775" i="11"/>
  <c r="F320" i="11"/>
  <c r="F250" i="11"/>
  <c r="F572" i="11"/>
  <c r="E533" i="11"/>
  <c r="G572" i="11"/>
  <c r="G597" i="11"/>
  <c r="G743" i="11"/>
  <c r="G256" i="11"/>
  <c r="F192" i="11"/>
  <c r="E314" i="11"/>
  <c r="G364" i="11"/>
  <c r="G236" i="11"/>
  <c r="E407" i="11"/>
  <c r="E300" i="11"/>
  <c r="G909" i="11"/>
  <c r="F299" i="11"/>
  <c r="E453" i="11"/>
  <c r="G453" i="11"/>
  <c r="G645" i="11"/>
  <c r="G456" i="11"/>
  <c r="G748" i="11"/>
  <c r="F663" i="11"/>
  <c r="E535" i="11"/>
  <c r="F300" i="11"/>
  <c r="E620" i="11"/>
  <c r="E645" i="11"/>
  <c r="G245" i="11"/>
  <c r="G325" i="11"/>
  <c r="G240" i="11"/>
  <c r="F199" i="11"/>
  <c r="E779" i="11"/>
  <c r="F711" i="11"/>
  <c r="E672" i="11"/>
  <c r="E556" i="11"/>
  <c r="F620" i="11"/>
  <c r="E325" i="11"/>
  <c r="F453" i="11"/>
  <c r="F645" i="11"/>
  <c r="F757" i="11"/>
  <c r="E236" i="11"/>
  <c r="F556" i="11"/>
  <c r="F748" i="11"/>
  <c r="E240" i="11"/>
  <c r="F197" i="11"/>
  <c r="G261" i="11"/>
  <c r="E176" i="11"/>
  <c r="G389" i="11"/>
  <c r="G517" i="11"/>
  <c r="E462" i="11"/>
  <c r="F304" i="11"/>
  <c r="F769" i="11"/>
  <c r="G769" i="11"/>
  <c r="E521" i="11"/>
  <c r="G831" i="11"/>
  <c r="F831" i="11"/>
  <c r="F990" i="11"/>
  <c r="E990" i="11"/>
  <c r="G345" i="11"/>
  <c r="F345" i="11"/>
  <c r="E345" i="11"/>
  <c r="E964" i="11"/>
  <c r="G964" i="11"/>
  <c r="E609" i="11"/>
  <c r="F609" i="11"/>
  <c r="E864" i="11"/>
  <c r="F864" i="11"/>
  <c r="F350" i="11"/>
  <c r="G350" i="11"/>
  <c r="E350" i="11"/>
  <c r="F767" i="11"/>
  <c r="G767" i="11"/>
  <c r="G926" i="11"/>
  <c r="F427" i="11"/>
  <c r="E427" i="11"/>
  <c r="G427" i="11"/>
  <c r="G434" i="11"/>
  <c r="F434" i="11"/>
  <c r="E434" i="11"/>
  <c r="E178" i="11"/>
  <c r="G178" i="11"/>
  <c r="G798" i="11"/>
  <c r="F798" i="11"/>
  <c r="E798" i="11"/>
  <c r="E772" i="11"/>
  <c r="F772" i="11"/>
  <c r="G697" i="11"/>
  <c r="F697" i="11"/>
  <c r="F897" i="11"/>
  <c r="E267" i="11"/>
  <c r="F267" i="11"/>
  <c r="G691" i="11"/>
  <c r="E691" i="11"/>
  <c r="F895" i="11"/>
  <c r="G895" i="11"/>
  <c r="E895" i="11"/>
  <c r="G686" i="11"/>
  <c r="F957" i="11"/>
  <c r="G957" i="11"/>
  <c r="E957" i="11"/>
  <c r="F598" i="11"/>
  <c r="G598" i="11"/>
  <c r="E598" i="11"/>
  <c r="F754" i="11"/>
  <c r="E754" i="11"/>
  <c r="G754" i="11"/>
  <c r="F562" i="11"/>
  <c r="E562" i="11"/>
  <c r="G562" i="11"/>
  <c r="E306" i="11"/>
  <c r="G306" i="11"/>
  <c r="E760" i="11"/>
  <c r="G760" i="11"/>
  <c r="G829" i="11"/>
  <c r="G864" i="11"/>
  <c r="F262" i="11"/>
  <c r="F926" i="11"/>
  <c r="F306" i="11"/>
  <c r="F355" i="11"/>
  <c r="G498" i="11"/>
  <c r="E433" i="11"/>
  <c r="G862" i="11"/>
  <c r="G990" i="11"/>
  <c r="G690" i="11"/>
  <c r="G609" i="11"/>
  <c r="E697" i="11"/>
  <c r="F779" i="11"/>
  <c r="E617" i="11"/>
  <c r="G617" i="11"/>
  <c r="F866" i="11"/>
  <c r="E866" i="11"/>
  <c r="E526" i="11"/>
  <c r="F526" i="11"/>
  <c r="F833" i="11"/>
  <c r="G833" i="11"/>
  <c r="E833" i="11"/>
  <c r="G992" i="11"/>
  <c r="E992" i="11"/>
  <c r="E179" i="11"/>
  <c r="F179" i="11"/>
  <c r="G179" i="11"/>
  <c r="E603" i="11"/>
  <c r="G603" i="11"/>
  <c r="F174" i="11"/>
  <c r="G174" i="11"/>
  <c r="F765" i="11"/>
  <c r="E765" i="11"/>
  <c r="F498" i="11"/>
  <c r="G893" i="11"/>
  <c r="G504" i="11"/>
  <c r="E831" i="11"/>
  <c r="F691" i="11"/>
  <c r="F964" i="11"/>
  <c r="E686" i="11"/>
  <c r="E504" i="11"/>
  <c r="F829" i="11"/>
  <c r="F686" i="11"/>
  <c r="F893" i="11"/>
  <c r="G262" i="11"/>
  <c r="G771" i="11"/>
  <c r="F862" i="11"/>
  <c r="F178" i="11"/>
  <c r="F568" i="11"/>
  <c r="G568" i="11"/>
  <c r="E568" i="11"/>
  <c r="E900" i="11"/>
  <c r="G900" i="11"/>
  <c r="F446" i="11"/>
  <c r="F802" i="11"/>
  <c r="E802" i="11"/>
  <c r="E438" i="11"/>
  <c r="F438" i="11"/>
  <c r="G800" i="11"/>
  <c r="F800" i="11"/>
  <c r="E800" i="11"/>
  <c r="E959" i="11"/>
  <c r="F959" i="11"/>
  <c r="F433" i="11"/>
  <c r="E515" i="11"/>
  <c r="G515" i="11"/>
  <c r="F257" i="11"/>
  <c r="G257" i="11"/>
  <c r="E257" i="11"/>
  <c r="E626" i="11"/>
  <c r="F626" i="11"/>
  <c r="G626" i="11"/>
  <c r="E370" i="11"/>
  <c r="F370" i="11"/>
  <c r="F242" i="11"/>
  <c r="E242" i="11"/>
  <c r="F696" i="11"/>
  <c r="E696" i="11"/>
  <c r="G696" i="11"/>
  <c r="F632" i="11"/>
  <c r="E632" i="11"/>
  <c r="E440" i="11"/>
  <c r="G440" i="11"/>
  <c r="E376" i="11"/>
  <c r="F376" i="11"/>
  <c r="F735" i="11"/>
  <c r="E735" i="11"/>
  <c r="G765" i="11"/>
  <c r="E262" i="11"/>
  <c r="E926" i="11"/>
  <c r="E767" i="11"/>
  <c r="F184" i="11"/>
  <c r="G351" i="11"/>
  <c r="F511" i="11"/>
  <c r="F468" i="11"/>
  <c r="E301" i="11"/>
  <c r="G589" i="11"/>
  <c r="G596" i="11"/>
  <c r="F441" i="11"/>
  <c r="F223" i="11"/>
  <c r="E351" i="11"/>
  <c r="E543" i="11"/>
  <c r="G468" i="11"/>
  <c r="G333" i="11"/>
  <c r="G248" i="11"/>
  <c r="E223" i="11"/>
  <c r="G269" i="11"/>
  <c r="G372" i="11"/>
  <c r="G717" i="11"/>
  <c r="G935" i="11"/>
  <c r="G312" i="11"/>
  <c r="G415" i="11"/>
  <c r="F216" i="11"/>
  <c r="E628" i="11"/>
  <c r="E589" i="11"/>
  <c r="G692" i="11"/>
  <c r="G673" i="11"/>
  <c r="E502" i="11"/>
  <c r="E952" i="11"/>
  <c r="F921" i="11"/>
  <c r="E890" i="11"/>
  <c r="G336" i="11"/>
  <c r="E497" i="11"/>
  <c r="G528" i="11"/>
  <c r="F747" i="11"/>
  <c r="G747" i="11"/>
  <c r="E432" i="11"/>
  <c r="F343" i="11"/>
  <c r="E343" i="11"/>
  <c r="G304" i="11"/>
  <c r="G432" i="11"/>
  <c r="G279" i="11"/>
  <c r="F629" i="11"/>
  <c r="E501" i="11"/>
  <c r="E604" i="11"/>
  <c r="G604" i="11"/>
  <c r="E540" i="11"/>
  <c r="E220" i="11"/>
  <c r="F220" i="11"/>
  <c r="E274" i="11"/>
  <c r="G274" i="11"/>
  <c r="G383" i="11"/>
  <c r="E383" i="11"/>
  <c r="F685" i="11"/>
  <c r="G685" i="11"/>
  <c r="E724" i="11"/>
  <c r="F724" i="11"/>
  <c r="G471" i="11"/>
  <c r="G193" i="11"/>
  <c r="F804" i="11"/>
  <c r="F342" i="11"/>
  <c r="E342" i="11"/>
  <c r="E703" i="11"/>
  <c r="E660" i="11"/>
  <c r="F660" i="11"/>
  <c r="G197" i="11"/>
  <c r="G621" i="11"/>
  <c r="G581" i="11"/>
  <c r="G638" i="11"/>
  <c r="G215" i="11"/>
  <c r="G837" i="11"/>
  <c r="G663" i="11"/>
  <c r="G176" i="11"/>
  <c r="G866" i="11"/>
  <c r="G715" i="11"/>
  <c r="G553" i="11"/>
  <c r="G201" i="11"/>
  <c r="E446" i="11"/>
  <c r="F718" i="11"/>
  <c r="F263" i="11"/>
  <c r="E216" i="11"/>
  <c r="F368" i="11"/>
  <c r="E496" i="11"/>
  <c r="E273" i="11"/>
  <c r="E451" i="11"/>
  <c r="E930" i="11"/>
  <c r="E389" i="11"/>
  <c r="F581" i="11"/>
  <c r="F968" i="11"/>
  <c r="G968" i="11"/>
  <c r="G774" i="11"/>
  <c r="G858" i="11"/>
  <c r="E710" i="11"/>
  <c r="E727" i="11"/>
  <c r="E368" i="11"/>
  <c r="G496" i="11"/>
  <c r="G291" i="11"/>
  <c r="G343" i="11"/>
  <c r="E279" i="11"/>
  <c r="E984" i="11"/>
  <c r="F211" i="11"/>
  <c r="E790" i="11"/>
  <c r="G790" i="11"/>
  <c r="G542" i="11"/>
  <c r="E278" i="11"/>
  <c r="F512" i="11"/>
  <c r="G512" i="11"/>
  <c r="F423" i="11"/>
  <c r="G423" i="11"/>
  <c r="F469" i="11"/>
  <c r="G469" i="11"/>
  <c r="E341" i="11"/>
  <c r="F341" i="11"/>
  <c r="G341" i="11"/>
  <c r="E277" i="11"/>
  <c r="F277" i="11"/>
  <c r="F213" i="11"/>
  <c r="E316" i="11"/>
  <c r="E682" i="11"/>
  <c r="E195" i="11"/>
  <c r="E378" i="11"/>
  <c r="F378" i="11"/>
  <c r="F231" i="11"/>
  <c r="G378" i="11"/>
  <c r="G629" i="11"/>
  <c r="G709" i="11"/>
  <c r="G933" i="11"/>
  <c r="G231" i="11"/>
  <c r="G551" i="11"/>
  <c r="F215" i="11"/>
  <c r="E873" i="11"/>
  <c r="E471" i="11"/>
  <c r="E551" i="11"/>
  <c r="F325" i="11"/>
  <c r="F597" i="11"/>
  <c r="E947" i="11"/>
  <c r="F275" i="11"/>
  <c r="E599" i="11"/>
  <c r="G599" i="11"/>
  <c r="F535" i="11"/>
  <c r="E684" i="11"/>
  <c r="G684" i="11"/>
  <c r="E546" i="11"/>
  <c r="E850" i="11"/>
  <c r="G947" i="11"/>
  <c r="F787" i="11"/>
  <c r="F947" i="11"/>
  <c r="F771" i="11"/>
  <c r="F970" i="11"/>
  <c r="G970" i="11"/>
  <c r="G622" i="11"/>
  <c r="G723" i="11"/>
  <c r="F940" i="11"/>
  <c r="G374" i="11"/>
  <c r="G805" i="11"/>
  <c r="F810" i="11"/>
  <c r="E810" i="11"/>
  <c r="G557" i="11"/>
  <c r="G346" i="11"/>
  <c r="G474" i="11"/>
  <c r="G211" i="11"/>
  <c r="G342" i="11"/>
  <c r="G749" i="11"/>
  <c r="G710" i="11"/>
  <c r="G966" i="11"/>
  <c r="G631" i="11"/>
  <c r="G224" i="11"/>
  <c r="G408" i="11"/>
  <c r="G937" i="11"/>
  <c r="G627" i="11"/>
  <c r="G936" i="11"/>
  <c r="F812" i="11"/>
  <c r="E281" i="11"/>
  <c r="F286" i="11"/>
  <c r="E838" i="11"/>
  <c r="F319" i="11"/>
  <c r="F703" i="11"/>
  <c r="F871" i="11"/>
  <c r="F480" i="11"/>
  <c r="E536" i="11"/>
  <c r="F936" i="11"/>
  <c r="E622" i="11"/>
  <c r="F203" i="11"/>
  <c r="F474" i="11"/>
  <c r="E429" i="11"/>
  <c r="F501" i="11"/>
  <c r="F557" i="11"/>
  <c r="E629" i="11"/>
  <c r="E677" i="11"/>
  <c r="E633" i="11"/>
  <c r="G633" i="11"/>
  <c r="F809" i="11"/>
  <c r="G809" i="11"/>
  <c r="E809" i="11"/>
  <c r="E840" i="11"/>
  <c r="F840" i="11"/>
  <c r="F902" i="11"/>
  <c r="G902" i="11"/>
  <c r="F730" i="11"/>
  <c r="G730" i="11"/>
  <c r="F666" i="11"/>
  <c r="E666" i="11"/>
  <c r="E602" i="11"/>
  <c r="F602" i="11"/>
  <c r="E538" i="11"/>
  <c r="G538" i="11"/>
  <c r="E218" i="11"/>
  <c r="F218" i="11"/>
  <c r="E736" i="11"/>
  <c r="F736" i="11"/>
  <c r="G736" i="11"/>
  <c r="F608" i="11"/>
  <c r="E608" i="11"/>
  <c r="F544" i="11"/>
  <c r="E544" i="11"/>
  <c r="G544" i="11"/>
  <c r="E647" i="11"/>
  <c r="F647" i="11"/>
  <c r="F583" i="11"/>
  <c r="G583" i="11"/>
  <c r="E519" i="11"/>
  <c r="G519" i="11"/>
  <c r="F519" i="11"/>
  <c r="F391" i="11"/>
  <c r="G391" i="11"/>
  <c r="F327" i="11"/>
  <c r="E327" i="11"/>
  <c r="E757" i="11"/>
  <c r="G757" i="11"/>
  <c r="F693" i="11"/>
  <c r="E693" i="11"/>
  <c r="F565" i="11"/>
  <c r="E565" i="11"/>
  <c r="F437" i="11"/>
  <c r="E437" i="11"/>
  <c r="F309" i="11"/>
  <c r="E309" i="11"/>
  <c r="E732" i="11"/>
  <c r="F732" i="11"/>
  <c r="F668" i="11"/>
  <c r="E668" i="11"/>
  <c r="G668" i="11"/>
  <c r="F476" i="11"/>
  <c r="E476" i="11"/>
  <c r="E284" i="11"/>
  <c r="F284" i="11"/>
  <c r="F842" i="11"/>
  <c r="E842" i="11"/>
  <c r="G705" i="11"/>
  <c r="F776" i="11"/>
  <c r="F273" i="11"/>
  <c r="E291" i="11"/>
  <c r="E869" i="11"/>
  <c r="F664" i="11"/>
  <c r="E664" i="11"/>
  <c r="F600" i="11"/>
  <c r="G600" i="11"/>
  <c r="F344" i="11"/>
  <c r="E344" i="11"/>
  <c r="E237" i="11"/>
  <c r="F237" i="11"/>
  <c r="F340" i="11"/>
  <c r="E340" i="11"/>
  <c r="F363" i="11"/>
  <c r="G363" i="11"/>
  <c r="E363" i="11"/>
  <c r="G842" i="11"/>
  <c r="F755" i="11"/>
  <c r="E755" i="11"/>
  <c r="F439" i="11"/>
  <c r="G439" i="11"/>
  <c r="E439" i="11"/>
  <c r="E247" i="11"/>
  <c r="F247" i="11"/>
  <c r="F183" i="11"/>
  <c r="E183" i="11"/>
  <c r="F741" i="11"/>
  <c r="E741" i="11"/>
  <c r="F613" i="11"/>
  <c r="E613" i="11"/>
  <c r="F485" i="11"/>
  <c r="E485" i="11"/>
  <c r="F357" i="11"/>
  <c r="E357" i="11"/>
  <c r="E293" i="11"/>
  <c r="F524" i="11"/>
  <c r="E524" i="11"/>
  <c r="E382" i="11"/>
  <c r="F382" i="11"/>
  <c r="G358" i="11"/>
  <c r="G457" i="11"/>
  <c r="F462" i="11"/>
  <c r="F451" i="11"/>
  <c r="E989" i="11"/>
  <c r="E466" i="11"/>
  <c r="F466" i="11"/>
  <c r="G282" i="11"/>
  <c r="G402" i="11"/>
  <c r="G602" i="11"/>
  <c r="F774" i="11"/>
  <c r="F935" i="11"/>
  <c r="E715" i="11"/>
  <c r="E402" i="11"/>
  <c r="F291" i="11"/>
  <c r="E822" i="11"/>
  <c r="G464" i="11"/>
  <c r="E759" i="11"/>
  <c r="G759" i="11"/>
  <c r="F503" i="11"/>
  <c r="G503" i="11"/>
  <c r="F375" i="11"/>
  <c r="E375" i="11"/>
  <c r="G198" i="11"/>
  <c r="G410" i="11"/>
  <c r="G382" i="11"/>
  <c r="G981" i="11"/>
  <c r="G838" i="11"/>
  <c r="G807" i="11"/>
  <c r="G672" i="11"/>
  <c r="G272" i="11"/>
  <c r="G352" i="11"/>
  <c r="G536" i="11"/>
  <c r="G455" i="11"/>
  <c r="G575" i="11"/>
  <c r="G281" i="11"/>
  <c r="F457" i="11"/>
  <c r="F539" i="11"/>
  <c r="E358" i="11"/>
  <c r="E902" i="11"/>
  <c r="F255" i="11"/>
  <c r="F383" i="11"/>
  <c r="F807" i="11"/>
  <c r="E224" i="11"/>
  <c r="F280" i="11"/>
  <c r="E336" i="11"/>
  <c r="E408" i="11"/>
  <c r="E464" i="11"/>
  <c r="E937" i="11"/>
  <c r="E338" i="11"/>
  <c r="F410" i="11"/>
  <c r="F331" i="11"/>
  <c r="E315" i="11"/>
  <c r="F315" i="11"/>
  <c r="E553" i="11"/>
  <c r="F553" i="11"/>
  <c r="F778" i="11"/>
  <c r="E778" i="11"/>
  <c r="E545" i="11"/>
  <c r="F545" i="11"/>
  <c r="G545" i="11"/>
  <c r="F966" i="11"/>
  <c r="E966" i="11"/>
  <c r="F259" i="11"/>
  <c r="E259" i="11"/>
  <c r="E860" i="11"/>
  <c r="G860" i="11"/>
  <c r="G791" i="11"/>
  <c r="E791" i="11"/>
  <c r="G280" i="11"/>
  <c r="E374" i="11"/>
  <c r="F901" i="11"/>
  <c r="G901" i="11"/>
  <c r="F384" i="11"/>
  <c r="E384" i="11"/>
  <c r="G384" i="11"/>
  <c r="F487" i="11"/>
  <c r="G487" i="11"/>
  <c r="E636" i="11"/>
  <c r="F636" i="11"/>
  <c r="F188" i="11"/>
  <c r="E188" i="11"/>
  <c r="E876" i="11"/>
  <c r="G876" i="11"/>
  <c r="E968" i="11"/>
  <c r="G518" i="11"/>
  <c r="E518" i="11"/>
  <c r="G530" i="11"/>
  <c r="E530" i="11"/>
  <c r="G210" i="11"/>
  <c r="F965" i="11"/>
  <c r="E965" i="11"/>
  <c r="G773" i="11"/>
  <c r="E773" i="11"/>
  <c r="F442" i="11"/>
  <c r="E442" i="11"/>
  <c r="E615" i="11"/>
  <c r="F615" i="11"/>
  <c r="E700" i="11"/>
  <c r="F700" i="11"/>
  <c r="F380" i="11"/>
  <c r="E380" i="11"/>
  <c r="G218" i="11"/>
  <c r="G330" i="11"/>
  <c r="G442" i="11"/>
  <c r="G252" i="11"/>
  <c r="G532" i="11"/>
  <c r="G357" i="11"/>
  <c r="G437" i="11"/>
  <c r="G565" i="11"/>
  <c r="G286" i="11"/>
  <c r="G191" i="11"/>
  <c r="G725" i="11"/>
  <c r="G869" i="11"/>
  <c r="G703" i="11"/>
  <c r="G871" i="11"/>
  <c r="G192" i="11"/>
  <c r="G288" i="11"/>
  <c r="G472" i="11"/>
  <c r="G640" i="11"/>
  <c r="G940" i="11"/>
  <c r="G666" i="11"/>
  <c r="G906" i="11"/>
  <c r="G539" i="11"/>
  <c r="G375" i="11"/>
  <c r="F537" i="11"/>
  <c r="E182" i="11"/>
  <c r="E191" i="11"/>
  <c r="F606" i="11"/>
  <c r="E263" i="11"/>
  <c r="F311" i="11"/>
  <c r="F567" i="11"/>
  <c r="F695" i="11"/>
  <c r="E743" i="11"/>
  <c r="E991" i="11"/>
  <c r="E627" i="11"/>
  <c r="E391" i="11"/>
  <c r="F352" i="11"/>
  <c r="F416" i="11"/>
  <c r="F472" i="11"/>
  <c r="E728" i="11"/>
  <c r="E904" i="11"/>
  <c r="F369" i="11"/>
  <c r="F705" i="11"/>
  <c r="F274" i="11"/>
  <c r="F346" i="11"/>
  <c r="E970" i="11"/>
  <c r="F252" i="11"/>
  <c r="F540" i="11"/>
  <c r="F652" i="11"/>
  <c r="F301" i="11"/>
  <c r="E373" i="11"/>
  <c r="E421" i="11"/>
  <c r="F549" i="11"/>
  <c r="E621" i="11"/>
  <c r="E661" i="11"/>
  <c r="E789" i="11"/>
  <c r="E933" i="11"/>
  <c r="E750" i="11"/>
  <c r="G422" i="11"/>
  <c r="G812" i="11"/>
  <c r="G840" i="11"/>
  <c r="G337" i="11"/>
  <c r="E238" i="11"/>
  <c r="F534" i="11"/>
  <c r="F419" i="11"/>
  <c r="E288" i="11"/>
  <c r="E472" i="11"/>
  <c r="E369" i="11"/>
  <c r="F338" i="11"/>
  <c r="F538" i="11"/>
  <c r="E723" i="11"/>
  <c r="E906" i="11"/>
  <c r="F359" i="11"/>
  <c r="E359" i="11"/>
  <c r="G466" i="11"/>
  <c r="G203" i="11"/>
  <c r="G188" i="11"/>
  <c r="G268" i="11"/>
  <c r="G460" i="11"/>
  <c r="G540" i="11"/>
  <c r="G365" i="11"/>
  <c r="G294" i="11"/>
  <c r="G534" i="11"/>
  <c r="G199" i="11"/>
  <c r="G741" i="11"/>
  <c r="G958" i="11"/>
  <c r="G615" i="11"/>
  <c r="G711" i="11"/>
  <c r="G208" i="11"/>
  <c r="G400" i="11"/>
  <c r="G480" i="11"/>
  <c r="G664" i="11"/>
  <c r="G873" i="11"/>
  <c r="G700" i="11"/>
  <c r="G904" i="11"/>
  <c r="F633" i="11"/>
  <c r="F198" i="11"/>
  <c r="F830" i="11"/>
  <c r="E319" i="11"/>
  <c r="F447" i="11"/>
  <c r="E575" i="11"/>
  <c r="E455" i="11"/>
  <c r="E528" i="11"/>
  <c r="E193" i="11"/>
  <c r="F282" i="11"/>
  <c r="E423" i="11"/>
  <c r="E493" i="11"/>
  <c r="E805" i="11"/>
  <c r="F617" i="11"/>
  <c r="F582" i="11"/>
  <c r="E928" i="11"/>
  <c r="F992" i="11"/>
  <c r="F875" i="11"/>
  <c r="E961" i="11"/>
  <c r="E994" i="11"/>
  <c r="E803" i="11"/>
  <c r="F982" i="11"/>
  <c r="G438" i="11"/>
  <c r="F758" i="11"/>
  <c r="F836" i="11"/>
  <c r="F918" i="11"/>
  <c r="F961" i="11"/>
  <c r="F803" i="11"/>
  <c r="G854" i="11"/>
  <c r="G787" i="11"/>
  <c r="G267" i="11"/>
  <c r="G446" i="11"/>
  <c r="G930" i="11"/>
  <c r="G795" i="11"/>
  <c r="G984" i="11"/>
  <c r="G185" i="11"/>
  <c r="F928" i="11"/>
  <c r="G275" i="11"/>
  <c r="G742" i="11"/>
  <c r="G897" i="11"/>
  <c r="G803" i="11"/>
  <c r="G521" i="11"/>
  <c r="F521" i="11"/>
  <c r="F593" i="11"/>
  <c r="E795" i="11"/>
  <c r="E856" i="11"/>
  <c r="E769" i="11"/>
  <c r="E897" i="11"/>
  <c r="E920" i="11"/>
  <c r="G526" i="11"/>
  <c r="G918" i="11"/>
  <c r="G994" i="11"/>
  <c r="G772" i="11"/>
  <c r="G811" i="11"/>
  <c r="G593" i="11"/>
  <c r="F900" i="11"/>
  <c r="F790" i="11"/>
  <c r="F854" i="11"/>
  <c r="G982" i="11"/>
  <c r="G892" i="11"/>
  <c r="G802" i="11"/>
  <c r="G836" i="11"/>
  <c r="G891" i="11"/>
  <c r="G355" i="11"/>
  <c r="F665" i="11"/>
  <c r="E185" i="11"/>
  <c r="E792" i="11"/>
  <c r="E942" i="11"/>
  <c r="G942" i="11"/>
  <c r="E558" i="11"/>
  <c r="G558" i="11"/>
  <c r="F558" i="11"/>
  <c r="G781" i="11"/>
  <c r="E781" i="11"/>
  <c r="F258" i="11"/>
  <c r="E258" i="11"/>
  <c r="F200" i="11"/>
  <c r="E200" i="11"/>
  <c r="E623" i="11"/>
  <c r="F623" i="11"/>
  <c r="G623" i="11"/>
  <c r="E477" i="11"/>
  <c r="G477" i="11"/>
  <c r="F477" i="11"/>
  <c r="G584" i="11"/>
  <c r="E467" i="11"/>
  <c r="F467" i="11"/>
  <c r="G467" i="11"/>
  <c r="E969" i="11"/>
  <c r="G969" i="11"/>
  <c r="F630" i="11"/>
  <c r="G630" i="11"/>
  <c r="F944" i="11"/>
  <c r="G944" i="11"/>
  <c r="E944" i="11"/>
  <c r="F814" i="11"/>
  <c r="F450" i="11"/>
  <c r="E450" i="11"/>
  <c r="F303" i="11"/>
  <c r="E303" i="11"/>
  <c r="G303" i="11"/>
  <c r="E541" i="11"/>
  <c r="F541" i="11"/>
  <c r="G814" i="11"/>
  <c r="E206" i="11"/>
  <c r="G206" i="11"/>
  <c r="E459" i="11"/>
  <c r="F808" i="11"/>
  <c r="G808" i="11"/>
  <c r="E808" i="11"/>
  <c r="E967" i="11"/>
  <c r="G967" i="11"/>
  <c r="G258" i="11"/>
  <c r="G989" i="11"/>
  <c r="G200" i="11"/>
  <c r="G770" i="11"/>
  <c r="G859" i="11"/>
  <c r="G459" i="11"/>
  <c r="F475" i="11"/>
  <c r="E495" i="11"/>
  <c r="E751" i="11"/>
  <c r="F264" i="11"/>
  <c r="E392" i="11"/>
  <c r="F520" i="11"/>
  <c r="E201" i="11"/>
  <c r="E625" i="11"/>
  <c r="F729" i="11"/>
  <c r="F849" i="11"/>
  <c r="F733" i="11"/>
  <c r="F861" i="11"/>
  <c r="G324" i="11"/>
  <c r="G644" i="11"/>
  <c r="G991" i="11"/>
  <c r="G875" i="11"/>
  <c r="G475" i="11"/>
  <c r="G441" i="11"/>
  <c r="E718" i="11"/>
  <c r="F934" i="11"/>
  <c r="F495" i="11"/>
  <c r="F392" i="11"/>
  <c r="E377" i="11"/>
  <c r="F835" i="11"/>
  <c r="E932" i="11"/>
  <c r="F932" i="11"/>
  <c r="E804" i="11"/>
  <c r="G804" i="11"/>
  <c r="E531" i="11"/>
  <c r="F531" i="11"/>
  <c r="G361" i="11"/>
  <c r="F361" i="11"/>
  <c r="F962" i="11"/>
  <c r="G962" i="11"/>
  <c r="F834" i="11"/>
  <c r="G834" i="11"/>
  <c r="E834" i="11"/>
  <c r="F270" i="11"/>
  <c r="F929" i="11"/>
  <c r="G929" i="11"/>
  <c r="E929" i="11"/>
  <c r="E523" i="11"/>
  <c r="G523" i="11"/>
  <c r="G606" i="11"/>
  <c r="G265" i="11"/>
  <c r="E265" i="11"/>
  <c r="F265" i="11"/>
  <c r="G927" i="11"/>
  <c r="F927" i="11"/>
  <c r="E927" i="11"/>
  <c r="F799" i="11"/>
  <c r="E799" i="11"/>
  <c r="G799" i="11"/>
  <c r="F347" i="11"/>
  <c r="G347" i="11"/>
  <c r="E958" i="11"/>
  <c r="E830" i="11"/>
  <c r="G830" i="11"/>
  <c r="E601" i="11"/>
  <c r="E797" i="11"/>
  <c r="F797" i="11"/>
  <c r="G683" i="11"/>
  <c r="E683" i="11"/>
  <c r="F513" i="11"/>
  <c r="E513" i="11"/>
  <c r="E868" i="11"/>
  <c r="F868" i="11"/>
  <c r="E702" i="11"/>
  <c r="G702" i="11"/>
  <c r="F702" i="11"/>
  <c r="E190" i="11"/>
  <c r="F190" i="11"/>
  <c r="G190" i="11"/>
  <c r="F898" i="11"/>
  <c r="E898" i="11"/>
  <c r="F770" i="11"/>
  <c r="E611" i="11"/>
  <c r="F611" i="11"/>
  <c r="F993" i="11"/>
  <c r="G993" i="11"/>
  <c r="E993" i="11"/>
  <c r="F865" i="11"/>
  <c r="E865" i="11"/>
  <c r="F801" i="11"/>
  <c r="E801" i="11"/>
  <c r="E353" i="11"/>
  <c r="F353" i="11"/>
  <c r="G353" i="11"/>
  <c r="E960" i="11"/>
  <c r="G960" i="11"/>
  <c r="E832" i="11"/>
  <c r="F832" i="11"/>
  <c r="E768" i="11"/>
  <c r="F768" i="11"/>
  <c r="F435" i="11"/>
  <c r="G435" i="11"/>
  <c r="E435" i="11"/>
  <c r="F863" i="11"/>
  <c r="G863" i="11"/>
  <c r="E863" i="11"/>
  <c r="F689" i="11"/>
  <c r="G689" i="11"/>
  <c r="E177" i="11"/>
  <c r="G177" i="11"/>
  <c r="F894" i="11"/>
  <c r="G894" i="11"/>
  <c r="E766" i="11"/>
  <c r="F766" i="11"/>
  <c r="F430" i="11"/>
  <c r="E430" i="11"/>
  <c r="G259" i="11"/>
  <c r="G430" i="11"/>
  <c r="G925" i="11"/>
  <c r="G865" i="11"/>
  <c r="G810" i="11"/>
  <c r="G611" i="11"/>
  <c r="G531" i="11"/>
  <c r="G513" i="11"/>
  <c r="F182" i="11"/>
  <c r="F518" i="11"/>
  <c r="F638" i="11"/>
  <c r="E894" i="11"/>
  <c r="E299" i="11"/>
  <c r="E687" i="11"/>
  <c r="E785" i="11"/>
  <c r="F969" i="11"/>
  <c r="F644" i="11"/>
  <c r="E669" i="11"/>
  <c r="E569" i="11"/>
  <c r="F569" i="11"/>
  <c r="G880" i="11"/>
  <c r="F880" i="11"/>
  <c r="F975" i="11"/>
  <c r="E975" i="11"/>
  <c r="F470" i="11"/>
  <c r="G470" i="11"/>
  <c r="E514" i="11"/>
  <c r="G514" i="11"/>
  <c r="E456" i="11"/>
  <c r="F456" i="11"/>
  <c r="F751" i="11"/>
  <c r="G751" i="11"/>
  <c r="G367" i="11"/>
  <c r="F367" i="11"/>
  <c r="F605" i="11"/>
  <c r="G605" i="11"/>
  <c r="E605" i="11"/>
  <c r="F221" i="11"/>
  <c r="E708" i="11"/>
  <c r="G708" i="11"/>
  <c r="E580" i="11"/>
  <c r="G580" i="11"/>
  <c r="F580" i="11"/>
  <c r="E516" i="11"/>
  <c r="F516" i="11"/>
  <c r="G516" i="11"/>
  <c r="F452" i="11"/>
  <c r="F388" i="11"/>
  <c r="G260" i="11"/>
  <c r="F260" i="11"/>
  <c r="F196" i="11"/>
  <c r="G196" i="11"/>
  <c r="E481" i="11"/>
  <c r="F481" i="11"/>
  <c r="F816" i="11"/>
  <c r="E305" i="11"/>
  <c r="F305" i="11"/>
  <c r="E641" i="11"/>
  <c r="F641" i="11"/>
  <c r="E642" i="11"/>
  <c r="F642" i="11"/>
  <c r="E194" i="11"/>
  <c r="F194" i="11"/>
  <c r="G194" i="11"/>
  <c r="E520" i="11"/>
  <c r="G520" i="11"/>
  <c r="F431" i="11"/>
  <c r="G431" i="11"/>
  <c r="E349" i="11"/>
  <c r="F349" i="11"/>
  <c r="F578" i="11"/>
  <c r="E221" i="11"/>
  <c r="F867" i="11"/>
  <c r="F851" i="11"/>
  <c r="G851" i="11"/>
  <c r="E844" i="11"/>
  <c r="G844" i="11"/>
  <c r="E547" i="11"/>
  <c r="G547" i="11"/>
  <c r="F547" i="11"/>
  <c r="G905" i="11"/>
  <c r="E905" i="11"/>
  <c r="E903" i="11"/>
  <c r="F903" i="11"/>
  <c r="E870" i="11"/>
  <c r="F870" i="11"/>
  <c r="E707" i="11"/>
  <c r="G707" i="11"/>
  <c r="E537" i="11"/>
  <c r="G537" i="11"/>
  <c r="E366" i="11"/>
  <c r="G366" i="11"/>
  <c r="G195" i="11"/>
  <c r="F195" i="11"/>
  <c r="E393" i="11"/>
  <c r="F646" i="11"/>
  <c r="E646" i="11"/>
  <c r="E845" i="11"/>
  <c r="G845" i="11"/>
  <c r="F706" i="11"/>
  <c r="E706" i="11"/>
  <c r="G706" i="11"/>
  <c r="G322" i="11"/>
  <c r="F322" i="11"/>
  <c r="G648" i="11"/>
  <c r="F648" i="11"/>
  <c r="G328" i="11"/>
  <c r="F328" i="11"/>
  <c r="F175" i="11"/>
  <c r="E175" i="11"/>
  <c r="F285" i="11"/>
  <c r="G285" i="11"/>
  <c r="G955" i="11"/>
  <c r="E955" i="11"/>
  <c r="F843" i="11"/>
  <c r="E843" i="11"/>
  <c r="E780" i="11"/>
  <c r="G780" i="11"/>
  <c r="F938" i="11"/>
  <c r="E938" i="11"/>
  <c r="G938" i="11"/>
  <c r="F377" i="11"/>
  <c r="G377" i="11"/>
  <c r="G777" i="11"/>
  <c r="F777" i="11"/>
  <c r="E777" i="11"/>
  <c r="F872" i="11"/>
  <c r="E872" i="11"/>
  <c r="F371" i="11"/>
  <c r="E371" i="11"/>
  <c r="E283" i="11"/>
  <c r="G283" i="11"/>
  <c r="F806" i="11"/>
  <c r="G806" i="11"/>
  <c r="E806" i="11"/>
  <c r="G221" i="11"/>
  <c r="G452" i="11"/>
  <c r="G646" i="11"/>
  <c r="G669" i="11"/>
  <c r="G861" i="11"/>
  <c r="G687" i="11"/>
  <c r="G896" i="11"/>
  <c r="G559" i="11"/>
  <c r="G768" i="11"/>
  <c r="F206" i="11"/>
  <c r="E270" i="11"/>
  <c r="F366" i="11"/>
  <c r="E694" i="11"/>
  <c r="E367" i="11"/>
  <c r="F559" i="11"/>
  <c r="E584" i="11"/>
  <c r="E896" i="11"/>
  <c r="F960" i="11"/>
  <c r="E361" i="11"/>
  <c r="F601" i="11"/>
  <c r="E713" i="11"/>
  <c r="E874" i="11"/>
  <c r="F324" i="11"/>
  <c r="F283" i="11"/>
  <c r="F925" i="11"/>
  <c r="F398" i="11"/>
  <c r="G398" i="11"/>
  <c r="F310" i="11"/>
  <c r="E563" i="11"/>
  <c r="G563" i="11"/>
  <c r="G783" i="11"/>
  <c r="F783" i="11"/>
  <c r="E878" i="11"/>
  <c r="G878" i="11"/>
  <c r="F878" i="11"/>
  <c r="E973" i="11"/>
  <c r="G973" i="11"/>
  <c r="F973" i="11"/>
  <c r="G386" i="11"/>
  <c r="F386" i="11"/>
  <c r="E712" i="11"/>
  <c r="F712" i="11"/>
  <c r="F239" i="11"/>
  <c r="G239" i="11"/>
  <c r="F413" i="11"/>
  <c r="E413" i="11"/>
  <c r="G733" i="11"/>
  <c r="G694" i="11"/>
  <c r="G911" i="11"/>
  <c r="G729" i="11"/>
  <c r="E908" i="11"/>
  <c r="G908" i="11"/>
  <c r="F297" i="11"/>
  <c r="G297" i="11"/>
  <c r="E841" i="11"/>
  <c r="F841" i="11"/>
  <c r="F289" i="11"/>
  <c r="E289" i="11"/>
  <c r="G289" i="11"/>
  <c r="F542" i="11"/>
  <c r="E542" i="11"/>
  <c r="E839" i="11"/>
  <c r="G839" i="11"/>
  <c r="F839" i="11"/>
  <c r="F454" i="11"/>
  <c r="E454" i="11"/>
  <c r="G454" i="11"/>
  <c r="E934" i="11"/>
  <c r="G934" i="11"/>
  <c r="G450" i="11"/>
  <c r="G388" i="11"/>
  <c r="G349" i="11"/>
  <c r="G775" i="11"/>
  <c r="G264" i="11"/>
  <c r="G801" i="11"/>
  <c r="G868" i="11"/>
  <c r="G578" i="11"/>
  <c r="G874" i="11"/>
  <c r="G932" i="11"/>
  <c r="G835" i="11"/>
  <c r="G495" i="11"/>
  <c r="G625" i="11"/>
  <c r="F459" i="11"/>
  <c r="E651" i="11"/>
  <c r="E648" i="11"/>
  <c r="E630" i="11"/>
  <c r="F530" i="11"/>
  <c r="F722" i="11"/>
  <c r="E722" i="11"/>
  <c r="G722" i="11"/>
  <c r="E658" i="11"/>
  <c r="F658" i="11"/>
  <c r="E594" i="11"/>
  <c r="G594" i="11"/>
  <c r="G979" i="11"/>
  <c r="F278" i="11"/>
  <c r="G278" i="11"/>
  <c r="F762" i="11"/>
  <c r="F698" i="11"/>
  <c r="G698" i="11"/>
  <c r="E698" i="11"/>
  <c r="E634" i="11"/>
  <c r="G634" i="11"/>
  <c r="F619" i="11"/>
  <c r="E619" i="11"/>
  <c r="G658" i="11"/>
  <c r="E762" i="11"/>
  <c r="E449" i="11"/>
  <c r="F773" i="11"/>
  <c r="E837" i="11"/>
  <c r="E210" i="11"/>
  <c r="E742" i="11"/>
  <c r="G972" i="11"/>
  <c r="E486" i="11"/>
  <c r="E859" i="11"/>
  <c r="F254" i="11"/>
  <c r="F731" i="11"/>
  <c r="G986" i="11"/>
  <c r="G610" i="11"/>
  <c r="G794" i="11"/>
  <c r="G843" i="11"/>
  <c r="F844" i="11"/>
  <c r="F972" i="11"/>
  <c r="E794" i="11"/>
  <c r="E867" i="11"/>
  <c r="G848" i="11"/>
  <c r="G334" i="11"/>
  <c r="G922" i="11"/>
  <c r="E463" i="11"/>
  <c r="F574" i="11"/>
  <c r="E574" i="11"/>
  <c r="F976" i="11"/>
  <c r="E976" i="11"/>
  <c r="G976" i="11"/>
  <c r="G943" i="11"/>
  <c r="E943" i="11"/>
  <c r="E974" i="11"/>
  <c r="G974" i="11"/>
  <c r="F738" i="11"/>
  <c r="G738" i="11"/>
  <c r="E738" i="11"/>
  <c r="G290" i="11"/>
  <c r="E290" i="11"/>
  <c r="F655" i="11"/>
  <c r="G655" i="11"/>
  <c r="F548" i="11"/>
  <c r="F420" i="11"/>
  <c r="E420" i="11"/>
  <c r="F228" i="11"/>
  <c r="E228" i="11"/>
  <c r="E507" i="11"/>
  <c r="G507" i="11"/>
  <c r="F403" i="11"/>
  <c r="E403" i="11"/>
  <c r="E483" i="11"/>
  <c r="G483" i="11"/>
  <c r="F395" i="11"/>
  <c r="E395" i="11"/>
  <c r="E555" i="11"/>
  <c r="F555" i="11"/>
  <c r="F616" i="11"/>
  <c r="E616" i="11"/>
  <c r="G271" i="11"/>
  <c r="F271" i="11"/>
  <c r="E445" i="11"/>
  <c r="G445" i="11"/>
  <c r="F676" i="11"/>
  <c r="F484" i="11"/>
  <c r="E484" i="11"/>
  <c r="F292" i="11"/>
  <c r="E292" i="11"/>
  <c r="G292" i="11"/>
  <c r="G420" i="11"/>
  <c r="G484" i="11"/>
  <c r="G548" i="11"/>
  <c r="G612" i="11"/>
  <c r="G877" i="11"/>
  <c r="G879" i="11"/>
  <c r="G881" i="11"/>
  <c r="E914" i="11"/>
  <c r="E945" i="11"/>
  <c r="F546" i="11"/>
  <c r="E676" i="11"/>
  <c r="F381" i="11"/>
  <c r="E877" i="11"/>
  <c r="E884" i="11"/>
  <c r="F884" i="11"/>
  <c r="F786" i="11"/>
  <c r="E786" i="11"/>
  <c r="G737" i="11"/>
  <c r="F737" i="11"/>
  <c r="F478" i="11"/>
  <c r="E478" i="11"/>
  <c r="E561" i="11"/>
  <c r="G561" i="11"/>
  <c r="F214" i="11"/>
  <c r="E214" i="11"/>
  <c r="G335" i="11"/>
  <c r="F335" i="11"/>
  <c r="G509" i="11"/>
  <c r="F509" i="11"/>
  <c r="E509" i="11"/>
  <c r="F356" i="11"/>
  <c r="E356" i="11"/>
  <c r="G381" i="11"/>
  <c r="G302" i="11"/>
  <c r="G390" i="11"/>
  <c r="G566" i="11"/>
  <c r="G654" i="11"/>
  <c r="G546" i="11"/>
  <c r="G819" i="11"/>
  <c r="G915" i="11"/>
  <c r="G680" i="11"/>
  <c r="E566" i="11"/>
  <c r="E550" i="11"/>
  <c r="F846" i="11"/>
  <c r="E219" i="11"/>
  <c r="E335" i="11"/>
  <c r="E763" i="11"/>
  <c r="E737" i="11"/>
  <c r="E418" i="11"/>
  <c r="F877" i="11"/>
  <c r="E571" i="11"/>
  <c r="G187" i="11"/>
  <c r="E187" i="11"/>
  <c r="E820" i="11"/>
  <c r="F820" i="11"/>
  <c r="G820" i="11"/>
  <c r="F914" i="11"/>
  <c r="G914" i="11"/>
  <c r="F848" i="11"/>
  <c r="F815" i="11"/>
  <c r="E815" i="11"/>
  <c r="E782" i="11"/>
  <c r="G813" i="11"/>
  <c r="F813" i="11"/>
  <c r="E744" i="11"/>
  <c r="F296" i="11"/>
  <c r="E296" i="11"/>
  <c r="G527" i="11"/>
  <c r="F527" i="11"/>
  <c r="F637" i="11"/>
  <c r="E637" i="11"/>
  <c r="G637" i="11"/>
  <c r="E740" i="11"/>
  <c r="F740" i="11"/>
  <c r="G478" i="11"/>
  <c r="G574" i="11"/>
  <c r="G616" i="11"/>
  <c r="F483" i="11"/>
  <c r="E654" i="11"/>
  <c r="E271" i="11"/>
  <c r="E680" i="11"/>
  <c r="F763" i="11"/>
  <c r="E745" i="11"/>
  <c r="F418" i="11"/>
  <c r="E612" i="11"/>
  <c r="E995" i="11"/>
  <c r="E963" i="11"/>
  <c r="F963" i="11"/>
  <c r="E529" i="11"/>
  <c r="F529" i="11"/>
  <c r="F817" i="11"/>
  <c r="E817" i="11"/>
  <c r="E784" i="11"/>
  <c r="G784" i="11"/>
  <c r="E731" i="11"/>
  <c r="F643" i="11"/>
  <c r="G643" i="11"/>
  <c r="F482" i="11"/>
  <c r="E482" i="11"/>
  <c r="E232" i="11"/>
  <c r="G399" i="11"/>
  <c r="F399" i="11"/>
  <c r="F701" i="11"/>
  <c r="E701" i="11"/>
  <c r="G701" i="11"/>
  <c r="G253" i="11"/>
  <c r="E253" i="11"/>
  <c r="G815" i="11"/>
  <c r="G884" i="11"/>
  <c r="G555" i="11"/>
  <c r="F390" i="11"/>
  <c r="E852" i="11"/>
  <c r="G318" i="11"/>
  <c r="E318" i="11"/>
  <c r="F818" i="11"/>
  <c r="F443" i="11"/>
  <c r="E443" i="11"/>
  <c r="F978" i="11"/>
  <c r="G978" i="11"/>
  <c r="G945" i="11"/>
  <c r="G912" i="11"/>
  <c r="F912" i="11"/>
  <c r="F941" i="11"/>
  <c r="G941" i="11"/>
  <c r="E610" i="11"/>
  <c r="F226" i="11"/>
  <c r="E226" i="11"/>
  <c r="F424" i="11"/>
  <c r="G424" i="11"/>
  <c r="F591" i="11"/>
  <c r="G591" i="11"/>
  <c r="F207" i="11"/>
  <c r="E207" i="11"/>
  <c r="G726" i="11"/>
  <c r="G817" i="11"/>
  <c r="F507" i="11"/>
  <c r="E552" i="11"/>
  <c r="F561" i="11"/>
  <c r="F923" i="11"/>
  <c r="G923" i="11"/>
  <c r="G226" i="11"/>
  <c r="G482" i="11"/>
  <c r="G395" i="11"/>
  <c r="E422" i="11"/>
  <c r="E726" i="11"/>
  <c r="F782" i="11"/>
  <c r="E655" i="11"/>
  <c r="E488" i="11"/>
  <c r="E912" i="11"/>
  <c r="F253" i="11"/>
  <c r="E948" i="11"/>
  <c r="G948" i="11"/>
  <c r="F850" i="11"/>
  <c r="G850" i="11"/>
  <c r="E649" i="11"/>
  <c r="G649" i="11"/>
  <c r="E473" i="11"/>
  <c r="F473" i="11"/>
  <c r="G473" i="11"/>
  <c r="E385" i="11"/>
  <c r="G354" i="11"/>
  <c r="F354" i="11"/>
  <c r="E354" i="11"/>
  <c r="G552" i="11"/>
  <c r="F719" i="11"/>
  <c r="E719" i="11"/>
  <c r="G719" i="11"/>
  <c r="G189" i="11"/>
  <c r="E189" i="11"/>
  <c r="E788" i="11"/>
  <c r="F788" i="11"/>
  <c r="G910" i="11"/>
  <c r="G403" i="11"/>
  <c r="E302" i="11"/>
  <c r="E910" i="11"/>
  <c r="F987" i="11"/>
  <c r="F488" i="11"/>
  <c r="F784" i="11"/>
  <c r="E548" i="11"/>
  <c r="F189" i="11"/>
  <c r="E465" i="11"/>
  <c r="F465" i="11"/>
  <c r="F233" i="11"/>
  <c r="E233" i="11"/>
  <c r="F313" i="11"/>
  <c r="F225" i="11"/>
  <c r="E225" i="11"/>
  <c r="F307" i="11"/>
  <c r="G307" i="11"/>
  <c r="E307" i="11"/>
  <c r="G219" i="11"/>
  <c r="E674" i="11"/>
  <c r="F674" i="11"/>
  <c r="F360" i="11"/>
  <c r="E360" i="11"/>
  <c r="G360" i="11"/>
  <c r="G463" i="11"/>
  <c r="F463" i="11"/>
  <c r="F573" i="11"/>
  <c r="E573" i="11"/>
  <c r="G573" i="11"/>
  <c r="G317" i="11"/>
  <c r="E317" i="11"/>
  <c r="G486" i="11"/>
  <c r="G385" i="11"/>
  <c r="E313" i="11"/>
  <c r="F745" i="11"/>
  <c r="F290" i="11"/>
  <c r="F612" i="11"/>
  <c r="G931" i="11"/>
  <c r="F931" i="11"/>
  <c r="E931" i="11"/>
  <c r="G418" i="11"/>
  <c r="G846" i="11"/>
  <c r="G740" i="11"/>
  <c r="G676" i="11"/>
  <c r="E527" i="11"/>
  <c r="F879" i="11"/>
  <c r="F232" i="11"/>
  <c r="E424" i="11"/>
  <c r="F744" i="11"/>
  <c r="E881" i="11"/>
  <c r="F955" i="11"/>
  <c r="F811" i="11"/>
  <c r="E227" i="11"/>
  <c r="F891" i="11"/>
  <c r="F750" i="11"/>
  <c r="E339" i="11"/>
  <c r="F791" i="11"/>
  <c r="E330" i="11"/>
  <c r="E586" i="11"/>
  <c r="E899" i="11"/>
  <c r="G222" i="11"/>
  <c r="G977" i="11"/>
  <c r="G522" i="11"/>
  <c r="G227" i="11"/>
  <c r="G326" i="11"/>
  <c r="G734" i="11"/>
  <c r="G793" i="11"/>
  <c r="G818" i="11"/>
  <c r="G882" i="11"/>
  <c r="G946" i="11"/>
  <c r="G796" i="11"/>
  <c r="G651" i="11"/>
  <c r="G739" i="11"/>
  <c r="G315" i="11"/>
  <c r="G387" i="11"/>
  <c r="G585" i="11"/>
  <c r="G569" i="11"/>
  <c r="G816" i="11"/>
  <c r="G888" i="11"/>
  <c r="G305" i="11"/>
  <c r="F980" i="11"/>
  <c r="E882" i="11"/>
  <c r="F222" i="11"/>
  <c r="E414" i="11"/>
  <c r="F734" i="11"/>
  <c r="F942" i="11"/>
  <c r="E251" i="11"/>
  <c r="E379" i="11"/>
  <c r="F847" i="11"/>
  <c r="F919" i="11"/>
  <c r="E739" i="11"/>
  <c r="E729" i="11"/>
  <c r="E913" i="11"/>
  <c r="E985" i="11"/>
  <c r="F243" i="11"/>
  <c r="E202" i="11"/>
  <c r="E458" i="11"/>
  <c r="E979" i="11"/>
  <c r="E915" i="11"/>
  <c r="F845" i="11"/>
  <c r="F917" i="11"/>
  <c r="G761" i="11"/>
  <c r="F822" i="11"/>
  <c r="E888" i="11"/>
  <c r="F952" i="11"/>
  <c r="E971" i="11"/>
  <c r="G458" i="11"/>
  <c r="G230" i="11"/>
  <c r="G662" i="11"/>
  <c r="G826" i="11"/>
  <c r="G890" i="11"/>
  <c r="G954" i="11"/>
  <c r="G667" i="11"/>
  <c r="G899" i="11"/>
  <c r="G963" i="11"/>
  <c r="G852" i="11"/>
  <c r="G331" i="11"/>
  <c r="G824" i="11"/>
  <c r="G497" i="11"/>
  <c r="G249" i="11"/>
  <c r="F401" i="11"/>
  <c r="F916" i="11"/>
  <c r="F988" i="11"/>
  <c r="E230" i="11"/>
  <c r="F414" i="11"/>
  <c r="E950" i="11"/>
  <c r="F251" i="11"/>
  <c r="E855" i="11"/>
  <c r="F739" i="11"/>
  <c r="F913" i="11"/>
  <c r="F985" i="11"/>
  <c r="F202" i="11"/>
  <c r="F979" i="11"/>
  <c r="E853" i="11"/>
  <c r="E590" i="11"/>
  <c r="G502" i="11"/>
  <c r="G917" i="11"/>
  <c r="G681" i="11"/>
  <c r="F491" i="11"/>
  <c r="G243" i="11"/>
  <c r="G394" i="11"/>
  <c r="G251" i="11"/>
  <c r="G238" i="11"/>
  <c r="G750" i="11"/>
  <c r="G822" i="11"/>
  <c r="G886" i="11"/>
  <c r="G950" i="11"/>
  <c r="G916" i="11"/>
  <c r="G755" i="11"/>
  <c r="G907" i="11"/>
  <c r="G971" i="11"/>
  <c r="G339" i="11"/>
  <c r="G321" i="11"/>
  <c r="G393" i="11"/>
  <c r="F852" i="11"/>
  <c r="F924" i="11"/>
  <c r="E946" i="11"/>
  <c r="F230" i="11"/>
  <c r="E310" i="11"/>
  <c r="F855" i="11"/>
  <c r="E419" i="11"/>
  <c r="E987" i="11"/>
  <c r="E826" i="11"/>
  <c r="E880" i="11"/>
  <c r="E923" i="11"/>
  <c r="F497" i="11"/>
  <c r="E849" i="11"/>
  <c r="E921" i="11"/>
  <c r="F853" i="11"/>
  <c r="G714" i="11"/>
  <c r="F502" i="11"/>
  <c r="E954" i="11"/>
  <c r="E673" i="11"/>
  <c r="E857" i="11"/>
  <c r="F789" i="11"/>
  <c r="F662" i="11"/>
  <c r="G510" i="11"/>
  <c r="G590" i="11"/>
  <c r="G847" i="11"/>
  <c r="G919" i="11"/>
  <c r="G788" i="11"/>
  <c r="G650" i="11"/>
  <c r="G995" i="11"/>
  <c r="G579" i="11"/>
  <c r="G401" i="11"/>
  <c r="G209" i="11"/>
  <c r="F571" i="11"/>
  <c r="F876" i="11"/>
  <c r="F489" i="11"/>
  <c r="F318" i="11"/>
  <c r="E470" i="11"/>
  <c r="E510" i="11"/>
  <c r="E911" i="11"/>
  <c r="E983" i="11"/>
  <c r="F208" i="11"/>
  <c r="F400" i="11"/>
  <c r="F464" i="11"/>
  <c r="F656" i="11"/>
  <c r="E824" i="11"/>
  <c r="E209" i="11"/>
  <c r="F393" i="11"/>
  <c r="F673" i="11"/>
  <c r="F785" i="11"/>
  <c r="F857" i="11"/>
  <c r="E659" i="11"/>
  <c r="F330" i="11"/>
  <c r="F586" i="11"/>
  <c r="F667" i="11"/>
  <c r="F995" i="11"/>
  <c r="E909" i="11"/>
  <c r="E981" i="11"/>
  <c r="G983" i="11"/>
  <c r="G924" i="11"/>
  <c r="G491" i="11"/>
  <c r="F409" i="11"/>
  <c r="G310" i="11"/>
  <c r="G939" i="11"/>
  <c r="G489" i="11"/>
  <c r="G481" i="11"/>
  <c r="G720" i="11"/>
  <c r="G409" i="11"/>
  <c r="G217" i="11"/>
  <c r="F579" i="11"/>
  <c r="E818" i="11"/>
  <c r="E294" i="11"/>
  <c r="E326" i="11"/>
  <c r="E398" i="11"/>
  <c r="E387" i="11"/>
  <c r="F911" i="11"/>
  <c r="F983" i="11"/>
  <c r="E907" i="11"/>
  <c r="E592" i="11"/>
  <c r="E720" i="11"/>
  <c r="F824" i="11"/>
  <c r="E321" i="11"/>
  <c r="E337" i="11"/>
  <c r="E681" i="11"/>
  <c r="E761" i="11"/>
  <c r="E793" i="11"/>
  <c r="E977" i="11"/>
  <c r="F659" i="11"/>
  <c r="E266" i="11"/>
  <c r="E522" i="11"/>
  <c r="F650" i="11"/>
  <c r="E939" i="11"/>
  <c r="E249" i="11"/>
  <c r="E714" i="11"/>
  <c r="F796" i="11"/>
  <c r="G592" i="11"/>
  <c r="G988" i="11"/>
  <c r="G980" i="11"/>
  <c r="G379" i="11"/>
  <c r="F585" i="11"/>
  <c r="E217" i="11"/>
  <c r="F920" i="11"/>
  <c r="E699" i="11"/>
  <c r="E883" i="11"/>
  <c r="G678" i="11"/>
  <c r="G560" i="11"/>
  <c r="G657" i="11"/>
  <c r="G721" i="11"/>
  <c r="G554" i="11"/>
  <c r="G618" i="11"/>
  <c r="G682" i="11"/>
  <c r="G746" i="11"/>
  <c r="G956" i="11"/>
  <c r="G699" i="11"/>
  <c r="G763" i="11"/>
  <c r="G827" i="11"/>
  <c r="G499" i="11"/>
  <c r="G505" i="11"/>
  <c r="F417" i="11"/>
  <c r="F618" i="11"/>
  <c r="F595" i="11"/>
  <c r="F422" i="11"/>
  <c r="F550" i="11"/>
  <c r="F670" i="11"/>
  <c r="E823" i="11"/>
  <c r="E887" i="11"/>
  <c r="E951" i="11"/>
  <c r="F187" i="11"/>
  <c r="E858" i="11"/>
  <c r="E323" i="11"/>
  <c r="E819" i="11"/>
  <c r="F721" i="11"/>
  <c r="F753" i="11"/>
  <c r="E746" i="11"/>
  <c r="E747" i="11"/>
  <c r="F699" i="11"/>
  <c r="E670" i="11"/>
  <c r="F856" i="11"/>
  <c r="F984" i="11"/>
  <c r="F883" i="11"/>
  <c r="G764" i="11"/>
  <c r="G635" i="11"/>
  <c r="F657" i="11"/>
  <c r="E334" i="11"/>
  <c r="E494" i="11"/>
  <c r="F887" i="11"/>
  <c r="F951" i="11"/>
  <c r="E825" i="11"/>
  <c r="E953" i="11"/>
  <c r="E821" i="11"/>
  <c r="E885" i="11"/>
  <c r="E949" i="11"/>
  <c r="G246" i="11"/>
  <c r="F792" i="11"/>
  <c r="E753" i="11"/>
  <c r="G614" i="11"/>
  <c r="G792" i="11"/>
  <c r="G494" i="11"/>
  <c r="G758" i="11"/>
  <c r="G323" i="11"/>
  <c r="G241" i="11"/>
  <c r="F577" i="11"/>
  <c r="F334" i="11"/>
  <c r="F614" i="11"/>
  <c r="F678" i="11"/>
  <c r="E922" i="11"/>
  <c r="F825" i="11"/>
  <c r="F889" i="11"/>
  <c r="F953" i="11"/>
  <c r="E234" i="11"/>
  <c r="E298" i="11"/>
  <c r="E362" i="11"/>
  <c r="E426" i="11"/>
  <c r="E490" i="11"/>
  <c r="E554" i="11"/>
  <c r="E675" i="11"/>
  <c r="F821" i="11"/>
  <c r="F885" i="11"/>
  <c r="F949" i="11"/>
  <c r="G665" i="11"/>
  <c r="G571" i="11"/>
  <c r="G856" i="11"/>
  <c r="E678" i="11"/>
  <c r="F823" i="11"/>
  <c r="E889" i="11"/>
  <c r="E587" i="11"/>
  <c r="G235" i="11"/>
  <c r="G595" i="11"/>
  <c r="G577" i="11"/>
  <c r="F505" i="11"/>
  <c r="F764" i="11"/>
  <c r="F828" i="11"/>
  <c r="F892" i="11"/>
  <c r="F956" i="11"/>
  <c r="F425" i="11"/>
  <c r="E246" i="11"/>
  <c r="E406" i="11"/>
  <c r="E241" i="11"/>
  <c r="E329" i="11"/>
  <c r="F234" i="11"/>
  <c r="F298" i="11"/>
  <c r="F362" i="11"/>
  <c r="F426" i="11"/>
  <c r="F490" i="11"/>
  <c r="G362" i="11"/>
  <c r="G490" i="11"/>
  <c r="G624" i="11"/>
  <c r="G688" i="11"/>
  <c r="G752" i="11"/>
  <c r="G417" i="11"/>
  <c r="F406" i="11"/>
  <c r="E411" i="11"/>
  <c r="E986" i="11"/>
  <c r="E560" i="11"/>
  <c r="E624" i="11"/>
  <c r="E688" i="11"/>
  <c r="E752" i="11"/>
  <c r="E235" i="11"/>
  <c r="F241" i="11"/>
  <c r="F329" i="11"/>
  <c r="E827" i="11"/>
  <c r="E635" i="11"/>
  <c r="G254" i="11"/>
  <c r="G406" i="11"/>
  <c r="G670" i="11"/>
  <c r="G828" i="11"/>
  <c r="G582" i="11"/>
  <c r="G675" i="11"/>
  <c r="G411" i="11"/>
  <c r="G425" i="11"/>
  <c r="G587" i="11"/>
  <c r="F499" i="11"/>
  <c r="AB4" i="16" a="1"/>
  <c r="Q3" i="16"/>
  <c r="AA5" i="16"/>
  <c r="R2" i="16" a="1"/>
  <c r="AB4" i="16" l="1"/>
  <c r="AL2" i="16" a="1"/>
  <c r="Z297" i="16" s="1" a="1"/>
  <c r="Z297" i="16" s="1"/>
  <c r="R2" i="16"/>
  <c r="W2" i="16" a="1"/>
  <c r="AB5" i="16" a="1"/>
  <c r="Q4" i="16"/>
  <c r="AA6" i="16"/>
  <c r="R3" i="16" a="1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R4" i="16" a="1"/>
  <c r="AB6" i="16" a="1"/>
  <c r="AA7" i="16"/>
  <c r="Q5" i="16"/>
  <c r="AB6" i="16" l="1"/>
  <c r="R4" i="16"/>
  <c r="Q6" i="16"/>
  <c r="AA8" i="16"/>
  <c r="AB7" i="16" a="1"/>
  <c r="R5" i="16" a="1"/>
  <c r="AB7" i="16" l="1"/>
  <c r="R5" i="16"/>
  <c r="Q7" i="16"/>
  <c r="AB8" i="16" a="1"/>
  <c r="R6" i="16" a="1"/>
  <c r="AA9" i="16"/>
  <c r="AB8" i="16" l="1"/>
  <c r="R6" i="16"/>
  <c r="AB9" i="16" a="1"/>
  <c r="R7" i="16" a="1"/>
  <c r="Q8" i="16"/>
  <c r="AA10" i="16"/>
  <c r="AB9" i="16" l="1"/>
  <c r="R7" i="16"/>
  <c r="AA11" i="16"/>
  <c r="R8" i="16" a="1"/>
  <c r="Q9" i="16"/>
  <c r="AB10" i="16" a="1"/>
  <c r="AB10" i="16" l="1"/>
  <c r="R8" i="16"/>
  <c r="AA12" i="16"/>
  <c r="AB11" i="16" a="1"/>
  <c r="R9" i="16" a="1"/>
  <c r="Q10" i="16"/>
  <c r="AB11" i="16" l="1"/>
  <c r="R9" i="16"/>
  <c r="R10" i="16" a="1"/>
  <c r="AB12" i="16" a="1"/>
  <c r="AA13" i="16"/>
  <c r="Q11" i="16"/>
  <c r="AB12" i="16" l="1"/>
  <c r="R10" i="16"/>
  <c r="Q12" i="16"/>
  <c r="AA14" i="16"/>
  <c r="R11" i="16" a="1"/>
  <c r="AB13" i="16" a="1"/>
  <c r="AB13" i="16" l="1"/>
  <c r="R11" i="16"/>
  <c r="R12" i="16" a="1"/>
  <c r="Q13" i="16"/>
  <c r="AA15" i="16"/>
  <c r="AB14" i="16" a="1"/>
  <c r="AB14" i="16" l="1"/>
  <c r="R12" i="16"/>
  <c r="AB15" i="16" a="1"/>
  <c r="Q14" i="16"/>
  <c r="AA16" i="16"/>
  <c r="R13" i="16" a="1"/>
  <c r="AB15" i="16" l="1"/>
  <c r="R13" i="16"/>
  <c r="AA17" i="16"/>
  <c r="AB16" i="16" a="1"/>
  <c r="R14" i="16" a="1"/>
  <c r="Q15" i="16"/>
  <c r="AB16" i="16" l="1"/>
  <c r="R14" i="16"/>
  <c r="AB17" i="16" a="1"/>
  <c r="R15" i="16" a="1"/>
  <c r="Q16" i="16"/>
  <c r="AA18" i="16"/>
  <c r="AB17" i="16" l="1"/>
  <c r="R15" i="16"/>
  <c r="R16" i="16" a="1"/>
  <c r="AA19" i="16"/>
  <c r="Q17" i="16"/>
  <c r="AB18" i="16" a="1"/>
  <c r="AB18" i="16" l="1"/>
  <c r="R16" i="16"/>
  <c r="Q18" i="16"/>
  <c r="AB19" i="16" a="1"/>
  <c r="AA20" i="16"/>
  <c r="R17" i="16" a="1"/>
  <c r="AB19" i="16" l="1"/>
  <c r="R17" i="16"/>
  <c r="R18" i="16" a="1"/>
  <c r="AB20" i="16" a="1"/>
  <c r="AA21" i="16"/>
  <c r="Q19" i="16"/>
  <c r="AB20" i="16" l="1"/>
  <c r="R18" i="16"/>
  <c r="R19" i="16" a="1"/>
  <c r="AB21" i="16" a="1"/>
  <c r="AA22" i="16"/>
  <c r="Q20" i="16"/>
  <c r="AB21" i="16" l="1"/>
  <c r="R19" i="16"/>
  <c r="Q21" i="16"/>
  <c r="AB22" i="16" a="1"/>
  <c r="R20" i="16" a="1"/>
  <c r="AA23" i="16"/>
  <c r="AB22" i="16" l="1"/>
  <c r="R20" i="16"/>
  <c r="R21" i="16" a="1"/>
  <c r="AB23" i="16" a="1"/>
  <c r="Q22" i="16"/>
  <c r="AA24" i="16"/>
  <c r="AB23" i="16" l="1"/>
  <c r="R21" i="16"/>
  <c r="AB24" i="16" a="1"/>
  <c r="Q23" i="16"/>
  <c r="R22" i="16" a="1"/>
  <c r="AA25" i="16"/>
  <c r="AB24" i="16" l="1"/>
  <c r="R22" i="16"/>
  <c r="R23" i="16" a="1"/>
  <c r="Q24" i="16"/>
  <c r="AB25" i="16" a="1"/>
  <c r="AA26" i="16"/>
  <c r="AB25" i="16" l="1"/>
  <c r="R23" i="16"/>
  <c r="AB26" i="16" a="1"/>
  <c r="R24" i="16" a="1"/>
  <c r="AA27" i="16"/>
  <c r="Q25" i="16"/>
  <c r="AB26" i="16" l="1"/>
  <c r="R24" i="16"/>
  <c r="AB27" i="16" a="1"/>
  <c r="Q26" i="16"/>
  <c r="R25" i="16" a="1"/>
  <c r="AA28" i="16"/>
  <c r="AB27" i="16" l="1"/>
  <c r="R25" i="16"/>
  <c r="R26" i="16" a="1"/>
  <c r="Q27" i="16"/>
  <c r="AB28" i="16" a="1"/>
  <c r="AA29" i="16"/>
  <c r="AB28" i="16" l="1"/>
  <c r="R26" i="16"/>
  <c r="AB29" i="16" a="1"/>
  <c r="Q28" i="16"/>
  <c r="R27" i="16" a="1"/>
  <c r="AA30" i="16"/>
  <c r="AB29" i="16" l="1"/>
  <c r="R27" i="16"/>
  <c r="AA31" i="16"/>
  <c r="Q29" i="16"/>
  <c r="AB30" i="16" a="1"/>
  <c r="R28" i="16" a="1"/>
  <c r="AB30" i="16" l="1"/>
  <c r="R28" i="16"/>
  <c r="AB31" i="16" a="1"/>
  <c r="AA32" i="16"/>
  <c r="Q30" i="16"/>
  <c r="R29" i="16" a="1"/>
  <c r="AB31" i="16" l="1"/>
  <c r="R29" i="16"/>
  <c r="AB32" i="16" a="1"/>
  <c r="R30" i="16" a="1"/>
  <c r="Q31" i="16"/>
  <c r="AA33" i="16"/>
  <c r="AB32" i="16" l="1"/>
  <c r="R30" i="16"/>
  <c r="AB33" i="16" a="1"/>
  <c r="R31" i="16" a="1"/>
  <c r="Q32" i="16"/>
  <c r="AA34" i="16"/>
  <c r="AB33" i="16" l="1"/>
  <c r="R31" i="16"/>
  <c r="R32" i="16" a="1"/>
  <c r="Q33" i="16"/>
  <c r="AB34" i="16" a="1"/>
  <c r="AA35" i="16"/>
  <c r="AB34" i="16" l="1"/>
  <c r="R32" i="16"/>
  <c r="AA36" i="16"/>
  <c r="R33" i="16" a="1"/>
  <c r="Q34" i="16"/>
  <c r="AB35" i="16" a="1"/>
  <c r="AB35" i="16" l="1"/>
  <c r="R33" i="16"/>
  <c r="R34" i="16" a="1"/>
  <c r="AB36" i="16" a="1"/>
  <c r="Q35" i="16"/>
  <c r="AA37" i="16"/>
  <c r="AB36" i="16" l="1"/>
  <c r="R34" i="16"/>
  <c r="Q36" i="16"/>
  <c r="AB37" i="16" a="1"/>
  <c r="R35" i="16" a="1"/>
  <c r="AA38" i="16"/>
  <c r="AB37" i="16" l="1"/>
  <c r="R35" i="16"/>
  <c r="AB38" i="16" a="1"/>
  <c r="Q37" i="16"/>
  <c r="R36" i="16" a="1"/>
  <c r="AA39" i="16"/>
  <c r="AB38" i="16" l="1"/>
  <c r="R36" i="16"/>
  <c r="AB39" i="16" a="1"/>
  <c r="AA40" i="16"/>
  <c r="Q38" i="16"/>
  <c r="R37" i="16" a="1"/>
  <c r="AB39" i="16" l="1"/>
  <c r="R37" i="16"/>
  <c r="AB40" i="16" a="1"/>
  <c r="R38" i="16" a="1"/>
  <c r="Q39" i="16"/>
  <c r="AA41" i="16"/>
  <c r="AB40" i="16" l="1"/>
  <c r="R38" i="16"/>
  <c r="R39" i="16" a="1"/>
  <c r="Q40" i="16"/>
  <c r="AB41" i="16" a="1"/>
  <c r="AA42" i="16"/>
  <c r="AB41" i="16" l="1"/>
  <c r="R39" i="16"/>
  <c r="R40" i="16" a="1"/>
  <c r="AB42" i="16" a="1"/>
  <c r="AA43" i="16"/>
  <c r="Q41" i="16"/>
  <c r="AB42" i="16" l="1"/>
  <c r="R40" i="16"/>
  <c r="AB43" i="16" a="1"/>
  <c r="R41" i="16" a="1"/>
  <c r="AA44" i="16"/>
  <c r="Q42" i="16"/>
  <c r="AB43" i="16" l="1"/>
  <c r="R41" i="16"/>
  <c r="AB44" i="16" a="1"/>
  <c r="R42" i="16" a="1"/>
  <c r="Q43" i="16"/>
  <c r="AA45" i="16"/>
  <c r="AB44" i="16" l="1"/>
  <c r="R42" i="16"/>
  <c r="Q44" i="16"/>
  <c r="AB45" i="16" a="1"/>
  <c r="R43" i="16" a="1"/>
  <c r="AA46" i="16"/>
  <c r="AB45" i="16" l="1"/>
  <c r="R43" i="16"/>
  <c r="AB46" i="16" a="1"/>
  <c r="Q45" i="16"/>
  <c r="AA47" i="16"/>
  <c r="R44" i="16" a="1"/>
  <c r="AB46" i="16" l="1"/>
  <c r="R44" i="16"/>
  <c r="AB47" i="16" a="1"/>
  <c r="R45" i="16" a="1"/>
  <c r="Q46" i="16"/>
  <c r="AA48" i="16"/>
  <c r="AB47" i="16" l="1"/>
  <c r="R45" i="16"/>
  <c r="AB48" i="16" a="1"/>
  <c r="AA49" i="16"/>
  <c r="Q47" i="16"/>
  <c r="R46" i="16" a="1"/>
  <c r="AB48" i="16" l="1"/>
  <c r="R46" i="16"/>
  <c r="AB49" i="16" a="1"/>
  <c r="Q48" i="16"/>
  <c r="AA50" i="16"/>
  <c r="R47" i="16" a="1"/>
  <c r="AB49" i="16" l="1"/>
  <c r="R47" i="16"/>
  <c r="AA51" i="16"/>
  <c r="AB50" i="16" a="1"/>
  <c r="R48" i="16" a="1"/>
  <c r="Q49" i="16"/>
  <c r="AB50" i="16" l="1"/>
  <c r="R48" i="16"/>
  <c r="Q50" i="16"/>
  <c r="AA52" i="16"/>
  <c r="AB51" i="16" a="1"/>
  <c r="R49" i="16" a="1"/>
  <c r="AB51" i="16" l="1"/>
  <c r="R49" i="16"/>
  <c r="Q51" i="16"/>
  <c r="R50" i="16" a="1"/>
  <c r="AB52" i="16" a="1"/>
  <c r="AA53" i="16"/>
  <c r="AB52" i="16" l="1"/>
  <c r="R50" i="16"/>
  <c r="AB53" i="16" a="1"/>
  <c r="AA54" i="16"/>
  <c r="R51" i="16" a="1"/>
  <c r="Q52" i="16"/>
  <c r="AB53" i="16" l="1"/>
  <c r="R51" i="16"/>
  <c r="R52" i="16" a="1"/>
  <c r="AB54" i="16" a="1"/>
  <c r="Q53" i="16"/>
  <c r="AA55" i="16"/>
  <c r="AB54" i="16" l="1"/>
  <c r="R52" i="16"/>
  <c r="Q54" i="16"/>
  <c r="AA56" i="16"/>
  <c r="R53" i="16" a="1"/>
  <c r="AB55" i="16" a="1"/>
  <c r="AB55" i="16" l="1"/>
  <c r="R53" i="16"/>
  <c r="AA57" i="16"/>
  <c r="Q55" i="16"/>
  <c r="AB56" i="16" a="1"/>
  <c r="R54" i="16" a="1"/>
  <c r="AB56" i="16" l="1"/>
  <c r="R54" i="16"/>
  <c r="AA58" i="16"/>
  <c r="AB57" i="16" a="1"/>
  <c r="R55" i="16" a="1"/>
  <c r="Q56" i="16"/>
  <c r="AB57" i="16" l="1"/>
  <c r="R55" i="16"/>
  <c r="Q57" i="16"/>
  <c r="AB58" i="16" a="1"/>
  <c r="R56" i="16" a="1"/>
  <c r="AA59" i="16"/>
  <c r="AB58" i="16" l="1"/>
  <c r="R56" i="16"/>
  <c r="Q58" i="16"/>
  <c r="R57" i="16" a="1"/>
  <c r="AB59" i="16" a="1"/>
  <c r="AA60" i="16"/>
  <c r="AB59" i="16" l="1"/>
  <c r="R57" i="16"/>
  <c r="AB60" i="16" a="1"/>
  <c r="R58" i="16" a="1"/>
  <c r="AA61" i="16"/>
  <c r="Q59" i="16"/>
  <c r="AB60" i="16" l="1"/>
  <c r="R58" i="16"/>
  <c r="AA62" i="16"/>
  <c r="R59" i="16" a="1"/>
  <c r="Q60" i="16"/>
  <c r="AB61" i="16" a="1"/>
  <c r="AB61" i="16" l="1"/>
  <c r="R59" i="16"/>
  <c r="AA63" i="16"/>
  <c r="R60" i="16" a="1"/>
  <c r="Q61" i="16"/>
  <c r="AB62" i="16" a="1"/>
  <c r="AB62" i="16" l="1"/>
  <c r="R60" i="16"/>
  <c r="Q62" i="16"/>
  <c r="AB63" i="16" a="1"/>
  <c r="AA64" i="16"/>
  <c r="R61" i="16" a="1"/>
  <c r="AB63" i="16" l="1"/>
  <c r="R61" i="16"/>
  <c r="AA65" i="16"/>
  <c r="R62" i="16" a="1"/>
  <c r="Q63" i="16"/>
  <c r="AB64" i="16" a="1"/>
  <c r="AB64" i="16" l="1"/>
  <c r="R62" i="16"/>
  <c r="Q64" i="16"/>
  <c r="AA66" i="16"/>
  <c r="R63" i="16" a="1"/>
  <c r="AB65" i="16" a="1"/>
  <c r="AB65" i="16" l="1"/>
  <c r="R63" i="16"/>
  <c r="AA67" i="16"/>
  <c r="R64" i="16" a="1"/>
  <c r="AB66" i="16" a="1"/>
  <c r="Q65" i="16"/>
  <c r="AB66" i="16" l="1"/>
  <c r="R64" i="16"/>
  <c r="Q66" i="16"/>
  <c r="R65" i="16" a="1"/>
  <c r="AB67" i="16" a="1"/>
  <c r="AA68" i="16"/>
  <c r="AB67" i="16" l="1"/>
  <c r="R65" i="16"/>
  <c r="R66" i="16" a="1"/>
  <c r="Q67" i="16"/>
  <c r="AB68" i="16" a="1"/>
  <c r="AA69" i="16"/>
  <c r="AB68" i="16" l="1"/>
  <c r="R66" i="16"/>
  <c r="Q68" i="16"/>
  <c r="AB69" i="16" a="1"/>
  <c r="AA70" i="16"/>
  <c r="R67" i="16" a="1"/>
  <c r="AB69" i="16" l="1"/>
  <c r="R67" i="16"/>
  <c r="Q69" i="16"/>
  <c r="R68" i="16" a="1"/>
  <c r="AB70" i="16" a="1"/>
  <c r="AA71" i="16"/>
  <c r="AB70" i="16" l="1"/>
  <c r="R68" i="16"/>
  <c r="AA72" i="16"/>
  <c r="R69" i="16" a="1"/>
  <c r="Q70" i="16"/>
  <c r="AB71" i="16" a="1"/>
  <c r="AB71" i="16" l="1"/>
  <c r="R69" i="16"/>
  <c r="Q71" i="16"/>
  <c r="AB72" i="16" a="1"/>
  <c r="R70" i="16" a="1"/>
  <c r="AA73" i="16"/>
  <c r="AB72" i="16" l="1"/>
  <c r="R70" i="16"/>
  <c r="AA74" i="16"/>
  <c r="AB73" i="16" a="1"/>
  <c r="Q72" i="16"/>
  <c r="R71" i="16" a="1"/>
  <c r="AB73" i="16" l="1"/>
  <c r="R71" i="16"/>
  <c r="R72" i="16" a="1"/>
  <c r="AB74" i="16" a="1"/>
  <c r="Q73" i="16"/>
  <c r="AA75" i="16"/>
  <c r="AB74" i="16" l="1"/>
  <c r="R72" i="16"/>
  <c r="R73" i="16" a="1"/>
  <c r="AA76" i="16"/>
  <c r="AB75" i="16" a="1"/>
  <c r="Q74" i="16"/>
  <c r="AB75" i="16" l="1"/>
  <c r="R73" i="16"/>
  <c r="Q75" i="16"/>
  <c r="R74" i="16" a="1"/>
  <c r="AA77" i="16"/>
  <c r="AB76" i="16" a="1"/>
  <c r="AB76" i="16" l="1"/>
  <c r="R74" i="16"/>
  <c r="AB77" i="16" a="1"/>
  <c r="AA78" i="16"/>
  <c r="Q76" i="16"/>
  <c r="R75" i="16" a="1"/>
  <c r="AB77" i="16" l="1"/>
  <c r="R75" i="16"/>
  <c r="AA79" i="16"/>
  <c r="Q77" i="16"/>
  <c r="R76" i="16" a="1"/>
  <c r="AB78" i="16" a="1"/>
  <c r="AB78" i="16" l="1"/>
  <c r="R76" i="16"/>
  <c r="Q78" i="16"/>
  <c r="AA80" i="16"/>
  <c r="R77" i="16" a="1"/>
  <c r="AB79" i="16" a="1"/>
  <c r="AB79" i="16" l="1"/>
  <c r="R77" i="16"/>
  <c r="AA81" i="16"/>
  <c r="Q79" i="16"/>
  <c r="AB80" i="16" a="1"/>
  <c r="R78" i="16" a="1"/>
  <c r="AB80" i="16" l="1"/>
  <c r="R78" i="16"/>
  <c r="Q80" i="16"/>
  <c r="R79" i="16" a="1"/>
  <c r="AB81" i="16" a="1"/>
  <c r="AA82" i="16"/>
  <c r="AB81" i="16" l="1"/>
  <c r="R79" i="16"/>
  <c r="AA83" i="16"/>
  <c r="R80" i="16" a="1"/>
  <c r="AB82" i="16" a="1"/>
  <c r="Q81" i="16"/>
  <c r="AB82" i="16" l="1"/>
  <c r="R80" i="16"/>
  <c r="Q82" i="16"/>
  <c r="AA84" i="16"/>
  <c r="AB83" i="16" a="1"/>
  <c r="R81" i="16" a="1"/>
  <c r="AB83" i="16" l="1"/>
  <c r="R81" i="16"/>
  <c r="AB84" i="16" a="1"/>
  <c r="Q83" i="16"/>
  <c r="R82" i="16" a="1"/>
  <c r="AA85" i="16"/>
  <c r="AB84" i="16" l="1"/>
  <c r="R82" i="16"/>
  <c r="R83" i="16" a="1"/>
  <c r="Q84" i="16"/>
  <c r="AA86" i="16"/>
  <c r="AB85" i="16" a="1"/>
  <c r="AB85" i="16" l="1"/>
  <c r="R83" i="16"/>
  <c r="Q85" i="16"/>
  <c r="AB86" i="16" a="1"/>
  <c r="AA87" i="16"/>
  <c r="R84" i="16" a="1"/>
  <c r="AB86" i="16" l="1"/>
  <c r="R84" i="16"/>
  <c r="Q86" i="16"/>
  <c r="AA88" i="16"/>
  <c r="AB87" i="16" a="1"/>
  <c r="R85" i="16" a="1"/>
  <c r="AB87" i="16" l="1"/>
  <c r="R85" i="16"/>
  <c r="R86" i="16" a="1"/>
  <c r="AB88" i="16" a="1"/>
  <c r="Q87" i="16"/>
  <c r="AA89" i="16"/>
  <c r="AB88" i="16" l="1"/>
  <c r="R86" i="16"/>
  <c r="AB89" i="16" a="1"/>
  <c r="R87" i="16" a="1"/>
  <c r="AA90" i="16"/>
  <c r="Q88" i="16"/>
  <c r="AB89" i="16" l="1"/>
  <c r="R87" i="16"/>
  <c r="AB90" i="16" a="1"/>
  <c r="R88" i="16" a="1"/>
  <c r="AA91" i="16"/>
  <c r="Q89" i="16"/>
  <c r="AB90" i="16" l="1"/>
  <c r="R88" i="16"/>
  <c r="AA92" i="16"/>
  <c r="AB91" i="16" a="1"/>
  <c r="R89" i="16" a="1"/>
  <c r="Q90" i="16"/>
  <c r="AB91" i="16" l="1"/>
  <c r="R89" i="16"/>
  <c r="Q91" i="16"/>
  <c r="R90" i="16" a="1"/>
  <c r="AB92" i="16" a="1"/>
  <c r="AA93" i="16"/>
  <c r="AB92" i="16" l="1"/>
  <c r="R90" i="16"/>
  <c r="AA94" i="16"/>
  <c r="R91" i="16" a="1"/>
  <c r="AB93" i="16" a="1"/>
  <c r="Q92" i="16"/>
  <c r="AB93" i="16" l="1"/>
  <c r="R91" i="16"/>
  <c r="Q93" i="16"/>
  <c r="AA95" i="16"/>
  <c r="R92" i="16" a="1"/>
  <c r="AB94" i="16" a="1"/>
  <c r="AB94" i="16" l="1"/>
  <c r="R92" i="16"/>
  <c r="R93" i="16" a="1"/>
  <c r="Q94" i="16"/>
  <c r="AB95" i="16" a="1"/>
  <c r="AA96" i="16"/>
  <c r="AB95" i="16" l="1"/>
  <c r="R93" i="16"/>
  <c r="AA97" i="16"/>
  <c r="Q95" i="16"/>
  <c r="AB96" i="16" a="1"/>
  <c r="R94" i="16" a="1"/>
  <c r="AB96" i="16" l="1"/>
  <c r="R94" i="16"/>
  <c r="Q96" i="16"/>
  <c r="AB97" i="16" a="1"/>
  <c r="R95" i="16" a="1"/>
  <c r="AA98" i="16"/>
  <c r="AB97" i="16" l="1"/>
  <c r="R95" i="16"/>
  <c r="R96" i="16" a="1"/>
  <c r="AB98" i="16" a="1"/>
  <c r="AA99" i="16"/>
  <c r="Q97" i="16"/>
  <c r="AB98" i="16" l="1"/>
  <c r="R96" i="16"/>
  <c r="AA100" i="16"/>
  <c r="Q98" i="16"/>
  <c r="R97" i="16" a="1"/>
  <c r="AB99" i="16" a="1"/>
  <c r="AB99" i="16" l="1"/>
  <c r="R97" i="16"/>
  <c r="R98" i="16" a="1"/>
  <c r="AA101" i="16"/>
  <c r="Q99" i="16"/>
  <c r="AB100" i="16" a="1"/>
  <c r="AB100" i="16" l="1"/>
  <c r="R98" i="16"/>
  <c r="Q100" i="16"/>
  <c r="R99" i="16" a="1"/>
  <c r="AB101" i="16" a="1"/>
  <c r="AA102" i="16"/>
  <c r="AB101" i="16" l="1"/>
  <c r="R99" i="16"/>
  <c r="Q101" i="16"/>
  <c r="R100" i="16" a="1"/>
  <c r="AB102" i="16" a="1"/>
  <c r="AA103" i="16"/>
  <c r="AB102" i="16" l="1"/>
  <c r="R100" i="16"/>
  <c r="R101" i="16" a="1"/>
  <c r="Q102" i="16"/>
  <c r="AA104" i="16"/>
  <c r="AB103" i="16" a="1"/>
  <c r="AB103" i="16" l="1"/>
  <c r="R101" i="16"/>
  <c r="R102" i="16" a="1"/>
  <c r="Q103" i="16"/>
  <c r="AB104" i="16" a="1"/>
  <c r="AA105" i="16"/>
  <c r="AB104" i="16" l="1"/>
  <c r="R102" i="16"/>
  <c r="AA106" i="16"/>
  <c r="R103" i="16" a="1"/>
  <c r="AB105" i="16" a="1"/>
  <c r="Q104" i="16"/>
  <c r="AB105" i="16" l="1"/>
  <c r="R103" i="16"/>
  <c r="R104" i="16" a="1"/>
  <c r="AA107" i="16"/>
  <c r="Q105" i="16"/>
  <c r="AB106" i="16" a="1"/>
  <c r="AB106" i="16" l="1"/>
  <c r="R104" i="16"/>
  <c r="Q106" i="16"/>
  <c r="AB107" i="16" a="1"/>
  <c r="R105" i="16" a="1"/>
  <c r="AA108" i="16"/>
  <c r="AB107" i="16" l="1"/>
  <c r="R105" i="16"/>
  <c r="R106" i="16" a="1"/>
  <c r="AB108" i="16" a="1"/>
  <c r="Q107" i="16"/>
  <c r="AA109" i="16"/>
  <c r="AB108" i="16" l="1"/>
  <c r="R106" i="16"/>
  <c r="R107" i="16" a="1"/>
  <c r="Q108" i="16"/>
  <c r="AB109" i="16" a="1"/>
  <c r="AA110" i="16"/>
  <c r="AB109" i="16" l="1"/>
  <c r="R107" i="16"/>
  <c r="AB110" i="16" a="1"/>
  <c r="R108" i="16" a="1"/>
  <c r="Q109" i="16"/>
  <c r="AA111" i="16"/>
  <c r="AB110" i="16" l="1"/>
  <c r="R108" i="16"/>
  <c r="AA112" i="16"/>
  <c r="Q110" i="16"/>
  <c r="R109" i="16" a="1"/>
  <c r="AB111" i="16" a="1"/>
  <c r="AB111" i="16" l="1"/>
  <c r="R109" i="16"/>
  <c r="AA113" i="16"/>
  <c r="AB112" i="16" a="1"/>
  <c r="R110" i="16" a="1"/>
  <c r="Q111" i="16"/>
  <c r="AB112" i="16" l="1"/>
  <c r="R110" i="16"/>
  <c r="Q112" i="16"/>
  <c r="R111" i="16" a="1"/>
  <c r="AB113" i="16" a="1"/>
  <c r="AA114" i="16"/>
  <c r="AB113" i="16" l="1"/>
  <c r="R111" i="16"/>
  <c r="R112" i="16" a="1"/>
  <c r="Q113" i="16"/>
  <c r="AA115" i="16"/>
  <c r="AB114" i="16" a="1"/>
  <c r="AB114" i="16" l="1"/>
  <c r="R112" i="16"/>
  <c r="AB115" i="16" a="1"/>
  <c r="Q114" i="16"/>
  <c r="R113" i="16" a="1"/>
  <c r="AA116" i="16"/>
  <c r="AB115" i="16" l="1"/>
  <c r="R113" i="16"/>
  <c r="AB116" i="16" a="1"/>
  <c r="Q115" i="16"/>
  <c r="AA117" i="16"/>
  <c r="R114" i="16" a="1"/>
  <c r="AB116" i="16" l="1"/>
  <c r="R114" i="16"/>
  <c r="Q116" i="16"/>
  <c r="AB117" i="16" a="1"/>
  <c r="R115" i="16" a="1"/>
  <c r="AA118" i="16"/>
  <c r="AB117" i="16" l="1"/>
  <c r="R115" i="16"/>
  <c r="AB118" i="16" a="1"/>
  <c r="Q117" i="16"/>
  <c r="R116" i="16" a="1"/>
  <c r="AA119" i="16"/>
  <c r="AB118" i="16" l="1"/>
  <c r="R116" i="16"/>
  <c r="R117" i="16" a="1"/>
  <c r="Q118" i="16"/>
  <c r="AA120" i="16"/>
  <c r="AB119" i="16" a="1"/>
  <c r="AB119" i="16" l="1"/>
  <c r="R117" i="16"/>
  <c r="AB120" i="16" a="1"/>
  <c r="R118" i="16" a="1"/>
  <c r="Q119" i="16"/>
  <c r="AA121" i="16"/>
  <c r="AB120" i="16" l="1"/>
  <c r="R118" i="16"/>
  <c r="Q120" i="16"/>
  <c r="R119" i="16" a="1"/>
  <c r="AB121" i="16" a="1"/>
  <c r="AA122" i="16"/>
  <c r="AB121" i="16" l="1"/>
  <c r="R119" i="16"/>
  <c r="AB122" i="16" a="1"/>
  <c r="Q121" i="16"/>
  <c r="AA123" i="16"/>
  <c r="R120" i="16" a="1"/>
  <c r="AB122" i="16" l="1"/>
  <c r="R120" i="16"/>
  <c r="Q122" i="16"/>
  <c r="AB123" i="16" a="1"/>
  <c r="AA124" i="16"/>
  <c r="R121" i="16" a="1"/>
  <c r="AB123" i="16" l="1"/>
  <c r="R121" i="16"/>
  <c r="Q123" i="16"/>
  <c r="AB124" i="16" a="1"/>
  <c r="AA125" i="16"/>
  <c r="R122" i="16" a="1"/>
  <c r="AB124" i="16" l="1"/>
  <c r="R122" i="16"/>
  <c r="AB125" i="16" a="1"/>
  <c r="AA126" i="16"/>
  <c r="R123" i="16" a="1"/>
  <c r="Q124" i="16"/>
  <c r="AB125" i="16" l="1"/>
  <c r="R123" i="16"/>
  <c r="AB126" i="16" a="1"/>
  <c r="AA127" i="16"/>
  <c r="Q125" i="16"/>
  <c r="R124" i="16" a="1"/>
  <c r="AB126" i="16" l="1"/>
  <c r="R124" i="16"/>
  <c r="R125" i="16" a="1"/>
  <c r="AA128" i="16"/>
  <c r="AB127" i="16" a="1"/>
  <c r="Q126" i="16"/>
  <c r="AB127" i="16" l="1"/>
  <c r="R125" i="16"/>
  <c r="AB128" i="16" a="1"/>
  <c r="AA129" i="16"/>
  <c r="R126" i="16" a="1"/>
  <c r="Q127" i="16"/>
  <c r="AB128" i="16" l="1"/>
  <c r="R126" i="16"/>
  <c r="AA130" i="16"/>
  <c r="Q128" i="16"/>
  <c r="R127" i="16" a="1"/>
  <c r="AB129" i="16" a="1"/>
  <c r="AB129" i="16" l="1"/>
  <c r="R127" i="16"/>
  <c r="R128" i="16" a="1"/>
  <c r="AA131" i="16"/>
  <c r="AB130" i="16" a="1"/>
  <c r="Q129" i="16"/>
  <c r="AB130" i="16" l="1"/>
  <c r="R128" i="16"/>
  <c r="AB131" i="16" a="1"/>
  <c r="Q130" i="16"/>
  <c r="R129" i="16" a="1"/>
  <c r="AA132" i="16"/>
  <c r="AB131" i="16" l="1"/>
  <c r="R129" i="16"/>
  <c r="R130" i="16" a="1"/>
  <c r="AA133" i="16"/>
  <c r="Q131" i="16"/>
  <c r="AB132" i="16" a="1"/>
  <c r="AB132" i="16" l="1"/>
  <c r="R130" i="16"/>
  <c r="AA134" i="16"/>
  <c r="AB133" i="16" a="1"/>
  <c r="R131" i="16" a="1"/>
  <c r="Q132" i="16"/>
  <c r="AB133" i="16" l="1"/>
  <c r="R131" i="16"/>
  <c r="R132" i="16" a="1"/>
  <c r="AB134" i="16" a="1"/>
  <c r="AA135" i="16"/>
  <c r="Q133" i="16"/>
  <c r="AB134" i="16" l="1"/>
  <c r="R132" i="16"/>
  <c r="R133" i="16" a="1"/>
  <c r="AB135" i="16" a="1"/>
  <c r="Q134" i="16"/>
  <c r="AA136" i="16"/>
  <c r="AB135" i="16" l="1"/>
  <c r="R133" i="16"/>
  <c r="R134" i="16" a="1"/>
  <c r="AB136" i="16" a="1"/>
  <c r="Q135" i="16"/>
  <c r="AA137" i="16"/>
  <c r="AB136" i="16" l="1"/>
  <c r="R134" i="16"/>
  <c r="AB137" i="16" a="1"/>
  <c r="Q136" i="16"/>
  <c r="AA138" i="16"/>
  <c r="R135" i="16" a="1"/>
  <c r="AB137" i="16" l="1"/>
  <c r="R135" i="16"/>
  <c r="Q137" i="16"/>
  <c r="R136" i="16" a="1"/>
  <c r="AB138" i="16" a="1"/>
  <c r="AA139" i="16"/>
  <c r="AB138" i="16" l="1"/>
  <c r="R136" i="16"/>
  <c r="AA140" i="16"/>
  <c r="Q138" i="16"/>
  <c r="R137" i="16" a="1"/>
  <c r="AB139" i="16" a="1"/>
  <c r="AB139" i="16" l="1"/>
  <c r="R137" i="16"/>
  <c r="Q139" i="16"/>
  <c r="AB140" i="16" a="1"/>
  <c r="AA141" i="16"/>
  <c r="R138" i="16" a="1"/>
  <c r="AB140" i="16" l="1"/>
  <c r="R138" i="16"/>
  <c r="R139" i="16" a="1"/>
  <c r="Q140" i="16"/>
  <c r="AB141" i="16" a="1"/>
  <c r="AA142" i="16"/>
  <c r="AB141" i="16" l="1"/>
  <c r="R139" i="16"/>
  <c r="AB142" i="16" a="1"/>
  <c r="Q141" i="16"/>
  <c r="R140" i="16" a="1"/>
  <c r="AA143" i="16"/>
  <c r="AB142" i="16" l="1"/>
  <c r="R140" i="16"/>
  <c r="Q142" i="16"/>
  <c r="AB143" i="16" a="1"/>
  <c r="R141" i="16" a="1"/>
  <c r="AA144" i="16"/>
  <c r="AB143" i="16" l="1"/>
  <c r="R141" i="16"/>
  <c r="AA145" i="16"/>
  <c r="R142" i="16" a="1"/>
  <c r="AB144" i="16" a="1"/>
  <c r="Q143" i="16"/>
  <c r="AB144" i="16" l="1"/>
  <c r="R142" i="16"/>
  <c r="AB145" i="16" a="1"/>
  <c r="R143" i="16" a="1"/>
  <c r="AA146" i="16"/>
  <c r="Q144" i="16"/>
  <c r="AB145" i="16" l="1"/>
  <c r="R143" i="16"/>
  <c r="Q145" i="16"/>
  <c r="R144" i="16" a="1"/>
  <c r="AA147" i="16"/>
  <c r="AB146" i="16" a="1"/>
  <c r="AB146" i="16" l="1"/>
  <c r="R144" i="16"/>
  <c r="AB147" i="16" a="1"/>
  <c r="R145" i="16" a="1"/>
  <c r="Q146" i="16"/>
  <c r="AA148" i="16"/>
  <c r="AB147" i="16" l="1"/>
  <c r="R145" i="16"/>
  <c r="Q147" i="16"/>
  <c r="R146" i="16" a="1"/>
  <c r="AB148" i="16" a="1"/>
  <c r="AA149" i="16"/>
  <c r="AB148" i="16" l="1"/>
  <c r="R146" i="16"/>
  <c r="AA150" i="16"/>
  <c r="Q148" i="16"/>
  <c r="R147" i="16" a="1"/>
  <c r="AB149" i="16" a="1"/>
  <c r="AB149" i="16" l="1"/>
  <c r="R147" i="16"/>
  <c r="AB150" i="16" a="1"/>
  <c r="R148" i="16" a="1"/>
  <c r="AA151" i="16"/>
  <c r="Q149" i="16"/>
  <c r="AB150" i="16" l="1"/>
  <c r="R148" i="16"/>
  <c r="R149" i="16" a="1"/>
  <c r="Q150" i="16"/>
  <c r="AA152" i="16"/>
  <c r="AB151" i="16" a="1"/>
  <c r="AB151" i="16" l="1"/>
  <c r="R149" i="16"/>
  <c r="Q151" i="16"/>
  <c r="AA153" i="16"/>
  <c r="AB152" i="16" a="1"/>
  <c r="R150" i="16" a="1"/>
  <c r="AB152" i="16" l="1"/>
  <c r="R150" i="16"/>
  <c r="Q152" i="16"/>
  <c r="R151" i="16" a="1"/>
  <c r="AA154" i="16"/>
  <c r="AB153" i="16" a="1"/>
  <c r="AB153" i="16" l="1"/>
  <c r="R151" i="16"/>
  <c r="AB154" i="16" a="1"/>
  <c r="R152" i="16" a="1"/>
  <c r="AA155" i="16"/>
  <c r="Q153" i="16"/>
  <c r="AB154" i="16" l="1"/>
  <c r="R152" i="16"/>
  <c r="AB155" i="16" a="1"/>
  <c r="Q154" i="16"/>
  <c r="R153" i="16" a="1"/>
  <c r="AA156" i="16"/>
  <c r="AB155" i="16" l="1"/>
  <c r="R153" i="16"/>
  <c r="Q155" i="16"/>
  <c r="AA157" i="16"/>
  <c r="R154" i="16" a="1"/>
  <c r="AB156" i="16" a="1"/>
  <c r="AB156" i="16" l="1"/>
  <c r="R154" i="16"/>
  <c r="AB157" i="16" a="1"/>
  <c r="Q156" i="16"/>
  <c r="AA158" i="16"/>
  <c r="R155" i="16" a="1"/>
  <c r="AB157" i="16" l="1"/>
  <c r="R155" i="16"/>
  <c r="AB158" i="16" a="1"/>
  <c r="R156" i="16" a="1"/>
  <c r="AA159" i="16"/>
  <c r="Q157" i="16"/>
  <c r="AB158" i="16" l="1"/>
  <c r="R156" i="16"/>
  <c r="Q158" i="16"/>
  <c r="AB159" i="16" a="1"/>
  <c r="R157" i="16" a="1"/>
  <c r="AA160" i="16"/>
  <c r="AB159" i="16" l="1"/>
  <c r="R157" i="16"/>
  <c r="AA161" i="16"/>
  <c r="AB160" i="16" a="1"/>
  <c r="Q159" i="16"/>
  <c r="R158" i="16" a="1"/>
  <c r="AB160" i="16" l="1"/>
  <c r="R158" i="16"/>
  <c r="R159" i="16" a="1"/>
  <c r="AB161" i="16" a="1"/>
  <c r="Q160" i="16"/>
  <c r="AA162" i="16"/>
  <c r="AB161" i="16" l="1"/>
  <c r="R159" i="16"/>
  <c r="AB162" i="16" a="1"/>
  <c r="Q161" i="16"/>
  <c r="R160" i="16" a="1"/>
  <c r="AA163" i="16"/>
  <c r="AB162" i="16" l="1"/>
  <c r="R160" i="16"/>
  <c r="AA164" i="16"/>
  <c r="Q162" i="16"/>
  <c r="R161" i="16" a="1"/>
  <c r="AB163" i="16" a="1"/>
  <c r="AB163" i="16" l="1"/>
  <c r="R161" i="16"/>
  <c r="AB164" i="16" a="1"/>
  <c r="AA165" i="16"/>
  <c r="R162" i="16" a="1"/>
  <c r="Q163" i="16"/>
  <c r="AB164" i="16" l="1"/>
  <c r="R162" i="16"/>
  <c r="AA166" i="16"/>
  <c r="AB165" i="16" a="1"/>
  <c r="R163" i="16" a="1"/>
  <c r="Q164" i="16"/>
  <c r="AB165" i="16" l="1"/>
  <c r="R163" i="16"/>
  <c r="AB166" i="16" a="1"/>
  <c r="Q165" i="16"/>
  <c r="AA167" i="16"/>
  <c r="R164" i="16" a="1"/>
  <c r="AB166" i="16" l="1"/>
  <c r="R164" i="16"/>
  <c r="Q166" i="16"/>
  <c r="AB167" i="16" a="1"/>
  <c r="AA168" i="16"/>
  <c r="R165" i="16" a="1"/>
  <c r="AB167" i="16" l="1"/>
  <c r="R165" i="16"/>
  <c r="AA169" i="16"/>
  <c r="AB168" i="16" a="1"/>
  <c r="R166" i="16" a="1"/>
  <c r="Q167" i="16"/>
  <c r="AB168" i="16" l="1"/>
  <c r="R166" i="16"/>
  <c r="AB169" i="16" a="1"/>
  <c r="R167" i="16" a="1"/>
  <c r="AA170" i="16"/>
  <c r="Q168" i="16"/>
  <c r="AB169" i="16" l="1"/>
  <c r="R167" i="16"/>
  <c r="Q169" i="16"/>
  <c r="R168" i="16" a="1"/>
  <c r="AA171" i="16"/>
  <c r="AB170" i="16" a="1"/>
  <c r="AB170" i="16" l="1"/>
  <c r="R168" i="16"/>
  <c r="AB171" i="16" a="1"/>
  <c r="R169" i="16" a="1"/>
  <c r="AA172" i="16"/>
  <c r="Q170" i="16"/>
  <c r="AB171" i="16" l="1"/>
  <c r="R169" i="16"/>
  <c r="Q171" i="16"/>
  <c r="R170" i="16" a="1"/>
  <c r="AB172" i="16" a="1"/>
  <c r="AA173" i="16"/>
  <c r="AB172" i="16" l="1"/>
  <c r="R170" i="16"/>
  <c r="AA174" i="16"/>
  <c r="R171" i="16" a="1"/>
  <c r="Q172" i="16"/>
  <c r="AB173" i="16" a="1"/>
  <c r="AB173" i="16" l="1"/>
  <c r="R171" i="16"/>
  <c r="Q173" i="16"/>
  <c r="R172" i="16" a="1"/>
  <c r="AA175" i="16"/>
  <c r="AB174" i="16" a="1"/>
  <c r="AB174" i="16" l="1"/>
  <c r="R172" i="16"/>
  <c r="Q174" i="16"/>
  <c r="AB175" i="16" a="1"/>
  <c r="R173" i="16" a="1"/>
  <c r="AA176" i="16"/>
  <c r="AB175" i="16" l="1"/>
  <c r="R173" i="16"/>
  <c r="AB176" i="16" a="1"/>
  <c r="R174" i="16" a="1"/>
  <c r="AA177" i="16"/>
  <c r="Q175" i="16"/>
  <c r="AB176" i="16" l="1"/>
  <c r="R174" i="16"/>
  <c r="R175" i="16" a="1"/>
  <c r="AB177" i="16" a="1"/>
  <c r="Q176" i="16"/>
  <c r="AA178" i="16"/>
  <c r="AB177" i="16" l="1"/>
  <c r="R175" i="16"/>
  <c r="AA179" i="16"/>
  <c r="AB178" i="16" a="1"/>
  <c r="R176" i="16" a="1"/>
  <c r="Q177" i="16"/>
  <c r="AB178" i="16" l="1"/>
  <c r="R176" i="16"/>
  <c r="AA180" i="16"/>
  <c r="R177" i="16" a="1"/>
  <c r="Q178" i="16"/>
  <c r="AB179" i="16" a="1"/>
  <c r="AB179" i="16" l="1"/>
  <c r="R177" i="16"/>
  <c r="AA181" i="16"/>
  <c r="Q179" i="16"/>
  <c r="R178" i="16" a="1"/>
  <c r="AB180" i="16" a="1"/>
  <c r="AB180" i="16" l="1"/>
  <c r="R178" i="16"/>
  <c r="R179" i="16" a="1"/>
  <c r="Q180" i="16"/>
  <c r="AA182" i="16"/>
  <c r="AB181" i="16" a="1"/>
  <c r="AB181" i="16" l="1"/>
  <c r="R179" i="16"/>
  <c r="Q181" i="16"/>
  <c r="AB182" i="16" a="1"/>
  <c r="AA183" i="16"/>
  <c r="R180" i="16" a="1"/>
  <c r="AB182" i="16" l="1"/>
  <c r="R180" i="16"/>
  <c r="Q182" i="16"/>
  <c r="AA184" i="16"/>
  <c r="AB183" i="16" a="1"/>
  <c r="R181" i="16" a="1"/>
  <c r="AB183" i="16" l="1"/>
  <c r="R181" i="16"/>
  <c r="Q183" i="16"/>
  <c r="AB184" i="16" a="1"/>
  <c r="R182" i="16" a="1"/>
  <c r="AA185" i="16"/>
  <c r="AB184" i="16" l="1"/>
  <c r="R182" i="16"/>
  <c r="Q184" i="16"/>
  <c r="R183" i="16" a="1"/>
  <c r="AA186" i="16"/>
  <c r="AB185" i="16" a="1"/>
  <c r="AB185" i="16" l="1"/>
  <c r="R183" i="16"/>
  <c r="R184" i="16" a="1"/>
  <c r="Q185" i="16"/>
  <c r="AB186" i="16" a="1"/>
  <c r="AA187" i="16"/>
  <c r="AB186" i="16" l="1"/>
  <c r="R184" i="16"/>
  <c r="R185" i="16" a="1"/>
  <c r="AB187" i="16" a="1"/>
  <c r="AA188" i="16"/>
  <c r="Q186" i="16"/>
  <c r="AB187" i="16" l="1"/>
  <c r="R185" i="16"/>
  <c r="AA189" i="16"/>
  <c r="AB188" i="16" a="1"/>
  <c r="R186" i="16" a="1"/>
  <c r="Q187" i="16"/>
  <c r="AB188" i="16" l="1"/>
  <c r="R186" i="16"/>
  <c r="AA190" i="16"/>
  <c r="AB189" i="16" a="1"/>
  <c r="Q188" i="16"/>
  <c r="R187" i="16" a="1"/>
  <c r="AB189" i="16" l="1"/>
  <c r="R187" i="16"/>
  <c r="R188" i="16" a="1"/>
  <c r="AB190" i="16" a="1"/>
  <c r="Q189" i="16"/>
  <c r="AA191" i="16"/>
  <c r="AB190" i="16" l="1"/>
  <c r="R188" i="16"/>
  <c r="Q190" i="16"/>
  <c r="AB191" i="16" a="1"/>
  <c r="R189" i="16" a="1"/>
  <c r="AA192" i="16"/>
  <c r="AB191" i="16" l="1"/>
  <c r="R189" i="16"/>
  <c r="AB192" i="16" a="1"/>
  <c r="Q191" i="16"/>
  <c r="AA193" i="16"/>
  <c r="R190" i="16" a="1"/>
  <c r="AB192" i="16" l="1"/>
  <c r="R190" i="16"/>
  <c r="AA194" i="16"/>
  <c r="Q192" i="16"/>
  <c r="AB193" i="16" a="1"/>
  <c r="R191" i="16" a="1"/>
  <c r="AB193" i="16" l="1"/>
  <c r="R191" i="16"/>
  <c r="AB194" i="16" a="1"/>
  <c r="R192" i="16" a="1"/>
  <c r="Q193" i="16"/>
  <c r="AA195" i="16"/>
  <c r="AB194" i="16" l="1"/>
  <c r="R192" i="16"/>
  <c r="R193" i="16" a="1"/>
  <c r="Q194" i="16"/>
  <c r="AB195" i="16" a="1"/>
  <c r="AA196" i="16"/>
  <c r="AB195" i="16" l="1"/>
  <c r="R193" i="16"/>
  <c r="AB196" i="16" a="1"/>
  <c r="AA197" i="16"/>
  <c r="Q195" i="16"/>
  <c r="R194" i="16" a="1"/>
  <c r="AB196" i="16" l="1"/>
  <c r="R194" i="16"/>
  <c r="AA198" i="16"/>
  <c r="AB197" i="16" a="1"/>
  <c r="R195" i="16" a="1"/>
  <c r="Q196" i="16"/>
  <c r="AB197" i="16" l="1"/>
  <c r="R195" i="16"/>
  <c r="AA199" i="16"/>
  <c r="Q197" i="16"/>
  <c r="AB198" i="16" a="1"/>
  <c r="R196" i="16" a="1"/>
  <c r="AB198" i="16" l="1"/>
  <c r="R196" i="16"/>
  <c r="R197" i="16" a="1"/>
  <c r="Q198" i="16"/>
  <c r="AA200" i="16"/>
  <c r="AB199" i="16" a="1"/>
  <c r="AB199" i="16" l="1"/>
  <c r="R197" i="16"/>
  <c r="AA201" i="16"/>
  <c r="R198" i="16" a="1"/>
  <c r="AB200" i="16" a="1"/>
  <c r="Q199" i="16"/>
  <c r="AB200" i="16" l="1"/>
  <c r="R198" i="16"/>
  <c r="R199" i="16" a="1"/>
  <c r="AB201" i="16" a="1"/>
  <c r="AA202" i="16"/>
  <c r="Q200" i="16"/>
  <c r="AB201" i="16" l="1"/>
  <c r="R199" i="16"/>
  <c r="R200" i="16" a="1"/>
  <c r="AB202" i="16" a="1"/>
  <c r="Q201" i="16"/>
  <c r="AA203" i="16"/>
  <c r="AB202" i="16" l="1"/>
  <c r="R200" i="16"/>
  <c r="Q202" i="16"/>
  <c r="AA204" i="16"/>
  <c r="R201" i="16" a="1"/>
  <c r="AB203" i="16" a="1"/>
  <c r="AB203" i="16" l="1"/>
  <c r="R201" i="16"/>
  <c r="AB204" i="16" a="1"/>
  <c r="AA205" i="16"/>
  <c r="Q203" i="16"/>
  <c r="R202" i="16" a="1"/>
  <c r="AB204" i="16" l="1"/>
  <c r="R202" i="16"/>
  <c r="R203" i="16" a="1"/>
  <c r="AA206" i="16"/>
  <c r="AB205" i="16" a="1"/>
  <c r="Q204" i="16"/>
  <c r="AB205" i="16" l="1"/>
  <c r="R203" i="16"/>
  <c r="Q205" i="16"/>
  <c r="R204" i="16" a="1"/>
  <c r="AB206" i="16" a="1"/>
  <c r="AA207" i="16"/>
  <c r="AB206" i="16" l="1"/>
  <c r="R204" i="16"/>
  <c r="R205" i="16" a="1"/>
  <c r="AB207" i="16" a="1"/>
  <c r="AA208" i="16"/>
  <c r="Q206" i="16"/>
  <c r="AB207" i="16" l="1"/>
  <c r="R205" i="16"/>
  <c r="R206" i="16" a="1"/>
  <c r="AB208" i="16" a="1"/>
  <c r="AA209" i="16"/>
  <c r="Q207" i="16"/>
  <c r="AB208" i="16" l="1"/>
  <c r="R206" i="16"/>
  <c r="AA210" i="16"/>
  <c r="AB209" i="16" a="1"/>
  <c r="R207" i="16" a="1"/>
  <c r="Q208" i="16"/>
  <c r="AB209" i="16" l="1"/>
  <c r="R207" i="16"/>
  <c r="R208" i="16" a="1"/>
  <c r="Q209" i="16"/>
  <c r="AB210" i="16" a="1"/>
  <c r="AA211" i="16"/>
  <c r="AB210" i="16" l="1"/>
  <c r="R208" i="16"/>
  <c r="R209" i="16" a="1"/>
  <c r="AB211" i="16" a="1"/>
  <c r="AA212" i="16"/>
  <c r="Q210" i="16"/>
  <c r="AB211" i="16" l="1"/>
  <c r="R209" i="16"/>
  <c r="AA213" i="16"/>
  <c r="Q211" i="16"/>
  <c r="AB212" i="16" a="1"/>
  <c r="R210" i="16" a="1"/>
  <c r="AB212" i="16" l="1"/>
  <c r="R210" i="16"/>
  <c r="Q212" i="16"/>
  <c r="R211" i="16" a="1"/>
  <c r="AB213" i="16" a="1"/>
  <c r="AA214" i="16"/>
  <c r="AB213" i="16" l="1"/>
  <c r="R211" i="16"/>
  <c r="AB214" i="16" a="1"/>
  <c r="Q213" i="16"/>
  <c r="AA215" i="16"/>
  <c r="R212" i="16" a="1"/>
  <c r="AB214" i="16" l="1"/>
  <c r="R212" i="16"/>
  <c r="AA216" i="16"/>
  <c r="AB215" i="16" a="1"/>
  <c r="R213" i="16" a="1"/>
  <c r="Q214" i="16"/>
  <c r="AB215" i="16" l="1"/>
  <c r="R213" i="16"/>
  <c r="AA217" i="16"/>
  <c r="R214" i="16" a="1"/>
  <c r="Q215" i="16"/>
  <c r="AB216" i="16" a="1"/>
  <c r="AB216" i="16" l="1"/>
  <c r="R214" i="16"/>
  <c r="AB217" i="16" a="1"/>
  <c r="Q216" i="16"/>
  <c r="AA218" i="16"/>
  <c r="R215" i="16" a="1"/>
  <c r="AB217" i="16" l="1"/>
  <c r="R215" i="16"/>
  <c r="R216" i="16" a="1"/>
  <c r="Q217" i="16"/>
  <c r="AB218" i="16" a="1"/>
  <c r="AA219" i="16"/>
  <c r="AB218" i="16" l="1"/>
  <c r="R216" i="16"/>
  <c r="Q218" i="16"/>
  <c r="AA220" i="16"/>
  <c r="AB219" i="16" a="1"/>
  <c r="R217" i="16" a="1"/>
  <c r="AB219" i="16" l="1"/>
  <c r="R217" i="16"/>
  <c r="AB220" i="16" a="1"/>
  <c r="Q219" i="16"/>
  <c r="AA221" i="16"/>
  <c r="R218" i="16" a="1"/>
  <c r="AB220" i="16" l="1"/>
  <c r="R218" i="16"/>
  <c r="AA222" i="16"/>
  <c r="AB221" i="16" a="1"/>
  <c r="R219" i="16" a="1"/>
  <c r="Q220" i="16"/>
  <c r="AB221" i="16" l="1"/>
  <c r="R219" i="16"/>
  <c r="R220" i="16" a="1"/>
  <c r="AA223" i="16"/>
  <c r="AB222" i="16" a="1"/>
  <c r="Q221" i="16"/>
  <c r="AB222" i="16" l="1"/>
  <c r="R220" i="16"/>
  <c r="AB223" i="16" a="1"/>
  <c r="Q222" i="16"/>
  <c r="R221" i="16" a="1"/>
  <c r="AA224" i="16"/>
  <c r="AB223" i="16" l="1"/>
  <c r="R221" i="16"/>
  <c r="AB224" i="16" a="1"/>
  <c r="Q223" i="16"/>
  <c r="R222" i="16" a="1"/>
  <c r="AA225" i="16"/>
  <c r="AB224" i="16" l="1"/>
  <c r="R222" i="16"/>
  <c r="AB225" i="16" a="1"/>
  <c r="R223" i="16" a="1"/>
  <c r="Q224" i="16"/>
  <c r="AA226" i="16"/>
  <c r="AB225" i="16" l="1"/>
  <c r="R223" i="16"/>
  <c r="Q225" i="16"/>
  <c r="AA227" i="16"/>
  <c r="R224" i="16" a="1"/>
  <c r="AB226" i="16" a="1"/>
  <c r="AB226" i="16" l="1"/>
  <c r="R224" i="16"/>
  <c r="AA228" i="16"/>
  <c r="AB227" i="16" a="1"/>
  <c r="Q226" i="16"/>
  <c r="R225" i="16" a="1"/>
  <c r="AB227" i="16" l="1"/>
  <c r="R225" i="16"/>
  <c r="Q227" i="16"/>
  <c r="AB228" i="16" a="1"/>
  <c r="R226" i="16" a="1"/>
  <c r="AA229" i="16"/>
  <c r="AB228" i="16" l="1"/>
  <c r="R226" i="16"/>
  <c r="AB229" i="16" a="1"/>
  <c r="Q228" i="16"/>
  <c r="R227" i="16" a="1"/>
  <c r="AA230" i="16"/>
  <c r="AB229" i="16" l="1"/>
  <c r="R227" i="16"/>
  <c r="R228" i="16" a="1"/>
  <c r="AA231" i="16"/>
  <c r="AB230" i="16" a="1"/>
  <c r="Q229" i="16"/>
  <c r="AB230" i="16" l="1"/>
  <c r="R228" i="16"/>
  <c r="Q230" i="16"/>
  <c r="R229" i="16" a="1"/>
  <c r="AB231" i="16" a="1"/>
  <c r="AA232" i="16"/>
  <c r="AB231" i="16" l="1"/>
  <c r="R229" i="16"/>
  <c r="R230" i="16" a="1"/>
  <c r="AA233" i="16"/>
  <c r="AB232" i="16" a="1"/>
  <c r="Q231" i="16"/>
  <c r="AB232" i="16" l="1"/>
  <c r="R230" i="16"/>
  <c r="AA234" i="16"/>
  <c r="R231" i="16" a="1"/>
  <c r="AB233" i="16" a="1"/>
  <c r="Q232" i="16"/>
  <c r="AB233" i="16" l="1"/>
  <c r="R231" i="16"/>
  <c r="Q233" i="16"/>
  <c r="AB234" i="16" a="1"/>
  <c r="R232" i="16" a="1"/>
  <c r="AA235" i="16"/>
  <c r="AB234" i="16" l="1"/>
  <c r="R232" i="16"/>
  <c r="Q234" i="16"/>
  <c r="AA236" i="16"/>
  <c r="AB235" i="16" a="1"/>
  <c r="R233" i="16" a="1"/>
  <c r="AB235" i="16" l="1"/>
  <c r="R233" i="16"/>
  <c r="R234" i="16" a="1"/>
  <c r="AB236" i="16" a="1"/>
  <c r="Q235" i="16"/>
  <c r="AA237" i="16"/>
  <c r="AB236" i="16" l="1"/>
  <c r="R234" i="16"/>
  <c r="AB237" i="16" a="1"/>
  <c r="AA238" i="16"/>
  <c r="R235" i="16" a="1"/>
  <c r="Q236" i="16"/>
  <c r="AB237" i="16" l="1"/>
  <c r="R235" i="16"/>
  <c r="AA239" i="16"/>
  <c r="AB238" i="16" a="1"/>
  <c r="R236" i="16" a="1"/>
  <c r="Q237" i="16"/>
  <c r="AB238" i="16" l="1"/>
  <c r="R236" i="16"/>
  <c r="R237" i="16" a="1"/>
  <c r="AA240" i="16"/>
  <c r="Q238" i="16"/>
  <c r="AB239" i="16" a="1"/>
  <c r="AB239" i="16" l="1"/>
  <c r="R237" i="16"/>
  <c r="R238" i="16" a="1"/>
  <c r="AB240" i="16" a="1"/>
  <c r="Q239" i="16"/>
  <c r="AA241" i="16"/>
  <c r="AB240" i="16" l="1"/>
  <c r="R238" i="16"/>
  <c r="AB241" i="16" a="1"/>
  <c r="Q240" i="16"/>
  <c r="AA242" i="16"/>
  <c r="R239" i="16" a="1"/>
  <c r="AB241" i="16" l="1"/>
  <c r="R239" i="16"/>
  <c r="R240" i="16" a="1"/>
  <c r="AA243" i="16"/>
  <c r="AB242" i="16" a="1"/>
  <c r="Q241" i="16"/>
  <c r="AB242" i="16" l="1"/>
  <c r="R240" i="16"/>
  <c r="Q242" i="16"/>
  <c r="AB243" i="16" a="1"/>
  <c r="R241" i="16" a="1"/>
  <c r="AA244" i="16"/>
  <c r="AB243" i="16" l="1"/>
  <c r="R241" i="16"/>
  <c r="R242" i="16" a="1"/>
  <c r="AA245" i="16"/>
  <c r="Q243" i="16"/>
  <c r="AB244" i="16" a="1"/>
  <c r="AB244" i="16" l="1"/>
  <c r="R242" i="16"/>
  <c r="AB245" i="16" a="1"/>
  <c r="R243" i="16" a="1"/>
  <c r="AA246" i="16"/>
  <c r="Q244" i="16"/>
  <c r="AB245" i="16" l="1"/>
  <c r="R243" i="16"/>
  <c r="AB246" i="16" a="1"/>
  <c r="Q245" i="16"/>
  <c r="R244" i="16" a="1"/>
  <c r="AA247" i="16"/>
  <c r="AB246" i="16" l="1"/>
  <c r="R244" i="16"/>
  <c r="AB247" i="16" a="1"/>
  <c r="AA248" i="16"/>
  <c r="R245" i="16" a="1"/>
  <c r="Q246" i="16"/>
  <c r="AB247" i="16" l="1"/>
  <c r="R245" i="16"/>
  <c r="R246" i="16" a="1"/>
  <c r="AB248" i="16" a="1"/>
  <c r="AA249" i="16"/>
  <c r="Q247" i="16"/>
  <c r="AB248" i="16" l="1"/>
  <c r="R246" i="16"/>
  <c r="Q248" i="16"/>
  <c r="AA250" i="16"/>
  <c r="R247" i="16" a="1"/>
  <c r="AB249" i="16" a="1"/>
  <c r="AB249" i="16" l="1"/>
  <c r="R247" i="16"/>
  <c r="AA251" i="16"/>
  <c r="Q249" i="16"/>
  <c r="AB250" i="16" a="1"/>
  <c r="R248" i="16" a="1"/>
  <c r="AB250" i="16" l="1"/>
  <c r="R248" i="16"/>
  <c r="AB251" i="16" a="1"/>
  <c r="R249" i="16" a="1"/>
  <c r="AA252" i="16"/>
  <c r="Q250" i="16"/>
  <c r="AB251" i="16" l="1"/>
  <c r="R249" i="16"/>
  <c r="Q251" i="16"/>
  <c r="R250" i="16" a="1"/>
  <c r="AB252" i="16" a="1"/>
  <c r="AA253" i="16"/>
  <c r="AB252" i="16" l="1"/>
  <c r="R250" i="16"/>
  <c r="R251" i="16" a="1"/>
  <c r="AB253" i="16" a="1"/>
  <c r="AA254" i="16"/>
  <c r="Q252" i="16"/>
  <c r="AB253" i="16" l="1"/>
  <c r="R251" i="16"/>
  <c r="Q253" i="16"/>
  <c r="AB254" i="16" a="1"/>
  <c r="R252" i="16" a="1"/>
  <c r="AA255" i="16"/>
  <c r="AB254" i="16" l="1"/>
  <c r="R252" i="16"/>
  <c r="R253" i="16" a="1"/>
  <c r="AA256" i="16"/>
  <c r="Q254" i="16"/>
  <c r="AB255" i="16" a="1"/>
  <c r="AB255" i="16" l="1"/>
  <c r="R253" i="16"/>
  <c r="AB256" i="16" a="1"/>
  <c r="R254" i="16" a="1"/>
  <c r="AA257" i="16"/>
  <c r="Q255" i="16"/>
  <c r="AB256" i="16" l="1"/>
  <c r="R254" i="16"/>
  <c r="R255" i="16" a="1"/>
  <c r="AB257" i="16" a="1"/>
  <c r="Q256" i="16"/>
  <c r="AA258" i="16"/>
  <c r="AB257" i="16" l="1"/>
  <c r="R255" i="16"/>
  <c r="Q257" i="16"/>
  <c r="AA259" i="16"/>
  <c r="R256" i="16" a="1"/>
  <c r="AB258" i="16" a="1"/>
  <c r="AB258" i="16" l="1"/>
  <c r="R256" i="16"/>
  <c r="AA260" i="16"/>
  <c r="AB259" i="16" a="1"/>
  <c r="R257" i="16" a="1"/>
  <c r="Q258" i="16"/>
  <c r="AB259" i="16" l="1"/>
  <c r="R257" i="16"/>
  <c r="AA261" i="16"/>
  <c r="AB260" i="16" a="1"/>
  <c r="R258" i="16" a="1"/>
  <c r="Q259" i="16"/>
  <c r="AB260" i="16" l="1"/>
  <c r="R258" i="16"/>
  <c r="AA262" i="16"/>
  <c r="R259" i="16" a="1"/>
  <c r="Q260" i="16"/>
  <c r="AB261" i="16" a="1"/>
  <c r="AB261" i="16" l="1"/>
  <c r="R259" i="16"/>
  <c r="AB262" i="16" a="1"/>
  <c r="Q261" i="16"/>
  <c r="AA263" i="16"/>
  <c r="R260" i="16" a="1"/>
  <c r="AB262" i="16" l="1"/>
  <c r="R260" i="16"/>
  <c r="Q262" i="16"/>
  <c r="R261" i="16" a="1"/>
  <c r="AB263" i="16" a="1"/>
  <c r="AA264" i="16"/>
  <c r="AB263" i="16" l="1"/>
  <c r="R261" i="16"/>
  <c r="AA265" i="16"/>
  <c r="Q263" i="16"/>
  <c r="R262" i="16" a="1"/>
  <c r="AB264" i="16" a="1"/>
  <c r="AB264" i="16" l="1"/>
  <c r="R262" i="16"/>
  <c r="R263" i="16" a="1"/>
  <c r="AB265" i="16" a="1"/>
  <c r="AA266" i="16"/>
  <c r="Q264" i="16"/>
  <c r="AB265" i="16" l="1"/>
  <c r="R263" i="16"/>
  <c r="Q265" i="16"/>
  <c r="AB266" i="16" a="1"/>
  <c r="AA267" i="16"/>
  <c r="R264" i="16" a="1"/>
  <c r="AB266" i="16" l="1"/>
  <c r="R264" i="16"/>
  <c r="R265" i="16" a="1"/>
  <c r="Q266" i="16"/>
  <c r="AA268" i="16"/>
  <c r="AB267" i="16" a="1"/>
  <c r="AB267" i="16" l="1"/>
  <c r="R265" i="16"/>
  <c r="R266" i="16" a="1"/>
  <c r="AB268" i="16" a="1"/>
  <c r="AA269" i="16"/>
  <c r="Q267" i="16"/>
  <c r="AB268" i="16" l="1"/>
  <c r="R266" i="16"/>
  <c r="AB269" i="16" a="1"/>
  <c r="Q268" i="16"/>
  <c r="AA270" i="16"/>
  <c r="R267" i="16" a="1"/>
  <c r="AB269" i="16" l="1"/>
  <c r="R267" i="16"/>
  <c r="Q269" i="16"/>
  <c r="AB270" i="16" a="1"/>
  <c r="AA271" i="16"/>
  <c r="R268" i="16" a="1"/>
  <c r="AB270" i="16" l="1"/>
  <c r="R268" i="16"/>
  <c r="AB271" i="16" a="1"/>
  <c r="AA272" i="16"/>
  <c r="Q270" i="16"/>
  <c r="R269" i="16" a="1"/>
  <c r="AB271" i="16" l="1"/>
  <c r="R269" i="16"/>
  <c r="R270" i="16" a="1"/>
  <c r="AB272" i="16" a="1"/>
  <c r="Q271" i="16"/>
  <c r="AA273" i="16"/>
  <c r="AB272" i="16" l="1"/>
  <c r="R270" i="16"/>
  <c r="AA274" i="16"/>
  <c r="R271" i="16" a="1"/>
  <c r="AB273" i="16" a="1"/>
  <c r="Q272" i="16"/>
  <c r="AB273" i="16" l="1"/>
  <c r="R271" i="16"/>
  <c r="R272" i="16" a="1"/>
  <c r="AB274" i="16" a="1"/>
  <c r="AA275" i="16"/>
  <c r="Q273" i="16"/>
  <c r="AB274" i="16" l="1"/>
  <c r="R272" i="16"/>
  <c r="AB275" i="16" a="1"/>
  <c r="Q274" i="16"/>
  <c r="AA276" i="16"/>
  <c r="R273" i="16" a="1"/>
  <c r="AB275" i="16" l="1"/>
  <c r="R273" i="16"/>
  <c r="AB276" i="16" a="1"/>
  <c r="R274" i="16" a="1"/>
  <c r="AA277" i="16"/>
  <c r="Q275" i="16"/>
  <c r="AB276" i="16" l="1"/>
  <c r="R274" i="16"/>
  <c r="Q276" i="16"/>
  <c r="R275" i="16" a="1"/>
  <c r="AA278" i="16"/>
  <c r="AB277" i="16" a="1"/>
  <c r="AB277" i="16" l="1"/>
  <c r="R275" i="16"/>
  <c r="R276" i="16" a="1"/>
  <c r="AA279" i="16"/>
  <c r="AB278" i="16" a="1"/>
  <c r="Q277" i="16"/>
  <c r="AB278" i="16" l="1"/>
  <c r="R276" i="16"/>
  <c r="AB279" i="16" a="1"/>
  <c r="R277" i="16" a="1"/>
  <c r="Q278" i="16"/>
  <c r="AA280" i="16"/>
  <c r="AB279" i="16" l="1"/>
  <c r="R277" i="16"/>
  <c r="Q279" i="16"/>
  <c r="R278" i="16" a="1"/>
  <c r="AA281" i="16"/>
  <c r="AB280" i="16" a="1"/>
  <c r="AB280" i="16" l="1"/>
  <c r="R278" i="16"/>
  <c r="Q280" i="16"/>
  <c r="R279" i="16" a="1"/>
  <c r="AB281" i="16" a="1"/>
  <c r="AA282" i="16"/>
  <c r="AB281" i="16" l="1"/>
  <c r="R279" i="16"/>
  <c r="R280" i="16" a="1"/>
  <c r="AB282" i="16" a="1"/>
  <c r="Q281" i="16"/>
  <c r="AA283" i="16"/>
  <c r="AB282" i="16" l="1"/>
  <c r="R280" i="16"/>
  <c r="AB283" i="16" a="1"/>
  <c r="R281" i="16" a="1"/>
  <c r="AA284" i="16"/>
  <c r="Q282" i="16"/>
  <c r="AB283" i="16" l="1"/>
  <c r="R281" i="16"/>
  <c r="AA285" i="16"/>
  <c r="AB284" i="16" a="1"/>
  <c r="R282" i="16" a="1"/>
  <c r="Q283" i="16"/>
  <c r="AB284" i="16" l="1"/>
  <c r="R282" i="16"/>
  <c r="R283" i="16" a="1"/>
  <c r="AA286" i="16"/>
  <c r="AB285" i="16" a="1"/>
  <c r="Q284" i="16"/>
  <c r="AB285" i="16" l="1"/>
  <c r="R283" i="16"/>
  <c r="R284" i="16" a="1"/>
  <c r="AA287" i="16"/>
  <c r="AB286" i="16" a="1"/>
  <c r="Q285" i="16"/>
  <c r="AB286" i="16" l="1"/>
  <c r="R284" i="16"/>
  <c r="AA288" i="16"/>
  <c r="AB287" i="16" a="1"/>
  <c r="Q286" i="16"/>
  <c r="R285" i="16" a="1"/>
  <c r="AB287" i="16" l="1"/>
  <c r="R285" i="16"/>
  <c r="Q287" i="16"/>
  <c r="R286" i="16" a="1"/>
  <c r="AB288" i="16" a="1"/>
  <c r="AA289" i="16"/>
  <c r="AB288" i="16" l="1"/>
  <c r="R286" i="16"/>
  <c r="AB289" i="16" a="1"/>
  <c r="AA290" i="16"/>
  <c r="R287" i="16" a="1"/>
  <c r="Q288" i="16"/>
  <c r="AB289" i="16" l="1"/>
  <c r="R287" i="16"/>
  <c r="R288" i="16" a="1"/>
  <c r="AB290" i="16" a="1"/>
  <c r="AA291" i="16"/>
  <c r="Q289" i="16"/>
  <c r="AB290" i="16" l="1"/>
  <c r="R288" i="16"/>
  <c r="AA292" i="16"/>
  <c r="AB291" i="16" a="1"/>
  <c r="R289" i="16" a="1"/>
  <c r="Q290" i="16"/>
  <c r="AB291" i="16" l="1"/>
  <c r="R289" i="16"/>
  <c r="R290" i="16" a="1"/>
  <c r="AB292" i="16" a="1"/>
  <c r="AA293" i="16"/>
  <c r="Q291" i="16"/>
  <c r="AB292" i="16" l="1"/>
  <c r="R290" i="16"/>
  <c r="AA294" i="16"/>
  <c r="AB293" i="16" a="1"/>
  <c r="Q292" i="16"/>
  <c r="R291" i="16" a="1"/>
  <c r="AB293" i="16" l="1"/>
  <c r="R291" i="16"/>
  <c r="AA295" i="16"/>
  <c r="AB294" i="16" a="1"/>
  <c r="R292" i="16" a="1"/>
  <c r="Q293" i="16"/>
  <c r="AB294" i="16" l="1"/>
  <c r="R292" i="16"/>
  <c r="R293" i="16" a="1"/>
  <c r="AA296" i="16"/>
  <c r="AB295" i="16" a="1"/>
  <c r="Q294" i="16"/>
  <c r="AB295" i="16" l="1"/>
  <c r="R293" i="16"/>
  <c r="AA297" i="16"/>
  <c r="AB296" i="16" a="1"/>
  <c r="Q295" i="16"/>
  <c r="R294" i="16" a="1"/>
  <c r="AB296" i="16" l="1"/>
  <c r="R294" i="16"/>
  <c r="Q296" i="16"/>
  <c r="R295" i="16" a="1"/>
  <c r="AA298" i="16"/>
  <c r="AB297" i="16" a="1"/>
  <c r="AB297" i="16" l="1"/>
  <c r="R295" i="16"/>
  <c r="AB298" i="16" a="1"/>
  <c r="AA299" i="16"/>
  <c r="R296" i="16" a="1"/>
  <c r="Q297" i="16"/>
  <c r="AB298" i="16" l="1"/>
  <c r="R296" i="16"/>
  <c r="AB299" i="16" a="1"/>
  <c r="Q298" i="16"/>
  <c r="AA300" i="16"/>
  <c r="R297" i="16" a="1"/>
  <c r="AB299" i="16" l="1"/>
  <c r="R297" i="16"/>
  <c r="AB300" i="16" a="1"/>
  <c r="R298" i="16" a="1"/>
  <c r="Q299" i="16"/>
  <c r="AA301" i="16"/>
  <c r="AB300" i="16" l="1"/>
  <c r="R298" i="16"/>
  <c r="R299" i="16" a="1"/>
  <c r="AB301" i="16" a="1"/>
  <c r="Q300" i="16"/>
  <c r="AA302" i="16"/>
  <c r="AB301" i="16" l="1"/>
  <c r="R299" i="16"/>
  <c r="Q301" i="16"/>
  <c r="R300" i="16" a="1"/>
  <c r="AB302" i="16" a="1"/>
  <c r="AA303" i="16"/>
  <c r="AB302" i="16" l="1"/>
  <c r="R300" i="16"/>
  <c r="Q302" i="16"/>
  <c r="AB303" i="16" a="1"/>
  <c r="AA304" i="16"/>
  <c r="R301" i="16" a="1"/>
  <c r="AB303" i="16" l="1"/>
  <c r="R301" i="16"/>
  <c r="AA305" i="16"/>
  <c r="AB304" i="16" a="1"/>
  <c r="Q303" i="16"/>
  <c r="R302" i="16" a="1"/>
  <c r="AB304" i="16" l="1"/>
  <c r="R302" i="16"/>
  <c r="R303" i="16" a="1"/>
  <c r="AA306" i="16"/>
  <c r="AB305" i="16" a="1"/>
  <c r="Q304" i="16"/>
  <c r="AB305" i="16" l="1"/>
  <c r="R303" i="16"/>
  <c r="Q305" i="16"/>
  <c r="R304" i="16" a="1"/>
  <c r="AB306" i="16" a="1"/>
  <c r="AA307" i="16"/>
  <c r="AB306" i="16" l="1"/>
  <c r="R304" i="16"/>
  <c r="AA308" i="16"/>
  <c r="Q306" i="16"/>
  <c r="R305" i="16" a="1"/>
  <c r="AB307" i="16" a="1"/>
  <c r="AB307" i="16" l="1"/>
  <c r="R305" i="16"/>
  <c r="AB308" i="16" a="1"/>
  <c r="Q307" i="16"/>
  <c r="AA309" i="16"/>
  <c r="R306" i="16" a="1"/>
  <c r="AB308" i="16" l="1"/>
  <c r="R306" i="16"/>
  <c r="R307" i="16" a="1"/>
  <c r="AA310" i="16"/>
  <c r="Q308" i="16"/>
  <c r="AB309" i="16" a="1"/>
  <c r="AB309" i="16" l="1"/>
  <c r="R307" i="16"/>
  <c r="Q309" i="16"/>
  <c r="R308" i="16" a="1"/>
  <c r="AB310" i="16" a="1"/>
  <c r="AA311" i="16"/>
  <c r="AB310" i="16" l="1"/>
  <c r="R308" i="16"/>
  <c r="AA312" i="16"/>
  <c r="AB311" i="16" a="1"/>
  <c r="Q310" i="16"/>
  <c r="R309" i="16" a="1"/>
  <c r="AB311" i="16" l="1"/>
  <c r="R309" i="16"/>
  <c r="AA313" i="16"/>
  <c r="Q311" i="16"/>
  <c r="AB312" i="16" a="1"/>
  <c r="R310" i="16" a="1"/>
  <c r="AB312" i="16" l="1"/>
  <c r="R310" i="16"/>
  <c r="AA314" i="16"/>
  <c r="R311" i="16" a="1"/>
  <c r="Q312" i="16"/>
  <c r="AB313" i="16" a="1"/>
  <c r="AB313" i="16" l="1"/>
  <c r="R311" i="16"/>
  <c r="AB314" i="16" a="1"/>
  <c r="Q313" i="16"/>
  <c r="AA315" i="16"/>
  <c r="R312" i="16" a="1"/>
  <c r="AB314" i="16" l="1"/>
  <c r="R312" i="16"/>
  <c r="AB315" i="16" a="1"/>
  <c r="R313" i="16" a="1"/>
  <c r="AA316" i="16"/>
  <c r="Q314" i="16"/>
  <c r="AB315" i="16" l="1"/>
  <c r="R313" i="16"/>
  <c r="R314" i="16" a="1"/>
  <c r="AA317" i="16"/>
  <c r="AB316" i="16" a="1"/>
  <c r="Q315" i="16"/>
  <c r="AB316" i="16" l="1"/>
  <c r="R314" i="16"/>
  <c r="Q316" i="16"/>
  <c r="R315" i="16" a="1"/>
  <c r="AB317" i="16" a="1"/>
  <c r="AA318" i="16"/>
  <c r="AB317" i="16" l="1"/>
  <c r="R315" i="16"/>
  <c r="AB318" i="16" a="1"/>
  <c r="Q317" i="16"/>
  <c r="AA319" i="16"/>
  <c r="R316" i="16" a="1"/>
  <c r="AB318" i="16" l="1"/>
  <c r="R316" i="16"/>
  <c r="AB319" i="16" a="1"/>
  <c r="Q318" i="16"/>
  <c r="AA320" i="16"/>
  <c r="R317" i="16" a="1"/>
  <c r="AB319" i="16" l="1"/>
  <c r="R317" i="16"/>
  <c r="AB320" i="16" a="1"/>
  <c r="R318" i="16" a="1"/>
  <c r="AA321" i="16"/>
  <c r="Q319" i="16"/>
  <c r="AB320" i="16" l="1"/>
  <c r="R318" i="16"/>
  <c r="R319" i="16" a="1"/>
  <c r="Q320" i="16"/>
  <c r="AA322" i="16"/>
  <c r="AB321" i="16" a="1"/>
  <c r="AB321" i="16" l="1"/>
  <c r="R319" i="16"/>
  <c r="AA323" i="16"/>
  <c r="R320" i="16" a="1"/>
  <c r="AB322" i="16" a="1"/>
  <c r="Q321" i="16"/>
  <c r="AB322" i="16" l="1"/>
  <c r="R320" i="16"/>
  <c r="Q322" i="16"/>
  <c r="AA324" i="16"/>
  <c r="R321" i="16" a="1"/>
  <c r="AB323" i="16" a="1"/>
  <c r="AB323" i="16" l="1"/>
  <c r="R321" i="16"/>
  <c r="AB324" i="16" a="1"/>
  <c r="Q323" i="16"/>
  <c r="R322" i="16" a="1"/>
  <c r="AA325" i="16"/>
  <c r="AB324" i="16" l="1"/>
  <c r="R322" i="16"/>
  <c r="AA326" i="16"/>
  <c r="AB325" i="16" a="1"/>
  <c r="Q324" i="16"/>
  <c r="R323" i="16" a="1"/>
  <c r="AB325" i="16" l="1"/>
  <c r="R323" i="16"/>
  <c r="Q325" i="16"/>
  <c r="R324" i="16" a="1"/>
  <c r="AA327" i="16"/>
  <c r="AB326" i="16" a="1"/>
  <c r="AB326" i="16" l="1"/>
  <c r="R324" i="16"/>
  <c r="R325" i="16" a="1"/>
  <c r="Q326" i="16"/>
  <c r="AB327" i="16" a="1"/>
  <c r="AA328" i="16"/>
  <c r="AB327" i="16" l="1"/>
  <c r="R325" i="16"/>
  <c r="AA329" i="16"/>
  <c r="AB328" i="16" a="1"/>
  <c r="R326" i="16" a="1"/>
  <c r="Q327" i="16"/>
  <c r="AB328" i="16" l="1"/>
  <c r="R326" i="16"/>
  <c r="AA330" i="16"/>
  <c r="R327" i="16" a="1"/>
  <c r="Q328" i="16"/>
  <c r="AB329" i="16" a="1"/>
  <c r="AB329" i="16" l="1"/>
  <c r="R327" i="16"/>
  <c r="R328" i="16" a="1"/>
  <c r="AB330" i="16" a="1"/>
  <c r="Q329" i="16"/>
  <c r="AA331" i="16"/>
  <c r="AB330" i="16" l="1"/>
  <c r="R328" i="16"/>
  <c r="AB331" i="16" a="1"/>
  <c r="Q330" i="16"/>
  <c r="AA332" i="16"/>
  <c r="R329" i="16" a="1"/>
  <c r="AB331" i="16" l="1"/>
  <c r="R329" i="16"/>
  <c r="AA333" i="16"/>
  <c r="Q331" i="16"/>
  <c r="R330" i="16" a="1"/>
  <c r="AB332" i="16" a="1"/>
  <c r="AB332" i="16" l="1"/>
  <c r="R330" i="16"/>
  <c r="AB333" i="16" a="1"/>
  <c r="AA334" i="16"/>
  <c r="R331" i="16" a="1"/>
  <c r="Q332" i="16"/>
  <c r="AB333" i="16" l="1"/>
  <c r="R331" i="16"/>
  <c r="AB334" i="16" a="1"/>
  <c r="AA335" i="16"/>
  <c r="R332" i="16" a="1"/>
  <c r="Q333" i="16"/>
  <c r="AB334" i="16" l="1"/>
  <c r="R332" i="16"/>
  <c r="R333" i="16" a="1"/>
  <c r="Q334" i="16"/>
  <c r="AA336" i="16"/>
  <c r="AB335" i="16" a="1"/>
  <c r="AB335" i="16" l="1"/>
  <c r="R333" i="16"/>
  <c r="AA337" i="16"/>
  <c r="AB336" i="16" a="1"/>
  <c r="R334" i="16" a="1"/>
  <c r="Q335" i="16"/>
  <c r="AB336" i="16" l="1"/>
  <c r="R334" i="16"/>
  <c r="R335" i="16" a="1"/>
  <c r="AA338" i="16"/>
  <c r="AB337" i="16" a="1"/>
  <c r="Q336" i="16"/>
  <c r="AB337" i="16" l="1"/>
  <c r="R335" i="16"/>
  <c r="R336" i="16" a="1"/>
  <c r="Q337" i="16"/>
  <c r="AB338" i="16" a="1"/>
  <c r="AA339" i="16"/>
  <c r="AB338" i="16" l="1"/>
  <c r="R336" i="16"/>
  <c r="AB339" i="16" a="1"/>
  <c r="Q338" i="16"/>
  <c r="AA340" i="16"/>
  <c r="R337" i="16" a="1"/>
  <c r="AB339" i="16" l="1"/>
  <c r="R337" i="16"/>
  <c r="Q339" i="16"/>
  <c r="AB340" i="16" a="1"/>
  <c r="R338" i="16" a="1"/>
  <c r="AA341" i="16"/>
  <c r="AB340" i="16" l="1"/>
  <c r="R338" i="16"/>
  <c r="Q340" i="16"/>
  <c r="AA342" i="16"/>
  <c r="AB341" i="16" a="1"/>
  <c r="R339" i="16" a="1"/>
  <c r="AB341" i="16" l="1"/>
  <c r="R339" i="16"/>
  <c r="AB342" i="16" a="1"/>
  <c r="Q341" i="16"/>
  <c r="AA343" i="16"/>
  <c r="R340" i="16" a="1"/>
  <c r="AB342" i="16" l="1"/>
  <c r="R340" i="16"/>
  <c r="AA344" i="16"/>
  <c r="Q342" i="16"/>
  <c r="AB343" i="16" a="1"/>
  <c r="R341" i="16" a="1"/>
  <c r="AB343" i="16" l="1"/>
  <c r="R341" i="16"/>
  <c r="AB344" i="16" a="1"/>
  <c r="R342" i="16" a="1"/>
  <c r="Q343" i="16"/>
  <c r="AA345" i="16"/>
  <c r="AB344" i="16" l="1"/>
  <c r="R342" i="16"/>
  <c r="AA346" i="16"/>
  <c r="Q344" i="16"/>
  <c r="R343" i="16" a="1"/>
  <c r="AB345" i="16" a="1"/>
  <c r="AB345" i="16" l="1"/>
  <c r="R343" i="16"/>
  <c r="R344" i="16" a="1"/>
  <c r="AB346" i="16" a="1"/>
  <c r="AA347" i="16"/>
  <c r="Q345" i="16"/>
  <c r="AB346" i="16" l="1"/>
  <c r="R344" i="16"/>
  <c r="AB347" i="16" a="1"/>
  <c r="R345" i="16" a="1"/>
  <c r="Q346" i="16"/>
  <c r="AA348" i="16"/>
  <c r="AB347" i="16" l="1"/>
  <c r="R345" i="16"/>
  <c r="AB348" i="16" a="1"/>
  <c r="AA349" i="16"/>
  <c r="Q347" i="16"/>
  <c r="R346" i="16" a="1"/>
  <c r="AB348" i="16" l="1"/>
  <c r="R346" i="16"/>
  <c r="R347" i="16" a="1"/>
  <c r="AA350" i="16"/>
  <c r="Q348" i="16"/>
  <c r="AB349" i="16" a="1"/>
  <c r="AB349" i="16" l="1"/>
  <c r="R347" i="16"/>
  <c r="AB350" i="16" a="1"/>
  <c r="Q349" i="16"/>
  <c r="R348" i="16" a="1"/>
  <c r="AA351" i="16"/>
  <c r="AB350" i="16" l="1"/>
  <c r="R348" i="16"/>
  <c r="R349" i="16" a="1"/>
  <c r="AA352" i="16"/>
  <c r="AB351" i="16" a="1"/>
  <c r="Q350" i="16"/>
  <c r="AB351" i="16" l="1"/>
  <c r="R349" i="16"/>
  <c r="R350" i="16" a="1"/>
  <c r="AA353" i="16"/>
  <c r="Q351" i="16"/>
  <c r="AB352" i="16" a="1"/>
  <c r="AB352" i="16" l="1"/>
  <c r="R350" i="16"/>
  <c r="AB353" i="16" a="1"/>
  <c r="R351" i="16" a="1"/>
  <c r="AA354" i="16"/>
  <c r="Q352" i="16"/>
  <c r="AB353" i="16" l="1"/>
  <c r="R351" i="16"/>
  <c r="Q353" i="16"/>
  <c r="AB354" i="16" a="1"/>
  <c r="R352" i="16" a="1"/>
  <c r="AA355" i="16"/>
  <c r="AB354" i="16" l="1"/>
  <c r="R352" i="16"/>
  <c r="AA356" i="16"/>
  <c r="AB355" i="16" a="1"/>
  <c r="Q354" i="16"/>
  <c r="R353" i="16" a="1"/>
  <c r="AB355" i="16" l="1"/>
  <c r="R353" i="16"/>
  <c r="Q355" i="16"/>
  <c r="R354" i="16" a="1"/>
  <c r="AB356" i="16" a="1"/>
  <c r="AA357" i="16"/>
  <c r="AB356" i="16" l="1"/>
  <c r="R354" i="16"/>
  <c r="Q356" i="16"/>
  <c r="R355" i="16" a="1"/>
  <c r="AA358" i="16"/>
  <c r="AB357" i="16" a="1"/>
  <c r="AB357" i="16" l="1"/>
  <c r="R355" i="16"/>
  <c r="Q357" i="16"/>
  <c r="R356" i="16" a="1"/>
  <c r="AA359" i="16"/>
  <c r="AB358" i="16" a="1"/>
  <c r="AB358" i="16" l="1"/>
  <c r="R356" i="16"/>
  <c r="Q358" i="16"/>
  <c r="AA360" i="16"/>
  <c r="AB359" i="16" a="1"/>
  <c r="R357" i="16" a="1"/>
  <c r="AB359" i="16" l="1"/>
  <c r="R357" i="16"/>
  <c r="AB360" i="16" a="1"/>
  <c r="R358" i="16" a="1"/>
  <c r="AA361" i="16"/>
  <c r="Q359" i="16"/>
  <c r="AB360" i="16" l="1"/>
  <c r="R358" i="16"/>
  <c r="Q360" i="16"/>
  <c r="AA362" i="16"/>
  <c r="R359" i="16" a="1"/>
  <c r="AB361" i="16" a="1"/>
  <c r="AB361" i="16" l="1"/>
  <c r="R359" i="16"/>
  <c r="Q361" i="16"/>
  <c r="R360" i="16" a="1"/>
  <c r="AB362" i="16" a="1"/>
  <c r="AA363" i="16"/>
  <c r="AB362" i="16" l="1"/>
  <c r="R360" i="16"/>
  <c r="AA364" i="16"/>
  <c r="R361" i="16" a="1"/>
  <c r="AB363" i="16" a="1"/>
  <c r="Q362" i="16"/>
  <c r="AB363" i="16" l="1"/>
  <c r="R361" i="16"/>
  <c r="R362" i="16" a="1"/>
  <c r="Q363" i="16"/>
  <c r="AB364" i="16" a="1"/>
  <c r="AA365" i="16"/>
  <c r="AB364" i="16" l="1"/>
  <c r="R362" i="16"/>
  <c r="Q364" i="16"/>
  <c r="R363" i="16" a="1"/>
  <c r="AB365" i="16" a="1"/>
  <c r="AA366" i="16"/>
  <c r="AB365" i="16" l="1"/>
  <c r="R363" i="16"/>
  <c r="Q365" i="16"/>
  <c r="AB366" i="16" a="1"/>
  <c r="R364" i="16" a="1"/>
  <c r="AA367" i="16"/>
  <c r="AB366" i="16" l="1"/>
  <c r="R364" i="16"/>
  <c r="AB367" i="16" a="1"/>
  <c r="Q366" i="16"/>
  <c r="AA368" i="16"/>
  <c r="R365" i="16" a="1"/>
  <c r="AB367" i="16" l="1"/>
  <c r="R365" i="16"/>
  <c r="AB368" i="16" a="1"/>
  <c r="R366" i="16" a="1"/>
  <c r="Q367" i="16"/>
  <c r="AA369" i="16"/>
  <c r="AB368" i="16" l="1"/>
  <c r="R366" i="16"/>
  <c r="AA370" i="16"/>
  <c r="R367" i="16" a="1"/>
  <c r="AB369" i="16" a="1"/>
  <c r="Q368" i="16"/>
  <c r="AB369" i="16" l="1"/>
  <c r="R367" i="16"/>
  <c r="R368" i="16" a="1"/>
  <c r="AB370" i="16" a="1"/>
  <c r="Q369" i="16"/>
  <c r="AA371" i="16"/>
  <c r="AB370" i="16" l="1"/>
  <c r="R368" i="16"/>
  <c r="R369" i="16" a="1"/>
  <c r="AA372" i="16"/>
  <c r="AB371" i="16" a="1"/>
  <c r="Q370" i="16"/>
  <c r="AB371" i="16" l="1"/>
  <c r="R369" i="16"/>
  <c r="AB372" i="16" a="1"/>
  <c r="R370" i="16" a="1"/>
  <c r="Q371" i="16"/>
  <c r="AA373" i="16"/>
  <c r="AB372" i="16" l="1"/>
  <c r="R370" i="16"/>
  <c r="AB373" i="16" a="1"/>
  <c r="AA374" i="16"/>
  <c r="R371" i="16" a="1"/>
  <c r="Q372" i="16"/>
  <c r="AB373" i="16" l="1"/>
  <c r="R371" i="16"/>
  <c r="Q373" i="16"/>
  <c r="AA375" i="16"/>
  <c r="AB374" i="16" a="1"/>
  <c r="R372" i="16" a="1"/>
  <c r="AB374" i="16" l="1"/>
  <c r="R372" i="16"/>
  <c r="AA376" i="16"/>
  <c r="R373" i="16" a="1"/>
  <c r="Q374" i="16"/>
  <c r="AB375" i="16" a="1"/>
  <c r="AB375" i="16" l="1"/>
  <c r="R373" i="16"/>
  <c r="Q375" i="16"/>
  <c r="AB376" i="16" a="1"/>
  <c r="R374" i="16" a="1"/>
  <c r="AA377" i="16"/>
  <c r="AB376" i="16" l="1"/>
  <c r="R374" i="16"/>
  <c r="R375" i="16" a="1"/>
  <c r="Q376" i="16"/>
  <c r="AB377" i="16" a="1"/>
  <c r="AA378" i="16"/>
  <c r="AB377" i="16" l="1"/>
  <c r="R375" i="16"/>
  <c r="R376" i="16" a="1"/>
  <c r="Q377" i="16"/>
  <c r="AB378" i="16" a="1"/>
  <c r="AA379" i="16"/>
  <c r="AB378" i="16" l="1"/>
  <c r="R376" i="16"/>
  <c r="AA380" i="16"/>
  <c r="Q378" i="16"/>
  <c r="AB379" i="16" a="1"/>
  <c r="R377" i="16" a="1"/>
  <c r="AB379" i="16" l="1"/>
  <c r="R377" i="16"/>
  <c r="Q379" i="16"/>
  <c r="AB380" i="16" a="1"/>
  <c r="AA381" i="16"/>
  <c r="R378" i="16" a="1"/>
  <c r="AB380" i="16" l="1"/>
  <c r="R378" i="16"/>
  <c r="AB381" i="16" a="1"/>
  <c r="AA382" i="16"/>
  <c r="Q380" i="16"/>
  <c r="R379" i="16" a="1"/>
  <c r="AB381" i="16" l="1"/>
  <c r="R379" i="16"/>
  <c r="Q381" i="16"/>
  <c r="AA383" i="16"/>
  <c r="R380" i="16" a="1"/>
  <c r="AB382" i="16" a="1"/>
  <c r="AB382" i="16" l="1"/>
  <c r="R380" i="16"/>
  <c r="AA384" i="16"/>
  <c r="R381" i="16" a="1"/>
  <c r="AB383" i="16" a="1"/>
  <c r="Q382" i="16"/>
  <c r="AB383" i="16" l="1"/>
  <c r="R381" i="16"/>
  <c r="AB384" i="16" a="1"/>
  <c r="R382" i="16" a="1"/>
  <c r="AA385" i="16"/>
  <c r="Q383" i="16"/>
  <c r="AB384" i="16" l="1"/>
  <c r="R382" i="16"/>
  <c r="AA386" i="16"/>
  <c r="R383" i="16" a="1"/>
  <c r="Q384" i="16"/>
  <c r="AB385" i="16" a="1"/>
  <c r="AB385" i="16" l="1"/>
  <c r="R383" i="16"/>
  <c r="AB386" i="16" a="1"/>
  <c r="R384" i="16" a="1"/>
  <c r="Q385" i="16"/>
  <c r="AA387" i="16"/>
  <c r="AB386" i="16" l="1"/>
  <c r="R384" i="16"/>
  <c r="AB387" i="16" a="1"/>
  <c r="R385" i="16" a="1"/>
  <c r="Q386" i="16"/>
  <c r="AA388" i="16"/>
  <c r="AB387" i="16" l="1"/>
  <c r="R385" i="16"/>
  <c r="AB388" i="16" a="1"/>
  <c r="R386" i="16" a="1"/>
  <c r="AA389" i="16"/>
  <c r="Q387" i="16"/>
  <c r="AB388" i="16" l="1"/>
  <c r="R386" i="16"/>
  <c r="AB389" i="16" a="1"/>
  <c r="AA390" i="16"/>
  <c r="R387" i="16" a="1"/>
  <c r="Q388" i="16"/>
  <c r="AB389" i="16" l="1"/>
  <c r="R387" i="16"/>
  <c r="R388" i="16" a="1"/>
  <c r="AB390" i="16" a="1"/>
  <c r="Q389" i="16"/>
  <c r="AA391" i="16"/>
  <c r="AB390" i="16" l="1"/>
  <c r="R388" i="16"/>
  <c r="R389" i="16" a="1"/>
  <c r="AB391" i="16" a="1"/>
  <c r="Q390" i="16"/>
  <c r="AA392" i="16"/>
  <c r="AB391" i="16" l="1"/>
  <c r="R389" i="16"/>
  <c r="R390" i="16" a="1"/>
  <c r="Q391" i="16"/>
  <c r="AA393" i="16"/>
  <c r="AB392" i="16" a="1"/>
  <c r="AB392" i="16" l="1"/>
  <c r="R390" i="16"/>
  <c r="Q392" i="16"/>
  <c r="AB393" i="16" a="1"/>
  <c r="R391" i="16" a="1"/>
  <c r="AA394" i="16"/>
  <c r="AB393" i="16" l="1"/>
  <c r="R391" i="16"/>
  <c r="AA395" i="16"/>
  <c r="AB394" i="16" a="1"/>
  <c r="R392" i="16" a="1"/>
  <c r="Q393" i="16"/>
  <c r="AB394" i="16" l="1"/>
  <c r="R392" i="16"/>
  <c r="AA396" i="16"/>
  <c r="AB395" i="16" a="1"/>
  <c r="R393" i="16" a="1"/>
  <c r="Q394" i="16"/>
  <c r="AB395" i="16" l="1"/>
  <c r="R393" i="16"/>
  <c r="Q395" i="16"/>
  <c r="R394" i="16" a="1"/>
  <c r="AA397" i="16"/>
  <c r="AB396" i="16" a="1"/>
  <c r="AB396" i="16" l="1"/>
  <c r="R394" i="16"/>
  <c r="Q396" i="16"/>
  <c r="AB397" i="16" a="1"/>
  <c r="R395" i="16" a="1"/>
  <c r="AA398" i="16"/>
  <c r="AB397" i="16" l="1"/>
  <c r="R395" i="16"/>
  <c r="AB398" i="16" a="1"/>
  <c r="R396" i="16" a="1"/>
  <c r="AA399" i="16"/>
  <c r="Q397" i="16"/>
  <c r="AB398" i="16" l="1"/>
  <c r="R396" i="16"/>
  <c r="AA400" i="16"/>
  <c r="R397" i="16" a="1"/>
  <c r="AB399" i="16" a="1"/>
  <c r="Q398" i="16"/>
  <c r="AB399" i="16" l="1"/>
  <c r="R397" i="16"/>
  <c r="AB400" i="16" a="1"/>
  <c r="R398" i="16" a="1"/>
  <c r="AA401" i="16"/>
  <c r="Q399" i="16"/>
  <c r="AB400" i="16" l="1"/>
  <c r="R398" i="16"/>
  <c r="AB401" i="16" a="1"/>
  <c r="R399" i="16" a="1"/>
  <c r="Q400" i="16"/>
  <c r="AA402" i="16"/>
  <c r="AB401" i="16" l="1"/>
  <c r="R399" i="16"/>
  <c r="R400" i="16" a="1"/>
  <c r="AA403" i="16"/>
  <c r="AB402" i="16" a="1"/>
  <c r="Q401" i="16"/>
  <c r="AB402" i="16" l="1"/>
  <c r="R400" i="16"/>
  <c r="R401" i="16" a="1"/>
  <c r="AB403" i="16" a="1"/>
  <c r="AA404" i="16"/>
  <c r="Q402" i="16"/>
  <c r="AB403" i="16" l="1"/>
  <c r="R401" i="16"/>
  <c r="Q403" i="16"/>
  <c r="AA405" i="16"/>
  <c r="R402" i="16" a="1"/>
  <c r="AB404" i="16" a="1"/>
  <c r="AB404" i="16" l="1"/>
  <c r="R402" i="16"/>
  <c r="Q404" i="16"/>
  <c r="AB405" i="16" a="1"/>
  <c r="AA406" i="16"/>
  <c r="R403" i="16" a="1"/>
  <c r="AB405" i="16" l="1"/>
  <c r="R403" i="16"/>
  <c r="R404" i="16" a="1"/>
  <c r="AA407" i="16"/>
  <c r="AB406" i="16" a="1"/>
  <c r="Q405" i="16"/>
  <c r="AB406" i="16" l="1"/>
  <c r="R404" i="16"/>
  <c r="Q406" i="16"/>
  <c r="R405" i="16" a="1"/>
  <c r="AA408" i="16"/>
  <c r="AB407" i="16" a="1"/>
  <c r="AB407" i="16" l="1"/>
  <c r="R405" i="16"/>
  <c r="AB408" i="16" a="1"/>
  <c r="R406" i="16" a="1"/>
  <c r="AA409" i="16"/>
  <c r="Q407" i="16"/>
  <c r="AB408" i="16" l="1"/>
  <c r="R406" i="16"/>
  <c r="AB409" i="16" a="1"/>
  <c r="AA410" i="16"/>
  <c r="Q408" i="16"/>
  <c r="R407" i="16" a="1"/>
  <c r="AB409" i="16" l="1"/>
  <c r="R407" i="16"/>
  <c r="R408" i="16" a="1"/>
  <c r="Q409" i="16"/>
  <c r="AB410" i="16" a="1"/>
  <c r="AA411" i="16"/>
  <c r="AB410" i="16" l="1"/>
  <c r="R408" i="16"/>
  <c r="AB411" i="16" a="1"/>
  <c r="R409" i="16" a="1"/>
  <c r="AA412" i="16"/>
  <c r="Q410" i="16"/>
  <c r="AB411" i="16" l="1"/>
  <c r="R409" i="16"/>
  <c r="AB412" i="16" a="1"/>
  <c r="R410" i="16" a="1"/>
  <c r="AA413" i="16"/>
  <c r="Q411" i="16"/>
  <c r="AB412" i="16" l="1"/>
  <c r="R410" i="16"/>
  <c r="R411" i="16" a="1"/>
  <c r="AA414" i="16"/>
  <c r="AB413" i="16" a="1"/>
  <c r="Q412" i="16"/>
  <c r="AB413" i="16" l="1"/>
  <c r="R411" i="16"/>
  <c r="AB414" i="16" a="1"/>
  <c r="Q413" i="16"/>
  <c r="AA415" i="16"/>
  <c r="R412" i="16" a="1"/>
  <c r="AB414" i="16" l="1"/>
  <c r="R412" i="16"/>
  <c r="R413" i="16" a="1"/>
  <c r="AA416" i="16"/>
  <c r="AB415" i="16" a="1"/>
  <c r="Q414" i="16"/>
  <c r="AB415" i="16" l="1"/>
  <c r="R413" i="16"/>
  <c r="AB416" i="16" a="1"/>
  <c r="AA417" i="16"/>
  <c r="R414" i="16" a="1"/>
  <c r="Q415" i="16"/>
  <c r="AB416" i="16" l="1"/>
  <c r="R414" i="16"/>
  <c r="AB417" i="16" a="1"/>
  <c r="R415" i="16" a="1"/>
  <c r="Q416" i="16"/>
  <c r="AA418" i="16"/>
  <c r="AB417" i="16" l="1"/>
  <c r="R415" i="16"/>
  <c r="AA419" i="16"/>
  <c r="Q417" i="16"/>
  <c r="R416" i="16" a="1"/>
  <c r="AB418" i="16" a="1"/>
  <c r="AB418" i="16" l="1"/>
  <c r="R416" i="16"/>
  <c r="R417" i="16" a="1"/>
  <c r="AB419" i="16" a="1"/>
  <c r="Q418" i="16"/>
  <c r="AA420" i="16"/>
  <c r="AB419" i="16" l="1"/>
  <c r="R417" i="16"/>
  <c r="Q419" i="16"/>
  <c r="AA421" i="16"/>
  <c r="AB420" i="16" a="1"/>
  <c r="R418" i="16" a="1"/>
  <c r="AB420" i="16" l="1"/>
  <c r="R418" i="16"/>
  <c r="Q420" i="16"/>
  <c r="AA422" i="16"/>
  <c r="AB421" i="16" a="1"/>
  <c r="R419" i="16" a="1"/>
  <c r="AB421" i="16" l="1"/>
  <c r="R419" i="16"/>
  <c r="AA423" i="16"/>
  <c r="R420" i="16" a="1"/>
  <c r="AB422" i="16" a="1"/>
  <c r="Q421" i="16"/>
  <c r="AB422" i="16" l="1"/>
  <c r="R420" i="16"/>
  <c r="AB423" i="16" a="1"/>
  <c r="AA424" i="16"/>
  <c r="R421" i="16" a="1"/>
  <c r="Q422" i="16"/>
  <c r="AB423" i="16" l="1"/>
  <c r="R421" i="16"/>
  <c r="AB424" i="16" a="1"/>
  <c r="R422" i="16" a="1"/>
  <c r="Q423" i="16"/>
  <c r="AA425" i="16"/>
  <c r="AB424" i="16" l="1"/>
  <c r="R422" i="16"/>
  <c r="Q424" i="16"/>
  <c r="AA426" i="16"/>
  <c r="AB425" i="16" a="1"/>
  <c r="R423" i="16" a="1"/>
  <c r="AB425" i="16" l="1"/>
  <c r="R423" i="16"/>
  <c r="AB426" i="16" a="1"/>
  <c r="AA427" i="16"/>
  <c r="R424" i="16" a="1"/>
  <c r="Q425" i="16"/>
  <c r="AB426" i="16" l="1"/>
  <c r="R424" i="16"/>
  <c r="R425" i="16" a="1"/>
  <c r="Q426" i="16"/>
  <c r="AA428" i="16"/>
  <c r="AB427" i="16" a="1"/>
  <c r="AB427" i="16" l="1"/>
  <c r="R425" i="16"/>
  <c r="AB428" i="16" a="1"/>
  <c r="Q427" i="16"/>
  <c r="AA429" i="16"/>
  <c r="R426" i="16" a="1"/>
  <c r="AB428" i="16" l="1"/>
  <c r="R426" i="16"/>
  <c r="AA430" i="16"/>
  <c r="AB429" i="16" a="1"/>
  <c r="R427" i="16" a="1"/>
  <c r="Q428" i="16"/>
  <c r="AB429" i="16" l="1"/>
  <c r="R427" i="16"/>
  <c r="AB430" i="16" a="1"/>
  <c r="R428" i="16" a="1"/>
  <c r="Q429" i="16"/>
  <c r="AA431" i="16"/>
  <c r="AB430" i="16" l="1"/>
  <c r="R428" i="16"/>
  <c r="AA432" i="16"/>
  <c r="Q430" i="16"/>
  <c r="R429" i="16" a="1"/>
  <c r="AB431" i="16" a="1"/>
  <c r="AB431" i="16" l="1"/>
  <c r="R429" i="16"/>
  <c r="AA433" i="16"/>
  <c r="R430" i="16" a="1"/>
  <c r="Q431" i="16"/>
  <c r="AB432" i="16" a="1"/>
  <c r="AB432" i="16" l="1"/>
  <c r="R430" i="16"/>
  <c r="AA434" i="16"/>
  <c r="R431" i="16" a="1"/>
  <c r="AB433" i="16" a="1"/>
  <c r="Q432" i="16"/>
  <c r="AB433" i="16" l="1"/>
  <c r="R431" i="16"/>
  <c r="R432" i="16" a="1"/>
  <c r="AB434" i="16" a="1"/>
  <c r="Q433" i="16"/>
  <c r="AA435" i="16"/>
  <c r="AB434" i="16" l="1"/>
  <c r="R432" i="16"/>
  <c r="AB435" i="16" a="1"/>
  <c r="R433" i="16" a="1"/>
  <c r="Q434" i="16"/>
  <c r="AA436" i="16"/>
  <c r="AB435" i="16" l="1"/>
  <c r="R433" i="16"/>
  <c r="Q435" i="16"/>
  <c r="AB436" i="16" a="1"/>
  <c r="R434" i="16" a="1"/>
  <c r="AA437" i="16"/>
  <c r="AB436" i="16" l="1"/>
  <c r="R434" i="16"/>
  <c r="Q436" i="16"/>
  <c r="R435" i="16" a="1"/>
  <c r="AA438" i="16"/>
  <c r="AB437" i="16" a="1"/>
  <c r="AB437" i="16" l="1"/>
  <c r="R435" i="16"/>
  <c r="AB438" i="16" a="1"/>
  <c r="AA439" i="16"/>
  <c r="Q437" i="16"/>
  <c r="R436" i="16" a="1"/>
  <c r="AB438" i="16" l="1"/>
  <c r="R436" i="16"/>
  <c r="Q438" i="16"/>
  <c r="R437" i="16" a="1"/>
  <c r="AA440" i="16"/>
  <c r="AB439" i="16" a="1"/>
  <c r="AB439" i="16" l="1"/>
  <c r="R437" i="16"/>
  <c r="AB440" i="16" a="1"/>
  <c r="Q439" i="16"/>
  <c r="R438" i="16" a="1"/>
  <c r="AA441" i="16"/>
  <c r="AB440" i="16" l="1"/>
  <c r="R438" i="16"/>
  <c r="AA442" i="16"/>
  <c r="AB441" i="16" a="1"/>
  <c r="R439" i="16" a="1"/>
  <c r="Q440" i="16"/>
  <c r="AB441" i="16" l="1"/>
  <c r="R439" i="16"/>
  <c r="AA443" i="16"/>
  <c r="AB442" i="16" a="1"/>
  <c r="R440" i="16" a="1"/>
  <c r="Q441" i="16"/>
  <c r="AB442" i="16" l="1"/>
  <c r="R440" i="16"/>
  <c r="Q442" i="16"/>
  <c r="R441" i="16" a="1"/>
  <c r="AB443" i="16" a="1"/>
  <c r="AA444" i="16"/>
  <c r="AB443" i="16" l="1"/>
  <c r="R441" i="16"/>
  <c r="R442" i="16" a="1"/>
  <c r="AB444" i="16" a="1"/>
  <c r="Q443" i="16"/>
  <c r="AA445" i="16"/>
  <c r="AB444" i="16" l="1"/>
  <c r="R442" i="16"/>
  <c r="Q444" i="16"/>
  <c r="AA446" i="16"/>
  <c r="R443" i="16" a="1"/>
  <c r="AB445" i="16" a="1"/>
  <c r="AB445" i="16" l="1"/>
  <c r="R443" i="16"/>
  <c r="AB446" i="16" a="1"/>
  <c r="R444" i="16" a="1"/>
  <c r="Q445" i="16"/>
  <c r="AA447" i="16"/>
  <c r="AB446" i="16" l="1"/>
  <c r="R444" i="16"/>
  <c r="R445" i="16" a="1"/>
  <c r="AB447" i="16" a="1"/>
  <c r="AA448" i="16"/>
  <c r="Q446" i="16"/>
  <c r="AB447" i="16" l="1"/>
  <c r="R445" i="16"/>
  <c r="AA449" i="16"/>
  <c r="Q447" i="16"/>
  <c r="AB448" i="16" a="1"/>
  <c r="R446" i="16" a="1"/>
  <c r="AB448" i="16" l="1"/>
  <c r="R446" i="16"/>
  <c r="R447" i="16" a="1"/>
  <c r="AA450" i="16"/>
  <c r="Q448" i="16"/>
  <c r="AB449" i="16" a="1"/>
  <c r="AB449" i="16" l="1"/>
  <c r="R447" i="16"/>
  <c r="AB450" i="16" a="1"/>
  <c r="Q449" i="16"/>
  <c r="AA451" i="16"/>
  <c r="R448" i="16" a="1"/>
  <c r="AB450" i="16" l="1"/>
  <c r="R448" i="16"/>
  <c r="AA452" i="16"/>
  <c r="R449" i="16" a="1"/>
  <c r="Q450" i="16"/>
  <c r="AB451" i="16" a="1"/>
  <c r="AB451" i="16" l="1"/>
  <c r="R449" i="16"/>
  <c r="Q451" i="16"/>
  <c r="AA453" i="16"/>
  <c r="AB452" i="16" a="1"/>
  <c r="R450" i="16" a="1"/>
  <c r="AB452" i="16" l="1"/>
  <c r="R450" i="16"/>
  <c r="Q452" i="16"/>
  <c r="AB453" i="16" a="1"/>
  <c r="AA454" i="16"/>
  <c r="R451" i="16" a="1"/>
  <c r="AB453" i="16" l="1"/>
  <c r="R451" i="16"/>
  <c r="R452" i="16" a="1"/>
  <c r="Q453" i="16"/>
  <c r="AB454" i="16" a="1"/>
  <c r="AA455" i="16"/>
  <c r="AB454" i="16" l="1"/>
  <c r="R452" i="16"/>
  <c r="AA456" i="16"/>
  <c r="R453" i="16" a="1"/>
  <c r="AB455" i="16" a="1"/>
  <c r="Q454" i="16"/>
  <c r="AB455" i="16" l="1"/>
  <c r="R453" i="16"/>
  <c r="AA457" i="16"/>
  <c r="Q455" i="16"/>
  <c r="AB456" i="16" a="1"/>
  <c r="R454" i="16" a="1"/>
  <c r="AB456" i="16" l="1"/>
  <c r="R454" i="16"/>
  <c r="AB457" i="16" a="1"/>
  <c r="R455" i="16" a="1"/>
  <c r="AA458" i="16"/>
  <c r="Q456" i="16"/>
  <c r="AB457" i="16" l="1"/>
  <c r="R455" i="16"/>
  <c r="AA459" i="16"/>
  <c r="AB458" i="16" a="1"/>
  <c r="R456" i="16" a="1"/>
  <c r="Q457" i="16"/>
  <c r="AB458" i="16" l="1"/>
  <c r="R456" i="16"/>
  <c r="AA460" i="16"/>
  <c r="R457" i="16" a="1"/>
  <c r="AB459" i="16" a="1"/>
  <c r="Q458" i="16"/>
  <c r="AB459" i="16" l="1"/>
  <c r="R457" i="16"/>
  <c r="R458" i="16" a="1"/>
  <c r="Q459" i="16"/>
  <c r="AB460" i="16" a="1"/>
  <c r="AA461" i="16"/>
  <c r="AB460" i="16" l="1"/>
  <c r="R458" i="16"/>
  <c r="Q460" i="16"/>
  <c r="AA462" i="16"/>
  <c r="R459" i="16" a="1"/>
  <c r="AB461" i="16" a="1"/>
  <c r="AB461" i="16" l="1"/>
  <c r="R459" i="16"/>
  <c r="AB462" i="16" a="1"/>
  <c r="R460" i="16" a="1"/>
  <c r="AA463" i="16"/>
  <c r="Q461" i="16"/>
  <c r="AB462" i="16" l="1"/>
  <c r="R460" i="16"/>
  <c r="R461" i="16" a="1"/>
  <c r="Q462" i="16"/>
  <c r="AA464" i="16"/>
  <c r="AB463" i="16" a="1"/>
  <c r="AB463" i="16" l="1"/>
  <c r="R461" i="16"/>
  <c r="AA465" i="16"/>
  <c r="Q463" i="16"/>
  <c r="R462" i="16" a="1"/>
  <c r="AB464" i="16" a="1"/>
  <c r="AB464" i="16" l="1"/>
  <c r="R462" i="16"/>
  <c r="R463" i="16" a="1"/>
  <c r="AB465" i="16" a="1"/>
  <c r="AA466" i="16"/>
  <c r="Q464" i="16"/>
  <c r="AB465" i="16" l="1"/>
  <c r="R463" i="16"/>
  <c r="AA467" i="16"/>
  <c r="AB466" i="16" a="1"/>
  <c r="R464" i="16" a="1"/>
  <c r="Q465" i="16"/>
  <c r="AB466" i="16" l="1"/>
  <c r="R464" i="16"/>
  <c r="Q466" i="16"/>
  <c r="AB467" i="16" a="1"/>
  <c r="AA468" i="16"/>
  <c r="R465" i="16" a="1"/>
  <c r="AB467" i="16" l="1"/>
  <c r="R465" i="16"/>
  <c r="R466" i="16" a="1"/>
  <c r="AB468" i="16" a="1"/>
  <c r="AA469" i="16"/>
  <c r="Q467" i="16"/>
  <c r="AB468" i="16" l="1"/>
  <c r="R466" i="16"/>
  <c r="AB469" i="16" a="1"/>
  <c r="Q468" i="16"/>
  <c r="R467" i="16" a="1"/>
  <c r="AA470" i="16"/>
  <c r="AB469" i="16" l="1"/>
  <c r="R467" i="16"/>
  <c r="Q469" i="16"/>
  <c r="R468" i="16" a="1"/>
  <c r="AB470" i="16" a="1"/>
  <c r="AA471" i="16"/>
  <c r="AB470" i="16" l="1"/>
  <c r="R468" i="16"/>
  <c r="R469" i="16" a="1"/>
  <c r="AB471" i="16" a="1"/>
  <c r="Q470" i="16"/>
  <c r="AA472" i="16"/>
  <c r="AB471" i="16" l="1"/>
  <c r="R469" i="16"/>
  <c r="AA473" i="16"/>
  <c r="R470" i="16" a="1"/>
  <c r="Q471" i="16"/>
  <c r="AB472" i="16" a="1"/>
  <c r="AB472" i="16" l="1"/>
  <c r="R470" i="16"/>
  <c r="Q472" i="16"/>
  <c r="R471" i="16" a="1"/>
  <c r="AA474" i="16"/>
  <c r="AB473" i="16" a="1"/>
  <c r="AB473" i="16" l="1"/>
  <c r="R471" i="16"/>
  <c r="R472" i="16" a="1"/>
  <c r="AA475" i="16"/>
  <c r="Q473" i="16"/>
  <c r="AB474" i="16" a="1"/>
  <c r="AB474" i="16" l="1"/>
  <c r="R472" i="16"/>
  <c r="AB475" i="16" a="1"/>
  <c r="R473" i="16" a="1"/>
  <c r="Q474" i="16"/>
  <c r="AA476" i="16"/>
  <c r="AB475" i="16" l="1"/>
  <c r="R473" i="16"/>
  <c r="Q475" i="16"/>
  <c r="AA477" i="16"/>
  <c r="AB476" i="16" a="1"/>
  <c r="R474" i="16" a="1"/>
  <c r="AB476" i="16" l="1"/>
  <c r="R474" i="16"/>
  <c r="AB477" i="16" a="1"/>
  <c r="AA478" i="16"/>
  <c r="R475" i="16" a="1"/>
  <c r="Q476" i="16"/>
  <c r="AB477" i="16" l="1"/>
  <c r="R475" i="16"/>
  <c r="Q477" i="16"/>
  <c r="AB478" i="16" a="1"/>
  <c r="AA479" i="16"/>
  <c r="R476" i="16" a="1"/>
  <c r="AB478" i="16" l="1"/>
  <c r="R476" i="16"/>
  <c r="AA480" i="16"/>
  <c r="Q478" i="16"/>
  <c r="AB479" i="16" a="1"/>
  <c r="R477" i="16" a="1"/>
  <c r="AB479" i="16" l="1"/>
  <c r="R477" i="16"/>
  <c r="Q479" i="16"/>
  <c r="R478" i="16" a="1"/>
  <c r="AB480" i="16" a="1"/>
  <c r="AA481" i="16"/>
  <c r="AB480" i="16" l="1"/>
  <c r="R478" i="16"/>
  <c r="AB481" i="16" a="1"/>
  <c r="R479" i="16" a="1"/>
  <c r="Q480" i="16"/>
  <c r="AA482" i="16"/>
  <c r="AB481" i="16" l="1"/>
  <c r="R479" i="16"/>
  <c r="AA483" i="16"/>
  <c r="Q481" i="16"/>
  <c r="R480" i="16" a="1"/>
  <c r="AB482" i="16" a="1"/>
  <c r="AB482" i="16" l="1"/>
  <c r="R480" i="16"/>
  <c r="AA484" i="16"/>
  <c r="Q482" i="16"/>
  <c r="AB483" i="16" a="1"/>
  <c r="R481" i="16" a="1"/>
  <c r="AB483" i="16" l="1"/>
  <c r="R481" i="16"/>
  <c r="R482" i="16" a="1"/>
  <c r="AB484" i="16" a="1"/>
  <c r="AA485" i="16"/>
  <c r="Q483" i="16"/>
  <c r="AB484" i="16" l="1"/>
  <c r="R482" i="16"/>
  <c r="Q484" i="16"/>
  <c r="AB485" i="16" a="1"/>
  <c r="R483" i="16" a="1"/>
  <c r="AA486" i="16"/>
  <c r="AB485" i="16" l="1"/>
  <c r="R483" i="16"/>
  <c r="AA487" i="16"/>
  <c r="AB486" i="16" a="1"/>
  <c r="Q485" i="16"/>
  <c r="R484" i="16" a="1"/>
  <c r="AB486" i="16" l="1"/>
  <c r="R484" i="16"/>
  <c r="R485" i="16" a="1"/>
  <c r="AB487" i="16" a="1"/>
  <c r="Q486" i="16"/>
  <c r="AA488" i="16"/>
  <c r="AB487" i="16" l="1"/>
  <c r="R485" i="16"/>
  <c r="Q487" i="16"/>
  <c r="AB488" i="16" a="1"/>
  <c r="R486" i="16" a="1"/>
  <c r="AA489" i="16"/>
  <c r="AB488" i="16" l="1"/>
  <c r="R486" i="16"/>
  <c r="R487" i="16" a="1"/>
  <c r="AB489" i="16" a="1"/>
  <c r="AA490" i="16"/>
  <c r="Q488" i="16"/>
  <c r="AB489" i="16" l="1"/>
  <c r="R487" i="16"/>
  <c r="Q489" i="16"/>
  <c r="AB490" i="16" a="1"/>
  <c r="R488" i="16" a="1"/>
  <c r="AA491" i="16"/>
  <c r="AB490" i="16" l="1"/>
  <c r="R488" i="16"/>
  <c r="R489" i="16" a="1"/>
  <c r="AB491" i="16" a="1"/>
  <c r="AA492" i="16"/>
  <c r="Q490" i="16"/>
  <c r="AB491" i="16" l="1"/>
  <c r="R489" i="16"/>
  <c r="Q491" i="16"/>
  <c r="AA493" i="16"/>
  <c r="R490" i="16" a="1"/>
  <c r="AB492" i="16" a="1"/>
  <c r="AB492" i="16" l="1"/>
  <c r="R490" i="16"/>
  <c r="AB493" i="16" a="1"/>
  <c r="AA494" i="16"/>
  <c r="R491" i="16" a="1"/>
  <c r="Q492" i="16"/>
  <c r="AB493" i="16" l="1"/>
  <c r="R491" i="16"/>
  <c r="Q493" i="16"/>
  <c r="AB494" i="16" a="1"/>
  <c r="R492" i="16" a="1"/>
  <c r="AA495" i="16"/>
  <c r="AB494" i="16" l="1"/>
  <c r="R492" i="16"/>
  <c r="R493" i="16" a="1"/>
  <c r="AB495" i="16" a="1"/>
  <c r="Q494" i="16"/>
  <c r="AA496" i="16"/>
  <c r="AB495" i="16" l="1"/>
  <c r="R493" i="16"/>
  <c r="AB496" i="16" a="1"/>
  <c r="R494" i="16" a="1"/>
  <c r="AA497" i="16"/>
  <c r="Q495" i="16"/>
  <c r="AB496" i="16" l="1"/>
  <c r="R494" i="16"/>
  <c r="Q496" i="16"/>
  <c r="AA498" i="16"/>
  <c r="AB497" i="16" a="1"/>
  <c r="R495" i="16" a="1"/>
  <c r="AB497" i="16" l="1"/>
  <c r="R495" i="16"/>
  <c r="Q497" i="16"/>
  <c r="AB498" i="16" a="1"/>
  <c r="R496" i="16" a="1"/>
  <c r="AA499" i="16"/>
  <c r="AB498" i="16" l="1"/>
  <c r="R496" i="16"/>
  <c r="Q498" i="16"/>
  <c r="AA500" i="16"/>
  <c r="AB499" i="16" a="1"/>
  <c r="R497" i="16" a="1"/>
  <c r="AB499" i="16" l="1"/>
  <c r="R497" i="16"/>
  <c r="AA501" i="16"/>
  <c r="AB500" i="16" a="1"/>
  <c r="R498" i="16" a="1"/>
  <c r="Q499" i="16"/>
  <c r="AB500" i="16" l="1"/>
  <c r="R498" i="16"/>
  <c r="Q500" i="16"/>
  <c r="R499" i="16" a="1"/>
  <c r="AB501" i="16" a="1"/>
  <c r="AA502" i="16"/>
  <c r="AB501" i="16" l="1"/>
  <c r="R499" i="16"/>
  <c r="Q501" i="16"/>
  <c r="AA503" i="16"/>
  <c r="AB502" i="16" a="1"/>
  <c r="R500" i="16" a="1"/>
  <c r="AB502" i="16" l="1"/>
  <c r="R500" i="16"/>
  <c r="AA504" i="16"/>
  <c r="R501" i="16" a="1"/>
  <c r="AB503" i="16" a="1"/>
  <c r="Q502" i="16"/>
  <c r="AB503" i="16" l="1"/>
  <c r="R501" i="16"/>
  <c r="Q503" i="16"/>
  <c r="R502" i="16" a="1"/>
  <c r="AB504" i="16" a="1"/>
  <c r="AA505" i="16"/>
  <c r="AB504" i="16" l="1"/>
  <c r="R502" i="16"/>
  <c r="Q504" i="16"/>
  <c r="R503" i="16" a="1"/>
  <c r="AA506" i="16"/>
  <c r="AB505" i="16" a="1"/>
  <c r="AB505" i="16" l="1"/>
  <c r="R503" i="16"/>
  <c r="Q505" i="16"/>
  <c r="AB506" i="16" a="1"/>
  <c r="AA507" i="16"/>
  <c r="R504" i="16" a="1"/>
  <c r="AB506" i="16" l="1"/>
  <c r="R504" i="16"/>
  <c r="AA508" i="16"/>
  <c r="R505" i="16" a="1"/>
  <c r="AB507" i="16" a="1"/>
  <c r="Q506" i="16"/>
  <c r="AB507" i="16" l="1"/>
  <c r="R505" i="16"/>
  <c r="AA509" i="16"/>
  <c r="R506" i="16" a="1"/>
  <c r="Q507" i="16"/>
  <c r="AB508" i="16" a="1"/>
  <c r="AB508" i="16" l="1"/>
  <c r="R506" i="16"/>
  <c r="R507" i="16" a="1"/>
  <c r="AB509" i="16" a="1"/>
  <c r="AA510" i="16"/>
  <c r="Q508" i="16"/>
  <c r="AB509" i="16" l="1"/>
  <c r="R507" i="16"/>
  <c r="R508" i="16" a="1"/>
  <c r="Q509" i="16"/>
  <c r="AB510" i="16" a="1"/>
  <c r="AA511" i="16"/>
  <c r="AB510" i="16" l="1"/>
  <c r="R508" i="16"/>
  <c r="AB511" i="16" a="1"/>
  <c r="AA512" i="16"/>
  <c r="Q510" i="16"/>
  <c r="R509" i="16" a="1"/>
  <c r="AB511" i="16" l="1"/>
  <c r="R509" i="16"/>
  <c r="R510" i="16" a="1"/>
  <c r="AB512" i="16" a="1"/>
  <c r="AA513" i="16"/>
  <c r="Q511" i="16"/>
  <c r="AB512" i="16" l="1"/>
  <c r="R510" i="16"/>
  <c r="AB513" i="16" a="1"/>
  <c r="R511" i="16" a="1"/>
  <c r="Q512" i="16"/>
  <c r="AA514" i="16"/>
  <c r="AB513" i="16" l="1"/>
  <c r="R511" i="16"/>
  <c r="AB514" i="16" a="1"/>
  <c r="R512" i="16" a="1"/>
  <c r="AA515" i="16"/>
  <c r="Q513" i="16"/>
  <c r="AB514" i="16" l="1"/>
  <c r="R512" i="16"/>
  <c r="R513" i="16" a="1"/>
  <c r="AB515" i="16" a="1"/>
  <c r="Q514" i="16"/>
  <c r="AA516" i="16"/>
  <c r="AB515" i="16" l="1"/>
  <c r="R513" i="16"/>
  <c r="Q515" i="16"/>
  <c r="AB516" i="16" a="1"/>
  <c r="AA517" i="16"/>
  <c r="R514" i="16" a="1"/>
  <c r="AB516" i="16" l="1"/>
  <c r="R514" i="16"/>
  <c r="Q516" i="16"/>
  <c r="R515" i="16" a="1"/>
  <c r="AA518" i="16"/>
  <c r="AB517" i="16" a="1"/>
  <c r="AB517" i="16" l="1"/>
  <c r="R515" i="16"/>
  <c r="AB518" i="16" a="1"/>
  <c r="AA519" i="16"/>
  <c r="Q517" i="16"/>
  <c r="R516" i="16" a="1"/>
  <c r="AB518" i="16" l="1"/>
  <c r="R516" i="16"/>
  <c r="AA520" i="16"/>
  <c r="Q518" i="16"/>
  <c r="AB519" i="16" a="1"/>
  <c r="R517" i="16" a="1"/>
  <c r="AB519" i="16" l="1"/>
  <c r="R517" i="16"/>
  <c r="R518" i="16" a="1"/>
  <c r="AA521" i="16"/>
  <c r="AB520" i="16" a="1"/>
  <c r="Q519" i="16"/>
  <c r="AB520" i="16" l="1"/>
  <c r="R518" i="16"/>
  <c r="R519" i="16" a="1"/>
  <c r="AA522" i="16"/>
  <c r="AB521" i="16" a="1"/>
  <c r="Q520" i="16"/>
  <c r="AB521" i="16" l="1"/>
  <c r="R519" i="16"/>
  <c r="Q521" i="16"/>
  <c r="R520" i="16" a="1"/>
  <c r="AA523" i="16"/>
  <c r="AB522" i="16" a="1"/>
  <c r="AB522" i="16" l="1"/>
  <c r="R520" i="16"/>
  <c r="Q522" i="16"/>
  <c r="AA524" i="16"/>
  <c r="R521" i="16" a="1"/>
  <c r="AB523" i="16" a="1"/>
  <c r="AB523" i="16" l="1"/>
  <c r="R521" i="16"/>
  <c r="AB524" i="16" a="1"/>
  <c r="R522" i="16" a="1"/>
  <c r="AA525" i="16"/>
  <c r="Q523" i="16"/>
  <c r="AB524" i="16" l="1"/>
  <c r="R522" i="16"/>
  <c r="Q524" i="16"/>
  <c r="R523" i="16" a="1"/>
  <c r="AB525" i="16" a="1"/>
  <c r="AA526" i="16"/>
  <c r="AB525" i="16" l="1"/>
  <c r="R523" i="16"/>
  <c r="R524" i="16" a="1"/>
  <c r="AB526" i="16" a="1"/>
  <c r="AA527" i="16"/>
  <c r="Q525" i="16"/>
  <c r="AB526" i="16" l="1"/>
  <c r="R524" i="16"/>
  <c r="AB527" i="16" a="1"/>
  <c r="Q526" i="16"/>
  <c r="R525" i="16" a="1"/>
  <c r="AA528" i="16"/>
  <c r="AB527" i="16" l="1"/>
  <c r="R525" i="16"/>
  <c r="Q527" i="16"/>
  <c r="AA529" i="16"/>
  <c r="AB528" i="16" a="1"/>
  <c r="R526" i="16" a="1"/>
  <c r="AB528" i="16" l="1"/>
  <c r="R526" i="16"/>
  <c r="AA530" i="16"/>
  <c r="R527" i="16" a="1"/>
  <c r="AB529" i="16" a="1"/>
  <c r="Q528" i="16"/>
  <c r="AB529" i="16" l="1"/>
  <c r="R527" i="16"/>
  <c r="R528" i="16" a="1"/>
  <c r="Q529" i="16"/>
  <c r="AA531" i="16"/>
  <c r="AB530" i="16" a="1"/>
  <c r="AB530" i="16" l="1"/>
  <c r="R528" i="16"/>
  <c r="Q530" i="16"/>
  <c r="AB531" i="16" a="1"/>
  <c r="R529" i="16" a="1"/>
  <c r="AA532" i="16"/>
  <c r="AB531" i="16" l="1"/>
  <c r="R529" i="16"/>
  <c r="R530" i="16" a="1"/>
  <c r="Q531" i="16"/>
  <c r="AB532" i="16" a="1"/>
  <c r="AA533" i="16"/>
  <c r="AB532" i="16" l="1"/>
  <c r="R530" i="16"/>
  <c r="AA534" i="16"/>
  <c r="Q532" i="16"/>
  <c r="AB533" i="16" a="1"/>
  <c r="R531" i="16" a="1"/>
  <c r="AB533" i="16" l="1"/>
  <c r="R531" i="16"/>
  <c r="Q533" i="16"/>
  <c r="R532" i="16" a="1"/>
  <c r="AB534" i="16" a="1"/>
  <c r="AA535" i="16"/>
  <c r="AB534" i="16" l="1"/>
  <c r="R532" i="16"/>
  <c r="AB535" i="16" a="1"/>
  <c r="AA536" i="16"/>
  <c r="R533" i="16" a="1"/>
  <c r="Q534" i="16"/>
  <c r="AB535" i="16" l="1"/>
  <c r="R533" i="16"/>
  <c r="AB536" i="16" a="1"/>
  <c r="Q535" i="16"/>
  <c r="R534" i="16" a="1"/>
  <c r="AA537" i="16"/>
  <c r="AB536" i="16" l="1"/>
  <c r="R534" i="16"/>
  <c r="AB537" i="16" a="1"/>
  <c r="R535" i="16" a="1"/>
  <c r="AA538" i="16"/>
  <c r="Q536" i="16"/>
  <c r="AB537" i="16" l="1"/>
  <c r="R535" i="16"/>
  <c r="Q537" i="16"/>
  <c r="R536" i="16" a="1"/>
  <c r="AB538" i="16" a="1"/>
  <c r="AA539" i="16"/>
  <c r="AB538" i="16" l="1"/>
  <c r="R536" i="16"/>
  <c r="AA540" i="16"/>
  <c r="AB539" i="16" a="1"/>
  <c r="R537" i="16" a="1"/>
  <c r="Q538" i="16"/>
  <c r="AB539" i="16" l="1"/>
  <c r="R537" i="16"/>
  <c r="Q539" i="16"/>
  <c r="R538" i="16" a="1"/>
  <c r="AA541" i="16"/>
  <c r="AB540" i="16" a="1"/>
  <c r="AB540" i="16" l="1"/>
  <c r="R538" i="16"/>
  <c r="R539" i="16" a="1"/>
  <c r="AA542" i="16"/>
  <c r="AB541" i="16" a="1"/>
  <c r="Q540" i="16"/>
  <c r="AB541" i="16" l="1"/>
  <c r="R539" i="16"/>
  <c r="R540" i="16" a="1"/>
  <c r="AA543" i="16"/>
  <c r="AB542" i="16" a="1"/>
  <c r="Q541" i="16"/>
  <c r="AB542" i="16" l="1"/>
  <c r="R540" i="16"/>
  <c r="R541" i="16" a="1"/>
  <c r="AA544" i="16"/>
  <c r="Q542" i="16"/>
  <c r="AB543" i="16" a="1"/>
  <c r="AB543" i="16" l="1"/>
  <c r="R541" i="16"/>
  <c r="AB544" i="16" a="1"/>
  <c r="Q543" i="16"/>
  <c r="R542" i="16" a="1"/>
  <c r="AA545" i="16"/>
  <c r="AB544" i="16" l="1"/>
  <c r="R542" i="16"/>
  <c r="AB545" i="16" a="1"/>
  <c r="R543" i="16" a="1"/>
  <c r="Q544" i="16"/>
  <c r="AA546" i="16"/>
  <c r="AB545" i="16" l="1"/>
  <c r="R543" i="16"/>
  <c r="Q545" i="16"/>
  <c r="AA547" i="16"/>
  <c r="R544" i="16" a="1"/>
  <c r="AB546" i="16" a="1"/>
  <c r="AB546" i="16" l="1"/>
  <c r="R544" i="16"/>
  <c r="Q546" i="16"/>
  <c r="R545" i="16" a="1"/>
  <c r="AA548" i="16"/>
  <c r="AB547" i="16" a="1"/>
  <c r="AB547" i="16" l="1"/>
  <c r="R545" i="16"/>
  <c r="AA549" i="16"/>
  <c r="AB548" i="16" a="1"/>
  <c r="Q547" i="16"/>
  <c r="R546" i="16" a="1"/>
  <c r="AB548" i="16" l="1"/>
  <c r="R546" i="16"/>
  <c r="AB549" i="16" a="1"/>
  <c r="R547" i="16" a="1"/>
  <c r="AA550" i="16"/>
  <c r="Q548" i="16"/>
  <c r="AB549" i="16" l="1"/>
  <c r="R547" i="16"/>
  <c r="R548" i="16" a="1"/>
  <c r="AA551" i="16"/>
  <c r="AB550" i="16" a="1"/>
  <c r="Q549" i="16"/>
  <c r="AB550" i="16" l="1"/>
  <c r="R548" i="16"/>
  <c r="Q550" i="16"/>
  <c r="AB551" i="16" a="1"/>
  <c r="R549" i="16" a="1"/>
  <c r="AA552" i="16"/>
  <c r="AB551" i="16" l="1"/>
  <c r="R549" i="16"/>
  <c r="AB552" i="16" a="1"/>
  <c r="Q551" i="16"/>
  <c r="AA553" i="16"/>
  <c r="R550" i="16" a="1"/>
  <c r="AB552" i="16" l="1"/>
  <c r="R550" i="16"/>
  <c r="AB553" i="16" a="1"/>
  <c r="R551" i="16" a="1"/>
  <c r="AA554" i="16"/>
  <c r="Q552" i="16"/>
  <c r="AB553" i="16" l="1"/>
  <c r="R551" i="16"/>
  <c r="AA555" i="16"/>
  <c r="AB554" i="16" a="1"/>
  <c r="R552" i="16" a="1"/>
  <c r="Q553" i="16"/>
  <c r="AB554" i="16" l="1"/>
  <c r="R552" i="16"/>
  <c r="Q554" i="16"/>
  <c r="AA556" i="16"/>
  <c r="R553" i="16" a="1"/>
  <c r="AB555" i="16" a="1"/>
  <c r="AB555" i="16" l="1"/>
  <c r="R553" i="16"/>
  <c r="AB556" i="16" a="1"/>
  <c r="Q555" i="16"/>
  <c r="AA557" i="16"/>
  <c r="R554" i="16" a="1"/>
  <c r="AB556" i="16" l="1"/>
  <c r="R554" i="16"/>
  <c r="R555" i="16" a="1"/>
  <c r="AA558" i="16"/>
  <c r="AB557" i="16" a="1"/>
  <c r="Q556" i="16"/>
  <c r="AB557" i="16" l="1"/>
  <c r="R555" i="16"/>
  <c r="AA559" i="16"/>
  <c r="R556" i="16" a="1"/>
  <c r="Q557" i="16"/>
  <c r="AB558" i="16" a="1"/>
  <c r="AB558" i="16" l="1"/>
  <c r="R556" i="16"/>
  <c r="Q558" i="16"/>
  <c r="AA560" i="16"/>
  <c r="AB559" i="16" a="1"/>
  <c r="R557" i="16" a="1"/>
  <c r="AB559" i="16" l="1"/>
  <c r="R557" i="16"/>
  <c r="AB560" i="16" a="1"/>
  <c r="Q559" i="16"/>
  <c r="AA561" i="16"/>
  <c r="R558" i="16" a="1"/>
  <c r="AB560" i="16" l="1"/>
  <c r="R558" i="16"/>
  <c r="R559" i="16" a="1"/>
  <c r="Q560" i="16"/>
  <c r="AB561" i="16" a="1"/>
  <c r="AA562" i="16"/>
  <c r="AB561" i="16" l="1"/>
  <c r="R559" i="16"/>
  <c r="AB562" i="16" a="1"/>
  <c r="AA563" i="16"/>
  <c r="R560" i="16" a="1"/>
  <c r="Q561" i="16"/>
  <c r="AB562" i="16" l="1"/>
  <c r="R560" i="16"/>
  <c r="AA564" i="16"/>
  <c r="Q562" i="16"/>
  <c r="AB563" i="16" a="1"/>
  <c r="R561" i="16" a="1"/>
  <c r="AB563" i="16" l="1"/>
  <c r="R561" i="16"/>
  <c r="Q563" i="16"/>
  <c r="AB564" i="16" a="1"/>
  <c r="R562" i="16" a="1"/>
  <c r="AA565" i="16"/>
  <c r="AB564" i="16" l="1"/>
  <c r="R562" i="16"/>
  <c r="Q564" i="16"/>
  <c r="AA566" i="16"/>
  <c r="AB565" i="16" a="1"/>
  <c r="R563" i="16" a="1"/>
  <c r="AB565" i="16" l="1"/>
  <c r="R563" i="16"/>
  <c r="R564" i="16" a="1"/>
  <c r="AB566" i="16" a="1"/>
  <c r="Q565" i="16"/>
  <c r="AA567" i="16"/>
  <c r="AB566" i="16" l="1"/>
  <c r="R564" i="16"/>
  <c r="Q566" i="16"/>
  <c r="AA568" i="16"/>
  <c r="AB567" i="16" a="1"/>
  <c r="R565" i="16" a="1"/>
  <c r="AB567" i="16" l="1"/>
  <c r="R565" i="16"/>
  <c r="R566" i="16" a="1"/>
  <c r="Q567" i="16"/>
  <c r="AA569" i="16"/>
  <c r="AB568" i="16" a="1"/>
  <c r="AB568" i="16" l="1"/>
  <c r="R566" i="16"/>
  <c r="AB569" i="16" a="1"/>
  <c r="Q568" i="16"/>
  <c r="AA570" i="16"/>
  <c r="R567" i="16" a="1"/>
  <c r="AB569" i="16" l="1"/>
  <c r="R567" i="16"/>
  <c r="AB570" i="16" a="1"/>
  <c r="AA571" i="16"/>
  <c r="R568" i="16" a="1"/>
  <c r="Q569" i="16"/>
  <c r="AB570" i="16" l="1"/>
  <c r="R568" i="16"/>
  <c r="R569" i="16" a="1"/>
  <c r="AB571" i="16" a="1"/>
  <c r="Q570" i="16"/>
  <c r="AA572" i="16"/>
  <c r="AB571" i="16" l="1"/>
  <c r="R569" i="16"/>
  <c r="R570" i="16" a="1"/>
  <c r="AA573" i="16"/>
  <c r="Q571" i="16"/>
  <c r="AB572" i="16" a="1"/>
  <c r="AB572" i="16" l="1"/>
  <c r="R570" i="16"/>
  <c r="Q572" i="16"/>
  <c r="AA574" i="16"/>
  <c r="AB573" i="16" a="1"/>
  <c r="R571" i="16" a="1"/>
  <c r="AB573" i="16" l="1"/>
  <c r="R571" i="16"/>
  <c r="Q573" i="16"/>
  <c r="AA575" i="16"/>
  <c r="R572" i="16" a="1"/>
  <c r="AB574" i="16" a="1"/>
  <c r="AB574" i="16" l="1"/>
  <c r="R572" i="16"/>
  <c r="AB575" i="16" a="1"/>
  <c r="R573" i="16" a="1"/>
  <c r="AA576" i="16"/>
  <c r="Q574" i="16"/>
  <c r="AB575" i="16" l="1"/>
  <c r="R573" i="16"/>
  <c r="AA577" i="16"/>
  <c r="R574" i="16" a="1"/>
  <c r="Q575" i="16"/>
  <c r="AB576" i="16" a="1"/>
  <c r="AB576" i="16" l="1"/>
  <c r="R574" i="16"/>
  <c r="AB577" i="16" a="1"/>
  <c r="Q576" i="16"/>
  <c r="AA578" i="16"/>
  <c r="R575" i="16" a="1"/>
  <c r="AB577" i="16" l="1"/>
  <c r="R575" i="16"/>
  <c r="R576" i="16" a="1"/>
  <c r="Q577" i="16"/>
  <c r="AA579" i="16"/>
  <c r="AB578" i="16" a="1"/>
  <c r="AB578" i="16" l="1"/>
  <c r="R576" i="16"/>
  <c r="Q578" i="16"/>
  <c r="R577" i="16" a="1"/>
  <c r="AB579" i="16" a="1"/>
  <c r="AA580" i="16"/>
  <c r="AB579" i="16" l="1"/>
  <c r="R577" i="16"/>
  <c r="Q579" i="16"/>
  <c r="R578" i="16" a="1"/>
  <c r="AB580" i="16" a="1"/>
  <c r="AA581" i="16"/>
  <c r="AB580" i="16" l="1"/>
  <c r="R578" i="16"/>
  <c r="R579" i="16" a="1"/>
  <c r="AA582" i="16"/>
  <c r="AB581" i="16" a="1"/>
  <c r="Q580" i="16"/>
  <c r="AB581" i="16" l="1"/>
  <c r="R579" i="16"/>
  <c r="AB582" i="16" a="1"/>
  <c r="Q581" i="16"/>
  <c r="R580" i="16" a="1"/>
  <c r="AA583" i="16"/>
  <c r="AB582" i="16" l="1"/>
  <c r="R580" i="16"/>
  <c r="AB583" i="16" a="1"/>
  <c r="R581" i="16" a="1"/>
  <c r="Q582" i="16"/>
  <c r="AA584" i="16"/>
  <c r="AB583" i="16" l="1"/>
  <c r="R581" i="16"/>
  <c r="R582" i="16" a="1"/>
  <c r="AA585" i="16"/>
  <c r="AB584" i="16" a="1"/>
  <c r="Q583" i="16"/>
  <c r="AB584" i="16" l="1"/>
  <c r="R582" i="16"/>
  <c r="AB585" i="16" a="1"/>
  <c r="R583" i="16" a="1"/>
  <c r="Q584" i="16"/>
  <c r="AA586" i="16"/>
  <c r="AB585" i="16" l="1"/>
  <c r="R583" i="16"/>
  <c r="Q585" i="16"/>
  <c r="AB586" i="16" a="1"/>
  <c r="R584" i="16" a="1"/>
  <c r="AA587" i="16"/>
  <c r="AB586" i="16" l="1"/>
  <c r="R584" i="16"/>
  <c r="Q586" i="16"/>
  <c r="AB587" i="16" a="1"/>
  <c r="R585" i="16" a="1"/>
  <c r="AA588" i="16"/>
  <c r="AB587" i="16" l="1"/>
  <c r="R585" i="16"/>
  <c r="AB588" i="16" a="1"/>
  <c r="AA589" i="16"/>
  <c r="Q587" i="16"/>
  <c r="R586" i="16" a="1"/>
  <c r="AB588" i="16" l="1"/>
  <c r="R586" i="16"/>
  <c r="R587" i="16" a="1"/>
  <c r="Q588" i="16"/>
  <c r="AB589" i="16" a="1"/>
  <c r="AA590" i="16"/>
  <c r="AB589" i="16" l="1"/>
  <c r="R587" i="16"/>
  <c r="AA591" i="16"/>
  <c r="Q589" i="16"/>
  <c r="AB590" i="16" a="1"/>
  <c r="R588" i="16" a="1"/>
  <c r="AB590" i="16" l="1"/>
  <c r="R588" i="16"/>
  <c r="Q590" i="16"/>
  <c r="AB591" i="16" a="1"/>
  <c r="R589" i="16" a="1"/>
  <c r="AA592" i="16"/>
  <c r="AB591" i="16" l="1"/>
  <c r="R589" i="16"/>
  <c r="AB592" i="16" a="1"/>
  <c r="AA593" i="16"/>
  <c r="R590" i="16" a="1"/>
  <c r="Q591" i="16"/>
  <c r="AB592" i="16" l="1"/>
  <c r="R590" i="16"/>
  <c r="AA594" i="16"/>
  <c r="R591" i="16" a="1"/>
  <c r="Q592" i="16"/>
  <c r="AB593" i="16" a="1"/>
  <c r="AB593" i="16" l="1"/>
  <c r="R591" i="16"/>
  <c r="AB594" i="16" a="1"/>
  <c r="R592" i="16" a="1"/>
  <c r="Q593" i="16"/>
  <c r="AA595" i="16"/>
  <c r="AB594" i="16" l="1"/>
  <c r="R592" i="16"/>
  <c r="Q594" i="16"/>
  <c r="AB595" i="16" a="1"/>
  <c r="AA596" i="16"/>
  <c r="R593" i="16" a="1"/>
  <c r="AB595" i="16" l="1"/>
  <c r="R593" i="16"/>
  <c r="Q595" i="16"/>
  <c r="R594" i="16" a="1"/>
  <c r="AB596" i="16" a="1"/>
  <c r="AA597" i="16"/>
  <c r="AB596" i="16" l="1"/>
  <c r="R594" i="16"/>
  <c r="AA598" i="16"/>
  <c r="AB597" i="16" a="1"/>
  <c r="R595" i="16" a="1"/>
  <c r="Q596" i="16"/>
  <c r="AB597" i="16" l="1"/>
  <c r="R595" i="16"/>
  <c r="AA599" i="16"/>
  <c r="AB598" i="16" a="1"/>
  <c r="Q597" i="16"/>
  <c r="R596" i="16" a="1"/>
  <c r="AB598" i="16" l="1"/>
  <c r="R596" i="16"/>
  <c r="AA600" i="16"/>
  <c r="R597" i="16" a="1"/>
  <c r="Q598" i="16"/>
  <c r="AB599" i="16" a="1"/>
  <c r="AB599" i="16" l="1"/>
  <c r="R597" i="16"/>
  <c r="AB600" i="16" a="1"/>
  <c r="Q599" i="16"/>
  <c r="R598" i="16" a="1"/>
  <c r="AA601" i="16"/>
  <c r="AB600" i="16" l="1"/>
  <c r="R598" i="16"/>
  <c r="Q600" i="16"/>
  <c r="R599" i="16" a="1"/>
  <c r="AA602" i="16"/>
  <c r="AB601" i="16" a="1"/>
  <c r="AB601" i="16" l="1"/>
  <c r="R599" i="16"/>
  <c r="AB602" i="16" a="1"/>
  <c r="R600" i="16" a="1"/>
  <c r="AA603" i="16"/>
  <c r="Q601" i="16"/>
  <c r="AB602" i="16" l="1"/>
  <c r="R600" i="16"/>
  <c r="AA604" i="16"/>
  <c r="R601" i="16" a="1"/>
  <c r="AB603" i="16" a="1"/>
  <c r="Q602" i="16"/>
  <c r="AB603" i="16" l="1"/>
  <c r="R601" i="16"/>
  <c r="R602" i="16" a="1"/>
  <c r="AB604" i="16" a="1"/>
  <c r="AA605" i="16"/>
  <c r="Q603" i="16"/>
  <c r="AB604" i="16" l="1"/>
  <c r="R602" i="16"/>
  <c r="Q604" i="16"/>
  <c r="AB605" i="16" a="1"/>
  <c r="R603" i="16" a="1"/>
  <c r="AA606" i="16"/>
  <c r="AB605" i="16" l="1"/>
  <c r="R603" i="16"/>
  <c r="Q605" i="16"/>
  <c r="AB606" i="16" a="1"/>
  <c r="R604" i="16" a="1"/>
  <c r="AA607" i="16"/>
  <c r="AB606" i="16" l="1"/>
  <c r="R604" i="16"/>
  <c r="R605" i="16" a="1"/>
  <c r="AB607" i="16" a="1"/>
  <c r="AA608" i="16"/>
  <c r="Q606" i="16"/>
  <c r="AB607" i="16" l="1"/>
  <c r="R605" i="16"/>
  <c r="R606" i="16" a="1"/>
  <c r="AB608" i="16" a="1"/>
  <c r="AA609" i="16"/>
  <c r="Q607" i="16"/>
  <c r="AB608" i="16" l="1"/>
  <c r="R606" i="16"/>
  <c r="R607" i="16" a="1"/>
  <c r="AB609" i="16" a="1"/>
  <c r="Q608" i="16"/>
  <c r="AA610" i="16"/>
  <c r="AB609" i="16" l="1"/>
  <c r="R607" i="16"/>
  <c r="Q609" i="16"/>
  <c r="R608" i="16" a="1"/>
  <c r="AB610" i="16" a="1"/>
  <c r="AA611" i="16"/>
  <c r="AB610" i="16" l="1"/>
  <c r="R608" i="16"/>
  <c r="AB611" i="16" a="1"/>
  <c r="AA612" i="16"/>
  <c r="R609" i="16" a="1"/>
  <c r="Q610" i="16"/>
  <c r="AB611" i="16" l="1"/>
  <c r="R609" i="16"/>
  <c r="Q611" i="16"/>
  <c r="R610" i="16" a="1"/>
  <c r="AA613" i="16"/>
  <c r="AB612" i="16" a="1"/>
  <c r="AB612" i="16" l="1"/>
  <c r="R610" i="16"/>
  <c r="Q612" i="16"/>
  <c r="AA614" i="16"/>
  <c r="R611" i="16" a="1"/>
  <c r="AB613" i="16" a="1"/>
  <c r="AB613" i="16" l="1"/>
  <c r="R611" i="16"/>
  <c r="AB614" i="16" a="1"/>
  <c r="Q613" i="16"/>
  <c r="AA615" i="16"/>
  <c r="R612" i="16" a="1"/>
  <c r="AB614" i="16" l="1"/>
  <c r="R612" i="16"/>
  <c r="AA616" i="16"/>
  <c r="R613" i="16" a="1"/>
  <c r="AB615" i="16" a="1"/>
  <c r="Q614" i="16"/>
  <c r="AB615" i="16" l="1"/>
  <c r="R613" i="16"/>
  <c r="AA617" i="16"/>
  <c r="AB616" i="16" a="1"/>
  <c r="Q615" i="16"/>
  <c r="R614" i="16" a="1"/>
  <c r="AB616" i="16" l="1"/>
  <c r="R614" i="16"/>
  <c r="R615" i="16" a="1"/>
  <c r="AB617" i="16" a="1"/>
  <c r="Q616" i="16"/>
  <c r="AA618" i="16"/>
  <c r="AB617" i="16" l="1"/>
  <c r="R615" i="16"/>
  <c r="AB618" i="16" a="1"/>
  <c r="AA619" i="16"/>
  <c r="R616" i="16" a="1"/>
  <c r="Q617" i="16"/>
  <c r="AB618" i="16" l="1"/>
  <c r="R616" i="16"/>
  <c r="AB619" i="16" a="1"/>
  <c r="Q618" i="16"/>
  <c r="R617" i="16" a="1"/>
  <c r="AA620" i="16"/>
  <c r="AB619" i="16" l="1"/>
  <c r="R617" i="16"/>
  <c r="R618" i="16" a="1"/>
  <c r="AA621" i="16"/>
  <c r="AB620" i="16" a="1"/>
  <c r="Q619" i="16"/>
  <c r="AB620" i="16" l="1"/>
  <c r="R618" i="16"/>
  <c r="AB621" i="16" a="1"/>
  <c r="AA622" i="16"/>
  <c r="Q620" i="16"/>
  <c r="R619" i="16" a="1"/>
  <c r="AB621" i="16" l="1"/>
  <c r="R619" i="16"/>
  <c r="Q621" i="16"/>
  <c r="AB622" i="16" a="1"/>
  <c r="AA623" i="16"/>
  <c r="R620" i="16" a="1"/>
  <c r="AB622" i="16" l="1"/>
  <c r="R620" i="16"/>
  <c r="Q622" i="16"/>
  <c r="AA624" i="16"/>
  <c r="R621" i="16" a="1"/>
  <c r="AB623" i="16" a="1"/>
  <c r="AB623" i="16" l="1"/>
  <c r="R621" i="16"/>
  <c r="AA625" i="16"/>
  <c r="AB624" i="16" a="1"/>
  <c r="Q623" i="16"/>
  <c r="R622" i="16" a="1"/>
  <c r="AB624" i="16" l="1"/>
  <c r="R622" i="16"/>
  <c r="Q624" i="16"/>
  <c r="R623" i="16" a="1"/>
  <c r="AB625" i="16" a="1"/>
  <c r="AA626" i="16"/>
  <c r="AB625" i="16" l="1"/>
  <c r="R623" i="16"/>
  <c r="R624" i="16" a="1"/>
  <c r="AA627" i="16"/>
  <c r="AB626" i="16" a="1"/>
  <c r="Q625" i="16"/>
  <c r="AB626" i="16" l="1"/>
  <c r="R624" i="16"/>
  <c r="AA628" i="16"/>
  <c r="Q626" i="16"/>
  <c r="R625" i="16" a="1"/>
  <c r="AB627" i="16" a="1"/>
  <c r="AB627" i="16" l="1"/>
  <c r="R625" i="16"/>
  <c r="AB628" i="16" a="1"/>
  <c r="Q627" i="16"/>
  <c r="AA629" i="16"/>
  <c r="R626" i="16" a="1"/>
  <c r="AB628" i="16" l="1"/>
  <c r="R626" i="16"/>
  <c r="Q628" i="16"/>
  <c r="AA630" i="16"/>
  <c r="AB629" i="16" a="1"/>
  <c r="R627" i="16" a="1"/>
  <c r="AB629" i="16" l="1"/>
  <c r="R627" i="16"/>
  <c r="Q629" i="16"/>
  <c r="AB630" i="16" a="1"/>
  <c r="R628" i="16" a="1"/>
  <c r="AA631" i="16"/>
  <c r="AB630" i="16" l="1"/>
  <c r="R628" i="16"/>
  <c r="AA632" i="16"/>
  <c r="R629" i="16" a="1"/>
  <c r="Q630" i="16"/>
  <c r="AB631" i="16" a="1"/>
  <c r="AB631" i="16" l="1"/>
  <c r="R629" i="16"/>
  <c r="R630" i="16" a="1"/>
  <c r="AA633" i="16"/>
  <c r="AB632" i="16" a="1"/>
  <c r="Q631" i="16"/>
  <c r="AB632" i="16" l="1"/>
  <c r="R630" i="16"/>
  <c r="AA634" i="16"/>
  <c r="AB633" i="16" a="1"/>
  <c r="R631" i="16" a="1"/>
  <c r="Q632" i="16"/>
  <c r="AB633" i="16" l="1"/>
  <c r="R631" i="16"/>
  <c r="R632" i="16" a="1"/>
  <c r="Q633" i="16"/>
  <c r="AA635" i="16"/>
  <c r="AB634" i="16" a="1"/>
  <c r="AB634" i="16" l="1"/>
  <c r="R632" i="16"/>
  <c r="AA636" i="16"/>
  <c r="R633" i="16" a="1"/>
  <c r="AB635" i="16" a="1"/>
  <c r="Q634" i="16"/>
  <c r="AB635" i="16" l="1"/>
  <c r="R633" i="16"/>
  <c r="AB636" i="16" a="1"/>
  <c r="AA637" i="16"/>
  <c r="R634" i="16" a="1"/>
  <c r="Q635" i="16"/>
  <c r="AB636" i="16" l="1"/>
  <c r="R634" i="16"/>
  <c r="Q636" i="16"/>
  <c r="AB637" i="16" a="1"/>
  <c r="AA638" i="16"/>
  <c r="R635" i="16" a="1"/>
  <c r="AB637" i="16" l="1"/>
  <c r="R635" i="16"/>
  <c r="R636" i="16" a="1"/>
  <c r="Q637" i="16"/>
  <c r="AB638" i="16" a="1"/>
  <c r="AA639" i="16"/>
  <c r="AB638" i="16" l="1"/>
  <c r="R636" i="16"/>
  <c r="Q638" i="16"/>
  <c r="AA640" i="16"/>
  <c r="AB639" i="16" a="1"/>
  <c r="R637" i="16" a="1"/>
  <c r="AB639" i="16" l="1"/>
  <c r="R637" i="16"/>
  <c r="AA641" i="16"/>
  <c r="R638" i="16" a="1"/>
  <c r="AB640" i="16" a="1"/>
  <c r="Q639" i="16"/>
  <c r="AB640" i="16" l="1"/>
  <c r="R638" i="16"/>
  <c r="Q640" i="16"/>
  <c r="R639" i="16" a="1"/>
  <c r="AB641" i="16" a="1"/>
  <c r="AA642" i="16"/>
  <c r="AB641" i="16" l="1"/>
  <c r="R639" i="16"/>
  <c r="Q641" i="16"/>
  <c r="R640" i="16" a="1"/>
  <c r="AB642" i="16" a="1"/>
  <c r="AA643" i="16"/>
  <c r="AB642" i="16" l="1"/>
  <c r="R640" i="16"/>
  <c r="AB643" i="16" a="1"/>
  <c r="AA644" i="16"/>
  <c r="Q642" i="16"/>
  <c r="R641" i="16" a="1"/>
  <c r="AB643" i="16" l="1"/>
  <c r="R641" i="16"/>
  <c r="AB644" i="16" a="1"/>
  <c r="Q643" i="16"/>
  <c r="AA645" i="16"/>
  <c r="R642" i="16" a="1"/>
  <c r="AB644" i="16" l="1"/>
  <c r="R642" i="16"/>
  <c r="Q644" i="16"/>
  <c r="AA646" i="16"/>
  <c r="AB645" i="16" a="1"/>
  <c r="R643" i="16" a="1"/>
  <c r="AB645" i="16" l="1"/>
  <c r="R643" i="16"/>
  <c r="R644" i="16" a="1"/>
  <c r="AA647" i="16"/>
  <c r="AB646" i="16" a="1"/>
  <c r="Q645" i="16"/>
  <c r="AB646" i="16" l="1"/>
  <c r="R644" i="16"/>
  <c r="AB647" i="16" a="1"/>
  <c r="R645" i="16" a="1"/>
  <c r="Q646" i="16"/>
  <c r="AA648" i="16"/>
  <c r="AB647" i="16" l="1"/>
  <c r="R645" i="16"/>
  <c r="AA649" i="16"/>
  <c r="R646" i="16" a="1"/>
  <c r="Q647" i="16"/>
  <c r="AB648" i="16" a="1"/>
  <c r="AB648" i="16" l="1"/>
  <c r="R646" i="16"/>
  <c r="R647" i="16" a="1"/>
  <c r="AB649" i="16" a="1"/>
  <c r="AA650" i="16"/>
  <c r="Q648" i="16"/>
  <c r="AB649" i="16" l="1"/>
  <c r="R647" i="16"/>
  <c r="R648" i="16" a="1"/>
  <c r="AA651" i="16"/>
  <c r="AB650" i="16" a="1"/>
  <c r="Q649" i="16"/>
  <c r="AB650" i="16" l="1"/>
  <c r="R648" i="16"/>
  <c r="Q650" i="16"/>
  <c r="R649" i="16" a="1"/>
  <c r="AA652" i="16"/>
  <c r="AB651" i="16" a="1"/>
  <c r="AB651" i="16" l="1"/>
  <c r="R649" i="16"/>
  <c r="AA653" i="16"/>
  <c r="R650" i="16" a="1"/>
  <c r="AB652" i="16" a="1"/>
  <c r="Q651" i="16"/>
  <c r="AB652" i="16" l="1"/>
  <c r="R650" i="16"/>
  <c r="AA654" i="16"/>
  <c r="Q652" i="16"/>
  <c r="AB653" i="16" a="1"/>
  <c r="R651" i="16" a="1"/>
  <c r="AB653" i="16" l="1"/>
  <c r="R651" i="16"/>
  <c r="AB654" i="16" a="1"/>
  <c r="R652" i="16" a="1"/>
  <c r="AA655" i="16"/>
  <c r="Q653" i="16"/>
  <c r="AB654" i="16" l="1"/>
  <c r="R652" i="16"/>
  <c r="AB655" i="16" a="1"/>
  <c r="R653" i="16" a="1"/>
  <c r="AA656" i="16"/>
  <c r="Q654" i="16"/>
  <c r="AB655" i="16" l="1"/>
  <c r="R653" i="16"/>
  <c r="AB656" i="16" a="1"/>
  <c r="AA657" i="16"/>
  <c r="R654" i="16" a="1"/>
  <c r="Q655" i="16"/>
  <c r="AB656" i="16" l="1"/>
  <c r="R654" i="16"/>
  <c r="R655" i="16" a="1"/>
  <c r="AB657" i="16" a="1"/>
  <c r="Q656" i="16"/>
  <c r="AA658" i="16"/>
  <c r="AB657" i="16" l="1"/>
  <c r="R655" i="16"/>
  <c r="R656" i="16" a="1"/>
  <c r="Q657" i="16"/>
  <c r="AA659" i="16"/>
  <c r="AB658" i="16" a="1"/>
  <c r="AB658" i="16" l="1"/>
  <c r="R656" i="16"/>
  <c r="R657" i="16" a="1"/>
  <c r="AB659" i="16" a="1"/>
  <c r="Q658" i="16"/>
  <c r="AA660" i="16"/>
  <c r="AB659" i="16" l="1"/>
  <c r="R657" i="16"/>
  <c r="AA661" i="16"/>
  <c r="Q659" i="16"/>
  <c r="R658" i="16" a="1"/>
  <c r="AB660" i="16" a="1"/>
  <c r="AB660" i="16" l="1"/>
  <c r="R658" i="16"/>
  <c r="AB661" i="16" a="1"/>
  <c r="Q660" i="16"/>
  <c r="R659" i="16" a="1"/>
  <c r="AA662" i="16"/>
  <c r="AB661" i="16" l="1"/>
  <c r="R659" i="16"/>
  <c r="AA663" i="16"/>
  <c r="R660" i="16" a="1"/>
  <c r="AB662" i="16" a="1"/>
  <c r="Q661" i="16"/>
  <c r="AB662" i="16" l="1"/>
  <c r="R660" i="16"/>
  <c r="AA664" i="16"/>
  <c r="R661" i="16" a="1"/>
  <c r="AB663" i="16" a="1"/>
  <c r="Q662" i="16"/>
  <c r="AB663" i="16" l="1"/>
  <c r="R661" i="16"/>
  <c r="AB664" i="16" a="1"/>
  <c r="AA665" i="16"/>
  <c r="Q663" i="16"/>
  <c r="R662" i="16" a="1"/>
  <c r="AB664" i="16" l="1"/>
  <c r="R662" i="16"/>
  <c r="R663" i="16" a="1"/>
  <c r="AB665" i="16" a="1"/>
  <c r="Q664" i="16"/>
  <c r="AA666" i="16"/>
  <c r="AB665" i="16" l="1"/>
  <c r="R663" i="16"/>
  <c r="AA667" i="16"/>
  <c r="AB666" i="16" a="1"/>
  <c r="R664" i="16" a="1"/>
  <c r="Q665" i="16"/>
  <c r="AB666" i="16" l="1"/>
  <c r="R664" i="16"/>
  <c r="Q666" i="16"/>
  <c r="AA668" i="16"/>
  <c r="AB667" i="16" a="1"/>
  <c r="R665" i="16" a="1"/>
  <c r="AB667" i="16" l="1"/>
  <c r="R665" i="16"/>
  <c r="AA669" i="16"/>
  <c r="AB668" i="16" a="1"/>
  <c r="Q667" i="16"/>
  <c r="R666" i="16" a="1"/>
  <c r="AB668" i="16" l="1"/>
  <c r="R666" i="16"/>
  <c r="R667" i="16" a="1"/>
  <c r="AA670" i="16"/>
  <c r="Q668" i="16"/>
  <c r="AB669" i="16" a="1"/>
  <c r="AB669" i="16" l="1"/>
  <c r="R667" i="16"/>
  <c r="AA671" i="16"/>
  <c r="Q669" i="16"/>
  <c r="R668" i="16" a="1"/>
  <c r="AB670" i="16" a="1"/>
  <c r="AB670" i="16" l="1"/>
  <c r="R668" i="16"/>
  <c r="Q670" i="16"/>
  <c r="AB671" i="16" a="1"/>
  <c r="R669" i="16" a="1"/>
  <c r="AA672" i="16"/>
  <c r="AB671" i="16" l="1"/>
  <c r="R669" i="16"/>
  <c r="AB672" i="16" a="1"/>
  <c r="Q671" i="16"/>
  <c r="R670" i="16" a="1"/>
  <c r="AA673" i="16"/>
  <c r="AB672" i="16" l="1"/>
  <c r="R670" i="16"/>
  <c r="AB673" i="16" a="1"/>
  <c r="Q672" i="16"/>
  <c r="AA674" i="16"/>
  <c r="R671" i="16" a="1"/>
  <c r="AB673" i="16" l="1"/>
  <c r="R671" i="16"/>
  <c r="AB674" i="16" a="1"/>
  <c r="R672" i="16" a="1"/>
  <c r="Q673" i="16"/>
  <c r="AA675" i="16"/>
  <c r="AB674" i="16" l="1"/>
  <c r="R672" i="16"/>
  <c r="AA676" i="16"/>
  <c r="AB675" i="16" a="1"/>
  <c r="R673" i="16" a="1"/>
  <c r="Q674" i="16"/>
  <c r="AB675" i="16" l="1"/>
  <c r="R673" i="16"/>
  <c r="AB676" i="16" a="1"/>
  <c r="Q675" i="16"/>
  <c r="R674" i="16" a="1"/>
  <c r="AA677" i="16"/>
  <c r="AB676" i="16" l="1"/>
  <c r="R674" i="16"/>
  <c r="R675" i="16" a="1"/>
  <c r="AA678" i="16"/>
  <c r="Q676" i="16"/>
  <c r="AB677" i="16" a="1"/>
  <c r="AB677" i="16" l="1"/>
  <c r="R675" i="16"/>
  <c r="AB678" i="16" a="1"/>
  <c r="Q677" i="16"/>
  <c r="AA679" i="16"/>
  <c r="R676" i="16" a="1"/>
  <c r="AB678" i="16" l="1"/>
  <c r="R676" i="16"/>
  <c r="AB679" i="16" a="1"/>
  <c r="R677" i="16" a="1"/>
  <c r="AA680" i="16"/>
  <c r="Q678" i="16"/>
  <c r="AB679" i="16" l="1"/>
  <c r="R677" i="16"/>
  <c r="AA681" i="16"/>
  <c r="R678" i="16" a="1"/>
  <c r="Q679" i="16"/>
  <c r="AB680" i="16" a="1"/>
  <c r="AB680" i="16" l="1"/>
  <c r="R678" i="16"/>
  <c r="AB681" i="16" a="1"/>
  <c r="AA682" i="16"/>
  <c r="Q680" i="16"/>
  <c r="R679" i="16" a="1"/>
  <c r="AB681" i="16" l="1"/>
  <c r="R679" i="16"/>
  <c r="Q681" i="16"/>
  <c r="AA683" i="16"/>
  <c r="R680" i="16" a="1"/>
  <c r="AB682" i="16" a="1"/>
  <c r="AB682" i="16" l="1"/>
  <c r="R680" i="16"/>
  <c r="AA684" i="16"/>
  <c r="AB683" i="16" a="1"/>
  <c r="R681" i="16" a="1"/>
  <c r="Q682" i="16"/>
  <c r="AB683" i="16" l="1"/>
  <c r="R681" i="16"/>
  <c r="AB684" i="16" a="1"/>
  <c r="R682" i="16" a="1"/>
  <c r="AA685" i="16"/>
  <c r="Q683" i="16"/>
  <c r="AB684" i="16" l="1"/>
  <c r="R682" i="16"/>
  <c r="AB685" i="16" a="1"/>
  <c r="Q684" i="16"/>
  <c r="AA686" i="16"/>
  <c r="R683" i="16" a="1"/>
  <c r="AB685" i="16" l="1"/>
  <c r="R683" i="16"/>
  <c r="R684" i="16" a="1"/>
  <c r="AA687" i="16"/>
  <c r="Q685" i="16"/>
  <c r="AB686" i="16" a="1"/>
  <c r="AB686" i="16" l="1"/>
  <c r="R684" i="16"/>
  <c r="Q686" i="16"/>
  <c r="AA688" i="16"/>
  <c r="R685" i="16" a="1"/>
  <c r="AB687" i="16" a="1"/>
  <c r="AB687" i="16" l="1"/>
  <c r="R685" i="16"/>
  <c r="R686" i="16" a="1"/>
  <c r="AB688" i="16" a="1"/>
  <c r="Q687" i="16"/>
  <c r="AA689" i="16"/>
  <c r="AB688" i="16" l="1"/>
  <c r="R686" i="16"/>
  <c r="R687" i="16" a="1"/>
  <c r="Q688" i="16"/>
  <c r="AA690" i="16"/>
  <c r="AB689" i="16" a="1"/>
  <c r="AB689" i="16" l="1"/>
  <c r="R687" i="16"/>
  <c r="AA691" i="16"/>
  <c r="R688" i="16" a="1"/>
  <c r="AB690" i="16" a="1"/>
  <c r="Q689" i="16"/>
  <c r="AB690" i="16" l="1"/>
  <c r="R688" i="16"/>
  <c r="AA692" i="16"/>
  <c r="AB691" i="16" a="1"/>
  <c r="R689" i="16" a="1"/>
  <c r="Q690" i="16"/>
  <c r="AB691" i="16" l="1"/>
  <c r="R689" i="16"/>
  <c r="R690" i="16" a="1"/>
  <c r="Q691" i="16"/>
  <c r="AB692" i="16" a="1"/>
  <c r="AA693" i="16"/>
  <c r="AB692" i="16" l="1"/>
  <c r="R690" i="16"/>
  <c r="Q692" i="16"/>
  <c r="AA694" i="16"/>
  <c r="R691" i="16" a="1"/>
  <c r="AB693" i="16" a="1"/>
  <c r="AB693" i="16" l="1"/>
  <c r="R691" i="16"/>
  <c r="Q693" i="16"/>
  <c r="AB694" i="16" a="1"/>
  <c r="R692" i="16" a="1"/>
  <c r="AA695" i="16"/>
  <c r="AB694" i="16" l="1"/>
  <c r="R692" i="16"/>
  <c r="R693" i="16" a="1"/>
  <c r="AA696" i="16"/>
  <c r="Q694" i="16"/>
  <c r="AB695" i="16" a="1"/>
  <c r="AB695" i="16" l="1"/>
  <c r="R693" i="16"/>
  <c r="AA697" i="16"/>
  <c r="R694" i="16" a="1"/>
  <c r="Q695" i="16"/>
  <c r="AB696" i="16" a="1"/>
  <c r="AB696" i="16" l="1"/>
  <c r="R694" i="16"/>
  <c r="Q696" i="16"/>
  <c r="AB697" i="16" a="1"/>
  <c r="R695" i="16" a="1"/>
  <c r="AA698" i="16"/>
  <c r="AB697" i="16" l="1"/>
  <c r="R695" i="16"/>
  <c r="R696" i="16" a="1"/>
  <c r="AA699" i="16"/>
  <c r="AB698" i="16" a="1"/>
  <c r="Q697" i="16"/>
  <c r="AB698" i="16" l="1"/>
  <c r="R696" i="16"/>
  <c r="R697" i="16" a="1"/>
  <c r="Q698" i="16"/>
  <c r="AB699" i="16" a="1"/>
  <c r="AA700" i="16"/>
  <c r="AB699" i="16" l="1"/>
  <c r="R697" i="16"/>
  <c r="Q699" i="16"/>
  <c r="AA701" i="16"/>
  <c r="AB700" i="16" a="1"/>
  <c r="R698" i="16" a="1"/>
  <c r="AB700" i="16" l="1"/>
  <c r="R698" i="16"/>
  <c r="AB701" i="16" a="1"/>
  <c r="AA702" i="16"/>
  <c r="R699" i="16" a="1"/>
  <c r="Q700" i="16"/>
  <c r="AB701" i="16" l="1"/>
  <c r="R699" i="16"/>
  <c r="R700" i="16" a="1"/>
  <c r="AB702" i="16" a="1"/>
  <c r="AA703" i="16"/>
  <c r="Q701" i="16"/>
  <c r="AB702" i="16" l="1"/>
  <c r="R700" i="16"/>
  <c r="Q702" i="16"/>
  <c r="AB703" i="16" a="1"/>
  <c r="AA704" i="16"/>
  <c r="R701" i="16" a="1"/>
  <c r="AB703" i="16" l="1"/>
  <c r="R701" i="16"/>
  <c r="AA705" i="16"/>
  <c r="R702" i="16" a="1"/>
  <c r="Q703" i="16"/>
  <c r="AB704" i="16" a="1"/>
  <c r="AB704" i="16" l="1"/>
  <c r="R702" i="16"/>
  <c r="AB705" i="16" a="1"/>
  <c r="Q704" i="16"/>
  <c r="R703" i="16" a="1"/>
  <c r="AA706" i="16"/>
  <c r="AB705" i="16" l="1"/>
  <c r="R703" i="16"/>
  <c r="AA707" i="16"/>
  <c r="AB706" i="16" a="1"/>
  <c r="Q705" i="16"/>
  <c r="R704" i="16" a="1"/>
  <c r="AB706" i="16" l="1"/>
  <c r="R704" i="16"/>
  <c r="AB707" i="16" a="1"/>
  <c r="AA708" i="16"/>
  <c r="R705" i="16" a="1"/>
  <c r="Q706" i="16"/>
  <c r="AB707" i="16" l="1"/>
  <c r="R705" i="16"/>
  <c r="R706" i="16" a="1"/>
  <c r="AB708" i="16" a="1"/>
  <c r="Q707" i="16"/>
  <c r="AA709" i="16"/>
  <c r="AB708" i="16" l="1"/>
  <c r="R706" i="16"/>
  <c r="R707" i="16" a="1"/>
  <c r="AA710" i="16"/>
  <c r="AB709" i="16" a="1"/>
  <c r="Q708" i="16"/>
  <c r="AB709" i="16" l="1"/>
  <c r="R707" i="16"/>
  <c r="Q709" i="16"/>
  <c r="R708" i="16" a="1"/>
  <c r="AB710" i="16" a="1"/>
  <c r="AA711" i="16"/>
  <c r="AB710" i="16" l="1"/>
  <c r="R708" i="16"/>
  <c r="AA712" i="16"/>
  <c r="Q710" i="16"/>
  <c r="AB711" i="16" a="1"/>
  <c r="R709" i="16" a="1"/>
  <c r="AB711" i="16" l="1"/>
  <c r="R709" i="16"/>
  <c r="R710" i="16" a="1"/>
  <c r="AA713" i="16"/>
  <c r="AB712" i="16" a="1"/>
  <c r="Q711" i="16"/>
  <c r="AB712" i="16" l="1"/>
  <c r="R710" i="16"/>
  <c r="AB713" i="16" a="1"/>
  <c r="R711" i="16" a="1"/>
  <c r="AA714" i="16"/>
  <c r="Q712" i="16"/>
  <c r="AB713" i="16" l="1"/>
  <c r="R711" i="16"/>
  <c r="AB714" i="16" a="1"/>
  <c r="AA715" i="16"/>
  <c r="R712" i="16" a="1"/>
  <c r="Q713" i="16"/>
  <c r="AB714" i="16" l="1"/>
  <c r="R712" i="16"/>
  <c r="R713" i="16" a="1"/>
  <c r="AA716" i="16"/>
  <c r="Q714" i="16"/>
  <c r="AB715" i="16" a="1"/>
  <c r="AB715" i="16" l="1"/>
  <c r="R713" i="16"/>
  <c r="AA717" i="16"/>
  <c r="Q715" i="16"/>
  <c r="AB716" i="16" a="1"/>
  <c r="R714" i="16" a="1"/>
  <c r="AB716" i="16" l="1"/>
  <c r="R714" i="16"/>
  <c r="AB717" i="16" a="1"/>
  <c r="AA718" i="16"/>
  <c r="R715" i="16" a="1"/>
  <c r="Q716" i="16"/>
  <c r="AB717" i="16" l="1"/>
  <c r="R715" i="16"/>
  <c r="AA719" i="16"/>
  <c r="AB718" i="16" a="1"/>
  <c r="Q717" i="16"/>
  <c r="R716" i="16" a="1"/>
  <c r="AB718" i="16" l="1"/>
  <c r="R716" i="16"/>
  <c r="AA720" i="16"/>
  <c r="Q718" i="16"/>
  <c r="AB719" i="16" a="1"/>
  <c r="R717" i="16" a="1"/>
  <c r="AB719" i="16" l="1"/>
  <c r="R717" i="16"/>
  <c r="AB720" i="16" a="1"/>
  <c r="AA721" i="16"/>
  <c r="Q719" i="16"/>
  <c r="R718" i="16" a="1"/>
  <c r="AB720" i="16" l="1"/>
  <c r="R718" i="16"/>
  <c r="R719" i="16" a="1"/>
  <c r="AA722" i="16"/>
  <c r="AB721" i="16" a="1"/>
  <c r="Q720" i="16"/>
  <c r="AB721" i="16" l="1"/>
  <c r="R719" i="16"/>
  <c r="AB722" i="16" a="1"/>
  <c r="AA723" i="16"/>
  <c r="R720" i="16" a="1"/>
  <c r="Q721" i="16"/>
  <c r="AB722" i="16" l="1"/>
  <c r="R720" i="16"/>
  <c r="AA724" i="16"/>
  <c r="R721" i="16" a="1"/>
  <c r="AB723" i="16" a="1"/>
  <c r="Q722" i="16"/>
  <c r="AB723" i="16" l="1"/>
  <c r="R721" i="16"/>
  <c r="R722" i="16" a="1"/>
  <c r="Q723" i="16"/>
  <c r="AB724" i="16" a="1"/>
  <c r="AA725" i="16"/>
  <c r="AB724" i="16" l="1"/>
  <c r="R722" i="16"/>
  <c r="AB725" i="16" a="1"/>
  <c r="Q724" i="16"/>
  <c r="R723" i="16" a="1"/>
  <c r="AA726" i="16"/>
  <c r="AB725" i="16" l="1"/>
  <c r="R723" i="16"/>
  <c r="Q725" i="16"/>
  <c r="R724" i="16" a="1"/>
  <c r="AB726" i="16" a="1"/>
  <c r="AA727" i="16"/>
  <c r="AB726" i="16" l="1"/>
  <c r="R724" i="16"/>
  <c r="AB727" i="16" a="1"/>
  <c r="R725" i="16" a="1"/>
  <c r="AA728" i="16"/>
  <c r="Q726" i="16"/>
  <c r="AB727" i="16" l="1"/>
  <c r="R725" i="16"/>
  <c r="Q727" i="16"/>
  <c r="AB728" i="16" a="1"/>
  <c r="AA729" i="16"/>
  <c r="R726" i="16" a="1"/>
  <c r="AB728" i="16" l="1"/>
  <c r="R726" i="16"/>
  <c r="R727" i="16" a="1"/>
  <c r="Q728" i="16"/>
  <c r="AB729" i="16" a="1"/>
  <c r="AA730" i="16"/>
  <c r="AB729" i="16" l="1"/>
  <c r="R727" i="16"/>
  <c r="AB730" i="16" a="1"/>
  <c r="AA731" i="16"/>
  <c r="Q729" i="16"/>
  <c r="R728" i="16" a="1"/>
  <c r="AB730" i="16" l="1"/>
  <c r="R728" i="16"/>
  <c r="AB731" i="16" a="1"/>
  <c r="Q730" i="16"/>
  <c r="AA732" i="16"/>
  <c r="R729" i="16" a="1"/>
  <c r="AB731" i="16" l="1"/>
  <c r="R729" i="16"/>
  <c r="R730" i="16" a="1"/>
  <c r="AA733" i="16"/>
  <c r="AB732" i="16" a="1"/>
  <c r="Q731" i="16"/>
  <c r="AB732" i="16" l="1"/>
  <c r="R730" i="16"/>
  <c r="AA734" i="16"/>
  <c r="R731" i="16" a="1"/>
  <c r="Q732" i="16"/>
  <c r="AB733" i="16" a="1"/>
  <c r="AB733" i="16" l="1"/>
  <c r="R731" i="16"/>
  <c r="R732" i="16" a="1"/>
  <c r="Q733" i="16"/>
  <c r="AA735" i="16"/>
  <c r="AB734" i="16" a="1"/>
  <c r="AB734" i="16" l="1"/>
  <c r="R732" i="16"/>
  <c r="AA736" i="16"/>
  <c r="AB735" i="16" a="1"/>
  <c r="Q734" i="16"/>
  <c r="R733" i="16" a="1"/>
  <c r="AB735" i="16" l="1"/>
  <c r="R733" i="16"/>
  <c r="AA737" i="16"/>
  <c r="Q735" i="16"/>
  <c r="R734" i="16" a="1"/>
  <c r="AB736" i="16" a="1"/>
  <c r="AB736" i="16" l="1"/>
  <c r="R734" i="16"/>
  <c r="AA738" i="16"/>
  <c r="AB737" i="16" a="1"/>
  <c r="R735" i="16" a="1"/>
  <c r="Q736" i="16"/>
  <c r="AB737" i="16" l="1"/>
  <c r="R735" i="16"/>
  <c r="Q737" i="16"/>
  <c r="AB738" i="16" a="1"/>
  <c r="AA739" i="16"/>
  <c r="R736" i="16" a="1"/>
  <c r="AB738" i="16" l="1"/>
  <c r="R736" i="16"/>
  <c r="AA740" i="16"/>
  <c r="Q738" i="16"/>
  <c r="R737" i="16" a="1"/>
  <c r="AB739" i="16" a="1"/>
  <c r="AB739" i="16" l="1"/>
  <c r="R737" i="16"/>
  <c r="AB740" i="16" a="1"/>
  <c r="AA741" i="16"/>
  <c r="Q739" i="16"/>
  <c r="R738" i="16" a="1"/>
  <c r="AB740" i="16" l="1"/>
  <c r="R738" i="16"/>
  <c r="AB741" i="16" a="1"/>
  <c r="R739" i="16" a="1"/>
  <c r="Q740" i="16"/>
  <c r="AA742" i="16"/>
  <c r="AB741" i="16" l="1"/>
  <c r="R739" i="16"/>
  <c r="Q741" i="16"/>
  <c r="AB742" i="16" a="1"/>
  <c r="R740" i="16" a="1"/>
  <c r="AA743" i="16"/>
  <c r="AB742" i="16" l="1"/>
  <c r="R740" i="16"/>
  <c r="AB743" i="16" a="1"/>
  <c r="AA744" i="16"/>
  <c r="Q742" i="16"/>
  <c r="R741" i="16" a="1"/>
  <c r="AB743" i="16" l="1"/>
  <c r="R741" i="16"/>
  <c r="AB744" i="16" a="1"/>
  <c r="AA745" i="16"/>
  <c r="Q743" i="16"/>
  <c r="R742" i="16" a="1"/>
  <c r="AB744" i="16" l="1"/>
  <c r="R742" i="16"/>
  <c r="AB745" i="16" a="1"/>
  <c r="AA746" i="16"/>
  <c r="R743" i="16" a="1"/>
  <c r="Q744" i="16"/>
  <c r="AB745" i="16" l="1"/>
  <c r="R743" i="16"/>
  <c r="R744" i="16" a="1"/>
  <c r="AA747" i="16"/>
  <c r="AB746" i="16" a="1"/>
  <c r="Q745" i="16"/>
  <c r="AB746" i="16" l="1"/>
  <c r="R744" i="16"/>
  <c r="AA748" i="16"/>
  <c r="AB747" i="16" a="1"/>
  <c r="R745" i="16" a="1"/>
  <c r="Q746" i="16"/>
  <c r="AB747" i="16" l="1"/>
  <c r="R745" i="16"/>
  <c r="R746" i="16" a="1"/>
  <c r="Q747" i="16"/>
  <c r="AB748" i="16" a="1"/>
  <c r="AA749" i="16"/>
  <c r="AB748" i="16" l="1"/>
  <c r="R746" i="16"/>
  <c r="R747" i="16" a="1"/>
  <c r="AA750" i="16"/>
  <c r="AB749" i="16" a="1"/>
  <c r="Q748" i="16"/>
  <c r="AB749" i="16" l="1"/>
  <c r="R747" i="16"/>
  <c r="AB750" i="16" a="1"/>
  <c r="Q749" i="16"/>
  <c r="R748" i="16" a="1"/>
  <c r="AA751" i="16"/>
  <c r="AB750" i="16" l="1"/>
  <c r="R748" i="16"/>
  <c r="AB751" i="16" a="1"/>
  <c r="Q750" i="16"/>
  <c r="R749" i="16" a="1"/>
  <c r="AA752" i="16"/>
  <c r="AB751" i="16" l="1"/>
  <c r="R749" i="16"/>
  <c r="R750" i="16" a="1"/>
  <c r="Q751" i="16"/>
  <c r="AB752" i="16" a="1"/>
  <c r="AA753" i="16"/>
  <c r="AB752" i="16" l="1"/>
  <c r="R750" i="16"/>
  <c r="R751" i="16" a="1"/>
  <c r="Q752" i="16"/>
  <c r="AB753" i="16" a="1"/>
  <c r="AA754" i="16"/>
  <c r="AB753" i="16" l="1"/>
  <c r="R751" i="16"/>
  <c r="R752" i="16" a="1"/>
  <c r="AB754" i="16" a="1"/>
  <c r="AA755" i="16"/>
  <c r="Q753" i="16"/>
  <c r="AB754" i="16" l="1"/>
  <c r="R752" i="16"/>
  <c r="R753" i="16" a="1"/>
  <c r="AB755" i="16" a="1"/>
  <c r="AA756" i="16"/>
  <c r="Q754" i="16"/>
  <c r="AB755" i="16" l="1"/>
  <c r="R753" i="16"/>
  <c r="R754" i="16" a="1"/>
  <c r="AB756" i="16" a="1"/>
  <c r="AA757" i="16"/>
  <c r="Q755" i="16"/>
  <c r="AB756" i="16" l="1"/>
  <c r="R754" i="16"/>
  <c r="AA758" i="16"/>
  <c r="AB757" i="16" a="1"/>
  <c r="Q756" i="16"/>
  <c r="R755" i="16" a="1"/>
  <c r="AB757" i="16" l="1"/>
  <c r="R755" i="16"/>
  <c r="AB758" i="16" a="1"/>
  <c r="R756" i="16" a="1"/>
  <c r="AA759" i="16"/>
  <c r="Q757" i="16"/>
  <c r="AB758" i="16" l="1"/>
  <c r="R756" i="16"/>
  <c r="R757" i="16" a="1"/>
  <c r="Q758" i="16"/>
  <c r="AB759" i="16" a="1"/>
  <c r="AA760" i="16"/>
  <c r="AB759" i="16" l="1"/>
  <c r="R757" i="16"/>
  <c r="AB760" i="16" a="1"/>
  <c r="AA761" i="16"/>
  <c r="Q759" i="16"/>
  <c r="R758" i="16" a="1"/>
  <c r="AB760" i="16" l="1"/>
  <c r="R758" i="16"/>
  <c r="AB761" i="16" a="1"/>
  <c r="AA762" i="16"/>
  <c r="R759" i="16" a="1"/>
  <c r="Q760" i="16"/>
  <c r="AB761" i="16" l="1"/>
  <c r="R759" i="16"/>
  <c r="R760" i="16" a="1"/>
  <c r="AB762" i="16" a="1"/>
  <c r="Q761" i="16"/>
  <c r="AA763" i="16"/>
  <c r="AB762" i="16" l="1"/>
  <c r="R760" i="16"/>
  <c r="AB763" i="16" a="1"/>
  <c r="R761" i="16" a="1"/>
  <c r="AA764" i="16"/>
  <c r="Q762" i="16"/>
  <c r="AB763" i="16" l="1"/>
  <c r="R761" i="16"/>
  <c r="R762" i="16" a="1"/>
  <c r="AA765" i="16"/>
  <c r="AB764" i="16" a="1"/>
  <c r="Q763" i="16"/>
  <c r="AB764" i="16" l="1"/>
  <c r="R762" i="16"/>
  <c r="AB765" i="16" a="1"/>
  <c r="R763" i="16" a="1"/>
  <c r="AA766" i="16"/>
  <c r="Q764" i="16"/>
  <c r="AB765" i="16" l="1"/>
  <c r="R763" i="16"/>
  <c r="Q765" i="16"/>
  <c r="AB766" i="16" a="1"/>
  <c r="AA767" i="16"/>
  <c r="R764" i="16" a="1"/>
  <c r="AB766" i="16" l="1"/>
  <c r="R764" i="16"/>
  <c r="R765" i="16" a="1"/>
  <c r="AA768" i="16"/>
  <c r="Q766" i="16"/>
  <c r="AB767" i="16" a="1"/>
  <c r="AB767" i="16" l="1"/>
  <c r="R765" i="16"/>
  <c r="AA769" i="16"/>
  <c r="R766" i="16" a="1"/>
  <c r="Q767" i="16"/>
  <c r="AB768" i="16" a="1"/>
  <c r="AB768" i="16" l="1"/>
  <c r="R766" i="16"/>
  <c r="R767" i="16" a="1"/>
  <c r="Q768" i="16"/>
  <c r="AA770" i="16"/>
  <c r="AB769" i="16" a="1"/>
  <c r="AB769" i="16" l="1"/>
  <c r="R767" i="16"/>
  <c r="R768" i="16" a="1"/>
  <c r="AA771" i="16"/>
  <c r="AB770" i="16" a="1"/>
  <c r="Q769" i="16"/>
  <c r="AB770" i="16" l="1"/>
  <c r="R768" i="16"/>
  <c r="AB771" i="16" a="1"/>
  <c r="AA772" i="16"/>
  <c r="Q770" i="16"/>
  <c r="R769" i="16" a="1"/>
  <c r="AB771" i="16" l="1"/>
  <c r="R769" i="16"/>
  <c r="Q771" i="16"/>
  <c r="AB772" i="16" a="1"/>
  <c r="AA773" i="16"/>
  <c r="R770" i="16" a="1"/>
  <c r="AB772" i="16" l="1"/>
  <c r="R770" i="16"/>
  <c r="R771" i="16" a="1"/>
  <c r="AA774" i="16"/>
  <c r="Q772" i="16"/>
  <c r="AB773" i="16" a="1"/>
  <c r="AB773" i="16" l="1"/>
  <c r="R771" i="16"/>
  <c r="AA775" i="16"/>
  <c r="R772" i="16" a="1"/>
  <c r="AB774" i="16" a="1"/>
  <c r="Q773" i="16"/>
  <c r="AB774" i="16" l="1"/>
  <c r="R772" i="16"/>
  <c r="AB775" i="16" a="1"/>
  <c r="Q774" i="16"/>
  <c r="R773" i="16" a="1"/>
  <c r="AA776" i="16"/>
  <c r="AB775" i="16" l="1"/>
  <c r="R773" i="16"/>
  <c r="Q775" i="16"/>
  <c r="AA777" i="16"/>
  <c r="AB776" i="16" a="1"/>
  <c r="R774" i="16" a="1"/>
  <c r="AB776" i="16" l="1"/>
  <c r="R774" i="16"/>
  <c r="Q776" i="16"/>
  <c r="AB777" i="16" a="1"/>
  <c r="R775" i="16" a="1"/>
  <c r="AA778" i="16"/>
  <c r="AB777" i="16" l="1"/>
  <c r="R775" i="16"/>
  <c r="AA779" i="16"/>
  <c r="Q777" i="16"/>
  <c r="AB778" i="16" a="1"/>
  <c r="R776" i="16" a="1"/>
  <c r="AB778" i="16" l="1"/>
  <c r="R776" i="16"/>
  <c r="R777" i="16" a="1"/>
  <c r="AA780" i="16"/>
  <c r="AB779" i="16" a="1"/>
  <c r="Q778" i="16"/>
  <c r="AB779" i="16" l="1"/>
  <c r="R777" i="16"/>
  <c r="R778" i="16" a="1"/>
  <c r="Q779" i="16"/>
  <c r="AA781" i="16"/>
  <c r="AB780" i="16" a="1"/>
  <c r="AB780" i="16" l="1"/>
  <c r="R778" i="16"/>
  <c r="AB781" i="16" a="1"/>
  <c r="Q780" i="16"/>
  <c r="R779" i="16" a="1"/>
  <c r="AA782" i="16"/>
  <c r="AB781" i="16" l="1"/>
  <c r="R779" i="16"/>
  <c r="AB782" i="16" a="1"/>
  <c r="Q781" i="16"/>
  <c r="R780" i="16" a="1"/>
  <c r="AA783" i="16"/>
  <c r="AB782" i="16" l="1"/>
  <c r="R780" i="16"/>
  <c r="R781" i="16" a="1"/>
  <c r="AA784" i="16"/>
  <c r="AB783" i="16" a="1"/>
  <c r="Q782" i="16"/>
  <c r="AB783" i="16" l="1"/>
  <c r="R781" i="16"/>
  <c r="Q783" i="16"/>
  <c r="AB784" i="16" a="1"/>
  <c r="AA785" i="16"/>
  <c r="R782" i="16" a="1"/>
  <c r="AB784" i="16" l="1"/>
  <c r="R782" i="16"/>
  <c r="Q784" i="16"/>
  <c r="R783" i="16" a="1"/>
  <c r="AB785" i="16" a="1"/>
  <c r="AA786" i="16"/>
  <c r="AB785" i="16" l="1"/>
  <c r="R783" i="16"/>
  <c r="AB786" i="16" a="1"/>
  <c r="Q785" i="16"/>
  <c r="AA787" i="16"/>
  <c r="R784" i="16" a="1"/>
  <c r="AB786" i="16" l="1"/>
  <c r="R784" i="16"/>
  <c r="R785" i="16" a="1"/>
  <c r="AA788" i="16"/>
  <c r="Q786" i="16"/>
  <c r="AB787" i="16" a="1"/>
  <c r="AB787" i="16" l="1"/>
  <c r="R785" i="16"/>
  <c r="Q787" i="16"/>
  <c r="AB788" i="16" a="1"/>
  <c r="AA789" i="16"/>
  <c r="R786" i="16" a="1"/>
  <c r="AB788" i="16" l="1"/>
  <c r="R786" i="16"/>
  <c r="Q788" i="16"/>
  <c r="R787" i="16" a="1"/>
  <c r="AB789" i="16" a="1"/>
  <c r="AA790" i="16"/>
  <c r="AB789" i="16" l="1"/>
  <c r="R787" i="16"/>
  <c r="Q789" i="16"/>
  <c r="R788" i="16" a="1"/>
  <c r="AB790" i="16" a="1"/>
  <c r="AA791" i="16"/>
  <c r="AB790" i="16" l="1"/>
  <c r="R788" i="16"/>
  <c r="AA792" i="16"/>
  <c r="Q790" i="16"/>
  <c r="R789" i="16" a="1"/>
  <c r="AB791" i="16" a="1"/>
  <c r="AB791" i="16" l="1"/>
  <c r="R789" i="16"/>
  <c r="AA793" i="16"/>
  <c r="R790" i="16" a="1"/>
  <c r="Q791" i="16"/>
  <c r="AB792" i="16" a="1"/>
  <c r="AB792" i="16" l="1"/>
  <c r="R790" i="16"/>
  <c r="AA794" i="16"/>
  <c r="Q792" i="16"/>
  <c r="AB793" i="16" a="1"/>
  <c r="R791" i="16" a="1"/>
  <c r="AB793" i="16" l="1"/>
  <c r="R791" i="16"/>
  <c r="Q793" i="16"/>
  <c r="R792" i="16" a="1"/>
  <c r="AA795" i="16"/>
  <c r="AB794" i="16" a="1"/>
  <c r="AB794" i="16" l="1"/>
  <c r="R792" i="16"/>
  <c r="AA796" i="16"/>
  <c r="R793" i="16" a="1"/>
  <c r="Q794" i="16"/>
  <c r="AB795" i="16" a="1"/>
  <c r="AB795" i="16" l="1"/>
  <c r="R793" i="16"/>
  <c r="AA797" i="16"/>
  <c r="AB796" i="16" a="1"/>
  <c r="Q795" i="16"/>
  <c r="R794" i="16" a="1"/>
  <c r="AB796" i="16" l="1"/>
  <c r="R794" i="16"/>
  <c r="R795" i="16" a="1"/>
  <c r="AA798" i="16"/>
  <c r="Q796" i="16"/>
  <c r="AB797" i="16" a="1"/>
  <c r="AB797" i="16" l="1"/>
  <c r="R795" i="16"/>
  <c r="AA799" i="16"/>
  <c r="R796" i="16" a="1"/>
  <c r="Q797" i="16"/>
  <c r="AB798" i="16" a="1"/>
  <c r="AB798" i="16" l="1"/>
  <c r="R796" i="16"/>
  <c r="AB799" i="16" a="1"/>
  <c r="R797" i="16" a="1"/>
  <c r="AA800" i="16"/>
  <c r="Q798" i="16"/>
  <c r="AB799" i="16" l="1"/>
  <c r="R797" i="16"/>
  <c r="AA801" i="16"/>
  <c r="R798" i="16" a="1"/>
  <c r="Q799" i="16"/>
  <c r="AB800" i="16" a="1"/>
  <c r="AB800" i="16" l="1"/>
  <c r="R798" i="16"/>
  <c r="AB801" i="16" a="1"/>
  <c r="AA802" i="16"/>
  <c r="R799" i="16" a="1"/>
  <c r="Q800" i="16"/>
  <c r="AB801" i="16" l="1"/>
  <c r="R799" i="16"/>
  <c r="Q801" i="16"/>
  <c r="AB802" i="16" a="1"/>
  <c r="AA803" i="16"/>
  <c r="R800" i="16" a="1"/>
  <c r="AB802" i="16" l="1"/>
  <c r="R800" i="16"/>
  <c r="AB803" i="16" a="1"/>
  <c r="Q802" i="16"/>
  <c r="R801" i="16" a="1"/>
  <c r="AA804" i="16"/>
  <c r="AB803" i="16" l="1"/>
  <c r="R801" i="16"/>
  <c r="AA805" i="16"/>
  <c r="AB804" i="16" a="1"/>
  <c r="Q803" i="16"/>
  <c r="R802" i="16" a="1"/>
  <c r="AB804" i="16" l="1"/>
  <c r="R802" i="16"/>
  <c r="R803" i="16" a="1"/>
  <c r="Q804" i="16"/>
  <c r="AA806" i="16"/>
  <c r="AB805" i="16" a="1"/>
  <c r="AB805" i="16" l="1"/>
  <c r="R803" i="16"/>
  <c r="Q805" i="16"/>
  <c r="AB806" i="16" a="1"/>
  <c r="AA807" i="16"/>
  <c r="R804" i="16" a="1"/>
  <c r="AB806" i="16" l="1"/>
  <c r="R804" i="16"/>
  <c r="AB807" i="16" a="1"/>
  <c r="R805" i="16" a="1"/>
  <c r="Q806" i="16"/>
  <c r="AA808" i="16"/>
  <c r="AB807" i="16" l="1"/>
  <c r="R805" i="16"/>
  <c r="R806" i="16" a="1"/>
  <c r="Q807" i="16"/>
  <c r="AA809" i="16"/>
  <c r="AB808" i="16" a="1"/>
  <c r="AB808" i="16" l="1"/>
  <c r="R806" i="16"/>
  <c r="AB809" i="16" a="1"/>
  <c r="R807" i="16" a="1"/>
  <c r="AA810" i="16"/>
  <c r="Q808" i="16"/>
  <c r="AB809" i="16" l="1"/>
  <c r="R807" i="16"/>
  <c r="AB810" i="16" a="1"/>
  <c r="R808" i="16" a="1"/>
  <c r="Q809" i="16"/>
  <c r="AA811" i="16"/>
  <c r="AB810" i="16" l="1"/>
  <c r="R808" i="16"/>
  <c r="AA812" i="16"/>
  <c r="R809" i="16" a="1"/>
  <c r="Q810" i="16"/>
  <c r="AB811" i="16" a="1"/>
  <c r="AB811" i="16" l="1"/>
  <c r="R809" i="16"/>
  <c r="Q811" i="16"/>
  <c r="AA813" i="16"/>
  <c r="R810" i="16" a="1"/>
  <c r="AB812" i="16" a="1"/>
  <c r="AB812" i="16" l="1"/>
  <c r="R810" i="16"/>
  <c r="Q812" i="16"/>
  <c r="R811" i="16" a="1"/>
  <c r="AB813" i="16" a="1"/>
  <c r="AA814" i="16"/>
  <c r="AB813" i="16" l="1"/>
  <c r="R811" i="16"/>
  <c r="Q813" i="16"/>
  <c r="R812" i="16" a="1"/>
  <c r="AA815" i="16"/>
  <c r="AB814" i="16" a="1"/>
  <c r="AB814" i="16" l="1"/>
  <c r="R812" i="16"/>
  <c r="R813" i="16" a="1"/>
  <c r="Q814" i="16"/>
  <c r="AA816" i="16"/>
  <c r="AB815" i="16" a="1"/>
  <c r="AB815" i="16" l="1"/>
  <c r="R813" i="16"/>
  <c r="Q815" i="16"/>
  <c r="R814" i="16" a="1"/>
  <c r="AA817" i="16"/>
  <c r="AB816" i="16" a="1"/>
  <c r="AB816" i="16" l="1"/>
  <c r="R814" i="16"/>
  <c r="AA818" i="16"/>
  <c r="AB817" i="16" a="1"/>
  <c r="R815" i="16" a="1"/>
  <c r="Q816" i="16"/>
  <c r="AB817" i="16" l="1"/>
  <c r="R815" i="16"/>
  <c r="R816" i="16" a="1"/>
  <c r="AB818" i="16" a="1"/>
  <c r="Q817" i="16"/>
  <c r="AA819" i="16"/>
  <c r="AB818" i="16" l="1"/>
  <c r="R816" i="16"/>
  <c r="AB819" i="16" a="1"/>
  <c r="Q818" i="16"/>
  <c r="AA820" i="16"/>
  <c r="R817" i="16" a="1"/>
  <c r="AB819" i="16" l="1"/>
  <c r="R817" i="16"/>
  <c r="Q819" i="16"/>
  <c r="AA821" i="16"/>
  <c r="R818" i="16" a="1"/>
  <c r="AB820" i="16" a="1"/>
  <c r="AB820" i="16" l="1"/>
  <c r="R818" i="16"/>
  <c r="AA822" i="16"/>
  <c r="AB821" i="16" a="1"/>
  <c r="R819" i="16" a="1"/>
  <c r="Q820" i="16"/>
  <c r="AB821" i="16" l="1"/>
  <c r="R819" i="16"/>
  <c r="AA823" i="16"/>
  <c r="AB822" i="16" a="1"/>
  <c r="Q821" i="16"/>
  <c r="R820" i="16" a="1"/>
  <c r="AB822" i="16" l="1"/>
  <c r="R820" i="16"/>
  <c r="AA824" i="16"/>
  <c r="Q822" i="16"/>
  <c r="R821" i="16" a="1"/>
  <c r="AB823" i="16" a="1"/>
  <c r="AB823" i="16" l="1"/>
  <c r="R821" i="16"/>
  <c r="AB824" i="16" a="1"/>
  <c r="R822" i="16" a="1"/>
  <c r="Q823" i="16"/>
  <c r="AA825" i="16"/>
  <c r="AB824" i="16" l="1"/>
  <c r="R822" i="16"/>
  <c r="AB825" i="16" a="1"/>
  <c r="Q824" i="16"/>
  <c r="R823" i="16" a="1"/>
  <c r="AA826" i="16"/>
  <c r="AB825" i="16" l="1"/>
  <c r="R823" i="16"/>
  <c r="AB826" i="16" a="1"/>
  <c r="AA827" i="16"/>
  <c r="Q825" i="16"/>
  <c r="R824" i="16" a="1"/>
  <c r="AB826" i="16" l="1"/>
  <c r="R824" i="16"/>
  <c r="Q826" i="16"/>
  <c r="AB827" i="16" a="1"/>
  <c r="R825" i="16" a="1"/>
  <c r="AA828" i="16"/>
  <c r="AB827" i="16" l="1"/>
  <c r="R825" i="16"/>
  <c r="R826" i="16" a="1"/>
  <c r="Q827" i="16"/>
  <c r="AA829" i="16"/>
  <c r="AB828" i="16" a="1"/>
  <c r="AB828" i="16" l="1"/>
  <c r="R826" i="16"/>
  <c r="Q828" i="16"/>
  <c r="R827" i="16" a="1"/>
  <c r="AB829" i="16" a="1"/>
  <c r="AA830" i="16"/>
  <c r="AB829" i="16" l="1"/>
  <c r="R827" i="16"/>
  <c r="AA831" i="16"/>
  <c r="R828" i="16" a="1"/>
  <c r="AB830" i="16" a="1"/>
  <c r="Q829" i="16"/>
  <c r="AB830" i="16" l="1"/>
  <c r="R828" i="16"/>
  <c r="Q830" i="16"/>
  <c r="R829" i="16" a="1"/>
  <c r="AB831" i="16" a="1"/>
  <c r="AA832" i="16"/>
  <c r="AB831" i="16" l="1"/>
  <c r="R829" i="16"/>
  <c r="R830" i="16" a="1"/>
  <c r="AB832" i="16" a="1"/>
  <c r="Q831" i="16"/>
  <c r="AA833" i="16"/>
  <c r="AB832" i="16" l="1"/>
  <c r="R830" i="16"/>
  <c r="Q832" i="16"/>
  <c r="AA834" i="16"/>
  <c r="AB833" i="16" a="1"/>
  <c r="R831" i="16" a="1"/>
  <c r="AB833" i="16" l="1"/>
  <c r="R831" i="16"/>
  <c r="AA835" i="16"/>
  <c r="R832" i="16" a="1"/>
  <c r="AB834" i="16" a="1"/>
  <c r="Q833" i="16"/>
  <c r="AB834" i="16" l="1"/>
  <c r="R832" i="16"/>
  <c r="R833" i="16" a="1"/>
  <c r="Q834" i="16"/>
  <c r="AB835" i="16" a="1"/>
  <c r="AA836" i="16"/>
  <c r="AB835" i="16" l="1"/>
  <c r="R833" i="16"/>
  <c r="R834" i="16" a="1"/>
  <c r="AA837" i="16"/>
  <c r="AB836" i="16" a="1"/>
  <c r="Q835" i="16"/>
  <c r="AB836" i="16" l="1"/>
  <c r="R834" i="16"/>
  <c r="R835" i="16" a="1"/>
  <c r="Q836" i="16"/>
  <c r="AB837" i="16" a="1"/>
  <c r="AA838" i="16"/>
  <c r="AB837" i="16" l="1"/>
  <c r="R835" i="16"/>
  <c r="R836" i="16" a="1"/>
  <c r="Q837" i="16"/>
  <c r="AA839" i="16"/>
  <c r="AB838" i="16" a="1"/>
  <c r="AB838" i="16" l="1"/>
  <c r="R836" i="16"/>
  <c r="Q838" i="16"/>
  <c r="AA840" i="16"/>
  <c r="AB839" i="16" a="1"/>
  <c r="R837" i="16" a="1"/>
  <c r="AB839" i="16" l="1"/>
  <c r="R837" i="16"/>
  <c r="R838" i="16" a="1"/>
  <c r="Q839" i="16"/>
  <c r="AB840" i="16" a="1"/>
  <c r="AA841" i="16"/>
  <c r="AB840" i="16" l="1"/>
  <c r="R838" i="16"/>
  <c r="AB841" i="16" a="1"/>
  <c r="R839" i="16" a="1"/>
  <c r="Q840" i="16"/>
  <c r="AA842" i="16"/>
  <c r="AB841" i="16" l="1"/>
  <c r="R839" i="16"/>
  <c r="AB842" i="16" a="1"/>
  <c r="R840" i="16" a="1"/>
  <c r="Q841" i="16"/>
  <c r="AA843" i="16"/>
  <c r="AB842" i="16" l="1"/>
  <c r="R840" i="16"/>
  <c r="Q842" i="16"/>
  <c r="AB843" i="16" a="1"/>
  <c r="AA844" i="16"/>
  <c r="R841" i="16" a="1"/>
  <c r="AB843" i="16" l="1"/>
  <c r="R841" i="16"/>
  <c r="AB844" i="16" a="1"/>
  <c r="Q843" i="16"/>
  <c r="R842" i="16" a="1"/>
  <c r="AA845" i="16"/>
  <c r="AB844" i="16" l="1"/>
  <c r="R842" i="16"/>
  <c r="AA846" i="16"/>
  <c r="AB845" i="16" a="1"/>
  <c r="Q844" i="16"/>
  <c r="R843" i="16" a="1"/>
  <c r="AB845" i="16" l="1"/>
  <c r="R843" i="16"/>
  <c r="Q845" i="16"/>
  <c r="R844" i="16" a="1"/>
  <c r="AB846" i="16" a="1"/>
  <c r="AA847" i="16"/>
  <c r="AB846" i="16" l="1"/>
  <c r="R844" i="16"/>
  <c r="AB847" i="16" a="1"/>
  <c r="R845" i="16" a="1"/>
  <c r="AA848" i="16"/>
  <c r="Q846" i="16"/>
  <c r="AB847" i="16" l="1"/>
  <c r="R845" i="16"/>
  <c r="Q847" i="16"/>
  <c r="AA849" i="16"/>
  <c r="R846" i="16" a="1"/>
  <c r="AB848" i="16" a="1"/>
  <c r="AB848" i="16" l="1"/>
  <c r="R846" i="16"/>
  <c r="AA850" i="16"/>
  <c r="AB849" i="16" a="1"/>
  <c r="R847" i="16" a="1"/>
  <c r="Q848" i="16"/>
  <c r="AB849" i="16" l="1"/>
  <c r="R847" i="16"/>
  <c r="AB850" i="16" a="1"/>
  <c r="AA851" i="16"/>
  <c r="Q849" i="16"/>
  <c r="R848" i="16" a="1"/>
  <c r="AB850" i="16" l="1"/>
  <c r="R848" i="16"/>
  <c r="AB851" i="16" a="1"/>
  <c r="R849" i="16" a="1"/>
  <c r="AA852" i="16"/>
  <c r="Q850" i="16"/>
  <c r="AB851" i="16" l="1"/>
  <c r="R849" i="16"/>
  <c r="Q851" i="16"/>
  <c r="AB852" i="16" a="1"/>
  <c r="R850" i="16" a="1"/>
  <c r="AA853" i="16"/>
  <c r="AB852" i="16" l="1"/>
  <c r="R850" i="16"/>
  <c r="AA854" i="16"/>
  <c r="AB853" i="16" a="1"/>
  <c r="Q852" i="16"/>
  <c r="R851" i="16" a="1"/>
  <c r="AB853" i="16" l="1"/>
  <c r="R851" i="16"/>
  <c r="Q853" i="16"/>
  <c r="R852" i="16" a="1"/>
  <c r="AA855" i="16"/>
  <c r="AB854" i="16" a="1"/>
  <c r="AB854" i="16" l="1"/>
  <c r="R852" i="16"/>
  <c r="Q854" i="16"/>
  <c r="R853" i="16" a="1"/>
  <c r="AA856" i="16"/>
  <c r="AB855" i="16" a="1"/>
  <c r="AB855" i="16" l="1"/>
  <c r="R853" i="16"/>
  <c r="Q855" i="16"/>
  <c r="AA857" i="16"/>
  <c r="AB856" i="16" a="1"/>
  <c r="R854" i="16" a="1"/>
  <c r="AB856" i="16" l="1"/>
  <c r="R854" i="16"/>
  <c r="R855" i="16" a="1"/>
  <c r="AA858" i="16"/>
  <c r="AB857" i="16" a="1"/>
  <c r="Q856" i="16"/>
  <c r="AB857" i="16" l="1"/>
  <c r="R855" i="16"/>
  <c r="AA859" i="16"/>
  <c r="Q857" i="16"/>
  <c r="R856" i="16" a="1"/>
  <c r="AB858" i="16" a="1"/>
  <c r="AB858" i="16" l="1"/>
  <c r="R856" i="16"/>
  <c r="Q858" i="16"/>
  <c r="AA860" i="16"/>
  <c r="AB859" i="16" a="1"/>
  <c r="R857" i="16" a="1"/>
  <c r="AB859" i="16" l="1"/>
  <c r="R857" i="16"/>
  <c r="AB860" i="16" a="1"/>
  <c r="Q859" i="16"/>
  <c r="AA861" i="16"/>
  <c r="R858" i="16" a="1"/>
  <c r="AB860" i="16" l="1"/>
  <c r="R858" i="16"/>
  <c r="R859" i="16" a="1"/>
  <c r="AB861" i="16" a="1"/>
  <c r="AA862" i="16"/>
  <c r="Q860" i="16"/>
  <c r="AB861" i="16" l="1"/>
  <c r="R859" i="16"/>
  <c r="R860" i="16" a="1"/>
  <c r="Q861" i="16"/>
  <c r="AB862" i="16" a="1"/>
  <c r="AA863" i="16"/>
  <c r="AB862" i="16" l="1"/>
  <c r="R860" i="16"/>
  <c r="Q862" i="16"/>
  <c r="AA864" i="16"/>
  <c r="R861" i="16" a="1"/>
  <c r="AB863" i="16" a="1"/>
  <c r="AB863" i="16" l="1"/>
  <c r="R861" i="16"/>
  <c r="R862" i="16" a="1"/>
  <c r="Q863" i="16"/>
  <c r="AB864" i="16" a="1"/>
  <c r="AA865" i="16"/>
  <c r="AB864" i="16" l="1"/>
  <c r="R862" i="16"/>
  <c r="AB865" i="16" a="1"/>
  <c r="Q864" i="16"/>
  <c r="AA866" i="16"/>
  <c r="R863" i="16" a="1"/>
  <c r="AB865" i="16" l="1"/>
  <c r="R863" i="16"/>
  <c r="AB866" i="16" a="1"/>
  <c r="R864" i="16" a="1"/>
  <c r="AA867" i="16"/>
  <c r="Q865" i="16"/>
  <c r="AB866" i="16" l="1"/>
  <c r="R864" i="16"/>
  <c r="Q866" i="16"/>
  <c r="AA868" i="16"/>
  <c r="R865" i="16" a="1"/>
  <c r="AB867" i="16" a="1"/>
  <c r="AB867" i="16" l="1"/>
  <c r="R865" i="16"/>
  <c r="AB868" i="16" a="1"/>
  <c r="R866" i="16" a="1"/>
  <c r="AA869" i="16"/>
  <c r="Q867" i="16"/>
  <c r="AB868" i="16" l="1"/>
  <c r="R866" i="16"/>
  <c r="R867" i="16" a="1"/>
  <c r="AA870" i="16"/>
  <c r="Q868" i="16"/>
  <c r="AB869" i="16" a="1"/>
  <c r="AB869" i="16" l="1"/>
  <c r="R867" i="16"/>
  <c r="AB870" i="16" a="1"/>
  <c r="AA871" i="16"/>
  <c r="R868" i="16" a="1"/>
  <c r="Q869" i="16"/>
  <c r="AB870" i="16" l="1"/>
  <c r="R868" i="16"/>
  <c r="AB871" i="16" a="1"/>
  <c r="AA872" i="16"/>
  <c r="R869" i="16" a="1"/>
  <c r="Q870" i="16"/>
  <c r="AB871" i="16" l="1"/>
  <c r="R869" i="16"/>
  <c r="R870" i="16" a="1"/>
  <c r="AB872" i="16" a="1"/>
  <c r="Q871" i="16"/>
  <c r="AA873" i="16"/>
  <c r="AB872" i="16" l="1"/>
  <c r="R870" i="16"/>
  <c r="AA874" i="16"/>
  <c r="AB873" i="16" a="1"/>
  <c r="Q872" i="16"/>
  <c r="R871" i="16" a="1"/>
  <c r="AB873" i="16" l="1"/>
  <c r="R871" i="16"/>
  <c r="AB874" i="16" a="1"/>
  <c r="AA875" i="16"/>
  <c r="Q873" i="16"/>
  <c r="R872" i="16" a="1"/>
  <c r="AB874" i="16" l="1"/>
  <c r="R872" i="16"/>
  <c r="AB875" i="16" a="1"/>
  <c r="R873" i="16" a="1"/>
  <c r="Q874" i="16"/>
  <c r="AA876" i="16"/>
  <c r="AB875" i="16" l="1"/>
  <c r="R873" i="16"/>
  <c r="R874" i="16" a="1"/>
  <c r="AA877" i="16"/>
  <c r="Q875" i="16"/>
  <c r="AB876" i="16" a="1"/>
  <c r="AB876" i="16" l="1"/>
  <c r="R874" i="16"/>
  <c r="AA878" i="16"/>
  <c r="AB877" i="16" a="1"/>
  <c r="R875" i="16" a="1"/>
  <c r="Q876" i="16"/>
  <c r="AB877" i="16" l="1"/>
  <c r="R875" i="16"/>
  <c r="AA879" i="16"/>
  <c r="R876" i="16" a="1"/>
  <c r="AB878" i="16" a="1"/>
  <c r="Q877" i="16"/>
  <c r="AB878" i="16" l="1"/>
  <c r="R876" i="16"/>
  <c r="R877" i="16" a="1"/>
  <c r="AA880" i="16"/>
  <c r="AB879" i="16" a="1"/>
  <c r="Q878" i="16"/>
  <c r="AB879" i="16" l="1"/>
  <c r="R877" i="16"/>
  <c r="AB880" i="16" a="1"/>
  <c r="R878" i="16" a="1"/>
  <c r="AA881" i="16"/>
  <c r="Q879" i="16"/>
  <c r="AB880" i="16" l="1"/>
  <c r="R878" i="16"/>
  <c r="Q880" i="16"/>
  <c r="R879" i="16" a="1"/>
  <c r="AA882" i="16"/>
  <c r="AB881" i="16" a="1"/>
  <c r="AB881" i="16" l="1"/>
  <c r="R879" i="16"/>
  <c r="Q881" i="16"/>
  <c r="R880" i="16" a="1"/>
  <c r="AA883" i="16"/>
  <c r="AB882" i="16" a="1"/>
  <c r="AB882" i="16" l="1"/>
  <c r="R880" i="16"/>
  <c r="AB883" i="16" a="1"/>
  <c r="AA884" i="16"/>
  <c r="R881" i="16" a="1"/>
  <c r="Q882" i="16"/>
  <c r="AB883" i="16" l="1"/>
  <c r="R881" i="16"/>
  <c r="Q883" i="16"/>
  <c r="AB884" i="16" a="1"/>
  <c r="R882" i="16" a="1"/>
  <c r="AA885" i="16"/>
  <c r="AB884" i="16" l="1"/>
  <c r="R882" i="16"/>
  <c r="AB885" i="16" a="1"/>
  <c r="R883" i="16" a="1"/>
  <c r="Q884" i="16"/>
  <c r="AA886" i="16"/>
  <c r="AB885" i="16" l="1"/>
  <c r="R883" i="16"/>
  <c r="Q885" i="16"/>
  <c r="AA887" i="16"/>
  <c r="R884" i="16" a="1"/>
  <c r="AB886" i="16" a="1"/>
  <c r="AB886" i="16" l="1"/>
  <c r="R884" i="16"/>
  <c r="R885" i="16" a="1"/>
  <c r="Q886" i="16"/>
  <c r="AB887" i="16" a="1"/>
  <c r="AA888" i="16"/>
  <c r="AB887" i="16" l="1"/>
  <c r="R885" i="16"/>
  <c r="AA889" i="16"/>
  <c r="R886" i="16" a="1"/>
  <c r="Q887" i="16"/>
  <c r="AB888" i="16" a="1"/>
  <c r="AB888" i="16" l="1"/>
  <c r="R886" i="16"/>
  <c r="R887" i="16" a="1"/>
  <c r="AA890" i="16"/>
  <c r="AB889" i="16" a="1"/>
  <c r="Q888" i="16"/>
  <c r="AB889" i="16" l="1"/>
  <c r="R887" i="16"/>
  <c r="AA891" i="16"/>
  <c r="R888" i="16" a="1"/>
  <c r="AB890" i="16" a="1"/>
  <c r="Q889" i="16"/>
  <c r="AB890" i="16" l="1"/>
  <c r="R888" i="16"/>
  <c r="AB891" i="16" a="1"/>
  <c r="R889" i="16" a="1"/>
  <c r="AA892" i="16"/>
  <c r="Q890" i="16"/>
  <c r="AB891" i="16" l="1"/>
  <c r="R889" i="16"/>
  <c r="AA893" i="16"/>
  <c r="R890" i="16" a="1"/>
  <c r="AB892" i="16" a="1"/>
  <c r="Q891" i="16"/>
  <c r="AB892" i="16" l="1"/>
  <c r="R890" i="16"/>
  <c r="R891" i="16" a="1"/>
  <c r="AA894" i="16"/>
  <c r="AB893" i="16" a="1"/>
  <c r="Q892" i="16"/>
  <c r="AB893" i="16" l="1"/>
  <c r="R891" i="16"/>
  <c r="Q893" i="16"/>
  <c r="AB894" i="16" a="1"/>
  <c r="AA895" i="16"/>
  <c r="R892" i="16" a="1"/>
  <c r="AB894" i="16" l="1"/>
  <c r="R892" i="16"/>
  <c r="AB895" i="16" a="1"/>
  <c r="Q894" i="16"/>
  <c r="AA896" i="16"/>
  <c r="R893" i="16" a="1"/>
  <c r="AB895" i="16" l="1"/>
  <c r="R893" i="16"/>
  <c r="Q895" i="16"/>
  <c r="AA897" i="16"/>
  <c r="R894" i="16" a="1"/>
  <c r="AB896" i="16" a="1"/>
  <c r="AB896" i="16" l="1"/>
  <c r="R894" i="16"/>
  <c r="AA898" i="16"/>
  <c r="R895" i="16" a="1"/>
  <c r="Q896" i="16"/>
  <c r="AB897" i="16" a="1"/>
  <c r="AB897" i="16" l="1"/>
  <c r="R895" i="16"/>
  <c r="AB898" i="16" a="1"/>
  <c r="AA899" i="16"/>
  <c r="Q897" i="16"/>
  <c r="R896" i="16" a="1"/>
  <c r="AB898" i="16" l="1"/>
  <c r="R896" i="16"/>
  <c r="AB899" i="16" a="1"/>
  <c r="AA900" i="16"/>
  <c r="Q898" i="16"/>
  <c r="R897" i="16" a="1"/>
  <c r="AB899" i="16" l="1"/>
  <c r="R897" i="16"/>
  <c r="AB900" i="16" a="1"/>
  <c r="AA901" i="16"/>
  <c r="Q899" i="16"/>
  <c r="R898" i="16" a="1"/>
  <c r="AB900" i="16" l="1"/>
  <c r="R898" i="16"/>
  <c r="R899" i="16" a="1"/>
  <c r="AB901" i="16" a="1"/>
  <c r="AA902" i="16"/>
  <c r="Q900" i="16"/>
  <c r="AB901" i="16" l="1"/>
  <c r="R899" i="16"/>
  <c r="AB902" i="16" a="1"/>
  <c r="Q901" i="16"/>
  <c r="R900" i="16" a="1"/>
  <c r="AA903" i="16"/>
  <c r="AB902" i="16" l="1"/>
  <c r="R900" i="16"/>
  <c r="Q902" i="16"/>
  <c r="R901" i="16" a="1"/>
  <c r="AB903" i="16" a="1"/>
  <c r="AA904" i="16"/>
  <c r="AB903" i="16" l="1"/>
  <c r="R901" i="16"/>
  <c r="AA905" i="16"/>
  <c r="R902" i="16" a="1"/>
  <c r="AB904" i="16" a="1"/>
  <c r="Q903" i="16"/>
  <c r="AB904" i="16" l="1"/>
  <c r="R902" i="16"/>
  <c r="AA906" i="16"/>
  <c r="AB905" i="16" a="1"/>
  <c r="R903" i="16" a="1"/>
  <c r="Q904" i="16"/>
  <c r="AB905" i="16" l="1"/>
  <c r="R903" i="16"/>
  <c r="AA907" i="16"/>
  <c r="AB906" i="16" a="1"/>
  <c r="R904" i="16" a="1"/>
  <c r="Q905" i="16"/>
  <c r="AB906" i="16" l="1"/>
  <c r="R904" i="16"/>
  <c r="AA908" i="16"/>
  <c r="Q906" i="16"/>
  <c r="R905" i="16" a="1"/>
  <c r="AB907" i="16" a="1"/>
  <c r="AB907" i="16" l="1"/>
  <c r="R905" i="16"/>
  <c r="AB908" i="16" a="1"/>
  <c r="R906" i="16" a="1"/>
  <c r="Q907" i="16"/>
  <c r="AA909" i="16"/>
  <c r="AB908" i="16" l="1"/>
  <c r="R906" i="16"/>
  <c r="AB909" i="16" a="1"/>
  <c r="R907" i="16" a="1"/>
  <c r="AA910" i="16"/>
  <c r="Q908" i="16"/>
  <c r="AB909" i="16" l="1"/>
  <c r="R907" i="16"/>
  <c r="AA911" i="16"/>
  <c r="Q909" i="16"/>
  <c r="AB910" i="16" a="1"/>
  <c r="R908" i="16" a="1"/>
  <c r="AB910" i="16" l="1"/>
  <c r="R908" i="16"/>
  <c r="AB911" i="16" a="1"/>
  <c r="Q910" i="16"/>
  <c r="AA912" i="16"/>
  <c r="R909" i="16" a="1"/>
  <c r="AB911" i="16" l="1"/>
  <c r="R909" i="16"/>
  <c r="AB912" i="16" a="1"/>
  <c r="R910" i="16" a="1"/>
  <c r="Q911" i="16"/>
  <c r="AA913" i="16"/>
  <c r="AB912" i="16" l="1"/>
  <c r="R910" i="16"/>
  <c r="Q912" i="16"/>
  <c r="AB913" i="16" a="1"/>
  <c r="R911" i="16" a="1"/>
  <c r="AA914" i="16"/>
  <c r="AB913" i="16" l="1"/>
  <c r="R911" i="16"/>
  <c r="R912" i="16" a="1"/>
  <c r="AB914" i="16" a="1"/>
  <c r="AA915" i="16"/>
  <c r="Q913" i="16"/>
  <c r="AB914" i="16" l="1"/>
  <c r="R912" i="16"/>
  <c r="AB915" i="16" a="1"/>
  <c r="AA916" i="16"/>
  <c r="R913" i="16" a="1"/>
  <c r="Q914" i="16"/>
  <c r="AB915" i="16" l="1"/>
  <c r="R913" i="16"/>
  <c r="R914" i="16" a="1"/>
  <c r="AA917" i="16"/>
  <c r="Q915" i="16"/>
  <c r="AB916" i="16" a="1"/>
  <c r="AB916" i="16" l="1"/>
  <c r="R914" i="16"/>
  <c r="R915" i="16" a="1"/>
  <c r="Q916" i="16"/>
  <c r="AA918" i="16"/>
  <c r="AB917" i="16" a="1"/>
  <c r="AB917" i="16" l="1"/>
  <c r="R915" i="16"/>
  <c r="AB918" i="16" a="1"/>
  <c r="Q917" i="16"/>
  <c r="R916" i="16" a="1"/>
  <c r="AA919" i="16"/>
  <c r="AB918" i="16" l="1"/>
  <c r="R916" i="16"/>
  <c r="Q918" i="16"/>
  <c r="AB919" i="16" a="1"/>
  <c r="R917" i="16" a="1"/>
  <c r="AA920" i="16"/>
  <c r="AB919" i="16" l="1"/>
  <c r="R917" i="16"/>
  <c r="AB920" i="16" a="1"/>
  <c r="Q919" i="16"/>
  <c r="R918" i="16" a="1"/>
  <c r="AA921" i="16"/>
  <c r="AB920" i="16" l="1"/>
  <c r="R918" i="16"/>
  <c r="AA922" i="16"/>
  <c r="AB921" i="16" a="1"/>
  <c r="R919" i="16" a="1"/>
  <c r="Q920" i="16"/>
  <c r="AB921" i="16" l="1"/>
  <c r="R919" i="16"/>
  <c r="AA923" i="16"/>
  <c r="R920" i="16" a="1"/>
  <c r="AB922" i="16" a="1"/>
  <c r="Q921" i="16"/>
  <c r="AB922" i="16" l="1"/>
  <c r="R920" i="16"/>
  <c r="Q922" i="16"/>
  <c r="AB923" i="16" a="1"/>
  <c r="AA924" i="16"/>
  <c r="R921" i="16" a="1"/>
  <c r="AB923" i="16" l="1"/>
  <c r="R921" i="16"/>
  <c r="AB924" i="16" a="1"/>
  <c r="R922" i="16" a="1"/>
  <c r="AA925" i="16"/>
  <c r="Q923" i="16"/>
  <c r="AB924" i="16" l="1"/>
  <c r="R922" i="16"/>
  <c r="AB925" i="16" a="1"/>
  <c r="AA926" i="16"/>
  <c r="R923" i="16" a="1"/>
  <c r="Q924" i="16"/>
  <c r="AB925" i="16" l="1"/>
  <c r="R923" i="16"/>
  <c r="AA927" i="16"/>
  <c r="AB926" i="16" a="1"/>
  <c r="R924" i="16" a="1"/>
  <c r="Q925" i="16"/>
  <c r="AB926" i="16" l="1"/>
  <c r="R924" i="16"/>
  <c r="AA928" i="16"/>
  <c r="R925" i="16" a="1"/>
  <c r="Q926" i="16"/>
  <c r="AB927" i="16" a="1"/>
  <c r="AB927" i="16" l="1"/>
  <c r="R925" i="16"/>
  <c r="R926" i="16" a="1"/>
  <c r="AB928" i="16" a="1"/>
  <c r="Q927" i="16"/>
  <c r="AA929" i="16"/>
  <c r="AB928" i="16" l="1"/>
  <c r="R926" i="16"/>
  <c r="R927" i="16" a="1"/>
  <c r="AB929" i="16" a="1"/>
  <c r="AA930" i="16"/>
  <c r="Q928" i="16"/>
  <c r="AB929" i="16" l="1"/>
  <c r="R927" i="16"/>
  <c r="AB930" i="16" a="1"/>
  <c r="AA931" i="16"/>
  <c r="R928" i="16" a="1"/>
  <c r="Q929" i="16"/>
  <c r="AB930" i="16" l="1"/>
  <c r="R928" i="16"/>
  <c r="AB931" i="16" a="1"/>
  <c r="Q930" i="16"/>
  <c r="AA932" i="16"/>
  <c r="R929" i="16" a="1"/>
  <c r="AB931" i="16" l="1"/>
  <c r="R929" i="16"/>
  <c r="AA933" i="16"/>
  <c r="AB932" i="16" a="1"/>
  <c r="R930" i="16" a="1"/>
  <c r="Q931" i="16"/>
  <c r="AB932" i="16" l="1"/>
  <c r="R930" i="16"/>
  <c r="AB933" i="16" a="1"/>
  <c r="Q932" i="16"/>
  <c r="AA934" i="16"/>
  <c r="R931" i="16" a="1"/>
  <c r="AB933" i="16" l="1"/>
  <c r="R931" i="16"/>
  <c r="R932" i="16" a="1"/>
  <c r="AA935" i="16"/>
  <c r="Q933" i="16"/>
  <c r="AB934" i="16" a="1"/>
  <c r="AB934" i="16" l="1"/>
  <c r="R932" i="16"/>
  <c r="AB935" i="16" a="1"/>
  <c r="R933" i="16" a="1"/>
  <c r="Q934" i="16"/>
  <c r="AA936" i="16"/>
  <c r="AB935" i="16" l="1"/>
  <c r="R933" i="16"/>
  <c r="AB936" i="16" a="1"/>
  <c r="R934" i="16" a="1"/>
  <c r="AA937" i="16"/>
  <c r="Q935" i="16"/>
  <c r="AB936" i="16" l="1"/>
  <c r="R934" i="16"/>
  <c r="R935" i="16" a="1"/>
  <c r="AB937" i="16" a="1"/>
  <c r="Q936" i="16"/>
  <c r="AA938" i="16"/>
  <c r="AB937" i="16" l="1"/>
  <c r="R935" i="16"/>
  <c r="Q937" i="16"/>
  <c r="R936" i="16" a="1"/>
  <c r="AA939" i="16"/>
  <c r="AB938" i="16" a="1"/>
  <c r="AB938" i="16" l="1"/>
  <c r="R936" i="16"/>
  <c r="Q938" i="16"/>
  <c r="AA940" i="16"/>
  <c r="R937" i="16" a="1"/>
  <c r="AB939" i="16" a="1"/>
  <c r="AB939" i="16" l="1"/>
  <c r="R937" i="16"/>
  <c r="AB940" i="16" a="1"/>
  <c r="R938" i="16" a="1"/>
  <c r="AA941" i="16"/>
  <c r="Q939" i="16"/>
  <c r="AB940" i="16" l="1"/>
  <c r="R938" i="16"/>
  <c r="Q940" i="16"/>
  <c r="AB941" i="16" a="1"/>
  <c r="AA942" i="16"/>
  <c r="R939" i="16" a="1"/>
  <c r="AB941" i="16" l="1"/>
  <c r="R939" i="16"/>
  <c r="R940" i="16" a="1"/>
  <c r="AA943" i="16"/>
  <c r="AB942" i="16" a="1"/>
  <c r="Q941" i="16"/>
  <c r="AB942" i="16" l="1"/>
  <c r="R940" i="16"/>
  <c r="R941" i="16" a="1"/>
  <c r="AB943" i="16" a="1"/>
  <c r="Q942" i="16"/>
  <c r="AA944" i="16"/>
  <c r="AB943" i="16" l="1"/>
  <c r="R941" i="16"/>
  <c r="AA945" i="16"/>
  <c r="R942" i="16" a="1"/>
  <c r="AB944" i="16" a="1"/>
  <c r="Q943" i="16"/>
  <c r="AB944" i="16" l="1"/>
  <c r="R942" i="16"/>
  <c r="AB945" i="16" a="1"/>
  <c r="R943" i="16" a="1"/>
  <c r="Q944" i="16"/>
  <c r="AA946" i="16"/>
  <c r="AB945" i="16" l="1"/>
  <c r="R943" i="16"/>
  <c r="R944" i="16" a="1"/>
  <c r="Q945" i="16"/>
  <c r="AA947" i="16"/>
  <c r="AB946" i="16" a="1"/>
  <c r="AB946" i="16" l="1"/>
  <c r="R944" i="16"/>
  <c r="AB947" i="16" a="1"/>
  <c r="AA948" i="16"/>
  <c r="R945" i="16" a="1"/>
  <c r="Q946" i="16"/>
  <c r="AB947" i="16" l="1"/>
  <c r="R945" i="16"/>
  <c r="AA949" i="16"/>
  <c r="R946" i="16" a="1"/>
  <c r="AB948" i="16" a="1"/>
  <c r="Q947" i="16"/>
  <c r="AB948" i="16" l="1"/>
  <c r="R946" i="16"/>
  <c r="Q948" i="16"/>
  <c r="AA950" i="16"/>
  <c r="AB949" i="16" a="1"/>
  <c r="R947" i="16" a="1"/>
  <c r="AB949" i="16" l="1"/>
  <c r="R947" i="16"/>
  <c r="R948" i="16" a="1"/>
  <c r="AB950" i="16" a="1"/>
  <c r="Q949" i="16"/>
  <c r="AA951" i="16"/>
  <c r="AB950" i="16" l="1"/>
  <c r="R948" i="16"/>
  <c r="AB951" i="16" a="1"/>
  <c r="Q950" i="16"/>
  <c r="R949" i="16" a="1"/>
  <c r="AA952" i="16"/>
  <c r="AB951" i="16" l="1"/>
  <c r="R949" i="16"/>
  <c r="R950" i="16" a="1"/>
  <c r="AA953" i="16"/>
  <c r="AB952" i="16" a="1"/>
  <c r="Q951" i="16"/>
  <c r="AB952" i="16" l="1"/>
  <c r="R950" i="16"/>
  <c r="R951" i="16" a="1"/>
  <c r="AA954" i="16"/>
  <c r="AB953" i="16" a="1"/>
  <c r="Q952" i="16"/>
  <c r="AB953" i="16" l="1"/>
  <c r="R951" i="16"/>
  <c r="R952" i="16" a="1"/>
  <c r="AB954" i="16" a="1"/>
  <c r="Q953" i="16"/>
  <c r="AA955" i="16"/>
  <c r="AB954" i="16" l="1"/>
  <c r="R952" i="16"/>
  <c r="AB955" i="16" a="1"/>
  <c r="R953" i="16" a="1"/>
  <c r="Q954" i="16"/>
  <c r="AA956" i="16"/>
  <c r="AB955" i="16" l="1"/>
  <c r="R953" i="16"/>
  <c r="Q955" i="16"/>
  <c r="AA957" i="16"/>
  <c r="AB956" i="16" a="1"/>
  <c r="R954" i="16" a="1"/>
  <c r="AB956" i="16" l="1"/>
  <c r="R954" i="16"/>
  <c r="AA958" i="16"/>
  <c r="AB957" i="16" a="1"/>
  <c r="R955" i="16" a="1"/>
  <c r="Q956" i="16"/>
  <c r="AB957" i="16" l="1"/>
  <c r="R955" i="16"/>
  <c r="Q957" i="16"/>
  <c r="AA959" i="16"/>
  <c r="R956" i="16" a="1"/>
  <c r="AB958" i="16" a="1"/>
  <c r="AB958" i="16" l="1"/>
  <c r="R956" i="16"/>
  <c r="AA960" i="16"/>
  <c r="AB959" i="16" a="1"/>
  <c r="Q958" i="16"/>
  <c r="R957" i="16" a="1"/>
  <c r="AB959" i="16" l="1"/>
  <c r="R957" i="16"/>
  <c r="AB960" i="16" a="1"/>
  <c r="Q959" i="16"/>
  <c r="AA961" i="16"/>
  <c r="R958" i="16" a="1"/>
  <c r="AB960" i="16" l="1"/>
  <c r="R958" i="16"/>
  <c r="Q960" i="16"/>
  <c r="R959" i="16" a="1"/>
  <c r="AB961" i="16" a="1"/>
  <c r="AA962" i="16"/>
  <c r="AB961" i="16" l="1"/>
  <c r="R959" i="16"/>
  <c r="AA963" i="16"/>
  <c r="R960" i="16" a="1"/>
  <c r="Q961" i="16"/>
  <c r="AB962" i="16" a="1"/>
  <c r="AB962" i="16" l="1"/>
  <c r="R960" i="16"/>
  <c r="R961" i="16" a="1"/>
  <c r="Q962" i="16"/>
  <c r="AB963" i="16" a="1"/>
  <c r="AA964" i="16"/>
  <c r="AB963" i="16" l="1"/>
  <c r="R961" i="16"/>
  <c r="AB964" i="16" a="1"/>
  <c r="R962" i="16" a="1"/>
  <c r="Q963" i="16"/>
  <c r="AA965" i="16"/>
  <c r="AB964" i="16" l="1"/>
  <c r="R962" i="16"/>
  <c r="R963" i="16" a="1"/>
  <c r="Q964" i="16"/>
  <c r="AA966" i="16"/>
  <c r="AB965" i="16" a="1"/>
  <c r="AB965" i="16" l="1"/>
  <c r="R963" i="16"/>
  <c r="AA967" i="16"/>
  <c r="AB966" i="16" a="1"/>
  <c r="Q965" i="16"/>
  <c r="R964" i="16" a="1"/>
  <c r="AB966" i="16" l="1"/>
  <c r="R964" i="16"/>
  <c r="AB967" i="16" a="1"/>
  <c r="AA968" i="16"/>
  <c r="R965" i="16" a="1"/>
  <c r="Q966" i="16"/>
  <c r="AB967" i="16" l="1"/>
  <c r="R965" i="16"/>
  <c r="Q967" i="16"/>
  <c r="AB968" i="16" a="1"/>
  <c r="R966" i="16" a="1"/>
  <c r="AA969" i="16"/>
  <c r="AB968" i="16" l="1"/>
  <c r="R966" i="16"/>
  <c r="Q968" i="16"/>
  <c r="R967" i="16" a="1"/>
  <c r="AB969" i="16" a="1"/>
  <c r="AA970" i="16"/>
  <c r="AB969" i="16" l="1"/>
  <c r="R967" i="16"/>
  <c r="AA971" i="16"/>
  <c r="R968" i="16" a="1"/>
  <c r="AB970" i="16" a="1"/>
  <c r="Q969" i="16"/>
  <c r="AB970" i="16" l="1"/>
  <c r="R968" i="16"/>
  <c r="AB971" i="16" a="1"/>
  <c r="Q970" i="16"/>
  <c r="R969" i="16" a="1"/>
  <c r="AA972" i="16"/>
  <c r="AB971" i="16" l="1"/>
  <c r="R969" i="16"/>
  <c r="AA973" i="16"/>
  <c r="R970" i="16" a="1"/>
  <c r="Q971" i="16"/>
  <c r="AB972" i="16" a="1"/>
  <c r="AB972" i="16" l="1"/>
  <c r="R970" i="16"/>
  <c r="AB973" i="16" a="1"/>
  <c r="AA974" i="16"/>
  <c r="Q972" i="16"/>
  <c r="R971" i="16" a="1"/>
  <c r="AB973" i="16" l="1"/>
  <c r="R971" i="16"/>
  <c r="R972" i="16" a="1"/>
  <c r="AB974" i="16" a="1"/>
  <c r="AA975" i="16"/>
  <c r="Q973" i="16"/>
  <c r="AB974" i="16" l="1"/>
  <c r="R972" i="16"/>
  <c r="R973" i="16" a="1"/>
  <c r="Q974" i="16"/>
  <c r="AA976" i="16"/>
  <c r="AB975" i="16" a="1"/>
  <c r="AB975" i="16" l="1"/>
  <c r="R973" i="16"/>
  <c r="AB976" i="16" a="1"/>
  <c r="AA977" i="16"/>
  <c r="R974" i="16" a="1"/>
  <c r="Q975" i="16"/>
  <c r="AB976" i="16" l="1"/>
  <c r="R974" i="16"/>
  <c r="Q976" i="16"/>
  <c r="R975" i="16" a="1"/>
  <c r="AB977" i="16" a="1"/>
  <c r="AA978" i="16"/>
  <c r="AB977" i="16" l="1"/>
  <c r="R975" i="16"/>
  <c r="AB978" i="16" a="1"/>
  <c r="R976" i="16" a="1"/>
  <c r="AA979" i="16"/>
  <c r="Q977" i="16"/>
  <c r="AB978" i="16" l="1"/>
  <c r="R976" i="16"/>
  <c r="Q978" i="16"/>
  <c r="R977" i="16" a="1"/>
  <c r="AB979" i="16" a="1"/>
  <c r="AA980" i="16"/>
  <c r="AB979" i="16" l="1"/>
  <c r="R977" i="16"/>
  <c r="R978" i="16" a="1"/>
  <c r="Q979" i="16"/>
  <c r="AB980" i="16" a="1"/>
  <c r="AA981" i="16"/>
  <c r="AB980" i="16" l="1"/>
  <c r="R978" i="16"/>
  <c r="Q980" i="16"/>
  <c r="AA982" i="16"/>
  <c r="AB981" i="16" a="1"/>
  <c r="R979" i="16" a="1"/>
  <c r="AB981" i="16" l="1"/>
  <c r="R979" i="16"/>
  <c r="AA983" i="16"/>
  <c r="AB982" i="16" a="1"/>
  <c r="R980" i="16" a="1"/>
  <c r="Q981" i="16"/>
  <c r="AB982" i="16" l="1"/>
  <c r="R980" i="16"/>
  <c r="AB983" i="16" a="1"/>
  <c r="R981" i="16" a="1"/>
  <c r="AA984" i="16"/>
  <c r="Q982" i="16"/>
  <c r="AB983" i="16" l="1"/>
  <c r="R981" i="16"/>
  <c r="Q983" i="16"/>
  <c r="AB984" i="16" a="1"/>
  <c r="R982" i="16" a="1"/>
  <c r="AA985" i="16"/>
  <c r="AB984" i="16" l="1"/>
  <c r="R982" i="16"/>
  <c r="Q984" i="16"/>
  <c r="R983" i="16" a="1"/>
  <c r="AB985" i="16" a="1"/>
  <c r="AA986" i="16"/>
  <c r="AB985" i="16" l="1"/>
  <c r="R983" i="16"/>
  <c r="Q985" i="16"/>
  <c r="AB986" i="16" a="1"/>
  <c r="R984" i="16" a="1"/>
  <c r="AA987" i="16"/>
  <c r="AB986" i="16" l="1"/>
  <c r="R984" i="16"/>
  <c r="AA988" i="16"/>
  <c r="Q986" i="16"/>
  <c r="AB987" i="16" a="1"/>
  <c r="R985" i="16" a="1"/>
  <c r="AB987" i="16" l="1"/>
  <c r="R985" i="16"/>
  <c r="Q987" i="16"/>
  <c r="AA989" i="16"/>
  <c r="R986" i="16" a="1"/>
  <c r="AB988" i="16" a="1"/>
  <c r="AB988" i="16" l="1"/>
  <c r="R986" i="16"/>
  <c r="AB989" i="16" a="1"/>
  <c r="AA990" i="16"/>
  <c r="Q988" i="16"/>
  <c r="R987" i="16" a="1"/>
  <c r="AB989" i="16" l="1"/>
  <c r="R987" i="16"/>
  <c r="R988" i="16" a="1"/>
  <c r="AB990" i="16" a="1"/>
  <c r="AA991" i="16"/>
  <c r="Q989" i="16"/>
  <c r="AB990" i="16" l="1"/>
  <c r="R988" i="16"/>
  <c r="Q990" i="16"/>
  <c r="R989" i="16" a="1"/>
  <c r="AB991" i="16" a="1"/>
  <c r="AA992" i="16"/>
  <c r="AB991" i="16" l="1"/>
  <c r="R989" i="16"/>
  <c r="AA993" i="16"/>
  <c r="AB992" i="16" a="1"/>
  <c r="R990" i="16" a="1"/>
  <c r="Q991" i="16"/>
  <c r="AB992" i="16" l="1"/>
  <c r="R990" i="16"/>
  <c r="AB993" i="16" a="1"/>
  <c r="AA994" i="16"/>
  <c r="Q992" i="16"/>
  <c r="R991" i="16" a="1"/>
  <c r="AB993" i="16" l="1"/>
  <c r="R991" i="16"/>
  <c r="AB994" i="16" a="1"/>
  <c r="Q993" i="16"/>
  <c r="R992" i="16" a="1"/>
  <c r="AA995" i="16"/>
  <c r="AB994" i="16" l="1"/>
  <c r="R992" i="16"/>
  <c r="Q994" i="16"/>
  <c r="AB995" i="16" a="1"/>
  <c r="AA996" i="16"/>
  <c r="R993" i="16" a="1"/>
  <c r="AB995" i="16" l="1"/>
  <c r="R993" i="16"/>
  <c r="AB996" i="16" a="1"/>
  <c r="Q995" i="16"/>
  <c r="AA997" i="16"/>
  <c r="R994" i="16" a="1"/>
  <c r="AB996" i="16" l="1"/>
  <c r="R994" i="16"/>
  <c r="AB997" i="16" a="1"/>
  <c r="R995" i="16" a="1"/>
  <c r="AA998" i="16"/>
  <c r="Q996" i="16"/>
  <c r="AB997" i="16" l="1"/>
  <c r="R995" i="16"/>
  <c r="AB998" i="16" a="1"/>
  <c r="AA999" i="16"/>
  <c r="Q997" i="16"/>
  <c r="R996" i="16" a="1"/>
  <c r="AB998" i="16" l="1"/>
  <c r="R996" i="16"/>
  <c r="AB999" i="16" a="1"/>
  <c r="AA1000" i="16"/>
  <c r="Q998" i="16"/>
  <c r="R997" i="16" a="1"/>
  <c r="AB999" i="16" l="1"/>
  <c r="R997" i="16"/>
  <c r="AB1000" i="16" a="1"/>
  <c r="R998" i="16" a="1"/>
  <c r="Q999" i="16"/>
  <c r="AB1000" i="16" l="1"/>
  <c r="G2" i="16" s="1" a="1"/>
  <c r="G2" i="16" s="1"/>
  <c r="R998" i="16"/>
  <c r="V3" i="16"/>
  <c r="R999" i="16" a="1"/>
  <c r="Q1000" i="16"/>
  <c r="R999" i="16" l="1"/>
  <c r="R1000" i="16" a="1"/>
  <c r="V4" i="16"/>
  <c r="W3" i="16" a="1"/>
  <c r="W3" i="16" l="1"/>
  <c r="R1000" i="16"/>
  <c r="W4" i="16" a="1"/>
  <c r="V5" i="16"/>
  <c r="W4" i="16" l="1"/>
  <c r="E2" i="16" a="1"/>
  <c r="E2" i="16" s="1"/>
  <c r="W5" i="16" a="1"/>
  <c r="V6" i="16"/>
  <c r="W5" i="16" l="1"/>
  <c r="V7" i="16"/>
  <c r="W6" i="16" a="1"/>
  <c r="W6" i="16" l="1"/>
  <c r="V8" i="16"/>
  <c r="W7" i="16" a="1"/>
  <c r="W7" i="16" l="1"/>
  <c r="V9" i="16"/>
  <c r="W8" i="16" a="1"/>
  <c r="W8" i="16" l="1"/>
  <c r="W9" i="16" a="1"/>
  <c r="V10" i="16"/>
  <c r="W9" i="16" l="1"/>
  <c r="V11" i="16"/>
  <c r="W10" i="16" a="1"/>
  <c r="W10" i="16" l="1"/>
  <c r="W11" i="16" a="1"/>
  <c r="V12" i="16"/>
  <c r="W11" i="16" l="1"/>
  <c r="V13" i="16"/>
  <c r="W12" i="16" a="1"/>
  <c r="W12" i="16" l="1"/>
  <c r="V14" i="16"/>
  <c r="W13" i="16" a="1"/>
  <c r="W13" i="16" l="1"/>
  <c r="W14" i="16" a="1"/>
  <c r="V15" i="16"/>
  <c r="W14" i="16" l="1"/>
  <c r="W15" i="16" a="1"/>
  <c r="V16" i="16"/>
  <c r="W15" i="16" l="1"/>
  <c r="V17" i="16"/>
  <c r="W16" i="16" a="1"/>
  <c r="W16" i="16" l="1"/>
  <c r="V18" i="16"/>
  <c r="W17" i="16" a="1"/>
  <c r="W17" i="16" l="1"/>
  <c r="W18" i="16" a="1"/>
  <c r="V19" i="16"/>
  <c r="W18" i="16" l="1"/>
  <c r="W19" i="16" a="1"/>
  <c r="V20" i="16"/>
  <c r="W19" i="16" l="1"/>
  <c r="V21" i="16"/>
  <c r="W20" i="16" a="1"/>
  <c r="W20" i="16" l="1"/>
  <c r="V22" i="16"/>
  <c r="W21" i="16" a="1"/>
  <c r="W21" i="16" l="1"/>
  <c r="V23" i="16"/>
  <c r="W22" i="16" a="1"/>
  <c r="W22" i="16" l="1"/>
  <c r="W23" i="16" a="1"/>
  <c r="V24" i="16"/>
  <c r="W23" i="16" l="1"/>
  <c r="V25" i="16"/>
  <c r="W24" i="16" a="1"/>
  <c r="W24" i="16" l="1"/>
  <c r="W25" i="16" a="1"/>
  <c r="V26" i="16"/>
  <c r="W25" i="16" l="1"/>
  <c r="V27" i="16"/>
  <c r="W26" i="16" a="1"/>
  <c r="W26" i="16" l="1"/>
  <c r="V28" i="16"/>
  <c r="W27" i="16" a="1"/>
  <c r="W27" i="16" l="1"/>
  <c r="W28" i="16" a="1"/>
  <c r="V29" i="16"/>
  <c r="W28" i="16" l="1"/>
  <c r="W29" i="16" a="1"/>
  <c r="V30" i="16"/>
  <c r="W29" i="16" l="1"/>
  <c r="W30" i="16" a="1"/>
  <c r="V31" i="16"/>
  <c r="W30" i="16" l="1"/>
  <c r="V32" i="16"/>
  <c r="W31" i="16" a="1"/>
  <c r="W31" i="16" l="1"/>
  <c r="V33" i="16"/>
  <c r="W32" i="16" a="1"/>
  <c r="W32" i="16" l="1"/>
  <c r="V34" i="16"/>
  <c r="W33" i="16" a="1"/>
  <c r="W33" i="16" l="1"/>
  <c r="V35" i="16"/>
  <c r="W34" i="16" a="1"/>
  <c r="W34" i="16" l="1"/>
  <c r="W35" i="16" a="1"/>
  <c r="V36" i="16"/>
  <c r="W35" i="16" l="1"/>
  <c r="W36" i="16" a="1"/>
  <c r="V37" i="16"/>
  <c r="W36" i="16" l="1"/>
  <c r="W37" i="16" a="1"/>
  <c r="V38" i="16"/>
  <c r="W37" i="16" l="1"/>
  <c r="V39" i="16"/>
  <c r="W38" i="16" a="1"/>
  <c r="W38" i="16" l="1"/>
  <c r="W39" i="16" a="1"/>
  <c r="V40" i="16"/>
  <c r="W39" i="16" l="1"/>
  <c r="W40" i="16" a="1"/>
  <c r="V41" i="16"/>
  <c r="W40" i="16" l="1"/>
  <c r="W41" i="16" a="1"/>
  <c r="V42" i="16"/>
  <c r="W41" i="16" l="1"/>
  <c r="V43" i="16"/>
  <c r="W42" i="16" a="1"/>
  <c r="W42" i="16" l="1"/>
  <c r="W43" i="16" a="1"/>
  <c r="V44" i="16"/>
  <c r="W43" i="16" l="1"/>
  <c r="V45" i="16"/>
  <c r="W44" i="16" a="1"/>
  <c r="W44" i="16" l="1"/>
  <c r="W45" i="16" a="1"/>
  <c r="V46" i="16"/>
  <c r="W45" i="16" l="1"/>
  <c r="V47" i="16"/>
  <c r="W46" i="16" a="1"/>
  <c r="W46" i="16" l="1"/>
  <c r="W47" i="16" a="1"/>
  <c r="V48" i="16"/>
  <c r="W47" i="16" l="1"/>
  <c r="W48" i="16" a="1"/>
  <c r="V49" i="16"/>
  <c r="W48" i="16" l="1"/>
  <c r="V50" i="16"/>
  <c r="W49" i="16" a="1"/>
  <c r="W49" i="16" l="1"/>
  <c r="W50" i="16" a="1"/>
  <c r="V51" i="16"/>
  <c r="W50" i="16" l="1"/>
  <c r="V52" i="16"/>
  <c r="W51" i="16" a="1"/>
  <c r="W51" i="16" l="1"/>
  <c r="W52" i="16" a="1"/>
  <c r="V53" i="16"/>
  <c r="W52" i="16" l="1"/>
  <c r="W53" i="16" a="1"/>
  <c r="V54" i="16"/>
  <c r="W53" i="16" l="1"/>
  <c r="W54" i="16" a="1"/>
  <c r="V55" i="16"/>
  <c r="W54" i="16" l="1"/>
  <c r="W55" i="16" a="1"/>
  <c r="V56" i="16"/>
  <c r="W55" i="16" l="1"/>
  <c r="V57" i="16"/>
  <c r="W56" i="16" a="1"/>
  <c r="W56" i="16" l="1"/>
  <c r="W57" i="16" a="1"/>
  <c r="V58" i="16"/>
  <c r="W57" i="16" l="1"/>
  <c r="W58" i="16" a="1"/>
  <c r="V59" i="16"/>
  <c r="W58" i="16" l="1"/>
  <c r="V60" i="16"/>
  <c r="W59" i="16" a="1"/>
  <c r="W59" i="16" l="1"/>
  <c r="V61" i="16"/>
  <c r="W60" i="16" a="1"/>
  <c r="W60" i="16" l="1"/>
  <c r="V62" i="16"/>
  <c r="W61" i="16" a="1"/>
  <c r="W61" i="16" l="1"/>
  <c r="V63" i="16"/>
  <c r="W62" i="16" a="1"/>
  <c r="W62" i="16" l="1"/>
  <c r="V64" i="16"/>
  <c r="W63" i="16" a="1"/>
  <c r="W63" i="16" l="1"/>
  <c r="V65" i="16"/>
  <c r="W64" i="16" a="1"/>
  <c r="W64" i="16" l="1"/>
  <c r="V66" i="16"/>
  <c r="W65" i="16" a="1"/>
  <c r="W65" i="16" l="1"/>
  <c r="W66" i="16" a="1"/>
  <c r="V67" i="16"/>
  <c r="W66" i="16" l="1"/>
  <c r="W67" i="16" a="1"/>
  <c r="V68" i="16"/>
  <c r="W67" i="16" l="1"/>
  <c r="V69" i="16"/>
  <c r="W68" i="16" a="1"/>
  <c r="W68" i="16" l="1"/>
  <c r="W69" i="16" a="1"/>
  <c r="V70" i="16"/>
  <c r="W69" i="16" l="1"/>
  <c r="V71" i="16"/>
  <c r="W70" i="16" a="1"/>
  <c r="W70" i="16" l="1"/>
  <c r="W71" i="16" a="1"/>
  <c r="V72" i="16"/>
  <c r="W71" i="16" l="1"/>
  <c r="W72" i="16" a="1"/>
  <c r="V73" i="16"/>
  <c r="W72" i="16" l="1"/>
  <c r="W73" i="16" a="1"/>
  <c r="V74" i="16"/>
  <c r="W73" i="16" l="1"/>
  <c r="V75" i="16"/>
  <c r="W74" i="16" a="1"/>
  <c r="W74" i="16" l="1"/>
  <c r="V76" i="16"/>
  <c r="W75" i="16" a="1"/>
  <c r="W75" i="16" l="1"/>
  <c r="V77" i="16"/>
  <c r="W76" i="16" a="1"/>
  <c r="W76" i="16" l="1"/>
  <c r="V78" i="16"/>
  <c r="W77" i="16" a="1"/>
  <c r="W77" i="16" l="1"/>
  <c r="V79" i="16"/>
  <c r="W78" i="16" a="1"/>
  <c r="W78" i="16" l="1"/>
  <c r="W79" i="16" a="1"/>
  <c r="V80" i="16"/>
  <c r="W79" i="16" l="1"/>
  <c r="W80" i="16" a="1"/>
  <c r="V81" i="16"/>
  <c r="W80" i="16" l="1"/>
  <c r="V82" i="16"/>
  <c r="W81" i="16" a="1"/>
  <c r="W81" i="16" l="1"/>
  <c r="V83" i="16"/>
  <c r="W82" i="16" a="1"/>
  <c r="W82" i="16" l="1"/>
  <c r="V84" i="16"/>
  <c r="W83" i="16" a="1"/>
  <c r="W83" i="16" l="1"/>
  <c r="V85" i="16"/>
  <c r="W84" i="16" a="1"/>
  <c r="W84" i="16" l="1"/>
  <c r="W85" i="16" a="1"/>
  <c r="V86" i="16"/>
  <c r="W85" i="16" l="1"/>
  <c r="W86" i="16" a="1"/>
  <c r="V87" i="16"/>
  <c r="W86" i="16" l="1"/>
  <c r="V88" i="16"/>
  <c r="W87" i="16" a="1"/>
  <c r="W87" i="16" l="1"/>
  <c r="V89" i="16"/>
  <c r="W88" i="16" a="1"/>
  <c r="W88" i="16" l="1"/>
  <c r="V90" i="16"/>
  <c r="W89" i="16" a="1"/>
  <c r="W89" i="16" l="1"/>
  <c r="V91" i="16"/>
  <c r="W90" i="16" a="1"/>
  <c r="W90" i="16" l="1"/>
  <c r="W91" i="16" a="1"/>
  <c r="V92" i="16"/>
  <c r="W91" i="16" l="1"/>
  <c r="V93" i="16"/>
  <c r="W92" i="16" a="1"/>
  <c r="W92" i="16" l="1"/>
  <c r="V94" i="16"/>
  <c r="W93" i="16" a="1"/>
  <c r="W93" i="16" l="1"/>
  <c r="W94" i="16" a="1"/>
  <c r="V95" i="16"/>
  <c r="W94" i="16" l="1"/>
  <c r="W95" i="16" a="1"/>
  <c r="V96" i="16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W100" i="16" a="1"/>
  <c r="V101" i="16"/>
  <c r="W100" i="16" l="1"/>
  <c r="W101" i="16" a="1"/>
  <c r="V102" i="16"/>
  <c r="W101" i="16" l="1"/>
  <c r="V103" i="16"/>
  <c r="W102" i="16" a="1"/>
  <c r="W102" i="16" l="1"/>
  <c r="V104" i="16"/>
  <c r="W103" i="16" a="1"/>
  <c r="W103" i="16" l="1"/>
  <c r="W104" i="16" a="1"/>
  <c r="V105" i="16"/>
  <c r="W104" i="16" l="1"/>
  <c r="V106" i="16"/>
  <c r="W105" i="16" a="1"/>
  <c r="W105" i="16" l="1"/>
  <c r="V107" i="16"/>
  <c r="W106" i="16" a="1"/>
  <c r="W106" i="16" l="1"/>
  <c r="W107" i="16" a="1"/>
  <c r="V108" i="16"/>
  <c r="W107" i="16" l="1"/>
  <c r="W108" i="16" a="1"/>
  <c r="V109" i="16"/>
  <c r="W108" i="16" l="1"/>
  <c r="W109" i="16" a="1"/>
  <c r="V110" i="16"/>
  <c r="W109" i="16" l="1"/>
  <c r="W110" i="16" a="1"/>
  <c r="V111" i="16"/>
  <c r="W110" i="16" l="1"/>
  <c r="W111" i="16" a="1"/>
  <c r="V112" i="16"/>
  <c r="W111" i="16" l="1"/>
  <c r="V113" i="16"/>
  <c r="W112" i="16" a="1"/>
  <c r="W112" i="16" l="1"/>
  <c r="W113" i="16" a="1"/>
  <c r="V114" i="16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V121" i="16"/>
  <c r="W120" i="16" a="1"/>
  <c r="W120" i="16" l="1"/>
  <c r="V122" i="16"/>
  <c r="W121" i="16" a="1"/>
  <c r="W121" i="16" l="1"/>
  <c r="V123" i="16"/>
  <c r="W122" i="16" a="1"/>
  <c r="W122" i="16" l="1"/>
  <c r="V124" i="16"/>
  <c r="W123" i="16" a="1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W127" i="16" a="1"/>
  <c r="V128" i="16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W131" i="16" a="1"/>
  <c r="V132" i="16"/>
  <c r="W131" i="16" l="1"/>
  <c r="W132" i="16" a="1"/>
  <c r="V133" i="16"/>
  <c r="W132" i="16" l="1"/>
  <c r="V134" i="16"/>
  <c r="W133" i="16" a="1"/>
  <c r="W133" i="16" l="1"/>
  <c r="V135" i="16"/>
  <c r="W134" i="16" a="1"/>
  <c r="W134" i="16" l="1"/>
  <c r="W135" i="16" a="1"/>
  <c r="V136" i="16"/>
  <c r="W135" i="16" l="1"/>
  <c r="W136" i="16" a="1"/>
  <c r="V137" i="16"/>
  <c r="W136" i="16" l="1"/>
  <c r="W137" i="16" a="1"/>
  <c r="V138" i="16"/>
  <c r="W137" i="16" l="1"/>
  <c r="V139" i="16"/>
  <c r="W138" i="16" a="1"/>
  <c r="W138" i="16" l="1"/>
  <c r="V140" i="16"/>
  <c r="W139" i="16" a="1"/>
  <c r="W139" i="16" l="1"/>
  <c r="V141" i="16"/>
  <c r="W140" i="16" a="1"/>
  <c r="W140" i="16" l="1"/>
  <c r="W141" i="16" a="1"/>
  <c r="V142" i="16"/>
  <c r="W141" i="16" l="1"/>
  <c r="W142" i="16" a="1"/>
  <c r="V143" i="16"/>
  <c r="W142" i="16" l="1"/>
  <c r="W143" i="16" a="1"/>
  <c r="V144" i="16"/>
  <c r="W143" i="16" l="1"/>
  <c r="V145" i="16"/>
  <c r="W144" i="16" a="1"/>
  <c r="W144" i="16" l="1"/>
  <c r="W145" i="16" a="1"/>
  <c r="V146" i="16"/>
  <c r="W145" i="16" l="1"/>
  <c r="V147" i="16"/>
  <c r="W146" i="16" a="1"/>
  <c r="W146" i="16" l="1"/>
  <c r="V148" i="16"/>
  <c r="W147" i="16" a="1"/>
  <c r="W147" i="16" l="1"/>
  <c r="W148" i="16" a="1"/>
  <c r="V149" i="16"/>
  <c r="W148" i="16" l="1"/>
  <c r="V150" i="16"/>
  <c r="W149" i="16" a="1"/>
  <c r="W149" i="16" l="1"/>
  <c r="V151" i="16"/>
  <c r="W150" i="16" a="1"/>
  <c r="W150" i="16" l="1"/>
  <c r="W151" i="16" a="1"/>
  <c r="V152" i="16"/>
  <c r="W151" i="16" l="1"/>
  <c r="W152" i="16" a="1"/>
  <c r="V153" i="16"/>
  <c r="W152" i="16" l="1"/>
  <c r="W153" i="16" a="1"/>
  <c r="V154" i="16"/>
  <c r="W153" i="16" l="1"/>
  <c r="V155" i="16"/>
  <c r="W154" i="16" a="1"/>
  <c r="W154" i="16" l="1"/>
  <c r="W155" i="16" a="1"/>
  <c r="V156" i="16"/>
  <c r="W155" i="16" l="1"/>
  <c r="W156" i="16" a="1"/>
  <c r="V157" i="16"/>
  <c r="W156" i="16" l="1"/>
  <c r="V158" i="16"/>
  <c r="W157" i="16" a="1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V163" i="16"/>
  <c r="W162" i="16" a="1"/>
  <c r="W162" i="16" l="1"/>
  <c r="V164" i="16"/>
  <c r="W163" i="16" a="1"/>
  <c r="W163" i="16" l="1"/>
  <c r="V165" i="16"/>
  <c r="W164" i="16" a="1"/>
  <c r="W164" i="16" l="1"/>
  <c r="W165" i="16" a="1"/>
  <c r="V166" i="16"/>
  <c r="W165" i="16" l="1"/>
  <c r="V167" i="16"/>
  <c r="W166" i="16" a="1"/>
  <c r="W166" i="16" l="1"/>
  <c r="V168" i="16"/>
  <c r="W167" i="16" a="1"/>
  <c r="W167" i="16" l="1"/>
  <c r="V169" i="16"/>
  <c r="W168" i="16" a="1"/>
  <c r="W168" i="16" l="1"/>
  <c r="W169" i="16" a="1"/>
  <c r="V170" i="16"/>
  <c r="W169" i="16" l="1"/>
  <c r="W170" i="16" a="1"/>
  <c r="V171" i="16"/>
  <c r="W170" i="16" l="1"/>
  <c r="V172" i="16"/>
  <c r="W171" i="16" a="1"/>
  <c r="W171" i="16" l="1"/>
  <c r="V173" i="16"/>
  <c r="W172" i="16" a="1"/>
  <c r="W172" i="16" l="1"/>
  <c r="V174" i="16"/>
  <c r="W173" i="16" a="1"/>
  <c r="W173" i="16" l="1"/>
  <c r="W174" i="16" a="1"/>
  <c r="V175" i="16"/>
  <c r="W174" i="16" l="1"/>
  <c r="V176" i="16"/>
  <c r="W175" i="16" a="1"/>
  <c r="W175" i="16" l="1"/>
  <c r="W176" i="16" a="1"/>
  <c r="V177" i="16"/>
  <c r="W176" i="16" l="1"/>
  <c r="W177" i="16" a="1"/>
  <c r="V178" i="16"/>
  <c r="W177" i="16" l="1"/>
  <c r="V179" i="16"/>
  <c r="W178" i="16" a="1"/>
  <c r="W178" i="16" l="1"/>
  <c r="V180" i="16"/>
  <c r="W179" i="16" a="1"/>
  <c r="W179" i="16" l="1"/>
  <c r="W180" i="16" a="1"/>
  <c r="V181" i="16"/>
  <c r="W180" i="16" l="1"/>
  <c r="W181" i="16" a="1"/>
  <c r="V182" i="16"/>
  <c r="W181" i="16" l="1"/>
  <c r="V183" i="16"/>
  <c r="W182" i="16" a="1"/>
  <c r="W182" i="16" l="1"/>
  <c r="W183" i="16" a="1"/>
  <c r="V184" i="16"/>
  <c r="W183" i="16" l="1"/>
  <c r="V185" i="16"/>
  <c r="W184" i="16" a="1"/>
  <c r="W184" i="16" l="1"/>
  <c r="V186" i="16"/>
  <c r="W185" i="16" a="1"/>
  <c r="W185" i="16" l="1"/>
  <c r="W186" i="16" a="1"/>
  <c r="V187" i="16"/>
  <c r="W186" i="16" l="1"/>
  <c r="V188" i="16"/>
  <c r="W187" i="16" a="1"/>
  <c r="W187" i="16" l="1"/>
  <c r="W188" i="16" a="1"/>
  <c r="V189" i="16"/>
  <c r="W188" i="16" l="1"/>
  <c r="V190" i="16"/>
  <c r="W189" i="16" a="1"/>
  <c r="W189" i="16" l="1"/>
  <c r="V191" i="16"/>
  <c r="W190" i="16" a="1"/>
  <c r="W190" i="16" l="1"/>
  <c r="W191" i="16" a="1"/>
  <c r="V192" i="16"/>
  <c r="W191" i="16" l="1"/>
  <c r="V193" i="16"/>
  <c r="W192" i="16" a="1"/>
  <c r="W192" i="16" l="1"/>
  <c r="W193" i="16" a="1"/>
  <c r="V194" i="16"/>
  <c r="W193" i="16" l="1"/>
  <c r="W194" i="16" a="1"/>
  <c r="V195" i="16"/>
  <c r="W194" i="16" l="1"/>
  <c r="V196" i="16"/>
  <c r="W195" i="16" a="1"/>
  <c r="W195" i="16" l="1"/>
  <c r="V197" i="16"/>
  <c r="W196" i="16" a="1"/>
  <c r="W196" i="16" l="1"/>
  <c r="V198" i="16"/>
  <c r="W197" i="16" a="1"/>
  <c r="W197" i="16" l="1"/>
  <c r="V199" i="16"/>
  <c r="W198" i="16" a="1"/>
  <c r="W198" i="16" l="1"/>
  <c r="W199" i="16" a="1"/>
  <c r="V200" i="16"/>
  <c r="W199" i="16" l="1"/>
  <c r="V201" i="16"/>
  <c r="W200" i="16" a="1"/>
  <c r="W200" i="16" l="1"/>
  <c r="V202" i="16"/>
  <c r="W201" i="16" a="1"/>
  <c r="W201" i="16" l="1"/>
  <c r="W202" i="16" a="1"/>
  <c r="V203" i="16"/>
  <c r="W202" i="16" l="1"/>
  <c r="V204" i="16"/>
  <c r="W203" i="16" a="1"/>
  <c r="W203" i="16" l="1"/>
  <c r="W204" i="16" a="1"/>
  <c r="V205" i="16"/>
  <c r="W204" i="16" l="1"/>
  <c r="W205" i="16" a="1"/>
  <c r="V206" i="16"/>
  <c r="W205" i="16" l="1"/>
  <c r="W206" i="16" a="1"/>
  <c r="V207" i="16"/>
  <c r="W206" i="16" l="1"/>
  <c r="V208" i="16"/>
  <c r="W207" i="16" a="1"/>
  <c r="W207" i="16" l="1"/>
  <c r="V209" i="16"/>
  <c r="W208" i="16" a="1"/>
  <c r="W208" i="16" l="1"/>
  <c r="W209" i="16" a="1"/>
  <c r="V210" i="16"/>
  <c r="W209" i="16" l="1"/>
  <c r="W210" i="16" a="1"/>
  <c r="V211" i="16"/>
  <c r="W210" i="16" l="1"/>
  <c r="W211" i="16" a="1"/>
  <c r="V212" i="16"/>
  <c r="W211" i="16" l="1"/>
  <c r="V213" i="16"/>
  <c r="W212" i="16" a="1"/>
  <c r="W212" i="16" l="1"/>
  <c r="W213" i="16" a="1"/>
  <c r="V214" i="16"/>
  <c r="W213" i="16" l="1"/>
  <c r="V215" i="16"/>
  <c r="W214" i="16" a="1"/>
  <c r="W214" i="16" l="1"/>
  <c r="W215" i="16" a="1"/>
  <c r="V216" i="16"/>
  <c r="W215" i="16" l="1"/>
  <c r="W216" i="16" a="1"/>
  <c r="V217" i="16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V224" i="16"/>
  <c r="W223" i="16" a="1"/>
  <c r="W223" i="16" l="1"/>
  <c r="W224" i="16" a="1"/>
  <c r="V225" i="16"/>
  <c r="W224" i="16" l="1"/>
  <c r="V226" i="16"/>
  <c r="W225" i="16" a="1"/>
  <c r="W225" i="16" l="1"/>
  <c r="V227" i="16"/>
  <c r="W226" i="16" a="1"/>
  <c r="W226" i="16" l="1"/>
  <c r="W227" i="16" a="1"/>
  <c r="V228" i="16"/>
  <c r="W227" i="16" l="1"/>
  <c r="V229" i="16"/>
  <c r="W228" i="16" a="1"/>
  <c r="W228" i="16" l="1"/>
  <c r="V230" i="16"/>
  <c r="W229" i="16" a="1"/>
  <c r="W229" i="16" l="1"/>
  <c r="W230" i="16" a="1"/>
  <c r="V231" i="16"/>
  <c r="W230" i="16" l="1"/>
  <c r="W231" i="16" a="1"/>
  <c r="V232" i="16"/>
  <c r="W231" i="16" l="1"/>
  <c r="W232" i="16" a="1"/>
  <c r="V233" i="16"/>
  <c r="W232" i="16" l="1"/>
  <c r="V234" i="16"/>
  <c r="W233" i="16" a="1"/>
  <c r="W233" i="16" l="1"/>
  <c r="W234" i="16" a="1"/>
  <c r="V235" i="16"/>
  <c r="W234" i="16" l="1"/>
  <c r="W235" i="16" a="1"/>
  <c r="V236" i="16"/>
  <c r="W235" i="16" l="1"/>
  <c r="W236" i="16" a="1"/>
  <c r="V237" i="16"/>
  <c r="W236" i="16" l="1"/>
  <c r="V238" i="16"/>
  <c r="W237" i="16" a="1"/>
  <c r="W237" i="16" l="1"/>
  <c r="V239" i="16"/>
  <c r="W238" i="16" a="1"/>
  <c r="W238" i="16" l="1"/>
  <c r="W239" i="16" a="1"/>
  <c r="V240" i="16"/>
  <c r="W239" i="16" l="1"/>
  <c r="W240" i="16" a="1"/>
  <c r="V241" i="16"/>
  <c r="W240" i="16" l="1"/>
  <c r="W241" i="16" a="1"/>
  <c r="V242" i="16"/>
  <c r="W241" i="16" l="1"/>
  <c r="W242" i="16" a="1"/>
  <c r="V243" i="16"/>
  <c r="W242" i="16" l="1"/>
  <c r="W243" i="16" a="1"/>
  <c r="V244" i="16"/>
  <c r="W243" i="16" l="1"/>
  <c r="V245" i="16"/>
  <c r="W244" i="16" a="1"/>
  <c r="W244" i="16" l="1"/>
  <c r="W245" i="16" a="1"/>
  <c r="V246" i="16"/>
  <c r="W245" i="16" l="1"/>
  <c r="V247" i="16"/>
  <c r="W246" i="16" a="1"/>
  <c r="W246" i="16" l="1"/>
  <c r="V248" i="16"/>
  <c r="W247" i="16" a="1"/>
  <c r="W247" i="16" l="1"/>
  <c r="W248" i="16" a="1"/>
  <c r="V249" i="16"/>
  <c r="W248" i="16" l="1"/>
  <c r="V250" i="16"/>
  <c r="W249" i="16" a="1"/>
  <c r="W249" i="16" l="1"/>
  <c r="W250" i="16" a="1"/>
  <c r="V251" i="16"/>
  <c r="W250" i="16" l="1"/>
  <c r="W251" i="16" a="1"/>
  <c r="V252" i="16"/>
  <c r="W251" i="16" l="1"/>
  <c r="V253" i="16"/>
  <c r="W252" i="16" a="1"/>
  <c r="W252" i="16" l="1"/>
  <c r="V254" i="16"/>
  <c r="W253" i="16" a="1"/>
  <c r="W253" i="16" l="1"/>
  <c r="V255" i="16"/>
  <c r="W254" i="16" a="1"/>
  <c r="W254" i="16" l="1"/>
  <c r="W255" i="16" a="1"/>
  <c r="V256" i="16"/>
  <c r="W255" i="16" l="1"/>
  <c r="V257" i="16"/>
  <c r="W256" i="16" a="1"/>
  <c r="W256" i="16" l="1"/>
  <c r="W257" i="16" a="1"/>
  <c r="V258" i="16"/>
  <c r="W257" i="16" l="1"/>
  <c r="W258" i="16" a="1"/>
  <c r="V259" i="16"/>
  <c r="W258" i="16" l="1"/>
  <c r="W259" i="16" a="1"/>
  <c r="V260" i="16"/>
  <c r="W259" i="16" l="1"/>
  <c r="V261" i="16"/>
  <c r="W260" i="16" a="1"/>
  <c r="W260" i="16" l="1"/>
  <c r="W261" i="16" a="1"/>
  <c r="V262" i="16"/>
  <c r="W261" i="16" l="1"/>
  <c r="W262" i="16" a="1"/>
  <c r="V263" i="16"/>
  <c r="W262" i="16" l="1"/>
  <c r="W263" i="16" a="1"/>
  <c r="V264" i="16"/>
  <c r="W263" i="16" l="1"/>
  <c r="W264" i="16" a="1"/>
  <c r="V265" i="16"/>
  <c r="W264" i="16" l="1"/>
  <c r="W265" i="16" a="1"/>
  <c r="V266" i="16"/>
  <c r="W265" i="16" l="1"/>
  <c r="W266" i="16" a="1"/>
  <c r="V267" i="16"/>
  <c r="W266" i="16" l="1"/>
  <c r="V268" i="16"/>
  <c r="W267" i="16" a="1"/>
  <c r="W267" i="16" l="1"/>
  <c r="V269" i="16"/>
  <c r="W268" i="16" a="1"/>
  <c r="W268" i="16" l="1"/>
  <c r="W269" i="16" a="1"/>
  <c r="V270" i="16"/>
  <c r="W269" i="16" l="1"/>
  <c r="W270" i="16" a="1"/>
  <c r="V271" i="16"/>
  <c r="W270" i="16" l="1"/>
  <c r="V272" i="16"/>
  <c r="W271" i="16" a="1"/>
  <c r="W271" i="16" l="1"/>
  <c r="W272" i="16" a="1"/>
  <c r="V273" i="16"/>
  <c r="W272" i="16" l="1"/>
  <c r="V274" i="16"/>
  <c r="W273" i="16" a="1"/>
  <c r="W273" i="16" l="1"/>
  <c r="V275" i="16"/>
  <c r="W274" i="16" a="1"/>
  <c r="W274" i="16" l="1"/>
  <c r="W275" i="16" a="1"/>
  <c r="V276" i="16"/>
  <c r="W275" i="16" l="1"/>
  <c r="V277" i="16"/>
  <c r="W276" i="16" a="1"/>
  <c r="W276" i="16" l="1"/>
  <c r="W277" i="16" a="1"/>
  <c r="V278" i="16"/>
  <c r="W277" i="16" l="1"/>
  <c r="V279" i="16"/>
  <c r="W278" i="16" a="1"/>
  <c r="W278" i="16" l="1"/>
  <c r="V280" i="16"/>
  <c r="W279" i="16" a="1"/>
  <c r="W279" i="16" l="1"/>
  <c r="W280" i="16" a="1"/>
  <c r="V281" i="16"/>
  <c r="W280" i="16" l="1"/>
  <c r="V282" i="16"/>
  <c r="W281" i="16" a="1"/>
  <c r="W281" i="16" l="1"/>
  <c r="W282" i="16" a="1"/>
  <c r="V283" i="16"/>
  <c r="W282" i="16" l="1"/>
  <c r="V284" i="16"/>
  <c r="W283" i="16" a="1"/>
  <c r="W283" i="16" l="1"/>
  <c r="W284" i="16" a="1"/>
  <c r="V285" i="16"/>
  <c r="W284" i="16" l="1"/>
  <c r="V286" i="16"/>
  <c r="W285" i="16" a="1"/>
  <c r="W285" i="16" l="1"/>
  <c r="V287" i="16"/>
  <c r="W286" i="16" a="1"/>
  <c r="W286" i="16" l="1"/>
  <c r="W287" i="16" a="1"/>
  <c r="V288" i="16"/>
  <c r="W287" i="16" l="1"/>
  <c r="W288" i="16" a="1"/>
  <c r="V289" i="16"/>
  <c r="W288" i="16" l="1"/>
  <c r="V290" i="16"/>
  <c r="W289" i="16" a="1"/>
  <c r="W289" i="16" l="1"/>
  <c r="W290" i="16" a="1"/>
  <c r="V291" i="16"/>
  <c r="W290" i="16" l="1"/>
  <c r="V292" i="16"/>
  <c r="W291" i="16" a="1"/>
  <c r="W291" i="16" l="1"/>
  <c r="V293" i="16"/>
  <c r="W292" i="16" a="1"/>
  <c r="W292" i="16" l="1"/>
  <c r="W293" i="16" a="1"/>
  <c r="V294" i="16"/>
  <c r="W293" i="16" l="1"/>
  <c r="V295" i="16"/>
  <c r="W294" i="16" a="1"/>
  <c r="W294" i="16" l="1"/>
  <c r="W295" i="16" a="1"/>
  <c r="V296" i="16"/>
  <c r="W295" i="16" l="1"/>
  <c r="V297" i="16"/>
  <c r="W296" i="16" a="1"/>
  <c r="W296" i="16" l="1"/>
  <c r="V298" i="16"/>
  <c r="W297" i="16" a="1"/>
  <c r="W297" i="16" l="1"/>
  <c r="V299" i="16"/>
  <c r="W298" i="16" a="1"/>
  <c r="W298" i="16" l="1"/>
  <c r="V300" i="16"/>
  <c r="W299" i="16" a="1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W303" i="16" a="1"/>
  <c r="V304" i="16"/>
  <c r="W303" i="16" l="1"/>
  <c r="W304" i="16" a="1"/>
  <c r="V305" i="16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W310" i="16" a="1"/>
  <c r="V311" i="16"/>
  <c r="W310" i="16" l="1"/>
  <c r="V312" i="16"/>
  <c r="W311" i="16" a="1"/>
  <c r="W311" i="16" l="1"/>
  <c r="W312" i="16" a="1"/>
  <c r="V313" i="16"/>
  <c r="W312" i="16" l="1"/>
  <c r="W313" i="16" a="1"/>
  <c r="V314" i="16"/>
  <c r="W313" i="16" l="1"/>
  <c r="V315" i="16"/>
  <c r="W314" i="16" a="1"/>
  <c r="W314" i="16" l="1"/>
  <c r="W315" i="16" a="1"/>
  <c r="V316" i="16"/>
  <c r="W315" i="16" l="1"/>
  <c r="V317" i="16"/>
  <c r="W316" i="16" a="1"/>
  <c r="W316" i="16" l="1"/>
  <c r="V318" i="16"/>
  <c r="W317" i="16" a="1"/>
  <c r="W317" i="16" l="1"/>
  <c r="V319" i="16"/>
  <c r="W318" i="16" a="1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V324" i="16"/>
  <c r="W323" i="16" a="1"/>
  <c r="W323" i="16" l="1"/>
  <c r="W324" i="16" a="1"/>
  <c r="V325" i="16"/>
  <c r="W324" i="16" l="1"/>
  <c r="V326" i="16"/>
  <c r="W325" i="16" a="1"/>
  <c r="W325" i="16" l="1"/>
  <c r="V327" i="16"/>
  <c r="W326" i="16" a="1"/>
  <c r="W326" i="16" l="1"/>
  <c r="W327" i="16" a="1"/>
  <c r="V328" i="16"/>
  <c r="W327" i="16" l="1"/>
  <c r="V329" i="16"/>
  <c r="W328" i="16" a="1"/>
  <c r="W328" i="16" l="1"/>
  <c r="V330" i="16"/>
  <c r="W329" i="16" a="1"/>
  <c r="W329" i="16" l="1"/>
  <c r="V331" i="16"/>
  <c r="W330" i="16" a="1"/>
  <c r="W330" i="16" l="1"/>
  <c r="V332" i="16"/>
  <c r="W331" i="16" a="1"/>
  <c r="W331" i="16" l="1"/>
  <c r="W332" i="16" a="1"/>
  <c r="V333" i="16"/>
  <c r="W332" i="16" l="1"/>
  <c r="W333" i="16" a="1"/>
  <c r="V334" i="16"/>
  <c r="W333" i="16" l="1"/>
  <c r="V335" i="16"/>
  <c r="W334" i="16" a="1"/>
  <c r="W334" i="16" l="1"/>
  <c r="V336" i="16"/>
  <c r="W335" i="16" a="1"/>
  <c r="W335" i="16" l="1"/>
  <c r="V337" i="16"/>
  <c r="W336" i="16" a="1"/>
  <c r="W336" i="16" l="1"/>
  <c r="V338" i="16"/>
  <c r="W337" i="16" a="1"/>
  <c r="W337" i="16" l="1"/>
  <c r="W338" i="16" a="1"/>
  <c r="V339" i="16"/>
  <c r="W338" i="16" l="1"/>
  <c r="V340" i="16"/>
  <c r="W339" i="16" a="1"/>
  <c r="W339" i="16" l="1"/>
  <c r="V341" i="16"/>
  <c r="W340" i="16" a="1"/>
  <c r="W340" i="16" l="1"/>
  <c r="W341" i="16" a="1"/>
  <c r="V342" i="16"/>
  <c r="W341" i="16" l="1"/>
  <c r="V343" i="16"/>
  <c r="W342" i="16" a="1"/>
  <c r="W342" i="16" l="1"/>
  <c r="W343" i="16" a="1"/>
  <c r="V344" i="16"/>
  <c r="W343" i="16" l="1"/>
  <c r="W344" i="16" a="1"/>
  <c r="V345" i="16"/>
  <c r="W344" i="16" l="1"/>
  <c r="V346" i="16"/>
  <c r="W345" i="16" a="1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W349" i="16" a="1"/>
  <c r="V350" i="16"/>
  <c r="W349" i="16" l="1"/>
  <c r="W350" i="16" a="1"/>
  <c r="V351" i="16"/>
  <c r="W350" i="16" l="1"/>
  <c r="V352" i="16"/>
  <c r="W351" i="16" a="1"/>
  <c r="W351" i="16" l="1"/>
  <c r="V353" i="16"/>
  <c r="W352" i="16" a="1"/>
  <c r="W352" i="16" l="1"/>
  <c r="W353" i="16" a="1"/>
  <c r="V354" i="16"/>
  <c r="W353" i="16" l="1"/>
  <c r="W354" i="16" a="1"/>
  <c r="V355" i="16"/>
  <c r="W354" i="16" l="1"/>
  <c r="V356" i="16"/>
  <c r="W355" i="16" a="1"/>
  <c r="W355" i="16" l="1"/>
  <c r="W356" i="16" a="1"/>
  <c r="V357" i="16"/>
  <c r="W356" i="16" l="1"/>
  <c r="V358" i="16"/>
  <c r="W357" i="16" a="1"/>
  <c r="W357" i="16" l="1"/>
  <c r="W358" i="16" a="1"/>
  <c r="V359" i="16"/>
  <c r="W358" i="16" l="1"/>
  <c r="V360" i="16"/>
  <c r="W359" i="16" a="1"/>
  <c r="W359" i="16" l="1"/>
  <c r="W360" i="16" a="1"/>
  <c r="V361" i="16"/>
  <c r="W360" i="16" l="1"/>
  <c r="V362" i="16"/>
  <c r="W361" i="16" a="1"/>
  <c r="W361" i="16" l="1"/>
  <c r="V363" i="16"/>
  <c r="W362" i="16" a="1"/>
  <c r="W362" i="16" l="1"/>
  <c r="V364" i="16"/>
  <c r="W363" i="16" a="1"/>
  <c r="W363" i="16" l="1"/>
  <c r="V365" i="16"/>
  <c r="W364" i="16" a="1"/>
  <c r="W364" i="16" l="1"/>
  <c r="V366" i="16"/>
  <c r="W365" i="16" a="1"/>
  <c r="W365" i="16" l="1"/>
  <c r="V367" i="16"/>
  <c r="W366" i="16" a="1"/>
  <c r="W366" i="16" l="1"/>
  <c r="V368" i="16"/>
  <c r="W367" i="16" a="1"/>
  <c r="W367" i="16" l="1"/>
  <c r="V369" i="16"/>
  <c r="W368" i="16" a="1"/>
  <c r="W368" i="16" l="1"/>
  <c r="W369" i="16" a="1"/>
  <c r="V370" i="16"/>
  <c r="W369" i="16" l="1"/>
  <c r="V371" i="16"/>
  <c r="W370" i="16" a="1"/>
  <c r="W370" i="16" l="1"/>
  <c r="V372" i="16"/>
  <c r="W371" i="16" a="1"/>
  <c r="W371" i="16" l="1"/>
  <c r="V373" i="16"/>
  <c r="W372" i="16" a="1"/>
  <c r="W372" i="16" l="1"/>
  <c r="W373" i="16" a="1"/>
  <c r="V374" i="16"/>
  <c r="W373" i="16" l="1"/>
  <c r="W374" i="16" a="1"/>
  <c r="V375" i="16"/>
  <c r="W374" i="16" l="1"/>
  <c r="W375" i="16" a="1"/>
  <c r="V376" i="16"/>
  <c r="W375" i="16" l="1"/>
  <c r="V377" i="16"/>
  <c r="W376" i="16" a="1"/>
  <c r="W376" i="16" l="1"/>
  <c r="W377" i="16" a="1"/>
  <c r="V378" i="16"/>
  <c r="W377" i="16" l="1"/>
  <c r="W378" i="16" a="1"/>
  <c r="V379" i="16"/>
  <c r="W378" i="16" l="1"/>
  <c r="V380" i="16"/>
  <c r="W379" i="16" a="1"/>
  <c r="W379" i="16" l="1"/>
  <c r="W380" i="16" a="1"/>
  <c r="V381" i="16"/>
  <c r="W380" i="16" l="1"/>
  <c r="V382" i="16"/>
  <c r="W381" i="16" a="1"/>
  <c r="W381" i="16" l="1"/>
  <c r="W382" i="16" a="1"/>
  <c r="V383" i="16"/>
  <c r="W382" i="16" l="1"/>
  <c r="V384" i="16"/>
  <c r="W383" i="16" a="1"/>
  <c r="W383" i="16" l="1"/>
  <c r="V385" i="16"/>
  <c r="W384" i="16" a="1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V389" i="16"/>
  <c r="W388" i="16" a="1"/>
  <c r="W388" i="16" l="1"/>
  <c r="V390" i="16"/>
  <c r="W389" i="16" a="1"/>
  <c r="W389" i="16" l="1"/>
  <c r="V391" i="16"/>
  <c r="W390" i="16" a="1"/>
  <c r="W390" i="16" l="1"/>
  <c r="V392" i="16"/>
  <c r="W391" i="16" a="1"/>
  <c r="W391" i="16" l="1"/>
  <c r="W392" i="16" a="1"/>
  <c r="V393" i="16"/>
  <c r="W392" i="16" l="1"/>
  <c r="V394" i="16"/>
  <c r="W393" i="16" a="1"/>
  <c r="W393" i="16" l="1"/>
  <c r="V395" i="16"/>
  <c r="W394" i="16" a="1"/>
  <c r="W394" i="16" l="1"/>
  <c r="W395" i="16" a="1"/>
  <c r="V396" i="16"/>
  <c r="W395" i="16" l="1"/>
  <c r="W396" i="16" a="1"/>
  <c r="V397" i="16"/>
  <c r="W396" i="16" l="1"/>
  <c r="W397" i="16" a="1"/>
  <c r="V398" i="16"/>
  <c r="W397" i="16" l="1"/>
  <c r="V399" i="16"/>
  <c r="W398" i="16" a="1"/>
  <c r="W398" i="16" l="1"/>
  <c r="V400" i="16"/>
  <c r="W399" i="16" a="1"/>
  <c r="W399" i="16" l="1"/>
  <c r="W400" i="16" a="1"/>
  <c r="V401" i="16"/>
  <c r="W400" i="16" l="1"/>
  <c r="W401" i="16" a="1"/>
  <c r="V402" i="16"/>
  <c r="W401" i="16" l="1"/>
  <c r="W402" i="16" a="1"/>
  <c r="V403" i="16"/>
  <c r="W402" i="16" l="1"/>
  <c r="V404" i="16"/>
  <c r="W403" i="16" a="1"/>
  <c r="W403" i="16" l="1"/>
  <c r="V405" i="16"/>
  <c r="W404" i="16" a="1"/>
  <c r="W404" i="16" l="1"/>
  <c r="W405" i="16" a="1"/>
  <c r="V406" i="16"/>
  <c r="W405" i="16" l="1"/>
  <c r="W406" i="16" a="1"/>
  <c r="V407" i="16"/>
  <c r="W406" i="16" l="1"/>
  <c r="W407" i="16" a="1"/>
  <c r="V408" i="16"/>
  <c r="W407" i="16" l="1"/>
  <c r="V409" i="16"/>
  <c r="W408" i="16" a="1"/>
  <c r="W408" i="16" l="1"/>
  <c r="W409" i="16" a="1"/>
  <c r="V410" i="16"/>
  <c r="W409" i="16" l="1"/>
  <c r="V411" i="16"/>
  <c r="W410" i="16" a="1"/>
  <c r="W410" i="16" l="1"/>
  <c r="W411" i="16" a="1"/>
  <c r="V412" i="16"/>
  <c r="W411" i="16" l="1"/>
  <c r="W412" i="16" a="1"/>
  <c r="V413" i="16"/>
  <c r="W412" i="16" l="1"/>
  <c r="W413" i="16" a="1"/>
  <c r="V414" i="16"/>
  <c r="W413" i="16" l="1"/>
  <c r="V415" i="16"/>
  <c r="W414" i="16" a="1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V419" i="16"/>
  <c r="W418" i="16" a="1"/>
  <c r="W418" i="16" l="1"/>
  <c r="W419" i="16" a="1"/>
  <c r="V420" i="16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W423" i="16" a="1"/>
  <c r="V424" i="16"/>
  <c r="W423" i="16" l="1"/>
  <c r="V425" i="16"/>
  <c r="W424" i="16" a="1"/>
  <c r="W424" i="16" l="1"/>
  <c r="V426" i="16"/>
  <c r="W425" i="16" a="1"/>
  <c r="W425" i="16" l="1"/>
  <c r="V427" i="16"/>
  <c r="W426" i="16" a="1"/>
  <c r="W426" i="16" l="1"/>
  <c r="V428" i="16"/>
  <c r="W427" i="16" a="1"/>
  <c r="W427" i="16" l="1"/>
  <c r="W428" i="16" a="1"/>
  <c r="V429" i="16"/>
  <c r="W428" i="16" l="1"/>
  <c r="W429" i="16" a="1"/>
  <c r="V430" i="16"/>
  <c r="W429" i="16" l="1"/>
  <c r="W430" i="16" a="1"/>
  <c r="V431" i="16"/>
  <c r="W430" i="16" l="1"/>
  <c r="W431" i="16" a="1"/>
  <c r="V432" i="16"/>
  <c r="W431" i="16" l="1"/>
  <c r="W432" i="16" a="1"/>
  <c r="V433" i="16"/>
  <c r="W432" i="16" l="1"/>
  <c r="W433" i="16" a="1"/>
  <c r="V434" i="16"/>
  <c r="W433" i="16" l="1"/>
  <c r="V435" i="16"/>
  <c r="W434" i="16" a="1"/>
  <c r="W434" i="16" l="1"/>
  <c r="W435" i="16" a="1"/>
  <c r="V436" i="16"/>
  <c r="W435" i="16" l="1"/>
  <c r="W436" i="16" a="1"/>
  <c r="V437" i="16"/>
  <c r="W436" i="16" l="1"/>
  <c r="V438" i="16"/>
  <c r="W437" i="16" a="1"/>
  <c r="W437" i="16" l="1"/>
  <c r="W438" i="16" a="1"/>
  <c r="V439" i="16"/>
  <c r="W438" i="16" l="1"/>
  <c r="V440" i="16"/>
  <c r="W439" i="16" a="1"/>
  <c r="W439" i="16" l="1"/>
  <c r="W440" i="16" a="1"/>
  <c r="V441" i="16"/>
  <c r="W440" i="16" l="1"/>
  <c r="W441" i="16" a="1"/>
  <c r="V442" i="16"/>
  <c r="W441" i="16" l="1"/>
  <c r="W442" i="16" a="1"/>
  <c r="V443" i="16"/>
  <c r="W442" i="16" l="1"/>
  <c r="V444" i="16"/>
  <c r="W443" i="16" a="1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V448" i="16"/>
  <c r="W447" i="16" a="1"/>
  <c r="W447" i="16" l="1"/>
  <c r="V449" i="16"/>
  <c r="W448" i="16" a="1"/>
  <c r="W448" i="16" l="1"/>
  <c r="V450" i="16"/>
  <c r="W449" i="16" a="1"/>
  <c r="W449" i="16" l="1"/>
  <c r="W450" i="16" a="1"/>
  <c r="V451" i="16"/>
  <c r="W450" i="16" l="1"/>
  <c r="W451" i="16" a="1"/>
  <c r="V452" i="16"/>
  <c r="W451" i="16" l="1"/>
  <c r="V453" i="16"/>
  <c r="W452" i="16" a="1"/>
  <c r="W452" i="16" l="1"/>
  <c r="V454" i="16"/>
  <c r="W453" i="16" a="1"/>
  <c r="W453" i="16" l="1"/>
  <c r="V455" i="16"/>
  <c r="W454" i="16" a="1"/>
  <c r="W454" i="16" l="1"/>
  <c r="W455" i="16" a="1"/>
  <c r="V456" i="16"/>
  <c r="W455" i="16" l="1"/>
  <c r="V457" i="16"/>
  <c r="W456" i="16" a="1"/>
  <c r="W456" i="16" l="1"/>
  <c r="V458" i="16"/>
  <c r="W457" i="16" a="1"/>
  <c r="W457" i="16" l="1"/>
  <c r="W458" i="16" a="1"/>
  <c r="V459" i="16"/>
  <c r="W458" i="16" l="1"/>
  <c r="W459" i="16" a="1"/>
  <c r="V460" i="16"/>
  <c r="W459" i="16" l="1"/>
  <c r="W460" i="16" a="1"/>
  <c r="V461" i="16"/>
  <c r="W460" i="16" l="1"/>
  <c r="V462" i="16"/>
  <c r="W461" i="16" a="1"/>
  <c r="W461" i="16" l="1"/>
  <c r="W462" i="16" a="1"/>
  <c r="V463" i="16"/>
  <c r="W462" i="16" l="1"/>
  <c r="V464" i="16"/>
  <c r="W463" i="16" a="1"/>
  <c r="W463" i="16" l="1"/>
  <c r="V465" i="16"/>
  <c r="W464" i="16" a="1"/>
  <c r="W464" i="16" l="1"/>
  <c r="V466" i="16"/>
  <c r="W465" i="16" a="1"/>
  <c r="W465" i="16" l="1"/>
  <c r="V467" i="16"/>
  <c r="W466" i="16" a="1"/>
  <c r="W466" i="16" l="1"/>
  <c r="V468" i="16"/>
  <c r="W467" i="16" a="1"/>
  <c r="W467" i="16" l="1"/>
  <c r="V469" i="16"/>
  <c r="W468" i="16" a="1"/>
  <c r="W468" i="16" l="1"/>
  <c r="W469" i="16" a="1"/>
  <c r="V470" i="16"/>
  <c r="W469" i="16" l="1"/>
  <c r="W470" i="16" a="1"/>
  <c r="V471" i="16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W474" i="16" a="1"/>
  <c r="V475" i="16"/>
  <c r="W474" i="16" l="1"/>
  <c r="V476" i="16"/>
  <c r="W475" i="16" a="1"/>
  <c r="W475" i="16" l="1"/>
  <c r="V477" i="16"/>
  <c r="W476" i="16" a="1"/>
  <c r="W476" i="16" l="1"/>
  <c r="W477" i="16" a="1"/>
  <c r="V478" i="16"/>
  <c r="W477" i="16" l="1"/>
  <c r="V479" i="16"/>
  <c r="W478" i="16" a="1"/>
  <c r="W478" i="16" l="1"/>
  <c r="W479" i="16" a="1"/>
  <c r="V480" i="16"/>
  <c r="W479" i="16" l="1"/>
  <c r="V481" i="16"/>
  <c r="W480" i="16" a="1"/>
  <c r="W480" i="16" l="1"/>
  <c r="W481" i="16" a="1"/>
  <c r="V482" i="16"/>
  <c r="W481" i="16" l="1"/>
  <c r="W482" i="16" a="1"/>
  <c r="V483" i="16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W486" i="16" a="1"/>
  <c r="V487" i="16"/>
  <c r="W486" i="16" l="1"/>
  <c r="V488" i="16"/>
  <c r="W487" i="16" a="1"/>
  <c r="W487" i="16" l="1"/>
  <c r="V489" i="16"/>
  <c r="W488" i="16" a="1"/>
  <c r="W488" i="16" l="1"/>
  <c r="W489" i="16" a="1"/>
  <c r="V490" i="16"/>
  <c r="W489" i="16" l="1"/>
  <c r="V491" i="16"/>
  <c r="W490" i="16" a="1"/>
  <c r="W490" i="16" l="1"/>
  <c r="W491" i="16" a="1"/>
  <c r="V492" i="16"/>
  <c r="W491" i="16" l="1"/>
  <c r="W492" i="16" a="1"/>
  <c r="V493" i="16"/>
  <c r="W492" i="16" l="1"/>
  <c r="V494" i="16"/>
  <c r="W493" i="16" a="1"/>
  <c r="W493" i="16" l="1"/>
  <c r="V495" i="16"/>
  <c r="W494" i="16" a="1"/>
  <c r="W494" i="16" l="1"/>
  <c r="W495" i="16" a="1"/>
  <c r="V496" i="16"/>
  <c r="W495" i="16" l="1"/>
  <c r="W496" i="16" a="1"/>
  <c r="V497" i="16"/>
  <c r="W496" i="16" l="1"/>
  <c r="V498" i="16"/>
  <c r="W497" i="16" a="1"/>
  <c r="W497" i="16" l="1"/>
  <c r="V499" i="16"/>
  <c r="W498" i="16" a="1"/>
  <c r="W498" i="16" l="1"/>
  <c r="V500" i="16"/>
  <c r="W499" i="16" a="1"/>
  <c r="W499" i="16" l="1"/>
  <c r="V501" i="16"/>
  <c r="W500" i="16" a="1"/>
  <c r="W500" i="16" l="1"/>
  <c r="W501" i="16" a="1"/>
  <c r="V502" i="16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W505" i="16" a="1"/>
  <c r="V506" i="16"/>
  <c r="W505" i="16" l="1"/>
  <c r="V507" i="16"/>
  <c r="W506" i="16" a="1"/>
  <c r="W506" i="16" l="1"/>
  <c r="V508" i="16"/>
  <c r="W507" i="16" a="1"/>
  <c r="W507" i="16" l="1"/>
  <c r="V509" i="16"/>
  <c r="W508" i="16" a="1"/>
  <c r="W508" i="16" l="1"/>
  <c r="W509" i="16" a="1"/>
  <c r="V510" i="16"/>
  <c r="W509" i="16" l="1"/>
  <c r="V511" i="16"/>
  <c r="W510" i="16" a="1"/>
  <c r="W510" i="16" l="1"/>
  <c r="V512" i="16"/>
  <c r="W511" i="16" a="1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W516" i="16" a="1"/>
  <c r="V517" i="16"/>
  <c r="W516" i="16" l="1"/>
  <c r="W517" i="16" a="1"/>
  <c r="V518" i="16"/>
  <c r="W517" i="16" l="1"/>
  <c r="V519" i="16"/>
  <c r="W518" i="16" a="1"/>
  <c r="W518" i="16" l="1"/>
  <c r="V520" i="16"/>
  <c r="W519" i="16" a="1"/>
  <c r="W519" i="16" l="1"/>
  <c r="V521" i="16"/>
  <c r="W520" i="16" a="1"/>
  <c r="W520" i="16" l="1"/>
  <c r="W521" i="16" a="1"/>
  <c r="V522" i="16"/>
  <c r="W521" i="16" l="1"/>
  <c r="V523" i="16"/>
  <c r="W522" i="16" a="1"/>
  <c r="W522" i="16" l="1"/>
  <c r="V524" i="16"/>
  <c r="W523" i="16" a="1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V529" i="16"/>
  <c r="W528" i="16" a="1"/>
  <c r="W528" i="16" l="1"/>
  <c r="V530" i="16"/>
  <c r="W529" i="16" a="1"/>
  <c r="W529" i="16" l="1"/>
  <c r="V531" i="16"/>
  <c r="W530" i="16" a="1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W535" i="16" a="1"/>
  <c r="V536" i="16"/>
  <c r="W535" i="16" l="1"/>
  <c r="V537" i="16"/>
  <c r="W536" i="16" a="1"/>
  <c r="W536" i="16" l="1"/>
  <c r="W537" i="16" a="1"/>
  <c r="V538" i="16"/>
  <c r="W537" i="16" l="1"/>
  <c r="V539" i="16"/>
  <c r="W538" i="16" a="1"/>
  <c r="W538" i="16" l="1"/>
  <c r="V540" i="16"/>
  <c r="W539" i="16" a="1"/>
  <c r="W539" i="16" l="1"/>
  <c r="W540" i="16" a="1"/>
  <c r="V541" i="16"/>
  <c r="W540" i="16" l="1"/>
  <c r="V542" i="16"/>
  <c r="W541" i="16" a="1"/>
  <c r="W541" i="16" l="1"/>
  <c r="V543" i="16"/>
  <c r="W542" i="16" a="1"/>
  <c r="W542" i="16" l="1"/>
  <c r="V544" i="16"/>
  <c r="W543" i="16" a="1"/>
  <c r="W543" i="16" l="1"/>
  <c r="W544" i="16" a="1"/>
  <c r="V545" i="16"/>
  <c r="W544" i="16" l="1"/>
  <c r="W545" i="16" a="1"/>
  <c r="V546" i="16"/>
  <c r="W545" i="16" l="1"/>
  <c r="V547" i="16"/>
  <c r="W546" i="16" a="1"/>
  <c r="W546" i="16" l="1"/>
  <c r="W547" i="16" a="1"/>
  <c r="V548" i="16"/>
  <c r="W547" i="16" l="1"/>
  <c r="W548" i="16" a="1"/>
  <c r="V549" i="16"/>
  <c r="W548" i="16" l="1"/>
  <c r="V550" i="16"/>
  <c r="W549" i="16" a="1"/>
  <c r="W549" i="16" l="1"/>
  <c r="W550" i="16" a="1"/>
  <c r="V551" i="16"/>
  <c r="W550" i="16" l="1"/>
  <c r="V552" i="16"/>
  <c r="W551" i="16" a="1"/>
  <c r="W551" i="16" l="1"/>
  <c r="W552" i="16" a="1"/>
  <c r="V553" i="16"/>
  <c r="W552" i="16" l="1"/>
  <c r="V554" i="16"/>
  <c r="W553" i="16" a="1"/>
  <c r="W553" i="16" l="1"/>
  <c r="W554" i="16" a="1"/>
  <c r="V555" i="16"/>
  <c r="W554" i="16" l="1"/>
  <c r="W555" i="16" a="1"/>
  <c r="V556" i="16"/>
  <c r="W555" i="16" l="1"/>
  <c r="W556" i="16" a="1"/>
  <c r="V557" i="16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V563" i="16"/>
  <c r="W562" i="16" a="1"/>
  <c r="W562" i="16" l="1"/>
  <c r="V564" i="16"/>
  <c r="W563" i="16" a="1"/>
  <c r="W563" i="16" l="1"/>
  <c r="V565" i="16"/>
  <c r="W564" i="16" a="1"/>
  <c r="W564" i="16" l="1"/>
  <c r="W565" i="16" a="1"/>
  <c r="V566" i="16"/>
  <c r="W565" i="16" l="1"/>
  <c r="V567" i="16"/>
  <c r="W566" i="16" a="1"/>
  <c r="W566" i="16" l="1"/>
  <c r="W567" i="16" a="1"/>
  <c r="V568" i="16"/>
  <c r="W567" i="16" l="1"/>
  <c r="W568" i="16" a="1"/>
  <c r="V569" i="16"/>
  <c r="W568" i="16" l="1"/>
  <c r="V570" i="16"/>
  <c r="W569" i="16" a="1"/>
  <c r="W569" i="16" l="1"/>
  <c r="V571" i="16"/>
  <c r="W570" i="16" a="1"/>
  <c r="W570" i="16" l="1"/>
  <c r="W571" i="16" a="1"/>
  <c r="V572" i="16"/>
  <c r="W571" i="16" l="1"/>
  <c r="W572" i="16" a="1"/>
  <c r="V573" i="16"/>
  <c r="W572" i="16" l="1"/>
  <c r="W573" i="16" a="1"/>
  <c r="V574" i="16"/>
  <c r="W573" i="16" l="1"/>
  <c r="W574" i="16" a="1"/>
  <c r="V575" i="16"/>
  <c r="W574" i="16" l="1"/>
  <c r="W575" i="16" a="1"/>
  <c r="V576" i="16"/>
  <c r="W575" i="16" l="1"/>
  <c r="V577" i="16"/>
  <c r="W576" i="16" a="1"/>
  <c r="W576" i="16" l="1"/>
  <c r="V578" i="16"/>
  <c r="W577" i="16" a="1"/>
  <c r="W577" i="16" l="1"/>
  <c r="W578" i="16" a="1"/>
  <c r="V579" i="16"/>
  <c r="W578" i="16" l="1"/>
  <c r="V580" i="16"/>
  <c r="W579" i="16" a="1"/>
  <c r="W579" i="16" l="1"/>
  <c r="V581" i="16"/>
  <c r="W580" i="16" a="1"/>
  <c r="W580" i="16" l="1"/>
  <c r="W581" i="16" a="1"/>
  <c r="V582" i="16"/>
  <c r="W581" i="16" l="1"/>
  <c r="V583" i="16"/>
  <c r="W582" i="16" a="1"/>
  <c r="W582" i="16" l="1"/>
  <c r="W583" i="16" a="1"/>
  <c r="V584" i="16"/>
  <c r="W583" i="16" l="1"/>
  <c r="W584" i="16" a="1"/>
  <c r="V585" i="16"/>
  <c r="W584" i="16" l="1"/>
  <c r="V586" i="16"/>
  <c r="W585" i="16" a="1"/>
  <c r="W585" i="16" l="1"/>
  <c r="W586" i="16" a="1"/>
  <c r="V587" i="16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W592" i="16" a="1"/>
  <c r="V593" i="16"/>
  <c r="W592" i="16" l="1"/>
  <c r="V594" i="16"/>
  <c r="W593" i="16" a="1"/>
  <c r="W593" i="16" l="1"/>
  <c r="V595" i="16"/>
  <c r="W594" i="16" a="1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W598" i="16" a="1"/>
  <c r="V599" i="16"/>
  <c r="W598" i="16" l="1"/>
  <c r="W599" i="16" a="1"/>
  <c r="V600" i="16"/>
  <c r="W599" i="16" l="1"/>
  <c r="W600" i="16" a="1"/>
  <c r="V601" i="16"/>
  <c r="W600" i="16" l="1"/>
  <c r="W601" i="16" a="1"/>
  <c r="V602" i="16"/>
  <c r="W601" i="16" l="1"/>
  <c r="V603" i="16"/>
  <c r="W602" i="16" a="1"/>
  <c r="W602" i="16" l="1"/>
  <c r="V604" i="16"/>
  <c r="W603" i="16" a="1"/>
  <c r="W603" i="16" l="1"/>
  <c r="W604" i="16" a="1"/>
  <c r="V605" i="16"/>
  <c r="W604" i="16" l="1"/>
  <c r="W605" i="16" a="1"/>
  <c r="V606" i="16"/>
  <c r="W605" i="16" l="1"/>
  <c r="V607" i="16"/>
  <c r="W606" i="16" a="1"/>
  <c r="W606" i="16" l="1"/>
  <c r="W607" i="16" a="1"/>
  <c r="V608" i="16"/>
  <c r="W607" i="16" l="1"/>
  <c r="W608" i="16" a="1"/>
  <c r="V609" i="16"/>
  <c r="W608" i="16" l="1"/>
  <c r="V610" i="16"/>
  <c r="W609" i="16" a="1"/>
  <c r="W609" i="16" l="1"/>
  <c r="V611" i="16"/>
  <c r="W610" i="16" a="1"/>
  <c r="W610" i="16" l="1"/>
  <c r="V612" i="16"/>
  <c r="W611" i="16" a="1"/>
  <c r="W611" i="16" l="1"/>
  <c r="V613" i="16"/>
  <c r="W612" i="16" a="1"/>
  <c r="W612" i="16" l="1"/>
  <c r="W613" i="16" a="1"/>
  <c r="V614" i="16"/>
  <c r="W613" i="16" l="1"/>
  <c r="W614" i="16" a="1"/>
  <c r="V615" i="16"/>
  <c r="W614" i="16" l="1"/>
  <c r="V616" i="16"/>
  <c r="W615" i="16" a="1"/>
  <c r="W615" i="16" l="1"/>
  <c r="W616" i="16" a="1"/>
  <c r="V617" i="16"/>
  <c r="W616" i="16" l="1"/>
  <c r="W617" i="16" a="1"/>
  <c r="V618" i="16"/>
  <c r="W617" i="16" l="1"/>
  <c r="W618" i="16" a="1"/>
  <c r="V619" i="16"/>
  <c r="W618" i="16" l="1"/>
  <c r="V620" i="16"/>
  <c r="W619" i="16" a="1"/>
  <c r="W619" i="16" l="1"/>
  <c r="W620" i="16" a="1"/>
  <c r="V621" i="16"/>
  <c r="W620" i="16" l="1"/>
  <c r="W621" i="16" a="1"/>
  <c r="V622" i="16"/>
  <c r="W621" i="16" l="1"/>
  <c r="V623" i="16"/>
  <c r="W622" i="16" a="1"/>
  <c r="W622" i="16" l="1"/>
  <c r="W623" i="16" a="1"/>
  <c r="V624" i="16"/>
  <c r="W623" i="16" l="1"/>
  <c r="W624" i="16" a="1"/>
  <c r="V625" i="16"/>
  <c r="W624" i="16" l="1"/>
  <c r="W625" i="16" a="1"/>
  <c r="V626" i="16"/>
  <c r="W625" i="16" l="1"/>
  <c r="W626" i="16" a="1"/>
  <c r="V627" i="16"/>
  <c r="W626" i="16" l="1"/>
  <c r="V628" i="16"/>
  <c r="W627" i="16" a="1"/>
  <c r="W627" i="16" l="1"/>
  <c r="V629" i="16"/>
  <c r="W628" i="16" a="1"/>
  <c r="W628" i="16" l="1"/>
  <c r="W629" i="16" a="1"/>
  <c r="V630" i="16"/>
  <c r="W629" i="16" l="1"/>
  <c r="W630" i="16" a="1"/>
  <c r="V631" i="16"/>
  <c r="W630" i="16" l="1"/>
  <c r="V632" i="16"/>
  <c r="W631" i="16" a="1"/>
  <c r="W631" i="16" l="1"/>
  <c r="V633" i="16"/>
  <c r="W632" i="16" a="1"/>
  <c r="W632" i="16" l="1"/>
  <c r="W633" i="16" a="1"/>
  <c r="V634" i="16"/>
  <c r="W633" i="16" l="1"/>
  <c r="V635" i="16"/>
  <c r="W634" i="16" a="1"/>
  <c r="W634" i="16" l="1"/>
  <c r="V636" i="16"/>
  <c r="W635" i="16" a="1"/>
  <c r="W635" i="16" l="1"/>
  <c r="V637" i="16"/>
  <c r="W636" i="16" a="1"/>
  <c r="W636" i="16" l="1"/>
  <c r="V638" i="16"/>
  <c r="W637" i="16" a="1"/>
  <c r="W637" i="16" l="1"/>
  <c r="W638" i="16" a="1"/>
  <c r="V639" i="16"/>
  <c r="W638" i="16" l="1"/>
  <c r="V640" i="16"/>
  <c r="W639" i="16" a="1"/>
  <c r="W639" i="16" l="1"/>
  <c r="W640" i="16" a="1"/>
  <c r="V641" i="16"/>
  <c r="W640" i="16" l="1"/>
  <c r="W641" i="16" a="1"/>
  <c r="V642" i="16"/>
  <c r="W641" i="16" l="1"/>
  <c r="W642" i="16" a="1"/>
  <c r="V643" i="16"/>
  <c r="W642" i="16" l="1"/>
  <c r="V644" i="16"/>
  <c r="W643" i="16" a="1"/>
  <c r="W643" i="16" l="1"/>
  <c r="W644" i="16" a="1"/>
  <c r="V645" i="16"/>
  <c r="W644" i="16" l="1"/>
  <c r="V646" i="16"/>
  <c r="W645" i="16" a="1"/>
  <c r="W645" i="16" l="1"/>
  <c r="V647" i="16"/>
  <c r="W646" i="16" a="1"/>
  <c r="W646" i="16" l="1"/>
  <c r="V648" i="16"/>
  <c r="W647" i="16" a="1"/>
  <c r="W647" i="16" l="1"/>
  <c r="W648" i="16" a="1"/>
  <c r="V649" i="16"/>
  <c r="W648" i="16" l="1"/>
  <c r="V650" i="16"/>
  <c r="W649" i="16" a="1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V654" i="16"/>
  <c r="W653" i="16" a="1"/>
  <c r="W653" i="16" l="1"/>
  <c r="W654" i="16" a="1"/>
  <c r="V655" i="16"/>
  <c r="W654" i="16" l="1"/>
  <c r="W655" i="16" a="1"/>
  <c r="V656" i="16"/>
  <c r="W655" i="16" l="1"/>
  <c r="W656" i="16" a="1"/>
  <c r="V657" i="16"/>
  <c r="W656" i="16" l="1"/>
  <c r="V658" i="16"/>
  <c r="W657" i="16" a="1"/>
  <c r="W657" i="16" l="1"/>
  <c r="W658" i="16" a="1"/>
  <c r="V659" i="16"/>
  <c r="W658" i="16" l="1"/>
  <c r="W659" i="16" a="1"/>
  <c r="V660" i="16"/>
  <c r="W659" i="16" l="1"/>
  <c r="V661" i="16"/>
  <c r="W660" i="16" a="1"/>
  <c r="W660" i="16" l="1"/>
  <c r="V662" i="16"/>
  <c r="W661" i="16" a="1"/>
  <c r="W661" i="16" l="1"/>
  <c r="V663" i="16"/>
  <c r="W662" i="16" a="1"/>
  <c r="W662" i="16" l="1"/>
  <c r="W663" i="16" a="1"/>
  <c r="V664" i="16"/>
  <c r="W663" i="16" l="1"/>
  <c r="W664" i="16" a="1"/>
  <c r="V665" i="16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V673" i="16"/>
  <c r="W672" i="16" a="1"/>
  <c r="W672" i="16" l="1"/>
  <c r="V674" i="16"/>
  <c r="W673" i="16" a="1"/>
  <c r="W673" i="16" l="1"/>
  <c r="V675" i="16"/>
  <c r="W674" i="16" a="1"/>
  <c r="W674" i="16" l="1"/>
  <c r="V676" i="16"/>
  <c r="W675" i="16" a="1"/>
  <c r="W675" i="16" l="1"/>
  <c r="V677" i="16"/>
  <c r="W676" i="16" a="1"/>
  <c r="W676" i="16" l="1"/>
  <c r="W677" i="16" a="1"/>
  <c r="V678" i="16"/>
  <c r="W677" i="16" l="1"/>
  <c r="W678" i="16" a="1"/>
  <c r="V679" i="16"/>
  <c r="W678" i="16" l="1"/>
  <c r="V680" i="16"/>
  <c r="W679" i="16" a="1"/>
  <c r="W679" i="16" l="1"/>
  <c r="V681" i="16"/>
  <c r="W680" i="16" a="1"/>
  <c r="W680" i="16" l="1"/>
  <c r="V682" i="16"/>
  <c r="W681" i="16" a="1"/>
  <c r="W681" i="16" l="1"/>
  <c r="W682" i="16" a="1"/>
  <c r="V683" i="16"/>
  <c r="W682" i="16" l="1"/>
  <c r="V684" i="16"/>
  <c r="W683" i="16" a="1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V688" i="16"/>
  <c r="W687" i="16" a="1"/>
  <c r="W687" i="16" l="1"/>
  <c r="W688" i="16" a="1"/>
  <c r="V689" i="16"/>
  <c r="W688" i="16" l="1"/>
  <c r="W689" i="16" a="1"/>
  <c r="V690" i="16"/>
  <c r="W689" i="16" l="1"/>
  <c r="W690" i="16" a="1"/>
  <c r="V691" i="16"/>
  <c r="W690" i="16" l="1"/>
  <c r="W691" i="16" a="1"/>
  <c r="V692" i="16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V697" i="16"/>
  <c r="W696" i="16" a="1"/>
  <c r="W696" i="16" l="1"/>
  <c r="W697" i="16" a="1"/>
  <c r="V698" i="16"/>
  <c r="W697" i="16" l="1"/>
  <c r="V699" i="16"/>
  <c r="W698" i="16" a="1"/>
  <c r="W698" i="16" l="1"/>
  <c r="V700" i="16"/>
  <c r="W699" i="16" a="1"/>
  <c r="W699" i="16" l="1"/>
  <c r="V701" i="16"/>
  <c r="W700" i="16" a="1"/>
  <c r="W700" i="16" l="1"/>
  <c r="W701" i="16" a="1"/>
  <c r="V702" i="16"/>
  <c r="W701" i="16" l="1"/>
  <c r="V703" i="16"/>
  <c r="W702" i="16" a="1"/>
  <c r="W702" i="16" l="1"/>
  <c r="W703" i="16" a="1"/>
  <c r="V704" i="16"/>
  <c r="W703" i="16" l="1"/>
  <c r="W704" i="16" a="1"/>
  <c r="V705" i="16"/>
  <c r="W704" i="16" l="1"/>
  <c r="W705" i="16" a="1"/>
  <c r="V706" i="16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V710" i="16"/>
  <c r="W709" i="16" a="1"/>
  <c r="W709" i="16" l="1"/>
  <c r="W710" i="16" a="1"/>
  <c r="V711" i="16"/>
  <c r="W710" i="16" l="1"/>
  <c r="W711" i="16" a="1"/>
  <c r="V712" i="16"/>
  <c r="W711" i="16" l="1"/>
  <c r="V713" i="16"/>
  <c r="W712" i="16" a="1"/>
  <c r="W712" i="16" l="1"/>
  <c r="W713" i="16" a="1"/>
  <c r="V714" i="16"/>
  <c r="W713" i="16" l="1"/>
  <c r="W714" i="16" a="1"/>
  <c r="V715" i="16"/>
  <c r="W714" i="16" l="1"/>
  <c r="V716" i="16"/>
  <c r="W715" i="16" a="1"/>
  <c r="W715" i="16" l="1"/>
  <c r="V717" i="16"/>
  <c r="W716" i="16" a="1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V722" i="16"/>
  <c r="W721" i="16" a="1"/>
  <c r="W721" i="16" l="1"/>
  <c r="W722" i="16" a="1"/>
  <c r="V723" i="16"/>
  <c r="W722" i="16" l="1"/>
  <c r="V724" i="16"/>
  <c r="W723" i="16" a="1"/>
  <c r="W723" i="16" l="1"/>
  <c r="V725" i="16"/>
  <c r="W724" i="16" a="1"/>
  <c r="W724" i="16" l="1"/>
  <c r="W725" i="16" a="1"/>
  <c r="V726" i="16"/>
  <c r="W725" i="16" l="1"/>
  <c r="W726" i="16" a="1"/>
  <c r="V727" i="16"/>
  <c r="W726" i="16" l="1"/>
  <c r="V728" i="16"/>
  <c r="W727" i="16" a="1"/>
  <c r="W727" i="16" l="1"/>
  <c r="W728" i="16" a="1"/>
  <c r="V729" i="16"/>
  <c r="W728" i="16" l="1"/>
  <c r="V730" i="16"/>
  <c r="W729" i="16" a="1"/>
  <c r="W729" i="16" l="1"/>
  <c r="W730" i="16" a="1"/>
  <c r="V731" i="16"/>
  <c r="W730" i="16" l="1"/>
  <c r="W731" i="16" a="1"/>
  <c r="V732" i="16"/>
  <c r="W731" i="16" l="1"/>
  <c r="W732" i="16" a="1"/>
  <c r="V733" i="16"/>
  <c r="W732" i="16" l="1"/>
  <c r="V734" i="16"/>
  <c r="W733" i="16" a="1"/>
  <c r="W733" i="16" l="1"/>
  <c r="W734" i="16" a="1"/>
  <c r="V735" i="16"/>
  <c r="W734" i="16" l="1"/>
  <c r="V736" i="16"/>
  <c r="W735" i="16" a="1"/>
  <c r="W735" i="16" l="1"/>
  <c r="V737" i="16"/>
  <c r="W736" i="16" a="1"/>
  <c r="W736" i="16" l="1"/>
  <c r="W737" i="16" a="1"/>
  <c r="V738" i="16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V742" i="16"/>
  <c r="W741" i="16" a="1"/>
  <c r="W741" i="16" l="1"/>
  <c r="V743" i="16"/>
  <c r="W742" i="16" a="1"/>
  <c r="W742" i="16" l="1"/>
  <c r="W743" i="16" a="1"/>
  <c r="V744" i="16"/>
  <c r="W743" i="16" l="1"/>
  <c r="W744" i="16" a="1"/>
  <c r="V745" i="16"/>
  <c r="W744" i="16" l="1"/>
  <c r="V746" i="16"/>
  <c r="W745" i="16" a="1"/>
  <c r="W745" i="16" l="1"/>
  <c r="V747" i="16"/>
  <c r="W746" i="16" a="1"/>
  <c r="W746" i="16" l="1"/>
  <c r="W747" i="16" a="1"/>
  <c r="V748" i="16"/>
  <c r="W747" i="16" l="1"/>
  <c r="W748" i="16" a="1"/>
  <c r="V749" i="16"/>
  <c r="W748" i="16" l="1"/>
  <c r="V750" i="16"/>
  <c r="W749" i="16" a="1"/>
  <c r="W749" i="16" l="1"/>
  <c r="W750" i="16" a="1"/>
  <c r="V751" i="16"/>
  <c r="W750" i="16" l="1"/>
  <c r="W751" i="16" a="1"/>
  <c r="V752" i="16"/>
  <c r="W751" i="16" l="1"/>
  <c r="W752" i="16" a="1"/>
  <c r="V753" i="16"/>
  <c r="W752" i="16" l="1"/>
  <c r="W753" i="16" a="1"/>
  <c r="V754" i="16"/>
  <c r="W753" i="16" l="1"/>
  <c r="W754" i="16" a="1"/>
  <c r="V755" i="16"/>
  <c r="W754" i="16" l="1"/>
  <c r="W755" i="16" a="1"/>
  <c r="V756" i="16"/>
  <c r="W755" i="16" l="1"/>
  <c r="W756" i="16" a="1"/>
  <c r="V757" i="16"/>
  <c r="W756" i="16" l="1"/>
  <c r="V758" i="16"/>
  <c r="W757" i="16" a="1"/>
  <c r="W757" i="16" l="1"/>
  <c r="W758" i="16" a="1"/>
  <c r="V759" i="16"/>
  <c r="W758" i="16" l="1"/>
  <c r="W759" i="16" a="1"/>
  <c r="V760" i="16"/>
  <c r="W759" i="16" l="1"/>
  <c r="V761" i="16"/>
  <c r="W760" i="16" a="1"/>
  <c r="W760" i="16" l="1"/>
  <c r="V762" i="16"/>
  <c r="W761" i="16" a="1"/>
  <c r="W761" i="16" l="1"/>
  <c r="W762" i="16" a="1"/>
  <c r="V763" i="16"/>
  <c r="W762" i="16" l="1"/>
  <c r="V764" i="16"/>
  <c r="W763" i="16" a="1"/>
  <c r="W763" i="16" l="1"/>
  <c r="W764" i="16" a="1"/>
  <c r="V765" i="16"/>
  <c r="W764" i="16" l="1"/>
  <c r="V766" i="16"/>
  <c r="W765" i="16" a="1"/>
  <c r="W765" i="16" l="1"/>
  <c r="W766" i="16" a="1"/>
  <c r="V767" i="16"/>
  <c r="W766" i="16" l="1"/>
  <c r="V768" i="16"/>
  <c r="W767" i="16" a="1"/>
  <c r="W767" i="16" l="1"/>
  <c r="V769" i="16"/>
  <c r="W768" i="16" a="1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W774" i="16" a="1"/>
  <c r="V775" i="16"/>
  <c r="W774" i="16" l="1"/>
  <c r="W775" i="16" a="1"/>
  <c r="V776" i="16"/>
  <c r="W775" i="16" l="1"/>
  <c r="W776" i="16" a="1"/>
  <c r="V777" i="16"/>
  <c r="W776" i="16" l="1"/>
  <c r="V778" i="16"/>
  <c r="W777" i="16" a="1"/>
  <c r="W777" i="16" l="1"/>
  <c r="W778" i="16" a="1"/>
  <c r="V779" i="16"/>
  <c r="W778" i="16" l="1"/>
  <c r="W779" i="16" a="1"/>
  <c r="V780" i="16"/>
  <c r="W779" i="16" l="1"/>
  <c r="V781" i="16"/>
  <c r="W780" i="16" a="1"/>
  <c r="W780" i="16" l="1"/>
  <c r="V782" i="16"/>
  <c r="W781" i="16" a="1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W785" i="16" a="1"/>
  <c r="V786" i="16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W790" i="16" a="1"/>
  <c r="V791" i="16"/>
  <c r="W790" i="16" l="1"/>
  <c r="W791" i="16" a="1"/>
  <c r="V792" i="16"/>
  <c r="W791" i="16" l="1"/>
  <c r="V793" i="16"/>
  <c r="W792" i="16" a="1"/>
  <c r="W792" i="16" l="1"/>
  <c r="W793" i="16" a="1"/>
  <c r="V794" i="16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V799" i="16"/>
  <c r="W798" i="16" a="1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V803" i="16"/>
  <c r="W802" i="16" a="1"/>
  <c r="W802" i="16" l="1"/>
  <c r="V804" i="16"/>
  <c r="W803" i="16" a="1"/>
  <c r="W803" i="16" l="1"/>
  <c r="W804" i="16" a="1"/>
  <c r="V805" i="16"/>
  <c r="W804" i="16" l="1"/>
  <c r="V806" i="16"/>
  <c r="W805" i="16" a="1"/>
  <c r="W805" i="16" l="1"/>
  <c r="W806" i="16" a="1"/>
  <c r="V807" i="16"/>
  <c r="W806" i="16" l="1"/>
  <c r="V808" i="16"/>
  <c r="W807" i="16" a="1"/>
  <c r="W807" i="16" l="1"/>
  <c r="W808" i="16" a="1"/>
  <c r="V809" i="16"/>
  <c r="W808" i="16" l="1"/>
  <c r="V810" i="16"/>
  <c r="W809" i="16" a="1"/>
  <c r="W809" i="16" l="1"/>
  <c r="W810" i="16" a="1"/>
  <c r="V811" i="16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V821" i="16"/>
  <c r="W820" i="16" a="1"/>
  <c r="W820" i="16" l="1"/>
  <c r="W821" i="16" a="1"/>
  <c r="V822" i="16"/>
  <c r="W821" i="16" l="1"/>
  <c r="V823" i="16"/>
  <c r="W822" i="16" a="1"/>
  <c r="W822" i="16" l="1"/>
  <c r="V824" i="16"/>
  <c r="W823" i="16" a="1"/>
  <c r="W823" i="16" l="1"/>
  <c r="V825" i="16"/>
  <c r="W824" i="16" a="1"/>
  <c r="W824" i="16" l="1"/>
  <c r="V826" i="16"/>
  <c r="W825" i="16" a="1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V830" i="16"/>
  <c r="W829" i="16" a="1"/>
  <c r="W829" i="16" l="1"/>
  <c r="W830" i="16" a="1"/>
  <c r="V831" i="16"/>
  <c r="W830" i="16" l="1"/>
  <c r="V832" i="16"/>
  <c r="W831" i="16" a="1"/>
  <c r="W831" i="16" l="1"/>
  <c r="V833" i="16"/>
  <c r="W832" i="16" a="1"/>
  <c r="W832" i="16" l="1"/>
  <c r="V834" i="16"/>
  <c r="W833" i="16" a="1"/>
  <c r="W833" i="16" l="1"/>
  <c r="W834" i="16" a="1"/>
  <c r="V835" i="16"/>
  <c r="W834" i="16" l="1"/>
  <c r="V836" i="16"/>
  <c r="W835" i="16" a="1"/>
  <c r="W835" i="16" l="1"/>
  <c r="V837" i="16"/>
  <c r="W836" i="16" a="1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V841" i="16"/>
  <c r="W840" i="16" a="1"/>
  <c r="W840" i="16" l="1"/>
  <c r="W841" i="16" a="1"/>
  <c r="V842" i="16"/>
  <c r="W841" i="16" l="1"/>
  <c r="W842" i="16" a="1"/>
  <c r="V843" i="16"/>
  <c r="W842" i="16" l="1"/>
  <c r="V844" i="16"/>
  <c r="W843" i="16" a="1"/>
  <c r="W843" i="16" l="1"/>
  <c r="V845" i="16"/>
  <c r="W844" i="16" a="1"/>
  <c r="W844" i="16" l="1"/>
  <c r="W845" i="16" a="1"/>
  <c r="V846" i="16"/>
  <c r="W845" i="16" l="1"/>
  <c r="V847" i="16"/>
  <c r="W846" i="16" a="1"/>
  <c r="W846" i="16" l="1"/>
  <c r="W847" i="16" a="1"/>
  <c r="V848" i="16"/>
  <c r="W847" i="16" l="1"/>
  <c r="V849" i="16"/>
  <c r="W848" i="16" a="1"/>
  <c r="W848" i="16" l="1"/>
  <c r="V850" i="16"/>
  <c r="W849" i="16" a="1"/>
  <c r="W849" i="16" l="1"/>
  <c r="W850" i="16" a="1"/>
  <c r="V851" i="16"/>
  <c r="W850" i="16" l="1"/>
  <c r="W851" i="16" a="1"/>
  <c r="V852" i="16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W855" i="16" a="1"/>
  <c r="V856" i="16"/>
  <c r="W855" i="16" l="1"/>
  <c r="V857" i="16"/>
  <c r="W856" i="16" a="1"/>
  <c r="W856" i="16" l="1"/>
  <c r="W857" i="16" a="1"/>
  <c r="V858" i="16"/>
  <c r="W857" i="16" l="1"/>
  <c r="V859" i="16"/>
  <c r="W858" i="16" a="1"/>
  <c r="W858" i="16" l="1"/>
  <c r="V860" i="16"/>
  <c r="W859" i="16" a="1"/>
  <c r="W859" i="16" l="1"/>
  <c r="V861" i="16"/>
  <c r="W860" i="16" a="1"/>
  <c r="W860" i="16" l="1"/>
  <c r="V862" i="16"/>
  <c r="W861" i="16" a="1"/>
  <c r="W861" i="16" l="1"/>
  <c r="W862" i="16" a="1"/>
  <c r="V863" i="16"/>
  <c r="W862" i="16" l="1"/>
  <c r="W863" i="16" a="1"/>
  <c r="V864" i="16"/>
  <c r="W863" i="16" l="1"/>
  <c r="W864" i="16" a="1"/>
  <c r="V865" i="16"/>
  <c r="W864" i="16" l="1"/>
  <c r="V866" i="16"/>
  <c r="W865" i="16" a="1"/>
  <c r="W865" i="16" l="1"/>
  <c r="V867" i="16"/>
  <c r="W866" i="16" a="1"/>
  <c r="W866" i="16" l="1"/>
  <c r="W867" i="16" a="1"/>
  <c r="V868" i="16"/>
  <c r="W867" i="16" l="1"/>
  <c r="V869" i="16"/>
  <c r="W868" i="16" a="1"/>
  <c r="W868" i="16" l="1"/>
  <c r="W869" i="16" a="1"/>
  <c r="V870" i="16"/>
  <c r="W869" i="16" l="1"/>
  <c r="V871" i="16"/>
  <c r="W870" i="16" a="1"/>
  <c r="W870" i="16" l="1"/>
  <c r="V872" i="16"/>
  <c r="W871" i="16" a="1"/>
  <c r="W871" i="16" l="1"/>
  <c r="W872" i="16" a="1"/>
  <c r="V873" i="16"/>
  <c r="W872" i="16" l="1"/>
  <c r="V874" i="16"/>
  <c r="W873" i="16" a="1"/>
  <c r="W873" i="16" l="1"/>
  <c r="W874" i="16" a="1"/>
  <c r="V875" i="16"/>
  <c r="W874" i="16" l="1"/>
  <c r="V876" i="16"/>
  <c r="W875" i="16" a="1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V880" i="16"/>
  <c r="W879" i="16" a="1"/>
  <c r="W879" i="16" l="1"/>
  <c r="W880" i="16" a="1"/>
  <c r="V881" i="16"/>
  <c r="W880" i="16" l="1"/>
  <c r="V882" i="16"/>
  <c r="W881" i="16" a="1"/>
  <c r="W881" i="16" l="1"/>
  <c r="W882" i="16" a="1"/>
  <c r="V883" i="16"/>
  <c r="W882" i="16" l="1"/>
  <c r="V884" i="16"/>
  <c r="W883" i="16" a="1"/>
  <c r="W883" i="16" l="1"/>
  <c r="V885" i="16"/>
  <c r="W884" i="16" a="1"/>
  <c r="W884" i="16" l="1"/>
  <c r="V886" i="16"/>
  <c r="W885" i="16" a="1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W889" i="16" a="1"/>
  <c r="V890" i="16"/>
  <c r="W889" i="16" l="1"/>
  <c r="W890" i="16" a="1"/>
  <c r="V891" i="16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V896" i="16"/>
  <c r="W895" i="16" a="1"/>
  <c r="W895" i="16" l="1"/>
  <c r="W896" i="16" a="1"/>
  <c r="V897" i="16"/>
  <c r="W896" i="16" l="1"/>
  <c r="V898" i="16"/>
  <c r="W897" i="16" a="1"/>
  <c r="W897" i="16" l="1"/>
  <c r="V899" i="16"/>
  <c r="W898" i="16" a="1"/>
  <c r="W898" i="16" l="1"/>
  <c r="V900" i="16"/>
  <c r="W899" i="16" a="1"/>
  <c r="W899" i="16" l="1"/>
  <c r="W900" i="16" a="1"/>
  <c r="V901" i="16"/>
  <c r="W900" i="16" l="1"/>
  <c r="W901" i="16" a="1"/>
  <c r="V902" i="16"/>
  <c r="W901" i="16" l="1"/>
  <c r="W902" i="16" a="1"/>
  <c r="V903" i="16"/>
  <c r="W902" i="16" l="1"/>
  <c r="V904" i="16"/>
  <c r="W903" i="16" a="1"/>
  <c r="W903" i="16" l="1"/>
  <c r="W904" i="16" a="1"/>
  <c r="V905" i="16"/>
  <c r="W904" i="16" l="1"/>
  <c r="W905" i="16" a="1"/>
  <c r="V906" i="16"/>
  <c r="W905" i="16" l="1"/>
  <c r="V907" i="16"/>
  <c r="W906" i="16" a="1"/>
  <c r="W906" i="16" l="1"/>
  <c r="V908" i="16"/>
  <c r="W907" i="16" a="1"/>
  <c r="W907" i="16" l="1"/>
  <c r="W908" i="16" a="1"/>
  <c r="V909" i="16"/>
  <c r="W908" i="16" l="1"/>
  <c r="W909" i="16" a="1"/>
  <c r="V910" i="16"/>
  <c r="W909" i="16" l="1"/>
  <c r="W910" i="16" a="1"/>
  <c r="V911" i="16"/>
  <c r="W910" i="16" l="1"/>
  <c r="V912" i="16"/>
  <c r="W911" i="16" a="1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W915" i="16" a="1"/>
  <c r="V916" i="16"/>
  <c r="W915" i="16" l="1"/>
  <c r="V917" i="16"/>
  <c r="W916" i="16" a="1"/>
  <c r="W916" i="16" l="1"/>
  <c r="W917" i="16" a="1"/>
  <c r="V918" i="16"/>
  <c r="W917" i="16" l="1"/>
  <c r="V919" i="16"/>
  <c r="W918" i="16" a="1"/>
  <c r="W918" i="16" l="1"/>
  <c r="V920" i="16"/>
  <c r="W919" i="16" a="1"/>
  <c r="W919" i="16" l="1"/>
  <c r="W920" i="16" a="1"/>
  <c r="V921" i="16"/>
  <c r="W920" i="16" l="1"/>
  <c r="V922" i="16"/>
  <c r="W921" i="16" a="1"/>
  <c r="W921" i="16" l="1"/>
  <c r="W922" i="16" a="1"/>
  <c r="V923" i="16"/>
  <c r="W922" i="16" l="1"/>
  <c r="V924" i="16"/>
  <c r="W923" i="16" a="1"/>
  <c r="W923" i="16" l="1"/>
  <c r="W924" i="16" a="1"/>
  <c r="V925" i="16"/>
  <c r="W924" i="16" l="1"/>
  <c r="V926" i="16"/>
  <c r="W925" i="16" a="1"/>
  <c r="W925" i="16" l="1"/>
  <c r="W926" i="16" a="1"/>
  <c r="V927" i="16"/>
  <c r="W926" i="16" l="1"/>
  <c r="W927" i="16" a="1"/>
  <c r="V928" i="16"/>
  <c r="W927" i="16" l="1"/>
  <c r="V929" i="16"/>
  <c r="W928" i="16" a="1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V933" i="16"/>
  <c r="W932" i="16" a="1"/>
  <c r="W932" i="16" l="1"/>
  <c r="W933" i="16" a="1"/>
  <c r="V934" i="16"/>
  <c r="W933" i="16" l="1"/>
  <c r="W934" i="16" a="1"/>
  <c r="V935" i="16"/>
  <c r="W934" i="16" l="1"/>
  <c r="W935" i="16" a="1"/>
  <c r="V936" i="16"/>
  <c r="W935" i="16" l="1"/>
  <c r="W936" i="16" a="1"/>
  <c r="V937" i="16"/>
  <c r="W936" i="16" l="1"/>
  <c r="W937" i="16" a="1"/>
  <c r="V938" i="16"/>
  <c r="W937" i="16" l="1"/>
  <c r="V939" i="16"/>
  <c r="W938" i="16" a="1"/>
  <c r="W938" i="16" l="1"/>
  <c r="W939" i="16" a="1"/>
  <c r="V940" i="16"/>
  <c r="W939" i="16" l="1"/>
  <c r="W940" i="16" a="1"/>
  <c r="V941" i="16"/>
  <c r="W940" i="16" l="1"/>
  <c r="V942" i="16"/>
  <c r="W941" i="16" a="1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V946" i="16"/>
  <c r="W945" i="16" a="1"/>
  <c r="W945" i="16" l="1"/>
  <c r="V947" i="16"/>
  <c r="W946" i="16" a="1"/>
  <c r="W946" i="16" l="1"/>
  <c r="W947" i="16" a="1"/>
  <c r="V948" i="16"/>
  <c r="W947" i="16" l="1"/>
  <c r="W948" i="16" a="1"/>
  <c r="V949" i="16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V954" i="16"/>
  <c r="W953" i="16" a="1"/>
  <c r="W953" i="16" l="1"/>
  <c r="W954" i="16" a="1"/>
  <c r="V955" i="16"/>
  <c r="W954" i="16" l="1"/>
  <c r="W955" i="16" a="1"/>
  <c r="V956" i="16"/>
  <c r="W955" i="16" l="1"/>
  <c r="W956" i="16" a="1"/>
  <c r="V957" i="16"/>
  <c r="W956" i="16" l="1"/>
  <c r="V958" i="16"/>
  <c r="W957" i="16" a="1"/>
  <c r="W957" i="16" l="1"/>
  <c r="V959" i="16"/>
  <c r="W958" i="16" a="1"/>
  <c r="W958" i="16" l="1"/>
  <c r="V960" i="16"/>
  <c r="W959" i="16" a="1"/>
  <c r="W959" i="16" l="1"/>
  <c r="W960" i="16" a="1"/>
  <c r="V961" i="16"/>
  <c r="W960" i="16" l="1"/>
  <c r="V962" i="16"/>
  <c r="W961" i="16" a="1"/>
  <c r="W961" i="16" l="1"/>
  <c r="W962" i="16" a="1"/>
  <c r="V963" i="16"/>
  <c r="W962" i="16" l="1"/>
  <c r="W963" i="16" a="1"/>
  <c r="V964" i="16"/>
  <c r="W963" i="16" l="1"/>
  <c r="V965" i="16"/>
  <c r="W964" i="16" a="1"/>
  <c r="W964" i="16" l="1"/>
  <c r="V966" i="16"/>
  <c r="W965" i="16" a="1"/>
  <c r="W965" i="16" l="1"/>
  <c r="W966" i="16" a="1"/>
  <c r="V967" i="16"/>
  <c r="W966" i="16" l="1"/>
  <c r="W967" i="16" a="1"/>
  <c r="V968" i="16"/>
  <c r="W967" i="16" l="1"/>
  <c r="W968" i="16" a="1"/>
  <c r="V969" i="16"/>
  <c r="W968" i="16" l="1"/>
  <c r="W969" i="16" a="1"/>
  <c r="V970" i="16"/>
  <c r="W969" i="16" l="1"/>
  <c r="W970" i="16" a="1"/>
  <c r="V971" i="16"/>
  <c r="W970" i="16" l="1"/>
  <c r="V972" i="16"/>
  <c r="W971" i="16" a="1"/>
  <c r="W971" i="16" l="1"/>
  <c r="W972" i="16" a="1"/>
  <c r="V973" i="16"/>
  <c r="W972" i="16" l="1"/>
  <c r="V974" i="16"/>
  <c r="W973" i="16" a="1"/>
  <c r="W973" i="16" l="1"/>
  <c r="W974" i="16" a="1"/>
  <c r="V975" i="16"/>
  <c r="W974" i="16" l="1"/>
  <c r="W975" i="16" a="1"/>
  <c r="V976" i="16"/>
  <c r="W975" i="16" l="1"/>
  <c r="V977" i="16"/>
  <c r="W976" i="16" a="1"/>
  <c r="W976" i="16" l="1"/>
  <c r="V978" i="16"/>
  <c r="W977" i="16" a="1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W982" i="16" a="1"/>
  <c r="V983" i="16"/>
  <c r="W982" i="16" l="1"/>
  <c r="W983" i="16" a="1"/>
  <c r="V984" i="16"/>
  <c r="W983" i="16" l="1"/>
  <c r="W984" i="16" a="1"/>
  <c r="V985" i="16"/>
  <c r="W984" i="16" l="1"/>
  <c r="W985" i="16" a="1"/>
  <c r="V986" i="16"/>
  <c r="W985" i="16" l="1"/>
  <c r="V987" i="16"/>
  <c r="W986" i="16" a="1"/>
  <c r="W986" i="16" l="1"/>
  <c r="V988" i="16"/>
  <c r="W987" i="16" a="1"/>
  <c r="W987" i="16" l="1"/>
  <c r="W988" i="16" a="1"/>
  <c r="V989" i="16"/>
  <c r="W988" i="16" l="1"/>
  <c r="V990" i="16"/>
  <c r="W989" i="16" a="1"/>
  <c r="W989" i="16" l="1"/>
  <c r="W990" i="16" a="1"/>
  <c r="V991" i="16"/>
  <c r="W990" i="16" l="1"/>
  <c r="V992" i="16"/>
  <c r="W991" i="16" a="1"/>
  <c r="W991" i="16" l="1"/>
  <c r="V993" i="16"/>
  <c r="W992" i="16" a="1"/>
  <c r="W992" i="16" l="1"/>
  <c r="W993" i="16" a="1"/>
  <c r="V994" i="16"/>
  <c r="W993" i="16" l="1"/>
  <c r="W994" i="16" a="1"/>
  <c r="V995" i="16"/>
  <c r="W994" i="16" l="1"/>
  <c r="V996" i="16"/>
  <c r="W995" i="16" a="1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W999" i="16" a="1"/>
  <c r="V1000" i="16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<sst xmlns="http://schemas.openxmlformats.org/spreadsheetml/2006/main" count="584" uniqueCount="279">
  <si>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</si>
  <si>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</si>
  <si>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</si>
  <si>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</si>
  <si>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</si>
  <si>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</si>
  <si>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</si>
  <si>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</si>
  <si>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</si>
  <si>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</si>
  <si>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</si>
  <si>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</si>
  <si>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</si>
  <si>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</si>
  <si>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</si>
  <si>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</si>
  <si>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</si>
  <si>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</si>
  <si>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</si>
  <si>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</si>
  <si>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</si>
  <si>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</si>
  <si>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</si>
  <si>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</si>
  <si>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</si>
  <si>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</si>
  <si>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</si>
  <si>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</si>
  <si>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</si>
  <si>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</si>
  <si>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</si>
  <si>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</si>
  <si>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</si>
  <si>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</si>
  <si>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</si>
  <si>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</si>
  <si>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</si>
  <si>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</si>
  <si>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</si>
  <si>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</si>
  <si>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</si>
  <si>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</si>
  <si>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</si>
  <si>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</si>
  <si>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</si>
  <si>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</si>
  <si>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</si>
  <si>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</si>
  <si>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</si>
  <si>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</si>
  <si>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</si>
  <si>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</si>
  <si>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</si>
  <si>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</si>
  <si>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</si>
  <si>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</si>
  <si>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</si>
  <si>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</si>
  <si>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</si>
  <si>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</si>
  <si>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</si>
  <si>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</si>
  <si>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</si>
  <si>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</si>
  <si>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</si>
  <si>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</si>
  <si>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</si>
  <si>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</si>
  <si>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</si>
  <si>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</si>
  <si>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</si>
  <si>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</si>
  <si>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</si>
  <si>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</si>
  <si>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</si>
  <si>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</si>
  <si>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</si>
  <si>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</si>
  <si>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</si>
  <si>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</si>
  <si>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</si>
  <si>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</si>
  <si>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</si>
  <si>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</si>
  <si>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</si>
  <si>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</si>
  <si>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</si>
  <si>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</si>
  <si>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</si>
  <si>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</si>
  <si>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</si>
  <si>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</si>
  <si>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</si>
  <si>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</si>
  <si>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</si>
  <si>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</si>
  <si>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</si>
  <si>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</si>
  <si>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</si>
  <si>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</si>
  <si>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</si>
  <si>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</si>
  <si>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</si>
  <si>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</si>
  <si>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</si>
  <si>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</si>
  <si>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</si>
  <si>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</si>
  <si>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</si>
  <si>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</si>
  <si>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</si>
  <si>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</si>
  <si>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</si>
  <si>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</si>
  <si>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</si>
  <si>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</si>
  <si>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</si>
  <si>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</si>
  <si>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</si>
  <si>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</si>
  <si>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</si>
  <si>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</si>
  <si>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</si>
  <si>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</si>
  <si>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</si>
  <si>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</si>
  <si>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</si>
  <si>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</si>
  <si>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</si>
  <si>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rule</t>
  </si>
  <si>
    <t>supply_flow_junction</t>
  </si>
  <si>
    <t>flow_junction</t>
  </si>
  <si>
    <t>VENT</t>
  </si>
  <si>
    <t>HEAT</t>
  </si>
  <si>
    <t>COOL</t>
  </si>
  <si>
    <t>core</t>
  </si>
  <si>
    <t>core_airflow_sensor</t>
  </si>
  <si>
    <t>core_occupancy_profile</t>
  </si>
  <si>
    <t>outdoor_temp_sensor</t>
  </si>
  <si>
    <t>main_inlet_damper_position_property</t>
  </si>
  <si>
    <t>vent_exhaust_temp_sensor</t>
  </si>
  <si>
    <t>main_outlet_damper_position_property</t>
  </si>
  <si>
    <t>core_supply_damper</t>
  </si>
  <si>
    <t>core_reheat_coil</t>
  </si>
  <si>
    <t>core_supply_damper_position_property</t>
  </si>
  <si>
    <t>main_mixing_damper_position_property</t>
  </si>
  <si>
    <t>main_heating_coil_valve</t>
  </si>
  <si>
    <t>main_heating_coil_valve_position_property</t>
  </si>
  <si>
    <t>main_cooling_coil_valve</t>
  </si>
  <si>
    <t>main_cooling_coil_valve_position_property</t>
  </si>
  <si>
    <t>core_heating_coil_valve_position_property</t>
  </si>
  <si>
    <t>VENT;COOL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</si>
  <si>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</si>
  <si>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</si>
  <si>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</si>
  <si>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</si>
  <si>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</si>
  <si>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</si>
  <si>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vent_heated_temp_sensor</t>
  </si>
  <si>
    <t>core_temperature_property</t>
  </si>
  <si>
    <t>core_temperature_heating_setpoint</t>
  </si>
  <si>
    <t>core_temperature_cooling_setpoint</t>
  </si>
  <si>
    <t>core_co2_setpoint</t>
  </si>
  <si>
    <t>VENT_outdoor_air_temperature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</si>
  <si>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</si>
  <si>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</si>
  <si>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</si>
  <si>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</si>
  <si>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</si>
  <si>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</si>
  <si>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</si>
  <si>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</si>
  <si>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</si>
  <si>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</si>
  <si>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</si>
  <si>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</si>
  <si>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supply_fan_power_meter</t>
  </si>
  <si>
    <t>fan_power</t>
  </si>
  <si>
    <t>intake_pressure</t>
  </si>
  <si>
    <t>heating_coil_pump_power</t>
  </si>
  <si>
    <t>cooling_coil_pump_power</t>
  </si>
  <si>
    <t>core_radiator_heat_property</t>
  </si>
  <si>
    <t>core_exhaust_damper_position_property</t>
  </si>
  <si>
    <t>core_exhaust_damper</t>
  </si>
  <si>
    <t>north</t>
  </si>
  <si>
    <t>north_co2_property</t>
  </si>
  <si>
    <t>north_exhaust_damper_position_property</t>
  </si>
  <si>
    <t>north_supply_damper_position_property</t>
  </si>
  <si>
    <t>north_heating_coil_valve_position_property</t>
  </si>
  <si>
    <t>north_temperature_property</t>
  </si>
  <si>
    <t>north_inlet_temp_property</t>
  </si>
  <si>
    <t>north_inlet_airflow_property</t>
  </si>
  <si>
    <t>north_reheat_coil_power</t>
  </si>
  <si>
    <t>north_radiator_heat_property</t>
  </si>
  <si>
    <t>north_supply_temp_sensor</t>
  </si>
  <si>
    <t>north_airflow_sensor</t>
  </si>
  <si>
    <t>north_co2_sensor</t>
  </si>
  <si>
    <t>north_indoor_temp_sensor</t>
  </si>
  <si>
    <t>north_supply_damper</t>
  </si>
  <si>
    <t>north_exhaust_damper</t>
  </si>
  <si>
    <t>north_temperature_heating_setpoint</t>
  </si>
  <si>
    <t>north_temperature_cooling_setpoint</t>
  </si>
  <si>
    <t>north_co2_setpoint</t>
  </si>
  <si>
    <t>north_occupancy_profile</t>
  </si>
  <si>
    <t>north_reheat_coil</t>
  </si>
  <si>
    <t>south</t>
  </si>
  <si>
    <t>south_co2_property</t>
  </si>
  <si>
    <t>south_exhaust_damper_position_property</t>
  </si>
  <si>
    <t>south_supply_damper_position_property</t>
  </si>
  <si>
    <t>south_heating_coil_valve_position_property</t>
  </si>
  <si>
    <t>south_temperature_property</t>
  </si>
  <si>
    <t>south_inlet_temp_property</t>
  </si>
  <si>
    <t>south_inlet_airflow_property</t>
  </si>
  <si>
    <t>south_reheat_coil_power</t>
  </si>
  <si>
    <t>south_radiator_heat_property</t>
  </si>
  <si>
    <t>south_supply_temp_sensor</t>
  </si>
  <si>
    <t>south_airflow_sensor</t>
  </si>
  <si>
    <t>south_co2_sensor</t>
  </si>
  <si>
    <t>south_indoor_temp_sensor</t>
  </si>
  <si>
    <t>south_supply_damper</t>
  </si>
  <si>
    <t>south_exhaust_damper</t>
  </si>
  <si>
    <t>south_reheat_coil</t>
  </si>
  <si>
    <t>south_temperature_heating_setpoint</t>
  </si>
  <si>
    <t>south_temperature_cooling_setpoint</t>
  </si>
  <si>
    <t>south_co2_setpoint</t>
  </si>
  <si>
    <t>south_occupancy_profile</t>
  </si>
  <si>
    <t>east</t>
  </si>
  <si>
    <t>east_temperature_heating_setpoint</t>
  </si>
  <si>
    <t>east_temperature_cooling_setpoint</t>
  </si>
  <si>
    <t>east_co2_setpoint</t>
  </si>
  <si>
    <t>east_occupancy_profile</t>
  </si>
  <si>
    <t>east_supply_temp_sensor</t>
  </si>
  <si>
    <t>east_airflow_sensor</t>
  </si>
  <si>
    <t>east_co2_sensor</t>
  </si>
  <si>
    <t>east_indoor_temp_sensor</t>
  </si>
  <si>
    <t>east_inlet_temp_property</t>
  </si>
  <si>
    <t>east_inlet_airflow_property</t>
  </si>
  <si>
    <t>east_co2_property</t>
  </si>
  <si>
    <t>east_temperature_property</t>
  </si>
  <si>
    <t>east_exhaust_damper_position_property</t>
  </si>
  <si>
    <t>east_supply_damper_position_property</t>
  </si>
  <si>
    <t>east_heating_coil_valve_position_property</t>
  </si>
  <si>
    <t>east_reheat_coil_power</t>
  </si>
  <si>
    <t>east_radiator_heat_property</t>
  </si>
  <si>
    <t>east_supply_damper</t>
  </si>
  <si>
    <t>east_exhaust_damper</t>
  </si>
  <si>
    <t>outdoor_environment;core;north;south</t>
  </si>
  <si>
    <t>east_reheat_coil</t>
  </si>
  <si>
    <t>west</t>
  </si>
  <si>
    <t>west_co2_property</t>
  </si>
  <si>
    <t>west_exhaust_damper_position_property</t>
  </si>
  <si>
    <t>west_supply_damper_position_property</t>
  </si>
  <si>
    <t>west_heating_coil_valve_position_property</t>
  </si>
  <si>
    <t>west_temperature_property</t>
  </si>
  <si>
    <t>west_inlet_temp_property</t>
  </si>
  <si>
    <t>west_inlet_airflow_property</t>
  </si>
  <si>
    <t>west_reheat_coil_power</t>
  </si>
  <si>
    <t>west_radiator_heat_property</t>
  </si>
  <si>
    <t>west_supply_temp_sensor</t>
  </si>
  <si>
    <t>west_airflow_sensor</t>
  </si>
  <si>
    <t>west_co2_sensor</t>
  </si>
  <si>
    <t>west_indoor_temp_sensor</t>
  </si>
  <si>
    <t>west_supply_damper</t>
  </si>
  <si>
    <t>west_exhaust_damper</t>
  </si>
  <si>
    <t>west_reheat_coil</t>
  </si>
  <si>
    <t>west_temperature_heating_setpoint</t>
  </si>
  <si>
    <t>west_temperature_cooling_setpoint</t>
  </si>
  <si>
    <t>west_co2_setpoint</t>
  </si>
  <si>
    <t>west_occupancy_profile</t>
  </si>
  <si>
    <t>outdoor_environment;core;west;east</t>
  </si>
  <si>
    <t>north;south;west;east</t>
  </si>
  <si>
    <t>core_supply_damper;north_supply_damper;south_supply_damper;east_supply_damper;west_supply_damper</t>
  </si>
  <si>
    <t>supply_fan_flow_meter</t>
  </si>
  <si>
    <t>vent_airflow_sensor;vent_supply_air_temp_sensor</t>
  </si>
  <si>
    <t>core_supply_damper;vent_supply_air_temp_sensor</t>
  </si>
  <si>
    <t>north_supply_damper;vent_supply_air_temp_sensor</t>
  </si>
  <si>
    <t>south_supply_damper;vent_supply_air_temp_sensor</t>
  </si>
  <si>
    <t>east_supply_damper;vent_supply_air_temp_sensor;vent_supply_air_temp_sensor</t>
  </si>
  <si>
    <t>west_supply_damper;vent_supply_air_temp_sensor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</si>
</sst>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3" sqref="B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132</v>
      </c>
      <c r="B2" t="s">
        <v>133</v>
      </c>
      <c r="C2" t="s">
        <v>134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zoomScaleNormal="100" workbookViewId="0">
      <selection activeCell="D6" sqref="D6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116</v>
      </c>
      <c r="D1" s="11" t="s">
        <v>120</v>
      </c>
      <c r="E1" s="11" t="s">
        <v>115</v>
      </c>
      <c r="F1" s="5" t="s">
        <v>56</v>
      </c>
    </row>
    <row r="2" spans="1:7" x14ac:dyDescent="0.25">
      <c r="A2" s="1" t="s">
        <v>135</v>
      </c>
      <c r="B2" s="7" t="s">
        <v>159</v>
      </c>
      <c r="C2" s="7" t="s">
        <v>270</v>
      </c>
      <c r="D2" s="7" t="s">
        <v>274</v>
      </c>
      <c r="E2" s="7" t="s">
        <v>137</v>
      </c>
      <c r="F2">
        <f>19.3*2.7</f>
        <v>52.110000000000007</v>
      </c>
    </row>
    <row r="3" spans="1:7" x14ac:dyDescent="0.25">
      <c r="A3" s="1" t="s">
        <v>184</v>
      </c>
      <c r="B3" s="7" t="s">
        <v>189</v>
      </c>
      <c r="C3" s="7" t="s">
        <v>269</v>
      </c>
      <c r="D3" s="7" t="s">
        <v>275</v>
      </c>
      <c r="E3" s="7" t="s">
        <v>203</v>
      </c>
      <c r="F3">
        <f>19.3*2.7</f>
        <v>52.110000000000007</v>
      </c>
    </row>
    <row r="4" spans="1:7" x14ac:dyDescent="0.25">
      <c r="A4" s="1" t="s">
        <v>205</v>
      </c>
      <c r="B4" s="7" t="s">
        <v>210</v>
      </c>
      <c r="C4" s="7" t="s">
        <v>269</v>
      </c>
      <c r="D4" s="7" t="s">
        <v>276</v>
      </c>
      <c r="E4" s="7" t="s">
        <v>225</v>
      </c>
      <c r="F4">
        <f>19.3*2.7</f>
        <v>52.110000000000007</v>
      </c>
    </row>
    <row r="5" spans="1:7" x14ac:dyDescent="0.25">
      <c r="A5" s="1" t="s">
        <v>226</v>
      </c>
      <c r="B5" s="7" t="s">
        <v>238</v>
      </c>
      <c r="C5" s="7" t="s">
        <v>246</v>
      </c>
      <c r="D5" s="7" t="s">
        <v>277</v>
      </c>
      <c r="E5" s="7" t="s">
        <v>230</v>
      </c>
      <c r="F5">
        <f>19.3*2.7</f>
        <v>52.110000000000007</v>
      </c>
    </row>
    <row r="6" spans="1:7" x14ac:dyDescent="0.25">
      <c r="A6" s="1" t="s">
        <v>248</v>
      </c>
      <c r="B6" s="7" t="s">
        <v>253</v>
      </c>
      <c r="C6" s="7" t="s">
        <v>246</v>
      </c>
      <c r="D6" s="7" t="s">
        <v>278</v>
      </c>
      <c r="E6" s="7" t="s">
        <v>268</v>
      </c>
      <c r="F6">
        <f>19.3*2.7</f>
        <v>52.110000000000007</v>
      </c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1" spans="1:7" x14ac:dyDescent="0.25">
      <c r="B11" s="7"/>
      <c r="C11" s="7"/>
      <c r="D11" s="7"/>
      <c r="E11" s="7"/>
      <c r="G11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1"/>
  <sheetViews>
    <sheetView zoomScaleNormal="100" workbookViewId="0">
      <selection activeCell="F11" sqref="F11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142</v>
      </c>
      <c r="B2" t="s">
        <v>132</v>
      </c>
      <c r="C2" t="s">
        <v>135</v>
      </c>
      <c r="D2" t="s">
        <v>166</v>
      </c>
      <c r="F2" t="s">
        <v>144</v>
      </c>
      <c r="R2">
        <f t="shared" ref="R2:R11" si="0">299/3600*1.225</f>
        <v>0.10174305555555556</v>
      </c>
    </row>
    <row r="3" spans="1:26" x14ac:dyDescent="0.25">
      <c r="A3" s="1" t="s">
        <v>183</v>
      </c>
      <c r="B3" t="s">
        <v>132</v>
      </c>
      <c r="C3" t="s">
        <v>135</v>
      </c>
      <c r="E3" t="s">
        <v>135</v>
      </c>
      <c r="F3" t="s">
        <v>182</v>
      </c>
      <c r="R3">
        <f t="shared" si="0"/>
        <v>0.10174305555555556</v>
      </c>
    </row>
    <row r="4" spans="1:26" x14ac:dyDescent="0.25">
      <c r="A4" s="1" t="s">
        <v>198</v>
      </c>
      <c r="B4" t="s">
        <v>132</v>
      </c>
      <c r="C4" t="s">
        <v>184</v>
      </c>
      <c r="D4" t="s">
        <v>166</v>
      </c>
      <c r="F4" t="s">
        <v>187</v>
      </c>
      <c r="R4">
        <f t="shared" si="0"/>
        <v>0.10174305555555556</v>
      </c>
    </row>
    <row r="5" spans="1:26" x14ac:dyDescent="0.25">
      <c r="A5" s="1" t="s">
        <v>199</v>
      </c>
      <c r="B5" t="s">
        <v>132</v>
      </c>
      <c r="C5" t="s">
        <v>184</v>
      </c>
      <c r="E5" t="s">
        <v>184</v>
      </c>
      <c r="F5" t="s">
        <v>186</v>
      </c>
      <c r="R5">
        <f t="shared" si="0"/>
        <v>0.10174305555555556</v>
      </c>
    </row>
    <row r="6" spans="1:26" x14ac:dyDescent="0.25">
      <c r="A6" s="1" t="s">
        <v>219</v>
      </c>
      <c r="B6" t="s">
        <v>132</v>
      </c>
      <c r="C6" t="s">
        <v>205</v>
      </c>
      <c r="D6" t="s">
        <v>166</v>
      </c>
      <c r="F6" t="s">
        <v>208</v>
      </c>
      <c r="R6">
        <f t="shared" si="0"/>
        <v>0.10174305555555556</v>
      </c>
    </row>
    <row r="7" spans="1:26" x14ac:dyDescent="0.25">
      <c r="A7" s="1" t="s">
        <v>220</v>
      </c>
      <c r="B7" t="s">
        <v>132</v>
      </c>
      <c r="C7" t="s">
        <v>205</v>
      </c>
      <c r="E7" t="s">
        <v>205</v>
      </c>
      <c r="F7" t="s">
        <v>207</v>
      </c>
      <c r="R7">
        <f t="shared" si="0"/>
        <v>0.10174305555555556</v>
      </c>
    </row>
    <row r="8" spans="1:26" x14ac:dyDescent="0.25">
      <c r="A8" s="1" t="s">
        <v>244</v>
      </c>
      <c r="B8" t="s">
        <v>132</v>
      </c>
      <c r="C8" t="s">
        <v>226</v>
      </c>
      <c r="D8" t="s">
        <v>166</v>
      </c>
      <c r="F8" t="s">
        <v>240</v>
      </c>
      <c r="R8">
        <f t="shared" si="0"/>
        <v>0.10174305555555556</v>
      </c>
    </row>
    <row r="9" spans="1:26" x14ac:dyDescent="0.25">
      <c r="A9" s="1" t="s">
        <v>245</v>
      </c>
      <c r="B9" t="s">
        <v>132</v>
      </c>
      <c r="C9" t="s">
        <v>226</v>
      </c>
      <c r="E9" t="s">
        <v>226</v>
      </c>
      <c r="F9" t="s">
        <v>239</v>
      </c>
      <c r="R9">
        <f t="shared" si="0"/>
        <v>0.10174305555555556</v>
      </c>
    </row>
    <row r="10" spans="1:26" x14ac:dyDescent="0.25">
      <c r="A10" s="1" t="s">
        <v>262</v>
      </c>
      <c r="B10" t="s">
        <v>132</v>
      </c>
      <c r="C10" t="s">
        <v>248</v>
      </c>
      <c r="D10" t="s">
        <v>166</v>
      </c>
      <c r="F10" t="s">
        <v>251</v>
      </c>
      <c r="R10">
        <f t="shared" si="0"/>
        <v>0.10174305555555556</v>
      </c>
    </row>
    <row r="11" spans="1:26" x14ac:dyDescent="0.25">
      <c r="A11" s="1" t="s">
        <v>263</v>
      </c>
      <c r="B11" t="s">
        <v>132</v>
      </c>
      <c r="C11" t="s">
        <v>248</v>
      </c>
      <c r="E11" t="s">
        <v>248</v>
      </c>
      <c r="F11" t="s">
        <v>250</v>
      </c>
      <c r="R11">
        <f t="shared" si="0"/>
        <v>0.10174305555555556</v>
      </c>
    </row>
  </sheetData>
  <phoneticPr fontId="2" type="noConversion"/>
  <dataValidations count="5">
    <dataValidation type="list" showInputMessage="1" showErrorMessage="1" sqref="B2:B1048576" xr:uid="{822F429E-761E-40DF-83F8-557B76A92FBC}">
      <formula1>ventilation_system_names</formula1>
    </dataValidation>
    <dataValidation type="list" allowBlank="1" showInputMessage="1" showErrorMessage="1" sqref="S4:S6" xr:uid="{BB45A9A0-8EB5-4032-90F2-CDDD4809E054}">
      <formula1>$P$4:$P$7</formula1>
    </dataValidation>
    <dataValidation type="list" showInputMessage="1" showErrorMessage="1" sqref="D4:E1048576 E3 D2:E2" xr:uid="{622E0901-DC6A-4278-B433-4BB18F763116}">
      <formula1>all_flow_systems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7.42578125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3:B1048576 B2:B41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5"/>
  <sheetViews>
    <sheetView zoomScale="61" workbookViewId="0">
      <selection activeCell="A4" sqref="A4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146</v>
      </c>
      <c r="B2" t="s">
        <v>133</v>
      </c>
      <c r="D2" t="s">
        <v>138</v>
      </c>
      <c r="F2" s="7" t="s">
        <v>147</v>
      </c>
      <c r="H2">
        <f>5*0.468</f>
        <v>2.3400000000000003</v>
      </c>
      <c r="J2">
        <v>0.1</v>
      </c>
    </row>
    <row r="3" spans="1:14" x14ac:dyDescent="0.25">
      <c r="A3" s="1" t="s">
        <v>148</v>
      </c>
      <c r="B3" t="s">
        <v>134</v>
      </c>
      <c r="D3" t="s">
        <v>146</v>
      </c>
      <c r="F3" t="s">
        <v>149</v>
      </c>
      <c r="H3">
        <f t="shared" ref="H3" si="0">5*0.468</f>
        <v>2.3400000000000003</v>
      </c>
      <c r="J3">
        <v>0.1</v>
      </c>
    </row>
    <row r="73" spans="3:3" x14ac:dyDescent="0.25">
      <c r="C73" t="str">
        <f>IF(SpaceHeater!A73&lt;&gt;"",SpaceHeater!A73,"")</f>
        <v/>
      </c>
    </row>
    <row r="74" spans="3:3" x14ac:dyDescent="0.25">
      <c r="C74" t="str">
        <f>IF(SpaceHeater!A74&lt;&gt;"",SpaceHeater!A74,"")</f>
        <v/>
      </c>
    </row>
    <row r="75" spans="3:3" x14ac:dyDescent="0.25">
      <c r="C75" t="str">
        <f>IF(SpaceHeater!A75&lt;&gt;"",SpaceHeater!A75,"")</f>
        <v/>
      </c>
    </row>
    <row r="76" spans="3:3" x14ac:dyDescent="0.25">
      <c r="C76" t="str">
        <f>IF(SpaceHeater!A76&lt;&gt;"",SpaceHeater!A76,"")</f>
        <v/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</sheetData>
  <dataValidations count="6">
    <dataValidation showInputMessage="1" showErrorMessage="1" sqref="C996:C1048576" xr:uid="{5F303923-A133-43EE-BF6A-9A627B0041CB}"/>
    <dataValidation type="list" allowBlank="1" showInputMessage="1" showErrorMessage="1" sqref="C2" xr:uid="{C9A59DA0-7C49-46D5-AA5D-0EFFF84AD346}">
      <formula1>space_names</formula1>
    </dataValidation>
    <dataValidation type="list" showInputMessage="1" showErrorMessage="1" sqref="C3:C995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A2" sqref="A2:C3"/>
    </sheetView>
  </sheetViews>
  <sheetFormatPr defaultColWidth="8.85546875" defaultRowHeight="15" x14ac:dyDescent="0.25"/>
  <cols>
    <col min="1" max="1" width="26.85546875" customWidth="1"/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workbookViewId="0">
      <selection activeCell="C4" sqref="C4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122</v>
      </c>
      <c r="D1" s="11" t="s">
        <v>123</v>
      </c>
      <c r="E1" s="11" t="s">
        <v>74</v>
      </c>
      <c r="F1" s="3" t="s">
        <v>22</v>
      </c>
      <c r="G1" s="2" t="s">
        <v>107</v>
      </c>
      <c r="H1" s="2" t="s">
        <v>108</v>
      </c>
      <c r="I1" s="3" t="s">
        <v>109</v>
      </c>
      <c r="J1" s="11" t="s">
        <v>110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151</v>
      </c>
      <c r="C2" s="7" t="s">
        <v>128</v>
      </c>
      <c r="D2" s="7" t="s">
        <v>148</v>
      </c>
      <c r="E2" s="7" t="s">
        <v>152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153</v>
      </c>
      <c r="C3" t="s">
        <v>154</v>
      </c>
      <c r="D3" t="s">
        <v>146</v>
      </c>
      <c r="E3" t="s">
        <v>155</v>
      </c>
      <c r="F3">
        <v>3.0555555555555558</v>
      </c>
      <c r="I3">
        <v>2386</v>
      </c>
      <c r="J3" s="18"/>
    </row>
    <row r="4" spans="1:13" x14ac:dyDescent="0.25">
      <c r="A4" s="1" t="s">
        <v>143</v>
      </c>
      <c r="B4" t="s">
        <v>153</v>
      </c>
      <c r="C4" t="s">
        <v>104</v>
      </c>
      <c r="E4" t="s">
        <v>157</v>
      </c>
      <c r="F4">
        <v>3.0555555555555558</v>
      </c>
      <c r="I4">
        <v>2386</v>
      </c>
    </row>
    <row r="5" spans="1:13" x14ac:dyDescent="0.25">
      <c r="A5" s="1" t="s">
        <v>204</v>
      </c>
      <c r="B5" t="s">
        <v>153</v>
      </c>
      <c r="C5" t="s">
        <v>104</v>
      </c>
      <c r="E5" t="s">
        <v>192</v>
      </c>
      <c r="F5">
        <v>3.0555555555555558</v>
      </c>
      <c r="I5">
        <v>2386</v>
      </c>
    </row>
    <row r="6" spans="1:13" x14ac:dyDescent="0.25">
      <c r="A6" s="1" t="s">
        <v>221</v>
      </c>
      <c r="B6" t="s">
        <v>153</v>
      </c>
      <c r="C6" t="s">
        <v>104</v>
      </c>
      <c r="E6" t="s">
        <v>213</v>
      </c>
      <c r="F6">
        <v>3.0555555555555558</v>
      </c>
      <c r="I6">
        <v>2386</v>
      </c>
    </row>
    <row r="7" spans="1:13" x14ac:dyDescent="0.25">
      <c r="A7" s="1" t="s">
        <v>247</v>
      </c>
      <c r="B7" t="s">
        <v>153</v>
      </c>
      <c r="C7" t="s">
        <v>104</v>
      </c>
      <c r="E7" t="s">
        <v>242</v>
      </c>
      <c r="F7">
        <v>3.0555555555555558</v>
      </c>
      <c r="I7">
        <v>2386</v>
      </c>
    </row>
    <row r="8" spans="1:13" x14ac:dyDescent="0.25">
      <c r="A8" s="1" t="s">
        <v>264</v>
      </c>
      <c r="B8" t="s">
        <v>153</v>
      </c>
      <c r="C8" t="s">
        <v>104</v>
      </c>
      <c r="E8" t="s">
        <v>256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26.85546875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132</v>
      </c>
      <c r="C2" t="s">
        <v>273</v>
      </c>
      <c r="E2" t="s">
        <v>112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995"/>
  <sheetViews>
    <sheetView workbookViewId="0">
      <selection activeCell="A10" sqref="A2:H10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7" x14ac:dyDescent="0.25">
      <c r="A161" s="1"/>
    </row>
    <row r="162" spans="1:7" x14ac:dyDescent="0.25">
      <c r="A162" s="1"/>
    </row>
    <row r="163" spans="1:7" x14ac:dyDescent="0.25">
      <c r="A163" s="1"/>
    </row>
    <row r="164" spans="1:7" x14ac:dyDescent="0.25">
      <c r="A164" s="1"/>
    </row>
    <row r="165" spans="1:7" x14ac:dyDescent="0.25">
      <c r="A165" s="1"/>
    </row>
    <row r="166" spans="1:7" x14ac:dyDescent="0.25">
      <c r="A166" s="1"/>
    </row>
    <row r="167" spans="1:7" x14ac:dyDescent="0.25">
      <c r="A167" s="1"/>
    </row>
    <row r="168" spans="1:7" x14ac:dyDescent="0.25">
      <c r="A168" s="1"/>
    </row>
    <row r="169" spans="1:7" x14ac:dyDescent="0.25">
      <c r="A169" s="1"/>
    </row>
    <row r="170" spans="1:7" x14ac:dyDescent="0.25">
      <c r="A170" s="1"/>
    </row>
    <row r="171" spans="1:7" x14ac:dyDescent="0.25">
      <c r="A171" s="1"/>
    </row>
    <row r="172" spans="1:7" x14ac:dyDescent="0.25">
      <c r="A172" s="1"/>
    </row>
    <row r="173" spans="1:7" x14ac:dyDescent="0.25">
      <c r="A173" s="1"/>
    </row>
    <row r="174" spans="1:7" x14ac:dyDescent="0.25">
      <c r="A174" s="1"/>
      <c r="D174" t="str" cm="1">
        <f t="array" aca="1" ref="D174" ca="1">IF(OR(COUNTIF(damper_names,_xlfn.CONCAT("D_S_",C174))=1, COUNTIF(damper_names,_xlfn.CONCAT("D_E_",C174))=1), "C", "")</f>
        <v/>
      </c>
      <c r="E174" t="str">
        <f t="shared" ref="E174:E237" ca="1" si="0">IF(D174="T", 0.05, IF(D174="C", -0.01, ""))</f>
        <v/>
      </c>
      <c r="F174" t="str">
        <f t="shared" ref="F174:F237" ca="1" si="1">IF(D174="T", 0.05, IF(D174="C", 0, ""))</f>
        <v/>
      </c>
      <c r="G174" t="str">
        <f t="shared" ref="G174:G237" ca="1" si="2">IF(D174="T", 0, IF(D174="C", 0, ""))</f>
        <v/>
      </c>
    </row>
    <row r="175" spans="1:7" x14ac:dyDescent="0.25">
      <c r="A175" s="1"/>
      <c r="D175" t="str" cm="1">
        <f t="array" aca="1" ref="D175" ca="1">IF(OR(COUNTIF(damper_names,_xlfn.CONCAT("D_S_",C175))=1, COUNTIF(damper_names,_xlfn.CONCAT("D_E_",C175))=1), "C", "")</f>
        <v/>
      </c>
      <c r="E175" t="str">
        <f t="shared" ca="1" si="0"/>
        <v/>
      </c>
      <c r="F175" t="str">
        <f t="shared" ca="1" si="1"/>
        <v/>
      </c>
      <c r="G175" t="str">
        <f t="shared" ca="1" si="2"/>
        <v/>
      </c>
    </row>
    <row r="176" spans="1:7" x14ac:dyDescent="0.25">
      <c r="A176" s="1"/>
      <c r="D176" t="str" cm="1">
        <f t="array" aca="1" ref="D176" ca="1">IF(OR(COUNTIF(damper_names,_xlfn.CONCAT("D_S_",C176))=1, COUNTIF(damper_names,_xlfn.CONCAT("D_E_",C176))=1), "C", "")</f>
        <v/>
      </c>
      <c r="E176" t="str">
        <f t="shared" ca="1" si="0"/>
        <v/>
      </c>
      <c r="F176" t="str">
        <f t="shared" ca="1" si="1"/>
        <v/>
      </c>
      <c r="G176" t="str">
        <f t="shared" ca="1" si="2"/>
        <v/>
      </c>
    </row>
    <row r="177" spans="1:7" x14ac:dyDescent="0.25">
      <c r="A177" s="1"/>
      <c r="D177" t="str" cm="1">
        <f t="array" aca="1" ref="D177" ca="1">IF(OR(COUNTIF(damper_names,_xlfn.CONCAT("D_S_",C177))=1, COUNTIF(damper_names,_xlfn.CONCAT("D_E_",C177))=1), "C", "")</f>
        <v/>
      </c>
      <c r="E177" t="str">
        <f t="shared" ca="1" si="0"/>
        <v/>
      </c>
      <c r="F177" t="str">
        <f t="shared" ca="1" si="1"/>
        <v/>
      </c>
      <c r="G177" t="str">
        <f t="shared" ca="1" si="2"/>
        <v/>
      </c>
    </row>
    <row r="178" spans="1:7" x14ac:dyDescent="0.25">
      <c r="A178" s="1"/>
      <c r="D178" t="str" cm="1">
        <f t="array" aca="1" ref="D178" ca="1">IF(OR(COUNTIF(damper_names,_xlfn.CONCAT("D_S_",C178))=1, COUNTIF(damper_names,_xlfn.CONCAT("D_E_",C178))=1), "C", "")</f>
        <v/>
      </c>
      <c r="E178" t="str">
        <f t="shared" ca="1" si="0"/>
        <v/>
      </c>
      <c r="F178" t="str">
        <f t="shared" ca="1" si="1"/>
        <v/>
      </c>
      <c r="G178" t="str">
        <f t="shared" ca="1" si="2"/>
        <v/>
      </c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ca="1" si="0"/>
        <v/>
      </c>
      <c r="F179" t="str">
        <f t="shared" ca="1" si="1"/>
        <v/>
      </c>
      <c r="G179" t="str">
        <f t="shared" ca="1" si="2"/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ref="E238:E301" ca="1" si="3">IF(D238="T", 0.05, IF(D238="C", -0.01, ""))</f>
        <v/>
      </c>
      <c r="F238" t="str">
        <f t="shared" ref="F238:F301" ca="1" si="4">IF(D238="T", 0.05, IF(D238="C", 0, ""))</f>
        <v/>
      </c>
      <c r="G238" t="str">
        <f t="shared" ref="G238:G301" ca="1" si="5">IF(D238="T", 0, IF(D238="C", 0, ""))</f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ref="E302:E365" ca="1" si="6">IF(D302="T", 0.05, IF(D302="C", -0.01, ""))</f>
        <v/>
      </c>
      <c r="F302" t="str">
        <f t="shared" ref="F302:F365" ca="1" si="7">IF(D302="T", 0.05, IF(D302="C", 0, ""))</f>
        <v/>
      </c>
      <c r="G302" t="str">
        <f t="shared" ref="G302:G365" ca="1" si="8">IF(D302="T", 0, IF(D302="C", 0, ""))</f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ref="E366:E429" ca="1" si="9">IF(D366="T", 0.05, IF(D366="C", -0.01, ""))</f>
        <v/>
      </c>
      <c r="F366" t="str">
        <f t="shared" ref="F366:F429" ca="1" si="10">IF(D366="T", 0.05, IF(D366="C", 0, ""))</f>
        <v/>
      </c>
      <c r="G366" t="str">
        <f t="shared" ref="G366:G429" ca="1" si="11">IF(D366="T", 0, IF(D366="C", 0, ""))</f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ref="E430:E493" ca="1" si="12">IF(D430="T", 0.05, IF(D430="C", -0.01, ""))</f>
        <v/>
      </c>
      <c r="F430" t="str">
        <f t="shared" ref="F430:F493" ca="1" si="13">IF(D430="T", 0.05, IF(D430="C", 0, ""))</f>
        <v/>
      </c>
      <c r="G430" t="str">
        <f t="shared" ref="G430:G493" ca="1" si="14">IF(D430="T", 0, IF(D430="C", 0, ""))</f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ref="E494:E557" ca="1" si="15">IF(D494="T", 0.05, IF(D494="C", -0.01, ""))</f>
        <v/>
      </c>
      <c r="F494" t="str">
        <f t="shared" ref="F494:F557" ca="1" si="16">IF(D494="T", 0.05, IF(D494="C", 0, ""))</f>
        <v/>
      </c>
      <c r="G494" t="str">
        <f t="shared" ref="G494:G557" ca="1" si="17">IF(D494="T", 0, IF(D494="C", 0, ""))</f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ref="E558:E621" ca="1" si="18">IF(D558="T", 0.05, IF(D558="C", -0.01, ""))</f>
        <v/>
      </c>
      <c r="F558" t="str">
        <f t="shared" ref="F558:F621" ca="1" si="19">IF(D558="T", 0.05, IF(D558="C", 0, ""))</f>
        <v/>
      </c>
      <c r="G558" t="str">
        <f t="shared" ref="G558:G621" ca="1" si="20">IF(D558="T", 0, IF(D558="C", 0, ""))</f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ref="E622:E685" ca="1" si="21">IF(D622="T", 0.05, IF(D622="C", -0.01, ""))</f>
        <v/>
      </c>
      <c r="F622" t="str">
        <f t="shared" ref="F622:F685" ca="1" si="22">IF(D622="T", 0.05, IF(D622="C", 0, ""))</f>
        <v/>
      </c>
      <c r="G622" t="str">
        <f t="shared" ref="G622:G685" ca="1" si="23">IF(D622="T", 0, IF(D622="C", 0, ""))</f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ref="E686:E749" ca="1" si="24">IF(D686="T", 0.05, IF(D686="C", -0.01, ""))</f>
        <v/>
      </c>
      <c r="F686" t="str">
        <f t="shared" ref="F686:F749" ca="1" si="25">IF(D686="T", 0.05, IF(D686="C", 0, ""))</f>
        <v/>
      </c>
      <c r="G686" t="str">
        <f t="shared" ref="G686:G749" ca="1" si="26">IF(D686="T", 0, IF(D686="C", 0, ""))</f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ref="E750:E813" ca="1" si="27">IF(D750="T", 0.05, IF(D750="C", -0.01, ""))</f>
        <v/>
      </c>
      <c r="F750" t="str">
        <f t="shared" ref="F750:F813" ca="1" si="28">IF(D750="T", 0.05, IF(D750="C", 0, ""))</f>
        <v/>
      </c>
      <c r="G750" t="str">
        <f t="shared" ref="G750:G813" ca="1" si="29">IF(D750="T", 0, IF(D750="C", 0, ""))</f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ref="E814:E877" ca="1" si="30">IF(D814="T", 0.05, IF(D814="C", -0.01, ""))</f>
        <v/>
      </c>
      <c r="F814" t="str">
        <f t="shared" ref="F814:F877" ca="1" si="31">IF(D814="T", 0.05, IF(D814="C", 0, ""))</f>
        <v/>
      </c>
      <c r="G814" t="str">
        <f t="shared" ref="G814:G877" ca="1" si="32">IF(D814="T", 0, IF(D814="C", 0, ""))</f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ref="E878:E941" ca="1" si="33">IF(D878="T", 0.05, IF(D878="C", -0.01, ""))</f>
        <v/>
      </c>
      <c r="F878" t="str">
        <f t="shared" ref="F878:F941" ca="1" si="34">IF(D878="T", 0.05, IF(D878="C", 0, ""))</f>
        <v/>
      </c>
      <c r="G878" t="str">
        <f t="shared" ref="G878:G941" ca="1" si="35">IF(D878="T", 0, IF(D878="C", 0, ""))</f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ref="E942:E995" ca="1" si="36">IF(D942="T", 0.05, IF(D942="C", -0.01, ""))</f>
        <v/>
      </c>
      <c r="F942" t="str">
        <f t="shared" ref="F942:F995" ca="1" si="37">IF(D942="T", 0.05, IF(D942="C", 0, ""))</f>
        <v/>
      </c>
      <c r="G942" t="str">
        <f t="shared" ref="G942:G995" ca="1" si="38">IF(D942="T", 0, IF(D942="C", 0, ""))</f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</sheetData>
  <phoneticPr fontId="2" type="noConversion"/>
  <dataValidations count="7">
    <dataValidation type="list" showInputMessage="1" showErrorMessage="1" sqref="D996:D1048576" xr:uid="{2AABD580-E88D-4287-8639-26BD855AF04E}">
      <formula1>"Temperature,CO2"</formula1>
    </dataValidation>
    <dataValidation type="custom" allowBlank="1" showInputMessage="1" showErrorMessage="1" sqref="A8:A9" xr:uid="{1332DC9F-846D-44E7-B644-7BB87C814205}">
      <formula1>count_name_occurences(A8)&lt;=1</formula1>
    </dataValidation>
    <dataValidation type="list" allowBlank="1" showInputMessage="1" showErrorMessage="1" sqref="D2:D995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995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F4:F1048576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/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  <c r="H1" s="3" t="s">
        <v>129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/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160</v>
      </c>
    </row>
    <row r="3" spans="1:1" x14ac:dyDescent="0.25">
      <c r="A3" s="1" t="s">
        <v>161</v>
      </c>
    </row>
    <row r="4" spans="1:1" x14ac:dyDescent="0.25">
      <c r="A4" s="1" t="s">
        <v>162</v>
      </c>
    </row>
    <row r="5" spans="1:1" x14ac:dyDescent="0.25">
      <c r="A5" s="1" t="s">
        <v>137</v>
      </c>
    </row>
    <row r="6" spans="1:1" x14ac:dyDescent="0.25">
      <c r="A6" s="1" t="s">
        <v>200</v>
      </c>
    </row>
    <row r="7" spans="1:1" x14ac:dyDescent="0.25">
      <c r="A7" s="1" t="s">
        <v>201</v>
      </c>
    </row>
    <row r="8" spans="1:1" x14ac:dyDescent="0.25">
      <c r="A8" s="1" t="s">
        <v>202</v>
      </c>
    </row>
    <row r="9" spans="1:1" x14ac:dyDescent="0.25">
      <c r="A9" s="1" t="s">
        <v>203</v>
      </c>
    </row>
    <row r="10" spans="1:1" x14ac:dyDescent="0.25">
      <c r="A10" s="1" t="s">
        <v>222</v>
      </c>
    </row>
    <row r="11" spans="1:1" x14ac:dyDescent="0.25">
      <c r="A11" s="1" t="s">
        <v>223</v>
      </c>
    </row>
    <row r="12" spans="1:1" x14ac:dyDescent="0.25">
      <c r="A12" s="1" t="s">
        <v>224</v>
      </c>
    </row>
    <row r="13" spans="1:1" x14ac:dyDescent="0.25">
      <c r="A13" s="1" t="s">
        <v>225</v>
      </c>
    </row>
    <row r="14" spans="1:1" x14ac:dyDescent="0.25">
      <c r="A14" s="1" t="s">
        <v>227</v>
      </c>
    </row>
    <row r="15" spans="1:1" x14ac:dyDescent="0.25">
      <c r="A15" s="1" t="s">
        <v>228</v>
      </c>
    </row>
    <row r="16" spans="1:1" x14ac:dyDescent="0.25">
      <c r="A16" s="1" t="s">
        <v>229</v>
      </c>
    </row>
    <row r="17" spans="1:1" x14ac:dyDescent="0.25">
      <c r="A17" s="1" t="s">
        <v>230</v>
      </c>
    </row>
    <row r="18" spans="1:1" x14ac:dyDescent="0.25">
      <c r="A18" s="1" t="s">
        <v>265</v>
      </c>
    </row>
    <row r="19" spans="1:1" x14ac:dyDescent="0.25">
      <c r="A19" s="1" t="s">
        <v>266</v>
      </c>
    </row>
    <row r="20" spans="1:1" x14ac:dyDescent="0.25">
      <c r="A20" s="1" t="s">
        <v>267</v>
      </c>
    </row>
    <row r="21" spans="1:1" x14ac:dyDescent="0.25">
      <c r="A21" s="1" t="s">
        <v>268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topLeftCell="H1" workbookViewId="0">
      <selection activeCell="I8" sqref="I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zoomScale="85" workbookViewId="0">
      <selection activeCell="A5" sqref="A5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8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113</v>
      </c>
      <c r="C1" s="3" t="s">
        <v>58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138</v>
      </c>
      <c r="B2" t="s">
        <v>163</v>
      </c>
      <c r="D2" t="s">
        <v>132</v>
      </c>
      <c r="E2" t="s">
        <v>118</v>
      </c>
    </row>
    <row r="3" spans="1:7" x14ac:dyDescent="0.25">
      <c r="A3" s="7" t="s">
        <v>154</v>
      </c>
      <c r="B3" t="s">
        <v>164</v>
      </c>
      <c r="D3" t="s">
        <v>132</v>
      </c>
      <c r="E3" t="s">
        <v>138</v>
      </c>
    </row>
    <row r="4" spans="1:7" x14ac:dyDescent="0.25">
      <c r="A4" s="7" t="s">
        <v>158</v>
      </c>
      <c r="B4" t="s">
        <v>165</v>
      </c>
      <c r="D4" t="s">
        <v>132</v>
      </c>
    </row>
    <row r="5" spans="1:7" x14ac:dyDescent="0.25">
      <c r="A5" s="7" t="s">
        <v>166</v>
      </c>
      <c r="B5" t="s">
        <v>167</v>
      </c>
      <c r="D5" t="s">
        <v>132</v>
      </c>
      <c r="E5" t="s">
        <v>104</v>
      </c>
    </row>
    <row r="6" spans="1:7" x14ac:dyDescent="0.25">
      <c r="A6" s="7" t="s">
        <v>168</v>
      </c>
      <c r="B6" t="s">
        <v>111</v>
      </c>
      <c r="D6" t="s">
        <v>132</v>
      </c>
      <c r="E6" t="s">
        <v>130</v>
      </c>
    </row>
    <row r="7" spans="1:7" x14ac:dyDescent="0.25">
      <c r="A7" s="7" t="s">
        <v>156</v>
      </c>
      <c r="B7" t="s">
        <v>103</v>
      </c>
      <c r="D7" t="s">
        <v>132</v>
      </c>
      <c r="E7" t="s">
        <v>158</v>
      </c>
    </row>
    <row r="8" spans="1:7" x14ac:dyDescent="0.25">
      <c r="A8" s="7" t="s">
        <v>140</v>
      </c>
      <c r="B8" t="s">
        <v>169</v>
      </c>
      <c r="D8" t="s">
        <v>132</v>
      </c>
    </row>
    <row r="9" spans="1:7" x14ac:dyDescent="0.25">
      <c r="A9" s="7" t="s">
        <v>170</v>
      </c>
      <c r="B9" t="s">
        <v>171</v>
      </c>
      <c r="D9" t="s">
        <v>132</v>
      </c>
      <c r="E9" t="s">
        <v>142</v>
      </c>
    </row>
    <row r="10" spans="1:7" x14ac:dyDescent="0.25">
      <c r="A10" s="7" t="s">
        <v>136</v>
      </c>
      <c r="B10" t="s">
        <v>172</v>
      </c>
      <c r="D10" t="s">
        <v>132</v>
      </c>
      <c r="E10" s="7" t="s">
        <v>170</v>
      </c>
    </row>
    <row r="11" spans="1:7" x14ac:dyDescent="0.25">
      <c r="A11" s="7" t="s">
        <v>173</v>
      </c>
      <c r="B11" t="s">
        <v>174</v>
      </c>
      <c r="C11" t="s">
        <v>135</v>
      </c>
      <c r="D11" t="s">
        <v>132</v>
      </c>
    </row>
    <row r="12" spans="1:7" x14ac:dyDescent="0.25">
      <c r="A12" s="7" t="s">
        <v>175</v>
      </c>
      <c r="B12" t="s">
        <v>159</v>
      </c>
      <c r="C12" t="s">
        <v>135</v>
      </c>
      <c r="D12" t="s">
        <v>132</v>
      </c>
    </row>
    <row r="13" spans="1:7" x14ac:dyDescent="0.25">
      <c r="A13" s="7" t="s">
        <v>194</v>
      </c>
      <c r="B13" t="s">
        <v>190</v>
      </c>
      <c r="D13" t="s">
        <v>132</v>
      </c>
      <c r="E13" t="s">
        <v>198</v>
      </c>
    </row>
    <row r="14" spans="1:7" x14ac:dyDescent="0.25">
      <c r="A14" t="s">
        <v>195</v>
      </c>
      <c r="B14" t="s">
        <v>191</v>
      </c>
      <c r="D14" t="s">
        <v>132</v>
      </c>
      <c r="E14" t="s">
        <v>194</v>
      </c>
    </row>
    <row r="15" spans="1:7" x14ac:dyDescent="0.25">
      <c r="A15" t="s">
        <v>196</v>
      </c>
      <c r="B15" t="s">
        <v>185</v>
      </c>
      <c r="C15" t="s">
        <v>184</v>
      </c>
      <c r="D15" t="s">
        <v>132</v>
      </c>
    </row>
    <row r="16" spans="1:7" x14ac:dyDescent="0.25">
      <c r="A16" t="s">
        <v>197</v>
      </c>
      <c r="B16" t="s">
        <v>189</v>
      </c>
      <c r="C16" t="s">
        <v>184</v>
      </c>
      <c r="D16" t="s">
        <v>132</v>
      </c>
    </row>
    <row r="17" spans="1:5" x14ac:dyDescent="0.25">
      <c r="A17" t="s">
        <v>215</v>
      </c>
      <c r="B17" t="s">
        <v>211</v>
      </c>
      <c r="D17" t="s">
        <v>132</v>
      </c>
    </row>
    <row r="18" spans="1:5" x14ac:dyDescent="0.25">
      <c r="A18" t="s">
        <v>216</v>
      </c>
      <c r="B18" t="s">
        <v>212</v>
      </c>
      <c r="D18" t="s">
        <v>132</v>
      </c>
    </row>
    <row r="19" spans="1:5" x14ac:dyDescent="0.25">
      <c r="A19" t="s">
        <v>217</v>
      </c>
      <c r="B19" t="s">
        <v>206</v>
      </c>
      <c r="C19" t="s">
        <v>205</v>
      </c>
      <c r="D19" t="s">
        <v>132</v>
      </c>
      <c r="E19" t="s">
        <v>219</v>
      </c>
    </row>
    <row r="20" spans="1:5" x14ac:dyDescent="0.25">
      <c r="A20" t="s">
        <v>218</v>
      </c>
      <c r="B20" t="s">
        <v>210</v>
      </c>
      <c r="C20" t="s">
        <v>205</v>
      </c>
      <c r="D20" t="s">
        <v>132</v>
      </c>
      <c r="E20" t="s">
        <v>215</v>
      </c>
    </row>
    <row r="21" spans="1:5" x14ac:dyDescent="0.25">
      <c r="A21" t="s">
        <v>231</v>
      </c>
      <c r="B21" t="s">
        <v>235</v>
      </c>
      <c r="D21" t="s">
        <v>132</v>
      </c>
    </row>
    <row r="22" spans="1:5" x14ac:dyDescent="0.25">
      <c r="A22" t="s">
        <v>232</v>
      </c>
      <c r="B22" t="s">
        <v>236</v>
      </c>
      <c r="D22" t="s">
        <v>132</v>
      </c>
    </row>
    <row r="23" spans="1:5" x14ac:dyDescent="0.25">
      <c r="A23" t="s">
        <v>233</v>
      </c>
      <c r="B23" t="s">
        <v>237</v>
      </c>
      <c r="C23" t="s">
        <v>226</v>
      </c>
      <c r="D23" t="s">
        <v>132</v>
      </c>
      <c r="E23" t="s">
        <v>244</v>
      </c>
    </row>
    <row r="24" spans="1:5" x14ac:dyDescent="0.25">
      <c r="A24" t="s">
        <v>234</v>
      </c>
      <c r="B24" t="s">
        <v>238</v>
      </c>
      <c r="C24" t="s">
        <v>226</v>
      </c>
      <c r="D24" t="s">
        <v>132</v>
      </c>
      <c r="E24" t="s">
        <v>231</v>
      </c>
    </row>
    <row r="25" spans="1:5" x14ac:dyDescent="0.25">
      <c r="A25" t="s">
        <v>258</v>
      </c>
      <c r="B25" t="s">
        <v>254</v>
      </c>
      <c r="D25" t="s">
        <v>132</v>
      </c>
    </row>
    <row r="26" spans="1:5" x14ac:dyDescent="0.25">
      <c r="A26" t="s">
        <v>259</v>
      </c>
      <c r="B26" t="s">
        <v>255</v>
      </c>
      <c r="D26" t="s">
        <v>132</v>
      </c>
    </row>
    <row r="27" spans="1:5" x14ac:dyDescent="0.25">
      <c r="A27" t="s">
        <v>260</v>
      </c>
      <c r="B27" t="s">
        <v>249</v>
      </c>
      <c r="C27" t="s">
        <v>248</v>
      </c>
      <c r="D27" t="s">
        <v>132</v>
      </c>
    </row>
    <row r="28" spans="1:5" x14ac:dyDescent="0.25">
      <c r="A28" t="s">
        <v>261</v>
      </c>
      <c r="B28" t="s">
        <v>253</v>
      </c>
      <c r="C28" t="s">
        <v>248</v>
      </c>
      <c r="D28" t="s">
        <v>132</v>
      </c>
      <c r="E28" t="s">
        <v>258</v>
      </c>
    </row>
  </sheetData>
  <sortState xmlns:xlrd2="http://schemas.microsoft.com/office/spreadsheetml/2017/richdata2" ref="A2:E13">
    <sortCondition ref="A2:A13"/>
  </sortState>
  <dataValidations count="4">
    <dataValidation type="list" allowBlank="1" showInputMessage="1" showErrorMessage="1" sqref="C2:C5" xr:uid="{324A3CDE-73DC-4C71-AD23-C3931BD1CA53}">
      <formula1>space_names</formula1>
    </dataValidation>
    <dataValidation type="list" allowBlank="1" showInputMessage="1" showErrorMessage="1" sqref="B15:B1048576 B2:B13" xr:uid="{A9040C0C-604B-456F-96D4-0A20D2AB5CEB}">
      <formula1>property_instance</formula1>
    </dataValidation>
    <dataValidation type="list" showInputMessage="1" showErrorMessage="1" sqref="D2:D1048576" xr:uid="{B65ECC6E-9A0B-466E-BF54-55971BA9C27C}">
      <formula1>system_names</formula1>
    </dataValidation>
    <dataValidation type="list" showInputMessage="1" showErrorMessage="1" sqref="E15:F1048576 E2:E9 E11:E13 F2:F13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C15:C1048576 C13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3"/>
  <sheetViews>
    <sheetView workbookViewId="0">
      <selection activeCell="A3" sqref="A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5" width="22.28515625" customWidth="1"/>
    <col min="6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113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176</v>
      </c>
      <c r="C2" t="s">
        <v>177</v>
      </c>
      <c r="D2" t="s">
        <v>132</v>
      </c>
      <c r="E2" t="s">
        <v>104</v>
      </c>
    </row>
    <row r="3" spans="1:7" x14ac:dyDescent="0.25">
      <c r="A3" s="7" t="s">
        <v>272</v>
      </c>
      <c r="C3" t="s">
        <v>111</v>
      </c>
      <c r="D3" t="s">
        <v>132</v>
      </c>
      <c r="E3" t="s">
        <v>104</v>
      </c>
    </row>
  </sheetData>
  <dataValidations count="6">
    <dataValidation type="list" showInputMessage="1" showErrorMessage="1" sqref="B15:B1048576 B3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2"/>
  <sheetViews>
    <sheetView tabSelected="1" workbookViewId="0">
      <selection activeCell="A3" sqref="A3:I3"/>
    </sheetView>
  </sheetViews>
  <sheetFormatPr defaultColWidth="8.85546875" defaultRowHeight="15" x14ac:dyDescent="0.25"/>
  <cols>
    <col min="1" max="1" width="21.7109375" style="1" bestFit="1" customWidth="1"/>
    <col min="2" max="2" width="26.28515625" bestFit="1" customWidth="1"/>
    <col min="3" max="3" width="40.28515625" customWidth="1"/>
  </cols>
  <sheetData>
    <row r="1" spans="1:3" ht="15.75" thickBot="1" x14ac:dyDescent="0.3">
      <c r="A1" s="6" t="s">
        <v>59</v>
      </c>
      <c r="B1" s="11" t="s">
        <v>120</v>
      </c>
      <c r="C1" s="11" t="s">
        <v>121</v>
      </c>
    </row>
    <row r="2" spans="1:3" x14ac:dyDescent="0.25">
      <c r="A2" s="1" t="s">
        <v>130</v>
      </c>
      <c r="B2" t="s">
        <v>271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65"/>
  <sheetViews>
    <sheetView topLeftCell="A42" workbookViewId="0">
      <selection activeCell="A65" sqref="A6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177</v>
      </c>
      <c r="B2" t="s">
        <v>71</v>
      </c>
    </row>
    <row r="3" spans="1:2" x14ac:dyDescent="0.25">
      <c r="A3" s="7" t="s">
        <v>155</v>
      </c>
      <c r="B3" t="s">
        <v>71</v>
      </c>
    </row>
    <row r="4" spans="1:2" x14ac:dyDescent="0.25">
      <c r="A4" s="7" t="s">
        <v>152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167</v>
      </c>
      <c r="B6" t="s">
        <v>60</v>
      </c>
    </row>
    <row r="7" spans="1:2" x14ac:dyDescent="0.25">
      <c r="A7" s="7" t="s">
        <v>163</v>
      </c>
      <c r="B7" t="s">
        <v>60</v>
      </c>
    </row>
    <row r="8" spans="1:2" x14ac:dyDescent="0.25">
      <c r="A8" s="7" t="s">
        <v>164</v>
      </c>
      <c r="B8" t="s">
        <v>60</v>
      </c>
    </row>
    <row r="9" spans="1:2" x14ac:dyDescent="0.25">
      <c r="A9" s="7" t="s">
        <v>165</v>
      </c>
      <c r="B9" t="s">
        <v>60</v>
      </c>
    </row>
    <row r="10" spans="1:2" x14ac:dyDescent="0.25">
      <c r="A10" s="7" t="s">
        <v>169</v>
      </c>
      <c r="B10" t="s">
        <v>60</v>
      </c>
    </row>
    <row r="11" spans="1:2" x14ac:dyDescent="0.25">
      <c r="A11" s="7" t="s">
        <v>178</v>
      </c>
      <c r="B11" t="s">
        <v>70</v>
      </c>
    </row>
    <row r="12" spans="1:2" x14ac:dyDescent="0.25">
      <c r="A12" s="7" t="s">
        <v>111</v>
      </c>
      <c r="B12" t="s">
        <v>70</v>
      </c>
    </row>
    <row r="13" spans="1:2" x14ac:dyDescent="0.25">
      <c r="A13" s="7" t="s">
        <v>105</v>
      </c>
      <c r="B13" t="s">
        <v>70</v>
      </c>
    </row>
    <row r="14" spans="1:2" x14ac:dyDescent="0.25">
      <c r="A14" s="7" t="s">
        <v>174</v>
      </c>
      <c r="B14" t="s">
        <v>84</v>
      </c>
    </row>
    <row r="15" spans="1:2" x14ac:dyDescent="0.25">
      <c r="A15" s="7" t="s">
        <v>182</v>
      </c>
      <c r="B15" t="s">
        <v>61</v>
      </c>
    </row>
    <row r="16" spans="1:2" x14ac:dyDescent="0.25">
      <c r="A16" s="7" t="s">
        <v>144</v>
      </c>
      <c r="B16" t="s">
        <v>61</v>
      </c>
    </row>
    <row r="17" spans="1:2" x14ac:dyDescent="0.25">
      <c r="A17" s="7" t="s">
        <v>150</v>
      </c>
      <c r="B17" t="s">
        <v>61</v>
      </c>
    </row>
    <row r="18" spans="1:2" x14ac:dyDescent="0.25">
      <c r="A18" s="7" t="s">
        <v>159</v>
      </c>
      <c r="B18" t="s">
        <v>60</v>
      </c>
    </row>
    <row r="19" spans="1:2" x14ac:dyDescent="0.25">
      <c r="A19" t="s">
        <v>171</v>
      </c>
      <c r="B19" t="s">
        <v>60</v>
      </c>
    </row>
    <row r="20" spans="1:2" x14ac:dyDescent="0.25">
      <c r="A20" t="s">
        <v>172</v>
      </c>
      <c r="B20" t="s">
        <v>70</v>
      </c>
    </row>
    <row r="21" spans="1:2" x14ac:dyDescent="0.25">
      <c r="A21" t="s">
        <v>139</v>
      </c>
      <c r="B21" t="s">
        <v>61</v>
      </c>
    </row>
    <row r="22" spans="1:2" x14ac:dyDescent="0.25">
      <c r="A22" t="s">
        <v>141</v>
      </c>
      <c r="B22" t="s">
        <v>61</v>
      </c>
    </row>
    <row r="23" spans="1:2" x14ac:dyDescent="0.25">
      <c r="A23" t="s">
        <v>145</v>
      </c>
      <c r="B23" t="s">
        <v>61</v>
      </c>
    </row>
    <row r="24" spans="1:2" x14ac:dyDescent="0.25">
      <c r="A24" t="s">
        <v>147</v>
      </c>
      <c r="B24" t="s">
        <v>61</v>
      </c>
    </row>
    <row r="25" spans="1:2" x14ac:dyDescent="0.25">
      <c r="A25" t="s">
        <v>149</v>
      </c>
      <c r="B25" t="s">
        <v>61</v>
      </c>
    </row>
    <row r="26" spans="1:2" x14ac:dyDescent="0.25">
      <c r="A26" t="s">
        <v>157</v>
      </c>
      <c r="B26" t="s">
        <v>71</v>
      </c>
    </row>
    <row r="27" spans="1:2" x14ac:dyDescent="0.25">
      <c r="A27" t="s">
        <v>179</v>
      </c>
      <c r="B27" t="s">
        <v>71</v>
      </c>
    </row>
    <row r="28" spans="1:2" x14ac:dyDescent="0.25">
      <c r="A28" t="s">
        <v>180</v>
      </c>
      <c r="B28" t="s">
        <v>71</v>
      </c>
    </row>
    <row r="29" spans="1:2" x14ac:dyDescent="0.25">
      <c r="A29" t="s">
        <v>181</v>
      </c>
      <c r="B29" t="s">
        <v>63</v>
      </c>
    </row>
    <row r="30" spans="1:2" x14ac:dyDescent="0.25">
      <c r="A30" t="s">
        <v>185</v>
      </c>
      <c r="B30" t="s">
        <v>84</v>
      </c>
    </row>
    <row r="31" spans="1:2" x14ac:dyDescent="0.25">
      <c r="A31" t="s">
        <v>186</v>
      </c>
      <c r="B31" t="s">
        <v>61</v>
      </c>
    </row>
    <row r="32" spans="1:2" x14ac:dyDescent="0.25">
      <c r="A32" t="s">
        <v>187</v>
      </c>
      <c r="B32" t="s">
        <v>61</v>
      </c>
    </row>
    <row r="33" spans="1:2" x14ac:dyDescent="0.25">
      <c r="A33" t="s">
        <v>188</v>
      </c>
      <c r="B33" t="s">
        <v>61</v>
      </c>
    </row>
    <row r="34" spans="1:2" x14ac:dyDescent="0.25">
      <c r="A34" t="s">
        <v>189</v>
      </c>
      <c r="B34" t="s">
        <v>60</v>
      </c>
    </row>
    <row r="35" spans="1:2" x14ac:dyDescent="0.25">
      <c r="A35" t="s">
        <v>190</v>
      </c>
      <c r="B35" t="s">
        <v>60</v>
      </c>
    </row>
    <row r="36" spans="1:2" x14ac:dyDescent="0.25">
      <c r="A36" t="s">
        <v>191</v>
      </c>
      <c r="B36" t="s">
        <v>70</v>
      </c>
    </row>
    <row r="37" spans="1:2" x14ac:dyDescent="0.25">
      <c r="A37" t="s">
        <v>192</v>
      </c>
      <c r="B37" t="s">
        <v>71</v>
      </c>
    </row>
    <row r="38" spans="1:2" x14ac:dyDescent="0.25">
      <c r="A38" t="s">
        <v>193</v>
      </c>
      <c r="B38" t="s">
        <v>63</v>
      </c>
    </row>
    <row r="39" spans="1:2" x14ac:dyDescent="0.25">
      <c r="A39" t="s">
        <v>206</v>
      </c>
      <c r="B39" t="s">
        <v>84</v>
      </c>
    </row>
    <row r="40" spans="1:2" x14ac:dyDescent="0.25">
      <c r="A40" t="s">
        <v>207</v>
      </c>
      <c r="B40" t="s">
        <v>61</v>
      </c>
    </row>
    <row r="41" spans="1:2" x14ac:dyDescent="0.25">
      <c r="A41" t="s">
        <v>208</v>
      </c>
      <c r="B41" t="s">
        <v>61</v>
      </c>
    </row>
    <row r="42" spans="1:2" x14ac:dyDescent="0.25">
      <c r="A42" t="s">
        <v>209</v>
      </c>
      <c r="B42" t="s">
        <v>61</v>
      </c>
    </row>
    <row r="43" spans="1:2" x14ac:dyDescent="0.25">
      <c r="A43" t="s">
        <v>210</v>
      </c>
      <c r="B43" t="s">
        <v>60</v>
      </c>
    </row>
    <row r="44" spans="1:2" x14ac:dyDescent="0.25">
      <c r="A44" t="s">
        <v>211</v>
      </c>
      <c r="B44" t="s">
        <v>60</v>
      </c>
    </row>
    <row r="45" spans="1:2" x14ac:dyDescent="0.25">
      <c r="A45" t="s">
        <v>212</v>
      </c>
      <c r="B45" t="s">
        <v>70</v>
      </c>
    </row>
    <row r="46" spans="1:2" x14ac:dyDescent="0.25">
      <c r="A46" t="s">
        <v>213</v>
      </c>
      <c r="B46" t="s">
        <v>71</v>
      </c>
    </row>
    <row r="47" spans="1:2" x14ac:dyDescent="0.25">
      <c r="A47" t="s">
        <v>214</v>
      </c>
      <c r="B47" t="s">
        <v>63</v>
      </c>
    </row>
    <row r="48" spans="1:2" x14ac:dyDescent="0.25">
      <c r="A48" t="s">
        <v>237</v>
      </c>
      <c r="B48" t="s">
        <v>84</v>
      </c>
    </row>
    <row r="49" spans="1:2" x14ac:dyDescent="0.25">
      <c r="A49" t="s">
        <v>239</v>
      </c>
      <c r="B49" t="s">
        <v>61</v>
      </c>
    </row>
    <row r="50" spans="1:2" x14ac:dyDescent="0.25">
      <c r="A50" t="s">
        <v>240</v>
      </c>
      <c r="B50" t="s">
        <v>61</v>
      </c>
    </row>
    <row r="51" spans="1:2" x14ac:dyDescent="0.25">
      <c r="A51" t="s">
        <v>241</v>
      </c>
      <c r="B51" t="s">
        <v>61</v>
      </c>
    </row>
    <row r="52" spans="1:2" x14ac:dyDescent="0.25">
      <c r="A52" t="s">
        <v>238</v>
      </c>
      <c r="B52" t="s">
        <v>60</v>
      </c>
    </row>
    <row r="53" spans="1:2" x14ac:dyDescent="0.25">
      <c r="A53" t="s">
        <v>235</v>
      </c>
      <c r="B53" t="s">
        <v>60</v>
      </c>
    </row>
    <row r="54" spans="1:2" x14ac:dyDescent="0.25">
      <c r="A54" t="s">
        <v>236</v>
      </c>
      <c r="B54" t="s">
        <v>70</v>
      </c>
    </row>
    <row r="55" spans="1:2" x14ac:dyDescent="0.25">
      <c r="A55" t="s">
        <v>242</v>
      </c>
      <c r="B55" t="s">
        <v>71</v>
      </c>
    </row>
    <row r="56" spans="1:2" x14ac:dyDescent="0.25">
      <c r="A56" t="s">
        <v>243</v>
      </c>
      <c r="B56" t="s">
        <v>63</v>
      </c>
    </row>
    <row r="57" spans="1:2" x14ac:dyDescent="0.25">
      <c r="A57" t="s">
        <v>249</v>
      </c>
      <c r="B57" t="s">
        <v>84</v>
      </c>
    </row>
    <row r="58" spans="1:2" x14ac:dyDescent="0.25">
      <c r="A58" t="s">
        <v>250</v>
      </c>
      <c r="B58" t="s">
        <v>61</v>
      </c>
    </row>
    <row r="59" spans="1:2" x14ac:dyDescent="0.25">
      <c r="A59" t="s">
        <v>251</v>
      </c>
      <c r="B59" t="s">
        <v>61</v>
      </c>
    </row>
    <row r="60" spans="1:2" x14ac:dyDescent="0.25">
      <c r="A60" t="s">
        <v>252</v>
      </c>
      <c r="B60" t="s">
        <v>61</v>
      </c>
    </row>
    <row r="61" spans="1:2" x14ac:dyDescent="0.25">
      <c r="A61" t="s">
        <v>253</v>
      </c>
      <c r="B61" t="s">
        <v>60</v>
      </c>
    </row>
    <row r="62" spans="1:2" x14ac:dyDescent="0.25">
      <c r="A62" t="s">
        <v>254</v>
      </c>
      <c r="B62" t="s">
        <v>60</v>
      </c>
    </row>
    <row r="63" spans="1:2" x14ac:dyDescent="0.25">
      <c r="A63" t="s">
        <v>255</v>
      </c>
      <c r="B63" t="s">
        <v>70</v>
      </c>
    </row>
    <row r="64" spans="1:2" x14ac:dyDescent="0.25">
      <c r="A64" t="s">
        <v>256</v>
      </c>
      <c r="B64" t="s">
        <v>71</v>
      </c>
    </row>
    <row r="65" spans="1:2" x14ac:dyDescent="0.25">
      <c r="A65" t="s">
        <v>257</v>
      </c>
      <c r="B65" t="s">
        <v>63</v>
      </c>
    </row>
  </sheetData>
  <sortState xmlns:xlrd2="http://schemas.microsoft.com/office/spreadsheetml/2017/richdata2" ref="A3:B20">
    <sortCondition ref="B3:B20"/>
  </sortState>
  <dataValidations count="2">
    <dataValidation type="list" allowBlank="1" showInputMessage="1" showErrorMessage="1" sqref="A2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topLeftCell="M1" workbookViewId="0">
      <selection activeCell="AF2" sqref="AF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  <col min="46" max="46" width="13.42578125" bestFit="1" customWidth="1"/>
  </cols>
  <sheetData>
    <row r="1" spans="1:46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117</v>
      </c>
      <c r="AP1" s="16" t="s">
        <v>124</v>
      </c>
      <c r="AQ1" s="16" t="s">
        <v>125</v>
      </c>
      <c r="AR1" s="16" t="s">
        <v>126</v>
      </c>
      <c r="AS1" s="16" t="s">
        <v>127</v>
      </c>
      <c r="AT1" s="16" t="s">
        <v>131</v>
      </c>
    </row>
    <row r="2" spans="1:46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71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INDEX($AE$2:$AT$40,MOD(ROW()-ROW($AE$2),ROWS($AE$2:$AT$40))+1,INT((ROW()-ROW($AE$2))/ROWS($AE$2:$AT$40))+1)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11" ca="1">damper_names</f>
        <v>core_supply_damper</v>
      </c>
      <c r="AG2" t="str" cm="1">
        <f t="array" aca="1" ref="AG2" ca="1">space_heater_names</f>
        <v/>
      </c>
      <c r="AH2" t="str" cm="1">
        <f t="array" aca="1" ref="AH2:AH3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" ca="1">controller_names</f>
        <v/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118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" ca="1">flow_junction_names</f>
        <v>supply_flow_junction</v>
      </c>
    </row>
    <row r="3" spans="1:46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north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INDEX($AE$2:$AT$40,MOD(ROW()-ROW($AE$2),ROWS($AE$2:$AT$40))+1,INT((ROW()-ROW($AE$2))/ROWS($AE$2:$AT$40))+1)</f>
        <v>north</v>
      </c>
      <c r="AA3">
        <f ca="1">MATCH("*",INDIRECT(ADDRESS(AA2+1,26,1)&amp;":$Z$1000"),0)+AA2</f>
        <v>3</v>
      </c>
      <c r="AB3" t="str" cm="1">
        <f t="array" aca="1" ref="AB3" ca="1">IFERROR(INDIRECT("$Z"&amp;AA3),"")</f>
        <v>north</v>
      </c>
      <c r="AE3" t="str">
        <f ca="1"/>
        <v>north</v>
      </c>
      <c r="AF3" t="str">
        <f ca="1"/>
        <v>core_exhaust_damper</v>
      </c>
      <c r="AH3" t="str">
        <f ca="1"/>
        <v>main_cooling_coil_valve</v>
      </c>
      <c r="AI3" t="str">
        <f ca="1"/>
        <v>heating_coil</v>
      </c>
      <c r="AM3" t="str">
        <f ca="1"/>
        <v>vent_preheating_temp_sensor</v>
      </c>
      <c r="AN3" t="str">
        <f ca="1"/>
        <v>supply_fan_flow_meter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6" x14ac:dyDescent="0.25">
      <c r="A4" t="s">
        <v>68</v>
      </c>
      <c r="E4" t="str">
        <f ca="1"/>
        <v>COOL</v>
      </c>
      <c r="F4" t="str">
        <f ca="1"/>
        <v/>
      </c>
      <c r="G4" t="str">
        <f ca="1"/>
        <v>south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INDEX($AE$2:$AT$40,MOD(ROW()-ROW($AE$2),ROWS($AE$2:$AT$40))+1,INT((ROW()-ROW($AE$2))/ROWS($AE$2:$AT$40))+1)</f>
        <v>south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south</v>
      </c>
      <c r="AE4" t="str">
        <f ca="1"/>
        <v>south</v>
      </c>
      <c r="AF4" t="str">
        <f ca="1"/>
        <v>north_supply_damper</v>
      </c>
      <c r="AI4" t="str">
        <f ca="1"/>
        <v>core_reheat_coil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6" x14ac:dyDescent="0.25">
      <c r="A5" t="s">
        <v>70</v>
      </c>
      <c r="E5" t="str">
        <f ca="1"/>
        <v/>
      </c>
      <c r="F5" t="str">
        <f ca="1"/>
        <v/>
      </c>
      <c r="G5" t="str">
        <f ca="1"/>
        <v>east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INDEX($AE$2:$AT$40,MOD(ROW()-ROW($AE$2),ROWS($AE$2:$AT$40))+1,INT((ROW()-ROW($AE$2))/ROWS($AE$2:$AT$40))+1)</f>
        <v>east</v>
      </c>
      <c r="AA5">
        <f t="shared" ca="1" si="6"/>
        <v>5</v>
      </c>
      <c r="AB5" t="str" cm="1">
        <f t="array" aca="1" ref="AB5" ca="1">IFERROR(INDIRECT("$Z"&amp;AA5),"")</f>
        <v>east</v>
      </c>
      <c r="AE5" t="str">
        <f ca="1"/>
        <v>east</v>
      </c>
      <c r="AF5" t="str">
        <f ca="1"/>
        <v>north_exhaust_damper</v>
      </c>
      <c r="AI5" t="str">
        <f ca="1"/>
        <v>north_reheat_coil</v>
      </c>
      <c r="AM5" t="str">
        <f ca="1"/>
        <v>vent_supply_air_temp_sensor</v>
      </c>
      <c r="AP5" t="str">
        <f t="shared" ca="1" si="0"/>
        <v>north_reheat_coil (airside)</v>
      </c>
      <c r="AQ5" t="str">
        <f t="shared" ca="1" si="1"/>
        <v>north_reheat_coil (waterside)</v>
      </c>
      <c r="AR5" t="str">
        <f t="shared" si="2"/>
        <v/>
      </c>
      <c r="AS5" t="str">
        <f t="shared" si="3"/>
        <v/>
      </c>
    </row>
    <row r="6" spans="1:46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INDEX($AE$2:$AT$40,MOD(ROW()-ROW($AE$2),ROWS($AE$2:$AT$40))+1,INT((ROW()-ROW($AE$2))/ROWS($AE$2:$AT$40))+1)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south_supply_damper</v>
      </c>
      <c r="AI6" t="str">
        <f ca="1"/>
        <v>south_reheat_coil</v>
      </c>
      <c r="AM6" t="str">
        <f ca="1"/>
        <v>vent_airflow_sensor</v>
      </c>
      <c r="AP6" t="str">
        <f t="shared" ca="1" si="0"/>
        <v>south_reheat_coil (airside)</v>
      </c>
      <c r="AQ6" t="str">
        <f t="shared" ca="1" si="1"/>
        <v>south_reheat_coil (waterside)</v>
      </c>
      <c r="AR6" t="str">
        <f t="shared" si="2"/>
        <v/>
      </c>
      <c r="AS6" t="str">
        <f t="shared" si="3"/>
        <v/>
      </c>
    </row>
    <row r="7" spans="1:46" x14ac:dyDescent="0.25">
      <c r="A7" t="s">
        <v>72</v>
      </c>
      <c r="E7" t="str">
        <f ca="1"/>
        <v/>
      </c>
      <c r="F7" t="str">
        <f ca="1"/>
        <v/>
      </c>
      <c r="G7" t="str">
        <f ca="1"/>
        <v>core_supply_damper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INDEX($AE$2:$AT$40,MOD(ROW()-ROW($AE$2),ROWS($AE$2:$AT$40))+1,INT((ROW()-ROW($AE$2))/ROWS($AE$2:$AT$40))+1)</f>
        <v>0</v>
      </c>
      <c r="AA7">
        <f t="shared" ca="1" si="6"/>
        <v>41</v>
      </c>
      <c r="AB7" t="str" cm="1">
        <f t="array" aca="1" ref="AB7" ca="1">IFERROR(INDIRECT("$Z"&amp;AA7),"")</f>
        <v>core_supply_damper</v>
      </c>
      <c r="AF7" t="str">
        <f ca="1"/>
        <v>south_exhaust_damper</v>
      </c>
      <c r="AI7" t="str">
        <f ca="1"/>
        <v>east_reheat_coil</v>
      </c>
      <c r="AM7" t="str">
        <f ca="1"/>
        <v>vent_dpressure_sensor</v>
      </c>
      <c r="AP7" t="str">
        <f t="shared" ca="1" si="0"/>
        <v>east_reheat_coil (airside)</v>
      </c>
      <c r="AQ7" t="str">
        <f t="shared" ca="1" si="1"/>
        <v>east_reheat_coil (waterside)</v>
      </c>
      <c r="AR7" t="str">
        <f t="shared" si="2"/>
        <v/>
      </c>
      <c r="AS7" t="str">
        <f t="shared" si="3"/>
        <v/>
      </c>
    </row>
    <row r="8" spans="1:46" x14ac:dyDescent="0.25">
      <c r="A8" t="s">
        <v>64</v>
      </c>
      <c r="E8" t="str">
        <f ca="1"/>
        <v/>
      </c>
      <c r="F8" t="str">
        <f ca="1"/>
        <v/>
      </c>
      <c r="G8" t="str">
        <f ca="1"/>
        <v>core_exhaust_damper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INDEX($AE$2:$AT$40,MOD(ROW()-ROW($AE$2),ROWS($AE$2:$AT$40))+1,INT((ROW()-ROW($AE$2))/ROWS($AE$2:$AT$40))+1)</f>
        <v>0</v>
      </c>
      <c r="AA8">
        <f t="shared" ca="1" si="6"/>
        <v>42</v>
      </c>
      <c r="AB8" t="str" cm="1">
        <f t="array" aca="1" ref="AB8" ca="1">IFERROR(INDIRECT("$Z"&amp;AA8),"")</f>
        <v>core_exhaust_damper</v>
      </c>
      <c r="AF8" t="str">
        <f ca="1"/>
        <v>east_supply_damper</v>
      </c>
      <c r="AI8" t="str">
        <f ca="1"/>
        <v>west_reheat_coil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6" x14ac:dyDescent="0.25">
      <c r="A9" t="s">
        <v>67</v>
      </c>
      <c r="E9" t="str">
        <f ca="1"/>
        <v/>
      </c>
      <c r="F9" t="str">
        <f ca="1"/>
        <v/>
      </c>
      <c r="G9" t="str">
        <f ca="1"/>
        <v>north_supply_damper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INDEX($AE$2:$AT$40,MOD(ROW()-ROW($AE$2),ROWS($AE$2:$AT$40))+1,INT((ROW()-ROW($AE$2))/ROWS($AE$2:$AT$40))+1)</f>
        <v>0</v>
      </c>
      <c r="AA9">
        <f t="shared" ca="1" si="6"/>
        <v>43</v>
      </c>
      <c r="AB9" t="str" cm="1">
        <f t="array" aca="1" ref="AB9" ca="1">IFERROR(INDIRECT("$Z"&amp;AA9),"")</f>
        <v>north_supply_damper</v>
      </c>
      <c r="AF9" t="str">
        <f ca="1"/>
        <v>east_exhaust_damper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north_exhaust_damper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INDEX($AE$2:$AT$40,MOD(ROW()-ROW($AE$2),ROWS($AE$2:$AT$40))+1,INT((ROW()-ROW($AE$2))/ROWS($AE$2:$AT$40))+1)</f>
        <v>0</v>
      </c>
      <c r="AA10">
        <f t="shared" ca="1" si="6"/>
        <v>44</v>
      </c>
      <c r="AB10" t="str" cm="1">
        <f t="array" aca="1" ref="AB10" ca="1">IFERROR(INDIRECT("$Z"&amp;AA10),"")</f>
        <v>north_exhaust_damper</v>
      </c>
      <c r="AF10" t="str">
        <f ca="1"/>
        <v>west_supply_damper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25">
      <c r="A11" t="s">
        <v>63</v>
      </c>
      <c r="E11" t="str">
        <f ca="1"/>
        <v/>
      </c>
      <c r="F11" t="str">
        <f ca="1"/>
        <v/>
      </c>
      <c r="G11" t="str">
        <f ca="1"/>
        <v>south_supply_damper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INDEX($AE$2:$AT$40,MOD(ROW()-ROW($AE$2),ROWS($AE$2:$AT$40))+1,INT((ROW()-ROW($AE$2))/ROWS($AE$2:$AT$40))+1)</f>
        <v>0</v>
      </c>
      <c r="AA11">
        <f t="shared" ca="1" si="6"/>
        <v>45</v>
      </c>
      <c r="AB11" t="str" cm="1">
        <f t="array" aca="1" ref="AB11" ca="1">IFERROR(INDIRECT("$Z"&amp;AA11),"")</f>
        <v>south_supply_damper</v>
      </c>
      <c r="AF11" t="str">
        <f ca="1"/>
        <v>west_exhaust_damper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25">
      <c r="A12" t="s">
        <v>65</v>
      </c>
      <c r="E12" t="str">
        <f ca="1"/>
        <v/>
      </c>
      <c r="F12" t="str">
        <f ca="1"/>
        <v/>
      </c>
      <c r="G12" t="str">
        <f ca="1"/>
        <v>south_exhaust_damper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INDEX($AE$2:$AT$40,MOD(ROW()-ROW($AE$2),ROWS($AE$2:$AT$40))+1,INT((ROW()-ROW($AE$2))/ROWS($AE$2:$AT$40))+1)</f>
        <v>0</v>
      </c>
      <c r="AA12">
        <f t="shared" ca="1" si="6"/>
        <v>46</v>
      </c>
      <c r="AB12" t="str" cm="1">
        <f t="array" aca="1" ref="AB12" ca="1">IFERROR(INDIRECT("$Z"&amp;AA12),"")</f>
        <v>south_exhaust_damper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25">
      <c r="A13" t="s">
        <v>84</v>
      </c>
      <c r="E13" t="str">
        <f ca="1"/>
        <v/>
      </c>
      <c r="F13" t="str">
        <f ca="1"/>
        <v/>
      </c>
      <c r="G13" t="str">
        <f ca="1"/>
        <v>east_supply_damper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INDEX($AE$2:$AT$40,MOD(ROW()-ROW($AE$2),ROWS($AE$2:$AT$40))+1,INT((ROW()-ROW($AE$2))/ROWS($AE$2:$AT$40))+1)</f>
        <v>0</v>
      </c>
      <c r="AA13">
        <f t="shared" ca="1" si="6"/>
        <v>47</v>
      </c>
      <c r="AB13" t="str" cm="1">
        <f t="array" aca="1" ref="AB13" ca="1">IFERROR(INDIRECT("$Z"&amp;AA13),"")</f>
        <v>east_supply_damper</v>
      </c>
      <c r="AM13" t="str">
        <f ca="1"/>
        <v>north_supply_temp_sensor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25">
      <c r="A14" t="s">
        <v>61</v>
      </c>
      <c r="E14" t="str">
        <f ca="1"/>
        <v/>
      </c>
      <c r="F14" t="str">
        <f ca="1"/>
        <v/>
      </c>
      <c r="G14" t="str">
        <f ca="1"/>
        <v>east_exhaust_damper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48</v>
      </c>
      <c r="AB14" t="str" cm="1">
        <f t="array" aca="1" ref="AB14" ca="1">IFERROR(INDIRECT("$Z"&amp;AA14),"")</f>
        <v>east_exhaust_damper</v>
      </c>
      <c r="AM14" t="str">
        <f ca="1"/>
        <v>north_airflow_sensor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25">
      <c r="E15" t="str">
        <f ca="1"/>
        <v/>
      </c>
      <c r="F15" t="str">
        <f ca="1"/>
        <v/>
      </c>
      <c r="G15" t="str">
        <f ca="1"/>
        <v>west_supply_damper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49</v>
      </c>
      <c r="AB15" t="str" cm="1">
        <f t="array" aca="1" ref="AB15" ca="1">IFERROR(INDIRECT("$Z"&amp;AA15),"")</f>
        <v>west_supply_damper</v>
      </c>
      <c r="AM15" t="str">
        <f ca="1"/>
        <v>north_co2_sensor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25">
      <c r="E16" t="str">
        <f ca="1"/>
        <v/>
      </c>
      <c r="F16" t="str">
        <f ca="1"/>
        <v/>
      </c>
      <c r="G16" t="str">
        <f ca="1"/>
        <v>west_exhaust_damper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50</v>
      </c>
      <c r="AB16" t="str" cm="1">
        <f t="array" aca="1" ref="AB16" ca="1">IFERROR(INDIRECT("$Z"&amp;AA16),"")</f>
        <v>west_exhaust_damper</v>
      </c>
      <c r="AM16" t="str">
        <f ca="1"/>
        <v>north_indoor_temp_sensor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main_heating_coil_valve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80</v>
      </c>
      <c r="AB17" t="str" cm="1">
        <f t="array" aca="1" ref="AB17" ca="1">IFERROR(INDIRECT("$Z"&amp;AA17),"")</f>
        <v/>
      </c>
      <c r="AM17" t="str">
        <f ca="1"/>
        <v>south_supply_temp_sensor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main_cooling_coil_valve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119</v>
      </c>
      <c r="AB18" t="str" cm="1">
        <f t="array" aca="1" ref="AB18" ca="1">IFERROR(INDIRECT("$Z"&amp;AA18),"")</f>
        <v>main_heating_coil_valve</v>
      </c>
      <c r="AM18" t="str">
        <f ca="1"/>
        <v>south_airflow_sensor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cooling_coil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120</v>
      </c>
      <c r="AB19" t="str" cm="1">
        <f t="array" aca="1" ref="AB19" ca="1">IFERROR(INDIRECT("$Z"&amp;AA19),"")</f>
        <v>main_cooling_coil_valve</v>
      </c>
      <c r="AM19" t="str">
        <f ca="1"/>
        <v>south_co2_sensor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heating_coil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158</v>
      </c>
      <c r="AB20" t="str" cm="1">
        <f t="array" aca="1" ref="AB20" ca="1">IFERROR(INDIRECT("$Z"&amp;AA20),"")</f>
        <v>cooling_coil</v>
      </c>
      <c r="AM20" t="str">
        <f ca="1"/>
        <v>south_indoor_temp_sensor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core_reheat_coil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159</v>
      </c>
      <c r="AB21" t="str" cm="1">
        <f t="array" aca="1" ref="AB21" ca="1">IFERROR(INDIRECT("$Z"&amp;AA21),"")</f>
        <v>heating_coil</v>
      </c>
      <c r="AM21" t="str">
        <f ca="1"/>
        <v>east_supply_temp_sensor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north_reheat_coil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160</v>
      </c>
      <c r="AB22" t="str" cm="1">
        <f t="array" aca="1" ref="AB22" ca="1">IFERROR(INDIRECT("$Z"&amp;AA22),"")</f>
        <v>core_reheat_coil</v>
      </c>
      <c r="AM22" t="str">
        <f ca="1"/>
        <v>east_airflow_sensor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south_reheat_coil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161</v>
      </c>
      <c r="AB23" t="str" cm="1">
        <f t="array" aca="1" ref="AB23" ca="1">IFERROR(INDIRECT("$Z"&amp;AA23),"")</f>
        <v>north_reheat_coil</v>
      </c>
      <c r="AM23" t="str">
        <f ca="1"/>
        <v>east_co2_sensor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east_reheat_coil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162</v>
      </c>
      <c r="AB24" t="str" cm="1">
        <f t="array" aca="1" ref="AB24" ca="1">IFERROR(INDIRECT("$Z"&amp;AA24),"")</f>
        <v>south_reheat_coil</v>
      </c>
      <c r="AM24" t="str">
        <f ca="1"/>
        <v>east_indoor_temp_sensor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west_reheat_coil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163</v>
      </c>
      <c r="AB25" t="str" cm="1">
        <f t="array" aca="1" ref="AB25" ca="1">IFERROR(INDIRECT("$Z"&amp;AA25),"")</f>
        <v>east_reheat_coil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supply_fan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164</v>
      </c>
      <c r="AB26" t="str" cm="1">
        <f t="array" aca="1" ref="AB26" ca="1">IFERROR(INDIRECT("$Z"&amp;AA26),"")</f>
        <v>west_reheat_coil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outdoor_temp_sensor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197</v>
      </c>
      <c r="AB27" t="str" cm="1">
        <f t="array" aca="1" ref="AB27" ca="1">IFERROR(INDIRECT("$Z"&amp;AA27),"")</f>
        <v/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vent_preheating_temp_sensor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236</v>
      </c>
      <c r="AB28" t="str" cm="1">
        <f t="array" aca="1" ref="AB28" ca="1">IFERROR(INDIRECT("$Z"&amp;AA28),"")</f>
        <v>supply_fan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vent_heated_temp_sensor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275</v>
      </c>
      <c r="AB29" t="str" cm="1">
        <f t="array" aca="1" ref="AB29" ca="1">IFERROR(INDIRECT("$Z"&amp;AA29),"")</f>
        <v/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vent_supply_air_temp_sensor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314</v>
      </c>
      <c r="AB30" t="str" cm="1">
        <f t="array" aca="1" ref="AB30" ca="1">IFERROR(INDIRECT("$Z"&amp;AA30),"")</f>
        <v>outdoor_temp_sensor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vent_airflow_sensor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315</v>
      </c>
      <c r="AB31" t="str" cm="1">
        <f t="array" aca="1" ref="AB31" ca="1">IFERROR(INDIRECT("$Z"&amp;AA31),"")</f>
        <v>vent_preheating_temp_sensor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vent_dpressure_sensor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316</v>
      </c>
      <c r="AB32" t="str" cm="1">
        <f t="array" aca="1" ref="AB32" ca="1">IFERROR(INDIRECT("$Z"&amp;AA32),"")</f>
        <v>vent_heated_temp_sensor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vent_exhaust_temp_sensor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317</v>
      </c>
      <c r="AB33" t="str" cm="1">
        <f t="array" aca="1" ref="AB33" ca="1">IFERROR(INDIRECT("$Z"&amp;AA33),"")</f>
        <v>vent_supply_air_temp_sensor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core_supply_temp_sensor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318</v>
      </c>
      <c r="AB34" t="str" cm="1">
        <f t="array" aca="1" ref="AB34" ca="1">IFERROR(INDIRECT("$Z"&amp;AA34),"")</f>
        <v>vent_airflow_sensor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core_airflow_sensor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319</v>
      </c>
      <c r="AB35" t="str" cm="1">
        <f t="array" aca="1" ref="AB35" ca="1">IFERROR(INDIRECT("$Z"&amp;AA35),"")</f>
        <v>vent_dpressure_sensor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core_co2_sensor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320</v>
      </c>
      <c r="AB36" t="str" cm="1">
        <f t="array" aca="1" ref="AB36" ca="1">IFERROR(INDIRECT("$Z"&amp;AA36),"")</f>
        <v>vent_exhaust_temp_sensor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core_indoor_temp_sensor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321</v>
      </c>
      <c r="AB37" t="str" cm="1">
        <f t="array" aca="1" ref="AB37" ca="1">IFERROR(INDIRECT("$Z"&amp;AA37),"")</f>
        <v>core_supply_temp_sensor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north_supply_temp_sensor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322</v>
      </c>
      <c r="AB38" t="str" cm="1">
        <f t="array" aca="1" ref="AB38" ca="1">IFERROR(INDIRECT("$Z"&amp;AA38),"")</f>
        <v>core_airflow_sensor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north_airflow_sensor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323</v>
      </c>
      <c r="AB39" t="str" cm="1">
        <f t="array" aca="1" ref="AB39" ca="1">IFERROR(INDIRECT("$Z"&amp;AA39),"")</f>
        <v>core_co2_sensor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north_co2_sensor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324</v>
      </c>
      <c r="AB40" t="str" cm="1">
        <f t="array" aca="1" ref="AB40" ca="1">IFERROR(INDIRECT("$Z"&amp;AA40),"")</f>
        <v>core_indoor_temp_sensor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north_indoor_temp_sensor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core_supply_damper</v>
      </c>
      <c r="AA41">
        <f t="shared" ca="1" si="6"/>
        <v>325</v>
      </c>
      <c r="AB41" t="str" cm="1">
        <f t="array" aca="1" ref="AB41" ca="1">IFERROR(INDIRECT("$Z"&amp;AA41),"")</f>
        <v>north_supply_temp_sensor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south_supply_temp_sensor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core_exhaust_damper</v>
      </c>
      <c r="AA42">
        <f t="shared" ca="1" si="6"/>
        <v>326</v>
      </c>
      <c r="AB42" t="str" cm="1">
        <f t="array" aca="1" ref="AB42" ca="1">IFERROR(INDIRECT("$Z"&amp;AA42),"")</f>
        <v>north_airflow_sensor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south_airflow_sensor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north_supply_damper</v>
      </c>
      <c r="AA43">
        <f t="shared" ca="1" si="6"/>
        <v>327</v>
      </c>
      <c r="AB43" t="str" cm="1">
        <f t="array" aca="1" ref="AB43" ca="1">IFERROR(INDIRECT("$Z"&amp;AA43),"")</f>
        <v>north_co2_sensor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south_co2_sensor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north_exhaust_damper</v>
      </c>
      <c r="AA44">
        <f t="shared" ca="1" si="6"/>
        <v>328</v>
      </c>
      <c r="AB44" t="str" cm="1">
        <f t="array" aca="1" ref="AB44" ca="1">IFERROR(INDIRECT("$Z"&amp;AA44),"")</f>
        <v>north_indoor_temp_sensor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south_indoor_temp_sensor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INDEX($AE$2:$AT$40,MOD(ROW()-ROW($AE$2),ROWS($AE$2:$AT$40))+1,INT((ROW()-ROW($AE$2))/ROWS($AE$2:$AT$40))+1)</f>
        <v>south_supply_damper</v>
      </c>
      <c r="AA45">
        <f t="shared" ca="1" si="6"/>
        <v>329</v>
      </c>
      <c r="AB45" t="str" cm="1">
        <f t="array" aca="1" ref="AB45" ca="1">IFERROR(INDIRECT("$Z"&amp;AA45),"")</f>
        <v>south_supply_temp_sensor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east_supply_temp_sensor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INDEX($AE$2:$AT$40,MOD(ROW()-ROW($AE$2),ROWS($AE$2:$AT$40))+1,INT((ROW()-ROW($AE$2))/ROWS($AE$2:$AT$40))+1)</f>
        <v>south_exhaust_damper</v>
      </c>
      <c r="AA46">
        <f t="shared" ca="1" si="6"/>
        <v>330</v>
      </c>
      <c r="AB46" t="str" cm="1">
        <f t="array" aca="1" ref="AB46" ca="1">IFERROR(INDIRECT("$Z"&amp;AA46),"")</f>
        <v>south_airflow_sensor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east_airflow_sensor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INDEX($AE$2:$AT$40,MOD(ROW()-ROW($AE$2),ROWS($AE$2:$AT$40))+1,INT((ROW()-ROW($AE$2))/ROWS($AE$2:$AT$40))+1)</f>
        <v>east_supply_damper</v>
      </c>
      <c r="AA47">
        <f t="shared" ca="1" si="6"/>
        <v>331</v>
      </c>
      <c r="AB47" t="str" cm="1">
        <f t="array" aca="1" ref="AB47" ca="1">IFERROR(INDIRECT("$Z"&amp;AA47),"")</f>
        <v>south_co2_sensor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east_co2_sensor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INDEX($AE$2:$AT$40,MOD(ROW()-ROW($AE$2),ROWS($AE$2:$AT$40))+1,INT((ROW()-ROW($AE$2))/ROWS($AE$2:$AT$40))+1)</f>
        <v>east_exhaust_damper</v>
      </c>
      <c r="AA48">
        <f t="shared" ca="1" si="6"/>
        <v>332</v>
      </c>
      <c r="AB48" t="str" cm="1">
        <f t="array" aca="1" ref="AB48" ca="1">IFERROR(INDIRECT("$Z"&amp;AA48),"")</f>
        <v>south_indoor_temp_sensor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east_indoor_temp_sensor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t="str" cm="1">
        <f t="array" aca="1" ref="Z49" ca="1">INDEX($AE$2:$AT$40,MOD(ROW()-ROW($AE$2),ROWS($AE$2:$AT$40))+1,INT((ROW()-ROW($AE$2))/ROWS($AE$2:$AT$40))+1)</f>
        <v>west_supply_damper</v>
      </c>
      <c r="AA49">
        <f t="shared" ca="1" si="6"/>
        <v>333</v>
      </c>
      <c r="AB49" t="str" cm="1">
        <f t="array" aca="1" ref="AB49" ca="1">IFERROR(INDIRECT("$Z"&amp;AA49),"")</f>
        <v>east_supply_temp_sensor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west_supply_temp_sensor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t="str" cm="1">
        <f t="array" aca="1" ref="Z50" ca="1">INDEX($AE$2:$AT$40,MOD(ROW()-ROW($AE$2),ROWS($AE$2:$AT$40))+1,INT((ROW()-ROW($AE$2))/ROWS($AE$2:$AT$40))+1)</f>
        <v>west_exhaust_damper</v>
      </c>
      <c r="AA50">
        <f t="shared" ca="1" si="6"/>
        <v>334</v>
      </c>
      <c r="AB50" t="str" cm="1">
        <f t="array" aca="1" ref="AB50" ca="1">IFERROR(INDIRECT("$Z"&amp;AA50),"")</f>
        <v>east_airflow_sensor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west_airflow_sensor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INDEX($AE$2:$AT$40,MOD(ROW()-ROW($AE$2),ROWS($AE$2:$AT$40))+1,INT((ROW()-ROW($AE$2))/ROWS($AE$2:$AT$40))+1)</f>
        <v>0</v>
      </c>
      <c r="AA51">
        <f t="shared" ca="1" si="6"/>
        <v>335</v>
      </c>
      <c r="AB51" t="str" cm="1">
        <f t="array" aca="1" ref="AB51" ca="1">IFERROR(INDIRECT("$Z"&amp;AA51),"")</f>
        <v>east_co2_sensor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west_co2_sensor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INDEX($AE$2:$AT$40,MOD(ROW()-ROW($AE$2),ROWS($AE$2:$AT$40))+1,INT((ROW()-ROW($AE$2))/ROWS($AE$2:$AT$40))+1)</f>
        <v>0</v>
      </c>
      <c r="AA52">
        <f t="shared" ca="1" si="6"/>
        <v>336</v>
      </c>
      <c r="AB52" t="str" cm="1">
        <f t="array" aca="1" ref="AB52" ca="1">IFERROR(INDIRECT("$Z"&amp;AA52),"")</f>
        <v>east_indoor_temp_sensor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west_indoor_temp_sensor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INDEX($AE$2:$AT$40,MOD(ROW()-ROW($AE$2),ROWS($AE$2:$AT$40))+1,INT((ROW()-ROW($AE$2))/ROWS($AE$2:$AT$40))+1)</f>
        <v>0</v>
      </c>
      <c r="AA53">
        <f t="shared" ca="1" si="6"/>
        <v>337</v>
      </c>
      <c r="AB53" t="str" cm="1">
        <f t="array" aca="1" ref="AB53" ca="1">IFERROR(INDIRECT("$Z"&amp;AA53),"")</f>
        <v>west_supply_temp_sensor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supply_fan_power_meter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INDEX($AE$2:$AT$40,MOD(ROW()-ROW($AE$2),ROWS($AE$2:$AT$40))+1,INT((ROW()-ROW($AE$2))/ROWS($AE$2:$AT$40))+1)</f>
        <v>0</v>
      </c>
      <c r="AA54">
        <f t="shared" ca="1" si="6"/>
        <v>338</v>
      </c>
      <c r="AB54" t="str" cm="1">
        <f t="array" aca="1" ref="AB54" ca="1">IFERROR(INDIRECT("$Z"&amp;AA54),"")</f>
        <v>west_airflow_sensor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supply_fan_flow_meter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INDEX($AE$2:$AT$40,MOD(ROW()-ROW($AE$2),ROWS($AE$2:$AT$40))+1,INT((ROW()-ROW($AE$2))/ROWS($AE$2:$AT$40))+1)</f>
        <v>0</v>
      </c>
      <c r="AA55">
        <f t="shared" ca="1" si="6"/>
        <v>339</v>
      </c>
      <c r="AB55" t="str" cm="1">
        <f t="array" aca="1" ref="AB55" ca="1">IFERROR(INDIRECT("$Z"&amp;AA55),"")</f>
        <v>west_co2_sensor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outdoor_environment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INDEX($AE$2:$AT$40,MOD(ROW()-ROW($AE$2),ROWS($AE$2:$AT$40))+1,INT((ROW()-ROW($AE$2))/ROWS($AE$2:$AT$40))+1)</f>
        <v>0</v>
      </c>
      <c r="AA56">
        <f t="shared" ca="1" si="6"/>
        <v>340</v>
      </c>
      <c r="AB56" t="str" cm="1">
        <f t="array" aca="1" ref="AB56" ca="1">IFERROR(INDIRECT("$Z"&amp;AA56),"")</f>
        <v>west_indoor_temp_sensor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cooling_coil (airside)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INDEX($AE$2:$AT$40,MOD(ROW()-ROW($AE$2),ROWS($AE$2:$AT$40))+1,INT((ROW()-ROW($AE$2))/ROWS($AE$2:$AT$40))+1)</f>
        <v>0</v>
      </c>
      <c r="AA57">
        <f t="shared" ca="1" si="6"/>
        <v>353</v>
      </c>
      <c r="AB57" t="str" cm="1">
        <f t="array" aca="1" ref="AB57" ca="1">IFERROR(INDIRECT("$Z"&amp;AA57),"")</f>
        <v>supply_fan_power_meter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heating_coil (airside)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INDEX($AE$2:$AT$40,MOD(ROW()-ROW($AE$2),ROWS($AE$2:$AT$40))+1,INT((ROW()-ROW($AE$2))/ROWS($AE$2:$AT$40))+1)</f>
        <v>0</v>
      </c>
      <c r="AA58">
        <f t="shared" ca="1" si="6"/>
        <v>354</v>
      </c>
      <c r="AB58" t="str" cm="1">
        <f t="array" aca="1" ref="AB58" ca="1">IFERROR(INDIRECT("$Z"&amp;AA58),"")</f>
        <v>supply_fan_flow_meter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core_reheat_coil (airside)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INDEX($AE$2:$AT$40,MOD(ROW()-ROW($AE$2),ROWS($AE$2:$AT$40))+1,INT((ROW()-ROW($AE$2))/ROWS($AE$2:$AT$40))+1)</f>
        <v>0</v>
      </c>
      <c r="AA59">
        <f t="shared" ca="1" si="6"/>
        <v>392</v>
      </c>
      <c r="AB59" t="str" cm="1">
        <f t="array" aca="1" ref="AB59" ca="1">IFERROR(INDIRECT("$Z"&amp;AA59),"")</f>
        <v>outdoor_environment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north_reheat_coil (airside)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INDEX($AE$2:$AT$40,MOD(ROW()-ROW($AE$2),ROWS($AE$2:$AT$40))+1,INT((ROW()-ROW($AE$2))/ROWS($AE$2:$AT$40))+1)</f>
        <v>0</v>
      </c>
      <c r="AA60">
        <f t="shared" ca="1" si="6"/>
        <v>431</v>
      </c>
      <c r="AB60" t="str" cm="1">
        <f t="array" aca="1" ref="AB60" ca="1">IFERROR(INDIRECT("$Z"&amp;AA60),"")</f>
        <v>cooling_coil (airside)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south_reheat_coil (airside)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INDEX($AE$2:$AT$40,MOD(ROW()-ROW($AE$2),ROWS($AE$2:$AT$40))+1,INT((ROW()-ROW($AE$2))/ROWS($AE$2:$AT$40))+1)</f>
        <v>0</v>
      </c>
      <c r="AA61">
        <f t="shared" ca="1" si="6"/>
        <v>432</v>
      </c>
      <c r="AB61" t="str" cm="1">
        <f t="array" aca="1" ref="AB61" ca="1">IFERROR(INDIRECT("$Z"&amp;AA61),"")</f>
        <v>heating_coil (airside)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east_reheat_coil (airside)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INDEX($AE$2:$AT$40,MOD(ROW()-ROW($AE$2),ROWS($AE$2:$AT$40))+1,INT((ROW()-ROW($AE$2))/ROWS($AE$2:$AT$40))+1)</f>
        <v>0</v>
      </c>
      <c r="AA62">
        <f t="shared" ca="1" si="6"/>
        <v>433</v>
      </c>
      <c r="AB62" t="str" cm="1">
        <f t="array" aca="1" ref="AB62" ca="1">IFERROR(INDIRECT("$Z"&amp;AA62),"")</f>
        <v>core_reheat_coil (airside)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west_reheat_coil (airside)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INDEX($AE$2:$AT$40,MOD(ROW()-ROW($AE$2),ROWS($AE$2:$AT$40))+1,INT((ROW()-ROW($AE$2))/ROWS($AE$2:$AT$40))+1)</f>
        <v>0</v>
      </c>
      <c r="AA63">
        <f t="shared" ca="1" si="6"/>
        <v>434</v>
      </c>
      <c r="AB63" t="str" cm="1">
        <f t="array" aca="1" ref="AB63" ca="1">IFERROR(INDIRECT("$Z"&amp;AA63),"")</f>
        <v>north_reheat_coil (airside)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cooling_coil (waterside)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INDEX($AE$2:$AT$40,MOD(ROW()-ROW($AE$2),ROWS($AE$2:$AT$40))+1,INT((ROW()-ROW($AE$2))/ROWS($AE$2:$AT$40))+1)</f>
        <v>0</v>
      </c>
      <c r="AA64">
        <f t="shared" ca="1" si="6"/>
        <v>435</v>
      </c>
      <c r="AB64" t="str" cm="1">
        <f t="array" aca="1" ref="AB64" ca="1">IFERROR(INDIRECT("$Z"&amp;AA64),"")</f>
        <v>south_reheat_coil (airside)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heating_coil (waterside)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436</v>
      </c>
      <c r="AB65" t="str" cm="1">
        <f t="array" aca="1" ref="AB65" ca="1">IFERROR(INDIRECT("$Z"&amp;AA65),"")</f>
        <v>east_reheat_coil (airside)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core_reheat_coil (waterside)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437</v>
      </c>
      <c r="AB66" t="str" cm="1">
        <f t="array" aca="1" ref="AB66" ca="1">IFERROR(INDIRECT("$Z"&amp;AA66),"")</f>
        <v>west_reheat_coil (airside)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north_reheat_coil (waterside)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438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south_reheat_coil (waterside)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439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east_reheat_coil (waterside)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440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west_reheat_coil (waterside)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441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supply_flow_junction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442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443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444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445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446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447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448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449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450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/>
      </c>
      <c r="AA80">
        <f t="shared" ca="1" si="13"/>
        <v>451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INDEX($AE$2:$AT$40,MOD(ROW()-ROW($AE$2),ROWS($AE$2:$AT$40))+1,INT((ROW()-ROW($AE$2))/ROWS($AE$2:$AT$40))+1)</f>
        <v>0</v>
      </c>
      <c r="AA81">
        <f t="shared" ca="1" si="13"/>
        <v>452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INDEX($AE$2:$AT$40,MOD(ROW()-ROW($AE$2),ROWS($AE$2:$AT$40))+1,INT((ROW()-ROW($AE$2))/ROWS($AE$2:$AT$40))+1)</f>
        <v>0</v>
      </c>
      <c r="AA82">
        <f t="shared" ca="1" si="13"/>
        <v>453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INDEX($AE$2:$AT$40,MOD(ROW()-ROW($AE$2),ROWS($AE$2:$AT$40))+1,INT((ROW()-ROW($AE$2))/ROWS($AE$2:$AT$40))+1)</f>
        <v>0</v>
      </c>
      <c r="AA83">
        <f t="shared" ca="1" si="13"/>
        <v>454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INDEX($AE$2:$AT$40,MOD(ROW()-ROW($AE$2),ROWS($AE$2:$AT$40))+1,INT((ROW()-ROW($AE$2))/ROWS($AE$2:$AT$40))+1)</f>
        <v>0</v>
      </c>
      <c r="AA84">
        <f t="shared" ca="1" si="13"/>
        <v>455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INDEX($AE$2:$AT$40,MOD(ROW()-ROW($AE$2),ROWS($AE$2:$AT$40))+1,INT((ROW()-ROW($AE$2))/ROWS($AE$2:$AT$40))+1)</f>
        <v>0</v>
      </c>
      <c r="AA85">
        <f t="shared" ca="1" si="13"/>
        <v>456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INDEX($AE$2:$AT$40,MOD(ROW()-ROW($AE$2),ROWS($AE$2:$AT$40))+1,INT((ROW()-ROW($AE$2))/ROWS($AE$2:$AT$40))+1)</f>
        <v>0</v>
      </c>
      <c r="AA86">
        <f t="shared" ca="1" si="13"/>
        <v>457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INDEX($AE$2:$AT$40,MOD(ROW()-ROW($AE$2),ROWS($AE$2:$AT$40))+1,INT((ROW()-ROW($AE$2))/ROWS($AE$2:$AT$40))+1)</f>
        <v>0</v>
      </c>
      <c r="AA87">
        <f t="shared" ca="1" si="13"/>
        <v>458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INDEX($AE$2:$AT$40,MOD(ROW()-ROW($AE$2),ROWS($AE$2:$AT$40))+1,INT((ROW()-ROW($AE$2))/ROWS($AE$2:$AT$40))+1)</f>
        <v>0</v>
      </c>
      <c r="AA88">
        <f t="shared" ca="1" si="13"/>
        <v>459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INDEX($AE$2:$AT$40,MOD(ROW()-ROW($AE$2),ROWS($AE$2:$AT$40))+1,INT((ROW()-ROW($AE$2))/ROWS($AE$2:$AT$40))+1)</f>
        <v>0</v>
      </c>
      <c r="AA89">
        <f t="shared" ca="1" si="13"/>
        <v>460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INDEX($AE$2:$AT$40,MOD(ROW()-ROW($AE$2),ROWS($AE$2:$AT$40))+1,INT((ROW()-ROW($AE$2))/ROWS($AE$2:$AT$40))+1)</f>
        <v>0</v>
      </c>
      <c r="AA90">
        <f t="shared" ca="1" si="13"/>
        <v>461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462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463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464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465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466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467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468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469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470</v>
      </c>
      <c r="AB99" t="str" cm="1">
        <f t="array" aca="1" ref="AB99" ca="1">IFERROR(INDIRECT("$Z"&amp;AA99),"")</f>
        <v>cooling_coil (waterside)</v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471</v>
      </c>
      <c r="AB100" t="str" cm="1">
        <f t="array" aca="1" ref="AB100" ca="1">IFERROR(INDIRECT("$Z"&amp;AA100),"")</f>
        <v>heating_coil (waterside)</v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472</v>
      </c>
      <c r="AB101" t="str" cm="1">
        <f t="array" aca="1" ref="AB101" ca="1">IFERROR(INDIRECT("$Z"&amp;AA101),"")</f>
        <v>core_reheat_coil (waterside)</v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473</v>
      </c>
      <c r="AB102" t="str" cm="1">
        <f t="array" aca="1" ref="AB102" ca="1">IFERROR(INDIRECT("$Z"&amp;AA102),"")</f>
        <v>north_reheat_coil (waterside)</v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474</v>
      </c>
      <c r="AB103" t="str" cm="1">
        <f t="array" aca="1" ref="AB103" ca="1">IFERROR(INDIRECT("$Z"&amp;AA103),"")</f>
        <v>south_reheat_coil (waterside)</v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475</v>
      </c>
      <c r="AB104" t="str" cm="1">
        <f t="array" aca="1" ref="AB104" ca="1">IFERROR(INDIRECT("$Z"&amp;AA104),"")</f>
        <v>east_reheat_coil (waterside)</v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476</v>
      </c>
      <c r="AB105" t="str" cm="1">
        <f t="array" aca="1" ref="AB105" ca="1">IFERROR(INDIRECT("$Z"&amp;AA105),"")</f>
        <v>west_reheat_coil (waterside)</v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477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478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479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480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481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482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483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484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485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486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487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488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489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main_heating_coil_valve</v>
      </c>
      <c r="AA119">
        <f t="shared" ca="1" si="13"/>
        <v>490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main_cooling_coil_valve</v>
      </c>
      <c r="AA120">
        <f t="shared" ca="1" si="13"/>
        <v>491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cm="1">
        <f t="array" ref="Z121">INDEX($AE$2:$AT$40,MOD(ROW()-ROW($AE$2),ROWS($AE$2:$AT$40))+1,INT((ROW()-ROW($AE$2))/ROWS($AE$2:$AT$40))+1)</f>
        <v>0</v>
      </c>
      <c r="AA121">
        <f t="shared" ca="1" si="13"/>
        <v>492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cm="1">
        <f t="array" ref="Z122">INDEX($AE$2:$AT$40,MOD(ROW()-ROW($AE$2),ROWS($AE$2:$AT$40))+1,INT((ROW()-ROW($AE$2))/ROWS($AE$2:$AT$40))+1)</f>
        <v>0</v>
      </c>
      <c r="AA122">
        <f t="shared" ca="1" si="13"/>
        <v>493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INDEX($AE$2:$AT$40,MOD(ROW()-ROW($AE$2),ROWS($AE$2:$AT$40))+1,INT((ROW()-ROW($AE$2))/ROWS($AE$2:$AT$40))+1)</f>
        <v>0</v>
      </c>
      <c r="AA123">
        <f t="shared" ca="1" si="13"/>
        <v>494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INDEX($AE$2:$AT$40,MOD(ROW()-ROW($AE$2),ROWS($AE$2:$AT$40))+1,INT((ROW()-ROW($AE$2))/ROWS($AE$2:$AT$40))+1)</f>
        <v>0</v>
      </c>
      <c r="AA124">
        <f t="shared" ca="1" si="13"/>
        <v>495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INDEX($AE$2:$AT$40,MOD(ROW()-ROW($AE$2),ROWS($AE$2:$AT$40))+1,INT((ROW()-ROW($AE$2))/ROWS($AE$2:$AT$40))+1)</f>
        <v>0</v>
      </c>
      <c r="AA125">
        <f t="shared" ca="1" si="13"/>
        <v>496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INDEX($AE$2:$AT$40,MOD(ROW()-ROW($AE$2),ROWS($AE$2:$AT$40))+1,INT((ROW()-ROW($AE$2))/ROWS($AE$2:$AT$40))+1)</f>
        <v>0</v>
      </c>
      <c r="AA126">
        <f t="shared" ca="1" si="13"/>
        <v>497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INDEX($AE$2:$AT$40,MOD(ROW()-ROW($AE$2),ROWS($AE$2:$AT$40))+1,INT((ROW()-ROW($AE$2))/ROWS($AE$2:$AT$40))+1)</f>
        <v>0</v>
      </c>
      <c r="AA127">
        <f t="shared" ca="1" si="13"/>
        <v>498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INDEX($AE$2:$AT$40,MOD(ROW()-ROW($AE$2),ROWS($AE$2:$AT$40))+1,INT((ROW()-ROW($AE$2))/ROWS($AE$2:$AT$40))+1)</f>
        <v>0</v>
      </c>
      <c r="AA128">
        <f t="shared" ca="1" si="13"/>
        <v>499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INDEX($AE$2:$AT$40,MOD(ROW()-ROW($AE$2),ROWS($AE$2:$AT$40))+1,INT((ROW()-ROW($AE$2))/ROWS($AE$2:$AT$40))+1)</f>
        <v>0</v>
      </c>
      <c r="AA129">
        <f t="shared" ca="1" si="13"/>
        <v>500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501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502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503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504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505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506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507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508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509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510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511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512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513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514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515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516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517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518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519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520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521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522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523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524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525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526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527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528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529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530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INDEX($AE$2:$AT$40,MOD(ROW()-ROW($AE$2),ROWS($AE$2:$AT$40))+1,INT((ROW()-ROW($AE$2))/ROWS($AE$2:$AT$40))+1)</f>
        <v>core_reheat_coil</v>
      </c>
      <c r="AA160">
        <f t="shared" ca="1" si="20"/>
        <v>531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INDEX($AE$2:$AT$40,MOD(ROW()-ROW($AE$2),ROWS($AE$2:$AT$40))+1,INT((ROW()-ROW($AE$2))/ROWS($AE$2:$AT$40))+1)</f>
        <v>north_reheat_coil</v>
      </c>
      <c r="AA161">
        <f t="shared" ca="1" si="20"/>
        <v>532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INDEX($AE$2:$AT$40,MOD(ROW()-ROW($AE$2),ROWS($AE$2:$AT$40))+1,INT((ROW()-ROW($AE$2))/ROWS($AE$2:$AT$40))+1)</f>
        <v>south_reheat_coil</v>
      </c>
      <c r="AA162">
        <f t="shared" ca="1" si="20"/>
        <v>533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INDEX($AE$2:$AT$40,MOD(ROW()-ROW($AE$2),ROWS($AE$2:$AT$40))+1,INT((ROW()-ROW($AE$2))/ROWS($AE$2:$AT$40))+1)</f>
        <v>east_reheat_coil</v>
      </c>
      <c r="AA163">
        <f t="shared" ca="1" si="20"/>
        <v>534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INDEX($AE$2:$AT$40,MOD(ROW()-ROW($AE$2),ROWS($AE$2:$AT$40))+1,INT((ROW()-ROW($AE$2))/ROWS($AE$2:$AT$40))+1)</f>
        <v>west_reheat_coil</v>
      </c>
      <c r="AA164">
        <f t="shared" ca="1" si="20"/>
        <v>535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536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537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538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539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540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541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542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543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544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545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546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547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548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549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550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551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552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553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554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555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556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557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558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559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560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561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562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563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564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565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566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>
        <f t="shared" ref="AA196:AA259" ca="1" si="27">MATCH("*",INDIRECT(ADDRESS(AA195+1,26,1)&amp;":$Z$1000"),0)+AA195</f>
        <v>567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/>
      </c>
      <c r="AA197">
        <f t="shared" ca="1" si="27"/>
        <v>568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>
        <f t="shared" ca="1" si="27"/>
        <v>569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>
        <f t="shared" ca="1" si="27"/>
        <v>570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>
        <f t="shared" ca="1" si="27"/>
        <v>571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>
        <f t="shared" ca="1" si="27"/>
        <v>572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>
        <f t="shared" ca="1" si="27"/>
        <v>573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>
        <f t="shared" ca="1" si="27"/>
        <v>574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>
        <f t="shared" ca="1" si="27"/>
        <v>575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>
        <f t="shared" ca="1" si="27"/>
        <v>576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>
        <f t="shared" ca="1" si="27"/>
        <v>577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>
        <f t="shared" ca="1" si="27"/>
        <v>578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>
        <f t="shared" ca="1" si="27"/>
        <v>579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>
        <f t="shared" ca="1" si="27"/>
        <v>580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>
        <f t="shared" ca="1" si="27"/>
        <v>581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>
        <f t="shared" ca="1" si="27"/>
        <v>582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>
        <f t="shared" ca="1" si="27"/>
        <v>583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>
        <f t="shared" ca="1" si="27"/>
        <v>584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>
        <f t="shared" ca="1" si="27"/>
        <v>585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>
        <f t="shared" ca="1" si="27"/>
        <v>586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>
        <f t="shared" ca="1" si="27"/>
        <v>587</v>
      </c>
      <c r="AB216" t="str" cm="1">
        <f t="array" aca="1" ref="AB216" ca="1">IFERROR(INDIRECT("$Z"&amp;AA216),"")</f>
        <v>supply_flow_junction</v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INDEX($AE$2:$AT$40,MOD(ROW()-ROW($AE$2),ROWS($AE$2:$AT$40))+1,INT((ROW()-ROW($AE$2))/ROWS($AE$2:$AT$40))+1)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/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cm="1">
        <f t="array" ref="Z276">INDEX($AE$2:$AT$40,MOD(ROW()-ROW($AE$2),ROWS($AE$2:$AT$40))+1,INT((ROW()-ROW($AE$2))/ROWS($AE$2:$AT$40))+1)</f>
        <v>0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INDEX($AE$2:$AT$40,MOD(ROW()-ROW($AE$2),ROWS($AE$2:$AT$40))+1,INT((ROW()-ROW($AE$2))/ROWS($AE$2:$AT$40))+1)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INDEX($AE$2:$AT$40,MOD(ROW()-ROW($AE$2),ROWS($AE$2:$AT$40))+1,INT((ROW()-ROW($AE$2))/ROWS($AE$2:$AT$40))+1)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INDEX($AE$2:$AT$40,MOD(ROW()-ROW($AE$2),ROWS($AE$2:$AT$40))+1,INT((ROW()-ROW($AE$2))/ROWS($AE$2:$AT$40))+1)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INDEX($AE$2:$AT$40,MOD(ROW()-ROW($AE$2),ROWS($AE$2:$AT$40))+1,INT((ROW()-ROW($AE$2))/ROWS($AE$2:$AT$40))+1)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INDEX($AE$2:$AT$40,MOD(ROW()-ROW($AE$2),ROWS($AE$2:$AT$40))+1,INT((ROW()-ROW($AE$2))/ROWS($AE$2:$AT$40))+1)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INDEX($AE$2:$AT$40,MOD(ROW()-ROW($AE$2),ROWS($AE$2:$AT$40))+1,INT((ROW()-ROW($AE$2))/ROWS($AE$2:$AT$40))+1)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INDEX($AE$2:$AT$40,MOD(ROW()-ROW($AE$2),ROWS($AE$2:$AT$40))+1,INT((ROW()-ROW($AE$2))/ROWS($AE$2:$AT$40))+1)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INDEX($AE$2:$AT$40,MOD(ROW()-ROW($AE$2),ROWS($AE$2:$AT$40))+1,INT((ROW()-ROW($AE$2))/ROWS($AE$2:$AT$40))+1)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INDEX($AE$2:$AT$40,MOD(ROW()-ROW($AE$2),ROWS($AE$2:$AT$40))+1,INT((ROW()-ROW($AE$2))/ROWS($AE$2:$AT$40))+1)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INDEX($AE$2:$AT$40,MOD(ROW()-ROW($AE$2),ROWS($AE$2:$AT$40))+1,INT((ROW()-ROW($AE$2))/ROWS($AE$2:$AT$40))+1)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INDEX($AE$2:$AT$40,MOD(ROW()-ROW($AE$2),ROWS($AE$2:$AT$40))+1,INT((ROW()-ROW($AE$2))/ROWS($AE$2:$AT$40))+1)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INDEX($AE$2:$AT$40,MOD(ROW()-ROW($AE$2),ROWS($AE$2:$AT$40))+1,INT((ROW()-ROW($AE$2))/ROWS($AE$2:$AT$40))+1)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INDEX($AE$2:$AT$40,MOD(ROW()-ROW($AE$2),ROWS($AE$2:$AT$40))+1,INT((ROW()-ROW($AE$2))/ROWS($AE$2:$AT$40))+1)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INDEX($AE$2:$AT$40,MOD(ROW()-ROW($AE$2),ROWS($AE$2:$AT$40))+1,INT((ROW()-ROW($AE$2))/ROWS($AE$2:$AT$40))+1)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INDEX($AE$2:$AT$40,MOD(ROW()-ROW($AE$2),ROWS($AE$2:$AT$40))+1,INT((ROW()-ROW($AE$2))/ROWS($AE$2:$AT$40))+1)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INDEX($AE$2:$AT$40,MOD(ROW()-ROW($AE$2),ROWS($AE$2:$AT$40))+1,INT((ROW()-ROW($AE$2))/ROWS($AE$2:$AT$40))+1)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INDEX($AE$2:$AT$40,MOD(ROW()-ROW($AE$2),ROWS($AE$2:$AT$40))+1,INT((ROW()-ROW($AE$2))/ROWS($AE$2:$AT$40))+1)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INDEX($AE$2:$AT$40,MOD(ROW()-ROW($AE$2),ROWS($AE$2:$AT$40))+1,INT((ROW()-ROW($AE$2))/ROWS($AE$2:$AT$40))+1)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INDEX($AE$2:$AT$40,MOD(ROW()-ROW($AE$2),ROWS($AE$2:$AT$40))+1,INT((ROW()-ROW($AE$2))/ROWS($AE$2:$AT$40))+1)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INDEX($AE$2:$AT$40,MOD(ROW()-ROW($AE$2),ROWS($AE$2:$AT$40))+1,INT((ROW()-ROW($AE$2))/ROWS($AE$2:$AT$40))+1)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INDEX($AE$2:$AT$40,MOD(ROW()-ROW($AE$2),ROWS($AE$2:$AT$40))+1,INT((ROW()-ROW($AE$2))/ROWS($AE$2:$AT$40))+1)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north_supply_temp_sensor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north_airflow_sensor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north_co2_sensor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north_indoor_temp_sensor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INDEX($AE$2:$AT$40,MOD(ROW()-ROW($AE$2),ROWS($AE$2:$AT$40))+1,INT((ROW()-ROW($AE$2))/ROWS($AE$2:$AT$40))+1)</f>
        <v>south_supply_temp_sensor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INDEX($AE$2:$AT$40,MOD(ROW()-ROW($AE$2),ROWS($AE$2:$AT$40))+1,INT((ROW()-ROW($AE$2))/ROWS($AE$2:$AT$40))+1)</f>
        <v>south_airflow_sensor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INDEX($AE$2:$AT$40,MOD(ROW()-ROW($AE$2),ROWS($AE$2:$AT$40))+1,INT((ROW()-ROW($AE$2))/ROWS($AE$2:$AT$40))+1)</f>
        <v>south_co2_sensor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INDEX($AE$2:$AT$40,MOD(ROW()-ROW($AE$2),ROWS($AE$2:$AT$40))+1,INT((ROW()-ROW($AE$2))/ROWS($AE$2:$AT$40))+1)</f>
        <v>south_indoor_temp_sensor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INDEX($AE$2:$AT$40,MOD(ROW()-ROW($AE$2),ROWS($AE$2:$AT$40))+1,INT((ROW()-ROW($AE$2))/ROWS($AE$2:$AT$40))+1)</f>
        <v>east_supply_temp_sensor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INDEX($AE$2:$AT$40,MOD(ROW()-ROW($AE$2),ROWS($AE$2:$AT$40))+1,INT((ROW()-ROW($AE$2))/ROWS($AE$2:$AT$40))+1)</f>
        <v>east_airflow_sensor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INDEX($AE$2:$AT$40,MOD(ROW()-ROW($AE$2),ROWS($AE$2:$AT$40))+1,INT((ROW()-ROW($AE$2))/ROWS($AE$2:$AT$40))+1)</f>
        <v>east_co2_sensor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INDEX($AE$2:$AT$40,MOD(ROW()-ROW($AE$2),ROWS($AE$2:$AT$40))+1,INT((ROW()-ROW($AE$2))/ROWS($AE$2:$AT$40))+1)</f>
        <v>east_indoor_temp_sensor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INDEX($AE$2:$AT$40,MOD(ROW()-ROW($AE$2),ROWS($AE$2:$AT$40))+1,INT((ROW()-ROW($AE$2))/ROWS($AE$2:$AT$40))+1)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INDEX($AE$2:$AT$40,MOD(ROW()-ROW($AE$2),ROWS($AE$2:$AT$40))+1,INT((ROW()-ROW($AE$2))/ROWS($AE$2:$AT$40))+1)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INDEX($AE$2:$AT$40,MOD(ROW()-ROW($AE$2),ROWS($AE$2:$AT$40))+1,INT((ROW()-ROW($AE$2))/ROWS($AE$2:$AT$40))+1)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INDEX($AE$2:$AT$40,MOD(ROW()-ROW($AE$2),ROWS($AE$2:$AT$40))+1,INT((ROW()-ROW($AE$2))/ROWS($AE$2:$AT$40))+1)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INDEX($AE$2:$AT$40,MOD(ROW()-ROW($AE$2),ROWS($AE$2:$AT$40))+1,INT((ROW()-ROW($AE$2))/ROWS($AE$2:$AT$40))+1)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INDEX($AE$2:$AT$40,MOD(ROW()-ROW($AE$2),ROWS($AE$2:$AT$40))+1,INT((ROW()-ROW($AE$2))/ROWS($AE$2:$AT$40))+1)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INDEX($AE$2:$AT$40,MOD(ROW()-ROW($AE$2),ROWS($AE$2:$AT$40))+1,INT((ROW()-ROW($AE$2))/ROWS($AE$2:$AT$40))+1)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INDEX($AE$2:$AT$40,MOD(ROW()-ROW($AE$2),ROWS($AE$2:$AT$40))+1,INT((ROW()-ROW($AE$2))/ROWS($AE$2:$AT$40))+1)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INDEX($AE$2:$AT$40,MOD(ROW()-ROW($AE$2),ROWS($AE$2:$AT$40))+1,INT((ROW()-ROW($AE$2))/ROWS($AE$2:$AT$40))+1)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INDEX($AE$2:$AT$40,MOD(ROW()-ROW($AE$2),ROWS($AE$2:$AT$40))+1,INT((ROW()-ROW($AE$2))/ROWS($AE$2:$AT$40))+1)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INDEX($AE$2:$AT$40,MOD(ROW()-ROW($AE$2),ROWS($AE$2:$AT$40))+1,INT((ROW()-ROW($AE$2))/ROWS($AE$2:$AT$40))+1)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INDEX($AE$2:$AT$40,MOD(ROW()-ROW($AE$2),ROWS($AE$2:$AT$40))+1,INT((ROW()-ROW($AE$2))/ROWS($AE$2:$AT$40))+1)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INDEX($AE$2:$AT$40,MOD(ROW()-ROW($AE$2),ROWS($AE$2:$AT$40))+1,INT((ROW()-ROW($AE$2))/ROWS($AE$2:$AT$40))+1)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INDEX($AE$2:$AT$40,MOD(ROW()-ROW($AE$2),ROWS($AE$2:$AT$40))+1,INT((ROW()-ROW($AE$2))/ROWS($AE$2:$AT$40))+1)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INDEX($AE$2:$AT$40,MOD(ROW()-ROW($AE$2),ROWS($AE$2:$AT$40))+1,INT((ROW()-ROW($AE$2))/ROWS($AE$2:$AT$40))+1)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INDEX($AE$2:$AT$40,MOD(ROW()-ROW($AE$2),ROWS($AE$2:$AT$40))+1,INT((ROW()-ROW($AE$2))/ROWS($AE$2:$AT$40))+1)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supply_fan_flow_meter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INDEX($AE$2:$AT$40,MOD(ROW()-ROW($AE$2),ROWS($AE$2:$AT$40))+1,INT((ROW()-ROW($AE$2))/ROWS($AE$2:$AT$40))+1)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INDEX($AE$2:$AT$40,MOD(ROW()-ROW($AE$2),ROWS($AE$2:$AT$40))+1,INT((ROW()-ROW($AE$2))/ROWS($AE$2:$AT$40))+1)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INDEX($AE$2:$AT$40,MOD(ROW()-ROW($AE$2),ROWS($AE$2:$AT$40))+1,INT((ROW()-ROW($AE$2))/ROWS($AE$2:$AT$40))+1)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INDEX($AE$2:$AT$40,MOD(ROW()-ROW($AE$2),ROWS($AE$2:$AT$40))+1,INT((ROW()-ROW($AE$2))/ROWS($AE$2:$AT$40))+1)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INDEX($AE$2:$AT$40,MOD(ROW()-ROW($AE$2),ROWS($AE$2:$AT$40))+1,INT((ROW()-ROW($AE$2))/ROWS($AE$2:$AT$40))+1)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INDEX($AE$2:$AT$40,MOD(ROW()-ROW($AE$2),ROWS($AE$2:$AT$40))+1,INT((ROW()-ROW($AE$2))/ROWS($AE$2:$AT$40))+1)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INDEX($AE$2:$AT$40,MOD(ROW()-ROW($AE$2),ROWS($AE$2:$AT$40))+1,INT((ROW()-ROW($AE$2))/ROWS($AE$2:$AT$40))+1)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INDEX($AE$2:$AT$40,MOD(ROW()-ROW($AE$2),ROWS($AE$2:$AT$40))+1,INT((ROW()-ROW($AE$2))/ROWS($AE$2:$AT$40))+1)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INDEX($AE$2:$AT$40,MOD(ROW()-ROW($AE$2),ROWS($AE$2:$AT$40))+1,INT((ROW()-ROW($AE$2))/ROWS($AE$2:$AT$40))+1)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INDEX($AE$2:$AT$40,MOD(ROW()-ROW($AE$2),ROWS($AE$2:$AT$40))+1,INT((ROW()-ROW($AE$2))/ROWS($AE$2:$AT$40))+1)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INDEX($AE$2:$AT$40,MOD(ROW()-ROW($AE$2),ROWS($AE$2:$AT$40))+1,INT((ROW()-ROW($AE$2))/ROWS($AE$2:$AT$40))+1)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INDEX($AE$2:$AT$40,MOD(ROW()-ROW($AE$2),ROWS($AE$2:$AT$40))+1,INT((ROW()-ROW($AE$2))/ROWS($AE$2:$AT$40))+1)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INDEX($AE$2:$AT$40,MOD(ROW()-ROW($AE$2),ROWS($AE$2:$AT$40))+1,INT((ROW()-ROW($AE$2))/ROWS($AE$2:$AT$40))+1)</f>
        <v>north_reheat_coil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INDEX($AE$2:$AT$40,MOD(ROW()-ROW($AE$2),ROWS($AE$2:$AT$40))+1,INT((ROW()-ROW($AE$2))/ROWS($AE$2:$AT$40))+1)</f>
        <v>south_reheat_coil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INDEX($AE$2:$AT$40,MOD(ROW()-ROW($AE$2),ROWS($AE$2:$AT$40))+1,INT((ROW()-ROW($AE$2))/ROWS($AE$2:$AT$40))+1)</f>
        <v>east_reheat_coil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INDEX($AE$2:$AT$40,MOD(ROW()-ROW($AE$2),ROWS($AE$2:$AT$40))+1,INT((ROW()-ROW($AE$2))/ROWS($AE$2:$AT$40))+1)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INDEX($AE$2:$AT$40,MOD(ROW()-ROW($AE$2),ROWS($AE$2:$AT$40))+1,INT((ROW()-ROW($AE$2))/ROWS($AE$2:$AT$40))+1)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INDEX($AE$2:$AT$40,MOD(ROW()-ROW($AE$2),ROWS($AE$2:$AT$40))+1,INT((ROW()-ROW($AE$2))/ROWS($AE$2:$AT$40))+1)</f>
        <v>north_reheat_coil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INDEX($AE$2:$AT$40,MOD(ROW()-ROW($AE$2),ROWS($AE$2:$AT$40))+1,INT((ROW()-ROW($AE$2))/ROWS($AE$2:$AT$40))+1)</f>
        <v>south_reheat_coil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INDEX($AE$2:$AT$40,MOD(ROW()-ROW($AE$2),ROWS($AE$2:$AT$40))+1,INT((ROW()-ROW($AE$2))/ROWS($AE$2:$AT$40))+1)</f>
        <v>east_reheat_coil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INDEX($AE$2:$AT$40,MOD(ROW()-ROW($AE$2),ROWS($AE$2:$AT$40))+1,INT((ROW()-ROW($AE$2))/ROWS($AE$2:$AT$40))+1)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cm="1">
        <f t="array" ref="Z588">INDEX($AE$2:$AT$40,MOD(ROW()-ROW($AE$2),ROWS($AE$2:$AT$40))+1,INT((ROW()-ROW($AE$2))/ROWS($AE$2:$AT$40))+1)</f>
        <v>0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2025-04-03T10:13:22Z</dcterms:modified>
</cp:coreProperties>
</file>