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91" documentId="13_ncr:1_{52B2042A-4621-455F-8697-0ABC6AEF5859}" xr6:coauthVersionLast="47" xr6:coauthVersionMax="47" xr10:uidLastSave="{490BAB96-3EEB-4B48-BF56-CFB9B19840BB}"/>
  <bookViews>
    <workbookView xWindow="11640" yWindow="2055" windowWidth="21810" windowHeight="15345" firstSheet="1" activeTab="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externalReferences>
    <externalReference r:id="rId20"/>
  </externalReference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7" l="1"/>
  <c r="Z6" i="16" l="1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Z4" i="16" a="1"/>
  <c r="Z4" i="16" s="1"/>
  <c r="Z5" i="16" a="1"/>
  <c r="Z5" i="16" s="1"/>
  <c r="AU2" i="16" a="1"/>
  <c r="AU2" i="16" s="1"/>
  <c r="Z626" i="16" s="1" a="1"/>
  <c r="Z626" i="16" s="1"/>
  <c r="AT2" i="16" l="1" a="1"/>
  <c r="AT2" i="16" l="1"/>
  <c r="Z587" i="16" s="1" a="1"/>
  <c r="Z587" i="16" s="1"/>
  <c r="Z588" i="16" a="1"/>
  <c r="Z588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Z159" i="16" s="1" a="1"/>
  <c r="Z159" i="16" s="1"/>
  <c r="AH2" i="16" a="1"/>
  <c r="AG2" i="16" a="1"/>
  <c r="AF2" i="16" a="1"/>
  <c r="AE2" i="16" a="1"/>
  <c r="Z3" i="16" s="1" a="1"/>
  <c r="Z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54" i="16" l="1" a="1"/>
  <c r="Z354" i="16" s="1"/>
  <c r="Z355" i="16" a="1"/>
  <c r="Z355" i="16" s="1"/>
  <c r="Z356" i="16" a="1"/>
  <c r="Z356" i="16" s="1"/>
  <c r="Z329" i="16" a="1"/>
  <c r="Z329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0" i="16" a="1"/>
  <c r="Z330" i="16" s="1"/>
  <c r="Z123" i="16" a="1"/>
  <c r="Z123" i="16" s="1"/>
  <c r="Z124" i="16" a="1"/>
  <c r="Z124" i="16" s="1"/>
  <c r="Z42" i="16" a="1"/>
  <c r="Z42" i="16" s="1"/>
  <c r="Z43" i="16" a="1"/>
  <c r="Z43" i="16" s="1"/>
  <c r="Z44" i="16" a="1"/>
  <c r="Z44" i="16" s="1"/>
  <c r="Z122" i="16" a="1"/>
  <c r="Z122" i="16" s="1"/>
  <c r="Z120" i="16" a="1"/>
  <c r="Z120" i="16" s="1"/>
  <c r="Z121" i="16" a="1"/>
  <c r="Z121" i="16" s="1"/>
  <c r="Z320" i="16" a="1"/>
  <c r="Z320" i="16" s="1"/>
  <c r="Z321" i="16" a="1"/>
  <c r="Z321" i="16" s="1"/>
  <c r="Z322" i="16" a="1"/>
  <c r="Z322" i="16" s="1"/>
  <c r="Z323" i="16" a="1"/>
  <c r="Z323" i="16" s="1"/>
  <c r="Z324" i="16" a="1"/>
  <c r="Z324" i="16" s="1"/>
  <c r="Z325" i="16" a="1"/>
  <c r="Z325" i="16" s="1"/>
  <c r="Z326" i="16" a="1"/>
  <c r="Z326" i="16" s="1"/>
  <c r="Z327" i="16" a="1"/>
  <c r="Z327" i="16" s="1"/>
  <c r="Z328" i="16" a="1"/>
  <c r="Z328" i="16" s="1"/>
  <c r="Z315" i="16" a="1"/>
  <c r="Z315" i="16" s="1"/>
  <c r="Z316" i="16" a="1"/>
  <c r="Z316" i="16" s="1"/>
  <c r="Z317" i="16" a="1"/>
  <c r="Z317" i="16" s="1"/>
  <c r="Z318" i="16" a="1"/>
  <c r="Z318" i="16" s="1"/>
  <c r="Z319" i="16" a="1"/>
  <c r="Z319" i="16" s="1"/>
  <c r="AQ8" i="16"/>
  <c r="AP4" i="16"/>
  <c r="AP5" i="16"/>
  <c r="AP6" i="16"/>
  <c r="AP7" i="16"/>
  <c r="AP8" i="16"/>
  <c r="AQ6" i="16"/>
  <c r="AQ4" i="16"/>
  <c r="AQ5" i="16"/>
  <c r="AQ7" i="16"/>
  <c r="AS2" i="16"/>
  <c r="Z548" i="16" s="1" a="1"/>
  <c r="Z548" i="16" s="1"/>
  <c r="AH2" i="16"/>
  <c r="Z119" i="16" s="1" a="1"/>
  <c r="Z119" i="16" s="1"/>
  <c r="AG2" i="16"/>
  <c r="Z80" i="16" s="1" a="1"/>
  <c r="Z80" i="16" s="1"/>
  <c r="AE2" i="16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U3" i="16" s="1" a="1"/>
  <c r="U3" i="16" s="1"/>
  <c r="B2" i="16" a="1"/>
  <c r="P3" i="16" s="1" a="1"/>
  <c r="P3" i="16" s="1"/>
  <c r="Z2" i="16" l="1" a="1"/>
  <c r="Z2" i="16" s="1"/>
  <c r="AA2" i="16" s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1" i="7"/>
  <c r="C72" i="7"/>
  <c r="C73" i="7"/>
  <c r="C79" i="7"/>
  <c r="C80" i="7"/>
  <c r="C81" i="7"/>
  <c r="C82" i="7"/>
  <c r="C84" i="7"/>
  <c r="C87" i="7"/>
  <c r="C88" i="7"/>
  <c r="C89" i="7"/>
  <c r="C90" i="7"/>
  <c r="C92" i="7"/>
  <c r="C95" i="7"/>
  <c r="C96" i="7"/>
  <c r="C97" i="7"/>
  <c r="C98" i="7"/>
  <c r="C103" i="7"/>
  <c r="C104" i="7"/>
  <c r="C105" i="7"/>
  <c r="C106" i="7"/>
  <c r="A3" i="12"/>
  <c r="C989" i="7"/>
  <c r="C990" i="7"/>
  <c r="C991" i="7"/>
  <c r="C69" i="7"/>
  <c r="C70" i="7"/>
  <c r="C74" i="7"/>
  <c r="C75" i="7"/>
  <c r="C76" i="7"/>
  <c r="C77" i="7"/>
  <c r="C78" i="7"/>
  <c r="C83" i="7"/>
  <c r="C85" i="7"/>
  <c r="C86" i="7"/>
  <c r="C91" i="7"/>
  <c r="C93" i="7"/>
  <c r="C94" i="7"/>
  <c r="C99" i="7"/>
  <c r="C100" i="7"/>
  <c r="C101" i="7"/>
  <c r="C102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AA3" i="16"/>
  <c r="U2" i="16" l="1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B3" i="16" a="1"/>
  <c r="AB2" i="16" a="1"/>
  <c r="AA4" i="16"/>
  <c r="AB2" i="16" l="1"/>
  <c r="AB3" i="16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R2" i="16" a="1"/>
  <c r="AB4" i="16" a="1"/>
  <c r="AA5" i="16"/>
  <c r="Q3" i="16"/>
  <c r="AB4" i="16" l="1"/>
  <c r="AL2" i="16" a="1"/>
  <c r="R2" i="16"/>
  <c r="AB5" i="16" a="1"/>
  <c r="Q4" i="16"/>
  <c r="AA6" i="16"/>
  <c r="W2" i="16" a="1"/>
  <c r="R3" i="16" a="1"/>
  <c r="Z278" i="16" l="1" a="1"/>
  <c r="Z278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AA7" i="16"/>
  <c r="AB6" i="16" a="1"/>
  <c r="R4" i="16" a="1"/>
  <c r="Q5" i="16"/>
  <c r="AB6" i="16" l="1"/>
  <c r="R4" i="16"/>
  <c r="AB7" i="16" a="1"/>
  <c r="R5" i="16" a="1"/>
  <c r="Q6" i="16"/>
  <c r="AA8" i="16"/>
  <c r="AB7" i="16" l="1"/>
  <c r="R5" i="16"/>
  <c r="AA9" i="16"/>
  <c r="R6" i="16" a="1"/>
  <c r="AB8" i="16" a="1"/>
  <c r="Q7" i="16"/>
  <c r="AB8" i="16" l="1"/>
  <c r="R6" i="16"/>
  <c r="AA10" i="16"/>
  <c r="R7" i="16" a="1"/>
  <c r="AB9" i="16" a="1"/>
  <c r="Q8" i="16"/>
  <c r="AB9" i="16" l="1"/>
  <c r="R7" i="16"/>
  <c r="AB10" i="16" a="1"/>
  <c r="Q9" i="16"/>
  <c r="R8" i="16" a="1"/>
  <c r="AA11" i="16"/>
  <c r="AB10" i="16" l="1"/>
  <c r="R8" i="16"/>
  <c r="Q10" i="16"/>
  <c r="AA12" i="16"/>
  <c r="AB11" i="16" a="1"/>
  <c r="R9" i="16" a="1"/>
  <c r="AB11" i="16" l="1"/>
  <c r="R9" i="16"/>
  <c r="AB12" i="16" a="1"/>
  <c r="R10" i="16" a="1"/>
  <c r="Q11" i="16"/>
  <c r="AA13" i="16"/>
  <c r="AB12" i="16" l="1"/>
  <c r="R10" i="16"/>
  <c r="Q12" i="16"/>
  <c r="AA14" i="16"/>
  <c r="R11" i="16" a="1"/>
  <c r="AB13" i="16" a="1"/>
  <c r="AB13" i="16" l="1"/>
  <c r="R11" i="16"/>
  <c r="AB14" i="16" a="1"/>
  <c r="Q13" i="16"/>
  <c r="R12" i="16" a="1"/>
  <c r="AA15" i="16"/>
  <c r="AB14" i="16" l="1"/>
  <c r="R12" i="16"/>
  <c r="Q14" i="16"/>
  <c r="R13" i="16" a="1"/>
  <c r="AB15" i="16" a="1"/>
  <c r="AA16" i="16"/>
  <c r="AB15" i="16" l="1"/>
  <c r="R13" i="16"/>
  <c r="AB16" i="16" a="1"/>
  <c r="AA17" i="16"/>
  <c r="Q15" i="16"/>
  <c r="R14" i="16" a="1"/>
  <c r="AB16" i="16" l="1"/>
  <c r="R14" i="16"/>
  <c r="Q16" i="16"/>
  <c r="R15" i="16" a="1"/>
  <c r="AA18" i="16"/>
  <c r="AB17" i="16" a="1"/>
  <c r="AB17" i="16" l="1"/>
  <c r="R15" i="16"/>
  <c r="AB18" i="16" a="1"/>
  <c r="AA19" i="16"/>
  <c r="R16" i="16" a="1"/>
  <c r="Q17" i="16"/>
  <c r="AB18" i="16" l="1"/>
  <c r="R16" i="16"/>
  <c r="AB19" i="16" a="1"/>
  <c r="AA20" i="16"/>
  <c r="Q18" i="16"/>
  <c r="R17" i="16" a="1"/>
  <c r="AB19" i="16" l="1"/>
  <c r="R17" i="16"/>
  <c r="R18" i="16" a="1"/>
  <c r="Q19" i="16"/>
  <c r="AB20" i="16" a="1"/>
  <c r="AA21" i="16"/>
  <c r="AB20" i="16" l="1"/>
  <c r="R18" i="16"/>
  <c r="Q20" i="16"/>
  <c r="R19" i="16" a="1"/>
  <c r="AB21" i="16" a="1"/>
  <c r="AA22" i="16"/>
  <c r="AB21" i="16" l="1"/>
  <c r="R19" i="16"/>
  <c r="R20" i="16" a="1"/>
  <c r="AA23" i="16"/>
  <c r="AB22" i="16" a="1"/>
  <c r="Q21" i="16"/>
  <c r="AB22" i="16" l="1"/>
  <c r="R20" i="16"/>
  <c r="AA24" i="16"/>
  <c r="R21" i="16" a="1"/>
  <c r="Q22" i="16"/>
  <c r="AB23" i="16" a="1"/>
  <c r="AB23" i="16" l="1"/>
  <c r="R21" i="16"/>
  <c r="R22" i="16" a="1"/>
  <c r="AA25" i="16"/>
  <c r="Q23" i="16"/>
  <c r="AB24" i="16" a="1"/>
  <c r="AB24" i="16" l="1"/>
  <c r="R22" i="16"/>
  <c r="Q24" i="16"/>
  <c r="AA26" i="16"/>
  <c r="R23" i="16" a="1"/>
  <c r="AB25" i="16" a="1"/>
  <c r="AB25" i="16" l="1"/>
  <c r="R23" i="16"/>
  <c r="Q25" i="16"/>
  <c r="AB26" i="16" a="1"/>
  <c r="R24" i="16" a="1"/>
  <c r="AA27" i="16"/>
  <c r="AB26" i="16" l="1"/>
  <c r="R24" i="16"/>
  <c r="R25" i="16" a="1"/>
  <c r="AB27" i="16" a="1"/>
  <c r="Q26" i="16"/>
  <c r="AA28" i="16"/>
  <c r="AB27" i="16" l="1"/>
  <c r="R25" i="16"/>
  <c r="AA29" i="16"/>
  <c r="AB28" i="16" a="1"/>
  <c r="R26" i="16" a="1"/>
  <c r="Q27" i="16"/>
  <c r="AB28" i="16" l="1"/>
  <c r="R26" i="16"/>
  <c r="R27" i="16" a="1"/>
  <c r="Q28" i="16"/>
  <c r="AB29" i="16" a="1"/>
  <c r="AA30" i="16"/>
  <c r="AB29" i="16" l="1"/>
  <c r="R27" i="16"/>
  <c r="R28" i="16" a="1"/>
  <c r="Q29" i="16"/>
  <c r="AB30" i="16" a="1"/>
  <c r="AA31" i="16"/>
  <c r="AB30" i="16" l="1"/>
  <c r="R28" i="16"/>
  <c r="AB31" i="16" a="1"/>
  <c r="R29" i="16" a="1"/>
  <c r="Q30" i="16"/>
  <c r="AA32" i="16"/>
  <c r="AB31" i="16" l="1"/>
  <c r="R29" i="16"/>
  <c r="Q31" i="16"/>
  <c r="AA33" i="16"/>
  <c r="AB32" i="16" a="1"/>
  <c r="R30" i="16" a="1"/>
  <c r="AB32" i="16" l="1"/>
  <c r="R30" i="16"/>
  <c r="AB33" i="16" a="1"/>
  <c r="AA34" i="16"/>
  <c r="R31" i="16" a="1"/>
  <c r="Q32" i="16"/>
  <c r="AB33" i="16" l="1"/>
  <c r="R31" i="16"/>
  <c r="AB34" i="16" a="1"/>
  <c r="Q33" i="16"/>
  <c r="R32" i="16" a="1"/>
  <c r="AA35" i="16"/>
  <c r="AB34" i="16" l="1"/>
  <c r="R32" i="16"/>
  <c r="R33" i="16" a="1"/>
  <c r="AA36" i="16"/>
  <c r="Q34" i="16"/>
  <c r="AB35" i="16" a="1"/>
  <c r="AB35" i="16" l="1"/>
  <c r="R33" i="16"/>
  <c r="R34" i="16" a="1"/>
  <c r="AA37" i="16"/>
  <c r="Q35" i="16"/>
  <c r="AB36" i="16" a="1"/>
  <c r="AB36" i="16" l="1"/>
  <c r="R34" i="16"/>
  <c r="AB37" i="16" a="1"/>
  <c r="AA38" i="16"/>
  <c r="Q36" i="16"/>
  <c r="R35" i="16" a="1"/>
  <c r="AB37" i="16" l="1"/>
  <c r="R35" i="16"/>
  <c r="AB38" i="16" a="1"/>
  <c r="Q37" i="16"/>
  <c r="R36" i="16" a="1"/>
  <c r="AA39" i="16"/>
  <c r="AB38" i="16" l="1"/>
  <c r="R36" i="16"/>
  <c r="AA40" i="16"/>
  <c r="AB39" i="16" a="1"/>
  <c r="Q38" i="16"/>
  <c r="R37" i="16" a="1"/>
  <c r="AB39" i="16" l="1"/>
  <c r="R37" i="16"/>
  <c r="AB40" i="16" a="1"/>
  <c r="R38" i="16" a="1"/>
  <c r="Q39" i="16"/>
  <c r="AA41" i="16"/>
  <c r="AB40" i="16" l="1"/>
  <c r="R38" i="16"/>
  <c r="AB41" i="16" a="1"/>
  <c r="Q40" i="16"/>
  <c r="R39" i="16" a="1"/>
  <c r="AA42" i="16"/>
  <c r="AB41" i="16" l="1"/>
  <c r="R39" i="16"/>
  <c r="R40" i="16" a="1"/>
  <c r="Q41" i="16"/>
  <c r="AA43" i="16"/>
  <c r="AB42" i="16" a="1"/>
  <c r="AB42" i="16" l="1"/>
  <c r="R40" i="16"/>
  <c r="R41" i="16" a="1"/>
  <c r="Q42" i="16"/>
  <c r="AB43" i="16" a="1"/>
  <c r="AA44" i="16"/>
  <c r="AB43" i="16" l="1"/>
  <c r="R41" i="16"/>
  <c r="AB44" i="16" a="1"/>
  <c r="R42" i="16" a="1"/>
  <c r="Q43" i="16"/>
  <c r="AA45" i="16"/>
  <c r="AB44" i="16" l="1"/>
  <c r="R42" i="16"/>
  <c r="AB45" i="16" a="1"/>
  <c r="AA46" i="16"/>
  <c r="R43" i="16" a="1"/>
  <c r="Q44" i="16"/>
  <c r="AB45" i="16" l="1"/>
  <c r="R43" i="16"/>
  <c r="AB46" i="16" a="1"/>
  <c r="Q45" i="16"/>
  <c r="AA47" i="16"/>
  <c r="R44" i="16" a="1"/>
  <c r="AB46" i="16" l="1"/>
  <c r="R44" i="16"/>
  <c r="R45" i="16" a="1"/>
  <c r="Q46" i="16"/>
  <c r="AB47" i="16" a="1"/>
  <c r="AA48" i="16"/>
  <c r="AB47" i="16" l="1"/>
  <c r="R45" i="16"/>
  <c r="Q47" i="16"/>
  <c r="R46" i="16" a="1"/>
  <c r="AA49" i="16"/>
  <c r="AB48" i="16" a="1"/>
  <c r="AB48" i="16" l="1"/>
  <c r="R46" i="16"/>
  <c r="Q48" i="16"/>
  <c r="AA50" i="16"/>
  <c r="R47" i="16" a="1"/>
  <c r="AB49" i="16" a="1"/>
  <c r="AB49" i="16" l="1"/>
  <c r="R47" i="16"/>
  <c r="AA51" i="16"/>
  <c r="R48" i="16" a="1"/>
  <c r="AB50" i="16" a="1"/>
  <c r="Q49" i="16"/>
  <c r="AB50" i="16" l="1"/>
  <c r="R48" i="16"/>
  <c r="AA52" i="16"/>
  <c r="AB51" i="16" a="1"/>
  <c r="R49" i="16" a="1"/>
  <c r="Q50" i="16"/>
  <c r="AB51" i="16" l="1"/>
  <c r="R49" i="16"/>
  <c r="AB52" i="16" a="1"/>
  <c r="AA53" i="16"/>
  <c r="Q51" i="16"/>
  <c r="R50" i="16" a="1"/>
  <c r="AB52" i="16" l="1"/>
  <c r="R50" i="16"/>
  <c r="AB53" i="16" a="1"/>
  <c r="AA54" i="16"/>
  <c r="Q52" i="16"/>
  <c r="R51" i="16" a="1"/>
  <c r="AB53" i="16" l="1"/>
  <c r="R51" i="16"/>
  <c r="R52" i="16" a="1"/>
  <c r="AB54" i="16" a="1"/>
  <c r="AA55" i="16"/>
  <c r="Q53" i="16"/>
  <c r="AB54" i="16" l="1"/>
  <c r="R52" i="16"/>
  <c r="Q54" i="16"/>
  <c r="R53" i="16" a="1"/>
  <c r="AB55" i="16" a="1"/>
  <c r="AA56" i="16"/>
  <c r="AB55" i="16" l="1"/>
  <c r="R53" i="16"/>
  <c r="Q55" i="16"/>
  <c r="AA57" i="16"/>
  <c r="AB56" i="16" a="1"/>
  <c r="R54" i="16" a="1"/>
  <c r="AB56" i="16" l="1"/>
  <c r="R54" i="16"/>
  <c r="AB57" i="16" a="1"/>
  <c r="AA58" i="16"/>
  <c r="Q56" i="16"/>
  <c r="R55" i="16" a="1"/>
  <c r="AB57" i="16" l="1"/>
  <c r="R55" i="16"/>
  <c r="AA59" i="16"/>
  <c r="R56" i="16" a="1"/>
  <c r="AB58" i="16" a="1"/>
  <c r="Q57" i="16"/>
  <c r="AB58" i="16" l="1"/>
  <c r="R56" i="16"/>
  <c r="AB59" i="16" a="1"/>
  <c r="Q58" i="16"/>
  <c r="R57" i="16" a="1"/>
  <c r="AA60" i="16"/>
  <c r="AB59" i="16" l="1"/>
  <c r="R57" i="16"/>
  <c r="R58" i="16" a="1"/>
  <c r="AA61" i="16"/>
  <c r="AB60" i="16" a="1"/>
  <c r="Q59" i="16"/>
  <c r="AB60" i="16" l="1"/>
  <c r="R58" i="16"/>
  <c r="AB61" i="16" a="1"/>
  <c r="Q60" i="16"/>
  <c r="AA62" i="16"/>
  <c r="R59" i="16" a="1"/>
  <c r="AB61" i="16" l="1"/>
  <c r="R59" i="16"/>
  <c r="Q61" i="16"/>
  <c r="AA63" i="16"/>
  <c r="R60" i="16" a="1"/>
  <c r="AB62" i="16" a="1"/>
  <c r="AB62" i="16" l="1"/>
  <c r="R60" i="16"/>
  <c r="AA64" i="16"/>
  <c r="R61" i="16" a="1"/>
  <c r="Q62" i="16"/>
  <c r="AB63" i="16" a="1"/>
  <c r="AB63" i="16" l="1"/>
  <c r="R61" i="16"/>
  <c r="AB64" i="16" a="1"/>
  <c r="R62" i="16" a="1"/>
  <c r="AA65" i="16"/>
  <c r="Q63" i="16"/>
  <c r="AB64" i="16" l="1"/>
  <c r="R62" i="16"/>
  <c r="R63" i="16" a="1"/>
  <c r="AB65" i="16" a="1"/>
  <c r="Q64" i="16"/>
  <c r="AA66" i="16"/>
  <c r="AB65" i="16" l="1"/>
  <c r="R63" i="16"/>
  <c r="AB66" i="16" a="1"/>
  <c r="Q65" i="16"/>
  <c r="AA67" i="16"/>
  <c r="R64" i="16" a="1"/>
  <c r="AB66" i="16" l="1"/>
  <c r="R64" i="16"/>
  <c r="AB67" i="16" a="1"/>
  <c r="Q66" i="16"/>
  <c r="AA68" i="16"/>
  <c r="R65" i="16" a="1"/>
  <c r="AB67" i="16" l="1"/>
  <c r="R65" i="16"/>
  <c r="R66" i="16" a="1"/>
  <c r="AA69" i="16"/>
  <c r="Q67" i="16"/>
  <c r="AB68" i="16" a="1"/>
  <c r="AB68" i="16" l="1"/>
  <c r="R66" i="16"/>
  <c r="Q68" i="16"/>
  <c r="AB69" i="16" a="1"/>
  <c r="R67" i="16" a="1"/>
  <c r="AA70" i="16"/>
  <c r="AB69" i="16" l="1"/>
  <c r="R67" i="16"/>
  <c r="AB70" i="16" a="1"/>
  <c r="Q69" i="16"/>
  <c r="AA71" i="16"/>
  <c r="R68" i="16" a="1"/>
  <c r="AB70" i="16" l="1"/>
  <c r="R68" i="16"/>
  <c r="AA72" i="16"/>
  <c r="AB71" i="16" a="1"/>
  <c r="R69" i="16" a="1"/>
  <c r="Q70" i="16"/>
  <c r="AB71" i="16" l="1"/>
  <c r="R69" i="16"/>
  <c r="AA73" i="16"/>
  <c r="AB72" i="16" a="1"/>
  <c r="R70" i="16" a="1"/>
  <c r="Q71" i="16"/>
  <c r="AB72" i="16" l="1"/>
  <c r="R70" i="16"/>
  <c r="Q72" i="16"/>
  <c r="R71" i="16" a="1"/>
  <c r="AB73" i="16" a="1"/>
  <c r="AA74" i="16"/>
  <c r="AB73" i="16" l="1"/>
  <c r="R71" i="16"/>
  <c r="AB74" i="16" a="1"/>
  <c r="Q73" i="16"/>
  <c r="R72" i="16" a="1"/>
  <c r="AA75" i="16"/>
  <c r="AB74" i="16" l="1"/>
  <c r="R72" i="16"/>
  <c r="AB75" i="16" a="1"/>
  <c r="AA76" i="16"/>
  <c r="R73" i="16" a="1"/>
  <c r="Q74" i="16"/>
  <c r="AB75" i="16" l="1"/>
  <c r="R73" i="16"/>
  <c r="AB76" i="16" a="1"/>
  <c r="AA77" i="16"/>
  <c r="R74" i="16" a="1"/>
  <c r="Q75" i="16"/>
  <c r="AB76" i="16" l="1"/>
  <c r="R74" i="16"/>
  <c r="AB77" i="16" a="1"/>
  <c r="R75" i="16" a="1"/>
  <c r="Q76" i="16"/>
  <c r="AA78" i="16"/>
  <c r="AB77" i="16" l="1"/>
  <c r="R75" i="16"/>
  <c r="AA79" i="16"/>
  <c r="Q77" i="16"/>
  <c r="R76" i="16" a="1"/>
  <c r="AB78" i="16" a="1"/>
  <c r="AB78" i="16" l="1"/>
  <c r="R76" i="16"/>
  <c r="AB79" i="16" a="1"/>
  <c r="AA80" i="16"/>
  <c r="Q78" i="16"/>
  <c r="R77" i="16" a="1"/>
  <c r="AB79" i="16" l="1"/>
  <c r="R77" i="16"/>
  <c r="R78" i="16" a="1"/>
  <c r="Q79" i="16"/>
  <c r="AB80" i="16" a="1"/>
  <c r="AA81" i="16"/>
  <c r="AB80" i="16" l="1"/>
  <c r="R78" i="16"/>
  <c r="R79" i="16" a="1"/>
  <c r="AA82" i="16"/>
  <c r="AB81" i="16" a="1"/>
  <c r="Q80" i="16"/>
  <c r="AB81" i="16" l="1"/>
  <c r="R79" i="16"/>
  <c r="Q81" i="16"/>
  <c r="R80" i="16" a="1"/>
  <c r="AB82" i="16" a="1"/>
  <c r="AA83" i="16"/>
  <c r="AB82" i="16" l="1"/>
  <c r="R80" i="16"/>
  <c r="R81" i="16" a="1"/>
  <c r="AB83" i="16" a="1"/>
  <c r="AA84" i="16"/>
  <c r="Q82" i="16"/>
  <c r="AB83" i="16" l="1"/>
  <c r="R81" i="16"/>
  <c r="R82" i="16" a="1"/>
  <c r="Q83" i="16"/>
  <c r="AA85" i="16"/>
  <c r="AB84" i="16" a="1"/>
  <c r="AB84" i="16" l="1"/>
  <c r="R82" i="16"/>
  <c r="AB85" i="16" a="1"/>
  <c r="R83" i="16" a="1"/>
  <c r="Q84" i="16"/>
  <c r="AA86" i="16"/>
  <c r="AB85" i="16" l="1"/>
  <c r="R83" i="16"/>
  <c r="R84" i="16" a="1"/>
  <c r="AA87" i="16"/>
  <c r="AB86" i="16" a="1"/>
  <c r="Q85" i="16"/>
  <c r="AB86" i="16" l="1"/>
  <c r="R84" i="16"/>
  <c r="AA88" i="16"/>
  <c r="AB87" i="16" a="1"/>
  <c r="R85" i="16" a="1"/>
  <c r="Q86" i="16"/>
  <c r="AB87" i="16" l="1"/>
  <c r="R85" i="16"/>
  <c r="Q87" i="16"/>
  <c r="R86" i="16" a="1"/>
  <c r="AB88" i="16" a="1"/>
  <c r="AA89" i="16"/>
  <c r="AB88" i="16" l="1"/>
  <c r="R86" i="16"/>
  <c r="AA90" i="16"/>
  <c r="AB89" i="16" a="1"/>
  <c r="Q88" i="16"/>
  <c r="R87" i="16" a="1"/>
  <c r="AB89" i="16" l="1"/>
  <c r="R87" i="16"/>
  <c r="AB90" i="16" a="1"/>
  <c r="R88" i="16" a="1"/>
  <c r="Q89" i="16"/>
  <c r="AA91" i="16"/>
  <c r="AB90" i="16" l="1"/>
  <c r="R88" i="16"/>
  <c r="Q90" i="16"/>
  <c r="R89" i="16" a="1"/>
  <c r="AB91" i="16" a="1"/>
  <c r="AA92" i="16"/>
  <c r="AB91" i="16" l="1"/>
  <c r="R89" i="16"/>
  <c r="AA93" i="16"/>
  <c r="R90" i="16" a="1"/>
  <c r="Q91" i="16"/>
  <c r="AB92" i="16" a="1"/>
  <c r="AB92" i="16" l="1"/>
  <c r="R90" i="16"/>
  <c r="R91" i="16" a="1"/>
  <c r="AA94" i="16"/>
  <c r="AB93" i="16" a="1"/>
  <c r="Q92" i="16"/>
  <c r="AB93" i="16" l="1"/>
  <c r="R91" i="16"/>
  <c r="AB94" i="16" a="1"/>
  <c r="R92" i="16" a="1"/>
  <c r="Q93" i="16"/>
  <c r="AA95" i="16"/>
  <c r="AB94" i="16" l="1"/>
  <c r="R92" i="16"/>
  <c r="AB95" i="16" a="1"/>
  <c r="Q94" i="16"/>
  <c r="AA96" i="16"/>
  <c r="R93" i="16" a="1"/>
  <c r="AB95" i="16" l="1"/>
  <c r="R93" i="16"/>
  <c r="AB96" i="16" a="1"/>
  <c r="Q95" i="16"/>
  <c r="R94" i="16" a="1"/>
  <c r="AA97" i="16"/>
  <c r="AB96" i="16" l="1"/>
  <c r="R94" i="16"/>
  <c r="AA98" i="16"/>
  <c r="R95" i="16" a="1"/>
  <c r="AB97" i="16" a="1"/>
  <c r="Q96" i="16"/>
  <c r="AB97" i="16" l="1"/>
  <c r="R95" i="16"/>
  <c r="AB98" i="16" a="1"/>
  <c r="R96" i="16" a="1"/>
  <c r="Q97" i="16"/>
  <c r="AA99" i="16"/>
  <c r="AB98" i="16" l="1"/>
  <c r="R96" i="16"/>
  <c r="R97" i="16" a="1"/>
  <c r="AB99" i="16" a="1"/>
  <c r="Q98" i="16"/>
  <c r="AA100" i="16"/>
  <c r="AB99" i="16" l="1"/>
  <c r="R97" i="16"/>
  <c r="AB100" i="16" a="1"/>
  <c r="AA101" i="16"/>
  <c r="Q99" i="16"/>
  <c r="R98" i="16" a="1"/>
  <c r="AB100" i="16" l="1"/>
  <c r="R98" i="16"/>
  <c r="AA102" i="16"/>
  <c r="R99" i="16" a="1"/>
  <c r="AB101" i="16" a="1"/>
  <c r="Q100" i="16"/>
  <c r="AB101" i="16" l="1"/>
  <c r="R99" i="16"/>
  <c r="R100" i="16" a="1"/>
  <c r="AA103" i="16"/>
  <c r="AB102" i="16" a="1"/>
  <c r="Q101" i="16"/>
  <c r="AB102" i="16" l="1"/>
  <c r="R100" i="16"/>
  <c r="Q102" i="16"/>
  <c r="AB103" i="16" a="1"/>
  <c r="R101" i="16" a="1"/>
  <c r="AA104" i="16"/>
  <c r="AB103" i="16" l="1"/>
  <c r="R101" i="16"/>
  <c r="R102" i="16" a="1"/>
  <c r="AA105" i="16"/>
  <c r="Q103" i="16"/>
  <c r="AB104" i="16" a="1"/>
  <c r="AB104" i="16" l="1"/>
  <c r="R102" i="16"/>
  <c r="AB105" i="16" a="1"/>
  <c r="R103" i="16" a="1"/>
  <c r="Q104" i="16"/>
  <c r="AA106" i="16"/>
  <c r="AB105" i="16" l="1"/>
  <c r="R103" i="16"/>
  <c r="R104" i="16" a="1"/>
  <c r="AA107" i="16"/>
  <c r="AB106" i="16" a="1"/>
  <c r="Q105" i="16"/>
  <c r="AB106" i="16" l="1"/>
  <c r="R104" i="16"/>
  <c r="R105" i="16" a="1"/>
  <c r="AB107" i="16" a="1"/>
  <c r="AA108" i="16"/>
  <c r="Q106" i="16"/>
  <c r="AB107" i="16" l="1"/>
  <c r="R105" i="16"/>
  <c r="R106" i="16" a="1"/>
  <c r="AB108" i="16" a="1"/>
  <c r="AA109" i="16"/>
  <c r="Q107" i="16"/>
  <c r="AB108" i="16" l="1"/>
  <c r="R106" i="16"/>
  <c r="AB109" i="16" a="1"/>
  <c r="AA110" i="16"/>
  <c r="R107" i="16" a="1"/>
  <c r="Q108" i="16"/>
  <c r="AB109" i="16" l="1"/>
  <c r="R107" i="16"/>
  <c r="AA111" i="16"/>
  <c r="Q109" i="16"/>
  <c r="R108" i="16" a="1"/>
  <c r="AB110" i="16" a="1"/>
  <c r="AB110" i="16" l="1"/>
  <c r="R108" i="16"/>
  <c r="R109" i="16" a="1"/>
  <c r="AA112" i="16"/>
  <c r="Q110" i="16"/>
  <c r="AB111" i="16" a="1"/>
  <c r="AB111" i="16" l="1"/>
  <c r="R109" i="16"/>
  <c r="AB112" i="16" a="1"/>
  <c r="R110" i="16" a="1"/>
  <c r="AA113" i="16"/>
  <c r="Q111" i="16"/>
  <c r="AB112" i="16" l="1"/>
  <c r="R110" i="16"/>
  <c r="Q112" i="16"/>
  <c r="R111" i="16" a="1"/>
  <c r="AB113" i="16" a="1"/>
  <c r="AA114" i="16"/>
  <c r="AB113" i="16" l="1"/>
  <c r="R111" i="16"/>
  <c r="AB114" i="16" a="1"/>
  <c r="AA115" i="16"/>
  <c r="R112" i="16" a="1"/>
  <c r="Q113" i="16"/>
  <c r="AB114" i="16" l="1"/>
  <c r="R112" i="16"/>
  <c r="AB115" i="16" a="1"/>
  <c r="AA116" i="16"/>
  <c r="R113" i="16" a="1"/>
  <c r="Q114" i="16"/>
  <c r="AB115" i="16" l="1"/>
  <c r="R113" i="16"/>
  <c r="Q115" i="16"/>
  <c r="R114" i="16" a="1"/>
  <c r="AB116" i="16" a="1"/>
  <c r="AA117" i="16"/>
  <c r="AB116" i="16" l="1"/>
  <c r="R114" i="16"/>
  <c r="AA118" i="16"/>
  <c r="R115" i="16" a="1"/>
  <c r="AB117" i="16" a="1"/>
  <c r="Q116" i="16"/>
  <c r="AB117" i="16" l="1"/>
  <c r="R115" i="16"/>
  <c r="AB118" i="16" a="1"/>
  <c r="R116" i="16" a="1"/>
  <c r="Q117" i="16"/>
  <c r="AA119" i="16"/>
  <c r="AB118" i="16" l="1"/>
  <c r="R116" i="16"/>
  <c r="AB119" i="16" a="1"/>
  <c r="Q118" i="16"/>
  <c r="AA120" i="16"/>
  <c r="R117" i="16" a="1"/>
  <c r="AB119" i="16" l="1"/>
  <c r="R117" i="16"/>
  <c r="Q119" i="16"/>
  <c r="R118" i="16" a="1"/>
  <c r="AA121" i="16"/>
  <c r="AB120" i="16" a="1"/>
  <c r="AB120" i="16" l="1"/>
  <c r="R118" i="16"/>
  <c r="R119" i="16" a="1"/>
  <c r="AA122" i="16"/>
  <c r="AB121" i="16" a="1"/>
  <c r="Q120" i="16"/>
  <c r="AB121" i="16" l="1"/>
  <c r="R119" i="16"/>
  <c r="Q121" i="16"/>
  <c r="AA123" i="16"/>
  <c r="R120" i="16" a="1"/>
  <c r="AB122" i="16" a="1"/>
  <c r="AB122" i="16" l="1"/>
  <c r="R120" i="16"/>
  <c r="Q122" i="16"/>
  <c r="R121" i="16" a="1"/>
  <c r="AA124" i="16"/>
  <c r="AB123" i="16" a="1"/>
  <c r="AB123" i="16" l="1"/>
  <c r="R121" i="16"/>
  <c r="AA125" i="16"/>
  <c r="AB124" i="16" a="1"/>
  <c r="R122" i="16" a="1"/>
  <c r="Q123" i="16"/>
  <c r="AB124" i="16" l="1"/>
  <c r="R122" i="16"/>
  <c r="AA126" i="16"/>
  <c r="R123" i="16" a="1"/>
  <c r="Q124" i="16"/>
  <c r="AB125" i="16" a="1"/>
  <c r="AB125" i="16" l="1"/>
  <c r="R123" i="16"/>
  <c r="R124" i="16" a="1"/>
  <c r="Q125" i="16"/>
  <c r="AB126" i="16" a="1"/>
  <c r="AA127" i="16"/>
  <c r="AB126" i="16" l="1"/>
  <c r="R124" i="16"/>
  <c r="AB127" i="16" a="1"/>
  <c r="AA128" i="16"/>
  <c r="Q126" i="16"/>
  <c r="R125" i="16" a="1"/>
  <c r="AB127" i="16" l="1"/>
  <c r="R125" i="16"/>
  <c r="AB128" i="16" a="1"/>
  <c r="AA129" i="16"/>
  <c r="Q127" i="16"/>
  <c r="R126" i="16" a="1"/>
  <c r="AB128" i="16" l="1"/>
  <c r="R126" i="16"/>
  <c r="R127" i="16" a="1"/>
  <c r="Q128" i="16"/>
  <c r="AA130" i="16"/>
  <c r="AB129" i="16" a="1"/>
  <c r="AB129" i="16" l="1"/>
  <c r="R127" i="16"/>
  <c r="AA131" i="16"/>
  <c r="R128" i="16" a="1"/>
  <c r="Q129" i="16"/>
  <c r="AB130" i="16" a="1"/>
  <c r="AB130" i="16" l="1"/>
  <c r="R128" i="16"/>
  <c r="AB131" i="16" a="1"/>
  <c r="AA132" i="16"/>
  <c r="R129" i="16" a="1"/>
  <c r="Q130" i="16"/>
  <c r="AB131" i="16" l="1"/>
  <c r="R129" i="16"/>
  <c r="R130" i="16" a="1"/>
  <c r="AA133" i="16"/>
  <c r="AB132" i="16" a="1"/>
  <c r="Q131" i="16"/>
  <c r="AB132" i="16" l="1"/>
  <c r="R130" i="16"/>
  <c r="AB133" i="16" a="1"/>
  <c r="R131" i="16" a="1"/>
  <c r="Q132" i="16"/>
  <c r="AA134" i="16"/>
  <c r="AB133" i="16" l="1"/>
  <c r="R131" i="16"/>
  <c r="R132" i="16" a="1"/>
  <c r="AB134" i="16" a="1"/>
  <c r="Q133" i="16"/>
  <c r="AA135" i="16"/>
  <c r="AB134" i="16" l="1"/>
  <c r="R132" i="16"/>
  <c r="AB135" i="16" a="1"/>
  <c r="R133" i="16" a="1"/>
  <c r="AA136" i="16"/>
  <c r="Q134" i="16"/>
  <c r="AB135" i="16" l="1"/>
  <c r="R133" i="16"/>
  <c r="Q135" i="16"/>
  <c r="AA137" i="16"/>
  <c r="R134" i="16" a="1"/>
  <c r="AB136" i="16" a="1"/>
  <c r="AB136" i="16" l="1"/>
  <c r="R134" i="16"/>
  <c r="AA138" i="16"/>
  <c r="R135" i="16" a="1"/>
  <c r="AB137" i="16" a="1"/>
  <c r="Q136" i="16"/>
  <c r="AB137" i="16" l="1"/>
  <c r="R135" i="16"/>
  <c r="Q137" i="16"/>
  <c r="AA139" i="16"/>
  <c r="R136" i="16" a="1"/>
  <c r="AB138" i="16" a="1"/>
  <c r="AB138" i="16" l="1"/>
  <c r="R136" i="16"/>
  <c r="R137" i="16" a="1"/>
  <c r="Q138" i="16"/>
  <c r="AA140" i="16"/>
  <c r="AB139" i="16" a="1"/>
  <c r="AB139" i="16" l="1"/>
  <c r="R137" i="16"/>
  <c r="AA141" i="16"/>
  <c r="AB140" i="16" a="1"/>
  <c r="Q139" i="16"/>
  <c r="R138" i="16" a="1"/>
  <c r="AB140" i="16" l="1"/>
  <c r="R138" i="16"/>
  <c r="AB141" i="16" a="1"/>
  <c r="AA142" i="16"/>
  <c r="R139" i="16" a="1"/>
  <c r="Q140" i="16"/>
  <c r="AB141" i="16" l="1"/>
  <c r="R139" i="16"/>
  <c r="Q141" i="16"/>
  <c r="AB142" i="16" a="1"/>
  <c r="AA143" i="16"/>
  <c r="R140" i="16" a="1"/>
  <c r="AB142" i="16" l="1"/>
  <c r="R140" i="16"/>
  <c r="Q142" i="16"/>
  <c r="AB143" i="16" a="1"/>
  <c r="R141" i="16" a="1"/>
  <c r="AA144" i="16"/>
  <c r="AB143" i="16" l="1"/>
  <c r="R141" i="16"/>
  <c r="R142" i="16" a="1"/>
  <c r="AA145" i="16"/>
  <c r="Q143" i="16"/>
  <c r="AB144" i="16" a="1"/>
  <c r="AB144" i="16" l="1"/>
  <c r="R142" i="16"/>
  <c r="Q144" i="16"/>
  <c r="AA146" i="16"/>
  <c r="R143" i="16" a="1"/>
  <c r="AB145" i="16" a="1"/>
  <c r="AB145" i="16" l="1"/>
  <c r="R143" i="16"/>
  <c r="Q145" i="16"/>
  <c r="AB146" i="16" a="1"/>
  <c r="R144" i="16" a="1"/>
  <c r="AA147" i="16"/>
  <c r="AB146" i="16" l="1"/>
  <c r="R144" i="16"/>
  <c r="AB147" i="16" a="1"/>
  <c r="AA148" i="16"/>
  <c r="Q146" i="16"/>
  <c r="R145" i="16" a="1"/>
  <c r="AB147" i="16" l="1"/>
  <c r="R145" i="16"/>
  <c r="AA149" i="16"/>
  <c r="R146" i="16" a="1"/>
  <c r="Q147" i="16"/>
  <c r="AB148" i="16" a="1"/>
  <c r="AB148" i="16" l="1"/>
  <c r="R146" i="16"/>
  <c r="Q148" i="16"/>
  <c r="R147" i="16" a="1"/>
  <c r="AB149" i="16" a="1"/>
  <c r="AA150" i="16"/>
  <c r="AB149" i="16" l="1"/>
  <c r="R147" i="16"/>
  <c r="R148" i="16" a="1"/>
  <c r="AA151" i="16"/>
  <c r="AB150" i="16" a="1"/>
  <c r="Q149" i="16"/>
  <c r="AB150" i="16" l="1"/>
  <c r="R148" i="16"/>
  <c r="R149" i="16" a="1"/>
  <c r="AB151" i="16" a="1"/>
  <c r="AA152" i="16"/>
  <c r="Q150" i="16"/>
  <c r="AB151" i="16" l="1"/>
  <c r="R149" i="16"/>
  <c r="R150" i="16" a="1"/>
  <c r="AB152" i="16" a="1"/>
  <c r="Q151" i="16"/>
  <c r="AA153" i="16"/>
  <c r="AB152" i="16" l="1"/>
  <c r="R150" i="16"/>
  <c r="R151" i="16" a="1"/>
  <c r="Q152" i="16"/>
  <c r="AA154" i="16"/>
  <c r="AB153" i="16" a="1"/>
  <c r="AB153" i="16" l="1"/>
  <c r="R151" i="16"/>
  <c r="Q153" i="16"/>
  <c r="AB154" i="16" a="1"/>
  <c r="R152" i="16" a="1"/>
  <c r="AA155" i="16"/>
  <c r="AB154" i="16" l="1"/>
  <c r="R152" i="16"/>
  <c r="R153" i="16" a="1"/>
  <c r="AB155" i="16" a="1"/>
  <c r="Q154" i="16"/>
  <c r="AA156" i="16"/>
  <c r="AB155" i="16" l="1"/>
  <c r="R153" i="16"/>
  <c r="AB156" i="16" a="1"/>
  <c r="AA157" i="16"/>
  <c r="R154" i="16" a="1"/>
  <c r="Q155" i="16"/>
  <c r="AB156" i="16" l="1"/>
  <c r="R154" i="16"/>
  <c r="AA158" i="16"/>
  <c r="AB157" i="16" a="1"/>
  <c r="R155" i="16" a="1"/>
  <c r="Q156" i="16"/>
  <c r="AB157" i="16" l="1"/>
  <c r="R155" i="16"/>
  <c r="AB158" i="16" a="1"/>
  <c r="Q157" i="16"/>
  <c r="R156" i="16" a="1"/>
  <c r="AA159" i="16"/>
  <c r="AB158" i="16" l="1"/>
  <c r="R156" i="16"/>
  <c r="R157" i="16" a="1"/>
  <c r="Q158" i="16"/>
  <c r="AB159" i="16" a="1"/>
  <c r="AA160" i="16"/>
  <c r="AB159" i="16" l="1"/>
  <c r="R157" i="16"/>
  <c r="Q159" i="16"/>
  <c r="AA161" i="16"/>
  <c r="AB160" i="16" a="1"/>
  <c r="R158" i="16" a="1"/>
  <c r="AB160" i="16" l="1"/>
  <c r="R158" i="16"/>
  <c r="R159" i="16" a="1"/>
  <c r="Q160" i="16"/>
  <c r="AA162" i="16"/>
  <c r="AB161" i="16" a="1"/>
  <c r="AB161" i="16" l="1"/>
  <c r="R159" i="16"/>
  <c r="Q161" i="16"/>
  <c r="AA163" i="16"/>
  <c r="R160" i="16" a="1"/>
  <c r="AB162" i="16" a="1"/>
  <c r="AB162" i="16" l="1"/>
  <c r="R160" i="16"/>
  <c r="AB163" i="16" a="1"/>
  <c r="Q162" i="16"/>
  <c r="AA164" i="16"/>
  <c r="R161" i="16" a="1"/>
  <c r="AB163" i="16" l="1"/>
  <c r="R161" i="16"/>
  <c r="R162" i="16" a="1"/>
  <c r="AB164" i="16" a="1"/>
  <c r="Q163" i="16"/>
  <c r="AA165" i="16"/>
  <c r="AB164" i="16" l="1"/>
  <c r="R162" i="16"/>
  <c r="Q164" i="16"/>
  <c r="R163" i="16" a="1"/>
  <c r="AB165" i="16" a="1"/>
  <c r="AA166" i="16"/>
  <c r="AB165" i="16" l="1"/>
  <c r="R163" i="16"/>
  <c r="R164" i="16" a="1"/>
  <c r="Q165" i="16"/>
  <c r="AB166" i="16" a="1"/>
  <c r="AA167" i="16"/>
  <c r="AB166" i="16" l="1"/>
  <c r="R164" i="16"/>
  <c r="Q166" i="16"/>
  <c r="AB167" i="16" a="1"/>
  <c r="AA168" i="16"/>
  <c r="R165" i="16" a="1"/>
  <c r="AB167" i="16" l="1"/>
  <c r="R165" i="16"/>
  <c r="R166" i="16" a="1"/>
  <c r="AA169" i="16"/>
  <c r="Q167" i="16"/>
  <c r="AB168" i="16" a="1"/>
  <c r="AB168" i="16" l="1"/>
  <c r="R166" i="16"/>
  <c r="AA170" i="16"/>
  <c r="Q168" i="16"/>
  <c r="R167" i="16" a="1"/>
  <c r="AB169" i="16" a="1"/>
  <c r="AB169" i="16" l="1"/>
  <c r="R167" i="16"/>
  <c r="R168" i="16" a="1"/>
  <c r="AB170" i="16" a="1"/>
  <c r="Q169" i="16"/>
  <c r="AA171" i="16"/>
  <c r="AB170" i="16" l="1"/>
  <c r="R168" i="16"/>
  <c r="Q170" i="16"/>
  <c r="R169" i="16" a="1"/>
  <c r="AB171" i="16" a="1"/>
  <c r="AA172" i="16"/>
  <c r="AB171" i="16" l="1"/>
  <c r="R169" i="16"/>
  <c r="AB172" i="16" a="1"/>
  <c r="AA173" i="16"/>
  <c r="R170" i="16" a="1"/>
  <c r="Q171" i="16"/>
  <c r="AB172" i="16" l="1"/>
  <c r="R170" i="16"/>
  <c r="AB173" i="16" a="1"/>
  <c r="Q172" i="16"/>
  <c r="R171" i="16" a="1"/>
  <c r="AA174" i="16"/>
  <c r="AB173" i="16" l="1"/>
  <c r="R171" i="16"/>
  <c r="Q173" i="16"/>
  <c r="AB174" i="16" a="1"/>
  <c r="R172" i="16" a="1"/>
  <c r="AA175" i="16"/>
  <c r="AB174" i="16" l="1"/>
  <c r="R172" i="16"/>
  <c r="AB175" i="16" a="1"/>
  <c r="Q174" i="16"/>
  <c r="R173" i="16" a="1"/>
  <c r="AA176" i="16"/>
  <c r="AB175" i="16" l="1"/>
  <c r="R173" i="16"/>
  <c r="R174" i="16" a="1"/>
  <c r="AA177" i="16"/>
  <c r="AB176" i="16" a="1"/>
  <c r="Q175" i="16"/>
  <c r="AB176" i="16" l="1"/>
  <c r="R174" i="16"/>
  <c r="Q176" i="16"/>
  <c r="R175" i="16" a="1"/>
  <c r="AB177" i="16" a="1"/>
  <c r="AA178" i="16"/>
  <c r="AB177" i="16" l="1"/>
  <c r="R175" i="16"/>
  <c r="R176" i="16" a="1"/>
  <c r="AB178" i="16" a="1"/>
  <c r="Q177" i="16"/>
  <c r="AA179" i="16"/>
  <c r="AB178" i="16" l="1"/>
  <c r="R176" i="16"/>
  <c r="AA180" i="16"/>
  <c r="AB179" i="16" a="1"/>
  <c r="R177" i="16" a="1"/>
  <c r="Q178" i="16"/>
  <c r="AB179" i="16" l="1"/>
  <c r="R177" i="16"/>
  <c r="R178" i="16" a="1"/>
  <c r="AB180" i="16" a="1"/>
  <c r="Q179" i="16"/>
  <c r="AA181" i="16"/>
  <c r="AB180" i="16" l="1"/>
  <c r="R178" i="16"/>
  <c r="R179" i="16" a="1"/>
  <c r="AA182" i="16"/>
  <c r="AB181" i="16" a="1"/>
  <c r="Q180" i="16"/>
  <c r="AB181" i="16" l="1"/>
  <c r="R179" i="16"/>
  <c r="R180" i="16" a="1"/>
  <c r="Q181" i="16"/>
  <c r="AA183" i="16"/>
  <c r="AB182" i="16" a="1"/>
  <c r="AB182" i="16" l="1"/>
  <c r="R180" i="16"/>
  <c r="R181" i="16" a="1"/>
  <c r="AA184" i="16"/>
  <c r="AB183" i="16" a="1"/>
  <c r="Q182" i="16"/>
  <c r="AB183" i="16" l="1"/>
  <c r="R181" i="16"/>
  <c r="Q183" i="16"/>
  <c r="R182" i="16" a="1"/>
  <c r="AB184" i="16" a="1"/>
  <c r="AA185" i="16"/>
  <c r="AB184" i="16" l="1"/>
  <c r="R182" i="16"/>
  <c r="Q184" i="16"/>
  <c r="R183" i="16" a="1"/>
  <c r="AB185" i="16" a="1"/>
  <c r="AA186" i="16"/>
  <c r="AB185" i="16" l="1"/>
  <c r="R183" i="16"/>
  <c r="Q185" i="16"/>
  <c r="AB186" i="16" a="1"/>
  <c r="R184" i="16" a="1"/>
  <c r="AA187" i="16"/>
  <c r="AB186" i="16" l="1"/>
  <c r="R184" i="16"/>
  <c r="Q186" i="16"/>
  <c r="AB187" i="16" a="1"/>
  <c r="AA188" i="16"/>
  <c r="R185" i="16" a="1"/>
  <c r="AB187" i="16" l="1"/>
  <c r="R185" i="16"/>
  <c r="Q187" i="16"/>
  <c r="AA189" i="16"/>
  <c r="AB188" i="16" a="1"/>
  <c r="R186" i="16" a="1"/>
  <c r="AB188" i="16" l="1"/>
  <c r="R186" i="16"/>
  <c r="R187" i="16" a="1"/>
  <c r="AB189" i="16" a="1"/>
  <c r="Q188" i="16"/>
  <c r="AA190" i="16"/>
  <c r="AB189" i="16" l="1"/>
  <c r="R187" i="16"/>
  <c r="AA191" i="16"/>
  <c r="AB190" i="16" a="1"/>
  <c r="Q189" i="16"/>
  <c r="R188" i="16" a="1"/>
  <c r="AB190" i="16" l="1"/>
  <c r="R188" i="16"/>
  <c r="Q190" i="16"/>
  <c r="R189" i="16" a="1"/>
  <c r="AB191" i="16" a="1"/>
  <c r="AA192" i="16"/>
  <c r="AB191" i="16" l="1"/>
  <c r="R189" i="16"/>
  <c r="Q191" i="16"/>
  <c r="R190" i="16" a="1"/>
  <c r="AB192" i="16" a="1"/>
  <c r="AA193" i="16"/>
  <c r="AB192" i="16" l="1"/>
  <c r="R190" i="16"/>
  <c r="AB193" i="16" a="1"/>
  <c r="R191" i="16" a="1"/>
  <c r="AA194" i="16"/>
  <c r="Q192" i="16"/>
  <c r="AB193" i="16" l="1"/>
  <c r="R191" i="16"/>
  <c r="R192" i="16" a="1"/>
  <c r="AB194" i="16" a="1"/>
  <c r="AA195" i="16"/>
  <c r="Q193" i="16"/>
  <c r="AB194" i="16" l="1"/>
  <c r="R192" i="16"/>
  <c r="AA196" i="16"/>
  <c r="AB195" i="16" a="1"/>
  <c r="R193" i="16" a="1"/>
  <c r="Q194" i="16"/>
  <c r="AB195" i="16" l="1"/>
  <c r="R193" i="16"/>
  <c r="AB196" i="16" a="1"/>
  <c r="Q195" i="16"/>
  <c r="AA197" i="16"/>
  <c r="R194" i="16" a="1"/>
  <c r="AB196" i="16" l="1"/>
  <c r="R194" i="16"/>
  <c r="R195" i="16" a="1"/>
  <c r="AB197" i="16" a="1"/>
  <c r="AA198" i="16"/>
  <c r="Q196" i="16"/>
  <c r="AB197" i="16" l="1"/>
  <c r="R195" i="16"/>
  <c r="AB198" i="16" a="1"/>
  <c r="R196" i="16" a="1"/>
  <c r="Q197" i="16"/>
  <c r="AA199" i="16"/>
  <c r="AB198" i="16" l="1"/>
  <c r="R196" i="16"/>
  <c r="AA200" i="16"/>
  <c r="Q198" i="16"/>
  <c r="AB199" i="16" a="1"/>
  <c r="R197" i="16" a="1"/>
  <c r="AB199" i="16" l="1"/>
  <c r="R197" i="16"/>
  <c r="AB200" i="16" a="1"/>
  <c r="AA201" i="16"/>
  <c r="R198" i="16" a="1"/>
  <c r="Q199" i="16"/>
  <c r="AB200" i="16" l="1"/>
  <c r="R198" i="16"/>
  <c r="Q200" i="16"/>
  <c r="AA202" i="16"/>
  <c r="AB201" i="16" a="1"/>
  <c r="R199" i="16" a="1"/>
  <c r="AB201" i="16" l="1"/>
  <c r="R199" i="16"/>
  <c r="AA203" i="16"/>
  <c r="Q201" i="16"/>
  <c r="AB202" i="16" a="1"/>
  <c r="R200" i="16" a="1"/>
  <c r="AB202" i="16" l="1"/>
  <c r="R200" i="16"/>
  <c r="AB203" i="16" a="1"/>
  <c r="R201" i="16" a="1"/>
  <c r="Q202" i="16"/>
  <c r="AA204" i="16"/>
  <c r="AB203" i="16" l="1"/>
  <c r="R201" i="16"/>
  <c r="AB204" i="16" a="1"/>
  <c r="Q203" i="16"/>
  <c r="R202" i="16" a="1"/>
  <c r="AA205" i="16"/>
  <c r="AB204" i="16" l="1"/>
  <c r="R202" i="16"/>
  <c r="R203" i="16" a="1"/>
  <c r="AA206" i="16"/>
  <c r="AB205" i="16" a="1"/>
  <c r="Q204" i="16"/>
  <c r="AB205" i="16" l="1"/>
  <c r="R203" i="16"/>
  <c r="AA207" i="16"/>
  <c r="AB206" i="16" a="1"/>
  <c r="R204" i="16" a="1"/>
  <c r="Q205" i="16"/>
  <c r="AB206" i="16" l="1"/>
  <c r="R204" i="16"/>
  <c r="AA208" i="16"/>
  <c r="AB207" i="16" a="1"/>
  <c r="Q206" i="16"/>
  <c r="R205" i="16" a="1"/>
  <c r="AB207" i="16" l="1"/>
  <c r="R205" i="16"/>
  <c r="AB208" i="16" a="1"/>
  <c r="R206" i="16" a="1"/>
  <c r="AA209" i="16"/>
  <c r="Q207" i="16"/>
  <c r="AB208" i="16" l="1"/>
  <c r="R206" i="16"/>
  <c r="AA210" i="16"/>
  <c r="AB209" i="16" a="1"/>
  <c r="Q208" i="16"/>
  <c r="R207" i="16" a="1"/>
  <c r="AB209" i="16" l="1"/>
  <c r="R207" i="16"/>
  <c r="Q209" i="16"/>
  <c r="AA211" i="16"/>
  <c r="R208" i="16" a="1"/>
  <c r="AB210" i="16" a="1"/>
  <c r="AB210" i="16" l="1"/>
  <c r="R208" i="16"/>
  <c r="R209" i="16" a="1"/>
  <c r="AA212" i="16"/>
  <c r="AB211" i="16" a="1"/>
  <c r="Q210" i="16"/>
  <c r="AB211" i="16" l="1"/>
  <c r="R209" i="16"/>
  <c r="AB212" i="16" a="1"/>
  <c r="Q211" i="16"/>
  <c r="AA213" i="16"/>
  <c r="R210" i="16" a="1"/>
  <c r="AB212" i="16" l="1"/>
  <c r="R210" i="16"/>
  <c r="R211" i="16" a="1"/>
  <c r="AB213" i="16" a="1"/>
  <c r="AA214" i="16"/>
  <c r="Q212" i="16"/>
  <c r="AB213" i="16" l="1"/>
  <c r="R211" i="16"/>
  <c r="Q213" i="16"/>
  <c r="AA215" i="16"/>
  <c r="AB214" i="16" a="1"/>
  <c r="R212" i="16" a="1"/>
  <c r="AB214" i="16" l="1"/>
  <c r="R212" i="16"/>
  <c r="AA216" i="16"/>
  <c r="R213" i="16" a="1"/>
  <c r="Q214" i="16"/>
  <c r="AB215" i="16" a="1"/>
  <c r="AB215" i="16" l="1"/>
  <c r="R213" i="16"/>
  <c r="AA217" i="16"/>
  <c r="R214" i="16" a="1"/>
  <c r="Q215" i="16"/>
  <c r="AB216" i="16" a="1"/>
  <c r="AB216" i="16" l="1"/>
  <c r="R214" i="16"/>
  <c r="Q216" i="16"/>
  <c r="AA218" i="16"/>
  <c r="AB217" i="16" a="1"/>
  <c r="R215" i="16" a="1"/>
  <c r="AB217" i="16" l="1"/>
  <c r="R215" i="16"/>
  <c r="R216" i="16" a="1"/>
  <c r="AB218" i="16" a="1"/>
  <c r="Q217" i="16"/>
  <c r="AA219" i="16"/>
  <c r="AB218" i="16" l="1"/>
  <c r="R216" i="16"/>
  <c r="AA220" i="16"/>
  <c r="AB219" i="16" a="1"/>
  <c r="R217" i="16" a="1"/>
  <c r="Q218" i="16"/>
  <c r="AB219" i="16" l="1"/>
  <c r="R217" i="16"/>
  <c r="AA221" i="16"/>
  <c r="Q219" i="16"/>
  <c r="R218" i="16" a="1"/>
  <c r="AB220" i="16" a="1"/>
  <c r="AB220" i="16" l="1"/>
  <c r="R218" i="16"/>
  <c r="AB221" i="16" a="1"/>
  <c r="AA222" i="16"/>
  <c r="Q220" i="16"/>
  <c r="R219" i="16" a="1"/>
  <c r="AB221" i="16" l="1"/>
  <c r="R219" i="16"/>
  <c r="Q221" i="16"/>
  <c r="AB222" i="16" a="1"/>
  <c r="AA223" i="16"/>
  <c r="R220" i="16" a="1"/>
  <c r="AB222" i="16" l="1"/>
  <c r="R220" i="16"/>
  <c r="R221" i="16" a="1"/>
  <c r="Q222" i="16"/>
  <c r="AA224" i="16"/>
  <c r="AB223" i="16" a="1"/>
  <c r="AB223" i="16" l="1"/>
  <c r="R221" i="16"/>
  <c r="AA225" i="16"/>
  <c r="Q223" i="16"/>
  <c r="AB224" i="16" a="1"/>
  <c r="R222" i="16" a="1"/>
  <c r="AB224" i="16" l="1"/>
  <c r="R222" i="16"/>
  <c r="AB225" i="16" a="1"/>
  <c r="R223" i="16" a="1"/>
  <c r="AA226" i="16"/>
  <c r="Q224" i="16"/>
  <c r="AB225" i="16" l="1"/>
  <c r="R223" i="16"/>
  <c r="AA227" i="16"/>
  <c r="R224" i="16" a="1"/>
  <c r="AB226" i="16" a="1"/>
  <c r="Q225" i="16"/>
  <c r="AB226" i="16" l="1"/>
  <c r="R224" i="16"/>
  <c r="AA228" i="16"/>
  <c r="AB227" i="16" a="1"/>
  <c r="Q226" i="16"/>
  <c r="R225" i="16" a="1"/>
  <c r="AB227" i="16" l="1"/>
  <c r="R225" i="16"/>
  <c r="AB228" i="16" a="1"/>
  <c r="Q227" i="16"/>
  <c r="AA229" i="16"/>
  <c r="R226" i="16" a="1"/>
  <c r="AB228" i="16" l="1"/>
  <c r="R226" i="16"/>
  <c r="AB229" i="16" a="1"/>
  <c r="R227" i="16" a="1"/>
  <c r="AA230" i="16"/>
  <c r="Q228" i="16"/>
  <c r="AB229" i="16" l="1"/>
  <c r="R227" i="16"/>
  <c r="Q229" i="16"/>
  <c r="R228" i="16" a="1"/>
  <c r="AB230" i="16" a="1"/>
  <c r="AA231" i="16"/>
  <c r="AB230" i="16" l="1"/>
  <c r="R228" i="16"/>
  <c r="AB231" i="16" a="1"/>
  <c r="AA232" i="16"/>
  <c r="Q230" i="16"/>
  <c r="R229" i="16" a="1"/>
  <c r="AB231" i="16" l="1"/>
  <c r="R229" i="16"/>
  <c r="AB232" i="16" a="1"/>
  <c r="R230" i="16" a="1"/>
  <c r="AA233" i="16"/>
  <c r="Q231" i="16"/>
  <c r="AB232" i="16" l="1"/>
  <c r="R230" i="16"/>
  <c r="AA234" i="16"/>
  <c r="AB233" i="16" a="1"/>
  <c r="Q232" i="16"/>
  <c r="R231" i="16" a="1"/>
  <c r="AB233" i="16" l="1"/>
  <c r="R231" i="16"/>
  <c r="AA235" i="16"/>
  <c r="Q233" i="16"/>
  <c r="R232" i="16" a="1"/>
  <c r="AB234" i="16" a="1"/>
  <c r="AB234" i="16" l="1"/>
  <c r="R232" i="16"/>
  <c r="AA236" i="16"/>
  <c r="Q234" i="16"/>
  <c r="AB235" i="16" a="1"/>
  <c r="R233" i="16" a="1"/>
  <c r="AB235" i="16" l="1"/>
  <c r="R233" i="16"/>
  <c r="AB236" i="16" a="1"/>
  <c r="AA237" i="16"/>
  <c r="R234" i="16" a="1"/>
  <c r="Q235" i="16"/>
  <c r="AB236" i="16" l="1"/>
  <c r="R234" i="16"/>
  <c r="AA238" i="16"/>
  <c r="Q236" i="16"/>
  <c r="R235" i="16" a="1"/>
  <c r="AB237" i="16" a="1"/>
  <c r="AB237" i="16" l="1"/>
  <c r="R235" i="16"/>
  <c r="AA239" i="16"/>
  <c r="AB238" i="16" a="1"/>
  <c r="Q237" i="16"/>
  <c r="R236" i="16" a="1"/>
  <c r="AB238" i="16" l="1"/>
  <c r="R236" i="16"/>
  <c r="AB239" i="16" a="1"/>
  <c r="AA240" i="16"/>
  <c r="Q238" i="16"/>
  <c r="R237" i="16" a="1"/>
  <c r="AB239" i="16" l="1"/>
  <c r="R237" i="16"/>
  <c r="R238" i="16" a="1"/>
  <c r="AA241" i="16"/>
  <c r="AB240" i="16" a="1"/>
  <c r="Q239" i="16"/>
  <c r="AB240" i="16" l="1"/>
  <c r="R238" i="16"/>
  <c r="AB241" i="16" a="1"/>
  <c r="Q240" i="16"/>
  <c r="R239" i="16" a="1"/>
  <c r="AA242" i="16"/>
  <c r="AB241" i="16" l="1"/>
  <c r="R239" i="16"/>
  <c r="AA243" i="16"/>
  <c r="Q241" i="16"/>
  <c r="AB242" i="16" a="1"/>
  <c r="R240" i="16" a="1"/>
  <c r="AB242" i="16" l="1"/>
  <c r="R240" i="16"/>
  <c r="AA244" i="16"/>
  <c r="AB243" i="16" a="1"/>
  <c r="Q242" i="16"/>
  <c r="R241" i="16" a="1"/>
  <c r="AB243" i="16" l="1"/>
  <c r="R241" i="16"/>
  <c r="AA245" i="16"/>
  <c r="R242" i="16" a="1"/>
  <c r="AB244" i="16" a="1"/>
  <c r="Q243" i="16"/>
  <c r="AB244" i="16" l="1"/>
  <c r="R242" i="16"/>
  <c r="AB245" i="16" a="1"/>
  <c r="Q244" i="16"/>
  <c r="R243" i="16" a="1"/>
  <c r="AA246" i="16"/>
  <c r="AB245" i="16" l="1"/>
  <c r="R243" i="16"/>
  <c r="AB246" i="16" a="1"/>
  <c r="AA247" i="16"/>
  <c r="Q245" i="16"/>
  <c r="R244" i="16" a="1"/>
  <c r="AB246" i="16" l="1"/>
  <c r="R244" i="16"/>
  <c r="Q246" i="16"/>
  <c r="AA248" i="16"/>
  <c r="AB247" i="16" a="1"/>
  <c r="R245" i="16" a="1"/>
  <c r="AB247" i="16" l="1"/>
  <c r="R245" i="16"/>
  <c r="AA249" i="16"/>
  <c r="Q247" i="16"/>
  <c r="AB248" i="16" a="1"/>
  <c r="R246" i="16" a="1"/>
  <c r="AB248" i="16" l="1"/>
  <c r="R246" i="16"/>
  <c r="R247" i="16" a="1"/>
  <c r="AB249" i="16" a="1"/>
  <c r="AA250" i="16"/>
  <c r="Q248" i="16"/>
  <c r="AB249" i="16" l="1"/>
  <c r="R247" i="16"/>
  <c r="Q249" i="16"/>
  <c r="AB250" i="16" a="1"/>
  <c r="AA251" i="16"/>
  <c r="R248" i="16" a="1"/>
  <c r="AB250" i="16" l="1"/>
  <c r="R248" i="16"/>
  <c r="R249" i="16" a="1"/>
  <c r="AB251" i="16" a="1"/>
  <c r="Q250" i="16"/>
  <c r="AA252" i="16"/>
  <c r="AB251" i="16" l="1"/>
  <c r="R249" i="16"/>
  <c r="R250" i="16" a="1"/>
  <c r="AB252" i="16" a="1"/>
  <c r="Q251" i="16"/>
  <c r="AA253" i="16"/>
  <c r="AB252" i="16" l="1"/>
  <c r="R250" i="16"/>
  <c r="Q252" i="16"/>
  <c r="R251" i="16" a="1"/>
  <c r="AA254" i="16"/>
  <c r="AB253" i="16" a="1"/>
  <c r="AB253" i="16" l="1"/>
  <c r="R251" i="16"/>
  <c r="Q253" i="16"/>
  <c r="AA255" i="16"/>
  <c r="AB254" i="16" a="1"/>
  <c r="R252" i="16" a="1"/>
  <c r="AB254" i="16" l="1"/>
  <c r="R252" i="16"/>
  <c r="AA256" i="16"/>
  <c r="Q254" i="16"/>
  <c r="R253" i="16" a="1"/>
  <c r="AB255" i="16" a="1"/>
  <c r="AB255" i="16" l="1"/>
  <c r="R253" i="16"/>
  <c r="AA257" i="16"/>
  <c r="AB256" i="16" a="1"/>
  <c r="R254" i="16" a="1"/>
  <c r="Q255" i="16"/>
  <c r="AB256" i="16" l="1"/>
  <c r="R254" i="16"/>
  <c r="Q256" i="16"/>
  <c r="AB257" i="16" a="1"/>
  <c r="R255" i="16" a="1"/>
  <c r="AA258" i="16"/>
  <c r="AB257" i="16" l="1"/>
  <c r="R255" i="16"/>
  <c r="R256" i="16" a="1"/>
  <c r="AB258" i="16" a="1"/>
  <c r="Q257" i="16"/>
  <c r="AA259" i="16"/>
  <c r="AB258" i="16" l="1"/>
  <c r="R256" i="16"/>
  <c r="Q258" i="16"/>
  <c r="AB259" i="16" a="1"/>
  <c r="AA260" i="16"/>
  <c r="R257" i="16" a="1"/>
  <c r="AB259" i="16" l="1"/>
  <c r="R257" i="16"/>
  <c r="R258" i="16" a="1"/>
  <c r="Q259" i="16"/>
  <c r="AB260" i="16" a="1"/>
  <c r="AA261" i="16"/>
  <c r="AB260" i="16" l="1"/>
  <c r="R258" i="16"/>
  <c r="Q260" i="16"/>
  <c r="AB261" i="16" a="1"/>
  <c r="AA262" i="16"/>
  <c r="R259" i="16" a="1"/>
  <c r="AB261" i="16" l="1"/>
  <c r="R259" i="16"/>
  <c r="R260" i="16" a="1"/>
  <c r="AB262" i="16" a="1"/>
  <c r="Q261" i="16"/>
  <c r="AA263" i="16"/>
  <c r="AB262" i="16" l="1"/>
  <c r="R260" i="16"/>
  <c r="AB263" i="16" a="1"/>
  <c r="R261" i="16" a="1"/>
  <c r="AA264" i="16"/>
  <c r="Q262" i="16"/>
  <c r="AB263" i="16" l="1"/>
  <c r="R261" i="16"/>
  <c r="AA265" i="16"/>
  <c r="R262" i="16" a="1"/>
  <c r="AB264" i="16" a="1"/>
  <c r="Q263" i="16"/>
  <c r="AB264" i="16" l="1"/>
  <c r="R262" i="16"/>
  <c r="AB265" i="16" a="1"/>
  <c r="R263" i="16" a="1"/>
  <c r="Q264" i="16"/>
  <c r="AA266" i="16"/>
  <c r="AB265" i="16" l="1"/>
  <c r="R263" i="16"/>
  <c r="Q265" i="16"/>
  <c r="AB266" i="16" a="1"/>
  <c r="AA267" i="16"/>
  <c r="R264" i="16" a="1"/>
  <c r="AB266" i="16" l="1"/>
  <c r="R264" i="16"/>
  <c r="Q266" i="16"/>
  <c r="AB267" i="16" a="1"/>
  <c r="R265" i="16" a="1"/>
  <c r="AA268" i="16"/>
  <c r="AB267" i="16" l="1"/>
  <c r="R265" i="16"/>
  <c r="Q267" i="16"/>
  <c r="R266" i="16" a="1"/>
  <c r="AA269" i="16"/>
  <c r="AB268" i="16" a="1"/>
  <c r="AB268" i="16" l="1"/>
  <c r="R266" i="16"/>
  <c r="AB269" i="16" a="1"/>
  <c r="AA270" i="16"/>
  <c r="Q268" i="16"/>
  <c r="R267" i="16" a="1"/>
  <c r="AB269" i="16" l="1"/>
  <c r="R267" i="16"/>
  <c r="AA271" i="16"/>
  <c r="AB270" i="16" a="1"/>
  <c r="R268" i="16" a="1"/>
  <c r="Q269" i="16"/>
  <c r="AB270" i="16" l="1"/>
  <c r="R268" i="16"/>
  <c r="Q270" i="16"/>
  <c r="AB271" i="16" a="1"/>
  <c r="AA272" i="16"/>
  <c r="R269" i="16" a="1"/>
  <c r="AB271" i="16" l="1"/>
  <c r="R269" i="16"/>
  <c r="AA273" i="16"/>
  <c r="AB272" i="16" a="1"/>
  <c r="R270" i="16" a="1"/>
  <c r="Q271" i="16"/>
  <c r="AB272" i="16" l="1"/>
  <c r="R270" i="16"/>
  <c r="Q272" i="16"/>
  <c r="R271" i="16" a="1"/>
  <c r="AA274" i="16"/>
  <c r="AB273" i="16" a="1"/>
  <c r="AB273" i="16" l="1"/>
  <c r="R271" i="16"/>
  <c r="AB274" i="16" a="1"/>
  <c r="Q273" i="16"/>
  <c r="R272" i="16" a="1"/>
  <c r="AA275" i="16"/>
  <c r="AB274" i="16" l="1"/>
  <c r="R272" i="16"/>
  <c r="AA276" i="16"/>
  <c r="R273" i="16" a="1"/>
  <c r="AB275" i="16" a="1"/>
  <c r="Q274" i="16"/>
  <c r="AB275" i="16" l="1"/>
  <c r="R273" i="16"/>
  <c r="R274" i="16" a="1"/>
  <c r="AA277" i="16"/>
  <c r="Q275" i="16"/>
  <c r="AB276" i="16" a="1"/>
  <c r="AB276" i="16" l="1"/>
  <c r="R274" i="16"/>
  <c r="AA278" i="16"/>
  <c r="Q276" i="16"/>
  <c r="AB277" i="16" a="1"/>
  <c r="R275" i="16" a="1"/>
  <c r="AB277" i="16" l="1"/>
  <c r="R275" i="16"/>
  <c r="AA279" i="16"/>
  <c r="Q277" i="16"/>
  <c r="AB278" i="16" a="1"/>
  <c r="R276" i="16" a="1"/>
  <c r="AB278" i="16" l="1"/>
  <c r="R276" i="16"/>
  <c r="AB279" i="16" a="1"/>
  <c r="Q278" i="16"/>
  <c r="AA280" i="16"/>
  <c r="R277" i="16" a="1"/>
  <c r="AB279" i="16" l="1"/>
  <c r="R277" i="16"/>
  <c r="Q279" i="16"/>
  <c r="R278" i="16" a="1"/>
  <c r="AB280" i="16" a="1"/>
  <c r="AA281" i="16"/>
  <c r="AB280" i="16" l="1"/>
  <c r="R278" i="16"/>
  <c r="Q280" i="16"/>
  <c r="AB281" i="16" a="1"/>
  <c r="R279" i="16" a="1"/>
  <c r="AA282" i="16"/>
  <c r="AB281" i="16" l="1"/>
  <c r="R279" i="16"/>
  <c r="AB282" i="16" a="1"/>
  <c r="Q281" i="16"/>
  <c r="AA283" i="16"/>
  <c r="R280" i="16" a="1"/>
  <c r="AB282" i="16" l="1"/>
  <c r="R280" i="16"/>
  <c r="Q282" i="16"/>
  <c r="R281" i="16" a="1"/>
  <c r="AA284" i="16"/>
  <c r="AB283" i="16" a="1"/>
  <c r="AB283" i="16" l="1"/>
  <c r="R281" i="16"/>
  <c r="AB284" i="16" a="1"/>
  <c r="AA285" i="16"/>
  <c r="R282" i="16" a="1"/>
  <c r="Q283" i="16"/>
  <c r="AB284" i="16" l="1"/>
  <c r="R282" i="16"/>
  <c r="AA286" i="16"/>
  <c r="AB285" i="16" a="1"/>
  <c r="Q284" i="16"/>
  <c r="R283" i="16" a="1"/>
  <c r="AB285" i="16" l="1"/>
  <c r="R283" i="16"/>
  <c r="AB286" i="16" a="1"/>
  <c r="R284" i="16" a="1"/>
  <c r="Q285" i="16"/>
  <c r="AA287" i="16"/>
  <c r="AB286" i="16" l="1"/>
  <c r="R284" i="16"/>
  <c r="AA288" i="16"/>
  <c r="Q286" i="16"/>
  <c r="AB287" i="16" a="1"/>
  <c r="R285" i="16" a="1"/>
  <c r="AB287" i="16" l="1"/>
  <c r="R285" i="16"/>
  <c r="R286" i="16" a="1"/>
  <c r="AA289" i="16"/>
  <c r="Q287" i="16"/>
  <c r="AB288" i="16" a="1"/>
  <c r="AB288" i="16" l="1"/>
  <c r="R286" i="16"/>
  <c r="Q288" i="16"/>
  <c r="R287" i="16" a="1"/>
  <c r="AB289" i="16" a="1"/>
  <c r="AA290" i="16"/>
  <c r="AB289" i="16" l="1"/>
  <c r="R287" i="16"/>
  <c r="AA291" i="16"/>
  <c r="AB290" i="16" a="1"/>
  <c r="Q289" i="16"/>
  <c r="R288" i="16" a="1"/>
  <c r="AB290" i="16" l="1"/>
  <c r="R288" i="16"/>
  <c r="AB291" i="16" a="1"/>
  <c r="R289" i="16" a="1"/>
  <c r="AA292" i="16"/>
  <c r="Q290" i="16"/>
  <c r="AB291" i="16" l="1"/>
  <c r="R289" i="16"/>
  <c r="AA293" i="16"/>
  <c r="R290" i="16" a="1"/>
  <c r="AB292" i="16" a="1"/>
  <c r="Q291" i="16"/>
  <c r="AB292" i="16" l="1"/>
  <c r="R290" i="16"/>
  <c r="Q292" i="16"/>
  <c r="AA294" i="16"/>
  <c r="R291" i="16" a="1"/>
  <c r="AB293" i="16" a="1"/>
  <c r="AB293" i="16" l="1"/>
  <c r="R291" i="16"/>
  <c r="AA295" i="16"/>
  <c r="AB294" i="16" a="1"/>
  <c r="R292" i="16" a="1"/>
  <c r="Q293" i="16"/>
  <c r="AB294" i="16" l="1"/>
  <c r="R292" i="16"/>
  <c r="Q294" i="16"/>
  <c r="AB295" i="16" a="1"/>
  <c r="AA296" i="16"/>
  <c r="R293" i="16" a="1"/>
  <c r="AB295" i="16" l="1"/>
  <c r="R293" i="16"/>
  <c r="R294" i="16" a="1"/>
  <c r="AA297" i="16"/>
  <c r="Q295" i="16"/>
  <c r="AB296" i="16" a="1"/>
  <c r="AB296" i="16" l="1"/>
  <c r="R294" i="16"/>
  <c r="R295" i="16" a="1"/>
  <c r="AB297" i="16" a="1"/>
  <c r="AA298" i="16"/>
  <c r="Q296" i="16"/>
  <c r="AB297" i="16" l="1"/>
  <c r="R295" i="16"/>
  <c r="AB298" i="16" a="1"/>
  <c r="Q297" i="16"/>
  <c r="AA299" i="16"/>
  <c r="R296" i="16" a="1"/>
  <c r="AB298" i="16" l="1"/>
  <c r="R296" i="16"/>
  <c r="Q298" i="16"/>
  <c r="AB299" i="16" a="1"/>
  <c r="AA300" i="16"/>
  <c r="R297" i="16" a="1"/>
  <c r="AB299" i="16" l="1"/>
  <c r="R297" i="16"/>
  <c r="AA301" i="16"/>
  <c r="Q299" i="16"/>
  <c r="AB300" i="16" a="1"/>
  <c r="R298" i="16" a="1"/>
  <c r="AB300" i="16" l="1"/>
  <c r="R298" i="16"/>
  <c r="R299" i="16" a="1"/>
  <c r="AB301" i="16" a="1"/>
  <c r="AA302" i="16"/>
  <c r="Q300" i="16"/>
  <c r="AB301" i="16" l="1"/>
  <c r="R299" i="16"/>
  <c r="AB302" i="16" a="1"/>
  <c r="AA303" i="16"/>
  <c r="R300" i="16" a="1"/>
  <c r="Q301" i="16"/>
  <c r="AB302" i="16" l="1"/>
  <c r="R300" i="16"/>
  <c r="R301" i="16" a="1"/>
  <c r="AB303" i="16" a="1"/>
  <c r="AA304" i="16"/>
  <c r="Q302" i="16"/>
  <c r="AB303" i="16" l="1"/>
  <c r="R301" i="16"/>
  <c r="R302" i="16" a="1"/>
  <c r="Q303" i="16"/>
  <c r="AA305" i="16"/>
  <c r="AB304" i="16" a="1"/>
  <c r="AB304" i="16" l="1"/>
  <c r="R302" i="16"/>
  <c r="AA306" i="16"/>
  <c r="R303" i="16" a="1"/>
  <c r="AB305" i="16" a="1"/>
  <c r="Q304" i="16"/>
  <c r="AB305" i="16" l="1"/>
  <c r="R303" i="16"/>
  <c r="AA307" i="16"/>
  <c r="R304" i="16" a="1"/>
  <c r="Q305" i="16"/>
  <c r="AB306" i="16" a="1"/>
  <c r="AB306" i="16" l="1"/>
  <c r="R304" i="16"/>
  <c r="Q306" i="16"/>
  <c r="R305" i="16" a="1"/>
  <c r="AA308" i="16"/>
  <c r="AB307" i="16" a="1"/>
  <c r="AB307" i="16" l="1"/>
  <c r="R305" i="16"/>
  <c r="AA309" i="16"/>
  <c r="R306" i="16" a="1"/>
  <c r="Q307" i="16"/>
  <c r="AB308" i="16" a="1"/>
  <c r="AB308" i="16" l="1"/>
  <c r="R306" i="16"/>
  <c r="Q308" i="16"/>
  <c r="R307" i="16" a="1"/>
  <c r="AB309" i="16" a="1"/>
  <c r="AA310" i="16"/>
  <c r="AB309" i="16" l="1"/>
  <c r="R307" i="16"/>
  <c r="AA311" i="16"/>
  <c r="Q309" i="16"/>
  <c r="R308" i="16" a="1"/>
  <c r="AB310" i="16" a="1"/>
  <c r="AB310" i="16" l="1"/>
  <c r="R308" i="16"/>
  <c r="Q310" i="16"/>
  <c r="AA312" i="16"/>
  <c r="R309" i="16" a="1"/>
  <c r="AB311" i="16" a="1"/>
  <c r="AB311" i="16" l="1"/>
  <c r="R309" i="16"/>
  <c r="AB312" i="16" a="1"/>
  <c r="R310" i="16" a="1"/>
  <c r="Q311" i="16"/>
  <c r="AA313" i="16"/>
  <c r="AB312" i="16" l="1"/>
  <c r="R310" i="16"/>
  <c r="Q312" i="16"/>
  <c r="AB313" i="16" a="1"/>
  <c r="R311" i="16" a="1"/>
  <c r="AA314" i="16"/>
  <c r="AB313" i="16" l="1"/>
  <c r="R311" i="16"/>
  <c r="AA315" i="16"/>
  <c r="AB314" i="16" a="1"/>
  <c r="Q313" i="16"/>
  <c r="R312" i="16" a="1"/>
  <c r="AB314" i="16" l="1"/>
  <c r="R312" i="16"/>
  <c r="Q314" i="16"/>
  <c r="AB315" i="16" a="1"/>
  <c r="R313" i="16" a="1"/>
  <c r="AA316" i="16"/>
  <c r="AB315" i="16" l="1"/>
  <c r="R313" i="16"/>
  <c r="Q315" i="16"/>
  <c r="AB316" i="16" a="1"/>
  <c r="R314" i="16" a="1"/>
  <c r="AA317" i="16"/>
  <c r="AB316" i="16" l="1"/>
  <c r="R314" i="16"/>
  <c r="Q316" i="16"/>
  <c r="R315" i="16" a="1"/>
  <c r="AA318" i="16"/>
  <c r="AB317" i="16" a="1"/>
  <c r="AB317" i="16" l="1"/>
  <c r="R315" i="16"/>
  <c r="Q317" i="16"/>
  <c r="AB318" i="16" a="1"/>
  <c r="AA319" i="16"/>
  <c r="R316" i="16" a="1"/>
  <c r="AB318" i="16" l="1"/>
  <c r="R316" i="16"/>
  <c r="Q318" i="16"/>
  <c r="AB319" i="16" a="1"/>
  <c r="AA320" i="16"/>
  <c r="R317" i="16" a="1"/>
  <c r="AB319" i="16" l="1"/>
  <c r="R317" i="16"/>
  <c r="R318" i="16" a="1"/>
  <c r="AB320" i="16" a="1"/>
  <c r="Q319" i="16"/>
  <c r="AA321" i="16"/>
  <c r="AB320" i="16" l="1"/>
  <c r="R318" i="16"/>
  <c r="Q320" i="16"/>
  <c r="AA322" i="16"/>
  <c r="R319" i="16" a="1"/>
  <c r="AB321" i="16" a="1"/>
  <c r="AB321" i="16" l="1"/>
  <c r="R319" i="16"/>
  <c r="AA323" i="16"/>
  <c r="R320" i="16" a="1"/>
  <c r="AB322" i="16" a="1"/>
  <c r="Q321" i="16"/>
  <c r="AB322" i="16" l="1"/>
  <c r="R320" i="16"/>
  <c r="Q322" i="16"/>
  <c r="AA324" i="16"/>
  <c r="AB323" i="16" a="1"/>
  <c r="R321" i="16" a="1"/>
  <c r="AB323" i="16" l="1"/>
  <c r="R321" i="16"/>
  <c r="Q323" i="16"/>
  <c r="AB324" i="16" a="1"/>
  <c r="R322" i="16" a="1"/>
  <c r="AA325" i="16"/>
  <c r="AB324" i="16" l="1"/>
  <c r="R322" i="16"/>
  <c r="AB325" i="16" a="1"/>
  <c r="R323" i="16" a="1"/>
  <c r="Q324" i="16"/>
  <c r="AA326" i="16"/>
  <c r="AB325" i="16" l="1"/>
  <c r="R323" i="16"/>
  <c r="Q325" i="16"/>
  <c r="R324" i="16" a="1"/>
  <c r="AB326" i="16" a="1"/>
  <c r="AA327" i="16"/>
  <c r="AB326" i="16" l="1"/>
  <c r="R324" i="16"/>
  <c r="AA328" i="16"/>
  <c r="R325" i="16" a="1"/>
  <c r="Q326" i="16"/>
  <c r="AB327" i="16" a="1"/>
  <c r="AB327" i="16" l="1"/>
  <c r="R325" i="16"/>
  <c r="R326" i="16" a="1"/>
  <c r="Q327" i="16"/>
  <c r="AB328" i="16" a="1"/>
  <c r="AA329" i="16"/>
  <c r="AB328" i="16" l="1"/>
  <c r="R326" i="16"/>
  <c r="AA330" i="16"/>
  <c r="R327" i="16" a="1"/>
  <c r="Q328" i="16"/>
  <c r="AB329" i="16" a="1"/>
  <c r="AB329" i="16" l="1"/>
  <c r="R327" i="16"/>
  <c r="AB330" i="16" a="1"/>
  <c r="Q329" i="16"/>
  <c r="R328" i="16" a="1"/>
  <c r="AA331" i="16"/>
  <c r="AB330" i="16" l="1"/>
  <c r="R328" i="16"/>
  <c r="Q330" i="16"/>
  <c r="R329" i="16" a="1"/>
  <c r="AA332" i="16"/>
  <c r="AB331" i="16" a="1"/>
  <c r="AB331" i="16" l="1"/>
  <c r="R329" i="16"/>
  <c r="R330" i="16" a="1"/>
  <c r="AA333" i="16"/>
  <c r="AB332" i="16" a="1"/>
  <c r="Q331" i="16"/>
  <c r="AB332" i="16" l="1"/>
  <c r="R330" i="16"/>
  <c r="AB333" i="16" a="1"/>
  <c r="R331" i="16" a="1"/>
  <c r="Q332" i="16"/>
  <c r="AA334" i="16"/>
  <c r="AB333" i="16" l="1"/>
  <c r="R331" i="16"/>
  <c r="R332" i="16" a="1"/>
  <c r="AA335" i="16"/>
  <c r="AB334" i="16" a="1"/>
  <c r="Q333" i="16"/>
  <c r="AB334" i="16" l="1"/>
  <c r="R332" i="16"/>
  <c r="AB335" i="16" a="1"/>
  <c r="Q334" i="16"/>
  <c r="R333" i="16" a="1"/>
  <c r="AA336" i="16"/>
  <c r="AB335" i="16" l="1"/>
  <c r="R333" i="16"/>
  <c r="Q335" i="16"/>
  <c r="AB336" i="16" a="1"/>
  <c r="R334" i="16" a="1"/>
  <c r="AA337" i="16"/>
  <c r="AB336" i="16" l="1"/>
  <c r="R334" i="16"/>
  <c r="AB337" i="16" a="1"/>
  <c r="R335" i="16" a="1"/>
  <c r="Q336" i="16"/>
  <c r="AA338" i="16"/>
  <c r="AB337" i="16" l="1"/>
  <c r="R335" i="16"/>
  <c r="AA339" i="16"/>
  <c r="R336" i="16" a="1"/>
  <c r="AB338" i="16" a="1"/>
  <c r="Q337" i="16"/>
  <c r="AB338" i="16" l="1"/>
  <c r="R336" i="16"/>
  <c r="Q338" i="16"/>
  <c r="R337" i="16" a="1"/>
  <c r="AA340" i="16"/>
  <c r="AB339" i="16" a="1"/>
  <c r="AB339" i="16" l="1"/>
  <c r="R337" i="16"/>
  <c r="AA341" i="16"/>
  <c r="Q339" i="16"/>
  <c r="R338" i="16" a="1"/>
  <c r="AB340" i="16" a="1"/>
  <c r="AB340" i="16" l="1"/>
  <c r="R338" i="16"/>
  <c r="AB341" i="16" a="1"/>
  <c r="AA342" i="16"/>
  <c r="R339" i="16" a="1"/>
  <c r="Q340" i="16"/>
  <c r="AB341" i="16" l="1"/>
  <c r="R339" i="16"/>
  <c r="R340" i="16" a="1"/>
  <c r="AB342" i="16" a="1"/>
  <c r="AA343" i="16"/>
  <c r="Q341" i="16"/>
  <c r="AB342" i="16" l="1"/>
  <c r="R340" i="16"/>
  <c r="Q342" i="16"/>
  <c r="AA344" i="16"/>
  <c r="AB343" i="16" a="1"/>
  <c r="R341" i="16" a="1"/>
  <c r="AB343" i="16" l="1"/>
  <c r="R341" i="16"/>
  <c r="Q343" i="16"/>
  <c r="AB344" i="16" a="1"/>
  <c r="R342" i="16" a="1"/>
  <c r="AA345" i="16"/>
  <c r="AB344" i="16" l="1"/>
  <c r="R342" i="16"/>
  <c r="AB345" i="16" a="1"/>
  <c r="Q344" i="16"/>
  <c r="AA346" i="16"/>
  <c r="R343" i="16" a="1"/>
  <c r="AB345" i="16" l="1"/>
  <c r="R343" i="16"/>
  <c r="Q345" i="16"/>
  <c r="AB346" i="16" a="1"/>
  <c r="R344" i="16" a="1"/>
  <c r="AA347" i="16"/>
  <c r="AB346" i="16" l="1"/>
  <c r="R344" i="16"/>
  <c r="R345" i="16" a="1"/>
  <c r="AB347" i="16" a="1"/>
  <c r="Q346" i="16"/>
  <c r="AA348" i="16"/>
  <c r="AB347" i="16" l="1"/>
  <c r="R345" i="16"/>
  <c r="R346" i="16" a="1"/>
  <c r="AB348" i="16" a="1"/>
  <c r="AA349" i="16"/>
  <c r="Q347" i="16"/>
  <c r="AB348" i="16" l="1"/>
  <c r="R346" i="16"/>
  <c r="AB349" i="16" a="1"/>
  <c r="R347" i="16" a="1"/>
  <c r="AA350" i="16"/>
  <c r="Q348" i="16"/>
  <c r="AB349" i="16" l="1"/>
  <c r="R347" i="16"/>
  <c r="R348" i="16" a="1"/>
  <c r="AB350" i="16" a="1"/>
  <c r="Q349" i="16"/>
  <c r="AA351" i="16"/>
  <c r="AB350" i="16" l="1"/>
  <c r="R348" i="16"/>
  <c r="AB351" i="16" a="1"/>
  <c r="R349" i="16" a="1"/>
  <c r="AA352" i="16"/>
  <c r="Q350" i="16"/>
  <c r="AB351" i="16" l="1"/>
  <c r="R349" i="16"/>
  <c r="AB352" i="16" a="1"/>
  <c r="AA353" i="16"/>
  <c r="R350" i="16" a="1"/>
  <c r="Q351" i="16"/>
  <c r="AB352" i="16" l="1"/>
  <c r="R350" i="16"/>
  <c r="R351" i="16" a="1"/>
  <c r="AA354" i="16"/>
  <c r="Q352" i="16"/>
  <c r="AB353" i="16" a="1"/>
  <c r="AB353" i="16" l="1"/>
  <c r="R351" i="16"/>
  <c r="AA355" i="16"/>
  <c r="AB354" i="16" a="1"/>
  <c r="R352" i="16" a="1"/>
  <c r="Q353" i="16"/>
  <c r="AB354" i="16" l="1"/>
  <c r="R352" i="16"/>
  <c r="Q354" i="16"/>
  <c r="AA356" i="16"/>
  <c r="AB355" i="16" a="1"/>
  <c r="R353" i="16" a="1"/>
  <c r="AB355" i="16" l="1"/>
  <c r="R353" i="16"/>
  <c r="Q355" i="16"/>
  <c r="AB356" i="16" a="1"/>
  <c r="R354" i="16" a="1"/>
  <c r="AA357" i="16"/>
  <c r="AB356" i="16" l="1"/>
  <c r="R354" i="16"/>
  <c r="R355" i="16" a="1"/>
  <c r="Q356" i="16"/>
  <c r="AB357" i="16" a="1"/>
  <c r="AA358" i="16"/>
  <c r="AB357" i="16" l="1"/>
  <c r="R355" i="16"/>
  <c r="Q357" i="16"/>
  <c r="AA359" i="16"/>
  <c r="R356" i="16" a="1"/>
  <c r="AB358" i="16" a="1"/>
  <c r="AB358" i="16" l="1"/>
  <c r="R356" i="16"/>
  <c r="AB359" i="16" a="1"/>
  <c r="Q358" i="16"/>
  <c r="AA360" i="16"/>
  <c r="R357" i="16" a="1"/>
  <c r="AB359" i="16" l="1"/>
  <c r="R357" i="16"/>
  <c r="Q359" i="16"/>
  <c r="AB360" i="16" a="1"/>
  <c r="AA361" i="16"/>
  <c r="R358" i="16" a="1"/>
  <c r="AB360" i="16" l="1"/>
  <c r="R358" i="16"/>
  <c r="R359" i="16" a="1"/>
  <c r="AA362" i="16"/>
  <c r="AB361" i="16" a="1"/>
  <c r="Q360" i="16"/>
  <c r="AB361" i="16" l="1"/>
  <c r="R359" i="16"/>
  <c r="AA363" i="16"/>
  <c r="AB362" i="16" a="1"/>
  <c r="Q361" i="16"/>
  <c r="R360" i="16" a="1"/>
  <c r="AB362" i="16" l="1"/>
  <c r="R360" i="16"/>
  <c r="Q362" i="16"/>
  <c r="R361" i="16" a="1"/>
  <c r="AA364" i="16"/>
  <c r="AB363" i="16" a="1"/>
  <c r="AB363" i="16" l="1"/>
  <c r="R361" i="16"/>
  <c r="AA365" i="16"/>
  <c r="AB364" i="16" a="1"/>
  <c r="Q363" i="16"/>
  <c r="R362" i="16" a="1"/>
  <c r="AB364" i="16" l="1"/>
  <c r="R362" i="16"/>
  <c r="R363" i="16" a="1"/>
  <c r="Q364" i="16"/>
  <c r="AA366" i="16"/>
  <c r="AB365" i="16" a="1"/>
  <c r="AB365" i="16" l="1"/>
  <c r="R363" i="16"/>
  <c r="AA367" i="16"/>
  <c r="AB366" i="16" a="1"/>
  <c r="R364" i="16" a="1"/>
  <c r="Q365" i="16"/>
  <c r="AB366" i="16" l="1"/>
  <c r="R364" i="16"/>
  <c r="R365" i="16" a="1"/>
  <c r="AB367" i="16" a="1"/>
  <c r="Q366" i="16"/>
  <c r="AA368" i="16"/>
  <c r="AB367" i="16" l="1"/>
  <c r="R365" i="16"/>
  <c r="Q367" i="16"/>
  <c r="R366" i="16" a="1"/>
  <c r="AB368" i="16" a="1"/>
  <c r="AA369" i="16"/>
  <c r="AB368" i="16" l="1"/>
  <c r="R366" i="16"/>
  <c r="AB369" i="16" a="1"/>
  <c r="Q368" i="16"/>
  <c r="R367" i="16" a="1"/>
  <c r="AA370" i="16"/>
  <c r="AB369" i="16" l="1"/>
  <c r="R367" i="16"/>
  <c r="AB370" i="16" a="1"/>
  <c r="Q369" i="16"/>
  <c r="AA371" i="16"/>
  <c r="R368" i="16" a="1"/>
  <c r="AB370" i="16" l="1"/>
  <c r="R368" i="16"/>
  <c r="R369" i="16" a="1"/>
  <c r="AA372" i="16"/>
  <c r="Q370" i="16"/>
  <c r="AB371" i="16" a="1"/>
  <c r="AB371" i="16" l="1"/>
  <c r="R369" i="16"/>
  <c r="AA373" i="16"/>
  <c r="AB372" i="16" a="1"/>
  <c r="Q371" i="16"/>
  <c r="R370" i="16" a="1"/>
  <c r="AB372" i="16" l="1"/>
  <c r="R370" i="16"/>
  <c r="AB373" i="16" a="1"/>
  <c r="R371" i="16" a="1"/>
  <c r="Q372" i="16"/>
  <c r="AA374" i="16"/>
  <c r="AB373" i="16" l="1"/>
  <c r="R371" i="16"/>
  <c r="AB374" i="16" a="1"/>
  <c r="AA375" i="16"/>
  <c r="R372" i="16" a="1"/>
  <c r="Q373" i="16"/>
  <c r="AB374" i="16" l="1"/>
  <c r="R372" i="16"/>
  <c r="R373" i="16" a="1"/>
  <c r="AA376" i="16"/>
  <c r="Q374" i="16"/>
  <c r="AB375" i="16" a="1"/>
  <c r="AB375" i="16" l="1"/>
  <c r="R373" i="16"/>
  <c r="AA377" i="16"/>
  <c r="AB376" i="16" a="1"/>
  <c r="R374" i="16" a="1"/>
  <c r="Q375" i="16"/>
  <c r="AB376" i="16" l="1"/>
  <c r="R374" i="16"/>
  <c r="AB377" i="16" a="1"/>
  <c r="AA378" i="16"/>
  <c r="R375" i="16" a="1"/>
  <c r="Q376" i="16"/>
  <c r="AB377" i="16" l="1"/>
  <c r="R375" i="16"/>
  <c r="AA379" i="16"/>
  <c r="AB378" i="16" a="1"/>
  <c r="Q377" i="16"/>
  <c r="R376" i="16" a="1"/>
  <c r="AB378" i="16" l="1"/>
  <c r="R376" i="16"/>
  <c r="AB379" i="16" a="1"/>
  <c r="R377" i="16" a="1"/>
  <c r="AA380" i="16"/>
  <c r="Q378" i="16"/>
  <c r="AB379" i="16" l="1"/>
  <c r="R377" i="16"/>
  <c r="AB380" i="16" a="1"/>
  <c r="R378" i="16" a="1"/>
  <c r="Q379" i="16"/>
  <c r="AA381" i="16"/>
  <c r="AB380" i="16" l="1"/>
  <c r="R378" i="16"/>
  <c r="R379" i="16" a="1"/>
  <c r="AB381" i="16" a="1"/>
  <c r="AA382" i="16"/>
  <c r="Q380" i="16"/>
  <c r="AB381" i="16" l="1"/>
  <c r="R379" i="16"/>
  <c r="AA383" i="16"/>
  <c r="R380" i="16" a="1"/>
  <c r="Q381" i="16"/>
  <c r="AB382" i="16" a="1"/>
  <c r="AB382" i="16" l="1"/>
  <c r="R380" i="16"/>
  <c r="Q382" i="16"/>
  <c r="R381" i="16" a="1"/>
  <c r="AB383" i="16" a="1"/>
  <c r="AA384" i="16"/>
  <c r="AB383" i="16" l="1"/>
  <c r="R381" i="16"/>
  <c r="R382" i="16" a="1"/>
  <c r="AB384" i="16" a="1"/>
  <c r="AA385" i="16"/>
  <c r="Q383" i="16"/>
  <c r="AB384" i="16" l="1"/>
  <c r="R382" i="16"/>
  <c r="Q384" i="16"/>
  <c r="AA386" i="16"/>
  <c r="AB385" i="16" a="1"/>
  <c r="R383" i="16" a="1"/>
  <c r="AB385" i="16" l="1"/>
  <c r="R383" i="16"/>
  <c r="AB386" i="16" a="1"/>
  <c r="R384" i="16" a="1"/>
  <c r="AA387" i="16"/>
  <c r="Q385" i="16"/>
  <c r="AB386" i="16" l="1"/>
  <c r="R384" i="16"/>
  <c r="Q386" i="16"/>
  <c r="R385" i="16" a="1"/>
  <c r="AB387" i="16" a="1"/>
  <c r="AA388" i="16"/>
  <c r="AB387" i="16" l="1"/>
  <c r="R385" i="16"/>
  <c r="R386" i="16" a="1"/>
  <c r="AB388" i="16" a="1"/>
  <c r="AA389" i="16"/>
  <c r="Q387" i="16"/>
  <c r="AB388" i="16" l="1"/>
  <c r="R386" i="16"/>
  <c r="Q388" i="16"/>
  <c r="R387" i="16" a="1"/>
  <c r="AA390" i="16"/>
  <c r="AB389" i="16" a="1"/>
  <c r="AB389" i="16" l="1"/>
  <c r="R387" i="16"/>
  <c r="AA391" i="16"/>
  <c r="R388" i="16" a="1"/>
  <c r="AB390" i="16" a="1"/>
  <c r="Q389" i="16"/>
  <c r="AB390" i="16" l="1"/>
  <c r="R388" i="16"/>
  <c r="Q390" i="16"/>
  <c r="AB391" i="16" a="1"/>
  <c r="R389" i="16" a="1"/>
  <c r="AA392" i="16"/>
  <c r="AB391" i="16" l="1"/>
  <c r="R389" i="16"/>
  <c r="R390" i="16" a="1"/>
  <c r="AB392" i="16" a="1"/>
  <c r="Q391" i="16"/>
  <c r="AA393" i="16"/>
  <c r="AB392" i="16" l="1"/>
  <c r="R390" i="16"/>
  <c r="Q392" i="16"/>
  <c r="R391" i="16" a="1"/>
  <c r="AA394" i="16"/>
  <c r="AB393" i="16" a="1"/>
  <c r="AB393" i="16" l="1"/>
  <c r="R391" i="16"/>
  <c r="AB394" i="16" a="1"/>
  <c r="Q393" i="16"/>
  <c r="R392" i="16" a="1"/>
  <c r="AA395" i="16"/>
  <c r="AB394" i="16" l="1"/>
  <c r="R392" i="16"/>
  <c r="Q394" i="16"/>
  <c r="AB395" i="16" a="1"/>
  <c r="AA396" i="16"/>
  <c r="R393" i="16" a="1"/>
  <c r="AB395" i="16" l="1"/>
  <c r="R393" i="16"/>
  <c r="R394" i="16" a="1"/>
  <c r="AA397" i="16"/>
  <c r="AB396" i="16" a="1"/>
  <c r="Q395" i="16"/>
  <c r="AB396" i="16" l="1"/>
  <c r="R394" i="16"/>
  <c r="AB397" i="16" a="1"/>
  <c r="AA398" i="16"/>
  <c r="R395" i="16" a="1"/>
  <c r="Q396" i="16"/>
  <c r="AB397" i="16" l="1"/>
  <c r="R395" i="16"/>
  <c r="AA399" i="16"/>
  <c r="R396" i="16" a="1"/>
  <c r="AB398" i="16" a="1"/>
  <c r="Q397" i="16"/>
  <c r="AB398" i="16" l="1"/>
  <c r="R396" i="16"/>
  <c r="R397" i="16" a="1"/>
  <c r="AA400" i="16"/>
  <c r="Q398" i="16"/>
  <c r="AB399" i="16" a="1"/>
  <c r="AB399" i="16" l="1"/>
  <c r="R397" i="16"/>
  <c r="R398" i="16" a="1"/>
  <c r="Q399" i="16"/>
  <c r="AB400" i="16" a="1"/>
  <c r="AA401" i="16"/>
  <c r="AB400" i="16" l="1"/>
  <c r="R398" i="16"/>
  <c r="R399" i="16" a="1"/>
  <c r="Q400" i="16"/>
  <c r="AA402" i="16"/>
  <c r="AB401" i="16" a="1"/>
  <c r="AB401" i="16" l="1"/>
  <c r="R399" i="16"/>
  <c r="Q401" i="16"/>
  <c r="R400" i="16" a="1"/>
  <c r="AB402" i="16" a="1"/>
  <c r="AA403" i="16"/>
  <c r="AB402" i="16" l="1"/>
  <c r="R400" i="16"/>
  <c r="Q402" i="16"/>
  <c r="AA404" i="16"/>
  <c r="R401" i="16" a="1"/>
  <c r="AB403" i="16" a="1"/>
  <c r="AB403" i="16" l="1"/>
  <c r="R401" i="16"/>
  <c r="R402" i="16" a="1"/>
  <c r="AB404" i="16" a="1"/>
  <c r="Q403" i="16"/>
  <c r="AA405" i="16"/>
  <c r="AB404" i="16" l="1"/>
  <c r="R402" i="16"/>
  <c r="Q404" i="16"/>
  <c r="AA406" i="16"/>
  <c r="AB405" i="16" a="1"/>
  <c r="R403" i="16" a="1"/>
  <c r="AB405" i="16" l="1"/>
  <c r="R403" i="16"/>
  <c r="AB406" i="16" a="1"/>
  <c r="Q405" i="16"/>
  <c r="R404" i="16" a="1"/>
  <c r="AA407" i="16"/>
  <c r="AB406" i="16" l="1"/>
  <c r="R404" i="16"/>
  <c r="AA408" i="16"/>
  <c r="R405" i="16" a="1"/>
  <c r="AB407" i="16" a="1"/>
  <c r="Q406" i="16"/>
  <c r="AB407" i="16" l="1"/>
  <c r="R405" i="16"/>
  <c r="R406" i="16" a="1"/>
  <c r="AB408" i="16" a="1"/>
  <c r="AA409" i="16"/>
  <c r="Q407" i="16"/>
  <c r="AB408" i="16" l="1"/>
  <c r="R406" i="16"/>
  <c r="Q408" i="16"/>
  <c r="R407" i="16" a="1"/>
  <c r="AB409" i="16" a="1"/>
  <c r="AA410" i="16"/>
  <c r="AB409" i="16" l="1"/>
  <c r="R407" i="16"/>
  <c r="Q409" i="16"/>
  <c r="AB410" i="16" a="1"/>
  <c r="R408" i="16" a="1"/>
  <c r="AA411" i="16"/>
  <c r="AB410" i="16" l="1"/>
  <c r="R408" i="16"/>
  <c r="AB411" i="16" a="1"/>
  <c r="R409" i="16" a="1"/>
  <c r="AA412" i="16"/>
  <c r="Q410" i="16"/>
  <c r="AB411" i="16" l="1"/>
  <c r="R409" i="16"/>
  <c r="AA413" i="16"/>
  <c r="AB412" i="16" a="1"/>
  <c r="Q411" i="16"/>
  <c r="R410" i="16" a="1"/>
  <c r="AB412" i="16" l="1"/>
  <c r="R410" i="16"/>
  <c r="R411" i="16" a="1"/>
  <c r="AB413" i="16" a="1"/>
  <c r="Q412" i="16"/>
  <c r="AA414" i="16"/>
  <c r="AB413" i="16" l="1"/>
  <c r="R411" i="16"/>
  <c r="AB414" i="16" a="1"/>
  <c r="AA415" i="16"/>
  <c r="R412" i="16" a="1"/>
  <c r="Q413" i="16"/>
  <c r="AB414" i="16" l="1"/>
  <c r="R412" i="16"/>
  <c r="AB415" i="16" a="1"/>
  <c r="R413" i="16" a="1"/>
  <c r="Q414" i="16"/>
  <c r="AA416" i="16"/>
  <c r="AB415" i="16" l="1"/>
  <c r="R413" i="16"/>
  <c r="AA417" i="16"/>
  <c r="Q415" i="16"/>
  <c r="R414" i="16" a="1"/>
  <c r="AB416" i="16" a="1"/>
  <c r="AB416" i="16" l="1"/>
  <c r="R414" i="16"/>
  <c r="AB417" i="16" a="1"/>
  <c r="AA418" i="16"/>
  <c r="R415" i="16" a="1"/>
  <c r="Q416" i="16"/>
  <c r="AB417" i="16" l="1"/>
  <c r="R415" i="16"/>
  <c r="Q417" i="16"/>
  <c r="AA419" i="16"/>
  <c r="R416" i="16" a="1"/>
  <c r="AB418" i="16" a="1"/>
  <c r="AB418" i="16" l="1"/>
  <c r="R416" i="16"/>
  <c r="AA420" i="16"/>
  <c r="R417" i="16" a="1"/>
  <c r="AB419" i="16" a="1"/>
  <c r="Q418" i="16"/>
  <c r="AB419" i="16" l="1"/>
  <c r="R417" i="16"/>
  <c r="AA421" i="16"/>
  <c r="Q419" i="16"/>
  <c r="R418" i="16" a="1"/>
  <c r="AB420" i="16" a="1"/>
  <c r="AB420" i="16" l="1"/>
  <c r="R418" i="16"/>
  <c r="R419" i="16" a="1"/>
  <c r="AB421" i="16" a="1"/>
  <c r="Q420" i="16"/>
  <c r="AA422" i="16"/>
  <c r="AB421" i="16" l="1"/>
  <c r="R419" i="16"/>
  <c r="R420" i="16" a="1"/>
  <c r="AB422" i="16" a="1"/>
  <c r="Q421" i="16"/>
  <c r="AA423" i="16"/>
  <c r="AB422" i="16" l="1"/>
  <c r="R420" i="16"/>
  <c r="AA424" i="16"/>
  <c r="R421" i="16" a="1"/>
  <c r="AB423" i="16" a="1"/>
  <c r="Q422" i="16"/>
  <c r="AB423" i="16" l="1"/>
  <c r="R421" i="16"/>
  <c r="R422" i="16" a="1"/>
  <c r="AA425" i="16"/>
  <c r="AB424" i="16" a="1"/>
  <c r="Q423" i="16"/>
  <c r="AB424" i="16" l="1"/>
  <c r="R422" i="16"/>
  <c r="AA426" i="16"/>
  <c r="AB425" i="16" a="1"/>
  <c r="Q424" i="16"/>
  <c r="R423" i="16" a="1"/>
  <c r="AB425" i="16" l="1"/>
  <c r="R423" i="16"/>
  <c r="Q425" i="16"/>
  <c r="R424" i="16" a="1"/>
  <c r="AA427" i="16"/>
  <c r="AB426" i="16" a="1"/>
  <c r="AB426" i="16" l="1"/>
  <c r="R424" i="16"/>
  <c r="R425" i="16" a="1"/>
  <c r="AB427" i="16" a="1"/>
  <c r="AA428" i="16"/>
  <c r="Q426" i="16"/>
  <c r="AB427" i="16" l="1"/>
  <c r="R425" i="16"/>
  <c r="R426" i="16" a="1"/>
  <c r="AA429" i="16"/>
  <c r="AB428" i="16" a="1"/>
  <c r="Q427" i="16"/>
  <c r="AB428" i="16" l="1"/>
  <c r="R426" i="16"/>
  <c r="AA430" i="16"/>
  <c r="AB429" i="16" a="1"/>
  <c r="R427" i="16" a="1"/>
  <c r="Q428" i="16"/>
  <c r="AB429" i="16" l="1"/>
  <c r="R427" i="16"/>
  <c r="AA431" i="16"/>
  <c r="AB430" i="16" a="1"/>
  <c r="Q429" i="16"/>
  <c r="R428" i="16" a="1"/>
  <c r="AB430" i="16" l="1"/>
  <c r="R428" i="16"/>
  <c r="AB431" i="16" a="1"/>
  <c r="AA432" i="16"/>
  <c r="Q430" i="16"/>
  <c r="R429" i="16" a="1"/>
  <c r="AB431" i="16" l="1"/>
  <c r="R429" i="16"/>
  <c r="AA433" i="16"/>
  <c r="AB432" i="16" a="1"/>
  <c r="R430" i="16" a="1"/>
  <c r="Q431" i="16"/>
  <c r="AB432" i="16" l="1"/>
  <c r="R430" i="16"/>
  <c r="Q432" i="16"/>
  <c r="R431" i="16" a="1"/>
  <c r="AB433" i="16" a="1"/>
  <c r="AA434" i="16"/>
  <c r="AB433" i="16" l="1"/>
  <c r="R431" i="16"/>
  <c r="AA435" i="16"/>
  <c r="Q433" i="16"/>
  <c r="R432" i="16" a="1"/>
  <c r="AB434" i="16" a="1"/>
  <c r="AB434" i="16" l="1"/>
  <c r="R432" i="16"/>
  <c r="Q434" i="16"/>
  <c r="AB435" i="16" a="1"/>
  <c r="R433" i="16" a="1"/>
  <c r="AA436" i="16"/>
  <c r="AB435" i="16" l="1"/>
  <c r="R433" i="16"/>
  <c r="Q435" i="16"/>
  <c r="AB436" i="16" a="1"/>
  <c r="AA437" i="16"/>
  <c r="R434" i="16" a="1"/>
  <c r="AB436" i="16" l="1"/>
  <c r="R434" i="16"/>
  <c r="Q436" i="16"/>
  <c r="AA438" i="16"/>
  <c r="AB437" i="16" a="1"/>
  <c r="R435" i="16" a="1"/>
  <c r="AB437" i="16" l="1"/>
  <c r="R435" i="16"/>
  <c r="AA439" i="16"/>
  <c r="AB438" i="16" a="1"/>
  <c r="R436" i="16" a="1"/>
  <c r="Q437" i="16"/>
  <c r="AB438" i="16" l="1"/>
  <c r="R436" i="16"/>
  <c r="R437" i="16" a="1"/>
  <c r="AB439" i="16" a="1"/>
  <c r="Q438" i="16"/>
  <c r="AA440" i="16"/>
  <c r="AB439" i="16" l="1"/>
  <c r="R437" i="16"/>
  <c r="AA441" i="16"/>
  <c r="R438" i="16" a="1"/>
  <c r="Q439" i="16"/>
  <c r="AB440" i="16" a="1"/>
  <c r="AB440" i="16" l="1"/>
  <c r="R438" i="16"/>
  <c r="R439" i="16" a="1"/>
  <c r="AB441" i="16" a="1"/>
  <c r="AA442" i="16"/>
  <c r="Q440" i="16"/>
  <c r="AB441" i="16" l="1"/>
  <c r="R439" i="16"/>
  <c r="AA443" i="16"/>
  <c r="Q441" i="16"/>
  <c r="R440" i="16" a="1"/>
  <c r="AB442" i="16" a="1"/>
  <c r="AB442" i="16" l="1"/>
  <c r="R440" i="16"/>
  <c r="R441" i="16" a="1"/>
  <c r="AB443" i="16" a="1"/>
  <c r="AA444" i="16"/>
  <c r="Q442" i="16"/>
  <c r="AB443" i="16" l="1"/>
  <c r="R441" i="16"/>
  <c r="Q443" i="16"/>
  <c r="AB444" i="16" a="1"/>
  <c r="R442" i="16" a="1"/>
  <c r="AA445" i="16"/>
  <c r="AB444" i="16" l="1"/>
  <c r="R442" i="16"/>
  <c r="Q444" i="16"/>
  <c r="AA446" i="16"/>
  <c r="R443" i="16" a="1"/>
  <c r="AB445" i="16" a="1"/>
  <c r="AB445" i="16" l="1"/>
  <c r="R443" i="16"/>
  <c r="R444" i="16" a="1"/>
  <c r="AB446" i="16" a="1"/>
  <c r="Q445" i="16"/>
  <c r="AA447" i="16"/>
  <c r="AB446" i="16" l="1"/>
  <c r="R444" i="16"/>
  <c r="R445" i="16" a="1"/>
  <c r="AA448" i="16"/>
  <c r="Q446" i="16"/>
  <c r="AB447" i="16" a="1"/>
  <c r="AB447" i="16" l="1"/>
  <c r="R445" i="16"/>
  <c r="Q447" i="16"/>
  <c r="AB448" i="16" a="1"/>
  <c r="AA449" i="16"/>
  <c r="R446" i="16" a="1"/>
  <c r="AB448" i="16" l="1"/>
  <c r="R446" i="16"/>
  <c r="R447" i="16" a="1"/>
  <c r="AB449" i="16" a="1"/>
  <c r="AA450" i="16"/>
  <c r="Q448" i="16"/>
  <c r="AB449" i="16" l="1"/>
  <c r="R447" i="16"/>
  <c r="AB450" i="16" a="1"/>
  <c r="R448" i="16" a="1"/>
  <c r="Q449" i="16"/>
  <c r="AA451" i="16"/>
  <c r="AB450" i="16" l="1"/>
  <c r="R448" i="16"/>
  <c r="AB451" i="16" a="1"/>
  <c r="AA452" i="16"/>
  <c r="R449" i="16" a="1"/>
  <c r="Q450" i="16"/>
  <c r="AB451" i="16" l="1"/>
  <c r="R449" i="16"/>
  <c r="R450" i="16" a="1"/>
  <c r="Q451" i="16"/>
  <c r="AA453" i="16"/>
  <c r="AB452" i="16" a="1"/>
  <c r="AB452" i="16" l="1"/>
  <c r="R450" i="16"/>
  <c r="Q452" i="16"/>
  <c r="R451" i="16" a="1"/>
  <c r="AA454" i="16"/>
  <c r="AB453" i="16" a="1"/>
  <c r="AB453" i="16" l="1"/>
  <c r="R451" i="16"/>
  <c r="Q453" i="16"/>
  <c r="AB454" i="16" a="1"/>
  <c r="R452" i="16" a="1"/>
  <c r="AA455" i="16"/>
  <c r="AB454" i="16" l="1"/>
  <c r="R452" i="16"/>
  <c r="AA456" i="16"/>
  <c r="AB455" i="16" a="1"/>
  <c r="R453" i="16" a="1"/>
  <c r="Q454" i="16"/>
  <c r="AB455" i="16" l="1"/>
  <c r="R453" i="16"/>
  <c r="AB456" i="16" a="1"/>
  <c r="AA457" i="16"/>
  <c r="Q455" i="16"/>
  <c r="R454" i="16" a="1"/>
  <c r="AB456" i="16" l="1"/>
  <c r="R454" i="16"/>
  <c r="AA458" i="16"/>
  <c r="R455" i="16" a="1"/>
  <c r="AB457" i="16" a="1"/>
  <c r="Q456" i="16"/>
  <c r="AB457" i="16" l="1"/>
  <c r="R455" i="16"/>
  <c r="R456" i="16" a="1"/>
  <c r="AB458" i="16" a="1"/>
  <c r="AA459" i="16"/>
  <c r="Q457" i="16"/>
  <c r="AB458" i="16" l="1"/>
  <c r="R456" i="16"/>
  <c r="AB459" i="16" a="1"/>
  <c r="AA460" i="16"/>
  <c r="R457" i="16" a="1"/>
  <c r="Q458" i="16"/>
  <c r="AB459" i="16" l="1"/>
  <c r="R457" i="16"/>
  <c r="R458" i="16" a="1"/>
  <c r="AA461" i="16"/>
  <c r="AB460" i="16" a="1"/>
  <c r="Q459" i="16"/>
  <c r="AB460" i="16" l="1"/>
  <c r="R458" i="16"/>
  <c r="AA462" i="16"/>
  <c r="Q460" i="16"/>
  <c r="R459" i="16" a="1"/>
  <c r="AB461" i="16" a="1"/>
  <c r="AB461" i="16" l="1"/>
  <c r="R459" i="16"/>
  <c r="AA463" i="16"/>
  <c r="Q461" i="16"/>
  <c r="R460" i="16" a="1"/>
  <c r="AB462" i="16" a="1"/>
  <c r="AB462" i="16" l="1"/>
  <c r="R460" i="16"/>
  <c r="AA464" i="16"/>
  <c r="AB463" i="16" a="1"/>
  <c r="R461" i="16" a="1"/>
  <c r="Q462" i="16"/>
  <c r="AB463" i="16" l="1"/>
  <c r="R461" i="16"/>
  <c r="Q463" i="16"/>
  <c r="AB464" i="16" a="1"/>
  <c r="R462" i="16" a="1"/>
  <c r="AA465" i="16"/>
  <c r="AB464" i="16" l="1"/>
  <c r="R462" i="16"/>
  <c r="Q464" i="16"/>
  <c r="R463" i="16" a="1"/>
  <c r="AA466" i="16"/>
  <c r="AB465" i="16" a="1"/>
  <c r="AB465" i="16" l="1"/>
  <c r="R463" i="16"/>
  <c r="Q465" i="16"/>
  <c r="AA467" i="16"/>
  <c r="R464" i="16" a="1"/>
  <c r="AB466" i="16" a="1"/>
  <c r="AB466" i="16" l="1"/>
  <c r="R464" i="16"/>
  <c r="R465" i="16" a="1"/>
  <c r="AA468" i="16"/>
  <c r="AB467" i="16" a="1"/>
  <c r="Q466" i="16"/>
  <c r="AB467" i="16" l="1"/>
  <c r="R465" i="16"/>
  <c r="Q467" i="16"/>
  <c r="R466" i="16" a="1"/>
  <c r="AB468" i="16" a="1"/>
  <c r="AA469" i="16"/>
  <c r="AB468" i="16" l="1"/>
  <c r="R466" i="16"/>
  <c r="Q468" i="16"/>
  <c r="R467" i="16" a="1"/>
  <c r="AB469" i="16" a="1"/>
  <c r="AA470" i="16"/>
  <c r="AB469" i="16" l="1"/>
  <c r="R467" i="16"/>
  <c r="R468" i="16" a="1"/>
  <c r="Q469" i="16"/>
  <c r="AB470" i="16" a="1"/>
  <c r="AA471" i="16"/>
  <c r="AB470" i="16" l="1"/>
  <c r="R468" i="16"/>
  <c r="AB471" i="16" a="1"/>
  <c r="Q470" i="16"/>
  <c r="AA472" i="16"/>
  <c r="R469" i="16" a="1"/>
  <c r="AB471" i="16" l="1"/>
  <c r="R469" i="16"/>
  <c r="R470" i="16" a="1"/>
  <c r="AA473" i="16"/>
  <c r="Q471" i="16"/>
  <c r="AB472" i="16" a="1"/>
  <c r="AB472" i="16" l="1"/>
  <c r="R470" i="16"/>
  <c r="AA474" i="16"/>
  <c r="Q472" i="16"/>
  <c r="AB473" i="16" a="1"/>
  <c r="R471" i="16" a="1"/>
  <c r="AB473" i="16" l="1"/>
  <c r="R471" i="16"/>
  <c r="R472" i="16" a="1"/>
  <c r="AA475" i="16"/>
  <c r="Q473" i="16"/>
  <c r="AB474" i="16" a="1"/>
  <c r="AB474" i="16" l="1"/>
  <c r="R472" i="16"/>
  <c r="R473" i="16" a="1"/>
  <c r="Q474" i="16"/>
  <c r="AA476" i="16"/>
  <c r="AB475" i="16" a="1"/>
  <c r="AB475" i="16" l="1"/>
  <c r="R473" i="16"/>
  <c r="AA477" i="16"/>
  <c r="Q475" i="16"/>
  <c r="AB476" i="16" a="1"/>
  <c r="R474" i="16" a="1"/>
  <c r="AB476" i="16" l="1"/>
  <c r="R474" i="16"/>
  <c r="AA478" i="16"/>
  <c r="R475" i="16" a="1"/>
  <c r="Q476" i="16"/>
  <c r="AB477" i="16" a="1"/>
  <c r="AB477" i="16" l="1"/>
  <c r="R475" i="16"/>
  <c r="R476" i="16" a="1"/>
  <c r="Q477" i="16"/>
  <c r="AB478" i="16" a="1"/>
  <c r="AA479" i="16"/>
  <c r="AB478" i="16" l="1"/>
  <c r="R476" i="16"/>
  <c r="R477" i="16" a="1"/>
  <c r="Q478" i="16"/>
  <c r="AB479" i="16" a="1"/>
  <c r="AA480" i="16"/>
  <c r="AB479" i="16" l="1"/>
  <c r="R477" i="16"/>
  <c r="R478" i="16" a="1"/>
  <c r="Q479" i="16"/>
  <c r="AB480" i="16" a="1"/>
  <c r="AA481" i="16"/>
  <c r="AB480" i="16" l="1"/>
  <c r="R478" i="16"/>
  <c r="AA482" i="16"/>
  <c r="AB481" i="16" a="1"/>
  <c r="R479" i="16" a="1"/>
  <c r="Q480" i="16"/>
  <c r="AB481" i="16" l="1"/>
  <c r="R479" i="16"/>
  <c r="R480" i="16" a="1"/>
  <c r="AB482" i="16" a="1"/>
  <c r="Q481" i="16"/>
  <c r="AA483" i="16"/>
  <c r="AB482" i="16" l="1"/>
  <c r="R480" i="16"/>
  <c r="R481" i="16" a="1"/>
  <c r="AB483" i="16" a="1"/>
  <c r="AA484" i="16"/>
  <c r="Q482" i="16"/>
  <c r="AB483" i="16" l="1"/>
  <c r="R481" i="16"/>
  <c r="AA485" i="16"/>
  <c r="AB484" i="16" a="1"/>
  <c r="R482" i="16" a="1"/>
  <c r="Q483" i="16"/>
  <c r="AB484" i="16" l="1"/>
  <c r="R482" i="16"/>
  <c r="AB485" i="16" a="1"/>
  <c r="R483" i="16" a="1"/>
  <c r="AA486" i="16"/>
  <c r="Q484" i="16"/>
  <c r="AB485" i="16" l="1"/>
  <c r="R483" i="16"/>
  <c r="AB486" i="16" a="1"/>
  <c r="AA487" i="16"/>
  <c r="Q485" i="16"/>
  <c r="R484" i="16" a="1"/>
  <c r="AB486" i="16" l="1"/>
  <c r="R484" i="16"/>
  <c r="AB487" i="16" a="1"/>
  <c r="AA488" i="16"/>
  <c r="R485" i="16" a="1"/>
  <c r="Q486" i="16"/>
  <c r="AB487" i="16" l="1"/>
  <c r="R485" i="16"/>
  <c r="AA489" i="16"/>
  <c r="AB488" i="16" a="1"/>
  <c r="R486" i="16" a="1"/>
  <c r="Q487" i="16"/>
  <c r="AB488" i="16" l="1"/>
  <c r="R486" i="16"/>
  <c r="AA490" i="16"/>
  <c r="AB489" i="16" a="1"/>
  <c r="Q488" i="16"/>
  <c r="R487" i="16" a="1"/>
  <c r="AB489" i="16" l="1"/>
  <c r="R487" i="16"/>
  <c r="Q489" i="16"/>
  <c r="AB490" i="16" a="1"/>
  <c r="R488" i="16" a="1"/>
  <c r="AA491" i="16"/>
  <c r="AB490" i="16" l="1"/>
  <c r="R488" i="16"/>
  <c r="AA492" i="16"/>
  <c r="AB491" i="16" a="1"/>
  <c r="R489" i="16" a="1"/>
  <c r="Q490" i="16"/>
  <c r="AB491" i="16" l="1"/>
  <c r="R489" i="16"/>
  <c r="R490" i="16" a="1"/>
  <c r="AB492" i="16" a="1"/>
  <c r="AA493" i="16"/>
  <c r="Q491" i="16"/>
  <c r="AB492" i="16" l="1"/>
  <c r="R490" i="16"/>
  <c r="R491" i="16" a="1"/>
  <c r="Q492" i="16"/>
  <c r="AB493" i="16" a="1"/>
  <c r="AA494" i="16"/>
  <c r="AB493" i="16" l="1"/>
  <c r="R491" i="16"/>
  <c r="Q493" i="16"/>
  <c r="AB494" i="16" a="1"/>
  <c r="AA495" i="16"/>
  <c r="R492" i="16" a="1"/>
  <c r="AB494" i="16" l="1"/>
  <c r="R492" i="16"/>
  <c r="R493" i="16" a="1"/>
  <c r="AB495" i="16" a="1"/>
  <c r="Q494" i="16"/>
  <c r="AA496" i="16"/>
  <c r="AB495" i="16" l="1"/>
  <c r="R493" i="16"/>
  <c r="R494" i="16" a="1"/>
  <c r="AB496" i="16" a="1"/>
  <c r="Q495" i="16"/>
  <c r="AA497" i="16"/>
  <c r="AB496" i="16" l="1"/>
  <c r="R494" i="16"/>
  <c r="R495" i="16" a="1"/>
  <c r="AB497" i="16" a="1"/>
  <c r="AA498" i="16"/>
  <c r="Q496" i="16"/>
  <c r="AB497" i="16" l="1"/>
  <c r="R495" i="16"/>
  <c r="AB498" i="16" a="1"/>
  <c r="Q497" i="16"/>
  <c r="R496" i="16" a="1"/>
  <c r="AA499" i="16"/>
  <c r="AB498" i="16" l="1"/>
  <c r="R496" i="16"/>
  <c r="R497" i="16" a="1"/>
  <c r="AB499" i="16" a="1"/>
  <c r="Q498" i="16"/>
  <c r="AA500" i="16"/>
  <c r="AB499" i="16" l="1"/>
  <c r="R497" i="16"/>
  <c r="Q499" i="16"/>
  <c r="R498" i="16" a="1"/>
  <c r="AB500" i="16" a="1"/>
  <c r="AA501" i="16"/>
  <c r="AB500" i="16" l="1"/>
  <c r="R498" i="16"/>
  <c r="Q500" i="16"/>
  <c r="R499" i="16" a="1"/>
  <c r="AA502" i="16"/>
  <c r="AB501" i="16" a="1"/>
  <c r="AB501" i="16" l="1"/>
  <c r="R499" i="16"/>
  <c r="R500" i="16" a="1"/>
  <c r="AB502" i="16" a="1"/>
  <c r="Q501" i="16"/>
  <c r="AA503" i="16"/>
  <c r="AB502" i="16" l="1"/>
  <c r="R500" i="16"/>
  <c r="AA504" i="16"/>
  <c r="AB503" i="16" a="1"/>
  <c r="R501" i="16" a="1"/>
  <c r="Q502" i="16"/>
  <c r="AB503" i="16" l="1"/>
  <c r="R501" i="16"/>
  <c r="Q503" i="16"/>
  <c r="R502" i="16" a="1"/>
  <c r="AB504" i="16" a="1"/>
  <c r="AA505" i="16"/>
  <c r="AB504" i="16" l="1"/>
  <c r="R502" i="16"/>
  <c r="AA506" i="16"/>
  <c r="R503" i="16" a="1"/>
  <c r="Q504" i="16"/>
  <c r="AB505" i="16" a="1"/>
  <c r="AB505" i="16" l="1"/>
  <c r="R503" i="16"/>
  <c r="R504" i="16" a="1"/>
  <c r="Q505" i="16"/>
  <c r="AA507" i="16"/>
  <c r="AB506" i="16" a="1"/>
  <c r="AB506" i="16" l="1"/>
  <c r="R504" i="16"/>
  <c r="R505" i="16" a="1"/>
  <c r="AB507" i="16" a="1"/>
  <c r="AA508" i="16"/>
  <c r="Q506" i="16"/>
  <c r="AB507" i="16" l="1"/>
  <c r="R505" i="16"/>
  <c r="AB508" i="16" a="1"/>
  <c r="R506" i="16" a="1"/>
  <c r="Q507" i="16"/>
  <c r="AA509" i="16"/>
  <c r="AB508" i="16" l="1"/>
  <c r="R506" i="16"/>
  <c r="AB509" i="16" a="1"/>
  <c r="R507" i="16" a="1"/>
  <c r="AA510" i="16"/>
  <c r="Q508" i="16"/>
  <c r="AB509" i="16" l="1"/>
  <c r="R507" i="16"/>
  <c r="R508" i="16" a="1"/>
  <c r="AA511" i="16"/>
  <c r="Q509" i="16"/>
  <c r="AB510" i="16" a="1"/>
  <c r="AB510" i="16" l="1"/>
  <c r="R508" i="16"/>
  <c r="AB511" i="16" a="1"/>
  <c r="R509" i="16" a="1"/>
  <c r="AA512" i="16"/>
  <c r="Q510" i="16"/>
  <c r="AB511" i="16" l="1"/>
  <c r="R509" i="16"/>
  <c r="AB512" i="16" a="1"/>
  <c r="AA513" i="16"/>
  <c r="R510" i="16" a="1"/>
  <c r="Q511" i="16"/>
  <c r="AB512" i="16" l="1"/>
  <c r="R510" i="16"/>
  <c r="AB513" i="16" a="1"/>
  <c r="AA514" i="16"/>
  <c r="R511" i="16" a="1"/>
  <c r="Q512" i="16"/>
  <c r="AB513" i="16" l="1"/>
  <c r="R511" i="16"/>
  <c r="R512" i="16" a="1"/>
  <c r="AA515" i="16"/>
  <c r="Q513" i="16"/>
  <c r="AB514" i="16" a="1"/>
  <c r="AB514" i="16" l="1"/>
  <c r="R512" i="16"/>
  <c r="Q514" i="16"/>
  <c r="AB515" i="16" a="1"/>
  <c r="R513" i="16" a="1"/>
  <c r="AA516" i="16"/>
  <c r="AB515" i="16" l="1"/>
  <c r="R513" i="16"/>
  <c r="R514" i="16" a="1"/>
  <c r="AB516" i="16" a="1"/>
  <c r="Q515" i="16"/>
  <c r="AA517" i="16"/>
  <c r="AB516" i="16" l="1"/>
  <c r="R514" i="16"/>
  <c r="AA518" i="16"/>
  <c r="R515" i="16" a="1"/>
  <c r="AB517" i="16" a="1"/>
  <c r="Q516" i="16"/>
  <c r="AB517" i="16" l="1"/>
  <c r="R515" i="16"/>
  <c r="R516" i="16" a="1"/>
  <c r="AB518" i="16" a="1"/>
  <c r="Q517" i="16"/>
  <c r="AA519" i="16"/>
  <c r="AB518" i="16" l="1"/>
  <c r="R516" i="16"/>
  <c r="AB519" i="16" a="1"/>
  <c r="R517" i="16" a="1"/>
  <c r="AA520" i="16"/>
  <c r="Q518" i="16"/>
  <c r="AB519" i="16" l="1"/>
  <c r="R517" i="16"/>
  <c r="AA521" i="16"/>
  <c r="AB520" i="16" a="1"/>
  <c r="R518" i="16" a="1"/>
  <c r="Q519" i="16"/>
  <c r="AB520" i="16" l="1"/>
  <c r="R518" i="16"/>
  <c r="AB521" i="16" a="1"/>
  <c r="R519" i="16" a="1"/>
  <c r="AA522" i="16"/>
  <c r="Q520" i="16"/>
  <c r="AB521" i="16" l="1"/>
  <c r="R519" i="16"/>
  <c r="Q521" i="16"/>
  <c r="AB522" i="16" a="1"/>
  <c r="R520" i="16" a="1"/>
  <c r="AA523" i="16"/>
  <c r="AB522" i="16" l="1"/>
  <c r="R520" i="16"/>
  <c r="R521" i="16" a="1"/>
  <c r="Q522" i="16"/>
  <c r="AB523" i="16" a="1"/>
  <c r="AA524" i="16"/>
  <c r="AB523" i="16" l="1"/>
  <c r="R521" i="16"/>
  <c r="R522" i="16" a="1"/>
  <c r="Q523" i="16"/>
  <c r="AA525" i="16"/>
  <c r="AB524" i="16" a="1"/>
  <c r="AB524" i="16" l="1"/>
  <c r="R522" i="16"/>
  <c r="R523" i="16" a="1"/>
  <c r="Q524" i="16"/>
  <c r="AA526" i="16"/>
  <c r="AB525" i="16" a="1"/>
  <c r="AB525" i="16" l="1"/>
  <c r="R523" i="16"/>
  <c r="AA527" i="16"/>
  <c r="AB526" i="16" a="1"/>
  <c r="R524" i="16" a="1"/>
  <c r="Q525" i="16"/>
  <c r="AB526" i="16" l="1"/>
  <c r="R524" i="16"/>
  <c r="Q526" i="16"/>
  <c r="R525" i="16" a="1"/>
  <c r="AB527" i="16" a="1"/>
  <c r="AA528" i="16"/>
  <c r="AB527" i="16" l="1"/>
  <c r="R525" i="16"/>
  <c r="AA529" i="16"/>
  <c r="AB528" i="16" a="1"/>
  <c r="R526" i="16" a="1"/>
  <c r="Q527" i="16"/>
  <c r="AB528" i="16" l="1"/>
  <c r="R526" i="16"/>
  <c r="R527" i="16" a="1"/>
  <c r="AA530" i="16"/>
  <c r="Q528" i="16"/>
  <c r="AB529" i="16" a="1"/>
  <c r="AB529" i="16" l="1"/>
  <c r="R527" i="16"/>
  <c r="Q529" i="16"/>
  <c r="R528" i="16" a="1"/>
  <c r="AB530" i="16" a="1"/>
  <c r="AA531" i="16"/>
  <c r="AB530" i="16" l="1"/>
  <c r="R528" i="16"/>
  <c r="R529" i="16" a="1"/>
  <c r="AA532" i="16"/>
  <c r="Q530" i="16"/>
  <c r="AB531" i="16" a="1"/>
  <c r="AB531" i="16" l="1"/>
  <c r="R529" i="16"/>
  <c r="R530" i="16" a="1"/>
  <c r="AB532" i="16" a="1"/>
  <c r="Q531" i="16"/>
  <c r="AA533" i="16"/>
  <c r="AB532" i="16" l="1"/>
  <c r="R530" i="16"/>
  <c r="Q532" i="16"/>
  <c r="AB533" i="16" a="1"/>
  <c r="R531" i="16" a="1"/>
  <c r="AA534" i="16"/>
  <c r="AB533" i="16" l="1"/>
  <c r="R531" i="16"/>
  <c r="R532" i="16" a="1"/>
  <c r="Q533" i="16"/>
  <c r="AA535" i="16"/>
  <c r="AB534" i="16" a="1"/>
  <c r="AB534" i="16" l="1"/>
  <c r="R532" i="16"/>
  <c r="AA536" i="16"/>
  <c r="Q534" i="16"/>
  <c r="R533" i="16" a="1"/>
  <c r="AB535" i="16" a="1"/>
  <c r="AB535" i="16" l="1"/>
  <c r="R533" i="16"/>
  <c r="AB536" i="16" a="1"/>
  <c r="R534" i="16" a="1"/>
  <c r="AA537" i="16"/>
  <c r="Q535" i="16"/>
  <c r="AB536" i="16" l="1"/>
  <c r="R534" i="16"/>
  <c r="AA538" i="16"/>
  <c r="R535" i="16" a="1"/>
  <c r="AB537" i="16" a="1"/>
  <c r="Q536" i="16"/>
  <c r="AB537" i="16" l="1"/>
  <c r="R535" i="16"/>
  <c r="AB538" i="16" a="1"/>
  <c r="R536" i="16" a="1"/>
  <c r="Q537" i="16"/>
  <c r="AA539" i="16"/>
  <c r="AB538" i="16" l="1"/>
  <c r="R536" i="16"/>
  <c r="Q538" i="16"/>
  <c r="R537" i="16" a="1"/>
  <c r="AB539" i="16" a="1"/>
  <c r="AA540" i="16"/>
  <c r="AB539" i="16" l="1"/>
  <c r="R537" i="16"/>
  <c r="AB540" i="16" a="1"/>
  <c r="AA541" i="16"/>
  <c r="Q539" i="16"/>
  <c r="R538" i="16" a="1"/>
  <c r="AB540" i="16" l="1"/>
  <c r="R538" i="16"/>
  <c r="AB541" i="16" a="1"/>
  <c r="R539" i="16" a="1"/>
  <c r="AA542" i="16"/>
  <c r="Q540" i="16"/>
  <c r="AB541" i="16" l="1"/>
  <c r="R539" i="16"/>
  <c r="AA543" i="16"/>
  <c r="Q541" i="16"/>
  <c r="AB542" i="16" a="1"/>
  <c r="R540" i="16" a="1"/>
  <c r="AB542" i="16" l="1"/>
  <c r="R540" i="16"/>
  <c r="Q542" i="16"/>
  <c r="AB543" i="16" a="1"/>
  <c r="R541" i="16" a="1"/>
  <c r="AA544" i="16"/>
  <c r="AB543" i="16" l="1"/>
  <c r="R541" i="16"/>
  <c r="AB544" i="16" a="1"/>
  <c r="R542" i="16" a="1"/>
  <c r="Q543" i="16"/>
  <c r="AA545" i="16"/>
  <c r="AB544" i="16" l="1"/>
  <c r="R542" i="16"/>
  <c r="Q544" i="16"/>
  <c r="R543" i="16" a="1"/>
  <c r="AB545" i="16" a="1"/>
  <c r="AA546" i="16"/>
  <c r="AB545" i="16" l="1"/>
  <c r="R543" i="16"/>
  <c r="Q545" i="16"/>
  <c r="AA547" i="16"/>
  <c r="AB546" i="16" a="1"/>
  <c r="R544" i="16" a="1"/>
  <c r="AB546" i="16" l="1"/>
  <c r="R544" i="16"/>
  <c r="R545" i="16" a="1"/>
  <c r="AA548" i="16"/>
  <c r="AB547" i="16" a="1"/>
  <c r="Q546" i="16"/>
  <c r="AB547" i="16" l="1"/>
  <c r="R545" i="16"/>
  <c r="R546" i="16" a="1"/>
  <c r="AA549" i="16"/>
  <c r="Q547" i="16"/>
  <c r="AB548" i="16" a="1"/>
  <c r="AB548" i="16" l="1"/>
  <c r="R546" i="16"/>
  <c r="Q548" i="16"/>
  <c r="AB549" i="16" a="1"/>
  <c r="R547" i="16" a="1"/>
  <c r="AA550" i="16"/>
  <c r="AB549" i="16" l="1"/>
  <c r="R547" i="16"/>
  <c r="R548" i="16" a="1"/>
  <c r="AB550" i="16" a="1"/>
  <c r="AA551" i="16"/>
  <c r="Q549" i="16"/>
  <c r="AB550" i="16" l="1"/>
  <c r="R548" i="16"/>
  <c r="AB551" i="16" a="1"/>
  <c r="AA552" i="16"/>
  <c r="R549" i="16" a="1"/>
  <c r="Q550" i="16"/>
  <c r="AB551" i="16" l="1"/>
  <c r="R549" i="16"/>
  <c r="R550" i="16" a="1"/>
  <c r="Q551" i="16"/>
  <c r="AA553" i="16"/>
  <c r="AB552" i="16" a="1"/>
  <c r="AB552" i="16" l="1"/>
  <c r="R550" i="16"/>
  <c r="AB553" i="16" a="1"/>
  <c r="R551" i="16" a="1"/>
  <c r="Q552" i="16"/>
  <c r="AA554" i="16"/>
  <c r="AB553" i="16" l="1"/>
  <c r="R551" i="16"/>
  <c r="R552" i="16" a="1"/>
  <c r="AA555" i="16"/>
  <c r="AB554" i="16" a="1"/>
  <c r="Q553" i="16"/>
  <c r="AB554" i="16" l="1"/>
  <c r="R552" i="16"/>
  <c r="AA556" i="16"/>
  <c r="R553" i="16" a="1"/>
  <c r="Q554" i="16"/>
  <c r="AB555" i="16" a="1"/>
  <c r="AB555" i="16" l="1"/>
  <c r="R553" i="16"/>
  <c r="Q555" i="16"/>
  <c r="AB556" i="16" a="1"/>
  <c r="AA557" i="16"/>
  <c r="R554" i="16" a="1"/>
  <c r="AB556" i="16" l="1"/>
  <c r="R554" i="16"/>
  <c r="AA558" i="16"/>
  <c r="Q556" i="16"/>
  <c r="AB557" i="16" a="1"/>
  <c r="R555" i="16" a="1"/>
  <c r="AB557" i="16" l="1"/>
  <c r="R555" i="16"/>
  <c r="Q557" i="16"/>
  <c r="AB558" i="16" a="1"/>
  <c r="R556" i="16" a="1"/>
  <c r="AA559" i="16"/>
  <c r="AB558" i="16" l="1"/>
  <c r="R556" i="16"/>
  <c r="R557" i="16" a="1"/>
  <c r="Q558" i="16"/>
  <c r="AB559" i="16" a="1"/>
  <c r="AA560" i="16"/>
  <c r="AB559" i="16" l="1"/>
  <c r="R557" i="16"/>
  <c r="AA561" i="16"/>
  <c r="R558" i="16" a="1"/>
  <c r="AB560" i="16" a="1"/>
  <c r="Q559" i="16"/>
  <c r="AB560" i="16" l="1"/>
  <c r="R558" i="16"/>
  <c r="AA562" i="16"/>
  <c r="AB561" i="16" a="1"/>
  <c r="Q560" i="16"/>
  <c r="R559" i="16" a="1"/>
  <c r="AB561" i="16" l="1"/>
  <c r="R559" i="16"/>
  <c r="R560" i="16" a="1"/>
  <c r="AA563" i="16"/>
  <c r="Q561" i="16"/>
  <c r="AB562" i="16" a="1"/>
  <c r="AB562" i="16" l="1"/>
  <c r="R560" i="16"/>
  <c r="AB563" i="16" a="1"/>
  <c r="Q562" i="16"/>
  <c r="AA564" i="16"/>
  <c r="R561" i="16" a="1"/>
  <c r="AB563" i="16" l="1"/>
  <c r="R561" i="16"/>
  <c r="R562" i="16" a="1"/>
  <c r="AB564" i="16" a="1"/>
  <c r="Q563" i="16"/>
  <c r="AA565" i="16"/>
  <c r="AB564" i="16" l="1"/>
  <c r="R562" i="16"/>
  <c r="Q564" i="16"/>
  <c r="AB565" i="16" a="1"/>
  <c r="AA566" i="16"/>
  <c r="R563" i="16" a="1"/>
  <c r="AB565" i="16" l="1"/>
  <c r="R563" i="16"/>
  <c r="Q565" i="16"/>
  <c r="AB566" i="16" a="1"/>
  <c r="AA567" i="16"/>
  <c r="R564" i="16" a="1"/>
  <c r="AB566" i="16" l="1"/>
  <c r="R564" i="16"/>
  <c r="AA568" i="16"/>
  <c r="R565" i="16" a="1"/>
  <c r="Q566" i="16"/>
  <c r="AB567" i="16" a="1"/>
  <c r="AB567" i="16" l="1"/>
  <c r="R565" i="16"/>
  <c r="AB568" i="16" a="1"/>
  <c r="AA569" i="16"/>
  <c r="Q567" i="16"/>
  <c r="R566" i="16" a="1"/>
  <c r="AB568" i="16" l="1"/>
  <c r="R566" i="16"/>
  <c r="AB569" i="16" a="1"/>
  <c r="Q568" i="16"/>
  <c r="AA570" i="16"/>
  <c r="R567" i="16" a="1"/>
  <c r="AB569" i="16" l="1"/>
  <c r="R567" i="16"/>
  <c r="AB570" i="16" a="1"/>
  <c r="Q569" i="16"/>
  <c r="R568" i="16" a="1"/>
  <c r="AA571" i="16"/>
  <c r="AB570" i="16" l="1"/>
  <c r="R568" i="16"/>
  <c r="AB571" i="16" a="1"/>
  <c r="R569" i="16" a="1"/>
  <c r="Q570" i="16"/>
  <c r="AA572" i="16"/>
  <c r="AB571" i="16" l="1"/>
  <c r="R569" i="16"/>
  <c r="Q571" i="16"/>
  <c r="AB572" i="16" a="1"/>
  <c r="AA573" i="16"/>
  <c r="R570" i="16" a="1"/>
  <c r="AB572" i="16" l="1"/>
  <c r="R570" i="16"/>
  <c r="AB573" i="16" a="1"/>
  <c r="AA574" i="16"/>
  <c r="R571" i="16" a="1"/>
  <c r="Q572" i="16"/>
  <c r="AB573" i="16" l="1"/>
  <c r="R571" i="16"/>
  <c r="Q573" i="16"/>
  <c r="AB574" i="16" a="1"/>
  <c r="R572" i="16" a="1"/>
  <c r="AA575" i="16"/>
  <c r="AB574" i="16" l="1"/>
  <c r="R572" i="16"/>
  <c r="AA576" i="16"/>
  <c r="R573" i="16" a="1"/>
  <c r="Q574" i="16"/>
  <c r="AB575" i="16" a="1"/>
  <c r="AB575" i="16" l="1"/>
  <c r="R573" i="16"/>
  <c r="Q575" i="16"/>
  <c r="AA577" i="16"/>
  <c r="R574" i="16" a="1"/>
  <c r="AB576" i="16" a="1"/>
  <c r="AB576" i="16" l="1"/>
  <c r="R574" i="16"/>
  <c r="AA578" i="16"/>
  <c r="AB577" i="16" a="1"/>
  <c r="R575" i="16" a="1"/>
  <c r="Q576" i="16"/>
  <c r="AB577" i="16" l="1"/>
  <c r="R575" i="16"/>
  <c r="Q577" i="16"/>
  <c r="AB578" i="16" a="1"/>
  <c r="AA579" i="16"/>
  <c r="R576" i="16" a="1"/>
  <c r="AB578" i="16" l="1"/>
  <c r="R576" i="16"/>
  <c r="R577" i="16" a="1"/>
  <c r="AA580" i="16"/>
  <c r="Q578" i="16"/>
  <c r="AB579" i="16" a="1"/>
  <c r="AB579" i="16" l="1"/>
  <c r="R577" i="16"/>
  <c r="R578" i="16" a="1"/>
  <c r="AB580" i="16" a="1"/>
  <c r="Q579" i="16"/>
  <c r="AA581" i="16"/>
  <c r="AB580" i="16" l="1"/>
  <c r="R578" i="16"/>
  <c r="R579" i="16" a="1"/>
  <c r="AB581" i="16" a="1"/>
  <c r="Q580" i="16"/>
  <c r="AA582" i="16"/>
  <c r="AB581" i="16" l="1"/>
  <c r="R579" i="16"/>
  <c r="AB582" i="16" a="1"/>
  <c r="R580" i="16" a="1"/>
  <c r="Q581" i="16"/>
  <c r="AA583" i="16"/>
  <c r="AB582" i="16" l="1"/>
  <c r="R580" i="16"/>
  <c r="R581" i="16" a="1"/>
  <c r="AA584" i="16"/>
  <c r="Q582" i="16"/>
  <c r="AB583" i="16" a="1"/>
  <c r="AB583" i="16" l="1"/>
  <c r="R581" i="16"/>
  <c r="Q583" i="16"/>
  <c r="AB584" i="16" a="1"/>
  <c r="R582" i="16" a="1"/>
  <c r="AA585" i="16"/>
  <c r="AB584" i="16" l="1"/>
  <c r="R582" i="16"/>
  <c r="AA586" i="16"/>
  <c r="Q584" i="16"/>
  <c r="R583" i="16" a="1"/>
  <c r="AB585" i="16" a="1"/>
  <c r="AB585" i="16" l="1"/>
  <c r="R583" i="16"/>
  <c r="Q585" i="16"/>
  <c r="R584" i="16" a="1"/>
  <c r="AB586" i="16" a="1"/>
  <c r="AA587" i="16"/>
  <c r="AB586" i="16" l="1"/>
  <c r="R584" i="16"/>
  <c r="R585" i="16" a="1"/>
  <c r="AB587" i="16" a="1"/>
  <c r="Q586" i="16"/>
  <c r="AA588" i="16"/>
  <c r="AB587" i="16" l="1"/>
  <c r="R585" i="16"/>
  <c r="AB588" i="16" a="1"/>
  <c r="R586" i="16" a="1"/>
  <c r="AA589" i="16"/>
  <c r="Q587" i="16"/>
  <c r="AB588" i="16" l="1"/>
  <c r="R586" i="16"/>
  <c r="R587" i="16" a="1"/>
  <c r="AA590" i="16"/>
  <c r="Q588" i="16"/>
  <c r="AB589" i="16" a="1"/>
  <c r="AB589" i="16" l="1"/>
  <c r="R587" i="16"/>
  <c r="AA591" i="16"/>
  <c r="R588" i="16" a="1"/>
  <c r="AB590" i="16" a="1"/>
  <c r="Q589" i="16"/>
  <c r="AB590" i="16" l="1"/>
  <c r="R588" i="16"/>
  <c r="AB591" i="16" a="1"/>
  <c r="Q590" i="16"/>
  <c r="R589" i="16" a="1"/>
  <c r="AA592" i="16"/>
  <c r="AB591" i="16" l="1"/>
  <c r="R589" i="16"/>
  <c r="AB592" i="16" a="1"/>
  <c r="AA593" i="16"/>
  <c r="Q591" i="16"/>
  <c r="R590" i="16" a="1"/>
  <c r="AB592" i="16" l="1"/>
  <c r="R590" i="16"/>
  <c r="R591" i="16" a="1"/>
  <c r="AA594" i="16"/>
  <c r="Q592" i="16"/>
  <c r="AB593" i="16" a="1"/>
  <c r="AB593" i="16" l="1"/>
  <c r="R591" i="16"/>
  <c r="AB594" i="16" a="1"/>
  <c r="AA595" i="16"/>
  <c r="R592" i="16" a="1"/>
  <c r="Q593" i="16"/>
  <c r="AB594" i="16" l="1"/>
  <c r="R592" i="16"/>
  <c r="AA596" i="16"/>
  <c r="R593" i="16" a="1"/>
  <c r="AB595" i="16" a="1"/>
  <c r="Q594" i="16"/>
  <c r="AB595" i="16" l="1"/>
  <c r="R593" i="16"/>
  <c r="Q595" i="16"/>
  <c r="R594" i="16" a="1"/>
  <c r="AA597" i="16"/>
  <c r="AB596" i="16" a="1"/>
  <c r="AB596" i="16" l="1"/>
  <c r="R594" i="16"/>
  <c r="Q596" i="16"/>
  <c r="AA598" i="16"/>
  <c r="AB597" i="16" a="1"/>
  <c r="R595" i="16" a="1"/>
  <c r="AB597" i="16" l="1"/>
  <c r="R595" i="16"/>
  <c r="AA599" i="16"/>
  <c r="R596" i="16" a="1"/>
  <c r="Q597" i="16"/>
  <c r="AB598" i="16" a="1"/>
  <c r="AB598" i="16" l="1"/>
  <c r="R596" i="16"/>
  <c r="Q598" i="16"/>
  <c r="R597" i="16" a="1"/>
  <c r="AB599" i="16" a="1"/>
  <c r="AA600" i="16"/>
  <c r="AB599" i="16" l="1"/>
  <c r="R597" i="16"/>
  <c r="AA601" i="16"/>
  <c r="R598" i="16" a="1"/>
  <c r="AB600" i="16" a="1"/>
  <c r="Q599" i="16"/>
  <c r="AB600" i="16" l="1"/>
  <c r="R598" i="16"/>
  <c r="AB601" i="16" a="1"/>
  <c r="AA602" i="16"/>
  <c r="Q600" i="16"/>
  <c r="R599" i="16" a="1"/>
  <c r="AB601" i="16" l="1"/>
  <c r="R599" i="16"/>
  <c r="Q601" i="16"/>
  <c r="R600" i="16" a="1"/>
  <c r="AA603" i="16"/>
  <c r="AB602" i="16" a="1"/>
  <c r="AB602" i="16" l="1"/>
  <c r="R600" i="16"/>
  <c r="AA604" i="16"/>
  <c r="R601" i="16" a="1"/>
  <c r="AB603" i="16" a="1"/>
  <c r="Q602" i="16"/>
  <c r="AB603" i="16" l="1"/>
  <c r="R601" i="16"/>
  <c r="Q603" i="16"/>
  <c r="R602" i="16" a="1"/>
  <c r="AB604" i="16" a="1"/>
  <c r="AA605" i="16"/>
  <c r="AB604" i="16" l="1"/>
  <c r="R602" i="16"/>
  <c r="R603" i="16" a="1"/>
  <c r="AA606" i="16"/>
  <c r="AB605" i="16" a="1"/>
  <c r="Q604" i="16"/>
  <c r="AB605" i="16" l="1"/>
  <c r="R603" i="16"/>
  <c r="AB606" i="16" a="1"/>
  <c r="Q605" i="16"/>
  <c r="AA607" i="16"/>
  <c r="R604" i="16" a="1"/>
  <c r="AB606" i="16" l="1"/>
  <c r="R604" i="16"/>
  <c r="AA608" i="16"/>
  <c r="R605" i="16" a="1"/>
  <c r="AB607" i="16" a="1"/>
  <c r="Q606" i="16"/>
  <c r="AB607" i="16" l="1"/>
  <c r="R605" i="16"/>
  <c r="Q607" i="16"/>
  <c r="AB608" i="16" a="1"/>
  <c r="AA609" i="16"/>
  <c r="R606" i="16" a="1"/>
  <c r="AB608" i="16" l="1"/>
  <c r="R606" i="16"/>
  <c r="R607" i="16" a="1"/>
  <c r="AA610" i="16"/>
  <c r="AB609" i="16" a="1"/>
  <c r="Q608" i="16"/>
  <c r="AB609" i="16" l="1"/>
  <c r="R607" i="16"/>
  <c r="Q609" i="16"/>
  <c r="AA611" i="16"/>
  <c r="R608" i="16" a="1"/>
  <c r="AB610" i="16" a="1"/>
  <c r="AB610" i="16" l="1"/>
  <c r="R608" i="16"/>
  <c r="R609" i="16" a="1"/>
  <c r="AA612" i="16"/>
  <c r="Q610" i="16"/>
  <c r="AB611" i="16" a="1"/>
  <c r="AB611" i="16" l="1"/>
  <c r="R609" i="16"/>
  <c r="R610" i="16" a="1"/>
  <c r="Q611" i="16"/>
  <c r="AA613" i="16"/>
  <c r="AB612" i="16" a="1"/>
  <c r="AB612" i="16" l="1"/>
  <c r="R610" i="16"/>
  <c r="AA614" i="16"/>
  <c r="AB613" i="16" a="1"/>
  <c r="Q612" i="16"/>
  <c r="R611" i="16" a="1"/>
  <c r="AB613" i="16" l="1"/>
  <c r="R611" i="16"/>
  <c r="AB614" i="16" a="1"/>
  <c r="AA615" i="16"/>
  <c r="Q613" i="16"/>
  <c r="R612" i="16" a="1"/>
  <c r="AB614" i="16" l="1"/>
  <c r="R612" i="16"/>
  <c r="Q614" i="16"/>
  <c r="R613" i="16" a="1"/>
  <c r="AB615" i="16" a="1"/>
  <c r="AA616" i="16"/>
  <c r="AB615" i="16" l="1"/>
  <c r="R613" i="16"/>
  <c r="AB616" i="16" a="1"/>
  <c r="Q615" i="16"/>
  <c r="R614" i="16" a="1"/>
  <c r="AA617" i="16"/>
  <c r="AB616" i="16" l="1"/>
  <c r="R614" i="16"/>
  <c r="AB617" i="16" a="1"/>
  <c r="R615" i="16" a="1"/>
  <c r="AA618" i="16"/>
  <c r="Q616" i="16"/>
  <c r="AB617" i="16" l="1"/>
  <c r="R615" i="16"/>
  <c r="R616" i="16" a="1"/>
  <c r="AA619" i="16"/>
  <c r="AB618" i="16" a="1"/>
  <c r="Q617" i="16"/>
  <c r="AB618" i="16" l="1"/>
  <c r="R616" i="16"/>
  <c r="Q618" i="16"/>
  <c r="AB619" i="16" a="1"/>
  <c r="R617" i="16" a="1"/>
  <c r="AA620" i="16"/>
  <c r="AB619" i="16" l="1"/>
  <c r="R617" i="16"/>
  <c r="R618" i="16" a="1"/>
  <c r="AA621" i="16"/>
  <c r="Q619" i="16"/>
  <c r="AB620" i="16" a="1"/>
  <c r="AB620" i="16" l="1"/>
  <c r="R618" i="16"/>
  <c r="AB621" i="16" a="1"/>
  <c r="AA622" i="16"/>
  <c r="Q620" i="16"/>
  <c r="R619" i="16" a="1"/>
  <c r="AB621" i="16" l="1"/>
  <c r="R619" i="16"/>
  <c r="AB622" i="16" a="1"/>
  <c r="Q621" i="16"/>
  <c r="AA623" i="16"/>
  <c r="R620" i="16" a="1"/>
  <c r="AB622" i="16" l="1"/>
  <c r="R620" i="16"/>
  <c r="AA624" i="16"/>
  <c r="AB623" i="16" a="1"/>
  <c r="R621" i="16" a="1"/>
  <c r="Q622" i="16"/>
  <c r="AB623" i="16" l="1"/>
  <c r="R621" i="16"/>
  <c r="R622" i="16" a="1"/>
  <c r="Q623" i="16"/>
  <c r="AA625" i="16"/>
  <c r="AB624" i="16" a="1"/>
  <c r="AB624" i="16" l="1"/>
  <c r="R622" i="16"/>
  <c r="R623" i="16" a="1"/>
  <c r="Q624" i="16"/>
  <c r="AA626" i="16"/>
  <c r="AB625" i="16" a="1"/>
  <c r="AB625" i="16" l="1"/>
  <c r="R623" i="16"/>
  <c r="AB626" i="16" a="1"/>
  <c r="Q625" i="16"/>
  <c r="AA627" i="16"/>
  <c r="R624" i="16" a="1"/>
  <c r="AB626" i="16" l="1"/>
  <c r="R624" i="16"/>
  <c r="AB627" i="16" a="1"/>
  <c r="R625" i="16" a="1"/>
  <c r="AA628" i="16"/>
  <c r="Q626" i="16"/>
  <c r="AB627" i="16" l="1"/>
  <c r="R625" i="16"/>
  <c r="AB628" i="16" a="1"/>
  <c r="R626" i="16" a="1"/>
  <c r="Q627" i="16"/>
  <c r="AA629" i="16"/>
  <c r="AB628" i="16" l="1"/>
  <c r="R626" i="16"/>
  <c r="AA630" i="16"/>
  <c r="R627" i="16" a="1"/>
  <c r="AB629" i="16" a="1"/>
  <c r="Q628" i="16"/>
  <c r="AB629" i="16" l="1"/>
  <c r="R627" i="16"/>
  <c r="AB630" i="16" a="1"/>
  <c r="R628" i="16" a="1"/>
  <c r="AA631" i="16"/>
  <c r="Q629" i="16"/>
  <c r="AB630" i="16" l="1"/>
  <c r="R628" i="16"/>
  <c r="AA632" i="16"/>
  <c r="Q630" i="16"/>
  <c r="AB631" i="16" a="1"/>
  <c r="R629" i="16" a="1"/>
  <c r="AB631" i="16" l="1"/>
  <c r="R629" i="16"/>
  <c r="R630" i="16" a="1"/>
  <c r="AA633" i="16"/>
  <c r="Q631" i="16"/>
  <c r="AB632" i="16" a="1"/>
  <c r="AB632" i="16" l="1"/>
  <c r="R630" i="16"/>
  <c r="Q632" i="16"/>
  <c r="AB633" i="16" a="1"/>
  <c r="R631" i="16" a="1"/>
  <c r="AA634" i="16"/>
  <c r="AB633" i="16" l="1"/>
  <c r="R631" i="16"/>
  <c r="R632" i="16" a="1"/>
  <c r="AA635" i="16"/>
  <c r="Q633" i="16"/>
  <c r="AB634" i="16" a="1"/>
  <c r="AB634" i="16" l="1"/>
  <c r="R632" i="16"/>
  <c r="Q634" i="16"/>
  <c r="R633" i="16" a="1"/>
  <c r="AA636" i="16"/>
  <c r="AB635" i="16" a="1"/>
  <c r="AB635" i="16" l="1"/>
  <c r="R633" i="16"/>
  <c r="AA637" i="16"/>
  <c r="Q635" i="16"/>
  <c r="R634" i="16" a="1"/>
  <c r="AB636" i="16" a="1"/>
  <c r="AB636" i="16" l="1"/>
  <c r="R634" i="16"/>
  <c r="AA638" i="16"/>
  <c r="R635" i="16" a="1"/>
  <c r="AB637" i="16" a="1"/>
  <c r="Q636" i="16"/>
  <c r="AB637" i="16" l="1"/>
  <c r="R635" i="16"/>
  <c r="Q637" i="16"/>
  <c r="R636" i="16" a="1"/>
  <c r="AA639" i="16"/>
  <c r="AB638" i="16" a="1"/>
  <c r="AB638" i="16" l="1"/>
  <c r="R636" i="16"/>
  <c r="AB639" i="16" a="1"/>
  <c r="R637" i="16" a="1"/>
  <c r="AA640" i="16"/>
  <c r="Q638" i="16"/>
  <c r="AB639" i="16" l="1"/>
  <c r="R637" i="16"/>
  <c r="Q639" i="16"/>
  <c r="AB640" i="16" a="1"/>
  <c r="R638" i="16" a="1"/>
  <c r="AA641" i="16"/>
  <c r="AB640" i="16" l="1"/>
  <c r="R638" i="16"/>
  <c r="AA642" i="16"/>
  <c r="Q640" i="16"/>
  <c r="AB641" i="16" a="1"/>
  <c r="R639" i="16" a="1"/>
  <c r="AB641" i="16" l="1"/>
  <c r="R639" i="16"/>
  <c r="AA643" i="16"/>
  <c r="AB642" i="16" a="1"/>
  <c r="R640" i="16" a="1"/>
  <c r="Q641" i="16"/>
  <c r="AB642" i="16" l="1"/>
  <c r="R640" i="16"/>
  <c r="AA644" i="16"/>
  <c r="Q642" i="16"/>
  <c r="R641" i="16" a="1"/>
  <c r="AB643" i="16" a="1"/>
  <c r="AB643" i="16" l="1"/>
  <c r="R641" i="16"/>
  <c r="Q643" i="16"/>
  <c r="AA645" i="16"/>
  <c r="R642" i="16" a="1"/>
  <c r="AB644" i="16" a="1"/>
  <c r="AB644" i="16" l="1"/>
  <c r="R642" i="16"/>
  <c r="Q644" i="16"/>
  <c r="R643" i="16" a="1"/>
  <c r="AB645" i="16" a="1"/>
  <c r="AA646" i="16"/>
  <c r="AB645" i="16" l="1"/>
  <c r="R643" i="16"/>
  <c r="R644" i="16" a="1"/>
  <c r="AA647" i="16"/>
  <c r="Q645" i="16"/>
  <c r="AB646" i="16" a="1"/>
  <c r="AB646" i="16" l="1"/>
  <c r="R644" i="16"/>
  <c r="AA648" i="16"/>
  <c r="AB647" i="16" a="1"/>
  <c r="Q646" i="16"/>
  <c r="R645" i="16" a="1"/>
  <c r="AB647" i="16" l="1"/>
  <c r="R645" i="16"/>
  <c r="R646" i="16" a="1"/>
  <c r="AB648" i="16" a="1"/>
  <c r="AA649" i="16"/>
  <c r="Q647" i="16"/>
  <c r="AB648" i="16" l="1"/>
  <c r="R646" i="16"/>
  <c r="AB649" i="16" a="1"/>
  <c r="AA650" i="16"/>
  <c r="Q648" i="16"/>
  <c r="R647" i="16" a="1"/>
  <c r="AB649" i="16" l="1"/>
  <c r="R647" i="16"/>
  <c r="Q649" i="16"/>
  <c r="AA651" i="16"/>
  <c r="AB650" i="16" a="1"/>
  <c r="R648" i="16" a="1"/>
  <c r="AB650" i="16" l="1"/>
  <c r="R648" i="16"/>
  <c r="R649" i="16" a="1"/>
  <c r="Q650" i="16"/>
  <c r="AB651" i="16" a="1"/>
  <c r="AA652" i="16"/>
  <c r="AB651" i="16" l="1"/>
  <c r="R649" i="16"/>
  <c r="AA653" i="16"/>
  <c r="R650" i="16" a="1"/>
  <c r="Q651" i="16"/>
  <c r="AB652" i="16" a="1"/>
  <c r="AB652" i="16" l="1"/>
  <c r="R650" i="16"/>
  <c r="AB653" i="16" a="1"/>
  <c r="Q652" i="16"/>
  <c r="R651" i="16" a="1"/>
  <c r="AA654" i="16"/>
  <c r="AB653" i="16" l="1"/>
  <c r="R651" i="16"/>
  <c r="AA655" i="16"/>
  <c r="Q653" i="16"/>
  <c r="R652" i="16" a="1"/>
  <c r="AB654" i="16" a="1"/>
  <c r="AB654" i="16" l="1"/>
  <c r="R652" i="16"/>
  <c r="Q654" i="16"/>
  <c r="R653" i="16" a="1"/>
  <c r="AB655" i="16" a="1"/>
  <c r="AA656" i="16"/>
  <c r="AB655" i="16" l="1"/>
  <c r="R653" i="16"/>
  <c r="AA657" i="16"/>
  <c r="AB656" i="16" a="1"/>
  <c r="Q655" i="16"/>
  <c r="R654" i="16" a="1"/>
  <c r="AB656" i="16" l="1"/>
  <c r="R654" i="16"/>
  <c r="AA658" i="16"/>
  <c r="Q656" i="16"/>
  <c r="AB657" i="16" a="1"/>
  <c r="R655" i="16" a="1"/>
  <c r="AB657" i="16" l="1"/>
  <c r="R655" i="16"/>
  <c r="Q657" i="16"/>
  <c r="AA659" i="16"/>
  <c r="AB658" i="16" a="1"/>
  <c r="R656" i="16" a="1"/>
  <c r="AB658" i="16" l="1"/>
  <c r="R656" i="16"/>
  <c r="AA660" i="16"/>
  <c r="Q658" i="16"/>
  <c r="R657" i="16" a="1"/>
  <c r="AB659" i="16" a="1"/>
  <c r="AB659" i="16" l="1"/>
  <c r="R657" i="16"/>
  <c r="R658" i="16" a="1"/>
  <c r="AA661" i="16"/>
  <c r="Q659" i="16"/>
  <c r="AB660" i="16" a="1"/>
  <c r="AB660" i="16" l="1"/>
  <c r="R658" i="16"/>
  <c r="R659" i="16" a="1"/>
  <c r="Q660" i="16"/>
  <c r="AB661" i="16" a="1"/>
  <c r="AA662" i="16"/>
  <c r="AB661" i="16" l="1"/>
  <c r="R659" i="16"/>
  <c r="Q661" i="16"/>
  <c r="AA663" i="16"/>
  <c r="R660" i="16" a="1"/>
  <c r="AB662" i="16" a="1"/>
  <c r="AB662" i="16" l="1"/>
  <c r="R660" i="16"/>
  <c r="AA664" i="16"/>
  <c r="AB663" i="16" a="1"/>
  <c r="Q662" i="16"/>
  <c r="R661" i="16" a="1"/>
  <c r="AB663" i="16" l="1"/>
  <c r="R661" i="16"/>
  <c r="AA665" i="16"/>
  <c r="R662" i="16" a="1"/>
  <c r="AB664" i="16" a="1"/>
  <c r="Q663" i="16"/>
  <c r="AB664" i="16" l="1"/>
  <c r="R662" i="16"/>
  <c r="AB665" i="16" a="1"/>
  <c r="AA666" i="16"/>
  <c r="R663" i="16" a="1"/>
  <c r="Q664" i="16"/>
  <c r="AB665" i="16" l="1"/>
  <c r="R663" i="16"/>
  <c r="AB666" i="16" a="1"/>
  <c r="R664" i="16" a="1"/>
  <c r="Q665" i="16"/>
  <c r="AA667" i="16"/>
  <c r="AB666" i="16" l="1"/>
  <c r="R664" i="16"/>
  <c r="AB667" i="16" a="1"/>
  <c r="R665" i="16" a="1"/>
  <c r="Q666" i="16"/>
  <c r="AA668" i="16"/>
  <c r="AB667" i="16" l="1"/>
  <c r="R665" i="16"/>
  <c r="Q667" i="16"/>
  <c r="R666" i="16" a="1"/>
  <c r="AB668" i="16" a="1"/>
  <c r="AA669" i="16"/>
  <c r="AB668" i="16" l="1"/>
  <c r="R666" i="16"/>
  <c r="R667" i="16" a="1"/>
  <c r="AB669" i="16" a="1"/>
  <c r="Q668" i="16"/>
  <c r="AA670" i="16"/>
  <c r="AB669" i="16" l="1"/>
  <c r="R667" i="16"/>
  <c r="AA671" i="16"/>
  <c r="AB670" i="16" a="1"/>
  <c r="R668" i="16" a="1"/>
  <c r="Q669" i="16"/>
  <c r="AB670" i="16" l="1"/>
  <c r="R668" i="16"/>
  <c r="AB671" i="16" a="1"/>
  <c r="R669" i="16" a="1"/>
  <c r="Q670" i="16"/>
  <c r="AA672" i="16"/>
  <c r="AB671" i="16" l="1"/>
  <c r="R669" i="16"/>
  <c r="R670" i="16" a="1"/>
  <c r="Q671" i="16"/>
  <c r="AA673" i="16"/>
  <c r="AB672" i="16" a="1"/>
  <c r="AB672" i="16" l="1"/>
  <c r="R670" i="16"/>
  <c r="R671" i="16" a="1"/>
  <c r="AA674" i="16"/>
  <c r="Q672" i="16"/>
  <c r="AB673" i="16" a="1"/>
  <c r="AB673" i="16" l="1"/>
  <c r="R671" i="16"/>
  <c r="AA675" i="16"/>
  <c r="R672" i="16" a="1"/>
  <c r="Q673" i="16"/>
  <c r="AB674" i="16" a="1"/>
  <c r="AB674" i="16" l="1"/>
  <c r="R672" i="16"/>
  <c r="AA676" i="16"/>
  <c r="AB675" i="16" a="1"/>
  <c r="R673" i="16" a="1"/>
  <c r="Q674" i="16"/>
  <c r="AB675" i="16" l="1"/>
  <c r="R673" i="16"/>
  <c r="AB676" i="16" a="1"/>
  <c r="AA677" i="16"/>
  <c r="R674" i="16" a="1"/>
  <c r="Q675" i="16"/>
  <c r="AB676" i="16" l="1"/>
  <c r="R674" i="16"/>
  <c r="R675" i="16" a="1"/>
  <c r="AB677" i="16" a="1"/>
  <c r="AA678" i="16"/>
  <c r="Q676" i="16"/>
  <c r="AB677" i="16" l="1"/>
  <c r="R675" i="16"/>
  <c r="R676" i="16" a="1"/>
  <c r="AB678" i="16" a="1"/>
  <c r="AA679" i="16"/>
  <c r="Q677" i="16"/>
  <c r="AB678" i="16" l="1"/>
  <c r="R676" i="16"/>
  <c r="AA680" i="16"/>
  <c r="R677" i="16" a="1"/>
  <c r="AB679" i="16" a="1"/>
  <c r="Q678" i="16"/>
  <c r="AB679" i="16" l="1"/>
  <c r="R677" i="16"/>
  <c r="AB680" i="16" a="1"/>
  <c r="R678" i="16" a="1"/>
  <c r="Q679" i="16"/>
  <c r="AA681" i="16"/>
  <c r="AB680" i="16" l="1"/>
  <c r="R678" i="16"/>
  <c r="Q680" i="16"/>
  <c r="R679" i="16" a="1"/>
  <c r="AA682" i="16"/>
  <c r="AB681" i="16" a="1"/>
  <c r="AB681" i="16" l="1"/>
  <c r="R679" i="16"/>
  <c r="Q681" i="16"/>
  <c r="R680" i="16" a="1"/>
  <c r="AA683" i="16"/>
  <c r="AB682" i="16" a="1"/>
  <c r="AB682" i="16" l="1"/>
  <c r="R680" i="16"/>
  <c r="R681" i="16" a="1"/>
  <c r="AB683" i="16" a="1"/>
  <c r="Q682" i="16"/>
  <c r="AA684" i="16"/>
  <c r="AB683" i="16" l="1"/>
  <c r="R681" i="16"/>
  <c r="R682" i="16" a="1"/>
  <c r="AB684" i="16" a="1"/>
  <c r="Q683" i="16"/>
  <c r="AA685" i="16"/>
  <c r="AB684" i="16" l="1"/>
  <c r="R682" i="16"/>
  <c r="R683" i="16" a="1"/>
  <c r="AA686" i="16"/>
  <c r="Q684" i="16"/>
  <c r="AB685" i="16" a="1"/>
  <c r="AB685" i="16" l="1"/>
  <c r="R683" i="16"/>
  <c r="AB686" i="16" a="1"/>
  <c r="R684" i="16" a="1"/>
  <c r="AA687" i="16"/>
  <c r="Q685" i="16"/>
  <c r="AB686" i="16" l="1"/>
  <c r="R684" i="16"/>
  <c r="AB687" i="16" a="1"/>
  <c r="Q686" i="16"/>
  <c r="R685" i="16" a="1"/>
  <c r="AA688" i="16"/>
  <c r="AB687" i="16" l="1"/>
  <c r="R685" i="16"/>
  <c r="AA689" i="16"/>
  <c r="AB688" i="16" a="1"/>
  <c r="R686" i="16" a="1"/>
  <c r="Q687" i="16"/>
  <c r="AB688" i="16" l="1"/>
  <c r="R686" i="16"/>
  <c r="R687" i="16" a="1"/>
  <c r="AB689" i="16" a="1"/>
  <c r="AA690" i="16"/>
  <c r="Q688" i="16"/>
  <c r="AB689" i="16" l="1"/>
  <c r="R687" i="16"/>
  <c r="R688" i="16" a="1"/>
  <c r="Q689" i="16"/>
  <c r="AB690" i="16" a="1"/>
  <c r="AA691" i="16"/>
  <c r="AB690" i="16" l="1"/>
  <c r="R688" i="16"/>
  <c r="AB691" i="16" a="1"/>
  <c r="AA692" i="16"/>
  <c r="Q690" i="16"/>
  <c r="R689" i="16" a="1"/>
  <c r="AB691" i="16" l="1"/>
  <c r="R689" i="16"/>
  <c r="Q691" i="16"/>
  <c r="AB692" i="16" a="1"/>
  <c r="R690" i="16" a="1"/>
  <c r="AA693" i="16"/>
  <c r="AB692" i="16" l="1"/>
  <c r="R690" i="16"/>
  <c r="Q692" i="16"/>
  <c r="R691" i="16" a="1"/>
  <c r="AA694" i="16"/>
  <c r="AB693" i="16" a="1"/>
  <c r="AB693" i="16" l="1"/>
  <c r="R691" i="16"/>
  <c r="Q693" i="16"/>
  <c r="AB694" i="16" a="1"/>
  <c r="R692" i="16" a="1"/>
  <c r="AA695" i="16"/>
  <c r="AB694" i="16" l="1"/>
  <c r="R692" i="16"/>
  <c r="R693" i="16" a="1"/>
  <c r="AB695" i="16" a="1"/>
  <c r="AA696" i="16"/>
  <c r="Q694" i="16"/>
  <c r="AB695" i="16" l="1"/>
  <c r="R693" i="16"/>
  <c r="AB696" i="16" a="1"/>
  <c r="Q695" i="16"/>
  <c r="AA697" i="16"/>
  <c r="R694" i="16" a="1"/>
  <c r="AB696" i="16" l="1"/>
  <c r="R694" i="16"/>
  <c r="AB697" i="16" a="1"/>
  <c r="Q696" i="16"/>
  <c r="AA698" i="16"/>
  <c r="R695" i="16" a="1"/>
  <c r="AB697" i="16" l="1"/>
  <c r="R695" i="16"/>
  <c r="Q697" i="16"/>
  <c r="R696" i="16" a="1"/>
  <c r="AB698" i="16" a="1"/>
  <c r="AA699" i="16"/>
  <c r="AB698" i="16" l="1"/>
  <c r="R696" i="16"/>
  <c r="Q698" i="16"/>
  <c r="AB699" i="16" a="1"/>
  <c r="AA700" i="16"/>
  <c r="R697" i="16" a="1"/>
  <c r="AB699" i="16" l="1"/>
  <c r="R697" i="16"/>
  <c r="AB700" i="16" a="1"/>
  <c r="R698" i="16" a="1"/>
  <c r="Q699" i="16"/>
  <c r="AA701" i="16"/>
  <c r="AB700" i="16" l="1"/>
  <c r="R698" i="16"/>
  <c r="R699" i="16" a="1"/>
  <c r="Q700" i="16"/>
  <c r="AB701" i="16" a="1"/>
  <c r="AA702" i="16"/>
  <c r="AB701" i="16" l="1"/>
  <c r="R699" i="16"/>
  <c r="AB702" i="16" a="1"/>
  <c r="Q701" i="16"/>
  <c r="AA703" i="16"/>
  <c r="R700" i="16" a="1"/>
  <c r="AB702" i="16" l="1"/>
  <c r="R700" i="16"/>
  <c r="AB703" i="16" a="1"/>
  <c r="AA704" i="16"/>
  <c r="Q702" i="16"/>
  <c r="R701" i="16" a="1"/>
  <c r="AB703" i="16" l="1"/>
  <c r="R701" i="16"/>
  <c r="R702" i="16" a="1"/>
  <c r="AA705" i="16"/>
  <c r="Q703" i="16"/>
  <c r="AB704" i="16" a="1"/>
  <c r="AB704" i="16" l="1"/>
  <c r="R702" i="16"/>
  <c r="R703" i="16" a="1"/>
  <c r="AB705" i="16" a="1"/>
  <c r="AA706" i="16"/>
  <c r="Q704" i="16"/>
  <c r="AB705" i="16" l="1"/>
  <c r="R703" i="16"/>
  <c r="Q705" i="16"/>
  <c r="R704" i="16" a="1"/>
  <c r="AB706" i="16" a="1"/>
  <c r="AA707" i="16"/>
  <c r="AB706" i="16" l="1"/>
  <c r="R704" i="16"/>
  <c r="AA708" i="16"/>
  <c r="R705" i="16" a="1"/>
  <c r="Q706" i="16"/>
  <c r="AB707" i="16" a="1"/>
  <c r="AB707" i="16" l="1"/>
  <c r="R705" i="16"/>
  <c r="R706" i="16" a="1"/>
  <c r="AB708" i="16" a="1"/>
  <c r="Q707" i="16"/>
  <c r="AA709" i="16"/>
  <c r="AB708" i="16" l="1"/>
  <c r="R706" i="16"/>
  <c r="R707" i="16" a="1"/>
  <c r="AA710" i="16"/>
  <c r="AB709" i="16" a="1"/>
  <c r="Q708" i="16"/>
  <c r="AB709" i="16" l="1"/>
  <c r="R707" i="16"/>
  <c r="Q709" i="16"/>
  <c r="AB710" i="16" a="1"/>
  <c r="R708" i="16" a="1"/>
  <c r="AA711" i="16"/>
  <c r="AB710" i="16" l="1"/>
  <c r="R708" i="16"/>
  <c r="R709" i="16" a="1"/>
  <c r="AB711" i="16" a="1"/>
  <c r="AA712" i="16"/>
  <c r="Q710" i="16"/>
  <c r="AB711" i="16" l="1"/>
  <c r="R709" i="16"/>
  <c r="Q711" i="16"/>
  <c r="AA713" i="16"/>
  <c r="R710" i="16" a="1"/>
  <c r="AB712" i="16" a="1"/>
  <c r="AB712" i="16" l="1"/>
  <c r="R710" i="16"/>
  <c r="Q712" i="16"/>
  <c r="R711" i="16" a="1"/>
  <c r="AB713" i="16" a="1"/>
  <c r="AA714" i="16"/>
  <c r="AB713" i="16" l="1"/>
  <c r="R711" i="16"/>
  <c r="Q713" i="16"/>
  <c r="R712" i="16" a="1"/>
  <c r="AA715" i="16"/>
  <c r="AB714" i="16" a="1"/>
  <c r="AB714" i="16" l="1"/>
  <c r="R712" i="16"/>
  <c r="AB715" i="16" a="1"/>
  <c r="AA716" i="16"/>
  <c r="R713" i="16" a="1"/>
  <c r="Q714" i="16"/>
  <c r="AB715" i="16" l="1"/>
  <c r="R713" i="16"/>
  <c r="Q715" i="16"/>
  <c r="AB716" i="16" a="1"/>
  <c r="AA717" i="16"/>
  <c r="R714" i="16" a="1"/>
  <c r="AB716" i="16" l="1"/>
  <c r="R714" i="16"/>
  <c r="AB717" i="16" a="1"/>
  <c r="R715" i="16" a="1"/>
  <c r="Q716" i="16"/>
  <c r="AA718" i="16"/>
  <c r="AB717" i="16" l="1"/>
  <c r="R715" i="16"/>
  <c r="R716" i="16" a="1"/>
  <c r="AB718" i="16" a="1"/>
  <c r="AA719" i="16"/>
  <c r="Q717" i="16"/>
  <c r="AB718" i="16" l="1"/>
  <c r="R716" i="16"/>
  <c r="Q718" i="16"/>
  <c r="AB719" i="16" a="1"/>
  <c r="R717" i="16" a="1"/>
  <c r="AA720" i="16"/>
  <c r="AB719" i="16" l="1"/>
  <c r="R717" i="16"/>
  <c r="Q719" i="16"/>
  <c r="AB720" i="16" a="1"/>
  <c r="R718" i="16" a="1"/>
  <c r="AA721" i="16"/>
  <c r="AB720" i="16" l="1"/>
  <c r="R718" i="16"/>
  <c r="AB721" i="16" a="1"/>
  <c r="Q720" i="16"/>
  <c r="R719" i="16" a="1"/>
  <c r="AA722" i="16"/>
  <c r="AB721" i="16" l="1"/>
  <c r="R719" i="16"/>
  <c r="Q721" i="16"/>
  <c r="R720" i="16" a="1"/>
  <c r="AB722" i="16" a="1"/>
  <c r="AA723" i="16"/>
  <c r="AB722" i="16" l="1"/>
  <c r="R720" i="16"/>
  <c r="AA724" i="16"/>
  <c r="R721" i="16" a="1"/>
  <c r="Q722" i="16"/>
  <c r="AB723" i="16" a="1"/>
  <c r="AB723" i="16" l="1"/>
  <c r="R721" i="16"/>
  <c r="R722" i="16" a="1"/>
  <c r="Q723" i="16"/>
  <c r="AA725" i="16"/>
  <c r="AB724" i="16" a="1"/>
  <c r="AB724" i="16" l="1"/>
  <c r="R722" i="16"/>
  <c r="Q724" i="16"/>
  <c r="R723" i="16" a="1"/>
  <c r="AB725" i="16" a="1"/>
  <c r="AA726" i="16"/>
  <c r="AB725" i="16" l="1"/>
  <c r="R723" i="16"/>
  <c r="R724" i="16" a="1"/>
  <c r="AA727" i="16"/>
  <c r="AB726" i="16" a="1"/>
  <c r="Q725" i="16"/>
  <c r="AB726" i="16" l="1"/>
  <c r="R724" i="16"/>
  <c r="AA728" i="16"/>
  <c r="AB727" i="16" a="1"/>
  <c r="Q726" i="16"/>
  <c r="R725" i="16" a="1"/>
  <c r="AB727" i="16" l="1"/>
  <c r="R725" i="16"/>
  <c r="R726" i="16" a="1"/>
  <c r="Q727" i="16"/>
  <c r="AB728" i="16" a="1"/>
  <c r="AA729" i="16"/>
  <c r="AB728" i="16" l="1"/>
  <c r="R726" i="16"/>
  <c r="AA730" i="16"/>
  <c r="AB729" i="16" a="1"/>
  <c r="R727" i="16" a="1"/>
  <c r="Q728" i="16"/>
  <c r="AB729" i="16" l="1"/>
  <c r="R727" i="16"/>
  <c r="Q729" i="16"/>
  <c r="R728" i="16" a="1"/>
  <c r="AA731" i="16"/>
  <c r="AB730" i="16" a="1"/>
  <c r="AB730" i="16" l="1"/>
  <c r="R728" i="16"/>
  <c r="AA732" i="16"/>
  <c r="AB731" i="16" a="1"/>
  <c r="R729" i="16" a="1"/>
  <c r="Q730" i="16"/>
  <c r="AB731" i="16" l="1"/>
  <c r="R729" i="16"/>
  <c r="AA733" i="16"/>
  <c r="R730" i="16" a="1"/>
  <c r="AB732" i="16" a="1"/>
  <c r="Q731" i="16"/>
  <c r="AB732" i="16" l="1"/>
  <c r="R730" i="16"/>
  <c r="AB733" i="16" a="1"/>
  <c r="R731" i="16" a="1"/>
  <c r="AA734" i="16"/>
  <c r="Q732" i="16"/>
  <c r="AB733" i="16" l="1"/>
  <c r="R731" i="16"/>
  <c r="AB734" i="16" a="1"/>
  <c r="Q733" i="16"/>
  <c r="R732" i="16" a="1"/>
  <c r="AA735" i="16"/>
  <c r="AB734" i="16" l="1"/>
  <c r="R732" i="16"/>
  <c r="AB735" i="16" a="1"/>
  <c r="AA736" i="16"/>
  <c r="Q734" i="16"/>
  <c r="R733" i="16" a="1"/>
  <c r="AB735" i="16" l="1"/>
  <c r="R733" i="16"/>
  <c r="Q735" i="16"/>
  <c r="R734" i="16" a="1"/>
  <c r="AA737" i="16"/>
  <c r="AB736" i="16" a="1"/>
  <c r="AB736" i="16" l="1"/>
  <c r="R734" i="16"/>
  <c r="AB737" i="16" a="1"/>
  <c r="R735" i="16" a="1"/>
  <c r="Q736" i="16"/>
  <c r="AA738" i="16"/>
  <c r="AB737" i="16" l="1"/>
  <c r="R735" i="16"/>
  <c r="AA739" i="16"/>
  <c r="AB738" i="16" a="1"/>
  <c r="Q737" i="16"/>
  <c r="R736" i="16" a="1"/>
  <c r="AB738" i="16" l="1"/>
  <c r="R736" i="16"/>
  <c r="Q738" i="16"/>
  <c r="AB739" i="16" a="1"/>
  <c r="AA740" i="16"/>
  <c r="R737" i="16" a="1"/>
  <c r="AB739" i="16" l="1"/>
  <c r="R737" i="16"/>
  <c r="R738" i="16" a="1"/>
  <c r="AA741" i="16"/>
  <c r="AB740" i="16" a="1"/>
  <c r="Q739" i="16"/>
  <c r="AB740" i="16" l="1"/>
  <c r="R738" i="16"/>
  <c r="AB741" i="16" a="1"/>
  <c r="AA742" i="16"/>
  <c r="Q740" i="16"/>
  <c r="R739" i="16" a="1"/>
  <c r="AB741" i="16" l="1"/>
  <c r="R739" i="16"/>
  <c r="Q741" i="16"/>
  <c r="R740" i="16" a="1"/>
  <c r="AB742" i="16" a="1"/>
  <c r="AA743" i="16"/>
  <c r="AB742" i="16" l="1"/>
  <c r="R740" i="16"/>
  <c r="AB743" i="16" a="1"/>
  <c r="AA744" i="16"/>
  <c r="R741" i="16" a="1"/>
  <c r="Q742" i="16"/>
  <c r="AB743" i="16" l="1"/>
  <c r="R741" i="16"/>
  <c r="Q743" i="16"/>
  <c r="AB744" i="16" a="1"/>
  <c r="R742" i="16" a="1"/>
  <c r="AA745" i="16"/>
  <c r="AB744" i="16" l="1"/>
  <c r="R742" i="16"/>
  <c r="Q744" i="16"/>
  <c r="AB745" i="16" a="1"/>
  <c r="R743" i="16" a="1"/>
  <c r="AA746" i="16"/>
  <c r="AB745" i="16" l="1"/>
  <c r="R743" i="16"/>
  <c r="Q745" i="16"/>
  <c r="R744" i="16" a="1"/>
  <c r="AB746" i="16" a="1"/>
  <c r="AA747" i="16"/>
  <c r="AB746" i="16" l="1"/>
  <c r="R744" i="16"/>
  <c r="AB747" i="16" a="1"/>
  <c r="Q746" i="16"/>
  <c r="R745" i="16" a="1"/>
  <c r="AA748" i="16"/>
  <c r="AB747" i="16" l="1"/>
  <c r="R745" i="16"/>
  <c r="Q747" i="16"/>
  <c r="AB748" i="16" a="1"/>
  <c r="R746" i="16" a="1"/>
  <c r="AA749" i="16"/>
  <c r="AB748" i="16" l="1"/>
  <c r="R746" i="16"/>
  <c r="R747" i="16" a="1"/>
  <c r="AA750" i="16"/>
  <c r="Q748" i="16"/>
  <c r="AB749" i="16" a="1"/>
  <c r="AB749" i="16" l="1"/>
  <c r="R747" i="16"/>
  <c r="AB750" i="16" a="1"/>
  <c r="AA751" i="16"/>
  <c r="Q749" i="16"/>
  <c r="R748" i="16" a="1"/>
  <c r="AB750" i="16" l="1"/>
  <c r="R748" i="16"/>
  <c r="Q750" i="16"/>
  <c r="AB751" i="16" a="1"/>
  <c r="AA752" i="16"/>
  <c r="R749" i="16" a="1"/>
  <c r="AB751" i="16" l="1"/>
  <c r="R749" i="16"/>
  <c r="R750" i="16" a="1"/>
  <c r="Q751" i="16"/>
  <c r="AA753" i="16"/>
  <c r="AB752" i="16" a="1"/>
  <c r="AB752" i="16" l="1"/>
  <c r="R750" i="16"/>
  <c r="AB753" i="16" a="1"/>
  <c r="R751" i="16" a="1"/>
  <c r="AA754" i="16"/>
  <c r="Q752" i="16"/>
  <c r="AB753" i="16" l="1"/>
  <c r="R751" i="16"/>
  <c r="AB754" i="16" a="1"/>
  <c r="R752" i="16" a="1"/>
  <c r="Q753" i="16"/>
  <c r="AA755" i="16"/>
  <c r="AB754" i="16" l="1"/>
  <c r="R752" i="16"/>
  <c r="Q754" i="16"/>
  <c r="AA756" i="16"/>
  <c r="AB755" i="16" a="1"/>
  <c r="R753" i="16" a="1"/>
  <c r="AB755" i="16" l="1"/>
  <c r="R753" i="16"/>
  <c r="Q755" i="16"/>
  <c r="AB756" i="16" a="1"/>
  <c r="AA757" i="16"/>
  <c r="R754" i="16" a="1"/>
  <c r="AB756" i="16" l="1"/>
  <c r="R754" i="16"/>
  <c r="AB757" i="16" a="1"/>
  <c r="R755" i="16" a="1"/>
  <c r="Q756" i="16"/>
  <c r="AA758" i="16"/>
  <c r="AB757" i="16" l="1"/>
  <c r="R755" i="16"/>
  <c r="Q757" i="16"/>
  <c r="AB758" i="16" a="1"/>
  <c r="R756" i="16" a="1"/>
  <c r="AA759" i="16"/>
  <c r="AB758" i="16" l="1"/>
  <c r="R756" i="16"/>
  <c r="R757" i="16" a="1"/>
  <c r="AA760" i="16"/>
  <c r="AB759" i="16" a="1"/>
  <c r="Q758" i="16"/>
  <c r="AB759" i="16" l="1"/>
  <c r="R757" i="16"/>
  <c r="R758" i="16" a="1"/>
  <c r="AA761" i="16"/>
  <c r="AB760" i="16" a="1"/>
  <c r="Q759" i="16"/>
  <c r="AB760" i="16" l="1"/>
  <c r="R758" i="16"/>
  <c r="AB761" i="16" a="1"/>
  <c r="AA762" i="16"/>
  <c r="Q760" i="16"/>
  <c r="R759" i="16" a="1"/>
  <c r="AB761" i="16" l="1"/>
  <c r="R759" i="16"/>
  <c r="AA763" i="16"/>
  <c r="AB762" i="16" a="1"/>
  <c r="R760" i="16" a="1"/>
  <c r="Q761" i="16"/>
  <c r="AB762" i="16" l="1"/>
  <c r="R760" i="16"/>
  <c r="R761" i="16" a="1"/>
  <c r="AB763" i="16" a="1"/>
  <c r="AA764" i="16"/>
  <c r="Q762" i="16"/>
  <c r="AB763" i="16" l="1"/>
  <c r="R761" i="16"/>
  <c r="AB764" i="16" a="1"/>
  <c r="AA765" i="16"/>
  <c r="Q763" i="16"/>
  <c r="R762" i="16" a="1"/>
  <c r="AB764" i="16" l="1"/>
  <c r="R762" i="16"/>
  <c r="AB765" i="16" a="1"/>
  <c r="Q764" i="16"/>
  <c r="R763" i="16" a="1"/>
  <c r="AA766" i="16"/>
  <c r="AB765" i="16" l="1"/>
  <c r="R763" i="16"/>
  <c r="R764" i="16" a="1"/>
  <c r="AA767" i="16"/>
  <c r="Q765" i="16"/>
  <c r="AB766" i="16" a="1"/>
  <c r="AB766" i="16" l="1"/>
  <c r="R764" i="16"/>
  <c r="R765" i="16" a="1"/>
  <c r="Q766" i="16"/>
  <c r="AA768" i="16"/>
  <c r="AB767" i="16" a="1"/>
  <c r="AB767" i="16" l="1"/>
  <c r="R765" i="16"/>
  <c r="AB768" i="16" a="1"/>
  <c r="AA769" i="16"/>
  <c r="Q767" i="16"/>
  <c r="R766" i="16" a="1"/>
  <c r="AB768" i="16" l="1"/>
  <c r="R766" i="16"/>
  <c r="AA770" i="16"/>
  <c r="Q768" i="16"/>
  <c r="R767" i="16" a="1"/>
  <c r="AB769" i="16" a="1"/>
  <c r="AB769" i="16" l="1"/>
  <c r="R767" i="16"/>
  <c r="AB770" i="16" a="1"/>
  <c r="Q769" i="16"/>
  <c r="AA771" i="16"/>
  <c r="R768" i="16" a="1"/>
  <c r="AB770" i="16" l="1"/>
  <c r="R768" i="16"/>
  <c r="Q770" i="16"/>
  <c r="R769" i="16" a="1"/>
  <c r="AB771" i="16" a="1"/>
  <c r="AA772" i="16"/>
  <c r="AB771" i="16" l="1"/>
  <c r="R769" i="16"/>
  <c r="AB772" i="16" a="1"/>
  <c r="R770" i="16" a="1"/>
  <c r="AA773" i="16"/>
  <c r="Q771" i="16"/>
  <c r="AB772" i="16" l="1"/>
  <c r="R770" i="16"/>
  <c r="R771" i="16" a="1"/>
  <c r="AA774" i="16"/>
  <c r="AB773" i="16" a="1"/>
  <c r="Q772" i="16"/>
  <c r="AB773" i="16" l="1"/>
  <c r="R771" i="16"/>
  <c r="Q773" i="16"/>
  <c r="R772" i="16" a="1"/>
  <c r="AB774" i="16" a="1"/>
  <c r="AA775" i="16"/>
  <c r="AB774" i="16" l="1"/>
  <c r="R772" i="16"/>
  <c r="R773" i="16" a="1"/>
  <c r="Q774" i="16"/>
  <c r="AB775" i="16" a="1"/>
  <c r="AA776" i="16"/>
  <c r="AB775" i="16" l="1"/>
  <c r="R773" i="16"/>
  <c r="AA777" i="16"/>
  <c r="AB776" i="16" a="1"/>
  <c r="R774" i="16" a="1"/>
  <c r="Q775" i="16"/>
  <c r="AB776" i="16" l="1"/>
  <c r="R774" i="16"/>
  <c r="AB777" i="16" a="1"/>
  <c r="AA778" i="16"/>
  <c r="R775" i="16" a="1"/>
  <c r="Q776" i="16"/>
  <c r="AB777" i="16" l="1"/>
  <c r="R775" i="16"/>
  <c r="Q777" i="16"/>
  <c r="AB778" i="16" a="1"/>
  <c r="R776" i="16" a="1"/>
  <c r="AA779" i="16"/>
  <c r="AB778" i="16" l="1"/>
  <c r="R776" i="16"/>
  <c r="R777" i="16" a="1"/>
  <c r="AA780" i="16"/>
  <c r="Q778" i="16"/>
  <c r="AB779" i="16" a="1"/>
  <c r="AB779" i="16" l="1"/>
  <c r="R777" i="16"/>
  <c r="AA781" i="16"/>
  <c r="AB780" i="16" a="1"/>
  <c r="Q779" i="16"/>
  <c r="R778" i="16" a="1"/>
  <c r="AB780" i="16" l="1"/>
  <c r="R778" i="16"/>
  <c r="Q780" i="16"/>
  <c r="R779" i="16" a="1"/>
  <c r="AB781" i="16" a="1"/>
  <c r="AA782" i="16"/>
  <c r="AB781" i="16" l="1"/>
  <c r="R779" i="16"/>
  <c r="AA783" i="16"/>
  <c r="AB782" i="16" a="1"/>
  <c r="R780" i="16" a="1"/>
  <c r="Q781" i="16"/>
  <c r="AB782" i="16" l="1"/>
  <c r="R780" i="16"/>
  <c r="AA784" i="16"/>
  <c r="Q782" i="16"/>
  <c r="R781" i="16" a="1"/>
  <c r="AB783" i="16" a="1"/>
  <c r="AB783" i="16" l="1"/>
  <c r="R781" i="16"/>
  <c r="Q783" i="16"/>
  <c r="AA785" i="16"/>
  <c r="AB784" i="16" a="1"/>
  <c r="R782" i="16" a="1"/>
  <c r="AB784" i="16" l="1"/>
  <c r="R782" i="16"/>
  <c r="AB785" i="16" a="1"/>
  <c r="Q784" i="16"/>
  <c r="R783" i="16" a="1"/>
  <c r="AA786" i="16"/>
  <c r="AB785" i="16" l="1"/>
  <c r="R783" i="16"/>
  <c r="Q785" i="16"/>
  <c r="R784" i="16" a="1"/>
  <c r="AB786" i="16" a="1"/>
  <c r="AA787" i="16"/>
  <c r="AB786" i="16" l="1"/>
  <c r="R784" i="16"/>
  <c r="R785" i="16" a="1"/>
  <c r="AB787" i="16" a="1"/>
  <c r="Q786" i="16"/>
  <c r="AA788" i="16"/>
  <c r="AB787" i="16" l="1"/>
  <c r="R785" i="16"/>
  <c r="AA789" i="16"/>
  <c r="R786" i="16" a="1"/>
  <c r="AB788" i="16" a="1"/>
  <c r="Q787" i="16"/>
  <c r="AB788" i="16" l="1"/>
  <c r="R786" i="16"/>
  <c r="AA790" i="16"/>
  <c r="AB789" i="16" a="1"/>
  <c r="Q788" i="16"/>
  <c r="R787" i="16" a="1"/>
  <c r="AB789" i="16" l="1"/>
  <c r="R787" i="16"/>
  <c r="AB790" i="16" a="1"/>
  <c r="R788" i="16" a="1"/>
  <c r="AA791" i="16"/>
  <c r="Q789" i="16"/>
  <c r="AB790" i="16" l="1"/>
  <c r="R788" i="16"/>
  <c r="R789" i="16" a="1"/>
  <c r="Q790" i="16"/>
  <c r="AA792" i="16"/>
  <c r="AB791" i="16" a="1"/>
  <c r="AB791" i="16" l="1"/>
  <c r="R789" i="16"/>
  <c r="R790" i="16" a="1"/>
  <c r="Q791" i="16"/>
  <c r="AB792" i="16" a="1"/>
  <c r="AA793" i="16"/>
  <c r="AB792" i="16" l="1"/>
  <c r="R790" i="16"/>
  <c r="AA794" i="16"/>
  <c r="AB793" i="16" a="1"/>
  <c r="R791" i="16" a="1"/>
  <c r="Q792" i="16"/>
  <c r="AB793" i="16" l="1"/>
  <c r="R791" i="16"/>
  <c r="AA795" i="16"/>
  <c r="Q793" i="16"/>
  <c r="AB794" i="16" a="1"/>
  <c r="R792" i="16" a="1"/>
  <c r="AB794" i="16" l="1"/>
  <c r="R792" i="16"/>
  <c r="R793" i="16" a="1"/>
  <c r="AB795" i="16" a="1"/>
  <c r="AA796" i="16"/>
  <c r="Q794" i="16"/>
  <c r="AB795" i="16" l="1"/>
  <c r="R793" i="16"/>
  <c r="R794" i="16" a="1"/>
  <c r="Q795" i="16"/>
  <c r="AA797" i="16"/>
  <c r="AB796" i="16" a="1"/>
  <c r="AB796" i="16" l="1"/>
  <c r="R794" i="16"/>
  <c r="AA798" i="16"/>
  <c r="R795" i="16" a="1"/>
  <c r="AB797" i="16" a="1"/>
  <c r="Q796" i="16"/>
  <c r="AB797" i="16" l="1"/>
  <c r="R795" i="16"/>
  <c r="AA799" i="16"/>
  <c r="Q797" i="16"/>
  <c r="AB798" i="16" a="1"/>
  <c r="R796" i="16" a="1"/>
  <c r="AB798" i="16" l="1"/>
  <c r="R796" i="16"/>
  <c r="Q798" i="16"/>
  <c r="R797" i="16" a="1"/>
  <c r="AB799" i="16" a="1"/>
  <c r="AA800" i="16"/>
  <c r="AB799" i="16" l="1"/>
  <c r="R797" i="16"/>
  <c r="AB800" i="16" a="1"/>
  <c r="R798" i="16" a="1"/>
  <c r="Q799" i="16"/>
  <c r="AA801" i="16"/>
  <c r="AB800" i="16" l="1"/>
  <c r="R798" i="16"/>
  <c r="Q800" i="16"/>
  <c r="R799" i="16" a="1"/>
  <c r="AB801" i="16" a="1"/>
  <c r="AA802" i="16"/>
  <c r="AB801" i="16" l="1"/>
  <c r="R799" i="16"/>
  <c r="AA803" i="16"/>
  <c r="R800" i="16" a="1"/>
  <c r="Q801" i="16"/>
  <c r="AB802" i="16" a="1"/>
  <c r="AB802" i="16" l="1"/>
  <c r="R800" i="16"/>
  <c r="AB803" i="16" a="1"/>
  <c r="R801" i="16" a="1"/>
  <c r="AA804" i="16"/>
  <c r="Q802" i="16"/>
  <c r="AB803" i="16" l="1"/>
  <c r="R801" i="16"/>
  <c r="AB804" i="16" a="1"/>
  <c r="AA805" i="16"/>
  <c r="R802" i="16" a="1"/>
  <c r="Q803" i="16"/>
  <c r="AB804" i="16" l="1"/>
  <c r="R802" i="16"/>
  <c r="Q804" i="16"/>
  <c r="AA806" i="16"/>
  <c r="AB805" i="16" a="1"/>
  <c r="R803" i="16" a="1"/>
  <c r="AB805" i="16" l="1"/>
  <c r="R803" i="16"/>
  <c r="Q805" i="16"/>
  <c r="AA807" i="16"/>
  <c r="R804" i="16" a="1"/>
  <c r="AB806" i="16" a="1"/>
  <c r="AB806" i="16" l="1"/>
  <c r="R804" i="16"/>
  <c r="AB807" i="16" a="1"/>
  <c r="AA808" i="16"/>
  <c r="R805" i="16" a="1"/>
  <c r="Q806" i="16"/>
  <c r="AB807" i="16" l="1"/>
  <c r="R805" i="16"/>
  <c r="R806" i="16" a="1"/>
  <c r="AB808" i="16" a="1"/>
  <c r="Q807" i="16"/>
  <c r="AA809" i="16"/>
  <c r="AB808" i="16" l="1"/>
  <c r="R806" i="16"/>
  <c r="Q808" i="16"/>
  <c r="AB809" i="16" a="1"/>
  <c r="R807" i="16" a="1"/>
  <c r="AA810" i="16"/>
  <c r="AB809" i="16" l="1"/>
  <c r="R807" i="16"/>
  <c r="R808" i="16" a="1"/>
  <c r="AA811" i="16"/>
  <c r="Q809" i="16"/>
  <c r="AB810" i="16" a="1"/>
  <c r="AB810" i="16" l="1"/>
  <c r="R808" i="16"/>
  <c r="AA812" i="16"/>
  <c r="AB811" i="16" a="1"/>
  <c r="Q810" i="16"/>
  <c r="R809" i="16" a="1"/>
  <c r="AB811" i="16" l="1"/>
  <c r="R809" i="16"/>
  <c r="Q811" i="16"/>
  <c r="R810" i="16" a="1"/>
  <c r="AA813" i="16"/>
  <c r="AB812" i="16" a="1"/>
  <c r="AB812" i="16" l="1"/>
  <c r="R810" i="16"/>
  <c r="AA814" i="16"/>
  <c r="AB813" i="16" a="1"/>
  <c r="Q812" i="16"/>
  <c r="R811" i="16" a="1"/>
  <c r="AB813" i="16" l="1"/>
  <c r="R811" i="16"/>
  <c r="AB814" i="16" a="1"/>
  <c r="AA815" i="16"/>
  <c r="R812" i="16" a="1"/>
  <c r="Q813" i="16"/>
  <c r="AB814" i="16" l="1"/>
  <c r="R812" i="16"/>
  <c r="Q814" i="16"/>
  <c r="AA816" i="16"/>
  <c r="AB815" i="16" a="1"/>
  <c r="R813" i="16" a="1"/>
  <c r="AB815" i="16" l="1"/>
  <c r="R813" i="16"/>
  <c r="AA817" i="16"/>
  <c r="AB816" i="16" a="1"/>
  <c r="R814" i="16" a="1"/>
  <c r="Q815" i="16"/>
  <c r="AB816" i="16" l="1"/>
  <c r="R814" i="16"/>
  <c r="AA818" i="16"/>
  <c r="Q816" i="16"/>
  <c r="R815" i="16" a="1"/>
  <c r="AB817" i="16" a="1"/>
  <c r="AB817" i="16" l="1"/>
  <c r="R815" i="16"/>
  <c r="AA819" i="16"/>
  <c r="Q817" i="16"/>
  <c r="R816" i="16" a="1"/>
  <c r="AB818" i="16" a="1"/>
  <c r="AB818" i="16" l="1"/>
  <c r="R816" i="16"/>
  <c r="Q818" i="16"/>
  <c r="R817" i="16" a="1"/>
  <c r="AB819" i="16" a="1"/>
  <c r="AA820" i="16"/>
  <c r="AB819" i="16" l="1"/>
  <c r="R817" i="16"/>
  <c r="AB820" i="16" a="1"/>
  <c r="R818" i="16" a="1"/>
  <c r="AA821" i="16"/>
  <c r="Q819" i="16"/>
  <c r="AB820" i="16" l="1"/>
  <c r="R818" i="16"/>
  <c r="AB821" i="16" a="1"/>
  <c r="R819" i="16" a="1"/>
  <c r="Q820" i="16"/>
  <c r="AA822" i="16"/>
  <c r="AB821" i="16" l="1"/>
  <c r="R819" i="16"/>
  <c r="AB822" i="16" a="1"/>
  <c r="R820" i="16" a="1"/>
  <c r="AA823" i="16"/>
  <c r="Q821" i="16"/>
  <c r="AB822" i="16" l="1"/>
  <c r="R820" i="16"/>
  <c r="R821" i="16" a="1"/>
  <c r="AA824" i="16"/>
  <c r="Q822" i="16"/>
  <c r="AB823" i="16" a="1"/>
  <c r="AB823" i="16" l="1"/>
  <c r="R821" i="16"/>
  <c r="AA825" i="16"/>
  <c r="R822" i="16" a="1"/>
  <c r="Q823" i="16"/>
  <c r="AB824" i="16" a="1"/>
  <c r="AB824" i="16" l="1"/>
  <c r="R822" i="16"/>
  <c r="R823" i="16" a="1"/>
  <c r="AA826" i="16"/>
  <c r="AB825" i="16" a="1"/>
  <c r="Q824" i="16"/>
  <c r="AB825" i="16" l="1"/>
  <c r="R823" i="16"/>
  <c r="R824" i="16" a="1"/>
  <c r="AB826" i="16" a="1"/>
  <c r="Q825" i="16"/>
  <c r="AA827" i="16"/>
  <c r="AB826" i="16" l="1"/>
  <c r="R824" i="16"/>
  <c r="R825" i="16" a="1"/>
  <c r="AA828" i="16"/>
  <c r="AB827" i="16" a="1"/>
  <c r="Q826" i="16"/>
  <c r="AB827" i="16" l="1"/>
  <c r="R825" i="16"/>
  <c r="Q827" i="16"/>
  <c r="R826" i="16" a="1"/>
  <c r="AA829" i="16"/>
  <c r="AB828" i="16" a="1"/>
  <c r="AB828" i="16" l="1"/>
  <c r="R826" i="16"/>
  <c r="Q828" i="16"/>
  <c r="AB829" i="16" a="1"/>
  <c r="AA830" i="16"/>
  <c r="R827" i="16" a="1"/>
  <c r="AB829" i="16" l="1"/>
  <c r="R827" i="16"/>
  <c r="AA831" i="16"/>
  <c r="R828" i="16" a="1"/>
  <c r="Q829" i="16"/>
  <c r="AB830" i="16" a="1"/>
  <c r="AB830" i="16" l="1"/>
  <c r="R828" i="16"/>
  <c r="R829" i="16" a="1"/>
  <c r="AB831" i="16" a="1"/>
  <c r="AA832" i="16"/>
  <c r="Q830" i="16"/>
  <c r="AB831" i="16" l="1"/>
  <c r="R829" i="16"/>
  <c r="R830" i="16" a="1"/>
  <c r="AB832" i="16" a="1"/>
  <c r="Q831" i="16"/>
  <c r="AA833" i="16"/>
  <c r="AB832" i="16" l="1"/>
  <c r="R830" i="16"/>
  <c r="R831" i="16" a="1"/>
  <c r="AB833" i="16" a="1"/>
  <c r="Q832" i="16"/>
  <c r="AA834" i="16"/>
  <c r="AB833" i="16" l="1"/>
  <c r="R831" i="16"/>
  <c r="R832" i="16" a="1"/>
  <c r="Q833" i="16"/>
  <c r="AA835" i="16"/>
  <c r="AB834" i="16" a="1"/>
  <c r="AB834" i="16" l="1"/>
  <c r="R832" i="16"/>
  <c r="Q834" i="16"/>
  <c r="R833" i="16" a="1"/>
  <c r="AB835" i="16" a="1"/>
  <c r="AA836" i="16"/>
  <c r="AB835" i="16" l="1"/>
  <c r="R833" i="16"/>
  <c r="R834" i="16" a="1"/>
  <c r="AB836" i="16" a="1"/>
  <c r="Q835" i="16"/>
  <c r="AA837" i="16"/>
  <c r="AB836" i="16" l="1"/>
  <c r="R834" i="16"/>
  <c r="AA838" i="16"/>
  <c r="AB837" i="16" a="1"/>
  <c r="R835" i="16" a="1"/>
  <c r="Q836" i="16"/>
  <c r="AB837" i="16" l="1"/>
  <c r="R835" i="16"/>
  <c r="Q837" i="16"/>
  <c r="AA839" i="16"/>
  <c r="AB838" i="16" a="1"/>
  <c r="R836" i="16" a="1"/>
  <c r="AB838" i="16" l="1"/>
  <c r="R836" i="16"/>
  <c r="Q838" i="16"/>
  <c r="AA840" i="16"/>
  <c r="R837" i="16" a="1"/>
  <c r="AB839" i="16" a="1"/>
  <c r="AB839" i="16" l="1"/>
  <c r="R837" i="16"/>
  <c r="Q839" i="16"/>
  <c r="AA841" i="16"/>
  <c r="AB840" i="16" a="1"/>
  <c r="R838" i="16" a="1"/>
  <c r="AB840" i="16" l="1"/>
  <c r="R838" i="16"/>
  <c r="R839" i="16" a="1"/>
  <c r="AA842" i="16"/>
  <c r="AB841" i="16" a="1"/>
  <c r="Q840" i="16"/>
  <c r="AB841" i="16" l="1"/>
  <c r="R839" i="16"/>
  <c r="Q841" i="16"/>
  <c r="AA843" i="16"/>
  <c r="R840" i="16" a="1"/>
  <c r="AB842" i="16" a="1"/>
  <c r="AB842" i="16" l="1"/>
  <c r="R840" i="16"/>
  <c r="R841" i="16" a="1"/>
  <c r="Q842" i="16"/>
  <c r="AA844" i="16"/>
  <c r="AB843" i="16" a="1"/>
  <c r="AB843" i="16" l="1"/>
  <c r="R841" i="16"/>
  <c r="AB844" i="16" a="1"/>
  <c r="Q843" i="16"/>
  <c r="R842" i="16" a="1"/>
  <c r="AA845" i="16"/>
  <c r="AB844" i="16" l="1"/>
  <c r="R842" i="16"/>
  <c r="AA846" i="16"/>
  <c r="Q844" i="16"/>
  <c r="AB845" i="16" a="1"/>
  <c r="R843" i="16" a="1"/>
  <c r="AB845" i="16" l="1"/>
  <c r="R843" i="16"/>
  <c r="AA847" i="16"/>
  <c r="AB846" i="16" a="1"/>
  <c r="R844" i="16" a="1"/>
  <c r="Q845" i="16"/>
  <c r="AB846" i="16" l="1"/>
  <c r="R844" i="16"/>
  <c r="Q846" i="16"/>
  <c r="R845" i="16" a="1"/>
  <c r="AA848" i="16"/>
  <c r="AB847" i="16" a="1"/>
  <c r="AB847" i="16" l="1"/>
  <c r="R845" i="16"/>
  <c r="R846" i="16" a="1"/>
  <c r="AA849" i="16"/>
  <c r="AB848" i="16" a="1"/>
  <c r="Q847" i="16"/>
  <c r="AB848" i="16" l="1"/>
  <c r="R846" i="16"/>
  <c r="AB849" i="16" a="1"/>
  <c r="R847" i="16" a="1"/>
  <c r="AA850" i="16"/>
  <c r="Q848" i="16"/>
  <c r="AB849" i="16" l="1"/>
  <c r="R847" i="16"/>
  <c r="AA851" i="16"/>
  <c r="AB850" i="16" a="1"/>
  <c r="R848" i="16" a="1"/>
  <c r="Q849" i="16"/>
  <c r="AB850" i="16" l="1"/>
  <c r="R848" i="16"/>
  <c r="AB851" i="16" a="1"/>
  <c r="R849" i="16" a="1"/>
  <c r="Q850" i="16"/>
  <c r="AA852" i="16"/>
  <c r="AB851" i="16" l="1"/>
  <c r="R849" i="16"/>
  <c r="AB852" i="16" a="1"/>
  <c r="AA853" i="16"/>
  <c r="R850" i="16" a="1"/>
  <c r="Q851" i="16"/>
  <c r="AB852" i="16" l="1"/>
  <c r="R850" i="16"/>
  <c r="AB853" i="16" a="1"/>
  <c r="R851" i="16" a="1"/>
  <c r="AA854" i="16"/>
  <c r="Q852" i="16"/>
  <c r="AB853" i="16" l="1"/>
  <c r="R851" i="16"/>
  <c r="AA855" i="16"/>
  <c r="R852" i="16" a="1"/>
  <c r="AB854" i="16" a="1"/>
  <c r="Q853" i="16"/>
  <c r="AB854" i="16" l="1"/>
  <c r="R852" i="16"/>
  <c r="AB855" i="16" a="1"/>
  <c r="Q854" i="16"/>
  <c r="R853" i="16" a="1"/>
  <c r="AA856" i="16"/>
  <c r="AB855" i="16" l="1"/>
  <c r="R853" i="16"/>
  <c r="R854" i="16" a="1"/>
  <c r="Q855" i="16"/>
  <c r="AB856" i="16" a="1"/>
  <c r="AA857" i="16"/>
  <c r="AB856" i="16" l="1"/>
  <c r="R854" i="16"/>
  <c r="AB857" i="16" a="1"/>
  <c r="Q856" i="16"/>
  <c r="AA858" i="16"/>
  <c r="R855" i="16" a="1"/>
  <c r="AB857" i="16" l="1"/>
  <c r="R855" i="16"/>
  <c r="AA859" i="16"/>
  <c r="R856" i="16" a="1"/>
  <c r="AB858" i="16" a="1"/>
  <c r="Q857" i="16"/>
  <c r="AB858" i="16" l="1"/>
  <c r="R856" i="16"/>
  <c r="AB859" i="16" a="1"/>
  <c r="R857" i="16" a="1"/>
  <c r="AA860" i="16"/>
  <c r="Q858" i="16"/>
  <c r="AB859" i="16" l="1"/>
  <c r="R857" i="16"/>
  <c r="AA861" i="16"/>
  <c r="AB860" i="16" a="1"/>
  <c r="R858" i="16" a="1"/>
  <c r="Q859" i="16"/>
  <c r="AB860" i="16" l="1"/>
  <c r="R858" i="16"/>
  <c r="Q860" i="16"/>
  <c r="R859" i="16" a="1"/>
  <c r="AA862" i="16"/>
  <c r="AB861" i="16" a="1"/>
  <c r="AB861" i="16" l="1"/>
  <c r="R859" i="16"/>
  <c r="AA863" i="16"/>
  <c r="R860" i="16" a="1"/>
  <c r="AB862" i="16" a="1"/>
  <c r="Q861" i="16"/>
  <c r="AB862" i="16" l="1"/>
  <c r="R860" i="16"/>
  <c r="R861" i="16" a="1"/>
  <c r="AB863" i="16" a="1"/>
  <c r="AA864" i="16"/>
  <c r="Q862" i="16"/>
  <c r="AB863" i="16" l="1"/>
  <c r="R861" i="16"/>
  <c r="Q863" i="16"/>
  <c r="R862" i="16" a="1"/>
  <c r="AB864" i="16" a="1"/>
  <c r="AA865" i="16"/>
  <c r="AB864" i="16" l="1"/>
  <c r="R862" i="16"/>
  <c r="Q864" i="16"/>
  <c r="AA866" i="16"/>
  <c r="R863" i="16" a="1"/>
  <c r="AB865" i="16" a="1"/>
  <c r="AB865" i="16" l="1"/>
  <c r="R863" i="16"/>
  <c r="R864" i="16" a="1"/>
  <c r="AB866" i="16" a="1"/>
  <c r="Q865" i="16"/>
  <c r="AA867" i="16"/>
  <c r="AB866" i="16" l="1"/>
  <c r="R864" i="16"/>
  <c r="AA868" i="16"/>
  <c r="R865" i="16" a="1"/>
  <c r="AB867" i="16" a="1"/>
  <c r="Q866" i="16"/>
  <c r="AB867" i="16" l="1"/>
  <c r="R865" i="16"/>
  <c r="AB868" i="16" a="1"/>
  <c r="Q867" i="16"/>
  <c r="R866" i="16" a="1"/>
  <c r="AA869" i="16"/>
  <c r="AB868" i="16" l="1"/>
  <c r="R866" i="16"/>
  <c r="AA870" i="16"/>
  <c r="R867" i="16" a="1"/>
  <c r="AB869" i="16" a="1"/>
  <c r="Q868" i="16"/>
  <c r="AB869" i="16" l="1"/>
  <c r="R867" i="16"/>
  <c r="AB870" i="16" a="1"/>
  <c r="Q869" i="16"/>
  <c r="R868" i="16" a="1"/>
  <c r="AA871" i="16"/>
  <c r="AB870" i="16" l="1"/>
  <c r="R868" i="16"/>
  <c r="AB871" i="16" a="1"/>
  <c r="R869" i="16" a="1"/>
  <c r="AA872" i="16"/>
  <c r="Q870" i="16"/>
  <c r="AB871" i="16" l="1"/>
  <c r="R869" i="16"/>
  <c r="R870" i="16" a="1"/>
  <c r="Q871" i="16"/>
  <c r="AA873" i="16"/>
  <c r="AB872" i="16" a="1"/>
  <c r="AB872" i="16" l="1"/>
  <c r="R870" i="16"/>
  <c r="AA874" i="16"/>
  <c r="Q872" i="16"/>
  <c r="AB873" i="16" a="1"/>
  <c r="R871" i="16" a="1"/>
  <c r="AB873" i="16" l="1"/>
  <c r="R871" i="16"/>
  <c r="Q873" i="16"/>
  <c r="AB874" i="16" a="1"/>
  <c r="R872" i="16" a="1"/>
  <c r="AA875" i="16"/>
  <c r="AB874" i="16" l="1"/>
  <c r="R872" i="16"/>
  <c r="R873" i="16" a="1"/>
  <c r="AA876" i="16"/>
  <c r="AB875" i="16" a="1"/>
  <c r="Q874" i="16"/>
  <c r="AB875" i="16" l="1"/>
  <c r="R873" i="16"/>
  <c r="AA877" i="16"/>
  <c r="AB876" i="16" a="1"/>
  <c r="Q875" i="16"/>
  <c r="R874" i="16" a="1"/>
  <c r="AB876" i="16" l="1"/>
  <c r="R874" i="16"/>
  <c r="Q876" i="16"/>
  <c r="R875" i="16" a="1"/>
  <c r="AA878" i="16"/>
  <c r="AB877" i="16" a="1"/>
  <c r="AB877" i="16" l="1"/>
  <c r="R875" i="16"/>
  <c r="R876" i="16" a="1"/>
  <c r="AA879" i="16"/>
  <c r="AB878" i="16" a="1"/>
  <c r="Q877" i="16"/>
  <c r="AB878" i="16" l="1"/>
  <c r="R876" i="16"/>
  <c r="R877" i="16" a="1"/>
  <c r="AB879" i="16" a="1"/>
  <c r="Q878" i="16"/>
  <c r="AA880" i="16"/>
  <c r="AB879" i="16" l="1"/>
  <c r="R877" i="16"/>
  <c r="Q879" i="16"/>
  <c r="R878" i="16" a="1"/>
  <c r="AA881" i="16"/>
  <c r="AB880" i="16" a="1"/>
  <c r="AB880" i="16" l="1"/>
  <c r="R878" i="16"/>
  <c r="AA882" i="16"/>
  <c r="R879" i="16" a="1"/>
  <c r="AB881" i="16" a="1"/>
  <c r="Q880" i="16"/>
  <c r="AB881" i="16" l="1"/>
  <c r="R879" i="16"/>
  <c r="AB882" i="16" a="1"/>
  <c r="Q881" i="16"/>
  <c r="AA883" i="16"/>
  <c r="R880" i="16" a="1"/>
  <c r="AB882" i="16" l="1"/>
  <c r="R880" i="16"/>
  <c r="R881" i="16" a="1"/>
  <c r="AA884" i="16"/>
  <c r="AB883" i="16" a="1"/>
  <c r="Q882" i="16"/>
  <c r="AB883" i="16" l="1"/>
  <c r="R881" i="16"/>
  <c r="Q883" i="16"/>
  <c r="AA885" i="16"/>
  <c r="R882" i="16" a="1"/>
  <c r="AB884" i="16" a="1"/>
  <c r="AB884" i="16" l="1"/>
  <c r="R882" i="16"/>
  <c r="Q884" i="16"/>
  <c r="R883" i="16" a="1"/>
  <c r="AB885" i="16" a="1"/>
  <c r="AA886" i="16"/>
  <c r="AB885" i="16" l="1"/>
  <c r="R883" i="16"/>
  <c r="Q885" i="16"/>
  <c r="R884" i="16" a="1"/>
  <c r="AB886" i="16" a="1"/>
  <c r="AA887" i="16"/>
  <c r="AB886" i="16" l="1"/>
  <c r="R884" i="16"/>
  <c r="R885" i="16" a="1"/>
  <c r="AB887" i="16" a="1"/>
  <c r="Q886" i="16"/>
  <c r="AA888" i="16"/>
  <c r="AB887" i="16" l="1"/>
  <c r="R885" i="16"/>
  <c r="AB888" i="16" a="1"/>
  <c r="AA889" i="16"/>
  <c r="Q887" i="16"/>
  <c r="R886" i="16" a="1"/>
  <c r="AB888" i="16" l="1"/>
  <c r="R886" i="16"/>
  <c r="Q888" i="16"/>
  <c r="AB889" i="16" a="1"/>
  <c r="R887" i="16" a="1"/>
  <c r="AA890" i="16"/>
  <c r="AB889" i="16" l="1"/>
  <c r="R887" i="16"/>
  <c r="R888" i="16" a="1"/>
  <c r="AA891" i="16"/>
  <c r="Q889" i="16"/>
  <c r="AB890" i="16" a="1"/>
  <c r="AB890" i="16" l="1"/>
  <c r="R888" i="16"/>
  <c r="Q890" i="16"/>
  <c r="R889" i="16" a="1"/>
  <c r="AA892" i="16"/>
  <c r="AB891" i="16" a="1"/>
  <c r="AB891" i="16" l="1"/>
  <c r="R889" i="16"/>
  <c r="Q891" i="16"/>
  <c r="R890" i="16" a="1"/>
  <c r="AB892" i="16" a="1"/>
  <c r="AA893" i="16"/>
  <c r="AB892" i="16" l="1"/>
  <c r="R890" i="16"/>
  <c r="AA894" i="16"/>
  <c r="AB893" i="16" a="1"/>
  <c r="R891" i="16" a="1"/>
  <c r="Q892" i="16"/>
  <c r="AB893" i="16" l="1"/>
  <c r="R891" i="16"/>
  <c r="AB894" i="16" a="1"/>
  <c r="AA895" i="16"/>
  <c r="R892" i="16" a="1"/>
  <c r="Q893" i="16"/>
  <c r="AB894" i="16" l="1"/>
  <c r="R892" i="16"/>
  <c r="Q894" i="16"/>
  <c r="AB895" i="16" a="1"/>
  <c r="R893" i="16" a="1"/>
  <c r="AA896" i="16"/>
  <c r="AB895" i="16" l="1"/>
  <c r="R893" i="16"/>
  <c r="AB896" i="16" a="1"/>
  <c r="Q895" i="16"/>
  <c r="R894" i="16" a="1"/>
  <c r="AA897" i="16"/>
  <c r="AB896" i="16" l="1"/>
  <c r="R894" i="16"/>
  <c r="Q896" i="16"/>
  <c r="AB897" i="16" a="1"/>
  <c r="R895" i="16" a="1"/>
  <c r="AA898" i="16"/>
  <c r="AB897" i="16" l="1"/>
  <c r="R895" i="16"/>
  <c r="R896" i="16" a="1"/>
  <c r="AA899" i="16"/>
  <c r="Q897" i="16"/>
  <c r="AB898" i="16" a="1"/>
  <c r="AB898" i="16" l="1"/>
  <c r="R896" i="16"/>
  <c r="R897" i="16" a="1"/>
  <c r="Q898" i="16"/>
  <c r="AA900" i="16"/>
  <c r="AB899" i="16" a="1"/>
  <c r="AB899" i="16" l="1"/>
  <c r="R897" i="16"/>
  <c r="AA901" i="16"/>
  <c r="R898" i="16" a="1"/>
  <c r="AB900" i="16" a="1"/>
  <c r="Q899" i="16"/>
  <c r="AB900" i="16" l="1"/>
  <c r="R898" i="16"/>
  <c r="R899" i="16" a="1"/>
  <c r="AA902" i="16"/>
  <c r="Q900" i="16"/>
  <c r="AB901" i="16" a="1"/>
  <c r="AB901" i="16" l="1"/>
  <c r="R899" i="16"/>
  <c r="R900" i="16" a="1"/>
  <c r="AA903" i="16"/>
  <c r="Q901" i="16"/>
  <c r="AB902" i="16" a="1"/>
  <c r="AB902" i="16" l="1"/>
  <c r="R900" i="16"/>
  <c r="AA904" i="16"/>
  <c r="AB903" i="16" a="1"/>
  <c r="Q902" i="16"/>
  <c r="R901" i="16" a="1"/>
  <c r="AB903" i="16" l="1"/>
  <c r="R901" i="16"/>
  <c r="R902" i="16" a="1"/>
  <c r="Q903" i="16"/>
  <c r="AB904" i="16" a="1"/>
  <c r="AA905" i="16"/>
  <c r="AB904" i="16" l="1"/>
  <c r="R902" i="16"/>
  <c r="R903" i="16" a="1"/>
  <c r="AA906" i="16"/>
  <c r="AB905" i="16" a="1"/>
  <c r="Q904" i="16"/>
  <c r="AB905" i="16" l="1"/>
  <c r="R903" i="16"/>
  <c r="R904" i="16" a="1"/>
  <c r="Q905" i="16"/>
  <c r="AB906" i="16" a="1"/>
  <c r="AA907" i="16"/>
  <c r="AB906" i="16" l="1"/>
  <c r="R904" i="16"/>
  <c r="AB907" i="16" a="1"/>
  <c r="AA908" i="16"/>
  <c r="R905" i="16" a="1"/>
  <c r="Q906" i="16"/>
  <c r="AB907" i="16" l="1"/>
  <c r="R905" i="16"/>
  <c r="AA909" i="16"/>
  <c r="Q907" i="16"/>
  <c r="R906" i="16" a="1"/>
  <c r="AB908" i="16" a="1"/>
  <c r="AB908" i="16" l="1"/>
  <c r="R906" i="16"/>
  <c r="AB909" i="16" a="1"/>
  <c r="AA910" i="16"/>
  <c r="R907" i="16" a="1"/>
  <c r="Q908" i="16"/>
  <c r="AB909" i="16" l="1"/>
  <c r="R907" i="16"/>
  <c r="Q909" i="16"/>
  <c r="R908" i="16" a="1"/>
  <c r="AA911" i="16"/>
  <c r="AB910" i="16" a="1"/>
  <c r="AB910" i="16" l="1"/>
  <c r="R908" i="16"/>
  <c r="R909" i="16" a="1"/>
  <c r="AA912" i="16"/>
  <c r="AB911" i="16" a="1"/>
  <c r="Q910" i="16"/>
  <c r="AB911" i="16" l="1"/>
  <c r="R909" i="16"/>
  <c r="AA913" i="16"/>
  <c r="R910" i="16" a="1"/>
  <c r="AB912" i="16" a="1"/>
  <c r="Q911" i="16"/>
  <c r="AB912" i="16" l="1"/>
  <c r="R910" i="16"/>
  <c r="R911" i="16" a="1"/>
  <c r="Q912" i="16"/>
  <c r="AA914" i="16"/>
  <c r="AB913" i="16" a="1"/>
  <c r="AB913" i="16" l="1"/>
  <c r="R911" i="16"/>
  <c r="AA915" i="16"/>
  <c r="AB914" i="16" a="1"/>
  <c r="Q913" i="16"/>
  <c r="R912" i="16" a="1"/>
  <c r="AB914" i="16" l="1"/>
  <c r="R912" i="16"/>
  <c r="AB915" i="16" a="1"/>
  <c r="Q914" i="16"/>
  <c r="R913" i="16" a="1"/>
  <c r="AA916" i="16"/>
  <c r="AB915" i="16" l="1"/>
  <c r="R913" i="16"/>
  <c r="AA917" i="16"/>
  <c r="R914" i="16" a="1"/>
  <c r="AB916" i="16" a="1"/>
  <c r="Q915" i="16"/>
  <c r="AB916" i="16" l="1"/>
  <c r="R914" i="16"/>
  <c r="Q916" i="16"/>
  <c r="R915" i="16" a="1"/>
  <c r="AA918" i="16"/>
  <c r="AB917" i="16" a="1"/>
  <c r="AB917" i="16" l="1"/>
  <c r="R915" i="16"/>
  <c r="AA919" i="16"/>
  <c r="AB918" i="16" a="1"/>
  <c r="Q917" i="16"/>
  <c r="R916" i="16" a="1"/>
  <c r="AB918" i="16" l="1"/>
  <c r="R916" i="16"/>
  <c r="R917" i="16" a="1"/>
  <c r="AA920" i="16"/>
  <c r="Q918" i="16"/>
  <c r="AB919" i="16" a="1"/>
  <c r="AB919" i="16" l="1"/>
  <c r="R917" i="16"/>
  <c r="AA921" i="16"/>
  <c r="AB920" i="16" a="1"/>
  <c r="R918" i="16" a="1"/>
  <c r="Q919" i="16"/>
  <c r="AB920" i="16" l="1"/>
  <c r="R918" i="16"/>
  <c r="AB921" i="16" a="1"/>
  <c r="R919" i="16" a="1"/>
  <c r="AA922" i="16"/>
  <c r="Q920" i="16"/>
  <c r="AB921" i="16" l="1"/>
  <c r="R919" i="16"/>
  <c r="Q921" i="16"/>
  <c r="R920" i="16" a="1"/>
  <c r="AB922" i="16" a="1"/>
  <c r="AA923" i="16"/>
  <c r="AB922" i="16" l="1"/>
  <c r="R920" i="16"/>
  <c r="AB923" i="16" a="1"/>
  <c r="R921" i="16" a="1"/>
  <c r="AA924" i="16"/>
  <c r="Q922" i="16"/>
  <c r="AB923" i="16" l="1"/>
  <c r="R921" i="16"/>
  <c r="R922" i="16" a="1"/>
  <c r="AB924" i="16" a="1"/>
  <c r="AA925" i="16"/>
  <c r="Q923" i="16"/>
  <c r="AB924" i="16" l="1"/>
  <c r="R922" i="16"/>
  <c r="Q924" i="16"/>
  <c r="AA926" i="16"/>
  <c r="R923" i="16" a="1"/>
  <c r="AB925" i="16" a="1"/>
  <c r="AB925" i="16" l="1"/>
  <c r="R923" i="16"/>
  <c r="Q925" i="16"/>
  <c r="AA927" i="16"/>
  <c r="R924" i="16" a="1"/>
  <c r="AB926" i="16" a="1"/>
  <c r="AB926" i="16" l="1"/>
  <c r="R924" i="16"/>
  <c r="R925" i="16" a="1"/>
  <c r="Q926" i="16"/>
  <c r="AA928" i="16"/>
  <c r="AB927" i="16" a="1"/>
  <c r="AB927" i="16" l="1"/>
  <c r="R925" i="16"/>
  <c r="R926" i="16" a="1"/>
  <c r="AB928" i="16" a="1"/>
  <c r="AA929" i="16"/>
  <c r="Q927" i="16"/>
  <c r="AB928" i="16" l="1"/>
  <c r="R926" i="16"/>
  <c r="AA930" i="16"/>
  <c r="Q928" i="16"/>
  <c r="AB929" i="16" a="1"/>
  <c r="R927" i="16" a="1"/>
  <c r="AB929" i="16" l="1"/>
  <c r="R927" i="16"/>
  <c r="AA931" i="16"/>
  <c r="AB930" i="16" a="1"/>
  <c r="Q929" i="16"/>
  <c r="R928" i="16" a="1"/>
  <c r="AB930" i="16" l="1"/>
  <c r="R928" i="16"/>
  <c r="AA932" i="16"/>
  <c r="Q930" i="16"/>
  <c r="AB931" i="16" a="1"/>
  <c r="R929" i="16" a="1"/>
  <c r="AB931" i="16" l="1"/>
  <c r="R929" i="16"/>
  <c r="AB932" i="16" a="1"/>
  <c r="R930" i="16" a="1"/>
  <c r="AA933" i="16"/>
  <c r="Q931" i="16"/>
  <c r="AB932" i="16" l="1"/>
  <c r="R930" i="16"/>
  <c r="R931" i="16" a="1"/>
  <c r="AA934" i="16"/>
  <c r="Q932" i="16"/>
  <c r="AB933" i="16" a="1"/>
  <c r="AB933" i="16" l="1"/>
  <c r="R931" i="16"/>
  <c r="R932" i="16" a="1"/>
  <c r="AB934" i="16" a="1"/>
  <c r="Q933" i="16"/>
  <c r="AA935" i="16"/>
  <c r="AB934" i="16" l="1"/>
  <c r="R932" i="16"/>
  <c r="AB935" i="16" a="1"/>
  <c r="Q934" i="16"/>
  <c r="R933" i="16" a="1"/>
  <c r="AA936" i="16"/>
  <c r="AB935" i="16" l="1"/>
  <c r="R933" i="16"/>
  <c r="AB936" i="16" a="1"/>
  <c r="R934" i="16" a="1"/>
  <c r="AA937" i="16"/>
  <c r="Q935" i="16"/>
  <c r="AB936" i="16" l="1"/>
  <c r="R934" i="16"/>
  <c r="R935" i="16" a="1"/>
  <c r="Q936" i="16"/>
  <c r="AB937" i="16" a="1"/>
  <c r="AA938" i="16"/>
  <c r="AB937" i="16" l="1"/>
  <c r="R935" i="16"/>
  <c r="R936" i="16" a="1"/>
  <c r="AB938" i="16" a="1"/>
  <c r="Q937" i="16"/>
  <c r="AA939" i="16"/>
  <c r="AB938" i="16" l="1"/>
  <c r="R936" i="16"/>
  <c r="R937" i="16" a="1"/>
  <c r="AA940" i="16"/>
  <c r="AB939" i="16" a="1"/>
  <c r="Q938" i="16"/>
  <c r="AB939" i="16" l="1"/>
  <c r="R937" i="16"/>
  <c r="AB940" i="16" a="1"/>
  <c r="AA941" i="16"/>
  <c r="Q939" i="16"/>
  <c r="R938" i="16" a="1"/>
  <c r="AB940" i="16" l="1"/>
  <c r="R938" i="16"/>
  <c r="Q940" i="16"/>
  <c r="AA942" i="16"/>
  <c r="AB941" i="16" a="1"/>
  <c r="R939" i="16" a="1"/>
  <c r="AB941" i="16" l="1"/>
  <c r="R939" i="16"/>
  <c r="AB942" i="16" a="1"/>
  <c r="R940" i="16" a="1"/>
  <c r="Q941" i="16"/>
  <c r="AA943" i="16"/>
  <c r="AB942" i="16" l="1"/>
  <c r="R940" i="16"/>
  <c r="AA944" i="16"/>
  <c r="R941" i="16" a="1"/>
  <c r="Q942" i="16"/>
  <c r="AB943" i="16" a="1"/>
  <c r="AB943" i="16" l="1"/>
  <c r="R941" i="16"/>
  <c r="R942" i="16" a="1"/>
  <c r="AB944" i="16" a="1"/>
  <c r="AA945" i="16"/>
  <c r="Q943" i="16"/>
  <c r="AB944" i="16" l="1"/>
  <c r="R942" i="16"/>
  <c r="AB945" i="16" a="1"/>
  <c r="R943" i="16" a="1"/>
  <c r="Q944" i="16"/>
  <c r="AA946" i="16"/>
  <c r="AB945" i="16" l="1"/>
  <c r="R943" i="16"/>
  <c r="R944" i="16" a="1"/>
  <c r="AA947" i="16"/>
  <c r="AB946" i="16" a="1"/>
  <c r="Q945" i="16"/>
  <c r="AB946" i="16" l="1"/>
  <c r="R944" i="16"/>
  <c r="R945" i="16" a="1"/>
  <c r="AA948" i="16"/>
  <c r="Q946" i="16"/>
  <c r="AB947" i="16" a="1"/>
  <c r="AB947" i="16" l="1"/>
  <c r="R945" i="16"/>
  <c r="AB948" i="16" a="1"/>
  <c r="R946" i="16" a="1"/>
  <c r="Q947" i="16"/>
  <c r="AA949" i="16"/>
  <c r="AB948" i="16" l="1"/>
  <c r="R946" i="16"/>
  <c r="AB949" i="16" a="1"/>
  <c r="Q948" i="16"/>
  <c r="R947" i="16" a="1"/>
  <c r="AA950" i="16"/>
  <c r="AB949" i="16" l="1"/>
  <c r="R947" i="16"/>
  <c r="Q949" i="16"/>
  <c r="AA951" i="16"/>
  <c r="R948" i="16" a="1"/>
  <c r="AB950" i="16" a="1"/>
  <c r="AB950" i="16" l="1"/>
  <c r="R948" i="16"/>
  <c r="Q950" i="16"/>
  <c r="AB951" i="16" a="1"/>
  <c r="R949" i="16" a="1"/>
  <c r="AA952" i="16"/>
  <c r="AB951" i="16" l="1"/>
  <c r="R949" i="16"/>
  <c r="AB952" i="16" a="1"/>
  <c r="Q951" i="16"/>
  <c r="AA953" i="16"/>
  <c r="R950" i="16" a="1"/>
  <c r="AB952" i="16" l="1"/>
  <c r="R950" i="16"/>
  <c r="R951" i="16" a="1"/>
  <c r="AB953" i="16" a="1"/>
  <c r="AA954" i="16"/>
  <c r="Q952" i="16"/>
  <c r="AB953" i="16" l="1"/>
  <c r="R951" i="16"/>
  <c r="Q953" i="16"/>
  <c r="AB954" i="16" a="1"/>
  <c r="R952" i="16" a="1"/>
  <c r="AA955" i="16"/>
  <c r="AB954" i="16" l="1"/>
  <c r="R952" i="16"/>
  <c r="R953" i="16" a="1"/>
  <c r="Q954" i="16"/>
  <c r="AB955" i="16" a="1"/>
  <c r="AA956" i="16"/>
  <c r="AB955" i="16" l="1"/>
  <c r="R953" i="16"/>
  <c r="Q955" i="16"/>
  <c r="AB956" i="16" a="1"/>
  <c r="AA957" i="16"/>
  <c r="R954" i="16" a="1"/>
  <c r="AB956" i="16" l="1"/>
  <c r="R954" i="16"/>
  <c r="Q956" i="16"/>
  <c r="AA958" i="16"/>
  <c r="R955" i="16" a="1"/>
  <c r="AB957" i="16" a="1"/>
  <c r="AB957" i="16" l="1"/>
  <c r="R955" i="16"/>
  <c r="R956" i="16" a="1"/>
  <c r="Q957" i="16"/>
  <c r="AA959" i="16"/>
  <c r="AB958" i="16" a="1"/>
  <c r="AB958" i="16" l="1"/>
  <c r="R956" i="16"/>
  <c r="AB959" i="16" a="1"/>
  <c r="R957" i="16" a="1"/>
  <c r="AA960" i="16"/>
  <c r="Q958" i="16"/>
  <c r="AB959" i="16" l="1"/>
  <c r="R957" i="16"/>
  <c r="R958" i="16" a="1"/>
  <c r="AB960" i="16" a="1"/>
  <c r="AA961" i="16"/>
  <c r="Q959" i="16"/>
  <c r="AB960" i="16" l="1"/>
  <c r="R958" i="16"/>
  <c r="Q960" i="16"/>
  <c r="R959" i="16" a="1"/>
  <c r="AA962" i="16"/>
  <c r="AB961" i="16" a="1"/>
  <c r="AB961" i="16" l="1"/>
  <c r="R959" i="16"/>
  <c r="R960" i="16" a="1"/>
  <c r="Q961" i="16"/>
  <c r="AB962" i="16" a="1"/>
  <c r="AA963" i="16"/>
  <c r="AB962" i="16" l="1"/>
  <c r="R960" i="16"/>
  <c r="R961" i="16" a="1"/>
  <c r="AB963" i="16" a="1"/>
  <c r="Q962" i="16"/>
  <c r="AA964" i="16"/>
  <c r="AB963" i="16" l="1"/>
  <c r="R961" i="16"/>
  <c r="AB964" i="16" a="1"/>
  <c r="R962" i="16" a="1"/>
  <c r="Q963" i="16"/>
  <c r="AA965" i="16"/>
  <c r="AB964" i="16" l="1"/>
  <c r="R962" i="16"/>
  <c r="R963" i="16" a="1"/>
  <c r="Q964" i="16"/>
  <c r="AB965" i="16" a="1"/>
  <c r="AA966" i="16"/>
  <c r="AB965" i="16" l="1"/>
  <c r="R963" i="16"/>
  <c r="Q965" i="16"/>
  <c r="AB966" i="16" a="1"/>
  <c r="AA967" i="16"/>
  <c r="R964" i="16" a="1"/>
  <c r="AB966" i="16" l="1"/>
  <c r="R964" i="16"/>
  <c r="R965" i="16" a="1"/>
  <c r="AB967" i="16" a="1"/>
  <c r="Q966" i="16"/>
  <c r="AA968" i="16"/>
  <c r="AB967" i="16" l="1"/>
  <c r="R965" i="16"/>
  <c r="AA969" i="16"/>
  <c r="AB968" i="16" a="1"/>
  <c r="Q967" i="16"/>
  <c r="R966" i="16" a="1"/>
  <c r="AB968" i="16" l="1"/>
  <c r="R966" i="16"/>
  <c r="AA970" i="16"/>
  <c r="AB969" i="16" a="1"/>
  <c r="R967" i="16" a="1"/>
  <c r="Q968" i="16"/>
  <c r="AB969" i="16" l="1"/>
  <c r="R967" i="16"/>
  <c r="AB970" i="16" a="1"/>
  <c r="R968" i="16" a="1"/>
  <c r="AA971" i="16"/>
  <c r="Q969" i="16"/>
  <c r="AB970" i="16" l="1"/>
  <c r="R968" i="16"/>
  <c r="AA972" i="16"/>
  <c r="R969" i="16" a="1"/>
  <c r="AB971" i="16" a="1"/>
  <c r="Q970" i="16"/>
  <c r="AB971" i="16" l="1"/>
  <c r="R969" i="16"/>
  <c r="Q971" i="16"/>
  <c r="AA973" i="16"/>
  <c r="AB972" i="16" a="1"/>
  <c r="R970" i="16" a="1"/>
  <c r="AB972" i="16" l="1"/>
  <c r="R970" i="16"/>
  <c r="R971" i="16" a="1"/>
  <c r="Q972" i="16"/>
  <c r="AB973" i="16" a="1"/>
  <c r="AA974" i="16"/>
  <c r="AB973" i="16" l="1"/>
  <c r="R971" i="16"/>
  <c r="R972" i="16" a="1"/>
  <c r="AB974" i="16" a="1"/>
  <c r="Q973" i="16"/>
  <c r="AA975" i="16"/>
  <c r="AB974" i="16" l="1"/>
  <c r="R972" i="16"/>
  <c r="Q974" i="16"/>
  <c r="AA976" i="16"/>
  <c r="AB975" i="16" a="1"/>
  <c r="R973" i="16" a="1"/>
  <c r="AB975" i="16" l="1"/>
  <c r="R973" i="16"/>
  <c r="R974" i="16" a="1"/>
  <c r="Q975" i="16"/>
  <c r="AA977" i="16"/>
  <c r="AB976" i="16" a="1"/>
  <c r="AB976" i="16" l="1"/>
  <c r="R974" i="16"/>
  <c r="R975" i="16" a="1"/>
  <c r="AB977" i="16" a="1"/>
  <c r="Q976" i="16"/>
  <c r="AA978" i="16"/>
  <c r="AB977" i="16" l="1"/>
  <c r="R975" i="16"/>
  <c r="R976" i="16" a="1"/>
  <c r="AB978" i="16" a="1"/>
  <c r="AA979" i="16"/>
  <c r="Q977" i="16"/>
  <c r="AB978" i="16" l="1"/>
  <c r="R976" i="16"/>
  <c r="R977" i="16" a="1"/>
  <c r="Q978" i="16"/>
  <c r="AB979" i="16" a="1"/>
  <c r="AA980" i="16"/>
  <c r="AB979" i="16" l="1"/>
  <c r="R977" i="16"/>
  <c r="AA981" i="16"/>
  <c r="R978" i="16" a="1"/>
  <c r="Q979" i="16"/>
  <c r="AB980" i="16" a="1"/>
  <c r="AB980" i="16" l="1"/>
  <c r="R978" i="16"/>
  <c r="R979" i="16" a="1"/>
  <c r="AB981" i="16" a="1"/>
  <c r="AA982" i="16"/>
  <c r="Q980" i="16"/>
  <c r="AB981" i="16" l="1"/>
  <c r="R979" i="16"/>
  <c r="R980" i="16" a="1"/>
  <c r="AA983" i="16"/>
  <c r="Q981" i="16"/>
  <c r="AB982" i="16" a="1"/>
  <c r="AB982" i="16" l="1"/>
  <c r="R980" i="16"/>
  <c r="Q982" i="16"/>
  <c r="AA984" i="16"/>
  <c r="AB983" i="16" a="1"/>
  <c r="R981" i="16" a="1"/>
  <c r="AB983" i="16" l="1"/>
  <c r="R981" i="16"/>
  <c r="R982" i="16" a="1"/>
  <c r="Q983" i="16"/>
  <c r="AA985" i="16"/>
  <c r="AB984" i="16" a="1"/>
  <c r="AB984" i="16" l="1"/>
  <c r="R982" i="16"/>
  <c r="AB985" i="16" a="1"/>
  <c r="Q984" i="16"/>
  <c r="R983" i="16" a="1"/>
  <c r="AA986" i="16"/>
  <c r="AB985" i="16" l="1"/>
  <c r="R983" i="16"/>
  <c r="R984" i="16" a="1"/>
  <c r="AA987" i="16"/>
  <c r="Q985" i="16"/>
  <c r="AB986" i="16" a="1"/>
  <c r="AB986" i="16" l="1"/>
  <c r="R984" i="16"/>
  <c r="R985" i="16" a="1"/>
  <c r="AB987" i="16" a="1"/>
  <c r="Q986" i="16"/>
  <c r="AA988" i="16"/>
  <c r="AB987" i="16" l="1"/>
  <c r="R985" i="16"/>
  <c r="Q987" i="16"/>
  <c r="AA989" i="16"/>
  <c r="AB988" i="16" a="1"/>
  <c r="R986" i="16" a="1"/>
  <c r="AB988" i="16" l="1"/>
  <c r="R986" i="16"/>
  <c r="Q988" i="16"/>
  <c r="AA990" i="16"/>
  <c r="AB989" i="16" a="1"/>
  <c r="R987" i="16" a="1"/>
  <c r="AB989" i="16" l="1"/>
  <c r="R987" i="16"/>
  <c r="AB990" i="16" a="1"/>
  <c r="R988" i="16" a="1"/>
  <c r="Q989" i="16"/>
  <c r="AA991" i="16"/>
  <c r="AB990" i="16" l="1"/>
  <c r="R988" i="16"/>
  <c r="Q990" i="16"/>
  <c r="AB991" i="16" a="1"/>
  <c r="R989" i="16" a="1"/>
  <c r="AA992" i="16"/>
  <c r="AB991" i="16" l="1"/>
  <c r="R989" i="16"/>
  <c r="R990" i="16" a="1"/>
  <c r="AA993" i="16"/>
  <c r="AB992" i="16" a="1"/>
  <c r="Q991" i="16"/>
  <c r="AB992" i="16" l="1"/>
  <c r="R990" i="16"/>
  <c r="AA994" i="16"/>
  <c r="R991" i="16" a="1"/>
  <c r="Q992" i="16"/>
  <c r="AB993" i="16" a="1"/>
  <c r="AB993" i="16" l="1"/>
  <c r="R991" i="16"/>
  <c r="AA995" i="16"/>
  <c r="R992" i="16" a="1"/>
  <c r="Q993" i="16"/>
  <c r="AB994" i="16" a="1"/>
  <c r="AB994" i="16" l="1"/>
  <c r="R992" i="16"/>
  <c r="AB995" i="16" a="1"/>
  <c r="AA996" i="16"/>
  <c r="Q994" i="16"/>
  <c r="R993" i="16" a="1"/>
  <c r="AB995" i="16" l="1"/>
  <c r="R993" i="16"/>
  <c r="AA997" i="16"/>
  <c r="R994" i="16" a="1"/>
  <c r="AB996" i="16" a="1"/>
  <c r="Q995" i="16"/>
  <c r="AB996" i="16" l="1"/>
  <c r="R994" i="16"/>
  <c r="R995" i="16" a="1"/>
  <c r="AA998" i="16"/>
  <c r="Q996" i="16"/>
  <c r="AB997" i="16" a="1"/>
  <c r="AB997" i="16" l="1"/>
  <c r="R995" i="16"/>
  <c r="R996" i="16" a="1"/>
  <c r="Q997" i="16"/>
  <c r="AB998" i="16" a="1"/>
  <c r="AA999" i="16"/>
  <c r="AB998" i="16" l="1"/>
  <c r="R996" i="16"/>
  <c r="R997" i="16" a="1"/>
  <c r="AB999" i="16" a="1"/>
  <c r="Q998" i="16"/>
  <c r="AA1000" i="16"/>
  <c r="AB999" i="16" l="1"/>
  <c r="R997" i="16"/>
  <c r="R998" i="16" a="1"/>
  <c r="AB1000" i="16" a="1"/>
  <c r="Q999" i="16"/>
  <c r="AB1000" i="16" l="1"/>
  <c r="G2" i="16" s="1" a="1"/>
  <c r="G2" i="16" s="1"/>
  <c r="R998" i="16"/>
  <c r="Q1000" i="16"/>
  <c r="R999" i="16" a="1"/>
  <c r="V3" i="16"/>
  <c r="R999" i="16" l="1"/>
  <c r="V4" i="16"/>
  <c r="W3" i="16" a="1"/>
  <c r="R1000" i="16" a="1"/>
  <c r="W3" i="16" l="1"/>
  <c r="R1000" i="16"/>
  <c r="W4" i="16" a="1"/>
  <c r="V5" i="16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W9" i="16" a="1"/>
  <c r="V10" i="16"/>
  <c r="W9" i="16" l="1"/>
  <c r="W10" i="16" a="1"/>
  <c r="V11" i="16"/>
  <c r="W10" i="16" l="1"/>
  <c r="W11" i="16" a="1"/>
  <c r="V12" i="16"/>
  <c r="W11" i="16" l="1"/>
  <c r="W12" i="16" a="1"/>
  <c r="V13" i="16"/>
  <c r="W12" i="16" l="1"/>
  <c r="W13" i="16" a="1"/>
  <c r="V14" i="16"/>
  <c r="W13" i="16" l="1"/>
  <c r="V15" i="16"/>
  <c r="W14" i="16" a="1"/>
  <c r="W14" i="16" l="1"/>
  <c r="V16" i="16"/>
  <c r="W15" i="16" a="1"/>
  <c r="W15" i="16" l="1"/>
  <c r="W16" i="16" a="1"/>
  <c r="V17" i="16"/>
  <c r="W16" i="16" l="1"/>
  <c r="V18" i="16"/>
  <c r="W17" i="16" a="1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W22" i="16" a="1"/>
  <c r="V23" i="16"/>
  <c r="W22" i="16" l="1"/>
  <c r="W23" i="16" a="1"/>
  <c r="V24" i="16"/>
  <c r="W23" i="16" l="1"/>
  <c r="W24" i="16" a="1"/>
  <c r="V25" i="16"/>
  <c r="W24" i="16" l="1"/>
  <c r="W25" i="16" a="1"/>
  <c r="V26" i="16"/>
  <c r="W25" i="16" l="1"/>
  <c r="V27" i="16"/>
  <c r="W26" i="16" a="1"/>
  <c r="W26" i="16" l="1"/>
  <c r="V28" i="16"/>
  <c r="W27" i="16" a="1"/>
  <c r="W27" i="16" l="1"/>
  <c r="V29" i="16"/>
  <c r="W28" i="16" a="1"/>
  <c r="W28" i="16" l="1"/>
  <c r="V30" i="16"/>
  <c r="W29" i="16" a="1"/>
  <c r="W29" i="16" l="1"/>
  <c r="V31" i="16"/>
  <c r="W30" i="16" a="1"/>
  <c r="W30" i="16" l="1"/>
  <c r="W31" i="16" a="1"/>
  <c r="V32" i="16"/>
  <c r="W31" i="16" l="1"/>
  <c r="W32" i="16" a="1"/>
  <c r="V33" i="16"/>
  <c r="W32" i="16" l="1"/>
  <c r="V34" i="16"/>
  <c r="W33" i="16" a="1"/>
  <c r="W33" i="16" l="1"/>
  <c r="V35" i="16"/>
  <c r="W34" i="16" a="1"/>
  <c r="W34" i="16" l="1"/>
  <c r="V36" i="16"/>
  <c r="W35" i="16" a="1"/>
  <c r="W35" i="16" l="1"/>
  <c r="W36" i="16" a="1"/>
  <c r="V37" i="16"/>
  <c r="W36" i="16" l="1"/>
  <c r="W37" i="16" a="1"/>
  <c r="V38" i="16"/>
  <c r="W37" i="16" l="1"/>
  <c r="V39" i="16"/>
  <c r="W38" i="16" a="1"/>
  <c r="W38" i="16" l="1"/>
  <c r="V40" i="16"/>
  <c r="W39" i="16" a="1"/>
  <c r="W39" i="16" l="1"/>
  <c r="W40" i="16" a="1"/>
  <c r="V41" i="16"/>
  <c r="W40" i="16" l="1"/>
  <c r="W41" i="16" a="1"/>
  <c r="V42" i="16"/>
  <c r="W41" i="16" l="1"/>
  <c r="W42" i="16" a="1"/>
  <c r="V43" i="16"/>
  <c r="W42" i="16" l="1"/>
  <c r="V44" i="16"/>
  <c r="W43" i="16" a="1"/>
  <c r="W43" i="16" l="1"/>
  <c r="W44" i="16" a="1"/>
  <c r="V45" i="16"/>
  <c r="W44" i="16" l="1"/>
  <c r="V46" i="16"/>
  <c r="W45" i="16" a="1"/>
  <c r="W45" i="16" l="1"/>
  <c r="V47" i="16"/>
  <c r="W46" i="16" a="1"/>
  <c r="W46" i="16" l="1"/>
  <c r="V48" i="16"/>
  <c r="W47" i="16" a="1"/>
  <c r="W47" i="16" l="1"/>
  <c r="V49" i="16"/>
  <c r="W48" i="16" a="1"/>
  <c r="W48" i="16" l="1"/>
  <c r="V50" i="16"/>
  <c r="W49" i="16" a="1"/>
  <c r="W49" i="16" l="1"/>
  <c r="V51" i="16"/>
  <c r="W50" i="16" a="1"/>
  <c r="W50" i="16" l="1"/>
  <c r="V52" i="16"/>
  <c r="W51" i="16" a="1"/>
  <c r="W51" i="16" l="1"/>
  <c r="V53" i="16"/>
  <c r="W52" i="16" a="1"/>
  <c r="W52" i="16" l="1"/>
  <c r="W53" i="16" a="1"/>
  <c r="V54" i="16"/>
  <c r="W53" i="16" l="1"/>
  <c r="W54" i="16" a="1"/>
  <c r="V55" i="16"/>
  <c r="W54" i="16" l="1"/>
  <c r="W55" i="16" a="1"/>
  <c r="V56" i="16"/>
  <c r="W55" i="16" l="1"/>
  <c r="W56" i="16" a="1"/>
  <c r="V57" i="16"/>
  <c r="W56" i="16" l="1"/>
  <c r="W57" i="16" a="1"/>
  <c r="V58" i="16"/>
  <c r="W57" i="16" l="1"/>
  <c r="V59" i="16"/>
  <c r="W58" i="16" a="1"/>
  <c r="W58" i="16" l="1"/>
  <c r="V60" i="16"/>
  <c r="W59" i="16" a="1"/>
  <c r="W59" i="16" l="1"/>
  <c r="W60" i="16" a="1"/>
  <c r="V61" i="16"/>
  <c r="W60" i="16" l="1"/>
  <c r="W61" i="16" a="1"/>
  <c r="V62" i="16"/>
  <c r="W61" i="16" l="1"/>
  <c r="V63" i="16"/>
  <c r="W62" i="16" a="1"/>
  <c r="W62" i="16" l="1"/>
  <c r="V64" i="16"/>
  <c r="W63" i="16" a="1"/>
  <c r="W63" i="16" l="1"/>
  <c r="W64" i="16" a="1"/>
  <c r="V65" i="16"/>
  <c r="W64" i="16" l="1"/>
  <c r="W65" i="16" a="1"/>
  <c r="V66" i="16"/>
  <c r="W65" i="16" l="1"/>
  <c r="V67" i="16"/>
  <c r="W66" i="16" a="1"/>
  <c r="W66" i="16" l="1"/>
  <c r="V68" i="16"/>
  <c r="W67" i="16" a="1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V74" i="16"/>
  <c r="W73" i="16" a="1"/>
  <c r="W73" i="16" l="1"/>
  <c r="W74" i="16" a="1"/>
  <c r="V75" i="16"/>
  <c r="W74" i="16" l="1"/>
  <c r="V76" i="16"/>
  <c r="W75" i="16" a="1"/>
  <c r="W75" i="16" l="1"/>
  <c r="V77" i="16"/>
  <c r="W76" i="16" a="1"/>
  <c r="W76" i="16" l="1"/>
  <c r="V78" i="16"/>
  <c r="W77" i="16" a="1"/>
  <c r="W77" i="16" l="1"/>
  <c r="W78" i="16" a="1"/>
  <c r="V79" i="16"/>
  <c r="W78" i="16" l="1"/>
  <c r="W79" i="16" a="1"/>
  <c r="V80" i="16"/>
  <c r="W79" i="16" l="1"/>
  <c r="V81" i="16"/>
  <c r="W80" i="16" a="1"/>
  <c r="W80" i="16" l="1"/>
  <c r="W81" i="16" a="1"/>
  <c r="V82" i="16"/>
  <c r="W81" i="16" l="1"/>
  <c r="W82" i="16" a="1"/>
  <c r="V83" i="16"/>
  <c r="W82" i="16" l="1"/>
  <c r="V84" i="16"/>
  <c r="W83" i="16" a="1"/>
  <c r="W83" i="16" l="1"/>
  <c r="V85" i="16"/>
  <c r="W84" i="16" a="1"/>
  <c r="W84" i="16" l="1"/>
  <c r="W85" i="16" a="1"/>
  <c r="V86" i="16"/>
  <c r="W85" i="16" l="1"/>
  <c r="V87" i="16"/>
  <c r="W86" i="16" a="1"/>
  <c r="W86" i="16" l="1"/>
  <c r="V88" i="16"/>
  <c r="W87" i="16" a="1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W93" i="16" a="1"/>
  <c r="V94" i="16"/>
  <c r="W93" i="16" l="1"/>
  <c r="W94" i="16" a="1"/>
  <c r="V95" i="16"/>
  <c r="W94" i="16" l="1"/>
  <c r="V96" i="16"/>
  <c r="W95" i="16" a="1"/>
  <c r="W95" i="16" l="1"/>
  <c r="V97" i="16"/>
  <c r="W96" i="16" a="1"/>
  <c r="W96" i="16" l="1"/>
  <c r="V98" i="16"/>
  <c r="W97" i="16" a="1"/>
  <c r="W97" i="16" l="1"/>
  <c r="W98" i="16" a="1"/>
  <c r="V99" i="16"/>
  <c r="W98" i="16" l="1"/>
  <c r="V100" i="16"/>
  <c r="W99" i="16" a="1"/>
  <c r="W99" i="16" l="1"/>
  <c r="W100" i="16" a="1"/>
  <c r="V101" i="16"/>
  <c r="W100" i="16" l="1"/>
  <c r="W101" i="16" a="1"/>
  <c r="V102" i="16"/>
  <c r="W101" i="16" l="1"/>
  <c r="V103" i="16"/>
  <c r="W102" i="16" a="1"/>
  <c r="W102" i="16" l="1"/>
  <c r="W103" i="16" a="1"/>
  <c r="V104" i="16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V113" i="16"/>
  <c r="W112" i="16" a="1"/>
  <c r="W112" i="16" l="1"/>
  <c r="W113" i="16" a="1"/>
  <c r="V114" i="16"/>
  <c r="W113" i="16" l="1"/>
  <c r="W114" i="16" a="1"/>
  <c r="V115" i="16"/>
  <c r="W114" i="16" l="1"/>
  <c r="W115" i="16" a="1"/>
  <c r="V116" i="16"/>
  <c r="W115" i="16" l="1"/>
  <c r="W116" i="16" a="1"/>
  <c r="V117" i="16"/>
  <c r="W116" i="16" l="1"/>
  <c r="V118" i="16"/>
  <c r="W117" i="16" a="1"/>
  <c r="W117" i="16" l="1"/>
  <c r="W118" i="16" a="1"/>
  <c r="V119" i="16"/>
  <c r="W118" i="16" l="1"/>
  <c r="V120" i="16"/>
  <c r="W119" i="16" a="1"/>
  <c r="W119" i="16" l="1"/>
  <c r="W120" i="16" a="1"/>
  <c r="V121" i="16"/>
  <c r="W120" i="16" l="1"/>
  <c r="V122" i="16"/>
  <c r="W121" i="16" a="1"/>
  <c r="W121" i="16" l="1"/>
  <c r="V123" i="16"/>
  <c r="W122" i="16" a="1"/>
  <c r="W122" i="16" l="1"/>
  <c r="V124" i="16"/>
  <c r="W123" i="16" a="1"/>
  <c r="W123" i="16" l="1"/>
  <c r="W124" i="16" a="1"/>
  <c r="V125" i="16"/>
  <c r="W124" i="16" l="1"/>
  <c r="W125" i="16" a="1"/>
  <c r="V126" i="16"/>
  <c r="W125" i="16" l="1"/>
  <c r="V127" i="16"/>
  <c r="W126" i="16" a="1"/>
  <c r="W126" i="16" l="1"/>
  <c r="V128" i="16"/>
  <c r="W127" i="16" a="1"/>
  <c r="W127" i="16" l="1"/>
  <c r="W128" i="16" a="1"/>
  <c r="V129" i="16"/>
  <c r="W128" i="16" l="1"/>
  <c r="V130" i="16"/>
  <c r="W129" i="16" a="1"/>
  <c r="W129" i="16" l="1"/>
  <c r="W130" i="16" a="1"/>
  <c r="V131" i="16"/>
  <c r="W130" i="16" l="1"/>
  <c r="W131" i="16" a="1"/>
  <c r="V132" i="16"/>
  <c r="W131" i="16" l="1"/>
  <c r="V133" i="16"/>
  <c r="W132" i="16" a="1"/>
  <c r="W132" i="16" l="1"/>
  <c r="W133" i="16" a="1"/>
  <c r="V134" i="16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V141" i="16"/>
  <c r="W140" i="16" a="1"/>
  <c r="W140" i="16" l="1"/>
  <c r="W141" i="16" a="1"/>
  <c r="V142" i="16"/>
  <c r="W141" i="16" l="1"/>
  <c r="V143" i="16"/>
  <c r="W142" i="16" a="1"/>
  <c r="W142" i="16" l="1"/>
  <c r="W143" i="16" a="1"/>
  <c r="V144" i="16"/>
  <c r="W143" i="16" l="1"/>
  <c r="W144" i="16" a="1"/>
  <c r="V145" i="16"/>
  <c r="W144" i="16" l="1"/>
  <c r="V146" i="16"/>
  <c r="W145" i="16" a="1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W163" i="16" a="1"/>
  <c r="V164" i="16"/>
  <c r="W163" i="16" l="1"/>
  <c r="W164" i="16" a="1"/>
  <c r="V165" i="16"/>
  <c r="W164" i="16" l="1"/>
  <c r="W165" i="16" a="1"/>
  <c r="V166" i="16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V171" i="16"/>
  <c r="W170" i="16" a="1"/>
  <c r="W170" i="16" l="1"/>
  <c r="V172" i="16"/>
  <c r="W171" i="16" a="1"/>
  <c r="W171" i="16" l="1"/>
  <c r="V173" i="16"/>
  <c r="W172" i="16" a="1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W178" i="16" a="1"/>
  <c r="V179" i="16"/>
  <c r="W178" i="16" l="1"/>
  <c r="V180" i="16"/>
  <c r="W179" i="16" a="1"/>
  <c r="W179" i="16" l="1"/>
  <c r="V181" i="16"/>
  <c r="W180" i="16" a="1"/>
  <c r="W180" i="16" l="1"/>
  <c r="V182" i="16"/>
  <c r="W181" i="16" a="1"/>
  <c r="W181" i="16" l="1"/>
  <c r="W182" i="16" a="1"/>
  <c r="V183" i="16"/>
  <c r="W182" i="16" l="1"/>
  <c r="W183" i="16" a="1"/>
  <c r="V184" i="16"/>
  <c r="W183" i="16" l="1"/>
  <c r="W184" i="16" a="1"/>
  <c r="V185" i="16"/>
  <c r="W184" i="16" l="1"/>
  <c r="W185" i="16" a="1"/>
  <c r="V186" i="16"/>
  <c r="W185" i="16" l="1"/>
  <c r="V187" i="16"/>
  <c r="W186" i="16" a="1"/>
  <c r="W186" i="16" l="1"/>
  <c r="V188" i="16"/>
  <c r="W187" i="16" a="1"/>
  <c r="W187" i="16" l="1"/>
  <c r="V189" i="16"/>
  <c r="W188" i="16" a="1"/>
  <c r="W188" i="16" l="1"/>
  <c r="V190" i="16"/>
  <c r="W189" i="16" a="1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V202" i="16"/>
  <c r="W201" i="16" a="1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V206" i="16"/>
  <c r="W205" i="16" a="1"/>
  <c r="W205" i="16" l="1"/>
  <c r="V207" i="16"/>
  <c r="W206" i="16" a="1"/>
  <c r="W206" i="16" l="1"/>
  <c r="V208" i="16"/>
  <c r="W207" i="16" a="1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W217" i="16" a="1"/>
  <c r="V218" i="16"/>
  <c r="W217" i="16" l="1"/>
  <c r="W218" i="16" a="1"/>
  <c r="V219" i="16"/>
  <c r="W218" i="16" l="1"/>
  <c r="W219" i="16" a="1"/>
  <c r="V220" i="16"/>
  <c r="W219" i="16" l="1"/>
  <c r="W220" i="16" a="1"/>
  <c r="V221" i="16"/>
  <c r="W220" i="16" l="1"/>
  <c r="V222" i="16"/>
  <c r="W221" i="16" a="1"/>
  <c r="W221" i="16" l="1"/>
  <c r="V223" i="16"/>
  <c r="W222" i="16" a="1"/>
  <c r="W222" i="16" l="1"/>
  <c r="V224" i="16"/>
  <c r="W223" i="16" a="1"/>
  <c r="W223" i="16" l="1"/>
  <c r="W224" i="16" a="1"/>
  <c r="V225" i="16"/>
  <c r="W224" i="16" l="1"/>
  <c r="V226" i="16"/>
  <c r="W225" i="16" a="1"/>
  <c r="W225" i="16" l="1"/>
  <c r="V227" i="16"/>
  <c r="W226" i="16" a="1"/>
  <c r="W226" i="16" l="1"/>
  <c r="V228" i="16"/>
  <c r="W227" i="16" a="1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W231" i="16" a="1"/>
  <c r="V232" i="16"/>
  <c r="W231" i="16" l="1"/>
  <c r="V233" i="16"/>
  <c r="W232" i="16" a="1"/>
  <c r="W232" i="16" l="1"/>
  <c r="V234" i="16"/>
  <c r="W233" i="16" a="1"/>
  <c r="W233" i="16" l="1"/>
  <c r="W234" i="16" a="1"/>
  <c r="V235" i="16"/>
  <c r="W234" i="16" l="1"/>
  <c r="V236" i="16"/>
  <c r="W235" i="16" a="1"/>
  <c r="W235" i="16" l="1"/>
  <c r="V237" i="16"/>
  <c r="W236" i="16" a="1"/>
  <c r="W236" i="16" l="1"/>
  <c r="V238" i="16"/>
  <c r="W237" i="16" a="1"/>
  <c r="W237" i="16" l="1"/>
  <c r="V239" i="16"/>
  <c r="W238" i="16" a="1"/>
  <c r="W238" i="16" l="1"/>
  <c r="V240" i="16"/>
  <c r="W239" i="16" a="1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V244" i="16"/>
  <c r="W243" i="16" a="1"/>
  <c r="W243" i="16" l="1"/>
  <c r="V245" i="16"/>
  <c r="W244" i="16" a="1"/>
  <c r="W244" i="16" l="1"/>
  <c r="V246" i="16"/>
  <c r="W245" i="16" a="1"/>
  <c r="W245" i="16" l="1"/>
  <c r="V247" i="16"/>
  <c r="W246" i="16" a="1"/>
  <c r="W246" i="16" l="1"/>
  <c r="W247" i="16" a="1"/>
  <c r="V248" i="16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W252" i="16" a="1"/>
  <c r="V253" i="16"/>
  <c r="W252" i="16" l="1"/>
  <c r="V254" i="16"/>
  <c r="W253" i="16" a="1"/>
  <c r="W253" i="16" l="1"/>
  <c r="V255" i="16"/>
  <c r="W254" i="16" a="1"/>
  <c r="W254" i="16" l="1"/>
  <c r="W255" i="16" a="1"/>
  <c r="V256" i="16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V262" i="16"/>
  <c r="W261" i="16" a="1"/>
  <c r="W261" i="16" l="1"/>
  <c r="W262" i="16" a="1"/>
  <c r="V263" i="16"/>
  <c r="W262" i="16" l="1"/>
  <c r="V264" i="16"/>
  <c r="W263" i="16" a="1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V270" i="16"/>
  <c r="W269" i="16" a="1"/>
  <c r="W269" i="16" l="1"/>
  <c r="V271" i="16"/>
  <c r="W270" i="16" a="1"/>
  <c r="W270" i="16" l="1"/>
  <c r="V272" i="16"/>
  <c r="W271" i="16" a="1"/>
  <c r="W271" i="16" l="1"/>
  <c r="V273" i="16"/>
  <c r="W272" i="16" a="1"/>
  <c r="W272" i="16" l="1"/>
  <c r="W273" i="16" a="1"/>
  <c r="V274" i="16"/>
  <c r="W273" i="16" l="1"/>
  <c r="V275" i="16"/>
  <c r="W274" i="16" a="1"/>
  <c r="W274" i="16" l="1"/>
  <c r="W275" i="16" a="1"/>
  <c r="V276" i="16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V284" i="16"/>
  <c r="W283" i="16" a="1"/>
  <c r="W283" i="16" l="1"/>
  <c r="V285" i="16"/>
  <c r="W284" i="16" a="1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V290" i="16"/>
  <c r="W289" i="16" a="1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W296" i="16" a="1"/>
  <c r="V297" i="16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W306" i="16" a="1"/>
  <c r="V307" i="16"/>
  <c r="W306" i="16" l="1"/>
  <c r="V308" i="16"/>
  <c r="W307" i="16" a="1"/>
  <c r="W307" i="16" l="1"/>
  <c r="V309" i="16"/>
  <c r="W308" i="16" a="1"/>
  <c r="W308" i="16" l="1"/>
  <c r="W309" i="16" a="1"/>
  <c r="V310" i="16"/>
  <c r="W309" i="16" l="1"/>
  <c r="W310" i="16" a="1"/>
  <c r="V311" i="16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V315" i="16"/>
  <c r="W314" i="16" a="1"/>
  <c r="W314" i="16" l="1"/>
  <c r="W315" i="16" a="1"/>
  <c r="V316" i="16"/>
  <c r="W315" i="16" l="1"/>
  <c r="W316" i="16" a="1"/>
  <c r="V317" i="16"/>
  <c r="W316" i="16" l="1"/>
  <c r="W317" i="16" a="1"/>
  <c r="V318" i="16"/>
  <c r="W317" i="16" l="1"/>
  <c r="V319" i="16"/>
  <c r="W318" i="16" a="1"/>
  <c r="W318" i="16" l="1"/>
  <c r="V320" i="16"/>
  <c r="W319" i="16" a="1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V325" i="16"/>
  <c r="W324" i="16" a="1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W338" i="16" a="1"/>
  <c r="V339" i="16"/>
  <c r="W338" i="16" l="1"/>
  <c r="W339" i="16" a="1"/>
  <c r="V340" i="16"/>
  <c r="W339" i="16" l="1"/>
  <c r="V341" i="16"/>
  <c r="W340" i="16" a="1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V346" i="16"/>
  <c r="W345" i="16" a="1"/>
  <c r="W345" i="16" l="1"/>
  <c r="W346" i="16" a="1"/>
  <c r="V347" i="16"/>
  <c r="W346" i="16" l="1"/>
  <c r="V348" i="16"/>
  <c r="W347" i="16" a="1"/>
  <c r="W347" i="16" l="1"/>
  <c r="V349" i="16"/>
  <c r="W348" i="16" a="1"/>
  <c r="W348" i="16" l="1"/>
  <c r="V350" i="16"/>
  <c r="W349" i="16" a="1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V354" i="16"/>
  <c r="W353" i="16" a="1"/>
  <c r="W353" i="16" l="1"/>
  <c r="W354" i="16" a="1"/>
  <c r="V355" i="16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V359" i="16"/>
  <c r="W358" i="16" a="1"/>
  <c r="W358" i="16" l="1"/>
  <c r="W359" i="16" a="1"/>
  <c r="V360" i="16"/>
  <c r="W359" i="16" l="1"/>
  <c r="W360" i="16" a="1"/>
  <c r="V361" i="16"/>
  <c r="W360" i="16" l="1"/>
  <c r="V362" i="16"/>
  <c r="W361" i="16" a="1"/>
  <c r="W361" i="16" l="1"/>
  <c r="V363" i="16"/>
  <c r="W362" i="16" a="1"/>
  <c r="W362" i="16" l="1"/>
  <c r="V364" i="16"/>
  <c r="W363" i="16" a="1"/>
  <c r="W363" i="16" l="1"/>
  <c r="W364" i="16" a="1"/>
  <c r="V365" i="16"/>
  <c r="W364" i="16" l="1"/>
  <c r="W365" i="16" a="1"/>
  <c r="V366" i="16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W371" i="16" a="1"/>
  <c r="V372" i="16"/>
  <c r="W371" i="16" l="1"/>
  <c r="V373" i="16"/>
  <c r="W372" i="16" a="1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V378" i="16"/>
  <c r="W377" i="16" a="1"/>
  <c r="W377" i="16" l="1"/>
  <c r="W378" i="16" a="1"/>
  <c r="V379" i="16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V383" i="16"/>
  <c r="W382" i="16" a="1"/>
  <c r="W382" i="16" l="1"/>
  <c r="V384" i="16"/>
  <c r="W383" i="16" a="1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V399" i="16"/>
  <c r="W398" i="16" a="1"/>
  <c r="W398" i="16" l="1"/>
  <c r="W399" i="16" a="1"/>
  <c r="V400" i="16"/>
  <c r="W399" i="16" l="1"/>
  <c r="W400" i="16" a="1"/>
  <c r="V401" i="16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W406" i="16" a="1"/>
  <c r="V407" i="16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W415" i="16" a="1"/>
  <c r="V416" i="16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V423" i="16"/>
  <c r="W422" i="16" a="1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V429" i="16"/>
  <c r="W428" i="16" a="1"/>
  <c r="W428" i="16" l="1"/>
  <c r="V430" i="16"/>
  <c r="W429" i="16" a="1"/>
  <c r="W429" i="16" l="1"/>
  <c r="V431" i="16"/>
  <c r="W430" i="16" a="1"/>
  <c r="W430" i="16" l="1"/>
  <c r="W431" i="16" a="1"/>
  <c r="V432" i="16"/>
  <c r="W431" i="16" l="1"/>
  <c r="V433" i="16"/>
  <c r="W432" i="16" a="1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V437" i="16"/>
  <c r="W436" i="16" a="1"/>
  <c r="W436" i="16" l="1"/>
  <c r="W437" i="16" a="1"/>
  <c r="V438" i="16"/>
  <c r="W437" i="16" l="1"/>
  <c r="W438" i="16" a="1"/>
  <c r="V439" i="16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W445" i="16" a="1"/>
  <c r="V446" i="16"/>
  <c r="W445" i="16" l="1"/>
  <c r="V447" i="16"/>
  <c r="W446" i="16" a="1"/>
  <c r="W446" i="16" l="1"/>
  <c r="V448" i="16"/>
  <c r="W447" i="16" a="1"/>
  <c r="W447" i="16" l="1"/>
  <c r="W448" i="16" a="1"/>
  <c r="V449" i="16"/>
  <c r="W448" i="16" l="1"/>
  <c r="V450" i="16"/>
  <c r="W449" i="16" a="1"/>
  <c r="W449" i="16" l="1"/>
  <c r="W450" i="16" a="1"/>
  <c r="V451" i="16"/>
  <c r="W450" i="16" l="1"/>
  <c r="V452" i="16"/>
  <c r="W451" i="16" a="1"/>
  <c r="W451" i="16" l="1"/>
  <c r="W452" i="16" a="1"/>
  <c r="V453" i="16"/>
  <c r="W452" i="16" l="1"/>
  <c r="W453" i="16" a="1"/>
  <c r="V454" i="16"/>
  <c r="W453" i="16" l="1"/>
  <c r="V455" i="16"/>
  <c r="W454" i="16" a="1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W459" i="16" a="1"/>
  <c r="V460" i="16"/>
  <c r="W459" i="16" l="1"/>
  <c r="V461" i="16"/>
  <c r="W460" i="16" a="1"/>
  <c r="W460" i="16" l="1"/>
  <c r="W461" i="16" a="1"/>
  <c r="V462" i="16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V474" i="16"/>
  <c r="W473" i="16" a="1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W477" i="16" a="1"/>
  <c r="V478" i="16"/>
  <c r="W477" i="16" l="1"/>
  <c r="V479" i="16"/>
  <c r="W478" i="16" a="1"/>
  <c r="W478" i="16" l="1"/>
  <c r="V480" i="16"/>
  <c r="W479" i="16" a="1"/>
  <c r="W479" i="16" l="1"/>
  <c r="V481" i="16"/>
  <c r="W480" i="16" a="1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W486" i="16" a="1"/>
  <c r="V487" i="16"/>
  <c r="W486" i="16" l="1"/>
  <c r="W487" i="16" a="1"/>
  <c r="V488" i="16"/>
  <c r="W487" i="16" l="1"/>
  <c r="V489" i="16"/>
  <c r="W488" i="16" a="1"/>
  <c r="W488" i="16" l="1"/>
  <c r="V490" i="16"/>
  <c r="W489" i="16" a="1"/>
  <c r="W489" i="16" l="1"/>
  <c r="W490" i="16" a="1"/>
  <c r="V491" i="16"/>
  <c r="W490" i="16" l="1"/>
  <c r="W491" i="16" a="1"/>
  <c r="V492" i="16"/>
  <c r="W491" i="16" l="1"/>
  <c r="W492" i="16" a="1"/>
  <c r="V493" i="16"/>
  <c r="W492" i="16" l="1"/>
  <c r="W493" i="16" a="1"/>
  <c r="V494" i="16"/>
  <c r="W493" i="16" l="1"/>
  <c r="W494" i="16" a="1"/>
  <c r="V495" i="16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W508" i="16" a="1"/>
  <c r="V509" i="16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V518" i="16"/>
  <c r="W517" i="16" a="1"/>
  <c r="W517" i="16" l="1"/>
  <c r="V519" i="16"/>
  <c r="W518" i="16" a="1"/>
  <c r="W518" i="16" l="1"/>
  <c r="W519" i="16" a="1"/>
  <c r="V520" i="16"/>
  <c r="W519" i="16" l="1"/>
  <c r="V521" i="16"/>
  <c r="W520" i="16" a="1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V540" i="16"/>
  <c r="W539" i="16" a="1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V549" i="16"/>
  <c r="W548" i="16" a="1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V555" i="16"/>
  <c r="W554" i="16" a="1"/>
  <c r="W554" i="16" l="1"/>
  <c r="W555" i="16" a="1"/>
  <c r="V556" i="16"/>
  <c r="W555" i="16" l="1"/>
  <c r="V557" i="16"/>
  <c r="W556" i="16" a="1"/>
  <c r="W556" i="16" l="1"/>
  <c r="W557" i="16" a="1"/>
  <c r="V558" i="16"/>
  <c r="W557" i="16" l="1"/>
  <c r="W558" i="16" a="1"/>
  <c r="V559" i="16"/>
  <c r="W558" i="16" l="1"/>
  <c r="W559" i="16" a="1"/>
  <c r="V560" i="16"/>
  <c r="W559" i="16" l="1"/>
  <c r="V561" i="16"/>
  <c r="W560" i="16" a="1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V569" i="16"/>
  <c r="W568" i="16" a="1"/>
  <c r="W568" i="16" l="1"/>
  <c r="V570" i="16"/>
  <c r="W569" i="16" a="1"/>
  <c r="W569" i="16" l="1"/>
  <c r="W570" i="16" a="1"/>
  <c r="V571" i="16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V576" i="16"/>
  <c r="W575" i="16" a="1"/>
  <c r="W575" i="16" l="1"/>
  <c r="W576" i="16" a="1"/>
  <c r="V577" i="16"/>
  <c r="W576" i="16" l="1"/>
  <c r="V578" i="16"/>
  <c r="W577" i="16" a="1"/>
  <c r="W577" i="16" l="1"/>
  <c r="V579" i="16"/>
  <c r="W578" i="16" a="1"/>
  <c r="W578" i="16" l="1"/>
  <c r="V580" i="16"/>
  <c r="W579" i="16" a="1"/>
  <c r="W579" i="16" l="1"/>
  <c r="V581" i="16"/>
  <c r="W580" i="16" a="1"/>
  <c r="W580" i="16" l="1"/>
  <c r="V582" i="16"/>
  <c r="W581" i="16" a="1"/>
  <c r="W581" i="16" l="1"/>
  <c r="V583" i="16"/>
  <c r="W582" i="16" a="1"/>
  <c r="W582" i="16" l="1"/>
  <c r="W583" i="16" a="1"/>
  <c r="V584" i="16"/>
  <c r="W583" i="16" l="1"/>
  <c r="W584" i="16" a="1"/>
  <c r="V585" i="16"/>
  <c r="W584" i="16" l="1"/>
  <c r="V586" i="16"/>
  <c r="W585" i="16" a="1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V590" i="16"/>
  <c r="W589" i="16" a="1"/>
  <c r="W589" i="16" l="1"/>
  <c r="V591" i="16"/>
  <c r="W590" i="16" a="1"/>
  <c r="W590" i="16" l="1"/>
  <c r="W591" i="16" a="1"/>
  <c r="V592" i="16"/>
  <c r="W591" i="16" l="1"/>
  <c r="W592" i="16" a="1"/>
  <c r="V593" i="16"/>
  <c r="W592" i="16" l="1"/>
  <c r="W593" i="16" a="1"/>
  <c r="V594" i="16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W603" i="16" a="1"/>
  <c r="V604" i="16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V608" i="16"/>
  <c r="W607" i="16" a="1"/>
  <c r="W607" i="16" l="1"/>
  <c r="V609" i="16"/>
  <c r="W608" i="16" a="1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V617" i="16"/>
  <c r="W616" i="16" a="1"/>
  <c r="W616" i="16" l="1"/>
  <c r="W617" i="16" a="1"/>
  <c r="V618" i="16"/>
  <c r="W617" i="16" l="1"/>
  <c r="V619" i="16"/>
  <c r="W618" i="16" a="1"/>
  <c r="W618" i="16" l="1"/>
  <c r="W619" i="16" a="1"/>
  <c r="V620" i="16"/>
  <c r="W619" i="16" l="1"/>
  <c r="V621" i="16"/>
  <c r="W620" i="16" a="1"/>
  <c r="W620" i="16" l="1"/>
  <c r="W621" i="16" a="1"/>
  <c r="V622" i="16"/>
  <c r="W621" i="16" l="1"/>
  <c r="V623" i="16"/>
  <c r="W622" i="16" a="1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V629" i="16"/>
  <c r="W628" i="16" a="1"/>
  <c r="W628" i="16" l="1"/>
  <c r="W629" i="16" a="1"/>
  <c r="V630" i="16"/>
  <c r="W629" i="16" l="1"/>
  <c r="V631" i="16"/>
  <c r="W630" i="16" a="1"/>
  <c r="W630" i="16" l="1"/>
  <c r="V632" i="16"/>
  <c r="W631" i="16" a="1"/>
  <c r="W631" i="16" l="1"/>
  <c r="V633" i="16"/>
  <c r="W632" i="16" a="1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V637" i="16"/>
  <c r="W636" i="16" a="1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W640" i="16" a="1"/>
  <c r="V641" i="16"/>
  <c r="W640" i="16" l="1"/>
  <c r="V642" i="16"/>
  <c r="W641" i="16" a="1"/>
  <c r="W641" i="16" l="1"/>
  <c r="V643" i="16"/>
  <c r="W642" i="16" a="1"/>
  <c r="W642" i="16" l="1"/>
  <c r="V644" i="16"/>
  <c r="W643" i="16" a="1"/>
  <c r="W643" i="16" l="1"/>
  <c r="V645" i="16"/>
  <c r="W644" i="16" a="1"/>
  <c r="W644" i="16" l="1"/>
  <c r="W645" i="16" a="1"/>
  <c r="V646" i="16"/>
  <c r="W645" i="16" l="1"/>
  <c r="W646" i="16" a="1"/>
  <c r="V647" i="16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W656" i="16" a="1"/>
  <c r="V657" i="16"/>
  <c r="W656" i="16" l="1"/>
  <c r="V658" i="16"/>
  <c r="W657" i="16" a="1"/>
  <c r="W657" i="16" l="1"/>
  <c r="V659" i="16"/>
  <c r="W658" i="16" a="1"/>
  <c r="W658" i="16" l="1"/>
  <c r="V660" i="16"/>
  <c r="W659" i="16" a="1"/>
  <c r="W659" i="16" l="1"/>
  <c r="W660" i="16" a="1"/>
  <c r="V661" i="16"/>
  <c r="W660" i="16" l="1"/>
  <c r="V662" i="16"/>
  <c r="W661" i="16" a="1"/>
  <c r="W661" i="16" l="1"/>
  <c r="V663" i="16"/>
  <c r="W662" i="16" a="1"/>
  <c r="W662" i="16" l="1"/>
  <c r="V664" i="16"/>
  <c r="W663" i="16" a="1"/>
  <c r="W663" i="16" l="1"/>
  <c r="V665" i="16"/>
  <c r="W664" i="16" a="1"/>
  <c r="W664" i="16" l="1"/>
  <c r="V666" i="16"/>
  <c r="W665" i="16" a="1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V670" i="16"/>
  <c r="W669" i="16" a="1"/>
  <c r="W669" i="16" l="1"/>
  <c r="W670" i="16" a="1"/>
  <c r="V671" i="16"/>
  <c r="W670" i="16" l="1"/>
  <c r="W671" i="16" a="1"/>
  <c r="V672" i="16"/>
  <c r="W671" i="16" l="1"/>
  <c r="V673" i="16"/>
  <c r="W672" i="16" a="1"/>
  <c r="W672" i="16" l="1"/>
  <c r="V674" i="16"/>
  <c r="W673" i="16" a="1"/>
  <c r="W673" i="16" l="1"/>
  <c r="W674" i="16" a="1"/>
  <c r="V675" i="16"/>
  <c r="W674" i="16" l="1"/>
  <c r="W675" i="16" a="1"/>
  <c r="V676" i="16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V681" i="16"/>
  <c r="W680" i="16" a="1"/>
  <c r="W680" i="16" l="1"/>
  <c r="V682" i="16"/>
  <c r="W681" i="16" a="1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V687" i="16"/>
  <c r="W686" i="16" a="1"/>
  <c r="W686" i="16" l="1"/>
  <c r="W687" i="16" a="1"/>
  <c r="V688" i="16"/>
  <c r="W687" i="16" l="1"/>
  <c r="W688" i="16" a="1"/>
  <c r="V689" i="16"/>
  <c r="W688" i="16" l="1"/>
  <c r="W689" i="16" a="1"/>
  <c r="V690" i="16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V696" i="16"/>
  <c r="W695" i="16" a="1"/>
  <c r="W695" i="16" l="1"/>
  <c r="V697" i="16"/>
  <c r="W696" i="16" a="1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V705" i="16"/>
  <c r="W704" i="16" a="1"/>
  <c r="W704" i="16" l="1"/>
  <c r="W705" i="16" a="1"/>
  <c r="V706" i="16"/>
  <c r="W705" i="16" l="1"/>
  <c r="W706" i="16" a="1"/>
  <c r="V707" i="16"/>
  <c r="W706" i="16" l="1"/>
  <c r="V708" i="16"/>
  <c r="W707" i="16" a="1"/>
  <c r="W707" i="16" l="1"/>
  <c r="W708" i="16" a="1"/>
  <c r="V709" i="16"/>
  <c r="W708" i="16" l="1"/>
  <c r="V710" i="16"/>
  <c r="W709" i="16" a="1"/>
  <c r="W709" i="16" l="1"/>
  <c r="W710" i="16" a="1"/>
  <c r="V711" i="16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W714" i="16" a="1"/>
  <c r="V715" i="16"/>
  <c r="W714" i="16" l="1"/>
  <c r="W715" i="16" a="1"/>
  <c r="V716" i="16"/>
  <c r="W715" i="16" l="1"/>
  <c r="W716" i="16" a="1"/>
  <c r="V717" i="16"/>
  <c r="W716" i="16" l="1"/>
  <c r="V718" i="16"/>
  <c r="W717" i="16" a="1"/>
  <c r="W717" i="16" l="1"/>
  <c r="W718" i="16" a="1"/>
  <c r="V719" i="16"/>
  <c r="W718" i="16" l="1"/>
  <c r="V720" i="16"/>
  <c r="W719" i="16" a="1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V727" i="16"/>
  <c r="W726" i="16" a="1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W734" i="16" a="1"/>
  <c r="V735" i="16"/>
  <c r="W734" i="16" l="1"/>
  <c r="V736" i="16"/>
  <c r="W735" i="16" a="1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W741" i="16" a="1"/>
  <c r="V742" i="16"/>
  <c r="W741" i="16" l="1"/>
  <c r="V743" i="16"/>
  <c r="W742" i="16" a="1"/>
  <c r="W742" i="16" l="1"/>
  <c r="V744" i="16"/>
  <c r="W743" i="16" a="1"/>
  <c r="W743" i="16" l="1"/>
  <c r="W744" i="16" a="1"/>
  <c r="V745" i="16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V753" i="16"/>
  <c r="W752" i="16" a="1"/>
  <c r="W752" i="16" l="1"/>
  <c r="V754" i="16"/>
  <c r="W753" i="16" a="1"/>
  <c r="W753" i="16" l="1"/>
  <c r="W754" i="16" a="1"/>
  <c r="V755" i="16"/>
  <c r="W754" i="16" l="1"/>
  <c r="W755" i="16" a="1"/>
  <c r="V756" i="16"/>
  <c r="W755" i="16" l="1"/>
  <c r="V757" i="16"/>
  <c r="W756" i="16" a="1"/>
  <c r="W756" i="16" l="1"/>
  <c r="W757" i="16" a="1"/>
  <c r="V758" i="16"/>
  <c r="W757" i="16" l="1"/>
  <c r="W758" i="16" a="1"/>
  <c r="V759" i="16"/>
  <c r="W758" i="16" l="1"/>
  <c r="W759" i="16" a="1"/>
  <c r="V760" i="16"/>
  <c r="W759" i="16" l="1"/>
  <c r="V761" i="16"/>
  <c r="W760" i="16" a="1"/>
  <c r="W760" i="16" l="1"/>
  <c r="W761" i="16" a="1"/>
  <c r="V762" i="16"/>
  <c r="W761" i="16" l="1"/>
  <c r="W762" i="16" a="1"/>
  <c r="V763" i="16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V776" i="16"/>
  <c r="W775" i="16" a="1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V780" i="16"/>
  <c r="W779" i="16" a="1"/>
  <c r="W779" i="16" l="1"/>
  <c r="V781" i="16"/>
  <c r="W780" i="16" a="1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V785" i="16"/>
  <c r="W784" i="16" a="1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V791" i="16"/>
  <c r="W790" i="16" a="1"/>
  <c r="W790" i="16" l="1"/>
  <c r="W791" i="16" a="1"/>
  <c r="V792" i="16"/>
  <c r="W791" i="16" l="1"/>
  <c r="V793" i="16"/>
  <c r="W792" i="16" a="1"/>
  <c r="W792" i="16" l="1"/>
  <c r="W793" i="16" a="1"/>
  <c r="V794" i="16"/>
  <c r="W793" i="16" l="1"/>
  <c r="W794" i="16" a="1"/>
  <c r="V795" i="16"/>
  <c r="W794" i="16" l="1"/>
  <c r="W795" i="16" a="1"/>
  <c r="V796" i="16"/>
  <c r="W795" i="16" l="1"/>
  <c r="W796" i="16" a="1"/>
  <c r="V797" i="16"/>
  <c r="W796" i="16" l="1"/>
  <c r="W797" i="16" a="1"/>
  <c r="V798" i="16"/>
  <c r="W797" i="16" l="1"/>
  <c r="W798" i="16" a="1"/>
  <c r="V799" i="16"/>
  <c r="W798" i="16" l="1"/>
  <c r="W799" i="16" a="1"/>
  <c r="V800" i="16"/>
  <c r="W799" i="16" l="1"/>
  <c r="W800" i="16" a="1"/>
  <c r="V801" i="16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V805" i="16"/>
  <c r="W804" i="16" a="1"/>
  <c r="W804" i="16" l="1"/>
  <c r="V806" i="16"/>
  <c r="W805" i="16" a="1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W813" i="16" a="1"/>
  <c r="V814" i="16"/>
  <c r="W813" i="16" l="1"/>
  <c r="V815" i="16"/>
  <c r="W814" i="16" a="1"/>
  <c r="W814" i="16" l="1"/>
  <c r="W815" i="16" a="1"/>
  <c r="V816" i="16"/>
  <c r="W815" i="16" l="1"/>
  <c r="V817" i="16"/>
  <c r="W816" i="16" a="1"/>
  <c r="W816" i="16" l="1"/>
  <c r="V818" i="16"/>
  <c r="W817" i="16" a="1"/>
  <c r="W817" i="16" l="1"/>
  <c r="W818" i="16" a="1"/>
  <c r="V819" i="16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W825" i="16" a="1"/>
  <c r="V826" i="16"/>
  <c r="W825" i="16" l="1"/>
  <c r="W826" i="16" a="1"/>
  <c r="V827" i="16"/>
  <c r="W826" i="16" l="1"/>
  <c r="W827" i="16" a="1"/>
  <c r="V828" i="16"/>
  <c r="W827" i="16" l="1"/>
  <c r="V829" i="16"/>
  <c r="W828" i="16" a="1"/>
  <c r="W828" i="16" l="1"/>
  <c r="V830" i="16"/>
  <c r="W829" i="16" a="1"/>
  <c r="W829" i="16" l="1"/>
  <c r="V831" i="16"/>
  <c r="W830" i="16" a="1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V835" i="16"/>
  <c r="W834" i="16" a="1"/>
  <c r="W834" i="16" l="1"/>
  <c r="V836" i="16"/>
  <c r="W835" i="16" a="1"/>
  <c r="W835" i="16" l="1"/>
  <c r="V837" i="16"/>
  <c r="W836" i="16" a="1"/>
  <c r="W836" i="16" l="1"/>
  <c r="V838" i="16"/>
  <c r="W837" i="16" a="1"/>
  <c r="W837" i="16" l="1"/>
  <c r="W838" i="16" a="1"/>
  <c r="V839" i="16"/>
  <c r="W838" i="16" l="1"/>
  <c r="V840" i="16"/>
  <c r="W839" i="16" a="1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V845" i="16"/>
  <c r="W844" i="16" a="1"/>
  <c r="W844" i="16" l="1"/>
  <c r="V846" i="16"/>
  <c r="W845" i="16" a="1"/>
  <c r="W845" i="16" l="1"/>
  <c r="V847" i="16"/>
  <c r="W846" i="16" a="1"/>
  <c r="W846" i="16" l="1"/>
  <c r="W847" i="16" a="1"/>
  <c r="V848" i="16"/>
  <c r="W847" i="16" l="1"/>
  <c r="V849" i="16"/>
  <c r="W848" i="16" a="1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W857" i="16" a="1"/>
  <c r="V858" i="16"/>
  <c r="W857" i="16" l="1"/>
  <c r="W858" i="16" a="1"/>
  <c r="V859" i="16"/>
  <c r="W858" i="16" l="1"/>
  <c r="W859" i="16" a="1"/>
  <c r="V860" i="16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V864" i="16"/>
  <c r="W863" i="16" a="1"/>
  <c r="W863" i="16" l="1"/>
  <c r="V865" i="16"/>
  <c r="W864" i="16" a="1"/>
  <c r="W864" i="16" l="1"/>
  <c r="V866" i="16"/>
  <c r="W865" i="16" a="1"/>
  <c r="W865" i="16" l="1"/>
  <c r="W866" i="16" a="1"/>
  <c r="V867" i="16"/>
  <c r="W866" i="16" l="1"/>
  <c r="W867" i="16" a="1"/>
  <c r="V868" i="16"/>
  <c r="W867" i="16" l="1"/>
  <c r="W868" i="16" a="1"/>
  <c r="V869" i="16"/>
  <c r="W868" i="16" l="1"/>
  <c r="W869" i="16" a="1"/>
  <c r="V870" i="16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W875" i="16" a="1"/>
  <c r="V876" i="16"/>
  <c r="W875" i="16" l="1"/>
  <c r="V877" i="16"/>
  <c r="W876" i="16" a="1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V882" i="16"/>
  <c r="W881" i="16" a="1"/>
  <c r="W881" i="16" l="1"/>
  <c r="V883" i="16"/>
  <c r="W882" i="16" a="1"/>
  <c r="W882" i="16" l="1"/>
  <c r="V884" i="16"/>
  <c r="W883" i="16" a="1"/>
  <c r="W883" i="16" l="1"/>
  <c r="V885" i="16"/>
  <c r="W884" i="16" a="1"/>
  <c r="W884" i="16" l="1"/>
  <c r="V886" i="16"/>
  <c r="W885" i="16" a="1"/>
  <c r="W885" i="16" l="1"/>
  <c r="W886" i="16" a="1"/>
  <c r="V887" i="16"/>
  <c r="W886" i="16" l="1"/>
  <c r="W887" i="16" a="1"/>
  <c r="V888" i="16"/>
  <c r="W887" i="16" l="1"/>
  <c r="V889" i="16"/>
  <c r="W888" i="16" a="1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W895" i="16" a="1"/>
  <c r="V896" i="16"/>
  <c r="W895" i="16" l="1"/>
  <c r="V897" i="16"/>
  <c r="W896" i="16" a="1"/>
  <c r="W896" i="16" l="1"/>
  <c r="V898" i="16"/>
  <c r="W897" i="16" a="1"/>
  <c r="W897" i="16" l="1"/>
  <c r="W898" i="16" a="1"/>
  <c r="V899" i="16"/>
  <c r="W898" i="16" l="1"/>
  <c r="W899" i="16" a="1"/>
  <c r="V900" i="16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W906" i="16" a="1"/>
  <c r="V907" i="16"/>
  <c r="W906" i="16" l="1"/>
  <c r="V908" i="16"/>
  <c r="W907" i="16" a="1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V912" i="16"/>
  <c r="W911" i="16" a="1"/>
  <c r="W911" i="16" l="1"/>
  <c r="W912" i="16" a="1"/>
  <c r="V913" i="16"/>
  <c r="W912" i="16" l="1"/>
  <c r="V914" i="16"/>
  <c r="W913" i="16" a="1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V918" i="16"/>
  <c r="W917" i="16" a="1"/>
  <c r="W917" i="16" l="1"/>
  <c r="W918" i="16" a="1"/>
  <c r="V919" i="16"/>
  <c r="W918" i="16" l="1"/>
  <c r="V920" i="16"/>
  <c r="W919" i="16" a="1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V924" i="16"/>
  <c r="W923" i="16" a="1"/>
  <c r="W923" i="16" l="1"/>
  <c r="W924" i="16" a="1"/>
  <c r="V925" i="16"/>
  <c r="W924" i="16" l="1"/>
  <c r="W925" i="16" a="1"/>
  <c r="V926" i="16"/>
  <c r="W925" i="16" l="1"/>
  <c r="W926" i="16" a="1"/>
  <c r="V927" i="16"/>
  <c r="W926" i="16" l="1"/>
  <c r="V928" i="16"/>
  <c r="W927" i="16" a="1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V932" i="16"/>
  <c r="W931" i="16" a="1"/>
  <c r="W931" i="16" l="1"/>
  <c r="W932" i="16" a="1"/>
  <c r="V933" i="16"/>
  <c r="W932" i="16" l="1"/>
  <c r="W933" i="16" a="1"/>
  <c r="V934" i="16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W940" i="16" a="1"/>
  <c r="V941" i="16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W958" i="16" a="1"/>
  <c r="V959" i="16"/>
  <c r="W958" i="16" l="1"/>
  <c r="V960" i="16"/>
  <c r="W959" i="16" a="1"/>
  <c r="W959" i="16" l="1"/>
  <c r="W960" i="16" a="1"/>
  <c r="V961" i="16"/>
  <c r="W960" i="16" l="1"/>
  <c r="W961" i="16" a="1"/>
  <c r="V962" i="16"/>
  <c r="W961" i="16" l="1"/>
  <c r="W962" i="16" a="1"/>
  <c r="V963" i="16"/>
  <c r="W962" i="16" l="1"/>
  <c r="W963" i="16" a="1"/>
  <c r="V964" i="16"/>
  <c r="W963" i="16" l="1"/>
  <c r="V965" i="16"/>
  <c r="W964" i="16" a="1"/>
  <c r="W964" i="16" l="1"/>
  <c r="V966" i="16"/>
  <c r="W965" i="16" a="1"/>
  <c r="W965" i="16" l="1"/>
  <c r="W966" i="16" a="1"/>
  <c r="V967" i="16"/>
  <c r="W966" i="16" l="1"/>
  <c r="V968" i="16"/>
  <c r="W967" i="16" a="1"/>
  <c r="W967" i="16" l="1"/>
  <c r="V969" i="16"/>
  <c r="W968" i="16" a="1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W980" i="16" a="1"/>
  <c r="V981" i="16"/>
  <c r="W980" i="16" l="1"/>
  <c r="W981" i="16" a="1"/>
  <c r="V982" i="16"/>
  <c r="W981" i="16" l="1"/>
  <c r="V983" i="16"/>
  <c r="W982" i="16" a="1"/>
  <c r="W982" i="16" l="1"/>
  <c r="W983" i="16" a="1"/>
  <c r="V984" i="16"/>
  <c r="W983" i="16" l="1"/>
  <c r="W984" i="16" a="1"/>
  <c r="V985" i="16"/>
  <c r="W984" i="16" l="1"/>
  <c r="V986" i="16"/>
  <c r="W985" i="16" a="1"/>
  <c r="W985" i="16" l="1"/>
  <c r="W986" i="16" a="1"/>
  <c r="V987" i="16"/>
  <c r="W986" i="16" l="1"/>
  <c r="W987" i="16" a="1"/>
  <c r="V988" i="16"/>
  <c r="W987" i="16" l="1"/>
  <c r="V989" i="16"/>
  <c r="W988" i="16" a="1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<sst xmlns="http://schemas.openxmlformats.org/spreadsheetml/2006/main" count="278" uniqueCount="157">
  <si>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</si>
  <si>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</si>
  <si>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</si>
  <si>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</si>
  <si>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</si>
  <si>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</si>
  <si>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</si>
  <si>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</si>
  <si>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</si>
  <si>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</si>
  <si>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</si>
  <si>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</si>
  <si>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</si>
  <si>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</si>
  <si>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</si>
  <si>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</si>
  <si>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</si>
  <si>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</si>
  <si>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</si>
  <si>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</si>
  <si>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</si>
  <si>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</si>
  <si>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</si>
  <si>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</si>
  <si>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</si>
  <si>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</si>
  <si>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</si>
  <si>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</si>
  <si>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</si>
  <si>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</si>
  <si>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</si>
  <si>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</si>
  <si>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</si>
  <si>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</si>
  <si>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</si>
  <si>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</si>
  <si>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</si>
  <si>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</si>
  <si>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</si>
  <si>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</si>
  <si>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</si>
  <si>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</si>
  <si>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</si>
  <si>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</si>
  <si>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</si>
  <si>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</si>
  <si>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</si>
  <si>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</si>
  <si>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</si>
  <si>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</si>
  <si>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</si>
  <si>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</si>
  <si>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</si>
  <si>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</si>
  <si>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</si>
  <si>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</si>
  <si>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</si>
  <si>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</si>
  <si>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</si>
  <si>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</si>
  <si>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</si>
  <si>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</si>
  <si>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</si>
  <si>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</si>
  <si>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</si>
  <si>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</si>
  <si>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</si>
  <si>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</si>
  <si>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</si>
  <si>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</si>
  <si>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</si>
  <si>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</si>
  <si>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</si>
  <si>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</si>
  <si>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</si>
  <si>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</si>
  <si>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</si>
  <si>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</si>
  <si>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</si>
  <si>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</si>
  <si>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</si>
  <si>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</si>
  <si>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</si>
  <si>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</si>
  <si>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</si>
  <si>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</si>
  <si>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</si>
  <si>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</si>
  <si>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</si>
  <si>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</si>
  <si>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</si>
  <si>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</si>
  <si>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</si>
  <si>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</si>
  <si>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</si>
  <si>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</si>
  <si>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</si>
  <si>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</si>
  <si>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</si>
  <si>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</si>
  <si>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</si>
  <si>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csv filename</t>
  </si>
  <si>
    <t>airFlowRateMin</t>
  </si>
  <si>
    <t>nominalLatentCapacity</t>
  </si>
  <si>
    <t>nominalSensibleCapacity</t>
  </si>
  <si>
    <t>nominalUa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</si>
  <si>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</si>
  <si>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</si>
  <si>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</si>
  <si>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</si>
  <si>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</si>
  <si>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</si>
  <si>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</si>
  <si>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</si>
  <si>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</si>
  <si>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</si>
  <si>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</si>
  <si>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</si>
  <si>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</si>
  <si>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</si>
  <si>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</si>
  <si>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</si>
  <si>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</si>
  <si>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</si>
  <si>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</si>
  <si>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</si>
  <si>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</si>
  <si>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</si>
  <si>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pump</t>
  </si>
  <si>
    <t>Flow</t>
  </si>
  <si>
    <t>HEAT;VENT</t>
  </si>
  <si>
    <t>heating_coil_valve</t>
  </si>
  <si>
    <t>heating_coil_check_valve</t>
  </si>
  <si>
    <t>heating_coil (waterside)</t>
  </si>
  <si>
    <t>heating_coil</t>
  </si>
  <si>
    <t>heating_coil (airside)</t>
  </si>
  <si>
    <t>heating_coil_controller</t>
  </si>
  <si>
    <t>heating_coil_controller_setpoint_schedule</t>
  </si>
  <si>
    <t>coil_outlet_air_temperature_property</t>
  </si>
  <si>
    <t>fan_inlet_air_temperature_sensor</t>
  </si>
  <si>
    <t>coil_outlet_air_temperature_sensor</t>
  </si>
  <si>
    <t>coil_inlet_water_temperature_sensor</t>
  </si>
  <si>
    <t>heating_coil_valve_position_sensor</t>
  </si>
  <si>
    <t>coil_outlet_water_temperature_sensor</t>
  </si>
  <si>
    <t>supply_water_temperature_sensor</t>
  </si>
  <si>
    <t>fan_inlet_air_temperature_property</t>
  </si>
  <si>
    <t>coil_inlet_water_temperature_property</t>
  </si>
  <si>
    <t>heating_coil_valve_position_property</t>
  </si>
  <si>
    <t>coil_outlet_water_temperature_property</t>
  </si>
  <si>
    <t>supply_water_temperature_property</t>
  </si>
  <si>
    <t>heating_coil_pump</t>
  </si>
  <si>
    <t>return_air_temperature_property</t>
  </si>
  <si>
    <t>fan_flow_property</t>
  </si>
  <si>
    <t>fan_power_property</t>
  </si>
  <si>
    <t>fan_flow_meter</t>
  </si>
  <si>
    <t>fan_power_meter</t>
  </si>
  <si>
    <t>supply_water_temperature_sensor;heating_coil_check_valve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</si>
</sst>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6" borderId="0" xfId="0" applyFill="1"/>
    <xf numFmtId="0" fontId="3" fillId="0" borderId="0" xfId="0" quotePrefix="1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yddanskuni-my.sharepoint.com/personal/acub_mmmi_sdu_dk/Documents/Projects/RL_control/boptest_model/example_configuration_template_LBNL.xlsm" TargetMode="External"/><Relationship Id="rId1" Type="http://schemas.openxmlformats.org/officeDocument/2006/relationships/externalLinkPath" Target="example_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2" sqref="A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125</v>
      </c>
      <c r="B2" t="s">
        <v>126</v>
      </c>
      <c r="C2" t="s">
        <v>127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="80" zoomScaleNormal="80" workbookViewId="0">
      <selection activeCell="A11" sqref="A2:F11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109</v>
      </c>
      <c r="D1" s="11" t="s">
        <v>113</v>
      </c>
      <c r="E1" s="11" t="s">
        <v>108</v>
      </c>
      <c r="F1" s="5" t="s">
        <v>56</v>
      </c>
    </row>
    <row r="2" spans="1:7" x14ac:dyDescent="0.25">
      <c r="B2" s="7"/>
      <c r="C2" s="7"/>
      <c r="D2" s="7"/>
      <c r="E2" s="7"/>
    </row>
    <row r="3" spans="1:7" x14ac:dyDescent="0.25">
      <c r="B3" s="7"/>
      <c r="C3" s="7"/>
      <c r="D3" s="7"/>
      <c r="E3" s="7"/>
    </row>
    <row r="4" spans="1:7" x14ac:dyDescent="0.25">
      <c r="B4" s="7"/>
      <c r="C4" s="7"/>
      <c r="D4" s="7"/>
      <c r="E4" s="7"/>
    </row>
    <row r="5" spans="1:7" x14ac:dyDescent="0.25">
      <c r="B5" s="7"/>
      <c r="C5" s="7"/>
      <c r="D5" s="7"/>
      <c r="E5" s="7"/>
    </row>
    <row r="6" spans="1:7" x14ac:dyDescent="0.25">
      <c r="B6" s="7"/>
      <c r="C6" s="7"/>
      <c r="D6" s="7"/>
      <c r="E6" s="7"/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"/>
  <sheetViews>
    <sheetView zoomScaleNormal="100" workbookViewId="0">
      <selection activeCell="C48" sqref="C48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113</v>
      </c>
      <c r="E1" s="11" t="s">
        <v>114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</sheetData>
  <phoneticPr fontId="2" type="noConversion"/>
  <dataValidations count="5">
    <dataValidation type="list" showInputMessage="1" showErrorMessage="1" sqref="B6:B1048576 B2:B4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tabSelected="1" zoomScaleNormal="100" workbookViewId="0">
      <selection activeCell="D20" sqref="D20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8" customHeight="1" thickBot="1" x14ac:dyDescent="0.3">
      <c r="A1" s="6" t="s">
        <v>59</v>
      </c>
      <c r="B1" s="3" t="s">
        <v>57</v>
      </c>
      <c r="C1" s="3" t="s">
        <v>58</v>
      </c>
      <c r="D1" s="11" t="s">
        <v>113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1:B1048576 B2:B39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1"/>
  <sheetViews>
    <sheetView workbookViewId="0">
      <selection activeCell="F2" sqref="F2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113</v>
      </c>
      <c r="E1" s="11" t="s">
        <v>114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131</v>
      </c>
      <c r="B2" t="s">
        <v>126</v>
      </c>
      <c r="E2" t="s">
        <v>133</v>
      </c>
      <c r="F2" s="7" t="s">
        <v>147</v>
      </c>
      <c r="H2">
        <v>0.87</v>
      </c>
    </row>
    <row r="3" spans="1:14" x14ac:dyDescent="0.25">
      <c r="A3" s="1" t="s">
        <v>132</v>
      </c>
      <c r="B3" t="s">
        <v>126</v>
      </c>
      <c r="C3" t="str">
        <f>IF([1]SpaceHeater!A3&lt;&gt;"",[1]SpaceHeater!A3,"")</f>
        <v/>
      </c>
      <c r="E3" t="s">
        <v>133</v>
      </c>
    </row>
    <row r="4" spans="1:14" x14ac:dyDescent="0.25">
      <c r="F4" s="7"/>
    </row>
    <row r="69" spans="3:3" x14ac:dyDescent="0.25">
      <c r="C69" t="str">
        <f>IF(SpaceHeater!A71&lt;&gt;"",SpaceHeater!A71,"")</f>
        <v/>
      </c>
    </row>
    <row r="70" spans="3:3" x14ac:dyDescent="0.25">
      <c r="C70" t="str">
        <f>IF(SpaceHeater!A72&lt;&gt;"",SpaceHeater!A72,"")</f>
        <v/>
      </c>
    </row>
    <row r="71" spans="3:3" x14ac:dyDescent="0.25">
      <c r="C71" t="str">
        <f>IF(SpaceHeater!A73&lt;&gt;"",SpaceHeater!A73,"")</f>
        <v/>
      </c>
    </row>
    <row r="72" spans="3:3" x14ac:dyDescent="0.25">
      <c r="C72" t="str">
        <f>IF(SpaceHeater!A74&lt;&gt;"",SpaceHeater!A74,"")</f>
        <v/>
      </c>
    </row>
    <row r="73" spans="3:3" x14ac:dyDescent="0.25">
      <c r="C73" t="str">
        <f>IF(SpaceHeater!A75&lt;&gt;"",SpaceHeater!A75,"")</f>
        <v/>
      </c>
    </row>
    <row r="74" spans="3:3" x14ac:dyDescent="0.25">
      <c r="C74" t="str">
        <f>IF(SpaceHeater!A76&lt;&gt;"",SpaceHeater!A76,"")</f>
        <v/>
      </c>
    </row>
    <row r="75" spans="3:3" x14ac:dyDescent="0.25">
      <c r="C75" t="str">
        <f>IF(SpaceHeater!A77&lt;&gt;"",SpaceHeater!A77,"")</f>
        <v/>
      </c>
    </row>
    <row r="76" spans="3:3" x14ac:dyDescent="0.25">
      <c r="C76" t="str">
        <f>IF(SpaceHeater!A78&lt;&gt;"",SpaceHeater!A78,"")</f>
        <v/>
      </c>
    </row>
    <row r="77" spans="3:3" x14ac:dyDescent="0.25">
      <c r="C77" t="str">
        <f>IF(SpaceHeater!A79&lt;&gt;"",SpaceHeater!A79,"")</f>
        <v/>
      </c>
    </row>
    <row r="78" spans="3:3" x14ac:dyDescent="0.25">
      <c r="C78" t="str">
        <f>IF(SpaceHeater!A80&lt;&gt;"",SpaceHeater!A80,"")</f>
        <v/>
      </c>
    </row>
    <row r="79" spans="3:3" x14ac:dyDescent="0.25">
      <c r="C79" t="str">
        <f>IF(SpaceHeater!A81&lt;&gt;"",SpaceHeater!A81,"")</f>
        <v/>
      </c>
    </row>
    <row r="80" spans="3:3" x14ac:dyDescent="0.25">
      <c r="C80" t="str">
        <f>IF(SpaceHeater!A82&lt;&gt;"",SpaceHeater!A82,"")</f>
        <v/>
      </c>
    </row>
    <row r="81" spans="3:3" x14ac:dyDescent="0.25">
      <c r="C81" t="str">
        <f>IF(SpaceHeater!A83&lt;&gt;"",SpaceHeater!A83,"")</f>
        <v/>
      </c>
    </row>
    <row r="82" spans="3:3" x14ac:dyDescent="0.25">
      <c r="C82" t="str">
        <f>IF(SpaceHeater!A84&lt;&gt;"",SpaceHeater!A84,"")</f>
        <v/>
      </c>
    </row>
    <row r="83" spans="3:3" x14ac:dyDescent="0.25">
      <c r="C83" t="str">
        <f>IF(SpaceHeater!A85&lt;&gt;"",SpaceHeater!A85,"")</f>
        <v/>
      </c>
    </row>
    <row r="84" spans="3:3" x14ac:dyDescent="0.25">
      <c r="C84" t="str">
        <f>IF(SpaceHeater!A86&lt;&gt;"",SpaceHeater!A86,"")</f>
        <v/>
      </c>
    </row>
    <row r="85" spans="3:3" x14ac:dyDescent="0.25">
      <c r="C85" t="str">
        <f>IF(SpaceHeater!A87&lt;&gt;"",SpaceHeater!A87,"")</f>
        <v/>
      </c>
    </row>
    <row r="86" spans="3:3" x14ac:dyDescent="0.25">
      <c r="C86" t="str">
        <f>IF(SpaceHeater!A88&lt;&gt;"",SpaceHeater!A88,"")</f>
        <v/>
      </c>
    </row>
    <row r="87" spans="3:3" x14ac:dyDescent="0.25">
      <c r="C87" t="str">
        <f>IF(SpaceHeater!A89&lt;&gt;"",SpaceHeater!A89,"")</f>
        <v/>
      </c>
    </row>
    <row r="88" spans="3:3" x14ac:dyDescent="0.25">
      <c r="C88" t="str">
        <f>IF(SpaceHeater!A90&lt;&gt;"",SpaceHeater!A90,"")</f>
        <v/>
      </c>
    </row>
    <row r="89" spans="3:3" x14ac:dyDescent="0.25">
      <c r="C89" t="str">
        <f>IF(SpaceHeater!A91&lt;&gt;"",SpaceHeater!A91,"")</f>
        <v/>
      </c>
    </row>
    <row r="90" spans="3:3" x14ac:dyDescent="0.25">
      <c r="C90" t="str">
        <f>IF(SpaceHeater!A92&lt;&gt;"",SpaceHeater!A92,"")</f>
        <v/>
      </c>
    </row>
    <row r="91" spans="3:3" x14ac:dyDescent="0.25">
      <c r="C91" t="str">
        <f>IF(SpaceHeater!A93&lt;&gt;"",SpaceHeater!A93,"")</f>
        <v/>
      </c>
    </row>
    <row r="92" spans="3:3" x14ac:dyDescent="0.25">
      <c r="C92" t="str">
        <f>IF(SpaceHeater!A94&lt;&gt;"",SpaceHeater!A94,"")</f>
        <v/>
      </c>
    </row>
    <row r="93" spans="3:3" x14ac:dyDescent="0.25">
      <c r="C93" t="str">
        <f>IF(SpaceHeater!A95&lt;&gt;"",SpaceHeater!A95,"")</f>
        <v/>
      </c>
    </row>
    <row r="94" spans="3:3" x14ac:dyDescent="0.25">
      <c r="C94" t="str">
        <f>IF(SpaceHeater!A96&lt;&gt;"",SpaceHeater!A96,"")</f>
        <v/>
      </c>
    </row>
    <row r="95" spans="3:3" x14ac:dyDescent="0.25">
      <c r="C95" t="str">
        <f>IF(SpaceHeater!A97&lt;&gt;"",SpaceHeater!A97,"")</f>
        <v/>
      </c>
    </row>
    <row r="96" spans="3:3" x14ac:dyDescent="0.25">
      <c r="C96" t="str">
        <f>IF(SpaceHeater!A98&lt;&gt;"",SpaceHeater!A98,"")</f>
        <v/>
      </c>
    </row>
    <row r="97" spans="3:3" x14ac:dyDescent="0.25">
      <c r="C97" t="str">
        <f>IF(SpaceHeater!A99&lt;&gt;"",SpaceHeater!A99,"")</f>
        <v/>
      </c>
    </row>
    <row r="98" spans="3:3" x14ac:dyDescent="0.25">
      <c r="C98" t="str">
        <f>IF(SpaceHeater!A100&lt;&gt;"",SpaceHeater!A100,"")</f>
        <v/>
      </c>
    </row>
    <row r="99" spans="3:3" x14ac:dyDescent="0.25">
      <c r="C99" t="str">
        <f>IF(SpaceHeater!A101&lt;&gt;"",SpaceHeater!A101,"")</f>
        <v/>
      </c>
    </row>
    <row r="100" spans="3:3" x14ac:dyDescent="0.25">
      <c r="C100" t="str">
        <f>IF(SpaceHeater!A102&lt;&gt;"",SpaceHeater!A102,"")</f>
        <v/>
      </c>
    </row>
    <row r="101" spans="3:3" x14ac:dyDescent="0.25">
      <c r="C101" t="str">
        <f>IF(SpaceHeater!A103&lt;&gt;"",SpaceHeater!A103,"")</f>
        <v/>
      </c>
    </row>
    <row r="102" spans="3:3" x14ac:dyDescent="0.25">
      <c r="C102" t="str">
        <f>IF(SpaceHeater!A104&lt;&gt;"",SpaceHeater!A104,"")</f>
        <v/>
      </c>
    </row>
    <row r="103" spans="3:3" x14ac:dyDescent="0.25">
      <c r="C103" t="str">
        <f>IF(SpaceHeater!A105&lt;&gt;"",SpaceHeater!A105,"")</f>
        <v/>
      </c>
    </row>
    <row r="104" spans="3:3" x14ac:dyDescent="0.25">
      <c r="C104" t="str">
        <f>IF(SpaceHeater!A106&lt;&gt;"",SpaceHeater!A106,"")</f>
        <v/>
      </c>
    </row>
    <row r="105" spans="3:3" x14ac:dyDescent="0.25">
      <c r="C105" t="str">
        <f>IF(SpaceHeater!A107&lt;&gt;"",SpaceHeater!A107,"")</f>
        <v/>
      </c>
    </row>
    <row r="106" spans="3:3" x14ac:dyDescent="0.25">
      <c r="C106" t="str">
        <f>IF(SpaceHeater!A108&lt;&gt;"",SpaceHeater!A108,"")</f>
        <v/>
      </c>
    </row>
    <row r="107" spans="3:3" x14ac:dyDescent="0.25">
      <c r="C107" t="str">
        <f>IF(SpaceHeater!A109&lt;&gt;"",SpaceHeater!A109,"")</f>
        <v/>
      </c>
    </row>
    <row r="108" spans="3:3" x14ac:dyDescent="0.25">
      <c r="C108" t="str">
        <f>IF(SpaceHeater!A110&lt;&gt;"",SpaceHeater!A110,"")</f>
        <v/>
      </c>
    </row>
    <row r="109" spans="3:3" x14ac:dyDescent="0.25">
      <c r="C109" t="str">
        <f>IF(SpaceHeater!A111&lt;&gt;"",SpaceHeater!A111,"")</f>
        <v/>
      </c>
    </row>
    <row r="110" spans="3:3" x14ac:dyDescent="0.25">
      <c r="C110" t="str">
        <f>IF(SpaceHeater!A112&lt;&gt;"",SpaceHeater!A112,"")</f>
        <v/>
      </c>
    </row>
    <row r="111" spans="3:3" x14ac:dyDescent="0.25">
      <c r="C111" t="str">
        <f>IF(SpaceHeater!A113&lt;&gt;"",SpaceHeater!A113,"")</f>
        <v/>
      </c>
    </row>
    <row r="112" spans="3:3" x14ac:dyDescent="0.25">
      <c r="C112" t="str">
        <f>IF(SpaceHeater!A114&lt;&gt;"",SpaceHeater!A114,"")</f>
        <v/>
      </c>
    </row>
    <row r="113" spans="3:3" x14ac:dyDescent="0.25">
      <c r="C113" t="str">
        <f>IF(SpaceHeater!A115&lt;&gt;"",SpaceHeater!A115,"")</f>
        <v/>
      </c>
    </row>
    <row r="114" spans="3:3" x14ac:dyDescent="0.25">
      <c r="C114" t="str">
        <f>IF(SpaceHeater!A116&lt;&gt;"",SpaceHeater!A116,"")</f>
        <v/>
      </c>
    </row>
    <row r="115" spans="3:3" x14ac:dyDescent="0.25">
      <c r="C115" t="str">
        <f>IF(SpaceHeater!A117&lt;&gt;"",SpaceHeater!A117,"")</f>
        <v/>
      </c>
    </row>
    <row r="116" spans="3:3" x14ac:dyDescent="0.25">
      <c r="C116" t="str">
        <f>IF(SpaceHeater!A118&lt;&gt;"",SpaceHeater!A118,"")</f>
        <v/>
      </c>
    </row>
    <row r="117" spans="3:3" x14ac:dyDescent="0.25">
      <c r="C117" t="str">
        <f>IF(SpaceHeater!A119&lt;&gt;"",SpaceHeater!A119,"")</f>
        <v/>
      </c>
    </row>
    <row r="118" spans="3:3" x14ac:dyDescent="0.25">
      <c r="C118" t="str">
        <f>IF(SpaceHeater!A120&lt;&gt;"",SpaceHeater!A120,"")</f>
        <v/>
      </c>
    </row>
    <row r="119" spans="3:3" x14ac:dyDescent="0.25">
      <c r="C119" t="str">
        <f>IF(SpaceHeater!A121&lt;&gt;"",SpaceHeater!A121,"")</f>
        <v/>
      </c>
    </row>
    <row r="120" spans="3:3" x14ac:dyDescent="0.25">
      <c r="C120" t="str">
        <f>IF(SpaceHeater!A122&lt;&gt;"",SpaceHeater!A122,"")</f>
        <v/>
      </c>
    </row>
    <row r="121" spans="3:3" x14ac:dyDescent="0.25">
      <c r="C121" t="str">
        <f>IF(SpaceHeater!A123&lt;&gt;"",SpaceHeater!A123,"")</f>
        <v/>
      </c>
    </row>
    <row r="122" spans="3:3" x14ac:dyDescent="0.25">
      <c r="C122" t="str">
        <f>IF(SpaceHeater!A124&lt;&gt;"",SpaceHeater!A124,"")</f>
        <v/>
      </c>
    </row>
    <row r="123" spans="3:3" x14ac:dyDescent="0.25">
      <c r="C123" t="str">
        <f>IF(SpaceHeater!A125&lt;&gt;"",SpaceHeater!A125,"")</f>
        <v/>
      </c>
    </row>
    <row r="124" spans="3:3" x14ac:dyDescent="0.25">
      <c r="C124" t="str">
        <f>IF(SpaceHeater!A126&lt;&gt;"",SpaceHeater!A126,"")</f>
        <v/>
      </c>
    </row>
    <row r="125" spans="3:3" x14ac:dyDescent="0.25">
      <c r="C125" t="str">
        <f>IF(SpaceHeater!A127&lt;&gt;"",SpaceHeater!A127,"")</f>
        <v/>
      </c>
    </row>
    <row r="126" spans="3:3" x14ac:dyDescent="0.25">
      <c r="C126" t="str">
        <f>IF(SpaceHeater!A128&lt;&gt;"",SpaceHeater!A128,"")</f>
        <v/>
      </c>
    </row>
    <row r="127" spans="3:3" x14ac:dyDescent="0.25">
      <c r="C127" t="str">
        <f>IF(SpaceHeater!A129&lt;&gt;"",SpaceHeater!A129,"")</f>
        <v/>
      </c>
    </row>
    <row r="128" spans="3:3" x14ac:dyDescent="0.25">
      <c r="C128" t="str">
        <f>IF(SpaceHeater!A130&lt;&gt;"",SpaceHeater!A130,"")</f>
        <v/>
      </c>
    </row>
    <row r="129" spans="3:3" x14ac:dyDescent="0.25">
      <c r="C129" t="str">
        <f>IF(SpaceHeater!A131&lt;&gt;"",SpaceHeater!A131,"")</f>
        <v/>
      </c>
    </row>
    <row r="130" spans="3:3" x14ac:dyDescent="0.25">
      <c r="C130" t="str">
        <f>IF(SpaceHeater!A132&lt;&gt;"",SpaceHeater!A132,"")</f>
        <v/>
      </c>
    </row>
    <row r="131" spans="3:3" x14ac:dyDescent="0.25">
      <c r="C131" t="str">
        <f>IF(SpaceHeater!A133&lt;&gt;"",SpaceHeater!A133,"")</f>
        <v/>
      </c>
    </row>
    <row r="132" spans="3:3" x14ac:dyDescent="0.25">
      <c r="C132" t="str">
        <f>IF(SpaceHeater!A134&lt;&gt;"",SpaceHeater!A134,"")</f>
        <v/>
      </c>
    </row>
    <row r="133" spans="3:3" x14ac:dyDescent="0.25">
      <c r="C133" t="str">
        <f>IF(SpaceHeater!A135&lt;&gt;"",SpaceHeater!A135,"")</f>
        <v/>
      </c>
    </row>
    <row r="134" spans="3:3" x14ac:dyDescent="0.25">
      <c r="C134" t="str">
        <f>IF(SpaceHeater!A136&lt;&gt;"",SpaceHeater!A136,"")</f>
        <v/>
      </c>
    </row>
    <row r="135" spans="3:3" x14ac:dyDescent="0.25">
      <c r="C135" t="str">
        <f>IF(SpaceHeater!A137&lt;&gt;"",SpaceHeater!A137,"")</f>
        <v/>
      </c>
    </row>
    <row r="136" spans="3:3" x14ac:dyDescent="0.25">
      <c r="C136" t="str">
        <f>IF(SpaceHeater!A138&lt;&gt;"",SpaceHeater!A138,"")</f>
        <v/>
      </c>
    </row>
    <row r="137" spans="3:3" x14ac:dyDescent="0.25">
      <c r="C137" t="str">
        <f>IF(SpaceHeater!A139&lt;&gt;"",SpaceHeater!A139,"")</f>
        <v/>
      </c>
    </row>
    <row r="138" spans="3:3" x14ac:dyDescent="0.25">
      <c r="C138" t="str">
        <f>IF(SpaceHeater!A140&lt;&gt;"",SpaceHeater!A140,"")</f>
        <v/>
      </c>
    </row>
    <row r="139" spans="3:3" x14ac:dyDescent="0.25">
      <c r="C139" t="str">
        <f>IF(SpaceHeater!A141&lt;&gt;"",SpaceHeater!A141,"")</f>
        <v/>
      </c>
    </row>
    <row r="140" spans="3:3" x14ac:dyDescent="0.25">
      <c r="C140" t="str">
        <f>IF(SpaceHeater!A142&lt;&gt;"",SpaceHeater!A142,"")</f>
        <v/>
      </c>
    </row>
    <row r="141" spans="3:3" x14ac:dyDescent="0.25">
      <c r="C141" t="str">
        <f>IF(SpaceHeater!A143&lt;&gt;"",SpaceHeater!A143,"")</f>
        <v/>
      </c>
    </row>
    <row r="142" spans="3:3" x14ac:dyDescent="0.25">
      <c r="C142" t="str">
        <f>IF(SpaceHeater!A144&lt;&gt;"",SpaceHeater!A144,"")</f>
        <v/>
      </c>
    </row>
    <row r="143" spans="3:3" x14ac:dyDescent="0.25">
      <c r="C143" t="str">
        <f>IF(SpaceHeater!A145&lt;&gt;"",SpaceHeater!A145,"")</f>
        <v/>
      </c>
    </row>
    <row r="144" spans="3:3" x14ac:dyDescent="0.25">
      <c r="C144" t="str">
        <f>IF(SpaceHeater!A146&lt;&gt;"",SpaceHeater!A146,"")</f>
        <v/>
      </c>
    </row>
    <row r="145" spans="3:3" x14ac:dyDescent="0.25">
      <c r="C145" t="str">
        <f>IF(SpaceHeater!A147&lt;&gt;"",SpaceHeater!A147,"")</f>
        <v/>
      </c>
    </row>
    <row r="146" spans="3:3" x14ac:dyDescent="0.25">
      <c r="C146" t="str">
        <f>IF(SpaceHeater!A148&lt;&gt;"",SpaceHeater!A148,"")</f>
        <v/>
      </c>
    </row>
    <row r="147" spans="3:3" x14ac:dyDescent="0.25">
      <c r="C147" t="str">
        <f>IF(SpaceHeater!A149&lt;&gt;"",SpaceHeater!A149,"")</f>
        <v/>
      </c>
    </row>
    <row r="148" spans="3:3" x14ac:dyDescent="0.25">
      <c r="C148" t="str">
        <f>IF(SpaceHeater!A150&lt;&gt;"",SpaceHeater!A150,"")</f>
        <v/>
      </c>
    </row>
    <row r="149" spans="3:3" x14ac:dyDescent="0.25">
      <c r="C149" t="str">
        <f>IF(SpaceHeater!A151&lt;&gt;"",SpaceHeater!A151,"")</f>
        <v/>
      </c>
    </row>
    <row r="150" spans="3:3" x14ac:dyDescent="0.25">
      <c r="C150" t="str">
        <f>IF(SpaceHeater!A152&lt;&gt;"",SpaceHeater!A152,"")</f>
        <v/>
      </c>
    </row>
    <row r="151" spans="3:3" x14ac:dyDescent="0.25">
      <c r="C151" t="str">
        <f>IF(SpaceHeater!A153&lt;&gt;"",SpaceHeater!A153,"")</f>
        <v/>
      </c>
    </row>
    <row r="152" spans="3:3" x14ac:dyDescent="0.25">
      <c r="C152" t="str">
        <f>IF(SpaceHeater!A154&lt;&gt;"",SpaceHeater!A154,"")</f>
        <v/>
      </c>
    </row>
    <row r="153" spans="3:3" x14ac:dyDescent="0.25">
      <c r="C153" t="str">
        <f>IF(SpaceHeater!A155&lt;&gt;"",SpaceHeater!A155,"")</f>
        <v/>
      </c>
    </row>
    <row r="154" spans="3:3" x14ac:dyDescent="0.25">
      <c r="C154" t="str">
        <f>IF(SpaceHeater!A156&lt;&gt;"",SpaceHeater!A156,"")</f>
        <v/>
      </c>
    </row>
    <row r="155" spans="3:3" x14ac:dyDescent="0.25">
      <c r="C155" t="str">
        <f>IF(SpaceHeater!A157&lt;&gt;"",SpaceHeater!A157,"")</f>
        <v/>
      </c>
    </row>
    <row r="156" spans="3:3" x14ac:dyDescent="0.25">
      <c r="C156" t="str">
        <f>IF(SpaceHeater!A158&lt;&gt;"",SpaceHeater!A158,"")</f>
        <v/>
      </c>
    </row>
    <row r="157" spans="3:3" x14ac:dyDescent="0.25">
      <c r="C157" t="str">
        <f>IF(SpaceHeater!A159&lt;&gt;"",SpaceHeater!A159,"")</f>
        <v/>
      </c>
    </row>
    <row r="158" spans="3:3" x14ac:dyDescent="0.25">
      <c r="C158" t="str">
        <f>IF(SpaceHeater!A160&lt;&gt;"",SpaceHeater!A160,"")</f>
        <v/>
      </c>
    </row>
    <row r="159" spans="3:3" x14ac:dyDescent="0.25">
      <c r="C159" t="str">
        <f>IF(SpaceHeater!A161&lt;&gt;"",SpaceHeater!A161,"")</f>
        <v/>
      </c>
    </row>
    <row r="160" spans="3:3" x14ac:dyDescent="0.25">
      <c r="C160" t="str">
        <f>IF(SpaceHeater!A162&lt;&gt;"",SpaceHeater!A162,"")</f>
        <v/>
      </c>
    </row>
    <row r="161" spans="3:3" x14ac:dyDescent="0.25">
      <c r="C161" t="str">
        <f>IF(SpaceHeater!A163&lt;&gt;"",SpaceHeater!A163,"")</f>
        <v/>
      </c>
    </row>
    <row r="162" spans="3:3" x14ac:dyDescent="0.25">
      <c r="C162" t="str">
        <f>IF(SpaceHeater!A164&lt;&gt;"",SpaceHeater!A164,"")</f>
        <v/>
      </c>
    </row>
    <row r="163" spans="3:3" x14ac:dyDescent="0.25">
      <c r="C163" t="str">
        <f>IF(SpaceHeater!A165&lt;&gt;"",SpaceHeater!A165,"")</f>
        <v/>
      </c>
    </row>
    <row r="164" spans="3:3" x14ac:dyDescent="0.25">
      <c r="C164" t="str">
        <f>IF(SpaceHeater!A166&lt;&gt;"",SpaceHeater!A166,"")</f>
        <v/>
      </c>
    </row>
    <row r="165" spans="3:3" x14ac:dyDescent="0.25">
      <c r="C165" t="str">
        <f>IF(SpaceHeater!A167&lt;&gt;"",SpaceHeater!A167,"")</f>
        <v/>
      </c>
    </row>
    <row r="166" spans="3:3" x14ac:dyDescent="0.25">
      <c r="C166" t="str">
        <f>IF(SpaceHeater!A168&lt;&gt;"",SpaceHeater!A168,"")</f>
        <v/>
      </c>
    </row>
    <row r="167" spans="3:3" x14ac:dyDescent="0.25">
      <c r="C167" t="str">
        <f>IF(SpaceHeater!A169&lt;&gt;"",SpaceHeater!A169,"")</f>
        <v/>
      </c>
    </row>
    <row r="168" spans="3:3" x14ac:dyDescent="0.25">
      <c r="C168" t="str">
        <f>IF(SpaceHeater!A170&lt;&gt;"",SpaceHeater!A170,"")</f>
        <v/>
      </c>
    </row>
    <row r="169" spans="3:3" x14ac:dyDescent="0.25">
      <c r="C169" t="str">
        <f>IF(SpaceHeater!A171&lt;&gt;"",SpaceHeater!A171,"")</f>
        <v/>
      </c>
    </row>
    <row r="170" spans="3:3" x14ac:dyDescent="0.25">
      <c r="C170" t="str">
        <f>IF(SpaceHeater!A172&lt;&gt;"",SpaceHeater!A172,"")</f>
        <v/>
      </c>
    </row>
    <row r="171" spans="3:3" x14ac:dyDescent="0.25">
      <c r="C171" t="str">
        <f>IF(SpaceHeater!A173&lt;&gt;"",SpaceHeater!A173,"")</f>
        <v/>
      </c>
    </row>
    <row r="172" spans="3:3" x14ac:dyDescent="0.25">
      <c r="C172" t="str">
        <f>IF(SpaceHeater!A174&lt;&gt;"",SpaceHeater!A174,"")</f>
        <v/>
      </c>
    </row>
    <row r="173" spans="3:3" x14ac:dyDescent="0.25">
      <c r="C173" t="str">
        <f>IF(SpaceHeater!A175&lt;&gt;"",SpaceHeater!A175,"")</f>
        <v/>
      </c>
    </row>
    <row r="174" spans="3:3" x14ac:dyDescent="0.25">
      <c r="C174" t="str">
        <f>IF(SpaceHeater!A176&lt;&gt;"",SpaceHeater!A176,"")</f>
        <v/>
      </c>
    </row>
    <row r="175" spans="3:3" x14ac:dyDescent="0.25">
      <c r="C175" t="str">
        <f>IF(SpaceHeater!A177&lt;&gt;"",SpaceHeater!A177,"")</f>
        <v/>
      </c>
    </row>
    <row r="176" spans="3:3" x14ac:dyDescent="0.25">
      <c r="C176" t="str">
        <f>IF(SpaceHeater!A178&lt;&gt;"",SpaceHeater!A178,"")</f>
        <v/>
      </c>
    </row>
    <row r="177" spans="3:3" x14ac:dyDescent="0.25">
      <c r="C177" t="str">
        <f>IF(SpaceHeater!A179&lt;&gt;"",SpaceHeater!A179,"")</f>
        <v/>
      </c>
    </row>
    <row r="178" spans="3:3" x14ac:dyDescent="0.25">
      <c r="C178" t="str">
        <f>IF(SpaceHeater!A180&lt;&gt;"",SpaceHeater!A180,"")</f>
        <v/>
      </c>
    </row>
    <row r="179" spans="3:3" x14ac:dyDescent="0.25">
      <c r="C179" t="str">
        <f>IF(SpaceHeater!A181&lt;&gt;"",SpaceHeater!A181,"")</f>
        <v/>
      </c>
    </row>
    <row r="180" spans="3:3" x14ac:dyDescent="0.25">
      <c r="C180" t="str">
        <f>IF(SpaceHeater!A182&lt;&gt;"",SpaceHeater!A182,"")</f>
        <v/>
      </c>
    </row>
    <row r="181" spans="3:3" x14ac:dyDescent="0.25">
      <c r="C181" t="str">
        <f>IF(SpaceHeater!A183&lt;&gt;"",SpaceHeater!A183,"")</f>
        <v/>
      </c>
    </row>
    <row r="182" spans="3:3" x14ac:dyDescent="0.25">
      <c r="C182" t="str">
        <f>IF(SpaceHeater!A184&lt;&gt;"",SpaceHeater!A184,"")</f>
        <v/>
      </c>
    </row>
    <row r="183" spans="3:3" x14ac:dyDescent="0.25">
      <c r="C183" t="str">
        <f>IF(SpaceHeater!A185&lt;&gt;"",SpaceHeater!A185,"")</f>
        <v/>
      </c>
    </row>
    <row r="184" spans="3:3" x14ac:dyDescent="0.25">
      <c r="C184" t="str">
        <f>IF(SpaceHeater!A186&lt;&gt;"",SpaceHeater!A186,"")</f>
        <v/>
      </c>
    </row>
    <row r="185" spans="3:3" x14ac:dyDescent="0.25">
      <c r="C185" t="str">
        <f>IF(SpaceHeater!A187&lt;&gt;"",SpaceHeater!A187,"")</f>
        <v/>
      </c>
    </row>
    <row r="186" spans="3:3" x14ac:dyDescent="0.25">
      <c r="C186" t="str">
        <f>IF(SpaceHeater!A188&lt;&gt;"",SpaceHeater!A188,"")</f>
        <v/>
      </c>
    </row>
    <row r="187" spans="3:3" x14ac:dyDescent="0.25">
      <c r="C187" t="str">
        <f>IF(SpaceHeater!A189&lt;&gt;"",SpaceHeater!A189,"")</f>
        <v/>
      </c>
    </row>
    <row r="188" spans="3:3" x14ac:dyDescent="0.25">
      <c r="C188" t="str">
        <f>IF(SpaceHeater!A190&lt;&gt;"",SpaceHeater!A190,"")</f>
        <v/>
      </c>
    </row>
    <row r="189" spans="3:3" x14ac:dyDescent="0.25">
      <c r="C189" t="str">
        <f>IF(SpaceHeater!A191&lt;&gt;"",SpaceHeater!A191,"")</f>
        <v/>
      </c>
    </row>
    <row r="190" spans="3:3" x14ac:dyDescent="0.25">
      <c r="C190" t="str">
        <f>IF(SpaceHeater!A192&lt;&gt;"",SpaceHeater!A192,"")</f>
        <v/>
      </c>
    </row>
    <row r="191" spans="3:3" x14ac:dyDescent="0.25">
      <c r="C191" t="str">
        <f>IF(SpaceHeater!A193&lt;&gt;"",SpaceHeater!A193,"")</f>
        <v/>
      </c>
    </row>
    <row r="192" spans="3:3" x14ac:dyDescent="0.25">
      <c r="C192" t="str">
        <f>IF(SpaceHeater!A194&lt;&gt;"",SpaceHeater!A194,"")</f>
        <v/>
      </c>
    </row>
    <row r="193" spans="3:3" x14ac:dyDescent="0.25">
      <c r="C193" t="str">
        <f>IF(SpaceHeater!A195&lt;&gt;"",SpaceHeater!A195,"")</f>
        <v/>
      </c>
    </row>
    <row r="194" spans="3:3" x14ac:dyDescent="0.25">
      <c r="C194" t="str">
        <f>IF(SpaceHeater!A196&lt;&gt;"",SpaceHeater!A196,"")</f>
        <v/>
      </c>
    </row>
    <row r="195" spans="3:3" x14ac:dyDescent="0.25">
      <c r="C195" t="str">
        <f>IF(SpaceHeater!A197&lt;&gt;"",SpaceHeater!A197,"")</f>
        <v/>
      </c>
    </row>
    <row r="196" spans="3:3" x14ac:dyDescent="0.25">
      <c r="C196" t="str">
        <f>IF(SpaceHeater!A198&lt;&gt;"",SpaceHeater!A198,"")</f>
        <v/>
      </c>
    </row>
    <row r="197" spans="3:3" x14ac:dyDescent="0.25">
      <c r="C197" t="str">
        <f>IF(SpaceHeater!A199&lt;&gt;"",SpaceHeater!A199,"")</f>
        <v/>
      </c>
    </row>
    <row r="198" spans="3:3" x14ac:dyDescent="0.25">
      <c r="C198" t="str">
        <f>IF(SpaceHeater!A200&lt;&gt;"",SpaceHeater!A200,"")</f>
        <v/>
      </c>
    </row>
    <row r="199" spans="3:3" x14ac:dyDescent="0.25">
      <c r="C199" t="str">
        <f>IF(SpaceHeater!A201&lt;&gt;"",SpaceHeater!A201,"")</f>
        <v/>
      </c>
    </row>
    <row r="200" spans="3:3" x14ac:dyDescent="0.25">
      <c r="C200" t="str">
        <f>IF(SpaceHeater!A202&lt;&gt;"",SpaceHeater!A202,"")</f>
        <v/>
      </c>
    </row>
    <row r="201" spans="3:3" x14ac:dyDescent="0.25">
      <c r="C201" t="str">
        <f>IF(SpaceHeater!A203&lt;&gt;"",SpaceHeater!A203,"")</f>
        <v/>
      </c>
    </row>
    <row r="202" spans="3:3" x14ac:dyDescent="0.25">
      <c r="C202" t="str">
        <f>IF(SpaceHeater!A204&lt;&gt;"",SpaceHeater!A204,"")</f>
        <v/>
      </c>
    </row>
    <row r="203" spans="3:3" x14ac:dyDescent="0.25">
      <c r="C203" t="str">
        <f>IF(SpaceHeater!A205&lt;&gt;"",SpaceHeater!A205,"")</f>
        <v/>
      </c>
    </row>
    <row r="204" spans="3:3" x14ac:dyDescent="0.25">
      <c r="C204" t="str">
        <f>IF(SpaceHeater!A206&lt;&gt;"",SpaceHeater!A206,"")</f>
        <v/>
      </c>
    </row>
    <row r="205" spans="3:3" x14ac:dyDescent="0.25">
      <c r="C205" t="str">
        <f>IF(SpaceHeater!A207&lt;&gt;"",SpaceHeater!A207,"")</f>
        <v/>
      </c>
    </row>
    <row r="206" spans="3:3" x14ac:dyDescent="0.25">
      <c r="C206" t="str">
        <f>IF(SpaceHeater!A208&lt;&gt;"",SpaceHeater!A208,"")</f>
        <v/>
      </c>
    </row>
    <row r="207" spans="3:3" x14ac:dyDescent="0.25">
      <c r="C207" t="str">
        <f>IF(SpaceHeater!A209&lt;&gt;"",SpaceHeater!A209,"")</f>
        <v/>
      </c>
    </row>
    <row r="208" spans="3:3" x14ac:dyDescent="0.25">
      <c r="C208" t="str">
        <f>IF(SpaceHeater!A210&lt;&gt;"",SpaceHeater!A210,"")</f>
        <v/>
      </c>
    </row>
    <row r="209" spans="3:3" x14ac:dyDescent="0.25">
      <c r="C209" t="str">
        <f>IF(SpaceHeater!A211&lt;&gt;"",SpaceHeater!A211,"")</f>
        <v/>
      </c>
    </row>
    <row r="210" spans="3:3" x14ac:dyDescent="0.25">
      <c r="C210" t="str">
        <f>IF(SpaceHeater!A212&lt;&gt;"",SpaceHeater!A212,"")</f>
        <v/>
      </c>
    </row>
    <row r="211" spans="3:3" x14ac:dyDescent="0.25">
      <c r="C211" t="str">
        <f>IF(SpaceHeater!A213&lt;&gt;"",SpaceHeater!A213,"")</f>
        <v/>
      </c>
    </row>
    <row r="212" spans="3:3" x14ac:dyDescent="0.25">
      <c r="C212" t="str">
        <f>IF(SpaceHeater!A214&lt;&gt;"",SpaceHeater!A214,"")</f>
        <v/>
      </c>
    </row>
    <row r="213" spans="3:3" x14ac:dyDescent="0.25">
      <c r="C213" t="str">
        <f>IF(SpaceHeater!A215&lt;&gt;"",SpaceHeater!A215,"")</f>
        <v/>
      </c>
    </row>
    <row r="214" spans="3:3" x14ac:dyDescent="0.25">
      <c r="C214" t="str">
        <f>IF(SpaceHeater!A216&lt;&gt;"",SpaceHeater!A216,"")</f>
        <v/>
      </c>
    </row>
    <row r="215" spans="3:3" x14ac:dyDescent="0.25">
      <c r="C215" t="str">
        <f>IF(SpaceHeater!A217&lt;&gt;"",SpaceHeater!A217,"")</f>
        <v/>
      </c>
    </row>
    <row r="216" spans="3:3" x14ac:dyDescent="0.25">
      <c r="C216" t="str">
        <f>IF(SpaceHeater!A218&lt;&gt;"",SpaceHeater!A218,"")</f>
        <v/>
      </c>
    </row>
    <row r="217" spans="3:3" x14ac:dyDescent="0.25">
      <c r="C217" t="str">
        <f>IF(SpaceHeater!A219&lt;&gt;"",SpaceHeater!A219,"")</f>
        <v/>
      </c>
    </row>
    <row r="218" spans="3:3" x14ac:dyDescent="0.25">
      <c r="C218" t="str">
        <f>IF(SpaceHeater!A220&lt;&gt;"",SpaceHeater!A220,"")</f>
        <v/>
      </c>
    </row>
    <row r="219" spans="3:3" x14ac:dyDescent="0.25">
      <c r="C219" t="str">
        <f>IF(SpaceHeater!A221&lt;&gt;"",SpaceHeater!A221,"")</f>
        <v/>
      </c>
    </row>
    <row r="220" spans="3:3" x14ac:dyDescent="0.25">
      <c r="C220" t="str">
        <f>IF(SpaceHeater!A222&lt;&gt;"",SpaceHeater!A222,"")</f>
        <v/>
      </c>
    </row>
    <row r="221" spans="3:3" x14ac:dyDescent="0.25">
      <c r="C221" t="str">
        <f>IF(SpaceHeater!A223&lt;&gt;"",SpaceHeater!A223,"")</f>
        <v/>
      </c>
    </row>
    <row r="222" spans="3:3" x14ac:dyDescent="0.25">
      <c r="C222" t="str">
        <f>IF(SpaceHeater!A224&lt;&gt;"",SpaceHeater!A224,"")</f>
        <v/>
      </c>
    </row>
    <row r="223" spans="3:3" x14ac:dyDescent="0.25">
      <c r="C223" t="str">
        <f>IF(SpaceHeater!A225&lt;&gt;"",SpaceHeater!A225,"")</f>
        <v/>
      </c>
    </row>
    <row r="224" spans="3:3" x14ac:dyDescent="0.25">
      <c r="C224" t="str">
        <f>IF(SpaceHeater!A226&lt;&gt;"",SpaceHeater!A226,"")</f>
        <v/>
      </c>
    </row>
    <row r="225" spans="3:3" x14ac:dyDescent="0.25">
      <c r="C225" t="str">
        <f>IF(SpaceHeater!A227&lt;&gt;"",SpaceHeater!A227,"")</f>
        <v/>
      </c>
    </row>
    <row r="226" spans="3:3" x14ac:dyDescent="0.25">
      <c r="C226" t="str">
        <f>IF(SpaceHeater!A228&lt;&gt;"",SpaceHeater!A228,"")</f>
        <v/>
      </c>
    </row>
    <row r="227" spans="3:3" x14ac:dyDescent="0.25">
      <c r="C227" t="str">
        <f>IF(SpaceHeater!A229&lt;&gt;"",SpaceHeater!A229,"")</f>
        <v/>
      </c>
    </row>
    <row r="228" spans="3:3" x14ac:dyDescent="0.25">
      <c r="C228" t="str">
        <f>IF(SpaceHeater!A230&lt;&gt;"",SpaceHeater!A230,"")</f>
        <v/>
      </c>
    </row>
    <row r="229" spans="3:3" x14ac:dyDescent="0.25">
      <c r="C229" t="str">
        <f>IF(SpaceHeater!A231&lt;&gt;"",SpaceHeater!A231,"")</f>
        <v/>
      </c>
    </row>
    <row r="230" spans="3:3" x14ac:dyDescent="0.25">
      <c r="C230" t="str">
        <f>IF(SpaceHeater!A232&lt;&gt;"",SpaceHeater!A232,"")</f>
        <v/>
      </c>
    </row>
    <row r="231" spans="3:3" x14ac:dyDescent="0.25">
      <c r="C231" t="str">
        <f>IF(SpaceHeater!A233&lt;&gt;"",SpaceHeater!A233,"")</f>
        <v/>
      </c>
    </row>
    <row r="232" spans="3:3" x14ac:dyDescent="0.25">
      <c r="C232" t="str">
        <f>IF(SpaceHeater!A234&lt;&gt;"",SpaceHeater!A234,"")</f>
        <v/>
      </c>
    </row>
    <row r="233" spans="3:3" x14ac:dyDescent="0.25">
      <c r="C233" t="str">
        <f>IF(SpaceHeater!A235&lt;&gt;"",SpaceHeater!A235,"")</f>
        <v/>
      </c>
    </row>
    <row r="234" spans="3:3" x14ac:dyDescent="0.25">
      <c r="C234" t="str">
        <f>IF(SpaceHeater!A236&lt;&gt;"",SpaceHeater!A236,"")</f>
        <v/>
      </c>
    </row>
    <row r="235" spans="3:3" x14ac:dyDescent="0.25">
      <c r="C235" t="str">
        <f>IF(SpaceHeater!A237&lt;&gt;"",SpaceHeater!A237,"")</f>
        <v/>
      </c>
    </row>
    <row r="236" spans="3:3" x14ac:dyDescent="0.25">
      <c r="C236" t="str">
        <f>IF(SpaceHeater!A238&lt;&gt;"",SpaceHeater!A238,"")</f>
        <v/>
      </c>
    </row>
    <row r="237" spans="3:3" x14ac:dyDescent="0.25">
      <c r="C237" t="str">
        <f>IF(SpaceHeater!A239&lt;&gt;"",SpaceHeater!A239,"")</f>
        <v/>
      </c>
    </row>
    <row r="238" spans="3:3" x14ac:dyDescent="0.25">
      <c r="C238" t="str">
        <f>IF(SpaceHeater!A240&lt;&gt;"",SpaceHeater!A240,"")</f>
        <v/>
      </c>
    </row>
    <row r="239" spans="3:3" x14ac:dyDescent="0.25">
      <c r="C239" t="str">
        <f>IF(SpaceHeater!A241&lt;&gt;"",SpaceHeater!A241,"")</f>
        <v/>
      </c>
    </row>
    <row r="240" spans="3:3" x14ac:dyDescent="0.25">
      <c r="C240" t="str">
        <f>IF(SpaceHeater!A242&lt;&gt;"",SpaceHeater!A242,"")</f>
        <v/>
      </c>
    </row>
    <row r="241" spans="3:3" x14ac:dyDescent="0.25">
      <c r="C241" t="str">
        <f>IF(SpaceHeater!A243&lt;&gt;"",SpaceHeater!A243,"")</f>
        <v/>
      </c>
    </row>
    <row r="242" spans="3:3" x14ac:dyDescent="0.25">
      <c r="C242" t="str">
        <f>IF(SpaceHeater!A244&lt;&gt;"",SpaceHeater!A244,"")</f>
        <v/>
      </c>
    </row>
    <row r="243" spans="3:3" x14ac:dyDescent="0.25">
      <c r="C243" t="str">
        <f>IF(SpaceHeater!A245&lt;&gt;"",SpaceHeater!A245,"")</f>
        <v/>
      </c>
    </row>
    <row r="244" spans="3:3" x14ac:dyDescent="0.25">
      <c r="C244" t="str">
        <f>IF(SpaceHeater!A246&lt;&gt;"",SpaceHeater!A246,"")</f>
        <v/>
      </c>
    </row>
    <row r="245" spans="3:3" x14ac:dyDescent="0.25">
      <c r="C245" t="str">
        <f>IF(SpaceHeater!A247&lt;&gt;"",SpaceHeater!A247,"")</f>
        <v/>
      </c>
    </row>
    <row r="246" spans="3:3" x14ac:dyDescent="0.25">
      <c r="C246" t="str">
        <f>IF(SpaceHeater!A248&lt;&gt;"",SpaceHeater!A248,"")</f>
        <v/>
      </c>
    </row>
    <row r="247" spans="3:3" x14ac:dyDescent="0.25">
      <c r="C247" t="str">
        <f>IF(SpaceHeater!A249&lt;&gt;"",SpaceHeater!A249,"")</f>
        <v/>
      </c>
    </row>
    <row r="248" spans="3:3" x14ac:dyDescent="0.25">
      <c r="C248" t="str">
        <f>IF(SpaceHeater!A250&lt;&gt;"",SpaceHeater!A250,"")</f>
        <v/>
      </c>
    </row>
    <row r="249" spans="3:3" x14ac:dyDescent="0.25">
      <c r="C249" t="str">
        <f>IF(SpaceHeater!A251&lt;&gt;"",SpaceHeater!A251,"")</f>
        <v/>
      </c>
    </row>
    <row r="250" spans="3:3" x14ac:dyDescent="0.25">
      <c r="C250" t="str">
        <f>IF(SpaceHeater!A252&lt;&gt;"",SpaceHeater!A252,"")</f>
        <v/>
      </c>
    </row>
    <row r="251" spans="3:3" x14ac:dyDescent="0.25">
      <c r="C251" t="str">
        <f>IF(SpaceHeater!A253&lt;&gt;"",SpaceHeater!A253,"")</f>
        <v/>
      </c>
    </row>
    <row r="252" spans="3:3" x14ac:dyDescent="0.25">
      <c r="C252" t="str">
        <f>IF(SpaceHeater!A254&lt;&gt;"",SpaceHeater!A254,"")</f>
        <v/>
      </c>
    </row>
    <row r="253" spans="3:3" x14ac:dyDescent="0.25">
      <c r="C253" t="str">
        <f>IF(SpaceHeater!A255&lt;&gt;"",SpaceHeater!A255,"")</f>
        <v/>
      </c>
    </row>
    <row r="254" spans="3:3" x14ac:dyDescent="0.25">
      <c r="C254" t="str">
        <f>IF(SpaceHeater!A256&lt;&gt;"",SpaceHeater!A256,"")</f>
        <v/>
      </c>
    </row>
    <row r="255" spans="3:3" x14ac:dyDescent="0.25">
      <c r="C255" t="str">
        <f>IF(SpaceHeater!A257&lt;&gt;"",SpaceHeater!A257,"")</f>
        <v/>
      </c>
    </row>
    <row r="256" spans="3:3" x14ac:dyDescent="0.25">
      <c r="C256" t="str">
        <f>IF(SpaceHeater!A258&lt;&gt;"",SpaceHeater!A258,"")</f>
        <v/>
      </c>
    </row>
    <row r="257" spans="3:3" x14ac:dyDescent="0.25">
      <c r="C257" t="str">
        <f>IF(SpaceHeater!A259&lt;&gt;"",SpaceHeater!A259,"")</f>
        <v/>
      </c>
    </row>
    <row r="258" spans="3:3" x14ac:dyDescent="0.25">
      <c r="C258" t="str">
        <f>IF(SpaceHeater!A260&lt;&gt;"",SpaceHeater!A260,"")</f>
        <v/>
      </c>
    </row>
    <row r="259" spans="3:3" x14ac:dyDescent="0.25">
      <c r="C259" t="str">
        <f>IF(SpaceHeater!A261&lt;&gt;"",SpaceHeater!A261,"")</f>
        <v/>
      </c>
    </row>
    <row r="260" spans="3:3" x14ac:dyDescent="0.25">
      <c r="C260" t="str">
        <f>IF(SpaceHeater!A262&lt;&gt;"",SpaceHeater!A262,"")</f>
        <v/>
      </c>
    </row>
    <row r="261" spans="3:3" x14ac:dyDescent="0.25">
      <c r="C261" t="str">
        <f>IF(SpaceHeater!A263&lt;&gt;"",SpaceHeater!A263,"")</f>
        <v/>
      </c>
    </row>
    <row r="262" spans="3:3" x14ac:dyDescent="0.25">
      <c r="C262" t="str">
        <f>IF(SpaceHeater!A264&lt;&gt;"",SpaceHeater!A264,"")</f>
        <v/>
      </c>
    </row>
    <row r="263" spans="3:3" x14ac:dyDescent="0.25">
      <c r="C263" t="str">
        <f>IF(SpaceHeater!A265&lt;&gt;"",SpaceHeater!A265,"")</f>
        <v/>
      </c>
    </row>
    <row r="264" spans="3:3" x14ac:dyDescent="0.25">
      <c r="C264" t="str">
        <f>IF(SpaceHeater!A266&lt;&gt;"",SpaceHeater!A266,"")</f>
        <v/>
      </c>
    </row>
    <row r="265" spans="3:3" x14ac:dyDescent="0.25">
      <c r="C265" t="str">
        <f>IF(SpaceHeater!A267&lt;&gt;"",SpaceHeater!A267,"")</f>
        <v/>
      </c>
    </row>
    <row r="266" spans="3:3" x14ac:dyDescent="0.25">
      <c r="C266" t="str">
        <f>IF(SpaceHeater!A268&lt;&gt;"",SpaceHeater!A268,"")</f>
        <v/>
      </c>
    </row>
    <row r="267" spans="3:3" x14ac:dyDescent="0.25">
      <c r="C267" t="str">
        <f>IF(SpaceHeater!A269&lt;&gt;"",SpaceHeater!A269,"")</f>
        <v/>
      </c>
    </row>
    <row r="268" spans="3:3" x14ac:dyDescent="0.25">
      <c r="C268" t="str">
        <f>IF(SpaceHeater!A270&lt;&gt;"",SpaceHeater!A270,"")</f>
        <v/>
      </c>
    </row>
    <row r="269" spans="3:3" x14ac:dyDescent="0.25">
      <c r="C269" t="str">
        <f>IF(SpaceHeater!A271&lt;&gt;"",SpaceHeater!A271,"")</f>
        <v/>
      </c>
    </row>
    <row r="270" spans="3:3" x14ac:dyDescent="0.25">
      <c r="C270" t="str">
        <f>IF(SpaceHeater!A272&lt;&gt;"",SpaceHeater!A272,"")</f>
        <v/>
      </c>
    </row>
    <row r="271" spans="3:3" x14ac:dyDescent="0.25">
      <c r="C271" t="str">
        <f>IF(SpaceHeater!A273&lt;&gt;"",SpaceHeater!A273,"")</f>
        <v/>
      </c>
    </row>
    <row r="272" spans="3:3" x14ac:dyDescent="0.25">
      <c r="C272" t="str">
        <f>IF(SpaceHeater!A274&lt;&gt;"",SpaceHeater!A274,"")</f>
        <v/>
      </c>
    </row>
    <row r="273" spans="3:3" x14ac:dyDescent="0.25">
      <c r="C273" t="str">
        <f>IF(SpaceHeater!A275&lt;&gt;"",SpaceHeater!A275,"")</f>
        <v/>
      </c>
    </row>
    <row r="274" spans="3:3" x14ac:dyDescent="0.25">
      <c r="C274" t="str">
        <f>IF(SpaceHeater!A276&lt;&gt;"",SpaceHeater!A276,"")</f>
        <v/>
      </c>
    </row>
    <row r="275" spans="3:3" x14ac:dyDescent="0.25">
      <c r="C275" t="str">
        <f>IF(SpaceHeater!A277&lt;&gt;"",SpaceHeater!A277,"")</f>
        <v/>
      </c>
    </row>
    <row r="276" spans="3:3" x14ac:dyDescent="0.25">
      <c r="C276" t="str">
        <f>IF(SpaceHeater!A278&lt;&gt;"",SpaceHeater!A278,"")</f>
        <v/>
      </c>
    </row>
    <row r="277" spans="3:3" x14ac:dyDescent="0.25">
      <c r="C277" t="str">
        <f>IF(SpaceHeater!A279&lt;&gt;"",SpaceHeater!A279,"")</f>
        <v/>
      </c>
    </row>
    <row r="278" spans="3:3" x14ac:dyDescent="0.25">
      <c r="C278" t="str">
        <f>IF(SpaceHeater!A280&lt;&gt;"",SpaceHeater!A280,"")</f>
        <v/>
      </c>
    </row>
    <row r="279" spans="3:3" x14ac:dyDescent="0.25">
      <c r="C279" t="str">
        <f>IF(SpaceHeater!A281&lt;&gt;"",SpaceHeater!A281,"")</f>
        <v/>
      </c>
    </row>
    <row r="280" spans="3:3" x14ac:dyDescent="0.25">
      <c r="C280" t="str">
        <f>IF(SpaceHeater!A282&lt;&gt;"",SpaceHeater!A282,"")</f>
        <v/>
      </c>
    </row>
    <row r="281" spans="3:3" x14ac:dyDescent="0.25">
      <c r="C281" t="str">
        <f>IF(SpaceHeater!A283&lt;&gt;"",SpaceHeater!A283,"")</f>
        <v/>
      </c>
    </row>
    <row r="282" spans="3:3" x14ac:dyDescent="0.25">
      <c r="C282" t="str">
        <f>IF(SpaceHeater!A284&lt;&gt;"",SpaceHeater!A284,"")</f>
        <v/>
      </c>
    </row>
    <row r="283" spans="3:3" x14ac:dyDescent="0.25">
      <c r="C283" t="str">
        <f>IF(SpaceHeater!A285&lt;&gt;"",SpaceHeater!A285,"")</f>
        <v/>
      </c>
    </row>
    <row r="284" spans="3:3" x14ac:dyDescent="0.25">
      <c r="C284" t="str">
        <f>IF(SpaceHeater!A286&lt;&gt;"",SpaceHeater!A286,"")</f>
        <v/>
      </c>
    </row>
    <row r="285" spans="3:3" x14ac:dyDescent="0.25">
      <c r="C285" t="str">
        <f>IF(SpaceHeater!A287&lt;&gt;"",SpaceHeater!A287,"")</f>
        <v/>
      </c>
    </row>
    <row r="286" spans="3:3" x14ac:dyDescent="0.25">
      <c r="C286" t="str">
        <f>IF(SpaceHeater!A288&lt;&gt;"",SpaceHeater!A288,"")</f>
        <v/>
      </c>
    </row>
    <row r="287" spans="3:3" x14ac:dyDescent="0.25">
      <c r="C287" t="str">
        <f>IF(SpaceHeater!A289&lt;&gt;"",SpaceHeater!A289,"")</f>
        <v/>
      </c>
    </row>
    <row r="288" spans="3:3" x14ac:dyDescent="0.25">
      <c r="C288" t="str">
        <f>IF(SpaceHeater!A290&lt;&gt;"",SpaceHeater!A290,"")</f>
        <v/>
      </c>
    </row>
    <row r="289" spans="3:3" x14ac:dyDescent="0.25">
      <c r="C289" t="str">
        <f>IF(SpaceHeater!A291&lt;&gt;"",SpaceHeater!A291,"")</f>
        <v/>
      </c>
    </row>
    <row r="290" spans="3:3" x14ac:dyDescent="0.25">
      <c r="C290" t="str">
        <f>IF(SpaceHeater!A292&lt;&gt;"",SpaceHeater!A292,"")</f>
        <v/>
      </c>
    </row>
    <row r="291" spans="3:3" x14ac:dyDescent="0.25">
      <c r="C291" t="str">
        <f>IF(SpaceHeater!A293&lt;&gt;"",SpaceHeater!A293,"")</f>
        <v/>
      </c>
    </row>
    <row r="292" spans="3:3" x14ac:dyDescent="0.25">
      <c r="C292" t="str">
        <f>IF(SpaceHeater!A294&lt;&gt;"",SpaceHeater!A294,"")</f>
        <v/>
      </c>
    </row>
    <row r="293" spans="3:3" x14ac:dyDescent="0.25">
      <c r="C293" t="str">
        <f>IF(SpaceHeater!A295&lt;&gt;"",SpaceHeater!A295,"")</f>
        <v/>
      </c>
    </row>
    <row r="294" spans="3:3" x14ac:dyDescent="0.25">
      <c r="C294" t="str">
        <f>IF(SpaceHeater!A296&lt;&gt;"",SpaceHeater!A296,"")</f>
        <v/>
      </c>
    </row>
    <row r="295" spans="3:3" x14ac:dyDescent="0.25">
      <c r="C295" t="str">
        <f>IF(SpaceHeater!A297&lt;&gt;"",SpaceHeater!A297,"")</f>
        <v/>
      </c>
    </row>
    <row r="296" spans="3:3" x14ac:dyDescent="0.25">
      <c r="C296" t="str">
        <f>IF(SpaceHeater!A298&lt;&gt;"",SpaceHeater!A298,"")</f>
        <v/>
      </c>
    </row>
    <row r="297" spans="3:3" x14ac:dyDescent="0.25">
      <c r="C297" t="str">
        <f>IF(SpaceHeater!A299&lt;&gt;"",SpaceHeater!A299,"")</f>
        <v/>
      </c>
    </row>
    <row r="298" spans="3:3" x14ac:dyDescent="0.25">
      <c r="C298" t="str">
        <f>IF(SpaceHeater!A300&lt;&gt;"",SpaceHeater!A300,"")</f>
        <v/>
      </c>
    </row>
    <row r="299" spans="3:3" x14ac:dyDescent="0.25">
      <c r="C299" t="str">
        <f>IF(SpaceHeater!A301&lt;&gt;"",SpaceHeater!A301,"")</f>
        <v/>
      </c>
    </row>
    <row r="300" spans="3:3" x14ac:dyDescent="0.25">
      <c r="C300" t="str">
        <f>IF(SpaceHeater!A302&lt;&gt;"",SpaceHeater!A302,"")</f>
        <v/>
      </c>
    </row>
    <row r="301" spans="3:3" x14ac:dyDescent="0.25">
      <c r="C301" t="str">
        <f>IF(SpaceHeater!A303&lt;&gt;"",SpaceHeater!A303,"")</f>
        <v/>
      </c>
    </row>
    <row r="302" spans="3:3" x14ac:dyDescent="0.25">
      <c r="C302" t="str">
        <f>IF(SpaceHeater!A304&lt;&gt;"",SpaceHeater!A304,"")</f>
        <v/>
      </c>
    </row>
    <row r="303" spans="3:3" x14ac:dyDescent="0.25">
      <c r="C303" t="str">
        <f>IF(SpaceHeater!A305&lt;&gt;"",SpaceHeater!A305,"")</f>
        <v/>
      </c>
    </row>
    <row r="304" spans="3:3" x14ac:dyDescent="0.25">
      <c r="C304" t="str">
        <f>IF(SpaceHeater!A306&lt;&gt;"",SpaceHeater!A306,"")</f>
        <v/>
      </c>
    </row>
    <row r="305" spans="3:3" x14ac:dyDescent="0.25">
      <c r="C305" t="str">
        <f>IF(SpaceHeater!A307&lt;&gt;"",SpaceHeater!A307,"")</f>
        <v/>
      </c>
    </row>
    <row r="306" spans="3:3" x14ac:dyDescent="0.25">
      <c r="C306" t="str">
        <f>IF(SpaceHeater!A308&lt;&gt;"",SpaceHeater!A308,"")</f>
        <v/>
      </c>
    </row>
    <row r="307" spans="3:3" x14ac:dyDescent="0.25">
      <c r="C307" t="str">
        <f>IF(SpaceHeater!A309&lt;&gt;"",SpaceHeater!A309,"")</f>
        <v/>
      </c>
    </row>
    <row r="308" spans="3:3" x14ac:dyDescent="0.25">
      <c r="C308" t="str">
        <f>IF(SpaceHeater!A310&lt;&gt;"",SpaceHeater!A310,"")</f>
        <v/>
      </c>
    </row>
    <row r="309" spans="3:3" x14ac:dyDescent="0.25">
      <c r="C309" t="str">
        <f>IF(SpaceHeater!A311&lt;&gt;"",SpaceHeater!A311,"")</f>
        <v/>
      </c>
    </row>
    <row r="310" spans="3:3" x14ac:dyDescent="0.25">
      <c r="C310" t="str">
        <f>IF(SpaceHeater!A312&lt;&gt;"",SpaceHeater!A312,"")</f>
        <v/>
      </c>
    </row>
    <row r="311" spans="3:3" x14ac:dyDescent="0.25">
      <c r="C311" t="str">
        <f>IF(SpaceHeater!A313&lt;&gt;"",SpaceHeater!A313,"")</f>
        <v/>
      </c>
    </row>
    <row r="312" spans="3:3" x14ac:dyDescent="0.25">
      <c r="C312" t="str">
        <f>IF(SpaceHeater!A314&lt;&gt;"",SpaceHeater!A314,"")</f>
        <v/>
      </c>
    </row>
    <row r="313" spans="3:3" x14ac:dyDescent="0.25">
      <c r="C313" t="str">
        <f>IF(SpaceHeater!A315&lt;&gt;"",SpaceHeater!A315,"")</f>
        <v/>
      </c>
    </row>
    <row r="314" spans="3:3" x14ac:dyDescent="0.25">
      <c r="C314" t="str">
        <f>IF(SpaceHeater!A316&lt;&gt;"",SpaceHeater!A316,"")</f>
        <v/>
      </c>
    </row>
    <row r="315" spans="3:3" x14ac:dyDescent="0.25">
      <c r="C315" t="str">
        <f>IF(SpaceHeater!A317&lt;&gt;"",SpaceHeater!A317,"")</f>
        <v/>
      </c>
    </row>
    <row r="316" spans="3:3" x14ac:dyDescent="0.25">
      <c r="C316" t="str">
        <f>IF(SpaceHeater!A318&lt;&gt;"",SpaceHeater!A318,"")</f>
        <v/>
      </c>
    </row>
    <row r="317" spans="3:3" x14ac:dyDescent="0.25">
      <c r="C317" t="str">
        <f>IF(SpaceHeater!A319&lt;&gt;"",SpaceHeater!A319,"")</f>
        <v/>
      </c>
    </row>
    <row r="318" spans="3:3" x14ac:dyDescent="0.25">
      <c r="C318" t="str">
        <f>IF(SpaceHeater!A320&lt;&gt;"",SpaceHeater!A320,"")</f>
        <v/>
      </c>
    </row>
    <row r="319" spans="3:3" x14ac:dyDescent="0.25">
      <c r="C319" t="str">
        <f>IF(SpaceHeater!A321&lt;&gt;"",SpaceHeater!A321,"")</f>
        <v/>
      </c>
    </row>
    <row r="320" spans="3:3" x14ac:dyDescent="0.25">
      <c r="C320" t="str">
        <f>IF(SpaceHeater!A322&lt;&gt;"",SpaceHeater!A322,"")</f>
        <v/>
      </c>
    </row>
    <row r="321" spans="3:3" x14ac:dyDescent="0.25">
      <c r="C321" t="str">
        <f>IF(SpaceHeater!A323&lt;&gt;"",SpaceHeater!A323,"")</f>
        <v/>
      </c>
    </row>
    <row r="322" spans="3:3" x14ac:dyDescent="0.25">
      <c r="C322" t="str">
        <f>IF(SpaceHeater!A324&lt;&gt;"",SpaceHeater!A324,"")</f>
        <v/>
      </c>
    </row>
    <row r="323" spans="3:3" x14ac:dyDescent="0.25">
      <c r="C323" t="str">
        <f>IF(SpaceHeater!A325&lt;&gt;"",SpaceHeater!A325,"")</f>
        <v/>
      </c>
    </row>
    <row r="324" spans="3:3" x14ac:dyDescent="0.25">
      <c r="C324" t="str">
        <f>IF(SpaceHeater!A326&lt;&gt;"",SpaceHeater!A326,"")</f>
        <v/>
      </c>
    </row>
    <row r="325" spans="3:3" x14ac:dyDescent="0.25">
      <c r="C325" t="str">
        <f>IF(SpaceHeater!A327&lt;&gt;"",SpaceHeater!A327,"")</f>
        <v/>
      </c>
    </row>
    <row r="326" spans="3:3" x14ac:dyDescent="0.25">
      <c r="C326" t="str">
        <f>IF(SpaceHeater!A328&lt;&gt;"",SpaceHeater!A328,"")</f>
        <v/>
      </c>
    </row>
    <row r="327" spans="3:3" x14ac:dyDescent="0.25">
      <c r="C327" t="str">
        <f>IF(SpaceHeater!A329&lt;&gt;"",SpaceHeater!A329,"")</f>
        <v/>
      </c>
    </row>
    <row r="328" spans="3:3" x14ac:dyDescent="0.25">
      <c r="C328" t="str">
        <f>IF(SpaceHeater!A330&lt;&gt;"",SpaceHeater!A330,"")</f>
        <v/>
      </c>
    </row>
    <row r="329" spans="3:3" x14ac:dyDescent="0.25">
      <c r="C329" t="str">
        <f>IF(SpaceHeater!A331&lt;&gt;"",SpaceHeater!A331,"")</f>
        <v/>
      </c>
    </row>
    <row r="330" spans="3:3" x14ac:dyDescent="0.25">
      <c r="C330" t="str">
        <f>IF(SpaceHeater!A332&lt;&gt;"",SpaceHeater!A332,"")</f>
        <v/>
      </c>
    </row>
    <row r="331" spans="3:3" x14ac:dyDescent="0.25">
      <c r="C331" t="str">
        <f>IF(SpaceHeater!A333&lt;&gt;"",SpaceHeater!A333,"")</f>
        <v/>
      </c>
    </row>
    <row r="332" spans="3:3" x14ac:dyDescent="0.25">
      <c r="C332" t="str">
        <f>IF(SpaceHeater!A334&lt;&gt;"",SpaceHeater!A334,"")</f>
        <v/>
      </c>
    </row>
    <row r="333" spans="3:3" x14ac:dyDescent="0.25">
      <c r="C333" t="str">
        <f>IF(SpaceHeater!A335&lt;&gt;"",SpaceHeater!A335,"")</f>
        <v/>
      </c>
    </row>
    <row r="334" spans="3:3" x14ac:dyDescent="0.25">
      <c r="C334" t="str">
        <f>IF(SpaceHeater!A336&lt;&gt;"",SpaceHeater!A336,"")</f>
        <v/>
      </c>
    </row>
    <row r="335" spans="3:3" x14ac:dyDescent="0.25">
      <c r="C335" t="str">
        <f>IF(SpaceHeater!A337&lt;&gt;"",SpaceHeater!A337,"")</f>
        <v/>
      </c>
    </row>
    <row r="336" spans="3:3" x14ac:dyDescent="0.25">
      <c r="C336" t="str">
        <f>IF(SpaceHeater!A338&lt;&gt;"",SpaceHeater!A338,"")</f>
        <v/>
      </c>
    </row>
    <row r="337" spans="3:3" x14ac:dyDescent="0.25">
      <c r="C337" t="str">
        <f>IF(SpaceHeater!A339&lt;&gt;"",SpaceHeater!A339,"")</f>
        <v/>
      </c>
    </row>
    <row r="338" spans="3:3" x14ac:dyDescent="0.25">
      <c r="C338" t="str">
        <f>IF(SpaceHeater!A340&lt;&gt;"",SpaceHeater!A340,"")</f>
        <v/>
      </c>
    </row>
    <row r="339" spans="3:3" x14ac:dyDescent="0.25">
      <c r="C339" t="str">
        <f>IF(SpaceHeater!A341&lt;&gt;"",SpaceHeater!A341,"")</f>
        <v/>
      </c>
    </row>
    <row r="340" spans="3:3" x14ac:dyDescent="0.25">
      <c r="C340" t="str">
        <f>IF(SpaceHeater!A342&lt;&gt;"",SpaceHeater!A342,"")</f>
        <v/>
      </c>
    </row>
    <row r="341" spans="3:3" x14ac:dyDescent="0.25">
      <c r="C341" t="str">
        <f>IF(SpaceHeater!A343&lt;&gt;"",SpaceHeater!A343,"")</f>
        <v/>
      </c>
    </row>
    <row r="342" spans="3:3" x14ac:dyDescent="0.25">
      <c r="C342" t="str">
        <f>IF(SpaceHeater!A344&lt;&gt;"",SpaceHeater!A344,"")</f>
        <v/>
      </c>
    </row>
    <row r="343" spans="3:3" x14ac:dyDescent="0.25">
      <c r="C343" t="str">
        <f>IF(SpaceHeater!A345&lt;&gt;"",SpaceHeater!A345,"")</f>
        <v/>
      </c>
    </row>
    <row r="344" spans="3:3" x14ac:dyDescent="0.25">
      <c r="C344" t="str">
        <f>IF(SpaceHeater!A346&lt;&gt;"",SpaceHeater!A346,"")</f>
        <v/>
      </c>
    </row>
    <row r="345" spans="3:3" x14ac:dyDescent="0.25">
      <c r="C345" t="str">
        <f>IF(SpaceHeater!A347&lt;&gt;"",SpaceHeater!A347,"")</f>
        <v/>
      </c>
    </row>
    <row r="346" spans="3:3" x14ac:dyDescent="0.25">
      <c r="C346" t="str">
        <f>IF(SpaceHeater!A348&lt;&gt;"",SpaceHeater!A348,"")</f>
        <v/>
      </c>
    </row>
    <row r="347" spans="3:3" x14ac:dyDescent="0.25">
      <c r="C347" t="str">
        <f>IF(SpaceHeater!A349&lt;&gt;"",SpaceHeater!A349,"")</f>
        <v/>
      </c>
    </row>
    <row r="348" spans="3:3" x14ac:dyDescent="0.25">
      <c r="C348" t="str">
        <f>IF(SpaceHeater!A350&lt;&gt;"",SpaceHeater!A350,"")</f>
        <v/>
      </c>
    </row>
    <row r="349" spans="3:3" x14ac:dyDescent="0.25">
      <c r="C349" t="str">
        <f>IF(SpaceHeater!A351&lt;&gt;"",SpaceHeater!A351,"")</f>
        <v/>
      </c>
    </row>
    <row r="350" spans="3:3" x14ac:dyDescent="0.25">
      <c r="C350" t="str">
        <f>IF(SpaceHeater!A352&lt;&gt;"",SpaceHeater!A352,"")</f>
        <v/>
      </c>
    </row>
    <row r="351" spans="3:3" x14ac:dyDescent="0.25">
      <c r="C351" t="str">
        <f>IF(SpaceHeater!A353&lt;&gt;"",SpaceHeater!A353,"")</f>
        <v/>
      </c>
    </row>
    <row r="352" spans="3:3" x14ac:dyDescent="0.25">
      <c r="C352" t="str">
        <f>IF(SpaceHeater!A354&lt;&gt;"",SpaceHeater!A354,"")</f>
        <v/>
      </c>
    </row>
    <row r="353" spans="3:3" x14ac:dyDescent="0.25">
      <c r="C353" t="str">
        <f>IF(SpaceHeater!A355&lt;&gt;"",SpaceHeater!A355,"")</f>
        <v/>
      </c>
    </row>
    <row r="354" spans="3:3" x14ac:dyDescent="0.25">
      <c r="C354" t="str">
        <f>IF(SpaceHeater!A356&lt;&gt;"",SpaceHeater!A356,"")</f>
        <v/>
      </c>
    </row>
    <row r="355" spans="3:3" x14ac:dyDescent="0.25">
      <c r="C355" t="str">
        <f>IF(SpaceHeater!A357&lt;&gt;"",SpaceHeater!A357,"")</f>
        <v/>
      </c>
    </row>
    <row r="356" spans="3:3" x14ac:dyDescent="0.25">
      <c r="C356" t="str">
        <f>IF(SpaceHeater!A358&lt;&gt;"",SpaceHeater!A358,"")</f>
        <v/>
      </c>
    </row>
    <row r="357" spans="3:3" x14ac:dyDescent="0.25">
      <c r="C357" t="str">
        <f>IF(SpaceHeater!A359&lt;&gt;"",SpaceHeater!A359,"")</f>
        <v/>
      </c>
    </row>
    <row r="358" spans="3:3" x14ac:dyDescent="0.25">
      <c r="C358" t="str">
        <f>IF(SpaceHeater!A360&lt;&gt;"",SpaceHeater!A360,"")</f>
        <v/>
      </c>
    </row>
    <row r="359" spans="3:3" x14ac:dyDescent="0.25">
      <c r="C359" t="str">
        <f>IF(SpaceHeater!A361&lt;&gt;"",SpaceHeater!A361,"")</f>
        <v/>
      </c>
    </row>
    <row r="360" spans="3:3" x14ac:dyDescent="0.25">
      <c r="C360" t="str">
        <f>IF(SpaceHeater!A362&lt;&gt;"",SpaceHeater!A362,"")</f>
        <v/>
      </c>
    </row>
    <row r="361" spans="3:3" x14ac:dyDescent="0.25">
      <c r="C361" t="str">
        <f>IF(SpaceHeater!A363&lt;&gt;"",SpaceHeater!A363,"")</f>
        <v/>
      </c>
    </row>
    <row r="362" spans="3:3" x14ac:dyDescent="0.25">
      <c r="C362" t="str">
        <f>IF(SpaceHeater!A364&lt;&gt;"",SpaceHeater!A364,"")</f>
        <v/>
      </c>
    </row>
    <row r="363" spans="3:3" x14ac:dyDescent="0.25">
      <c r="C363" t="str">
        <f>IF(SpaceHeater!A365&lt;&gt;"",SpaceHeater!A365,"")</f>
        <v/>
      </c>
    </row>
    <row r="364" spans="3:3" x14ac:dyDescent="0.25">
      <c r="C364" t="str">
        <f>IF(SpaceHeater!A366&lt;&gt;"",SpaceHeater!A366,"")</f>
        <v/>
      </c>
    </row>
    <row r="365" spans="3:3" x14ac:dyDescent="0.25">
      <c r="C365" t="str">
        <f>IF(SpaceHeater!A367&lt;&gt;"",SpaceHeater!A367,"")</f>
        <v/>
      </c>
    </row>
    <row r="366" spans="3:3" x14ac:dyDescent="0.25">
      <c r="C366" t="str">
        <f>IF(SpaceHeater!A368&lt;&gt;"",SpaceHeater!A368,"")</f>
        <v/>
      </c>
    </row>
    <row r="367" spans="3:3" x14ac:dyDescent="0.25">
      <c r="C367" t="str">
        <f>IF(SpaceHeater!A369&lt;&gt;"",SpaceHeater!A369,"")</f>
        <v/>
      </c>
    </row>
    <row r="368" spans="3:3" x14ac:dyDescent="0.25">
      <c r="C368" t="str">
        <f>IF(SpaceHeater!A370&lt;&gt;"",SpaceHeater!A370,"")</f>
        <v/>
      </c>
    </row>
    <row r="369" spans="3:3" x14ac:dyDescent="0.25">
      <c r="C369" t="str">
        <f>IF(SpaceHeater!A371&lt;&gt;"",SpaceHeater!A371,"")</f>
        <v/>
      </c>
    </row>
    <row r="370" spans="3:3" x14ac:dyDescent="0.25">
      <c r="C370" t="str">
        <f>IF(SpaceHeater!A372&lt;&gt;"",SpaceHeater!A372,"")</f>
        <v/>
      </c>
    </row>
    <row r="371" spans="3:3" x14ac:dyDescent="0.25">
      <c r="C371" t="str">
        <f>IF(SpaceHeater!A373&lt;&gt;"",SpaceHeater!A373,"")</f>
        <v/>
      </c>
    </row>
    <row r="372" spans="3:3" x14ac:dyDescent="0.25">
      <c r="C372" t="str">
        <f>IF(SpaceHeater!A374&lt;&gt;"",SpaceHeater!A374,"")</f>
        <v/>
      </c>
    </row>
    <row r="373" spans="3:3" x14ac:dyDescent="0.25">
      <c r="C373" t="str">
        <f>IF(SpaceHeater!A375&lt;&gt;"",SpaceHeater!A375,"")</f>
        <v/>
      </c>
    </row>
    <row r="374" spans="3:3" x14ac:dyDescent="0.25">
      <c r="C374" t="str">
        <f>IF(SpaceHeater!A376&lt;&gt;"",SpaceHeater!A376,"")</f>
        <v/>
      </c>
    </row>
    <row r="375" spans="3:3" x14ac:dyDescent="0.25">
      <c r="C375" t="str">
        <f>IF(SpaceHeater!A377&lt;&gt;"",SpaceHeater!A377,"")</f>
        <v/>
      </c>
    </row>
    <row r="376" spans="3:3" x14ac:dyDescent="0.25">
      <c r="C376" t="str">
        <f>IF(SpaceHeater!A378&lt;&gt;"",SpaceHeater!A378,"")</f>
        <v/>
      </c>
    </row>
    <row r="377" spans="3:3" x14ac:dyDescent="0.25">
      <c r="C377" t="str">
        <f>IF(SpaceHeater!A379&lt;&gt;"",SpaceHeater!A379,"")</f>
        <v/>
      </c>
    </row>
    <row r="378" spans="3:3" x14ac:dyDescent="0.25">
      <c r="C378" t="str">
        <f>IF(SpaceHeater!A380&lt;&gt;"",SpaceHeater!A380,"")</f>
        <v/>
      </c>
    </row>
    <row r="379" spans="3:3" x14ac:dyDescent="0.25">
      <c r="C379" t="str">
        <f>IF(SpaceHeater!A381&lt;&gt;"",SpaceHeater!A381,"")</f>
        <v/>
      </c>
    </row>
    <row r="380" spans="3:3" x14ac:dyDescent="0.25">
      <c r="C380" t="str">
        <f>IF(SpaceHeater!A382&lt;&gt;"",SpaceHeater!A382,"")</f>
        <v/>
      </c>
    </row>
    <row r="381" spans="3:3" x14ac:dyDescent="0.25">
      <c r="C381" t="str">
        <f>IF(SpaceHeater!A383&lt;&gt;"",SpaceHeater!A383,"")</f>
        <v/>
      </c>
    </row>
    <row r="382" spans="3:3" x14ac:dyDescent="0.25">
      <c r="C382" t="str">
        <f>IF(SpaceHeater!A384&lt;&gt;"",SpaceHeater!A384,"")</f>
        <v/>
      </c>
    </row>
    <row r="383" spans="3:3" x14ac:dyDescent="0.25">
      <c r="C383" t="str">
        <f>IF(SpaceHeater!A385&lt;&gt;"",SpaceHeater!A385,"")</f>
        <v/>
      </c>
    </row>
    <row r="384" spans="3:3" x14ac:dyDescent="0.25">
      <c r="C384" t="str">
        <f>IF(SpaceHeater!A386&lt;&gt;"",SpaceHeater!A386,"")</f>
        <v/>
      </c>
    </row>
    <row r="385" spans="3:3" x14ac:dyDescent="0.25">
      <c r="C385" t="str">
        <f>IF(SpaceHeater!A387&lt;&gt;"",SpaceHeater!A387,"")</f>
        <v/>
      </c>
    </row>
    <row r="386" spans="3:3" x14ac:dyDescent="0.25">
      <c r="C386" t="str">
        <f>IF(SpaceHeater!A388&lt;&gt;"",SpaceHeater!A388,"")</f>
        <v/>
      </c>
    </row>
    <row r="387" spans="3:3" x14ac:dyDescent="0.25">
      <c r="C387" t="str">
        <f>IF(SpaceHeater!A389&lt;&gt;"",SpaceHeater!A389,"")</f>
        <v/>
      </c>
    </row>
    <row r="388" spans="3:3" x14ac:dyDescent="0.25">
      <c r="C388" t="str">
        <f>IF(SpaceHeater!A390&lt;&gt;"",SpaceHeater!A390,"")</f>
        <v/>
      </c>
    </row>
    <row r="389" spans="3:3" x14ac:dyDescent="0.25">
      <c r="C389" t="str">
        <f>IF(SpaceHeater!A391&lt;&gt;"",SpaceHeater!A391,"")</f>
        <v/>
      </c>
    </row>
    <row r="390" spans="3:3" x14ac:dyDescent="0.25">
      <c r="C390" t="str">
        <f>IF(SpaceHeater!A392&lt;&gt;"",SpaceHeater!A392,"")</f>
        <v/>
      </c>
    </row>
    <row r="391" spans="3:3" x14ac:dyDescent="0.25">
      <c r="C391" t="str">
        <f>IF(SpaceHeater!A393&lt;&gt;"",SpaceHeater!A393,"")</f>
        <v/>
      </c>
    </row>
    <row r="392" spans="3:3" x14ac:dyDescent="0.25">
      <c r="C392" t="str">
        <f>IF(SpaceHeater!A394&lt;&gt;"",SpaceHeater!A394,"")</f>
        <v/>
      </c>
    </row>
    <row r="393" spans="3:3" x14ac:dyDescent="0.25">
      <c r="C393" t="str">
        <f>IF(SpaceHeater!A395&lt;&gt;"",SpaceHeater!A395,"")</f>
        <v/>
      </c>
    </row>
    <row r="394" spans="3:3" x14ac:dyDescent="0.25">
      <c r="C394" t="str">
        <f>IF(SpaceHeater!A396&lt;&gt;"",SpaceHeater!A396,"")</f>
        <v/>
      </c>
    </row>
    <row r="395" spans="3:3" x14ac:dyDescent="0.25">
      <c r="C395" t="str">
        <f>IF(SpaceHeater!A397&lt;&gt;"",SpaceHeater!A397,"")</f>
        <v/>
      </c>
    </row>
    <row r="396" spans="3:3" x14ac:dyDescent="0.25">
      <c r="C396" t="str">
        <f>IF(SpaceHeater!A398&lt;&gt;"",SpaceHeater!A398,"")</f>
        <v/>
      </c>
    </row>
    <row r="397" spans="3:3" x14ac:dyDescent="0.25">
      <c r="C397" t="str">
        <f>IF(SpaceHeater!A399&lt;&gt;"",SpaceHeater!A399,"")</f>
        <v/>
      </c>
    </row>
    <row r="398" spans="3:3" x14ac:dyDescent="0.25">
      <c r="C398" t="str">
        <f>IF(SpaceHeater!A400&lt;&gt;"",SpaceHeater!A400,"")</f>
        <v/>
      </c>
    </row>
    <row r="399" spans="3:3" x14ac:dyDescent="0.25">
      <c r="C399" t="str">
        <f>IF(SpaceHeater!A401&lt;&gt;"",SpaceHeater!A401,"")</f>
        <v/>
      </c>
    </row>
    <row r="400" spans="3:3" x14ac:dyDescent="0.25">
      <c r="C400" t="str">
        <f>IF(SpaceHeater!A402&lt;&gt;"",SpaceHeater!A402,"")</f>
        <v/>
      </c>
    </row>
    <row r="401" spans="3:3" x14ac:dyDescent="0.25">
      <c r="C401" t="str">
        <f>IF(SpaceHeater!A403&lt;&gt;"",SpaceHeater!A403,"")</f>
        <v/>
      </c>
    </row>
    <row r="402" spans="3:3" x14ac:dyDescent="0.25">
      <c r="C402" t="str">
        <f>IF(SpaceHeater!A404&lt;&gt;"",SpaceHeater!A404,"")</f>
        <v/>
      </c>
    </row>
    <row r="403" spans="3:3" x14ac:dyDescent="0.25">
      <c r="C403" t="str">
        <f>IF(SpaceHeater!A405&lt;&gt;"",SpaceHeater!A405,"")</f>
        <v/>
      </c>
    </row>
    <row r="404" spans="3:3" x14ac:dyDescent="0.25">
      <c r="C404" t="str">
        <f>IF(SpaceHeater!A406&lt;&gt;"",SpaceHeater!A406,"")</f>
        <v/>
      </c>
    </row>
    <row r="405" spans="3:3" x14ac:dyDescent="0.25">
      <c r="C405" t="str">
        <f>IF(SpaceHeater!A407&lt;&gt;"",SpaceHeater!A407,"")</f>
        <v/>
      </c>
    </row>
    <row r="406" spans="3:3" x14ac:dyDescent="0.25">
      <c r="C406" t="str">
        <f>IF(SpaceHeater!A408&lt;&gt;"",SpaceHeater!A408,"")</f>
        <v/>
      </c>
    </row>
    <row r="407" spans="3:3" x14ac:dyDescent="0.25">
      <c r="C407" t="str">
        <f>IF(SpaceHeater!A409&lt;&gt;"",SpaceHeater!A409,"")</f>
        <v/>
      </c>
    </row>
    <row r="408" spans="3:3" x14ac:dyDescent="0.25">
      <c r="C408" t="str">
        <f>IF(SpaceHeater!A410&lt;&gt;"",SpaceHeater!A410,"")</f>
        <v/>
      </c>
    </row>
    <row r="409" spans="3:3" x14ac:dyDescent="0.25">
      <c r="C409" t="str">
        <f>IF(SpaceHeater!A411&lt;&gt;"",SpaceHeater!A411,"")</f>
        <v/>
      </c>
    </row>
    <row r="410" spans="3:3" x14ac:dyDescent="0.25">
      <c r="C410" t="str">
        <f>IF(SpaceHeater!A412&lt;&gt;"",SpaceHeater!A412,"")</f>
        <v/>
      </c>
    </row>
    <row r="411" spans="3:3" x14ac:dyDescent="0.25">
      <c r="C411" t="str">
        <f>IF(SpaceHeater!A413&lt;&gt;"",SpaceHeater!A413,"")</f>
        <v/>
      </c>
    </row>
    <row r="412" spans="3:3" x14ac:dyDescent="0.25">
      <c r="C412" t="str">
        <f>IF(SpaceHeater!A414&lt;&gt;"",SpaceHeater!A414,"")</f>
        <v/>
      </c>
    </row>
    <row r="413" spans="3:3" x14ac:dyDescent="0.25">
      <c r="C413" t="str">
        <f>IF(SpaceHeater!A415&lt;&gt;"",SpaceHeater!A415,"")</f>
        <v/>
      </c>
    </row>
    <row r="414" spans="3:3" x14ac:dyDescent="0.25">
      <c r="C414" t="str">
        <f>IF(SpaceHeater!A416&lt;&gt;"",SpaceHeater!A416,"")</f>
        <v/>
      </c>
    </row>
    <row r="415" spans="3:3" x14ac:dyDescent="0.25">
      <c r="C415" t="str">
        <f>IF(SpaceHeater!A417&lt;&gt;"",SpaceHeater!A417,"")</f>
        <v/>
      </c>
    </row>
    <row r="416" spans="3:3" x14ac:dyDescent="0.25">
      <c r="C416" t="str">
        <f>IF(SpaceHeater!A418&lt;&gt;"",SpaceHeater!A418,"")</f>
        <v/>
      </c>
    </row>
    <row r="417" spans="3:3" x14ac:dyDescent="0.25">
      <c r="C417" t="str">
        <f>IF(SpaceHeater!A419&lt;&gt;"",SpaceHeater!A419,"")</f>
        <v/>
      </c>
    </row>
    <row r="418" spans="3:3" x14ac:dyDescent="0.25">
      <c r="C418" t="str">
        <f>IF(SpaceHeater!A420&lt;&gt;"",SpaceHeater!A420,"")</f>
        <v/>
      </c>
    </row>
    <row r="419" spans="3:3" x14ac:dyDescent="0.25">
      <c r="C419" t="str">
        <f>IF(SpaceHeater!A421&lt;&gt;"",SpaceHeater!A421,"")</f>
        <v/>
      </c>
    </row>
    <row r="420" spans="3:3" x14ac:dyDescent="0.25">
      <c r="C420" t="str">
        <f>IF(SpaceHeater!A422&lt;&gt;"",SpaceHeater!A422,"")</f>
        <v/>
      </c>
    </row>
    <row r="421" spans="3:3" x14ac:dyDescent="0.25">
      <c r="C421" t="str">
        <f>IF(SpaceHeater!A423&lt;&gt;"",SpaceHeater!A423,"")</f>
        <v/>
      </c>
    </row>
    <row r="422" spans="3:3" x14ac:dyDescent="0.25">
      <c r="C422" t="str">
        <f>IF(SpaceHeater!A424&lt;&gt;"",SpaceHeater!A424,"")</f>
        <v/>
      </c>
    </row>
    <row r="423" spans="3:3" x14ac:dyDescent="0.25">
      <c r="C423" t="str">
        <f>IF(SpaceHeater!A425&lt;&gt;"",SpaceHeater!A425,"")</f>
        <v/>
      </c>
    </row>
    <row r="424" spans="3:3" x14ac:dyDescent="0.25">
      <c r="C424" t="str">
        <f>IF(SpaceHeater!A426&lt;&gt;"",SpaceHeater!A426,"")</f>
        <v/>
      </c>
    </row>
    <row r="425" spans="3:3" x14ac:dyDescent="0.25">
      <c r="C425" t="str">
        <f>IF(SpaceHeater!A427&lt;&gt;"",SpaceHeater!A427,"")</f>
        <v/>
      </c>
    </row>
    <row r="426" spans="3:3" x14ac:dyDescent="0.25">
      <c r="C426" t="str">
        <f>IF(SpaceHeater!A428&lt;&gt;"",SpaceHeater!A428,"")</f>
        <v/>
      </c>
    </row>
    <row r="427" spans="3:3" x14ac:dyDescent="0.25">
      <c r="C427" t="str">
        <f>IF(SpaceHeater!A429&lt;&gt;"",SpaceHeater!A429,"")</f>
        <v/>
      </c>
    </row>
    <row r="428" spans="3:3" x14ac:dyDescent="0.25">
      <c r="C428" t="str">
        <f>IF(SpaceHeater!A430&lt;&gt;"",SpaceHeater!A430,"")</f>
        <v/>
      </c>
    </row>
    <row r="429" spans="3:3" x14ac:dyDescent="0.25">
      <c r="C429" t="str">
        <f>IF(SpaceHeater!A431&lt;&gt;"",SpaceHeater!A431,"")</f>
        <v/>
      </c>
    </row>
    <row r="430" spans="3:3" x14ac:dyDescent="0.25">
      <c r="C430" t="str">
        <f>IF(SpaceHeater!A432&lt;&gt;"",SpaceHeater!A432,"")</f>
        <v/>
      </c>
    </row>
    <row r="431" spans="3:3" x14ac:dyDescent="0.25">
      <c r="C431" t="str">
        <f>IF(SpaceHeater!A433&lt;&gt;"",SpaceHeater!A433,"")</f>
        <v/>
      </c>
    </row>
    <row r="432" spans="3:3" x14ac:dyDescent="0.25">
      <c r="C432" t="str">
        <f>IF(SpaceHeater!A434&lt;&gt;"",SpaceHeater!A434,"")</f>
        <v/>
      </c>
    </row>
    <row r="433" spans="3:3" x14ac:dyDescent="0.25">
      <c r="C433" t="str">
        <f>IF(SpaceHeater!A435&lt;&gt;"",SpaceHeater!A435,"")</f>
        <v/>
      </c>
    </row>
    <row r="434" spans="3:3" x14ac:dyDescent="0.25">
      <c r="C434" t="str">
        <f>IF(SpaceHeater!A436&lt;&gt;"",SpaceHeater!A436,"")</f>
        <v/>
      </c>
    </row>
    <row r="435" spans="3:3" x14ac:dyDescent="0.25">
      <c r="C435" t="str">
        <f>IF(SpaceHeater!A437&lt;&gt;"",SpaceHeater!A437,"")</f>
        <v/>
      </c>
    </row>
    <row r="436" spans="3:3" x14ac:dyDescent="0.25">
      <c r="C436" t="str">
        <f>IF(SpaceHeater!A438&lt;&gt;"",SpaceHeater!A438,"")</f>
        <v/>
      </c>
    </row>
    <row r="437" spans="3:3" x14ac:dyDescent="0.25">
      <c r="C437" t="str">
        <f>IF(SpaceHeater!A439&lt;&gt;"",SpaceHeater!A439,"")</f>
        <v/>
      </c>
    </row>
    <row r="438" spans="3:3" x14ac:dyDescent="0.25">
      <c r="C438" t="str">
        <f>IF(SpaceHeater!A440&lt;&gt;"",SpaceHeater!A440,"")</f>
        <v/>
      </c>
    </row>
    <row r="439" spans="3:3" x14ac:dyDescent="0.25">
      <c r="C439" t="str">
        <f>IF(SpaceHeater!A441&lt;&gt;"",SpaceHeater!A441,"")</f>
        <v/>
      </c>
    </row>
    <row r="440" spans="3:3" x14ac:dyDescent="0.25">
      <c r="C440" t="str">
        <f>IF(SpaceHeater!A442&lt;&gt;"",SpaceHeater!A442,"")</f>
        <v/>
      </c>
    </row>
    <row r="441" spans="3:3" x14ac:dyDescent="0.25">
      <c r="C441" t="str">
        <f>IF(SpaceHeater!A443&lt;&gt;"",SpaceHeater!A443,"")</f>
        <v/>
      </c>
    </row>
    <row r="442" spans="3:3" x14ac:dyDescent="0.25">
      <c r="C442" t="str">
        <f>IF(SpaceHeater!A444&lt;&gt;"",SpaceHeater!A444,"")</f>
        <v/>
      </c>
    </row>
    <row r="443" spans="3:3" x14ac:dyDescent="0.25">
      <c r="C443" t="str">
        <f>IF(SpaceHeater!A445&lt;&gt;"",SpaceHeater!A445,"")</f>
        <v/>
      </c>
    </row>
    <row r="444" spans="3:3" x14ac:dyDescent="0.25">
      <c r="C444" t="str">
        <f>IF(SpaceHeater!A446&lt;&gt;"",SpaceHeater!A446,"")</f>
        <v/>
      </c>
    </row>
    <row r="445" spans="3:3" x14ac:dyDescent="0.25">
      <c r="C445" t="str">
        <f>IF(SpaceHeater!A447&lt;&gt;"",SpaceHeater!A447,"")</f>
        <v/>
      </c>
    </row>
    <row r="446" spans="3:3" x14ac:dyDescent="0.25">
      <c r="C446" t="str">
        <f>IF(SpaceHeater!A448&lt;&gt;"",SpaceHeater!A448,"")</f>
        <v/>
      </c>
    </row>
    <row r="447" spans="3:3" x14ac:dyDescent="0.25">
      <c r="C447" t="str">
        <f>IF(SpaceHeater!A449&lt;&gt;"",SpaceHeater!A449,"")</f>
        <v/>
      </c>
    </row>
    <row r="448" spans="3:3" x14ac:dyDescent="0.25">
      <c r="C448" t="str">
        <f>IF(SpaceHeater!A450&lt;&gt;"",SpaceHeater!A450,"")</f>
        <v/>
      </c>
    </row>
    <row r="449" spans="3:3" x14ac:dyDescent="0.25">
      <c r="C449" t="str">
        <f>IF(SpaceHeater!A451&lt;&gt;"",SpaceHeater!A451,"")</f>
        <v/>
      </c>
    </row>
    <row r="450" spans="3:3" x14ac:dyDescent="0.25">
      <c r="C450" t="str">
        <f>IF(SpaceHeater!A452&lt;&gt;"",SpaceHeater!A452,"")</f>
        <v/>
      </c>
    </row>
    <row r="451" spans="3:3" x14ac:dyDescent="0.25">
      <c r="C451" t="str">
        <f>IF(SpaceHeater!A453&lt;&gt;"",SpaceHeater!A453,"")</f>
        <v/>
      </c>
    </row>
    <row r="452" spans="3:3" x14ac:dyDescent="0.25">
      <c r="C452" t="str">
        <f>IF(SpaceHeater!A454&lt;&gt;"",SpaceHeater!A454,"")</f>
        <v/>
      </c>
    </row>
    <row r="453" spans="3:3" x14ac:dyDescent="0.25">
      <c r="C453" t="str">
        <f>IF(SpaceHeater!A455&lt;&gt;"",SpaceHeater!A455,"")</f>
        <v/>
      </c>
    </row>
    <row r="454" spans="3:3" x14ac:dyDescent="0.25">
      <c r="C454" t="str">
        <f>IF(SpaceHeater!A456&lt;&gt;"",SpaceHeater!A456,"")</f>
        <v/>
      </c>
    </row>
    <row r="455" spans="3:3" x14ac:dyDescent="0.25">
      <c r="C455" t="str">
        <f>IF(SpaceHeater!A457&lt;&gt;"",SpaceHeater!A457,"")</f>
        <v/>
      </c>
    </row>
    <row r="456" spans="3:3" x14ac:dyDescent="0.25">
      <c r="C456" t="str">
        <f>IF(SpaceHeater!A458&lt;&gt;"",SpaceHeater!A458,"")</f>
        <v/>
      </c>
    </row>
    <row r="457" spans="3:3" x14ac:dyDescent="0.25">
      <c r="C457" t="str">
        <f>IF(SpaceHeater!A459&lt;&gt;"",SpaceHeater!A459,"")</f>
        <v/>
      </c>
    </row>
    <row r="458" spans="3:3" x14ac:dyDescent="0.25">
      <c r="C458" t="str">
        <f>IF(SpaceHeater!A460&lt;&gt;"",SpaceHeater!A460,"")</f>
        <v/>
      </c>
    </row>
    <row r="459" spans="3:3" x14ac:dyDescent="0.25">
      <c r="C459" t="str">
        <f>IF(SpaceHeater!A461&lt;&gt;"",SpaceHeater!A461,"")</f>
        <v/>
      </c>
    </row>
    <row r="460" spans="3:3" x14ac:dyDescent="0.25">
      <c r="C460" t="str">
        <f>IF(SpaceHeater!A462&lt;&gt;"",SpaceHeater!A462,"")</f>
        <v/>
      </c>
    </row>
    <row r="461" spans="3:3" x14ac:dyDescent="0.25">
      <c r="C461" t="str">
        <f>IF(SpaceHeater!A463&lt;&gt;"",SpaceHeater!A463,"")</f>
        <v/>
      </c>
    </row>
    <row r="462" spans="3:3" x14ac:dyDescent="0.25">
      <c r="C462" t="str">
        <f>IF(SpaceHeater!A464&lt;&gt;"",SpaceHeater!A464,"")</f>
        <v/>
      </c>
    </row>
    <row r="463" spans="3:3" x14ac:dyDescent="0.25">
      <c r="C463" t="str">
        <f>IF(SpaceHeater!A465&lt;&gt;"",SpaceHeater!A465,"")</f>
        <v/>
      </c>
    </row>
    <row r="464" spans="3:3" x14ac:dyDescent="0.25">
      <c r="C464" t="str">
        <f>IF(SpaceHeater!A466&lt;&gt;"",SpaceHeater!A466,"")</f>
        <v/>
      </c>
    </row>
    <row r="465" spans="3:3" x14ac:dyDescent="0.25">
      <c r="C465" t="str">
        <f>IF(SpaceHeater!A467&lt;&gt;"",SpaceHeater!A467,"")</f>
        <v/>
      </c>
    </row>
    <row r="466" spans="3:3" x14ac:dyDescent="0.25">
      <c r="C466" t="str">
        <f>IF(SpaceHeater!A468&lt;&gt;"",SpaceHeater!A468,"")</f>
        <v/>
      </c>
    </row>
    <row r="467" spans="3:3" x14ac:dyDescent="0.25">
      <c r="C467" t="str">
        <f>IF(SpaceHeater!A469&lt;&gt;"",SpaceHeater!A469,"")</f>
        <v/>
      </c>
    </row>
    <row r="468" spans="3:3" x14ac:dyDescent="0.25">
      <c r="C468" t="str">
        <f>IF(SpaceHeater!A470&lt;&gt;"",SpaceHeater!A470,"")</f>
        <v/>
      </c>
    </row>
    <row r="469" spans="3:3" x14ac:dyDescent="0.25">
      <c r="C469" t="str">
        <f>IF(SpaceHeater!A471&lt;&gt;"",SpaceHeater!A471,"")</f>
        <v/>
      </c>
    </row>
    <row r="470" spans="3:3" x14ac:dyDescent="0.25">
      <c r="C470" t="str">
        <f>IF(SpaceHeater!A472&lt;&gt;"",SpaceHeater!A472,"")</f>
        <v/>
      </c>
    </row>
    <row r="471" spans="3:3" x14ac:dyDescent="0.25">
      <c r="C471" t="str">
        <f>IF(SpaceHeater!A473&lt;&gt;"",SpaceHeater!A473,"")</f>
        <v/>
      </c>
    </row>
    <row r="472" spans="3:3" x14ac:dyDescent="0.25">
      <c r="C472" t="str">
        <f>IF(SpaceHeater!A474&lt;&gt;"",SpaceHeater!A474,"")</f>
        <v/>
      </c>
    </row>
    <row r="473" spans="3:3" x14ac:dyDescent="0.25">
      <c r="C473" t="str">
        <f>IF(SpaceHeater!A475&lt;&gt;"",SpaceHeater!A475,"")</f>
        <v/>
      </c>
    </row>
    <row r="474" spans="3:3" x14ac:dyDescent="0.25">
      <c r="C474" t="str">
        <f>IF(SpaceHeater!A476&lt;&gt;"",SpaceHeater!A476,"")</f>
        <v/>
      </c>
    </row>
    <row r="475" spans="3:3" x14ac:dyDescent="0.25">
      <c r="C475" t="str">
        <f>IF(SpaceHeater!A477&lt;&gt;"",SpaceHeater!A477,"")</f>
        <v/>
      </c>
    </row>
    <row r="476" spans="3:3" x14ac:dyDescent="0.25">
      <c r="C476" t="str">
        <f>IF(SpaceHeater!A478&lt;&gt;"",SpaceHeater!A478,"")</f>
        <v/>
      </c>
    </row>
    <row r="477" spans="3:3" x14ac:dyDescent="0.25">
      <c r="C477" t="str">
        <f>IF(SpaceHeater!A479&lt;&gt;"",SpaceHeater!A479,"")</f>
        <v/>
      </c>
    </row>
    <row r="478" spans="3:3" x14ac:dyDescent="0.25">
      <c r="C478" t="str">
        <f>IF(SpaceHeater!A480&lt;&gt;"",SpaceHeater!A480,"")</f>
        <v/>
      </c>
    </row>
    <row r="479" spans="3:3" x14ac:dyDescent="0.25">
      <c r="C479" t="str">
        <f>IF(SpaceHeater!A481&lt;&gt;"",SpaceHeater!A481,"")</f>
        <v/>
      </c>
    </row>
    <row r="480" spans="3:3" x14ac:dyDescent="0.25">
      <c r="C480" t="str">
        <f>IF(SpaceHeater!A482&lt;&gt;"",SpaceHeater!A482,"")</f>
        <v/>
      </c>
    </row>
    <row r="481" spans="3:3" x14ac:dyDescent="0.25">
      <c r="C481" t="str">
        <f>IF(SpaceHeater!A483&lt;&gt;"",SpaceHeater!A483,"")</f>
        <v/>
      </c>
    </row>
    <row r="482" spans="3:3" x14ac:dyDescent="0.25">
      <c r="C482" t="str">
        <f>IF(SpaceHeater!A484&lt;&gt;"",SpaceHeater!A484,"")</f>
        <v/>
      </c>
    </row>
    <row r="483" spans="3:3" x14ac:dyDescent="0.25">
      <c r="C483" t="str">
        <f>IF(SpaceHeater!A485&lt;&gt;"",SpaceHeater!A485,"")</f>
        <v/>
      </c>
    </row>
    <row r="484" spans="3:3" x14ac:dyDescent="0.25">
      <c r="C484" t="str">
        <f>IF(SpaceHeater!A486&lt;&gt;"",SpaceHeater!A486,"")</f>
        <v/>
      </c>
    </row>
    <row r="485" spans="3:3" x14ac:dyDescent="0.25">
      <c r="C485" t="str">
        <f>IF(SpaceHeater!A487&lt;&gt;"",SpaceHeater!A487,"")</f>
        <v/>
      </c>
    </row>
    <row r="486" spans="3:3" x14ac:dyDescent="0.25">
      <c r="C486" t="str">
        <f>IF(SpaceHeater!A488&lt;&gt;"",SpaceHeater!A488,"")</f>
        <v/>
      </c>
    </row>
    <row r="487" spans="3:3" x14ac:dyDescent="0.25">
      <c r="C487" t="str">
        <f>IF(SpaceHeater!A489&lt;&gt;"",SpaceHeater!A489,"")</f>
        <v/>
      </c>
    </row>
    <row r="488" spans="3:3" x14ac:dyDescent="0.25">
      <c r="C488" t="str">
        <f>IF(SpaceHeater!A490&lt;&gt;"",SpaceHeater!A490,"")</f>
        <v/>
      </c>
    </row>
    <row r="489" spans="3:3" x14ac:dyDescent="0.25">
      <c r="C489" t="str">
        <f>IF(SpaceHeater!A491&lt;&gt;"",SpaceHeater!A491,"")</f>
        <v/>
      </c>
    </row>
    <row r="490" spans="3:3" x14ac:dyDescent="0.25">
      <c r="C490" t="str">
        <f>IF(SpaceHeater!A492&lt;&gt;"",SpaceHeater!A492,"")</f>
        <v/>
      </c>
    </row>
    <row r="491" spans="3:3" x14ac:dyDescent="0.25">
      <c r="C491" t="str">
        <f>IF(SpaceHeater!A493&lt;&gt;"",SpaceHeater!A493,"")</f>
        <v/>
      </c>
    </row>
    <row r="492" spans="3:3" x14ac:dyDescent="0.25">
      <c r="C492" t="str">
        <f>IF(SpaceHeater!A494&lt;&gt;"",SpaceHeater!A494,"")</f>
        <v/>
      </c>
    </row>
    <row r="493" spans="3:3" x14ac:dyDescent="0.25">
      <c r="C493" t="str">
        <f>IF(SpaceHeater!A495&lt;&gt;"",SpaceHeater!A495,"")</f>
        <v/>
      </c>
    </row>
    <row r="494" spans="3:3" x14ac:dyDescent="0.25">
      <c r="C494" t="str">
        <f>IF(SpaceHeater!A496&lt;&gt;"",SpaceHeater!A496,"")</f>
        <v/>
      </c>
    </row>
    <row r="495" spans="3:3" x14ac:dyDescent="0.25">
      <c r="C495" t="str">
        <f>IF(SpaceHeater!A497&lt;&gt;"",SpaceHeater!A497,"")</f>
        <v/>
      </c>
    </row>
    <row r="496" spans="3:3" x14ac:dyDescent="0.25">
      <c r="C496" t="str">
        <f>IF(SpaceHeater!A498&lt;&gt;"",SpaceHeater!A498,"")</f>
        <v/>
      </c>
    </row>
    <row r="497" spans="3:3" x14ac:dyDescent="0.25">
      <c r="C497" t="str">
        <f>IF(SpaceHeater!A499&lt;&gt;"",SpaceHeater!A499,"")</f>
        <v/>
      </c>
    </row>
    <row r="498" spans="3:3" x14ac:dyDescent="0.25">
      <c r="C498" t="str">
        <f>IF(SpaceHeater!A500&lt;&gt;"",SpaceHeater!A500,"")</f>
        <v/>
      </c>
    </row>
    <row r="499" spans="3:3" x14ac:dyDescent="0.25">
      <c r="C499" t="str">
        <f>IF(SpaceHeater!A501&lt;&gt;"",SpaceHeater!A501,"")</f>
        <v/>
      </c>
    </row>
    <row r="500" spans="3:3" x14ac:dyDescent="0.25">
      <c r="C500" t="str">
        <f>IF(SpaceHeater!A502&lt;&gt;"",SpaceHeater!A502,"")</f>
        <v/>
      </c>
    </row>
    <row r="501" spans="3:3" x14ac:dyDescent="0.25">
      <c r="C501" t="str">
        <f>IF(SpaceHeater!A503&lt;&gt;"",SpaceHeater!A503,"")</f>
        <v/>
      </c>
    </row>
    <row r="502" spans="3:3" x14ac:dyDescent="0.25">
      <c r="C502" t="str">
        <f>IF(SpaceHeater!A504&lt;&gt;"",SpaceHeater!A504,"")</f>
        <v/>
      </c>
    </row>
    <row r="503" spans="3:3" x14ac:dyDescent="0.25">
      <c r="C503" t="str">
        <f>IF(SpaceHeater!A505&lt;&gt;"",SpaceHeater!A505,"")</f>
        <v/>
      </c>
    </row>
    <row r="504" spans="3:3" x14ac:dyDescent="0.25">
      <c r="C504" t="str">
        <f>IF(SpaceHeater!A506&lt;&gt;"",SpaceHeater!A506,"")</f>
        <v/>
      </c>
    </row>
    <row r="505" spans="3:3" x14ac:dyDescent="0.25">
      <c r="C505" t="str">
        <f>IF(SpaceHeater!A507&lt;&gt;"",SpaceHeater!A507,"")</f>
        <v/>
      </c>
    </row>
    <row r="506" spans="3:3" x14ac:dyDescent="0.25">
      <c r="C506" t="str">
        <f>IF(SpaceHeater!A508&lt;&gt;"",SpaceHeater!A508,"")</f>
        <v/>
      </c>
    </row>
    <row r="507" spans="3:3" x14ac:dyDescent="0.25">
      <c r="C507" t="str">
        <f>IF(SpaceHeater!A509&lt;&gt;"",SpaceHeater!A509,"")</f>
        <v/>
      </c>
    </row>
    <row r="508" spans="3:3" x14ac:dyDescent="0.25">
      <c r="C508" t="str">
        <f>IF(SpaceHeater!A510&lt;&gt;"",SpaceHeater!A510,"")</f>
        <v/>
      </c>
    </row>
    <row r="509" spans="3:3" x14ac:dyDescent="0.25">
      <c r="C509" t="str">
        <f>IF(SpaceHeater!A511&lt;&gt;"",SpaceHeater!A511,"")</f>
        <v/>
      </c>
    </row>
    <row r="510" spans="3:3" x14ac:dyDescent="0.25">
      <c r="C510" t="str">
        <f>IF(SpaceHeater!A512&lt;&gt;"",SpaceHeater!A512,"")</f>
        <v/>
      </c>
    </row>
    <row r="511" spans="3:3" x14ac:dyDescent="0.25">
      <c r="C511" t="str">
        <f>IF(SpaceHeater!A513&lt;&gt;"",SpaceHeater!A513,"")</f>
        <v/>
      </c>
    </row>
    <row r="512" spans="3:3" x14ac:dyDescent="0.25">
      <c r="C512" t="str">
        <f>IF(SpaceHeater!A514&lt;&gt;"",SpaceHeater!A514,"")</f>
        <v/>
      </c>
    </row>
    <row r="513" spans="3:3" x14ac:dyDescent="0.25">
      <c r="C513" t="str">
        <f>IF(SpaceHeater!A515&lt;&gt;"",SpaceHeater!A515,"")</f>
        <v/>
      </c>
    </row>
    <row r="514" spans="3:3" x14ac:dyDescent="0.25">
      <c r="C514" t="str">
        <f>IF(SpaceHeater!A516&lt;&gt;"",SpaceHeater!A516,"")</f>
        <v/>
      </c>
    </row>
    <row r="515" spans="3:3" x14ac:dyDescent="0.25">
      <c r="C515" t="str">
        <f>IF(SpaceHeater!A517&lt;&gt;"",SpaceHeater!A517,"")</f>
        <v/>
      </c>
    </row>
    <row r="516" spans="3:3" x14ac:dyDescent="0.25">
      <c r="C516" t="str">
        <f>IF(SpaceHeater!A518&lt;&gt;"",SpaceHeater!A518,"")</f>
        <v/>
      </c>
    </row>
    <row r="517" spans="3:3" x14ac:dyDescent="0.25">
      <c r="C517" t="str">
        <f>IF(SpaceHeater!A519&lt;&gt;"",SpaceHeater!A519,"")</f>
        <v/>
      </c>
    </row>
    <row r="518" spans="3:3" x14ac:dyDescent="0.25">
      <c r="C518" t="str">
        <f>IF(SpaceHeater!A520&lt;&gt;"",SpaceHeater!A520,"")</f>
        <v/>
      </c>
    </row>
    <row r="519" spans="3:3" x14ac:dyDescent="0.25">
      <c r="C519" t="str">
        <f>IF(SpaceHeater!A521&lt;&gt;"",SpaceHeater!A521,"")</f>
        <v/>
      </c>
    </row>
    <row r="520" spans="3:3" x14ac:dyDescent="0.25">
      <c r="C520" t="str">
        <f>IF(SpaceHeater!A522&lt;&gt;"",SpaceHeater!A522,"")</f>
        <v/>
      </c>
    </row>
    <row r="521" spans="3:3" x14ac:dyDescent="0.25">
      <c r="C521" t="str">
        <f>IF(SpaceHeater!A523&lt;&gt;"",SpaceHeater!A523,"")</f>
        <v/>
      </c>
    </row>
    <row r="522" spans="3:3" x14ac:dyDescent="0.25">
      <c r="C522" t="str">
        <f>IF(SpaceHeater!A524&lt;&gt;"",SpaceHeater!A524,"")</f>
        <v/>
      </c>
    </row>
    <row r="523" spans="3:3" x14ac:dyDescent="0.25">
      <c r="C523" t="str">
        <f>IF(SpaceHeater!A525&lt;&gt;"",SpaceHeater!A525,"")</f>
        <v/>
      </c>
    </row>
    <row r="524" spans="3:3" x14ac:dyDescent="0.25">
      <c r="C524" t="str">
        <f>IF(SpaceHeater!A526&lt;&gt;"",SpaceHeater!A526,"")</f>
        <v/>
      </c>
    </row>
    <row r="525" spans="3:3" x14ac:dyDescent="0.25">
      <c r="C525" t="str">
        <f>IF(SpaceHeater!A527&lt;&gt;"",SpaceHeater!A527,"")</f>
        <v/>
      </c>
    </row>
    <row r="526" spans="3:3" x14ac:dyDescent="0.25">
      <c r="C526" t="str">
        <f>IF(SpaceHeater!A528&lt;&gt;"",SpaceHeater!A528,"")</f>
        <v/>
      </c>
    </row>
    <row r="527" spans="3:3" x14ac:dyDescent="0.25">
      <c r="C527" t="str">
        <f>IF(SpaceHeater!A529&lt;&gt;"",SpaceHeater!A529,"")</f>
        <v/>
      </c>
    </row>
    <row r="528" spans="3:3" x14ac:dyDescent="0.25">
      <c r="C528" t="str">
        <f>IF(SpaceHeater!A530&lt;&gt;"",SpaceHeater!A530,"")</f>
        <v/>
      </c>
    </row>
    <row r="529" spans="3:3" x14ac:dyDescent="0.25">
      <c r="C529" t="str">
        <f>IF(SpaceHeater!A531&lt;&gt;"",SpaceHeater!A531,"")</f>
        <v/>
      </c>
    </row>
    <row r="530" spans="3:3" x14ac:dyDescent="0.25">
      <c r="C530" t="str">
        <f>IF(SpaceHeater!A532&lt;&gt;"",SpaceHeater!A532,"")</f>
        <v/>
      </c>
    </row>
    <row r="531" spans="3:3" x14ac:dyDescent="0.25">
      <c r="C531" t="str">
        <f>IF(SpaceHeater!A533&lt;&gt;"",SpaceHeater!A533,"")</f>
        <v/>
      </c>
    </row>
    <row r="532" spans="3:3" x14ac:dyDescent="0.25">
      <c r="C532" t="str">
        <f>IF(SpaceHeater!A534&lt;&gt;"",SpaceHeater!A534,"")</f>
        <v/>
      </c>
    </row>
    <row r="533" spans="3:3" x14ac:dyDescent="0.25">
      <c r="C533" t="str">
        <f>IF(SpaceHeater!A535&lt;&gt;"",SpaceHeater!A535,"")</f>
        <v/>
      </c>
    </row>
    <row r="534" spans="3:3" x14ac:dyDescent="0.25">
      <c r="C534" t="str">
        <f>IF(SpaceHeater!A536&lt;&gt;"",SpaceHeater!A536,"")</f>
        <v/>
      </c>
    </row>
    <row r="535" spans="3:3" x14ac:dyDescent="0.25">
      <c r="C535" t="str">
        <f>IF(SpaceHeater!A537&lt;&gt;"",SpaceHeater!A537,"")</f>
        <v/>
      </c>
    </row>
    <row r="536" spans="3:3" x14ac:dyDescent="0.25">
      <c r="C536" t="str">
        <f>IF(SpaceHeater!A538&lt;&gt;"",SpaceHeater!A538,"")</f>
        <v/>
      </c>
    </row>
    <row r="537" spans="3:3" x14ac:dyDescent="0.25">
      <c r="C537" t="str">
        <f>IF(SpaceHeater!A539&lt;&gt;"",SpaceHeater!A539,"")</f>
        <v/>
      </c>
    </row>
    <row r="538" spans="3:3" x14ac:dyDescent="0.25">
      <c r="C538" t="str">
        <f>IF(SpaceHeater!A540&lt;&gt;"",SpaceHeater!A540,"")</f>
        <v/>
      </c>
    </row>
    <row r="539" spans="3:3" x14ac:dyDescent="0.25">
      <c r="C539" t="str">
        <f>IF(SpaceHeater!A541&lt;&gt;"",SpaceHeater!A541,"")</f>
        <v/>
      </c>
    </row>
    <row r="540" spans="3:3" x14ac:dyDescent="0.25">
      <c r="C540" t="str">
        <f>IF(SpaceHeater!A542&lt;&gt;"",SpaceHeater!A542,"")</f>
        <v/>
      </c>
    </row>
    <row r="541" spans="3:3" x14ac:dyDescent="0.25">
      <c r="C541" t="str">
        <f>IF(SpaceHeater!A543&lt;&gt;"",SpaceHeater!A543,"")</f>
        <v/>
      </c>
    </row>
    <row r="542" spans="3:3" x14ac:dyDescent="0.25">
      <c r="C542" t="str">
        <f>IF(SpaceHeater!A544&lt;&gt;"",SpaceHeater!A544,"")</f>
        <v/>
      </c>
    </row>
    <row r="543" spans="3:3" x14ac:dyDescent="0.25">
      <c r="C543" t="str">
        <f>IF(SpaceHeater!A545&lt;&gt;"",SpaceHeater!A545,"")</f>
        <v/>
      </c>
    </row>
    <row r="544" spans="3:3" x14ac:dyDescent="0.25">
      <c r="C544" t="str">
        <f>IF(SpaceHeater!A546&lt;&gt;"",SpaceHeater!A546,"")</f>
        <v/>
      </c>
    </row>
    <row r="545" spans="3:3" x14ac:dyDescent="0.25">
      <c r="C545" t="str">
        <f>IF(SpaceHeater!A547&lt;&gt;"",SpaceHeater!A547,"")</f>
        <v/>
      </c>
    </row>
    <row r="546" spans="3:3" x14ac:dyDescent="0.25">
      <c r="C546" t="str">
        <f>IF(SpaceHeater!A548&lt;&gt;"",SpaceHeater!A548,"")</f>
        <v/>
      </c>
    </row>
    <row r="547" spans="3:3" x14ac:dyDescent="0.25">
      <c r="C547" t="str">
        <f>IF(SpaceHeater!A549&lt;&gt;"",SpaceHeater!A549,"")</f>
        <v/>
      </c>
    </row>
    <row r="548" spans="3:3" x14ac:dyDescent="0.25">
      <c r="C548" t="str">
        <f>IF(SpaceHeater!A550&lt;&gt;"",SpaceHeater!A550,"")</f>
        <v/>
      </c>
    </row>
    <row r="549" spans="3:3" x14ac:dyDescent="0.25">
      <c r="C549" t="str">
        <f>IF(SpaceHeater!A551&lt;&gt;"",SpaceHeater!A551,"")</f>
        <v/>
      </c>
    </row>
    <row r="550" spans="3:3" x14ac:dyDescent="0.25">
      <c r="C550" t="str">
        <f>IF(SpaceHeater!A552&lt;&gt;"",SpaceHeater!A552,"")</f>
        <v/>
      </c>
    </row>
    <row r="551" spans="3:3" x14ac:dyDescent="0.25">
      <c r="C551" t="str">
        <f>IF(SpaceHeater!A553&lt;&gt;"",SpaceHeater!A553,"")</f>
        <v/>
      </c>
    </row>
    <row r="552" spans="3:3" x14ac:dyDescent="0.25">
      <c r="C552" t="str">
        <f>IF(SpaceHeater!A554&lt;&gt;"",SpaceHeater!A554,"")</f>
        <v/>
      </c>
    </row>
    <row r="553" spans="3:3" x14ac:dyDescent="0.25">
      <c r="C553" t="str">
        <f>IF(SpaceHeater!A555&lt;&gt;"",SpaceHeater!A555,"")</f>
        <v/>
      </c>
    </row>
    <row r="554" spans="3:3" x14ac:dyDescent="0.25">
      <c r="C554" t="str">
        <f>IF(SpaceHeater!A556&lt;&gt;"",SpaceHeater!A556,"")</f>
        <v/>
      </c>
    </row>
    <row r="555" spans="3:3" x14ac:dyDescent="0.25">
      <c r="C555" t="str">
        <f>IF(SpaceHeater!A557&lt;&gt;"",SpaceHeater!A557,"")</f>
        <v/>
      </c>
    </row>
    <row r="556" spans="3:3" x14ac:dyDescent="0.25">
      <c r="C556" t="str">
        <f>IF(SpaceHeater!A558&lt;&gt;"",SpaceHeater!A558,"")</f>
        <v/>
      </c>
    </row>
    <row r="557" spans="3:3" x14ac:dyDescent="0.25">
      <c r="C557" t="str">
        <f>IF(SpaceHeater!A559&lt;&gt;"",SpaceHeater!A559,"")</f>
        <v/>
      </c>
    </row>
    <row r="558" spans="3:3" x14ac:dyDescent="0.25">
      <c r="C558" t="str">
        <f>IF(SpaceHeater!A560&lt;&gt;"",SpaceHeater!A560,"")</f>
        <v/>
      </c>
    </row>
    <row r="559" spans="3:3" x14ac:dyDescent="0.25">
      <c r="C559" t="str">
        <f>IF(SpaceHeater!A561&lt;&gt;"",SpaceHeater!A561,"")</f>
        <v/>
      </c>
    </row>
    <row r="560" spans="3:3" x14ac:dyDescent="0.25">
      <c r="C560" t="str">
        <f>IF(SpaceHeater!A562&lt;&gt;"",SpaceHeater!A562,"")</f>
        <v/>
      </c>
    </row>
    <row r="561" spans="3:3" x14ac:dyDescent="0.25">
      <c r="C561" t="str">
        <f>IF(SpaceHeater!A563&lt;&gt;"",SpaceHeater!A563,"")</f>
        <v/>
      </c>
    </row>
    <row r="562" spans="3:3" x14ac:dyDescent="0.25">
      <c r="C562" t="str">
        <f>IF(SpaceHeater!A564&lt;&gt;"",SpaceHeater!A564,"")</f>
        <v/>
      </c>
    </row>
    <row r="563" spans="3:3" x14ac:dyDescent="0.25">
      <c r="C563" t="str">
        <f>IF(SpaceHeater!A565&lt;&gt;"",SpaceHeater!A565,"")</f>
        <v/>
      </c>
    </row>
    <row r="564" spans="3:3" x14ac:dyDescent="0.25">
      <c r="C564" t="str">
        <f>IF(SpaceHeater!A566&lt;&gt;"",SpaceHeater!A566,"")</f>
        <v/>
      </c>
    </row>
    <row r="565" spans="3:3" x14ac:dyDescent="0.25">
      <c r="C565" t="str">
        <f>IF(SpaceHeater!A567&lt;&gt;"",SpaceHeater!A567,"")</f>
        <v/>
      </c>
    </row>
    <row r="566" spans="3:3" x14ac:dyDescent="0.25">
      <c r="C566" t="str">
        <f>IF(SpaceHeater!A568&lt;&gt;"",SpaceHeater!A568,"")</f>
        <v/>
      </c>
    </row>
    <row r="567" spans="3:3" x14ac:dyDescent="0.25">
      <c r="C567" t="str">
        <f>IF(SpaceHeater!A569&lt;&gt;"",SpaceHeater!A569,"")</f>
        <v/>
      </c>
    </row>
    <row r="568" spans="3:3" x14ac:dyDescent="0.25">
      <c r="C568" t="str">
        <f>IF(SpaceHeater!A570&lt;&gt;"",SpaceHeater!A570,"")</f>
        <v/>
      </c>
    </row>
    <row r="569" spans="3:3" x14ac:dyDescent="0.25">
      <c r="C569" t="str">
        <f>IF(SpaceHeater!A571&lt;&gt;"",SpaceHeater!A571,"")</f>
        <v/>
      </c>
    </row>
    <row r="570" spans="3:3" x14ac:dyDescent="0.25">
      <c r="C570" t="str">
        <f>IF(SpaceHeater!A572&lt;&gt;"",SpaceHeater!A572,"")</f>
        <v/>
      </c>
    </row>
    <row r="571" spans="3:3" x14ac:dyDescent="0.25">
      <c r="C571" t="str">
        <f>IF(SpaceHeater!A573&lt;&gt;"",SpaceHeater!A573,"")</f>
        <v/>
      </c>
    </row>
    <row r="572" spans="3:3" x14ac:dyDescent="0.25">
      <c r="C572" t="str">
        <f>IF(SpaceHeater!A574&lt;&gt;"",SpaceHeater!A574,"")</f>
        <v/>
      </c>
    </row>
    <row r="573" spans="3:3" x14ac:dyDescent="0.25">
      <c r="C573" t="str">
        <f>IF(SpaceHeater!A575&lt;&gt;"",SpaceHeater!A575,"")</f>
        <v/>
      </c>
    </row>
    <row r="574" spans="3:3" x14ac:dyDescent="0.25">
      <c r="C574" t="str">
        <f>IF(SpaceHeater!A576&lt;&gt;"",SpaceHeater!A576,"")</f>
        <v/>
      </c>
    </row>
    <row r="575" spans="3:3" x14ac:dyDescent="0.25">
      <c r="C575" t="str">
        <f>IF(SpaceHeater!A577&lt;&gt;"",SpaceHeater!A577,"")</f>
        <v/>
      </c>
    </row>
    <row r="576" spans="3:3" x14ac:dyDescent="0.25">
      <c r="C576" t="str">
        <f>IF(SpaceHeater!A578&lt;&gt;"",SpaceHeater!A578,"")</f>
        <v/>
      </c>
    </row>
    <row r="577" spans="3:3" x14ac:dyDescent="0.25">
      <c r="C577" t="str">
        <f>IF(SpaceHeater!A579&lt;&gt;"",SpaceHeater!A579,"")</f>
        <v/>
      </c>
    </row>
    <row r="578" spans="3:3" x14ac:dyDescent="0.25">
      <c r="C578" t="str">
        <f>IF(SpaceHeater!A580&lt;&gt;"",SpaceHeater!A580,"")</f>
        <v/>
      </c>
    </row>
    <row r="579" spans="3:3" x14ac:dyDescent="0.25">
      <c r="C579" t="str">
        <f>IF(SpaceHeater!A581&lt;&gt;"",SpaceHeater!A581,"")</f>
        <v/>
      </c>
    </row>
    <row r="580" spans="3:3" x14ac:dyDescent="0.25">
      <c r="C580" t="str">
        <f>IF(SpaceHeater!A582&lt;&gt;"",SpaceHeater!A582,"")</f>
        <v/>
      </c>
    </row>
    <row r="581" spans="3:3" x14ac:dyDescent="0.25">
      <c r="C581" t="str">
        <f>IF(SpaceHeater!A583&lt;&gt;"",SpaceHeater!A583,"")</f>
        <v/>
      </c>
    </row>
    <row r="582" spans="3:3" x14ac:dyDescent="0.25">
      <c r="C582" t="str">
        <f>IF(SpaceHeater!A584&lt;&gt;"",SpaceHeater!A584,"")</f>
        <v/>
      </c>
    </row>
    <row r="583" spans="3:3" x14ac:dyDescent="0.25">
      <c r="C583" t="str">
        <f>IF(SpaceHeater!A585&lt;&gt;"",SpaceHeater!A585,"")</f>
        <v/>
      </c>
    </row>
    <row r="584" spans="3:3" x14ac:dyDescent="0.25">
      <c r="C584" t="str">
        <f>IF(SpaceHeater!A586&lt;&gt;"",SpaceHeater!A586,"")</f>
        <v/>
      </c>
    </row>
    <row r="585" spans="3:3" x14ac:dyDescent="0.25">
      <c r="C585" t="str">
        <f>IF(SpaceHeater!A587&lt;&gt;"",SpaceHeater!A587,"")</f>
        <v/>
      </c>
    </row>
    <row r="586" spans="3:3" x14ac:dyDescent="0.25">
      <c r="C586" t="str">
        <f>IF(SpaceHeater!A588&lt;&gt;"",SpaceHeater!A588,"")</f>
        <v/>
      </c>
    </row>
    <row r="587" spans="3:3" x14ac:dyDescent="0.25">
      <c r="C587" t="str">
        <f>IF(SpaceHeater!A589&lt;&gt;"",SpaceHeater!A589,"")</f>
        <v/>
      </c>
    </row>
    <row r="588" spans="3:3" x14ac:dyDescent="0.25">
      <c r="C588" t="str">
        <f>IF(SpaceHeater!A590&lt;&gt;"",SpaceHeater!A590,"")</f>
        <v/>
      </c>
    </row>
    <row r="589" spans="3:3" x14ac:dyDescent="0.25">
      <c r="C589" t="str">
        <f>IF(SpaceHeater!A591&lt;&gt;"",SpaceHeater!A591,"")</f>
        <v/>
      </c>
    </row>
    <row r="590" spans="3:3" x14ac:dyDescent="0.25">
      <c r="C590" t="str">
        <f>IF(SpaceHeater!A592&lt;&gt;"",SpaceHeater!A592,"")</f>
        <v/>
      </c>
    </row>
    <row r="591" spans="3:3" x14ac:dyDescent="0.25">
      <c r="C591" t="str">
        <f>IF(SpaceHeater!A593&lt;&gt;"",SpaceHeater!A593,"")</f>
        <v/>
      </c>
    </row>
    <row r="592" spans="3:3" x14ac:dyDescent="0.25">
      <c r="C592" t="str">
        <f>IF(SpaceHeater!A594&lt;&gt;"",SpaceHeater!A594,"")</f>
        <v/>
      </c>
    </row>
    <row r="593" spans="3:3" x14ac:dyDescent="0.25">
      <c r="C593" t="str">
        <f>IF(SpaceHeater!A595&lt;&gt;"",SpaceHeater!A595,"")</f>
        <v/>
      </c>
    </row>
    <row r="594" spans="3:3" x14ac:dyDescent="0.25">
      <c r="C594" t="str">
        <f>IF(SpaceHeater!A596&lt;&gt;"",SpaceHeater!A596,"")</f>
        <v/>
      </c>
    </row>
    <row r="595" spans="3:3" x14ac:dyDescent="0.25">
      <c r="C595" t="str">
        <f>IF(SpaceHeater!A597&lt;&gt;"",SpaceHeater!A597,"")</f>
        <v/>
      </c>
    </row>
    <row r="596" spans="3:3" x14ac:dyDescent="0.25">
      <c r="C596" t="str">
        <f>IF(SpaceHeater!A598&lt;&gt;"",SpaceHeater!A598,"")</f>
        <v/>
      </c>
    </row>
    <row r="597" spans="3:3" x14ac:dyDescent="0.25">
      <c r="C597" t="str">
        <f>IF(SpaceHeater!A599&lt;&gt;"",SpaceHeater!A599,"")</f>
        <v/>
      </c>
    </row>
    <row r="598" spans="3:3" x14ac:dyDescent="0.25">
      <c r="C598" t="str">
        <f>IF(SpaceHeater!A600&lt;&gt;"",SpaceHeater!A600,"")</f>
        <v/>
      </c>
    </row>
    <row r="599" spans="3:3" x14ac:dyDescent="0.25">
      <c r="C599" t="str">
        <f>IF(SpaceHeater!A601&lt;&gt;"",SpaceHeater!A601,"")</f>
        <v/>
      </c>
    </row>
    <row r="600" spans="3:3" x14ac:dyDescent="0.25">
      <c r="C600" t="str">
        <f>IF(SpaceHeater!A602&lt;&gt;"",SpaceHeater!A602,"")</f>
        <v/>
      </c>
    </row>
    <row r="601" spans="3:3" x14ac:dyDescent="0.25">
      <c r="C601" t="str">
        <f>IF(SpaceHeater!A603&lt;&gt;"",SpaceHeater!A603,"")</f>
        <v/>
      </c>
    </row>
    <row r="602" spans="3:3" x14ac:dyDescent="0.25">
      <c r="C602" t="str">
        <f>IF(SpaceHeater!A604&lt;&gt;"",SpaceHeater!A604,"")</f>
        <v/>
      </c>
    </row>
    <row r="603" spans="3:3" x14ac:dyDescent="0.25">
      <c r="C603" t="str">
        <f>IF(SpaceHeater!A605&lt;&gt;"",SpaceHeater!A605,"")</f>
        <v/>
      </c>
    </row>
    <row r="604" spans="3:3" x14ac:dyDescent="0.25">
      <c r="C604" t="str">
        <f>IF(SpaceHeater!A606&lt;&gt;"",SpaceHeater!A606,"")</f>
        <v/>
      </c>
    </row>
    <row r="605" spans="3:3" x14ac:dyDescent="0.25">
      <c r="C605" t="str">
        <f>IF(SpaceHeater!A607&lt;&gt;"",SpaceHeater!A607,"")</f>
        <v/>
      </c>
    </row>
    <row r="606" spans="3:3" x14ac:dyDescent="0.25">
      <c r="C606" t="str">
        <f>IF(SpaceHeater!A608&lt;&gt;"",SpaceHeater!A608,"")</f>
        <v/>
      </c>
    </row>
    <row r="607" spans="3:3" x14ac:dyDescent="0.25">
      <c r="C607" t="str">
        <f>IF(SpaceHeater!A609&lt;&gt;"",SpaceHeater!A609,"")</f>
        <v/>
      </c>
    </row>
    <row r="608" spans="3:3" x14ac:dyDescent="0.25">
      <c r="C608" t="str">
        <f>IF(SpaceHeater!A610&lt;&gt;"",SpaceHeater!A610,"")</f>
        <v/>
      </c>
    </row>
    <row r="609" spans="3:3" x14ac:dyDescent="0.25">
      <c r="C609" t="str">
        <f>IF(SpaceHeater!A611&lt;&gt;"",SpaceHeater!A611,"")</f>
        <v/>
      </c>
    </row>
    <row r="610" spans="3:3" x14ac:dyDescent="0.25">
      <c r="C610" t="str">
        <f>IF(SpaceHeater!A612&lt;&gt;"",SpaceHeater!A612,"")</f>
        <v/>
      </c>
    </row>
    <row r="611" spans="3:3" x14ac:dyDescent="0.25">
      <c r="C611" t="str">
        <f>IF(SpaceHeater!A613&lt;&gt;"",SpaceHeater!A613,"")</f>
        <v/>
      </c>
    </row>
    <row r="612" spans="3:3" x14ac:dyDescent="0.25">
      <c r="C612" t="str">
        <f>IF(SpaceHeater!A614&lt;&gt;"",SpaceHeater!A614,"")</f>
        <v/>
      </c>
    </row>
    <row r="613" spans="3:3" x14ac:dyDescent="0.25">
      <c r="C613" t="str">
        <f>IF(SpaceHeater!A615&lt;&gt;"",SpaceHeater!A615,"")</f>
        <v/>
      </c>
    </row>
    <row r="614" spans="3:3" x14ac:dyDescent="0.25">
      <c r="C614" t="str">
        <f>IF(SpaceHeater!A616&lt;&gt;"",SpaceHeater!A616,"")</f>
        <v/>
      </c>
    </row>
    <row r="615" spans="3:3" x14ac:dyDescent="0.25">
      <c r="C615" t="str">
        <f>IF(SpaceHeater!A617&lt;&gt;"",SpaceHeater!A617,"")</f>
        <v/>
      </c>
    </row>
    <row r="616" spans="3:3" x14ac:dyDescent="0.25">
      <c r="C616" t="str">
        <f>IF(SpaceHeater!A618&lt;&gt;"",SpaceHeater!A618,"")</f>
        <v/>
      </c>
    </row>
    <row r="617" spans="3:3" x14ac:dyDescent="0.25">
      <c r="C617" t="str">
        <f>IF(SpaceHeater!A619&lt;&gt;"",SpaceHeater!A619,"")</f>
        <v/>
      </c>
    </row>
    <row r="618" spans="3:3" x14ac:dyDescent="0.25">
      <c r="C618" t="str">
        <f>IF(SpaceHeater!A620&lt;&gt;"",SpaceHeater!A620,"")</f>
        <v/>
      </c>
    </row>
    <row r="619" spans="3:3" x14ac:dyDescent="0.25">
      <c r="C619" t="str">
        <f>IF(SpaceHeater!A621&lt;&gt;"",SpaceHeater!A621,"")</f>
        <v/>
      </c>
    </row>
    <row r="620" spans="3:3" x14ac:dyDescent="0.25">
      <c r="C620" t="str">
        <f>IF(SpaceHeater!A622&lt;&gt;"",SpaceHeater!A622,"")</f>
        <v/>
      </c>
    </row>
    <row r="621" spans="3:3" x14ac:dyDescent="0.25">
      <c r="C621" t="str">
        <f>IF(SpaceHeater!A623&lt;&gt;"",SpaceHeater!A623,"")</f>
        <v/>
      </c>
    </row>
    <row r="622" spans="3:3" x14ac:dyDescent="0.25">
      <c r="C622" t="str">
        <f>IF(SpaceHeater!A624&lt;&gt;"",SpaceHeater!A624,"")</f>
        <v/>
      </c>
    </row>
    <row r="623" spans="3:3" x14ac:dyDescent="0.25">
      <c r="C623" t="str">
        <f>IF(SpaceHeater!A625&lt;&gt;"",SpaceHeater!A625,"")</f>
        <v/>
      </c>
    </row>
    <row r="624" spans="3:3" x14ac:dyDescent="0.25">
      <c r="C624" t="str">
        <f>IF(SpaceHeater!A626&lt;&gt;"",SpaceHeater!A626,"")</f>
        <v/>
      </c>
    </row>
    <row r="625" spans="3:3" x14ac:dyDescent="0.25">
      <c r="C625" t="str">
        <f>IF(SpaceHeater!A627&lt;&gt;"",SpaceHeater!A627,"")</f>
        <v/>
      </c>
    </row>
    <row r="626" spans="3:3" x14ac:dyDescent="0.25">
      <c r="C626" t="str">
        <f>IF(SpaceHeater!A628&lt;&gt;"",SpaceHeater!A628,"")</f>
        <v/>
      </c>
    </row>
    <row r="627" spans="3:3" x14ac:dyDescent="0.25">
      <c r="C627" t="str">
        <f>IF(SpaceHeater!A629&lt;&gt;"",SpaceHeater!A629,"")</f>
        <v/>
      </c>
    </row>
    <row r="628" spans="3:3" x14ac:dyDescent="0.25">
      <c r="C628" t="str">
        <f>IF(SpaceHeater!A630&lt;&gt;"",SpaceHeater!A630,"")</f>
        <v/>
      </c>
    </row>
    <row r="629" spans="3:3" x14ac:dyDescent="0.25">
      <c r="C629" t="str">
        <f>IF(SpaceHeater!A631&lt;&gt;"",SpaceHeater!A631,"")</f>
        <v/>
      </c>
    </row>
    <row r="630" spans="3:3" x14ac:dyDescent="0.25">
      <c r="C630" t="str">
        <f>IF(SpaceHeater!A632&lt;&gt;"",SpaceHeater!A632,"")</f>
        <v/>
      </c>
    </row>
    <row r="631" spans="3:3" x14ac:dyDescent="0.25">
      <c r="C631" t="str">
        <f>IF(SpaceHeater!A633&lt;&gt;"",SpaceHeater!A633,"")</f>
        <v/>
      </c>
    </row>
    <row r="632" spans="3:3" x14ac:dyDescent="0.25">
      <c r="C632" t="str">
        <f>IF(SpaceHeater!A634&lt;&gt;"",SpaceHeater!A634,"")</f>
        <v/>
      </c>
    </row>
    <row r="633" spans="3:3" x14ac:dyDescent="0.25">
      <c r="C633" t="str">
        <f>IF(SpaceHeater!A635&lt;&gt;"",SpaceHeater!A635,"")</f>
        <v/>
      </c>
    </row>
    <row r="634" spans="3:3" x14ac:dyDescent="0.25">
      <c r="C634" t="str">
        <f>IF(SpaceHeater!A636&lt;&gt;"",SpaceHeater!A636,"")</f>
        <v/>
      </c>
    </row>
    <row r="635" spans="3:3" x14ac:dyDescent="0.25">
      <c r="C635" t="str">
        <f>IF(SpaceHeater!A637&lt;&gt;"",SpaceHeater!A637,"")</f>
        <v/>
      </c>
    </row>
    <row r="636" spans="3:3" x14ac:dyDescent="0.25">
      <c r="C636" t="str">
        <f>IF(SpaceHeater!A638&lt;&gt;"",SpaceHeater!A638,"")</f>
        <v/>
      </c>
    </row>
    <row r="637" spans="3:3" x14ac:dyDescent="0.25">
      <c r="C637" t="str">
        <f>IF(SpaceHeater!A639&lt;&gt;"",SpaceHeater!A639,"")</f>
        <v/>
      </c>
    </row>
    <row r="638" spans="3:3" x14ac:dyDescent="0.25">
      <c r="C638" t="str">
        <f>IF(SpaceHeater!A640&lt;&gt;"",SpaceHeater!A640,"")</f>
        <v/>
      </c>
    </row>
    <row r="639" spans="3:3" x14ac:dyDescent="0.25">
      <c r="C639" t="str">
        <f>IF(SpaceHeater!A641&lt;&gt;"",SpaceHeater!A641,"")</f>
        <v/>
      </c>
    </row>
    <row r="640" spans="3:3" x14ac:dyDescent="0.25">
      <c r="C640" t="str">
        <f>IF(SpaceHeater!A642&lt;&gt;"",SpaceHeater!A642,"")</f>
        <v/>
      </c>
    </row>
    <row r="641" spans="3:3" x14ac:dyDescent="0.25">
      <c r="C641" t="str">
        <f>IF(SpaceHeater!A643&lt;&gt;"",SpaceHeater!A643,"")</f>
        <v/>
      </c>
    </row>
    <row r="642" spans="3:3" x14ac:dyDescent="0.25">
      <c r="C642" t="str">
        <f>IF(SpaceHeater!A644&lt;&gt;"",SpaceHeater!A644,"")</f>
        <v/>
      </c>
    </row>
    <row r="643" spans="3:3" x14ac:dyDescent="0.25">
      <c r="C643" t="str">
        <f>IF(SpaceHeater!A645&lt;&gt;"",SpaceHeater!A645,"")</f>
        <v/>
      </c>
    </row>
    <row r="644" spans="3:3" x14ac:dyDescent="0.25">
      <c r="C644" t="str">
        <f>IF(SpaceHeater!A646&lt;&gt;"",SpaceHeater!A646,"")</f>
        <v/>
      </c>
    </row>
    <row r="645" spans="3:3" x14ac:dyDescent="0.25">
      <c r="C645" t="str">
        <f>IF(SpaceHeater!A647&lt;&gt;"",SpaceHeater!A647,"")</f>
        <v/>
      </c>
    </row>
    <row r="646" spans="3:3" x14ac:dyDescent="0.25">
      <c r="C646" t="str">
        <f>IF(SpaceHeater!A648&lt;&gt;"",SpaceHeater!A648,"")</f>
        <v/>
      </c>
    </row>
    <row r="647" spans="3:3" x14ac:dyDescent="0.25">
      <c r="C647" t="str">
        <f>IF(SpaceHeater!A649&lt;&gt;"",SpaceHeater!A649,"")</f>
        <v/>
      </c>
    </row>
    <row r="648" spans="3:3" x14ac:dyDescent="0.25">
      <c r="C648" t="str">
        <f>IF(SpaceHeater!A650&lt;&gt;"",SpaceHeater!A650,"")</f>
        <v/>
      </c>
    </row>
    <row r="649" spans="3:3" x14ac:dyDescent="0.25">
      <c r="C649" t="str">
        <f>IF(SpaceHeater!A651&lt;&gt;"",SpaceHeater!A651,"")</f>
        <v/>
      </c>
    </row>
    <row r="650" spans="3:3" x14ac:dyDescent="0.25">
      <c r="C650" t="str">
        <f>IF(SpaceHeater!A652&lt;&gt;"",SpaceHeater!A652,"")</f>
        <v/>
      </c>
    </row>
    <row r="651" spans="3:3" x14ac:dyDescent="0.25">
      <c r="C651" t="str">
        <f>IF(SpaceHeater!A653&lt;&gt;"",SpaceHeater!A653,"")</f>
        <v/>
      </c>
    </row>
    <row r="652" spans="3:3" x14ac:dyDescent="0.25">
      <c r="C652" t="str">
        <f>IF(SpaceHeater!A654&lt;&gt;"",SpaceHeater!A654,"")</f>
        <v/>
      </c>
    </row>
    <row r="653" spans="3:3" x14ac:dyDescent="0.25">
      <c r="C653" t="str">
        <f>IF(SpaceHeater!A655&lt;&gt;"",SpaceHeater!A655,"")</f>
        <v/>
      </c>
    </row>
    <row r="654" spans="3:3" x14ac:dyDescent="0.25">
      <c r="C654" t="str">
        <f>IF(SpaceHeater!A656&lt;&gt;"",SpaceHeater!A656,"")</f>
        <v/>
      </c>
    </row>
    <row r="655" spans="3:3" x14ac:dyDescent="0.25">
      <c r="C655" t="str">
        <f>IF(SpaceHeater!A657&lt;&gt;"",SpaceHeater!A657,"")</f>
        <v/>
      </c>
    </row>
    <row r="656" spans="3:3" x14ac:dyDescent="0.25">
      <c r="C656" t="str">
        <f>IF(SpaceHeater!A658&lt;&gt;"",SpaceHeater!A658,"")</f>
        <v/>
      </c>
    </row>
    <row r="657" spans="3:3" x14ac:dyDescent="0.25">
      <c r="C657" t="str">
        <f>IF(SpaceHeater!A659&lt;&gt;"",SpaceHeater!A659,"")</f>
        <v/>
      </c>
    </row>
    <row r="658" spans="3:3" x14ac:dyDescent="0.25">
      <c r="C658" t="str">
        <f>IF(SpaceHeater!A660&lt;&gt;"",SpaceHeater!A660,"")</f>
        <v/>
      </c>
    </row>
    <row r="659" spans="3:3" x14ac:dyDescent="0.25">
      <c r="C659" t="str">
        <f>IF(SpaceHeater!A661&lt;&gt;"",SpaceHeater!A661,"")</f>
        <v/>
      </c>
    </row>
    <row r="660" spans="3:3" x14ac:dyDescent="0.25">
      <c r="C660" t="str">
        <f>IF(SpaceHeater!A662&lt;&gt;"",SpaceHeater!A662,"")</f>
        <v/>
      </c>
    </row>
    <row r="661" spans="3:3" x14ac:dyDescent="0.25">
      <c r="C661" t="str">
        <f>IF(SpaceHeater!A663&lt;&gt;"",SpaceHeater!A663,"")</f>
        <v/>
      </c>
    </row>
    <row r="662" spans="3:3" x14ac:dyDescent="0.25">
      <c r="C662" t="str">
        <f>IF(SpaceHeater!A664&lt;&gt;"",SpaceHeater!A664,"")</f>
        <v/>
      </c>
    </row>
    <row r="663" spans="3:3" x14ac:dyDescent="0.25">
      <c r="C663" t="str">
        <f>IF(SpaceHeater!A665&lt;&gt;"",SpaceHeater!A665,"")</f>
        <v/>
      </c>
    </row>
    <row r="664" spans="3:3" x14ac:dyDescent="0.25">
      <c r="C664" t="str">
        <f>IF(SpaceHeater!A666&lt;&gt;"",SpaceHeater!A666,"")</f>
        <v/>
      </c>
    </row>
    <row r="665" spans="3:3" x14ac:dyDescent="0.25">
      <c r="C665" t="str">
        <f>IF(SpaceHeater!A667&lt;&gt;"",SpaceHeater!A667,"")</f>
        <v/>
      </c>
    </row>
    <row r="666" spans="3:3" x14ac:dyDescent="0.25">
      <c r="C666" t="str">
        <f>IF(SpaceHeater!A668&lt;&gt;"",SpaceHeater!A668,"")</f>
        <v/>
      </c>
    </row>
    <row r="667" spans="3:3" x14ac:dyDescent="0.25">
      <c r="C667" t="str">
        <f>IF(SpaceHeater!A669&lt;&gt;"",SpaceHeater!A669,"")</f>
        <v/>
      </c>
    </row>
    <row r="668" spans="3:3" x14ac:dyDescent="0.25">
      <c r="C668" t="str">
        <f>IF(SpaceHeater!A670&lt;&gt;"",SpaceHeater!A670,"")</f>
        <v/>
      </c>
    </row>
    <row r="669" spans="3:3" x14ac:dyDescent="0.25">
      <c r="C669" t="str">
        <f>IF(SpaceHeater!A671&lt;&gt;"",SpaceHeater!A671,"")</f>
        <v/>
      </c>
    </row>
    <row r="670" spans="3:3" x14ac:dyDescent="0.25">
      <c r="C670" t="str">
        <f>IF(SpaceHeater!A672&lt;&gt;"",SpaceHeater!A672,"")</f>
        <v/>
      </c>
    </row>
    <row r="671" spans="3:3" x14ac:dyDescent="0.25">
      <c r="C671" t="str">
        <f>IF(SpaceHeater!A673&lt;&gt;"",SpaceHeater!A673,"")</f>
        <v/>
      </c>
    </row>
    <row r="672" spans="3:3" x14ac:dyDescent="0.25">
      <c r="C672" t="str">
        <f>IF(SpaceHeater!A674&lt;&gt;"",SpaceHeater!A674,"")</f>
        <v/>
      </c>
    </row>
    <row r="673" spans="3:3" x14ac:dyDescent="0.25">
      <c r="C673" t="str">
        <f>IF(SpaceHeater!A675&lt;&gt;"",SpaceHeater!A675,"")</f>
        <v/>
      </c>
    </row>
    <row r="674" spans="3:3" x14ac:dyDescent="0.25">
      <c r="C674" t="str">
        <f>IF(SpaceHeater!A676&lt;&gt;"",SpaceHeater!A676,"")</f>
        <v/>
      </c>
    </row>
    <row r="675" spans="3:3" x14ac:dyDescent="0.25">
      <c r="C675" t="str">
        <f>IF(SpaceHeater!A677&lt;&gt;"",SpaceHeater!A677,"")</f>
        <v/>
      </c>
    </row>
    <row r="676" spans="3:3" x14ac:dyDescent="0.25">
      <c r="C676" t="str">
        <f>IF(SpaceHeater!A678&lt;&gt;"",SpaceHeater!A678,"")</f>
        <v/>
      </c>
    </row>
    <row r="677" spans="3:3" x14ac:dyDescent="0.25">
      <c r="C677" t="str">
        <f>IF(SpaceHeater!A679&lt;&gt;"",SpaceHeater!A679,"")</f>
        <v/>
      </c>
    </row>
    <row r="678" spans="3:3" x14ac:dyDescent="0.25">
      <c r="C678" t="str">
        <f>IF(SpaceHeater!A680&lt;&gt;"",SpaceHeater!A680,"")</f>
        <v/>
      </c>
    </row>
    <row r="679" spans="3:3" x14ac:dyDescent="0.25">
      <c r="C679" t="str">
        <f>IF(SpaceHeater!A681&lt;&gt;"",SpaceHeater!A681,"")</f>
        <v/>
      </c>
    </row>
    <row r="680" spans="3:3" x14ac:dyDescent="0.25">
      <c r="C680" t="str">
        <f>IF(SpaceHeater!A682&lt;&gt;"",SpaceHeater!A682,"")</f>
        <v/>
      </c>
    </row>
    <row r="681" spans="3:3" x14ac:dyDescent="0.25">
      <c r="C681" t="str">
        <f>IF(SpaceHeater!A683&lt;&gt;"",SpaceHeater!A683,"")</f>
        <v/>
      </c>
    </row>
    <row r="682" spans="3:3" x14ac:dyDescent="0.25">
      <c r="C682" t="str">
        <f>IF(SpaceHeater!A684&lt;&gt;"",SpaceHeater!A684,"")</f>
        <v/>
      </c>
    </row>
    <row r="683" spans="3:3" x14ac:dyDescent="0.25">
      <c r="C683" t="str">
        <f>IF(SpaceHeater!A685&lt;&gt;"",SpaceHeater!A685,"")</f>
        <v/>
      </c>
    </row>
    <row r="684" spans="3:3" x14ac:dyDescent="0.25">
      <c r="C684" t="str">
        <f>IF(SpaceHeater!A686&lt;&gt;"",SpaceHeater!A686,"")</f>
        <v/>
      </c>
    </row>
    <row r="685" spans="3:3" x14ac:dyDescent="0.25">
      <c r="C685" t="str">
        <f>IF(SpaceHeater!A687&lt;&gt;"",SpaceHeater!A687,"")</f>
        <v/>
      </c>
    </row>
    <row r="686" spans="3:3" x14ac:dyDescent="0.25">
      <c r="C686" t="str">
        <f>IF(SpaceHeater!A688&lt;&gt;"",SpaceHeater!A688,"")</f>
        <v/>
      </c>
    </row>
    <row r="687" spans="3:3" x14ac:dyDescent="0.25">
      <c r="C687" t="str">
        <f>IF(SpaceHeater!A689&lt;&gt;"",SpaceHeater!A689,"")</f>
        <v/>
      </c>
    </row>
    <row r="688" spans="3:3" x14ac:dyDescent="0.25">
      <c r="C688" t="str">
        <f>IF(SpaceHeater!A690&lt;&gt;"",SpaceHeater!A690,"")</f>
        <v/>
      </c>
    </row>
    <row r="689" spans="3:3" x14ac:dyDescent="0.25">
      <c r="C689" t="str">
        <f>IF(SpaceHeater!A691&lt;&gt;"",SpaceHeater!A691,"")</f>
        <v/>
      </c>
    </row>
    <row r="690" spans="3:3" x14ac:dyDescent="0.25">
      <c r="C690" t="str">
        <f>IF(SpaceHeater!A692&lt;&gt;"",SpaceHeater!A692,"")</f>
        <v/>
      </c>
    </row>
    <row r="691" spans="3:3" x14ac:dyDescent="0.25">
      <c r="C691" t="str">
        <f>IF(SpaceHeater!A693&lt;&gt;"",SpaceHeater!A693,"")</f>
        <v/>
      </c>
    </row>
    <row r="692" spans="3:3" x14ac:dyDescent="0.25">
      <c r="C692" t="str">
        <f>IF(SpaceHeater!A694&lt;&gt;"",SpaceHeater!A694,"")</f>
        <v/>
      </c>
    </row>
    <row r="693" spans="3:3" x14ac:dyDescent="0.25">
      <c r="C693" t="str">
        <f>IF(SpaceHeater!A695&lt;&gt;"",SpaceHeater!A695,"")</f>
        <v/>
      </c>
    </row>
    <row r="694" spans="3:3" x14ac:dyDescent="0.25">
      <c r="C694" t="str">
        <f>IF(SpaceHeater!A696&lt;&gt;"",SpaceHeater!A696,"")</f>
        <v/>
      </c>
    </row>
    <row r="695" spans="3:3" x14ac:dyDescent="0.25">
      <c r="C695" t="str">
        <f>IF(SpaceHeater!A697&lt;&gt;"",SpaceHeater!A697,"")</f>
        <v/>
      </c>
    </row>
    <row r="696" spans="3:3" x14ac:dyDescent="0.25">
      <c r="C696" t="str">
        <f>IF(SpaceHeater!A698&lt;&gt;"",SpaceHeater!A698,"")</f>
        <v/>
      </c>
    </row>
    <row r="697" spans="3:3" x14ac:dyDescent="0.25">
      <c r="C697" t="str">
        <f>IF(SpaceHeater!A699&lt;&gt;"",SpaceHeater!A699,"")</f>
        <v/>
      </c>
    </row>
    <row r="698" spans="3:3" x14ac:dyDescent="0.25">
      <c r="C698" t="str">
        <f>IF(SpaceHeater!A700&lt;&gt;"",SpaceHeater!A700,"")</f>
        <v/>
      </c>
    </row>
    <row r="699" spans="3:3" x14ac:dyDescent="0.25">
      <c r="C699" t="str">
        <f>IF(SpaceHeater!A701&lt;&gt;"",SpaceHeater!A701,"")</f>
        <v/>
      </c>
    </row>
    <row r="700" spans="3:3" x14ac:dyDescent="0.25">
      <c r="C700" t="str">
        <f>IF(SpaceHeater!A702&lt;&gt;"",SpaceHeater!A702,"")</f>
        <v/>
      </c>
    </row>
    <row r="701" spans="3:3" x14ac:dyDescent="0.25">
      <c r="C701" t="str">
        <f>IF(SpaceHeater!A703&lt;&gt;"",SpaceHeater!A703,"")</f>
        <v/>
      </c>
    </row>
    <row r="702" spans="3:3" x14ac:dyDescent="0.25">
      <c r="C702" t="str">
        <f>IF(SpaceHeater!A704&lt;&gt;"",SpaceHeater!A704,"")</f>
        <v/>
      </c>
    </row>
    <row r="703" spans="3:3" x14ac:dyDescent="0.25">
      <c r="C703" t="str">
        <f>IF(SpaceHeater!A705&lt;&gt;"",SpaceHeater!A705,"")</f>
        <v/>
      </c>
    </row>
    <row r="704" spans="3:3" x14ac:dyDescent="0.25">
      <c r="C704" t="str">
        <f>IF(SpaceHeater!A706&lt;&gt;"",SpaceHeater!A706,"")</f>
        <v/>
      </c>
    </row>
    <row r="705" spans="3:3" x14ac:dyDescent="0.25">
      <c r="C705" t="str">
        <f>IF(SpaceHeater!A707&lt;&gt;"",SpaceHeater!A707,"")</f>
        <v/>
      </c>
    </row>
    <row r="706" spans="3:3" x14ac:dyDescent="0.25">
      <c r="C706" t="str">
        <f>IF(SpaceHeater!A708&lt;&gt;"",SpaceHeater!A708,"")</f>
        <v/>
      </c>
    </row>
    <row r="707" spans="3:3" x14ac:dyDescent="0.25">
      <c r="C707" t="str">
        <f>IF(SpaceHeater!A709&lt;&gt;"",SpaceHeater!A709,"")</f>
        <v/>
      </c>
    </row>
    <row r="708" spans="3:3" x14ac:dyDescent="0.25">
      <c r="C708" t="str">
        <f>IF(SpaceHeater!A710&lt;&gt;"",SpaceHeater!A710,"")</f>
        <v/>
      </c>
    </row>
    <row r="709" spans="3:3" x14ac:dyDescent="0.25">
      <c r="C709" t="str">
        <f>IF(SpaceHeater!A711&lt;&gt;"",SpaceHeater!A711,"")</f>
        <v/>
      </c>
    </row>
    <row r="710" spans="3:3" x14ac:dyDescent="0.25">
      <c r="C710" t="str">
        <f>IF(SpaceHeater!A712&lt;&gt;"",SpaceHeater!A712,"")</f>
        <v/>
      </c>
    </row>
    <row r="711" spans="3:3" x14ac:dyDescent="0.25">
      <c r="C711" t="str">
        <f>IF(SpaceHeater!A713&lt;&gt;"",SpaceHeater!A713,"")</f>
        <v/>
      </c>
    </row>
    <row r="712" spans="3:3" x14ac:dyDescent="0.25">
      <c r="C712" t="str">
        <f>IF(SpaceHeater!A714&lt;&gt;"",SpaceHeater!A714,"")</f>
        <v/>
      </c>
    </row>
    <row r="713" spans="3:3" x14ac:dyDescent="0.25">
      <c r="C713" t="str">
        <f>IF(SpaceHeater!A715&lt;&gt;"",SpaceHeater!A715,"")</f>
        <v/>
      </c>
    </row>
    <row r="714" spans="3:3" x14ac:dyDescent="0.25">
      <c r="C714" t="str">
        <f>IF(SpaceHeater!A716&lt;&gt;"",SpaceHeater!A716,"")</f>
        <v/>
      </c>
    </row>
    <row r="715" spans="3:3" x14ac:dyDescent="0.25">
      <c r="C715" t="str">
        <f>IF(SpaceHeater!A717&lt;&gt;"",SpaceHeater!A717,"")</f>
        <v/>
      </c>
    </row>
    <row r="716" spans="3:3" x14ac:dyDescent="0.25">
      <c r="C716" t="str">
        <f>IF(SpaceHeater!A718&lt;&gt;"",SpaceHeater!A718,"")</f>
        <v/>
      </c>
    </row>
    <row r="717" spans="3:3" x14ac:dyDescent="0.25">
      <c r="C717" t="str">
        <f>IF(SpaceHeater!A719&lt;&gt;"",SpaceHeater!A719,"")</f>
        <v/>
      </c>
    </row>
    <row r="718" spans="3:3" x14ac:dyDescent="0.25">
      <c r="C718" t="str">
        <f>IF(SpaceHeater!A720&lt;&gt;"",SpaceHeater!A720,"")</f>
        <v/>
      </c>
    </row>
    <row r="719" spans="3:3" x14ac:dyDescent="0.25">
      <c r="C719" t="str">
        <f>IF(SpaceHeater!A721&lt;&gt;"",SpaceHeater!A721,"")</f>
        <v/>
      </c>
    </row>
    <row r="720" spans="3:3" x14ac:dyDescent="0.25">
      <c r="C720" t="str">
        <f>IF(SpaceHeater!A722&lt;&gt;"",SpaceHeater!A722,"")</f>
        <v/>
      </c>
    </row>
    <row r="721" spans="3:3" x14ac:dyDescent="0.25">
      <c r="C721" t="str">
        <f>IF(SpaceHeater!A723&lt;&gt;"",SpaceHeater!A723,"")</f>
        <v/>
      </c>
    </row>
    <row r="722" spans="3:3" x14ac:dyDescent="0.25">
      <c r="C722" t="str">
        <f>IF(SpaceHeater!A724&lt;&gt;"",SpaceHeater!A724,"")</f>
        <v/>
      </c>
    </row>
    <row r="723" spans="3:3" x14ac:dyDescent="0.25">
      <c r="C723" t="str">
        <f>IF(SpaceHeater!A725&lt;&gt;"",SpaceHeater!A725,"")</f>
        <v/>
      </c>
    </row>
    <row r="724" spans="3:3" x14ac:dyDescent="0.25">
      <c r="C724" t="str">
        <f>IF(SpaceHeater!A726&lt;&gt;"",SpaceHeater!A726,"")</f>
        <v/>
      </c>
    </row>
    <row r="725" spans="3:3" x14ac:dyDescent="0.25">
      <c r="C725" t="str">
        <f>IF(SpaceHeater!A727&lt;&gt;"",SpaceHeater!A727,"")</f>
        <v/>
      </c>
    </row>
    <row r="726" spans="3:3" x14ac:dyDescent="0.25">
      <c r="C726" t="str">
        <f>IF(SpaceHeater!A728&lt;&gt;"",SpaceHeater!A728,"")</f>
        <v/>
      </c>
    </row>
    <row r="727" spans="3:3" x14ac:dyDescent="0.25">
      <c r="C727" t="str">
        <f>IF(SpaceHeater!A729&lt;&gt;"",SpaceHeater!A729,"")</f>
        <v/>
      </c>
    </row>
    <row r="728" spans="3:3" x14ac:dyDescent="0.25">
      <c r="C728" t="str">
        <f>IF(SpaceHeater!A730&lt;&gt;"",SpaceHeater!A730,"")</f>
        <v/>
      </c>
    </row>
    <row r="729" spans="3:3" x14ac:dyDescent="0.25">
      <c r="C729" t="str">
        <f>IF(SpaceHeater!A731&lt;&gt;"",SpaceHeater!A731,"")</f>
        <v/>
      </c>
    </row>
    <row r="730" spans="3:3" x14ac:dyDescent="0.25">
      <c r="C730" t="str">
        <f>IF(SpaceHeater!A732&lt;&gt;"",SpaceHeater!A732,"")</f>
        <v/>
      </c>
    </row>
    <row r="731" spans="3:3" x14ac:dyDescent="0.25">
      <c r="C731" t="str">
        <f>IF(SpaceHeater!A733&lt;&gt;"",SpaceHeater!A733,"")</f>
        <v/>
      </c>
    </row>
    <row r="732" spans="3:3" x14ac:dyDescent="0.25">
      <c r="C732" t="str">
        <f>IF(SpaceHeater!A734&lt;&gt;"",SpaceHeater!A734,"")</f>
        <v/>
      </c>
    </row>
    <row r="733" spans="3:3" x14ac:dyDescent="0.25">
      <c r="C733" t="str">
        <f>IF(SpaceHeater!A735&lt;&gt;"",SpaceHeater!A735,"")</f>
        <v/>
      </c>
    </row>
    <row r="734" spans="3:3" x14ac:dyDescent="0.25">
      <c r="C734" t="str">
        <f>IF(SpaceHeater!A736&lt;&gt;"",SpaceHeater!A736,"")</f>
        <v/>
      </c>
    </row>
    <row r="735" spans="3:3" x14ac:dyDescent="0.25">
      <c r="C735" t="str">
        <f>IF(SpaceHeater!A737&lt;&gt;"",SpaceHeater!A737,"")</f>
        <v/>
      </c>
    </row>
    <row r="736" spans="3:3" x14ac:dyDescent="0.25">
      <c r="C736" t="str">
        <f>IF(SpaceHeater!A738&lt;&gt;"",SpaceHeater!A738,"")</f>
        <v/>
      </c>
    </row>
    <row r="737" spans="3:3" x14ac:dyDescent="0.25">
      <c r="C737" t="str">
        <f>IF(SpaceHeater!A739&lt;&gt;"",SpaceHeater!A739,"")</f>
        <v/>
      </c>
    </row>
    <row r="738" spans="3:3" x14ac:dyDescent="0.25">
      <c r="C738" t="str">
        <f>IF(SpaceHeater!A740&lt;&gt;"",SpaceHeater!A740,"")</f>
        <v/>
      </c>
    </row>
    <row r="739" spans="3:3" x14ac:dyDescent="0.25">
      <c r="C739" t="str">
        <f>IF(SpaceHeater!A741&lt;&gt;"",SpaceHeater!A741,"")</f>
        <v/>
      </c>
    </row>
    <row r="740" spans="3:3" x14ac:dyDescent="0.25">
      <c r="C740" t="str">
        <f>IF(SpaceHeater!A742&lt;&gt;"",SpaceHeater!A742,"")</f>
        <v/>
      </c>
    </row>
    <row r="741" spans="3:3" x14ac:dyDescent="0.25">
      <c r="C741" t="str">
        <f>IF(SpaceHeater!A743&lt;&gt;"",SpaceHeater!A743,"")</f>
        <v/>
      </c>
    </row>
    <row r="742" spans="3:3" x14ac:dyDescent="0.25">
      <c r="C742" t="str">
        <f>IF(SpaceHeater!A744&lt;&gt;"",SpaceHeater!A744,"")</f>
        <v/>
      </c>
    </row>
    <row r="743" spans="3:3" x14ac:dyDescent="0.25">
      <c r="C743" t="str">
        <f>IF(SpaceHeater!A745&lt;&gt;"",SpaceHeater!A745,"")</f>
        <v/>
      </c>
    </row>
    <row r="744" spans="3:3" x14ac:dyDescent="0.25">
      <c r="C744" t="str">
        <f>IF(SpaceHeater!A746&lt;&gt;"",SpaceHeater!A746,"")</f>
        <v/>
      </c>
    </row>
    <row r="745" spans="3:3" x14ac:dyDescent="0.25">
      <c r="C745" t="str">
        <f>IF(SpaceHeater!A747&lt;&gt;"",SpaceHeater!A747,"")</f>
        <v/>
      </c>
    </row>
    <row r="746" spans="3:3" x14ac:dyDescent="0.25">
      <c r="C746" t="str">
        <f>IF(SpaceHeater!A748&lt;&gt;"",SpaceHeater!A748,"")</f>
        <v/>
      </c>
    </row>
    <row r="747" spans="3:3" x14ac:dyDescent="0.25">
      <c r="C747" t="str">
        <f>IF(SpaceHeater!A749&lt;&gt;"",SpaceHeater!A749,"")</f>
        <v/>
      </c>
    </row>
    <row r="748" spans="3:3" x14ac:dyDescent="0.25">
      <c r="C748" t="str">
        <f>IF(SpaceHeater!A750&lt;&gt;"",SpaceHeater!A750,"")</f>
        <v/>
      </c>
    </row>
    <row r="749" spans="3:3" x14ac:dyDescent="0.25">
      <c r="C749" t="str">
        <f>IF(SpaceHeater!A751&lt;&gt;"",SpaceHeater!A751,"")</f>
        <v/>
      </c>
    </row>
    <row r="750" spans="3:3" x14ac:dyDescent="0.25">
      <c r="C750" t="str">
        <f>IF(SpaceHeater!A752&lt;&gt;"",SpaceHeater!A752,"")</f>
        <v/>
      </c>
    </row>
    <row r="751" spans="3:3" x14ac:dyDescent="0.25">
      <c r="C751" t="str">
        <f>IF(SpaceHeater!A753&lt;&gt;"",SpaceHeater!A753,"")</f>
        <v/>
      </c>
    </row>
    <row r="752" spans="3:3" x14ac:dyDescent="0.25">
      <c r="C752" t="str">
        <f>IF(SpaceHeater!A754&lt;&gt;"",SpaceHeater!A754,"")</f>
        <v/>
      </c>
    </row>
    <row r="753" spans="3:3" x14ac:dyDescent="0.25">
      <c r="C753" t="str">
        <f>IF(SpaceHeater!A755&lt;&gt;"",SpaceHeater!A755,"")</f>
        <v/>
      </c>
    </row>
    <row r="754" spans="3:3" x14ac:dyDescent="0.25">
      <c r="C754" t="str">
        <f>IF(SpaceHeater!A756&lt;&gt;"",SpaceHeater!A756,"")</f>
        <v/>
      </c>
    </row>
    <row r="755" spans="3:3" x14ac:dyDescent="0.25">
      <c r="C755" t="str">
        <f>IF(SpaceHeater!A757&lt;&gt;"",SpaceHeater!A757,"")</f>
        <v/>
      </c>
    </row>
    <row r="756" spans="3:3" x14ac:dyDescent="0.25">
      <c r="C756" t="str">
        <f>IF(SpaceHeater!A758&lt;&gt;"",SpaceHeater!A758,"")</f>
        <v/>
      </c>
    </row>
    <row r="757" spans="3:3" x14ac:dyDescent="0.25">
      <c r="C757" t="str">
        <f>IF(SpaceHeater!A759&lt;&gt;"",SpaceHeater!A759,"")</f>
        <v/>
      </c>
    </row>
    <row r="758" spans="3:3" x14ac:dyDescent="0.25">
      <c r="C758" t="str">
        <f>IF(SpaceHeater!A760&lt;&gt;"",SpaceHeater!A760,"")</f>
        <v/>
      </c>
    </row>
    <row r="759" spans="3:3" x14ac:dyDescent="0.25">
      <c r="C759" t="str">
        <f>IF(SpaceHeater!A761&lt;&gt;"",SpaceHeater!A761,"")</f>
        <v/>
      </c>
    </row>
    <row r="760" spans="3:3" x14ac:dyDescent="0.25">
      <c r="C760" t="str">
        <f>IF(SpaceHeater!A762&lt;&gt;"",SpaceHeater!A762,"")</f>
        <v/>
      </c>
    </row>
    <row r="761" spans="3:3" x14ac:dyDescent="0.25">
      <c r="C761" t="str">
        <f>IF(SpaceHeater!A763&lt;&gt;"",SpaceHeater!A763,"")</f>
        <v/>
      </c>
    </row>
    <row r="762" spans="3:3" x14ac:dyDescent="0.25">
      <c r="C762" t="str">
        <f>IF(SpaceHeater!A764&lt;&gt;"",SpaceHeater!A764,"")</f>
        <v/>
      </c>
    </row>
    <row r="763" spans="3:3" x14ac:dyDescent="0.25">
      <c r="C763" t="str">
        <f>IF(SpaceHeater!A765&lt;&gt;"",SpaceHeater!A765,"")</f>
        <v/>
      </c>
    </row>
    <row r="764" spans="3:3" x14ac:dyDescent="0.25">
      <c r="C764" t="str">
        <f>IF(SpaceHeater!A766&lt;&gt;"",SpaceHeater!A766,"")</f>
        <v/>
      </c>
    </row>
    <row r="765" spans="3:3" x14ac:dyDescent="0.25">
      <c r="C765" t="str">
        <f>IF(SpaceHeater!A767&lt;&gt;"",SpaceHeater!A767,"")</f>
        <v/>
      </c>
    </row>
    <row r="766" spans="3:3" x14ac:dyDescent="0.25">
      <c r="C766" t="str">
        <f>IF(SpaceHeater!A768&lt;&gt;"",SpaceHeater!A768,"")</f>
        <v/>
      </c>
    </row>
    <row r="767" spans="3:3" x14ac:dyDescent="0.25">
      <c r="C767" t="str">
        <f>IF(SpaceHeater!A769&lt;&gt;"",SpaceHeater!A769,"")</f>
        <v/>
      </c>
    </row>
    <row r="768" spans="3:3" x14ac:dyDescent="0.25">
      <c r="C768" t="str">
        <f>IF(SpaceHeater!A770&lt;&gt;"",SpaceHeater!A770,"")</f>
        <v/>
      </c>
    </row>
    <row r="769" spans="3:3" x14ac:dyDescent="0.25">
      <c r="C769" t="str">
        <f>IF(SpaceHeater!A771&lt;&gt;"",SpaceHeater!A771,"")</f>
        <v/>
      </c>
    </row>
    <row r="770" spans="3:3" x14ac:dyDescent="0.25">
      <c r="C770" t="str">
        <f>IF(SpaceHeater!A772&lt;&gt;"",SpaceHeater!A772,"")</f>
        <v/>
      </c>
    </row>
    <row r="771" spans="3:3" x14ac:dyDescent="0.25">
      <c r="C771" t="str">
        <f>IF(SpaceHeater!A773&lt;&gt;"",SpaceHeater!A773,"")</f>
        <v/>
      </c>
    </row>
    <row r="772" spans="3:3" x14ac:dyDescent="0.25">
      <c r="C772" t="str">
        <f>IF(SpaceHeater!A774&lt;&gt;"",SpaceHeater!A774,"")</f>
        <v/>
      </c>
    </row>
    <row r="773" spans="3:3" x14ac:dyDescent="0.25">
      <c r="C773" t="str">
        <f>IF(SpaceHeater!A775&lt;&gt;"",SpaceHeater!A775,"")</f>
        <v/>
      </c>
    </row>
    <row r="774" spans="3:3" x14ac:dyDescent="0.25">
      <c r="C774" t="str">
        <f>IF(SpaceHeater!A776&lt;&gt;"",SpaceHeater!A776,"")</f>
        <v/>
      </c>
    </row>
    <row r="775" spans="3:3" x14ac:dyDescent="0.25">
      <c r="C775" t="str">
        <f>IF(SpaceHeater!A777&lt;&gt;"",SpaceHeater!A777,"")</f>
        <v/>
      </c>
    </row>
    <row r="776" spans="3:3" x14ac:dyDescent="0.25">
      <c r="C776" t="str">
        <f>IF(SpaceHeater!A778&lt;&gt;"",SpaceHeater!A778,"")</f>
        <v/>
      </c>
    </row>
    <row r="777" spans="3:3" x14ac:dyDescent="0.25">
      <c r="C777" t="str">
        <f>IF(SpaceHeater!A779&lt;&gt;"",SpaceHeater!A779,"")</f>
        <v/>
      </c>
    </row>
    <row r="778" spans="3:3" x14ac:dyDescent="0.25">
      <c r="C778" t="str">
        <f>IF(SpaceHeater!A780&lt;&gt;"",SpaceHeater!A780,"")</f>
        <v/>
      </c>
    </row>
    <row r="779" spans="3:3" x14ac:dyDescent="0.25">
      <c r="C779" t="str">
        <f>IF(SpaceHeater!A781&lt;&gt;"",SpaceHeater!A781,"")</f>
        <v/>
      </c>
    </row>
    <row r="780" spans="3:3" x14ac:dyDescent="0.25">
      <c r="C780" t="str">
        <f>IF(SpaceHeater!A782&lt;&gt;"",SpaceHeater!A782,"")</f>
        <v/>
      </c>
    </row>
    <row r="781" spans="3:3" x14ac:dyDescent="0.25">
      <c r="C781" t="str">
        <f>IF(SpaceHeater!A783&lt;&gt;"",SpaceHeater!A783,"")</f>
        <v/>
      </c>
    </row>
    <row r="782" spans="3:3" x14ac:dyDescent="0.25">
      <c r="C782" t="str">
        <f>IF(SpaceHeater!A784&lt;&gt;"",SpaceHeater!A784,"")</f>
        <v/>
      </c>
    </row>
    <row r="783" spans="3:3" x14ac:dyDescent="0.25">
      <c r="C783" t="str">
        <f>IF(SpaceHeater!A785&lt;&gt;"",SpaceHeater!A785,"")</f>
        <v/>
      </c>
    </row>
    <row r="784" spans="3:3" x14ac:dyDescent="0.25">
      <c r="C784" t="str">
        <f>IF(SpaceHeater!A786&lt;&gt;"",SpaceHeater!A786,"")</f>
        <v/>
      </c>
    </row>
    <row r="785" spans="3:3" x14ac:dyDescent="0.25">
      <c r="C785" t="str">
        <f>IF(SpaceHeater!A787&lt;&gt;"",SpaceHeater!A787,"")</f>
        <v/>
      </c>
    </row>
    <row r="786" spans="3:3" x14ac:dyDescent="0.25">
      <c r="C786" t="str">
        <f>IF(SpaceHeater!A788&lt;&gt;"",SpaceHeater!A788,"")</f>
        <v/>
      </c>
    </row>
    <row r="787" spans="3:3" x14ac:dyDescent="0.25">
      <c r="C787" t="str">
        <f>IF(SpaceHeater!A789&lt;&gt;"",SpaceHeater!A789,"")</f>
        <v/>
      </c>
    </row>
    <row r="788" spans="3:3" x14ac:dyDescent="0.25">
      <c r="C788" t="str">
        <f>IF(SpaceHeater!A790&lt;&gt;"",SpaceHeater!A790,"")</f>
        <v/>
      </c>
    </row>
    <row r="789" spans="3:3" x14ac:dyDescent="0.25">
      <c r="C789" t="str">
        <f>IF(SpaceHeater!A791&lt;&gt;"",SpaceHeater!A791,"")</f>
        <v/>
      </c>
    </row>
    <row r="790" spans="3:3" x14ac:dyDescent="0.25">
      <c r="C790" t="str">
        <f>IF(SpaceHeater!A792&lt;&gt;"",SpaceHeater!A792,"")</f>
        <v/>
      </c>
    </row>
    <row r="791" spans="3:3" x14ac:dyDescent="0.25">
      <c r="C791" t="str">
        <f>IF(SpaceHeater!A793&lt;&gt;"",SpaceHeater!A793,"")</f>
        <v/>
      </c>
    </row>
    <row r="792" spans="3:3" x14ac:dyDescent="0.25">
      <c r="C792" t="str">
        <f>IF(SpaceHeater!A794&lt;&gt;"",SpaceHeater!A794,"")</f>
        <v/>
      </c>
    </row>
    <row r="793" spans="3:3" x14ac:dyDescent="0.25">
      <c r="C793" t="str">
        <f>IF(SpaceHeater!A795&lt;&gt;"",SpaceHeater!A795,"")</f>
        <v/>
      </c>
    </row>
    <row r="794" spans="3:3" x14ac:dyDescent="0.25">
      <c r="C794" t="str">
        <f>IF(SpaceHeater!A796&lt;&gt;"",SpaceHeater!A796,"")</f>
        <v/>
      </c>
    </row>
    <row r="795" spans="3:3" x14ac:dyDescent="0.25">
      <c r="C795" t="str">
        <f>IF(SpaceHeater!A797&lt;&gt;"",SpaceHeater!A797,"")</f>
        <v/>
      </c>
    </row>
    <row r="796" spans="3:3" x14ac:dyDescent="0.25">
      <c r="C796" t="str">
        <f>IF(SpaceHeater!A798&lt;&gt;"",SpaceHeater!A798,"")</f>
        <v/>
      </c>
    </row>
    <row r="797" spans="3:3" x14ac:dyDescent="0.25">
      <c r="C797" t="str">
        <f>IF(SpaceHeater!A799&lt;&gt;"",SpaceHeater!A799,"")</f>
        <v/>
      </c>
    </row>
    <row r="798" spans="3:3" x14ac:dyDescent="0.25">
      <c r="C798" t="str">
        <f>IF(SpaceHeater!A800&lt;&gt;"",SpaceHeater!A800,"")</f>
        <v/>
      </c>
    </row>
    <row r="799" spans="3:3" x14ac:dyDescent="0.25">
      <c r="C799" t="str">
        <f>IF(SpaceHeater!A801&lt;&gt;"",SpaceHeater!A801,"")</f>
        <v/>
      </c>
    </row>
    <row r="800" spans="3:3" x14ac:dyDescent="0.25">
      <c r="C800" t="str">
        <f>IF(SpaceHeater!A802&lt;&gt;"",SpaceHeater!A802,"")</f>
        <v/>
      </c>
    </row>
    <row r="801" spans="3:3" x14ac:dyDescent="0.25">
      <c r="C801" t="str">
        <f>IF(SpaceHeater!A803&lt;&gt;"",SpaceHeater!A803,"")</f>
        <v/>
      </c>
    </row>
    <row r="802" spans="3:3" x14ac:dyDescent="0.25">
      <c r="C802" t="str">
        <f>IF(SpaceHeater!A804&lt;&gt;"",SpaceHeater!A804,"")</f>
        <v/>
      </c>
    </row>
    <row r="803" spans="3:3" x14ac:dyDescent="0.25">
      <c r="C803" t="str">
        <f>IF(SpaceHeater!A805&lt;&gt;"",SpaceHeater!A805,"")</f>
        <v/>
      </c>
    </row>
    <row r="804" spans="3:3" x14ac:dyDescent="0.25">
      <c r="C804" t="str">
        <f>IF(SpaceHeater!A806&lt;&gt;"",SpaceHeater!A806,"")</f>
        <v/>
      </c>
    </row>
    <row r="805" spans="3:3" x14ac:dyDescent="0.25">
      <c r="C805" t="str">
        <f>IF(SpaceHeater!A807&lt;&gt;"",SpaceHeater!A807,"")</f>
        <v/>
      </c>
    </row>
    <row r="806" spans="3:3" x14ac:dyDescent="0.25">
      <c r="C806" t="str">
        <f>IF(SpaceHeater!A808&lt;&gt;"",SpaceHeater!A808,"")</f>
        <v/>
      </c>
    </row>
    <row r="807" spans="3:3" x14ac:dyDescent="0.25">
      <c r="C807" t="str">
        <f>IF(SpaceHeater!A809&lt;&gt;"",SpaceHeater!A809,"")</f>
        <v/>
      </c>
    </row>
    <row r="808" spans="3:3" x14ac:dyDescent="0.25">
      <c r="C808" t="str">
        <f>IF(SpaceHeater!A810&lt;&gt;"",SpaceHeater!A810,"")</f>
        <v/>
      </c>
    </row>
    <row r="809" spans="3:3" x14ac:dyDescent="0.25">
      <c r="C809" t="str">
        <f>IF(SpaceHeater!A811&lt;&gt;"",SpaceHeater!A811,"")</f>
        <v/>
      </c>
    </row>
    <row r="810" spans="3:3" x14ac:dyDescent="0.25">
      <c r="C810" t="str">
        <f>IF(SpaceHeater!A812&lt;&gt;"",SpaceHeater!A812,"")</f>
        <v/>
      </c>
    </row>
    <row r="811" spans="3:3" x14ac:dyDescent="0.25">
      <c r="C811" t="str">
        <f>IF(SpaceHeater!A813&lt;&gt;"",SpaceHeater!A813,"")</f>
        <v/>
      </c>
    </row>
    <row r="812" spans="3:3" x14ac:dyDescent="0.25">
      <c r="C812" t="str">
        <f>IF(SpaceHeater!A814&lt;&gt;"",SpaceHeater!A814,"")</f>
        <v/>
      </c>
    </row>
    <row r="813" spans="3:3" x14ac:dyDescent="0.25">
      <c r="C813" t="str">
        <f>IF(SpaceHeater!A815&lt;&gt;"",SpaceHeater!A815,"")</f>
        <v/>
      </c>
    </row>
    <row r="814" spans="3:3" x14ac:dyDescent="0.25">
      <c r="C814" t="str">
        <f>IF(SpaceHeater!A816&lt;&gt;"",SpaceHeater!A816,"")</f>
        <v/>
      </c>
    </row>
    <row r="815" spans="3:3" x14ac:dyDescent="0.25">
      <c r="C815" t="str">
        <f>IF(SpaceHeater!A817&lt;&gt;"",SpaceHeater!A817,"")</f>
        <v/>
      </c>
    </row>
    <row r="816" spans="3:3" x14ac:dyDescent="0.25">
      <c r="C816" t="str">
        <f>IF(SpaceHeater!A818&lt;&gt;"",SpaceHeater!A818,"")</f>
        <v/>
      </c>
    </row>
    <row r="817" spans="3:3" x14ac:dyDescent="0.25">
      <c r="C817" t="str">
        <f>IF(SpaceHeater!A819&lt;&gt;"",SpaceHeater!A819,"")</f>
        <v/>
      </c>
    </row>
    <row r="818" spans="3:3" x14ac:dyDescent="0.25">
      <c r="C818" t="str">
        <f>IF(SpaceHeater!A820&lt;&gt;"",SpaceHeater!A820,"")</f>
        <v/>
      </c>
    </row>
    <row r="819" spans="3:3" x14ac:dyDescent="0.25">
      <c r="C819" t="str">
        <f>IF(SpaceHeater!A821&lt;&gt;"",SpaceHeater!A821,"")</f>
        <v/>
      </c>
    </row>
    <row r="820" spans="3:3" x14ac:dyDescent="0.25">
      <c r="C820" t="str">
        <f>IF(SpaceHeater!A822&lt;&gt;"",SpaceHeater!A822,"")</f>
        <v/>
      </c>
    </row>
    <row r="821" spans="3:3" x14ac:dyDescent="0.25">
      <c r="C821" t="str">
        <f>IF(SpaceHeater!A823&lt;&gt;"",SpaceHeater!A823,"")</f>
        <v/>
      </c>
    </row>
    <row r="822" spans="3:3" x14ac:dyDescent="0.25">
      <c r="C822" t="str">
        <f>IF(SpaceHeater!A824&lt;&gt;"",SpaceHeater!A824,"")</f>
        <v/>
      </c>
    </row>
    <row r="823" spans="3:3" x14ac:dyDescent="0.25">
      <c r="C823" t="str">
        <f>IF(SpaceHeater!A825&lt;&gt;"",SpaceHeater!A825,"")</f>
        <v/>
      </c>
    </row>
    <row r="824" spans="3:3" x14ac:dyDescent="0.25">
      <c r="C824" t="str">
        <f>IF(SpaceHeater!A826&lt;&gt;"",SpaceHeater!A826,"")</f>
        <v/>
      </c>
    </row>
    <row r="825" spans="3:3" x14ac:dyDescent="0.25">
      <c r="C825" t="str">
        <f>IF(SpaceHeater!A827&lt;&gt;"",SpaceHeater!A827,"")</f>
        <v/>
      </c>
    </row>
    <row r="826" spans="3:3" x14ac:dyDescent="0.25">
      <c r="C826" t="str">
        <f>IF(SpaceHeater!A828&lt;&gt;"",SpaceHeater!A828,"")</f>
        <v/>
      </c>
    </row>
    <row r="827" spans="3:3" x14ac:dyDescent="0.25">
      <c r="C827" t="str">
        <f>IF(SpaceHeater!A829&lt;&gt;"",SpaceHeater!A829,"")</f>
        <v/>
      </c>
    </row>
    <row r="828" spans="3:3" x14ac:dyDescent="0.25">
      <c r="C828" t="str">
        <f>IF(SpaceHeater!A830&lt;&gt;"",SpaceHeater!A830,"")</f>
        <v/>
      </c>
    </row>
    <row r="829" spans="3:3" x14ac:dyDescent="0.25">
      <c r="C829" t="str">
        <f>IF(SpaceHeater!A831&lt;&gt;"",SpaceHeater!A831,"")</f>
        <v/>
      </c>
    </row>
    <row r="830" spans="3:3" x14ac:dyDescent="0.25">
      <c r="C830" t="str">
        <f>IF(SpaceHeater!A832&lt;&gt;"",SpaceHeater!A832,"")</f>
        <v/>
      </c>
    </row>
    <row r="831" spans="3:3" x14ac:dyDescent="0.25">
      <c r="C831" t="str">
        <f>IF(SpaceHeater!A833&lt;&gt;"",SpaceHeater!A833,"")</f>
        <v/>
      </c>
    </row>
    <row r="832" spans="3:3" x14ac:dyDescent="0.25">
      <c r="C832" t="str">
        <f>IF(SpaceHeater!A834&lt;&gt;"",SpaceHeater!A834,"")</f>
        <v/>
      </c>
    </row>
    <row r="833" spans="3:3" x14ac:dyDescent="0.25">
      <c r="C833" t="str">
        <f>IF(SpaceHeater!A835&lt;&gt;"",SpaceHeater!A835,"")</f>
        <v/>
      </c>
    </row>
    <row r="834" spans="3:3" x14ac:dyDescent="0.25">
      <c r="C834" t="str">
        <f>IF(SpaceHeater!A836&lt;&gt;"",SpaceHeater!A836,"")</f>
        <v/>
      </c>
    </row>
    <row r="835" spans="3:3" x14ac:dyDescent="0.25">
      <c r="C835" t="str">
        <f>IF(SpaceHeater!A837&lt;&gt;"",SpaceHeater!A837,"")</f>
        <v/>
      </c>
    </row>
    <row r="836" spans="3:3" x14ac:dyDescent="0.25">
      <c r="C836" t="str">
        <f>IF(SpaceHeater!A838&lt;&gt;"",SpaceHeater!A838,"")</f>
        <v/>
      </c>
    </row>
    <row r="837" spans="3:3" x14ac:dyDescent="0.25">
      <c r="C837" t="str">
        <f>IF(SpaceHeater!A839&lt;&gt;"",SpaceHeater!A839,"")</f>
        <v/>
      </c>
    </row>
    <row r="838" spans="3:3" x14ac:dyDescent="0.25">
      <c r="C838" t="str">
        <f>IF(SpaceHeater!A840&lt;&gt;"",SpaceHeater!A840,"")</f>
        <v/>
      </c>
    </row>
    <row r="839" spans="3:3" x14ac:dyDescent="0.25">
      <c r="C839" t="str">
        <f>IF(SpaceHeater!A841&lt;&gt;"",SpaceHeater!A841,"")</f>
        <v/>
      </c>
    </row>
    <row r="840" spans="3:3" x14ac:dyDescent="0.25">
      <c r="C840" t="str">
        <f>IF(SpaceHeater!A842&lt;&gt;"",SpaceHeater!A842,"")</f>
        <v/>
      </c>
    </row>
    <row r="841" spans="3:3" x14ac:dyDescent="0.25">
      <c r="C841" t="str">
        <f>IF(SpaceHeater!A843&lt;&gt;"",SpaceHeater!A843,"")</f>
        <v/>
      </c>
    </row>
    <row r="842" spans="3:3" x14ac:dyDescent="0.25">
      <c r="C842" t="str">
        <f>IF(SpaceHeater!A844&lt;&gt;"",SpaceHeater!A844,"")</f>
        <v/>
      </c>
    </row>
    <row r="843" spans="3:3" x14ac:dyDescent="0.25">
      <c r="C843" t="str">
        <f>IF(SpaceHeater!A845&lt;&gt;"",SpaceHeater!A845,"")</f>
        <v/>
      </c>
    </row>
    <row r="844" spans="3:3" x14ac:dyDescent="0.25">
      <c r="C844" t="str">
        <f>IF(SpaceHeater!A846&lt;&gt;"",SpaceHeater!A846,"")</f>
        <v/>
      </c>
    </row>
    <row r="845" spans="3:3" x14ac:dyDescent="0.25">
      <c r="C845" t="str">
        <f>IF(SpaceHeater!A847&lt;&gt;"",SpaceHeater!A847,"")</f>
        <v/>
      </c>
    </row>
    <row r="846" spans="3:3" x14ac:dyDescent="0.25">
      <c r="C846" t="str">
        <f>IF(SpaceHeater!A848&lt;&gt;"",SpaceHeater!A848,"")</f>
        <v/>
      </c>
    </row>
    <row r="847" spans="3:3" x14ac:dyDescent="0.25">
      <c r="C847" t="str">
        <f>IF(SpaceHeater!A849&lt;&gt;"",SpaceHeater!A849,"")</f>
        <v/>
      </c>
    </row>
    <row r="848" spans="3:3" x14ac:dyDescent="0.25">
      <c r="C848" t="str">
        <f>IF(SpaceHeater!A850&lt;&gt;"",SpaceHeater!A850,"")</f>
        <v/>
      </c>
    </row>
    <row r="849" spans="3:3" x14ac:dyDescent="0.25">
      <c r="C849" t="str">
        <f>IF(SpaceHeater!A851&lt;&gt;"",SpaceHeater!A851,"")</f>
        <v/>
      </c>
    </row>
    <row r="850" spans="3:3" x14ac:dyDescent="0.25">
      <c r="C850" t="str">
        <f>IF(SpaceHeater!A852&lt;&gt;"",SpaceHeater!A852,"")</f>
        <v/>
      </c>
    </row>
    <row r="851" spans="3:3" x14ac:dyDescent="0.25">
      <c r="C851" t="str">
        <f>IF(SpaceHeater!A853&lt;&gt;"",SpaceHeater!A853,"")</f>
        <v/>
      </c>
    </row>
    <row r="852" spans="3:3" x14ac:dyDescent="0.25">
      <c r="C852" t="str">
        <f>IF(SpaceHeater!A854&lt;&gt;"",SpaceHeater!A854,"")</f>
        <v/>
      </c>
    </row>
    <row r="853" spans="3:3" x14ac:dyDescent="0.25">
      <c r="C853" t="str">
        <f>IF(SpaceHeater!A855&lt;&gt;"",SpaceHeater!A855,"")</f>
        <v/>
      </c>
    </row>
    <row r="854" spans="3:3" x14ac:dyDescent="0.25">
      <c r="C854" t="str">
        <f>IF(SpaceHeater!A856&lt;&gt;"",SpaceHeater!A856,"")</f>
        <v/>
      </c>
    </row>
    <row r="855" spans="3:3" x14ac:dyDescent="0.25">
      <c r="C855" t="str">
        <f>IF(SpaceHeater!A857&lt;&gt;"",SpaceHeater!A857,"")</f>
        <v/>
      </c>
    </row>
    <row r="856" spans="3:3" x14ac:dyDescent="0.25">
      <c r="C856" t="str">
        <f>IF(SpaceHeater!A858&lt;&gt;"",SpaceHeater!A858,"")</f>
        <v/>
      </c>
    </row>
    <row r="857" spans="3:3" x14ac:dyDescent="0.25">
      <c r="C857" t="str">
        <f>IF(SpaceHeater!A859&lt;&gt;"",SpaceHeater!A859,"")</f>
        <v/>
      </c>
    </row>
    <row r="858" spans="3:3" x14ac:dyDescent="0.25">
      <c r="C858" t="str">
        <f>IF(SpaceHeater!A860&lt;&gt;"",SpaceHeater!A860,"")</f>
        <v/>
      </c>
    </row>
    <row r="859" spans="3:3" x14ac:dyDescent="0.25">
      <c r="C859" t="str">
        <f>IF(SpaceHeater!A861&lt;&gt;"",SpaceHeater!A861,"")</f>
        <v/>
      </c>
    </row>
    <row r="860" spans="3:3" x14ac:dyDescent="0.25">
      <c r="C860" t="str">
        <f>IF(SpaceHeater!A862&lt;&gt;"",SpaceHeater!A862,"")</f>
        <v/>
      </c>
    </row>
    <row r="861" spans="3:3" x14ac:dyDescent="0.25">
      <c r="C861" t="str">
        <f>IF(SpaceHeater!A863&lt;&gt;"",SpaceHeater!A863,"")</f>
        <v/>
      </c>
    </row>
    <row r="862" spans="3:3" x14ac:dyDescent="0.25">
      <c r="C862" t="str">
        <f>IF(SpaceHeater!A864&lt;&gt;"",SpaceHeater!A864,"")</f>
        <v/>
      </c>
    </row>
    <row r="863" spans="3:3" x14ac:dyDescent="0.25">
      <c r="C863" t="str">
        <f>IF(SpaceHeater!A865&lt;&gt;"",SpaceHeater!A865,"")</f>
        <v/>
      </c>
    </row>
    <row r="864" spans="3:3" x14ac:dyDescent="0.25">
      <c r="C864" t="str">
        <f>IF(SpaceHeater!A866&lt;&gt;"",SpaceHeater!A866,"")</f>
        <v/>
      </c>
    </row>
    <row r="865" spans="3:3" x14ac:dyDescent="0.25">
      <c r="C865" t="str">
        <f>IF(SpaceHeater!A867&lt;&gt;"",SpaceHeater!A867,"")</f>
        <v/>
      </c>
    </row>
    <row r="866" spans="3:3" x14ac:dyDescent="0.25">
      <c r="C866" t="str">
        <f>IF(SpaceHeater!A868&lt;&gt;"",SpaceHeater!A868,"")</f>
        <v/>
      </c>
    </row>
    <row r="867" spans="3:3" x14ac:dyDescent="0.25">
      <c r="C867" t="str">
        <f>IF(SpaceHeater!A869&lt;&gt;"",SpaceHeater!A869,"")</f>
        <v/>
      </c>
    </row>
    <row r="868" spans="3:3" x14ac:dyDescent="0.25">
      <c r="C868" t="str">
        <f>IF(SpaceHeater!A870&lt;&gt;"",SpaceHeater!A870,"")</f>
        <v/>
      </c>
    </row>
    <row r="869" spans="3:3" x14ac:dyDescent="0.25">
      <c r="C869" t="str">
        <f>IF(SpaceHeater!A871&lt;&gt;"",SpaceHeater!A871,"")</f>
        <v/>
      </c>
    </row>
    <row r="870" spans="3:3" x14ac:dyDescent="0.25">
      <c r="C870" t="str">
        <f>IF(SpaceHeater!A872&lt;&gt;"",SpaceHeater!A872,"")</f>
        <v/>
      </c>
    </row>
    <row r="871" spans="3:3" x14ac:dyDescent="0.25">
      <c r="C871" t="str">
        <f>IF(SpaceHeater!A873&lt;&gt;"",SpaceHeater!A873,"")</f>
        <v/>
      </c>
    </row>
    <row r="872" spans="3:3" x14ac:dyDescent="0.25">
      <c r="C872" t="str">
        <f>IF(SpaceHeater!A874&lt;&gt;"",SpaceHeater!A874,"")</f>
        <v/>
      </c>
    </row>
    <row r="873" spans="3:3" x14ac:dyDescent="0.25">
      <c r="C873" t="str">
        <f>IF(SpaceHeater!A875&lt;&gt;"",SpaceHeater!A875,"")</f>
        <v/>
      </c>
    </row>
    <row r="874" spans="3:3" x14ac:dyDescent="0.25">
      <c r="C874" t="str">
        <f>IF(SpaceHeater!A876&lt;&gt;"",SpaceHeater!A876,"")</f>
        <v/>
      </c>
    </row>
    <row r="875" spans="3:3" x14ac:dyDescent="0.25">
      <c r="C875" t="str">
        <f>IF(SpaceHeater!A877&lt;&gt;"",SpaceHeater!A877,"")</f>
        <v/>
      </c>
    </row>
    <row r="876" spans="3:3" x14ac:dyDescent="0.25">
      <c r="C876" t="str">
        <f>IF(SpaceHeater!A878&lt;&gt;"",SpaceHeater!A878,"")</f>
        <v/>
      </c>
    </row>
    <row r="877" spans="3:3" x14ac:dyDescent="0.25">
      <c r="C877" t="str">
        <f>IF(SpaceHeater!A879&lt;&gt;"",SpaceHeater!A879,"")</f>
        <v/>
      </c>
    </row>
    <row r="878" spans="3:3" x14ac:dyDescent="0.25">
      <c r="C878" t="str">
        <f>IF(SpaceHeater!A880&lt;&gt;"",SpaceHeater!A880,"")</f>
        <v/>
      </c>
    </row>
    <row r="879" spans="3:3" x14ac:dyDescent="0.25">
      <c r="C879" t="str">
        <f>IF(SpaceHeater!A881&lt;&gt;"",SpaceHeater!A881,"")</f>
        <v/>
      </c>
    </row>
    <row r="880" spans="3:3" x14ac:dyDescent="0.25">
      <c r="C880" t="str">
        <f>IF(SpaceHeater!A882&lt;&gt;"",SpaceHeater!A882,"")</f>
        <v/>
      </c>
    </row>
    <row r="881" spans="3:3" x14ac:dyDescent="0.25">
      <c r="C881" t="str">
        <f>IF(SpaceHeater!A883&lt;&gt;"",SpaceHeater!A883,"")</f>
        <v/>
      </c>
    </row>
    <row r="882" spans="3:3" x14ac:dyDescent="0.25">
      <c r="C882" t="str">
        <f>IF(SpaceHeater!A884&lt;&gt;"",SpaceHeater!A884,"")</f>
        <v/>
      </c>
    </row>
    <row r="883" spans="3:3" x14ac:dyDescent="0.25">
      <c r="C883" t="str">
        <f>IF(SpaceHeater!A885&lt;&gt;"",SpaceHeater!A885,"")</f>
        <v/>
      </c>
    </row>
    <row r="884" spans="3:3" x14ac:dyDescent="0.25">
      <c r="C884" t="str">
        <f>IF(SpaceHeater!A886&lt;&gt;"",SpaceHeater!A886,"")</f>
        <v/>
      </c>
    </row>
    <row r="885" spans="3:3" x14ac:dyDescent="0.25">
      <c r="C885" t="str">
        <f>IF(SpaceHeater!A887&lt;&gt;"",SpaceHeater!A887,"")</f>
        <v/>
      </c>
    </row>
    <row r="886" spans="3:3" x14ac:dyDescent="0.25">
      <c r="C886" t="str">
        <f>IF(SpaceHeater!A888&lt;&gt;"",SpaceHeater!A888,"")</f>
        <v/>
      </c>
    </row>
    <row r="887" spans="3:3" x14ac:dyDescent="0.25">
      <c r="C887" t="str">
        <f>IF(SpaceHeater!A889&lt;&gt;"",SpaceHeater!A889,"")</f>
        <v/>
      </c>
    </row>
    <row r="888" spans="3:3" x14ac:dyDescent="0.25">
      <c r="C888" t="str">
        <f>IF(SpaceHeater!A890&lt;&gt;"",SpaceHeater!A890,"")</f>
        <v/>
      </c>
    </row>
    <row r="889" spans="3:3" x14ac:dyDescent="0.25">
      <c r="C889" t="str">
        <f>IF(SpaceHeater!A891&lt;&gt;"",SpaceHeater!A891,"")</f>
        <v/>
      </c>
    </row>
    <row r="890" spans="3:3" x14ac:dyDescent="0.25">
      <c r="C890" t="str">
        <f>IF(SpaceHeater!A892&lt;&gt;"",SpaceHeater!A892,"")</f>
        <v/>
      </c>
    </row>
    <row r="891" spans="3:3" x14ac:dyDescent="0.25">
      <c r="C891" t="str">
        <f>IF(SpaceHeater!A893&lt;&gt;"",SpaceHeater!A893,"")</f>
        <v/>
      </c>
    </row>
    <row r="892" spans="3:3" x14ac:dyDescent="0.25">
      <c r="C892" t="str">
        <f>IF(SpaceHeater!A894&lt;&gt;"",SpaceHeater!A894,"")</f>
        <v/>
      </c>
    </row>
    <row r="893" spans="3:3" x14ac:dyDescent="0.25">
      <c r="C893" t="str">
        <f>IF(SpaceHeater!A895&lt;&gt;"",SpaceHeater!A895,"")</f>
        <v/>
      </c>
    </row>
    <row r="894" spans="3:3" x14ac:dyDescent="0.25">
      <c r="C894" t="str">
        <f>IF(SpaceHeater!A896&lt;&gt;"",SpaceHeater!A896,"")</f>
        <v/>
      </c>
    </row>
    <row r="895" spans="3:3" x14ac:dyDescent="0.25">
      <c r="C895" t="str">
        <f>IF(SpaceHeater!A897&lt;&gt;"",SpaceHeater!A897,"")</f>
        <v/>
      </c>
    </row>
    <row r="896" spans="3:3" x14ac:dyDescent="0.25">
      <c r="C896" t="str">
        <f>IF(SpaceHeater!A898&lt;&gt;"",SpaceHeater!A898,"")</f>
        <v/>
      </c>
    </row>
    <row r="897" spans="3:3" x14ac:dyDescent="0.25">
      <c r="C897" t="str">
        <f>IF(SpaceHeater!A899&lt;&gt;"",SpaceHeater!A899,"")</f>
        <v/>
      </c>
    </row>
    <row r="898" spans="3:3" x14ac:dyDescent="0.25">
      <c r="C898" t="str">
        <f>IF(SpaceHeater!A900&lt;&gt;"",SpaceHeater!A900,"")</f>
        <v/>
      </c>
    </row>
    <row r="899" spans="3:3" x14ac:dyDescent="0.25">
      <c r="C899" t="str">
        <f>IF(SpaceHeater!A901&lt;&gt;"",SpaceHeater!A901,"")</f>
        <v/>
      </c>
    </row>
    <row r="900" spans="3:3" x14ac:dyDescent="0.25">
      <c r="C900" t="str">
        <f>IF(SpaceHeater!A902&lt;&gt;"",SpaceHeater!A902,"")</f>
        <v/>
      </c>
    </row>
    <row r="901" spans="3:3" x14ac:dyDescent="0.25">
      <c r="C901" t="str">
        <f>IF(SpaceHeater!A903&lt;&gt;"",SpaceHeater!A903,"")</f>
        <v/>
      </c>
    </row>
    <row r="902" spans="3:3" x14ac:dyDescent="0.25">
      <c r="C902" t="str">
        <f>IF(SpaceHeater!A904&lt;&gt;"",SpaceHeater!A904,"")</f>
        <v/>
      </c>
    </row>
    <row r="903" spans="3:3" x14ac:dyDescent="0.25">
      <c r="C903" t="str">
        <f>IF(SpaceHeater!A905&lt;&gt;"",SpaceHeater!A905,"")</f>
        <v/>
      </c>
    </row>
    <row r="904" spans="3:3" x14ac:dyDescent="0.25">
      <c r="C904" t="str">
        <f>IF(SpaceHeater!A906&lt;&gt;"",SpaceHeater!A906,"")</f>
        <v/>
      </c>
    </row>
    <row r="905" spans="3:3" x14ac:dyDescent="0.25">
      <c r="C905" t="str">
        <f>IF(SpaceHeater!A907&lt;&gt;"",SpaceHeater!A907,"")</f>
        <v/>
      </c>
    </row>
    <row r="906" spans="3:3" x14ac:dyDescent="0.25">
      <c r="C906" t="str">
        <f>IF(SpaceHeater!A908&lt;&gt;"",SpaceHeater!A908,"")</f>
        <v/>
      </c>
    </row>
    <row r="907" spans="3:3" x14ac:dyDescent="0.25">
      <c r="C907" t="str">
        <f>IF(SpaceHeater!A909&lt;&gt;"",SpaceHeater!A909,"")</f>
        <v/>
      </c>
    </row>
    <row r="908" spans="3:3" x14ac:dyDescent="0.25">
      <c r="C908" t="str">
        <f>IF(SpaceHeater!A910&lt;&gt;"",SpaceHeater!A910,"")</f>
        <v/>
      </c>
    </row>
    <row r="909" spans="3:3" x14ac:dyDescent="0.25">
      <c r="C909" t="str">
        <f>IF(SpaceHeater!A911&lt;&gt;"",SpaceHeater!A911,"")</f>
        <v/>
      </c>
    </row>
    <row r="910" spans="3:3" x14ac:dyDescent="0.25">
      <c r="C910" t="str">
        <f>IF(SpaceHeater!A912&lt;&gt;"",SpaceHeater!A912,"")</f>
        <v/>
      </c>
    </row>
    <row r="911" spans="3:3" x14ac:dyDescent="0.25">
      <c r="C911" t="str">
        <f>IF(SpaceHeater!A913&lt;&gt;"",SpaceHeater!A913,"")</f>
        <v/>
      </c>
    </row>
    <row r="912" spans="3:3" x14ac:dyDescent="0.25">
      <c r="C912" t="str">
        <f>IF(SpaceHeater!A914&lt;&gt;"",SpaceHeater!A914,"")</f>
        <v/>
      </c>
    </row>
    <row r="913" spans="3:3" x14ac:dyDescent="0.25">
      <c r="C913" t="str">
        <f>IF(SpaceHeater!A915&lt;&gt;"",SpaceHeater!A915,"")</f>
        <v/>
      </c>
    </row>
    <row r="914" spans="3:3" x14ac:dyDescent="0.25">
      <c r="C914" t="str">
        <f>IF(SpaceHeater!A916&lt;&gt;"",SpaceHeater!A916,"")</f>
        <v/>
      </c>
    </row>
    <row r="915" spans="3:3" x14ac:dyDescent="0.25">
      <c r="C915" t="str">
        <f>IF(SpaceHeater!A917&lt;&gt;"",SpaceHeater!A917,"")</f>
        <v/>
      </c>
    </row>
    <row r="916" spans="3:3" x14ac:dyDescent="0.25">
      <c r="C916" t="str">
        <f>IF(SpaceHeater!A918&lt;&gt;"",SpaceHeater!A918,"")</f>
        <v/>
      </c>
    </row>
    <row r="917" spans="3:3" x14ac:dyDescent="0.25">
      <c r="C917" t="str">
        <f>IF(SpaceHeater!A919&lt;&gt;"",SpaceHeater!A919,"")</f>
        <v/>
      </c>
    </row>
    <row r="918" spans="3:3" x14ac:dyDescent="0.25">
      <c r="C918" t="str">
        <f>IF(SpaceHeater!A920&lt;&gt;"",SpaceHeater!A920,"")</f>
        <v/>
      </c>
    </row>
    <row r="919" spans="3:3" x14ac:dyDescent="0.25">
      <c r="C919" t="str">
        <f>IF(SpaceHeater!A921&lt;&gt;"",SpaceHeater!A921,"")</f>
        <v/>
      </c>
    </row>
    <row r="920" spans="3:3" x14ac:dyDescent="0.25">
      <c r="C920" t="str">
        <f>IF(SpaceHeater!A922&lt;&gt;"",SpaceHeater!A922,"")</f>
        <v/>
      </c>
    </row>
    <row r="921" spans="3:3" x14ac:dyDescent="0.25">
      <c r="C921" t="str">
        <f>IF(SpaceHeater!A923&lt;&gt;"",SpaceHeater!A923,"")</f>
        <v/>
      </c>
    </row>
    <row r="922" spans="3:3" x14ac:dyDescent="0.25">
      <c r="C922" t="str">
        <f>IF(SpaceHeater!A924&lt;&gt;"",SpaceHeater!A924,"")</f>
        <v/>
      </c>
    </row>
    <row r="923" spans="3:3" x14ac:dyDescent="0.25">
      <c r="C923" t="str">
        <f>IF(SpaceHeater!A925&lt;&gt;"",SpaceHeater!A925,"")</f>
        <v/>
      </c>
    </row>
    <row r="924" spans="3:3" x14ac:dyDescent="0.25">
      <c r="C924" t="str">
        <f>IF(SpaceHeater!A926&lt;&gt;"",SpaceHeater!A926,"")</f>
        <v/>
      </c>
    </row>
    <row r="925" spans="3:3" x14ac:dyDescent="0.25">
      <c r="C925" t="str">
        <f>IF(SpaceHeater!A927&lt;&gt;"",SpaceHeater!A927,"")</f>
        <v/>
      </c>
    </row>
    <row r="926" spans="3:3" x14ac:dyDescent="0.25">
      <c r="C926" t="str">
        <f>IF(SpaceHeater!A928&lt;&gt;"",SpaceHeater!A928,"")</f>
        <v/>
      </c>
    </row>
    <row r="927" spans="3:3" x14ac:dyDescent="0.25">
      <c r="C927" t="str">
        <f>IF(SpaceHeater!A929&lt;&gt;"",SpaceHeater!A929,"")</f>
        <v/>
      </c>
    </row>
    <row r="928" spans="3:3" x14ac:dyDescent="0.25">
      <c r="C928" t="str">
        <f>IF(SpaceHeater!A930&lt;&gt;"",SpaceHeater!A930,"")</f>
        <v/>
      </c>
    </row>
    <row r="929" spans="3:3" x14ac:dyDescent="0.25">
      <c r="C929" t="str">
        <f>IF(SpaceHeater!A931&lt;&gt;"",SpaceHeater!A931,"")</f>
        <v/>
      </c>
    </row>
    <row r="930" spans="3:3" x14ac:dyDescent="0.25">
      <c r="C930" t="str">
        <f>IF(SpaceHeater!A932&lt;&gt;"",SpaceHeater!A932,"")</f>
        <v/>
      </c>
    </row>
    <row r="931" spans="3:3" x14ac:dyDescent="0.25">
      <c r="C931" t="str">
        <f>IF(SpaceHeater!A933&lt;&gt;"",SpaceHeater!A933,"")</f>
        <v/>
      </c>
    </row>
    <row r="932" spans="3:3" x14ac:dyDescent="0.25">
      <c r="C932" t="str">
        <f>IF(SpaceHeater!A934&lt;&gt;"",SpaceHeater!A934,"")</f>
        <v/>
      </c>
    </row>
    <row r="933" spans="3:3" x14ac:dyDescent="0.25">
      <c r="C933" t="str">
        <f>IF(SpaceHeater!A935&lt;&gt;"",SpaceHeater!A935,"")</f>
        <v/>
      </c>
    </row>
    <row r="934" spans="3:3" x14ac:dyDescent="0.25">
      <c r="C934" t="str">
        <f>IF(SpaceHeater!A936&lt;&gt;"",SpaceHeater!A936,"")</f>
        <v/>
      </c>
    </row>
    <row r="935" spans="3:3" x14ac:dyDescent="0.25">
      <c r="C935" t="str">
        <f>IF(SpaceHeater!A937&lt;&gt;"",SpaceHeater!A937,"")</f>
        <v/>
      </c>
    </row>
    <row r="936" spans="3:3" x14ac:dyDescent="0.25">
      <c r="C936" t="str">
        <f>IF(SpaceHeater!A938&lt;&gt;"",SpaceHeater!A938,"")</f>
        <v/>
      </c>
    </row>
    <row r="937" spans="3:3" x14ac:dyDescent="0.25">
      <c r="C937" t="str">
        <f>IF(SpaceHeater!A939&lt;&gt;"",SpaceHeater!A939,"")</f>
        <v/>
      </c>
    </row>
    <row r="938" spans="3:3" x14ac:dyDescent="0.25">
      <c r="C938" t="str">
        <f>IF(SpaceHeater!A940&lt;&gt;"",SpaceHeater!A940,"")</f>
        <v/>
      </c>
    </row>
    <row r="939" spans="3:3" x14ac:dyDescent="0.25">
      <c r="C939" t="str">
        <f>IF(SpaceHeater!A941&lt;&gt;"",SpaceHeater!A941,"")</f>
        <v/>
      </c>
    </row>
    <row r="940" spans="3:3" x14ac:dyDescent="0.25">
      <c r="C940" t="str">
        <f>IF(SpaceHeater!A942&lt;&gt;"",SpaceHeater!A942,"")</f>
        <v/>
      </c>
    </row>
    <row r="941" spans="3:3" x14ac:dyDescent="0.25">
      <c r="C941" t="str">
        <f>IF(SpaceHeater!A943&lt;&gt;"",SpaceHeater!A943,"")</f>
        <v/>
      </c>
    </row>
    <row r="942" spans="3:3" x14ac:dyDescent="0.25">
      <c r="C942" t="str">
        <f>IF(SpaceHeater!A944&lt;&gt;"",SpaceHeater!A944,"")</f>
        <v/>
      </c>
    </row>
    <row r="943" spans="3:3" x14ac:dyDescent="0.25">
      <c r="C943" t="str">
        <f>IF(SpaceHeater!A945&lt;&gt;"",SpaceHeater!A945,"")</f>
        <v/>
      </c>
    </row>
    <row r="944" spans="3:3" x14ac:dyDescent="0.25">
      <c r="C944" t="str">
        <f>IF(SpaceHeater!A946&lt;&gt;"",SpaceHeater!A946,"")</f>
        <v/>
      </c>
    </row>
    <row r="945" spans="3:3" x14ac:dyDescent="0.25">
      <c r="C945" t="str">
        <f>IF(SpaceHeater!A947&lt;&gt;"",SpaceHeater!A947,"")</f>
        <v/>
      </c>
    </row>
    <row r="946" spans="3:3" x14ac:dyDescent="0.25">
      <c r="C946" t="str">
        <f>IF(SpaceHeater!A948&lt;&gt;"",SpaceHeater!A948,"")</f>
        <v/>
      </c>
    </row>
    <row r="947" spans="3:3" x14ac:dyDescent="0.25">
      <c r="C947" t="str">
        <f>IF(SpaceHeater!A949&lt;&gt;"",SpaceHeater!A949,"")</f>
        <v/>
      </c>
    </row>
    <row r="948" spans="3:3" x14ac:dyDescent="0.25">
      <c r="C948" t="str">
        <f>IF(SpaceHeater!A950&lt;&gt;"",SpaceHeater!A950,"")</f>
        <v/>
      </c>
    </row>
    <row r="949" spans="3:3" x14ac:dyDescent="0.25">
      <c r="C949" t="str">
        <f>IF(SpaceHeater!A951&lt;&gt;"",SpaceHeater!A951,"")</f>
        <v/>
      </c>
    </row>
    <row r="950" spans="3:3" x14ac:dyDescent="0.25">
      <c r="C950" t="str">
        <f>IF(SpaceHeater!A952&lt;&gt;"",SpaceHeater!A952,"")</f>
        <v/>
      </c>
    </row>
    <row r="951" spans="3:3" x14ac:dyDescent="0.25">
      <c r="C951" t="str">
        <f>IF(SpaceHeater!A953&lt;&gt;"",SpaceHeater!A953,"")</f>
        <v/>
      </c>
    </row>
    <row r="952" spans="3:3" x14ac:dyDescent="0.25">
      <c r="C952" t="str">
        <f>IF(SpaceHeater!A954&lt;&gt;"",SpaceHeater!A954,"")</f>
        <v/>
      </c>
    </row>
    <row r="953" spans="3:3" x14ac:dyDescent="0.25">
      <c r="C953" t="str">
        <f>IF(SpaceHeater!A955&lt;&gt;"",SpaceHeater!A955,"")</f>
        <v/>
      </c>
    </row>
    <row r="954" spans="3:3" x14ac:dyDescent="0.25">
      <c r="C954" t="str">
        <f>IF(SpaceHeater!A956&lt;&gt;"",SpaceHeater!A956,"")</f>
        <v/>
      </c>
    </row>
    <row r="955" spans="3:3" x14ac:dyDescent="0.25">
      <c r="C955" t="str">
        <f>IF(SpaceHeater!A957&lt;&gt;"",SpaceHeater!A957,"")</f>
        <v/>
      </c>
    </row>
    <row r="956" spans="3:3" x14ac:dyDescent="0.25">
      <c r="C956" t="str">
        <f>IF(SpaceHeater!A958&lt;&gt;"",SpaceHeater!A958,"")</f>
        <v/>
      </c>
    </row>
    <row r="957" spans="3:3" x14ac:dyDescent="0.25">
      <c r="C957" t="str">
        <f>IF(SpaceHeater!A959&lt;&gt;"",SpaceHeater!A959,"")</f>
        <v/>
      </c>
    </row>
    <row r="958" spans="3:3" x14ac:dyDescent="0.25">
      <c r="C958" t="str">
        <f>IF(SpaceHeater!A960&lt;&gt;"",SpaceHeater!A960,"")</f>
        <v/>
      </c>
    </row>
    <row r="959" spans="3:3" x14ac:dyDescent="0.25">
      <c r="C959" t="str">
        <f>IF(SpaceHeater!A961&lt;&gt;"",SpaceHeater!A961,"")</f>
        <v/>
      </c>
    </row>
    <row r="960" spans="3:3" x14ac:dyDescent="0.25">
      <c r="C960" t="str">
        <f>IF(SpaceHeater!A962&lt;&gt;"",SpaceHeater!A962,"")</f>
        <v/>
      </c>
    </row>
    <row r="961" spans="3:3" x14ac:dyDescent="0.25">
      <c r="C961" t="str">
        <f>IF(SpaceHeater!A963&lt;&gt;"",SpaceHeater!A963,"")</f>
        <v/>
      </c>
    </row>
    <row r="962" spans="3:3" x14ac:dyDescent="0.25">
      <c r="C962" t="str">
        <f>IF(SpaceHeater!A964&lt;&gt;"",SpaceHeater!A964,"")</f>
        <v/>
      </c>
    </row>
    <row r="963" spans="3:3" x14ac:dyDescent="0.25">
      <c r="C963" t="str">
        <f>IF(SpaceHeater!A965&lt;&gt;"",SpaceHeater!A965,"")</f>
        <v/>
      </c>
    </row>
    <row r="964" spans="3:3" x14ac:dyDescent="0.25">
      <c r="C964" t="str">
        <f>IF(SpaceHeater!A966&lt;&gt;"",SpaceHeater!A966,"")</f>
        <v/>
      </c>
    </row>
    <row r="965" spans="3:3" x14ac:dyDescent="0.25">
      <c r="C965" t="str">
        <f>IF(SpaceHeater!A967&lt;&gt;"",SpaceHeater!A967,"")</f>
        <v/>
      </c>
    </row>
    <row r="966" spans="3:3" x14ac:dyDescent="0.25">
      <c r="C966" t="str">
        <f>IF(SpaceHeater!A968&lt;&gt;"",SpaceHeater!A968,"")</f>
        <v/>
      </c>
    </row>
    <row r="967" spans="3:3" x14ac:dyDescent="0.25">
      <c r="C967" t="str">
        <f>IF(SpaceHeater!A969&lt;&gt;"",SpaceHeater!A969,"")</f>
        <v/>
      </c>
    </row>
    <row r="968" spans="3:3" x14ac:dyDescent="0.25">
      <c r="C968" t="str">
        <f>IF(SpaceHeater!A970&lt;&gt;"",SpaceHeater!A970,"")</f>
        <v/>
      </c>
    </row>
    <row r="969" spans="3:3" x14ac:dyDescent="0.25">
      <c r="C969" t="str">
        <f>IF(SpaceHeater!A971&lt;&gt;"",SpaceHeater!A971,"")</f>
        <v/>
      </c>
    </row>
    <row r="970" spans="3:3" x14ac:dyDescent="0.25">
      <c r="C970" t="str">
        <f>IF(SpaceHeater!A972&lt;&gt;"",SpaceHeater!A972,"")</f>
        <v/>
      </c>
    </row>
    <row r="971" spans="3:3" x14ac:dyDescent="0.25">
      <c r="C971" t="str">
        <f>IF(SpaceHeater!A973&lt;&gt;"",SpaceHeater!A973,"")</f>
        <v/>
      </c>
    </row>
    <row r="972" spans="3:3" x14ac:dyDescent="0.25">
      <c r="C972" t="str">
        <f>IF(SpaceHeater!A974&lt;&gt;"",SpaceHeater!A974,"")</f>
        <v/>
      </c>
    </row>
    <row r="973" spans="3:3" x14ac:dyDescent="0.25">
      <c r="C973" t="str">
        <f>IF(SpaceHeater!A975&lt;&gt;"",SpaceHeater!A975,"")</f>
        <v/>
      </c>
    </row>
    <row r="974" spans="3:3" x14ac:dyDescent="0.25">
      <c r="C974" t="str">
        <f>IF(SpaceHeater!A976&lt;&gt;"",SpaceHeater!A976,"")</f>
        <v/>
      </c>
    </row>
    <row r="975" spans="3:3" x14ac:dyDescent="0.25">
      <c r="C975" t="str">
        <f>IF(SpaceHeater!A977&lt;&gt;"",SpaceHeater!A977,"")</f>
        <v/>
      </c>
    </row>
    <row r="976" spans="3:3" x14ac:dyDescent="0.25">
      <c r="C976" t="str">
        <f>IF(SpaceHeater!A978&lt;&gt;"",SpaceHeater!A978,"")</f>
        <v/>
      </c>
    </row>
    <row r="977" spans="3:3" x14ac:dyDescent="0.25">
      <c r="C977" t="str">
        <f>IF(SpaceHeater!A979&lt;&gt;"",SpaceHeater!A979,"")</f>
        <v/>
      </c>
    </row>
    <row r="978" spans="3:3" x14ac:dyDescent="0.25">
      <c r="C978" t="str">
        <f>IF(SpaceHeater!A980&lt;&gt;"",SpaceHeater!A980,"")</f>
        <v/>
      </c>
    </row>
    <row r="979" spans="3:3" x14ac:dyDescent="0.25">
      <c r="C979" t="str">
        <f>IF(SpaceHeater!A981&lt;&gt;"",SpaceHeater!A981,"")</f>
        <v/>
      </c>
    </row>
    <row r="980" spans="3:3" x14ac:dyDescent="0.25">
      <c r="C980" t="str">
        <f>IF(SpaceHeater!A982&lt;&gt;"",SpaceHeater!A982,"")</f>
        <v/>
      </c>
    </row>
    <row r="981" spans="3:3" x14ac:dyDescent="0.25">
      <c r="C981" t="str">
        <f>IF(SpaceHeater!A983&lt;&gt;"",SpaceHeater!A983,"")</f>
        <v/>
      </c>
    </row>
    <row r="982" spans="3:3" x14ac:dyDescent="0.25">
      <c r="C982" t="str">
        <f>IF(SpaceHeater!A984&lt;&gt;"",SpaceHeater!A984,"")</f>
        <v/>
      </c>
    </row>
    <row r="983" spans="3:3" x14ac:dyDescent="0.25">
      <c r="C983" t="str">
        <f>IF(SpaceHeater!A985&lt;&gt;"",SpaceHeater!A985,"")</f>
        <v/>
      </c>
    </row>
    <row r="984" spans="3:3" x14ac:dyDescent="0.25">
      <c r="C984" t="str">
        <f>IF(SpaceHeater!A986&lt;&gt;"",SpaceHeater!A986,"")</f>
        <v/>
      </c>
    </row>
    <row r="985" spans="3:3" x14ac:dyDescent="0.25">
      <c r="C985" t="str">
        <f>IF(SpaceHeater!A987&lt;&gt;"",SpaceHeater!A987,"")</f>
        <v/>
      </c>
    </row>
    <row r="986" spans="3:3" x14ac:dyDescent="0.25">
      <c r="C986" t="str">
        <f>IF(SpaceHeater!A988&lt;&gt;"",SpaceHeater!A988,"")</f>
        <v/>
      </c>
    </row>
    <row r="987" spans="3:3" x14ac:dyDescent="0.25">
      <c r="C987" t="str">
        <f>IF(SpaceHeater!A989&lt;&gt;"",SpaceHeater!A989,"")</f>
        <v/>
      </c>
    </row>
    <row r="988" spans="3:3" x14ac:dyDescent="0.25">
      <c r="C988" t="str">
        <f>IF(SpaceHeater!A990&lt;&gt;"",SpaceHeater!A990,"")</f>
        <v/>
      </c>
    </row>
    <row r="989" spans="3:3" x14ac:dyDescent="0.25">
      <c r="C989" t="str">
        <f>IF(SpaceHeater!A991&lt;&gt;"",SpaceHeater!A991,"")</f>
        <v/>
      </c>
    </row>
    <row r="990" spans="3:3" x14ac:dyDescent="0.25">
      <c r="C990" t="str">
        <f>IF(SpaceHeater!A992&lt;&gt;"",SpaceHeater!A992,"")</f>
        <v/>
      </c>
    </row>
    <row r="991" spans="3:3" x14ac:dyDescent="0.25">
      <c r="C991" t="str">
        <f>IF(SpaceHeater!A993&lt;&gt;"",SpaceHeater!A993,"")</f>
        <v/>
      </c>
    </row>
  </sheetData>
  <dataValidations count="6">
    <dataValidation showInputMessage="1" showErrorMessage="1" sqref="C992:C1048576" xr:uid="{5F303923-A133-43EE-BF6A-9A627B0041CB}"/>
    <dataValidation type="list" showInputMessage="1" showErrorMessage="1" sqref="C5:C991 C3" xr:uid="{619C179E-8A78-48AD-AB79-85B7AC4D1CCA}">
      <formula1>space_names</formula1>
    </dataValidation>
    <dataValidation type="list" allowBlank="1" showInputMessage="1" showErrorMessage="1" sqref="C4 C2" xr:uid="{1519752B-797B-41CE-B1B1-9D25AC306FCE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2"/>
  <sheetViews>
    <sheetView workbookViewId="0">
      <selection activeCell="D4" sqref="D4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3" width="42.28515625" customWidth="1"/>
    <col min="4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113</v>
      </c>
      <c r="D1" s="11" t="s">
        <v>114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150</v>
      </c>
      <c r="B2" t="s">
        <v>126</v>
      </c>
      <c r="C2" t="s">
        <v>156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D2" sqref="D2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52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115</v>
      </c>
      <c r="D1" s="11" t="s">
        <v>116</v>
      </c>
      <c r="E1" s="11" t="s">
        <v>74</v>
      </c>
      <c r="F1" s="3" t="s">
        <v>22</v>
      </c>
      <c r="G1" s="2" t="s">
        <v>102</v>
      </c>
      <c r="H1" s="2" t="s">
        <v>103</v>
      </c>
      <c r="I1" s="3" t="s">
        <v>104</v>
      </c>
      <c r="J1" s="11" t="s">
        <v>105</v>
      </c>
      <c r="K1" s="2" t="s">
        <v>36</v>
      </c>
      <c r="L1" s="2" t="s">
        <v>37</v>
      </c>
      <c r="M1" s="2" t="s">
        <v>11</v>
      </c>
    </row>
    <row r="2" spans="1:13" ht="15.75" thickBot="1" x14ac:dyDescent="0.3">
      <c r="A2" s="17" t="s">
        <v>134</v>
      </c>
      <c r="B2" t="s">
        <v>130</v>
      </c>
      <c r="C2" s="7" t="s">
        <v>97</v>
      </c>
      <c r="D2" s="7" t="s">
        <v>141</v>
      </c>
      <c r="E2" s="7"/>
    </row>
    <row r="3" spans="1:13" x14ac:dyDescent="0.25">
      <c r="A3" s="17"/>
      <c r="C3" s="7"/>
      <c r="D3" s="7"/>
      <c r="E3" s="7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113</v>
      </c>
      <c r="D1" s="11" t="s">
        <v>114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113</v>
      </c>
      <c r="D1" s="11" t="s">
        <v>114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97</v>
      </c>
      <c r="B2" t="s">
        <v>125</v>
      </c>
      <c r="C2" t="s">
        <v>140</v>
      </c>
      <c r="E2" t="s">
        <v>153</v>
      </c>
      <c r="H2">
        <v>11.55583</v>
      </c>
      <c r="I2">
        <v>8000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D2" sqref="D2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8.28515625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106</v>
      </c>
      <c r="E1" s="3" t="s">
        <v>107</v>
      </c>
      <c r="F1" s="3" t="s">
        <v>108</v>
      </c>
      <c r="G1" s="3" t="s">
        <v>112</v>
      </c>
    </row>
    <row r="2" spans="1:7" x14ac:dyDescent="0.25">
      <c r="A2" s="1" t="s">
        <v>136</v>
      </c>
      <c r="B2" t="s">
        <v>126</v>
      </c>
      <c r="D2" t="s">
        <v>138</v>
      </c>
      <c r="E2" t="s">
        <v>147</v>
      </c>
      <c r="F2" t="s">
        <v>137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e" cm="1">
        <f t="array" aca="1" ref="D174" ca="1">IF(OR(COUNTIF(damper_names,_xlfn.CONCAT("D_S_",C174))=1, COUNTIF(damper_names,_xlfn.CONCAT("D_E_",C174))=1), "C", "")</f>
        <v>#VALUE!</v>
      </c>
      <c r="E174" t="e">
        <f t="shared" ref="E174:E237" ca="1" si="0">IF(D174="T", 0.05, IF(D174="C", -0.01, ""))</f>
        <v>#VALUE!</v>
      </c>
      <c r="F174" t="e">
        <f t="shared" ref="F174:F237" ca="1" si="1">IF(D174="T", 0.05, IF(D174="C", 0, ""))</f>
        <v>#VALUE!</v>
      </c>
      <c r="G174" t="e">
        <f t="shared" ref="G174:G237" ca="1" si="2">IF(D174="T", 0, IF(D174="C", 0, ""))</f>
        <v>#VALUE!</v>
      </c>
    </row>
    <row r="175" spans="1:7" x14ac:dyDescent="0.25">
      <c r="A175" s="1"/>
      <c r="D175" t="e" cm="1">
        <f t="array" aca="1" ref="D175" ca="1">IF(OR(COUNTIF(damper_names,_xlfn.CONCAT("D_S_",C175))=1, COUNTIF(damper_names,_xlfn.CONCAT("D_E_",C175))=1), "C", "")</f>
        <v>#VALUE!</v>
      </c>
      <c r="E175" t="e">
        <f t="shared" ca="1" si="0"/>
        <v>#VALUE!</v>
      </c>
      <c r="F175" t="e">
        <f t="shared" ca="1" si="1"/>
        <v>#VALUE!</v>
      </c>
      <c r="G175" t="e">
        <f t="shared" ca="1" si="2"/>
        <v>#VALUE!</v>
      </c>
    </row>
    <row r="176" spans="1:7" x14ac:dyDescent="0.25">
      <c r="A176" s="1"/>
      <c r="D176" t="e" cm="1">
        <f t="array" aca="1" ref="D176" ca="1">IF(OR(COUNTIF(damper_names,_xlfn.CONCAT("D_S_",C176))=1, COUNTIF(damper_names,_xlfn.CONCAT("D_E_",C176))=1), "C", "")</f>
        <v>#VALUE!</v>
      </c>
      <c r="E176" t="e">
        <f t="shared" ca="1" si="0"/>
        <v>#VALUE!</v>
      </c>
      <c r="F176" t="e">
        <f t="shared" ca="1" si="1"/>
        <v>#VALUE!</v>
      </c>
      <c r="G176" t="e">
        <f t="shared" ca="1" si="2"/>
        <v>#VALUE!</v>
      </c>
    </row>
    <row r="177" spans="1:7" x14ac:dyDescent="0.25">
      <c r="A177" s="1"/>
      <c r="D177" t="e" cm="1">
        <f t="array" aca="1" ref="D177" ca="1">IF(OR(COUNTIF(damper_names,_xlfn.CONCAT("D_S_",C177))=1, COUNTIF(damper_names,_xlfn.CONCAT("D_E_",C177))=1), "C", "")</f>
        <v>#VALUE!</v>
      </c>
      <c r="E177" t="e">
        <f t="shared" ca="1" si="0"/>
        <v>#VALUE!</v>
      </c>
      <c r="F177" t="e">
        <f t="shared" ca="1" si="1"/>
        <v>#VALUE!</v>
      </c>
      <c r="G177" t="e">
        <f t="shared" ca="1" si="2"/>
        <v>#VALUE!</v>
      </c>
    </row>
    <row r="178" spans="1:7" x14ac:dyDescent="0.25">
      <c r="A178" s="1"/>
      <c r="D178" t="e" cm="1">
        <f t="array" aca="1" ref="D178" ca="1">IF(OR(COUNTIF(damper_names,_xlfn.CONCAT("D_S_",C178))=1, COUNTIF(damper_names,_xlfn.CONCAT("D_E_",C178))=1), "C", "")</f>
        <v>#VALUE!</v>
      </c>
      <c r="E178" t="e">
        <f t="shared" ca="1" si="0"/>
        <v>#VALUE!</v>
      </c>
      <c r="F178" t="e">
        <f t="shared" ca="1" si="1"/>
        <v>#VALUE!</v>
      </c>
      <c r="G178" t="e">
        <f t="shared" ca="1" si="2"/>
        <v>#VALUE!</v>
      </c>
    </row>
    <row r="179" spans="1:7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ca="1" si="0"/>
        <v>#VALUE!</v>
      </c>
      <c r="F179" t="e">
        <f t="shared" ca="1" si="1"/>
        <v>#VALUE!</v>
      </c>
      <c r="G179" t="e">
        <f t="shared" ca="1" si="2"/>
        <v>#VALUE!</v>
      </c>
    </row>
    <row r="180" spans="1:7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</row>
    <row r="181" spans="1:7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</row>
    <row r="182" spans="1:7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ref="E238:E301" ca="1" si="3">IF(D238="T", 0.05, IF(D238="C", -0.01, ""))</f>
        <v>#VALUE!</v>
      </c>
      <c r="F238" t="e">
        <f t="shared" ref="F238:F301" ca="1" si="4">IF(D238="T", 0.05, IF(D238="C", 0, ""))</f>
        <v>#VALUE!</v>
      </c>
      <c r="G238" t="e">
        <f t="shared" ref="G238:G301" ca="1" si="5">IF(D238="T", 0, IF(D238="C", 0, ""))</f>
        <v>#VALUE!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3"/>
        <v>#VALUE!</v>
      </c>
      <c r="F239" t="e">
        <f t="shared" ca="1" si="4"/>
        <v>#VALUE!</v>
      </c>
      <c r="G239" t="e">
        <f t="shared" ca="1" si="5"/>
        <v>#VALUE!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3"/>
        <v>#VALUE!</v>
      </c>
      <c r="F240" t="e">
        <f t="shared" ca="1" si="4"/>
        <v>#VALUE!</v>
      </c>
      <c r="G240" t="e">
        <f t="shared" ca="1" si="5"/>
        <v>#VALUE!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3"/>
        <v>#VALUE!</v>
      </c>
      <c r="F241" t="e">
        <f t="shared" ca="1" si="4"/>
        <v>#VALUE!</v>
      </c>
      <c r="G241" t="e">
        <f t="shared" ca="1" si="5"/>
        <v>#VALUE!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3"/>
        <v>#VALUE!</v>
      </c>
      <c r="F242" t="e">
        <f t="shared" ca="1" si="4"/>
        <v>#VALUE!</v>
      </c>
      <c r="G242" t="e">
        <f t="shared" ca="1" si="5"/>
        <v>#VALUE!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ca="1" si="3"/>
        <v>#VALUE!</v>
      </c>
      <c r="F243" t="e">
        <f t="shared" ca="1" si="4"/>
        <v>#VALUE!</v>
      </c>
      <c r="G243" t="e">
        <f t="shared" ca="1" si="5"/>
        <v>#VALUE!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3"/>
        <v>#VALUE!</v>
      </c>
      <c r="F244" t="e">
        <f t="shared" ca="1" si="4"/>
        <v>#VALUE!</v>
      </c>
      <c r="G244" t="e">
        <f t="shared" ca="1" si="5"/>
        <v>#VALUE!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3"/>
        <v>#VALUE!</v>
      </c>
      <c r="F245" t="e">
        <f t="shared" ca="1" si="4"/>
        <v>#VALUE!</v>
      </c>
      <c r="G245" t="e">
        <f t="shared" ca="1" si="5"/>
        <v>#VALUE!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3"/>
        <v>#VALUE!</v>
      </c>
      <c r="F246" t="e">
        <f t="shared" ca="1" si="4"/>
        <v>#VALUE!</v>
      </c>
      <c r="G246" t="e">
        <f t="shared" ca="1" si="5"/>
        <v>#VALUE!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3"/>
        <v>#VALUE!</v>
      </c>
      <c r="F247" t="e">
        <f t="shared" ca="1" si="4"/>
        <v>#VALUE!</v>
      </c>
      <c r="G247" t="e">
        <f t="shared" ca="1" si="5"/>
        <v>#VALUE!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3"/>
        <v>#VALUE!</v>
      </c>
      <c r="F248" t="e">
        <f t="shared" ca="1" si="4"/>
        <v>#VALUE!</v>
      </c>
      <c r="G248" t="e">
        <f t="shared" ca="1" si="5"/>
        <v>#VALUE!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3"/>
        <v>#VALUE!</v>
      </c>
      <c r="F249" t="e">
        <f t="shared" ca="1" si="4"/>
        <v>#VALUE!</v>
      </c>
      <c r="G249" t="e">
        <f t="shared" ca="1" si="5"/>
        <v>#VALUE!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3"/>
        <v>#VALUE!</v>
      </c>
      <c r="F250" t="e">
        <f t="shared" ca="1" si="4"/>
        <v>#VALUE!</v>
      </c>
      <c r="G250" t="e">
        <f t="shared" ca="1" si="5"/>
        <v>#VALUE!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3"/>
        <v>#VALUE!</v>
      </c>
      <c r="F251" t="e">
        <f t="shared" ca="1" si="4"/>
        <v>#VALUE!</v>
      </c>
      <c r="G251" t="e">
        <f t="shared" ca="1" si="5"/>
        <v>#VALUE!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3"/>
        <v>#VALUE!</v>
      </c>
      <c r="F252" t="e">
        <f t="shared" ca="1" si="4"/>
        <v>#VALUE!</v>
      </c>
      <c r="G252" t="e">
        <f t="shared" ca="1" si="5"/>
        <v>#VALUE!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3"/>
        <v>#VALUE!</v>
      </c>
      <c r="F253" t="e">
        <f t="shared" ca="1" si="4"/>
        <v>#VALUE!</v>
      </c>
      <c r="G253" t="e">
        <f t="shared" ca="1" si="5"/>
        <v>#VALUE!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3"/>
        <v>#VALUE!</v>
      </c>
      <c r="F254" t="e">
        <f t="shared" ca="1" si="4"/>
        <v>#VALUE!</v>
      </c>
      <c r="G254" t="e">
        <f t="shared" ca="1" si="5"/>
        <v>#VALUE!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3"/>
        <v>#VALUE!</v>
      </c>
      <c r="F255" t="e">
        <f t="shared" ca="1" si="4"/>
        <v>#VALUE!</v>
      </c>
      <c r="G255" t="e">
        <f t="shared" ca="1" si="5"/>
        <v>#VALUE!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3"/>
        <v>#VALUE!</v>
      </c>
      <c r="F256" t="e">
        <f t="shared" ca="1" si="4"/>
        <v>#VALUE!</v>
      </c>
      <c r="G256" t="e">
        <f t="shared" ca="1" si="5"/>
        <v>#VALUE!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3"/>
        <v>#VALUE!</v>
      </c>
      <c r="F257" t="e">
        <f t="shared" ca="1" si="4"/>
        <v>#VALUE!</v>
      </c>
      <c r="G257" t="e">
        <f t="shared" ca="1" si="5"/>
        <v>#VALUE!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3"/>
        <v>#VALUE!</v>
      </c>
      <c r="F258" t="e">
        <f t="shared" ca="1" si="4"/>
        <v>#VALUE!</v>
      </c>
      <c r="G258" t="e">
        <f t="shared" ca="1" si="5"/>
        <v>#VALUE!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3"/>
        <v>#VALUE!</v>
      </c>
      <c r="F259" t="e">
        <f t="shared" ca="1" si="4"/>
        <v>#VALUE!</v>
      </c>
      <c r="G259" t="e">
        <f t="shared" ca="1" si="5"/>
        <v>#VALUE!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3"/>
        <v>#VALUE!</v>
      </c>
      <c r="F260" t="e">
        <f t="shared" ca="1" si="4"/>
        <v>#VALUE!</v>
      </c>
      <c r="G260" t="e">
        <f t="shared" ca="1" si="5"/>
        <v>#VALUE!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3"/>
        <v>#VALUE!</v>
      </c>
      <c r="F261" t="e">
        <f t="shared" ca="1" si="4"/>
        <v>#VALUE!</v>
      </c>
      <c r="G261" t="e">
        <f t="shared" ca="1" si="5"/>
        <v>#VALUE!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3"/>
        <v>#VALUE!</v>
      </c>
      <c r="F262" t="e">
        <f t="shared" ca="1" si="4"/>
        <v>#VALUE!</v>
      </c>
      <c r="G262" t="e">
        <f t="shared" ca="1" si="5"/>
        <v>#VALUE!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3"/>
        <v>#VALUE!</v>
      </c>
      <c r="F263" t="e">
        <f t="shared" ca="1" si="4"/>
        <v>#VALUE!</v>
      </c>
      <c r="G263" t="e">
        <f t="shared" ca="1" si="5"/>
        <v>#VALUE!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3"/>
        <v>#VALUE!</v>
      </c>
      <c r="F264" t="e">
        <f t="shared" ca="1" si="4"/>
        <v>#VALUE!</v>
      </c>
      <c r="G264" t="e">
        <f t="shared" ca="1" si="5"/>
        <v>#VALUE!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3"/>
        <v>#VALUE!</v>
      </c>
      <c r="F265" t="e">
        <f t="shared" ca="1" si="4"/>
        <v>#VALUE!</v>
      </c>
      <c r="G265" t="e">
        <f t="shared" ca="1" si="5"/>
        <v>#VALUE!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3"/>
        <v>#VALUE!</v>
      </c>
      <c r="F266" t="e">
        <f t="shared" ca="1" si="4"/>
        <v>#VALUE!</v>
      </c>
      <c r="G266" t="e">
        <f t="shared" ca="1" si="5"/>
        <v>#VALUE!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3"/>
        <v>#VALUE!</v>
      </c>
      <c r="F267" t="e">
        <f t="shared" ca="1" si="4"/>
        <v>#VALUE!</v>
      </c>
      <c r="G267" t="e">
        <f t="shared" ca="1" si="5"/>
        <v>#VALUE!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3"/>
        <v>#VALUE!</v>
      </c>
      <c r="F268" t="e">
        <f t="shared" ca="1" si="4"/>
        <v>#VALUE!</v>
      </c>
      <c r="G268" t="e">
        <f t="shared" ca="1" si="5"/>
        <v>#VALUE!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3"/>
        <v>#VALUE!</v>
      </c>
      <c r="F269" t="e">
        <f t="shared" ca="1" si="4"/>
        <v>#VALUE!</v>
      </c>
      <c r="G269" t="e">
        <f t="shared" ca="1" si="5"/>
        <v>#VALUE!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3"/>
        <v>#VALUE!</v>
      </c>
      <c r="F270" t="e">
        <f t="shared" ca="1" si="4"/>
        <v>#VALUE!</v>
      </c>
      <c r="G270" t="e">
        <f t="shared" ca="1" si="5"/>
        <v>#VALUE!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3"/>
        <v>#VALUE!</v>
      </c>
      <c r="F271" t="e">
        <f t="shared" ca="1" si="4"/>
        <v>#VALUE!</v>
      </c>
      <c r="G271" t="e">
        <f t="shared" ca="1" si="5"/>
        <v>#VALUE!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3"/>
        <v>#VALUE!</v>
      </c>
      <c r="F272" t="e">
        <f t="shared" ca="1" si="4"/>
        <v>#VALUE!</v>
      </c>
      <c r="G272" t="e">
        <f t="shared" ca="1" si="5"/>
        <v>#VALUE!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3"/>
        <v>#VALUE!</v>
      </c>
      <c r="F273" t="e">
        <f t="shared" ca="1" si="4"/>
        <v>#VALUE!</v>
      </c>
      <c r="G273" t="e">
        <f t="shared" ca="1" si="5"/>
        <v>#VALUE!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3"/>
        <v>#VALUE!</v>
      </c>
      <c r="F274" t="e">
        <f t="shared" ca="1" si="4"/>
        <v>#VALUE!</v>
      </c>
      <c r="G274" t="e">
        <f t="shared" ca="1" si="5"/>
        <v>#VALUE!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3"/>
        <v>#VALUE!</v>
      </c>
      <c r="F275" t="e">
        <f t="shared" ca="1" si="4"/>
        <v>#VALUE!</v>
      </c>
      <c r="G275" t="e">
        <f t="shared" ca="1" si="5"/>
        <v>#VALUE!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3"/>
        <v>#VALUE!</v>
      </c>
      <c r="F276" t="e">
        <f t="shared" ca="1" si="4"/>
        <v>#VALUE!</v>
      </c>
      <c r="G276" t="e">
        <f t="shared" ca="1" si="5"/>
        <v>#VALUE!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3"/>
        <v>#VALUE!</v>
      </c>
      <c r="F277" t="e">
        <f t="shared" ca="1" si="4"/>
        <v>#VALUE!</v>
      </c>
      <c r="G277" t="e">
        <f t="shared" ca="1" si="5"/>
        <v>#VALUE!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3"/>
        <v>#VALUE!</v>
      </c>
      <c r="F278" t="e">
        <f t="shared" ca="1" si="4"/>
        <v>#VALUE!</v>
      </c>
      <c r="G278" t="e">
        <f t="shared" ca="1" si="5"/>
        <v>#VALUE!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3"/>
        <v>#VALUE!</v>
      </c>
      <c r="F279" t="e">
        <f t="shared" ca="1" si="4"/>
        <v>#VALUE!</v>
      </c>
      <c r="G279" t="e">
        <f t="shared" ca="1" si="5"/>
        <v>#VALUE!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3"/>
        <v>#VALUE!</v>
      </c>
      <c r="F280" t="e">
        <f t="shared" ca="1" si="4"/>
        <v>#VALUE!</v>
      </c>
      <c r="G280" t="e">
        <f t="shared" ca="1" si="5"/>
        <v>#VALUE!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3"/>
        <v>#VALUE!</v>
      </c>
      <c r="F281" t="e">
        <f t="shared" ca="1" si="4"/>
        <v>#VALUE!</v>
      </c>
      <c r="G281" t="e">
        <f t="shared" ca="1" si="5"/>
        <v>#VALUE!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3"/>
        <v>#VALUE!</v>
      </c>
      <c r="F282" t="e">
        <f t="shared" ca="1" si="4"/>
        <v>#VALUE!</v>
      </c>
      <c r="G282" t="e">
        <f t="shared" ca="1" si="5"/>
        <v>#VALUE!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3"/>
        <v>#VALUE!</v>
      </c>
      <c r="F283" t="e">
        <f t="shared" ca="1" si="4"/>
        <v>#VALUE!</v>
      </c>
      <c r="G283" t="e">
        <f t="shared" ca="1" si="5"/>
        <v>#VALUE!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3"/>
        <v>#VALUE!</v>
      </c>
      <c r="F284" t="e">
        <f t="shared" ca="1" si="4"/>
        <v>#VALUE!</v>
      </c>
      <c r="G284" t="e">
        <f t="shared" ca="1" si="5"/>
        <v>#VALUE!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3"/>
        <v>#VALUE!</v>
      </c>
      <c r="F285" t="e">
        <f t="shared" ca="1" si="4"/>
        <v>#VALUE!</v>
      </c>
      <c r="G285" t="e">
        <f t="shared" ca="1" si="5"/>
        <v>#VALUE!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3"/>
        <v>#VALUE!</v>
      </c>
      <c r="F286" t="e">
        <f t="shared" ca="1" si="4"/>
        <v>#VALUE!</v>
      </c>
      <c r="G286" t="e">
        <f t="shared" ca="1" si="5"/>
        <v>#VALUE!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3"/>
        <v>#VALUE!</v>
      </c>
      <c r="F287" t="e">
        <f t="shared" ca="1" si="4"/>
        <v>#VALUE!</v>
      </c>
      <c r="G287" t="e">
        <f t="shared" ca="1" si="5"/>
        <v>#VALUE!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3"/>
        <v>#VALUE!</v>
      </c>
      <c r="F288" t="e">
        <f t="shared" ca="1" si="4"/>
        <v>#VALUE!</v>
      </c>
      <c r="G288" t="e">
        <f t="shared" ca="1" si="5"/>
        <v>#VALUE!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3"/>
        <v>#VALUE!</v>
      </c>
      <c r="F289" t="e">
        <f t="shared" ca="1" si="4"/>
        <v>#VALUE!</v>
      </c>
      <c r="G289" t="e">
        <f t="shared" ca="1" si="5"/>
        <v>#VALUE!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3"/>
        <v>#VALUE!</v>
      </c>
      <c r="F290" t="e">
        <f t="shared" ca="1" si="4"/>
        <v>#VALUE!</v>
      </c>
      <c r="G290" t="e">
        <f t="shared" ca="1" si="5"/>
        <v>#VALUE!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3"/>
        <v>#VALUE!</v>
      </c>
      <c r="F291" t="e">
        <f t="shared" ca="1" si="4"/>
        <v>#VALUE!</v>
      </c>
      <c r="G291" t="e">
        <f t="shared" ca="1" si="5"/>
        <v>#VALUE!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3"/>
        <v>#VALUE!</v>
      </c>
      <c r="F292" t="e">
        <f t="shared" ca="1" si="4"/>
        <v>#VALUE!</v>
      </c>
      <c r="G292" t="e">
        <f t="shared" ca="1" si="5"/>
        <v>#VALUE!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3"/>
        <v>#VALUE!</v>
      </c>
      <c r="F293" t="e">
        <f t="shared" ca="1" si="4"/>
        <v>#VALUE!</v>
      </c>
      <c r="G293" t="e">
        <f t="shared" ca="1" si="5"/>
        <v>#VALUE!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3"/>
        <v>#VALUE!</v>
      </c>
      <c r="F294" t="e">
        <f t="shared" ca="1" si="4"/>
        <v>#VALUE!</v>
      </c>
      <c r="G294" t="e">
        <f t="shared" ca="1" si="5"/>
        <v>#VALUE!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3"/>
        <v>#VALUE!</v>
      </c>
      <c r="F295" t="e">
        <f t="shared" ca="1" si="4"/>
        <v>#VALUE!</v>
      </c>
      <c r="G295" t="e">
        <f t="shared" ca="1" si="5"/>
        <v>#VALUE!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3"/>
        <v>#VALUE!</v>
      </c>
      <c r="F296" t="e">
        <f t="shared" ca="1" si="4"/>
        <v>#VALUE!</v>
      </c>
      <c r="G296" t="e">
        <f t="shared" ca="1" si="5"/>
        <v>#VALUE!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3"/>
        <v>#VALUE!</v>
      </c>
      <c r="F297" t="e">
        <f t="shared" ca="1" si="4"/>
        <v>#VALUE!</v>
      </c>
      <c r="G297" t="e">
        <f t="shared" ca="1" si="5"/>
        <v>#VALUE!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3"/>
        <v>#VALUE!</v>
      </c>
      <c r="F298" t="e">
        <f t="shared" ca="1" si="4"/>
        <v>#VALUE!</v>
      </c>
      <c r="G298" t="e">
        <f t="shared" ca="1" si="5"/>
        <v>#VALUE!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3"/>
        <v>#VALUE!</v>
      </c>
      <c r="F299" t="e">
        <f t="shared" ca="1" si="4"/>
        <v>#VALUE!</v>
      </c>
      <c r="G299" t="e">
        <f t="shared" ca="1" si="5"/>
        <v>#VALUE!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3"/>
        <v>#VALUE!</v>
      </c>
      <c r="F300" t="e">
        <f t="shared" ca="1" si="4"/>
        <v>#VALUE!</v>
      </c>
      <c r="G300" t="e">
        <f t="shared" ca="1" si="5"/>
        <v>#VALUE!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3"/>
        <v>#VALUE!</v>
      </c>
      <c r="F301" t="e">
        <f t="shared" ca="1" si="4"/>
        <v>#VALUE!</v>
      </c>
      <c r="G301" t="e">
        <f t="shared" ca="1" si="5"/>
        <v>#VALUE!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ref="E302:E365" ca="1" si="6">IF(D302="T", 0.05, IF(D302="C", -0.01, ""))</f>
        <v>#VALUE!</v>
      </c>
      <c r="F302" t="e">
        <f t="shared" ref="F302:F365" ca="1" si="7">IF(D302="T", 0.05, IF(D302="C", 0, ""))</f>
        <v>#VALUE!</v>
      </c>
      <c r="G302" t="e">
        <f t="shared" ref="G302:G365" ca="1" si="8">IF(D302="T", 0, IF(D302="C", 0, ""))</f>
        <v>#VALUE!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6"/>
        <v>#VALUE!</v>
      </c>
      <c r="F303" t="e">
        <f t="shared" ca="1" si="7"/>
        <v>#VALUE!</v>
      </c>
      <c r="G303" t="e">
        <f t="shared" ca="1" si="8"/>
        <v>#VALUE!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6"/>
        <v>#VALUE!</v>
      </c>
      <c r="F304" t="e">
        <f t="shared" ca="1" si="7"/>
        <v>#VALUE!</v>
      </c>
      <c r="G304" t="e">
        <f t="shared" ca="1" si="8"/>
        <v>#VALUE!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6"/>
        <v>#VALUE!</v>
      </c>
      <c r="F305" t="e">
        <f t="shared" ca="1" si="7"/>
        <v>#VALUE!</v>
      </c>
      <c r="G305" t="e">
        <f t="shared" ca="1" si="8"/>
        <v>#VALUE!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6"/>
        <v>#VALUE!</v>
      </c>
      <c r="F306" t="e">
        <f t="shared" ca="1" si="7"/>
        <v>#VALUE!</v>
      </c>
      <c r="G306" t="e">
        <f t="shared" ca="1" si="8"/>
        <v>#VALUE!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ca="1" si="6"/>
        <v>#VALUE!</v>
      </c>
      <c r="F307" t="e">
        <f t="shared" ca="1" si="7"/>
        <v>#VALUE!</v>
      </c>
      <c r="G307" t="e">
        <f t="shared" ca="1" si="8"/>
        <v>#VALUE!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6"/>
        <v>#VALUE!</v>
      </c>
      <c r="F308" t="e">
        <f t="shared" ca="1" si="7"/>
        <v>#VALUE!</v>
      </c>
      <c r="G308" t="e">
        <f t="shared" ca="1" si="8"/>
        <v>#VALUE!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6"/>
        <v>#VALUE!</v>
      </c>
      <c r="F309" t="e">
        <f t="shared" ca="1" si="7"/>
        <v>#VALUE!</v>
      </c>
      <c r="G309" t="e">
        <f t="shared" ca="1" si="8"/>
        <v>#VALUE!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6"/>
        <v>#VALUE!</v>
      </c>
      <c r="F310" t="e">
        <f t="shared" ca="1" si="7"/>
        <v>#VALUE!</v>
      </c>
      <c r="G310" t="e">
        <f t="shared" ca="1" si="8"/>
        <v>#VALUE!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6"/>
        <v>#VALUE!</v>
      </c>
      <c r="F311" t="e">
        <f t="shared" ca="1" si="7"/>
        <v>#VALUE!</v>
      </c>
      <c r="G311" t="e">
        <f t="shared" ca="1" si="8"/>
        <v>#VALUE!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6"/>
        <v>#VALUE!</v>
      </c>
      <c r="F312" t="e">
        <f t="shared" ca="1" si="7"/>
        <v>#VALUE!</v>
      </c>
      <c r="G312" t="e">
        <f t="shared" ca="1" si="8"/>
        <v>#VALUE!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6"/>
        <v>#VALUE!</v>
      </c>
      <c r="F313" t="e">
        <f t="shared" ca="1" si="7"/>
        <v>#VALUE!</v>
      </c>
      <c r="G313" t="e">
        <f t="shared" ca="1" si="8"/>
        <v>#VALUE!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6"/>
        <v>#VALUE!</v>
      </c>
      <c r="F314" t="e">
        <f t="shared" ca="1" si="7"/>
        <v>#VALUE!</v>
      </c>
      <c r="G314" t="e">
        <f t="shared" ca="1" si="8"/>
        <v>#VALUE!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6"/>
        <v>#VALUE!</v>
      </c>
      <c r="F315" t="e">
        <f t="shared" ca="1" si="7"/>
        <v>#VALUE!</v>
      </c>
      <c r="G315" t="e">
        <f t="shared" ca="1" si="8"/>
        <v>#VALUE!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6"/>
        <v>#VALUE!</v>
      </c>
      <c r="F316" t="e">
        <f t="shared" ca="1" si="7"/>
        <v>#VALUE!</v>
      </c>
      <c r="G316" t="e">
        <f t="shared" ca="1" si="8"/>
        <v>#VALUE!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6"/>
        <v>#VALUE!</v>
      </c>
      <c r="F317" t="e">
        <f t="shared" ca="1" si="7"/>
        <v>#VALUE!</v>
      </c>
      <c r="G317" t="e">
        <f t="shared" ca="1" si="8"/>
        <v>#VALUE!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6"/>
        <v>#VALUE!</v>
      </c>
      <c r="F318" t="e">
        <f t="shared" ca="1" si="7"/>
        <v>#VALUE!</v>
      </c>
      <c r="G318" t="e">
        <f t="shared" ca="1" si="8"/>
        <v>#VALUE!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6"/>
        <v>#VALUE!</v>
      </c>
      <c r="F319" t="e">
        <f t="shared" ca="1" si="7"/>
        <v>#VALUE!</v>
      </c>
      <c r="G319" t="e">
        <f t="shared" ca="1" si="8"/>
        <v>#VALUE!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6"/>
        <v>#VALUE!</v>
      </c>
      <c r="F320" t="e">
        <f t="shared" ca="1" si="7"/>
        <v>#VALUE!</v>
      </c>
      <c r="G320" t="e">
        <f t="shared" ca="1" si="8"/>
        <v>#VALUE!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6"/>
        <v>#VALUE!</v>
      </c>
      <c r="F321" t="e">
        <f t="shared" ca="1" si="7"/>
        <v>#VALUE!</v>
      </c>
      <c r="G321" t="e">
        <f t="shared" ca="1" si="8"/>
        <v>#VALUE!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6"/>
        <v>#VALUE!</v>
      </c>
      <c r="F322" t="e">
        <f t="shared" ca="1" si="7"/>
        <v>#VALUE!</v>
      </c>
      <c r="G322" t="e">
        <f t="shared" ca="1" si="8"/>
        <v>#VALUE!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6"/>
        <v>#VALUE!</v>
      </c>
      <c r="F323" t="e">
        <f t="shared" ca="1" si="7"/>
        <v>#VALUE!</v>
      </c>
      <c r="G323" t="e">
        <f t="shared" ca="1" si="8"/>
        <v>#VALUE!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6"/>
        <v>#VALUE!</v>
      </c>
      <c r="F324" t="e">
        <f t="shared" ca="1" si="7"/>
        <v>#VALUE!</v>
      </c>
      <c r="G324" t="e">
        <f t="shared" ca="1" si="8"/>
        <v>#VALUE!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6"/>
        <v>#VALUE!</v>
      </c>
      <c r="F325" t="e">
        <f t="shared" ca="1" si="7"/>
        <v>#VALUE!</v>
      </c>
      <c r="G325" t="e">
        <f t="shared" ca="1" si="8"/>
        <v>#VALUE!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6"/>
        <v>#VALUE!</v>
      </c>
      <c r="F326" t="e">
        <f t="shared" ca="1" si="7"/>
        <v>#VALUE!</v>
      </c>
      <c r="G326" t="e">
        <f t="shared" ca="1" si="8"/>
        <v>#VALUE!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6"/>
        <v>#VALUE!</v>
      </c>
      <c r="F327" t="e">
        <f t="shared" ca="1" si="7"/>
        <v>#VALUE!</v>
      </c>
      <c r="G327" t="e">
        <f t="shared" ca="1" si="8"/>
        <v>#VALUE!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6"/>
        <v>#VALUE!</v>
      </c>
      <c r="F328" t="e">
        <f t="shared" ca="1" si="7"/>
        <v>#VALUE!</v>
      </c>
      <c r="G328" t="e">
        <f t="shared" ca="1" si="8"/>
        <v>#VALUE!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6"/>
        <v>#VALUE!</v>
      </c>
      <c r="F329" t="e">
        <f t="shared" ca="1" si="7"/>
        <v>#VALUE!</v>
      </c>
      <c r="G329" t="e">
        <f t="shared" ca="1" si="8"/>
        <v>#VALUE!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6"/>
        <v>#VALUE!</v>
      </c>
      <c r="F330" t="e">
        <f t="shared" ca="1" si="7"/>
        <v>#VALUE!</v>
      </c>
      <c r="G330" t="e">
        <f t="shared" ca="1" si="8"/>
        <v>#VALUE!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6"/>
        <v>#VALUE!</v>
      </c>
      <c r="F331" t="e">
        <f t="shared" ca="1" si="7"/>
        <v>#VALUE!</v>
      </c>
      <c r="G331" t="e">
        <f t="shared" ca="1" si="8"/>
        <v>#VALUE!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6"/>
        <v>#VALUE!</v>
      </c>
      <c r="F332" t="e">
        <f t="shared" ca="1" si="7"/>
        <v>#VALUE!</v>
      </c>
      <c r="G332" t="e">
        <f t="shared" ca="1" si="8"/>
        <v>#VALUE!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6"/>
        <v>#VALUE!</v>
      </c>
      <c r="F333" t="e">
        <f t="shared" ca="1" si="7"/>
        <v>#VALUE!</v>
      </c>
      <c r="G333" t="e">
        <f t="shared" ca="1" si="8"/>
        <v>#VALUE!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6"/>
        <v>#VALUE!</v>
      </c>
      <c r="F334" t="e">
        <f t="shared" ca="1" si="7"/>
        <v>#VALUE!</v>
      </c>
      <c r="G334" t="e">
        <f t="shared" ca="1" si="8"/>
        <v>#VALUE!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6"/>
        <v>#VALUE!</v>
      </c>
      <c r="F335" t="e">
        <f t="shared" ca="1" si="7"/>
        <v>#VALUE!</v>
      </c>
      <c r="G335" t="e">
        <f t="shared" ca="1" si="8"/>
        <v>#VALUE!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6"/>
        <v>#VALUE!</v>
      </c>
      <c r="F336" t="e">
        <f t="shared" ca="1" si="7"/>
        <v>#VALUE!</v>
      </c>
      <c r="G336" t="e">
        <f t="shared" ca="1" si="8"/>
        <v>#VALUE!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6"/>
        <v>#VALUE!</v>
      </c>
      <c r="F337" t="e">
        <f t="shared" ca="1" si="7"/>
        <v>#VALUE!</v>
      </c>
      <c r="G337" t="e">
        <f t="shared" ca="1" si="8"/>
        <v>#VALUE!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6"/>
        <v>#VALUE!</v>
      </c>
      <c r="F338" t="e">
        <f t="shared" ca="1" si="7"/>
        <v>#VALUE!</v>
      </c>
      <c r="G338" t="e">
        <f t="shared" ca="1" si="8"/>
        <v>#VALUE!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6"/>
        <v>#VALUE!</v>
      </c>
      <c r="F339" t="e">
        <f t="shared" ca="1" si="7"/>
        <v>#VALUE!</v>
      </c>
      <c r="G339" t="e">
        <f t="shared" ca="1" si="8"/>
        <v>#VALUE!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6"/>
        <v>#VALUE!</v>
      </c>
      <c r="F340" t="e">
        <f t="shared" ca="1" si="7"/>
        <v>#VALUE!</v>
      </c>
      <c r="G340" t="e">
        <f t="shared" ca="1" si="8"/>
        <v>#VALUE!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6"/>
        <v>#VALUE!</v>
      </c>
      <c r="F341" t="e">
        <f t="shared" ca="1" si="7"/>
        <v>#VALUE!</v>
      </c>
      <c r="G341" t="e">
        <f t="shared" ca="1" si="8"/>
        <v>#VALUE!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6"/>
        <v>#VALUE!</v>
      </c>
      <c r="F342" t="e">
        <f t="shared" ca="1" si="7"/>
        <v>#VALUE!</v>
      </c>
      <c r="G342" t="e">
        <f t="shared" ca="1" si="8"/>
        <v>#VALUE!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6"/>
        <v>#VALUE!</v>
      </c>
      <c r="F343" t="e">
        <f t="shared" ca="1" si="7"/>
        <v>#VALUE!</v>
      </c>
      <c r="G343" t="e">
        <f t="shared" ca="1" si="8"/>
        <v>#VALUE!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6"/>
        <v>#VALUE!</v>
      </c>
      <c r="F344" t="e">
        <f t="shared" ca="1" si="7"/>
        <v>#VALUE!</v>
      </c>
      <c r="G344" t="e">
        <f t="shared" ca="1" si="8"/>
        <v>#VALUE!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6"/>
        <v>#VALUE!</v>
      </c>
      <c r="F345" t="e">
        <f t="shared" ca="1" si="7"/>
        <v>#VALUE!</v>
      </c>
      <c r="G345" t="e">
        <f t="shared" ca="1" si="8"/>
        <v>#VALUE!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6"/>
        <v>#VALUE!</v>
      </c>
      <c r="F346" t="e">
        <f t="shared" ca="1" si="7"/>
        <v>#VALUE!</v>
      </c>
      <c r="G346" t="e">
        <f t="shared" ca="1" si="8"/>
        <v>#VALUE!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6"/>
        <v>#VALUE!</v>
      </c>
      <c r="F347" t="e">
        <f t="shared" ca="1" si="7"/>
        <v>#VALUE!</v>
      </c>
      <c r="G347" t="e">
        <f t="shared" ca="1" si="8"/>
        <v>#VALUE!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6"/>
        <v>#VALUE!</v>
      </c>
      <c r="F348" t="e">
        <f t="shared" ca="1" si="7"/>
        <v>#VALUE!</v>
      </c>
      <c r="G348" t="e">
        <f t="shared" ca="1" si="8"/>
        <v>#VALUE!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6"/>
        <v>#VALUE!</v>
      </c>
      <c r="F349" t="e">
        <f t="shared" ca="1" si="7"/>
        <v>#VALUE!</v>
      </c>
      <c r="G349" t="e">
        <f t="shared" ca="1" si="8"/>
        <v>#VALUE!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6"/>
        <v>#VALUE!</v>
      </c>
      <c r="F350" t="e">
        <f t="shared" ca="1" si="7"/>
        <v>#VALUE!</v>
      </c>
      <c r="G350" t="e">
        <f t="shared" ca="1" si="8"/>
        <v>#VALUE!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6"/>
        <v>#VALUE!</v>
      </c>
      <c r="F351" t="e">
        <f t="shared" ca="1" si="7"/>
        <v>#VALUE!</v>
      </c>
      <c r="G351" t="e">
        <f t="shared" ca="1" si="8"/>
        <v>#VALUE!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6"/>
        <v>#VALUE!</v>
      </c>
      <c r="F352" t="e">
        <f t="shared" ca="1" si="7"/>
        <v>#VALUE!</v>
      </c>
      <c r="G352" t="e">
        <f t="shared" ca="1" si="8"/>
        <v>#VALUE!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6"/>
        <v>#VALUE!</v>
      </c>
      <c r="F353" t="e">
        <f t="shared" ca="1" si="7"/>
        <v>#VALUE!</v>
      </c>
      <c r="G353" t="e">
        <f t="shared" ca="1" si="8"/>
        <v>#VALUE!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6"/>
        <v>#VALUE!</v>
      </c>
      <c r="F354" t="e">
        <f t="shared" ca="1" si="7"/>
        <v>#VALUE!</v>
      </c>
      <c r="G354" t="e">
        <f t="shared" ca="1" si="8"/>
        <v>#VALUE!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6"/>
        <v>#VALUE!</v>
      </c>
      <c r="F355" t="e">
        <f t="shared" ca="1" si="7"/>
        <v>#VALUE!</v>
      </c>
      <c r="G355" t="e">
        <f t="shared" ca="1" si="8"/>
        <v>#VALUE!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6"/>
        <v>#VALUE!</v>
      </c>
      <c r="F356" t="e">
        <f t="shared" ca="1" si="7"/>
        <v>#VALUE!</v>
      </c>
      <c r="G356" t="e">
        <f t="shared" ca="1" si="8"/>
        <v>#VALUE!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6"/>
        <v>#VALUE!</v>
      </c>
      <c r="F357" t="e">
        <f t="shared" ca="1" si="7"/>
        <v>#VALUE!</v>
      </c>
      <c r="G357" t="e">
        <f t="shared" ca="1" si="8"/>
        <v>#VALUE!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6"/>
        <v>#VALUE!</v>
      </c>
      <c r="F358" t="e">
        <f t="shared" ca="1" si="7"/>
        <v>#VALUE!</v>
      </c>
      <c r="G358" t="e">
        <f t="shared" ca="1" si="8"/>
        <v>#VALUE!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6"/>
        <v>#VALUE!</v>
      </c>
      <c r="F359" t="e">
        <f t="shared" ca="1" si="7"/>
        <v>#VALUE!</v>
      </c>
      <c r="G359" t="e">
        <f t="shared" ca="1" si="8"/>
        <v>#VALUE!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6"/>
        <v>#VALUE!</v>
      </c>
      <c r="F360" t="e">
        <f t="shared" ca="1" si="7"/>
        <v>#VALUE!</v>
      </c>
      <c r="G360" t="e">
        <f t="shared" ca="1" si="8"/>
        <v>#VALUE!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6"/>
        <v>#VALUE!</v>
      </c>
      <c r="F361" t="e">
        <f t="shared" ca="1" si="7"/>
        <v>#VALUE!</v>
      </c>
      <c r="G361" t="e">
        <f t="shared" ca="1" si="8"/>
        <v>#VALUE!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6"/>
        <v>#VALUE!</v>
      </c>
      <c r="F362" t="e">
        <f t="shared" ca="1" si="7"/>
        <v>#VALUE!</v>
      </c>
      <c r="G362" t="e">
        <f t="shared" ca="1" si="8"/>
        <v>#VALUE!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6"/>
        <v>#VALUE!</v>
      </c>
      <c r="F363" t="e">
        <f t="shared" ca="1" si="7"/>
        <v>#VALUE!</v>
      </c>
      <c r="G363" t="e">
        <f t="shared" ca="1" si="8"/>
        <v>#VALUE!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6"/>
        <v>#VALUE!</v>
      </c>
      <c r="F364" t="e">
        <f t="shared" ca="1" si="7"/>
        <v>#VALUE!</v>
      </c>
      <c r="G364" t="e">
        <f t="shared" ca="1" si="8"/>
        <v>#VALUE!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6"/>
        <v>#VALUE!</v>
      </c>
      <c r="F365" t="e">
        <f t="shared" ca="1" si="7"/>
        <v>#VALUE!</v>
      </c>
      <c r="G365" t="e">
        <f t="shared" ca="1" si="8"/>
        <v>#VALUE!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ref="E366:E429" ca="1" si="9">IF(D366="T", 0.05, IF(D366="C", -0.01, ""))</f>
        <v>#VALUE!</v>
      </c>
      <c r="F366" t="e">
        <f t="shared" ref="F366:F429" ca="1" si="10">IF(D366="T", 0.05, IF(D366="C", 0, ""))</f>
        <v>#VALUE!</v>
      </c>
      <c r="G366" t="e">
        <f t="shared" ref="G366:G429" ca="1" si="11">IF(D366="T", 0, IF(D366="C", 0, ""))</f>
        <v>#VALUE!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9"/>
        <v>#VALUE!</v>
      </c>
      <c r="F367" t="e">
        <f t="shared" ca="1" si="10"/>
        <v>#VALUE!</v>
      </c>
      <c r="G367" t="e">
        <f t="shared" ca="1" si="11"/>
        <v>#VALUE!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9"/>
        <v>#VALUE!</v>
      </c>
      <c r="F368" t="e">
        <f t="shared" ca="1" si="10"/>
        <v>#VALUE!</v>
      </c>
      <c r="G368" t="e">
        <f t="shared" ca="1" si="11"/>
        <v>#VALUE!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9"/>
        <v>#VALUE!</v>
      </c>
      <c r="F369" t="e">
        <f t="shared" ca="1" si="10"/>
        <v>#VALUE!</v>
      </c>
      <c r="G369" t="e">
        <f t="shared" ca="1" si="11"/>
        <v>#VALUE!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9"/>
        <v>#VALUE!</v>
      </c>
      <c r="F370" t="e">
        <f t="shared" ca="1" si="10"/>
        <v>#VALUE!</v>
      </c>
      <c r="G370" t="e">
        <f t="shared" ca="1" si="11"/>
        <v>#VALUE!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ca="1" si="9"/>
        <v>#VALUE!</v>
      </c>
      <c r="F371" t="e">
        <f t="shared" ca="1" si="10"/>
        <v>#VALUE!</v>
      </c>
      <c r="G371" t="e">
        <f t="shared" ca="1" si="11"/>
        <v>#VALUE!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9"/>
        <v>#VALUE!</v>
      </c>
      <c r="F372" t="e">
        <f t="shared" ca="1" si="10"/>
        <v>#VALUE!</v>
      </c>
      <c r="G372" t="e">
        <f t="shared" ca="1" si="11"/>
        <v>#VALUE!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9"/>
        <v>#VALUE!</v>
      </c>
      <c r="F373" t="e">
        <f t="shared" ca="1" si="10"/>
        <v>#VALUE!</v>
      </c>
      <c r="G373" t="e">
        <f t="shared" ca="1" si="11"/>
        <v>#VALUE!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9"/>
        <v>#VALUE!</v>
      </c>
      <c r="F374" t="e">
        <f t="shared" ca="1" si="10"/>
        <v>#VALUE!</v>
      </c>
      <c r="G374" t="e">
        <f t="shared" ca="1" si="11"/>
        <v>#VALUE!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9"/>
        <v>#VALUE!</v>
      </c>
      <c r="F375" t="e">
        <f t="shared" ca="1" si="10"/>
        <v>#VALUE!</v>
      </c>
      <c r="G375" t="e">
        <f t="shared" ca="1" si="11"/>
        <v>#VALUE!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9"/>
        <v>#VALUE!</v>
      </c>
      <c r="F376" t="e">
        <f t="shared" ca="1" si="10"/>
        <v>#VALUE!</v>
      </c>
      <c r="G376" t="e">
        <f t="shared" ca="1" si="11"/>
        <v>#VALUE!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9"/>
        <v>#VALUE!</v>
      </c>
      <c r="F377" t="e">
        <f t="shared" ca="1" si="10"/>
        <v>#VALUE!</v>
      </c>
      <c r="G377" t="e">
        <f t="shared" ca="1" si="11"/>
        <v>#VALUE!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9"/>
        <v>#VALUE!</v>
      </c>
      <c r="F378" t="e">
        <f t="shared" ca="1" si="10"/>
        <v>#VALUE!</v>
      </c>
      <c r="G378" t="e">
        <f t="shared" ca="1" si="11"/>
        <v>#VALUE!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9"/>
        <v>#VALUE!</v>
      </c>
      <c r="F379" t="e">
        <f t="shared" ca="1" si="10"/>
        <v>#VALUE!</v>
      </c>
      <c r="G379" t="e">
        <f t="shared" ca="1" si="11"/>
        <v>#VALUE!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9"/>
        <v>#VALUE!</v>
      </c>
      <c r="F380" t="e">
        <f t="shared" ca="1" si="10"/>
        <v>#VALUE!</v>
      </c>
      <c r="G380" t="e">
        <f t="shared" ca="1" si="11"/>
        <v>#VALUE!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9"/>
        <v>#VALUE!</v>
      </c>
      <c r="F381" t="e">
        <f t="shared" ca="1" si="10"/>
        <v>#VALUE!</v>
      </c>
      <c r="G381" t="e">
        <f t="shared" ca="1" si="11"/>
        <v>#VALUE!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9"/>
        <v>#VALUE!</v>
      </c>
      <c r="F382" t="e">
        <f t="shared" ca="1" si="10"/>
        <v>#VALUE!</v>
      </c>
      <c r="G382" t="e">
        <f t="shared" ca="1" si="11"/>
        <v>#VALUE!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9"/>
        <v>#VALUE!</v>
      </c>
      <c r="F383" t="e">
        <f t="shared" ca="1" si="10"/>
        <v>#VALUE!</v>
      </c>
      <c r="G383" t="e">
        <f t="shared" ca="1" si="11"/>
        <v>#VALUE!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9"/>
        <v>#VALUE!</v>
      </c>
      <c r="F384" t="e">
        <f t="shared" ca="1" si="10"/>
        <v>#VALUE!</v>
      </c>
      <c r="G384" t="e">
        <f t="shared" ca="1" si="11"/>
        <v>#VALUE!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9"/>
        <v>#VALUE!</v>
      </c>
      <c r="F385" t="e">
        <f t="shared" ca="1" si="10"/>
        <v>#VALUE!</v>
      </c>
      <c r="G385" t="e">
        <f t="shared" ca="1" si="11"/>
        <v>#VALUE!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9"/>
        <v>#VALUE!</v>
      </c>
      <c r="F386" t="e">
        <f t="shared" ca="1" si="10"/>
        <v>#VALUE!</v>
      </c>
      <c r="G386" t="e">
        <f t="shared" ca="1" si="11"/>
        <v>#VALUE!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9"/>
        <v>#VALUE!</v>
      </c>
      <c r="F387" t="e">
        <f t="shared" ca="1" si="10"/>
        <v>#VALUE!</v>
      </c>
      <c r="G387" t="e">
        <f t="shared" ca="1" si="11"/>
        <v>#VALUE!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9"/>
        <v>#VALUE!</v>
      </c>
      <c r="F388" t="e">
        <f t="shared" ca="1" si="10"/>
        <v>#VALUE!</v>
      </c>
      <c r="G388" t="e">
        <f t="shared" ca="1" si="11"/>
        <v>#VALUE!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9"/>
        <v>#VALUE!</v>
      </c>
      <c r="F389" t="e">
        <f t="shared" ca="1" si="10"/>
        <v>#VALUE!</v>
      </c>
      <c r="G389" t="e">
        <f t="shared" ca="1" si="11"/>
        <v>#VALUE!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9"/>
        <v>#VALUE!</v>
      </c>
      <c r="F390" t="e">
        <f t="shared" ca="1" si="10"/>
        <v>#VALUE!</v>
      </c>
      <c r="G390" t="e">
        <f t="shared" ca="1" si="11"/>
        <v>#VALUE!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9"/>
        <v>#VALUE!</v>
      </c>
      <c r="F391" t="e">
        <f t="shared" ca="1" si="10"/>
        <v>#VALUE!</v>
      </c>
      <c r="G391" t="e">
        <f t="shared" ca="1" si="11"/>
        <v>#VALUE!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9"/>
        <v>#VALUE!</v>
      </c>
      <c r="F392" t="e">
        <f t="shared" ca="1" si="10"/>
        <v>#VALUE!</v>
      </c>
      <c r="G392" t="e">
        <f t="shared" ca="1" si="11"/>
        <v>#VALUE!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9"/>
        <v>#VALUE!</v>
      </c>
      <c r="F393" t="e">
        <f t="shared" ca="1" si="10"/>
        <v>#VALUE!</v>
      </c>
      <c r="G393" t="e">
        <f t="shared" ca="1" si="11"/>
        <v>#VALUE!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9"/>
        <v>#VALUE!</v>
      </c>
      <c r="F394" t="e">
        <f t="shared" ca="1" si="10"/>
        <v>#VALUE!</v>
      </c>
      <c r="G394" t="e">
        <f t="shared" ca="1" si="11"/>
        <v>#VALUE!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9"/>
        <v>#VALUE!</v>
      </c>
      <c r="F395" t="e">
        <f t="shared" ca="1" si="10"/>
        <v>#VALUE!</v>
      </c>
      <c r="G395" t="e">
        <f t="shared" ca="1" si="11"/>
        <v>#VALUE!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9"/>
        <v>#VALUE!</v>
      </c>
      <c r="F396" t="e">
        <f t="shared" ca="1" si="10"/>
        <v>#VALUE!</v>
      </c>
      <c r="G396" t="e">
        <f t="shared" ca="1" si="11"/>
        <v>#VALUE!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9"/>
        <v>#VALUE!</v>
      </c>
      <c r="F397" t="e">
        <f t="shared" ca="1" si="10"/>
        <v>#VALUE!</v>
      </c>
      <c r="G397" t="e">
        <f t="shared" ca="1" si="11"/>
        <v>#VALUE!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9"/>
        <v>#VALUE!</v>
      </c>
      <c r="F398" t="e">
        <f t="shared" ca="1" si="10"/>
        <v>#VALUE!</v>
      </c>
      <c r="G398" t="e">
        <f t="shared" ca="1" si="11"/>
        <v>#VALUE!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9"/>
        <v>#VALUE!</v>
      </c>
      <c r="F399" t="e">
        <f t="shared" ca="1" si="10"/>
        <v>#VALUE!</v>
      </c>
      <c r="G399" t="e">
        <f t="shared" ca="1" si="11"/>
        <v>#VALUE!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9"/>
        <v>#VALUE!</v>
      </c>
      <c r="F400" t="e">
        <f t="shared" ca="1" si="10"/>
        <v>#VALUE!</v>
      </c>
      <c r="G400" t="e">
        <f t="shared" ca="1" si="11"/>
        <v>#VALUE!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9"/>
        <v>#VALUE!</v>
      </c>
      <c r="F401" t="e">
        <f t="shared" ca="1" si="10"/>
        <v>#VALUE!</v>
      </c>
      <c r="G401" t="e">
        <f t="shared" ca="1" si="11"/>
        <v>#VALUE!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9"/>
        <v>#VALUE!</v>
      </c>
      <c r="F402" t="e">
        <f t="shared" ca="1" si="10"/>
        <v>#VALUE!</v>
      </c>
      <c r="G402" t="e">
        <f t="shared" ca="1" si="11"/>
        <v>#VALUE!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9"/>
        <v>#VALUE!</v>
      </c>
      <c r="F403" t="e">
        <f t="shared" ca="1" si="10"/>
        <v>#VALUE!</v>
      </c>
      <c r="G403" t="e">
        <f t="shared" ca="1" si="11"/>
        <v>#VALUE!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9"/>
        <v>#VALUE!</v>
      </c>
      <c r="F404" t="e">
        <f t="shared" ca="1" si="10"/>
        <v>#VALUE!</v>
      </c>
      <c r="G404" t="e">
        <f t="shared" ca="1" si="11"/>
        <v>#VALUE!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9"/>
        <v>#VALUE!</v>
      </c>
      <c r="F405" t="e">
        <f t="shared" ca="1" si="10"/>
        <v>#VALUE!</v>
      </c>
      <c r="G405" t="e">
        <f t="shared" ca="1" si="11"/>
        <v>#VALUE!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9"/>
        <v>#VALUE!</v>
      </c>
      <c r="F406" t="e">
        <f t="shared" ca="1" si="10"/>
        <v>#VALUE!</v>
      </c>
      <c r="G406" t="e">
        <f t="shared" ca="1" si="11"/>
        <v>#VALUE!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9"/>
        <v>#VALUE!</v>
      </c>
      <c r="F407" t="e">
        <f t="shared" ca="1" si="10"/>
        <v>#VALUE!</v>
      </c>
      <c r="G407" t="e">
        <f t="shared" ca="1" si="11"/>
        <v>#VALUE!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9"/>
        <v>#VALUE!</v>
      </c>
      <c r="F408" t="e">
        <f t="shared" ca="1" si="10"/>
        <v>#VALUE!</v>
      </c>
      <c r="G408" t="e">
        <f t="shared" ca="1" si="11"/>
        <v>#VALUE!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9"/>
        <v>#VALUE!</v>
      </c>
      <c r="F409" t="e">
        <f t="shared" ca="1" si="10"/>
        <v>#VALUE!</v>
      </c>
      <c r="G409" t="e">
        <f t="shared" ca="1" si="11"/>
        <v>#VALUE!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9"/>
        <v>#VALUE!</v>
      </c>
      <c r="F410" t="e">
        <f t="shared" ca="1" si="10"/>
        <v>#VALUE!</v>
      </c>
      <c r="G410" t="e">
        <f t="shared" ca="1" si="11"/>
        <v>#VALUE!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9"/>
        <v>#VALUE!</v>
      </c>
      <c r="F411" t="e">
        <f t="shared" ca="1" si="10"/>
        <v>#VALUE!</v>
      </c>
      <c r="G411" t="e">
        <f t="shared" ca="1" si="11"/>
        <v>#VALUE!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9"/>
        <v>#VALUE!</v>
      </c>
      <c r="F412" t="e">
        <f t="shared" ca="1" si="10"/>
        <v>#VALUE!</v>
      </c>
      <c r="G412" t="e">
        <f t="shared" ca="1" si="11"/>
        <v>#VALUE!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9"/>
        <v>#VALUE!</v>
      </c>
      <c r="F413" t="e">
        <f t="shared" ca="1" si="10"/>
        <v>#VALUE!</v>
      </c>
      <c r="G413" t="e">
        <f t="shared" ca="1" si="11"/>
        <v>#VALUE!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9"/>
        <v>#VALUE!</v>
      </c>
      <c r="F414" t="e">
        <f t="shared" ca="1" si="10"/>
        <v>#VALUE!</v>
      </c>
      <c r="G414" t="e">
        <f t="shared" ca="1" si="11"/>
        <v>#VALUE!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9"/>
        <v>#VALUE!</v>
      </c>
      <c r="F415" t="e">
        <f t="shared" ca="1" si="10"/>
        <v>#VALUE!</v>
      </c>
      <c r="G415" t="e">
        <f t="shared" ca="1" si="11"/>
        <v>#VALUE!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9"/>
        <v>#VALUE!</v>
      </c>
      <c r="F416" t="e">
        <f t="shared" ca="1" si="10"/>
        <v>#VALUE!</v>
      </c>
      <c r="G416" t="e">
        <f t="shared" ca="1" si="11"/>
        <v>#VALUE!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9"/>
        <v>#VALUE!</v>
      </c>
      <c r="F417" t="e">
        <f t="shared" ca="1" si="10"/>
        <v>#VALUE!</v>
      </c>
      <c r="G417" t="e">
        <f t="shared" ca="1" si="11"/>
        <v>#VALUE!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9"/>
        <v>#VALUE!</v>
      </c>
      <c r="F418" t="e">
        <f t="shared" ca="1" si="10"/>
        <v>#VALUE!</v>
      </c>
      <c r="G418" t="e">
        <f t="shared" ca="1" si="11"/>
        <v>#VALUE!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9"/>
        <v>#VALUE!</v>
      </c>
      <c r="F419" t="e">
        <f t="shared" ca="1" si="10"/>
        <v>#VALUE!</v>
      </c>
      <c r="G419" t="e">
        <f t="shared" ca="1" si="11"/>
        <v>#VALUE!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9"/>
        <v>#VALUE!</v>
      </c>
      <c r="F420" t="e">
        <f t="shared" ca="1" si="10"/>
        <v>#VALUE!</v>
      </c>
      <c r="G420" t="e">
        <f t="shared" ca="1" si="11"/>
        <v>#VALUE!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9"/>
        <v>#VALUE!</v>
      </c>
      <c r="F421" t="e">
        <f t="shared" ca="1" si="10"/>
        <v>#VALUE!</v>
      </c>
      <c r="G421" t="e">
        <f t="shared" ca="1" si="11"/>
        <v>#VALUE!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9"/>
        <v>#VALUE!</v>
      </c>
      <c r="F422" t="e">
        <f t="shared" ca="1" si="10"/>
        <v>#VALUE!</v>
      </c>
      <c r="G422" t="e">
        <f t="shared" ca="1" si="11"/>
        <v>#VALUE!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9"/>
        <v>#VALUE!</v>
      </c>
      <c r="F423" t="e">
        <f t="shared" ca="1" si="10"/>
        <v>#VALUE!</v>
      </c>
      <c r="G423" t="e">
        <f t="shared" ca="1" si="11"/>
        <v>#VALUE!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9"/>
        <v>#VALUE!</v>
      </c>
      <c r="F424" t="e">
        <f t="shared" ca="1" si="10"/>
        <v>#VALUE!</v>
      </c>
      <c r="G424" t="e">
        <f t="shared" ca="1" si="11"/>
        <v>#VALUE!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9"/>
        <v>#VALUE!</v>
      </c>
      <c r="F425" t="e">
        <f t="shared" ca="1" si="10"/>
        <v>#VALUE!</v>
      </c>
      <c r="G425" t="e">
        <f t="shared" ca="1" si="11"/>
        <v>#VALUE!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9"/>
        <v>#VALUE!</v>
      </c>
      <c r="F426" t="e">
        <f t="shared" ca="1" si="10"/>
        <v>#VALUE!</v>
      </c>
      <c r="G426" t="e">
        <f t="shared" ca="1" si="11"/>
        <v>#VALUE!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9"/>
        <v>#VALUE!</v>
      </c>
      <c r="F427" t="e">
        <f t="shared" ca="1" si="10"/>
        <v>#VALUE!</v>
      </c>
      <c r="G427" t="e">
        <f t="shared" ca="1" si="11"/>
        <v>#VALUE!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9"/>
        <v>#VALUE!</v>
      </c>
      <c r="F428" t="e">
        <f t="shared" ca="1" si="10"/>
        <v>#VALUE!</v>
      </c>
      <c r="G428" t="e">
        <f t="shared" ca="1" si="11"/>
        <v>#VALUE!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9"/>
        <v>#VALUE!</v>
      </c>
      <c r="F429" t="e">
        <f t="shared" ca="1" si="10"/>
        <v>#VALUE!</v>
      </c>
      <c r="G429" t="e">
        <f t="shared" ca="1" si="11"/>
        <v>#VALUE!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ref="E430:E493" ca="1" si="12">IF(D430="T", 0.05, IF(D430="C", -0.01, ""))</f>
        <v>#VALUE!</v>
      </c>
      <c r="F430" t="e">
        <f t="shared" ref="F430:F493" ca="1" si="13">IF(D430="T", 0.05, IF(D430="C", 0, ""))</f>
        <v>#VALUE!</v>
      </c>
      <c r="G430" t="e">
        <f t="shared" ref="G430:G493" ca="1" si="14">IF(D430="T", 0, IF(D430="C", 0, ""))</f>
        <v>#VALUE!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12"/>
        <v>#VALUE!</v>
      </c>
      <c r="F431" t="e">
        <f t="shared" ca="1" si="13"/>
        <v>#VALUE!</v>
      </c>
      <c r="G431" t="e">
        <f t="shared" ca="1" si="14"/>
        <v>#VALUE!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12"/>
        <v>#VALUE!</v>
      </c>
      <c r="F432" t="e">
        <f t="shared" ca="1" si="13"/>
        <v>#VALUE!</v>
      </c>
      <c r="G432" t="e">
        <f t="shared" ca="1" si="14"/>
        <v>#VALUE!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12"/>
        <v>#VALUE!</v>
      </c>
      <c r="F433" t="e">
        <f t="shared" ca="1" si="13"/>
        <v>#VALUE!</v>
      </c>
      <c r="G433" t="e">
        <f t="shared" ca="1" si="14"/>
        <v>#VALUE!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12"/>
        <v>#VALUE!</v>
      </c>
      <c r="F434" t="e">
        <f t="shared" ca="1" si="13"/>
        <v>#VALUE!</v>
      </c>
      <c r="G434" t="e">
        <f t="shared" ca="1" si="14"/>
        <v>#VALUE!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ca="1" si="12"/>
        <v>#VALUE!</v>
      </c>
      <c r="F435" t="e">
        <f t="shared" ca="1" si="13"/>
        <v>#VALUE!</v>
      </c>
      <c r="G435" t="e">
        <f t="shared" ca="1" si="14"/>
        <v>#VALUE!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12"/>
        <v>#VALUE!</v>
      </c>
      <c r="F436" t="e">
        <f t="shared" ca="1" si="13"/>
        <v>#VALUE!</v>
      </c>
      <c r="G436" t="e">
        <f t="shared" ca="1" si="14"/>
        <v>#VALUE!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12"/>
        <v>#VALUE!</v>
      </c>
      <c r="F437" t="e">
        <f t="shared" ca="1" si="13"/>
        <v>#VALUE!</v>
      </c>
      <c r="G437" t="e">
        <f t="shared" ca="1" si="14"/>
        <v>#VALUE!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12"/>
        <v>#VALUE!</v>
      </c>
      <c r="F438" t="e">
        <f t="shared" ca="1" si="13"/>
        <v>#VALUE!</v>
      </c>
      <c r="G438" t="e">
        <f t="shared" ca="1" si="14"/>
        <v>#VALUE!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12"/>
        <v>#VALUE!</v>
      </c>
      <c r="F439" t="e">
        <f t="shared" ca="1" si="13"/>
        <v>#VALUE!</v>
      </c>
      <c r="G439" t="e">
        <f t="shared" ca="1" si="14"/>
        <v>#VALUE!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12"/>
        <v>#VALUE!</v>
      </c>
      <c r="F440" t="e">
        <f t="shared" ca="1" si="13"/>
        <v>#VALUE!</v>
      </c>
      <c r="G440" t="e">
        <f t="shared" ca="1" si="14"/>
        <v>#VALUE!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12"/>
        <v>#VALUE!</v>
      </c>
      <c r="F441" t="e">
        <f t="shared" ca="1" si="13"/>
        <v>#VALUE!</v>
      </c>
      <c r="G441" t="e">
        <f t="shared" ca="1" si="14"/>
        <v>#VALUE!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12"/>
        <v>#VALUE!</v>
      </c>
      <c r="F442" t="e">
        <f t="shared" ca="1" si="13"/>
        <v>#VALUE!</v>
      </c>
      <c r="G442" t="e">
        <f t="shared" ca="1" si="14"/>
        <v>#VALUE!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12"/>
        <v>#VALUE!</v>
      </c>
      <c r="F443" t="e">
        <f t="shared" ca="1" si="13"/>
        <v>#VALUE!</v>
      </c>
      <c r="G443" t="e">
        <f t="shared" ca="1" si="14"/>
        <v>#VALUE!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12"/>
        <v>#VALUE!</v>
      </c>
      <c r="F444" t="e">
        <f t="shared" ca="1" si="13"/>
        <v>#VALUE!</v>
      </c>
      <c r="G444" t="e">
        <f t="shared" ca="1" si="14"/>
        <v>#VALUE!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12"/>
        <v>#VALUE!</v>
      </c>
      <c r="F445" t="e">
        <f t="shared" ca="1" si="13"/>
        <v>#VALUE!</v>
      </c>
      <c r="G445" t="e">
        <f t="shared" ca="1" si="14"/>
        <v>#VALUE!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12"/>
        <v>#VALUE!</v>
      </c>
      <c r="F446" t="e">
        <f t="shared" ca="1" si="13"/>
        <v>#VALUE!</v>
      </c>
      <c r="G446" t="e">
        <f t="shared" ca="1" si="14"/>
        <v>#VALUE!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12"/>
        <v>#VALUE!</v>
      </c>
      <c r="F447" t="e">
        <f t="shared" ca="1" si="13"/>
        <v>#VALUE!</v>
      </c>
      <c r="G447" t="e">
        <f t="shared" ca="1" si="14"/>
        <v>#VALUE!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12"/>
        <v>#VALUE!</v>
      </c>
      <c r="F448" t="e">
        <f t="shared" ca="1" si="13"/>
        <v>#VALUE!</v>
      </c>
      <c r="G448" t="e">
        <f t="shared" ca="1" si="14"/>
        <v>#VALUE!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12"/>
        <v>#VALUE!</v>
      </c>
      <c r="F449" t="e">
        <f t="shared" ca="1" si="13"/>
        <v>#VALUE!</v>
      </c>
      <c r="G449" t="e">
        <f t="shared" ca="1" si="14"/>
        <v>#VALUE!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12"/>
        <v>#VALUE!</v>
      </c>
      <c r="F450" t="e">
        <f t="shared" ca="1" si="13"/>
        <v>#VALUE!</v>
      </c>
      <c r="G450" t="e">
        <f t="shared" ca="1" si="14"/>
        <v>#VALUE!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12"/>
        <v>#VALUE!</v>
      </c>
      <c r="F451" t="e">
        <f t="shared" ca="1" si="13"/>
        <v>#VALUE!</v>
      </c>
      <c r="G451" t="e">
        <f t="shared" ca="1" si="14"/>
        <v>#VALUE!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12"/>
        <v>#VALUE!</v>
      </c>
      <c r="F452" t="e">
        <f t="shared" ca="1" si="13"/>
        <v>#VALUE!</v>
      </c>
      <c r="G452" t="e">
        <f t="shared" ca="1" si="14"/>
        <v>#VALUE!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12"/>
        <v>#VALUE!</v>
      </c>
      <c r="F453" t="e">
        <f t="shared" ca="1" si="13"/>
        <v>#VALUE!</v>
      </c>
      <c r="G453" t="e">
        <f t="shared" ca="1" si="14"/>
        <v>#VALUE!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12"/>
        <v>#VALUE!</v>
      </c>
      <c r="F454" t="e">
        <f t="shared" ca="1" si="13"/>
        <v>#VALUE!</v>
      </c>
      <c r="G454" t="e">
        <f t="shared" ca="1" si="14"/>
        <v>#VALUE!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12"/>
        <v>#VALUE!</v>
      </c>
      <c r="F455" t="e">
        <f t="shared" ca="1" si="13"/>
        <v>#VALUE!</v>
      </c>
      <c r="G455" t="e">
        <f t="shared" ca="1" si="14"/>
        <v>#VALUE!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12"/>
        <v>#VALUE!</v>
      </c>
      <c r="F456" t="e">
        <f t="shared" ca="1" si="13"/>
        <v>#VALUE!</v>
      </c>
      <c r="G456" t="e">
        <f t="shared" ca="1" si="14"/>
        <v>#VALUE!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12"/>
        <v>#VALUE!</v>
      </c>
      <c r="F457" t="e">
        <f t="shared" ca="1" si="13"/>
        <v>#VALUE!</v>
      </c>
      <c r="G457" t="e">
        <f t="shared" ca="1" si="14"/>
        <v>#VALUE!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12"/>
        <v>#VALUE!</v>
      </c>
      <c r="F458" t="e">
        <f t="shared" ca="1" si="13"/>
        <v>#VALUE!</v>
      </c>
      <c r="G458" t="e">
        <f t="shared" ca="1" si="14"/>
        <v>#VALUE!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12"/>
        <v>#VALUE!</v>
      </c>
      <c r="F459" t="e">
        <f t="shared" ca="1" si="13"/>
        <v>#VALUE!</v>
      </c>
      <c r="G459" t="e">
        <f t="shared" ca="1" si="14"/>
        <v>#VALUE!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12"/>
        <v>#VALUE!</v>
      </c>
      <c r="F460" t="e">
        <f t="shared" ca="1" si="13"/>
        <v>#VALUE!</v>
      </c>
      <c r="G460" t="e">
        <f t="shared" ca="1" si="14"/>
        <v>#VALUE!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12"/>
        <v>#VALUE!</v>
      </c>
      <c r="F461" t="e">
        <f t="shared" ca="1" si="13"/>
        <v>#VALUE!</v>
      </c>
      <c r="G461" t="e">
        <f t="shared" ca="1" si="14"/>
        <v>#VALUE!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12"/>
        <v>#VALUE!</v>
      </c>
      <c r="F462" t="e">
        <f t="shared" ca="1" si="13"/>
        <v>#VALUE!</v>
      </c>
      <c r="G462" t="e">
        <f t="shared" ca="1" si="14"/>
        <v>#VALUE!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12"/>
        <v>#VALUE!</v>
      </c>
      <c r="F463" t="e">
        <f t="shared" ca="1" si="13"/>
        <v>#VALUE!</v>
      </c>
      <c r="G463" t="e">
        <f t="shared" ca="1" si="14"/>
        <v>#VALUE!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12"/>
        <v>#VALUE!</v>
      </c>
      <c r="F464" t="e">
        <f t="shared" ca="1" si="13"/>
        <v>#VALUE!</v>
      </c>
      <c r="G464" t="e">
        <f t="shared" ca="1" si="14"/>
        <v>#VALUE!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12"/>
        <v>#VALUE!</v>
      </c>
      <c r="F465" t="e">
        <f t="shared" ca="1" si="13"/>
        <v>#VALUE!</v>
      </c>
      <c r="G465" t="e">
        <f t="shared" ca="1" si="14"/>
        <v>#VALUE!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12"/>
        <v>#VALUE!</v>
      </c>
      <c r="F466" t="e">
        <f t="shared" ca="1" si="13"/>
        <v>#VALUE!</v>
      </c>
      <c r="G466" t="e">
        <f t="shared" ca="1" si="14"/>
        <v>#VALUE!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12"/>
        <v>#VALUE!</v>
      </c>
      <c r="F467" t="e">
        <f t="shared" ca="1" si="13"/>
        <v>#VALUE!</v>
      </c>
      <c r="G467" t="e">
        <f t="shared" ca="1" si="14"/>
        <v>#VALUE!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12"/>
        <v>#VALUE!</v>
      </c>
      <c r="F468" t="e">
        <f t="shared" ca="1" si="13"/>
        <v>#VALUE!</v>
      </c>
      <c r="G468" t="e">
        <f t="shared" ca="1" si="14"/>
        <v>#VALUE!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12"/>
        <v>#VALUE!</v>
      </c>
      <c r="F469" t="e">
        <f t="shared" ca="1" si="13"/>
        <v>#VALUE!</v>
      </c>
      <c r="G469" t="e">
        <f t="shared" ca="1" si="14"/>
        <v>#VALUE!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12"/>
        <v>#VALUE!</v>
      </c>
      <c r="F470" t="e">
        <f t="shared" ca="1" si="13"/>
        <v>#VALUE!</v>
      </c>
      <c r="G470" t="e">
        <f t="shared" ca="1" si="14"/>
        <v>#VALUE!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12"/>
        <v>#VALUE!</v>
      </c>
      <c r="F471" t="e">
        <f t="shared" ca="1" si="13"/>
        <v>#VALUE!</v>
      </c>
      <c r="G471" t="e">
        <f t="shared" ca="1" si="14"/>
        <v>#VALUE!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12"/>
        <v>#VALUE!</v>
      </c>
      <c r="F472" t="e">
        <f t="shared" ca="1" si="13"/>
        <v>#VALUE!</v>
      </c>
      <c r="G472" t="e">
        <f t="shared" ca="1" si="14"/>
        <v>#VALUE!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12"/>
        <v>#VALUE!</v>
      </c>
      <c r="F473" t="e">
        <f t="shared" ca="1" si="13"/>
        <v>#VALUE!</v>
      </c>
      <c r="G473" t="e">
        <f t="shared" ca="1" si="14"/>
        <v>#VALUE!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12"/>
        <v>#VALUE!</v>
      </c>
      <c r="F474" t="e">
        <f t="shared" ca="1" si="13"/>
        <v>#VALUE!</v>
      </c>
      <c r="G474" t="e">
        <f t="shared" ca="1" si="14"/>
        <v>#VALUE!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12"/>
        <v>#VALUE!</v>
      </c>
      <c r="F475" t="e">
        <f t="shared" ca="1" si="13"/>
        <v>#VALUE!</v>
      </c>
      <c r="G475" t="e">
        <f t="shared" ca="1" si="14"/>
        <v>#VALUE!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12"/>
        <v>#VALUE!</v>
      </c>
      <c r="F476" t="e">
        <f t="shared" ca="1" si="13"/>
        <v>#VALUE!</v>
      </c>
      <c r="G476" t="e">
        <f t="shared" ca="1" si="14"/>
        <v>#VALUE!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12"/>
        <v>#VALUE!</v>
      </c>
      <c r="F477" t="e">
        <f t="shared" ca="1" si="13"/>
        <v>#VALUE!</v>
      </c>
      <c r="G477" t="e">
        <f t="shared" ca="1" si="14"/>
        <v>#VALUE!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12"/>
        <v>#VALUE!</v>
      </c>
      <c r="F478" t="e">
        <f t="shared" ca="1" si="13"/>
        <v>#VALUE!</v>
      </c>
      <c r="G478" t="e">
        <f t="shared" ca="1" si="14"/>
        <v>#VALUE!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12"/>
        <v>#VALUE!</v>
      </c>
      <c r="F479" t="e">
        <f t="shared" ca="1" si="13"/>
        <v>#VALUE!</v>
      </c>
      <c r="G479" t="e">
        <f t="shared" ca="1" si="14"/>
        <v>#VALUE!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12"/>
        <v>#VALUE!</v>
      </c>
      <c r="F480" t="e">
        <f t="shared" ca="1" si="13"/>
        <v>#VALUE!</v>
      </c>
      <c r="G480" t="e">
        <f t="shared" ca="1" si="14"/>
        <v>#VALUE!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12"/>
        <v>#VALUE!</v>
      </c>
      <c r="F481" t="e">
        <f t="shared" ca="1" si="13"/>
        <v>#VALUE!</v>
      </c>
      <c r="G481" t="e">
        <f t="shared" ca="1" si="14"/>
        <v>#VALUE!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12"/>
        <v>#VALUE!</v>
      </c>
      <c r="F482" t="e">
        <f t="shared" ca="1" si="13"/>
        <v>#VALUE!</v>
      </c>
      <c r="G482" t="e">
        <f t="shared" ca="1" si="14"/>
        <v>#VALUE!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12"/>
        <v>#VALUE!</v>
      </c>
      <c r="F483" t="e">
        <f t="shared" ca="1" si="13"/>
        <v>#VALUE!</v>
      </c>
      <c r="G483" t="e">
        <f t="shared" ca="1" si="14"/>
        <v>#VALUE!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12"/>
        <v>#VALUE!</v>
      </c>
      <c r="F484" t="e">
        <f t="shared" ca="1" si="13"/>
        <v>#VALUE!</v>
      </c>
      <c r="G484" t="e">
        <f t="shared" ca="1" si="14"/>
        <v>#VALUE!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12"/>
        <v>#VALUE!</v>
      </c>
      <c r="F485" t="e">
        <f t="shared" ca="1" si="13"/>
        <v>#VALUE!</v>
      </c>
      <c r="G485" t="e">
        <f t="shared" ca="1" si="14"/>
        <v>#VALUE!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12"/>
        <v>#VALUE!</v>
      </c>
      <c r="F486" t="e">
        <f t="shared" ca="1" si="13"/>
        <v>#VALUE!</v>
      </c>
      <c r="G486" t="e">
        <f t="shared" ca="1" si="14"/>
        <v>#VALUE!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12"/>
        <v>#VALUE!</v>
      </c>
      <c r="F487" t="e">
        <f t="shared" ca="1" si="13"/>
        <v>#VALUE!</v>
      </c>
      <c r="G487" t="e">
        <f t="shared" ca="1" si="14"/>
        <v>#VALUE!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12"/>
        <v>#VALUE!</v>
      </c>
      <c r="F488" t="e">
        <f t="shared" ca="1" si="13"/>
        <v>#VALUE!</v>
      </c>
      <c r="G488" t="e">
        <f t="shared" ca="1" si="14"/>
        <v>#VALUE!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12"/>
        <v>#VALUE!</v>
      </c>
      <c r="F489" t="e">
        <f t="shared" ca="1" si="13"/>
        <v>#VALUE!</v>
      </c>
      <c r="G489" t="e">
        <f t="shared" ca="1" si="14"/>
        <v>#VALUE!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12"/>
        <v>#VALUE!</v>
      </c>
      <c r="F490" t="e">
        <f t="shared" ca="1" si="13"/>
        <v>#VALUE!</v>
      </c>
      <c r="G490" t="e">
        <f t="shared" ca="1" si="14"/>
        <v>#VALUE!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12"/>
        <v>#VALUE!</v>
      </c>
      <c r="F491" t="e">
        <f t="shared" ca="1" si="13"/>
        <v>#VALUE!</v>
      </c>
      <c r="G491" t="e">
        <f t="shared" ca="1" si="14"/>
        <v>#VALUE!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12"/>
        <v>#VALUE!</v>
      </c>
      <c r="F492" t="e">
        <f t="shared" ca="1" si="13"/>
        <v>#VALUE!</v>
      </c>
      <c r="G492" t="e">
        <f t="shared" ca="1" si="14"/>
        <v>#VALUE!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12"/>
        <v>#VALUE!</v>
      </c>
      <c r="F493" t="e">
        <f t="shared" ca="1" si="13"/>
        <v>#VALUE!</v>
      </c>
      <c r="G493" t="e">
        <f t="shared" ca="1" si="14"/>
        <v>#VALUE!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ref="E494:E557" ca="1" si="15">IF(D494="T", 0.05, IF(D494="C", -0.01, ""))</f>
        <v>#VALUE!</v>
      </c>
      <c r="F494" t="e">
        <f t="shared" ref="F494:F557" ca="1" si="16">IF(D494="T", 0.05, IF(D494="C", 0, ""))</f>
        <v>#VALUE!</v>
      </c>
      <c r="G494" t="e">
        <f t="shared" ref="G494:G557" ca="1" si="17">IF(D494="T", 0, IF(D494="C", 0, ""))</f>
        <v>#VALUE!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15"/>
        <v>#VALUE!</v>
      </c>
      <c r="F495" t="e">
        <f t="shared" ca="1" si="16"/>
        <v>#VALUE!</v>
      </c>
      <c r="G495" t="e">
        <f t="shared" ca="1" si="17"/>
        <v>#VALUE!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15"/>
        <v>#VALUE!</v>
      </c>
      <c r="F496" t="e">
        <f t="shared" ca="1" si="16"/>
        <v>#VALUE!</v>
      </c>
      <c r="G496" t="e">
        <f t="shared" ca="1" si="17"/>
        <v>#VALUE!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15"/>
        <v>#VALUE!</v>
      </c>
      <c r="F497" t="e">
        <f t="shared" ca="1" si="16"/>
        <v>#VALUE!</v>
      </c>
      <c r="G497" t="e">
        <f t="shared" ca="1" si="17"/>
        <v>#VALUE!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15"/>
        <v>#VALUE!</v>
      </c>
      <c r="F498" t="e">
        <f t="shared" ca="1" si="16"/>
        <v>#VALUE!</v>
      </c>
      <c r="G498" t="e">
        <f t="shared" ca="1" si="17"/>
        <v>#VALUE!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ca="1" si="15"/>
        <v>#VALUE!</v>
      </c>
      <c r="F499" t="e">
        <f t="shared" ca="1" si="16"/>
        <v>#VALUE!</v>
      </c>
      <c r="G499" t="e">
        <f t="shared" ca="1" si="17"/>
        <v>#VALUE!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15"/>
        <v>#VALUE!</v>
      </c>
      <c r="F500" t="e">
        <f t="shared" ca="1" si="16"/>
        <v>#VALUE!</v>
      </c>
      <c r="G500" t="e">
        <f t="shared" ca="1" si="17"/>
        <v>#VALUE!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15"/>
        <v>#VALUE!</v>
      </c>
      <c r="F501" t="e">
        <f t="shared" ca="1" si="16"/>
        <v>#VALUE!</v>
      </c>
      <c r="G501" t="e">
        <f t="shared" ca="1" si="17"/>
        <v>#VALUE!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15"/>
        <v>#VALUE!</v>
      </c>
      <c r="F502" t="e">
        <f t="shared" ca="1" si="16"/>
        <v>#VALUE!</v>
      </c>
      <c r="G502" t="e">
        <f t="shared" ca="1" si="17"/>
        <v>#VALUE!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15"/>
        <v>#VALUE!</v>
      </c>
      <c r="F503" t="e">
        <f t="shared" ca="1" si="16"/>
        <v>#VALUE!</v>
      </c>
      <c r="G503" t="e">
        <f t="shared" ca="1" si="17"/>
        <v>#VALUE!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15"/>
        <v>#VALUE!</v>
      </c>
      <c r="F504" t="e">
        <f t="shared" ca="1" si="16"/>
        <v>#VALUE!</v>
      </c>
      <c r="G504" t="e">
        <f t="shared" ca="1" si="17"/>
        <v>#VALUE!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15"/>
        <v>#VALUE!</v>
      </c>
      <c r="F505" t="e">
        <f t="shared" ca="1" si="16"/>
        <v>#VALUE!</v>
      </c>
      <c r="G505" t="e">
        <f t="shared" ca="1" si="17"/>
        <v>#VALUE!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15"/>
        <v>#VALUE!</v>
      </c>
      <c r="F506" t="e">
        <f t="shared" ca="1" si="16"/>
        <v>#VALUE!</v>
      </c>
      <c r="G506" t="e">
        <f t="shared" ca="1" si="17"/>
        <v>#VALUE!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15"/>
        <v>#VALUE!</v>
      </c>
      <c r="F507" t="e">
        <f t="shared" ca="1" si="16"/>
        <v>#VALUE!</v>
      </c>
      <c r="G507" t="e">
        <f t="shared" ca="1" si="17"/>
        <v>#VALUE!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15"/>
        <v>#VALUE!</v>
      </c>
      <c r="F508" t="e">
        <f t="shared" ca="1" si="16"/>
        <v>#VALUE!</v>
      </c>
      <c r="G508" t="e">
        <f t="shared" ca="1" si="17"/>
        <v>#VALUE!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15"/>
        <v>#VALUE!</v>
      </c>
      <c r="F509" t="e">
        <f t="shared" ca="1" si="16"/>
        <v>#VALUE!</v>
      </c>
      <c r="G509" t="e">
        <f t="shared" ca="1" si="17"/>
        <v>#VALUE!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15"/>
        <v>#VALUE!</v>
      </c>
      <c r="F510" t="e">
        <f t="shared" ca="1" si="16"/>
        <v>#VALUE!</v>
      </c>
      <c r="G510" t="e">
        <f t="shared" ca="1" si="17"/>
        <v>#VALUE!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15"/>
        <v>#VALUE!</v>
      </c>
      <c r="F511" t="e">
        <f t="shared" ca="1" si="16"/>
        <v>#VALUE!</v>
      </c>
      <c r="G511" t="e">
        <f t="shared" ca="1" si="17"/>
        <v>#VALUE!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15"/>
        <v>#VALUE!</v>
      </c>
      <c r="F512" t="e">
        <f t="shared" ca="1" si="16"/>
        <v>#VALUE!</v>
      </c>
      <c r="G512" t="e">
        <f t="shared" ca="1" si="17"/>
        <v>#VALUE!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15"/>
        <v>#VALUE!</v>
      </c>
      <c r="F513" t="e">
        <f t="shared" ca="1" si="16"/>
        <v>#VALUE!</v>
      </c>
      <c r="G513" t="e">
        <f t="shared" ca="1" si="17"/>
        <v>#VALUE!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15"/>
        <v>#VALUE!</v>
      </c>
      <c r="F514" t="e">
        <f t="shared" ca="1" si="16"/>
        <v>#VALUE!</v>
      </c>
      <c r="G514" t="e">
        <f t="shared" ca="1" si="17"/>
        <v>#VALUE!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15"/>
        <v>#VALUE!</v>
      </c>
      <c r="F515" t="e">
        <f t="shared" ca="1" si="16"/>
        <v>#VALUE!</v>
      </c>
      <c r="G515" t="e">
        <f t="shared" ca="1" si="17"/>
        <v>#VALUE!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15"/>
        <v>#VALUE!</v>
      </c>
      <c r="F516" t="e">
        <f t="shared" ca="1" si="16"/>
        <v>#VALUE!</v>
      </c>
      <c r="G516" t="e">
        <f t="shared" ca="1" si="17"/>
        <v>#VALUE!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15"/>
        <v>#VALUE!</v>
      </c>
      <c r="F517" t="e">
        <f t="shared" ca="1" si="16"/>
        <v>#VALUE!</v>
      </c>
      <c r="G517" t="e">
        <f t="shared" ca="1" si="17"/>
        <v>#VALUE!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15"/>
        <v>#VALUE!</v>
      </c>
      <c r="F518" t="e">
        <f t="shared" ca="1" si="16"/>
        <v>#VALUE!</v>
      </c>
      <c r="G518" t="e">
        <f t="shared" ca="1" si="17"/>
        <v>#VALUE!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15"/>
        <v>#VALUE!</v>
      </c>
      <c r="F519" t="e">
        <f t="shared" ca="1" si="16"/>
        <v>#VALUE!</v>
      </c>
      <c r="G519" t="e">
        <f t="shared" ca="1" si="17"/>
        <v>#VALUE!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15"/>
        <v>#VALUE!</v>
      </c>
      <c r="F520" t="e">
        <f t="shared" ca="1" si="16"/>
        <v>#VALUE!</v>
      </c>
      <c r="G520" t="e">
        <f t="shared" ca="1" si="17"/>
        <v>#VALUE!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15"/>
        <v>#VALUE!</v>
      </c>
      <c r="F521" t="e">
        <f t="shared" ca="1" si="16"/>
        <v>#VALUE!</v>
      </c>
      <c r="G521" t="e">
        <f t="shared" ca="1" si="17"/>
        <v>#VALUE!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15"/>
        <v>#VALUE!</v>
      </c>
      <c r="F522" t="e">
        <f t="shared" ca="1" si="16"/>
        <v>#VALUE!</v>
      </c>
      <c r="G522" t="e">
        <f t="shared" ca="1" si="17"/>
        <v>#VALUE!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15"/>
        <v>#VALUE!</v>
      </c>
      <c r="F523" t="e">
        <f t="shared" ca="1" si="16"/>
        <v>#VALUE!</v>
      </c>
      <c r="G523" t="e">
        <f t="shared" ca="1" si="17"/>
        <v>#VALUE!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15"/>
        <v>#VALUE!</v>
      </c>
      <c r="F524" t="e">
        <f t="shared" ca="1" si="16"/>
        <v>#VALUE!</v>
      </c>
      <c r="G524" t="e">
        <f t="shared" ca="1" si="17"/>
        <v>#VALUE!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15"/>
        <v>#VALUE!</v>
      </c>
      <c r="F525" t="e">
        <f t="shared" ca="1" si="16"/>
        <v>#VALUE!</v>
      </c>
      <c r="G525" t="e">
        <f t="shared" ca="1" si="17"/>
        <v>#VALUE!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15"/>
        <v>#VALUE!</v>
      </c>
      <c r="F526" t="e">
        <f t="shared" ca="1" si="16"/>
        <v>#VALUE!</v>
      </c>
      <c r="G526" t="e">
        <f t="shared" ca="1" si="17"/>
        <v>#VALUE!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15"/>
        <v>#VALUE!</v>
      </c>
      <c r="F527" t="e">
        <f t="shared" ca="1" si="16"/>
        <v>#VALUE!</v>
      </c>
      <c r="G527" t="e">
        <f t="shared" ca="1" si="17"/>
        <v>#VALUE!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15"/>
        <v>#VALUE!</v>
      </c>
      <c r="F528" t="e">
        <f t="shared" ca="1" si="16"/>
        <v>#VALUE!</v>
      </c>
      <c r="G528" t="e">
        <f t="shared" ca="1" si="17"/>
        <v>#VALUE!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15"/>
        <v>#VALUE!</v>
      </c>
      <c r="F529" t="e">
        <f t="shared" ca="1" si="16"/>
        <v>#VALUE!</v>
      </c>
      <c r="G529" t="e">
        <f t="shared" ca="1" si="17"/>
        <v>#VALUE!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15"/>
        <v>#VALUE!</v>
      </c>
      <c r="F530" t="e">
        <f t="shared" ca="1" si="16"/>
        <v>#VALUE!</v>
      </c>
      <c r="G530" t="e">
        <f t="shared" ca="1" si="17"/>
        <v>#VALUE!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15"/>
        <v>#VALUE!</v>
      </c>
      <c r="F531" t="e">
        <f t="shared" ca="1" si="16"/>
        <v>#VALUE!</v>
      </c>
      <c r="G531" t="e">
        <f t="shared" ca="1" si="17"/>
        <v>#VALUE!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15"/>
        <v>#VALUE!</v>
      </c>
      <c r="F532" t="e">
        <f t="shared" ca="1" si="16"/>
        <v>#VALUE!</v>
      </c>
      <c r="G532" t="e">
        <f t="shared" ca="1" si="17"/>
        <v>#VALUE!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15"/>
        <v>#VALUE!</v>
      </c>
      <c r="F533" t="e">
        <f t="shared" ca="1" si="16"/>
        <v>#VALUE!</v>
      </c>
      <c r="G533" t="e">
        <f t="shared" ca="1" si="17"/>
        <v>#VALUE!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15"/>
        <v>#VALUE!</v>
      </c>
      <c r="F534" t="e">
        <f t="shared" ca="1" si="16"/>
        <v>#VALUE!</v>
      </c>
      <c r="G534" t="e">
        <f t="shared" ca="1" si="17"/>
        <v>#VALUE!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15"/>
        <v>#VALUE!</v>
      </c>
      <c r="F535" t="e">
        <f t="shared" ca="1" si="16"/>
        <v>#VALUE!</v>
      </c>
      <c r="G535" t="e">
        <f t="shared" ca="1" si="17"/>
        <v>#VALUE!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15"/>
        <v>#VALUE!</v>
      </c>
      <c r="F536" t="e">
        <f t="shared" ca="1" si="16"/>
        <v>#VALUE!</v>
      </c>
      <c r="G536" t="e">
        <f t="shared" ca="1" si="17"/>
        <v>#VALUE!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15"/>
        <v>#VALUE!</v>
      </c>
      <c r="F537" t="e">
        <f t="shared" ca="1" si="16"/>
        <v>#VALUE!</v>
      </c>
      <c r="G537" t="e">
        <f t="shared" ca="1" si="17"/>
        <v>#VALUE!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15"/>
        <v>#VALUE!</v>
      </c>
      <c r="F538" t="e">
        <f t="shared" ca="1" si="16"/>
        <v>#VALUE!</v>
      </c>
      <c r="G538" t="e">
        <f t="shared" ca="1" si="17"/>
        <v>#VALUE!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15"/>
        <v>#VALUE!</v>
      </c>
      <c r="F539" t="e">
        <f t="shared" ca="1" si="16"/>
        <v>#VALUE!</v>
      </c>
      <c r="G539" t="e">
        <f t="shared" ca="1" si="17"/>
        <v>#VALUE!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15"/>
        <v>#VALUE!</v>
      </c>
      <c r="F540" t="e">
        <f t="shared" ca="1" si="16"/>
        <v>#VALUE!</v>
      </c>
      <c r="G540" t="e">
        <f t="shared" ca="1" si="17"/>
        <v>#VALUE!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15"/>
        <v>#VALUE!</v>
      </c>
      <c r="F541" t="e">
        <f t="shared" ca="1" si="16"/>
        <v>#VALUE!</v>
      </c>
      <c r="G541" t="e">
        <f t="shared" ca="1" si="17"/>
        <v>#VALUE!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15"/>
        <v>#VALUE!</v>
      </c>
      <c r="F542" t="e">
        <f t="shared" ca="1" si="16"/>
        <v>#VALUE!</v>
      </c>
      <c r="G542" t="e">
        <f t="shared" ca="1" si="17"/>
        <v>#VALUE!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15"/>
        <v>#VALUE!</v>
      </c>
      <c r="F543" t="e">
        <f t="shared" ca="1" si="16"/>
        <v>#VALUE!</v>
      </c>
      <c r="G543" t="e">
        <f t="shared" ca="1" si="17"/>
        <v>#VALUE!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15"/>
        <v>#VALUE!</v>
      </c>
      <c r="F544" t="e">
        <f t="shared" ca="1" si="16"/>
        <v>#VALUE!</v>
      </c>
      <c r="G544" t="e">
        <f t="shared" ca="1" si="17"/>
        <v>#VALUE!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15"/>
        <v>#VALUE!</v>
      </c>
      <c r="F545" t="e">
        <f t="shared" ca="1" si="16"/>
        <v>#VALUE!</v>
      </c>
      <c r="G545" t="e">
        <f t="shared" ca="1" si="17"/>
        <v>#VALUE!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15"/>
        <v>#VALUE!</v>
      </c>
      <c r="F546" t="e">
        <f t="shared" ca="1" si="16"/>
        <v>#VALUE!</v>
      </c>
      <c r="G546" t="e">
        <f t="shared" ca="1" si="17"/>
        <v>#VALUE!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15"/>
        <v>#VALUE!</v>
      </c>
      <c r="F547" t="e">
        <f t="shared" ca="1" si="16"/>
        <v>#VALUE!</v>
      </c>
      <c r="G547" t="e">
        <f t="shared" ca="1" si="17"/>
        <v>#VALUE!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15"/>
        <v>#VALUE!</v>
      </c>
      <c r="F548" t="e">
        <f t="shared" ca="1" si="16"/>
        <v>#VALUE!</v>
      </c>
      <c r="G548" t="e">
        <f t="shared" ca="1" si="17"/>
        <v>#VALUE!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15"/>
        <v>#VALUE!</v>
      </c>
      <c r="F549" t="e">
        <f t="shared" ca="1" si="16"/>
        <v>#VALUE!</v>
      </c>
      <c r="G549" t="e">
        <f t="shared" ca="1" si="17"/>
        <v>#VALUE!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15"/>
        <v>#VALUE!</v>
      </c>
      <c r="F550" t="e">
        <f t="shared" ca="1" si="16"/>
        <v>#VALUE!</v>
      </c>
      <c r="G550" t="e">
        <f t="shared" ca="1" si="17"/>
        <v>#VALUE!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15"/>
        <v>#VALUE!</v>
      </c>
      <c r="F551" t="e">
        <f t="shared" ca="1" si="16"/>
        <v>#VALUE!</v>
      </c>
      <c r="G551" t="e">
        <f t="shared" ca="1" si="17"/>
        <v>#VALUE!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15"/>
        <v>#VALUE!</v>
      </c>
      <c r="F552" t="e">
        <f t="shared" ca="1" si="16"/>
        <v>#VALUE!</v>
      </c>
      <c r="G552" t="e">
        <f t="shared" ca="1" si="17"/>
        <v>#VALUE!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15"/>
        <v>#VALUE!</v>
      </c>
      <c r="F553" t="e">
        <f t="shared" ca="1" si="16"/>
        <v>#VALUE!</v>
      </c>
      <c r="G553" t="e">
        <f t="shared" ca="1" si="17"/>
        <v>#VALUE!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15"/>
        <v>#VALUE!</v>
      </c>
      <c r="F554" t="e">
        <f t="shared" ca="1" si="16"/>
        <v>#VALUE!</v>
      </c>
      <c r="G554" t="e">
        <f t="shared" ca="1" si="17"/>
        <v>#VALUE!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15"/>
        <v>#VALUE!</v>
      </c>
      <c r="F555" t="e">
        <f t="shared" ca="1" si="16"/>
        <v>#VALUE!</v>
      </c>
      <c r="G555" t="e">
        <f t="shared" ca="1" si="17"/>
        <v>#VALUE!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15"/>
        <v>#VALUE!</v>
      </c>
      <c r="F556" t="e">
        <f t="shared" ca="1" si="16"/>
        <v>#VALUE!</v>
      </c>
      <c r="G556" t="e">
        <f t="shared" ca="1" si="17"/>
        <v>#VALUE!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15"/>
        <v>#VALUE!</v>
      </c>
      <c r="F557" t="e">
        <f t="shared" ca="1" si="16"/>
        <v>#VALUE!</v>
      </c>
      <c r="G557" t="e">
        <f t="shared" ca="1" si="17"/>
        <v>#VALUE!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ref="E558:E621" ca="1" si="18">IF(D558="T", 0.05, IF(D558="C", -0.01, ""))</f>
        <v>#VALUE!</v>
      </c>
      <c r="F558" t="e">
        <f t="shared" ref="F558:F621" ca="1" si="19">IF(D558="T", 0.05, IF(D558="C", 0, ""))</f>
        <v>#VALUE!</v>
      </c>
      <c r="G558" t="e">
        <f t="shared" ref="G558:G621" ca="1" si="20">IF(D558="T", 0, IF(D558="C", 0, ""))</f>
        <v>#VALUE!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18"/>
        <v>#VALUE!</v>
      </c>
      <c r="F559" t="e">
        <f t="shared" ca="1" si="19"/>
        <v>#VALUE!</v>
      </c>
      <c r="G559" t="e">
        <f t="shared" ca="1" si="20"/>
        <v>#VALUE!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18"/>
        <v>#VALUE!</v>
      </c>
      <c r="F560" t="e">
        <f t="shared" ca="1" si="19"/>
        <v>#VALUE!</v>
      </c>
      <c r="G560" t="e">
        <f t="shared" ca="1" si="20"/>
        <v>#VALUE!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18"/>
        <v>#VALUE!</v>
      </c>
      <c r="F561" t="e">
        <f t="shared" ca="1" si="19"/>
        <v>#VALUE!</v>
      </c>
      <c r="G561" t="e">
        <f t="shared" ca="1" si="20"/>
        <v>#VALUE!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18"/>
        <v>#VALUE!</v>
      </c>
      <c r="F562" t="e">
        <f t="shared" ca="1" si="19"/>
        <v>#VALUE!</v>
      </c>
      <c r="G562" t="e">
        <f t="shared" ca="1" si="20"/>
        <v>#VALUE!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ca="1" si="18"/>
        <v>#VALUE!</v>
      </c>
      <c r="F563" t="e">
        <f t="shared" ca="1" si="19"/>
        <v>#VALUE!</v>
      </c>
      <c r="G563" t="e">
        <f t="shared" ca="1" si="20"/>
        <v>#VALUE!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18"/>
        <v>#VALUE!</v>
      </c>
      <c r="F564" t="e">
        <f t="shared" ca="1" si="19"/>
        <v>#VALUE!</v>
      </c>
      <c r="G564" t="e">
        <f t="shared" ca="1" si="20"/>
        <v>#VALUE!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18"/>
        <v>#VALUE!</v>
      </c>
      <c r="F565" t="e">
        <f t="shared" ca="1" si="19"/>
        <v>#VALUE!</v>
      </c>
      <c r="G565" t="e">
        <f t="shared" ca="1" si="20"/>
        <v>#VALUE!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18"/>
        <v>#VALUE!</v>
      </c>
      <c r="F566" t="e">
        <f t="shared" ca="1" si="19"/>
        <v>#VALUE!</v>
      </c>
      <c r="G566" t="e">
        <f t="shared" ca="1" si="20"/>
        <v>#VALUE!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18"/>
        <v>#VALUE!</v>
      </c>
      <c r="F567" t="e">
        <f t="shared" ca="1" si="19"/>
        <v>#VALUE!</v>
      </c>
      <c r="G567" t="e">
        <f t="shared" ca="1" si="20"/>
        <v>#VALUE!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18"/>
        <v>#VALUE!</v>
      </c>
      <c r="F568" t="e">
        <f t="shared" ca="1" si="19"/>
        <v>#VALUE!</v>
      </c>
      <c r="G568" t="e">
        <f t="shared" ca="1" si="20"/>
        <v>#VALUE!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18"/>
        <v>#VALUE!</v>
      </c>
      <c r="F569" t="e">
        <f t="shared" ca="1" si="19"/>
        <v>#VALUE!</v>
      </c>
      <c r="G569" t="e">
        <f t="shared" ca="1" si="20"/>
        <v>#VALUE!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18"/>
        <v>#VALUE!</v>
      </c>
      <c r="F570" t="e">
        <f t="shared" ca="1" si="19"/>
        <v>#VALUE!</v>
      </c>
      <c r="G570" t="e">
        <f t="shared" ca="1" si="20"/>
        <v>#VALUE!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18"/>
        <v>#VALUE!</v>
      </c>
      <c r="F571" t="e">
        <f t="shared" ca="1" si="19"/>
        <v>#VALUE!</v>
      </c>
      <c r="G571" t="e">
        <f t="shared" ca="1" si="20"/>
        <v>#VALUE!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18"/>
        <v>#VALUE!</v>
      </c>
      <c r="F572" t="e">
        <f t="shared" ca="1" si="19"/>
        <v>#VALUE!</v>
      </c>
      <c r="G572" t="e">
        <f t="shared" ca="1" si="20"/>
        <v>#VALUE!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18"/>
        <v>#VALUE!</v>
      </c>
      <c r="F573" t="e">
        <f t="shared" ca="1" si="19"/>
        <v>#VALUE!</v>
      </c>
      <c r="G573" t="e">
        <f t="shared" ca="1" si="20"/>
        <v>#VALUE!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18"/>
        <v>#VALUE!</v>
      </c>
      <c r="F574" t="e">
        <f t="shared" ca="1" si="19"/>
        <v>#VALUE!</v>
      </c>
      <c r="G574" t="e">
        <f t="shared" ca="1" si="20"/>
        <v>#VALUE!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18"/>
        <v>#VALUE!</v>
      </c>
      <c r="F575" t="e">
        <f t="shared" ca="1" si="19"/>
        <v>#VALUE!</v>
      </c>
      <c r="G575" t="e">
        <f t="shared" ca="1" si="20"/>
        <v>#VALUE!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18"/>
        <v>#VALUE!</v>
      </c>
      <c r="F576" t="e">
        <f t="shared" ca="1" si="19"/>
        <v>#VALUE!</v>
      </c>
      <c r="G576" t="e">
        <f t="shared" ca="1" si="20"/>
        <v>#VALUE!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18"/>
        <v>#VALUE!</v>
      </c>
      <c r="F577" t="e">
        <f t="shared" ca="1" si="19"/>
        <v>#VALUE!</v>
      </c>
      <c r="G577" t="e">
        <f t="shared" ca="1" si="20"/>
        <v>#VALUE!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18"/>
        <v>#VALUE!</v>
      </c>
      <c r="F578" t="e">
        <f t="shared" ca="1" si="19"/>
        <v>#VALUE!</v>
      </c>
      <c r="G578" t="e">
        <f t="shared" ca="1" si="20"/>
        <v>#VALUE!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18"/>
        <v>#VALUE!</v>
      </c>
      <c r="F579" t="e">
        <f t="shared" ca="1" si="19"/>
        <v>#VALUE!</v>
      </c>
      <c r="G579" t="e">
        <f t="shared" ca="1" si="20"/>
        <v>#VALUE!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18"/>
        <v>#VALUE!</v>
      </c>
      <c r="F580" t="e">
        <f t="shared" ca="1" si="19"/>
        <v>#VALUE!</v>
      </c>
      <c r="G580" t="e">
        <f t="shared" ca="1" si="20"/>
        <v>#VALUE!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18"/>
        <v>#VALUE!</v>
      </c>
      <c r="F581" t="e">
        <f t="shared" ca="1" si="19"/>
        <v>#VALUE!</v>
      </c>
      <c r="G581" t="e">
        <f t="shared" ca="1" si="20"/>
        <v>#VALUE!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18"/>
        <v>#VALUE!</v>
      </c>
      <c r="F582" t="e">
        <f t="shared" ca="1" si="19"/>
        <v>#VALUE!</v>
      </c>
      <c r="G582" t="e">
        <f t="shared" ca="1" si="20"/>
        <v>#VALUE!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18"/>
        <v>#VALUE!</v>
      </c>
      <c r="F583" t="e">
        <f t="shared" ca="1" si="19"/>
        <v>#VALUE!</v>
      </c>
      <c r="G583" t="e">
        <f t="shared" ca="1" si="20"/>
        <v>#VALUE!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18"/>
        <v>#VALUE!</v>
      </c>
      <c r="F584" t="e">
        <f t="shared" ca="1" si="19"/>
        <v>#VALUE!</v>
      </c>
      <c r="G584" t="e">
        <f t="shared" ca="1" si="20"/>
        <v>#VALUE!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18"/>
        <v>#VALUE!</v>
      </c>
      <c r="F585" t="e">
        <f t="shared" ca="1" si="19"/>
        <v>#VALUE!</v>
      </c>
      <c r="G585" t="e">
        <f t="shared" ca="1" si="20"/>
        <v>#VALUE!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18"/>
        <v>#VALUE!</v>
      </c>
      <c r="F586" t="e">
        <f t="shared" ca="1" si="19"/>
        <v>#VALUE!</v>
      </c>
      <c r="G586" t="e">
        <f t="shared" ca="1" si="20"/>
        <v>#VALUE!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18"/>
        <v>#VALUE!</v>
      </c>
      <c r="F587" t="e">
        <f t="shared" ca="1" si="19"/>
        <v>#VALUE!</v>
      </c>
      <c r="G587" t="e">
        <f t="shared" ca="1" si="20"/>
        <v>#VALUE!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18"/>
        <v>#VALUE!</v>
      </c>
      <c r="F588" t="e">
        <f t="shared" ca="1" si="19"/>
        <v>#VALUE!</v>
      </c>
      <c r="G588" t="e">
        <f t="shared" ca="1" si="20"/>
        <v>#VALUE!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18"/>
        <v>#VALUE!</v>
      </c>
      <c r="F589" t="e">
        <f t="shared" ca="1" si="19"/>
        <v>#VALUE!</v>
      </c>
      <c r="G589" t="e">
        <f t="shared" ca="1" si="20"/>
        <v>#VALUE!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18"/>
        <v>#VALUE!</v>
      </c>
      <c r="F590" t="e">
        <f t="shared" ca="1" si="19"/>
        <v>#VALUE!</v>
      </c>
      <c r="G590" t="e">
        <f t="shared" ca="1" si="20"/>
        <v>#VALUE!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18"/>
        <v>#VALUE!</v>
      </c>
      <c r="F591" t="e">
        <f t="shared" ca="1" si="19"/>
        <v>#VALUE!</v>
      </c>
      <c r="G591" t="e">
        <f t="shared" ca="1" si="20"/>
        <v>#VALUE!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18"/>
        <v>#VALUE!</v>
      </c>
      <c r="F592" t="e">
        <f t="shared" ca="1" si="19"/>
        <v>#VALUE!</v>
      </c>
      <c r="G592" t="e">
        <f t="shared" ca="1" si="20"/>
        <v>#VALUE!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18"/>
        <v>#VALUE!</v>
      </c>
      <c r="F593" t="e">
        <f t="shared" ca="1" si="19"/>
        <v>#VALUE!</v>
      </c>
      <c r="G593" t="e">
        <f t="shared" ca="1" si="20"/>
        <v>#VALUE!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18"/>
        <v>#VALUE!</v>
      </c>
      <c r="F594" t="e">
        <f t="shared" ca="1" si="19"/>
        <v>#VALUE!</v>
      </c>
      <c r="G594" t="e">
        <f t="shared" ca="1" si="20"/>
        <v>#VALUE!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18"/>
        <v>#VALUE!</v>
      </c>
      <c r="F595" t="e">
        <f t="shared" ca="1" si="19"/>
        <v>#VALUE!</v>
      </c>
      <c r="G595" t="e">
        <f t="shared" ca="1" si="20"/>
        <v>#VALUE!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18"/>
        <v>#VALUE!</v>
      </c>
      <c r="F596" t="e">
        <f t="shared" ca="1" si="19"/>
        <v>#VALUE!</v>
      </c>
      <c r="G596" t="e">
        <f t="shared" ca="1" si="20"/>
        <v>#VALUE!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18"/>
        <v>#VALUE!</v>
      </c>
      <c r="F597" t="e">
        <f t="shared" ca="1" si="19"/>
        <v>#VALUE!</v>
      </c>
      <c r="G597" t="e">
        <f t="shared" ca="1" si="20"/>
        <v>#VALUE!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18"/>
        <v>#VALUE!</v>
      </c>
      <c r="F598" t="e">
        <f t="shared" ca="1" si="19"/>
        <v>#VALUE!</v>
      </c>
      <c r="G598" t="e">
        <f t="shared" ca="1" si="20"/>
        <v>#VALUE!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18"/>
        <v>#VALUE!</v>
      </c>
      <c r="F599" t="e">
        <f t="shared" ca="1" si="19"/>
        <v>#VALUE!</v>
      </c>
      <c r="G599" t="e">
        <f t="shared" ca="1" si="20"/>
        <v>#VALUE!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18"/>
        <v>#VALUE!</v>
      </c>
      <c r="F600" t="e">
        <f t="shared" ca="1" si="19"/>
        <v>#VALUE!</v>
      </c>
      <c r="G600" t="e">
        <f t="shared" ca="1" si="20"/>
        <v>#VALUE!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18"/>
        <v>#VALUE!</v>
      </c>
      <c r="F601" t="e">
        <f t="shared" ca="1" si="19"/>
        <v>#VALUE!</v>
      </c>
      <c r="G601" t="e">
        <f t="shared" ca="1" si="20"/>
        <v>#VALUE!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18"/>
        <v>#VALUE!</v>
      </c>
      <c r="F602" t="e">
        <f t="shared" ca="1" si="19"/>
        <v>#VALUE!</v>
      </c>
      <c r="G602" t="e">
        <f t="shared" ca="1" si="20"/>
        <v>#VALUE!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18"/>
        <v>#VALUE!</v>
      </c>
      <c r="F603" t="e">
        <f t="shared" ca="1" si="19"/>
        <v>#VALUE!</v>
      </c>
      <c r="G603" t="e">
        <f t="shared" ca="1" si="20"/>
        <v>#VALUE!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18"/>
        <v>#VALUE!</v>
      </c>
      <c r="F604" t="e">
        <f t="shared" ca="1" si="19"/>
        <v>#VALUE!</v>
      </c>
      <c r="G604" t="e">
        <f t="shared" ca="1" si="20"/>
        <v>#VALUE!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18"/>
        <v>#VALUE!</v>
      </c>
      <c r="F605" t="e">
        <f t="shared" ca="1" si="19"/>
        <v>#VALUE!</v>
      </c>
      <c r="G605" t="e">
        <f t="shared" ca="1" si="20"/>
        <v>#VALUE!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18"/>
        <v>#VALUE!</v>
      </c>
      <c r="F606" t="e">
        <f t="shared" ca="1" si="19"/>
        <v>#VALUE!</v>
      </c>
      <c r="G606" t="e">
        <f t="shared" ca="1" si="20"/>
        <v>#VALUE!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18"/>
        <v>#VALUE!</v>
      </c>
      <c r="F607" t="e">
        <f t="shared" ca="1" si="19"/>
        <v>#VALUE!</v>
      </c>
      <c r="G607" t="e">
        <f t="shared" ca="1" si="20"/>
        <v>#VALUE!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18"/>
        <v>#VALUE!</v>
      </c>
      <c r="F608" t="e">
        <f t="shared" ca="1" si="19"/>
        <v>#VALUE!</v>
      </c>
      <c r="G608" t="e">
        <f t="shared" ca="1" si="20"/>
        <v>#VALUE!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18"/>
        <v>#VALUE!</v>
      </c>
      <c r="F609" t="e">
        <f t="shared" ca="1" si="19"/>
        <v>#VALUE!</v>
      </c>
      <c r="G609" t="e">
        <f t="shared" ca="1" si="20"/>
        <v>#VALUE!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18"/>
        <v>#VALUE!</v>
      </c>
      <c r="F610" t="e">
        <f t="shared" ca="1" si="19"/>
        <v>#VALUE!</v>
      </c>
      <c r="G610" t="e">
        <f t="shared" ca="1" si="20"/>
        <v>#VALUE!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18"/>
        <v>#VALUE!</v>
      </c>
      <c r="F611" t="e">
        <f t="shared" ca="1" si="19"/>
        <v>#VALUE!</v>
      </c>
      <c r="G611" t="e">
        <f t="shared" ca="1" si="20"/>
        <v>#VALUE!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18"/>
        <v>#VALUE!</v>
      </c>
      <c r="F612" t="e">
        <f t="shared" ca="1" si="19"/>
        <v>#VALUE!</v>
      </c>
      <c r="G612" t="e">
        <f t="shared" ca="1" si="20"/>
        <v>#VALUE!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18"/>
        <v>#VALUE!</v>
      </c>
      <c r="F613" t="e">
        <f t="shared" ca="1" si="19"/>
        <v>#VALUE!</v>
      </c>
      <c r="G613" t="e">
        <f t="shared" ca="1" si="20"/>
        <v>#VALUE!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18"/>
        <v>#VALUE!</v>
      </c>
      <c r="F614" t="e">
        <f t="shared" ca="1" si="19"/>
        <v>#VALUE!</v>
      </c>
      <c r="G614" t="e">
        <f t="shared" ca="1" si="20"/>
        <v>#VALUE!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18"/>
        <v>#VALUE!</v>
      </c>
      <c r="F615" t="e">
        <f t="shared" ca="1" si="19"/>
        <v>#VALUE!</v>
      </c>
      <c r="G615" t="e">
        <f t="shared" ca="1" si="20"/>
        <v>#VALUE!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18"/>
        <v>#VALUE!</v>
      </c>
      <c r="F616" t="e">
        <f t="shared" ca="1" si="19"/>
        <v>#VALUE!</v>
      </c>
      <c r="G616" t="e">
        <f t="shared" ca="1" si="20"/>
        <v>#VALUE!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18"/>
        <v>#VALUE!</v>
      </c>
      <c r="F617" t="e">
        <f t="shared" ca="1" si="19"/>
        <v>#VALUE!</v>
      </c>
      <c r="G617" t="e">
        <f t="shared" ca="1" si="20"/>
        <v>#VALUE!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18"/>
        <v>#VALUE!</v>
      </c>
      <c r="F618" t="e">
        <f t="shared" ca="1" si="19"/>
        <v>#VALUE!</v>
      </c>
      <c r="G618" t="e">
        <f t="shared" ca="1" si="20"/>
        <v>#VALUE!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18"/>
        <v>#VALUE!</v>
      </c>
      <c r="F619" t="e">
        <f t="shared" ca="1" si="19"/>
        <v>#VALUE!</v>
      </c>
      <c r="G619" t="e">
        <f t="shared" ca="1" si="20"/>
        <v>#VALUE!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18"/>
        <v>#VALUE!</v>
      </c>
      <c r="F620" t="e">
        <f t="shared" ca="1" si="19"/>
        <v>#VALUE!</v>
      </c>
      <c r="G620" t="e">
        <f t="shared" ca="1" si="20"/>
        <v>#VALUE!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18"/>
        <v>#VALUE!</v>
      </c>
      <c r="F621" t="e">
        <f t="shared" ca="1" si="19"/>
        <v>#VALUE!</v>
      </c>
      <c r="G621" t="e">
        <f t="shared" ca="1" si="20"/>
        <v>#VALUE!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ref="E622:E685" ca="1" si="21">IF(D622="T", 0.05, IF(D622="C", -0.01, ""))</f>
        <v>#VALUE!</v>
      </c>
      <c r="F622" t="e">
        <f t="shared" ref="F622:F685" ca="1" si="22">IF(D622="T", 0.05, IF(D622="C", 0, ""))</f>
        <v>#VALUE!</v>
      </c>
      <c r="G622" t="e">
        <f t="shared" ref="G622:G685" ca="1" si="23">IF(D622="T", 0, IF(D622="C", 0, ""))</f>
        <v>#VALUE!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21"/>
        <v>#VALUE!</v>
      </c>
      <c r="F623" t="e">
        <f t="shared" ca="1" si="22"/>
        <v>#VALUE!</v>
      </c>
      <c r="G623" t="e">
        <f t="shared" ca="1" si="23"/>
        <v>#VALUE!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21"/>
        <v>#VALUE!</v>
      </c>
      <c r="F624" t="e">
        <f t="shared" ca="1" si="22"/>
        <v>#VALUE!</v>
      </c>
      <c r="G624" t="e">
        <f t="shared" ca="1" si="23"/>
        <v>#VALUE!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21"/>
        <v>#VALUE!</v>
      </c>
      <c r="F625" t="e">
        <f t="shared" ca="1" si="22"/>
        <v>#VALUE!</v>
      </c>
      <c r="G625" t="e">
        <f t="shared" ca="1" si="23"/>
        <v>#VALUE!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21"/>
        <v>#VALUE!</v>
      </c>
      <c r="F626" t="e">
        <f t="shared" ca="1" si="22"/>
        <v>#VALUE!</v>
      </c>
      <c r="G626" t="e">
        <f t="shared" ca="1" si="23"/>
        <v>#VALUE!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ca="1" si="21"/>
        <v>#VALUE!</v>
      </c>
      <c r="F627" t="e">
        <f t="shared" ca="1" si="22"/>
        <v>#VALUE!</v>
      </c>
      <c r="G627" t="e">
        <f t="shared" ca="1" si="23"/>
        <v>#VALUE!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21"/>
        <v>#VALUE!</v>
      </c>
      <c r="F628" t="e">
        <f t="shared" ca="1" si="22"/>
        <v>#VALUE!</v>
      </c>
      <c r="G628" t="e">
        <f t="shared" ca="1" si="23"/>
        <v>#VALUE!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21"/>
        <v>#VALUE!</v>
      </c>
      <c r="F629" t="e">
        <f t="shared" ca="1" si="22"/>
        <v>#VALUE!</v>
      </c>
      <c r="G629" t="e">
        <f t="shared" ca="1" si="23"/>
        <v>#VALUE!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21"/>
        <v>#VALUE!</v>
      </c>
      <c r="F630" t="e">
        <f t="shared" ca="1" si="22"/>
        <v>#VALUE!</v>
      </c>
      <c r="G630" t="e">
        <f t="shared" ca="1" si="23"/>
        <v>#VALUE!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21"/>
        <v>#VALUE!</v>
      </c>
      <c r="F631" t="e">
        <f t="shared" ca="1" si="22"/>
        <v>#VALUE!</v>
      </c>
      <c r="G631" t="e">
        <f t="shared" ca="1" si="23"/>
        <v>#VALUE!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21"/>
        <v>#VALUE!</v>
      </c>
      <c r="F632" t="e">
        <f t="shared" ca="1" si="22"/>
        <v>#VALUE!</v>
      </c>
      <c r="G632" t="e">
        <f t="shared" ca="1" si="23"/>
        <v>#VALUE!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21"/>
        <v>#VALUE!</v>
      </c>
      <c r="F633" t="e">
        <f t="shared" ca="1" si="22"/>
        <v>#VALUE!</v>
      </c>
      <c r="G633" t="e">
        <f t="shared" ca="1" si="23"/>
        <v>#VALUE!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21"/>
        <v>#VALUE!</v>
      </c>
      <c r="F634" t="e">
        <f t="shared" ca="1" si="22"/>
        <v>#VALUE!</v>
      </c>
      <c r="G634" t="e">
        <f t="shared" ca="1" si="23"/>
        <v>#VALUE!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21"/>
        <v>#VALUE!</v>
      </c>
      <c r="F635" t="e">
        <f t="shared" ca="1" si="22"/>
        <v>#VALUE!</v>
      </c>
      <c r="G635" t="e">
        <f t="shared" ca="1" si="23"/>
        <v>#VALUE!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21"/>
        <v>#VALUE!</v>
      </c>
      <c r="F636" t="e">
        <f t="shared" ca="1" si="22"/>
        <v>#VALUE!</v>
      </c>
      <c r="G636" t="e">
        <f t="shared" ca="1" si="23"/>
        <v>#VALUE!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21"/>
        <v>#VALUE!</v>
      </c>
      <c r="F637" t="e">
        <f t="shared" ca="1" si="22"/>
        <v>#VALUE!</v>
      </c>
      <c r="G637" t="e">
        <f t="shared" ca="1" si="23"/>
        <v>#VALUE!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21"/>
        <v>#VALUE!</v>
      </c>
      <c r="F638" t="e">
        <f t="shared" ca="1" si="22"/>
        <v>#VALUE!</v>
      </c>
      <c r="G638" t="e">
        <f t="shared" ca="1" si="23"/>
        <v>#VALUE!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21"/>
        <v>#VALUE!</v>
      </c>
      <c r="F639" t="e">
        <f t="shared" ca="1" si="22"/>
        <v>#VALUE!</v>
      </c>
      <c r="G639" t="e">
        <f t="shared" ca="1" si="23"/>
        <v>#VALUE!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21"/>
        <v>#VALUE!</v>
      </c>
      <c r="F640" t="e">
        <f t="shared" ca="1" si="22"/>
        <v>#VALUE!</v>
      </c>
      <c r="G640" t="e">
        <f t="shared" ca="1" si="23"/>
        <v>#VALUE!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21"/>
        <v>#VALUE!</v>
      </c>
      <c r="F641" t="e">
        <f t="shared" ca="1" si="22"/>
        <v>#VALUE!</v>
      </c>
      <c r="G641" t="e">
        <f t="shared" ca="1" si="23"/>
        <v>#VALUE!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21"/>
        <v>#VALUE!</v>
      </c>
      <c r="F642" t="e">
        <f t="shared" ca="1" si="22"/>
        <v>#VALUE!</v>
      </c>
      <c r="G642" t="e">
        <f t="shared" ca="1" si="23"/>
        <v>#VALUE!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21"/>
        <v>#VALUE!</v>
      </c>
      <c r="F643" t="e">
        <f t="shared" ca="1" si="22"/>
        <v>#VALUE!</v>
      </c>
      <c r="G643" t="e">
        <f t="shared" ca="1" si="23"/>
        <v>#VALUE!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21"/>
        <v>#VALUE!</v>
      </c>
      <c r="F644" t="e">
        <f t="shared" ca="1" si="22"/>
        <v>#VALUE!</v>
      </c>
      <c r="G644" t="e">
        <f t="shared" ca="1" si="23"/>
        <v>#VALUE!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21"/>
        <v>#VALUE!</v>
      </c>
      <c r="F645" t="e">
        <f t="shared" ca="1" si="22"/>
        <v>#VALUE!</v>
      </c>
      <c r="G645" t="e">
        <f t="shared" ca="1" si="23"/>
        <v>#VALUE!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21"/>
        <v>#VALUE!</v>
      </c>
      <c r="F646" t="e">
        <f t="shared" ca="1" si="22"/>
        <v>#VALUE!</v>
      </c>
      <c r="G646" t="e">
        <f t="shared" ca="1" si="23"/>
        <v>#VALUE!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21"/>
        <v>#VALUE!</v>
      </c>
      <c r="F647" t="e">
        <f t="shared" ca="1" si="22"/>
        <v>#VALUE!</v>
      </c>
      <c r="G647" t="e">
        <f t="shared" ca="1" si="23"/>
        <v>#VALUE!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21"/>
        <v>#VALUE!</v>
      </c>
      <c r="F648" t="e">
        <f t="shared" ca="1" si="22"/>
        <v>#VALUE!</v>
      </c>
      <c r="G648" t="e">
        <f t="shared" ca="1" si="23"/>
        <v>#VALUE!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21"/>
        <v>#VALUE!</v>
      </c>
      <c r="F649" t="e">
        <f t="shared" ca="1" si="22"/>
        <v>#VALUE!</v>
      </c>
      <c r="G649" t="e">
        <f t="shared" ca="1" si="23"/>
        <v>#VALUE!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21"/>
        <v>#VALUE!</v>
      </c>
      <c r="F650" t="e">
        <f t="shared" ca="1" si="22"/>
        <v>#VALUE!</v>
      </c>
      <c r="G650" t="e">
        <f t="shared" ca="1" si="23"/>
        <v>#VALUE!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21"/>
        <v>#VALUE!</v>
      </c>
      <c r="F651" t="e">
        <f t="shared" ca="1" si="22"/>
        <v>#VALUE!</v>
      </c>
      <c r="G651" t="e">
        <f t="shared" ca="1" si="23"/>
        <v>#VALUE!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21"/>
        <v>#VALUE!</v>
      </c>
      <c r="F652" t="e">
        <f t="shared" ca="1" si="22"/>
        <v>#VALUE!</v>
      </c>
      <c r="G652" t="e">
        <f t="shared" ca="1" si="23"/>
        <v>#VALUE!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21"/>
        <v>#VALUE!</v>
      </c>
      <c r="F653" t="e">
        <f t="shared" ca="1" si="22"/>
        <v>#VALUE!</v>
      </c>
      <c r="G653" t="e">
        <f t="shared" ca="1" si="23"/>
        <v>#VALUE!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21"/>
        <v>#VALUE!</v>
      </c>
      <c r="F654" t="e">
        <f t="shared" ca="1" si="22"/>
        <v>#VALUE!</v>
      </c>
      <c r="G654" t="e">
        <f t="shared" ca="1" si="23"/>
        <v>#VALUE!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21"/>
        <v>#VALUE!</v>
      </c>
      <c r="F655" t="e">
        <f t="shared" ca="1" si="22"/>
        <v>#VALUE!</v>
      </c>
      <c r="G655" t="e">
        <f t="shared" ca="1" si="23"/>
        <v>#VALUE!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21"/>
        <v>#VALUE!</v>
      </c>
      <c r="F656" t="e">
        <f t="shared" ca="1" si="22"/>
        <v>#VALUE!</v>
      </c>
      <c r="G656" t="e">
        <f t="shared" ca="1" si="23"/>
        <v>#VALUE!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21"/>
        <v>#VALUE!</v>
      </c>
      <c r="F657" t="e">
        <f t="shared" ca="1" si="22"/>
        <v>#VALUE!</v>
      </c>
      <c r="G657" t="e">
        <f t="shared" ca="1" si="23"/>
        <v>#VALUE!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21"/>
        <v>#VALUE!</v>
      </c>
      <c r="F658" t="e">
        <f t="shared" ca="1" si="22"/>
        <v>#VALUE!</v>
      </c>
      <c r="G658" t="e">
        <f t="shared" ca="1" si="23"/>
        <v>#VALUE!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21"/>
        <v>#VALUE!</v>
      </c>
      <c r="F659" t="e">
        <f t="shared" ca="1" si="22"/>
        <v>#VALUE!</v>
      </c>
      <c r="G659" t="e">
        <f t="shared" ca="1" si="23"/>
        <v>#VALUE!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21"/>
        <v>#VALUE!</v>
      </c>
      <c r="F660" t="e">
        <f t="shared" ca="1" si="22"/>
        <v>#VALUE!</v>
      </c>
      <c r="G660" t="e">
        <f t="shared" ca="1" si="23"/>
        <v>#VALUE!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21"/>
        <v>#VALUE!</v>
      </c>
      <c r="F661" t="e">
        <f t="shared" ca="1" si="22"/>
        <v>#VALUE!</v>
      </c>
      <c r="G661" t="e">
        <f t="shared" ca="1" si="23"/>
        <v>#VALUE!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21"/>
        <v>#VALUE!</v>
      </c>
      <c r="F662" t="e">
        <f t="shared" ca="1" si="22"/>
        <v>#VALUE!</v>
      </c>
      <c r="G662" t="e">
        <f t="shared" ca="1" si="23"/>
        <v>#VALUE!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21"/>
        <v>#VALUE!</v>
      </c>
      <c r="F663" t="e">
        <f t="shared" ca="1" si="22"/>
        <v>#VALUE!</v>
      </c>
      <c r="G663" t="e">
        <f t="shared" ca="1" si="23"/>
        <v>#VALUE!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21"/>
        <v>#VALUE!</v>
      </c>
      <c r="F664" t="e">
        <f t="shared" ca="1" si="22"/>
        <v>#VALUE!</v>
      </c>
      <c r="G664" t="e">
        <f t="shared" ca="1" si="23"/>
        <v>#VALUE!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21"/>
        <v>#VALUE!</v>
      </c>
      <c r="F665" t="e">
        <f t="shared" ca="1" si="22"/>
        <v>#VALUE!</v>
      </c>
      <c r="G665" t="e">
        <f t="shared" ca="1" si="23"/>
        <v>#VALUE!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21"/>
        <v>#VALUE!</v>
      </c>
      <c r="F666" t="e">
        <f t="shared" ca="1" si="22"/>
        <v>#VALUE!</v>
      </c>
      <c r="G666" t="e">
        <f t="shared" ca="1" si="23"/>
        <v>#VALUE!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21"/>
        <v>#VALUE!</v>
      </c>
      <c r="F667" t="e">
        <f t="shared" ca="1" si="22"/>
        <v>#VALUE!</v>
      </c>
      <c r="G667" t="e">
        <f t="shared" ca="1" si="23"/>
        <v>#VALUE!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21"/>
        <v>#VALUE!</v>
      </c>
      <c r="F668" t="e">
        <f t="shared" ca="1" si="22"/>
        <v>#VALUE!</v>
      </c>
      <c r="G668" t="e">
        <f t="shared" ca="1" si="23"/>
        <v>#VALUE!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21"/>
        <v>#VALUE!</v>
      </c>
      <c r="F669" t="e">
        <f t="shared" ca="1" si="22"/>
        <v>#VALUE!</v>
      </c>
      <c r="G669" t="e">
        <f t="shared" ca="1" si="23"/>
        <v>#VALUE!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21"/>
        <v>#VALUE!</v>
      </c>
      <c r="F670" t="e">
        <f t="shared" ca="1" si="22"/>
        <v>#VALUE!</v>
      </c>
      <c r="G670" t="e">
        <f t="shared" ca="1" si="23"/>
        <v>#VALUE!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21"/>
        <v>#VALUE!</v>
      </c>
      <c r="F671" t="e">
        <f t="shared" ca="1" si="22"/>
        <v>#VALUE!</v>
      </c>
      <c r="G671" t="e">
        <f t="shared" ca="1" si="23"/>
        <v>#VALUE!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21"/>
        <v>#VALUE!</v>
      </c>
      <c r="F672" t="e">
        <f t="shared" ca="1" si="22"/>
        <v>#VALUE!</v>
      </c>
      <c r="G672" t="e">
        <f t="shared" ca="1" si="23"/>
        <v>#VALUE!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21"/>
        <v>#VALUE!</v>
      </c>
      <c r="F673" t="e">
        <f t="shared" ca="1" si="22"/>
        <v>#VALUE!</v>
      </c>
      <c r="G673" t="e">
        <f t="shared" ca="1" si="23"/>
        <v>#VALUE!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21"/>
        <v>#VALUE!</v>
      </c>
      <c r="F674" t="e">
        <f t="shared" ca="1" si="22"/>
        <v>#VALUE!</v>
      </c>
      <c r="G674" t="e">
        <f t="shared" ca="1" si="23"/>
        <v>#VALUE!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21"/>
        <v>#VALUE!</v>
      </c>
      <c r="F675" t="e">
        <f t="shared" ca="1" si="22"/>
        <v>#VALUE!</v>
      </c>
      <c r="G675" t="e">
        <f t="shared" ca="1" si="23"/>
        <v>#VALUE!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21"/>
        <v>#VALUE!</v>
      </c>
      <c r="F676" t="e">
        <f t="shared" ca="1" si="22"/>
        <v>#VALUE!</v>
      </c>
      <c r="G676" t="e">
        <f t="shared" ca="1" si="23"/>
        <v>#VALUE!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21"/>
        <v>#VALUE!</v>
      </c>
      <c r="F677" t="e">
        <f t="shared" ca="1" si="22"/>
        <v>#VALUE!</v>
      </c>
      <c r="G677" t="e">
        <f t="shared" ca="1" si="23"/>
        <v>#VALUE!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21"/>
        <v>#VALUE!</v>
      </c>
      <c r="F678" t="e">
        <f t="shared" ca="1" si="22"/>
        <v>#VALUE!</v>
      </c>
      <c r="G678" t="e">
        <f t="shared" ca="1" si="23"/>
        <v>#VALUE!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21"/>
        <v>#VALUE!</v>
      </c>
      <c r="F679" t="e">
        <f t="shared" ca="1" si="22"/>
        <v>#VALUE!</v>
      </c>
      <c r="G679" t="e">
        <f t="shared" ca="1" si="23"/>
        <v>#VALUE!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21"/>
        <v>#VALUE!</v>
      </c>
      <c r="F680" t="e">
        <f t="shared" ca="1" si="22"/>
        <v>#VALUE!</v>
      </c>
      <c r="G680" t="e">
        <f t="shared" ca="1" si="23"/>
        <v>#VALUE!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21"/>
        <v>#VALUE!</v>
      </c>
      <c r="F681" t="e">
        <f t="shared" ca="1" si="22"/>
        <v>#VALUE!</v>
      </c>
      <c r="G681" t="e">
        <f t="shared" ca="1" si="23"/>
        <v>#VALUE!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21"/>
        <v>#VALUE!</v>
      </c>
      <c r="F682" t="e">
        <f t="shared" ca="1" si="22"/>
        <v>#VALUE!</v>
      </c>
      <c r="G682" t="e">
        <f t="shared" ca="1" si="23"/>
        <v>#VALUE!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21"/>
        <v>#VALUE!</v>
      </c>
      <c r="F683" t="e">
        <f t="shared" ca="1" si="22"/>
        <v>#VALUE!</v>
      </c>
      <c r="G683" t="e">
        <f t="shared" ca="1" si="23"/>
        <v>#VALUE!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21"/>
        <v>#VALUE!</v>
      </c>
      <c r="F684" t="e">
        <f t="shared" ca="1" si="22"/>
        <v>#VALUE!</v>
      </c>
      <c r="G684" t="e">
        <f t="shared" ca="1" si="23"/>
        <v>#VALUE!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21"/>
        <v>#VALUE!</v>
      </c>
      <c r="F685" t="e">
        <f t="shared" ca="1" si="22"/>
        <v>#VALUE!</v>
      </c>
      <c r="G685" t="e">
        <f t="shared" ca="1" si="23"/>
        <v>#VALUE!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ref="E686:E749" ca="1" si="24">IF(D686="T", 0.05, IF(D686="C", -0.01, ""))</f>
        <v>#VALUE!</v>
      </c>
      <c r="F686" t="e">
        <f t="shared" ref="F686:F749" ca="1" si="25">IF(D686="T", 0.05, IF(D686="C", 0, ""))</f>
        <v>#VALUE!</v>
      </c>
      <c r="G686" t="e">
        <f t="shared" ref="G686:G749" ca="1" si="26">IF(D686="T", 0, IF(D686="C", 0, ""))</f>
        <v>#VALUE!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24"/>
        <v>#VALUE!</v>
      </c>
      <c r="F687" t="e">
        <f t="shared" ca="1" si="25"/>
        <v>#VALUE!</v>
      </c>
      <c r="G687" t="e">
        <f t="shared" ca="1" si="26"/>
        <v>#VALUE!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24"/>
        <v>#VALUE!</v>
      </c>
      <c r="F688" t="e">
        <f t="shared" ca="1" si="25"/>
        <v>#VALUE!</v>
      </c>
      <c r="G688" t="e">
        <f t="shared" ca="1" si="26"/>
        <v>#VALUE!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24"/>
        <v>#VALUE!</v>
      </c>
      <c r="F689" t="e">
        <f t="shared" ca="1" si="25"/>
        <v>#VALUE!</v>
      </c>
      <c r="G689" t="e">
        <f t="shared" ca="1" si="26"/>
        <v>#VALUE!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24"/>
        <v>#VALUE!</v>
      </c>
      <c r="F690" t="e">
        <f t="shared" ca="1" si="25"/>
        <v>#VALUE!</v>
      </c>
      <c r="G690" t="e">
        <f t="shared" ca="1" si="26"/>
        <v>#VALUE!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ca="1" si="24"/>
        <v>#VALUE!</v>
      </c>
      <c r="F691" t="e">
        <f t="shared" ca="1" si="25"/>
        <v>#VALUE!</v>
      </c>
      <c r="G691" t="e">
        <f t="shared" ca="1" si="26"/>
        <v>#VALUE!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24"/>
        <v>#VALUE!</v>
      </c>
      <c r="F692" t="e">
        <f t="shared" ca="1" si="25"/>
        <v>#VALUE!</v>
      </c>
      <c r="G692" t="e">
        <f t="shared" ca="1" si="26"/>
        <v>#VALUE!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24"/>
        <v>#VALUE!</v>
      </c>
      <c r="F693" t="e">
        <f t="shared" ca="1" si="25"/>
        <v>#VALUE!</v>
      </c>
      <c r="G693" t="e">
        <f t="shared" ca="1" si="26"/>
        <v>#VALUE!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24"/>
        <v>#VALUE!</v>
      </c>
      <c r="F694" t="e">
        <f t="shared" ca="1" si="25"/>
        <v>#VALUE!</v>
      </c>
      <c r="G694" t="e">
        <f t="shared" ca="1" si="26"/>
        <v>#VALUE!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24"/>
        <v>#VALUE!</v>
      </c>
      <c r="F695" t="e">
        <f t="shared" ca="1" si="25"/>
        <v>#VALUE!</v>
      </c>
      <c r="G695" t="e">
        <f t="shared" ca="1" si="26"/>
        <v>#VALUE!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24"/>
        <v>#VALUE!</v>
      </c>
      <c r="F696" t="e">
        <f t="shared" ca="1" si="25"/>
        <v>#VALUE!</v>
      </c>
      <c r="G696" t="e">
        <f t="shared" ca="1" si="26"/>
        <v>#VALUE!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24"/>
        <v>#VALUE!</v>
      </c>
      <c r="F697" t="e">
        <f t="shared" ca="1" si="25"/>
        <v>#VALUE!</v>
      </c>
      <c r="G697" t="e">
        <f t="shared" ca="1" si="26"/>
        <v>#VALUE!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24"/>
        <v>#VALUE!</v>
      </c>
      <c r="F698" t="e">
        <f t="shared" ca="1" si="25"/>
        <v>#VALUE!</v>
      </c>
      <c r="G698" t="e">
        <f t="shared" ca="1" si="26"/>
        <v>#VALUE!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24"/>
        <v>#VALUE!</v>
      </c>
      <c r="F699" t="e">
        <f t="shared" ca="1" si="25"/>
        <v>#VALUE!</v>
      </c>
      <c r="G699" t="e">
        <f t="shared" ca="1" si="26"/>
        <v>#VALUE!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24"/>
        <v>#VALUE!</v>
      </c>
      <c r="F700" t="e">
        <f t="shared" ca="1" si="25"/>
        <v>#VALUE!</v>
      </c>
      <c r="G700" t="e">
        <f t="shared" ca="1" si="26"/>
        <v>#VALUE!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24"/>
        <v>#VALUE!</v>
      </c>
      <c r="F701" t="e">
        <f t="shared" ca="1" si="25"/>
        <v>#VALUE!</v>
      </c>
      <c r="G701" t="e">
        <f t="shared" ca="1" si="26"/>
        <v>#VALUE!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24"/>
        <v>#VALUE!</v>
      </c>
      <c r="F702" t="e">
        <f t="shared" ca="1" si="25"/>
        <v>#VALUE!</v>
      </c>
      <c r="G702" t="e">
        <f t="shared" ca="1" si="26"/>
        <v>#VALUE!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24"/>
        <v>#VALUE!</v>
      </c>
      <c r="F703" t="e">
        <f t="shared" ca="1" si="25"/>
        <v>#VALUE!</v>
      </c>
      <c r="G703" t="e">
        <f t="shared" ca="1" si="26"/>
        <v>#VALUE!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24"/>
        <v>#VALUE!</v>
      </c>
      <c r="F704" t="e">
        <f t="shared" ca="1" si="25"/>
        <v>#VALUE!</v>
      </c>
      <c r="G704" t="e">
        <f t="shared" ca="1" si="26"/>
        <v>#VALUE!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24"/>
        <v>#VALUE!</v>
      </c>
      <c r="F705" t="e">
        <f t="shared" ca="1" si="25"/>
        <v>#VALUE!</v>
      </c>
      <c r="G705" t="e">
        <f t="shared" ca="1" si="26"/>
        <v>#VALUE!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24"/>
        <v>#VALUE!</v>
      </c>
      <c r="F706" t="e">
        <f t="shared" ca="1" si="25"/>
        <v>#VALUE!</v>
      </c>
      <c r="G706" t="e">
        <f t="shared" ca="1" si="26"/>
        <v>#VALUE!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24"/>
        <v>#VALUE!</v>
      </c>
      <c r="F707" t="e">
        <f t="shared" ca="1" si="25"/>
        <v>#VALUE!</v>
      </c>
      <c r="G707" t="e">
        <f t="shared" ca="1" si="26"/>
        <v>#VALUE!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24"/>
        <v>#VALUE!</v>
      </c>
      <c r="F708" t="e">
        <f t="shared" ca="1" si="25"/>
        <v>#VALUE!</v>
      </c>
      <c r="G708" t="e">
        <f t="shared" ca="1" si="26"/>
        <v>#VALUE!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24"/>
        <v>#VALUE!</v>
      </c>
      <c r="F709" t="e">
        <f t="shared" ca="1" si="25"/>
        <v>#VALUE!</v>
      </c>
      <c r="G709" t="e">
        <f t="shared" ca="1" si="26"/>
        <v>#VALUE!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24"/>
        <v>#VALUE!</v>
      </c>
      <c r="F710" t="e">
        <f t="shared" ca="1" si="25"/>
        <v>#VALUE!</v>
      </c>
      <c r="G710" t="e">
        <f t="shared" ca="1" si="26"/>
        <v>#VALUE!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24"/>
        <v>#VALUE!</v>
      </c>
      <c r="F711" t="e">
        <f t="shared" ca="1" si="25"/>
        <v>#VALUE!</v>
      </c>
      <c r="G711" t="e">
        <f t="shared" ca="1" si="26"/>
        <v>#VALUE!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24"/>
        <v>#VALUE!</v>
      </c>
      <c r="F712" t="e">
        <f t="shared" ca="1" si="25"/>
        <v>#VALUE!</v>
      </c>
      <c r="G712" t="e">
        <f t="shared" ca="1" si="26"/>
        <v>#VALUE!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24"/>
        <v>#VALUE!</v>
      </c>
      <c r="F713" t="e">
        <f t="shared" ca="1" si="25"/>
        <v>#VALUE!</v>
      </c>
      <c r="G713" t="e">
        <f t="shared" ca="1" si="26"/>
        <v>#VALUE!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24"/>
        <v>#VALUE!</v>
      </c>
      <c r="F714" t="e">
        <f t="shared" ca="1" si="25"/>
        <v>#VALUE!</v>
      </c>
      <c r="G714" t="e">
        <f t="shared" ca="1" si="26"/>
        <v>#VALUE!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24"/>
        <v>#VALUE!</v>
      </c>
      <c r="F715" t="e">
        <f t="shared" ca="1" si="25"/>
        <v>#VALUE!</v>
      </c>
      <c r="G715" t="e">
        <f t="shared" ca="1" si="26"/>
        <v>#VALUE!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24"/>
        <v>#VALUE!</v>
      </c>
      <c r="F716" t="e">
        <f t="shared" ca="1" si="25"/>
        <v>#VALUE!</v>
      </c>
      <c r="G716" t="e">
        <f t="shared" ca="1" si="26"/>
        <v>#VALUE!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24"/>
        <v>#VALUE!</v>
      </c>
      <c r="F717" t="e">
        <f t="shared" ca="1" si="25"/>
        <v>#VALUE!</v>
      </c>
      <c r="G717" t="e">
        <f t="shared" ca="1" si="26"/>
        <v>#VALUE!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24"/>
        <v>#VALUE!</v>
      </c>
      <c r="F718" t="e">
        <f t="shared" ca="1" si="25"/>
        <v>#VALUE!</v>
      </c>
      <c r="G718" t="e">
        <f t="shared" ca="1" si="26"/>
        <v>#VALUE!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24"/>
        <v>#VALUE!</v>
      </c>
      <c r="F719" t="e">
        <f t="shared" ca="1" si="25"/>
        <v>#VALUE!</v>
      </c>
      <c r="G719" t="e">
        <f t="shared" ca="1" si="26"/>
        <v>#VALUE!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24"/>
        <v>#VALUE!</v>
      </c>
      <c r="F720" t="e">
        <f t="shared" ca="1" si="25"/>
        <v>#VALUE!</v>
      </c>
      <c r="G720" t="e">
        <f t="shared" ca="1" si="26"/>
        <v>#VALUE!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24"/>
        <v>#VALUE!</v>
      </c>
      <c r="F721" t="e">
        <f t="shared" ca="1" si="25"/>
        <v>#VALUE!</v>
      </c>
      <c r="G721" t="e">
        <f t="shared" ca="1" si="26"/>
        <v>#VALUE!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24"/>
        <v>#VALUE!</v>
      </c>
      <c r="F722" t="e">
        <f t="shared" ca="1" si="25"/>
        <v>#VALUE!</v>
      </c>
      <c r="G722" t="e">
        <f t="shared" ca="1" si="26"/>
        <v>#VALUE!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24"/>
        <v>#VALUE!</v>
      </c>
      <c r="F723" t="e">
        <f t="shared" ca="1" si="25"/>
        <v>#VALUE!</v>
      </c>
      <c r="G723" t="e">
        <f t="shared" ca="1" si="26"/>
        <v>#VALUE!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24"/>
        <v>#VALUE!</v>
      </c>
      <c r="F724" t="e">
        <f t="shared" ca="1" si="25"/>
        <v>#VALUE!</v>
      </c>
      <c r="G724" t="e">
        <f t="shared" ca="1" si="26"/>
        <v>#VALUE!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24"/>
        <v>#VALUE!</v>
      </c>
      <c r="F725" t="e">
        <f t="shared" ca="1" si="25"/>
        <v>#VALUE!</v>
      </c>
      <c r="G725" t="e">
        <f t="shared" ca="1" si="26"/>
        <v>#VALUE!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24"/>
        <v>#VALUE!</v>
      </c>
      <c r="F726" t="e">
        <f t="shared" ca="1" si="25"/>
        <v>#VALUE!</v>
      </c>
      <c r="G726" t="e">
        <f t="shared" ca="1" si="26"/>
        <v>#VALUE!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24"/>
        <v>#VALUE!</v>
      </c>
      <c r="F727" t="e">
        <f t="shared" ca="1" si="25"/>
        <v>#VALUE!</v>
      </c>
      <c r="G727" t="e">
        <f t="shared" ca="1" si="26"/>
        <v>#VALUE!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24"/>
        <v>#VALUE!</v>
      </c>
      <c r="F728" t="e">
        <f t="shared" ca="1" si="25"/>
        <v>#VALUE!</v>
      </c>
      <c r="G728" t="e">
        <f t="shared" ca="1" si="26"/>
        <v>#VALUE!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24"/>
        <v>#VALUE!</v>
      </c>
      <c r="F729" t="e">
        <f t="shared" ca="1" si="25"/>
        <v>#VALUE!</v>
      </c>
      <c r="G729" t="e">
        <f t="shared" ca="1" si="26"/>
        <v>#VALUE!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24"/>
        <v>#VALUE!</v>
      </c>
      <c r="F730" t="e">
        <f t="shared" ca="1" si="25"/>
        <v>#VALUE!</v>
      </c>
      <c r="G730" t="e">
        <f t="shared" ca="1" si="26"/>
        <v>#VALUE!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24"/>
        <v>#VALUE!</v>
      </c>
      <c r="F731" t="e">
        <f t="shared" ca="1" si="25"/>
        <v>#VALUE!</v>
      </c>
      <c r="G731" t="e">
        <f t="shared" ca="1" si="26"/>
        <v>#VALUE!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24"/>
        <v>#VALUE!</v>
      </c>
      <c r="F732" t="e">
        <f t="shared" ca="1" si="25"/>
        <v>#VALUE!</v>
      </c>
      <c r="G732" t="e">
        <f t="shared" ca="1" si="26"/>
        <v>#VALUE!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24"/>
        <v>#VALUE!</v>
      </c>
      <c r="F733" t="e">
        <f t="shared" ca="1" si="25"/>
        <v>#VALUE!</v>
      </c>
      <c r="G733" t="e">
        <f t="shared" ca="1" si="26"/>
        <v>#VALUE!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24"/>
        <v>#VALUE!</v>
      </c>
      <c r="F734" t="e">
        <f t="shared" ca="1" si="25"/>
        <v>#VALUE!</v>
      </c>
      <c r="G734" t="e">
        <f t="shared" ca="1" si="26"/>
        <v>#VALUE!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24"/>
        <v>#VALUE!</v>
      </c>
      <c r="F735" t="e">
        <f t="shared" ca="1" si="25"/>
        <v>#VALUE!</v>
      </c>
      <c r="G735" t="e">
        <f t="shared" ca="1" si="26"/>
        <v>#VALUE!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24"/>
        <v>#VALUE!</v>
      </c>
      <c r="F736" t="e">
        <f t="shared" ca="1" si="25"/>
        <v>#VALUE!</v>
      </c>
      <c r="G736" t="e">
        <f t="shared" ca="1" si="26"/>
        <v>#VALUE!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24"/>
        <v>#VALUE!</v>
      </c>
      <c r="F737" t="e">
        <f t="shared" ca="1" si="25"/>
        <v>#VALUE!</v>
      </c>
      <c r="G737" t="e">
        <f t="shared" ca="1" si="26"/>
        <v>#VALUE!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24"/>
        <v>#VALUE!</v>
      </c>
      <c r="F738" t="e">
        <f t="shared" ca="1" si="25"/>
        <v>#VALUE!</v>
      </c>
      <c r="G738" t="e">
        <f t="shared" ca="1" si="26"/>
        <v>#VALUE!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24"/>
        <v>#VALUE!</v>
      </c>
      <c r="F739" t="e">
        <f t="shared" ca="1" si="25"/>
        <v>#VALUE!</v>
      </c>
      <c r="G739" t="e">
        <f t="shared" ca="1" si="26"/>
        <v>#VALUE!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24"/>
        <v>#VALUE!</v>
      </c>
      <c r="F740" t="e">
        <f t="shared" ca="1" si="25"/>
        <v>#VALUE!</v>
      </c>
      <c r="G740" t="e">
        <f t="shared" ca="1" si="26"/>
        <v>#VALUE!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24"/>
        <v>#VALUE!</v>
      </c>
      <c r="F741" t="e">
        <f t="shared" ca="1" si="25"/>
        <v>#VALUE!</v>
      </c>
      <c r="G741" t="e">
        <f t="shared" ca="1" si="26"/>
        <v>#VALUE!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24"/>
        <v>#VALUE!</v>
      </c>
      <c r="F742" t="e">
        <f t="shared" ca="1" si="25"/>
        <v>#VALUE!</v>
      </c>
      <c r="G742" t="e">
        <f t="shared" ca="1" si="26"/>
        <v>#VALUE!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24"/>
        <v>#VALUE!</v>
      </c>
      <c r="F743" t="e">
        <f t="shared" ca="1" si="25"/>
        <v>#VALUE!</v>
      </c>
      <c r="G743" t="e">
        <f t="shared" ca="1" si="26"/>
        <v>#VALUE!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24"/>
        <v>#VALUE!</v>
      </c>
      <c r="F744" t="e">
        <f t="shared" ca="1" si="25"/>
        <v>#VALUE!</v>
      </c>
      <c r="G744" t="e">
        <f t="shared" ca="1" si="26"/>
        <v>#VALUE!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24"/>
        <v>#VALUE!</v>
      </c>
      <c r="F745" t="e">
        <f t="shared" ca="1" si="25"/>
        <v>#VALUE!</v>
      </c>
      <c r="G745" t="e">
        <f t="shared" ca="1" si="26"/>
        <v>#VALUE!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24"/>
        <v>#VALUE!</v>
      </c>
      <c r="F746" t="e">
        <f t="shared" ca="1" si="25"/>
        <v>#VALUE!</v>
      </c>
      <c r="G746" t="e">
        <f t="shared" ca="1" si="26"/>
        <v>#VALUE!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24"/>
        <v>#VALUE!</v>
      </c>
      <c r="F747" t="e">
        <f t="shared" ca="1" si="25"/>
        <v>#VALUE!</v>
      </c>
      <c r="G747" t="e">
        <f t="shared" ca="1" si="26"/>
        <v>#VALUE!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24"/>
        <v>#VALUE!</v>
      </c>
      <c r="F748" t="e">
        <f t="shared" ca="1" si="25"/>
        <v>#VALUE!</v>
      </c>
      <c r="G748" t="e">
        <f t="shared" ca="1" si="26"/>
        <v>#VALUE!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24"/>
        <v>#VALUE!</v>
      </c>
      <c r="F749" t="e">
        <f t="shared" ca="1" si="25"/>
        <v>#VALUE!</v>
      </c>
      <c r="G749" t="e">
        <f t="shared" ca="1" si="26"/>
        <v>#VALUE!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ref="E750:E813" ca="1" si="27">IF(D750="T", 0.05, IF(D750="C", -0.01, ""))</f>
        <v>#VALUE!</v>
      </c>
      <c r="F750" t="e">
        <f t="shared" ref="F750:F813" ca="1" si="28">IF(D750="T", 0.05, IF(D750="C", 0, ""))</f>
        <v>#VALUE!</v>
      </c>
      <c r="G750" t="e">
        <f t="shared" ref="G750:G813" ca="1" si="29">IF(D750="T", 0, IF(D750="C", 0, ""))</f>
        <v>#VALUE!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27"/>
        <v>#VALUE!</v>
      </c>
      <c r="F751" t="e">
        <f t="shared" ca="1" si="28"/>
        <v>#VALUE!</v>
      </c>
      <c r="G751" t="e">
        <f t="shared" ca="1" si="29"/>
        <v>#VALUE!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27"/>
        <v>#VALUE!</v>
      </c>
      <c r="F752" t="e">
        <f t="shared" ca="1" si="28"/>
        <v>#VALUE!</v>
      </c>
      <c r="G752" t="e">
        <f t="shared" ca="1" si="29"/>
        <v>#VALUE!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27"/>
        <v>#VALUE!</v>
      </c>
      <c r="F753" t="e">
        <f t="shared" ca="1" si="28"/>
        <v>#VALUE!</v>
      </c>
      <c r="G753" t="e">
        <f t="shared" ca="1" si="29"/>
        <v>#VALUE!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27"/>
        <v>#VALUE!</v>
      </c>
      <c r="F754" t="e">
        <f t="shared" ca="1" si="28"/>
        <v>#VALUE!</v>
      </c>
      <c r="G754" t="e">
        <f t="shared" ca="1" si="29"/>
        <v>#VALUE!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ca="1" si="27"/>
        <v>#VALUE!</v>
      </c>
      <c r="F755" t="e">
        <f t="shared" ca="1" si="28"/>
        <v>#VALUE!</v>
      </c>
      <c r="G755" t="e">
        <f t="shared" ca="1" si="29"/>
        <v>#VALUE!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27"/>
        <v>#VALUE!</v>
      </c>
      <c r="F756" t="e">
        <f t="shared" ca="1" si="28"/>
        <v>#VALUE!</v>
      </c>
      <c r="G756" t="e">
        <f t="shared" ca="1" si="29"/>
        <v>#VALUE!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27"/>
        <v>#VALUE!</v>
      </c>
      <c r="F757" t="e">
        <f t="shared" ca="1" si="28"/>
        <v>#VALUE!</v>
      </c>
      <c r="G757" t="e">
        <f t="shared" ca="1" si="29"/>
        <v>#VALUE!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27"/>
        <v>#VALUE!</v>
      </c>
      <c r="F758" t="e">
        <f t="shared" ca="1" si="28"/>
        <v>#VALUE!</v>
      </c>
      <c r="G758" t="e">
        <f t="shared" ca="1" si="29"/>
        <v>#VALUE!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27"/>
        <v>#VALUE!</v>
      </c>
      <c r="F759" t="e">
        <f t="shared" ca="1" si="28"/>
        <v>#VALUE!</v>
      </c>
      <c r="G759" t="e">
        <f t="shared" ca="1" si="29"/>
        <v>#VALUE!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27"/>
        <v>#VALUE!</v>
      </c>
      <c r="F760" t="e">
        <f t="shared" ca="1" si="28"/>
        <v>#VALUE!</v>
      </c>
      <c r="G760" t="e">
        <f t="shared" ca="1" si="29"/>
        <v>#VALUE!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27"/>
        <v>#VALUE!</v>
      </c>
      <c r="F761" t="e">
        <f t="shared" ca="1" si="28"/>
        <v>#VALUE!</v>
      </c>
      <c r="G761" t="e">
        <f t="shared" ca="1" si="29"/>
        <v>#VALUE!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27"/>
        <v>#VALUE!</v>
      </c>
      <c r="F762" t="e">
        <f t="shared" ca="1" si="28"/>
        <v>#VALUE!</v>
      </c>
      <c r="G762" t="e">
        <f t="shared" ca="1" si="29"/>
        <v>#VALUE!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27"/>
        <v>#VALUE!</v>
      </c>
      <c r="F763" t="e">
        <f t="shared" ca="1" si="28"/>
        <v>#VALUE!</v>
      </c>
      <c r="G763" t="e">
        <f t="shared" ca="1" si="29"/>
        <v>#VALUE!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27"/>
        <v>#VALUE!</v>
      </c>
      <c r="F764" t="e">
        <f t="shared" ca="1" si="28"/>
        <v>#VALUE!</v>
      </c>
      <c r="G764" t="e">
        <f t="shared" ca="1" si="29"/>
        <v>#VALUE!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27"/>
        <v>#VALUE!</v>
      </c>
      <c r="F765" t="e">
        <f t="shared" ca="1" si="28"/>
        <v>#VALUE!</v>
      </c>
      <c r="G765" t="e">
        <f t="shared" ca="1" si="29"/>
        <v>#VALUE!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27"/>
        <v>#VALUE!</v>
      </c>
      <c r="F766" t="e">
        <f t="shared" ca="1" si="28"/>
        <v>#VALUE!</v>
      </c>
      <c r="G766" t="e">
        <f t="shared" ca="1" si="29"/>
        <v>#VALUE!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27"/>
        <v>#VALUE!</v>
      </c>
      <c r="F767" t="e">
        <f t="shared" ca="1" si="28"/>
        <v>#VALUE!</v>
      </c>
      <c r="G767" t="e">
        <f t="shared" ca="1" si="29"/>
        <v>#VALUE!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27"/>
        <v>#VALUE!</v>
      </c>
      <c r="F768" t="e">
        <f t="shared" ca="1" si="28"/>
        <v>#VALUE!</v>
      </c>
      <c r="G768" t="e">
        <f t="shared" ca="1" si="29"/>
        <v>#VALUE!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27"/>
        <v>#VALUE!</v>
      </c>
      <c r="F769" t="e">
        <f t="shared" ca="1" si="28"/>
        <v>#VALUE!</v>
      </c>
      <c r="G769" t="e">
        <f t="shared" ca="1" si="29"/>
        <v>#VALUE!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27"/>
        <v>#VALUE!</v>
      </c>
      <c r="F770" t="e">
        <f t="shared" ca="1" si="28"/>
        <v>#VALUE!</v>
      </c>
      <c r="G770" t="e">
        <f t="shared" ca="1" si="29"/>
        <v>#VALUE!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27"/>
        <v>#VALUE!</v>
      </c>
      <c r="F771" t="e">
        <f t="shared" ca="1" si="28"/>
        <v>#VALUE!</v>
      </c>
      <c r="G771" t="e">
        <f t="shared" ca="1" si="29"/>
        <v>#VALUE!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27"/>
        <v>#VALUE!</v>
      </c>
      <c r="F772" t="e">
        <f t="shared" ca="1" si="28"/>
        <v>#VALUE!</v>
      </c>
      <c r="G772" t="e">
        <f t="shared" ca="1" si="29"/>
        <v>#VALUE!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27"/>
        <v>#VALUE!</v>
      </c>
      <c r="F773" t="e">
        <f t="shared" ca="1" si="28"/>
        <v>#VALUE!</v>
      </c>
      <c r="G773" t="e">
        <f t="shared" ca="1" si="29"/>
        <v>#VALUE!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27"/>
        <v>#VALUE!</v>
      </c>
      <c r="F774" t="e">
        <f t="shared" ca="1" si="28"/>
        <v>#VALUE!</v>
      </c>
      <c r="G774" t="e">
        <f t="shared" ca="1" si="29"/>
        <v>#VALUE!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27"/>
        <v>#VALUE!</v>
      </c>
      <c r="F775" t="e">
        <f t="shared" ca="1" si="28"/>
        <v>#VALUE!</v>
      </c>
      <c r="G775" t="e">
        <f t="shared" ca="1" si="29"/>
        <v>#VALUE!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27"/>
        <v>#VALUE!</v>
      </c>
      <c r="F776" t="e">
        <f t="shared" ca="1" si="28"/>
        <v>#VALUE!</v>
      </c>
      <c r="G776" t="e">
        <f t="shared" ca="1" si="29"/>
        <v>#VALUE!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27"/>
        <v>#VALUE!</v>
      </c>
      <c r="F777" t="e">
        <f t="shared" ca="1" si="28"/>
        <v>#VALUE!</v>
      </c>
      <c r="G777" t="e">
        <f t="shared" ca="1" si="29"/>
        <v>#VALUE!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27"/>
        <v>#VALUE!</v>
      </c>
      <c r="F778" t="e">
        <f t="shared" ca="1" si="28"/>
        <v>#VALUE!</v>
      </c>
      <c r="G778" t="e">
        <f t="shared" ca="1" si="29"/>
        <v>#VALUE!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27"/>
        <v>#VALUE!</v>
      </c>
      <c r="F779" t="e">
        <f t="shared" ca="1" si="28"/>
        <v>#VALUE!</v>
      </c>
      <c r="G779" t="e">
        <f t="shared" ca="1" si="29"/>
        <v>#VALUE!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27"/>
        <v>#VALUE!</v>
      </c>
      <c r="F780" t="e">
        <f t="shared" ca="1" si="28"/>
        <v>#VALUE!</v>
      </c>
      <c r="G780" t="e">
        <f t="shared" ca="1" si="29"/>
        <v>#VALUE!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27"/>
        <v>#VALUE!</v>
      </c>
      <c r="F781" t="e">
        <f t="shared" ca="1" si="28"/>
        <v>#VALUE!</v>
      </c>
      <c r="G781" t="e">
        <f t="shared" ca="1" si="29"/>
        <v>#VALUE!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27"/>
        <v>#VALUE!</v>
      </c>
      <c r="F782" t="e">
        <f t="shared" ca="1" si="28"/>
        <v>#VALUE!</v>
      </c>
      <c r="G782" t="e">
        <f t="shared" ca="1" si="29"/>
        <v>#VALUE!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27"/>
        <v>#VALUE!</v>
      </c>
      <c r="F783" t="e">
        <f t="shared" ca="1" si="28"/>
        <v>#VALUE!</v>
      </c>
      <c r="G783" t="e">
        <f t="shared" ca="1" si="29"/>
        <v>#VALUE!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27"/>
        <v>#VALUE!</v>
      </c>
      <c r="F784" t="e">
        <f t="shared" ca="1" si="28"/>
        <v>#VALUE!</v>
      </c>
      <c r="G784" t="e">
        <f t="shared" ca="1" si="29"/>
        <v>#VALUE!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27"/>
        <v>#VALUE!</v>
      </c>
      <c r="F785" t="e">
        <f t="shared" ca="1" si="28"/>
        <v>#VALUE!</v>
      </c>
      <c r="G785" t="e">
        <f t="shared" ca="1" si="29"/>
        <v>#VALUE!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27"/>
        <v>#VALUE!</v>
      </c>
      <c r="F786" t="e">
        <f t="shared" ca="1" si="28"/>
        <v>#VALUE!</v>
      </c>
      <c r="G786" t="e">
        <f t="shared" ca="1" si="29"/>
        <v>#VALUE!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27"/>
        <v>#VALUE!</v>
      </c>
      <c r="F787" t="e">
        <f t="shared" ca="1" si="28"/>
        <v>#VALUE!</v>
      </c>
      <c r="G787" t="e">
        <f t="shared" ca="1" si="29"/>
        <v>#VALUE!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27"/>
        <v>#VALUE!</v>
      </c>
      <c r="F788" t="e">
        <f t="shared" ca="1" si="28"/>
        <v>#VALUE!</v>
      </c>
      <c r="G788" t="e">
        <f t="shared" ca="1" si="29"/>
        <v>#VALUE!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27"/>
        <v>#VALUE!</v>
      </c>
      <c r="F789" t="e">
        <f t="shared" ca="1" si="28"/>
        <v>#VALUE!</v>
      </c>
      <c r="G789" t="e">
        <f t="shared" ca="1" si="29"/>
        <v>#VALUE!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27"/>
        <v>#VALUE!</v>
      </c>
      <c r="F790" t="e">
        <f t="shared" ca="1" si="28"/>
        <v>#VALUE!</v>
      </c>
      <c r="G790" t="e">
        <f t="shared" ca="1" si="29"/>
        <v>#VALUE!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27"/>
        <v>#VALUE!</v>
      </c>
      <c r="F791" t="e">
        <f t="shared" ca="1" si="28"/>
        <v>#VALUE!</v>
      </c>
      <c r="G791" t="e">
        <f t="shared" ca="1" si="29"/>
        <v>#VALUE!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27"/>
        <v>#VALUE!</v>
      </c>
      <c r="F792" t="e">
        <f t="shared" ca="1" si="28"/>
        <v>#VALUE!</v>
      </c>
      <c r="G792" t="e">
        <f t="shared" ca="1" si="29"/>
        <v>#VALUE!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27"/>
        <v>#VALUE!</v>
      </c>
      <c r="F793" t="e">
        <f t="shared" ca="1" si="28"/>
        <v>#VALUE!</v>
      </c>
      <c r="G793" t="e">
        <f t="shared" ca="1" si="29"/>
        <v>#VALUE!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27"/>
        <v>#VALUE!</v>
      </c>
      <c r="F794" t="e">
        <f t="shared" ca="1" si="28"/>
        <v>#VALUE!</v>
      </c>
      <c r="G794" t="e">
        <f t="shared" ca="1" si="29"/>
        <v>#VALUE!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27"/>
        <v>#VALUE!</v>
      </c>
      <c r="F795" t="e">
        <f t="shared" ca="1" si="28"/>
        <v>#VALUE!</v>
      </c>
      <c r="G795" t="e">
        <f t="shared" ca="1" si="29"/>
        <v>#VALUE!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27"/>
        <v>#VALUE!</v>
      </c>
      <c r="F796" t="e">
        <f t="shared" ca="1" si="28"/>
        <v>#VALUE!</v>
      </c>
      <c r="G796" t="e">
        <f t="shared" ca="1" si="29"/>
        <v>#VALUE!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27"/>
        <v>#VALUE!</v>
      </c>
      <c r="F797" t="e">
        <f t="shared" ca="1" si="28"/>
        <v>#VALUE!</v>
      </c>
      <c r="G797" t="e">
        <f t="shared" ca="1" si="29"/>
        <v>#VALUE!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27"/>
        <v>#VALUE!</v>
      </c>
      <c r="F798" t="e">
        <f t="shared" ca="1" si="28"/>
        <v>#VALUE!</v>
      </c>
      <c r="G798" t="e">
        <f t="shared" ca="1" si="29"/>
        <v>#VALUE!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27"/>
        <v>#VALUE!</v>
      </c>
      <c r="F799" t="e">
        <f t="shared" ca="1" si="28"/>
        <v>#VALUE!</v>
      </c>
      <c r="G799" t="e">
        <f t="shared" ca="1" si="29"/>
        <v>#VALUE!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27"/>
        <v>#VALUE!</v>
      </c>
      <c r="F800" t="e">
        <f t="shared" ca="1" si="28"/>
        <v>#VALUE!</v>
      </c>
      <c r="G800" t="e">
        <f t="shared" ca="1" si="29"/>
        <v>#VALUE!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27"/>
        <v>#VALUE!</v>
      </c>
      <c r="F801" t="e">
        <f t="shared" ca="1" si="28"/>
        <v>#VALUE!</v>
      </c>
      <c r="G801" t="e">
        <f t="shared" ca="1" si="29"/>
        <v>#VALUE!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27"/>
        <v>#VALUE!</v>
      </c>
      <c r="F802" t="e">
        <f t="shared" ca="1" si="28"/>
        <v>#VALUE!</v>
      </c>
      <c r="G802" t="e">
        <f t="shared" ca="1" si="29"/>
        <v>#VALUE!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27"/>
        <v>#VALUE!</v>
      </c>
      <c r="F803" t="e">
        <f t="shared" ca="1" si="28"/>
        <v>#VALUE!</v>
      </c>
      <c r="G803" t="e">
        <f t="shared" ca="1" si="29"/>
        <v>#VALUE!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27"/>
        <v>#VALUE!</v>
      </c>
      <c r="F804" t="e">
        <f t="shared" ca="1" si="28"/>
        <v>#VALUE!</v>
      </c>
      <c r="G804" t="e">
        <f t="shared" ca="1" si="29"/>
        <v>#VALUE!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27"/>
        <v>#VALUE!</v>
      </c>
      <c r="F805" t="e">
        <f t="shared" ca="1" si="28"/>
        <v>#VALUE!</v>
      </c>
      <c r="G805" t="e">
        <f t="shared" ca="1" si="29"/>
        <v>#VALUE!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27"/>
        <v>#VALUE!</v>
      </c>
      <c r="F806" t="e">
        <f t="shared" ca="1" si="28"/>
        <v>#VALUE!</v>
      </c>
      <c r="G806" t="e">
        <f t="shared" ca="1" si="29"/>
        <v>#VALUE!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27"/>
        <v>#VALUE!</v>
      </c>
      <c r="F807" t="e">
        <f t="shared" ca="1" si="28"/>
        <v>#VALUE!</v>
      </c>
      <c r="G807" t="e">
        <f t="shared" ca="1" si="29"/>
        <v>#VALUE!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27"/>
        <v>#VALUE!</v>
      </c>
      <c r="F808" t="e">
        <f t="shared" ca="1" si="28"/>
        <v>#VALUE!</v>
      </c>
      <c r="G808" t="e">
        <f t="shared" ca="1" si="29"/>
        <v>#VALUE!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27"/>
        <v>#VALUE!</v>
      </c>
      <c r="F809" t="e">
        <f t="shared" ca="1" si="28"/>
        <v>#VALUE!</v>
      </c>
      <c r="G809" t="e">
        <f t="shared" ca="1" si="29"/>
        <v>#VALUE!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27"/>
        <v>#VALUE!</v>
      </c>
      <c r="F810" t="e">
        <f t="shared" ca="1" si="28"/>
        <v>#VALUE!</v>
      </c>
      <c r="G810" t="e">
        <f t="shared" ca="1" si="29"/>
        <v>#VALUE!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27"/>
        <v>#VALUE!</v>
      </c>
      <c r="F811" t="e">
        <f t="shared" ca="1" si="28"/>
        <v>#VALUE!</v>
      </c>
      <c r="G811" t="e">
        <f t="shared" ca="1" si="29"/>
        <v>#VALUE!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27"/>
        <v>#VALUE!</v>
      </c>
      <c r="F812" t="e">
        <f t="shared" ca="1" si="28"/>
        <v>#VALUE!</v>
      </c>
      <c r="G812" t="e">
        <f t="shared" ca="1" si="29"/>
        <v>#VALUE!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27"/>
        <v>#VALUE!</v>
      </c>
      <c r="F813" t="e">
        <f t="shared" ca="1" si="28"/>
        <v>#VALUE!</v>
      </c>
      <c r="G813" t="e">
        <f t="shared" ca="1" si="29"/>
        <v>#VALUE!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ref="E814:E877" ca="1" si="30">IF(D814="T", 0.05, IF(D814="C", -0.01, ""))</f>
        <v>#VALUE!</v>
      </c>
      <c r="F814" t="e">
        <f t="shared" ref="F814:F877" ca="1" si="31">IF(D814="T", 0.05, IF(D814="C", 0, ""))</f>
        <v>#VALUE!</v>
      </c>
      <c r="G814" t="e">
        <f t="shared" ref="G814:G877" ca="1" si="32">IF(D814="T", 0, IF(D814="C", 0, ""))</f>
        <v>#VALUE!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30"/>
        <v>#VALUE!</v>
      </c>
      <c r="F815" t="e">
        <f t="shared" ca="1" si="31"/>
        <v>#VALUE!</v>
      </c>
      <c r="G815" t="e">
        <f t="shared" ca="1" si="32"/>
        <v>#VALUE!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30"/>
        <v>#VALUE!</v>
      </c>
      <c r="F816" t="e">
        <f t="shared" ca="1" si="31"/>
        <v>#VALUE!</v>
      </c>
      <c r="G816" t="e">
        <f t="shared" ca="1" si="32"/>
        <v>#VALUE!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30"/>
        <v>#VALUE!</v>
      </c>
      <c r="F817" t="e">
        <f t="shared" ca="1" si="31"/>
        <v>#VALUE!</v>
      </c>
      <c r="G817" t="e">
        <f t="shared" ca="1" si="32"/>
        <v>#VALUE!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30"/>
        <v>#VALUE!</v>
      </c>
      <c r="F818" t="e">
        <f t="shared" ca="1" si="31"/>
        <v>#VALUE!</v>
      </c>
      <c r="G818" t="e">
        <f t="shared" ca="1" si="32"/>
        <v>#VALUE!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ca="1" si="30"/>
        <v>#VALUE!</v>
      </c>
      <c r="F819" t="e">
        <f t="shared" ca="1" si="31"/>
        <v>#VALUE!</v>
      </c>
      <c r="G819" t="e">
        <f t="shared" ca="1" si="32"/>
        <v>#VALUE!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30"/>
        <v>#VALUE!</v>
      </c>
      <c r="F820" t="e">
        <f t="shared" ca="1" si="31"/>
        <v>#VALUE!</v>
      </c>
      <c r="G820" t="e">
        <f t="shared" ca="1" si="32"/>
        <v>#VALUE!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30"/>
        <v>#VALUE!</v>
      </c>
      <c r="F821" t="e">
        <f t="shared" ca="1" si="31"/>
        <v>#VALUE!</v>
      </c>
      <c r="G821" t="e">
        <f t="shared" ca="1" si="32"/>
        <v>#VALUE!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30"/>
        <v>#VALUE!</v>
      </c>
      <c r="F822" t="e">
        <f t="shared" ca="1" si="31"/>
        <v>#VALUE!</v>
      </c>
      <c r="G822" t="e">
        <f t="shared" ca="1" si="32"/>
        <v>#VALUE!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30"/>
        <v>#VALUE!</v>
      </c>
      <c r="F823" t="e">
        <f t="shared" ca="1" si="31"/>
        <v>#VALUE!</v>
      </c>
      <c r="G823" t="e">
        <f t="shared" ca="1" si="32"/>
        <v>#VALUE!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30"/>
        <v>#VALUE!</v>
      </c>
      <c r="F824" t="e">
        <f t="shared" ca="1" si="31"/>
        <v>#VALUE!</v>
      </c>
      <c r="G824" t="e">
        <f t="shared" ca="1" si="32"/>
        <v>#VALUE!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30"/>
        <v>#VALUE!</v>
      </c>
      <c r="F825" t="e">
        <f t="shared" ca="1" si="31"/>
        <v>#VALUE!</v>
      </c>
      <c r="G825" t="e">
        <f t="shared" ca="1" si="32"/>
        <v>#VALUE!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30"/>
        <v>#VALUE!</v>
      </c>
      <c r="F826" t="e">
        <f t="shared" ca="1" si="31"/>
        <v>#VALUE!</v>
      </c>
      <c r="G826" t="e">
        <f t="shared" ca="1" si="32"/>
        <v>#VALUE!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30"/>
        <v>#VALUE!</v>
      </c>
      <c r="F827" t="e">
        <f t="shared" ca="1" si="31"/>
        <v>#VALUE!</v>
      </c>
      <c r="G827" t="e">
        <f t="shared" ca="1" si="32"/>
        <v>#VALUE!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30"/>
        <v>#VALUE!</v>
      </c>
      <c r="F828" t="e">
        <f t="shared" ca="1" si="31"/>
        <v>#VALUE!</v>
      </c>
      <c r="G828" t="e">
        <f t="shared" ca="1" si="32"/>
        <v>#VALUE!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30"/>
        <v>#VALUE!</v>
      </c>
      <c r="F829" t="e">
        <f t="shared" ca="1" si="31"/>
        <v>#VALUE!</v>
      </c>
      <c r="G829" t="e">
        <f t="shared" ca="1" si="32"/>
        <v>#VALUE!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30"/>
        <v>#VALUE!</v>
      </c>
      <c r="F830" t="e">
        <f t="shared" ca="1" si="31"/>
        <v>#VALUE!</v>
      </c>
      <c r="G830" t="e">
        <f t="shared" ca="1" si="32"/>
        <v>#VALUE!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30"/>
        <v>#VALUE!</v>
      </c>
      <c r="F831" t="e">
        <f t="shared" ca="1" si="31"/>
        <v>#VALUE!</v>
      </c>
      <c r="G831" t="e">
        <f t="shared" ca="1" si="32"/>
        <v>#VALUE!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30"/>
        <v>#VALUE!</v>
      </c>
      <c r="F832" t="e">
        <f t="shared" ca="1" si="31"/>
        <v>#VALUE!</v>
      </c>
      <c r="G832" t="e">
        <f t="shared" ca="1" si="32"/>
        <v>#VALUE!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30"/>
        <v>#VALUE!</v>
      </c>
      <c r="F833" t="e">
        <f t="shared" ca="1" si="31"/>
        <v>#VALUE!</v>
      </c>
      <c r="G833" t="e">
        <f t="shared" ca="1" si="32"/>
        <v>#VALUE!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30"/>
        <v>#VALUE!</v>
      </c>
      <c r="F834" t="e">
        <f t="shared" ca="1" si="31"/>
        <v>#VALUE!</v>
      </c>
      <c r="G834" t="e">
        <f t="shared" ca="1" si="32"/>
        <v>#VALUE!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30"/>
        <v>#VALUE!</v>
      </c>
      <c r="F835" t="e">
        <f t="shared" ca="1" si="31"/>
        <v>#VALUE!</v>
      </c>
      <c r="G835" t="e">
        <f t="shared" ca="1" si="32"/>
        <v>#VALUE!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30"/>
        <v>#VALUE!</v>
      </c>
      <c r="F836" t="e">
        <f t="shared" ca="1" si="31"/>
        <v>#VALUE!</v>
      </c>
      <c r="G836" t="e">
        <f t="shared" ca="1" si="32"/>
        <v>#VALUE!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30"/>
        <v>#VALUE!</v>
      </c>
      <c r="F837" t="e">
        <f t="shared" ca="1" si="31"/>
        <v>#VALUE!</v>
      </c>
      <c r="G837" t="e">
        <f t="shared" ca="1" si="32"/>
        <v>#VALUE!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30"/>
        <v>#VALUE!</v>
      </c>
      <c r="F838" t="e">
        <f t="shared" ca="1" si="31"/>
        <v>#VALUE!</v>
      </c>
      <c r="G838" t="e">
        <f t="shared" ca="1" si="32"/>
        <v>#VALUE!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30"/>
        <v>#VALUE!</v>
      </c>
      <c r="F839" t="e">
        <f t="shared" ca="1" si="31"/>
        <v>#VALUE!</v>
      </c>
      <c r="G839" t="e">
        <f t="shared" ca="1" si="32"/>
        <v>#VALUE!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30"/>
        <v>#VALUE!</v>
      </c>
      <c r="F840" t="e">
        <f t="shared" ca="1" si="31"/>
        <v>#VALUE!</v>
      </c>
      <c r="G840" t="e">
        <f t="shared" ca="1" si="32"/>
        <v>#VALUE!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30"/>
        <v>#VALUE!</v>
      </c>
      <c r="F841" t="e">
        <f t="shared" ca="1" si="31"/>
        <v>#VALUE!</v>
      </c>
      <c r="G841" t="e">
        <f t="shared" ca="1" si="32"/>
        <v>#VALUE!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30"/>
        <v>#VALUE!</v>
      </c>
      <c r="F842" t="e">
        <f t="shared" ca="1" si="31"/>
        <v>#VALUE!</v>
      </c>
      <c r="G842" t="e">
        <f t="shared" ca="1" si="32"/>
        <v>#VALUE!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30"/>
        <v>#VALUE!</v>
      </c>
      <c r="F843" t="e">
        <f t="shared" ca="1" si="31"/>
        <v>#VALUE!</v>
      </c>
      <c r="G843" t="e">
        <f t="shared" ca="1" si="32"/>
        <v>#VALUE!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30"/>
        <v>#VALUE!</v>
      </c>
      <c r="F844" t="e">
        <f t="shared" ca="1" si="31"/>
        <v>#VALUE!</v>
      </c>
      <c r="G844" t="e">
        <f t="shared" ca="1" si="32"/>
        <v>#VALUE!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30"/>
        <v>#VALUE!</v>
      </c>
      <c r="F845" t="e">
        <f t="shared" ca="1" si="31"/>
        <v>#VALUE!</v>
      </c>
      <c r="G845" t="e">
        <f t="shared" ca="1" si="32"/>
        <v>#VALUE!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30"/>
        <v>#VALUE!</v>
      </c>
      <c r="F846" t="e">
        <f t="shared" ca="1" si="31"/>
        <v>#VALUE!</v>
      </c>
      <c r="G846" t="e">
        <f t="shared" ca="1" si="32"/>
        <v>#VALUE!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30"/>
        <v>#VALUE!</v>
      </c>
      <c r="F847" t="e">
        <f t="shared" ca="1" si="31"/>
        <v>#VALUE!</v>
      </c>
      <c r="G847" t="e">
        <f t="shared" ca="1" si="32"/>
        <v>#VALUE!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30"/>
        <v>#VALUE!</v>
      </c>
      <c r="F848" t="e">
        <f t="shared" ca="1" si="31"/>
        <v>#VALUE!</v>
      </c>
      <c r="G848" t="e">
        <f t="shared" ca="1" si="32"/>
        <v>#VALUE!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30"/>
        <v>#VALUE!</v>
      </c>
      <c r="F849" t="e">
        <f t="shared" ca="1" si="31"/>
        <v>#VALUE!</v>
      </c>
      <c r="G849" t="e">
        <f t="shared" ca="1" si="32"/>
        <v>#VALUE!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30"/>
        <v>#VALUE!</v>
      </c>
      <c r="F850" t="e">
        <f t="shared" ca="1" si="31"/>
        <v>#VALUE!</v>
      </c>
      <c r="G850" t="e">
        <f t="shared" ca="1" si="32"/>
        <v>#VALUE!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30"/>
        <v>#VALUE!</v>
      </c>
      <c r="F851" t="e">
        <f t="shared" ca="1" si="31"/>
        <v>#VALUE!</v>
      </c>
      <c r="G851" t="e">
        <f t="shared" ca="1" si="32"/>
        <v>#VALUE!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30"/>
        <v>#VALUE!</v>
      </c>
      <c r="F852" t="e">
        <f t="shared" ca="1" si="31"/>
        <v>#VALUE!</v>
      </c>
      <c r="G852" t="e">
        <f t="shared" ca="1" si="32"/>
        <v>#VALUE!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30"/>
        <v>#VALUE!</v>
      </c>
      <c r="F853" t="e">
        <f t="shared" ca="1" si="31"/>
        <v>#VALUE!</v>
      </c>
      <c r="G853" t="e">
        <f t="shared" ca="1" si="32"/>
        <v>#VALUE!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30"/>
        <v>#VALUE!</v>
      </c>
      <c r="F854" t="e">
        <f t="shared" ca="1" si="31"/>
        <v>#VALUE!</v>
      </c>
      <c r="G854" t="e">
        <f t="shared" ca="1" si="32"/>
        <v>#VALUE!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30"/>
        <v>#VALUE!</v>
      </c>
      <c r="F855" t="e">
        <f t="shared" ca="1" si="31"/>
        <v>#VALUE!</v>
      </c>
      <c r="G855" t="e">
        <f t="shared" ca="1" si="32"/>
        <v>#VALUE!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30"/>
        <v>#VALUE!</v>
      </c>
      <c r="F856" t="e">
        <f t="shared" ca="1" si="31"/>
        <v>#VALUE!</v>
      </c>
      <c r="G856" t="e">
        <f t="shared" ca="1" si="32"/>
        <v>#VALUE!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30"/>
        <v>#VALUE!</v>
      </c>
      <c r="F857" t="e">
        <f t="shared" ca="1" si="31"/>
        <v>#VALUE!</v>
      </c>
      <c r="G857" t="e">
        <f t="shared" ca="1" si="32"/>
        <v>#VALUE!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30"/>
        <v>#VALUE!</v>
      </c>
      <c r="F858" t="e">
        <f t="shared" ca="1" si="31"/>
        <v>#VALUE!</v>
      </c>
      <c r="G858" t="e">
        <f t="shared" ca="1" si="32"/>
        <v>#VALUE!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30"/>
        <v>#VALUE!</v>
      </c>
      <c r="F859" t="e">
        <f t="shared" ca="1" si="31"/>
        <v>#VALUE!</v>
      </c>
      <c r="G859" t="e">
        <f t="shared" ca="1" si="32"/>
        <v>#VALUE!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30"/>
        <v>#VALUE!</v>
      </c>
      <c r="F860" t="e">
        <f t="shared" ca="1" si="31"/>
        <v>#VALUE!</v>
      </c>
      <c r="G860" t="e">
        <f t="shared" ca="1" si="32"/>
        <v>#VALUE!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30"/>
        <v>#VALUE!</v>
      </c>
      <c r="F861" t="e">
        <f t="shared" ca="1" si="31"/>
        <v>#VALUE!</v>
      </c>
      <c r="G861" t="e">
        <f t="shared" ca="1" si="32"/>
        <v>#VALUE!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30"/>
        <v>#VALUE!</v>
      </c>
      <c r="F862" t="e">
        <f t="shared" ca="1" si="31"/>
        <v>#VALUE!</v>
      </c>
      <c r="G862" t="e">
        <f t="shared" ca="1" si="32"/>
        <v>#VALUE!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30"/>
        <v>#VALUE!</v>
      </c>
      <c r="F863" t="e">
        <f t="shared" ca="1" si="31"/>
        <v>#VALUE!</v>
      </c>
      <c r="G863" t="e">
        <f t="shared" ca="1" si="32"/>
        <v>#VALUE!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30"/>
        <v>#VALUE!</v>
      </c>
      <c r="F864" t="e">
        <f t="shared" ca="1" si="31"/>
        <v>#VALUE!</v>
      </c>
      <c r="G864" t="e">
        <f t="shared" ca="1" si="32"/>
        <v>#VALUE!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30"/>
        <v>#VALUE!</v>
      </c>
      <c r="F865" t="e">
        <f t="shared" ca="1" si="31"/>
        <v>#VALUE!</v>
      </c>
      <c r="G865" t="e">
        <f t="shared" ca="1" si="32"/>
        <v>#VALUE!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30"/>
        <v>#VALUE!</v>
      </c>
      <c r="F866" t="e">
        <f t="shared" ca="1" si="31"/>
        <v>#VALUE!</v>
      </c>
      <c r="G866" t="e">
        <f t="shared" ca="1" si="32"/>
        <v>#VALUE!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30"/>
        <v>#VALUE!</v>
      </c>
      <c r="F867" t="e">
        <f t="shared" ca="1" si="31"/>
        <v>#VALUE!</v>
      </c>
      <c r="G867" t="e">
        <f t="shared" ca="1" si="32"/>
        <v>#VALUE!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30"/>
        <v>#VALUE!</v>
      </c>
      <c r="F868" t="e">
        <f t="shared" ca="1" si="31"/>
        <v>#VALUE!</v>
      </c>
      <c r="G868" t="e">
        <f t="shared" ca="1" si="32"/>
        <v>#VALUE!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30"/>
        <v>#VALUE!</v>
      </c>
      <c r="F869" t="e">
        <f t="shared" ca="1" si="31"/>
        <v>#VALUE!</v>
      </c>
      <c r="G869" t="e">
        <f t="shared" ca="1" si="32"/>
        <v>#VALUE!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30"/>
        <v>#VALUE!</v>
      </c>
      <c r="F870" t="e">
        <f t="shared" ca="1" si="31"/>
        <v>#VALUE!</v>
      </c>
      <c r="G870" t="e">
        <f t="shared" ca="1" si="32"/>
        <v>#VALUE!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30"/>
        <v>#VALUE!</v>
      </c>
      <c r="F871" t="e">
        <f t="shared" ca="1" si="31"/>
        <v>#VALUE!</v>
      </c>
      <c r="G871" t="e">
        <f t="shared" ca="1" si="32"/>
        <v>#VALUE!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30"/>
        <v>#VALUE!</v>
      </c>
      <c r="F872" t="e">
        <f t="shared" ca="1" si="31"/>
        <v>#VALUE!</v>
      </c>
      <c r="G872" t="e">
        <f t="shared" ca="1" si="32"/>
        <v>#VALUE!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30"/>
        <v>#VALUE!</v>
      </c>
      <c r="F873" t="e">
        <f t="shared" ca="1" si="31"/>
        <v>#VALUE!</v>
      </c>
      <c r="G873" t="e">
        <f t="shared" ca="1" si="32"/>
        <v>#VALUE!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30"/>
        <v>#VALUE!</v>
      </c>
      <c r="F874" t="e">
        <f t="shared" ca="1" si="31"/>
        <v>#VALUE!</v>
      </c>
      <c r="G874" t="e">
        <f t="shared" ca="1" si="32"/>
        <v>#VALUE!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30"/>
        <v>#VALUE!</v>
      </c>
      <c r="F875" t="e">
        <f t="shared" ca="1" si="31"/>
        <v>#VALUE!</v>
      </c>
      <c r="G875" t="e">
        <f t="shared" ca="1" si="32"/>
        <v>#VALUE!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30"/>
        <v>#VALUE!</v>
      </c>
      <c r="F876" t="e">
        <f t="shared" ca="1" si="31"/>
        <v>#VALUE!</v>
      </c>
      <c r="G876" t="e">
        <f t="shared" ca="1" si="32"/>
        <v>#VALUE!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30"/>
        <v>#VALUE!</v>
      </c>
      <c r="F877" t="e">
        <f t="shared" ca="1" si="31"/>
        <v>#VALUE!</v>
      </c>
      <c r="G877" t="e">
        <f t="shared" ca="1" si="32"/>
        <v>#VALUE!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ref="E878:E941" ca="1" si="33">IF(D878="T", 0.05, IF(D878="C", -0.01, ""))</f>
        <v>#VALUE!</v>
      </c>
      <c r="F878" t="e">
        <f t="shared" ref="F878:F941" ca="1" si="34">IF(D878="T", 0.05, IF(D878="C", 0, ""))</f>
        <v>#VALUE!</v>
      </c>
      <c r="G878" t="e">
        <f t="shared" ref="G878:G941" ca="1" si="35">IF(D878="T", 0, IF(D878="C", 0, ""))</f>
        <v>#VALUE!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33"/>
        <v>#VALUE!</v>
      </c>
      <c r="F879" t="e">
        <f t="shared" ca="1" si="34"/>
        <v>#VALUE!</v>
      </c>
      <c r="G879" t="e">
        <f t="shared" ca="1" si="35"/>
        <v>#VALUE!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33"/>
        <v>#VALUE!</v>
      </c>
      <c r="F880" t="e">
        <f t="shared" ca="1" si="34"/>
        <v>#VALUE!</v>
      </c>
      <c r="G880" t="e">
        <f t="shared" ca="1" si="35"/>
        <v>#VALUE!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33"/>
        <v>#VALUE!</v>
      </c>
      <c r="F881" t="e">
        <f t="shared" ca="1" si="34"/>
        <v>#VALUE!</v>
      </c>
      <c r="G881" t="e">
        <f t="shared" ca="1" si="35"/>
        <v>#VALUE!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33"/>
        <v>#VALUE!</v>
      </c>
      <c r="F882" t="e">
        <f t="shared" ca="1" si="34"/>
        <v>#VALUE!</v>
      </c>
      <c r="G882" t="e">
        <f t="shared" ca="1" si="35"/>
        <v>#VALUE!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ca="1" si="33"/>
        <v>#VALUE!</v>
      </c>
      <c r="F883" t="e">
        <f t="shared" ca="1" si="34"/>
        <v>#VALUE!</v>
      </c>
      <c r="G883" t="e">
        <f t="shared" ca="1" si="35"/>
        <v>#VALUE!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33"/>
        <v>#VALUE!</v>
      </c>
      <c r="F884" t="e">
        <f t="shared" ca="1" si="34"/>
        <v>#VALUE!</v>
      </c>
      <c r="G884" t="e">
        <f t="shared" ca="1" si="35"/>
        <v>#VALUE!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33"/>
        <v>#VALUE!</v>
      </c>
      <c r="F885" t="e">
        <f t="shared" ca="1" si="34"/>
        <v>#VALUE!</v>
      </c>
      <c r="G885" t="e">
        <f t="shared" ca="1" si="35"/>
        <v>#VALUE!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33"/>
        <v>#VALUE!</v>
      </c>
      <c r="F886" t="e">
        <f t="shared" ca="1" si="34"/>
        <v>#VALUE!</v>
      </c>
      <c r="G886" t="e">
        <f t="shared" ca="1" si="35"/>
        <v>#VALUE!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33"/>
        <v>#VALUE!</v>
      </c>
      <c r="F887" t="e">
        <f t="shared" ca="1" si="34"/>
        <v>#VALUE!</v>
      </c>
      <c r="G887" t="e">
        <f t="shared" ca="1" si="35"/>
        <v>#VALUE!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33"/>
        <v>#VALUE!</v>
      </c>
      <c r="F888" t="e">
        <f t="shared" ca="1" si="34"/>
        <v>#VALUE!</v>
      </c>
      <c r="G888" t="e">
        <f t="shared" ca="1" si="35"/>
        <v>#VALUE!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33"/>
        <v>#VALUE!</v>
      </c>
      <c r="F889" t="e">
        <f t="shared" ca="1" si="34"/>
        <v>#VALUE!</v>
      </c>
      <c r="G889" t="e">
        <f t="shared" ca="1" si="35"/>
        <v>#VALUE!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33"/>
        <v>#VALUE!</v>
      </c>
      <c r="F890" t="e">
        <f t="shared" ca="1" si="34"/>
        <v>#VALUE!</v>
      </c>
      <c r="G890" t="e">
        <f t="shared" ca="1" si="35"/>
        <v>#VALUE!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33"/>
        <v>#VALUE!</v>
      </c>
      <c r="F891" t="e">
        <f t="shared" ca="1" si="34"/>
        <v>#VALUE!</v>
      </c>
      <c r="G891" t="e">
        <f t="shared" ca="1" si="35"/>
        <v>#VALUE!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33"/>
        <v>#VALUE!</v>
      </c>
      <c r="F892" t="e">
        <f t="shared" ca="1" si="34"/>
        <v>#VALUE!</v>
      </c>
      <c r="G892" t="e">
        <f t="shared" ca="1" si="35"/>
        <v>#VALUE!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33"/>
        <v>#VALUE!</v>
      </c>
      <c r="F893" t="e">
        <f t="shared" ca="1" si="34"/>
        <v>#VALUE!</v>
      </c>
      <c r="G893" t="e">
        <f t="shared" ca="1" si="35"/>
        <v>#VALUE!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33"/>
        <v>#VALUE!</v>
      </c>
      <c r="F894" t="e">
        <f t="shared" ca="1" si="34"/>
        <v>#VALUE!</v>
      </c>
      <c r="G894" t="e">
        <f t="shared" ca="1" si="35"/>
        <v>#VALUE!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33"/>
        <v>#VALUE!</v>
      </c>
      <c r="F895" t="e">
        <f t="shared" ca="1" si="34"/>
        <v>#VALUE!</v>
      </c>
      <c r="G895" t="e">
        <f t="shared" ca="1" si="35"/>
        <v>#VALUE!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33"/>
        <v>#VALUE!</v>
      </c>
      <c r="F896" t="e">
        <f t="shared" ca="1" si="34"/>
        <v>#VALUE!</v>
      </c>
      <c r="G896" t="e">
        <f t="shared" ca="1" si="35"/>
        <v>#VALUE!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33"/>
        <v>#VALUE!</v>
      </c>
      <c r="F897" t="e">
        <f t="shared" ca="1" si="34"/>
        <v>#VALUE!</v>
      </c>
      <c r="G897" t="e">
        <f t="shared" ca="1" si="35"/>
        <v>#VALUE!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33"/>
        <v>#VALUE!</v>
      </c>
      <c r="F898" t="e">
        <f t="shared" ca="1" si="34"/>
        <v>#VALUE!</v>
      </c>
      <c r="G898" t="e">
        <f t="shared" ca="1" si="35"/>
        <v>#VALUE!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33"/>
        <v>#VALUE!</v>
      </c>
      <c r="F899" t="e">
        <f t="shared" ca="1" si="34"/>
        <v>#VALUE!</v>
      </c>
      <c r="G899" t="e">
        <f t="shared" ca="1" si="35"/>
        <v>#VALUE!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33"/>
        <v>#VALUE!</v>
      </c>
      <c r="F900" t="e">
        <f t="shared" ca="1" si="34"/>
        <v>#VALUE!</v>
      </c>
      <c r="G900" t="e">
        <f t="shared" ca="1" si="35"/>
        <v>#VALUE!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33"/>
        <v>#VALUE!</v>
      </c>
      <c r="F901" t="e">
        <f t="shared" ca="1" si="34"/>
        <v>#VALUE!</v>
      </c>
      <c r="G901" t="e">
        <f t="shared" ca="1" si="35"/>
        <v>#VALUE!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33"/>
        <v>#VALUE!</v>
      </c>
      <c r="F902" t="e">
        <f t="shared" ca="1" si="34"/>
        <v>#VALUE!</v>
      </c>
      <c r="G902" t="e">
        <f t="shared" ca="1" si="35"/>
        <v>#VALUE!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33"/>
        <v>#VALUE!</v>
      </c>
      <c r="F903" t="e">
        <f t="shared" ca="1" si="34"/>
        <v>#VALUE!</v>
      </c>
      <c r="G903" t="e">
        <f t="shared" ca="1" si="35"/>
        <v>#VALUE!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33"/>
        <v>#VALUE!</v>
      </c>
      <c r="F904" t="e">
        <f t="shared" ca="1" si="34"/>
        <v>#VALUE!</v>
      </c>
      <c r="G904" t="e">
        <f t="shared" ca="1" si="35"/>
        <v>#VALUE!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33"/>
        <v>#VALUE!</v>
      </c>
      <c r="F905" t="e">
        <f t="shared" ca="1" si="34"/>
        <v>#VALUE!</v>
      </c>
      <c r="G905" t="e">
        <f t="shared" ca="1" si="35"/>
        <v>#VALUE!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33"/>
        <v>#VALUE!</v>
      </c>
      <c r="F906" t="e">
        <f t="shared" ca="1" si="34"/>
        <v>#VALUE!</v>
      </c>
      <c r="G906" t="e">
        <f t="shared" ca="1" si="35"/>
        <v>#VALUE!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33"/>
        <v>#VALUE!</v>
      </c>
      <c r="F907" t="e">
        <f t="shared" ca="1" si="34"/>
        <v>#VALUE!</v>
      </c>
      <c r="G907" t="e">
        <f t="shared" ca="1" si="35"/>
        <v>#VALUE!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33"/>
        <v>#VALUE!</v>
      </c>
      <c r="F908" t="e">
        <f t="shared" ca="1" si="34"/>
        <v>#VALUE!</v>
      </c>
      <c r="G908" t="e">
        <f t="shared" ca="1" si="35"/>
        <v>#VALUE!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33"/>
        <v>#VALUE!</v>
      </c>
      <c r="F909" t="e">
        <f t="shared" ca="1" si="34"/>
        <v>#VALUE!</v>
      </c>
      <c r="G909" t="e">
        <f t="shared" ca="1" si="35"/>
        <v>#VALUE!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33"/>
        <v>#VALUE!</v>
      </c>
      <c r="F910" t="e">
        <f t="shared" ca="1" si="34"/>
        <v>#VALUE!</v>
      </c>
      <c r="G910" t="e">
        <f t="shared" ca="1" si="35"/>
        <v>#VALUE!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33"/>
        <v>#VALUE!</v>
      </c>
      <c r="F911" t="e">
        <f t="shared" ca="1" si="34"/>
        <v>#VALUE!</v>
      </c>
      <c r="G911" t="e">
        <f t="shared" ca="1" si="35"/>
        <v>#VALUE!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33"/>
        <v>#VALUE!</v>
      </c>
      <c r="F912" t="e">
        <f t="shared" ca="1" si="34"/>
        <v>#VALUE!</v>
      </c>
      <c r="G912" t="e">
        <f t="shared" ca="1" si="35"/>
        <v>#VALUE!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33"/>
        <v>#VALUE!</v>
      </c>
      <c r="F913" t="e">
        <f t="shared" ca="1" si="34"/>
        <v>#VALUE!</v>
      </c>
      <c r="G913" t="e">
        <f t="shared" ca="1" si="35"/>
        <v>#VALUE!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33"/>
        <v>#VALUE!</v>
      </c>
      <c r="F914" t="e">
        <f t="shared" ca="1" si="34"/>
        <v>#VALUE!</v>
      </c>
      <c r="G914" t="e">
        <f t="shared" ca="1" si="35"/>
        <v>#VALUE!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33"/>
        <v>#VALUE!</v>
      </c>
      <c r="F915" t="e">
        <f t="shared" ca="1" si="34"/>
        <v>#VALUE!</v>
      </c>
      <c r="G915" t="e">
        <f t="shared" ca="1" si="35"/>
        <v>#VALUE!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33"/>
        <v>#VALUE!</v>
      </c>
      <c r="F916" t="e">
        <f t="shared" ca="1" si="34"/>
        <v>#VALUE!</v>
      </c>
      <c r="G916" t="e">
        <f t="shared" ca="1" si="35"/>
        <v>#VALUE!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33"/>
        <v>#VALUE!</v>
      </c>
      <c r="F917" t="e">
        <f t="shared" ca="1" si="34"/>
        <v>#VALUE!</v>
      </c>
      <c r="G917" t="e">
        <f t="shared" ca="1" si="35"/>
        <v>#VALUE!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33"/>
        <v>#VALUE!</v>
      </c>
      <c r="F918" t="e">
        <f t="shared" ca="1" si="34"/>
        <v>#VALUE!</v>
      </c>
      <c r="G918" t="e">
        <f t="shared" ca="1" si="35"/>
        <v>#VALUE!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33"/>
        <v>#VALUE!</v>
      </c>
      <c r="F919" t="e">
        <f t="shared" ca="1" si="34"/>
        <v>#VALUE!</v>
      </c>
      <c r="G919" t="e">
        <f t="shared" ca="1" si="35"/>
        <v>#VALUE!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33"/>
        <v>#VALUE!</v>
      </c>
      <c r="F920" t="e">
        <f t="shared" ca="1" si="34"/>
        <v>#VALUE!</v>
      </c>
      <c r="G920" t="e">
        <f t="shared" ca="1" si="35"/>
        <v>#VALUE!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33"/>
        <v>#VALUE!</v>
      </c>
      <c r="F921" t="e">
        <f t="shared" ca="1" si="34"/>
        <v>#VALUE!</v>
      </c>
      <c r="G921" t="e">
        <f t="shared" ca="1" si="35"/>
        <v>#VALUE!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33"/>
        <v>#VALUE!</v>
      </c>
      <c r="F922" t="e">
        <f t="shared" ca="1" si="34"/>
        <v>#VALUE!</v>
      </c>
      <c r="G922" t="e">
        <f t="shared" ca="1" si="35"/>
        <v>#VALUE!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33"/>
        <v>#VALUE!</v>
      </c>
      <c r="F923" t="e">
        <f t="shared" ca="1" si="34"/>
        <v>#VALUE!</v>
      </c>
      <c r="G923" t="e">
        <f t="shared" ca="1" si="35"/>
        <v>#VALUE!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33"/>
        <v>#VALUE!</v>
      </c>
      <c r="F924" t="e">
        <f t="shared" ca="1" si="34"/>
        <v>#VALUE!</v>
      </c>
      <c r="G924" t="e">
        <f t="shared" ca="1" si="35"/>
        <v>#VALUE!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33"/>
        <v>#VALUE!</v>
      </c>
      <c r="F925" t="e">
        <f t="shared" ca="1" si="34"/>
        <v>#VALUE!</v>
      </c>
      <c r="G925" t="e">
        <f t="shared" ca="1" si="35"/>
        <v>#VALUE!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33"/>
        <v>#VALUE!</v>
      </c>
      <c r="F926" t="e">
        <f t="shared" ca="1" si="34"/>
        <v>#VALUE!</v>
      </c>
      <c r="G926" t="e">
        <f t="shared" ca="1" si="35"/>
        <v>#VALUE!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33"/>
        <v>#VALUE!</v>
      </c>
      <c r="F927" t="e">
        <f t="shared" ca="1" si="34"/>
        <v>#VALUE!</v>
      </c>
      <c r="G927" t="e">
        <f t="shared" ca="1" si="35"/>
        <v>#VALUE!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33"/>
        <v>#VALUE!</v>
      </c>
      <c r="F928" t="e">
        <f t="shared" ca="1" si="34"/>
        <v>#VALUE!</v>
      </c>
      <c r="G928" t="e">
        <f t="shared" ca="1" si="35"/>
        <v>#VALUE!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33"/>
        <v>#VALUE!</v>
      </c>
      <c r="F929" t="e">
        <f t="shared" ca="1" si="34"/>
        <v>#VALUE!</v>
      </c>
      <c r="G929" t="e">
        <f t="shared" ca="1" si="35"/>
        <v>#VALUE!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33"/>
        <v>#VALUE!</v>
      </c>
      <c r="F930" t="e">
        <f t="shared" ca="1" si="34"/>
        <v>#VALUE!</v>
      </c>
      <c r="G930" t="e">
        <f t="shared" ca="1" si="35"/>
        <v>#VALUE!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33"/>
        <v>#VALUE!</v>
      </c>
      <c r="F931" t="e">
        <f t="shared" ca="1" si="34"/>
        <v>#VALUE!</v>
      </c>
      <c r="G931" t="e">
        <f t="shared" ca="1" si="35"/>
        <v>#VALUE!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33"/>
        <v>#VALUE!</v>
      </c>
      <c r="F932" t="e">
        <f t="shared" ca="1" si="34"/>
        <v>#VALUE!</v>
      </c>
      <c r="G932" t="e">
        <f t="shared" ca="1" si="35"/>
        <v>#VALUE!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33"/>
        <v>#VALUE!</v>
      </c>
      <c r="F933" t="e">
        <f t="shared" ca="1" si="34"/>
        <v>#VALUE!</v>
      </c>
      <c r="G933" t="e">
        <f t="shared" ca="1" si="35"/>
        <v>#VALUE!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33"/>
        <v>#VALUE!</v>
      </c>
      <c r="F934" t="e">
        <f t="shared" ca="1" si="34"/>
        <v>#VALUE!</v>
      </c>
      <c r="G934" t="e">
        <f t="shared" ca="1" si="35"/>
        <v>#VALUE!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33"/>
        <v>#VALUE!</v>
      </c>
      <c r="F935" t="e">
        <f t="shared" ca="1" si="34"/>
        <v>#VALUE!</v>
      </c>
      <c r="G935" t="e">
        <f t="shared" ca="1" si="35"/>
        <v>#VALUE!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33"/>
        <v>#VALUE!</v>
      </c>
      <c r="F936" t="e">
        <f t="shared" ca="1" si="34"/>
        <v>#VALUE!</v>
      </c>
      <c r="G936" t="e">
        <f t="shared" ca="1" si="35"/>
        <v>#VALUE!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33"/>
        <v>#VALUE!</v>
      </c>
      <c r="F937" t="e">
        <f t="shared" ca="1" si="34"/>
        <v>#VALUE!</v>
      </c>
      <c r="G937" t="e">
        <f t="shared" ca="1" si="35"/>
        <v>#VALUE!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33"/>
        <v>#VALUE!</v>
      </c>
      <c r="F938" t="e">
        <f t="shared" ca="1" si="34"/>
        <v>#VALUE!</v>
      </c>
      <c r="G938" t="e">
        <f t="shared" ca="1" si="35"/>
        <v>#VALUE!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33"/>
        <v>#VALUE!</v>
      </c>
      <c r="F939" t="e">
        <f t="shared" ca="1" si="34"/>
        <v>#VALUE!</v>
      </c>
      <c r="G939" t="e">
        <f t="shared" ca="1" si="35"/>
        <v>#VALUE!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33"/>
        <v>#VALUE!</v>
      </c>
      <c r="F940" t="e">
        <f t="shared" ca="1" si="34"/>
        <v>#VALUE!</v>
      </c>
      <c r="G940" t="e">
        <f t="shared" ca="1" si="35"/>
        <v>#VALUE!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33"/>
        <v>#VALUE!</v>
      </c>
      <c r="F941" t="e">
        <f t="shared" ca="1" si="34"/>
        <v>#VALUE!</v>
      </c>
      <c r="G941" t="e">
        <f t="shared" ca="1" si="35"/>
        <v>#VALUE!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ref="E942:E995" ca="1" si="36">IF(D942="T", 0.05, IF(D942="C", -0.01, ""))</f>
        <v>#VALUE!</v>
      </c>
      <c r="F942" t="e">
        <f t="shared" ref="F942:F995" ca="1" si="37">IF(D942="T", 0.05, IF(D942="C", 0, ""))</f>
        <v>#VALUE!</v>
      </c>
      <c r="G942" t="e">
        <f t="shared" ref="G942:G995" ca="1" si="38">IF(D942="T", 0, IF(D942="C", 0, ""))</f>
        <v>#VALUE!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36"/>
        <v>#VALUE!</v>
      </c>
      <c r="F943" t="e">
        <f t="shared" ca="1" si="37"/>
        <v>#VALUE!</v>
      </c>
      <c r="G943" t="e">
        <f t="shared" ca="1" si="38"/>
        <v>#VALUE!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36"/>
        <v>#VALUE!</v>
      </c>
      <c r="F944" t="e">
        <f t="shared" ca="1" si="37"/>
        <v>#VALUE!</v>
      </c>
      <c r="G944" t="e">
        <f t="shared" ca="1" si="38"/>
        <v>#VALUE!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36"/>
        <v>#VALUE!</v>
      </c>
      <c r="F945" t="e">
        <f t="shared" ca="1" si="37"/>
        <v>#VALUE!</v>
      </c>
      <c r="G945" t="e">
        <f t="shared" ca="1" si="38"/>
        <v>#VALUE!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36"/>
        <v>#VALUE!</v>
      </c>
      <c r="F946" t="e">
        <f t="shared" ca="1" si="37"/>
        <v>#VALUE!</v>
      </c>
      <c r="G946" t="e">
        <f t="shared" ca="1" si="38"/>
        <v>#VALUE!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ca="1" si="36"/>
        <v>#VALUE!</v>
      </c>
      <c r="F947" t="e">
        <f t="shared" ca="1" si="37"/>
        <v>#VALUE!</v>
      </c>
      <c r="G947" t="e">
        <f t="shared" ca="1" si="38"/>
        <v>#VALUE!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36"/>
        <v>#VALUE!</v>
      </c>
      <c r="F948" t="e">
        <f t="shared" ca="1" si="37"/>
        <v>#VALUE!</v>
      </c>
      <c r="G948" t="e">
        <f t="shared" ca="1" si="38"/>
        <v>#VALUE!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36"/>
        <v>#VALUE!</v>
      </c>
      <c r="F949" t="e">
        <f t="shared" ca="1" si="37"/>
        <v>#VALUE!</v>
      </c>
      <c r="G949" t="e">
        <f t="shared" ca="1" si="38"/>
        <v>#VALUE!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36"/>
        <v>#VALUE!</v>
      </c>
      <c r="F950" t="e">
        <f t="shared" ca="1" si="37"/>
        <v>#VALUE!</v>
      </c>
      <c r="G950" t="e">
        <f t="shared" ca="1" si="38"/>
        <v>#VALUE!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36"/>
        <v>#VALUE!</v>
      </c>
      <c r="F951" t="e">
        <f t="shared" ca="1" si="37"/>
        <v>#VALUE!</v>
      </c>
      <c r="G951" t="e">
        <f t="shared" ca="1" si="38"/>
        <v>#VALUE!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36"/>
        <v>#VALUE!</v>
      </c>
      <c r="F952" t="e">
        <f t="shared" ca="1" si="37"/>
        <v>#VALUE!</v>
      </c>
      <c r="G952" t="e">
        <f t="shared" ca="1" si="38"/>
        <v>#VALUE!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36"/>
        <v>#VALUE!</v>
      </c>
      <c r="F953" t="e">
        <f t="shared" ca="1" si="37"/>
        <v>#VALUE!</v>
      </c>
      <c r="G953" t="e">
        <f t="shared" ca="1" si="38"/>
        <v>#VALUE!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36"/>
        <v>#VALUE!</v>
      </c>
      <c r="F954" t="e">
        <f t="shared" ca="1" si="37"/>
        <v>#VALUE!</v>
      </c>
      <c r="G954" t="e">
        <f t="shared" ca="1" si="38"/>
        <v>#VALUE!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36"/>
        <v>#VALUE!</v>
      </c>
      <c r="F955" t="e">
        <f t="shared" ca="1" si="37"/>
        <v>#VALUE!</v>
      </c>
      <c r="G955" t="e">
        <f t="shared" ca="1" si="38"/>
        <v>#VALUE!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36"/>
        <v>#VALUE!</v>
      </c>
      <c r="F956" t="e">
        <f t="shared" ca="1" si="37"/>
        <v>#VALUE!</v>
      </c>
      <c r="G956" t="e">
        <f t="shared" ca="1" si="38"/>
        <v>#VALUE!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36"/>
        <v>#VALUE!</v>
      </c>
      <c r="F957" t="e">
        <f t="shared" ca="1" si="37"/>
        <v>#VALUE!</v>
      </c>
      <c r="G957" t="e">
        <f t="shared" ca="1" si="38"/>
        <v>#VALUE!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36"/>
        <v>#VALUE!</v>
      </c>
      <c r="F958" t="e">
        <f t="shared" ca="1" si="37"/>
        <v>#VALUE!</v>
      </c>
      <c r="G958" t="e">
        <f t="shared" ca="1" si="38"/>
        <v>#VALUE!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36"/>
        <v>#VALUE!</v>
      </c>
      <c r="F959" t="e">
        <f t="shared" ca="1" si="37"/>
        <v>#VALUE!</v>
      </c>
      <c r="G959" t="e">
        <f t="shared" ca="1" si="38"/>
        <v>#VALUE!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36"/>
        <v>#VALUE!</v>
      </c>
      <c r="F960" t="e">
        <f t="shared" ca="1" si="37"/>
        <v>#VALUE!</v>
      </c>
      <c r="G960" t="e">
        <f t="shared" ca="1" si="38"/>
        <v>#VALUE!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36"/>
        <v>#VALUE!</v>
      </c>
      <c r="F961" t="e">
        <f t="shared" ca="1" si="37"/>
        <v>#VALUE!</v>
      </c>
      <c r="G961" t="e">
        <f t="shared" ca="1" si="38"/>
        <v>#VALUE!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36"/>
        <v>#VALUE!</v>
      </c>
      <c r="F962" t="e">
        <f t="shared" ca="1" si="37"/>
        <v>#VALUE!</v>
      </c>
      <c r="G962" t="e">
        <f t="shared" ca="1" si="38"/>
        <v>#VALUE!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36"/>
        <v>#VALUE!</v>
      </c>
      <c r="F963" t="e">
        <f t="shared" ca="1" si="37"/>
        <v>#VALUE!</v>
      </c>
      <c r="G963" t="e">
        <f t="shared" ca="1" si="38"/>
        <v>#VALUE!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36"/>
        <v>#VALUE!</v>
      </c>
      <c r="F964" t="e">
        <f t="shared" ca="1" si="37"/>
        <v>#VALUE!</v>
      </c>
      <c r="G964" t="e">
        <f t="shared" ca="1" si="38"/>
        <v>#VALUE!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36"/>
        <v>#VALUE!</v>
      </c>
      <c r="F965" t="e">
        <f t="shared" ca="1" si="37"/>
        <v>#VALUE!</v>
      </c>
      <c r="G965" t="e">
        <f t="shared" ca="1" si="38"/>
        <v>#VALUE!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36"/>
        <v>#VALUE!</v>
      </c>
      <c r="F966" t="e">
        <f t="shared" ca="1" si="37"/>
        <v>#VALUE!</v>
      </c>
      <c r="G966" t="e">
        <f t="shared" ca="1" si="38"/>
        <v>#VALUE!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36"/>
        <v>#VALUE!</v>
      </c>
      <c r="F967" t="e">
        <f t="shared" ca="1" si="37"/>
        <v>#VALUE!</v>
      </c>
      <c r="G967" t="e">
        <f t="shared" ca="1" si="38"/>
        <v>#VALUE!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36"/>
        <v>#VALUE!</v>
      </c>
      <c r="F968" t="e">
        <f t="shared" ca="1" si="37"/>
        <v>#VALUE!</v>
      </c>
      <c r="G968" t="e">
        <f t="shared" ca="1" si="38"/>
        <v>#VALUE!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36"/>
        <v>#VALUE!</v>
      </c>
      <c r="F969" t="e">
        <f t="shared" ca="1" si="37"/>
        <v>#VALUE!</v>
      </c>
      <c r="G969" t="e">
        <f t="shared" ca="1" si="38"/>
        <v>#VALUE!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36"/>
        <v>#VALUE!</v>
      </c>
      <c r="F970" t="e">
        <f t="shared" ca="1" si="37"/>
        <v>#VALUE!</v>
      </c>
      <c r="G970" t="e">
        <f t="shared" ca="1" si="38"/>
        <v>#VALUE!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36"/>
        <v>#VALUE!</v>
      </c>
      <c r="F971" t="e">
        <f t="shared" ca="1" si="37"/>
        <v>#VALUE!</v>
      </c>
      <c r="G971" t="e">
        <f t="shared" ca="1" si="38"/>
        <v>#VALUE!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36"/>
        <v>#VALUE!</v>
      </c>
      <c r="F972" t="e">
        <f t="shared" ca="1" si="37"/>
        <v>#VALUE!</v>
      </c>
      <c r="G972" t="e">
        <f t="shared" ca="1" si="38"/>
        <v>#VALUE!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36"/>
        <v>#VALUE!</v>
      </c>
      <c r="F973" t="e">
        <f t="shared" ca="1" si="37"/>
        <v>#VALUE!</v>
      </c>
      <c r="G973" t="e">
        <f t="shared" ca="1" si="38"/>
        <v>#VALUE!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36"/>
        <v>#VALUE!</v>
      </c>
      <c r="F974" t="e">
        <f t="shared" ca="1" si="37"/>
        <v>#VALUE!</v>
      </c>
      <c r="G974" t="e">
        <f t="shared" ca="1" si="38"/>
        <v>#VALUE!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36"/>
        <v>#VALUE!</v>
      </c>
      <c r="F975" t="e">
        <f t="shared" ca="1" si="37"/>
        <v>#VALUE!</v>
      </c>
      <c r="G975" t="e">
        <f t="shared" ca="1" si="38"/>
        <v>#VALUE!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36"/>
        <v>#VALUE!</v>
      </c>
      <c r="F976" t="e">
        <f t="shared" ca="1" si="37"/>
        <v>#VALUE!</v>
      </c>
      <c r="G976" t="e">
        <f t="shared" ca="1" si="38"/>
        <v>#VALUE!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36"/>
        <v>#VALUE!</v>
      </c>
      <c r="F977" t="e">
        <f t="shared" ca="1" si="37"/>
        <v>#VALUE!</v>
      </c>
      <c r="G977" t="e">
        <f t="shared" ca="1" si="38"/>
        <v>#VALUE!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36"/>
        <v>#VALUE!</v>
      </c>
      <c r="F978" t="e">
        <f t="shared" ca="1" si="37"/>
        <v>#VALUE!</v>
      </c>
      <c r="G978" t="e">
        <f t="shared" ca="1" si="38"/>
        <v>#VALUE!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36"/>
        <v>#VALUE!</v>
      </c>
      <c r="F979" t="e">
        <f t="shared" ca="1" si="37"/>
        <v>#VALUE!</v>
      </c>
      <c r="G979" t="e">
        <f t="shared" ca="1" si="38"/>
        <v>#VALUE!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36"/>
        <v>#VALUE!</v>
      </c>
      <c r="F980" t="e">
        <f t="shared" ca="1" si="37"/>
        <v>#VALUE!</v>
      </c>
      <c r="G980" t="e">
        <f t="shared" ca="1" si="38"/>
        <v>#VALUE!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36"/>
        <v>#VALUE!</v>
      </c>
      <c r="F981" t="e">
        <f t="shared" ca="1" si="37"/>
        <v>#VALUE!</v>
      </c>
      <c r="G981" t="e">
        <f t="shared" ca="1" si="38"/>
        <v>#VALUE!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36"/>
        <v>#VALUE!</v>
      </c>
      <c r="F982" t="e">
        <f t="shared" ca="1" si="37"/>
        <v>#VALUE!</v>
      </c>
      <c r="G982" t="e">
        <f t="shared" ca="1" si="38"/>
        <v>#VALUE!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36"/>
        <v>#VALUE!</v>
      </c>
      <c r="F983" t="e">
        <f t="shared" ca="1" si="37"/>
        <v>#VALUE!</v>
      </c>
      <c r="G983" t="e">
        <f t="shared" ca="1" si="38"/>
        <v>#VALUE!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36"/>
        <v>#VALUE!</v>
      </c>
      <c r="F984" t="e">
        <f t="shared" ca="1" si="37"/>
        <v>#VALUE!</v>
      </c>
      <c r="G984" t="e">
        <f t="shared" ca="1" si="38"/>
        <v>#VALUE!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36"/>
        <v>#VALUE!</v>
      </c>
      <c r="F985" t="e">
        <f t="shared" ca="1" si="37"/>
        <v>#VALUE!</v>
      </c>
      <c r="G985" t="e">
        <f t="shared" ca="1" si="38"/>
        <v>#VALUE!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36"/>
        <v>#VALUE!</v>
      </c>
      <c r="F986" t="e">
        <f t="shared" ca="1" si="37"/>
        <v>#VALUE!</v>
      </c>
      <c r="G986" t="e">
        <f t="shared" ca="1" si="38"/>
        <v>#VALUE!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36"/>
        <v>#VALUE!</v>
      </c>
      <c r="F987" t="e">
        <f t="shared" ca="1" si="37"/>
        <v>#VALUE!</v>
      </c>
      <c r="G987" t="e">
        <f t="shared" ca="1" si="38"/>
        <v>#VALUE!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36"/>
        <v>#VALUE!</v>
      </c>
      <c r="F988" t="e">
        <f t="shared" ca="1" si="37"/>
        <v>#VALUE!</v>
      </c>
      <c r="G988" t="e">
        <f t="shared" ca="1" si="38"/>
        <v>#VALUE!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36"/>
        <v>#VALUE!</v>
      </c>
      <c r="F989" t="e">
        <f t="shared" ca="1" si="37"/>
        <v>#VALUE!</v>
      </c>
      <c r="G989" t="e">
        <f t="shared" ca="1" si="38"/>
        <v>#VALUE!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36"/>
        <v>#VALUE!</v>
      </c>
      <c r="F990" t="e">
        <f t="shared" ca="1" si="37"/>
        <v>#VALUE!</v>
      </c>
      <c r="G990" t="e">
        <f t="shared" ca="1" si="38"/>
        <v>#VALUE!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36"/>
        <v>#VALUE!</v>
      </c>
      <c r="F991" t="e">
        <f t="shared" ca="1" si="37"/>
        <v>#VALUE!</v>
      </c>
      <c r="G991" t="e">
        <f t="shared" ca="1" si="38"/>
        <v>#VALUE!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36"/>
        <v>#VALUE!</v>
      </c>
      <c r="F992" t="e">
        <f t="shared" ca="1" si="37"/>
        <v>#VALUE!</v>
      </c>
      <c r="G992" t="e">
        <f t="shared" ca="1" si="38"/>
        <v>#VALUE!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36"/>
        <v>#VALUE!</v>
      </c>
      <c r="F993" t="e">
        <f t="shared" ca="1" si="37"/>
        <v>#VALUE!</v>
      </c>
      <c r="G993" t="e">
        <f t="shared" ca="1" si="38"/>
        <v>#VALUE!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36"/>
        <v>#VALUE!</v>
      </c>
      <c r="F994" t="e">
        <f t="shared" ca="1" si="37"/>
        <v>#VALUE!</v>
      </c>
      <c r="G994" t="e">
        <f t="shared" ca="1" si="38"/>
        <v>#VALUE!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36"/>
        <v>#VALUE!</v>
      </c>
      <c r="F995" t="e">
        <f t="shared" ca="1" si="37"/>
        <v>#VALUE!</v>
      </c>
      <c r="G995" t="e">
        <f t="shared" ca="1" si="38"/>
        <v>#VALUE!</v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 A4" xr:uid="{1332DC9F-846D-44E7-B644-7BB87C814205}">
      <formula1>count_name_occurences(A4)&lt;=1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 F6:F1048576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106</v>
      </c>
      <c r="E1" s="3" t="s">
        <v>107</v>
      </c>
      <c r="F1" s="3" t="s">
        <v>108</v>
      </c>
      <c r="G1" s="3" t="s">
        <v>112</v>
      </c>
      <c r="H1" s="3" t="s">
        <v>121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ref="E179:E242" ca="1" si="0">IF(D179="T", 0.05, IF(D179="C", -0.01, ""))</f>
        <v>#VALUE!</v>
      </c>
      <c r="F179" t="e">
        <f t="shared" ref="F179:F242" ca="1" si="1">IF(D179="T", 0.05, IF(D179="C", 0, ""))</f>
        <v>#VALUE!</v>
      </c>
      <c r="G179" t="e">
        <f t="shared" ref="G179:G242" ca="1" si="2">IF(D179="T", 0, IF(D179="C", 0, ""))</f>
        <v>#VALUE!</v>
      </c>
      <c r="H179" t="e">
        <f t="shared" ref="H179:H242" ca="1" si="3">IF(D179="T", 0.05, IF(D179="C", 0, ""))</f>
        <v>#VALUE!</v>
      </c>
      <c r="I179" t="e">
        <f t="shared" ref="I179:I242" ca="1" si="4">IF(D179="T", 0, IF(D179="C", 0, ""))</f>
        <v>#VALUE!</v>
      </c>
    </row>
    <row r="180" spans="1:9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  <c r="H180" t="e">
        <f t="shared" ca="1" si="3"/>
        <v>#VALUE!</v>
      </c>
      <c r="I180" t="e">
        <f t="shared" ca="1" si="4"/>
        <v>#VALUE!</v>
      </c>
    </row>
    <row r="181" spans="1:9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  <c r="H181" t="e">
        <f t="shared" ca="1" si="3"/>
        <v>#VALUE!</v>
      </c>
      <c r="I181" t="e">
        <f t="shared" ca="1" si="4"/>
        <v>#VALUE!</v>
      </c>
    </row>
    <row r="182" spans="1:9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  <c r="H182" t="e">
        <f t="shared" ca="1" si="3"/>
        <v>#VALUE!</v>
      </c>
      <c r="I182" t="e">
        <f t="shared" ca="1" si="4"/>
        <v>#VALUE!</v>
      </c>
    </row>
    <row r="183" spans="1:9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  <c r="H183" t="e">
        <f t="shared" ca="1" si="3"/>
        <v>#VALUE!</v>
      </c>
      <c r="I183" t="e">
        <f t="shared" ca="1" si="4"/>
        <v>#VALUE!</v>
      </c>
    </row>
    <row r="184" spans="1:9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  <c r="H184" t="e">
        <f t="shared" ca="1" si="3"/>
        <v>#VALUE!</v>
      </c>
      <c r="I184" t="e">
        <f t="shared" ca="1" si="4"/>
        <v>#VALUE!</v>
      </c>
    </row>
    <row r="185" spans="1:9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  <c r="H185" t="e">
        <f t="shared" ca="1" si="3"/>
        <v>#VALUE!</v>
      </c>
      <c r="I185" t="e">
        <f t="shared" ca="1" si="4"/>
        <v>#VALUE!</v>
      </c>
    </row>
    <row r="186" spans="1:9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  <c r="H186" t="e">
        <f t="shared" ca="1" si="3"/>
        <v>#VALUE!</v>
      </c>
      <c r="I186" t="e">
        <f t="shared" ca="1" si="4"/>
        <v>#VALUE!</v>
      </c>
    </row>
    <row r="187" spans="1:9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  <c r="H187" t="e">
        <f t="shared" ca="1" si="3"/>
        <v>#VALUE!</v>
      </c>
      <c r="I187" t="e">
        <f t="shared" ca="1" si="4"/>
        <v>#VALUE!</v>
      </c>
    </row>
    <row r="188" spans="1:9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  <c r="H188" t="e">
        <f t="shared" ca="1" si="3"/>
        <v>#VALUE!</v>
      </c>
      <c r="I188" t="e">
        <f t="shared" ca="1" si="4"/>
        <v>#VALUE!</v>
      </c>
    </row>
    <row r="189" spans="1:9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  <c r="H189" t="e">
        <f t="shared" ca="1" si="3"/>
        <v>#VALUE!</v>
      </c>
      <c r="I189" t="e">
        <f t="shared" ca="1" si="4"/>
        <v>#VALUE!</v>
      </c>
    </row>
    <row r="190" spans="1:9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  <c r="H190" t="e">
        <f t="shared" ca="1" si="3"/>
        <v>#VALUE!</v>
      </c>
      <c r="I190" t="e">
        <f t="shared" ca="1" si="4"/>
        <v>#VALUE!</v>
      </c>
    </row>
    <row r="191" spans="1:9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  <c r="H191" t="e">
        <f t="shared" ca="1" si="3"/>
        <v>#VALUE!</v>
      </c>
      <c r="I191" t="e">
        <f t="shared" ca="1" si="4"/>
        <v>#VALUE!</v>
      </c>
    </row>
    <row r="192" spans="1:9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  <c r="H192" t="e">
        <f t="shared" ca="1" si="3"/>
        <v>#VALUE!</v>
      </c>
      <c r="I192" t="e">
        <f t="shared" ca="1" si="4"/>
        <v>#VALUE!</v>
      </c>
    </row>
    <row r="193" spans="1:9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  <c r="H193" t="e">
        <f t="shared" ca="1" si="3"/>
        <v>#VALUE!</v>
      </c>
      <c r="I193" t="e">
        <f t="shared" ca="1" si="4"/>
        <v>#VALUE!</v>
      </c>
    </row>
    <row r="194" spans="1:9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  <c r="H194" t="e">
        <f t="shared" ca="1" si="3"/>
        <v>#VALUE!</v>
      </c>
      <c r="I194" t="e">
        <f t="shared" ca="1" si="4"/>
        <v>#VALUE!</v>
      </c>
    </row>
    <row r="195" spans="1:9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  <c r="H195" t="e">
        <f t="shared" ca="1" si="3"/>
        <v>#VALUE!</v>
      </c>
      <c r="I195" t="e">
        <f t="shared" ca="1" si="4"/>
        <v>#VALUE!</v>
      </c>
    </row>
    <row r="196" spans="1:9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  <c r="H196" t="e">
        <f t="shared" ca="1" si="3"/>
        <v>#VALUE!</v>
      </c>
      <c r="I196" t="e">
        <f t="shared" ca="1" si="4"/>
        <v>#VALUE!</v>
      </c>
    </row>
    <row r="197" spans="1:9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  <c r="H197" t="e">
        <f t="shared" ca="1" si="3"/>
        <v>#VALUE!</v>
      </c>
      <c r="I197" t="e">
        <f t="shared" ca="1" si="4"/>
        <v>#VALUE!</v>
      </c>
    </row>
    <row r="198" spans="1:9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  <c r="H198" t="e">
        <f t="shared" ca="1" si="3"/>
        <v>#VALUE!</v>
      </c>
      <c r="I198" t="e">
        <f t="shared" ca="1" si="4"/>
        <v>#VALUE!</v>
      </c>
    </row>
    <row r="199" spans="1:9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  <c r="H199" t="e">
        <f t="shared" ca="1" si="3"/>
        <v>#VALUE!</v>
      </c>
      <c r="I199" t="e">
        <f t="shared" ca="1" si="4"/>
        <v>#VALUE!</v>
      </c>
    </row>
    <row r="200" spans="1:9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  <c r="H200" t="e">
        <f t="shared" ca="1" si="3"/>
        <v>#VALUE!</v>
      </c>
      <c r="I200" t="e">
        <f t="shared" ca="1" si="4"/>
        <v>#VALUE!</v>
      </c>
    </row>
    <row r="201" spans="1:9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  <c r="H201" t="e">
        <f t="shared" ca="1" si="3"/>
        <v>#VALUE!</v>
      </c>
      <c r="I201" t="e">
        <f t="shared" ca="1" si="4"/>
        <v>#VALUE!</v>
      </c>
    </row>
    <row r="202" spans="1:9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  <c r="H202" t="e">
        <f t="shared" ca="1" si="3"/>
        <v>#VALUE!</v>
      </c>
      <c r="I202" t="e">
        <f t="shared" ca="1" si="4"/>
        <v>#VALUE!</v>
      </c>
    </row>
    <row r="203" spans="1:9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  <c r="H203" t="e">
        <f t="shared" ca="1" si="3"/>
        <v>#VALUE!</v>
      </c>
      <c r="I203" t="e">
        <f t="shared" ca="1" si="4"/>
        <v>#VALUE!</v>
      </c>
    </row>
    <row r="204" spans="1:9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  <c r="H204" t="e">
        <f t="shared" ca="1" si="3"/>
        <v>#VALUE!</v>
      </c>
      <c r="I204" t="e">
        <f t="shared" ca="1" si="4"/>
        <v>#VALUE!</v>
      </c>
    </row>
    <row r="205" spans="1:9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  <c r="H205" t="e">
        <f t="shared" ca="1" si="3"/>
        <v>#VALUE!</v>
      </c>
      <c r="I205" t="e">
        <f t="shared" ca="1" si="4"/>
        <v>#VALUE!</v>
      </c>
    </row>
    <row r="206" spans="1:9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  <c r="H206" t="e">
        <f t="shared" ca="1" si="3"/>
        <v>#VALUE!</v>
      </c>
      <c r="I206" t="e">
        <f t="shared" ca="1" si="4"/>
        <v>#VALUE!</v>
      </c>
    </row>
    <row r="207" spans="1:9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  <c r="H207" t="e">
        <f t="shared" ca="1" si="3"/>
        <v>#VALUE!</v>
      </c>
      <c r="I207" t="e">
        <f t="shared" ca="1" si="4"/>
        <v>#VALUE!</v>
      </c>
    </row>
    <row r="208" spans="1:9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  <c r="H208" t="e">
        <f t="shared" ca="1" si="3"/>
        <v>#VALUE!</v>
      </c>
      <c r="I208" t="e">
        <f t="shared" ca="1" si="4"/>
        <v>#VALUE!</v>
      </c>
    </row>
    <row r="209" spans="1:9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  <c r="H209" t="e">
        <f t="shared" ca="1" si="3"/>
        <v>#VALUE!</v>
      </c>
      <c r="I209" t="e">
        <f t="shared" ca="1" si="4"/>
        <v>#VALUE!</v>
      </c>
    </row>
    <row r="210" spans="1:9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  <c r="H210" t="e">
        <f t="shared" ca="1" si="3"/>
        <v>#VALUE!</v>
      </c>
      <c r="I210" t="e">
        <f t="shared" ca="1" si="4"/>
        <v>#VALUE!</v>
      </c>
    </row>
    <row r="211" spans="1:9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  <c r="H211" t="e">
        <f t="shared" ca="1" si="3"/>
        <v>#VALUE!</v>
      </c>
      <c r="I211" t="e">
        <f t="shared" ca="1" si="4"/>
        <v>#VALUE!</v>
      </c>
    </row>
    <row r="212" spans="1:9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  <c r="H212" t="e">
        <f t="shared" ca="1" si="3"/>
        <v>#VALUE!</v>
      </c>
      <c r="I212" t="e">
        <f t="shared" ca="1" si="4"/>
        <v>#VALUE!</v>
      </c>
    </row>
    <row r="213" spans="1:9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  <c r="H213" t="e">
        <f t="shared" ca="1" si="3"/>
        <v>#VALUE!</v>
      </c>
      <c r="I213" t="e">
        <f t="shared" ca="1" si="4"/>
        <v>#VALUE!</v>
      </c>
    </row>
    <row r="214" spans="1:9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  <c r="H214" t="e">
        <f t="shared" ca="1" si="3"/>
        <v>#VALUE!</v>
      </c>
      <c r="I214" t="e">
        <f t="shared" ca="1" si="4"/>
        <v>#VALUE!</v>
      </c>
    </row>
    <row r="215" spans="1:9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  <c r="H215" t="e">
        <f t="shared" ca="1" si="3"/>
        <v>#VALUE!</v>
      </c>
      <c r="I215" t="e">
        <f t="shared" ca="1" si="4"/>
        <v>#VALUE!</v>
      </c>
    </row>
    <row r="216" spans="1:9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  <c r="H216" t="e">
        <f t="shared" ca="1" si="3"/>
        <v>#VALUE!</v>
      </c>
      <c r="I216" t="e">
        <f t="shared" ca="1" si="4"/>
        <v>#VALUE!</v>
      </c>
    </row>
    <row r="217" spans="1:9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  <c r="H217" t="e">
        <f t="shared" ca="1" si="3"/>
        <v>#VALUE!</v>
      </c>
      <c r="I217" t="e">
        <f t="shared" ca="1" si="4"/>
        <v>#VALUE!</v>
      </c>
    </row>
    <row r="218" spans="1:9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  <c r="H218" t="e">
        <f t="shared" ca="1" si="3"/>
        <v>#VALUE!</v>
      </c>
      <c r="I218" t="e">
        <f t="shared" ca="1" si="4"/>
        <v>#VALUE!</v>
      </c>
    </row>
    <row r="219" spans="1:9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  <c r="H219" t="e">
        <f t="shared" ca="1" si="3"/>
        <v>#VALUE!</v>
      </c>
      <c r="I219" t="e">
        <f t="shared" ca="1" si="4"/>
        <v>#VALUE!</v>
      </c>
    </row>
    <row r="220" spans="1:9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  <c r="H220" t="e">
        <f t="shared" ca="1" si="3"/>
        <v>#VALUE!</v>
      </c>
      <c r="I220" t="e">
        <f t="shared" ca="1" si="4"/>
        <v>#VALUE!</v>
      </c>
    </row>
    <row r="221" spans="1:9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  <c r="H221" t="e">
        <f t="shared" ca="1" si="3"/>
        <v>#VALUE!</v>
      </c>
      <c r="I221" t="e">
        <f t="shared" ca="1" si="4"/>
        <v>#VALUE!</v>
      </c>
    </row>
    <row r="222" spans="1:9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  <c r="H222" t="e">
        <f t="shared" ca="1" si="3"/>
        <v>#VALUE!</v>
      </c>
      <c r="I222" t="e">
        <f t="shared" ca="1" si="4"/>
        <v>#VALUE!</v>
      </c>
    </row>
    <row r="223" spans="1:9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  <c r="H223" t="e">
        <f t="shared" ca="1" si="3"/>
        <v>#VALUE!</v>
      </c>
      <c r="I223" t="e">
        <f t="shared" ca="1" si="4"/>
        <v>#VALUE!</v>
      </c>
    </row>
    <row r="224" spans="1:9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  <c r="H224" t="e">
        <f t="shared" ca="1" si="3"/>
        <v>#VALUE!</v>
      </c>
      <c r="I224" t="e">
        <f t="shared" ca="1" si="4"/>
        <v>#VALUE!</v>
      </c>
    </row>
    <row r="225" spans="1:9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  <c r="H225" t="e">
        <f t="shared" ca="1" si="3"/>
        <v>#VALUE!</v>
      </c>
      <c r="I225" t="e">
        <f t="shared" ca="1" si="4"/>
        <v>#VALUE!</v>
      </c>
    </row>
    <row r="226" spans="1:9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  <c r="H226" t="e">
        <f t="shared" ca="1" si="3"/>
        <v>#VALUE!</v>
      </c>
      <c r="I226" t="e">
        <f t="shared" ca="1" si="4"/>
        <v>#VALUE!</v>
      </c>
    </row>
    <row r="227" spans="1:9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  <c r="H227" t="e">
        <f t="shared" ca="1" si="3"/>
        <v>#VALUE!</v>
      </c>
      <c r="I227" t="e">
        <f t="shared" ca="1" si="4"/>
        <v>#VALUE!</v>
      </c>
    </row>
    <row r="228" spans="1:9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  <c r="H228" t="e">
        <f t="shared" ca="1" si="3"/>
        <v>#VALUE!</v>
      </c>
      <c r="I228" t="e">
        <f t="shared" ca="1" si="4"/>
        <v>#VALUE!</v>
      </c>
    </row>
    <row r="229" spans="1:9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  <c r="H229" t="e">
        <f t="shared" ca="1" si="3"/>
        <v>#VALUE!</v>
      </c>
      <c r="I229" t="e">
        <f t="shared" ca="1" si="4"/>
        <v>#VALUE!</v>
      </c>
    </row>
    <row r="230" spans="1:9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  <c r="H230" t="e">
        <f t="shared" ca="1" si="3"/>
        <v>#VALUE!</v>
      </c>
      <c r="I230" t="e">
        <f t="shared" ca="1" si="4"/>
        <v>#VALUE!</v>
      </c>
    </row>
    <row r="231" spans="1:9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  <c r="H231" t="e">
        <f t="shared" ca="1" si="3"/>
        <v>#VALUE!</v>
      </c>
      <c r="I231" t="e">
        <f t="shared" ca="1" si="4"/>
        <v>#VALUE!</v>
      </c>
    </row>
    <row r="232" spans="1:9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  <c r="H232" t="e">
        <f t="shared" ca="1" si="3"/>
        <v>#VALUE!</v>
      </c>
      <c r="I232" t="e">
        <f t="shared" ca="1" si="4"/>
        <v>#VALUE!</v>
      </c>
    </row>
    <row r="233" spans="1:9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  <c r="H233" t="e">
        <f t="shared" ca="1" si="3"/>
        <v>#VALUE!</v>
      </c>
      <c r="I233" t="e">
        <f t="shared" ca="1" si="4"/>
        <v>#VALUE!</v>
      </c>
    </row>
    <row r="234" spans="1:9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  <c r="H234" t="e">
        <f t="shared" ca="1" si="3"/>
        <v>#VALUE!</v>
      </c>
      <c r="I234" t="e">
        <f t="shared" ca="1" si="4"/>
        <v>#VALUE!</v>
      </c>
    </row>
    <row r="235" spans="1:9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  <c r="H235" t="e">
        <f t="shared" ca="1" si="3"/>
        <v>#VALUE!</v>
      </c>
      <c r="I235" t="e">
        <f t="shared" ca="1" si="4"/>
        <v>#VALUE!</v>
      </c>
    </row>
    <row r="236" spans="1:9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  <c r="H236" t="e">
        <f t="shared" ca="1" si="3"/>
        <v>#VALUE!</v>
      </c>
      <c r="I236" t="e">
        <f t="shared" ca="1" si="4"/>
        <v>#VALUE!</v>
      </c>
    </row>
    <row r="237" spans="1:9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  <c r="H237" t="e">
        <f t="shared" ca="1" si="3"/>
        <v>#VALUE!</v>
      </c>
      <c r="I237" t="e">
        <f t="shared" ca="1" si="4"/>
        <v>#VALUE!</v>
      </c>
    </row>
    <row r="238" spans="1:9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0"/>
        <v>#VALUE!</v>
      </c>
      <c r="F238" t="e">
        <f t="shared" ca="1" si="1"/>
        <v>#VALUE!</v>
      </c>
      <c r="G238" t="e">
        <f t="shared" ca="1" si="2"/>
        <v>#VALUE!</v>
      </c>
      <c r="H238" t="e">
        <f t="shared" ca="1" si="3"/>
        <v>#VALUE!</v>
      </c>
      <c r="I238" t="e">
        <f t="shared" ca="1" si="4"/>
        <v>#VALUE!</v>
      </c>
    </row>
    <row r="239" spans="1:9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0"/>
        <v>#VALUE!</v>
      </c>
      <c r="F239" t="e">
        <f t="shared" ca="1" si="1"/>
        <v>#VALUE!</v>
      </c>
      <c r="G239" t="e">
        <f t="shared" ca="1" si="2"/>
        <v>#VALUE!</v>
      </c>
      <c r="H239" t="e">
        <f t="shared" ca="1" si="3"/>
        <v>#VALUE!</v>
      </c>
      <c r="I239" t="e">
        <f t="shared" ca="1" si="4"/>
        <v>#VALUE!</v>
      </c>
    </row>
    <row r="240" spans="1:9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0"/>
        <v>#VALUE!</v>
      </c>
      <c r="F240" t="e">
        <f t="shared" ca="1" si="1"/>
        <v>#VALUE!</v>
      </c>
      <c r="G240" t="e">
        <f t="shared" ca="1" si="2"/>
        <v>#VALUE!</v>
      </c>
      <c r="H240" t="e">
        <f t="shared" ca="1" si="3"/>
        <v>#VALUE!</v>
      </c>
      <c r="I240" t="e">
        <f t="shared" ca="1" si="4"/>
        <v>#VALUE!</v>
      </c>
    </row>
    <row r="241" spans="1:9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0"/>
        <v>#VALUE!</v>
      </c>
      <c r="F241" t="e">
        <f t="shared" ca="1" si="1"/>
        <v>#VALUE!</v>
      </c>
      <c r="G241" t="e">
        <f t="shared" ca="1" si="2"/>
        <v>#VALUE!</v>
      </c>
      <c r="H241" t="e">
        <f t="shared" ca="1" si="3"/>
        <v>#VALUE!</v>
      </c>
      <c r="I241" t="e">
        <f t="shared" ca="1" si="4"/>
        <v>#VALUE!</v>
      </c>
    </row>
    <row r="242" spans="1:9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0"/>
        <v>#VALUE!</v>
      </c>
      <c r="F242" t="e">
        <f t="shared" ca="1" si="1"/>
        <v>#VALUE!</v>
      </c>
      <c r="G242" t="e">
        <f t="shared" ca="1" si="2"/>
        <v>#VALUE!</v>
      </c>
      <c r="H242" t="e">
        <f t="shared" ca="1" si="3"/>
        <v>#VALUE!</v>
      </c>
      <c r="I242" t="e">
        <f t="shared" ca="1" si="4"/>
        <v>#VALUE!</v>
      </c>
    </row>
    <row r="243" spans="1:9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ref="E243:E306" ca="1" si="5">IF(D243="T", 0.05, IF(D243="C", -0.01, ""))</f>
        <v>#VALUE!</v>
      </c>
      <c r="F243" t="e">
        <f t="shared" ref="F243:F306" ca="1" si="6">IF(D243="T", 0.05, IF(D243="C", 0, ""))</f>
        <v>#VALUE!</v>
      </c>
      <c r="G243" t="e">
        <f t="shared" ref="G243:G306" ca="1" si="7">IF(D243="T", 0, IF(D243="C", 0, ""))</f>
        <v>#VALUE!</v>
      </c>
      <c r="H243" t="e">
        <f t="shared" ref="H243:H306" ca="1" si="8">IF(D243="T", 0.05, IF(D243="C", 0, ""))</f>
        <v>#VALUE!</v>
      </c>
      <c r="I243" t="e">
        <f t="shared" ref="I243:I306" ca="1" si="9">IF(D243="T", 0, IF(D243="C", 0, ""))</f>
        <v>#VALUE!</v>
      </c>
    </row>
    <row r="244" spans="1:9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5"/>
        <v>#VALUE!</v>
      </c>
      <c r="F244" t="e">
        <f t="shared" ca="1" si="6"/>
        <v>#VALUE!</v>
      </c>
      <c r="G244" t="e">
        <f t="shared" ca="1" si="7"/>
        <v>#VALUE!</v>
      </c>
      <c r="H244" t="e">
        <f t="shared" ca="1" si="8"/>
        <v>#VALUE!</v>
      </c>
      <c r="I244" t="e">
        <f t="shared" ca="1" si="9"/>
        <v>#VALUE!</v>
      </c>
    </row>
    <row r="245" spans="1:9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5"/>
        <v>#VALUE!</v>
      </c>
      <c r="F245" t="e">
        <f t="shared" ca="1" si="6"/>
        <v>#VALUE!</v>
      </c>
      <c r="G245" t="e">
        <f t="shared" ca="1" si="7"/>
        <v>#VALUE!</v>
      </c>
      <c r="H245" t="e">
        <f t="shared" ca="1" si="8"/>
        <v>#VALUE!</v>
      </c>
      <c r="I245" t="e">
        <f t="shared" ca="1" si="9"/>
        <v>#VALUE!</v>
      </c>
    </row>
    <row r="246" spans="1:9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5"/>
        <v>#VALUE!</v>
      </c>
      <c r="F246" t="e">
        <f t="shared" ca="1" si="6"/>
        <v>#VALUE!</v>
      </c>
      <c r="G246" t="e">
        <f t="shared" ca="1" si="7"/>
        <v>#VALUE!</v>
      </c>
      <c r="H246" t="e">
        <f t="shared" ca="1" si="8"/>
        <v>#VALUE!</v>
      </c>
      <c r="I246" t="e">
        <f t="shared" ca="1" si="9"/>
        <v>#VALUE!</v>
      </c>
    </row>
    <row r="247" spans="1:9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5"/>
        <v>#VALUE!</v>
      </c>
      <c r="F247" t="e">
        <f t="shared" ca="1" si="6"/>
        <v>#VALUE!</v>
      </c>
      <c r="G247" t="e">
        <f t="shared" ca="1" si="7"/>
        <v>#VALUE!</v>
      </c>
      <c r="H247" t="e">
        <f t="shared" ca="1" si="8"/>
        <v>#VALUE!</v>
      </c>
      <c r="I247" t="e">
        <f t="shared" ca="1" si="9"/>
        <v>#VALUE!</v>
      </c>
    </row>
    <row r="248" spans="1:9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5"/>
        <v>#VALUE!</v>
      </c>
      <c r="F248" t="e">
        <f t="shared" ca="1" si="6"/>
        <v>#VALUE!</v>
      </c>
      <c r="G248" t="e">
        <f t="shared" ca="1" si="7"/>
        <v>#VALUE!</v>
      </c>
      <c r="H248" t="e">
        <f t="shared" ca="1" si="8"/>
        <v>#VALUE!</v>
      </c>
      <c r="I248" t="e">
        <f t="shared" ca="1" si="9"/>
        <v>#VALUE!</v>
      </c>
    </row>
    <row r="249" spans="1:9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5"/>
        <v>#VALUE!</v>
      </c>
      <c r="F249" t="e">
        <f t="shared" ca="1" si="6"/>
        <v>#VALUE!</v>
      </c>
      <c r="G249" t="e">
        <f t="shared" ca="1" si="7"/>
        <v>#VALUE!</v>
      </c>
      <c r="H249" t="e">
        <f t="shared" ca="1" si="8"/>
        <v>#VALUE!</v>
      </c>
      <c r="I249" t="e">
        <f t="shared" ca="1" si="9"/>
        <v>#VALUE!</v>
      </c>
    </row>
    <row r="250" spans="1:9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5"/>
        <v>#VALUE!</v>
      </c>
      <c r="F250" t="e">
        <f t="shared" ca="1" si="6"/>
        <v>#VALUE!</v>
      </c>
      <c r="G250" t="e">
        <f t="shared" ca="1" si="7"/>
        <v>#VALUE!</v>
      </c>
      <c r="H250" t="e">
        <f t="shared" ca="1" si="8"/>
        <v>#VALUE!</v>
      </c>
      <c r="I250" t="e">
        <f t="shared" ca="1" si="9"/>
        <v>#VALUE!</v>
      </c>
    </row>
    <row r="251" spans="1:9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5"/>
        <v>#VALUE!</v>
      </c>
      <c r="F251" t="e">
        <f t="shared" ca="1" si="6"/>
        <v>#VALUE!</v>
      </c>
      <c r="G251" t="e">
        <f t="shared" ca="1" si="7"/>
        <v>#VALUE!</v>
      </c>
      <c r="H251" t="e">
        <f t="shared" ca="1" si="8"/>
        <v>#VALUE!</v>
      </c>
      <c r="I251" t="e">
        <f t="shared" ca="1" si="9"/>
        <v>#VALUE!</v>
      </c>
    </row>
    <row r="252" spans="1:9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5"/>
        <v>#VALUE!</v>
      </c>
      <c r="F252" t="e">
        <f t="shared" ca="1" si="6"/>
        <v>#VALUE!</v>
      </c>
      <c r="G252" t="e">
        <f t="shared" ca="1" si="7"/>
        <v>#VALUE!</v>
      </c>
      <c r="H252" t="e">
        <f t="shared" ca="1" si="8"/>
        <v>#VALUE!</v>
      </c>
      <c r="I252" t="e">
        <f t="shared" ca="1" si="9"/>
        <v>#VALUE!</v>
      </c>
    </row>
    <row r="253" spans="1:9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5"/>
        <v>#VALUE!</v>
      </c>
      <c r="F253" t="e">
        <f t="shared" ca="1" si="6"/>
        <v>#VALUE!</v>
      </c>
      <c r="G253" t="e">
        <f t="shared" ca="1" si="7"/>
        <v>#VALUE!</v>
      </c>
      <c r="H253" t="e">
        <f t="shared" ca="1" si="8"/>
        <v>#VALUE!</v>
      </c>
      <c r="I253" t="e">
        <f t="shared" ca="1" si="9"/>
        <v>#VALUE!</v>
      </c>
    </row>
    <row r="254" spans="1:9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5"/>
        <v>#VALUE!</v>
      </c>
      <c r="F254" t="e">
        <f t="shared" ca="1" si="6"/>
        <v>#VALUE!</v>
      </c>
      <c r="G254" t="e">
        <f t="shared" ca="1" si="7"/>
        <v>#VALUE!</v>
      </c>
      <c r="H254" t="e">
        <f t="shared" ca="1" si="8"/>
        <v>#VALUE!</v>
      </c>
      <c r="I254" t="e">
        <f t="shared" ca="1" si="9"/>
        <v>#VALUE!</v>
      </c>
    </row>
    <row r="255" spans="1:9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5"/>
        <v>#VALUE!</v>
      </c>
      <c r="F255" t="e">
        <f t="shared" ca="1" si="6"/>
        <v>#VALUE!</v>
      </c>
      <c r="G255" t="e">
        <f t="shared" ca="1" si="7"/>
        <v>#VALUE!</v>
      </c>
      <c r="H255" t="e">
        <f t="shared" ca="1" si="8"/>
        <v>#VALUE!</v>
      </c>
      <c r="I255" t="e">
        <f t="shared" ca="1" si="9"/>
        <v>#VALUE!</v>
      </c>
    </row>
    <row r="256" spans="1:9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5"/>
        <v>#VALUE!</v>
      </c>
      <c r="F256" t="e">
        <f t="shared" ca="1" si="6"/>
        <v>#VALUE!</v>
      </c>
      <c r="G256" t="e">
        <f t="shared" ca="1" si="7"/>
        <v>#VALUE!</v>
      </c>
      <c r="H256" t="e">
        <f t="shared" ca="1" si="8"/>
        <v>#VALUE!</v>
      </c>
      <c r="I256" t="e">
        <f t="shared" ca="1" si="9"/>
        <v>#VALUE!</v>
      </c>
    </row>
    <row r="257" spans="1:9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5"/>
        <v>#VALUE!</v>
      </c>
      <c r="F257" t="e">
        <f t="shared" ca="1" si="6"/>
        <v>#VALUE!</v>
      </c>
      <c r="G257" t="e">
        <f t="shared" ca="1" si="7"/>
        <v>#VALUE!</v>
      </c>
      <c r="H257" t="e">
        <f t="shared" ca="1" si="8"/>
        <v>#VALUE!</v>
      </c>
      <c r="I257" t="e">
        <f t="shared" ca="1" si="9"/>
        <v>#VALUE!</v>
      </c>
    </row>
    <row r="258" spans="1:9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5"/>
        <v>#VALUE!</v>
      </c>
      <c r="F258" t="e">
        <f t="shared" ca="1" si="6"/>
        <v>#VALUE!</v>
      </c>
      <c r="G258" t="e">
        <f t="shared" ca="1" si="7"/>
        <v>#VALUE!</v>
      </c>
      <c r="H258" t="e">
        <f t="shared" ca="1" si="8"/>
        <v>#VALUE!</v>
      </c>
      <c r="I258" t="e">
        <f t="shared" ca="1" si="9"/>
        <v>#VALUE!</v>
      </c>
    </row>
    <row r="259" spans="1:9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5"/>
        <v>#VALUE!</v>
      </c>
      <c r="F259" t="e">
        <f t="shared" ca="1" si="6"/>
        <v>#VALUE!</v>
      </c>
      <c r="G259" t="e">
        <f t="shared" ca="1" si="7"/>
        <v>#VALUE!</v>
      </c>
      <c r="H259" t="e">
        <f t="shared" ca="1" si="8"/>
        <v>#VALUE!</v>
      </c>
      <c r="I259" t="e">
        <f t="shared" ca="1" si="9"/>
        <v>#VALUE!</v>
      </c>
    </row>
    <row r="260" spans="1:9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5"/>
        <v>#VALUE!</v>
      </c>
      <c r="F260" t="e">
        <f t="shared" ca="1" si="6"/>
        <v>#VALUE!</v>
      </c>
      <c r="G260" t="e">
        <f t="shared" ca="1" si="7"/>
        <v>#VALUE!</v>
      </c>
      <c r="H260" t="e">
        <f t="shared" ca="1" si="8"/>
        <v>#VALUE!</v>
      </c>
      <c r="I260" t="e">
        <f t="shared" ca="1" si="9"/>
        <v>#VALUE!</v>
      </c>
    </row>
    <row r="261" spans="1:9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5"/>
        <v>#VALUE!</v>
      </c>
      <c r="F261" t="e">
        <f t="shared" ca="1" si="6"/>
        <v>#VALUE!</v>
      </c>
      <c r="G261" t="e">
        <f t="shared" ca="1" si="7"/>
        <v>#VALUE!</v>
      </c>
      <c r="H261" t="e">
        <f t="shared" ca="1" si="8"/>
        <v>#VALUE!</v>
      </c>
      <c r="I261" t="e">
        <f t="shared" ca="1" si="9"/>
        <v>#VALUE!</v>
      </c>
    </row>
    <row r="262" spans="1:9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5"/>
        <v>#VALUE!</v>
      </c>
      <c r="F262" t="e">
        <f t="shared" ca="1" si="6"/>
        <v>#VALUE!</v>
      </c>
      <c r="G262" t="e">
        <f t="shared" ca="1" si="7"/>
        <v>#VALUE!</v>
      </c>
      <c r="H262" t="e">
        <f t="shared" ca="1" si="8"/>
        <v>#VALUE!</v>
      </c>
      <c r="I262" t="e">
        <f t="shared" ca="1" si="9"/>
        <v>#VALUE!</v>
      </c>
    </row>
    <row r="263" spans="1:9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5"/>
        <v>#VALUE!</v>
      </c>
      <c r="F263" t="e">
        <f t="shared" ca="1" si="6"/>
        <v>#VALUE!</v>
      </c>
      <c r="G263" t="e">
        <f t="shared" ca="1" si="7"/>
        <v>#VALUE!</v>
      </c>
      <c r="H263" t="e">
        <f t="shared" ca="1" si="8"/>
        <v>#VALUE!</v>
      </c>
      <c r="I263" t="e">
        <f t="shared" ca="1" si="9"/>
        <v>#VALUE!</v>
      </c>
    </row>
    <row r="264" spans="1:9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5"/>
        <v>#VALUE!</v>
      </c>
      <c r="F264" t="e">
        <f t="shared" ca="1" si="6"/>
        <v>#VALUE!</v>
      </c>
      <c r="G264" t="e">
        <f t="shared" ca="1" si="7"/>
        <v>#VALUE!</v>
      </c>
      <c r="H264" t="e">
        <f t="shared" ca="1" si="8"/>
        <v>#VALUE!</v>
      </c>
      <c r="I264" t="e">
        <f t="shared" ca="1" si="9"/>
        <v>#VALUE!</v>
      </c>
    </row>
    <row r="265" spans="1:9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5"/>
        <v>#VALUE!</v>
      </c>
      <c r="F265" t="e">
        <f t="shared" ca="1" si="6"/>
        <v>#VALUE!</v>
      </c>
      <c r="G265" t="e">
        <f t="shared" ca="1" si="7"/>
        <v>#VALUE!</v>
      </c>
      <c r="H265" t="e">
        <f t="shared" ca="1" si="8"/>
        <v>#VALUE!</v>
      </c>
      <c r="I265" t="e">
        <f t="shared" ca="1" si="9"/>
        <v>#VALUE!</v>
      </c>
    </row>
    <row r="266" spans="1:9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5"/>
        <v>#VALUE!</v>
      </c>
      <c r="F266" t="e">
        <f t="shared" ca="1" si="6"/>
        <v>#VALUE!</v>
      </c>
      <c r="G266" t="e">
        <f t="shared" ca="1" si="7"/>
        <v>#VALUE!</v>
      </c>
      <c r="H266" t="e">
        <f t="shared" ca="1" si="8"/>
        <v>#VALUE!</v>
      </c>
      <c r="I266" t="e">
        <f t="shared" ca="1" si="9"/>
        <v>#VALUE!</v>
      </c>
    </row>
    <row r="267" spans="1:9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5"/>
        <v>#VALUE!</v>
      </c>
      <c r="F267" t="e">
        <f t="shared" ca="1" si="6"/>
        <v>#VALUE!</v>
      </c>
      <c r="G267" t="e">
        <f t="shared" ca="1" si="7"/>
        <v>#VALUE!</v>
      </c>
      <c r="H267" t="e">
        <f t="shared" ca="1" si="8"/>
        <v>#VALUE!</v>
      </c>
      <c r="I267" t="e">
        <f t="shared" ca="1" si="9"/>
        <v>#VALUE!</v>
      </c>
    </row>
    <row r="268" spans="1:9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5"/>
        <v>#VALUE!</v>
      </c>
      <c r="F268" t="e">
        <f t="shared" ca="1" si="6"/>
        <v>#VALUE!</v>
      </c>
      <c r="G268" t="e">
        <f t="shared" ca="1" si="7"/>
        <v>#VALUE!</v>
      </c>
      <c r="H268" t="e">
        <f t="shared" ca="1" si="8"/>
        <v>#VALUE!</v>
      </c>
      <c r="I268" t="e">
        <f t="shared" ca="1" si="9"/>
        <v>#VALUE!</v>
      </c>
    </row>
    <row r="269" spans="1:9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5"/>
        <v>#VALUE!</v>
      </c>
      <c r="F269" t="e">
        <f t="shared" ca="1" si="6"/>
        <v>#VALUE!</v>
      </c>
      <c r="G269" t="e">
        <f t="shared" ca="1" si="7"/>
        <v>#VALUE!</v>
      </c>
      <c r="H269" t="e">
        <f t="shared" ca="1" si="8"/>
        <v>#VALUE!</v>
      </c>
      <c r="I269" t="e">
        <f t="shared" ca="1" si="9"/>
        <v>#VALUE!</v>
      </c>
    </row>
    <row r="270" spans="1:9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5"/>
        <v>#VALUE!</v>
      </c>
      <c r="F270" t="e">
        <f t="shared" ca="1" si="6"/>
        <v>#VALUE!</v>
      </c>
      <c r="G270" t="e">
        <f t="shared" ca="1" si="7"/>
        <v>#VALUE!</v>
      </c>
      <c r="H270" t="e">
        <f t="shared" ca="1" si="8"/>
        <v>#VALUE!</v>
      </c>
      <c r="I270" t="e">
        <f t="shared" ca="1" si="9"/>
        <v>#VALUE!</v>
      </c>
    </row>
    <row r="271" spans="1:9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5"/>
        <v>#VALUE!</v>
      </c>
      <c r="F271" t="e">
        <f t="shared" ca="1" si="6"/>
        <v>#VALUE!</v>
      </c>
      <c r="G271" t="e">
        <f t="shared" ca="1" si="7"/>
        <v>#VALUE!</v>
      </c>
      <c r="H271" t="e">
        <f t="shared" ca="1" si="8"/>
        <v>#VALUE!</v>
      </c>
      <c r="I271" t="e">
        <f t="shared" ca="1" si="9"/>
        <v>#VALUE!</v>
      </c>
    </row>
    <row r="272" spans="1:9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5"/>
        <v>#VALUE!</v>
      </c>
      <c r="F272" t="e">
        <f t="shared" ca="1" si="6"/>
        <v>#VALUE!</v>
      </c>
      <c r="G272" t="e">
        <f t="shared" ca="1" si="7"/>
        <v>#VALUE!</v>
      </c>
      <c r="H272" t="e">
        <f t="shared" ca="1" si="8"/>
        <v>#VALUE!</v>
      </c>
      <c r="I272" t="e">
        <f t="shared" ca="1" si="9"/>
        <v>#VALUE!</v>
      </c>
    </row>
    <row r="273" spans="1:9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5"/>
        <v>#VALUE!</v>
      </c>
      <c r="F273" t="e">
        <f t="shared" ca="1" si="6"/>
        <v>#VALUE!</v>
      </c>
      <c r="G273" t="e">
        <f t="shared" ca="1" si="7"/>
        <v>#VALUE!</v>
      </c>
      <c r="H273" t="e">
        <f t="shared" ca="1" si="8"/>
        <v>#VALUE!</v>
      </c>
      <c r="I273" t="e">
        <f t="shared" ca="1" si="9"/>
        <v>#VALUE!</v>
      </c>
    </row>
    <row r="274" spans="1:9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5"/>
        <v>#VALUE!</v>
      </c>
      <c r="F274" t="e">
        <f t="shared" ca="1" si="6"/>
        <v>#VALUE!</v>
      </c>
      <c r="G274" t="e">
        <f t="shared" ca="1" si="7"/>
        <v>#VALUE!</v>
      </c>
      <c r="H274" t="e">
        <f t="shared" ca="1" si="8"/>
        <v>#VALUE!</v>
      </c>
      <c r="I274" t="e">
        <f t="shared" ca="1" si="9"/>
        <v>#VALUE!</v>
      </c>
    </row>
    <row r="275" spans="1:9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5"/>
        <v>#VALUE!</v>
      </c>
      <c r="F275" t="e">
        <f t="shared" ca="1" si="6"/>
        <v>#VALUE!</v>
      </c>
      <c r="G275" t="e">
        <f t="shared" ca="1" si="7"/>
        <v>#VALUE!</v>
      </c>
      <c r="H275" t="e">
        <f t="shared" ca="1" si="8"/>
        <v>#VALUE!</v>
      </c>
      <c r="I275" t="e">
        <f t="shared" ca="1" si="9"/>
        <v>#VALUE!</v>
      </c>
    </row>
    <row r="276" spans="1:9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5"/>
        <v>#VALUE!</v>
      </c>
      <c r="F276" t="e">
        <f t="shared" ca="1" si="6"/>
        <v>#VALUE!</v>
      </c>
      <c r="G276" t="e">
        <f t="shared" ca="1" si="7"/>
        <v>#VALUE!</v>
      </c>
      <c r="H276" t="e">
        <f t="shared" ca="1" si="8"/>
        <v>#VALUE!</v>
      </c>
      <c r="I276" t="e">
        <f t="shared" ca="1" si="9"/>
        <v>#VALUE!</v>
      </c>
    </row>
    <row r="277" spans="1:9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5"/>
        <v>#VALUE!</v>
      </c>
      <c r="F277" t="e">
        <f t="shared" ca="1" si="6"/>
        <v>#VALUE!</v>
      </c>
      <c r="G277" t="e">
        <f t="shared" ca="1" si="7"/>
        <v>#VALUE!</v>
      </c>
      <c r="H277" t="e">
        <f t="shared" ca="1" si="8"/>
        <v>#VALUE!</v>
      </c>
      <c r="I277" t="e">
        <f t="shared" ca="1" si="9"/>
        <v>#VALUE!</v>
      </c>
    </row>
    <row r="278" spans="1:9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5"/>
        <v>#VALUE!</v>
      </c>
      <c r="F278" t="e">
        <f t="shared" ca="1" si="6"/>
        <v>#VALUE!</v>
      </c>
      <c r="G278" t="e">
        <f t="shared" ca="1" si="7"/>
        <v>#VALUE!</v>
      </c>
      <c r="H278" t="e">
        <f t="shared" ca="1" si="8"/>
        <v>#VALUE!</v>
      </c>
      <c r="I278" t="e">
        <f t="shared" ca="1" si="9"/>
        <v>#VALUE!</v>
      </c>
    </row>
    <row r="279" spans="1:9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5"/>
        <v>#VALUE!</v>
      </c>
      <c r="F279" t="e">
        <f t="shared" ca="1" si="6"/>
        <v>#VALUE!</v>
      </c>
      <c r="G279" t="e">
        <f t="shared" ca="1" si="7"/>
        <v>#VALUE!</v>
      </c>
      <c r="H279" t="e">
        <f t="shared" ca="1" si="8"/>
        <v>#VALUE!</v>
      </c>
      <c r="I279" t="e">
        <f t="shared" ca="1" si="9"/>
        <v>#VALUE!</v>
      </c>
    </row>
    <row r="280" spans="1:9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5"/>
        <v>#VALUE!</v>
      </c>
      <c r="F280" t="e">
        <f t="shared" ca="1" si="6"/>
        <v>#VALUE!</v>
      </c>
      <c r="G280" t="e">
        <f t="shared" ca="1" si="7"/>
        <v>#VALUE!</v>
      </c>
      <c r="H280" t="e">
        <f t="shared" ca="1" si="8"/>
        <v>#VALUE!</v>
      </c>
      <c r="I280" t="e">
        <f t="shared" ca="1" si="9"/>
        <v>#VALUE!</v>
      </c>
    </row>
    <row r="281" spans="1:9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5"/>
        <v>#VALUE!</v>
      </c>
      <c r="F281" t="e">
        <f t="shared" ca="1" si="6"/>
        <v>#VALUE!</v>
      </c>
      <c r="G281" t="e">
        <f t="shared" ca="1" si="7"/>
        <v>#VALUE!</v>
      </c>
      <c r="H281" t="e">
        <f t="shared" ca="1" si="8"/>
        <v>#VALUE!</v>
      </c>
      <c r="I281" t="e">
        <f t="shared" ca="1" si="9"/>
        <v>#VALUE!</v>
      </c>
    </row>
    <row r="282" spans="1:9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5"/>
        <v>#VALUE!</v>
      </c>
      <c r="F282" t="e">
        <f t="shared" ca="1" si="6"/>
        <v>#VALUE!</v>
      </c>
      <c r="G282" t="e">
        <f t="shared" ca="1" si="7"/>
        <v>#VALUE!</v>
      </c>
      <c r="H282" t="e">
        <f t="shared" ca="1" si="8"/>
        <v>#VALUE!</v>
      </c>
      <c r="I282" t="e">
        <f t="shared" ca="1" si="9"/>
        <v>#VALUE!</v>
      </c>
    </row>
    <row r="283" spans="1:9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5"/>
        <v>#VALUE!</v>
      </c>
      <c r="F283" t="e">
        <f t="shared" ca="1" si="6"/>
        <v>#VALUE!</v>
      </c>
      <c r="G283" t="e">
        <f t="shared" ca="1" si="7"/>
        <v>#VALUE!</v>
      </c>
      <c r="H283" t="e">
        <f t="shared" ca="1" si="8"/>
        <v>#VALUE!</v>
      </c>
      <c r="I283" t="e">
        <f t="shared" ca="1" si="9"/>
        <v>#VALUE!</v>
      </c>
    </row>
    <row r="284" spans="1:9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5"/>
        <v>#VALUE!</v>
      </c>
      <c r="F284" t="e">
        <f t="shared" ca="1" si="6"/>
        <v>#VALUE!</v>
      </c>
      <c r="G284" t="e">
        <f t="shared" ca="1" si="7"/>
        <v>#VALUE!</v>
      </c>
      <c r="H284" t="e">
        <f t="shared" ca="1" si="8"/>
        <v>#VALUE!</v>
      </c>
      <c r="I284" t="e">
        <f t="shared" ca="1" si="9"/>
        <v>#VALUE!</v>
      </c>
    </row>
    <row r="285" spans="1:9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5"/>
        <v>#VALUE!</v>
      </c>
      <c r="F285" t="e">
        <f t="shared" ca="1" si="6"/>
        <v>#VALUE!</v>
      </c>
      <c r="G285" t="e">
        <f t="shared" ca="1" si="7"/>
        <v>#VALUE!</v>
      </c>
      <c r="H285" t="e">
        <f t="shared" ca="1" si="8"/>
        <v>#VALUE!</v>
      </c>
      <c r="I285" t="e">
        <f t="shared" ca="1" si="9"/>
        <v>#VALUE!</v>
      </c>
    </row>
    <row r="286" spans="1:9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5"/>
        <v>#VALUE!</v>
      </c>
      <c r="F286" t="e">
        <f t="shared" ca="1" si="6"/>
        <v>#VALUE!</v>
      </c>
      <c r="G286" t="e">
        <f t="shared" ca="1" si="7"/>
        <v>#VALUE!</v>
      </c>
      <c r="H286" t="e">
        <f t="shared" ca="1" si="8"/>
        <v>#VALUE!</v>
      </c>
      <c r="I286" t="e">
        <f t="shared" ca="1" si="9"/>
        <v>#VALUE!</v>
      </c>
    </row>
    <row r="287" spans="1:9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5"/>
        <v>#VALUE!</v>
      </c>
      <c r="F287" t="e">
        <f t="shared" ca="1" si="6"/>
        <v>#VALUE!</v>
      </c>
      <c r="G287" t="e">
        <f t="shared" ca="1" si="7"/>
        <v>#VALUE!</v>
      </c>
      <c r="H287" t="e">
        <f t="shared" ca="1" si="8"/>
        <v>#VALUE!</v>
      </c>
      <c r="I287" t="e">
        <f t="shared" ca="1" si="9"/>
        <v>#VALUE!</v>
      </c>
    </row>
    <row r="288" spans="1:9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5"/>
        <v>#VALUE!</v>
      </c>
      <c r="F288" t="e">
        <f t="shared" ca="1" si="6"/>
        <v>#VALUE!</v>
      </c>
      <c r="G288" t="e">
        <f t="shared" ca="1" si="7"/>
        <v>#VALUE!</v>
      </c>
      <c r="H288" t="e">
        <f t="shared" ca="1" si="8"/>
        <v>#VALUE!</v>
      </c>
      <c r="I288" t="e">
        <f t="shared" ca="1" si="9"/>
        <v>#VALUE!</v>
      </c>
    </row>
    <row r="289" spans="1:9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5"/>
        <v>#VALUE!</v>
      </c>
      <c r="F289" t="e">
        <f t="shared" ca="1" si="6"/>
        <v>#VALUE!</v>
      </c>
      <c r="G289" t="e">
        <f t="shared" ca="1" si="7"/>
        <v>#VALUE!</v>
      </c>
      <c r="H289" t="e">
        <f t="shared" ca="1" si="8"/>
        <v>#VALUE!</v>
      </c>
      <c r="I289" t="e">
        <f t="shared" ca="1" si="9"/>
        <v>#VALUE!</v>
      </c>
    </row>
    <row r="290" spans="1:9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5"/>
        <v>#VALUE!</v>
      </c>
      <c r="F290" t="e">
        <f t="shared" ca="1" si="6"/>
        <v>#VALUE!</v>
      </c>
      <c r="G290" t="e">
        <f t="shared" ca="1" si="7"/>
        <v>#VALUE!</v>
      </c>
      <c r="H290" t="e">
        <f t="shared" ca="1" si="8"/>
        <v>#VALUE!</v>
      </c>
      <c r="I290" t="e">
        <f t="shared" ca="1" si="9"/>
        <v>#VALUE!</v>
      </c>
    </row>
    <row r="291" spans="1:9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5"/>
        <v>#VALUE!</v>
      </c>
      <c r="F291" t="e">
        <f t="shared" ca="1" si="6"/>
        <v>#VALUE!</v>
      </c>
      <c r="G291" t="e">
        <f t="shared" ca="1" si="7"/>
        <v>#VALUE!</v>
      </c>
      <c r="H291" t="e">
        <f t="shared" ca="1" si="8"/>
        <v>#VALUE!</v>
      </c>
      <c r="I291" t="e">
        <f t="shared" ca="1" si="9"/>
        <v>#VALUE!</v>
      </c>
    </row>
    <row r="292" spans="1:9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5"/>
        <v>#VALUE!</v>
      </c>
      <c r="F292" t="e">
        <f t="shared" ca="1" si="6"/>
        <v>#VALUE!</v>
      </c>
      <c r="G292" t="e">
        <f t="shared" ca="1" si="7"/>
        <v>#VALUE!</v>
      </c>
      <c r="H292" t="e">
        <f t="shared" ca="1" si="8"/>
        <v>#VALUE!</v>
      </c>
      <c r="I292" t="e">
        <f t="shared" ca="1" si="9"/>
        <v>#VALUE!</v>
      </c>
    </row>
    <row r="293" spans="1:9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5"/>
        <v>#VALUE!</v>
      </c>
      <c r="F293" t="e">
        <f t="shared" ca="1" si="6"/>
        <v>#VALUE!</v>
      </c>
      <c r="G293" t="e">
        <f t="shared" ca="1" si="7"/>
        <v>#VALUE!</v>
      </c>
      <c r="H293" t="e">
        <f t="shared" ca="1" si="8"/>
        <v>#VALUE!</v>
      </c>
      <c r="I293" t="e">
        <f t="shared" ca="1" si="9"/>
        <v>#VALUE!</v>
      </c>
    </row>
    <row r="294" spans="1:9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5"/>
        <v>#VALUE!</v>
      </c>
      <c r="F294" t="e">
        <f t="shared" ca="1" si="6"/>
        <v>#VALUE!</v>
      </c>
      <c r="G294" t="e">
        <f t="shared" ca="1" si="7"/>
        <v>#VALUE!</v>
      </c>
      <c r="H294" t="e">
        <f t="shared" ca="1" si="8"/>
        <v>#VALUE!</v>
      </c>
      <c r="I294" t="e">
        <f t="shared" ca="1" si="9"/>
        <v>#VALUE!</v>
      </c>
    </row>
    <row r="295" spans="1:9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5"/>
        <v>#VALUE!</v>
      </c>
      <c r="F295" t="e">
        <f t="shared" ca="1" si="6"/>
        <v>#VALUE!</v>
      </c>
      <c r="G295" t="e">
        <f t="shared" ca="1" si="7"/>
        <v>#VALUE!</v>
      </c>
      <c r="H295" t="e">
        <f t="shared" ca="1" si="8"/>
        <v>#VALUE!</v>
      </c>
      <c r="I295" t="e">
        <f t="shared" ca="1" si="9"/>
        <v>#VALUE!</v>
      </c>
    </row>
    <row r="296" spans="1:9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5"/>
        <v>#VALUE!</v>
      </c>
      <c r="F296" t="e">
        <f t="shared" ca="1" si="6"/>
        <v>#VALUE!</v>
      </c>
      <c r="G296" t="e">
        <f t="shared" ca="1" si="7"/>
        <v>#VALUE!</v>
      </c>
      <c r="H296" t="e">
        <f t="shared" ca="1" si="8"/>
        <v>#VALUE!</v>
      </c>
      <c r="I296" t="e">
        <f t="shared" ca="1" si="9"/>
        <v>#VALUE!</v>
      </c>
    </row>
    <row r="297" spans="1:9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5"/>
        <v>#VALUE!</v>
      </c>
      <c r="F297" t="e">
        <f t="shared" ca="1" si="6"/>
        <v>#VALUE!</v>
      </c>
      <c r="G297" t="e">
        <f t="shared" ca="1" si="7"/>
        <v>#VALUE!</v>
      </c>
      <c r="H297" t="e">
        <f t="shared" ca="1" si="8"/>
        <v>#VALUE!</v>
      </c>
      <c r="I297" t="e">
        <f t="shared" ca="1" si="9"/>
        <v>#VALUE!</v>
      </c>
    </row>
    <row r="298" spans="1:9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5"/>
        <v>#VALUE!</v>
      </c>
      <c r="F298" t="e">
        <f t="shared" ca="1" si="6"/>
        <v>#VALUE!</v>
      </c>
      <c r="G298" t="e">
        <f t="shared" ca="1" si="7"/>
        <v>#VALUE!</v>
      </c>
      <c r="H298" t="e">
        <f t="shared" ca="1" si="8"/>
        <v>#VALUE!</v>
      </c>
      <c r="I298" t="e">
        <f t="shared" ca="1" si="9"/>
        <v>#VALUE!</v>
      </c>
    </row>
    <row r="299" spans="1:9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5"/>
        <v>#VALUE!</v>
      </c>
      <c r="F299" t="e">
        <f t="shared" ca="1" si="6"/>
        <v>#VALUE!</v>
      </c>
      <c r="G299" t="e">
        <f t="shared" ca="1" si="7"/>
        <v>#VALUE!</v>
      </c>
      <c r="H299" t="e">
        <f t="shared" ca="1" si="8"/>
        <v>#VALUE!</v>
      </c>
      <c r="I299" t="e">
        <f t="shared" ca="1" si="9"/>
        <v>#VALUE!</v>
      </c>
    </row>
    <row r="300" spans="1:9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5"/>
        <v>#VALUE!</v>
      </c>
      <c r="F300" t="e">
        <f t="shared" ca="1" si="6"/>
        <v>#VALUE!</v>
      </c>
      <c r="G300" t="e">
        <f t="shared" ca="1" si="7"/>
        <v>#VALUE!</v>
      </c>
      <c r="H300" t="e">
        <f t="shared" ca="1" si="8"/>
        <v>#VALUE!</v>
      </c>
      <c r="I300" t="e">
        <f t="shared" ca="1" si="9"/>
        <v>#VALUE!</v>
      </c>
    </row>
    <row r="301" spans="1:9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5"/>
        <v>#VALUE!</v>
      </c>
      <c r="F301" t="e">
        <f t="shared" ca="1" si="6"/>
        <v>#VALUE!</v>
      </c>
      <c r="G301" t="e">
        <f t="shared" ca="1" si="7"/>
        <v>#VALUE!</v>
      </c>
      <c r="H301" t="e">
        <f t="shared" ca="1" si="8"/>
        <v>#VALUE!</v>
      </c>
      <c r="I301" t="e">
        <f t="shared" ca="1" si="9"/>
        <v>#VALUE!</v>
      </c>
    </row>
    <row r="302" spans="1:9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5"/>
        <v>#VALUE!</v>
      </c>
      <c r="F302" t="e">
        <f t="shared" ca="1" si="6"/>
        <v>#VALUE!</v>
      </c>
      <c r="G302" t="e">
        <f t="shared" ca="1" si="7"/>
        <v>#VALUE!</v>
      </c>
      <c r="H302" t="e">
        <f t="shared" ca="1" si="8"/>
        <v>#VALUE!</v>
      </c>
      <c r="I302" t="e">
        <f t="shared" ca="1" si="9"/>
        <v>#VALUE!</v>
      </c>
    </row>
    <row r="303" spans="1:9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5"/>
        <v>#VALUE!</v>
      </c>
      <c r="F303" t="e">
        <f t="shared" ca="1" si="6"/>
        <v>#VALUE!</v>
      </c>
      <c r="G303" t="e">
        <f t="shared" ca="1" si="7"/>
        <v>#VALUE!</v>
      </c>
      <c r="H303" t="e">
        <f t="shared" ca="1" si="8"/>
        <v>#VALUE!</v>
      </c>
      <c r="I303" t="e">
        <f t="shared" ca="1" si="9"/>
        <v>#VALUE!</v>
      </c>
    </row>
    <row r="304" spans="1:9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5"/>
        <v>#VALUE!</v>
      </c>
      <c r="F304" t="e">
        <f t="shared" ca="1" si="6"/>
        <v>#VALUE!</v>
      </c>
      <c r="G304" t="e">
        <f t="shared" ca="1" si="7"/>
        <v>#VALUE!</v>
      </c>
      <c r="H304" t="e">
        <f t="shared" ca="1" si="8"/>
        <v>#VALUE!</v>
      </c>
      <c r="I304" t="e">
        <f t="shared" ca="1" si="9"/>
        <v>#VALUE!</v>
      </c>
    </row>
    <row r="305" spans="1:9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5"/>
        <v>#VALUE!</v>
      </c>
      <c r="F305" t="e">
        <f t="shared" ca="1" si="6"/>
        <v>#VALUE!</v>
      </c>
      <c r="G305" t="e">
        <f t="shared" ca="1" si="7"/>
        <v>#VALUE!</v>
      </c>
      <c r="H305" t="e">
        <f t="shared" ca="1" si="8"/>
        <v>#VALUE!</v>
      </c>
      <c r="I305" t="e">
        <f t="shared" ca="1" si="9"/>
        <v>#VALUE!</v>
      </c>
    </row>
    <row r="306" spans="1:9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5"/>
        <v>#VALUE!</v>
      </c>
      <c r="F306" t="e">
        <f t="shared" ca="1" si="6"/>
        <v>#VALUE!</v>
      </c>
      <c r="G306" t="e">
        <f t="shared" ca="1" si="7"/>
        <v>#VALUE!</v>
      </c>
      <c r="H306" t="e">
        <f t="shared" ca="1" si="8"/>
        <v>#VALUE!</v>
      </c>
      <c r="I306" t="e">
        <f t="shared" ca="1" si="9"/>
        <v>#VALUE!</v>
      </c>
    </row>
    <row r="307" spans="1:9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ref="E307:E370" ca="1" si="10">IF(D307="T", 0.05, IF(D307="C", -0.01, ""))</f>
        <v>#VALUE!</v>
      </c>
      <c r="F307" t="e">
        <f t="shared" ref="F307:F370" ca="1" si="11">IF(D307="T", 0.05, IF(D307="C", 0, ""))</f>
        <v>#VALUE!</v>
      </c>
      <c r="G307" t="e">
        <f t="shared" ref="G307:G370" ca="1" si="12">IF(D307="T", 0, IF(D307="C", 0, ""))</f>
        <v>#VALUE!</v>
      </c>
      <c r="H307" t="e">
        <f t="shared" ref="H307:H370" ca="1" si="13">IF(D307="T", 0.05, IF(D307="C", 0, ""))</f>
        <v>#VALUE!</v>
      </c>
      <c r="I307" t="e">
        <f t="shared" ref="I307:I370" ca="1" si="14">IF(D307="T", 0, IF(D307="C", 0, ""))</f>
        <v>#VALUE!</v>
      </c>
    </row>
    <row r="308" spans="1:9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10"/>
        <v>#VALUE!</v>
      </c>
      <c r="F308" t="e">
        <f t="shared" ca="1" si="11"/>
        <v>#VALUE!</v>
      </c>
      <c r="G308" t="e">
        <f t="shared" ca="1" si="12"/>
        <v>#VALUE!</v>
      </c>
      <c r="H308" t="e">
        <f t="shared" ca="1" si="13"/>
        <v>#VALUE!</v>
      </c>
      <c r="I308" t="e">
        <f t="shared" ca="1" si="14"/>
        <v>#VALUE!</v>
      </c>
    </row>
    <row r="309" spans="1:9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10"/>
        <v>#VALUE!</v>
      </c>
      <c r="F309" t="e">
        <f t="shared" ca="1" si="11"/>
        <v>#VALUE!</v>
      </c>
      <c r="G309" t="e">
        <f t="shared" ca="1" si="12"/>
        <v>#VALUE!</v>
      </c>
      <c r="H309" t="e">
        <f t="shared" ca="1" si="13"/>
        <v>#VALUE!</v>
      </c>
      <c r="I309" t="e">
        <f t="shared" ca="1" si="14"/>
        <v>#VALUE!</v>
      </c>
    </row>
    <row r="310" spans="1:9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10"/>
        <v>#VALUE!</v>
      </c>
      <c r="F310" t="e">
        <f t="shared" ca="1" si="11"/>
        <v>#VALUE!</v>
      </c>
      <c r="G310" t="e">
        <f t="shared" ca="1" si="12"/>
        <v>#VALUE!</v>
      </c>
      <c r="H310" t="e">
        <f t="shared" ca="1" si="13"/>
        <v>#VALUE!</v>
      </c>
      <c r="I310" t="e">
        <f t="shared" ca="1" si="14"/>
        <v>#VALUE!</v>
      </c>
    </row>
    <row r="311" spans="1:9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10"/>
        <v>#VALUE!</v>
      </c>
      <c r="F311" t="e">
        <f t="shared" ca="1" si="11"/>
        <v>#VALUE!</v>
      </c>
      <c r="G311" t="e">
        <f t="shared" ca="1" si="12"/>
        <v>#VALUE!</v>
      </c>
      <c r="H311" t="e">
        <f t="shared" ca="1" si="13"/>
        <v>#VALUE!</v>
      </c>
      <c r="I311" t="e">
        <f t="shared" ca="1" si="14"/>
        <v>#VALUE!</v>
      </c>
    </row>
    <row r="312" spans="1:9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10"/>
        <v>#VALUE!</v>
      </c>
      <c r="F312" t="e">
        <f t="shared" ca="1" si="11"/>
        <v>#VALUE!</v>
      </c>
      <c r="G312" t="e">
        <f t="shared" ca="1" si="12"/>
        <v>#VALUE!</v>
      </c>
      <c r="H312" t="e">
        <f t="shared" ca="1" si="13"/>
        <v>#VALUE!</v>
      </c>
      <c r="I312" t="e">
        <f t="shared" ca="1" si="14"/>
        <v>#VALUE!</v>
      </c>
    </row>
    <row r="313" spans="1:9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10"/>
        <v>#VALUE!</v>
      </c>
      <c r="F313" t="e">
        <f t="shared" ca="1" si="11"/>
        <v>#VALUE!</v>
      </c>
      <c r="G313" t="e">
        <f t="shared" ca="1" si="12"/>
        <v>#VALUE!</v>
      </c>
      <c r="H313" t="e">
        <f t="shared" ca="1" si="13"/>
        <v>#VALUE!</v>
      </c>
      <c r="I313" t="e">
        <f t="shared" ca="1" si="14"/>
        <v>#VALUE!</v>
      </c>
    </row>
    <row r="314" spans="1:9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10"/>
        <v>#VALUE!</v>
      </c>
      <c r="F314" t="e">
        <f t="shared" ca="1" si="11"/>
        <v>#VALUE!</v>
      </c>
      <c r="G314" t="e">
        <f t="shared" ca="1" si="12"/>
        <v>#VALUE!</v>
      </c>
      <c r="H314" t="e">
        <f t="shared" ca="1" si="13"/>
        <v>#VALUE!</v>
      </c>
      <c r="I314" t="e">
        <f t="shared" ca="1" si="14"/>
        <v>#VALUE!</v>
      </c>
    </row>
    <row r="315" spans="1:9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10"/>
        <v>#VALUE!</v>
      </c>
      <c r="F315" t="e">
        <f t="shared" ca="1" si="11"/>
        <v>#VALUE!</v>
      </c>
      <c r="G315" t="e">
        <f t="shared" ca="1" si="12"/>
        <v>#VALUE!</v>
      </c>
      <c r="H315" t="e">
        <f t="shared" ca="1" si="13"/>
        <v>#VALUE!</v>
      </c>
      <c r="I315" t="e">
        <f t="shared" ca="1" si="14"/>
        <v>#VALUE!</v>
      </c>
    </row>
    <row r="316" spans="1:9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10"/>
        <v>#VALUE!</v>
      </c>
      <c r="F316" t="e">
        <f t="shared" ca="1" si="11"/>
        <v>#VALUE!</v>
      </c>
      <c r="G316" t="e">
        <f t="shared" ca="1" si="12"/>
        <v>#VALUE!</v>
      </c>
      <c r="H316" t="e">
        <f t="shared" ca="1" si="13"/>
        <v>#VALUE!</v>
      </c>
      <c r="I316" t="e">
        <f t="shared" ca="1" si="14"/>
        <v>#VALUE!</v>
      </c>
    </row>
    <row r="317" spans="1:9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10"/>
        <v>#VALUE!</v>
      </c>
      <c r="F317" t="e">
        <f t="shared" ca="1" si="11"/>
        <v>#VALUE!</v>
      </c>
      <c r="G317" t="e">
        <f t="shared" ca="1" si="12"/>
        <v>#VALUE!</v>
      </c>
      <c r="H317" t="e">
        <f t="shared" ca="1" si="13"/>
        <v>#VALUE!</v>
      </c>
      <c r="I317" t="e">
        <f t="shared" ca="1" si="14"/>
        <v>#VALUE!</v>
      </c>
    </row>
    <row r="318" spans="1:9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10"/>
        <v>#VALUE!</v>
      </c>
      <c r="F318" t="e">
        <f t="shared" ca="1" si="11"/>
        <v>#VALUE!</v>
      </c>
      <c r="G318" t="e">
        <f t="shared" ca="1" si="12"/>
        <v>#VALUE!</v>
      </c>
      <c r="H318" t="e">
        <f t="shared" ca="1" si="13"/>
        <v>#VALUE!</v>
      </c>
      <c r="I318" t="e">
        <f t="shared" ca="1" si="14"/>
        <v>#VALUE!</v>
      </c>
    </row>
    <row r="319" spans="1:9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10"/>
        <v>#VALUE!</v>
      </c>
      <c r="F319" t="e">
        <f t="shared" ca="1" si="11"/>
        <v>#VALUE!</v>
      </c>
      <c r="G319" t="e">
        <f t="shared" ca="1" si="12"/>
        <v>#VALUE!</v>
      </c>
      <c r="H319" t="e">
        <f t="shared" ca="1" si="13"/>
        <v>#VALUE!</v>
      </c>
      <c r="I319" t="e">
        <f t="shared" ca="1" si="14"/>
        <v>#VALUE!</v>
      </c>
    </row>
    <row r="320" spans="1:9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10"/>
        <v>#VALUE!</v>
      </c>
      <c r="F320" t="e">
        <f t="shared" ca="1" si="11"/>
        <v>#VALUE!</v>
      </c>
      <c r="G320" t="e">
        <f t="shared" ca="1" si="12"/>
        <v>#VALUE!</v>
      </c>
      <c r="H320" t="e">
        <f t="shared" ca="1" si="13"/>
        <v>#VALUE!</v>
      </c>
      <c r="I320" t="e">
        <f t="shared" ca="1" si="14"/>
        <v>#VALUE!</v>
      </c>
    </row>
    <row r="321" spans="1:9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10"/>
        <v>#VALUE!</v>
      </c>
      <c r="F321" t="e">
        <f t="shared" ca="1" si="11"/>
        <v>#VALUE!</v>
      </c>
      <c r="G321" t="e">
        <f t="shared" ca="1" si="12"/>
        <v>#VALUE!</v>
      </c>
      <c r="H321" t="e">
        <f t="shared" ca="1" si="13"/>
        <v>#VALUE!</v>
      </c>
      <c r="I321" t="e">
        <f t="shared" ca="1" si="14"/>
        <v>#VALUE!</v>
      </c>
    </row>
    <row r="322" spans="1:9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10"/>
        <v>#VALUE!</v>
      </c>
      <c r="F322" t="e">
        <f t="shared" ca="1" si="11"/>
        <v>#VALUE!</v>
      </c>
      <c r="G322" t="e">
        <f t="shared" ca="1" si="12"/>
        <v>#VALUE!</v>
      </c>
      <c r="H322" t="e">
        <f t="shared" ca="1" si="13"/>
        <v>#VALUE!</v>
      </c>
      <c r="I322" t="e">
        <f t="shared" ca="1" si="14"/>
        <v>#VALUE!</v>
      </c>
    </row>
    <row r="323" spans="1:9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10"/>
        <v>#VALUE!</v>
      </c>
      <c r="F323" t="e">
        <f t="shared" ca="1" si="11"/>
        <v>#VALUE!</v>
      </c>
      <c r="G323" t="e">
        <f t="shared" ca="1" si="12"/>
        <v>#VALUE!</v>
      </c>
      <c r="H323" t="e">
        <f t="shared" ca="1" si="13"/>
        <v>#VALUE!</v>
      </c>
      <c r="I323" t="e">
        <f t="shared" ca="1" si="14"/>
        <v>#VALUE!</v>
      </c>
    </row>
    <row r="324" spans="1:9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10"/>
        <v>#VALUE!</v>
      </c>
      <c r="F324" t="e">
        <f t="shared" ca="1" si="11"/>
        <v>#VALUE!</v>
      </c>
      <c r="G324" t="e">
        <f t="shared" ca="1" si="12"/>
        <v>#VALUE!</v>
      </c>
      <c r="H324" t="e">
        <f t="shared" ca="1" si="13"/>
        <v>#VALUE!</v>
      </c>
      <c r="I324" t="e">
        <f t="shared" ca="1" si="14"/>
        <v>#VALUE!</v>
      </c>
    </row>
    <row r="325" spans="1:9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10"/>
        <v>#VALUE!</v>
      </c>
      <c r="F325" t="e">
        <f t="shared" ca="1" si="11"/>
        <v>#VALUE!</v>
      </c>
      <c r="G325" t="e">
        <f t="shared" ca="1" si="12"/>
        <v>#VALUE!</v>
      </c>
      <c r="H325" t="e">
        <f t="shared" ca="1" si="13"/>
        <v>#VALUE!</v>
      </c>
      <c r="I325" t="e">
        <f t="shared" ca="1" si="14"/>
        <v>#VALUE!</v>
      </c>
    </row>
    <row r="326" spans="1:9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10"/>
        <v>#VALUE!</v>
      </c>
      <c r="F326" t="e">
        <f t="shared" ca="1" si="11"/>
        <v>#VALUE!</v>
      </c>
      <c r="G326" t="e">
        <f t="shared" ca="1" si="12"/>
        <v>#VALUE!</v>
      </c>
      <c r="H326" t="e">
        <f t="shared" ca="1" si="13"/>
        <v>#VALUE!</v>
      </c>
      <c r="I326" t="e">
        <f t="shared" ca="1" si="14"/>
        <v>#VALUE!</v>
      </c>
    </row>
    <row r="327" spans="1:9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10"/>
        <v>#VALUE!</v>
      </c>
      <c r="F327" t="e">
        <f t="shared" ca="1" si="11"/>
        <v>#VALUE!</v>
      </c>
      <c r="G327" t="e">
        <f t="shared" ca="1" si="12"/>
        <v>#VALUE!</v>
      </c>
      <c r="H327" t="e">
        <f t="shared" ca="1" si="13"/>
        <v>#VALUE!</v>
      </c>
      <c r="I327" t="e">
        <f t="shared" ca="1" si="14"/>
        <v>#VALUE!</v>
      </c>
    </row>
    <row r="328" spans="1:9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10"/>
        <v>#VALUE!</v>
      </c>
      <c r="F328" t="e">
        <f t="shared" ca="1" si="11"/>
        <v>#VALUE!</v>
      </c>
      <c r="G328" t="e">
        <f t="shared" ca="1" si="12"/>
        <v>#VALUE!</v>
      </c>
      <c r="H328" t="e">
        <f t="shared" ca="1" si="13"/>
        <v>#VALUE!</v>
      </c>
      <c r="I328" t="e">
        <f t="shared" ca="1" si="14"/>
        <v>#VALUE!</v>
      </c>
    </row>
    <row r="329" spans="1:9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10"/>
        <v>#VALUE!</v>
      </c>
      <c r="F329" t="e">
        <f t="shared" ca="1" si="11"/>
        <v>#VALUE!</v>
      </c>
      <c r="G329" t="e">
        <f t="shared" ca="1" si="12"/>
        <v>#VALUE!</v>
      </c>
      <c r="H329" t="e">
        <f t="shared" ca="1" si="13"/>
        <v>#VALUE!</v>
      </c>
      <c r="I329" t="e">
        <f t="shared" ca="1" si="14"/>
        <v>#VALUE!</v>
      </c>
    </row>
    <row r="330" spans="1:9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10"/>
        <v>#VALUE!</v>
      </c>
      <c r="F330" t="e">
        <f t="shared" ca="1" si="11"/>
        <v>#VALUE!</v>
      </c>
      <c r="G330" t="e">
        <f t="shared" ca="1" si="12"/>
        <v>#VALUE!</v>
      </c>
      <c r="H330" t="e">
        <f t="shared" ca="1" si="13"/>
        <v>#VALUE!</v>
      </c>
      <c r="I330" t="e">
        <f t="shared" ca="1" si="14"/>
        <v>#VALUE!</v>
      </c>
    </row>
    <row r="331" spans="1:9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10"/>
        <v>#VALUE!</v>
      </c>
      <c r="F331" t="e">
        <f t="shared" ca="1" si="11"/>
        <v>#VALUE!</v>
      </c>
      <c r="G331" t="e">
        <f t="shared" ca="1" si="12"/>
        <v>#VALUE!</v>
      </c>
      <c r="H331" t="e">
        <f t="shared" ca="1" si="13"/>
        <v>#VALUE!</v>
      </c>
      <c r="I331" t="e">
        <f t="shared" ca="1" si="14"/>
        <v>#VALUE!</v>
      </c>
    </row>
    <row r="332" spans="1:9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10"/>
        <v>#VALUE!</v>
      </c>
      <c r="F332" t="e">
        <f t="shared" ca="1" si="11"/>
        <v>#VALUE!</v>
      </c>
      <c r="G332" t="e">
        <f t="shared" ca="1" si="12"/>
        <v>#VALUE!</v>
      </c>
      <c r="H332" t="e">
        <f t="shared" ca="1" si="13"/>
        <v>#VALUE!</v>
      </c>
      <c r="I332" t="e">
        <f t="shared" ca="1" si="14"/>
        <v>#VALUE!</v>
      </c>
    </row>
    <row r="333" spans="1:9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10"/>
        <v>#VALUE!</v>
      </c>
      <c r="F333" t="e">
        <f t="shared" ca="1" si="11"/>
        <v>#VALUE!</v>
      </c>
      <c r="G333" t="e">
        <f t="shared" ca="1" si="12"/>
        <v>#VALUE!</v>
      </c>
      <c r="H333" t="e">
        <f t="shared" ca="1" si="13"/>
        <v>#VALUE!</v>
      </c>
      <c r="I333" t="e">
        <f t="shared" ca="1" si="14"/>
        <v>#VALUE!</v>
      </c>
    </row>
    <row r="334" spans="1:9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10"/>
        <v>#VALUE!</v>
      </c>
      <c r="F334" t="e">
        <f t="shared" ca="1" si="11"/>
        <v>#VALUE!</v>
      </c>
      <c r="G334" t="e">
        <f t="shared" ca="1" si="12"/>
        <v>#VALUE!</v>
      </c>
      <c r="H334" t="e">
        <f t="shared" ca="1" si="13"/>
        <v>#VALUE!</v>
      </c>
      <c r="I334" t="e">
        <f t="shared" ca="1" si="14"/>
        <v>#VALUE!</v>
      </c>
    </row>
    <row r="335" spans="1:9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10"/>
        <v>#VALUE!</v>
      </c>
      <c r="F335" t="e">
        <f t="shared" ca="1" si="11"/>
        <v>#VALUE!</v>
      </c>
      <c r="G335" t="e">
        <f t="shared" ca="1" si="12"/>
        <v>#VALUE!</v>
      </c>
      <c r="H335" t="e">
        <f t="shared" ca="1" si="13"/>
        <v>#VALUE!</v>
      </c>
      <c r="I335" t="e">
        <f t="shared" ca="1" si="14"/>
        <v>#VALUE!</v>
      </c>
    </row>
    <row r="336" spans="1:9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10"/>
        <v>#VALUE!</v>
      </c>
      <c r="F336" t="e">
        <f t="shared" ca="1" si="11"/>
        <v>#VALUE!</v>
      </c>
      <c r="G336" t="e">
        <f t="shared" ca="1" si="12"/>
        <v>#VALUE!</v>
      </c>
      <c r="H336" t="e">
        <f t="shared" ca="1" si="13"/>
        <v>#VALUE!</v>
      </c>
      <c r="I336" t="e">
        <f t="shared" ca="1" si="14"/>
        <v>#VALUE!</v>
      </c>
    </row>
    <row r="337" spans="1:9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10"/>
        <v>#VALUE!</v>
      </c>
      <c r="F337" t="e">
        <f t="shared" ca="1" si="11"/>
        <v>#VALUE!</v>
      </c>
      <c r="G337" t="e">
        <f t="shared" ca="1" si="12"/>
        <v>#VALUE!</v>
      </c>
      <c r="H337" t="e">
        <f t="shared" ca="1" si="13"/>
        <v>#VALUE!</v>
      </c>
      <c r="I337" t="e">
        <f t="shared" ca="1" si="14"/>
        <v>#VALUE!</v>
      </c>
    </row>
    <row r="338" spans="1:9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10"/>
        <v>#VALUE!</v>
      </c>
      <c r="F338" t="e">
        <f t="shared" ca="1" si="11"/>
        <v>#VALUE!</v>
      </c>
      <c r="G338" t="e">
        <f t="shared" ca="1" si="12"/>
        <v>#VALUE!</v>
      </c>
      <c r="H338" t="e">
        <f t="shared" ca="1" si="13"/>
        <v>#VALUE!</v>
      </c>
      <c r="I338" t="e">
        <f t="shared" ca="1" si="14"/>
        <v>#VALUE!</v>
      </c>
    </row>
    <row r="339" spans="1:9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10"/>
        <v>#VALUE!</v>
      </c>
      <c r="F339" t="e">
        <f t="shared" ca="1" si="11"/>
        <v>#VALUE!</v>
      </c>
      <c r="G339" t="e">
        <f t="shared" ca="1" si="12"/>
        <v>#VALUE!</v>
      </c>
      <c r="H339" t="e">
        <f t="shared" ca="1" si="13"/>
        <v>#VALUE!</v>
      </c>
      <c r="I339" t="e">
        <f t="shared" ca="1" si="14"/>
        <v>#VALUE!</v>
      </c>
    </row>
    <row r="340" spans="1:9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10"/>
        <v>#VALUE!</v>
      </c>
      <c r="F340" t="e">
        <f t="shared" ca="1" si="11"/>
        <v>#VALUE!</v>
      </c>
      <c r="G340" t="e">
        <f t="shared" ca="1" si="12"/>
        <v>#VALUE!</v>
      </c>
      <c r="H340" t="e">
        <f t="shared" ca="1" si="13"/>
        <v>#VALUE!</v>
      </c>
      <c r="I340" t="e">
        <f t="shared" ca="1" si="14"/>
        <v>#VALUE!</v>
      </c>
    </row>
    <row r="341" spans="1:9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10"/>
        <v>#VALUE!</v>
      </c>
      <c r="F341" t="e">
        <f t="shared" ca="1" si="11"/>
        <v>#VALUE!</v>
      </c>
      <c r="G341" t="e">
        <f t="shared" ca="1" si="12"/>
        <v>#VALUE!</v>
      </c>
      <c r="H341" t="e">
        <f t="shared" ca="1" si="13"/>
        <v>#VALUE!</v>
      </c>
      <c r="I341" t="e">
        <f t="shared" ca="1" si="14"/>
        <v>#VALUE!</v>
      </c>
    </row>
    <row r="342" spans="1:9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10"/>
        <v>#VALUE!</v>
      </c>
      <c r="F342" t="e">
        <f t="shared" ca="1" si="11"/>
        <v>#VALUE!</v>
      </c>
      <c r="G342" t="e">
        <f t="shared" ca="1" si="12"/>
        <v>#VALUE!</v>
      </c>
      <c r="H342" t="e">
        <f t="shared" ca="1" si="13"/>
        <v>#VALUE!</v>
      </c>
      <c r="I342" t="e">
        <f t="shared" ca="1" si="14"/>
        <v>#VALUE!</v>
      </c>
    </row>
    <row r="343" spans="1:9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10"/>
        <v>#VALUE!</v>
      </c>
      <c r="F343" t="e">
        <f t="shared" ca="1" si="11"/>
        <v>#VALUE!</v>
      </c>
      <c r="G343" t="e">
        <f t="shared" ca="1" si="12"/>
        <v>#VALUE!</v>
      </c>
      <c r="H343" t="e">
        <f t="shared" ca="1" si="13"/>
        <v>#VALUE!</v>
      </c>
      <c r="I343" t="e">
        <f t="shared" ca="1" si="14"/>
        <v>#VALUE!</v>
      </c>
    </row>
    <row r="344" spans="1:9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10"/>
        <v>#VALUE!</v>
      </c>
      <c r="F344" t="e">
        <f t="shared" ca="1" si="11"/>
        <v>#VALUE!</v>
      </c>
      <c r="G344" t="e">
        <f t="shared" ca="1" si="12"/>
        <v>#VALUE!</v>
      </c>
      <c r="H344" t="e">
        <f t="shared" ca="1" si="13"/>
        <v>#VALUE!</v>
      </c>
      <c r="I344" t="e">
        <f t="shared" ca="1" si="14"/>
        <v>#VALUE!</v>
      </c>
    </row>
    <row r="345" spans="1:9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10"/>
        <v>#VALUE!</v>
      </c>
      <c r="F345" t="e">
        <f t="shared" ca="1" si="11"/>
        <v>#VALUE!</v>
      </c>
      <c r="G345" t="e">
        <f t="shared" ca="1" si="12"/>
        <v>#VALUE!</v>
      </c>
      <c r="H345" t="e">
        <f t="shared" ca="1" si="13"/>
        <v>#VALUE!</v>
      </c>
      <c r="I345" t="e">
        <f t="shared" ca="1" si="14"/>
        <v>#VALUE!</v>
      </c>
    </row>
    <row r="346" spans="1:9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10"/>
        <v>#VALUE!</v>
      </c>
      <c r="F346" t="e">
        <f t="shared" ca="1" si="11"/>
        <v>#VALUE!</v>
      </c>
      <c r="G346" t="e">
        <f t="shared" ca="1" si="12"/>
        <v>#VALUE!</v>
      </c>
      <c r="H346" t="e">
        <f t="shared" ca="1" si="13"/>
        <v>#VALUE!</v>
      </c>
      <c r="I346" t="e">
        <f t="shared" ca="1" si="14"/>
        <v>#VALUE!</v>
      </c>
    </row>
    <row r="347" spans="1:9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10"/>
        <v>#VALUE!</v>
      </c>
      <c r="F347" t="e">
        <f t="shared" ca="1" si="11"/>
        <v>#VALUE!</v>
      </c>
      <c r="G347" t="e">
        <f t="shared" ca="1" si="12"/>
        <v>#VALUE!</v>
      </c>
      <c r="H347" t="e">
        <f t="shared" ca="1" si="13"/>
        <v>#VALUE!</v>
      </c>
      <c r="I347" t="e">
        <f t="shared" ca="1" si="14"/>
        <v>#VALUE!</v>
      </c>
    </row>
    <row r="348" spans="1:9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10"/>
        <v>#VALUE!</v>
      </c>
      <c r="F348" t="e">
        <f t="shared" ca="1" si="11"/>
        <v>#VALUE!</v>
      </c>
      <c r="G348" t="e">
        <f t="shared" ca="1" si="12"/>
        <v>#VALUE!</v>
      </c>
      <c r="H348" t="e">
        <f t="shared" ca="1" si="13"/>
        <v>#VALUE!</v>
      </c>
      <c r="I348" t="e">
        <f t="shared" ca="1" si="14"/>
        <v>#VALUE!</v>
      </c>
    </row>
    <row r="349" spans="1:9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10"/>
        <v>#VALUE!</v>
      </c>
      <c r="F349" t="e">
        <f t="shared" ca="1" si="11"/>
        <v>#VALUE!</v>
      </c>
      <c r="G349" t="e">
        <f t="shared" ca="1" si="12"/>
        <v>#VALUE!</v>
      </c>
      <c r="H349" t="e">
        <f t="shared" ca="1" si="13"/>
        <v>#VALUE!</v>
      </c>
      <c r="I349" t="e">
        <f t="shared" ca="1" si="14"/>
        <v>#VALUE!</v>
      </c>
    </row>
    <row r="350" spans="1:9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10"/>
        <v>#VALUE!</v>
      </c>
      <c r="F350" t="e">
        <f t="shared" ca="1" si="11"/>
        <v>#VALUE!</v>
      </c>
      <c r="G350" t="e">
        <f t="shared" ca="1" si="12"/>
        <v>#VALUE!</v>
      </c>
      <c r="H350" t="e">
        <f t="shared" ca="1" si="13"/>
        <v>#VALUE!</v>
      </c>
      <c r="I350" t="e">
        <f t="shared" ca="1" si="14"/>
        <v>#VALUE!</v>
      </c>
    </row>
    <row r="351" spans="1:9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10"/>
        <v>#VALUE!</v>
      </c>
      <c r="F351" t="e">
        <f t="shared" ca="1" si="11"/>
        <v>#VALUE!</v>
      </c>
      <c r="G351" t="e">
        <f t="shared" ca="1" si="12"/>
        <v>#VALUE!</v>
      </c>
      <c r="H351" t="e">
        <f t="shared" ca="1" si="13"/>
        <v>#VALUE!</v>
      </c>
      <c r="I351" t="e">
        <f t="shared" ca="1" si="14"/>
        <v>#VALUE!</v>
      </c>
    </row>
    <row r="352" spans="1:9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10"/>
        <v>#VALUE!</v>
      </c>
      <c r="F352" t="e">
        <f t="shared" ca="1" si="11"/>
        <v>#VALUE!</v>
      </c>
      <c r="G352" t="e">
        <f t="shared" ca="1" si="12"/>
        <v>#VALUE!</v>
      </c>
      <c r="H352" t="e">
        <f t="shared" ca="1" si="13"/>
        <v>#VALUE!</v>
      </c>
      <c r="I352" t="e">
        <f t="shared" ca="1" si="14"/>
        <v>#VALUE!</v>
      </c>
    </row>
    <row r="353" spans="1:9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10"/>
        <v>#VALUE!</v>
      </c>
      <c r="F353" t="e">
        <f t="shared" ca="1" si="11"/>
        <v>#VALUE!</v>
      </c>
      <c r="G353" t="e">
        <f t="shared" ca="1" si="12"/>
        <v>#VALUE!</v>
      </c>
      <c r="H353" t="e">
        <f t="shared" ca="1" si="13"/>
        <v>#VALUE!</v>
      </c>
      <c r="I353" t="e">
        <f t="shared" ca="1" si="14"/>
        <v>#VALUE!</v>
      </c>
    </row>
    <row r="354" spans="1:9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10"/>
        <v>#VALUE!</v>
      </c>
      <c r="F354" t="e">
        <f t="shared" ca="1" si="11"/>
        <v>#VALUE!</v>
      </c>
      <c r="G354" t="e">
        <f t="shared" ca="1" si="12"/>
        <v>#VALUE!</v>
      </c>
      <c r="H354" t="e">
        <f t="shared" ca="1" si="13"/>
        <v>#VALUE!</v>
      </c>
      <c r="I354" t="e">
        <f t="shared" ca="1" si="14"/>
        <v>#VALUE!</v>
      </c>
    </row>
    <row r="355" spans="1:9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10"/>
        <v>#VALUE!</v>
      </c>
      <c r="F355" t="e">
        <f t="shared" ca="1" si="11"/>
        <v>#VALUE!</v>
      </c>
      <c r="G355" t="e">
        <f t="shared" ca="1" si="12"/>
        <v>#VALUE!</v>
      </c>
      <c r="H355" t="e">
        <f t="shared" ca="1" si="13"/>
        <v>#VALUE!</v>
      </c>
      <c r="I355" t="e">
        <f t="shared" ca="1" si="14"/>
        <v>#VALUE!</v>
      </c>
    </row>
    <row r="356" spans="1:9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10"/>
        <v>#VALUE!</v>
      </c>
      <c r="F356" t="e">
        <f t="shared" ca="1" si="11"/>
        <v>#VALUE!</v>
      </c>
      <c r="G356" t="e">
        <f t="shared" ca="1" si="12"/>
        <v>#VALUE!</v>
      </c>
      <c r="H356" t="e">
        <f t="shared" ca="1" si="13"/>
        <v>#VALUE!</v>
      </c>
      <c r="I356" t="e">
        <f t="shared" ca="1" si="14"/>
        <v>#VALUE!</v>
      </c>
    </row>
    <row r="357" spans="1:9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10"/>
        <v>#VALUE!</v>
      </c>
      <c r="F357" t="e">
        <f t="shared" ca="1" si="11"/>
        <v>#VALUE!</v>
      </c>
      <c r="G357" t="e">
        <f t="shared" ca="1" si="12"/>
        <v>#VALUE!</v>
      </c>
      <c r="H357" t="e">
        <f t="shared" ca="1" si="13"/>
        <v>#VALUE!</v>
      </c>
      <c r="I357" t="e">
        <f t="shared" ca="1" si="14"/>
        <v>#VALUE!</v>
      </c>
    </row>
    <row r="358" spans="1:9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10"/>
        <v>#VALUE!</v>
      </c>
      <c r="F358" t="e">
        <f t="shared" ca="1" si="11"/>
        <v>#VALUE!</v>
      </c>
      <c r="G358" t="e">
        <f t="shared" ca="1" si="12"/>
        <v>#VALUE!</v>
      </c>
      <c r="H358" t="e">
        <f t="shared" ca="1" si="13"/>
        <v>#VALUE!</v>
      </c>
      <c r="I358" t="e">
        <f t="shared" ca="1" si="14"/>
        <v>#VALUE!</v>
      </c>
    </row>
    <row r="359" spans="1:9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10"/>
        <v>#VALUE!</v>
      </c>
      <c r="F359" t="e">
        <f t="shared" ca="1" si="11"/>
        <v>#VALUE!</v>
      </c>
      <c r="G359" t="e">
        <f t="shared" ca="1" si="12"/>
        <v>#VALUE!</v>
      </c>
      <c r="H359" t="e">
        <f t="shared" ca="1" si="13"/>
        <v>#VALUE!</v>
      </c>
      <c r="I359" t="e">
        <f t="shared" ca="1" si="14"/>
        <v>#VALUE!</v>
      </c>
    </row>
    <row r="360" spans="1:9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10"/>
        <v>#VALUE!</v>
      </c>
      <c r="F360" t="e">
        <f t="shared" ca="1" si="11"/>
        <v>#VALUE!</v>
      </c>
      <c r="G360" t="e">
        <f t="shared" ca="1" si="12"/>
        <v>#VALUE!</v>
      </c>
      <c r="H360" t="e">
        <f t="shared" ca="1" si="13"/>
        <v>#VALUE!</v>
      </c>
      <c r="I360" t="e">
        <f t="shared" ca="1" si="14"/>
        <v>#VALUE!</v>
      </c>
    </row>
    <row r="361" spans="1:9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10"/>
        <v>#VALUE!</v>
      </c>
      <c r="F361" t="e">
        <f t="shared" ca="1" si="11"/>
        <v>#VALUE!</v>
      </c>
      <c r="G361" t="e">
        <f t="shared" ca="1" si="12"/>
        <v>#VALUE!</v>
      </c>
      <c r="H361" t="e">
        <f t="shared" ca="1" si="13"/>
        <v>#VALUE!</v>
      </c>
      <c r="I361" t="e">
        <f t="shared" ca="1" si="14"/>
        <v>#VALUE!</v>
      </c>
    </row>
    <row r="362" spans="1:9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10"/>
        <v>#VALUE!</v>
      </c>
      <c r="F362" t="e">
        <f t="shared" ca="1" si="11"/>
        <v>#VALUE!</v>
      </c>
      <c r="G362" t="e">
        <f t="shared" ca="1" si="12"/>
        <v>#VALUE!</v>
      </c>
      <c r="H362" t="e">
        <f t="shared" ca="1" si="13"/>
        <v>#VALUE!</v>
      </c>
      <c r="I362" t="e">
        <f t="shared" ca="1" si="14"/>
        <v>#VALUE!</v>
      </c>
    </row>
    <row r="363" spans="1:9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10"/>
        <v>#VALUE!</v>
      </c>
      <c r="F363" t="e">
        <f t="shared" ca="1" si="11"/>
        <v>#VALUE!</v>
      </c>
      <c r="G363" t="e">
        <f t="shared" ca="1" si="12"/>
        <v>#VALUE!</v>
      </c>
      <c r="H363" t="e">
        <f t="shared" ca="1" si="13"/>
        <v>#VALUE!</v>
      </c>
      <c r="I363" t="e">
        <f t="shared" ca="1" si="14"/>
        <v>#VALUE!</v>
      </c>
    </row>
    <row r="364" spans="1:9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10"/>
        <v>#VALUE!</v>
      </c>
      <c r="F364" t="e">
        <f t="shared" ca="1" si="11"/>
        <v>#VALUE!</v>
      </c>
      <c r="G364" t="e">
        <f t="shared" ca="1" si="12"/>
        <v>#VALUE!</v>
      </c>
      <c r="H364" t="e">
        <f t="shared" ca="1" si="13"/>
        <v>#VALUE!</v>
      </c>
      <c r="I364" t="e">
        <f t="shared" ca="1" si="14"/>
        <v>#VALUE!</v>
      </c>
    </row>
    <row r="365" spans="1:9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10"/>
        <v>#VALUE!</v>
      </c>
      <c r="F365" t="e">
        <f t="shared" ca="1" si="11"/>
        <v>#VALUE!</v>
      </c>
      <c r="G365" t="e">
        <f t="shared" ca="1" si="12"/>
        <v>#VALUE!</v>
      </c>
      <c r="H365" t="e">
        <f t="shared" ca="1" si="13"/>
        <v>#VALUE!</v>
      </c>
      <c r="I365" t="e">
        <f t="shared" ca="1" si="14"/>
        <v>#VALUE!</v>
      </c>
    </row>
    <row r="366" spans="1:9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10"/>
        <v>#VALUE!</v>
      </c>
      <c r="F366" t="e">
        <f t="shared" ca="1" si="11"/>
        <v>#VALUE!</v>
      </c>
      <c r="G366" t="e">
        <f t="shared" ca="1" si="12"/>
        <v>#VALUE!</v>
      </c>
      <c r="H366" t="e">
        <f t="shared" ca="1" si="13"/>
        <v>#VALUE!</v>
      </c>
      <c r="I366" t="e">
        <f t="shared" ca="1" si="14"/>
        <v>#VALUE!</v>
      </c>
    </row>
    <row r="367" spans="1:9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10"/>
        <v>#VALUE!</v>
      </c>
      <c r="F367" t="e">
        <f t="shared" ca="1" si="11"/>
        <v>#VALUE!</v>
      </c>
      <c r="G367" t="e">
        <f t="shared" ca="1" si="12"/>
        <v>#VALUE!</v>
      </c>
      <c r="H367" t="e">
        <f t="shared" ca="1" si="13"/>
        <v>#VALUE!</v>
      </c>
      <c r="I367" t="e">
        <f t="shared" ca="1" si="14"/>
        <v>#VALUE!</v>
      </c>
    </row>
    <row r="368" spans="1:9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10"/>
        <v>#VALUE!</v>
      </c>
      <c r="F368" t="e">
        <f t="shared" ca="1" si="11"/>
        <v>#VALUE!</v>
      </c>
      <c r="G368" t="e">
        <f t="shared" ca="1" si="12"/>
        <v>#VALUE!</v>
      </c>
      <c r="H368" t="e">
        <f t="shared" ca="1" si="13"/>
        <v>#VALUE!</v>
      </c>
      <c r="I368" t="e">
        <f t="shared" ca="1" si="14"/>
        <v>#VALUE!</v>
      </c>
    </row>
    <row r="369" spans="1:9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10"/>
        <v>#VALUE!</v>
      </c>
      <c r="F369" t="e">
        <f t="shared" ca="1" si="11"/>
        <v>#VALUE!</v>
      </c>
      <c r="G369" t="e">
        <f t="shared" ca="1" si="12"/>
        <v>#VALUE!</v>
      </c>
      <c r="H369" t="e">
        <f t="shared" ca="1" si="13"/>
        <v>#VALUE!</v>
      </c>
      <c r="I369" t="e">
        <f t="shared" ca="1" si="14"/>
        <v>#VALUE!</v>
      </c>
    </row>
    <row r="370" spans="1:9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10"/>
        <v>#VALUE!</v>
      </c>
      <c r="F370" t="e">
        <f t="shared" ca="1" si="11"/>
        <v>#VALUE!</v>
      </c>
      <c r="G370" t="e">
        <f t="shared" ca="1" si="12"/>
        <v>#VALUE!</v>
      </c>
      <c r="H370" t="e">
        <f t="shared" ca="1" si="13"/>
        <v>#VALUE!</v>
      </c>
      <c r="I370" t="e">
        <f t="shared" ca="1" si="14"/>
        <v>#VALUE!</v>
      </c>
    </row>
    <row r="371" spans="1:9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ref="E371:E434" ca="1" si="15">IF(D371="T", 0.05, IF(D371="C", -0.01, ""))</f>
        <v>#VALUE!</v>
      </c>
      <c r="F371" t="e">
        <f t="shared" ref="F371:F434" ca="1" si="16">IF(D371="T", 0.05, IF(D371="C", 0, ""))</f>
        <v>#VALUE!</v>
      </c>
      <c r="G371" t="e">
        <f t="shared" ref="G371:G434" ca="1" si="17">IF(D371="T", 0, IF(D371="C", 0, ""))</f>
        <v>#VALUE!</v>
      </c>
      <c r="H371" t="e">
        <f t="shared" ref="H371:H434" ca="1" si="18">IF(D371="T", 0.05, IF(D371="C", 0, ""))</f>
        <v>#VALUE!</v>
      </c>
      <c r="I371" t="e">
        <f t="shared" ref="I371:I434" ca="1" si="19">IF(D371="T", 0, IF(D371="C", 0, ""))</f>
        <v>#VALUE!</v>
      </c>
    </row>
    <row r="372" spans="1:9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15"/>
        <v>#VALUE!</v>
      </c>
      <c r="F372" t="e">
        <f t="shared" ca="1" si="16"/>
        <v>#VALUE!</v>
      </c>
      <c r="G372" t="e">
        <f t="shared" ca="1" si="17"/>
        <v>#VALUE!</v>
      </c>
      <c r="H372" t="e">
        <f t="shared" ca="1" si="18"/>
        <v>#VALUE!</v>
      </c>
      <c r="I372" t="e">
        <f t="shared" ca="1" si="19"/>
        <v>#VALUE!</v>
      </c>
    </row>
    <row r="373" spans="1:9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15"/>
        <v>#VALUE!</v>
      </c>
      <c r="F373" t="e">
        <f t="shared" ca="1" si="16"/>
        <v>#VALUE!</v>
      </c>
      <c r="G373" t="e">
        <f t="shared" ca="1" si="17"/>
        <v>#VALUE!</v>
      </c>
      <c r="H373" t="e">
        <f t="shared" ca="1" si="18"/>
        <v>#VALUE!</v>
      </c>
      <c r="I373" t="e">
        <f t="shared" ca="1" si="19"/>
        <v>#VALUE!</v>
      </c>
    </row>
    <row r="374" spans="1:9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15"/>
        <v>#VALUE!</v>
      </c>
      <c r="F374" t="e">
        <f t="shared" ca="1" si="16"/>
        <v>#VALUE!</v>
      </c>
      <c r="G374" t="e">
        <f t="shared" ca="1" si="17"/>
        <v>#VALUE!</v>
      </c>
      <c r="H374" t="e">
        <f t="shared" ca="1" si="18"/>
        <v>#VALUE!</v>
      </c>
      <c r="I374" t="e">
        <f t="shared" ca="1" si="19"/>
        <v>#VALUE!</v>
      </c>
    </row>
    <row r="375" spans="1:9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15"/>
        <v>#VALUE!</v>
      </c>
      <c r="F375" t="e">
        <f t="shared" ca="1" si="16"/>
        <v>#VALUE!</v>
      </c>
      <c r="G375" t="e">
        <f t="shared" ca="1" si="17"/>
        <v>#VALUE!</v>
      </c>
      <c r="H375" t="e">
        <f t="shared" ca="1" si="18"/>
        <v>#VALUE!</v>
      </c>
      <c r="I375" t="e">
        <f t="shared" ca="1" si="19"/>
        <v>#VALUE!</v>
      </c>
    </row>
    <row r="376" spans="1:9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15"/>
        <v>#VALUE!</v>
      </c>
      <c r="F376" t="e">
        <f t="shared" ca="1" si="16"/>
        <v>#VALUE!</v>
      </c>
      <c r="G376" t="e">
        <f t="shared" ca="1" si="17"/>
        <v>#VALUE!</v>
      </c>
      <c r="H376" t="e">
        <f t="shared" ca="1" si="18"/>
        <v>#VALUE!</v>
      </c>
      <c r="I376" t="e">
        <f t="shared" ca="1" si="19"/>
        <v>#VALUE!</v>
      </c>
    </row>
    <row r="377" spans="1:9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15"/>
        <v>#VALUE!</v>
      </c>
      <c r="F377" t="e">
        <f t="shared" ca="1" si="16"/>
        <v>#VALUE!</v>
      </c>
      <c r="G377" t="e">
        <f t="shared" ca="1" si="17"/>
        <v>#VALUE!</v>
      </c>
      <c r="H377" t="e">
        <f t="shared" ca="1" si="18"/>
        <v>#VALUE!</v>
      </c>
      <c r="I377" t="e">
        <f t="shared" ca="1" si="19"/>
        <v>#VALUE!</v>
      </c>
    </row>
    <row r="378" spans="1:9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15"/>
        <v>#VALUE!</v>
      </c>
      <c r="F378" t="e">
        <f t="shared" ca="1" si="16"/>
        <v>#VALUE!</v>
      </c>
      <c r="G378" t="e">
        <f t="shared" ca="1" si="17"/>
        <v>#VALUE!</v>
      </c>
      <c r="H378" t="e">
        <f t="shared" ca="1" si="18"/>
        <v>#VALUE!</v>
      </c>
      <c r="I378" t="e">
        <f t="shared" ca="1" si="19"/>
        <v>#VALUE!</v>
      </c>
    </row>
    <row r="379" spans="1:9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15"/>
        <v>#VALUE!</v>
      </c>
      <c r="F379" t="e">
        <f t="shared" ca="1" si="16"/>
        <v>#VALUE!</v>
      </c>
      <c r="G379" t="e">
        <f t="shared" ca="1" si="17"/>
        <v>#VALUE!</v>
      </c>
      <c r="H379" t="e">
        <f t="shared" ca="1" si="18"/>
        <v>#VALUE!</v>
      </c>
      <c r="I379" t="e">
        <f t="shared" ca="1" si="19"/>
        <v>#VALUE!</v>
      </c>
    </row>
    <row r="380" spans="1:9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15"/>
        <v>#VALUE!</v>
      </c>
      <c r="F380" t="e">
        <f t="shared" ca="1" si="16"/>
        <v>#VALUE!</v>
      </c>
      <c r="G380" t="e">
        <f t="shared" ca="1" si="17"/>
        <v>#VALUE!</v>
      </c>
      <c r="H380" t="e">
        <f t="shared" ca="1" si="18"/>
        <v>#VALUE!</v>
      </c>
      <c r="I380" t="e">
        <f t="shared" ca="1" si="19"/>
        <v>#VALUE!</v>
      </c>
    </row>
    <row r="381" spans="1:9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15"/>
        <v>#VALUE!</v>
      </c>
      <c r="F381" t="e">
        <f t="shared" ca="1" si="16"/>
        <v>#VALUE!</v>
      </c>
      <c r="G381" t="e">
        <f t="shared" ca="1" si="17"/>
        <v>#VALUE!</v>
      </c>
      <c r="H381" t="e">
        <f t="shared" ca="1" si="18"/>
        <v>#VALUE!</v>
      </c>
      <c r="I381" t="e">
        <f t="shared" ca="1" si="19"/>
        <v>#VALUE!</v>
      </c>
    </row>
    <row r="382" spans="1:9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15"/>
        <v>#VALUE!</v>
      </c>
      <c r="F382" t="e">
        <f t="shared" ca="1" si="16"/>
        <v>#VALUE!</v>
      </c>
      <c r="G382" t="e">
        <f t="shared" ca="1" si="17"/>
        <v>#VALUE!</v>
      </c>
      <c r="H382" t="e">
        <f t="shared" ca="1" si="18"/>
        <v>#VALUE!</v>
      </c>
      <c r="I382" t="e">
        <f t="shared" ca="1" si="19"/>
        <v>#VALUE!</v>
      </c>
    </row>
    <row r="383" spans="1:9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15"/>
        <v>#VALUE!</v>
      </c>
      <c r="F383" t="e">
        <f t="shared" ca="1" si="16"/>
        <v>#VALUE!</v>
      </c>
      <c r="G383" t="e">
        <f t="shared" ca="1" si="17"/>
        <v>#VALUE!</v>
      </c>
      <c r="H383" t="e">
        <f t="shared" ca="1" si="18"/>
        <v>#VALUE!</v>
      </c>
      <c r="I383" t="e">
        <f t="shared" ca="1" si="19"/>
        <v>#VALUE!</v>
      </c>
    </row>
    <row r="384" spans="1:9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15"/>
        <v>#VALUE!</v>
      </c>
      <c r="F384" t="e">
        <f t="shared" ca="1" si="16"/>
        <v>#VALUE!</v>
      </c>
      <c r="G384" t="e">
        <f t="shared" ca="1" si="17"/>
        <v>#VALUE!</v>
      </c>
      <c r="H384" t="e">
        <f t="shared" ca="1" si="18"/>
        <v>#VALUE!</v>
      </c>
      <c r="I384" t="e">
        <f t="shared" ca="1" si="19"/>
        <v>#VALUE!</v>
      </c>
    </row>
    <row r="385" spans="1:9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15"/>
        <v>#VALUE!</v>
      </c>
      <c r="F385" t="e">
        <f t="shared" ca="1" si="16"/>
        <v>#VALUE!</v>
      </c>
      <c r="G385" t="e">
        <f t="shared" ca="1" si="17"/>
        <v>#VALUE!</v>
      </c>
      <c r="H385" t="e">
        <f t="shared" ca="1" si="18"/>
        <v>#VALUE!</v>
      </c>
      <c r="I385" t="e">
        <f t="shared" ca="1" si="19"/>
        <v>#VALUE!</v>
      </c>
    </row>
    <row r="386" spans="1:9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15"/>
        <v>#VALUE!</v>
      </c>
      <c r="F386" t="e">
        <f t="shared" ca="1" si="16"/>
        <v>#VALUE!</v>
      </c>
      <c r="G386" t="e">
        <f t="shared" ca="1" si="17"/>
        <v>#VALUE!</v>
      </c>
      <c r="H386" t="e">
        <f t="shared" ca="1" si="18"/>
        <v>#VALUE!</v>
      </c>
      <c r="I386" t="e">
        <f t="shared" ca="1" si="19"/>
        <v>#VALUE!</v>
      </c>
    </row>
    <row r="387" spans="1:9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15"/>
        <v>#VALUE!</v>
      </c>
      <c r="F387" t="e">
        <f t="shared" ca="1" si="16"/>
        <v>#VALUE!</v>
      </c>
      <c r="G387" t="e">
        <f t="shared" ca="1" si="17"/>
        <v>#VALUE!</v>
      </c>
      <c r="H387" t="e">
        <f t="shared" ca="1" si="18"/>
        <v>#VALUE!</v>
      </c>
      <c r="I387" t="e">
        <f t="shared" ca="1" si="19"/>
        <v>#VALUE!</v>
      </c>
    </row>
    <row r="388" spans="1:9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15"/>
        <v>#VALUE!</v>
      </c>
      <c r="F388" t="e">
        <f t="shared" ca="1" si="16"/>
        <v>#VALUE!</v>
      </c>
      <c r="G388" t="e">
        <f t="shared" ca="1" si="17"/>
        <v>#VALUE!</v>
      </c>
      <c r="H388" t="e">
        <f t="shared" ca="1" si="18"/>
        <v>#VALUE!</v>
      </c>
      <c r="I388" t="e">
        <f t="shared" ca="1" si="19"/>
        <v>#VALUE!</v>
      </c>
    </row>
    <row r="389" spans="1:9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15"/>
        <v>#VALUE!</v>
      </c>
      <c r="F389" t="e">
        <f t="shared" ca="1" si="16"/>
        <v>#VALUE!</v>
      </c>
      <c r="G389" t="e">
        <f t="shared" ca="1" si="17"/>
        <v>#VALUE!</v>
      </c>
      <c r="H389" t="e">
        <f t="shared" ca="1" si="18"/>
        <v>#VALUE!</v>
      </c>
      <c r="I389" t="e">
        <f t="shared" ca="1" si="19"/>
        <v>#VALUE!</v>
      </c>
    </row>
    <row r="390" spans="1:9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15"/>
        <v>#VALUE!</v>
      </c>
      <c r="F390" t="e">
        <f t="shared" ca="1" si="16"/>
        <v>#VALUE!</v>
      </c>
      <c r="G390" t="e">
        <f t="shared" ca="1" si="17"/>
        <v>#VALUE!</v>
      </c>
      <c r="H390" t="e">
        <f t="shared" ca="1" si="18"/>
        <v>#VALUE!</v>
      </c>
      <c r="I390" t="e">
        <f t="shared" ca="1" si="19"/>
        <v>#VALUE!</v>
      </c>
    </row>
    <row r="391" spans="1:9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15"/>
        <v>#VALUE!</v>
      </c>
      <c r="F391" t="e">
        <f t="shared" ca="1" si="16"/>
        <v>#VALUE!</v>
      </c>
      <c r="G391" t="e">
        <f t="shared" ca="1" si="17"/>
        <v>#VALUE!</v>
      </c>
      <c r="H391" t="e">
        <f t="shared" ca="1" si="18"/>
        <v>#VALUE!</v>
      </c>
      <c r="I391" t="e">
        <f t="shared" ca="1" si="19"/>
        <v>#VALUE!</v>
      </c>
    </row>
    <row r="392" spans="1:9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15"/>
        <v>#VALUE!</v>
      </c>
      <c r="F392" t="e">
        <f t="shared" ca="1" si="16"/>
        <v>#VALUE!</v>
      </c>
      <c r="G392" t="e">
        <f t="shared" ca="1" si="17"/>
        <v>#VALUE!</v>
      </c>
      <c r="H392" t="e">
        <f t="shared" ca="1" si="18"/>
        <v>#VALUE!</v>
      </c>
      <c r="I392" t="e">
        <f t="shared" ca="1" si="19"/>
        <v>#VALUE!</v>
      </c>
    </row>
    <row r="393" spans="1:9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15"/>
        <v>#VALUE!</v>
      </c>
      <c r="F393" t="e">
        <f t="shared" ca="1" si="16"/>
        <v>#VALUE!</v>
      </c>
      <c r="G393" t="e">
        <f t="shared" ca="1" si="17"/>
        <v>#VALUE!</v>
      </c>
      <c r="H393" t="e">
        <f t="shared" ca="1" si="18"/>
        <v>#VALUE!</v>
      </c>
      <c r="I393" t="e">
        <f t="shared" ca="1" si="19"/>
        <v>#VALUE!</v>
      </c>
    </row>
    <row r="394" spans="1:9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15"/>
        <v>#VALUE!</v>
      </c>
      <c r="F394" t="e">
        <f t="shared" ca="1" si="16"/>
        <v>#VALUE!</v>
      </c>
      <c r="G394" t="e">
        <f t="shared" ca="1" si="17"/>
        <v>#VALUE!</v>
      </c>
      <c r="H394" t="e">
        <f t="shared" ca="1" si="18"/>
        <v>#VALUE!</v>
      </c>
      <c r="I394" t="e">
        <f t="shared" ca="1" si="19"/>
        <v>#VALUE!</v>
      </c>
    </row>
    <row r="395" spans="1:9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15"/>
        <v>#VALUE!</v>
      </c>
      <c r="F395" t="e">
        <f t="shared" ca="1" si="16"/>
        <v>#VALUE!</v>
      </c>
      <c r="G395" t="e">
        <f t="shared" ca="1" si="17"/>
        <v>#VALUE!</v>
      </c>
      <c r="H395" t="e">
        <f t="shared" ca="1" si="18"/>
        <v>#VALUE!</v>
      </c>
      <c r="I395" t="e">
        <f t="shared" ca="1" si="19"/>
        <v>#VALUE!</v>
      </c>
    </row>
    <row r="396" spans="1:9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15"/>
        <v>#VALUE!</v>
      </c>
      <c r="F396" t="e">
        <f t="shared" ca="1" si="16"/>
        <v>#VALUE!</v>
      </c>
      <c r="G396" t="e">
        <f t="shared" ca="1" si="17"/>
        <v>#VALUE!</v>
      </c>
      <c r="H396" t="e">
        <f t="shared" ca="1" si="18"/>
        <v>#VALUE!</v>
      </c>
      <c r="I396" t="e">
        <f t="shared" ca="1" si="19"/>
        <v>#VALUE!</v>
      </c>
    </row>
    <row r="397" spans="1:9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15"/>
        <v>#VALUE!</v>
      </c>
      <c r="F397" t="e">
        <f t="shared" ca="1" si="16"/>
        <v>#VALUE!</v>
      </c>
      <c r="G397" t="e">
        <f t="shared" ca="1" si="17"/>
        <v>#VALUE!</v>
      </c>
      <c r="H397" t="e">
        <f t="shared" ca="1" si="18"/>
        <v>#VALUE!</v>
      </c>
      <c r="I397" t="e">
        <f t="shared" ca="1" si="19"/>
        <v>#VALUE!</v>
      </c>
    </row>
    <row r="398" spans="1:9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15"/>
        <v>#VALUE!</v>
      </c>
      <c r="F398" t="e">
        <f t="shared" ca="1" si="16"/>
        <v>#VALUE!</v>
      </c>
      <c r="G398" t="e">
        <f t="shared" ca="1" si="17"/>
        <v>#VALUE!</v>
      </c>
      <c r="H398" t="e">
        <f t="shared" ca="1" si="18"/>
        <v>#VALUE!</v>
      </c>
      <c r="I398" t="e">
        <f t="shared" ca="1" si="19"/>
        <v>#VALUE!</v>
      </c>
    </row>
    <row r="399" spans="1:9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15"/>
        <v>#VALUE!</v>
      </c>
      <c r="F399" t="e">
        <f t="shared" ca="1" si="16"/>
        <v>#VALUE!</v>
      </c>
      <c r="G399" t="e">
        <f t="shared" ca="1" si="17"/>
        <v>#VALUE!</v>
      </c>
      <c r="H399" t="e">
        <f t="shared" ca="1" si="18"/>
        <v>#VALUE!</v>
      </c>
      <c r="I399" t="e">
        <f t="shared" ca="1" si="19"/>
        <v>#VALUE!</v>
      </c>
    </row>
    <row r="400" spans="1:9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15"/>
        <v>#VALUE!</v>
      </c>
      <c r="F400" t="e">
        <f t="shared" ca="1" si="16"/>
        <v>#VALUE!</v>
      </c>
      <c r="G400" t="e">
        <f t="shared" ca="1" si="17"/>
        <v>#VALUE!</v>
      </c>
      <c r="H400" t="e">
        <f t="shared" ca="1" si="18"/>
        <v>#VALUE!</v>
      </c>
      <c r="I400" t="e">
        <f t="shared" ca="1" si="19"/>
        <v>#VALUE!</v>
      </c>
    </row>
    <row r="401" spans="1:9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15"/>
        <v>#VALUE!</v>
      </c>
      <c r="F401" t="e">
        <f t="shared" ca="1" si="16"/>
        <v>#VALUE!</v>
      </c>
      <c r="G401" t="e">
        <f t="shared" ca="1" si="17"/>
        <v>#VALUE!</v>
      </c>
      <c r="H401" t="e">
        <f t="shared" ca="1" si="18"/>
        <v>#VALUE!</v>
      </c>
      <c r="I401" t="e">
        <f t="shared" ca="1" si="19"/>
        <v>#VALUE!</v>
      </c>
    </row>
    <row r="402" spans="1:9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15"/>
        <v>#VALUE!</v>
      </c>
      <c r="F402" t="e">
        <f t="shared" ca="1" si="16"/>
        <v>#VALUE!</v>
      </c>
      <c r="G402" t="e">
        <f t="shared" ca="1" si="17"/>
        <v>#VALUE!</v>
      </c>
      <c r="H402" t="e">
        <f t="shared" ca="1" si="18"/>
        <v>#VALUE!</v>
      </c>
      <c r="I402" t="e">
        <f t="shared" ca="1" si="19"/>
        <v>#VALUE!</v>
      </c>
    </row>
    <row r="403" spans="1:9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15"/>
        <v>#VALUE!</v>
      </c>
      <c r="F403" t="e">
        <f t="shared" ca="1" si="16"/>
        <v>#VALUE!</v>
      </c>
      <c r="G403" t="e">
        <f t="shared" ca="1" si="17"/>
        <v>#VALUE!</v>
      </c>
      <c r="H403" t="e">
        <f t="shared" ca="1" si="18"/>
        <v>#VALUE!</v>
      </c>
      <c r="I403" t="e">
        <f t="shared" ca="1" si="19"/>
        <v>#VALUE!</v>
      </c>
    </row>
    <row r="404" spans="1:9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15"/>
        <v>#VALUE!</v>
      </c>
      <c r="F404" t="e">
        <f t="shared" ca="1" si="16"/>
        <v>#VALUE!</v>
      </c>
      <c r="G404" t="e">
        <f t="shared" ca="1" si="17"/>
        <v>#VALUE!</v>
      </c>
      <c r="H404" t="e">
        <f t="shared" ca="1" si="18"/>
        <v>#VALUE!</v>
      </c>
      <c r="I404" t="e">
        <f t="shared" ca="1" si="19"/>
        <v>#VALUE!</v>
      </c>
    </row>
    <row r="405" spans="1:9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15"/>
        <v>#VALUE!</v>
      </c>
      <c r="F405" t="e">
        <f t="shared" ca="1" si="16"/>
        <v>#VALUE!</v>
      </c>
      <c r="G405" t="e">
        <f t="shared" ca="1" si="17"/>
        <v>#VALUE!</v>
      </c>
      <c r="H405" t="e">
        <f t="shared" ca="1" si="18"/>
        <v>#VALUE!</v>
      </c>
      <c r="I405" t="e">
        <f t="shared" ca="1" si="19"/>
        <v>#VALUE!</v>
      </c>
    </row>
    <row r="406" spans="1:9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15"/>
        <v>#VALUE!</v>
      </c>
      <c r="F406" t="e">
        <f t="shared" ca="1" si="16"/>
        <v>#VALUE!</v>
      </c>
      <c r="G406" t="e">
        <f t="shared" ca="1" si="17"/>
        <v>#VALUE!</v>
      </c>
      <c r="H406" t="e">
        <f t="shared" ca="1" si="18"/>
        <v>#VALUE!</v>
      </c>
      <c r="I406" t="e">
        <f t="shared" ca="1" si="19"/>
        <v>#VALUE!</v>
      </c>
    </row>
    <row r="407" spans="1:9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15"/>
        <v>#VALUE!</v>
      </c>
      <c r="F407" t="e">
        <f t="shared" ca="1" si="16"/>
        <v>#VALUE!</v>
      </c>
      <c r="G407" t="e">
        <f t="shared" ca="1" si="17"/>
        <v>#VALUE!</v>
      </c>
      <c r="H407" t="e">
        <f t="shared" ca="1" si="18"/>
        <v>#VALUE!</v>
      </c>
      <c r="I407" t="e">
        <f t="shared" ca="1" si="19"/>
        <v>#VALUE!</v>
      </c>
    </row>
    <row r="408" spans="1:9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15"/>
        <v>#VALUE!</v>
      </c>
      <c r="F408" t="e">
        <f t="shared" ca="1" si="16"/>
        <v>#VALUE!</v>
      </c>
      <c r="G408" t="e">
        <f t="shared" ca="1" si="17"/>
        <v>#VALUE!</v>
      </c>
      <c r="H408" t="e">
        <f t="shared" ca="1" si="18"/>
        <v>#VALUE!</v>
      </c>
      <c r="I408" t="e">
        <f t="shared" ca="1" si="19"/>
        <v>#VALUE!</v>
      </c>
    </row>
    <row r="409" spans="1:9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15"/>
        <v>#VALUE!</v>
      </c>
      <c r="F409" t="e">
        <f t="shared" ca="1" si="16"/>
        <v>#VALUE!</v>
      </c>
      <c r="G409" t="e">
        <f t="shared" ca="1" si="17"/>
        <v>#VALUE!</v>
      </c>
      <c r="H409" t="e">
        <f t="shared" ca="1" si="18"/>
        <v>#VALUE!</v>
      </c>
      <c r="I409" t="e">
        <f t="shared" ca="1" si="19"/>
        <v>#VALUE!</v>
      </c>
    </row>
    <row r="410" spans="1:9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15"/>
        <v>#VALUE!</v>
      </c>
      <c r="F410" t="e">
        <f t="shared" ca="1" si="16"/>
        <v>#VALUE!</v>
      </c>
      <c r="G410" t="e">
        <f t="shared" ca="1" si="17"/>
        <v>#VALUE!</v>
      </c>
      <c r="H410" t="e">
        <f t="shared" ca="1" si="18"/>
        <v>#VALUE!</v>
      </c>
      <c r="I410" t="e">
        <f t="shared" ca="1" si="19"/>
        <v>#VALUE!</v>
      </c>
    </row>
    <row r="411" spans="1:9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15"/>
        <v>#VALUE!</v>
      </c>
      <c r="F411" t="e">
        <f t="shared" ca="1" si="16"/>
        <v>#VALUE!</v>
      </c>
      <c r="G411" t="e">
        <f t="shared" ca="1" si="17"/>
        <v>#VALUE!</v>
      </c>
      <c r="H411" t="e">
        <f t="shared" ca="1" si="18"/>
        <v>#VALUE!</v>
      </c>
      <c r="I411" t="e">
        <f t="shared" ca="1" si="19"/>
        <v>#VALUE!</v>
      </c>
    </row>
    <row r="412" spans="1:9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15"/>
        <v>#VALUE!</v>
      </c>
      <c r="F412" t="e">
        <f t="shared" ca="1" si="16"/>
        <v>#VALUE!</v>
      </c>
      <c r="G412" t="e">
        <f t="shared" ca="1" si="17"/>
        <v>#VALUE!</v>
      </c>
      <c r="H412" t="e">
        <f t="shared" ca="1" si="18"/>
        <v>#VALUE!</v>
      </c>
      <c r="I412" t="e">
        <f t="shared" ca="1" si="19"/>
        <v>#VALUE!</v>
      </c>
    </row>
    <row r="413" spans="1:9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15"/>
        <v>#VALUE!</v>
      </c>
      <c r="F413" t="e">
        <f t="shared" ca="1" si="16"/>
        <v>#VALUE!</v>
      </c>
      <c r="G413" t="e">
        <f t="shared" ca="1" si="17"/>
        <v>#VALUE!</v>
      </c>
      <c r="H413" t="e">
        <f t="shared" ca="1" si="18"/>
        <v>#VALUE!</v>
      </c>
      <c r="I413" t="e">
        <f t="shared" ca="1" si="19"/>
        <v>#VALUE!</v>
      </c>
    </row>
    <row r="414" spans="1:9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15"/>
        <v>#VALUE!</v>
      </c>
      <c r="F414" t="e">
        <f t="shared" ca="1" si="16"/>
        <v>#VALUE!</v>
      </c>
      <c r="G414" t="e">
        <f t="shared" ca="1" si="17"/>
        <v>#VALUE!</v>
      </c>
      <c r="H414" t="e">
        <f t="shared" ca="1" si="18"/>
        <v>#VALUE!</v>
      </c>
      <c r="I414" t="e">
        <f t="shared" ca="1" si="19"/>
        <v>#VALUE!</v>
      </c>
    </row>
    <row r="415" spans="1:9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15"/>
        <v>#VALUE!</v>
      </c>
      <c r="F415" t="e">
        <f t="shared" ca="1" si="16"/>
        <v>#VALUE!</v>
      </c>
      <c r="G415" t="e">
        <f t="shared" ca="1" si="17"/>
        <v>#VALUE!</v>
      </c>
      <c r="H415" t="e">
        <f t="shared" ca="1" si="18"/>
        <v>#VALUE!</v>
      </c>
      <c r="I415" t="e">
        <f t="shared" ca="1" si="19"/>
        <v>#VALUE!</v>
      </c>
    </row>
    <row r="416" spans="1:9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15"/>
        <v>#VALUE!</v>
      </c>
      <c r="F416" t="e">
        <f t="shared" ca="1" si="16"/>
        <v>#VALUE!</v>
      </c>
      <c r="G416" t="e">
        <f t="shared" ca="1" si="17"/>
        <v>#VALUE!</v>
      </c>
      <c r="H416" t="e">
        <f t="shared" ca="1" si="18"/>
        <v>#VALUE!</v>
      </c>
      <c r="I416" t="e">
        <f t="shared" ca="1" si="19"/>
        <v>#VALUE!</v>
      </c>
    </row>
    <row r="417" spans="1:9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15"/>
        <v>#VALUE!</v>
      </c>
      <c r="F417" t="e">
        <f t="shared" ca="1" si="16"/>
        <v>#VALUE!</v>
      </c>
      <c r="G417" t="e">
        <f t="shared" ca="1" si="17"/>
        <v>#VALUE!</v>
      </c>
      <c r="H417" t="e">
        <f t="shared" ca="1" si="18"/>
        <v>#VALUE!</v>
      </c>
      <c r="I417" t="e">
        <f t="shared" ca="1" si="19"/>
        <v>#VALUE!</v>
      </c>
    </row>
    <row r="418" spans="1:9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15"/>
        <v>#VALUE!</v>
      </c>
      <c r="F418" t="e">
        <f t="shared" ca="1" si="16"/>
        <v>#VALUE!</v>
      </c>
      <c r="G418" t="e">
        <f t="shared" ca="1" si="17"/>
        <v>#VALUE!</v>
      </c>
      <c r="H418" t="e">
        <f t="shared" ca="1" si="18"/>
        <v>#VALUE!</v>
      </c>
      <c r="I418" t="e">
        <f t="shared" ca="1" si="19"/>
        <v>#VALUE!</v>
      </c>
    </row>
    <row r="419" spans="1:9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15"/>
        <v>#VALUE!</v>
      </c>
      <c r="F419" t="e">
        <f t="shared" ca="1" si="16"/>
        <v>#VALUE!</v>
      </c>
      <c r="G419" t="e">
        <f t="shared" ca="1" si="17"/>
        <v>#VALUE!</v>
      </c>
      <c r="H419" t="e">
        <f t="shared" ca="1" si="18"/>
        <v>#VALUE!</v>
      </c>
      <c r="I419" t="e">
        <f t="shared" ca="1" si="19"/>
        <v>#VALUE!</v>
      </c>
    </row>
    <row r="420" spans="1:9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15"/>
        <v>#VALUE!</v>
      </c>
      <c r="F420" t="e">
        <f t="shared" ca="1" si="16"/>
        <v>#VALUE!</v>
      </c>
      <c r="G420" t="e">
        <f t="shared" ca="1" si="17"/>
        <v>#VALUE!</v>
      </c>
      <c r="H420" t="e">
        <f t="shared" ca="1" si="18"/>
        <v>#VALUE!</v>
      </c>
      <c r="I420" t="e">
        <f t="shared" ca="1" si="19"/>
        <v>#VALUE!</v>
      </c>
    </row>
    <row r="421" spans="1:9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15"/>
        <v>#VALUE!</v>
      </c>
      <c r="F421" t="e">
        <f t="shared" ca="1" si="16"/>
        <v>#VALUE!</v>
      </c>
      <c r="G421" t="e">
        <f t="shared" ca="1" si="17"/>
        <v>#VALUE!</v>
      </c>
      <c r="H421" t="e">
        <f t="shared" ca="1" si="18"/>
        <v>#VALUE!</v>
      </c>
      <c r="I421" t="e">
        <f t="shared" ca="1" si="19"/>
        <v>#VALUE!</v>
      </c>
    </row>
    <row r="422" spans="1:9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15"/>
        <v>#VALUE!</v>
      </c>
      <c r="F422" t="e">
        <f t="shared" ca="1" si="16"/>
        <v>#VALUE!</v>
      </c>
      <c r="G422" t="e">
        <f t="shared" ca="1" si="17"/>
        <v>#VALUE!</v>
      </c>
      <c r="H422" t="e">
        <f t="shared" ca="1" si="18"/>
        <v>#VALUE!</v>
      </c>
      <c r="I422" t="e">
        <f t="shared" ca="1" si="19"/>
        <v>#VALUE!</v>
      </c>
    </row>
    <row r="423" spans="1:9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15"/>
        <v>#VALUE!</v>
      </c>
      <c r="F423" t="e">
        <f t="shared" ca="1" si="16"/>
        <v>#VALUE!</v>
      </c>
      <c r="G423" t="e">
        <f t="shared" ca="1" si="17"/>
        <v>#VALUE!</v>
      </c>
      <c r="H423" t="e">
        <f t="shared" ca="1" si="18"/>
        <v>#VALUE!</v>
      </c>
      <c r="I423" t="e">
        <f t="shared" ca="1" si="19"/>
        <v>#VALUE!</v>
      </c>
    </row>
    <row r="424" spans="1:9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15"/>
        <v>#VALUE!</v>
      </c>
      <c r="F424" t="e">
        <f t="shared" ca="1" si="16"/>
        <v>#VALUE!</v>
      </c>
      <c r="G424" t="e">
        <f t="shared" ca="1" si="17"/>
        <v>#VALUE!</v>
      </c>
      <c r="H424" t="e">
        <f t="shared" ca="1" si="18"/>
        <v>#VALUE!</v>
      </c>
      <c r="I424" t="e">
        <f t="shared" ca="1" si="19"/>
        <v>#VALUE!</v>
      </c>
    </row>
    <row r="425" spans="1:9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15"/>
        <v>#VALUE!</v>
      </c>
      <c r="F425" t="e">
        <f t="shared" ca="1" si="16"/>
        <v>#VALUE!</v>
      </c>
      <c r="G425" t="e">
        <f t="shared" ca="1" si="17"/>
        <v>#VALUE!</v>
      </c>
      <c r="H425" t="e">
        <f t="shared" ca="1" si="18"/>
        <v>#VALUE!</v>
      </c>
      <c r="I425" t="e">
        <f t="shared" ca="1" si="19"/>
        <v>#VALUE!</v>
      </c>
    </row>
    <row r="426" spans="1:9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15"/>
        <v>#VALUE!</v>
      </c>
      <c r="F426" t="e">
        <f t="shared" ca="1" si="16"/>
        <v>#VALUE!</v>
      </c>
      <c r="G426" t="e">
        <f t="shared" ca="1" si="17"/>
        <v>#VALUE!</v>
      </c>
      <c r="H426" t="e">
        <f t="shared" ca="1" si="18"/>
        <v>#VALUE!</v>
      </c>
      <c r="I426" t="e">
        <f t="shared" ca="1" si="19"/>
        <v>#VALUE!</v>
      </c>
    </row>
    <row r="427" spans="1:9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15"/>
        <v>#VALUE!</v>
      </c>
      <c r="F427" t="e">
        <f t="shared" ca="1" si="16"/>
        <v>#VALUE!</v>
      </c>
      <c r="G427" t="e">
        <f t="shared" ca="1" si="17"/>
        <v>#VALUE!</v>
      </c>
      <c r="H427" t="e">
        <f t="shared" ca="1" si="18"/>
        <v>#VALUE!</v>
      </c>
      <c r="I427" t="e">
        <f t="shared" ca="1" si="19"/>
        <v>#VALUE!</v>
      </c>
    </row>
    <row r="428" spans="1:9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15"/>
        <v>#VALUE!</v>
      </c>
      <c r="F428" t="e">
        <f t="shared" ca="1" si="16"/>
        <v>#VALUE!</v>
      </c>
      <c r="G428" t="e">
        <f t="shared" ca="1" si="17"/>
        <v>#VALUE!</v>
      </c>
      <c r="H428" t="e">
        <f t="shared" ca="1" si="18"/>
        <v>#VALUE!</v>
      </c>
      <c r="I428" t="e">
        <f t="shared" ca="1" si="19"/>
        <v>#VALUE!</v>
      </c>
    </row>
    <row r="429" spans="1:9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15"/>
        <v>#VALUE!</v>
      </c>
      <c r="F429" t="e">
        <f t="shared" ca="1" si="16"/>
        <v>#VALUE!</v>
      </c>
      <c r="G429" t="e">
        <f t="shared" ca="1" si="17"/>
        <v>#VALUE!</v>
      </c>
      <c r="H429" t="e">
        <f t="shared" ca="1" si="18"/>
        <v>#VALUE!</v>
      </c>
      <c r="I429" t="e">
        <f t="shared" ca="1" si="19"/>
        <v>#VALUE!</v>
      </c>
    </row>
    <row r="430" spans="1:9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15"/>
        <v>#VALUE!</v>
      </c>
      <c r="F430" t="e">
        <f t="shared" ca="1" si="16"/>
        <v>#VALUE!</v>
      </c>
      <c r="G430" t="e">
        <f t="shared" ca="1" si="17"/>
        <v>#VALUE!</v>
      </c>
      <c r="H430" t="e">
        <f t="shared" ca="1" si="18"/>
        <v>#VALUE!</v>
      </c>
      <c r="I430" t="e">
        <f t="shared" ca="1" si="19"/>
        <v>#VALUE!</v>
      </c>
    </row>
    <row r="431" spans="1:9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15"/>
        <v>#VALUE!</v>
      </c>
      <c r="F431" t="e">
        <f t="shared" ca="1" si="16"/>
        <v>#VALUE!</v>
      </c>
      <c r="G431" t="e">
        <f t="shared" ca="1" si="17"/>
        <v>#VALUE!</v>
      </c>
      <c r="H431" t="e">
        <f t="shared" ca="1" si="18"/>
        <v>#VALUE!</v>
      </c>
      <c r="I431" t="e">
        <f t="shared" ca="1" si="19"/>
        <v>#VALUE!</v>
      </c>
    </row>
    <row r="432" spans="1:9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15"/>
        <v>#VALUE!</v>
      </c>
      <c r="F432" t="e">
        <f t="shared" ca="1" si="16"/>
        <v>#VALUE!</v>
      </c>
      <c r="G432" t="e">
        <f t="shared" ca="1" si="17"/>
        <v>#VALUE!</v>
      </c>
      <c r="H432" t="e">
        <f t="shared" ca="1" si="18"/>
        <v>#VALUE!</v>
      </c>
      <c r="I432" t="e">
        <f t="shared" ca="1" si="19"/>
        <v>#VALUE!</v>
      </c>
    </row>
    <row r="433" spans="1:9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15"/>
        <v>#VALUE!</v>
      </c>
      <c r="F433" t="e">
        <f t="shared" ca="1" si="16"/>
        <v>#VALUE!</v>
      </c>
      <c r="G433" t="e">
        <f t="shared" ca="1" si="17"/>
        <v>#VALUE!</v>
      </c>
      <c r="H433" t="e">
        <f t="shared" ca="1" si="18"/>
        <v>#VALUE!</v>
      </c>
      <c r="I433" t="e">
        <f t="shared" ca="1" si="19"/>
        <v>#VALUE!</v>
      </c>
    </row>
    <row r="434" spans="1:9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15"/>
        <v>#VALUE!</v>
      </c>
      <c r="F434" t="e">
        <f t="shared" ca="1" si="16"/>
        <v>#VALUE!</v>
      </c>
      <c r="G434" t="e">
        <f t="shared" ca="1" si="17"/>
        <v>#VALUE!</v>
      </c>
      <c r="H434" t="e">
        <f t="shared" ca="1" si="18"/>
        <v>#VALUE!</v>
      </c>
      <c r="I434" t="e">
        <f t="shared" ca="1" si="19"/>
        <v>#VALUE!</v>
      </c>
    </row>
    <row r="435" spans="1:9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ref="E435:E498" ca="1" si="20">IF(D435="T", 0.05, IF(D435="C", -0.01, ""))</f>
        <v>#VALUE!</v>
      </c>
      <c r="F435" t="e">
        <f t="shared" ref="F435:F498" ca="1" si="21">IF(D435="T", 0.05, IF(D435="C", 0, ""))</f>
        <v>#VALUE!</v>
      </c>
      <c r="G435" t="e">
        <f t="shared" ref="G435:G498" ca="1" si="22">IF(D435="T", 0, IF(D435="C", 0, ""))</f>
        <v>#VALUE!</v>
      </c>
      <c r="H435" t="e">
        <f t="shared" ref="H435:H498" ca="1" si="23">IF(D435="T", 0.05, IF(D435="C", 0, ""))</f>
        <v>#VALUE!</v>
      </c>
      <c r="I435" t="e">
        <f t="shared" ref="I435:I498" ca="1" si="24">IF(D435="T", 0, IF(D435="C", 0, ""))</f>
        <v>#VALUE!</v>
      </c>
    </row>
    <row r="436" spans="1:9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20"/>
        <v>#VALUE!</v>
      </c>
      <c r="F436" t="e">
        <f t="shared" ca="1" si="21"/>
        <v>#VALUE!</v>
      </c>
      <c r="G436" t="e">
        <f t="shared" ca="1" si="22"/>
        <v>#VALUE!</v>
      </c>
      <c r="H436" t="e">
        <f t="shared" ca="1" si="23"/>
        <v>#VALUE!</v>
      </c>
      <c r="I436" t="e">
        <f t="shared" ca="1" si="24"/>
        <v>#VALUE!</v>
      </c>
    </row>
    <row r="437" spans="1:9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20"/>
        <v>#VALUE!</v>
      </c>
      <c r="F437" t="e">
        <f t="shared" ca="1" si="21"/>
        <v>#VALUE!</v>
      </c>
      <c r="G437" t="e">
        <f t="shared" ca="1" si="22"/>
        <v>#VALUE!</v>
      </c>
      <c r="H437" t="e">
        <f t="shared" ca="1" si="23"/>
        <v>#VALUE!</v>
      </c>
      <c r="I437" t="e">
        <f t="shared" ca="1" si="24"/>
        <v>#VALUE!</v>
      </c>
    </row>
    <row r="438" spans="1:9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20"/>
        <v>#VALUE!</v>
      </c>
      <c r="F438" t="e">
        <f t="shared" ca="1" si="21"/>
        <v>#VALUE!</v>
      </c>
      <c r="G438" t="e">
        <f t="shared" ca="1" si="22"/>
        <v>#VALUE!</v>
      </c>
      <c r="H438" t="e">
        <f t="shared" ca="1" si="23"/>
        <v>#VALUE!</v>
      </c>
      <c r="I438" t="e">
        <f t="shared" ca="1" si="24"/>
        <v>#VALUE!</v>
      </c>
    </row>
    <row r="439" spans="1:9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20"/>
        <v>#VALUE!</v>
      </c>
      <c r="F439" t="e">
        <f t="shared" ca="1" si="21"/>
        <v>#VALUE!</v>
      </c>
      <c r="G439" t="e">
        <f t="shared" ca="1" si="22"/>
        <v>#VALUE!</v>
      </c>
      <c r="H439" t="e">
        <f t="shared" ca="1" si="23"/>
        <v>#VALUE!</v>
      </c>
      <c r="I439" t="e">
        <f t="shared" ca="1" si="24"/>
        <v>#VALUE!</v>
      </c>
    </row>
    <row r="440" spans="1:9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20"/>
        <v>#VALUE!</v>
      </c>
      <c r="F440" t="e">
        <f t="shared" ca="1" si="21"/>
        <v>#VALUE!</v>
      </c>
      <c r="G440" t="e">
        <f t="shared" ca="1" si="22"/>
        <v>#VALUE!</v>
      </c>
      <c r="H440" t="e">
        <f t="shared" ca="1" si="23"/>
        <v>#VALUE!</v>
      </c>
      <c r="I440" t="e">
        <f t="shared" ca="1" si="24"/>
        <v>#VALUE!</v>
      </c>
    </row>
    <row r="441" spans="1:9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20"/>
        <v>#VALUE!</v>
      </c>
      <c r="F441" t="e">
        <f t="shared" ca="1" si="21"/>
        <v>#VALUE!</v>
      </c>
      <c r="G441" t="e">
        <f t="shared" ca="1" si="22"/>
        <v>#VALUE!</v>
      </c>
      <c r="H441" t="e">
        <f t="shared" ca="1" si="23"/>
        <v>#VALUE!</v>
      </c>
      <c r="I441" t="e">
        <f t="shared" ca="1" si="24"/>
        <v>#VALUE!</v>
      </c>
    </row>
    <row r="442" spans="1:9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20"/>
        <v>#VALUE!</v>
      </c>
      <c r="F442" t="e">
        <f t="shared" ca="1" si="21"/>
        <v>#VALUE!</v>
      </c>
      <c r="G442" t="e">
        <f t="shared" ca="1" si="22"/>
        <v>#VALUE!</v>
      </c>
      <c r="H442" t="e">
        <f t="shared" ca="1" si="23"/>
        <v>#VALUE!</v>
      </c>
      <c r="I442" t="e">
        <f t="shared" ca="1" si="24"/>
        <v>#VALUE!</v>
      </c>
    </row>
    <row r="443" spans="1:9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20"/>
        <v>#VALUE!</v>
      </c>
      <c r="F443" t="e">
        <f t="shared" ca="1" si="21"/>
        <v>#VALUE!</v>
      </c>
      <c r="G443" t="e">
        <f t="shared" ca="1" si="22"/>
        <v>#VALUE!</v>
      </c>
      <c r="H443" t="e">
        <f t="shared" ca="1" si="23"/>
        <v>#VALUE!</v>
      </c>
      <c r="I443" t="e">
        <f t="shared" ca="1" si="24"/>
        <v>#VALUE!</v>
      </c>
    </row>
    <row r="444" spans="1:9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20"/>
        <v>#VALUE!</v>
      </c>
      <c r="F444" t="e">
        <f t="shared" ca="1" si="21"/>
        <v>#VALUE!</v>
      </c>
      <c r="G444" t="e">
        <f t="shared" ca="1" si="22"/>
        <v>#VALUE!</v>
      </c>
      <c r="H444" t="e">
        <f t="shared" ca="1" si="23"/>
        <v>#VALUE!</v>
      </c>
      <c r="I444" t="e">
        <f t="shared" ca="1" si="24"/>
        <v>#VALUE!</v>
      </c>
    </row>
    <row r="445" spans="1:9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20"/>
        <v>#VALUE!</v>
      </c>
      <c r="F445" t="e">
        <f t="shared" ca="1" si="21"/>
        <v>#VALUE!</v>
      </c>
      <c r="G445" t="e">
        <f t="shared" ca="1" si="22"/>
        <v>#VALUE!</v>
      </c>
      <c r="H445" t="e">
        <f t="shared" ca="1" si="23"/>
        <v>#VALUE!</v>
      </c>
      <c r="I445" t="e">
        <f t="shared" ca="1" si="24"/>
        <v>#VALUE!</v>
      </c>
    </row>
    <row r="446" spans="1:9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20"/>
        <v>#VALUE!</v>
      </c>
      <c r="F446" t="e">
        <f t="shared" ca="1" si="21"/>
        <v>#VALUE!</v>
      </c>
      <c r="G446" t="e">
        <f t="shared" ca="1" si="22"/>
        <v>#VALUE!</v>
      </c>
      <c r="H446" t="e">
        <f t="shared" ca="1" si="23"/>
        <v>#VALUE!</v>
      </c>
      <c r="I446" t="e">
        <f t="shared" ca="1" si="24"/>
        <v>#VALUE!</v>
      </c>
    </row>
    <row r="447" spans="1:9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20"/>
        <v>#VALUE!</v>
      </c>
      <c r="F447" t="e">
        <f t="shared" ca="1" si="21"/>
        <v>#VALUE!</v>
      </c>
      <c r="G447" t="e">
        <f t="shared" ca="1" si="22"/>
        <v>#VALUE!</v>
      </c>
      <c r="H447" t="e">
        <f t="shared" ca="1" si="23"/>
        <v>#VALUE!</v>
      </c>
      <c r="I447" t="e">
        <f t="shared" ca="1" si="24"/>
        <v>#VALUE!</v>
      </c>
    </row>
    <row r="448" spans="1:9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20"/>
        <v>#VALUE!</v>
      </c>
      <c r="F448" t="e">
        <f t="shared" ca="1" si="21"/>
        <v>#VALUE!</v>
      </c>
      <c r="G448" t="e">
        <f t="shared" ca="1" si="22"/>
        <v>#VALUE!</v>
      </c>
      <c r="H448" t="e">
        <f t="shared" ca="1" si="23"/>
        <v>#VALUE!</v>
      </c>
      <c r="I448" t="e">
        <f t="shared" ca="1" si="24"/>
        <v>#VALUE!</v>
      </c>
    </row>
    <row r="449" spans="1:9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20"/>
        <v>#VALUE!</v>
      </c>
      <c r="F449" t="e">
        <f t="shared" ca="1" si="21"/>
        <v>#VALUE!</v>
      </c>
      <c r="G449" t="e">
        <f t="shared" ca="1" si="22"/>
        <v>#VALUE!</v>
      </c>
      <c r="H449" t="e">
        <f t="shared" ca="1" si="23"/>
        <v>#VALUE!</v>
      </c>
      <c r="I449" t="e">
        <f t="shared" ca="1" si="24"/>
        <v>#VALUE!</v>
      </c>
    </row>
    <row r="450" spans="1:9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20"/>
        <v>#VALUE!</v>
      </c>
      <c r="F450" t="e">
        <f t="shared" ca="1" si="21"/>
        <v>#VALUE!</v>
      </c>
      <c r="G450" t="e">
        <f t="shared" ca="1" si="22"/>
        <v>#VALUE!</v>
      </c>
      <c r="H450" t="e">
        <f t="shared" ca="1" si="23"/>
        <v>#VALUE!</v>
      </c>
      <c r="I450" t="e">
        <f t="shared" ca="1" si="24"/>
        <v>#VALUE!</v>
      </c>
    </row>
    <row r="451" spans="1:9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20"/>
        <v>#VALUE!</v>
      </c>
      <c r="F451" t="e">
        <f t="shared" ca="1" si="21"/>
        <v>#VALUE!</v>
      </c>
      <c r="G451" t="e">
        <f t="shared" ca="1" si="22"/>
        <v>#VALUE!</v>
      </c>
      <c r="H451" t="e">
        <f t="shared" ca="1" si="23"/>
        <v>#VALUE!</v>
      </c>
      <c r="I451" t="e">
        <f t="shared" ca="1" si="24"/>
        <v>#VALUE!</v>
      </c>
    </row>
    <row r="452" spans="1:9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20"/>
        <v>#VALUE!</v>
      </c>
      <c r="F452" t="e">
        <f t="shared" ca="1" si="21"/>
        <v>#VALUE!</v>
      </c>
      <c r="G452" t="e">
        <f t="shared" ca="1" si="22"/>
        <v>#VALUE!</v>
      </c>
      <c r="H452" t="e">
        <f t="shared" ca="1" si="23"/>
        <v>#VALUE!</v>
      </c>
      <c r="I452" t="e">
        <f t="shared" ca="1" si="24"/>
        <v>#VALUE!</v>
      </c>
    </row>
    <row r="453" spans="1:9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20"/>
        <v>#VALUE!</v>
      </c>
      <c r="F453" t="e">
        <f t="shared" ca="1" si="21"/>
        <v>#VALUE!</v>
      </c>
      <c r="G453" t="e">
        <f t="shared" ca="1" si="22"/>
        <v>#VALUE!</v>
      </c>
      <c r="H453" t="e">
        <f t="shared" ca="1" si="23"/>
        <v>#VALUE!</v>
      </c>
      <c r="I453" t="e">
        <f t="shared" ca="1" si="24"/>
        <v>#VALUE!</v>
      </c>
    </row>
    <row r="454" spans="1:9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20"/>
        <v>#VALUE!</v>
      </c>
      <c r="F454" t="e">
        <f t="shared" ca="1" si="21"/>
        <v>#VALUE!</v>
      </c>
      <c r="G454" t="e">
        <f t="shared" ca="1" si="22"/>
        <v>#VALUE!</v>
      </c>
      <c r="H454" t="e">
        <f t="shared" ca="1" si="23"/>
        <v>#VALUE!</v>
      </c>
      <c r="I454" t="e">
        <f t="shared" ca="1" si="24"/>
        <v>#VALUE!</v>
      </c>
    </row>
    <row r="455" spans="1:9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20"/>
        <v>#VALUE!</v>
      </c>
      <c r="F455" t="e">
        <f t="shared" ca="1" si="21"/>
        <v>#VALUE!</v>
      </c>
      <c r="G455" t="e">
        <f t="shared" ca="1" si="22"/>
        <v>#VALUE!</v>
      </c>
      <c r="H455" t="e">
        <f t="shared" ca="1" si="23"/>
        <v>#VALUE!</v>
      </c>
      <c r="I455" t="e">
        <f t="shared" ca="1" si="24"/>
        <v>#VALUE!</v>
      </c>
    </row>
    <row r="456" spans="1:9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20"/>
        <v>#VALUE!</v>
      </c>
      <c r="F456" t="e">
        <f t="shared" ca="1" si="21"/>
        <v>#VALUE!</v>
      </c>
      <c r="G456" t="e">
        <f t="shared" ca="1" si="22"/>
        <v>#VALUE!</v>
      </c>
      <c r="H456" t="e">
        <f t="shared" ca="1" si="23"/>
        <v>#VALUE!</v>
      </c>
      <c r="I456" t="e">
        <f t="shared" ca="1" si="24"/>
        <v>#VALUE!</v>
      </c>
    </row>
    <row r="457" spans="1:9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20"/>
        <v>#VALUE!</v>
      </c>
      <c r="F457" t="e">
        <f t="shared" ca="1" si="21"/>
        <v>#VALUE!</v>
      </c>
      <c r="G457" t="e">
        <f t="shared" ca="1" si="22"/>
        <v>#VALUE!</v>
      </c>
      <c r="H457" t="e">
        <f t="shared" ca="1" si="23"/>
        <v>#VALUE!</v>
      </c>
      <c r="I457" t="e">
        <f t="shared" ca="1" si="24"/>
        <v>#VALUE!</v>
      </c>
    </row>
    <row r="458" spans="1:9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20"/>
        <v>#VALUE!</v>
      </c>
      <c r="F458" t="e">
        <f t="shared" ca="1" si="21"/>
        <v>#VALUE!</v>
      </c>
      <c r="G458" t="e">
        <f t="shared" ca="1" si="22"/>
        <v>#VALUE!</v>
      </c>
      <c r="H458" t="e">
        <f t="shared" ca="1" si="23"/>
        <v>#VALUE!</v>
      </c>
      <c r="I458" t="e">
        <f t="shared" ca="1" si="24"/>
        <v>#VALUE!</v>
      </c>
    </row>
    <row r="459" spans="1:9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20"/>
        <v>#VALUE!</v>
      </c>
      <c r="F459" t="e">
        <f t="shared" ca="1" si="21"/>
        <v>#VALUE!</v>
      </c>
      <c r="G459" t="e">
        <f t="shared" ca="1" si="22"/>
        <v>#VALUE!</v>
      </c>
      <c r="H459" t="e">
        <f t="shared" ca="1" si="23"/>
        <v>#VALUE!</v>
      </c>
      <c r="I459" t="e">
        <f t="shared" ca="1" si="24"/>
        <v>#VALUE!</v>
      </c>
    </row>
    <row r="460" spans="1:9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20"/>
        <v>#VALUE!</v>
      </c>
      <c r="F460" t="e">
        <f t="shared" ca="1" si="21"/>
        <v>#VALUE!</v>
      </c>
      <c r="G460" t="e">
        <f t="shared" ca="1" si="22"/>
        <v>#VALUE!</v>
      </c>
      <c r="H460" t="e">
        <f t="shared" ca="1" si="23"/>
        <v>#VALUE!</v>
      </c>
      <c r="I460" t="e">
        <f t="shared" ca="1" si="24"/>
        <v>#VALUE!</v>
      </c>
    </row>
    <row r="461" spans="1:9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20"/>
        <v>#VALUE!</v>
      </c>
      <c r="F461" t="e">
        <f t="shared" ca="1" si="21"/>
        <v>#VALUE!</v>
      </c>
      <c r="G461" t="e">
        <f t="shared" ca="1" si="22"/>
        <v>#VALUE!</v>
      </c>
      <c r="H461" t="e">
        <f t="shared" ca="1" si="23"/>
        <v>#VALUE!</v>
      </c>
      <c r="I461" t="e">
        <f t="shared" ca="1" si="24"/>
        <v>#VALUE!</v>
      </c>
    </row>
    <row r="462" spans="1:9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20"/>
        <v>#VALUE!</v>
      </c>
      <c r="F462" t="e">
        <f t="shared" ca="1" si="21"/>
        <v>#VALUE!</v>
      </c>
      <c r="G462" t="e">
        <f t="shared" ca="1" si="22"/>
        <v>#VALUE!</v>
      </c>
      <c r="H462" t="e">
        <f t="shared" ca="1" si="23"/>
        <v>#VALUE!</v>
      </c>
      <c r="I462" t="e">
        <f t="shared" ca="1" si="24"/>
        <v>#VALUE!</v>
      </c>
    </row>
    <row r="463" spans="1:9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20"/>
        <v>#VALUE!</v>
      </c>
      <c r="F463" t="e">
        <f t="shared" ca="1" si="21"/>
        <v>#VALUE!</v>
      </c>
      <c r="G463" t="e">
        <f t="shared" ca="1" si="22"/>
        <v>#VALUE!</v>
      </c>
      <c r="H463" t="e">
        <f t="shared" ca="1" si="23"/>
        <v>#VALUE!</v>
      </c>
      <c r="I463" t="e">
        <f t="shared" ca="1" si="24"/>
        <v>#VALUE!</v>
      </c>
    </row>
    <row r="464" spans="1:9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20"/>
        <v>#VALUE!</v>
      </c>
      <c r="F464" t="e">
        <f t="shared" ca="1" si="21"/>
        <v>#VALUE!</v>
      </c>
      <c r="G464" t="e">
        <f t="shared" ca="1" si="22"/>
        <v>#VALUE!</v>
      </c>
      <c r="H464" t="e">
        <f t="shared" ca="1" si="23"/>
        <v>#VALUE!</v>
      </c>
      <c r="I464" t="e">
        <f t="shared" ca="1" si="24"/>
        <v>#VALUE!</v>
      </c>
    </row>
    <row r="465" spans="1:9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20"/>
        <v>#VALUE!</v>
      </c>
      <c r="F465" t="e">
        <f t="shared" ca="1" si="21"/>
        <v>#VALUE!</v>
      </c>
      <c r="G465" t="e">
        <f t="shared" ca="1" si="22"/>
        <v>#VALUE!</v>
      </c>
      <c r="H465" t="e">
        <f t="shared" ca="1" si="23"/>
        <v>#VALUE!</v>
      </c>
      <c r="I465" t="e">
        <f t="shared" ca="1" si="24"/>
        <v>#VALUE!</v>
      </c>
    </row>
    <row r="466" spans="1:9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20"/>
        <v>#VALUE!</v>
      </c>
      <c r="F466" t="e">
        <f t="shared" ca="1" si="21"/>
        <v>#VALUE!</v>
      </c>
      <c r="G466" t="e">
        <f t="shared" ca="1" si="22"/>
        <v>#VALUE!</v>
      </c>
      <c r="H466" t="e">
        <f t="shared" ca="1" si="23"/>
        <v>#VALUE!</v>
      </c>
      <c r="I466" t="e">
        <f t="shared" ca="1" si="24"/>
        <v>#VALUE!</v>
      </c>
    </row>
    <row r="467" spans="1:9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20"/>
        <v>#VALUE!</v>
      </c>
      <c r="F467" t="e">
        <f t="shared" ca="1" si="21"/>
        <v>#VALUE!</v>
      </c>
      <c r="G467" t="e">
        <f t="shared" ca="1" si="22"/>
        <v>#VALUE!</v>
      </c>
      <c r="H467" t="e">
        <f t="shared" ca="1" si="23"/>
        <v>#VALUE!</v>
      </c>
      <c r="I467" t="e">
        <f t="shared" ca="1" si="24"/>
        <v>#VALUE!</v>
      </c>
    </row>
    <row r="468" spans="1:9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20"/>
        <v>#VALUE!</v>
      </c>
      <c r="F468" t="e">
        <f t="shared" ca="1" si="21"/>
        <v>#VALUE!</v>
      </c>
      <c r="G468" t="e">
        <f t="shared" ca="1" si="22"/>
        <v>#VALUE!</v>
      </c>
      <c r="H468" t="e">
        <f t="shared" ca="1" si="23"/>
        <v>#VALUE!</v>
      </c>
      <c r="I468" t="e">
        <f t="shared" ca="1" si="24"/>
        <v>#VALUE!</v>
      </c>
    </row>
    <row r="469" spans="1:9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20"/>
        <v>#VALUE!</v>
      </c>
      <c r="F469" t="e">
        <f t="shared" ca="1" si="21"/>
        <v>#VALUE!</v>
      </c>
      <c r="G469" t="e">
        <f t="shared" ca="1" si="22"/>
        <v>#VALUE!</v>
      </c>
      <c r="H469" t="e">
        <f t="shared" ca="1" si="23"/>
        <v>#VALUE!</v>
      </c>
      <c r="I469" t="e">
        <f t="shared" ca="1" si="24"/>
        <v>#VALUE!</v>
      </c>
    </row>
    <row r="470" spans="1:9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20"/>
        <v>#VALUE!</v>
      </c>
      <c r="F470" t="e">
        <f t="shared" ca="1" si="21"/>
        <v>#VALUE!</v>
      </c>
      <c r="G470" t="e">
        <f t="shared" ca="1" si="22"/>
        <v>#VALUE!</v>
      </c>
      <c r="H470" t="e">
        <f t="shared" ca="1" si="23"/>
        <v>#VALUE!</v>
      </c>
      <c r="I470" t="e">
        <f t="shared" ca="1" si="24"/>
        <v>#VALUE!</v>
      </c>
    </row>
    <row r="471" spans="1:9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20"/>
        <v>#VALUE!</v>
      </c>
      <c r="F471" t="e">
        <f t="shared" ca="1" si="21"/>
        <v>#VALUE!</v>
      </c>
      <c r="G471" t="e">
        <f t="shared" ca="1" si="22"/>
        <v>#VALUE!</v>
      </c>
      <c r="H471" t="e">
        <f t="shared" ca="1" si="23"/>
        <v>#VALUE!</v>
      </c>
      <c r="I471" t="e">
        <f t="shared" ca="1" si="24"/>
        <v>#VALUE!</v>
      </c>
    </row>
    <row r="472" spans="1:9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20"/>
        <v>#VALUE!</v>
      </c>
      <c r="F472" t="e">
        <f t="shared" ca="1" si="21"/>
        <v>#VALUE!</v>
      </c>
      <c r="G472" t="e">
        <f t="shared" ca="1" si="22"/>
        <v>#VALUE!</v>
      </c>
      <c r="H472" t="e">
        <f t="shared" ca="1" si="23"/>
        <v>#VALUE!</v>
      </c>
      <c r="I472" t="e">
        <f t="shared" ca="1" si="24"/>
        <v>#VALUE!</v>
      </c>
    </row>
    <row r="473" spans="1:9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20"/>
        <v>#VALUE!</v>
      </c>
      <c r="F473" t="e">
        <f t="shared" ca="1" si="21"/>
        <v>#VALUE!</v>
      </c>
      <c r="G473" t="e">
        <f t="shared" ca="1" si="22"/>
        <v>#VALUE!</v>
      </c>
      <c r="H473" t="e">
        <f t="shared" ca="1" si="23"/>
        <v>#VALUE!</v>
      </c>
      <c r="I473" t="e">
        <f t="shared" ca="1" si="24"/>
        <v>#VALUE!</v>
      </c>
    </row>
    <row r="474" spans="1:9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20"/>
        <v>#VALUE!</v>
      </c>
      <c r="F474" t="e">
        <f t="shared" ca="1" si="21"/>
        <v>#VALUE!</v>
      </c>
      <c r="G474" t="e">
        <f t="shared" ca="1" si="22"/>
        <v>#VALUE!</v>
      </c>
      <c r="H474" t="e">
        <f t="shared" ca="1" si="23"/>
        <v>#VALUE!</v>
      </c>
      <c r="I474" t="e">
        <f t="shared" ca="1" si="24"/>
        <v>#VALUE!</v>
      </c>
    </row>
    <row r="475" spans="1:9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20"/>
        <v>#VALUE!</v>
      </c>
      <c r="F475" t="e">
        <f t="shared" ca="1" si="21"/>
        <v>#VALUE!</v>
      </c>
      <c r="G475" t="e">
        <f t="shared" ca="1" si="22"/>
        <v>#VALUE!</v>
      </c>
      <c r="H475" t="e">
        <f t="shared" ca="1" si="23"/>
        <v>#VALUE!</v>
      </c>
      <c r="I475" t="e">
        <f t="shared" ca="1" si="24"/>
        <v>#VALUE!</v>
      </c>
    </row>
    <row r="476" spans="1:9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20"/>
        <v>#VALUE!</v>
      </c>
      <c r="F476" t="e">
        <f t="shared" ca="1" si="21"/>
        <v>#VALUE!</v>
      </c>
      <c r="G476" t="e">
        <f t="shared" ca="1" si="22"/>
        <v>#VALUE!</v>
      </c>
      <c r="H476" t="e">
        <f t="shared" ca="1" si="23"/>
        <v>#VALUE!</v>
      </c>
      <c r="I476" t="e">
        <f t="shared" ca="1" si="24"/>
        <v>#VALUE!</v>
      </c>
    </row>
    <row r="477" spans="1:9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20"/>
        <v>#VALUE!</v>
      </c>
      <c r="F477" t="e">
        <f t="shared" ca="1" si="21"/>
        <v>#VALUE!</v>
      </c>
      <c r="G477" t="e">
        <f t="shared" ca="1" si="22"/>
        <v>#VALUE!</v>
      </c>
      <c r="H477" t="e">
        <f t="shared" ca="1" si="23"/>
        <v>#VALUE!</v>
      </c>
      <c r="I477" t="e">
        <f t="shared" ca="1" si="24"/>
        <v>#VALUE!</v>
      </c>
    </row>
    <row r="478" spans="1:9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20"/>
        <v>#VALUE!</v>
      </c>
      <c r="F478" t="e">
        <f t="shared" ca="1" si="21"/>
        <v>#VALUE!</v>
      </c>
      <c r="G478" t="e">
        <f t="shared" ca="1" si="22"/>
        <v>#VALUE!</v>
      </c>
      <c r="H478" t="e">
        <f t="shared" ca="1" si="23"/>
        <v>#VALUE!</v>
      </c>
      <c r="I478" t="e">
        <f t="shared" ca="1" si="24"/>
        <v>#VALUE!</v>
      </c>
    </row>
    <row r="479" spans="1:9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20"/>
        <v>#VALUE!</v>
      </c>
      <c r="F479" t="e">
        <f t="shared" ca="1" si="21"/>
        <v>#VALUE!</v>
      </c>
      <c r="G479" t="e">
        <f t="shared" ca="1" si="22"/>
        <v>#VALUE!</v>
      </c>
      <c r="H479" t="e">
        <f t="shared" ca="1" si="23"/>
        <v>#VALUE!</v>
      </c>
      <c r="I479" t="e">
        <f t="shared" ca="1" si="24"/>
        <v>#VALUE!</v>
      </c>
    </row>
    <row r="480" spans="1:9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20"/>
        <v>#VALUE!</v>
      </c>
      <c r="F480" t="e">
        <f t="shared" ca="1" si="21"/>
        <v>#VALUE!</v>
      </c>
      <c r="G480" t="e">
        <f t="shared" ca="1" si="22"/>
        <v>#VALUE!</v>
      </c>
      <c r="H480" t="e">
        <f t="shared" ca="1" si="23"/>
        <v>#VALUE!</v>
      </c>
      <c r="I480" t="e">
        <f t="shared" ca="1" si="24"/>
        <v>#VALUE!</v>
      </c>
    </row>
    <row r="481" spans="1:9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20"/>
        <v>#VALUE!</v>
      </c>
      <c r="F481" t="e">
        <f t="shared" ca="1" si="21"/>
        <v>#VALUE!</v>
      </c>
      <c r="G481" t="e">
        <f t="shared" ca="1" si="22"/>
        <v>#VALUE!</v>
      </c>
      <c r="H481" t="e">
        <f t="shared" ca="1" si="23"/>
        <v>#VALUE!</v>
      </c>
      <c r="I481" t="e">
        <f t="shared" ca="1" si="24"/>
        <v>#VALUE!</v>
      </c>
    </row>
    <row r="482" spans="1:9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20"/>
        <v>#VALUE!</v>
      </c>
      <c r="F482" t="e">
        <f t="shared" ca="1" si="21"/>
        <v>#VALUE!</v>
      </c>
      <c r="G482" t="e">
        <f t="shared" ca="1" si="22"/>
        <v>#VALUE!</v>
      </c>
      <c r="H482" t="e">
        <f t="shared" ca="1" si="23"/>
        <v>#VALUE!</v>
      </c>
      <c r="I482" t="e">
        <f t="shared" ca="1" si="24"/>
        <v>#VALUE!</v>
      </c>
    </row>
    <row r="483" spans="1:9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20"/>
        <v>#VALUE!</v>
      </c>
      <c r="F483" t="e">
        <f t="shared" ca="1" si="21"/>
        <v>#VALUE!</v>
      </c>
      <c r="G483" t="e">
        <f t="shared" ca="1" si="22"/>
        <v>#VALUE!</v>
      </c>
      <c r="H483" t="e">
        <f t="shared" ca="1" si="23"/>
        <v>#VALUE!</v>
      </c>
      <c r="I483" t="e">
        <f t="shared" ca="1" si="24"/>
        <v>#VALUE!</v>
      </c>
    </row>
    <row r="484" spans="1:9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20"/>
        <v>#VALUE!</v>
      </c>
      <c r="F484" t="e">
        <f t="shared" ca="1" si="21"/>
        <v>#VALUE!</v>
      </c>
      <c r="G484" t="e">
        <f t="shared" ca="1" si="22"/>
        <v>#VALUE!</v>
      </c>
      <c r="H484" t="e">
        <f t="shared" ca="1" si="23"/>
        <v>#VALUE!</v>
      </c>
      <c r="I484" t="e">
        <f t="shared" ca="1" si="24"/>
        <v>#VALUE!</v>
      </c>
    </row>
    <row r="485" spans="1:9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20"/>
        <v>#VALUE!</v>
      </c>
      <c r="F485" t="e">
        <f t="shared" ca="1" si="21"/>
        <v>#VALUE!</v>
      </c>
      <c r="G485" t="e">
        <f t="shared" ca="1" si="22"/>
        <v>#VALUE!</v>
      </c>
      <c r="H485" t="e">
        <f t="shared" ca="1" si="23"/>
        <v>#VALUE!</v>
      </c>
      <c r="I485" t="e">
        <f t="shared" ca="1" si="24"/>
        <v>#VALUE!</v>
      </c>
    </row>
    <row r="486" spans="1:9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20"/>
        <v>#VALUE!</v>
      </c>
      <c r="F486" t="e">
        <f t="shared" ca="1" si="21"/>
        <v>#VALUE!</v>
      </c>
      <c r="G486" t="e">
        <f t="shared" ca="1" si="22"/>
        <v>#VALUE!</v>
      </c>
      <c r="H486" t="e">
        <f t="shared" ca="1" si="23"/>
        <v>#VALUE!</v>
      </c>
      <c r="I486" t="e">
        <f t="shared" ca="1" si="24"/>
        <v>#VALUE!</v>
      </c>
    </row>
    <row r="487" spans="1:9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20"/>
        <v>#VALUE!</v>
      </c>
      <c r="F487" t="e">
        <f t="shared" ca="1" si="21"/>
        <v>#VALUE!</v>
      </c>
      <c r="G487" t="e">
        <f t="shared" ca="1" si="22"/>
        <v>#VALUE!</v>
      </c>
      <c r="H487" t="e">
        <f t="shared" ca="1" si="23"/>
        <v>#VALUE!</v>
      </c>
      <c r="I487" t="e">
        <f t="shared" ca="1" si="24"/>
        <v>#VALUE!</v>
      </c>
    </row>
    <row r="488" spans="1:9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20"/>
        <v>#VALUE!</v>
      </c>
      <c r="F488" t="e">
        <f t="shared" ca="1" si="21"/>
        <v>#VALUE!</v>
      </c>
      <c r="G488" t="e">
        <f t="shared" ca="1" si="22"/>
        <v>#VALUE!</v>
      </c>
      <c r="H488" t="e">
        <f t="shared" ca="1" si="23"/>
        <v>#VALUE!</v>
      </c>
      <c r="I488" t="e">
        <f t="shared" ca="1" si="24"/>
        <v>#VALUE!</v>
      </c>
    </row>
    <row r="489" spans="1:9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20"/>
        <v>#VALUE!</v>
      </c>
      <c r="F489" t="e">
        <f t="shared" ca="1" si="21"/>
        <v>#VALUE!</v>
      </c>
      <c r="G489" t="e">
        <f t="shared" ca="1" si="22"/>
        <v>#VALUE!</v>
      </c>
      <c r="H489" t="e">
        <f t="shared" ca="1" si="23"/>
        <v>#VALUE!</v>
      </c>
      <c r="I489" t="e">
        <f t="shared" ca="1" si="24"/>
        <v>#VALUE!</v>
      </c>
    </row>
    <row r="490" spans="1:9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20"/>
        <v>#VALUE!</v>
      </c>
      <c r="F490" t="e">
        <f t="shared" ca="1" si="21"/>
        <v>#VALUE!</v>
      </c>
      <c r="G490" t="e">
        <f t="shared" ca="1" si="22"/>
        <v>#VALUE!</v>
      </c>
      <c r="H490" t="e">
        <f t="shared" ca="1" si="23"/>
        <v>#VALUE!</v>
      </c>
      <c r="I490" t="e">
        <f t="shared" ca="1" si="24"/>
        <v>#VALUE!</v>
      </c>
    </row>
    <row r="491" spans="1:9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20"/>
        <v>#VALUE!</v>
      </c>
      <c r="F491" t="e">
        <f t="shared" ca="1" si="21"/>
        <v>#VALUE!</v>
      </c>
      <c r="G491" t="e">
        <f t="shared" ca="1" si="22"/>
        <v>#VALUE!</v>
      </c>
      <c r="H491" t="e">
        <f t="shared" ca="1" si="23"/>
        <v>#VALUE!</v>
      </c>
      <c r="I491" t="e">
        <f t="shared" ca="1" si="24"/>
        <v>#VALUE!</v>
      </c>
    </row>
    <row r="492" spans="1:9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20"/>
        <v>#VALUE!</v>
      </c>
      <c r="F492" t="e">
        <f t="shared" ca="1" si="21"/>
        <v>#VALUE!</v>
      </c>
      <c r="G492" t="e">
        <f t="shared" ca="1" si="22"/>
        <v>#VALUE!</v>
      </c>
      <c r="H492" t="e">
        <f t="shared" ca="1" si="23"/>
        <v>#VALUE!</v>
      </c>
      <c r="I492" t="e">
        <f t="shared" ca="1" si="24"/>
        <v>#VALUE!</v>
      </c>
    </row>
    <row r="493" spans="1:9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20"/>
        <v>#VALUE!</v>
      </c>
      <c r="F493" t="e">
        <f t="shared" ca="1" si="21"/>
        <v>#VALUE!</v>
      </c>
      <c r="G493" t="e">
        <f t="shared" ca="1" si="22"/>
        <v>#VALUE!</v>
      </c>
      <c r="H493" t="e">
        <f t="shared" ca="1" si="23"/>
        <v>#VALUE!</v>
      </c>
      <c r="I493" t="e">
        <f t="shared" ca="1" si="24"/>
        <v>#VALUE!</v>
      </c>
    </row>
    <row r="494" spans="1:9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20"/>
        <v>#VALUE!</v>
      </c>
      <c r="F494" t="e">
        <f t="shared" ca="1" si="21"/>
        <v>#VALUE!</v>
      </c>
      <c r="G494" t="e">
        <f t="shared" ca="1" si="22"/>
        <v>#VALUE!</v>
      </c>
      <c r="H494" t="e">
        <f t="shared" ca="1" si="23"/>
        <v>#VALUE!</v>
      </c>
      <c r="I494" t="e">
        <f t="shared" ca="1" si="24"/>
        <v>#VALUE!</v>
      </c>
    </row>
    <row r="495" spans="1:9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20"/>
        <v>#VALUE!</v>
      </c>
      <c r="F495" t="e">
        <f t="shared" ca="1" si="21"/>
        <v>#VALUE!</v>
      </c>
      <c r="G495" t="e">
        <f t="shared" ca="1" si="22"/>
        <v>#VALUE!</v>
      </c>
      <c r="H495" t="e">
        <f t="shared" ca="1" si="23"/>
        <v>#VALUE!</v>
      </c>
      <c r="I495" t="e">
        <f t="shared" ca="1" si="24"/>
        <v>#VALUE!</v>
      </c>
    </row>
    <row r="496" spans="1:9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20"/>
        <v>#VALUE!</v>
      </c>
      <c r="F496" t="e">
        <f t="shared" ca="1" si="21"/>
        <v>#VALUE!</v>
      </c>
      <c r="G496" t="e">
        <f t="shared" ca="1" si="22"/>
        <v>#VALUE!</v>
      </c>
      <c r="H496" t="e">
        <f t="shared" ca="1" si="23"/>
        <v>#VALUE!</v>
      </c>
      <c r="I496" t="e">
        <f t="shared" ca="1" si="24"/>
        <v>#VALUE!</v>
      </c>
    </row>
    <row r="497" spans="1:9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20"/>
        <v>#VALUE!</v>
      </c>
      <c r="F497" t="e">
        <f t="shared" ca="1" si="21"/>
        <v>#VALUE!</v>
      </c>
      <c r="G497" t="e">
        <f t="shared" ca="1" si="22"/>
        <v>#VALUE!</v>
      </c>
      <c r="H497" t="e">
        <f t="shared" ca="1" si="23"/>
        <v>#VALUE!</v>
      </c>
      <c r="I497" t="e">
        <f t="shared" ca="1" si="24"/>
        <v>#VALUE!</v>
      </c>
    </row>
    <row r="498" spans="1:9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20"/>
        <v>#VALUE!</v>
      </c>
      <c r="F498" t="e">
        <f t="shared" ca="1" si="21"/>
        <v>#VALUE!</v>
      </c>
      <c r="G498" t="e">
        <f t="shared" ca="1" si="22"/>
        <v>#VALUE!</v>
      </c>
      <c r="H498" t="e">
        <f t="shared" ca="1" si="23"/>
        <v>#VALUE!</v>
      </c>
      <c r="I498" t="e">
        <f t="shared" ca="1" si="24"/>
        <v>#VALUE!</v>
      </c>
    </row>
    <row r="499" spans="1:9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ref="E499:E562" ca="1" si="25">IF(D499="T", 0.05, IF(D499="C", -0.01, ""))</f>
        <v>#VALUE!</v>
      </c>
      <c r="F499" t="e">
        <f t="shared" ref="F499:F562" ca="1" si="26">IF(D499="T", 0.05, IF(D499="C", 0, ""))</f>
        <v>#VALUE!</v>
      </c>
      <c r="G499" t="e">
        <f t="shared" ref="G499:G562" ca="1" si="27">IF(D499="T", 0, IF(D499="C", 0, ""))</f>
        <v>#VALUE!</v>
      </c>
      <c r="H499" t="e">
        <f t="shared" ref="H499:H562" ca="1" si="28">IF(D499="T", 0.05, IF(D499="C", 0, ""))</f>
        <v>#VALUE!</v>
      </c>
      <c r="I499" t="e">
        <f t="shared" ref="I499:I562" ca="1" si="29">IF(D499="T", 0, IF(D499="C", 0, ""))</f>
        <v>#VALUE!</v>
      </c>
    </row>
    <row r="500" spans="1:9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25"/>
        <v>#VALUE!</v>
      </c>
      <c r="F500" t="e">
        <f t="shared" ca="1" si="26"/>
        <v>#VALUE!</v>
      </c>
      <c r="G500" t="e">
        <f t="shared" ca="1" si="27"/>
        <v>#VALUE!</v>
      </c>
      <c r="H500" t="e">
        <f t="shared" ca="1" si="28"/>
        <v>#VALUE!</v>
      </c>
      <c r="I500" t="e">
        <f t="shared" ca="1" si="29"/>
        <v>#VALUE!</v>
      </c>
    </row>
    <row r="501" spans="1:9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25"/>
        <v>#VALUE!</v>
      </c>
      <c r="F501" t="e">
        <f t="shared" ca="1" si="26"/>
        <v>#VALUE!</v>
      </c>
      <c r="G501" t="e">
        <f t="shared" ca="1" si="27"/>
        <v>#VALUE!</v>
      </c>
      <c r="H501" t="e">
        <f t="shared" ca="1" si="28"/>
        <v>#VALUE!</v>
      </c>
      <c r="I501" t="e">
        <f t="shared" ca="1" si="29"/>
        <v>#VALUE!</v>
      </c>
    </row>
    <row r="502" spans="1:9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25"/>
        <v>#VALUE!</v>
      </c>
      <c r="F502" t="e">
        <f t="shared" ca="1" si="26"/>
        <v>#VALUE!</v>
      </c>
      <c r="G502" t="e">
        <f t="shared" ca="1" si="27"/>
        <v>#VALUE!</v>
      </c>
      <c r="H502" t="e">
        <f t="shared" ca="1" si="28"/>
        <v>#VALUE!</v>
      </c>
      <c r="I502" t="e">
        <f t="shared" ca="1" si="29"/>
        <v>#VALUE!</v>
      </c>
    </row>
    <row r="503" spans="1:9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25"/>
        <v>#VALUE!</v>
      </c>
      <c r="F503" t="e">
        <f t="shared" ca="1" si="26"/>
        <v>#VALUE!</v>
      </c>
      <c r="G503" t="e">
        <f t="shared" ca="1" si="27"/>
        <v>#VALUE!</v>
      </c>
      <c r="H503" t="e">
        <f t="shared" ca="1" si="28"/>
        <v>#VALUE!</v>
      </c>
      <c r="I503" t="e">
        <f t="shared" ca="1" si="29"/>
        <v>#VALUE!</v>
      </c>
    </row>
    <row r="504" spans="1:9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25"/>
        <v>#VALUE!</v>
      </c>
      <c r="F504" t="e">
        <f t="shared" ca="1" si="26"/>
        <v>#VALUE!</v>
      </c>
      <c r="G504" t="e">
        <f t="shared" ca="1" si="27"/>
        <v>#VALUE!</v>
      </c>
      <c r="H504" t="e">
        <f t="shared" ca="1" si="28"/>
        <v>#VALUE!</v>
      </c>
      <c r="I504" t="e">
        <f t="shared" ca="1" si="29"/>
        <v>#VALUE!</v>
      </c>
    </row>
    <row r="505" spans="1:9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25"/>
        <v>#VALUE!</v>
      </c>
      <c r="F505" t="e">
        <f t="shared" ca="1" si="26"/>
        <v>#VALUE!</v>
      </c>
      <c r="G505" t="e">
        <f t="shared" ca="1" si="27"/>
        <v>#VALUE!</v>
      </c>
      <c r="H505" t="e">
        <f t="shared" ca="1" si="28"/>
        <v>#VALUE!</v>
      </c>
      <c r="I505" t="e">
        <f t="shared" ca="1" si="29"/>
        <v>#VALUE!</v>
      </c>
    </row>
    <row r="506" spans="1:9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25"/>
        <v>#VALUE!</v>
      </c>
      <c r="F506" t="e">
        <f t="shared" ca="1" si="26"/>
        <v>#VALUE!</v>
      </c>
      <c r="G506" t="e">
        <f t="shared" ca="1" si="27"/>
        <v>#VALUE!</v>
      </c>
      <c r="H506" t="e">
        <f t="shared" ca="1" si="28"/>
        <v>#VALUE!</v>
      </c>
      <c r="I506" t="e">
        <f t="shared" ca="1" si="29"/>
        <v>#VALUE!</v>
      </c>
    </row>
    <row r="507" spans="1:9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25"/>
        <v>#VALUE!</v>
      </c>
      <c r="F507" t="e">
        <f t="shared" ca="1" si="26"/>
        <v>#VALUE!</v>
      </c>
      <c r="G507" t="e">
        <f t="shared" ca="1" si="27"/>
        <v>#VALUE!</v>
      </c>
      <c r="H507" t="e">
        <f t="shared" ca="1" si="28"/>
        <v>#VALUE!</v>
      </c>
      <c r="I507" t="e">
        <f t="shared" ca="1" si="29"/>
        <v>#VALUE!</v>
      </c>
    </row>
    <row r="508" spans="1:9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25"/>
        <v>#VALUE!</v>
      </c>
      <c r="F508" t="e">
        <f t="shared" ca="1" si="26"/>
        <v>#VALUE!</v>
      </c>
      <c r="G508" t="e">
        <f t="shared" ca="1" si="27"/>
        <v>#VALUE!</v>
      </c>
      <c r="H508" t="e">
        <f t="shared" ca="1" si="28"/>
        <v>#VALUE!</v>
      </c>
      <c r="I508" t="e">
        <f t="shared" ca="1" si="29"/>
        <v>#VALUE!</v>
      </c>
    </row>
    <row r="509" spans="1:9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25"/>
        <v>#VALUE!</v>
      </c>
      <c r="F509" t="e">
        <f t="shared" ca="1" si="26"/>
        <v>#VALUE!</v>
      </c>
      <c r="G509" t="e">
        <f t="shared" ca="1" si="27"/>
        <v>#VALUE!</v>
      </c>
      <c r="H509" t="e">
        <f t="shared" ca="1" si="28"/>
        <v>#VALUE!</v>
      </c>
      <c r="I509" t="e">
        <f t="shared" ca="1" si="29"/>
        <v>#VALUE!</v>
      </c>
    </row>
    <row r="510" spans="1:9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25"/>
        <v>#VALUE!</v>
      </c>
      <c r="F510" t="e">
        <f t="shared" ca="1" si="26"/>
        <v>#VALUE!</v>
      </c>
      <c r="G510" t="e">
        <f t="shared" ca="1" si="27"/>
        <v>#VALUE!</v>
      </c>
      <c r="H510" t="e">
        <f t="shared" ca="1" si="28"/>
        <v>#VALUE!</v>
      </c>
      <c r="I510" t="e">
        <f t="shared" ca="1" si="29"/>
        <v>#VALUE!</v>
      </c>
    </row>
    <row r="511" spans="1:9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25"/>
        <v>#VALUE!</v>
      </c>
      <c r="F511" t="e">
        <f t="shared" ca="1" si="26"/>
        <v>#VALUE!</v>
      </c>
      <c r="G511" t="e">
        <f t="shared" ca="1" si="27"/>
        <v>#VALUE!</v>
      </c>
      <c r="H511" t="e">
        <f t="shared" ca="1" si="28"/>
        <v>#VALUE!</v>
      </c>
      <c r="I511" t="e">
        <f t="shared" ca="1" si="29"/>
        <v>#VALUE!</v>
      </c>
    </row>
    <row r="512" spans="1:9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25"/>
        <v>#VALUE!</v>
      </c>
      <c r="F512" t="e">
        <f t="shared" ca="1" si="26"/>
        <v>#VALUE!</v>
      </c>
      <c r="G512" t="e">
        <f t="shared" ca="1" si="27"/>
        <v>#VALUE!</v>
      </c>
      <c r="H512" t="e">
        <f t="shared" ca="1" si="28"/>
        <v>#VALUE!</v>
      </c>
      <c r="I512" t="e">
        <f t="shared" ca="1" si="29"/>
        <v>#VALUE!</v>
      </c>
    </row>
    <row r="513" spans="1:9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25"/>
        <v>#VALUE!</v>
      </c>
      <c r="F513" t="e">
        <f t="shared" ca="1" si="26"/>
        <v>#VALUE!</v>
      </c>
      <c r="G513" t="e">
        <f t="shared" ca="1" si="27"/>
        <v>#VALUE!</v>
      </c>
      <c r="H513" t="e">
        <f t="shared" ca="1" si="28"/>
        <v>#VALUE!</v>
      </c>
      <c r="I513" t="e">
        <f t="shared" ca="1" si="29"/>
        <v>#VALUE!</v>
      </c>
    </row>
    <row r="514" spans="1:9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25"/>
        <v>#VALUE!</v>
      </c>
      <c r="F514" t="e">
        <f t="shared" ca="1" si="26"/>
        <v>#VALUE!</v>
      </c>
      <c r="G514" t="e">
        <f t="shared" ca="1" si="27"/>
        <v>#VALUE!</v>
      </c>
      <c r="H514" t="e">
        <f t="shared" ca="1" si="28"/>
        <v>#VALUE!</v>
      </c>
      <c r="I514" t="e">
        <f t="shared" ca="1" si="29"/>
        <v>#VALUE!</v>
      </c>
    </row>
    <row r="515" spans="1:9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25"/>
        <v>#VALUE!</v>
      </c>
      <c r="F515" t="e">
        <f t="shared" ca="1" si="26"/>
        <v>#VALUE!</v>
      </c>
      <c r="G515" t="e">
        <f t="shared" ca="1" si="27"/>
        <v>#VALUE!</v>
      </c>
      <c r="H515" t="e">
        <f t="shared" ca="1" si="28"/>
        <v>#VALUE!</v>
      </c>
      <c r="I515" t="e">
        <f t="shared" ca="1" si="29"/>
        <v>#VALUE!</v>
      </c>
    </row>
    <row r="516" spans="1:9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25"/>
        <v>#VALUE!</v>
      </c>
      <c r="F516" t="e">
        <f t="shared" ca="1" si="26"/>
        <v>#VALUE!</v>
      </c>
      <c r="G516" t="e">
        <f t="shared" ca="1" si="27"/>
        <v>#VALUE!</v>
      </c>
      <c r="H516" t="e">
        <f t="shared" ca="1" si="28"/>
        <v>#VALUE!</v>
      </c>
      <c r="I516" t="e">
        <f t="shared" ca="1" si="29"/>
        <v>#VALUE!</v>
      </c>
    </row>
    <row r="517" spans="1:9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25"/>
        <v>#VALUE!</v>
      </c>
      <c r="F517" t="e">
        <f t="shared" ca="1" si="26"/>
        <v>#VALUE!</v>
      </c>
      <c r="G517" t="e">
        <f t="shared" ca="1" si="27"/>
        <v>#VALUE!</v>
      </c>
      <c r="H517" t="e">
        <f t="shared" ca="1" si="28"/>
        <v>#VALUE!</v>
      </c>
      <c r="I517" t="e">
        <f t="shared" ca="1" si="29"/>
        <v>#VALUE!</v>
      </c>
    </row>
    <row r="518" spans="1:9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25"/>
        <v>#VALUE!</v>
      </c>
      <c r="F518" t="e">
        <f t="shared" ca="1" si="26"/>
        <v>#VALUE!</v>
      </c>
      <c r="G518" t="e">
        <f t="shared" ca="1" si="27"/>
        <v>#VALUE!</v>
      </c>
      <c r="H518" t="e">
        <f t="shared" ca="1" si="28"/>
        <v>#VALUE!</v>
      </c>
      <c r="I518" t="e">
        <f t="shared" ca="1" si="29"/>
        <v>#VALUE!</v>
      </c>
    </row>
    <row r="519" spans="1:9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25"/>
        <v>#VALUE!</v>
      </c>
      <c r="F519" t="e">
        <f t="shared" ca="1" si="26"/>
        <v>#VALUE!</v>
      </c>
      <c r="G519" t="e">
        <f t="shared" ca="1" si="27"/>
        <v>#VALUE!</v>
      </c>
      <c r="H519" t="e">
        <f t="shared" ca="1" si="28"/>
        <v>#VALUE!</v>
      </c>
      <c r="I519" t="e">
        <f t="shared" ca="1" si="29"/>
        <v>#VALUE!</v>
      </c>
    </row>
    <row r="520" spans="1:9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25"/>
        <v>#VALUE!</v>
      </c>
      <c r="F520" t="e">
        <f t="shared" ca="1" si="26"/>
        <v>#VALUE!</v>
      </c>
      <c r="G520" t="e">
        <f t="shared" ca="1" si="27"/>
        <v>#VALUE!</v>
      </c>
      <c r="H520" t="e">
        <f t="shared" ca="1" si="28"/>
        <v>#VALUE!</v>
      </c>
      <c r="I520" t="e">
        <f t="shared" ca="1" si="29"/>
        <v>#VALUE!</v>
      </c>
    </row>
    <row r="521" spans="1:9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25"/>
        <v>#VALUE!</v>
      </c>
      <c r="F521" t="e">
        <f t="shared" ca="1" si="26"/>
        <v>#VALUE!</v>
      </c>
      <c r="G521" t="e">
        <f t="shared" ca="1" si="27"/>
        <v>#VALUE!</v>
      </c>
      <c r="H521" t="e">
        <f t="shared" ca="1" si="28"/>
        <v>#VALUE!</v>
      </c>
      <c r="I521" t="e">
        <f t="shared" ca="1" si="29"/>
        <v>#VALUE!</v>
      </c>
    </row>
    <row r="522" spans="1:9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25"/>
        <v>#VALUE!</v>
      </c>
      <c r="F522" t="e">
        <f t="shared" ca="1" si="26"/>
        <v>#VALUE!</v>
      </c>
      <c r="G522" t="e">
        <f t="shared" ca="1" si="27"/>
        <v>#VALUE!</v>
      </c>
      <c r="H522" t="e">
        <f t="shared" ca="1" si="28"/>
        <v>#VALUE!</v>
      </c>
      <c r="I522" t="e">
        <f t="shared" ca="1" si="29"/>
        <v>#VALUE!</v>
      </c>
    </row>
    <row r="523" spans="1:9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25"/>
        <v>#VALUE!</v>
      </c>
      <c r="F523" t="e">
        <f t="shared" ca="1" si="26"/>
        <v>#VALUE!</v>
      </c>
      <c r="G523" t="e">
        <f t="shared" ca="1" si="27"/>
        <v>#VALUE!</v>
      </c>
      <c r="H523" t="e">
        <f t="shared" ca="1" si="28"/>
        <v>#VALUE!</v>
      </c>
      <c r="I523" t="e">
        <f t="shared" ca="1" si="29"/>
        <v>#VALUE!</v>
      </c>
    </row>
    <row r="524" spans="1:9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25"/>
        <v>#VALUE!</v>
      </c>
      <c r="F524" t="e">
        <f t="shared" ca="1" si="26"/>
        <v>#VALUE!</v>
      </c>
      <c r="G524" t="e">
        <f t="shared" ca="1" si="27"/>
        <v>#VALUE!</v>
      </c>
      <c r="H524" t="e">
        <f t="shared" ca="1" si="28"/>
        <v>#VALUE!</v>
      </c>
      <c r="I524" t="e">
        <f t="shared" ca="1" si="29"/>
        <v>#VALUE!</v>
      </c>
    </row>
    <row r="525" spans="1:9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25"/>
        <v>#VALUE!</v>
      </c>
      <c r="F525" t="e">
        <f t="shared" ca="1" si="26"/>
        <v>#VALUE!</v>
      </c>
      <c r="G525" t="e">
        <f t="shared" ca="1" si="27"/>
        <v>#VALUE!</v>
      </c>
      <c r="H525" t="e">
        <f t="shared" ca="1" si="28"/>
        <v>#VALUE!</v>
      </c>
      <c r="I525" t="e">
        <f t="shared" ca="1" si="29"/>
        <v>#VALUE!</v>
      </c>
    </row>
    <row r="526" spans="1:9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25"/>
        <v>#VALUE!</v>
      </c>
      <c r="F526" t="e">
        <f t="shared" ca="1" si="26"/>
        <v>#VALUE!</v>
      </c>
      <c r="G526" t="e">
        <f t="shared" ca="1" si="27"/>
        <v>#VALUE!</v>
      </c>
      <c r="H526" t="e">
        <f t="shared" ca="1" si="28"/>
        <v>#VALUE!</v>
      </c>
      <c r="I526" t="e">
        <f t="shared" ca="1" si="29"/>
        <v>#VALUE!</v>
      </c>
    </row>
    <row r="527" spans="1:9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25"/>
        <v>#VALUE!</v>
      </c>
      <c r="F527" t="e">
        <f t="shared" ca="1" si="26"/>
        <v>#VALUE!</v>
      </c>
      <c r="G527" t="e">
        <f t="shared" ca="1" si="27"/>
        <v>#VALUE!</v>
      </c>
      <c r="H527" t="e">
        <f t="shared" ca="1" si="28"/>
        <v>#VALUE!</v>
      </c>
      <c r="I527" t="e">
        <f t="shared" ca="1" si="29"/>
        <v>#VALUE!</v>
      </c>
    </row>
    <row r="528" spans="1:9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25"/>
        <v>#VALUE!</v>
      </c>
      <c r="F528" t="e">
        <f t="shared" ca="1" si="26"/>
        <v>#VALUE!</v>
      </c>
      <c r="G528" t="e">
        <f t="shared" ca="1" si="27"/>
        <v>#VALUE!</v>
      </c>
      <c r="H528" t="e">
        <f t="shared" ca="1" si="28"/>
        <v>#VALUE!</v>
      </c>
      <c r="I528" t="e">
        <f t="shared" ca="1" si="29"/>
        <v>#VALUE!</v>
      </c>
    </row>
    <row r="529" spans="1:9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25"/>
        <v>#VALUE!</v>
      </c>
      <c r="F529" t="e">
        <f t="shared" ca="1" si="26"/>
        <v>#VALUE!</v>
      </c>
      <c r="G529" t="e">
        <f t="shared" ca="1" si="27"/>
        <v>#VALUE!</v>
      </c>
      <c r="H529" t="e">
        <f t="shared" ca="1" si="28"/>
        <v>#VALUE!</v>
      </c>
      <c r="I529" t="e">
        <f t="shared" ca="1" si="29"/>
        <v>#VALUE!</v>
      </c>
    </row>
    <row r="530" spans="1:9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25"/>
        <v>#VALUE!</v>
      </c>
      <c r="F530" t="e">
        <f t="shared" ca="1" si="26"/>
        <v>#VALUE!</v>
      </c>
      <c r="G530" t="e">
        <f t="shared" ca="1" si="27"/>
        <v>#VALUE!</v>
      </c>
      <c r="H530" t="e">
        <f t="shared" ca="1" si="28"/>
        <v>#VALUE!</v>
      </c>
      <c r="I530" t="e">
        <f t="shared" ca="1" si="29"/>
        <v>#VALUE!</v>
      </c>
    </row>
    <row r="531" spans="1:9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25"/>
        <v>#VALUE!</v>
      </c>
      <c r="F531" t="e">
        <f t="shared" ca="1" si="26"/>
        <v>#VALUE!</v>
      </c>
      <c r="G531" t="e">
        <f t="shared" ca="1" si="27"/>
        <v>#VALUE!</v>
      </c>
      <c r="H531" t="e">
        <f t="shared" ca="1" si="28"/>
        <v>#VALUE!</v>
      </c>
      <c r="I531" t="e">
        <f t="shared" ca="1" si="29"/>
        <v>#VALUE!</v>
      </c>
    </row>
    <row r="532" spans="1:9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25"/>
        <v>#VALUE!</v>
      </c>
      <c r="F532" t="e">
        <f t="shared" ca="1" si="26"/>
        <v>#VALUE!</v>
      </c>
      <c r="G532" t="e">
        <f t="shared" ca="1" si="27"/>
        <v>#VALUE!</v>
      </c>
      <c r="H532" t="e">
        <f t="shared" ca="1" si="28"/>
        <v>#VALUE!</v>
      </c>
      <c r="I532" t="e">
        <f t="shared" ca="1" si="29"/>
        <v>#VALUE!</v>
      </c>
    </row>
    <row r="533" spans="1:9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25"/>
        <v>#VALUE!</v>
      </c>
      <c r="F533" t="e">
        <f t="shared" ca="1" si="26"/>
        <v>#VALUE!</v>
      </c>
      <c r="G533" t="e">
        <f t="shared" ca="1" si="27"/>
        <v>#VALUE!</v>
      </c>
      <c r="H533" t="e">
        <f t="shared" ca="1" si="28"/>
        <v>#VALUE!</v>
      </c>
      <c r="I533" t="e">
        <f t="shared" ca="1" si="29"/>
        <v>#VALUE!</v>
      </c>
    </row>
    <row r="534" spans="1:9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25"/>
        <v>#VALUE!</v>
      </c>
      <c r="F534" t="e">
        <f t="shared" ca="1" si="26"/>
        <v>#VALUE!</v>
      </c>
      <c r="G534" t="e">
        <f t="shared" ca="1" si="27"/>
        <v>#VALUE!</v>
      </c>
      <c r="H534" t="e">
        <f t="shared" ca="1" si="28"/>
        <v>#VALUE!</v>
      </c>
      <c r="I534" t="e">
        <f t="shared" ca="1" si="29"/>
        <v>#VALUE!</v>
      </c>
    </row>
    <row r="535" spans="1:9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25"/>
        <v>#VALUE!</v>
      </c>
      <c r="F535" t="e">
        <f t="shared" ca="1" si="26"/>
        <v>#VALUE!</v>
      </c>
      <c r="G535" t="e">
        <f t="shared" ca="1" si="27"/>
        <v>#VALUE!</v>
      </c>
      <c r="H535" t="e">
        <f t="shared" ca="1" si="28"/>
        <v>#VALUE!</v>
      </c>
      <c r="I535" t="e">
        <f t="shared" ca="1" si="29"/>
        <v>#VALUE!</v>
      </c>
    </row>
    <row r="536" spans="1:9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25"/>
        <v>#VALUE!</v>
      </c>
      <c r="F536" t="e">
        <f t="shared" ca="1" si="26"/>
        <v>#VALUE!</v>
      </c>
      <c r="G536" t="e">
        <f t="shared" ca="1" si="27"/>
        <v>#VALUE!</v>
      </c>
      <c r="H536" t="e">
        <f t="shared" ca="1" si="28"/>
        <v>#VALUE!</v>
      </c>
      <c r="I536" t="e">
        <f t="shared" ca="1" si="29"/>
        <v>#VALUE!</v>
      </c>
    </row>
    <row r="537" spans="1:9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25"/>
        <v>#VALUE!</v>
      </c>
      <c r="F537" t="e">
        <f t="shared" ca="1" si="26"/>
        <v>#VALUE!</v>
      </c>
      <c r="G537" t="e">
        <f t="shared" ca="1" si="27"/>
        <v>#VALUE!</v>
      </c>
      <c r="H537" t="e">
        <f t="shared" ca="1" si="28"/>
        <v>#VALUE!</v>
      </c>
      <c r="I537" t="e">
        <f t="shared" ca="1" si="29"/>
        <v>#VALUE!</v>
      </c>
    </row>
    <row r="538" spans="1:9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25"/>
        <v>#VALUE!</v>
      </c>
      <c r="F538" t="e">
        <f t="shared" ca="1" si="26"/>
        <v>#VALUE!</v>
      </c>
      <c r="G538" t="e">
        <f t="shared" ca="1" si="27"/>
        <v>#VALUE!</v>
      </c>
      <c r="H538" t="e">
        <f t="shared" ca="1" si="28"/>
        <v>#VALUE!</v>
      </c>
      <c r="I538" t="e">
        <f t="shared" ca="1" si="29"/>
        <v>#VALUE!</v>
      </c>
    </row>
    <row r="539" spans="1:9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25"/>
        <v>#VALUE!</v>
      </c>
      <c r="F539" t="e">
        <f t="shared" ca="1" si="26"/>
        <v>#VALUE!</v>
      </c>
      <c r="G539" t="e">
        <f t="shared" ca="1" si="27"/>
        <v>#VALUE!</v>
      </c>
      <c r="H539" t="e">
        <f t="shared" ca="1" si="28"/>
        <v>#VALUE!</v>
      </c>
      <c r="I539" t="e">
        <f t="shared" ca="1" si="29"/>
        <v>#VALUE!</v>
      </c>
    </row>
    <row r="540" spans="1:9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25"/>
        <v>#VALUE!</v>
      </c>
      <c r="F540" t="e">
        <f t="shared" ca="1" si="26"/>
        <v>#VALUE!</v>
      </c>
      <c r="G540" t="e">
        <f t="shared" ca="1" si="27"/>
        <v>#VALUE!</v>
      </c>
      <c r="H540" t="e">
        <f t="shared" ca="1" si="28"/>
        <v>#VALUE!</v>
      </c>
      <c r="I540" t="e">
        <f t="shared" ca="1" si="29"/>
        <v>#VALUE!</v>
      </c>
    </row>
    <row r="541" spans="1:9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25"/>
        <v>#VALUE!</v>
      </c>
      <c r="F541" t="e">
        <f t="shared" ca="1" si="26"/>
        <v>#VALUE!</v>
      </c>
      <c r="G541" t="e">
        <f t="shared" ca="1" si="27"/>
        <v>#VALUE!</v>
      </c>
      <c r="H541" t="e">
        <f t="shared" ca="1" si="28"/>
        <v>#VALUE!</v>
      </c>
      <c r="I541" t="e">
        <f t="shared" ca="1" si="29"/>
        <v>#VALUE!</v>
      </c>
    </row>
    <row r="542" spans="1:9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25"/>
        <v>#VALUE!</v>
      </c>
      <c r="F542" t="e">
        <f t="shared" ca="1" si="26"/>
        <v>#VALUE!</v>
      </c>
      <c r="G542" t="e">
        <f t="shared" ca="1" si="27"/>
        <v>#VALUE!</v>
      </c>
      <c r="H542" t="e">
        <f t="shared" ca="1" si="28"/>
        <v>#VALUE!</v>
      </c>
      <c r="I542" t="e">
        <f t="shared" ca="1" si="29"/>
        <v>#VALUE!</v>
      </c>
    </row>
    <row r="543" spans="1:9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25"/>
        <v>#VALUE!</v>
      </c>
      <c r="F543" t="e">
        <f t="shared" ca="1" si="26"/>
        <v>#VALUE!</v>
      </c>
      <c r="G543" t="e">
        <f t="shared" ca="1" si="27"/>
        <v>#VALUE!</v>
      </c>
      <c r="H543" t="e">
        <f t="shared" ca="1" si="28"/>
        <v>#VALUE!</v>
      </c>
      <c r="I543" t="e">
        <f t="shared" ca="1" si="29"/>
        <v>#VALUE!</v>
      </c>
    </row>
    <row r="544" spans="1:9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25"/>
        <v>#VALUE!</v>
      </c>
      <c r="F544" t="e">
        <f t="shared" ca="1" si="26"/>
        <v>#VALUE!</v>
      </c>
      <c r="G544" t="e">
        <f t="shared" ca="1" si="27"/>
        <v>#VALUE!</v>
      </c>
      <c r="H544" t="e">
        <f t="shared" ca="1" si="28"/>
        <v>#VALUE!</v>
      </c>
      <c r="I544" t="e">
        <f t="shared" ca="1" si="29"/>
        <v>#VALUE!</v>
      </c>
    </row>
    <row r="545" spans="1:9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25"/>
        <v>#VALUE!</v>
      </c>
      <c r="F545" t="e">
        <f t="shared" ca="1" si="26"/>
        <v>#VALUE!</v>
      </c>
      <c r="G545" t="e">
        <f t="shared" ca="1" si="27"/>
        <v>#VALUE!</v>
      </c>
      <c r="H545" t="e">
        <f t="shared" ca="1" si="28"/>
        <v>#VALUE!</v>
      </c>
      <c r="I545" t="e">
        <f t="shared" ca="1" si="29"/>
        <v>#VALUE!</v>
      </c>
    </row>
    <row r="546" spans="1:9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25"/>
        <v>#VALUE!</v>
      </c>
      <c r="F546" t="e">
        <f t="shared" ca="1" si="26"/>
        <v>#VALUE!</v>
      </c>
      <c r="G546" t="e">
        <f t="shared" ca="1" si="27"/>
        <v>#VALUE!</v>
      </c>
      <c r="H546" t="e">
        <f t="shared" ca="1" si="28"/>
        <v>#VALUE!</v>
      </c>
      <c r="I546" t="e">
        <f t="shared" ca="1" si="29"/>
        <v>#VALUE!</v>
      </c>
    </row>
    <row r="547" spans="1:9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25"/>
        <v>#VALUE!</v>
      </c>
      <c r="F547" t="e">
        <f t="shared" ca="1" si="26"/>
        <v>#VALUE!</v>
      </c>
      <c r="G547" t="e">
        <f t="shared" ca="1" si="27"/>
        <v>#VALUE!</v>
      </c>
      <c r="H547" t="e">
        <f t="shared" ca="1" si="28"/>
        <v>#VALUE!</v>
      </c>
      <c r="I547" t="e">
        <f t="shared" ca="1" si="29"/>
        <v>#VALUE!</v>
      </c>
    </row>
    <row r="548" spans="1:9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25"/>
        <v>#VALUE!</v>
      </c>
      <c r="F548" t="e">
        <f t="shared" ca="1" si="26"/>
        <v>#VALUE!</v>
      </c>
      <c r="G548" t="e">
        <f t="shared" ca="1" si="27"/>
        <v>#VALUE!</v>
      </c>
      <c r="H548" t="e">
        <f t="shared" ca="1" si="28"/>
        <v>#VALUE!</v>
      </c>
      <c r="I548" t="e">
        <f t="shared" ca="1" si="29"/>
        <v>#VALUE!</v>
      </c>
    </row>
    <row r="549" spans="1:9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25"/>
        <v>#VALUE!</v>
      </c>
      <c r="F549" t="e">
        <f t="shared" ca="1" si="26"/>
        <v>#VALUE!</v>
      </c>
      <c r="G549" t="e">
        <f t="shared" ca="1" si="27"/>
        <v>#VALUE!</v>
      </c>
      <c r="H549" t="e">
        <f t="shared" ca="1" si="28"/>
        <v>#VALUE!</v>
      </c>
      <c r="I549" t="e">
        <f t="shared" ca="1" si="29"/>
        <v>#VALUE!</v>
      </c>
    </row>
    <row r="550" spans="1:9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25"/>
        <v>#VALUE!</v>
      </c>
      <c r="F550" t="e">
        <f t="shared" ca="1" si="26"/>
        <v>#VALUE!</v>
      </c>
      <c r="G550" t="e">
        <f t="shared" ca="1" si="27"/>
        <v>#VALUE!</v>
      </c>
      <c r="H550" t="e">
        <f t="shared" ca="1" si="28"/>
        <v>#VALUE!</v>
      </c>
      <c r="I550" t="e">
        <f t="shared" ca="1" si="29"/>
        <v>#VALUE!</v>
      </c>
    </row>
    <row r="551" spans="1:9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25"/>
        <v>#VALUE!</v>
      </c>
      <c r="F551" t="e">
        <f t="shared" ca="1" si="26"/>
        <v>#VALUE!</v>
      </c>
      <c r="G551" t="e">
        <f t="shared" ca="1" si="27"/>
        <v>#VALUE!</v>
      </c>
      <c r="H551" t="e">
        <f t="shared" ca="1" si="28"/>
        <v>#VALUE!</v>
      </c>
      <c r="I551" t="e">
        <f t="shared" ca="1" si="29"/>
        <v>#VALUE!</v>
      </c>
    </row>
    <row r="552" spans="1:9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25"/>
        <v>#VALUE!</v>
      </c>
      <c r="F552" t="e">
        <f t="shared" ca="1" si="26"/>
        <v>#VALUE!</v>
      </c>
      <c r="G552" t="e">
        <f t="shared" ca="1" si="27"/>
        <v>#VALUE!</v>
      </c>
      <c r="H552" t="e">
        <f t="shared" ca="1" si="28"/>
        <v>#VALUE!</v>
      </c>
      <c r="I552" t="e">
        <f t="shared" ca="1" si="29"/>
        <v>#VALUE!</v>
      </c>
    </row>
    <row r="553" spans="1:9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25"/>
        <v>#VALUE!</v>
      </c>
      <c r="F553" t="e">
        <f t="shared" ca="1" si="26"/>
        <v>#VALUE!</v>
      </c>
      <c r="G553" t="e">
        <f t="shared" ca="1" si="27"/>
        <v>#VALUE!</v>
      </c>
      <c r="H553" t="e">
        <f t="shared" ca="1" si="28"/>
        <v>#VALUE!</v>
      </c>
      <c r="I553" t="e">
        <f t="shared" ca="1" si="29"/>
        <v>#VALUE!</v>
      </c>
    </row>
    <row r="554" spans="1:9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25"/>
        <v>#VALUE!</v>
      </c>
      <c r="F554" t="e">
        <f t="shared" ca="1" si="26"/>
        <v>#VALUE!</v>
      </c>
      <c r="G554" t="e">
        <f t="shared" ca="1" si="27"/>
        <v>#VALUE!</v>
      </c>
      <c r="H554" t="e">
        <f t="shared" ca="1" si="28"/>
        <v>#VALUE!</v>
      </c>
      <c r="I554" t="e">
        <f t="shared" ca="1" si="29"/>
        <v>#VALUE!</v>
      </c>
    </row>
    <row r="555" spans="1:9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25"/>
        <v>#VALUE!</v>
      </c>
      <c r="F555" t="e">
        <f t="shared" ca="1" si="26"/>
        <v>#VALUE!</v>
      </c>
      <c r="G555" t="e">
        <f t="shared" ca="1" si="27"/>
        <v>#VALUE!</v>
      </c>
      <c r="H555" t="e">
        <f t="shared" ca="1" si="28"/>
        <v>#VALUE!</v>
      </c>
      <c r="I555" t="e">
        <f t="shared" ca="1" si="29"/>
        <v>#VALUE!</v>
      </c>
    </row>
    <row r="556" spans="1:9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25"/>
        <v>#VALUE!</v>
      </c>
      <c r="F556" t="e">
        <f t="shared" ca="1" si="26"/>
        <v>#VALUE!</v>
      </c>
      <c r="G556" t="e">
        <f t="shared" ca="1" si="27"/>
        <v>#VALUE!</v>
      </c>
      <c r="H556" t="e">
        <f t="shared" ca="1" si="28"/>
        <v>#VALUE!</v>
      </c>
      <c r="I556" t="e">
        <f t="shared" ca="1" si="29"/>
        <v>#VALUE!</v>
      </c>
    </row>
    <row r="557" spans="1:9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25"/>
        <v>#VALUE!</v>
      </c>
      <c r="F557" t="e">
        <f t="shared" ca="1" si="26"/>
        <v>#VALUE!</v>
      </c>
      <c r="G557" t="e">
        <f t="shared" ca="1" si="27"/>
        <v>#VALUE!</v>
      </c>
      <c r="H557" t="e">
        <f t="shared" ca="1" si="28"/>
        <v>#VALUE!</v>
      </c>
      <c r="I557" t="e">
        <f t="shared" ca="1" si="29"/>
        <v>#VALUE!</v>
      </c>
    </row>
    <row r="558" spans="1:9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25"/>
        <v>#VALUE!</v>
      </c>
      <c r="F558" t="e">
        <f t="shared" ca="1" si="26"/>
        <v>#VALUE!</v>
      </c>
      <c r="G558" t="e">
        <f t="shared" ca="1" si="27"/>
        <v>#VALUE!</v>
      </c>
      <c r="H558" t="e">
        <f t="shared" ca="1" si="28"/>
        <v>#VALUE!</v>
      </c>
      <c r="I558" t="e">
        <f t="shared" ca="1" si="29"/>
        <v>#VALUE!</v>
      </c>
    </row>
    <row r="559" spans="1:9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25"/>
        <v>#VALUE!</v>
      </c>
      <c r="F559" t="e">
        <f t="shared" ca="1" si="26"/>
        <v>#VALUE!</v>
      </c>
      <c r="G559" t="e">
        <f t="shared" ca="1" si="27"/>
        <v>#VALUE!</v>
      </c>
      <c r="H559" t="e">
        <f t="shared" ca="1" si="28"/>
        <v>#VALUE!</v>
      </c>
      <c r="I559" t="e">
        <f t="shared" ca="1" si="29"/>
        <v>#VALUE!</v>
      </c>
    </row>
    <row r="560" spans="1:9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25"/>
        <v>#VALUE!</v>
      </c>
      <c r="F560" t="e">
        <f t="shared" ca="1" si="26"/>
        <v>#VALUE!</v>
      </c>
      <c r="G560" t="e">
        <f t="shared" ca="1" si="27"/>
        <v>#VALUE!</v>
      </c>
      <c r="H560" t="e">
        <f t="shared" ca="1" si="28"/>
        <v>#VALUE!</v>
      </c>
      <c r="I560" t="e">
        <f t="shared" ca="1" si="29"/>
        <v>#VALUE!</v>
      </c>
    </row>
    <row r="561" spans="1:9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25"/>
        <v>#VALUE!</v>
      </c>
      <c r="F561" t="e">
        <f t="shared" ca="1" si="26"/>
        <v>#VALUE!</v>
      </c>
      <c r="G561" t="e">
        <f t="shared" ca="1" si="27"/>
        <v>#VALUE!</v>
      </c>
      <c r="H561" t="e">
        <f t="shared" ca="1" si="28"/>
        <v>#VALUE!</v>
      </c>
      <c r="I561" t="e">
        <f t="shared" ca="1" si="29"/>
        <v>#VALUE!</v>
      </c>
    </row>
    <row r="562" spans="1:9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25"/>
        <v>#VALUE!</v>
      </c>
      <c r="F562" t="e">
        <f t="shared" ca="1" si="26"/>
        <v>#VALUE!</v>
      </c>
      <c r="G562" t="e">
        <f t="shared" ca="1" si="27"/>
        <v>#VALUE!</v>
      </c>
      <c r="H562" t="e">
        <f t="shared" ca="1" si="28"/>
        <v>#VALUE!</v>
      </c>
      <c r="I562" t="e">
        <f t="shared" ca="1" si="29"/>
        <v>#VALUE!</v>
      </c>
    </row>
    <row r="563" spans="1:9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ref="E563:E626" ca="1" si="30">IF(D563="T", 0.05, IF(D563="C", -0.01, ""))</f>
        <v>#VALUE!</v>
      </c>
      <c r="F563" t="e">
        <f t="shared" ref="F563:F626" ca="1" si="31">IF(D563="T", 0.05, IF(D563="C", 0, ""))</f>
        <v>#VALUE!</v>
      </c>
      <c r="G563" t="e">
        <f t="shared" ref="G563:G626" ca="1" si="32">IF(D563="T", 0, IF(D563="C", 0, ""))</f>
        <v>#VALUE!</v>
      </c>
      <c r="H563" t="e">
        <f t="shared" ref="H563:H626" ca="1" si="33">IF(D563="T", 0.05, IF(D563="C", 0, ""))</f>
        <v>#VALUE!</v>
      </c>
      <c r="I563" t="e">
        <f t="shared" ref="I563:I626" ca="1" si="34">IF(D563="T", 0, IF(D563="C", 0, ""))</f>
        <v>#VALUE!</v>
      </c>
    </row>
    <row r="564" spans="1:9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30"/>
        <v>#VALUE!</v>
      </c>
      <c r="F564" t="e">
        <f t="shared" ca="1" si="31"/>
        <v>#VALUE!</v>
      </c>
      <c r="G564" t="e">
        <f t="shared" ca="1" si="32"/>
        <v>#VALUE!</v>
      </c>
      <c r="H564" t="e">
        <f t="shared" ca="1" si="33"/>
        <v>#VALUE!</v>
      </c>
      <c r="I564" t="e">
        <f t="shared" ca="1" si="34"/>
        <v>#VALUE!</v>
      </c>
    </row>
    <row r="565" spans="1:9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30"/>
        <v>#VALUE!</v>
      </c>
      <c r="F565" t="e">
        <f t="shared" ca="1" si="31"/>
        <v>#VALUE!</v>
      </c>
      <c r="G565" t="e">
        <f t="shared" ca="1" si="32"/>
        <v>#VALUE!</v>
      </c>
      <c r="H565" t="e">
        <f t="shared" ca="1" si="33"/>
        <v>#VALUE!</v>
      </c>
      <c r="I565" t="e">
        <f t="shared" ca="1" si="34"/>
        <v>#VALUE!</v>
      </c>
    </row>
    <row r="566" spans="1:9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30"/>
        <v>#VALUE!</v>
      </c>
      <c r="F566" t="e">
        <f t="shared" ca="1" si="31"/>
        <v>#VALUE!</v>
      </c>
      <c r="G566" t="e">
        <f t="shared" ca="1" si="32"/>
        <v>#VALUE!</v>
      </c>
      <c r="H566" t="e">
        <f t="shared" ca="1" si="33"/>
        <v>#VALUE!</v>
      </c>
      <c r="I566" t="e">
        <f t="shared" ca="1" si="34"/>
        <v>#VALUE!</v>
      </c>
    </row>
    <row r="567" spans="1:9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30"/>
        <v>#VALUE!</v>
      </c>
      <c r="F567" t="e">
        <f t="shared" ca="1" si="31"/>
        <v>#VALUE!</v>
      </c>
      <c r="G567" t="e">
        <f t="shared" ca="1" si="32"/>
        <v>#VALUE!</v>
      </c>
      <c r="H567" t="e">
        <f t="shared" ca="1" si="33"/>
        <v>#VALUE!</v>
      </c>
      <c r="I567" t="e">
        <f t="shared" ca="1" si="34"/>
        <v>#VALUE!</v>
      </c>
    </row>
    <row r="568" spans="1:9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30"/>
        <v>#VALUE!</v>
      </c>
      <c r="F568" t="e">
        <f t="shared" ca="1" si="31"/>
        <v>#VALUE!</v>
      </c>
      <c r="G568" t="e">
        <f t="shared" ca="1" si="32"/>
        <v>#VALUE!</v>
      </c>
      <c r="H568" t="e">
        <f t="shared" ca="1" si="33"/>
        <v>#VALUE!</v>
      </c>
      <c r="I568" t="e">
        <f t="shared" ca="1" si="34"/>
        <v>#VALUE!</v>
      </c>
    </row>
    <row r="569" spans="1:9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30"/>
        <v>#VALUE!</v>
      </c>
      <c r="F569" t="e">
        <f t="shared" ca="1" si="31"/>
        <v>#VALUE!</v>
      </c>
      <c r="G569" t="e">
        <f t="shared" ca="1" si="32"/>
        <v>#VALUE!</v>
      </c>
      <c r="H569" t="e">
        <f t="shared" ca="1" si="33"/>
        <v>#VALUE!</v>
      </c>
      <c r="I569" t="e">
        <f t="shared" ca="1" si="34"/>
        <v>#VALUE!</v>
      </c>
    </row>
    <row r="570" spans="1:9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30"/>
        <v>#VALUE!</v>
      </c>
      <c r="F570" t="e">
        <f t="shared" ca="1" si="31"/>
        <v>#VALUE!</v>
      </c>
      <c r="G570" t="e">
        <f t="shared" ca="1" si="32"/>
        <v>#VALUE!</v>
      </c>
      <c r="H570" t="e">
        <f t="shared" ca="1" si="33"/>
        <v>#VALUE!</v>
      </c>
      <c r="I570" t="e">
        <f t="shared" ca="1" si="34"/>
        <v>#VALUE!</v>
      </c>
    </row>
    <row r="571" spans="1:9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30"/>
        <v>#VALUE!</v>
      </c>
      <c r="F571" t="e">
        <f t="shared" ca="1" si="31"/>
        <v>#VALUE!</v>
      </c>
      <c r="G571" t="e">
        <f t="shared" ca="1" si="32"/>
        <v>#VALUE!</v>
      </c>
      <c r="H571" t="e">
        <f t="shared" ca="1" si="33"/>
        <v>#VALUE!</v>
      </c>
      <c r="I571" t="e">
        <f t="shared" ca="1" si="34"/>
        <v>#VALUE!</v>
      </c>
    </row>
    <row r="572" spans="1:9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30"/>
        <v>#VALUE!</v>
      </c>
      <c r="F572" t="e">
        <f t="shared" ca="1" si="31"/>
        <v>#VALUE!</v>
      </c>
      <c r="G572" t="e">
        <f t="shared" ca="1" si="32"/>
        <v>#VALUE!</v>
      </c>
      <c r="H572" t="e">
        <f t="shared" ca="1" si="33"/>
        <v>#VALUE!</v>
      </c>
      <c r="I572" t="e">
        <f t="shared" ca="1" si="34"/>
        <v>#VALUE!</v>
      </c>
    </row>
    <row r="573" spans="1:9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30"/>
        <v>#VALUE!</v>
      </c>
      <c r="F573" t="e">
        <f t="shared" ca="1" si="31"/>
        <v>#VALUE!</v>
      </c>
      <c r="G573" t="e">
        <f t="shared" ca="1" si="32"/>
        <v>#VALUE!</v>
      </c>
      <c r="H573" t="e">
        <f t="shared" ca="1" si="33"/>
        <v>#VALUE!</v>
      </c>
      <c r="I573" t="e">
        <f t="shared" ca="1" si="34"/>
        <v>#VALUE!</v>
      </c>
    </row>
    <row r="574" spans="1:9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30"/>
        <v>#VALUE!</v>
      </c>
      <c r="F574" t="e">
        <f t="shared" ca="1" si="31"/>
        <v>#VALUE!</v>
      </c>
      <c r="G574" t="e">
        <f t="shared" ca="1" si="32"/>
        <v>#VALUE!</v>
      </c>
      <c r="H574" t="e">
        <f t="shared" ca="1" si="33"/>
        <v>#VALUE!</v>
      </c>
      <c r="I574" t="e">
        <f t="shared" ca="1" si="34"/>
        <v>#VALUE!</v>
      </c>
    </row>
    <row r="575" spans="1:9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30"/>
        <v>#VALUE!</v>
      </c>
      <c r="F575" t="e">
        <f t="shared" ca="1" si="31"/>
        <v>#VALUE!</v>
      </c>
      <c r="G575" t="e">
        <f t="shared" ca="1" si="32"/>
        <v>#VALUE!</v>
      </c>
      <c r="H575" t="e">
        <f t="shared" ca="1" si="33"/>
        <v>#VALUE!</v>
      </c>
      <c r="I575" t="e">
        <f t="shared" ca="1" si="34"/>
        <v>#VALUE!</v>
      </c>
    </row>
    <row r="576" spans="1:9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30"/>
        <v>#VALUE!</v>
      </c>
      <c r="F576" t="e">
        <f t="shared" ca="1" si="31"/>
        <v>#VALUE!</v>
      </c>
      <c r="G576" t="e">
        <f t="shared" ca="1" si="32"/>
        <v>#VALUE!</v>
      </c>
      <c r="H576" t="e">
        <f t="shared" ca="1" si="33"/>
        <v>#VALUE!</v>
      </c>
      <c r="I576" t="e">
        <f t="shared" ca="1" si="34"/>
        <v>#VALUE!</v>
      </c>
    </row>
    <row r="577" spans="1:9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30"/>
        <v>#VALUE!</v>
      </c>
      <c r="F577" t="e">
        <f t="shared" ca="1" si="31"/>
        <v>#VALUE!</v>
      </c>
      <c r="G577" t="e">
        <f t="shared" ca="1" si="32"/>
        <v>#VALUE!</v>
      </c>
      <c r="H577" t="e">
        <f t="shared" ca="1" si="33"/>
        <v>#VALUE!</v>
      </c>
      <c r="I577" t="e">
        <f t="shared" ca="1" si="34"/>
        <v>#VALUE!</v>
      </c>
    </row>
    <row r="578" spans="1:9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30"/>
        <v>#VALUE!</v>
      </c>
      <c r="F578" t="e">
        <f t="shared" ca="1" si="31"/>
        <v>#VALUE!</v>
      </c>
      <c r="G578" t="e">
        <f t="shared" ca="1" si="32"/>
        <v>#VALUE!</v>
      </c>
      <c r="H578" t="e">
        <f t="shared" ca="1" si="33"/>
        <v>#VALUE!</v>
      </c>
      <c r="I578" t="e">
        <f t="shared" ca="1" si="34"/>
        <v>#VALUE!</v>
      </c>
    </row>
    <row r="579" spans="1:9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30"/>
        <v>#VALUE!</v>
      </c>
      <c r="F579" t="e">
        <f t="shared" ca="1" si="31"/>
        <v>#VALUE!</v>
      </c>
      <c r="G579" t="e">
        <f t="shared" ca="1" si="32"/>
        <v>#VALUE!</v>
      </c>
      <c r="H579" t="e">
        <f t="shared" ca="1" si="33"/>
        <v>#VALUE!</v>
      </c>
      <c r="I579" t="e">
        <f t="shared" ca="1" si="34"/>
        <v>#VALUE!</v>
      </c>
    </row>
    <row r="580" spans="1:9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30"/>
        <v>#VALUE!</v>
      </c>
      <c r="F580" t="e">
        <f t="shared" ca="1" si="31"/>
        <v>#VALUE!</v>
      </c>
      <c r="G580" t="e">
        <f t="shared" ca="1" si="32"/>
        <v>#VALUE!</v>
      </c>
      <c r="H580" t="e">
        <f t="shared" ca="1" si="33"/>
        <v>#VALUE!</v>
      </c>
      <c r="I580" t="e">
        <f t="shared" ca="1" si="34"/>
        <v>#VALUE!</v>
      </c>
    </row>
    <row r="581" spans="1:9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30"/>
        <v>#VALUE!</v>
      </c>
      <c r="F581" t="e">
        <f t="shared" ca="1" si="31"/>
        <v>#VALUE!</v>
      </c>
      <c r="G581" t="e">
        <f t="shared" ca="1" si="32"/>
        <v>#VALUE!</v>
      </c>
      <c r="H581" t="e">
        <f t="shared" ca="1" si="33"/>
        <v>#VALUE!</v>
      </c>
      <c r="I581" t="e">
        <f t="shared" ca="1" si="34"/>
        <v>#VALUE!</v>
      </c>
    </row>
    <row r="582" spans="1:9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30"/>
        <v>#VALUE!</v>
      </c>
      <c r="F582" t="e">
        <f t="shared" ca="1" si="31"/>
        <v>#VALUE!</v>
      </c>
      <c r="G582" t="e">
        <f t="shared" ca="1" si="32"/>
        <v>#VALUE!</v>
      </c>
      <c r="H582" t="e">
        <f t="shared" ca="1" si="33"/>
        <v>#VALUE!</v>
      </c>
      <c r="I582" t="e">
        <f t="shared" ca="1" si="34"/>
        <v>#VALUE!</v>
      </c>
    </row>
    <row r="583" spans="1:9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30"/>
        <v>#VALUE!</v>
      </c>
      <c r="F583" t="e">
        <f t="shared" ca="1" si="31"/>
        <v>#VALUE!</v>
      </c>
      <c r="G583" t="e">
        <f t="shared" ca="1" si="32"/>
        <v>#VALUE!</v>
      </c>
      <c r="H583" t="e">
        <f t="shared" ca="1" si="33"/>
        <v>#VALUE!</v>
      </c>
      <c r="I583" t="e">
        <f t="shared" ca="1" si="34"/>
        <v>#VALUE!</v>
      </c>
    </row>
    <row r="584" spans="1:9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30"/>
        <v>#VALUE!</v>
      </c>
      <c r="F584" t="e">
        <f t="shared" ca="1" si="31"/>
        <v>#VALUE!</v>
      </c>
      <c r="G584" t="e">
        <f t="shared" ca="1" si="32"/>
        <v>#VALUE!</v>
      </c>
      <c r="H584" t="e">
        <f t="shared" ca="1" si="33"/>
        <v>#VALUE!</v>
      </c>
      <c r="I584" t="e">
        <f t="shared" ca="1" si="34"/>
        <v>#VALUE!</v>
      </c>
    </row>
    <row r="585" spans="1:9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30"/>
        <v>#VALUE!</v>
      </c>
      <c r="F585" t="e">
        <f t="shared" ca="1" si="31"/>
        <v>#VALUE!</v>
      </c>
      <c r="G585" t="e">
        <f t="shared" ca="1" si="32"/>
        <v>#VALUE!</v>
      </c>
      <c r="H585" t="e">
        <f t="shared" ca="1" si="33"/>
        <v>#VALUE!</v>
      </c>
      <c r="I585" t="e">
        <f t="shared" ca="1" si="34"/>
        <v>#VALUE!</v>
      </c>
    </row>
    <row r="586" spans="1:9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30"/>
        <v>#VALUE!</v>
      </c>
      <c r="F586" t="e">
        <f t="shared" ca="1" si="31"/>
        <v>#VALUE!</v>
      </c>
      <c r="G586" t="e">
        <f t="shared" ca="1" si="32"/>
        <v>#VALUE!</v>
      </c>
      <c r="H586" t="e">
        <f t="shared" ca="1" si="33"/>
        <v>#VALUE!</v>
      </c>
      <c r="I586" t="e">
        <f t="shared" ca="1" si="34"/>
        <v>#VALUE!</v>
      </c>
    </row>
    <row r="587" spans="1:9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30"/>
        <v>#VALUE!</v>
      </c>
      <c r="F587" t="e">
        <f t="shared" ca="1" si="31"/>
        <v>#VALUE!</v>
      </c>
      <c r="G587" t="e">
        <f t="shared" ca="1" si="32"/>
        <v>#VALUE!</v>
      </c>
      <c r="H587" t="e">
        <f t="shared" ca="1" si="33"/>
        <v>#VALUE!</v>
      </c>
      <c r="I587" t="e">
        <f t="shared" ca="1" si="34"/>
        <v>#VALUE!</v>
      </c>
    </row>
    <row r="588" spans="1:9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30"/>
        <v>#VALUE!</v>
      </c>
      <c r="F588" t="e">
        <f t="shared" ca="1" si="31"/>
        <v>#VALUE!</v>
      </c>
      <c r="G588" t="e">
        <f t="shared" ca="1" si="32"/>
        <v>#VALUE!</v>
      </c>
      <c r="H588" t="e">
        <f t="shared" ca="1" si="33"/>
        <v>#VALUE!</v>
      </c>
      <c r="I588" t="e">
        <f t="shared" ca="1" si="34"/>
        <v>#VALUE!</v>
      </c>
    </row>
    <row r="589" spans="1:9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30"/>
        <v>#VALUE!</v>
      </c>
      <c r="F589" t="e">
        <f t="shared" ca="1" si="31"/>
        <v>#VALUE!</v>
      </c>
      <c r="G589" t="e">
        <f t="shared" ca="1" si="32"/>
        <v>#VALUE!</v>
      </c>
      <c r="H589" t="e">
        <f t="shared" ca="1" si="33"/>
        <v>#VALUE!</v>
      </c>
      <c r="I589" t="e">
        <f t="shared" ca="1" si="34"/>
        <v>#VALUE!</v>
      </c>
    </row>
    <row r="590" spans="1:9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30"/>
        <v>#VALUE!</v>
      </c>
      <c r="F590" t="e">
        <f t="shared" ca="1" si="31"/>
        <v>#VALUE!</v>
      </c>
      <c r="G590" t="e">
        <f t="shared" ca="1" si="32"/>
        <v>#VALUE!</v>
      </c>
      <c r="H590" t="e">
        <f t="shared" ca="1" si="33"/>
        <v>#VALUE!</v>
      </c>
      <c r="I590" t="e">
        <f t="shared" ca="1" si="34"/>
        <v>#VALUE!</v>
      </c>
    </row>
    <row r="591" spans="1:9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30"/>
        <v>#VALUE!</v>
      </c>
      <c r="F591" t="e">
        <f t="shared" ca="1" si="31"/>
        <v>#VALUE!</v>
      </c>
      <c r="G591" t="e">
        <f t="shared" ca="1" si="32"/>
        <v>#VALUE!</v>
      </c>
      <c r="H591" t="e">
        <f t="shared" ca="1" si="33"/>
        <v>#VALUE!</v>
      </c>
      <c r="I591" t="e">
        <f t="shared" ca="1" si="34"/>
        <v>#VALUE!</v>
      </c>
    </row>
    <row r="592" spans="1:9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30"/>
        <v>#VALUE!</v>
      </c>
      <c r="F592" t="e">
        <f t="shared" ca="1" si="31"/>
        <v>#VALUE!</v>
      </c>
      <c r="G592" t="e">
        <f t="shared" ca="1" si="32"/>
        <v>#VALUE!</v>
      </c>
      <c r="H592" t="e">
        <f t="shared" ca="1" si="33"/>
        <v>#VALUE!</v>
      </c>
      <c r="I592" t="e">
        <f t="shared" ca="1" si="34"/>
        <v>#VALUE!</v>
      </c>
    </row>
    <row r="593" spans="1:9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30"/>
        <v>#VALUE!</v>
      </c>
      <c r="F593" t="e">
        <f t="shared" ca="1" si="31"/>
        <v>#VALUE!</v>
      </c>
      <c r="G593" t="e">
        <f t="shared" ca="1" si="32"/>
        <v>#VALUE!</v>
      </c>
      <c r="H593" t="e">
        <f t="shared" ca="1" si="33"/>
        <v>#VALUE!</v>
      </c>
      <c r="I593" t="e">
        <f t="shared" ca="1" si="34"/>
        <v>#VALUE!</v>
      </c>
    </row>
    <row r="594" spans="1:9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30"/>
        <v>#VALUE!</v>
      </c>
      <c r="F594" t="e">
        <f t="shared" ca="1" si="31"/>
        <v>#VALUE!</v>
      </c>
      <c r="G594" t="e">
        <f t="shared" ca="1" si="32"/>
        <v>#VALUE!</v>
      </c>
      <c r="H594" t="e">
        <f t="shared" ca="1" si="33"/>
        <v>#VALUE!</v>
      </c>
      <c r="I594" t="e">
        <f t="shared" ca="1" si="34"/>
        <v>#VALUE!</v>
      </c>
    </row>
    <row r="595" spans="1:9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30"/>
        <v>#VALUE!</v>
      </c>
      <c r="F595" t="e">
        <f t="shared" ca="1" si="31"/>
        <v>#VALUE!</v>
      </c>
      <c r="G595" t="e">
        <f t="shared" ca="1" si="32"/>
        <v>#VALUE!</v>
      </c>
      <c r="H595" t="e">
        <f t="shared" ca="1" si="33"/>
        <v>#VALUE!</v>
      </c>
      <c r="I595" t="e">
        <f t="shared" ca="1" si="34"/>
        <v>#VALUE!</v>
      </c>
    </row>
    <row r="596" spans="1:9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30"/>
        <v>#VALUE!</v>
      </c>
      <c r="F596" t="e">
        <f t="shared" ca="1" si="31"/>
        <v>#VALUE!</v>
      </c>
      <c r="G596" t="e">
        <f t="shared" ca="1" si="32"/>
        <v>#VALUE!</v>
      </c>
      <c r="H596" t="e">
        <f t="shared" ca="1" si="33"/>
        <v>#VALUE!</v>
      </c>
      <c r="I596" t="e">
        <f t="shared" ca="1" si="34"/>
        <v>#VALUE!</v>
      </c>
    </row>
    <row r="597" spans="1:9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30"/>
        <v>#VALUE!</v>
      </c>
      <c r="F597" t="e">
        <f t="shared" ca="1" si="31"/>
        <v>#VALUE!</v>
      </c>
      <c r="G597" t="e">
        <f t="shared" ca="1" si="32"/>
        <v>#VALUE!</v>
      </c>
      <c r="H597" t="e">
        <f t="shared" ca="1" si="33"/>
        <v>#VALUE!</v>
      </c>
      <c r="I597" t="e">
        <f t="shared" ca="1" si="34"/>
        <v>#VALUE!</v>
      </c>
    </row>
    <row r="598" spans="1:9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30"/>
        <v>#VALUE!</v>
      </c>
      <c r="F598" t="e">
        <f t="shared" ca="1" si="31"/>
        <v>#VALUE!</v>
      </c>
      <c r="G598" t="e">
        <f t="shared" ca="1" si="32"/>
        <v>#VALUE!</v>
      </c>
      <c r="H598" t="e">
        <f t="shared" ca="1" si="33"/>
        <v>#VALUE!</v>
      </c>
      <c r="I598" t="e">
        <f t="shared" ca="1" si="34"/>
        <v>#VALUE!</v>
      </c>
    </row>
    <row r="599" spans="1:9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30"/>
        <v>#VALUE!</v>
      </c>
      <c r="F599" t="e">
        <f t="shared" ca="1" si="31"/>
        <v>#VALUE!</v>
      </c>
      <c r="G599" t="e">
        <f t="shared" ca="1" si="32"/>
        <v>#VALUE!</v>
      </c>
      <c r="H599" t="e">
        <f t="shared" ca="1" si="33"/>
        <v>#VALUE!</v>
      </c>
      <c r="I599" t="e">
        <f t="shared" ca="1" si="34"/>
        <v>#VALUE!</v>
      </c>
    </row>
    <row r="600" spans="1:9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30"/>
        <v>#VALUE!</v>
      </c>
      <c r="F600" t="e">
        <f t="shared" ca="1" si="31"/>
        <v>#VALUE!</v>
      </c>
      <c r="G600" t="e">
        <f t="shared" ca="1" si="32"/>
        <v>#VALUE!</v>
      </c>
      <c r="H600" t="e">
        <f t="shared" ca="1" si="33"/>
        <v>#VALUE!</v>
      </c>
      <c r="I600" t="e">
        <f t="shared" ca="1" si="34"/>
        <v>#VALUE!</v>
      </c>
    </row>
    <row r="601" spans="1:9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30"/>
        <v>#VALUE!</v>
      </c>
      <c r="F601" t="e">
        <f t="shared" ca="1" si="31"/>
        <v>#VALUE!</v>
      </c>
      <c r="G601" t="e">
        <f t="shared" ca="1" si="32"/>
        <v>#VALUE!</v>
      </c>
      <c r="H601" t="e">
        <f t="shared" ca="1" si="33"/>
        <v>#VALUE!</v>
      </c>
      <c r="I601" t="e">
        <f t="shared" ca="1" si="34"/>
        <v>#VALUE!</v>
      </c>
    </row>
    <row r="602" spans="1:9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30"/>
        <v>#VALUE!</v>
      </c>
      <c r="F602" t="e">
        <f t="shared" ca="1" si="31"/>
        <v>#VALUE!</v>
      </c>
      <c r="G602" t="e">
        <f t="shared" ca="1" si="32"/>
        <v>#VALUE!</v>
      </c>
      <c r="H602" t="e">
        <f t="shared" ca="1" si="33"/>
        <v>#VALUE!</v>
      </c>
      <c r="I602" t="e">
        <f t="shared" ca="1" si="34"/>
        <v>#VALUE!</v>
      </c>
    </row>
    <row r="603" spans="1:9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30"/>
        <v>#VALUE!</v>
      </c>
      <c r="F603" t="e">
        <f t="shared" ca="1" si="31"/>
        <v>#VALUE!</v>
      </c>
      <c r="G603" t="e">
        <f t="shared" ca="1" si="32"/>
        <v>#VALUE!</v>
      </c>
      <c r="H603" t="e">
        <f t="shared" ca="1" si="33"/>
        <v>#VALUE!</v>
      </c>
      <c r="I603" t="e">
        <f t="shared" ca="1" si="34"/>
        <v>#VALUE!</v>
      </c>
    </row>
    <row r="604" spans="1:9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30"/>
        <v>#VALUE!</v>
      </c>
      <c r="F604" t="e">
        <f t="shared" ca="1" si="31"/>
        <v>#VALUE!</v>
      </c>
      <c r="G604" t="e">
        <f t="shared" ca="1" si="32"/>
        <v>#VALUE!</v>
      </c>
      <c r="H604" t="e">
        <f t="shared" ca="1" si="33"/>
        <v>#VALUE!</v>
      </c>
      <c r="I604" t="e">
        <f t="shared" ca="1" si="34"/>
        <v>#VALUE!</v>
      </c>
    </row>
    <row r="605" spans="1:9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30"/>
        <v>#VALUE!</v>
      </c>
      <c r="F605" t="e">
        <f t="shared" ca="1" si="31"/>
        <v>#VALUE!</v>
      </c>
      <c r="G605" t="e">
        <f t="shared" ca="1" si="32"/>
        <v>#VALUE!</v>
      </c>
      <c r="H605" t="e">
        <f t="shared" ca="1" si="33"/>
        <v>#VALUE!</v>
      </c>
      <c r="I605" t="e">
        <f t="shared" ca="1" si="34"/>
        <v>#VALUE!</v>
      </c>
    </row>
    <row r="606" spans="1:9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30"/>
        <v>#VALUE!</v>
      </c>
      <c r="F606" t="e">
        <f t="shared" ca="1" si="31"/>
        <v>#VALUE!</v>
      </c>
      <c r="G606" t="e">
        <f t="shared" ca="1" si="32"/>
        <v>#VALUE!</v>
      </c>
      <c r="H606" t="e">
        <f t="shared" ca="1" si="33"/>
        <v>#VALUE!</v>
      </c>
      <c r="I606" t="e">
        <f t="shared" ca="1" si="34"/>
        <v>#VALUE!</v>
      </c>
    </row>
    <row r="607" spans="1:9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30"/>
        <v>#VALUE!</v>
      </c>
      <c r="F607" t="e">
        <f t="shared" ca="1" si="31"/>
        <v>#VALUE!</v>
      </c>
      <c r="G607" t="e">
        <f t="shared" ca="1" si="32"/>
        <v>#VALUE!</v>
      </c>
      <c r="H607" t="e">
        <f t="shared" ca="1" si="33"/>
        <v>#VALUE!</v>
      </c>
      <c r="I607" t="e">
        <f t="shared" ca="1" si="34"/>
        <v>#VALUE!</v>
      </c>
    </row>
    <row r="608" spans="1:9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30"/>
        <v>#VALUE!</v>
      </c>
      <c r="F608" t="e">
        <f t="shared" ca="1" si="31"/>
        <v>#VALUE!</v>
      </c>
      <c r="G608" t="e">
        <f t="shared" ca="1" si="32"/>
        <v>#VALUE!</v>
      </c>
      <c r="H608" t="e">
        <f t="shared" ca="1" si="33"/>
        <v>#VALUE!</v>
      </c>
      <c r="I608" t="e">
        <f t="shared" ca="1" si="34"/>
        <v>#VALUE!</v>
      </c>
    </row>
    <row r="609" spans="1:9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30"/>
        <v>#VALUE!</v>
      </c>
      <c r="F609" t="e">
        <f t="shared" ca="1" si="31"/>
        <v>#VALUE!</v>
      </c>
      <c r="G609" t="e">
        <f t="shared" ca="1" si="32"/>
        <v>#VALUE!</v>
      </c>
      <c r="H609" t="e">
        <f t="shared" ca="1" si="33"/>
        <v>#VALUE!</v>
      </c>
      <c r="I609" t="e">
        <f t="shared" ca="1" si="34"/>
        <v>#VALUE!</v>
      </c>
    </row>
    <row r="610" spans="1:9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30"/>
        <v>#VALUE!</v>
      </c>
      <c r="F610" t="e">
        <f t="shared" ca="1" si="31"/>
        <v>#VALUE!</v>
      </c>
      <c r="G610" t="e">
        <f t="shared" ca="1" si="32"/>
        <v>#VALUE!</v>
      </c>
      <c r="H610" t="e">
        <f t="shared" ca="1" si="33"/>
        <v>#VALUE!</v>
      </c>
      <c r="I610" t="e">
        <f t="shared" ca="1" si="34"/>
        <v>#VALUE!</v>
      </c>
    </row>
    <row r="611" spans="1:9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30"/>
        <v>#VALUE!</v>
      </c>
      <c r="F611" t="e">
        <f t="shared" ca="1" si="31"/>
        <v>#VALUE!</v>
      </c>
      <c r="G611" t="e">
        <f t="shared" ca="1" si="32"/>
        <v>#VALUE!</v>
      </c>
      <c r="H611" t="e">
        <f t="shared" ca="1" si="33"/>
        <v>#VALUE!</v>
      </c>
      <c r="I611" t="e">
        <f t="shared" ca="1" si="34"/>
        <v>#VALUE!</v>
      </c>
    </row>
    <row r="612" spans="1:9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30"/>
        <v>#VALUE!</v>
      </c>
      <c r="F612" t="e">
        <f t="shared" ca="1" si="31"/>
        <v>#VALUE!</v>
      </c>
      <c r="G612" t="e">
        <f t="shared" ca="1" si="32"/>
        <v>#VALUE!</v>
      </c>
      <c r="H612" t="e">
        <f t="shared" ca="1" si="33"/>
        <v>#VALUE!</v>
      </c>
      <c r="I612" t="e">
        <f t="shared" ca="1" si="34"/>
        <v>#VALUE!</v>
      </c>
    </row>
    <row r="613" spans="1:9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30"/>
        <v>#VALUE!</v>
      </c>
      <c r="F613" t="e">
        <f t="shared" ca="1" si="31"/>
        <v>#VALUE!</v>
      </c>
      <c r="G613" t="e">
        <f t="shared" ca="1" si="32"/>
        <v>#VALUE!</v>
      </c>
      <c r="H613" t="e">
        <f t="shared" ca="1" si="33"/>
        <v>#VALUE!</v>
      </c>
      <c r="I613" t="e">
        <f t="shared" ca="1" si="34"/>
        <v>#VALUE!</v>
      </c>
    </row>
    <row r="614" spans="1:9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30"/>
        <v>#VALUE!</v>
      </c>
      <c r="F614" t="e">
        <f t="shared" ca="1" si="31"/>
        <v>#VALUE!</v>
      </c>
      <c r="G614" t="e">
        <f t="shared" ca="1" si="32"/>
        <v>#VALUE!</v>
      </c>
      <c r="H614" t="e">
        <f t="shared" ca="1" si="33"/>
        <v>#VALUE!</v>
      </c>
      <c r="I614" t="e">
        <f t="shared" ca="1" si="34"/>
        <v>#VALUE!</v>
      </c>
    </row>
    <row r="615" spans="1:9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30"/>
        <v>#VALUE!</v>
      </c>
      <c r="F615" t="e">
        <f t="shared" ca="1" si="31"/>
        <v>#VALUE!</v>
      </c>
      <c r="G615" t="e">
        <f t="shared" ca="1" si="32"/>
        <v>#VALUE!</v>
      </c>
      <c r="H615" t="e">
        <f t="shared" ca="1" si="33"/>
        <v>#VALUE!</v>
      </c>
      <c r="I615" t="e">
        <f t="shared" ca="1" si="34"/>
        <v>#VALUE!</v>
      </c>
    </row>
    <row r="616" spans="1:9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30"/>
        <v>#VALUE!</v>
      </c>
      <c r="F616" t="e">
        <f t="shared" ca="1" si="31"/>
        <v>#VALUE!</v>
      </c>
      <c r="G616" t="e">
        <f t="shared" ca="1" si="32"/>
        <v>#VALUE!</v>
      </c>
      <c r="H616" t="e">
        <f t="shared" ca="1" si="33"/>
        <v>#VALUE!</v>
      </c>
      <c r="I616" t="e">
        <f t="shared" ca="1" si="34"/>
        <v>#VALUE!</v>
      </c>
    </row>
    <row r="617" spans="1:9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30"/>
        <v>#VALUE!</v>
      </c>
      <c r="F617" t="e">
        <f t="shared" ca="1" si="31"/>
        <v>#VALUE!</v>
      </c>
      <c r="G617" t="e">
        <f t="shared" ca="1" si="32"/>
        <v>#VALUE!</v>
      </c>
      <c r="H617" t="e">
        <f t="shared" ca="1" si="33"/>
        <v>#VALUE!</v>
      </c>
      <c r="I617" t="e">
        <f t="shared" ca="1" si="34"/>
        <v>#VALUE!</v>
      </c>
    </row>
    <row r="618" spans="1:9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30"/>
        <v>#VALUE!</v>
      </c>
      <c r="F618" t="e">
        <f t="shared" ca="1" si="31"/>
        <v>#VALUE!</v>
      </c>
      <c r="G618" t="e">
        <f t="shared" ca="1" si="32"/>
        <v>#VALUE!</v>
      </c>
      <c r="H618" t="e">
        <f t="shared" ca="1" si="33"/>
        <v>#VALUE!</v>
      </c>
      <c r="I618" t="e">
        <f t="shared" ca="1" si="34"/>
        <v>#VALUE!</v>
      </c>
    </row>
    <row r="619" spans="1:9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30"/>
        <v>#VALUE!</v>
      </c>
      <c r="F619" t="e">
        <f t="shared" ca="1" si="31"/>
        <v>#VALUE!</v>
      </c>
      <c r="G619" t="e">
        <f t="shared" ca="1" si="32"/>
        <v>#VALUE!</v>
      </c>
      <c r="H619" t="e">
        <f t="shared" ca="1" si="33"/>
        <v>#VALUE!</v>
      </c>
      <c r="I619" t="e">
        <f t="shared" ca="1" si="34"/>
        <v>#VALUE!</v>
      </c>
    </row>
    <row r="620" spans="1:9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30"/>
        <v>#VALUE!</v>
      </c>
      <c r="F620" t="e">
        <f t="shared" ca="1" si="31"/>
        <v>#VALUE!</v>
      </c>
      <c r="G620" t="e">
        <f t="shared" ca="1" si="32"/>
        <v>#VALUE!</v>
      </c>
      <c r="H620" t="e">
        <f t="shared" ca="1" si="33"/>
        <v>#VALUE!</v>
      </c>
      <c r="I620" t="e">
        <f t="shared" ca="1" si="34"/>
        <v>#VALUE!</v>
      </c>
    </row>
    <row r="621" spans="1:9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30"/>
        <v>#VALUE!</v>
      </c>
      <c r="F621" t="e">
        <f t="shared" ca="1" si="31"/>
        <v>#VALUE!</v>
      </c>
      <c r="G621" t="e">
        <f t="shared" ca="1" si="32"/>
        <v>#VALUE!</v>
      </c>
      <c r="H621" t="e">
        <f t="shared" ca="1" si="33"/>
        <v>#VALUE!</v>
      </c>
      <c r="I621" t="e">
        <f t="shared" ca="1" si="34"/>
        <v>#VALUE!</v>
      </c>
    </row>
    <row r="622" spans="1:9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30"/>
        <v>#VALUE!</v>
      </c>
      <c r="F622" t="e">
        <f t="shared" ca="1" si="31"/>
        <v>#VALUE!</v>
      </c>
      <c r="G622" t="e">
        <f t="shared" ca="1" si="32"/>
        <v>#VALUE!</v>
      </c>
      <c r="H622" t="e">
        <f t="shared" ca="1" si="33"/>
        <v>#VALUE!</v>
      </c>
      <c r="I622" t="e">
        <f t="shared" ca="1" si="34"/>
        <v>#VALUE!</v>
      </c>
    </row>
    <row r="623" spans="1:9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30"/>
        <v>#VALUE!</v>
      </c>
      <c r="F623" t="e">
        <f t="shared" ca="1" si="31"/>
        <v>#VALUE!</v>
      </c>
      <c r="G623" t="e">
        <f t="shared" ca="1" si="32"/>
        <v>#VALUE!</v>
      </c>
      <c r="H623" t="e">
        <f t="shared" ca="1" si="33"/>
        <v>#VALUE!</v>
      </c>
      <c r="I623" t="e">
        <f t="shared" ca="1" si="34"/>
        <v>#VALUE!</v>
      </c>
    </row>
    <row r="624" spans="1:9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30"/>
        <v>#VALUE!</v>
      </c>
      <c r="F624" t="e">
        <f t="shared" ca="1" si="31"/>
        <v>#VALUE!</v>
      </c>
      <c r="G624" t="e">
        <f t="shared" ca="1" si="32"/>
        <v>#VALUE!</v>
      </c>
      <c r="H624" t="e">
        <f t="shared" ca="1" si="33"/>
        <v>#VALUE!</v>
      </c>
      <c r="I624" t="e">
        <f t="shared" ca="1" si="34"/>
        <v>#VALUE!</v>
      </c>
    </row>
    <row r="625" spans="1:9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30"/>
        <v>#VALUE!</v>
      </c>
      <c r="F625" t="e">
        <f t="shared" ca="1" si="31"/>
        <v>#VALUE!</v>
      </c>
      <c r="G625" t="e">
        <f t="shared" ca="1" si="32"/>
        <v>#VALUE!</v>
      </c>
      <c r="H625" t="e">
        <f t="shared" ca="1" si="33"/>
        <v>#VALUE!</v>
      </c>
      <c r="I625" t="e">
        <f t="shared" ca="1" si="34"/>
        <v>#VALUE!</v>
      </c>
    </row>
    <row r="626" spans="1:9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30"/>
        <v>#VALUE!</v>
      </c>
      <c r="F626" t="e">
        <f t="shared" ca="1" si="31"/>
        <v>#VALUE!</v>
      </c>
      <c r="G626" t="e">
        <f t="shared" ca="1" si="32"/>
        <v>#VALUE!</v>
      </c>
      <c r="H626" t="e">
        <f t="shared" ca="1" si="33"/>
        <v>#VALUE!</v>
      </c>
      <c r="I626" t="e">
        <f t="shared" ca="1" si="34"/>
        <v>#VALUE!</v>
      </c>
    </row>
    <row r="627" spans="1:9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ref="E627:E690" ca="1" si="35">IF(D627="T", 0.05, IF(D627="C", -0.01, ""))</f>
        <v>#VALUE!</v>
      </c>
      <c r="F627" t="e">
        <f t="shared" ref="F627:F690" ca="1" si="36">IF(D627="T", 0.05, IF(D627="C", 0, ""))</f>
        <v>#VALUE!</v>
      </c>
      <c r="G627" t="e">
        <f t="shared" ref="G627:G690" ca="1" si="37">IF(D627="T", 0, IF(D627="C", 0, ""))</f>
        <v>#VALUE!</v>
      </c>
      <c r="H627" t="e">
        <f t="shared" ref="H627:H690" ca="1" si="38">IF(D627="T", 0.05, IF(D627="C", 0, ""))</f>
        <v>#VALUE!</v>
      </c>
      <c r="I627" t="e">
        <f t="shared" ref="I627:I690" ca="1" si="39">IF(D627="T", 0, IF(D627="C", 0, ""))</f>
        <v>#VALUE!</v>
      </c>
    </row>
    <row r="628" spans="1:9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35"/>
        <v>#VALUE!</v>
      </c>
      <c r="F628" t="e">
        <f t="shared" ca="1" si="36"/>
        <v>#VALUE!</v>
      </c>
      <c r="G628" t="e">
        <f t="shared" ca="1" si="37"/>
        <v>#VALUE!</v>
      </c>
      <c r="H628" t="e">
        <f t="shared" ca="1" si="38"/>
        <v>#VALUE!</v>
      </c>
      <c r="I628" t="e">
        <f t="shared" ca="1" si="39"/>
        <v>#VALUE!</v>
      </c>
    </row>
    <row r="629" spans="1:9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35"/>
        <v>#VALUE!</v>
      </c>
      <c r="F629" t="e">
        <f t="shared" ca="1" si="36"/>
        <v>#VALUE!</v>
      </c>
      <c r="G629" t="e">
        <f t="shared" ca="1" si="37"/>
        <v>#VALUE!</v>
      </c>
      <c r="H629" t="e">
        <f t="shared" ca="1" si="38"/>
        <v>#VALUE!</v>
      </c>
      <c r="I629" t="e">
        <f t="shared" ca="1" si="39"/>
        <v>#VALUE!</v>
      </c>
    </row>
    <row r="630" spans="1:9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35"/>
        <v>#VALUE!</v>
      </c>
      <c r="F630" t="e">
        <f t="shared" ca="1" si="36"/>
        <v>#VALUE!</v>
      </c>
      <c r="G630" t="e">
        <f t="shared" ca="1" si="37"/>
        <v>#VALUE!</v>
      </c>
      <c r="H630" t="e">
        <f t="shared" ca="1" si="38"/>
        <v>#VALUE!</v>
      </c>
      <c r="I630" t="e">
        <f t="shared" ca="1" si="39"/>
        <v>#VALUE!</v>
      </c>
    </row>
    <row r="631" spans="1:9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35"/>
        <v>#VALUE!</v>
      </c>
      <c r="F631" t="e">
        <f t="shared" ca="1" si="36"/>
        <v>#VALUE!</v>
      </c>
      <c r="G631" t="e">
        <f t="shared" ca="1" si="37"/>
        <v>#VALUE!</v>
      </c>
      <c r="H631" t="e">
        <f t="shared" ca="1" si="38"/>
        <v>#VALUE!</v>
      </c>
      <c r="I631" t="e">
        <f t="shared" ca="1" si="39"/>
        <v>#VALUE!</v>
      </c>
    </row>
    <row r="632" spans="1:9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35"/>
        <v>#VALUE!</v>
      </c>
      <c r="F632" t="e">
        <f t="shared" ca="1" si="36"/>
        <v>#VALUE!</v>
      </c>
      <c r="G632" t="e">
        <f t="shared" ca="1" si="37"/>
        <v>#VALUE!</v>
      </c>
      <c r="H632" t="e">
        <f t="shared" ca="1" si="38"/>
        <v>#VALUE!</v>
      </c>
      <c r="I632" t="e">
        <f t="shared" ca="1" si="39"/>
        <v>#VALUE!</v>
      </c>
    </row>
    <row r="633" spans="1:9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35"/>
        <v>#VALUE!</v>
      </c>
      <c r="F633" t="e">
        <f t="shared" ca="1" si="36"/>
        <v>#VALUE!</v>
      </c>
      <c r="G633" t="e">
        <f t="shared" ca="1" si="37"/>
        <v>#VALUE!</v>
      </c>
      <c r="H633" t="e">
        <f t="shared" ca="1" si="38"/>
        <v>#VALUE!</v>
      </c>
      <c r="I633" t="e">
        <f t="shared" ca="1" si="39"/>
        <v>#VALUE!</v>
      </c>
    </row>
    <row r="634" spans="1:9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35"/>
        <v>#VALUE!</v>
      </c>
      <c r="F634" t="e">
        <f t="shared" ca="1" si="36"/>
        <v>#VALUE!</v>
      </c>
      <c r="G634" t="e">
        <f t="shared" ca="1" si="37"/>
        <v>#VALUE!</v>
      </c>
      <c r="H634" t="e">
        <f t="shared" ca="1" si="38"/>
        <v>#VALUE!</v>
      </c>
      <c r="I634" t="e">
        <f t="shared" ca="1" si="39"/>
        <v>#VALUE!</v>
      </c>
    </row>
    <row r="635" spans="1:9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35"/>
        <v>#VALUE!</v>
      </c>
      <c r="F635" t="e">
        <f t="shared" ca="1" si="36"/>
        <v>#VALUE!</v>
      </c>
      <c r="G635" t="e">
        <f t="shared" ca="1" si="37"/>
        <v>#VALUE!</v>
      </c>
      <c r="H635" t="e">
        <f t="shared" ca="1" si="38"/>
        <v>#VALUE!</v>
      </c>
      <c r="I635" t="e">
        <f t="shared" ca="1" si="39"/>
        <v>#VALUE!</v>
      </c>
    </row>
    <row r="636" spans="1:9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35"/>
        <v>#VALUE!</v>
      </c>
      <c r="F636" t="e">
        <f t="shared" ca="1" si="36"/>
        <v>#VALUE!</v>
      </c>
      <c r="G636" t="e">
        <f t="shared" ca="1" si="37"/>
        <v>#VALUE!</v>
      </c>
      <c r="H636" t="e">
        <f t="shared" ca="1" si="38"/>
        <v>#VALUE!</v>
      </c>
      <c r="I636" t="e">
        <f t="shared" ca="1" si="39"/>
        <v>#VALUE!</v>
      </c>
    </row>
    <row r="637" spans="1:9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35"/>
        <v>#VALUE!</v>
      </c>
      <c r="F637" t="e">
        <f t="shared" ca="1" si="36"/>
        <v>#VALUE!</v>
      </c>
      <c r="G637" t="e">
        <f t="shared" ca="1" si="37"/>
        <v>#VALUE!</v>
      </c>
      <c r="H637" t="e">
        <f t="shared" ca="1" si="38"/>
        <v>#VALUE!</v>
      </c>
      <c r="I637" t="e">
        <f t="shared" ca="1" si="39"/>
        <v>#VALUE!</v>
      </c>
    </row>
    <row r="638" spans="1:9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35"/>
        <v>#VALUE!</v>
      </c>
      <c r="F638" t="e">
        <f t="shared" ca="1" si="36"/>
        <v>#VALUE!</v>
      </c>
      <c r="G638" t="e">
        <f t="shared" ca="1" si="37"/>
        <v>#VALUE!</v>
      </c>
      <c r="H638" t="e">
        <f t="shared" ca="1" si="38"/>
        <v>#VALUE!</v>
      </c>
      <c r="I638" t="e">
        <f t="shared" ca="1" si="39"/>
        <v>#VALUE!</v>
      </c>
    </row>
    <row r="639" spans="1:9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35"/>
        <v>#VALUE!</v>
      </c>
      <c r="F639" t="e">
        <f t="shared" ca="1" si="36"/>
        <v>#VALUE!</v>
      </c>
      <c r="G639" t="e">
        <f t="shared" ca="1" si="37"/>
        <v>#VALUE!</v>
      </c>
      <c r="H639" t="e">
        <f t="shared" ca="1" si="38"/>
        <v>#VALUE!</v>
      </c>
      <c r="I639" t="e">
        <f t="shared" ca="1" si="39"/>
        <v>#VALUE!</v>
      </c>
    </row>
    <row r="640" spans="1:9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35"/>
        <v>#VALUE!</v>
      </c>
      <c r="F640" t="e">
        <f t="shared" ca="1" si="36"/>
        <v>#VALUE!</v>
      </c>
      <c r="G640" t="e">
        <f t="shared" ca="1" si="37"/>
        <v>#VALUE!</v>
      </c>
      <c r="H640" t="e">
        <f t="shared" ca="1" si="38"/>
        <v>#VALUE!</v>
      </c>
      <c r="I640" t="e">
        <f t="shared" ca="1" si="39"/>
        <v>#VALUE!</v>
      </c>
    </row>
    <row r="641" spans="1:9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35"/>
        <v>#VALUE!</v>
      </c>
      <c r="F641" t="e">
        <f t="shared" ca="1" si="36"/>
        <v>#VALUE!</v>
      </c>
      <c r="G641" t="e">
        <f t="shared" ca="1" si="37"/>
        <v>#VALUE!</v>
      </c>
      <c r="H641" t="e">
        <f t="shared" ca="1" si="38"/>
        <v>#VALUE!</v>
      </c>
      <c r="I641" t="e">
        <f t="shared" ca="1" si="39"/>
        <v>#VALUE!</v>
      </c>
    </row>
    <row r="642" spans="1:9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35"/>
        <v>#VALUE!</v>
      </c>
      <c r="F642" t="e">
        <f t="shared" ca="1" si="36"/>
        <v>#VALUE!</v>
      </c>
      <c r="G642" t="e">
        <f t="shared" ca="1" si="37"/>
        <v>#VALUE!</v>
      </c>
      <c r="H642" t="e">
        <f t="shared" ca="1" si="38"/>
        <v>#VALUE!</v>
      </c>
      <c r="I642" t="e">
        <f t="shared" ca="1" si="39"/>
        <v>#VALUE!</v>
      </c>
    </row>
    <row r="643" spans="1:9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35"/>
        <v>#VALUE!</v>
      </c>
      <c r="F643" t="e">
        <f t="shared" ca="1" si="36"/>
        <v>#VALUE!</v>
      </c>
      <c r="G643" t="e">
        <f t="shared" ca="1" si="37"/>
        <v>#VALUE!</v>
      </c>
      <c r="H643" t="e">
        <f t="shared" ca="1" si="38"/>
        <v>#VALUE!</v>
      </c>
      <c r="I643" t="e">
        <f t="shared" ca="1" si="39"/>
        <v>#VALUE!</v>
      </c>
    </row>
    <row r="644" spans="1:9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35"/>
        <v>#VALUE!</v>
      </c>
      <c r="F644" t="e">
        <f t="shared" ca="1" si="36"/>
        <v>#VALUE!</v>
      </c>
      <c r="G644" t="e">
        <f t="shared" ca="1" si="37"/>
        <v>#VALUE!</v>
      </c>
      <c r="H644" t="e">
        <f t="shared" ca="1" si="38"/>
        <v>#VALUE!</v>
      </c>
      <c r="I644" t="e">
        <f t="shared" ca="1" si="39"/>
        <v>#VALUE!</v>
      </c>
    </row>
    <row r="645" spans="1:9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35"/>
        <v>#VALUE!</v>
      </c>
      <c r="F645" t="e">
        <f t="shared" ca="1" si="36"/>
        <v>#VALUE!</v>
      </c>
      <c r="G645" t="e">
        <f t="shared" ca="1" si="37"/>
        <v>#VALUE!</v>
      </c>
      <c r="H645" t="e">
        <f t="shared" ca="1" si="38"/>
        <v>#VALUE!</v>
      </c>
      <c r="I645" t="e">
        <f t="shared" ca="1" si="39"/>
        <v>#VALUE!</v>
      </c>
    </row>
    <row r="646" spans="1:9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35"/>
        <v>#VALUE!</v>
      </c>
      <c r="F646" t="e">
        <f t="shared" ca="1" si="36"/>
        <v>#VALUE!</v>
      </c>
      <c r="G646" t="e">
        <f t="shared" ca="1" si="37"/>
        <v>#VALUE!</v>
      </c>
      <c r="H646" t="e">
        <f t="shared" ca="1" si="38"/>
        <v>#VALUE!</v>
      </c>
      <c r="I646" t="e">
        <f t="shared" ca="1" si="39"/>
        <v>#VALUE!</v>
      </c>
    </row>
    <row r="647" spans="1:9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35"/>
        <v>#VALUE!</v>
      </c>
      <c r="F647" t="e">
        <f t="shared" ca="1" si="36"/>
        <v>#VALUE!</v>
      </c>
      <c r="G647" t="e">
        <f t="shared" ca="1" si="37"/>
        <v>#VALUE!</v>
      </c>
      <c r="H647" t="e">
        <f t="shared" ca="1" si="38"/>
        <v>#VALUE!</v>
      </c>
      <c r="I647" t="e">
        <f t="shared" ca="1" si="39"/>
        <v>#VALUE!</v>
      </c>
    </row>
    <row r="648" spans="1:9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35"/>
        <v>#VALUE!</v>
      </c>
      <c r="F648" t="e">
        <f t="shared" ca="1" si="36"/>
        <v>#VALUE!</v>
      </c>
      <c r="G648" t="e">
        <f t="shared" ca="1" si="37"/>
        <v>#VALUE!</v>
      </c>
      <c r="H648" t="e">
        <f t="shared" ca="1" si="38"/>
        <v>#VALUE!</v>
      </c>
      <c r="I648" t="e">
        <f t="shared" ca="1" si="39"/>
        <v>#VALUE!</v>
      </c>
    </row>
    <row r="649" spans="1:9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35"/>
        <v>#VALUE!</v>
      </c>
      <c r="F649" t="e">
        <f t="shared" ca="1" si="36"/>
        <v>#VALUE!</v>
      </c>
      <c r="G649" t="e">
        <f t="shared" ca="1" si="37"/>
        <v>#VALUE!</v>
      </c>
      <c r="H649" t="e">
        <f t="shared" ca="1" si="38"/>
        <v>#VALUE!</v>
      </c>
      <c r="I649" t="e">
        <f t="shared" ca="1" si="39"/>
        <v>#VALUE!</v>
      </c>
    </row>
    <row r="650" spans="1:9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35"/>
        <v>#VALUE!</v>
      </c>
      <c r="F650" t="e">
        <f t="shared" ca="1" si="36"/>
        <v>#VALUE!</v>
      </c>
      <c r="G650" t="e">
        <f t="shared" ca="1" si="37"/>
        <v>#VALUE!</v>
      </c>
      <c r="H650" t="e">
        <f t="shared" ca="1" si="38"/>
        <v>#VALUE!</v>
      </c>
      <c r="I650" t="e">
        <f t="shared" ca="1" si="39"/>
        <v>#VALUE!</v>
      </c>
    </row>
    <row r="651" spans="1:9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35"/>
        <v>#VALUE!</v>
      </c>
      <c r="F651" t="e">
        <f t="shared" ca="1" si="36"/>
        <v>#VALUE!</v>
      </c>
      <c r="G651" t="e">
        <f t="shared" ca="1" si="37"/>
        <v>#VALUE!</v>
      </c>
      <c r="H651" t="e">
        <f t="shared" ca="1" si="38"/>
        <v>#VALUE!</v>
      </c>
      <c r="I651" t="e">
        <f t="shared" ca="1" si="39"/>
        <v>#VALUE!</v>
      </c>
    </row>
    <row r="652" spans="1:9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35"/>
        <v>#VALUE!</v>
      </c>
      <c r="F652" t="e">
        <f t="shared" ca="1" si="36"/>
        <v>#VALUE!</v>
      </c>
      <c r="G652" t="e">
        <f t="shared" ca="1" si="37"/>
        <v>#VALUE!</v>
      </c>
      <c r="H652" t="e">
        <f t="shared" ca="1" si="38"/>
        <v>#VALUE!</v>
      </c>
      <c r="I652" t="e">
        <f t="shared" ca="1" si="39"/>
        <v>#VALUE!</v>
      </c>
    </row>
    <row r="653" spans="1:9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35"/>
        <v>#VALUE!</v>
      </c>
      <c r="F653" t="e">
        <f t="shared" ca="1" si="36"/>
        <v>#VALUE!</v>
      </c>
      <c r="G653" t="e">
        <f t="shared" ca="1" si="37"/>
        <v>#VALUE!</v>
      </c>
      <c r="H653" t="e">
        <f t="shared" ca="1" si="38"/>
        <v>#VALUE!</v>
      </c>
      <c r="I653" t="e">
        <f t="shared" ca="1" si="39"/>
        <v>#VALUE!</v>
      </c>
    </row>
    <row r="654" spans="1:9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35"/>
        <v>#VALUE!</v>
      </c>
      <c r="F654" t="e">
        <f t="shared" ca="1" si="36"/>
        <v>#VALUE!</v>
      </c>
      <c r="G654" t="e">
        <f t="shared" ca="1" si="37"/>
        <v>#VALUE!</v>
      </c>
      <c r="H654" t="e">
        <f t="shared" ca="1" si="38"/>
        <v>#VALUE!</v>
      </c>
      <c r="I654" t="e">
        <f t="shared" ca="1" si="39"/>
        <v>#VALUE!</v>
      </c>
    </row>
    <row r="655" spans="1:9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35"/>
        <v>#VALUE!</v>
      </c>
      <c r="F655" t="e">
        <f t="shared" ca="1" si="36"/>
        <v>#VALUE!</v>
      </c>
      <c r="G655" t="e">
        <f t="shared" ca="1" si="37"/>
        <v>#VALUE!</v>
      </c>
      <c r="H655" t="e">
        <f t="shared" ca="1" si="38"/>
        <v>#VALUE!</v>
      </c>
      <c r="I655" t="e">
        <f t="shared" ca="1" si="39"/>
        <v>#VALUE!</v>
      </c>
    </row>
    <row r="656" spans="1:9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35"/>
        <v>#VALUE!</v>
      </c>
      <c r="F656" t="e">
        <f t="shared" ca="1" si="36"/>
        <v>#VALUE!</v>
      </c>
      <c r="G656" t="e">
        <f t="shared" ca="1" si="37"/>
        <v>#VALUE!</v>
      </c>
      <c r="H656" t="e">
        <f t="shared" ca="1" si="38"/>
        <v>#VALUE!</v>
      </c>
      <c r="I656" t="e">
        <f t="shared" ca="1" si="39"/>
        <v>#VALUE!</v>
      </c>
    </row>
    <row r="657" spans="1:9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35"/>
        <v>#VALUE!</v>
      </c>
      <c r="F657" t="e">
        <f t="shared" ca="1" si="36"/>
        <v>#VALUE!</v>
      </c>
      <c r="G657" t="e">
        <f t="shared" ca="1" si="37"/>
        <v>#VALUE!</v>
      </c>
      <c r="H657" t="e">
        <f t="shared" ca="1" si="38"/>
        <v>#VALUE!</v>
      </c>
      <c r="I657" t="e">
        <f t="shared" ca="1" si="39"/>
        <v>#VALUE!</v>
      </c>
    </row>
    <row r="658" spans="1:9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35"/>
        <v>#VALUE!</v>
      </c>
      <c r="F658" t="e">
        <f t="shared" ca="1" si="36"/>
        <v>#VALUE!</v>
      </c>
      <c r="G658" t="e">
        <f t="shared" ca="1" si="37"/>
        <v>#VALUE!</v>
      </c>
      <c r="H658" t="e">
        <f t="shared" ca="1" si="38"/>
        <v>#VALUE!</v>
      </c>
      <c r="I658" t="e">
        <f t="shared" ca="1" si="39"/>
        <v>#VALUE!</v>
      </c>
    </row>
    <row r="659" spans="1:9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35"/>
        <v>#VALUE!</v>
      </c>
      <c r="F659" t="e">
        <f t="shared" ca="1" si="36"/>
        <v>#VALUE!</v>
      </c>
      <c r="G659" t="e">
        <f t="shared" ca="1" si="37"/>
        <v>#VALUE!</v>
      </c>
      <c r="H659" t="e">
        <f t="shared" ca="1" si="38"/>
        <v>#VALUE!</v>
      </c>
      <c r="I659" t="e">
        <f t="shared" ca="1" si="39"/>
        <v>#VALUE!</v>
      </c>
    </row>
    <row r="660" spans="1:9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35"/>
        <v>#VALUE!</v>
      </c>
      <c r="F660" t="e">
        <f t="shared" ca="1" si="36"/>
        <v>#VALUE!</v>
      </c>
      <c r="G660" t="e">
        <f t="shared" ca="1" si="37"/>
        <v>#VALUE!</v>
      </c>
      <c r="H660" t="e">
        <f t="shared" ca="1" si="38"/>
        <v>#VALUE!</v>
      </c>
      <c r="I660" t="e">
        <f t="shared" ca="1" si="39"/>
        <v>#VALUE!</v>
      </c>
    </row>
    <row r="661" spans="1:9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35"/>
        <v>#VALUE!</v>
      </c>
      <c r="F661" t="e">
        <f t="shared" ca="1" si="36"/>
        <v>#VALUE!</v>
      </c>
      <c r="G661" t="e">
        <f t="shared" ca="1" si="37"/>
        <v>#VALUE!</v>
      </c>
      <c r="H661" t="e">
        <f t="shared" ca="1" si="38"/>
        <v>#VALUE!</v>
      </c>
      <c r="I661" t="e">
        <f t="shared" ca="1" si="39"/>
        <v>#VALUE!</v>
      </c>
    </row>
    <row r="662" spans="1:9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35"/>
        <v>#VALUE!</v>
      </c>
      <c r="F662" t="e">
        <f t="shared" ca="1" si="36"/>
        <v>#VALUE!</v>
      </c>
      <c r="G662" t="e">
        <f t="shared" ca="1" si="37"/>
        <v>#VALUE!</v>
      </c>
      <c r="H662" t="e">
        <f t="shared" ca="1" si="38"/>
        <v>#VALUE!</v>
      </c>
      <c r="I662" t="e">
        <f t="shared" ca="1" si="39"/>
        <v>#VALUE!</v>
      </c>
    </row>
    <row r="663" spans="1:9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35"/>
        <v>#VALUE!</v>
      </c>
      <c r="F663" t="e">
        <f t="shared" ca="1" si="36"/>
        <v>#VALUE!</v>
      </c>
      <c r="G663" t="e">
        <f t="shared" ca="1" si="37"/>
        <v>#VALUE!</v>
      </c>
      <c r="H663" t="e">
        <f t="shared" ca="1" si="38"/>
        <v>#VALUE!</v>
      </c>
      <c r="I663" t="e">
        <f t="shared" ca="1" si="39"/>
        <v>#VALUE!</v>
      </c>
    </row>
    <row r="664" spans="1:9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35"/>
        <v>#VALUE!</v>
      </c>
      <c r="F664" t="e">
        <f t="shared" ca="1" si="36"/>
        <v>#VALUE!</v>
      </c>
      <c r="G664" t="e">
        <f t="shared" ca="1" si="37"/>
        <v>#VALUE!</v>
      </c>
      <c r="H664" t="e">
        <f t="shared" ca="1" si="38"/>
        <v>#VALUE!</v>
      </c>
      <c r="I664" t="e">
        <f t="shared" ca="1" si="39"/>
        <v>#VALUE!</v>
      </c>
    </row>
    <row r="665" spans="1:9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35"/>
        <v>#VALUE!</v>
      </c>
      <c r="F665" t="e">
        <f t="shared" ca="1" si="36"/>
        <v>#VALUE!</v>
      </c>
      <c r="G665" t="e">
        <f t="shared" ca="1" si="37"/>
        <v>#VALUE!</v>
      </c>
      <c r="H665" t="e">
        <f t="shared" ca="1" si="38"/>
        <v>#VALUE!</v>
      </c>
      <c r="I665" t="e">
        <f t="shared" ca="1" si="39"/>
        <v>#VALUE!</v>
      </c>
    </row>
    <row r="666" spans="1:9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35"/>
        <v>#VALUE!</v>
      </c>
      <c r="F666" t="e">
        <f t="shared" ca="1" si="36"/>
        <v>#VALUE!</v>
      </c>
      <c r="G666" t="e">
        <f t="shared" ca="1" si="37"/>
        <v>#VALUE!</v>
      </c>
      <c r="H666" t="e">
        <f t="shared" ca="1" si="38"/>
        <v>#VALUE!</v>
      </c>
      <c r="I666" t="e">
        <f t="shared" ca="1" si="39"/>
        <v>#VALUE!</v>
      </c>
    </row>
    <row r="667" spans="1:9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35"/>
        <v>#VALUE!</v>
      </c>
      <c r="F667" t="e">
        <f t="shared" ca="1" si="36"/>
        <v>#VALUE!</v>
      </c>
      <c r="G667" t="e">
        <f t="shared" ca="1" si="37"/>
        <v>#VALUE!</v>
      </c>
      <c r="H667" t="e">
        <f t="shared" ca="1" si="38"/>
        <v>#VALUE!</v>
      </c>
      <c r="I667" t="e">
        <f t="shared" ca="1" si="39"/>
        <v>#VALUE!</v>
      </c>
    </row>
    <row r="668" spans="1:9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35"/>
        <v>#VALUE!</v>
      </c>
      <c r="F668" t="e">
        <f t="shared" ca="1" si="36"/>
        <v>#VALUE!</v>
      </c>
      <c r="G668" t="e">
        <f t="shared" ca="1" si="37"/>
        <v>#VALUE!</v>
      </c>
      <c r="H668" t="e">
        <f t="shared" ca="1" si="38"/>
        <v>#VALUE!</v>
      </c>
      <c r="I668" t="e">
        <f t="shared" ca="1" si="39"/>
        <v>#VALUE!</v>
      </c>
    </row>
    <row r="669" spans="1:9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35"/>
        <v>#VALUE!</v>
      </c>
      <c r="F669" t="e">
        <f t="shared" ca="1" si="36"/>
        <v>#VALUE!</v>
      </c>
      <c r="G669" t="e">
        <f t="shared" ca="1" si="37"/>
        <v>#VALUE!</v>
      </c>
      <c r="H669" t="e">
        <f t="shared" ca="1" si="38"/>
        <v>#VALUE!</v>
      </c>
      <c r="I669" t="e">
        <f t="shared" ca="1" si="39"/>
        <v>#VALUE!</v>
      </c>
    </row>
    <row r="670" spans="1:9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35"/>
        <v>#VALUE!</v>
      </c>
      <c r="F670" t="e">
        <f t="shared" ca="1" si="36"/>
        <v>#VALUE!</v>
      </c>
      <c r="G670" t="e">
        <f t="shared" ca="1" si="37"/>
        <v>#VALUE!</v>
      </c>
      <c r="H670" t="e">
        <f t="shared" ca="1" si="38"/>
        <v>#VALUE!</v>
      </c>
      <c r="I670" t="e">
        <f t="shared" ca="1" si="39"/>
        <v>#VALUE!</v>
      </c>
    </row>
    <row r="671" spans="1:9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35"/>
        <v>#VALUE!</v>
      </c>
      <c r="F671" t="e">
        <f t="shared" ca="1" si="36"/>
        <v>#VALUE!</v>
      </c>
      <c r="G671" t="e">
        <f t="shared" ca="1" si="37"/>
        <v>#VALUE!</v>
      </c>
      <c r="H671" t="e">
        <f t="shared" ca="1" si="38"/>
        <v>#VALUE!</v>
      </c>
      <c r="I671" t="e">
        <f t="shared" ca="1" si="39"/>
        <v>#VALUE!</v>
      </c>
    </row>
    <row r="672" spans="1:9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35"/>
        <v>#VALUE!</v>
      </c>
      <c r="F672" t="e">
        <f t="shared" ca="1" si="36"/>
        <v>#VALUE!</v>
      </c>
      <c r="G672" t="e">
        <f t="shared" ca="1" si="37"/>
        <v>#VALUE!</v>
      </c>
      <c r="H672" t="e">
        <f t="shared" ca="1" si="38"/>
        <v>#VALUE!</v>
      </c>
      <c r="I672" t="e">
        <f t="shared" ca="1" si="39"/>
        <v>#VALUE!</v>
      </c>
    </row>
    <row r="673" spans="1:9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35"/>
        <v>#VALUE!</v>
      </c>
      <c r="F673" t="e">
        <f t="shared" ca="1" si="36"/>
        <v>#VALUE!</v>
      </c>
      <c r="G673" t="e">
        <f t="shared" ca="1" si="37"/>
        <v>#VALUE!</v>
      </c>
      <c r="H673" t="e">
        <f t="shared" ca="1" si="38"/>
        <v>#VALUE!</v>
      </c>
      <c r="I673" t="e">
        <f t="shared" ca="1" si="39"/>
        <v>#VALUE!</v>
      </c>
    </row>
    <row r="674" spans="1:9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35"/>
        <v>#VALUE!</v>
      </c>
      <c r="F674" t="e">
        <f t="shared" ca="1" si="36"/>
        <v>#VALUE!</v>
      </c>
      <c r="G674" t="e">
        <f t="shared" ca="1" si="37"/>
        <v>#VALUE!</v>
      </c>
      <c r="H674" t="e">
        <f t="shared" ca="1" si="38"/>
        <v>#VALUE!</v>
      </c>
      <c r="I674" t="e">
        <f t="shared" ca="1" si="39"/>
        <v>#VALUE!</v>
      </c>
    </row>
    <row r="675" spans="1:9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35"/>
        <v>#VALUE!</v>
      </c>
      <c r="F675" t="e">
        <f t="shared" ca="1" si="36"/>
        <v>#VALUE!</v>
      </c>
      <c r="G675" t="e">
        <f t="shared" ca="1" si="37"/>
        <v>#VALUE!</v>
      </c>
      <c r="H675" t="e">
        <f t="shared" ca="1" si="38"/>
        <v>#VALUE!</v>
      </c>
      <c r="I675" t="e">
        <f t="shared" ca="1" si="39"/>
        <v>#VALUE!</v>
      </c>
    </row>
    <row r="676" spans="1:9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35"/>
        <v>#VALUE!</v>
      </c>
      <c r="F676" t="e">
        <f t="shared" ca="1" si="36"/>
        <v>#VALUE!</v>
      </c>
      <c r="G676" t="e">
        <f t="shared" ca="1" si="37"/>
        <v>#VALUE!</v>
      </c>
      <c r="H676" t="e">
        <f t="shared" ca="1" si="38"/>
        <v>#VALUE!</v>
      </c>
      <c r="I676" t="e">
        <f t="shared" ca="1" si="39"/>
        <v>#VALUE!</v>
      </c>
    </row>
    <row r="677" spans="1:9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35"/>
        <v>#VALUE!</v>
      </c>
      <c r="F677" t="e">
        <f t="shared" ca="1" si="36"/>
        <v>#VALUE!</v>
      </c>
      <c r="G677" t="e">
        <f t="shared" ca="1" si="37"/>
        <v>#VALUE!</v>
      </c>
      <c r="H677" t="e">
        <f t="shared" ca="1" si="38"/>
        <v>#VALUE!</v>
      </c>
      <c r="I677" t="e">
        <f t="shared" ca="1" si="39"/>
        <v>#VALUE!</v>
      </c>
    </row>
    <row r="678" spans="1:9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35"/>
        <v>#VALUE!</v>
      </c>
      <c r="F678" t="e">
        <f t="shared" ca="1" si="36"/>
        <v>#VALUE!</v>
      </c>
      <c r="G678" t="e">
        <f t="shared" ca="1" si="37"/>
        <v>#VALUE!</v>
      </c>
      <c r="H678" t="e">
        <f t="shared" ca="1" si="38"/>
        <v>#VALUE!</v>
      </c>
      <c r="I678" t="e">
        <f t="shared" ca="1" si="39"/>
        <v>#VALUE!</v>
      </c>
    </row>
    <row r="679" spans="1:9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35"/>
        <v>#VALUE!</v>
      </c>
      <c r="F679" t="e">
        <f t="shared" ca="1" si="36"/>
        <v>#VALUE!</v>
      </c>
      <c r="G679" t="e">
        <f t="shared" ca="1" si="37"/>
        <v>#VALUE!</v>
      </c>
      <c r="H679" t="e">
        <f t="shared" ca="1" si="38"/>
        <v>#VALUE!</v>
      </c>
      <c r="I679" t="e">
        <f t="shared" ca="1" si="39"/>
        <v>#VALUE!</v>
      </c>
    </row>
    <row r="680" spans="1:9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35"/>
        <v>#VALUE!</v>
      </c>
      <c r="F680" t="e">
        <f t="shared" ca="1" si="36"/>
        <v>#VALUE!</v>
      </c>
      <c r="G680" t="e">
        <f t="shared" ca="1" si="37"/>
        <v>#VALUE!</v>
      </c>
      <c r="H680" t="e">
        <f t="shared" ca="1" si="38"/>
        <v>#VALUE!</v>
      </c>
      <c r="I680" t="e">
        <f t="shared" ca="1" si="39"/>
        <v>#VALUE!</v>
      </c>
    </row>
    <row r="681" spans="1:9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35"/>
        <v>#VALUE!</v>
      </c>
      <c r="F681" t="e">
        <f t="shared" ca="1" si="36"/>
        <v>#VALUE!</v>
      </c>
      <c r="G681" t="e">
        <f t="shared" ca="1" si="37"/>
        <v>#VALUE!</v>
      </c>
      <c r="H681" t="e">
        <f t="shared" ca="1" si="38"/>
        <v>#VALUE!</v>
      </c>
      <c r="I681" t="e">
        <f t="shared" ca="1" si="39"/>
        <v>#VALUE!</v>
      </c>
    </row>
    <row r="682" spans="1:9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35"/>
        <v>#VALUE!</v>
      </c>
      <c r="F682" t="e">
        <f t="shared" ca="1" si="36"/>
        <v>#VALUE!</v>
      </c>
      <c r="G682" t="e">
        <f t="shared" ca="1" si="37"/>
        <v>#VALUE!</v>
      </c>
      <c r="H682" t="e">
        <f t="shared" ca="1" si="38"/>
        <v>#VALUE!</v>
      </c>
      <c r="I682" t="e">
        <f t="shared" ca="1" si="39"/>
        <v>#VALUE!</v>
      </c>
    </row>
    <row r="683" spans="1:9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35"/>
        <v>#VALUE!</v>
      </c>
      <c r="F683" t="e">
        <f t="shared" ca="1" si="36"/>
        <v>#VALUE!</v>
      </c>
      <c r="G683" t="e">
        <f t="shared" ca="1" si="37"/>
        <v>#VALUE!</v>
      </c>
      <c r="H683" t="e">
        <f t="shared" ca="1" si="38"/>
        <v>#VALUE!</v>
      </c>
      <c r="I683" t="e">
        <f t="shared" ca="1" si="39"/>
        <v>#VALUE!</v>
      </c>
    </row>
    <row r="684" spans="1:9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35"/>
        <v>#VALUE!</v>
      </c>
      <c r="F684" t="e">
        <f t="shared" ca="1" si="36"/>
        <v>#VALUE!</v>
      </c>
      <c r="G684" t="e">
        <f t="shared" ca="1" si="37"/>
        <v>#VALUE!</v>
      </c>
      <c r="H684" t="e">
        <f t="shared" ca="1" si="38"/>
        <v>#VALUE!</v>
      </c>
      <c r="I684" t="e">
        <f t="shared" ca="1" si="39"/>
        <v>#VALUE!</v>
      </c>
    </row>
    <row r="685" spans="1:9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35"/>
        <v>#VALUE!</v>
      </c>
      <c r="F685" t="e">
        <f t="shared" ca="1" si="36"/>
        <v>#VALUE!</v>
      </c>
      <c r="G685" t="e">
        <f t="shared" ca="1" si="37"/>
        <v>#VALUE!</v>
      </c>
      <c r="H685" t="e">
        <f t="shared" ca="1" si="38"/>
        <v>#VALUE!</v>
      </c>
      <c r="I685" t="e">
        <f t="shared" ca="1" si="39"/>
        <v>#VALUE!</v>
      </c>
    </row>
    <row r="686" spans="1:9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35"/>
        <v>#VALUE!</v>
      </c>
      <c r="F686" t="e">
        <f t="shared" ca="1" si="36"/>
        <v>#VALUE!</v>
      </c>
      <c r="G686" t="e">
        <f t="shared" ca="1" si="37"/>
        <v>#VALUE!</v>
      </c>
      <c r="H686" t="e">
        <f t="shared" ca="1" si="38"/>
        <v>#VALUE!</v>
      </c>
      <c r="I686" t="e">
        <f t="shared" ca="1" si="39"/>
        <v>#VALUE!</v>
      </c>
    </row>
    <row r="687" spans="1:9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35"/>
        <v>#VALUE!</v>
      </c>
      <c r="F687" t="e">
        <f t="shared" ca="1" si="36"/>
        <v>#VALUE!</v>
      </c>
      <c r="G687" t="e">
        <f t="shared" ca="1" si="37"/>
        <v>#VALUE!</v>
      </c>
      <c r="H687" t="e">
        <f t="shared" ca="1" si="38"/>
        <v>#VALUE!</v>
      </c>
      <c r="I687" t="e">
        <f t="shared" ca="1" si="39"/>
        <v>#VALUE!</v>
      </c>
    </row>
    <row r="688" spans="1:9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35"/>
        <v>#VALUE!</v>
      </c>
      <c r="F688" t="e">
        <f t="shared" ca="1" si="36"/>
        <v>#VALUE!</v>
      </c>
      <c r="G688" t="e">
        <f t="shared" ca="1" si="37"/>
        <v>#VALUE!</v>
      </c>
      <c r="H688" t="e">
        <f t="shared" ca="1" si="38"/>
        <v>#VALUE!</v>
      </c>
      <c r="I688" t="e">
        <f t="shared" ca="1" si="39"/>
        <v>#VALUE!</v>
      </c>
    </row>
    <row r="689" spans="1:9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35"/>
        <v>#VALUE!</v>
      </c>
      <c r="F689" t="e">
        <f t="shared" ca="1" si="36"/>
        <v>#VALUE!</v>
      </c>
      <c r="G689" t="e">
        <f t="shared" ca="1" si="37"/>
        <v>#VALUE!</v>
      </c>
      <c r="H689" t="e">
        <f t="shared" ca="1" si="38"/>
        <v>#VALUE!</v>
      </c>
      <c r="I689" t="e">
        <f t="shared" ca="1" si="39"/>
        <v>#VALUE!</v>
      </c>
    </row>
    <row r="690" spans="1:9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35"/>
        <v>#VALUE!</v>
      </c>
      <c r="F690" t="e">
        <f t="shared" ca="1" si="36"/>
        <v>#VALUE!</v>
      </c>
      <c r="G690" t="e">
        <f t="shared" ca="1" si="37"/>
        <v>#VALUE!</v>
      </c>
      <c r="H690" t="e">
        <f t="shared" ca="1" si="38"/>
        <v>#VALUE!</v>
      </c>
      <c r="I690" t="e">
        <f t="shared" ca="1" si="39"/>
        <v>#VALUE!</v>
      </c>
    </row>
    <row r="691" spans="1:9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ref="E691:E754" ca="1" si="40">IF(D691="T", 0.05, IF(D691="C", -0.01, ""))</f>
        <v>#VALUE!</v>
      </c>
      <c r="F691" t="e">
        <f t="shared" ref="F691:F754" ca="1" si="41">IF(D691="T", 0.05, IF(D691="C", 0, ""))</f>
        <v>#VALUE!</v>
      </c>
      <c r="G691" t="e">
        <f t="shared" ref="G691:G754" ca="1" si="42">IF(D691="T", 0, IF(D691="C", 0, ""))</f>
        <v>#VALUE!</v>
      </c>
      <c r="H691" t="e">
        <f t="shared" ref="H691:H754" ca="1" si="43">IF(D691="T", 0.05, IF(D691="C", 0, ""))</f>
        <v>#VALUE!</v>
      </c>
      <c r="I691" t="e">
        <f t="shared" ref="I691:I754" ca="1" si="44">IF(D691="T", 0, IF(D691="C", 0, ""))</f>
        <v>#VALUE!</v>
      </c>
    </row>
    <row r="692" spans="1:9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40"/>
        <v>#VALUE!</v>
      </c>
      <c r="F692" t="e">
        <f t="shared" ca="1" si="41"/>
        <v>#VALUE!</v>
      </c>
      <c r="G692" t="e">
        <f t="shared" ca="1" si="42"/>
        <v>#VALUE!</v>
      </c>
      <c r="H692" t="e">
        <f t="shared" ca="1" si="43"/>
        <v>#VALUE!</v>
      </c>
      <c r="I692" t="e">
        <f t="shared" ca="1" si="44"/>
        <v>#VALUE!</v>
      </c>
    </row>
    <row r="693" spans="1:9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40"/>
        <v>#VALUE!</v>
      </c>
      <c r="F693" t="e">
        <f t="shared" ca="1" si="41"/>
        <v>#VALUE!</v>
      </c>
      <c r="G693" t="e">
        <f t="shared" ca="1" si="42"/>
        <v>#VALUE!</v>
      </c>
      <c r="H693" t="e">
        <f t="shared" ca="1" si="43"/>
        <v>#VALUE!</v>
      </c>
      <c r="I693" t="e">
        <f t="shared" ca="1" si="44"/>
        <v>#VALUE!</v>
      </c>
    </row>
    <row r="694" spans="1:9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40"/>
        <v>#VALUE!</v>
      </c>
      <c r="F694" t="e">
        <f t="shared" ca="1" si="41"/>
        <v>#VALUE!</v>
      </c>
      <c r="G694" t="e">
        <f t="shared" ca="1" si="42"/>
        <v>#VALUE!</v>
      </c>
      <c r="H694" t="e">
        <f t="shared" ca="1" si="43"/>
        <v>#VALUE!</v>
      </c>
      <c r="I694" t="e">
        <f t="shared" ca="1" si="44"/>
        <v>#VALUE!</v>
      </c>
    </row>
    <row r="695" spans="1:9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40"/>
        <v>#VALUE!</v>
      </c>
      <c r="F695" t="e">
        <f t="shared" ca="1" si="41"/>
        <v>#VALUE!</v>
      </c>
      <c r="G695" t="e">
        <f t="shared" ca="1" si="42"/>
        <v>#VALUE!</v>
      </c>
      <c r="H695" t="e">
        <f t="shared" ca="1" si="43"/>
        <v>#VALUE!</v>
      </c>
      <c r="I695" t="e">
        <f t="shared" ca="1" si="44"/>
        <v>#VALUE!</v>
      </c>
    </row>
    <row r="696" spans="1:9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40"/>
        <v>#VALUE!</v>
      </c>
      <c r="F696" t="e">
        <f t="shared" ca="1" si="41"/>
        <v>#VALUE!</v>
      </c>
      <c r="G696" t="e">
        <f t="shared" ca="1" si="42"/>
        <v>#VALUE!</v>
      </c>
      <c r="H696" t="e">
        <f t="shared" ca="1" si="43"/>
        <v>#VALUE!</v>
      </c>
      <c r="I696" t="e">
        <f t="shared" ca="1" si="44"/>
        <v>#VALUE!</v>
      </c>
    </row>
    <row r="697" spans="1:9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40"/>
        <v>#VALUE!</v>
      </c>
      <c r="F697" t="e">
        <f t="shared" ca="1" si="41"/>
        <v>#VALUE!</v>
      </c>
      <c r="G697" t="e">
        <f t="shared" ca="1" si="42"/>
        <v>#VALUE!</v>
      </c>
      <c r="H697" t="e">
        <f t="shared" ca="1" si="43"/>
        <v>#VALUE!</v>
      </c>
      <c r="I697" t="e">
        <f t="shared" ca="1" si="44"/>
        <v>#VALUE!</v>
      </c>
    </row>
    <row r="698" spans="1:9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40"/>
        <v>#VALUE!</v>
      </c>
      <c r="F698" t="e">
        <f t="shared" ca="1" si="41"/>
        <v>#VALUE!</v>
      </c>
      <c r="G698" t="e">
        <f t="shared" ca="1" si="42"/>
        <v>#VALUE!</v>
      </c>
      <c r="H698" t="e">
        <f t="shared" ca="1" si="43"/>
        <v>#VALUE!</v>
      </c>
      <c r="I698" t="e">
        <f t="shared" ca="1" si="44"/>
        <v>#VALUE!</v>
      </c>
    </row>
    <row r="699" spans="1:9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40"/>
        <v>#VALUE!</v>
      </c>
      <c r="F699" t="e">
        <f t="shared" ca="1" si="41"/>
        <v>#VALUE!</v>
      </c>
      <c r="G699" t="e">
        <f t="shared" ca="1" si="42"/>
        <v>#VALUE!</v>
      </c>
      <c r="H699" t="e">
        <f t="shared" ca="1" si="43"/>
        <v>#VALUE!</v>
      </c>
      <c r="I699" t="e">
        <f t="shared" ca="1" si="44"/>
        <v>#VALUE!</v>
      </c>
    </row>
    <row r="700" spans="1:9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40"/>
        <v>#VALUE!</v>
      </c>
      <c r="F700" t="e">
        <f t="shared" ca="1" si="41"/>
        <v>#VALUE!</v>
      </c>
      <c r="G700" t="e">
        <f t="shared" ca="1" si="42"/>
        <v>#VALUE!</v>
      </c>
      <c r="H700" t="e">
        <f t="shared" ca="1" si="43"/>
        <v>#VALUE!</v>
      </c>
      <c r="I700" t="e">
        <f t="shared" ca="1" si="44"/>
        <v>#VALUE!</v>
      </c>
    </row>
    <row r="701" spans="1:9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40"/>
        <v>#VALUE!</v>
      </c>
      <c r="F701" t="e">
        <f t="shared" ca="1" si="41"/>
        <v>#VALUE!</v>
      </c>
      <c r="G701" t="e">
        <f t="shared" ca="1" si="42"/>
        <v>#VALUE!</v>
      </c>
      <c r="H701" t="e">
        <f t="shared" ca="1" si="43"/>
        <v>#VALUE!</v>
      </c>
      <c r="I701" t="e">
        <f t="shared" ca="1" si="44"/>
        <v>#VALUE!</v>
      </c>
    </row>
    <row r="702" spans="1:9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40"/>
        <v>#VALUE!</v>
      </c>
      <c r="F702" t="e">
        <f t="shared" ca="1" si="41"/>
        <v>#VALUE!</v>
      </c>
      <c r="G702" t="e">
        <f t="shared" ca="1" si="42"/>
        <v>#VALUE!</v>
      </c>
      <c r="H702" t="e">
        <f t="shared" ca="1" si="43"/>
        <v>#VALUE!</v>
      </c>
      <c r="I702" t="e">
        <f t="shared" ca="1" si="44"/>
        <v>#VALUE!</v>
      </c>
    </row>
    <row r="703" spans="1:9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40"/>
        <v>#VALUE!</v>
      </c>
      <c r="F703" t="e">
        <f t="shared" ca="1" si="41"/>
        <v>#VALUE!</v>
      </c>
      <c r="G703" t="e">
        <f t="shared" ca="1" si="42"/>
        <v>#VALUE!</v>
      </c>
      <c r="H703" t="e">
        <f t="shared" ca="1" si="43"/>
        <v>#VALUE!</v>
      </c>
      <c r="I703" t="e">
        <f t="shared" ca="1" si="44"/>
        <v>#VALUE!</v>
      </c>
    </row>
    <row r="704" spans="1:9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40"/>
        <v>#VALUE!</v>
      </c>
      <c r="F704" t="e">
        <f t="shared" ca="1" si="41"/>
        <v>#VALUE!</v>
      </c>
      <c r="G704" t="e">
        <f t="shared" ca="1" si="42"/>
        <v>#VALUE!</v>
      </c>
      <c r="H704" t="e">
        <f t="shared" ca="1" si="43"/>
        <v>#VALUE!</v>
      </c>
      <c r="I704" t="e">
        <f t="shared" ca="1" si="44"/>
        <v>#VALUE!</v>
      </c>
    </row>
    <row r="705" spans="1:9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40"/>
        <v>#VALUE!</v>
      </c>
      <c r="F705" t="e">
        <f t="shared" ca="1" si="41"/>
        <v>#VALUE!</v>
      </c>
      <c r="G705" t="e">
        <f t="shared" ca="1" si="42"/>
        <v>#VALUE!</v>
      </c>
      <c r="H705" t="e">
        <f t="shared" ca="1" si="43"/>
        <v>#VALUE!</v>
      </c>
      <c r="I705" t="e">
        <f t="shared" ca="1" si="44"/>
        <v>#VALUE!</v>
      </c>
    </row>
    <row r="706" spans="1:9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40"/>
        <v>#VALUE!</v>
      </c>
      <c r="F706" t="e">
        <f t="shared" ca="1" si="41"/>
        <v>#VALUE!</v>
      </c>
      <c r="G706" t="e">
        <f t="shared" ca="1" si="42"/>
        <v>#VALUE!</v>
      </c>
      <c r="H706" t="e">
        <f t="shared" ca="1" si="43"/>
        <v>#VALUE!</v>
      </c>
      <c r="I706" t="e">
        <f t="shared" ca="1" si="44"/>
        <v>#VALUE!</v>
      </c>
    </row>
    <row r="707" spans="1:9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40"/>
        <v>#VALUE!</v>
      </c>
      <c r="F707" t="e">
        <f t="shared" ca="1" si="41"/>
        <v>#VALUE!</v>
      </c>
      <c r="G707" t="e">
        <f t="shared" ca="1" si="42"/>
        <v>#VALUE!</v>
      </c>
      <c r="H707" t="e">
        <f t="shared" ca="1" si="43"/>
        <v>#VALUE!</v>
      </c>
      <c r="I707" t="e">
        <f t="shared" ca="1" si="44"/>
        <v>#VALUE!</v>
      </c>
    </row>
    <row r="708" spans="1:9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40"/>
        <v>#VALUE!</v>
      </c>
      <c r="F708" t="e">
        <f t="shared" ca="1" si="41"/>
        <v>#VALUE!</v>
      </c>
      <c r="G708" t="e">
        <f t="shared" ca="1" si="42"/>
        <v>#VALUE!</v>
      </c>
      <c r="H708" t="e">
        <f t="shared" ca="1" si="43"/>
        <v>#VALUE!</v>
      </c>
      <c r="I708" t="e">
        <f t="shared" ca="1" si="44"/>
        <v>#VALUE!</v>
      </c>
    </row>
    <row r="709" spans="1:9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40"/>
        <v>#VALUE!</v>
      </c>
      <c r="F709" t="e">
        <f t="shared" ca="1" si="41"/>
        <v>#VALUE!</v>
      </c>
      <c r="G709" t="e">
        <f t="shared" ca="1" si="42"/>
        <v>#VALUE!</v>
      </c>
      <c r="H709" t="e">
        <f t="shared" ca="1" si="43"/>
        <v>#VALUE!</v>
      </c>
      <c r="I709" t="e">
        <f t="shared" ca="1" si="44"/>
        <v>#VALUE!</v>
      </c>
    </row>
    <row r="710" spans="1:9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40"/>
        <v>#VALUE!</v>
      </c>
      <c r="F710" t="e">
        <f t="shared" ca="1" si="41"/>
        <v>#VALUE!</v>
      </c>
      <c r="G710" t="e">
        <f t="shared" ca="1" si="42"/>
        <v>#VALUE!</v>
      </c>
      <c r="H710" t="e">
        <f t="shared" ca="1" si="43"/>
        <v>#VALUE!</v>
      </c>
      <c r="I710" t="e">
        <f t="shared" ca="1" si="44"/>
        <v>#VALUE!</v>
      </c>
    </row>
    <row r="711" spans="1:9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40"/>
        <v>#VALUE!</v>
      </c>
      <c r="F711" t="e">
        <f t="shared" ca="1" si="41"/>
        <v>#VALUE!</v>
      </c>
      <c r="G711" t="e">
        <f t="shared" ca="1" si="42"/>
        <v>#VALUE!</v>
      </c>
      <c r="H711" t="e">
        <f t="shared" ca="1" si="43"/>
        <v>#VALUE!</v>
      </c>
      <c r="I711" t="e">
        <f t="shared" ca="1" si="44"/>
        <v>#VALUE!</v>
      </c>
    </row>
    <row r="712" spans="1:9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40"/>
        <v>#VALUE!</v>
      </c>
      <c r="F712" t="e">
        <f t="shared" ca="1" si="41"/>
        <v>#VALUE!</v>
      </c>
      <c r="G712" t="e">
        <f t="shared" ca="1" si="42"/>
        <v>#VALUE!</v>
      </c>
      <c r="H712" t="e">
        <f t="shared" ca="1" si="43"/>
        <v>#VALUE!</v>
      </c>
      <c r="I712" t="e">
        <f t="shared" ca="1" si="44"/>
        <v>#VALUE!</v>
      </c>
    </row>
    <row r="713" spans="1:9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40"/>
        <v>#VALUE!</v>
      </c>
      <c r="F713" t="e">
        <f t="shared" ca="1" si="41"/>
        <v>#VALUE!</v>
      </c>
      <c r="G713" t="e">
        <f t="shared" ca="1" si="42"/>
        <v>#VALUE!</v>
      </c>
      <c r="H713" t="e">
        <f t="shared" ca="1" si="43"/>
        <v>#VALUE!</v>
      </c>
      <c r="I713" t="e">
        <f t="shared" ca="1" si="44"/>
        <v>#VALUE!</v>
      </c>
    </row>
    <row r="714" spans="1:9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40"/>
        <v>#VALUE!</v>
      </c>
      <c r="F714" t="e">
        <f t="shared" ca="1" si="41"/>
        <v>#VALUE!</v>
      </c>
      <c r="G714" t="e">
        <f t="shared" ca="1" si="42"/>
        <v>#VALUE!</v>
      </c>
      <c r="H714" t="e">
        <f t="shared" ca="1" si="43"/>
        <v>#VALUE!</v>
      </c>
      <c r="I714" t="e">
        <f t="shared" ca="1" si="44"/>
        <v>#VALUE!</v>
      </c>
    </row>
    <row r="715" spans="1:9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40"/>
        <v>#VALUE!</v>
      </c>
      <c r="F715" t="e">
        <f t="shared" ca="1" si="41"/>
        <v>#VALUE!</v>
      </c>
      <c r="G715" t="e">
        <f t="shared" ca="1" si="42"/>
        <v>#VALUE!</v>
      </c>
      <c r="H715" t="e">
        <f t="shared" ca="1" si="43"/>
        <v>#VALUE!</v>
      </c>
      <c r="I715" t="e">
        <f t="shared" ca="1" si="44"/>
        <v>#VALUE!</v>
      </c>
    </row>
    <row r="716" spans="1:9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40"/>
        <v>#VALUE!</v>
      </c>
      <c r="F716" t="e">
        <f t="shared" ca="1" si="41"/>
        <v>#VALUE!</v>
      </c>
      <c r="G716" t="e">
        <f t="shared" ca="1" si="42"/>
        <v>#VALUE!</v>
      </c>
      <c r="H716" t="e">
        <f t="shared" ca="1" si="43"/>
        <v>#VALUE!</v>
      </c>
      <c r="I716" t="e">
        <f t="shared" ca="1" si="44"/>
        <v>#VALUE!</v>
      </c>
    </row>
    <row r="717" spans="1:9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40"/>
        <v>#VALUE!</v>
      </c>
      <c r="F717" t="e">
        <f t="shared" ca="1" si="41"/>
        <v>#VALUE!</v>
      </c>
      <c r="G717" t="e">
        <f t="shared" ca="1" si="42"/>
        <v>#VALUE!</v>
      </c>
      <c r="H717" t="e">
        <f t="shared" ca="1" si="43"/>
        <v>#VALUE!</v>
      </c>
      <c r="I717" t="e">
        <f t="shared" ca="1" si="44"/>
        <v>#VALUE!</v>
      </c>
    </row>
    <row r="718" spans="1:9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40"/>
        <v>#VALUE!</v>
      </c>
      <c r="F718" t="e">
        <f t="shared" ca="1" si="41"/>
        <v>#VALUE!</v>
      </c>
      <c r="G718" t="e">
        <f t="shared" ca="1" si="42"/>
        <v>#VALUE!</v>
      </c>
      <c r="H718" t="e">
        <f t="shared" ca="1" si="43"/>
        <v>#VALUE!</v>
      </c>
      <c r="I718" t="e">
        <f t="shared" ca="1" si="44"/>
        <v>#VALUE!</v>
      </c>
    </row>
    <row r="719" spans="1:9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40"/>
        <v>#VALUE!</v>
      </c>
      <c r="F719" t="e">
        <f t="shared" ca="1" si="41"/>
        <v>#VALUE!</v>
      </c>
      <c r="G719" t="e">
        <f t="shared" ca="1" si="42"/>
        <v>#VALUE!</v>
      </c>
      <c r="H719" t="e">
        <f t="shared" ca="1" si="43"/>
        <v>#VALUE!</v>
      </c>
      <c r="I719" t="e">
        <f t="shared" ca="1" si="44"/>
        <v>#VALUE!</v>
      </c>
    </row>
    <row r="720" spans="1:9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40"/>
        <v>#VALUE!</v>
      </c>
      <c r="F720" t="e">
        <f t="shared" ca="1" si="41"/>
        <v>#VALUE!</v>
      </c>
      <c r="G720" t="e">
        <f t="shared" ca="1" si="42"/>
        <v>#VALUE!</v>
      </c>
      <c r="H720" t="e">
        <f t="shared" ca="1" si="43"/>
        <v>#VALUE!</v>
      </c>
      <c r="I720" t="e">
        <f t="shared" ca="1" si="44"/>
        <v>#VALUE!</v>
      </c>
    </row>
    <row r="721" spans="1:9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40"/>
        <v>#VALUE!</v>
      </c>
      <c r="F721" t="e">
        <f t="shared" ca="1" si="41"/>
        <v>#VALUE!</v>
      </c>
      <c r="G721" t="e">
        <f t="shared" ca="1" si="42"/>
        <v>#VALUE!</v>
      </c>
      <c r="H721" t="e">
        <f t="shared" ca="1" si="43"/>
        <v>#VALUE!</v>
      </c>
      <c r="I721" t="e">
        <f t="shared" ca="1" si="44"/>
        <v>#VALUE!</v>
      </c>
    </row>
    <row r="722" spans="1:9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40"/>
        <v>#VALUE!</v>
      </c>
      <c r="F722" t="e">
        <f t="shared" ca="1" si="41"/>
        <v>#VALUE!</v>
      </c>
      <c r="G722" t="e">
        <f t="shared" ca="1" si="42"/>
        <v>#VALUE!</v>
      </c>
      <c r="H722" t="e">
        <f t="shared" ca="1" si="43"/>
        <v>#VALUE!</v>
      </c>
      <c r="I722" t="e">
        <f t="shared" ca="1" si="44"/>
        <v>#VALUE!</v>
      </c>
    </row>
    <row r="723" spans="1:9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40"/>
        <v>#VALUE!</v>
      </c>
      <c r="F723" t="e">
        <f t="shared" ca="1" si="41"/>
        <v>#VALUE!</v>
      </c>
      <c r="G723" t="e">
        <f t="shared" ca="1" si="42"/>
        <v>#VALUE!</v>
      </c>
      <c r="H723" t="e">
        <f t="shared" ca="1" si="43"/>
        <v>#VALUE!</v>
      </c>
      <c r="I723" t="e">
        <f t="shared" ca="1" si="44"/>
        <v>#VALUE!</v>
      </c>
    </row>
    <row r="724" spans="1:9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40"/>
        <v>#VALUE!</v>
      </c>
      <c r="F724" t="e">
        <f t="shared" ca="1" si="41"/>
        <v>#VALUE!</v>
      </c>
      <c r="G724" t="e">
        <f t="shared" ca="1" si="42"/>
        <v>#VALUE!</v>
      </c>
      <c r="H724" t="e">
        <f t="shared" ca="1" si="43"/>
        <v>#VALUE!</v>
      </c>
      <c r="I724" t="e">
        <f t="shared" ca="1" si="44"/>
        <v>#VALUE!</v>
      </c>
    </row>
    <row r="725" spans="1:9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40"/>
        <v>#VALUE!</v>
      </c>
      <c r="F725" t="e">
        <f t="shared" ca="1" si="41"/>
        <v>#VALUE!</v>
      </c>
      <c r="G725" t="e">
        <f t="shared" ca="1" si="42"/>
        <v>#VALUE!</v>
      </c>
      <c r="H725" t="e">
        <f t="shared" ca="1" si="43"/>
        <v>#VALUE!</v>
      </c>
      <c r="I725" t="e">
        <f t="shared" ca="1" si="44"/>
        <v>#VALUE!</v>
      </c>
    </row>
    <row r="726" spans="1:9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40"/>
        <v>#VALUE!</v>
      </c>
      <c r="F726" t="e">
        <f t="shared" ca="1" si="41"/>
        <v>#VALUE!</v>
      </c>
      <c r="G726" t="e">
        <f t="shared" ca="1" si="42"/>
        <v>#VALUE!</v>
      </c>
      <c r="H726" t="e">
        <f t="shared" ca="1" si="43"/>
        <v>#VALUE!</v>
      </c>
      <c r="I726" t="e">
        <f t="shared" ca="1" si="44"/>
        <v>#VALUE!</v>
      </c>
    </row>
    <row r="727" spans="1:9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40"/>
        <v>#VALUE!</v>
      </c>
      <c r="F727" t="e">
        <f t="shared" ca="1" si="41"/>
        <v>#VALUE!</v>
      </c>
      <c r="G727" t="e">
        <f t="shared" ca="1" si="42"/>
        <v>#VALUE!</v>
      </c>
      <c r="H727" t="e">
        <f t="shared" ca="1" si="43"/>
        <v>#VALUE!</v>
      </c>
      <c r="I727" t="e">
        <f t="shared" ca="1" si="44"/>
        <v>#VALUE!</v>
      </c>
    </row>
    <row r="728" spans="1:9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40"/>
        <v>#VALUE!</v>
      </c>
      <c r="F728" t="e">
        <f t="shared" ca="1" si="41"/>
        <v>#VALUE!</v>
      </c>
      <c r="G728" t="e">
        <f t="shared" ca="1" si="42"/>
        <v>#VALUE!</v>
      </c>
      <c r="H728" t="e">
        <f t="shared" ca="1" si="43"/>
        <v>#VALUE!</v>
      </c>
      <c r="I728" t="e">
        <f t="shared" ca="1" si="44"/>
        <v>#VALUE!</v>
      </c>
    </row>
    <row r="729" spans="1:9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40"/>
        <v>#VALUE!</v>
      </c>
      <c r="F729" t="e">
        <f t="shared" ca="1" si="41"/>
        <v>#VALUE!</v>
      </c>
      <c r="G729" t="e">
        <f t="shared" ca="1" si="42"/>
        <v>#VALUE!</v>
      </c>
      <c r="H729" t="e">
        <f t="shared" ca="1" si="43"/>
        <v>#VALUE!</v>
      </c>
      <c r="I729" t="e">
        <f t="shared" ca="1" si="44"/>
        <v>#VALUE!</v>
      </c>
    </row>
    <row r="730" spans="1:9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40"/>
        <v>#VALUE!</v>
      </c>
      <c r="F730" t="e">
        <f t="shared" ca="1" si="41"/>
        <v>#VALUE!</v>
      </c>
      <c r="G730" t="e">
        <f t="shared" ca="1" si="42"/>
        <v>#VALUE!</v>
      </c>
      <c r="H730" t="e">
        <f t="shared" ca="1" si="43"/>
        <v>#VALUE!</v>
      </c>
      <c r="I730" t="e">
        <f t="shared" ca="1" si="44"/>
        <v>#VALUE!</v>
      </c>
    </row>
    <row r="731" spans="1:9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40"/>
        <v>#VALUE!</v>
      </c>
      <c r="F731" t="e">
        <f t="shared" ca="1" si="41"/>
        <v>#VALUE!</v>
      </c>
      <c r="G731" t="e">
        <f t="shared" ca="1" si="42"/>
        <v>#VALUE!</v>
      </c>
      <c r="H731" t="e">
        <f t="shared" ca="1" si="43"/>
        <v>#VALUE!</v>
      </c>
      <c r="I731" t="e">
        <f t="shared" ca="1" si="44"/>
        <v>#VALUE!</v>
      </c>
    </row>
    <row r="732" spans="1:9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40"/>
        <v>#VALUE!</v>
      </c>
      <c r="F732" t="e">
        <f t="shared" ca="1" si="41"/>
        <v>#VALUE!</v>
      </c>
      <c r="G732" t="e">
        <f t="shared" ca="1" si="42"/>
        <v>#VALUE!</v>
      </c>
      <c r="H732" t="e">
        <f t="shared" ca="1" si="43"/>
        <v>#VALUE!</v>
      </c>
      <c r="I732" t="e">
        <f t="shared" ca="1" si="44"/>
        <v>#VALUE!</v>
      </c>
    </row>
    <row r="733" spans="1:9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40"/>
        <v>#VALUE!</v>
      </c>
      <c r="F733" t="e">
        <f t="shared" ca="1" si="41"/>
        <v>#VALUE!</v>
      </c>
      <c r="G733" t="e">
        <f t="shared" ca="1" si="42"/>
        <v>#VALUE!</v>
      </c>
      <c r="H733" t="e">
        <f t="shared" ca="1" si="43"/>
        <v>#VALUE!</v>
      </c>
      <c r="I733" t="e">
        <f t="shared" ca="1" si="44"/>
        <v>#VALUE!</v>
      </c>
    </row>
    <row r="734" spans="1:9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40"/>
        <v>#VALUE!</v>
      </c>
      <c r="F734" t="e">
        <f t="shared" ca="1" si="41"/>
        <v>#VALUE!</v>
      </c>
      <c r="G734" t="e">
        <f t="shared" ca="1" si="42"/>
        <v>#VALUE!</v>
      </c>
      <c r="H734" t="e">
        <f t="shared" ca="1" si="43"/>
        <v>#VALUE!</v>
      </c>
      <c r="I734" t="e">
        <f t="shared" ca="1" si="44"/>
        <v>#VALUE!</v>
      </c>
    </row>
    <row r="735" spans="1:9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40"/>
        <v>#VALUE!</v>
      </c>
      <c r="F735" t="e">
        <f t="shared" ca="1" si="41"/>
        <v>#VALUE!</v>
      </c>
      <c r="G735" t="e">
        <f t="shared" ca="1" si="42"/>
        <v>#VALUE!</v>
      </c>
      <c r="H735" t="e">
        <f t="shared" ca="1" si="43"/>
        <v>#VALUE!</v>
      </c>
      <c r="I735" t="e">
        <f t="shared" ca="1" si="44"/>
        <v>#VALUE!</v>
      </c>
    </row>
    <row r="736" spans="1:9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40"/>
        <v>#VALUE!</v>
      </c>
      <c r="F736" t="e">
        <f t="shared" ca="1" si="41"/>
        <v>#VALUE!</v>
      </c>
      <c r="G736" t="e">
        <f t="shared" ca="1" si="42"/>
        <v>#VALUE!</v>
      </c>
      <c r="H736" t="e">
        <f t="shared" ca="1" si="43"/>
        <v>#VALUE!</v>
      </c>
      <c r="I736" t="e">
        <f t="shared" ca="1" si="44"/>
        <v>#VALUE!</v>
      </c>
    </row>
    <row r="737" spans="1:9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40"/>
        <v>#VALUE!</v>
      </c>
      <c r="F737" t="e">
        <f t="shared" ca="1" si="41"/>
        <v>#VALUE!</v>
      </c>
      <c r="G737" t="e">
        <f t="shared" ca="1" si="42"/>
        <v>#VALUE!</v>
      </c>
      <c r="H737" t="e">
        <f t="shared" ca="1" si="43"/>
        <v>#VALUE!</v>
      </c>
      <c r="I737" t="e">
        <f t="shared" ca="1" si="44"/>
        <v>#VALUE!</v>
      </c>
    </row>
    <row r="738" spans="1:9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40"/>
        <v>#VALUE!</v>
      </c>
      <c r="F738" t="e">
        <f t="shared" ca="1" si="41"/>
        <v>#VALUE!</v>
      </c>
      <c r="G738" t="e">
        <f t="shared" ca="1" si="42"/>
        <v>#VALUE!</v>
      </c>
      <c r="H738" t="e">
        <f t="shared" ca="1" si="43"/>
        <v>#VALUE!</v>
      </c>
      <c r="I738" t="e">
        <f t="shared" ca="1" si="44"/>
        <v>#VALUE!</v>
      </c>
    </row>
    <row r="739" spans="1:9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40"/>
        <v>#VALUE!</v>
      </c>
      <c r="F739" t="e">
        <f t="shared" ca="1" si="41"/>
        <v>#VALUE!</v>
      </c>
      <c r="G739" t="e">
        <f t="shared" ca="1" si="42"/>
        <v>#VALUE!</v>
      </c>
      <c r="H739" t="e">
        <f t="shared" ca="1" si="43"/>
        <v>#VALUE!</v>
      </c>
      <c r="I739" t="e">
        <f t="shared" ca="1" si="44"/>
        <v>#VALUE!</v>
      </c>
    </row>
    <row r="740" spans="1:9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40"/>
        <v>#VALUE!</v>
      </c>
      <c r="F740" t="e">
        <f t="shared" ca="1" si="41"/>
        <v>#VALUE!</v>
      </c>
      <c r="G740" t="e">
        <f t="shared" ca="1" si="42"/>
        <v>#VALUE!</v>
      </c>
      <c r="H740" t="e">
        <f t="shared" ca="1" si="43"/>
        <v>#VALUE!</v>
      </c>
      <c r="I740" t="e">
        <f t="shared" ca="1" si="44"/>
        <v>#VALUE!</v>
      </c>
    </row>
    <row r="741" spans="1:9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40"/>
        <v>#VALUE!</v>
      </c>
      <c r="F741" t="e">
        <f t="shared" ca="1" si="41"/>
        <v>#VALUE!</v>
      </c>
      <c r="G741" t="e">
        <f t="shared" ca="1" si="42"/>
        <v>#VALUE!</v>
      </c>
      <c r="H741" t="e">
        <f t="shared" ca="1" si="43"/>
        <v>#VALUE!</v>
      </c>
      <c r="I741" t="e">
        <f t="shared" ca="1" si="44"/>
        <v>#VALUE!</v>
      </c>
    </row>
    <row r="742" spans="1:9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40"/>
        <v>#VALUE!</v>
      </c>
      <c r="F742" t="e">
        <f t="shared" ca="1" si="41"/>
        <v>#VALUE!</v>
      </c>
      <c r="G742" t="e">
        <f t="shared" ca="1" si="42"/>
        <v>#VALUE!</v>
      </c>
      <c r="H742" t="e">
        <f t="shared" ca="1" si="43"/>
        <v>#VALUE!</v>
      </c>
      <c r="I742" t="e">
        <f t="shared" ca="1" si="44"/>
        <v>#VALUE!</v>
      </c>
    </row>
    <row r="743" spans="1:9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40"/>
        <v>#VALUE!</v>
      </c>
      <c r="F743" t="e">
        <f t="shared" ca="1" si="41"/>
        <v>#VALUE!</v>
      </c>
      <c r="G743" t="e">
        <f t="shared" ca="1" si="42"/>
        <v>#VALUE!</v>
      </c>
      <c r="H743" t="e">
        <f t="shared" ca="1" si="43"/>
        <v>#VALUE!</v>
      </c>
      <c r="I743" t="e">
        <f t="shared" ca="1" si="44"/>
        <v>#VALUE!</v>
      </c>
    </row>
    <row r="744" spans="1:9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40"/>
        <v>#VALUE!</v>
      </c>
      <c r="F744" t="e">
        <f t="shared" ca="1" si="41"/>
        <v>#VALUE!</v>
      </c>
      <c r="G744" t="e">
        <f t="shared" ca="1" si="42"/>
        <v>#VALUE!</v>
      </c>
      <c r="H744" t="e">
        <f t="shared" ca="1" si="43"/>
        <v>#VALUE!</v>
      </c>
      <c r="I744" t="e">
        <f t="shared" ca="1" si="44"/>
        <v>#VALUE!</v>
      </c>
    </row>
    <row r="745" spans="1:9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40"/>
        <v>#VALUE!</v>
      </c>
      <c r="F745" t="e">
        <f t="shared" ca="1" si="41"/>
        <v>#VALUE!</v>
      </c>
      <c r="G745" t="e">
        <f t="shared" ca="1" si="42"/>
        <v>#VALUE!</v>
      </c>
      <c r="H745" t="e">
        <f t="shared" ca="1" si="43"/>
        <v>#VALUE!</v>
      </c>
      <c r="I745" t="e">
        <f t="shared" ca="1" si="44"/>
        <v>#VALUE!</v>
      </c>
    </row>
    <row r="746" spans="1:9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40"/>
        <v>#VALUE!</v>
      </c>
      <c r="F746" t="e">
        <f t="shared" ca="1" si="41"/>
        <v>#VALUE!</v>
      </c>
      <c r="G746" t="e">
        <f t="shared" ca="1" si="42"/>
        <v>#VALUE!</v>
      </c>
      <c r="H746" t="e">
        <f t="shared" ca="1" si="43"/>
        <v>#VALUE!</v>
      </c>
      <c r="I746" t="e">
        <f t="shared" ca="1" si="44"/>
        <v>#VALUE!</v>
      </c>
    </row>
    <row r="747" spans="1:9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40"/>
        <v>#VALUE!</v>
      </c>
      <c r="F747" t="e">
        <f t="shared" ca="1" si="41"/>
        <v>#VALUE!</v>
      </c>
      <c r="G747" t="e">
        <f t="shared" ca="1" si="42"/>
        <v>#VALUE!</v>
      </c>
      <c r="H747" t="e">
        <f t="shared" ca="1" si="43"/>
        <v>#VALUE!</v>
      </c>
      <c r="I747" t="e">
        <f t="shared" ca="1" si="44"/>
        <v>#VALUE!</v>
      </c>
    </row>
    <row r="748" spans="1:9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40"/>
        <v>#VALUE!</v>
      </c>
      <c r="F748" t="e">
        <f t="shared" ca="1" si="41"/>
        <v>#VALUE!</v>
      </c>
      <c r="G748" t="e">
        <f t="shared" ca="1" si="42"/>
        <v>#VALUE!</v>
      </c>
      <c r="H748" t="e">
        <f t="shared" ca="1" si="43"/>
        <v>#VALUE!</v>
      </c>
      <c r="I748" t="e">
        <f t="shared" ca="1" si="44"/>
        <v>#VALUE!</v>
      </c>
    </row>
    <row r="749" spans="1:9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40"/>
        <v>#VALUE!</v>
      </c>
      <c r="F749" t="e">
        <f t="shared" ca="1" si="41"/>
        <v>#VALUE!</v>
      </c>
      <c r="G749" t="e">
        <f t="shared" ca="1" si="42"/>
        <v>#VALUE!</v>
      </c>
      <c r="H749" t="e">
        <f t="shared" ca="1" si="43"/>
        <v>#VALUE!</v>
      </c>
      <c r="I749" t="e">
        <f t="shared" ca="1" si="44"/>
        <v>#VALUE!</v>
      </c>
    </row>
    <row r="750" spans="1:9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40"/>
        <v>#VALUE!</v>
      </c>
      <c r="F750" t="e">
        <f t="shared" ca="1" si="41"/>
        <v>#VALUE!</v>
      </c>
      <c r="G750" t="e">
        <f t="shared" ca="1" si="42"/>
        <v>#VALUE!</v>
      </c>
      <c r="H750" t="e">
        <f t="shared" ca="1" si="43"/>
        <v>#VALUE!</v>
      </c>
      <c r="I750" t="e">
        <f t="shared" ca="1" si="44"/>
        <v>#VALUE!</v>
      </c>
    </row>
    <row r="751" spans="1:9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40"/>
        <v>#VALUE!</v>
      </c>
      <c r="F751" t="e">
        <f t="shared" ca="1" si="41"/>
        <v>#VALUE!</v>
      </c>
      <c r="G751" t="e">
        <f t="shared" ca="1" si="42"/>
        <v>#VALUE!</v>
      </c>
      <c r="H751" t="e">
        <f t="shared" ca="1" si="43"/>
        <v>#VALUE!</v>
      </c>
      <c r="I751" t="e">
        <f t="shared" ca="1" si="44"/>
        <v>#VALUE!</v>
      </c>
    </row>
    <row r="752" spans="1:9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40"/>
        <v>#VALUE!</v>
      </c>
      <c r="F752" t="e">
        <f t="shared" ca="1" si="41"/>
        <v>#VALUE!</v>
      </c>
      <c r="G752" t="e">
        <f t="shared" ca="1" si="42"/>
        <v>#VALUE!</v>
      </c>
      <c r="H752" t="e">
        <f t="shared" ca="1" si="43"/>
        <v>#VALUE!</v>
      </c>
      <c r="I752" t="e">
        <f t="shared" ca="1" si="44"/>
        <v>#VALUE!</v>
      </c>
    </row>
    <row r="753" spans="1:9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40"/>
        <v>#VALUE!</v>
      </c>
      <c r="F753" t="e">
        <f t="shared" ca="1" si="41"/>
        <v>#VALUE!</v>
      </c>
      <c r="G753" t="e">
        <f t="shared" ca="1" si="42"/>
        <v>#VALUE!</v>
      </c>
      <c r="H753" t="e">
        <f t="shared" ca="1" si="43"/>
        <v>#VALUE!</v>
      </c>
      <c r="I753" t="e">
        <f t="shared" ca="1" si="44"/>
        <v>#VALUE!</v>
      </c>
    </row>
    <row r="754" spans="1:9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40"/>
        <v>#VALUE!</v>
      </c>
      <c r="F754" t="e">
        <f t="shared" ca="1" si="41"/>
        <v>#VALUE!</v>
      </c>
      <c r="G754" t="e">
        <f t="shared" ca="1" si="42"/>
        <v>#VALUE!</v>
      </c>
      <c r="H754" t="e">
        <f t="shared" ca="1" si="43"/>
        <v>#VALUE!</v>
      </c>
      <c r="I754" t="e">
        <f t="shared" ca="1" si="44"/>
        <v>#VALUE!</v>
      </c>
    </row>
    <row r="755" spans="1:9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ref="E755:E818" ca="1" si="45">IF(D755="T", 0.05, IF(D755="C", -0.01, ""))</f>
        <v>#VALUE!</v>
      </c>
      <c r="F755" t="e">
        <f t="shared" ref="F755:F818" ca="1" si="46">IF(D755="T", 0.05, IF(D755="C", 0, ""))</f>
        <v>#VALUE!</v>
      </c>
      <c r="G755" t="e">
        <f t="shared" ref="G755:G818" ca="1" si="47">IF(D755="T", 0, IF(D755="C", 0, ""))</f>
        <v>#VALUE!</v>
      </c>
      <c r="H755" t="e">
        <f t="shared" ref="H755:H818" ca="1" si="48">IF(D755="T", 0.05, IF(D755="C", 0, ""))</f>
        <v>#VALUE!</v>
      </c>
      <c r="I755" t="e">
        <f t="shared" ref="I755:I818" ca="1" si="49">IF(D755="T", 0, IF(D755="C", 0, ""))</f>
        <v>#VALUE!</v>
      </c>
    </row>
    <row r="756" spans="1:9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45"/>
        <v>#VALUE!</v>
      </c>
      <c r="F756" t="e">
        <f t="shared" ca="1" si="46"/>
        <v>#VALUE!</v>
      </c>
      <c r="G756" t="e">
        <f t="shared" ca="1" si="47"/>
        <v>#VALUE!</v>
      </c>
      <c r="H756" t="e">
        <f t="shared" ca="1" si="48"/>
        <v>#VALUE!</v>
      </c>
      <c r="I756" t="e">
        <f t="shared" ca="1" si="49"/>
        <v>#VALUE!</v>
      </c>
    </row>
    <row r="757" spans="1:9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45"/>
        <v>#VALUE!</v>
      </c>
      <c r="F757" t="e">
        <f t="shared" ca="1" si="46"/>
        <v>#VALUE!</v>
      </c>
      <c r="G757" t="e">
        <f t="shared" ca="1" si="47"/>
        <v>#VALUE!</v>
      </c>
      <c r="H757" t="e">
        <f t="shared" ca="1" si="48"/>
        <v>#VALUE!</v>
      </c>
      <c r="I757" t="e">
        <f t="shared" ca="1" si="49"/>
        <v>#VALUE!</v>
      </c>
    </row>
    <row r="758" spans="1:9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45"/>
        <v>#VALUE!</v>
      </c>
      <c r="F758" t="e">
        <f t="shared" ca="1" si="46"/>
        <v>#VALUE!</v>
      </c>
      <c r="G758" t="e">
        <f t="shared" ca="1" si="47"/>
        <v>#VALUE!</v>
      </c>
      <c r="H758" t="e">
        <f t="shared" ca="1" si="48"/>
        <v>#VALUE!</v>
      </c>
      <c r="I758" t="e">
        <f t="shared" ca="1" si="49"/>
        <v>#VALUE!</v>
      </c>
    </row>
    <row r="759" spans="1:9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45"/>
        <v>#VALUE!</v>
      </c>
      <c r="F759" t="e">
        <f t="shared" ca="1" si="46"/>
        <v>#VALUE!</v>
      </c>
      <c r="G759" t="e">
        <f t="shared" ca="1" si="47"/>
        <v>#VALUE!</v>
      </c>
      <c r="H759" t="e">
        <f t="shared" ca="1" si="48"/>
        <v>#VALUE!</v>
      </c>
      <c r="I759" t="e">
        <f t="shared" ca="1" si="49"/>
        <v>#VALUE!</v>
      </c>
    </row>
    <row r="760" spans="1:9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45"/>
        <v>#VALUE!</v>
      </c>
      <c r="F760" t="e">
        <f t="shared" ca="1" si="46"/>
        <v>#VALUE!</v>
      </c>
      <c r="G760" t="e">
        <f t="shared" ca="1" si="47"/>
        <v>#VALUE!</v>
      </c>
      <c r="H760" t="e">
        <f t="shared" ca="1" si="48"/>
        <v>#VALUE!</v>
      </c>
      <c r="I760" t="e">
        <f t="shared" ca="1" si="49"/>
        <v>#VALUE!</v>
      </c>
    </row>
    <row r="761" spans="1:9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45"/>
        <v>#VALUE!</v>
      </c>
      <c r="F761" t="e">
        <f t="shared" ca="1" si="46"/>
        <v>#VALUE!</v>
      </c>
      <c r="G761" t="e">
        <f t="shared" ca="1" si="47"/>
        <v>#VALUE!</v>
      </c>
      <c r="H761" t="e">
        <f t="shared" ca="1" si="48"/>
        <v>#VALUE!</v>
      </c>
      <c r="I761" t="e">
        <f t="shared" ca="1" si="49"/>
        <v>#VALUE!</v>
      </c>
    </row>
    <row r="762" spans="1:9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45"/>
        <v>#VALUE!</v>
      </c>
      <c r="F762" t="e">
        <f t="shared" ca="1" si="46"/>
        <v>#VALUE!</v>
      </c>
      <c r="G762" t="e">
        <f t="shared" ca="1" si="47"/>
        <v>#VALUE!</v>
      </c>
      <c r="H762" t="e">
        <f t="shared" ca="1" si="48"/>
        <v>#VALUE!</v>
      </c>
      <c r="I762" t="e">
        <f t="shared" ca="1" si="49"/>
        <v>#VALUE!</v>
      </c>
    </row>
    <row r="763" spans="1:9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45"/>
        <v>#VALUE!</v>
      </c>
      <c r="F763" t="e">
        <f t="shared" ca="1" si="46"/>
        <v>#VALUE!</v>
      </c>
      <c r="G763" t="e">
        <f t="shared" ca="1" si="47"/>
        <v>#VALUE!</v>
      </c>
      <c r="H763" t="e">
        <f t="shared" ca="1" si="48"/>
        <v>#VALUE!</v>
      </c>
      <c r="I763" t="e">
        <f t="shared" ca="1" si="49"/>
        <v>#VALUE!</v>
      </c>
    </row>
    <row r="764" spans="1:9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45"/>
        <v>#VALUE!</v>
      </c>
      <c r="F764" t="e">
        <f t="shared" ca="1" si="46"/>
        <v>#VALUE!</v>
      </c>
      <c r="G764" t="e">
        <f t="shared" ca="1" si="47"/>
        <v>#VALUE!</v>
      </c>
      <c r="H764" t="e">
        <f t="shared" ca="1" si="48"/>
        <v>#VALUE!</v>
      </c>
      <c r="I764" t="e">
        <f t="shared" ca="1" si="49"/>
        <v>#VALUE!</v>
      </c>
    </row>
    <row r="765" spans="1:9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45"/>
        <v>#VALUE!</v>
      </c>
      <c r="F765" t="e">
        <f t="shared" ca="1" si="46"/>
        <v>#VALUE!</v>
      </c>
      <c r="G765" t="e">
        <f t="shared" ca="1" si="47"/>
        <v>#VALUE!</v>
      </c>
      <c r="H765" t="e">
        <f t="shared" ca="1" si="48"/>
        <v>#VALUE!</v>
      </c>
      <c r="I765" t="e">
        <f t="shared" ca="1" si="49"/>
        <v>#VALUE!</v>
      </c>
    </row>
    <row r="766" spans="1:9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45"/>
        <v>#VALUE!</v>
      </c>
      <c r="F766" t="e">
        <f t="shared" ca="1" si="46"/>
        <v>#VALUE!</v>
      </c>
      <c r="G766" t="e">
        <f t="shared" ca="1" si="47"/>
        <v>#VALUE!</v>
      </c>
      <c r="H766" t="e">
        <f t="shared" ca="1" si="48"/>
        <v>#VALUE!</v>
      </c>
      <c r="I766" t="e">
        <f t="shared" ca="1" si="49"/>
        <v>#VALUE!</v>
      </c>
    </row>
    <row r="767" spans="1:9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45"/>
        <v>#VALUE!</v>
      </c>
      <c r="F767" t="e">
        <f t="shared" ca="1" si="46"/>
        <v>#VALUE!</v>
      </c>
      <c r="G767" t="e">
        <f t="shared" ca="1" si="47"/>
        <v>#VALUE!</v>
      </c>
      <c r="H767" t="e">
        <f t="shared" ca="1" si="48"/>
        <v>#VALUE!</v>
      </c>
      <c r="I767" t="e">
        <f t="shared" ca="1" si="49"/>
        <v>#VALUE!</v>
      </c>
    </row>
    <row r="768" spans="1:9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45"/>
        <v>#VALUE!</v>
      </c>
      <c r="F768" t="e">
        <f t="shared" ca="1" si="46"/>
        <v>#VALUE!</v>
      </c>
      <c r="G768" t="e">
        <f t="shared" ca="1" si="47"/>
        <v>#VALUE!</v>
      </c>
      <c r="H768" t="e">
        <f t="shared" ca="1" si="48"/>
        <v>#VALUE!</v>
      </c>
      <c r="I768" t="e">
        <f t="shared" ca="1" si="49"/>
        <v>#VALUE!</v>
      </c>
    </row>
    <row r="769" spans="1:9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45"/>
        <v>#VALUE!</v>
      </c>
      <c r="F769" t="e">
        <f t="shared" ca="1" si="46"/>
        <v>#VALUE!</v>
      </c>
      <c r="G769" t="e">
        <f t="shared" ca="1" si="47"/>
        <v>#VALUE!</v>
      </c>
      <c r="H769" t="e">
        <f t="shared" ca="1" si="48"/>
        <v>#VALUE!</v>
      </c>
      <c r="I769" t="e">
        <f t="shared" ca="1" si="49"/>
        <v>#VALUE!</v>
      </c>
    </row>
    <row r="770" spans="1:9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45"/>
        <v>#VALUE!</v>
      </c>
      <c r="F770" t="e">
        <f t="shared" ca="1" si="46"/>
        <v>#VALUE!</v>
      </c>
      <c r="G770" t="e">
        <f t="shared" ca="1" si="47"/>
        <v>#VALUE!</v>
      </c>
      <c r="H770" t="e">
        <f t="shared" ca="1" si="48"/>
        <v>#VALUE!</v>
      </c>
      <c r="I770" t="e">
        <f t="shared" ca="1" si="49"/>
        <v>#VALUE!</v>
      </c>
    </row>
    <row r="771" spans="1:9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45"/>
        <v>#VALUE!</v>
      </c>
      <c r="F771" t="e">
        <f t="shared" ca="1" si="46"/>
        <v>#VALUE!</v>
      </c>
      <c r="G771" t="e">
        <f t="shared" ca="1" si="47"/>
        <v>#VALUE!</v>
      </c>
      <c r="H771" t="e">
        <f t="shared" ca="1" si="48"/>
        <v>#VALUE!</v>
      </c>
      <c r="I771" t="e">
        <f t="shared" ca="1" si="49"/>
        <v>#VALUE!</v>
      </c>
    </row>
    <row r="772" spans="1:9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45"/>
        <v>#VALUE!</v>
      </c>
      <c r="F772" t="e">
        <f t="shared" ca="1" si="46"/>
        <v>#VALUE!</v>
      </c>
      <c r="G772" t="e">
        <f t="shared" ca="1" si="47"/>
        <v>#VALUE!</v>
      </c>
      <c r="H772" t="e">
        <f t="shared" ca="1" si="48"/>
        <v>#VALUE!</v>
      </c>
      <c r="I772" t="e">
        <f t="shared" ca="1" si="49"/>
        <v>#VALUE!</v>
      </c>
    </row>
    <row r="773" spans="1:9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45"/>
        <v>#VALUE!</v>
      </c>
      <c r="F773" t="e">
        <f t="shared" ca="1" si="46"/>
        <v>#VALUE!</v>
      </c>
      <c r="G773" t="e">
        <f t="shared" ca="1" si="47"/>
        <v>#VALUE!</v>
      </c>
      <c r="H773" t="e">
        <f t="shared" ca="1" si="48"/>
        <v>#VALUE!</v>
      </c>
      <c r="I773" t="e">
        <f t="shared" ca="1" si="49"/>
        <v>#VALUE!</v>
      </c>
    </row>
    <row r="774" spans="1:9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45"/>
        <v>#VALUE!</v>
      </c>
      <c r="F774" t="e">
        <f t="shared" ca="1" si="46"/>
        <v>#VALUE!</v>
      </c>
      <c r="G774" t="e">
        <f t="shared" ca="1" si="47"/>
        <v>#VALUE!</v>
      </c>
      <c r="H774" t="e">
        <f t="shared" ca="1" si="48"/>
        <v>#VALUE!</v>
      </c>
      <c r="I774" t="e">
        <f t="shared" ca="1" si="49"/>
        <v>#VALUE!</v>
      </c>
    </row>
    <row r="775" spans="1:9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45"/>
        <v>#VALUE!</v>
      </c>
      <c r="F775" t="e">
        <f t="shared" ca="1" si="46"/>
        <v>#VALUE!</v>
      </c>
      <c r="G775" t="e">
        <f t="shared" ca="1" si="47"/>
        <v>#VALUE!</v>
      </c>
      <c r="H775" t="e">
        <f t="shared" ca="1" si="48"/>
        <v>#VALUE!</v>
      </c>
      <c r="I775" t="e">
        <f t="shared" ca="1" si="49"/>
        <v>#VALUE!</v>
      </c>
    </row>
    <row r="776" spans="1:9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45"/>
        <v>#VALUE!</v>
      </c>
      <c r="F776" t="e">
        <f t="shared" ca="1" si="46"/>
        <v>#VALUE!</v>
      </c>
      <c r="G776" t="e">
        <f t="shared" ca="1" si="47"/>
        <v>#VALUE!</v>
      </c>
      <c r="H776" t="e">
        <f t="shared" ca="1" si="48"/>
        <v>#VALUE!</v>
      </c>
      <c r="I776" t="e">
        <f t="shared" ca="1" si="49"/>
        <v>#VALUE!</v>
      </c>
    </row>
    <row r="777" spans="1:9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45"/>
        <v>#VALUE!</v>
      </c>
      <c r="F777" t="e">
        <f t="shared" ca="1" si="46"/>
        <v>#VALUE!</v>
      </c>
      <c r="G777" t="e">
        <f t="shared" ca="1" si="47"/>
        <v>#VALUE!</v>
      </c>
      <c r="H777" t="e">
        <f t="shared" ca="1" si="48"/>
        <v>#VALUE!</v>
      </c>
      <c r="I777" t="e">
        <f t="shared" ca="1" si="49"/>
        <v>#VALUE!</v>
      </c>
    </row>
    <row r="778" spans="1:9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45"/>
        <v>#VALUE!</v>
      </c>
      <c r="F778" t="e">
        <f t="shared" ca="1" si="46"/>
        <v>#VALUE!</v>
      </c>
      <c r="G778" t="e">
        <f t="shared" ca="1" si="47"/>
        <v>#VALUE!</v>
      </c>
      <c r="H778" t="e">
        <f t="shared" ca="1" si="48"/>
        <v>#VALUE!</v>
      </c>
      <c r="I778" t="e">
        <f t="shared" ca="1" si="49"/>
        <v>#VALUE!</v>
      </c>
    </row>
    <row r="779" spans="1:9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45"/>
        <v>#VALUE!</v>
      </c>
      <c r="F779" t="e">
        <f t="shared" ca="1" si="46"/>
        <v>#VALUE!</v>
      </c>
      <c r="G779" t="e">
        <f t="shared" ca="1" si="47"/>
        <v>#VALUE!</v>
      </c>
      <c r="H779" t="e">
        <f t="shared" ca="1" si="48"/>
        <v>#VALUE!</v>
      </c>
      <c r="I779" t="e">
        <f t="shared" ca="1" si="49"/>
        <v>#VALUE!</v>
      </c>
    </row>
    <row r="780" spans="1:9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45"/>
        <v>#VALUE!</v>
      </c>
      <c r="F780" t="e">
        <f t="shared" ca="1" si="46"/>
        <v>#VALUE!</v>
      </c>
      <c r="G780" t="e">
        <f t="shared" ca="1" si="47"/>
        <v>#VALUE!</v>
      </c>
      <c r="H780" t="e">
        <f t="shared" ca="1" si="48"/>
        <v>#VALUE!</v>
      </c>
      <c r="I780" t="e">
        <f t="shared" ca="1" si="49"/>
        <v>#VALUE!</v>
      </c>
    </row>
    <row r="781" spans="1:9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45"/>
        <v>#VALUE!</v>
      </c>
      <c r="F781" t="e">
        <f t="shared" ca="1" si="46"/>
        <v>#VALUE!</v>
      </c>
      <c r="G781" t="e">
        <f t="shared" ca="1" si="47"/>
        <v>#VALUE!</v>
      </c>
      <c r="H781" t="e">
        <f t="shared" ca="1" si="48"/>
        <v>#VALUE!</v>
      </c>
      <c r="I781" t="e">
        <f t="shared" ca="1" si="49"/>
        <v>#VALUE!</v>
      </c>
    </row>
    <row r="782" spans="1:9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45"/>
        <v>#VALUE!</v>
      </c>
      <c r="F782" t="e">
        <f t="shared" ca="1" si="46"/>
        <v>#VALUE!</v>
      </c>
      <c r="G782" t="e">
        <f t="shared" ca="1" si="47"/>
        <v>#VALUE!</v>
      </c>
      <c r="H782" t="e">
        <f t="shared" ca="1" si="48"/>
        <v>#VALUE!</v>
      </c>
      <c r="I782" t="e">
        <f t="shared" ca="1" si="49"/>
        <v>#VALUE!</v>
      </c>
    </row>
    <row r="783" spans="1:9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45"/>
        <v>#VALUE!</v>
      </c>
      <c r="F783" t="e">
        <f t="shared" ca="1" si="46"/>
        <v>#VALUE!</v>
      </c>
      <c r="G783" t="e">
        <f t="shared" ca="1" si="47"/>
        <v>#VALUE!</v>
      </c>
      <c r="H783" t="e">
        <f t="shared" ca="1" si="48"/>
        <v>#VALUE!</v>
      </c>
      <c r="I783" t="e">
        <f t="shared" ca="1" si="49"/>
        <v>#VALUE!</v>
      </c>
    </row>
    <row r="784" spans="1:9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45"/>
        <v>#VALUE!</v>
      </c>
      <c r="F784" t="e">
        <f t="shared" ca="1" si="46"/>
        <v>#VALUE!</v>
      </c>
      <c r="G784" t="e">
        <f t="shared" ca="1" si="47"/>
        <v>#VALUE!</v>
      </c>
      <c r="H784" t="e">
        <f t="shared" ca="1" si="48"/>
        <v>#VALUE!</v>
      </c>
      <c r="I784" t="e">
        <f t="shared" ca="1" si="49"/>
        <v>#VALUE!</v>
      </c>
    </row>
    <row r="785" spans="1:9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45"/>
        <v>#VALUE!</v>
      </c>
      <c r="F785" t="e">
        <f t="shared" ca="1" si="46"/>
        <v>#VALUE!</v>
      </c>
      <c r="G785" t="e">
        <f t="shared" ca="1" si="47"/>
        <v>#VALUE!</v>
      </c>
      <c r="H785" t="e">
        <f t="shared" ca="1" si="48"/>
        <v>#VALUE!</v>
      </c>
      <c r="I785" t="e">
        <f t="shared" ca="1" si="49"/>
        <v>#VALUE!</v>
      </c>
    </row>
    <row r="786" spans="1:9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45"/>
        <v>#VALUE!</v>
      </c>
      <c r="F786" t="e">
        <f t="shared" ca="1" si="46"/>
        <v>#VALUE!</v>
      </c>
      <c r="G786" t="e">
        <f t="shared" ca="1" si="47"/>
        <v>#VALUE!</v>
      </c>
      <c r="H786" t="e">
        <f t="shared" ca="1" si="48"/>
        <v>#VALUE!</v>
      </c>
      <c r="I786" t="e">
        <f t="shared" ca="1" si="49"/>
        <v>#VALUE!</v>
      </c>
    </row>
    <row r="787" spans="1:9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45"/>
        <v>#VALUE!</v>
      </c>
      <c r="F787" t="e">
        <f t="shared" ca="1" si="46"/>
        <v>#VALUE!</v>
      </c>
      <c r="G787" t="e">
        <f t="shared" ca="1" si="47"/>
        <v>#VALUE!</v>
      </c>
      <c r="H787" t="e">
        <f t="shared" ca="1" si="48"/>
        <v>#VALUE!</v>
      </c>
      <c r="I787" t="e">
        <f t="shared" ca="1" si="49"/>
        <v>#VALUE!</v>
      </c>
    </row>
    <row r="788" spans="1:9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45"/>
        <v>#VALUE!</v>
      </c>
      <c r="F788" t="e">
        <f t="shared" ca="1" si="46"/>
        <v>#VALUE!</v>
      </c>
      <c r="G788" t="e">
        <f t="shared" ca="1" si="47"/>
        <v>#VALUE!</v>
      </c>
      <c r="H788" t="e">
        <f t="shared" ca="1" si="48"/>
        <v>#VALUE!</v>
      </c>
      <c r="I788" t="e">
        <f t="shared" ca="1" si="49"/>
        <v>#VALUE!</v>
      </c>
    </row>
    <row r="789" spans="1:9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45"/>
        <v>#VALUE!</v>
      </c>
      <c r="F789" t="e">
        <f t="shared" ca="1" si="46"/>
        <v>#VALUE!</v>
      </c>
      <c r="G789" t="e">
        <f t="shared" ca="1" si="47"/>
        <v>#VALUE!</v>
      </c>
      <c r="H789" t="e">
        <f t="shared" ca="1" si="48"/>
        <v>#VALUE!</v>
      </c>
      <c r="I789" t="e">
        <f t="shared" ca="1" si="49"/>
        <v>#VALUE!</v>
      </c>
    </row>
    <row r="790" spans="1:9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45"/>
        <v>#VALUE!</v>
      </c>
      <c r="F790" t="e">
        <f t="shared" ca="1" si="46"/>
        <v>#VALUE!</v>
      </c>
      <c r="G790" t="e">
        <f t="shared" ca="1" si="47"/>
        <v>#VALUE!</v>
      </c>
      <c r="H790" t="e">
        <f t="shared" ca="1" si="48"/>
        <v>#VALUE!</v>
      </c>
      <c r="I790" t="e">
        <f t="shared" ca="1" si="49"/>
        <v>#VALUE!</v>
      </c>
    </row>
    <row r="791" spans="1:9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45"/>
        <v>#VALUE!</v>
      </c>
      <c r="F791" t="e">
        <f t="shared" ca="1" si="46"/>
        <v>#VALUE!</v>
      </c>
      <c r="G791" t="e">
        <f t="shared" ca="1" si="47"/>
        <v>#VALUE!</v>
      </c>
      <c r="H791" t="e">
        <f t="shared" ca="1" si="48"/>
        <v>#VALUE!</v>
      </c>
      <c r="I791" t="e">
        <f t="shared" ca="1" si="49"/>
        <v>#VALUE!</v>
      </c>
    </row>
    <row r="792" spans="1:9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45"/>
        <v>#VALUE!</v>
      </c>
      <c r="F792" t="e">
        <f t="shared" ca="1" si="46"/>
        <v>#VALUE!</v>
      </c>
      <c r="G792" t="e">
        <f t="shared" ca="1" si="47"/>
        <v>#VALUE!</v>
      </c>
      <c r="H792" t="e">
        <f t="shared" ca="1" si="48"/>
        <v>#VALUE!</v>
      </c>
      <c r="I792" t="e">
        <f t="shared" ca="1" si="49"/>
        <v>#VALUE!</v>
      </c>
    </row>
    <row r="793" spans="1:9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45"/>
        <v>#VALUE!</v>
      </c>
      <c r="F793" t="e">
        <f t="shared" ca="1" si="46"/>
        <v>#VALUE!</v>
      </c>
      <c r="G793" t="e">
        <f t="shared" ca="1" si="47"/>
        <v>#VALUE!</v>
      </c>
      <c r="H793" t="e">
        <f t="shared" ca="1" si="48"/>
        <v>#VALUE!</v>
      </c>
      <c r="I793" t="e">
        <f t="shared" ca="1" si="49"/>
        <v>#VALUE!</v>
      </c>
    </row>
    <row r="794" spans="1:9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45"/>
        <v>#VALUE!</v>
      </c>
      <c r="F794" t="e">
        <f t="shared" ca="1" si="46"/>
        <v>#VALUE!</v>
      </c>
      <c r="G794" t="e">
        <f t="shared" ca="1" si="47"/>
        <v>#VALUE!</v>
      </c>
      <c r="H794" t="e">
        <f t="shared" ca="1" si="48"/>
        <v>#VALUE!</v>
      </c>
      <c r="I794" t="e">
        <f t="shared" ca="1" si="49"/>
        <v>#VALUE!</v>
      </c>
    </row>
    <row r="795" spans="1:9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45"/>
        <v>#VALUE!</v>
      </c>
      <c r="F795" t="e">
        <f t="shared" ca="1" si="46"/>
        <v>#VALUE!</v>
      </c>
      <c r="G795" t="e">
        <f t="shared" ca="1" si="47"/>
        <v>#VALUE!</v>
      </c>
      <c r="H795" t="e">
        <f t="shared" ca="1" si="48"/>
        <v>#VALUE!</v>
      </c>
      <c r="I795" t="e">
        <f t="shared" ca="1" si="49"/>
        <v>#VALUE!</v>
      </c>
    </row>
    <row r="796" spans="1:9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45"/>
        <v>#VALUE!</v>
      </c>
      <c r="F796" t="e">
        <f t="shared" ca="1" si="46"/>
        <v>#VALUE!</v>
      </c>
      <c r="G796" t="e">
        <f t="shared" ca="1" si="47"/>
        <v>#VALUE!</v>
      </c>
      <c r="H796" t="e">
        <f t="shared" ca="1" si="48"/>
        <v>#VALUE!</v>
      </c>
      <c r="I796" t="e">
        <f t="shared" ca="1" si="49"/>
        <v>#VALUE!</v>
      </c>
    </row>
    <row r="797" spans="1:9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45"/>
        <v>#VALUE!</v>
      </c>
      <c r="F797" t="e">
        <f t="shared" ca="1" si="46"/>
        <v>#VALUE!</v>
      </c>
      <c r="G797" t="e">
        <f t="shared" ca="1" si="47"/>
        <v>#VALUE!</v>
      </c>
      <c r="H797" t="e">
        <f t="shared" ca="1" si="48"/>
        <v>#VALUE!</v>
      </c>
      <c r="I797" t="e">
        <f t="shared" ca="1" si="49"/>
        <v>#VALUE!</v>
      </c>
    </row>
    <row r="798" spans="1:9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45"/>
        <v>#VALUE!</v>
      </c>
      <c r="F798" t="e">
        <f t="shared" ca="1" si="46"/>
        <v>#VALUE!</v>
      </c>
      <c r="G798" t="e">
        <f t="shared" ca="1" si="47"/>
        <v>#VALUE!</v>
      </c>
      <c r="H798" t="e">
        <f t="shared" ca="1" si="48"/>
        <v>#VALUE!</v>
      </c>
      <c r="I798" t="e">
        <f t="shared" ca="1" si="49"/>
        <v>#VALUE!</v>
      </c>
    </row>
    <row r="799" spans="1:9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45"/>
        <v>#VALUE!</v>
      </c>
      <c r="F799" t="e">
        <f t="shared" ca="1" si="46"/>
        <v>#VALUE!</v>
      </c>
      <c r="G799" t="e">
        <f t="shared" ca="1" si="47"/>
        <v>#VALUE!</v>
      </c>
      <c r="H799" t="e">
        <f t="shared" ca="1" si="48"/>
        <v>#VALUE!</v>
      </c>
      <c r="I799" t="e">
        <f t="shared" ca="1" si="49"/>
        <v>#VALUE!</v>
      </c>
    </row>
    <row r="800" spans="1:9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45"/>
        <v>#VALUE!</v>
      </c>
      <c r="F800" t="e">
        <f t="shared" ca="1" si="46"/>
        <v>#VALUE!</v>
      </c>
      <c r="G800" t="e">
        <f t="shared" ca="1" si="47"/>
        <v>#VALUE!</v>
      </c>
      <c r="H800" t="e">
        <f t="shared" ca="1" si="48"/>
        <v>#VALUE!</v>
      </c>
      <c r="I800" t="e">
        <f t="shared" ca="1" si="49"/>
        <v>#VALUE!</v>
      </c>
    </row>
    <row r="801" spans="1:9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45"/>
        <v>#VALUE!</v>
      </c>
      <c r="F801" t="e">
        <f t="shared" ca="1" si="46"/>
        <v>#VALUE!</v>
      </c>
      <c r="G801" t="e">
        <f t="shared" ca="1" si="47"/>
        <v>#VALUE!</v>
      </c>
      <c r="H801" t="e">
        <f t="shared" ca="1" si="48"/>
        <v>#VALUE!</v>
      </c>
      <c r="I801" t="e">
        <f t="shared" ca="1" si="49"/>
        <v>#VALUE!</v>
      </c>
    </row>
    <row r="802" spans="1:9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45"/>
        <v>#VALUE!</v>
      </c>
      <c r="F802" t="e">
        <f t="shared" ca="1" si="46"/>
        <v>#VALUE!</v>
      </c>
      <c r="G802" t="e">
        <f t="shared" ca="1" si="47"/>
        <v>#VALUE!</v>
      </c>
      <c r="H802" t="e">
        <f t="shared" ca="1" si="48"/>
        <v>#VALUE!</v>
      </c>
      <c r="I802" t="e">
        <f t="shared" ca="1" si="49"/>
        <v>#VALUE!</v>
      </c>
    </row>
    <row r="803" spans="1:9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45"/>
        <v>#VALUE!</v>
      </c>
      <c r="F803" t="e">
        <f t="shared" ca="1" si="46"/>
        <v>#VALUE!</v>
      </c>
      <c r="G803" t="e">
        <f t="shared" ca="1" si="47"/>
        <v>#VALUE!</v>
      </c>
      <c r="H803" t="e">
        <f t="shared" ca="1" si="48"/>
        <v>#VALUE!</v>
      </c>
      <c r="I803" t="e">
        <f t="shared" ca="1" si="49"/>
        <v>#VALUE!</v>
      </c>
    </row>
    <row r="804" spans="1:9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45"/>
        <v>#VALUE!</v>
      </c>
      <c r="F804" t="e">
        <f t="shared" ca="1" si="46"/>
        <v>#VALUE!</v>
      </c>
      <c r="G804" t="e">
        <f t="shared" ca="1" si="47"/>
        <v>#VALUE!</v>
      </c>
      <c r="H804" t="e">
        <f t="shared" ca="1" si="48"/>
        <v>#VALUE!</v>
      </c>
      <c r="I804" t="e">
        <f t="shared" ca="1" si="49"/>
        <v>#VALUE!</v>
      </c>
    </row>
    <row r="805" spans="1:9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45"/>
        <v>#VALUE!</v>
      </c>
      <c r="F805" t="e">
        <f t="shared" ca="1" si="46"/>
        <v>#VALUE!</v>
      </c>
      <c r="G805" t="e">
        <f t="shared" ca="1" si="47"/>
        <v>#VALUE!</v>
      </c>
      <c r="H805" t="e">
        <f t="shared" ca="1" si="48"/>
        <v>#VALUE!</v>
      </c>
      <c r="I805" t="e">
        <f t="shared" ca="1" si="49"/>
        <v>#VALUE!</v>
      </c>
    </row>
    <row r="806" spans="1:9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45"/>
        <v>#VALUE!</v>
      </c>
      <c r="F806" t="e">
        <f t="shared" ca="1" si="46"/>
        <v>#VALUE!</v>
      </c>
      <c r="G806" t="e">
        <f t="shared" ca="1" si="47"/>
        <v>#VALUE!</v>
      </c>
      <c r="H806" t="e">
        <f t="shared" ca="1" si="48"/>
        <v>#VALUE!</v>
      </c>
      <c r="I806" t="e">
        <f t="shared" ca="1" si="49"/>
        <v>#VALUE!</v>
      </c>
    </row>
    <row r="807" spans="1:9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45"/>
        <v>#VALUE!</v>
      </c>
      <c r="F807" t="e">
        <f t="shared" ca="1" si="46"/>
        <v>#VALUE!</v>
      </c>
      <c r="G807" t="e">
        <f t="shared" ca="1" si="47"/>
        <v>#VALUE!</v>
      </c>
      <c r="H807" t="e">
        <f t="shared" ca="1" si="48"/>
        <v>#VALUE!</v>
      </c>
      <c r="I807" t="e">
        <f t="shared" ca="1" si="49"/>
        <v>#VALUE!</v>
      </c>
    </row>
    <row r="808" spans="1:9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45"/>
        <v>#VALUE!</v>
      </c>
      <c r="F808" t="e">
        <f t="shared" ca="1" si="46"/>
        <v>#VALUE!</v>
      </c>
      <c r="G808" t="e">
        <f t="shared" ca="1" si="47"/>
        <v>#VALUE!</v>
      </c>
      <c r="H808" t="e">
        <f t="shared" ca="1" si="48"/>
        <v>#VALUE!</v>
      </c>
      <c r="I808" t="e">
        <f t="shared" ca="1" si="49"/>
        <v>#VALUE!</v>
      </c>
    </row>
    <row r="809" spans="1:9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45"/>
        <v>#VALUE!</v>
      </c>
      <c r="F809" t="e">
        <f t="shared" ca="1" si="46"/>
        <v>#VALUE!</v>
      </c>
      <c r="G809" t="e">
        <f t="shared" ca="1" si="47"/>
        <v>#VALUE!</v>
      </c>
      <c r="H809" t="e">
        <f t="shared" ca="1" si="48"/>
        <v>#VALUE!</v>
      </c>
      <c r="I809" t="e">
        <f t="shared" ca="1" si="49"/>
        <v>#VALUE!</v>
      </c>
    </row>
    <row r="810" spans="1:9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45"/>
        <v>#VALUE!</v>
      </c>
      <c r="F810" t="e">
        <f t="shared" ca="1" si="46"/>
        <v>#VALUE!</v>
      </c>
      <c r="G810" t="e">
        <f t="shared" ca="1" si="47"/>
        <v>#VALUE!</v>
      </c>
      <c r="H810" t="e">
        <f t="shared" ca="1" si="48"/>
        <v>#VALUE!</v>
      </c>
      <c r="I810" t="e">
        <f t="shared" ca="1" si="49"/>
        <v>#VALUE!</v>
      </c>
    </row>
    <row r="811" spans="1:9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45"/>
        <v>#VALUE!</v>
      </c>
      <c r="F811" t="e">
        <f t="shared" ca="1" si="46"/>
        <v>#VALUE!</v>
      </c>
      <c r="G811" t="e">
        <f t="shared" ca="1" si="47"/>
        <v>#VALUE!</v>
      </c>
      <c r="H811" t="e">
        <f t="shared" ca="1" si="48"/>
        <v>#VALUE!</v>
      </c>
      <c r="I811" t="e">
        <f t="shared" ca="1" si="49"/>
        <v>#VALUE!</v>
      </c>
    </row>
    <row r="812" spans="1:9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45"/>
        <v>#VALUE!</v>
      </c>
      <c r="F812" t="e">
        <f t="shared" ca="1" si="46"/>
        <v>#VALUE!</v>
      </c>
      <c r="G812" t="e">
        <f t="shared" ca="1" si="47"/>
        <v>#VALUE!</v>
      </c>
      <c r="H812" t="e">
        <f t="shared" ca="1" si="48"/>
        <v>#VALUE!</v>
      </c>
      <c r="I812" t="e">
        <f t="shared" ca="1" si="49"/>
        <v>#VALUE!</v>
      </c>
    </row>
    <row r="813" spans="1:9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45"/>
        <v>#VALUE!</v>
      </c>
      <c r="F813" t="e">
        <f t="shared" ca="1" si="46"/>
        <v>#VALUE!</v>
      </c>
      <c r="G813" t="e">
        <f t="shared" ca="1" si="47"/>
        <v>#VALUE!</v>
      </c>
      <c r="H813" t="e">
        <f t="shared" ca="1" si="48"/>
        <v>#VALUE!</v>
      </c>
      <c r="I813" t="e">
        <f t="shared" ca="1" si="49"/>
        <v>#VALUE!</v>
      </c>
    </row>
    <row r="814" spans="1:9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45"/>
        <v>#VALUE!</v>
      </c>
      <c r="F814" t="e">
        <f t="shared" ca="1" si="46"/>
        <v>#VALUE!</v>
      </c>
      <c r="G814" t="e">
        <f t="shared" ca="1" si="47"/>
        <v>#VALUE!</v>
      </c>
      <c r="H814" t="e">
        <f t="shared" ca="1" si="48"/>
        <v>#VALUE!</v>
      </c>
      <c r="I814" t="e">
        <f t="shared" ca="1" si="49"/>
        <v>#VALUE!</v>
      </c>
    </row>
    <row r="815" spans="1:9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45"/>
        <v>#VALUE!</v>
      </c>
      <c r="F815" t="e">
        <f t="shared" ca="1" si="46"/>
        <v>#VALUE!</v>
      </c>
      <c r="G815" t="e">
        <f t="shared" ca="1" si="47"/>
        <v>#VALUE!</v>
      </c>
      <c r="H815" t="e">
        <f t="shared" ca="1" si="48"/>
        <v>#VALUE!</v>
      </c>
      <c r="I815" t="e">
        <f t="shared" ca="1" si="49"/>
        <v>#VALUE!</v>
      </c>
    </row>
    <row r="816" spans="1:9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45"/>
        <v>#VALUE!</v>
      </c>
      <c r="F816" t="e">
        <f t="shared" ca="1" si="46"/>
        <v>#VALUE!</v>
      </c>
      <c r="G816" t="e">
        <f t="shared" ca="1" si="47"/>
        <v>#VALUE!</v>
      </c>
      <c r="H816" t="e">
        <f t="shared" ca="1" si="48"/>
        <v>#VALUE!</v>
      </c>
      <c r="I816" t="e">
        <f t="shared" ca="1" si="49"/>
        <v>#VALUE!</v>
      </c>
    </row>
    <row r="817" spans="1:9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45"/>
        <v>#VALUE!</v>
      </c>
      <c r="F817" t="e">
        <f t="shared" ca="1" si="46"/>
        <v>#VALUE!</v>
      </c>
      <c r="G817" t="e">
        <f t="shared" ca="1" si="47"/>
        <v>#VALUE!</v>
      </c>
      <c r="H817" t="e">
        <f t="shared" ca="1" si="48"/>
        <v>#VALUE!</v>
      </c>
      <c r="I817" t="e">
        <f t="shared" ca="1" si="49"/>
        <v>#VALUE!</v>
      </c>
    </row>
    <row r="818" spans="1:9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45"/>
        <v>#VALUE!</v>
      </c>
      <c r="F818" t="e">
        <f t="shared" ca="1" si="46"/>
        <v>#VALUE!</v>
      </c>
      <c r="G818" t="e">
        <f t="shared" ca="1" si="47"/>
        <v>#VALUE!</v>
      </c>
      <c r="H818" t="e">
        <f t="shared" ca="1" si="48"/>
        <v>#VALUE!</v>
      </c>
      <c r="I818" t="e">
        <f t="shared" ca="1" si="49"/>
        <v>#VALUE!</v>
      </c>
    </row>
    <row r="819" spans="1:9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ref="E819:E882" ca="1" si="50">IF(D819="T", 0.05, IF(D819="C", -0.01, ""))</f>
        <v>#VALUE!</v>
      </c>
      <c r="F819" t="e">
        <f t="shared" ref="F819:F882" ca="1" si="51">IF(D819="T", 0.05, IF(D819="C", 0, ""))</f>
        <v>#VALUE!</v>
      </c>
      <c r="G819" t="e">
        <f t="shared" ref="G819:G882" ca="1" si="52">IF(D819="T", 0, IF(D819="C", 0, ""))</f>
        <v>#VALUE!</v>
      </c>
      <c r="H819" t="e">
        <f t="shared" ref="H819:H882" ca="1" si="53">IF(D819="T", 0.05, IF(D819="C", 0, ""))</f>
        <v>#VALUE!</v>
      </c>
      <c r="I819" t="e">
        <f t="shared" ref="I819:I882" ca="1" si="54">IF(D819="T", 0, IF(D819="C", 0, ""))</f>
        <v>#VALUE!</v>
      </c>
    </row>
    <row r="820" spans="1:9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50"/>
        <v>#VALUE!</v>
      </c>
      <c r="F820" t="e">
        <f t="shared" ca="1" si="51"/>
        <v>#VALUE!</v>
      </c>
      <c r="G820" t="e">
        <f t="shared" ca="1" si="52"/>
        <v>#VALUE!</v>
      </c>
      <c r="H820" t="e">
        <f t="shared" ca="1" si="53"/>
        <v>#VALUE!</v>
      </c>
      <c r="I820" t="e">
        <f t="shared" ca="1" si="54"/>
        <v>#VALUE!</v>
      </c>
    </row>
    <row r="821" spans="1:9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50"/>
        <v>#VALUE!</v>
      </c>
      <c r="F821" t="e">
        <f t="shared" ca="1" si="51"/>
        <v>#VALUE!</v>
      </c>
      <c r="G821" t="e">
        <f t="shared" ca="1" si="52"/>
        <v>#VALUE!</v>
      </c>
      <c r="H821" t="e">
        <f t="shared" ca="1" si="53"/>
        <v>#VALUE!</v>
      </c>
      <c r="I821" t="e">
        <f t="shared" ca="1" si="54"/>
        <v>#VALUE!</v>
      </c>
    </row>
    <row r="822" spans="1:9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50"/>
        <v>#VALUE!</v>
      </c>
      <c r="F822" t="e">
        <f t="shared" ca="1" si="51"/>
        <v>#VALUE!</v>
      </c>
      <c r="G822" t="e">
        <f t="shared" ca="1" si="52"/>
        <v>#VALUE!</v>
      </c>
      <c r="H822" t="e">
        <f t="shared" ca="1" si="53"/>
        <v>#VALUE!</v>
      </c>
      <c r="I822" t="e">
        <f t="shared" ca="1" si="54"/>
        <v>#VALUE!</v>
      </c>
    </row>
    <row r="823" spans="1:9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50"/>
        <v>#VALUE!</v>
      </c>
      <c r="F823" t="e">
        <f t="shared" ca="1" si="51"/>
        <v>#VALUE!</v>
      </c>
      <c r="G823" t="e">
        <f t="shared" ca="1" si="52"/>
        <v>#VALUE!</v>
      </c>
      <c r="H823" t="e">
        <f t="shared" ca="1" si="53"/>
        <v>#VALUE!</v>
      </c>
      <c r="I823" t="e">
        <f t="shared" ca="1" si="54"/>
        <v>#VALUE!</v>
      </c>
    </row>
    <row r="824" spans="1:9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50"/>
        <v>#VALUE!</v>
      </c>
      <c r="F824" t="e">
        <f t="shared" ca="1" si="51"/>
        <v>#VALUE!</v>
      </c>
      <c r="G824" t="e">
        <f t="shared" ca="1" si="52"/>
        <v>#VALUE!</v>
      </c>
      <c r="H824" t="e">
        <f t="shared" ca="1" si="53"/>
        <v>#VALUE!</v>
      </c>
      <c r="I824" t="e">
        <f t="shared" ca="1" si="54"/>
        <v>#VALUE!</v>
      </c>
    </row>
    <row r="825" spans="1:9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50"/>
        <v>#VALUE!</v>
      </c>
      <c r="F825" t="e">
        <f t="shared" ca="1" si="51"/>
        <v>#VALUE!</v>
      </c>
      <c r="G825" t="e">
        <f t="shared" ca="1" si="52"/>
        <v>#VALUE!</v>
      </c>
      <c r="H825" t="e">
        <f t="shared" ca="1" si="53"/>
        <v>#VALUE!</v>
      </c>
      <c r="I825" t="e">
        <f t="shared" ca="1" si="54"/>
        <v>#VALUE!</v>
      </c>
    </row>
    <row r="826" spans="1:9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50"/>
        <v>#VALUE!</v>
      </c>
      <c r="F826" t="e">
        <f t="shared" ca="1" si="51"/>
        <v>#VALUE!</v>
      </c>
      <c r="G826" t="e">
        <f t="shared" ca="1" si="52"/>
        <v>#VALUE!</v>
      </c>
      <c r="H826" t="e">
        <f t="shared" ca="1" si="53"/>
        <v>#VALUE!</v>
      </c>
      <c r="I826" t="e">
        <f t="shared" ca="1" si="54"/>
        <v>#VALUE!</v>
      </c>
    </row>
    <row r="827" spans="1:9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50"/>
        <v>#VALUE!</v>
      </c>
      <c r="F827" t="e">
        <f t="shared" ca="1" si="51"/>
        <v>#VALUE!</v>
      </c>
      <c r="G827" t="e">
        <f t="shared" ca="1" si="52"/>
        <v>#VALUE!</v>
      </c>
      <c r="H827" t="e">
        <f t="shared" ca="1" si="53"/>
        <v>#VALUE!</v>
      </c>
      <c r="I827" t="e">
        <f t="shared" ca="1" si="54"/>
        <v>#VALUE!</v>
      </c>
    </row>
    <row r="828" spans="1:9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50"/>
        <v>#VALUE!</v>
      </c>
      <c r="F828" t="e">
        <f t="shared" ca="1" si="51"/>
        <v>#VALUE!</v>
      </c>
      <c r="G828" t="e">
        <f t="shared" ca="1" si="52"/>
        <v>#VALUE!</v>
      </c>
      <c r="H828" t="e">
        <f t="shared" ca="1" si="53"/>
        <v>#VALUE!</v>
      </c>
      <c r="I828" t="e">
        <f t="shared" ca="1" si="54"/>
        <v>#VALUE!</v>
      </c>
    </row>
    <row r="829" spans="1:9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50"/>
        <v>#VALUE!</v>
      </c>
      <c r="F829" t="e">
        <f t="shared" ca="1" si="51"/>
        <v>#VALUE!</v>
      </c>
      <c r="G829" t="e">
        <f t="shared" ca="1" si="52"/>
        <v>#VALUE!</v>
      </c>
      <c r="H829" t="e">
        <f t="shared" ca="1" si="53"/>
        <v>#VALUE!</v>
      </c>
      <c r="I829" t="e">
        <f t="shared" ca="1" si="54"/>
        <v>#VALUE!</v>
      </c>
    </row>
    <row r="830" spans="1:9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50"/>
        <v>#VALUE!</v>
      </c>
      <c r="F830" t="e">
        <f t="shared" ca="1" si="51"/>
        <v>#VALUE!</v>
      </c>
      <c r="G830" t="e">
        <f t="shared" ca="1" si="52"/>
        <v>#VALUE!</v>
      </c>
      <c r="H830" t="e">
        <f t="shared" ca="1" si="53"/>
        <v>#VALUE!</v>
      </c>
      <c r="I830" t="e">
        <f t="shared" ca="1" si="54"/>
        <v>#VALUE!</v>
      </c>
    </row>
    <row r="831" spans="1:9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50"/>
        <v>#VALUE!</v>
      </c>
      <c r="F831" t="e">
        <f t="shared" ca="1" si="51"/>
        <v>#VALUE!</v>
      </c>
      <c r="G831" t="e">
        <f t="shared" ca="1" si="52"/>
        <v>#VALUE!</v>
      </c>
      <c r="H831" t="e">
        <f t="shared" ca="1" si="53"/>
        <v>#VALUE!</v>
      </c>
      <c r="I831" t="e">
        <f t="shared" ca="1" si="54"/>
        <v>#VALUE!</v>
      </c>
    </row>
    <row r="832" spans="1:9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50"/>
        <v>#VALUE!</v>
      </c>
      <c r="F832" t="e">
        <f t="shared" ca="1" si="51"/>
        <v>#VALUE!</v>
      </c>
      <c r="G832" t="e">
        <f t="shared" ca="1" si="52"/>
        <v>#VALUE!</v>
      </c>
      <c r="H832" t="e">
        <f t="shared" ca="1" si="53"/>
        <v>#VALUE!</v>
      </c>
      <c r="I832" t="e">
        <f t="shared" ca="1" si="54"/>
        <v>#VALUE!</v>
      </c>
    </row>
    <row r="833" spans="1:9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50"/>
        <v>#VALUE!</v>
      </c>
      <c r="F833" t="e">
        <f t="shared" ca="1" si="51"/>
        <v>#VALUE!</v>
      </c>
      <c r="G833" t="e">
        <f t="shared" ca="1" si="52"/>
        <v>#VALUE!</v>
      </c>
      <c r="H833" t="e">
        <f t="shared" ca="1" si="53"/>
        <v>#VALUE!</v>
      </c>
      <c r="I833" t="e">
        <f t="shared" ca="1" si="54"/>
        <v>#VALUE!</v>
      </c>
    </row>
    <row r="834" spans="1:9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50"/>
        <v>#VALUE!</v>
      </c>
      <c r="F834" t="e">
        <f t="shared" ca="1" si="51"/>
        <v>#VALUE!</v>
      </c>
      <c r="G834" t="e">
        <f t="shared" ca="1" si="52"/>
        <v>#VALUE!</v>
      </c>
      <c r="H834" t="e">
        <f t="shared" ca="1" si="53"/>
        <v>#VALUE!</v>
      </c>
      <c r="I834" t="e">
        <f t="shared" ca="1" si="54"/>
        <v>#VALUE!</v>
      </c>
    </row>
    <row r="835" spans="1:9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50"/>
        <v>#VALUE!</v>
      </c>
      <c r="F835" t="e">
        <f t="shared" ca="1" si="51"/>
        <v>#VALUE!</v>
      </c>
      <c r="G835" t="e">
        <f t="shared" ca="1" si="52"/>
        <v>#VALUE!</v>
      </c>
      <c r="H835" t="e">
        <f t="shared" ca="1" si="53"/>
        <v>#VALUE!</v>
      </c>
      <c r="I835" t="e">
        <f t="shared" ca="1" si="54"/>
        <v>#VALUE!</v>
      </c>
    </row>
    <row r="836" spans="1:9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50"/>
        <v>#VALUE!</v>
      </c>
      <c r="F836" t="e">
        <f t="shared" ca="1" si="51"/>
        <v>#VALUE!</v>
      </c>
      <c r="G836" t="e">
        <f t="shared" ca="1" si="52"/>
        <v>#VALUE!</v>
      </c>
      <c r="H836" t="e">
        <f t="shared" ca="1" si="53"/>
        <v>#VALUE!</v>
      </c>
      <c r="I836" t="e">
        <f t="shared" ca="1" si="54"/>
        <v>#VALUE!</v>
      </c>
    </row>
    <row r="837" spans="1:9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50"/>
        <v>#VALUE!</v>
      </c>
      <c r="F837" t="e">
        <f t="shared" ca="1" si="51"/>
        <v>#VALUE!</v>
      </c>
      <c r="G837" t="e">
        <f t="shared" ca="1" si="52"/>
        <v>#VALUE!</v>
      </c>
      <c r="H837" t="e">
        <f t="shared" ca="1" si="53"/>
        <v>#VALUE!</v>
      </c>
      <c r="I837" t="e">
        <f t="shared" ca="1" si="54"/>
        <v>#VALUE!</v>
      </c>
    </row>
    <row r="838" spans="1:9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50"/>
        <v>#VALUE!</v>
      </c>
      <c r="F838" t="e">
        <f t="shared" ca="1" si="51"/>
        <v>#VALUE!</v>
      </c>
      <c r="G838" t="e">
        <f t="shared" ca="1" si="52"/>
        <v>#VALUE!</v>
      </c>
      <c r="H838" t="e">
        <f t="shared" ca="1" si="53"/>
        <v>#VALUE!</v>
      </c>
      <c r="I838" t="e">
        <f t="shared" ca="1" si="54"/>
        <v>#VALUE!</v>
      </c>
    </row>
    <row r="839" spans="1:9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50"/>
        <v>#VALUE!</v>
      </c>
      <c r="F839" t="e">
        <f t="shared" ca="1" si="51"/>
        <v>#VALUE!</v>
      </c>
      <c r="G839" t="e">
        <f t="shared" ca="1" si="52"/>
        <v>#VALUE!</v>
      </c>
      <c r="H839" t="e">
        <f t="shared" ca="1" si="53"/>
        <v>#VALUE!</v>
      </c>
      <c r="I839" t="e">
        <f t="shared" ca="1" si="54"/>
        <v>#VALUE!</v>
      </c>
    </row>
    <row r="840" spans="1:9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50"/>
        <v>#VALUE!</v>
      </c>
      <c r="F840" t="e">
        <f t="shared" ca="1" si="51"/>
        <v>#VALUE!</v>
      </c>
      <c r="G840" t="e">
        <f t="shared" ca="1" si="52"/>
        <v>#VALUE!</v>
      </c>
      <c r="H840" t="e">
        <f t="shared" ca="1" si="53"/>
        <v>#VALUE!</v>
      </c>
      <c r="I840" t="e">
        <f t="shared" ca="1" si="54"/>
        <v>#VALUE!</v>
      </c>
    </row>
    <row r="841" spans="1:9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50"/>
        <v>#VALUE!</v>
      </c>
      <c r="F841" t="e">
        <f t="shared" ca="1" si="51"/>
        <v>#VALUE!</v>
      </c>
      <c r="G841" t="e">
        <f t="shared" ca="1" si="52"/>
        <v>#VALUE!</v>
      </c>
      <c r="H841" t="e">
        <f t="shared" ca="1" si="53"/>
        <v>#VALUE!</v>
      </c>
      <c r="I841" t="e">
        <f t="shared" ca="1" si="54"/>
        <v>#VALUE!</v>
      </c>
    </row>
    <row r="842" spans="1:9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50"/>
        <v>#VALUE!</v>
      </c>
      <c r="F842" t="e">
        <f t="shared" ca="1" si="51"/>
        <v>#VALUE!</v>
      </c>
      <c r="G842" t="e">
        <f t="shared" ca="1" si="52"/>
        <v>#VALUE!</v>
      </c>
      <c r="H842" t="e">
        <f t="shared" ca="1" si="53"/>
        <v>#VALUE!</v>
      </c>
      <c r="I842" t="e">
        <f t="shared" ca="1" si="54"/>
        <v>#VALUE!</v>
      </c>
    </row>
    <row r="843" spans="1:9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50"/>
        <v>#VALUE!</v>
      </c>
      <c r="F843" t="e">
        <f t="shared" ca="1" si="51"/>
        <v>#VALUE!</v>
      </c>
      <c r="G843" t="e">
        <f t="shared" ca="1" si="52"/>
        <v>#VALUE!</v>
      </c>
      <c r="H843" t="e">
        <f t="shared" ca="1" si="53"/>
        <v>#VALUE!</v>
      </c>
      <c r="I843" t="e">
        <f t="shared" ca="1" si="54"/>
        <v>#VALUE!</v>
      </c>
    </row>
    <row r="844" spans="1:9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50"/>
        <v>#VALUE!</v>
      </c>
      <c r="F844" t="e">
        <f t="shared" ca="1" si="51"/>
        <v>#VALUE!</v>
      </c>
      <c r="G844" t="e">
        <f t="shared" ca="1" si="52"/>
        <v>#VALUE!</v>
      </c>
      <c r="H844" t="e">
        <f t="shared" ca="1" si="53"/>
        <v>#VALUE!</v>
      </c>
      <c r="I844" t="e">
        <f t="shared" ca="1" si="54"/>
        <v>#VALUE!</v>
      </c>
    </row>
    <row r="845" spans="1:9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50"/>
        <v>#VALUE!</v>
      </c>
      <c r="F845" t="e">
        <f t="shared" ca="1" si="51"/>
        <v>#VALUE!</v>
      </c>
      <c r="G845" t="e">
        <f t="shared" ca="1" si="52"/>
        <v>#VALUE!</v>
      </c>
      <c r="H845" t="e">
        <f t="shared" ca="1" si="53"/>
        <v>#VALUE!</v>
      </c>
      <c r="I845" t="e">
        <f t="shared" ca="1" si="54"/>
        <v>#VALUE!</v>
      </c>
    </row>
    <row r="846" spans="1:9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50"/>
        <v>#VALUE!</v>
      </c>
      <c r="F846" t="e">
        <f t="shared" ca="1" si="51"/>
        <v>#VALUE!</v>
      </c>
      <c r="G846" t="e">
        <f t="shared" ca="1" si="52"/>
        <v>#VALUE!</v>
      </c>
      <c r="H846" t="e">
        <f t="shared" ca="1" si="53"/>
        <v>#VALUE!</v>
      </c>
      <c r="I846" t="e">
        <f t="shared" ca="1" si="54"/>
        <v>#VALUE!</v>
      </c>
    </row>
    <row r="847" spans="1:9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50"/>
        <v>#VALUE!</v>
      </c>
      <c r="F847" t="e">
        <f t="shared" ca="1" si="51"/>
        <v>#VALUE!</v>
      </c>
      <c r="G847" t="e">
        <f t="shared" ca="1" si="52"/>
        <v>#VALUE!</v>
      </c>
      <c r="H847" t="e">
        <f t="shared" ca="1" si="53"/>
        <v>#VALUE!</v>
      </c>
      <c r="I847" t="e">
        <f t="shared" ca="1" si="54"/>
        <v>#VALUE!</v>
      </c>
    </row>
    <row r="848" spans="1:9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50"/>
        <v>#VALUE!</v>
      </c>
      <c r="F848" t="e">
        <f t="shared" ca="1" si="51"/>
        <v>#VALUE!</v>
      </c>
      <c r="G848" t="e">
        <f t="shared" ca="1" si="52"/>
        <v>#VALUE!</v>
      </c>
      <c r="H848" t="e">
        <f t="shared" ca="1" si="53"/>
        <v>#VALUE!</v>
      </c>
      <c r="I848" t="e">
        <f t="shared" ca="1" si="54"/>
        <v>#VALUE!</v>
      </c>
    </row>
    <row r="849" spans="1:9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50"/>
        <v>#VALUE!</v>
      </c>
      <c r="F849" t="e">
        <f t="shared" ca="1" si="51"/>
        <v>#VALUE!</v>
      </c>
      <c r="G849" t="e">
        <f t="shared" ca="1" si="52"/>
        <v>#VALUE!</v>
      </c>
      <c r="H849" t="e">
        <f t="shared" ca="1" si="53"/>
        <v>#VALUE!</v>
      </c>
      <c r="I849" t="e">
        <f t="shared" ca="1" si="54"/>
        <v>#VALUE!</v>
      </c>
    </row>
    <row r="850" spans="1:9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50"/>
        <v>#VALUE!</v>
      </c>
      <c r="F850" t="e">
        <f t="shared" ca="1" si="51"/>
        <v>#VALUE!</v>
      </c>
      <c r="G850" t="e">
        <f t="shared" ca="1" si="52"/>
        <v>#VALUE!</v>
      </c>
      <c r="H850" t="e">
        <f t="shared" ca="1" si="53"/>
        <v>#VALUE!</v>
      </c>
      <c r="I850" t="e">
        <f t="shared" ca="1" si="54"/>
        <v>#VALUE!</v>
      </c>
    </row>
    <row r="851" spans="1:9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50"/>
        <v>#VALUE!</v>
      </c>
      <c r="F851" t="e">
        <f t="shared" ca="1" si="51"/>
        <v>#VALUE!</v>
      </c>
      <c r="G851" t="e">
        <f t="shared" ca="1" si="52"/>
        <v>#VALUE!</v>
      </c>
      <c r="H851" t="e">
        <f t="shared" ca="1" si="53"/>
        <v>#VALUE!</v>
      </c>
      <c r="I851" t="e">
        <f t="shared" ca="1" si="54"/>
        <v>#VALUE!</v>
      </c>
    </row>
    <row r="852" spans="1:9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50"/>
        <v>#VALUE!</v>
      </c>
      <c r="F852" t="e">
        <f t="shared" ca="1" si="51"/>
        <v>#VALUE!</v>
      </c>
      <c r="G852" t="e">
        <f t="shared" ca="1" si="52"/>
        <v>#VALUE!</v>
      </c>
      <c r="H852" t="e">
        <f t="shared" ca="1" si="53"/>
        <v>#VALUE!</v>
      </c>
      <c r="I852" t="e">
        <f t="shared" ca="1" si="54"/>
        <v>#VALUE!</v>
      </c>
    </row>
    <row r="853" spans="1:9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50"/>
        <v>#VALUE!</v>
      </c>
      <c r="F853" t="e">
        <f t="shared" ca="1" si="51"/>
        <v>#VALUE!</v>
      </c>
      <c r="G853" t="e">
        <f t="shared" ca="1" si="52"/>
        <v>#VALUE!</v>
      </c>
      <c r="H853" t="e">
        <f t="shared" ca="1" si="53"/>
        <v>#VALUE!</v>
      </c>
      <c r="I853" t="e">
        <f t="shared" ca="1" si="54"/>
        <v>#VALUE!</v>
      </c>
    </row>
    <row r="854" spans="1:9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50"/>
        <v>#VALUE!</v>
      </c>
      <c r="F854" t="e">
        <f t="shared" ca="1" si="51"/>
        <v>#VALUE!</v>
      </c>
      <c r="G854" t="e">
        <f t="shared" ca="1" si="52"/>
        <v>#VALUE!</v>
      </c>
      <c r="H854" t="e">
        <f t="shared" ca="1" si="53"/>
        <v>#VALUE!</v>
      </c>
      <c r="I854" t="e">
        <f t="shared" ca="1" si="54"/>
        <v>#VALUE!</v>
      </c>
    </row>
    <row r="855" spans="1:9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50"/>
        <v>#VALUE!</v>
      </c>
      <c r="F855" t="e">
        <f t="shared" ca="1" si="51"/>
        <v>#VALUE!</v>
      </c>
      <c r="G855" t="e">
        <f t="shared" ca="1" si="52"/>
        <v>#VALUE!</v>
      </c>
      <c r="H855" t="e">
        <f t="shared" ca="1" si="53"/>
        <v>#VALUE!</v>
      </c>
      <c r="I855" t="e">
        <f t="shared" ca="1" si="54"/>
        <v>#VALUE!</v>
      </c>
    </row>
    <row r="856" spans="1:9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50"/>
        <v>#VALUE!</v>
      </c>
      <c r="F856" t="e">
        <f t="shared" ca="1" si="51"/>
        <v>#VALUE!</v>
      </c>
      <c r="G856" t="e">
        <f t="shared" ca="1" si="52"/>
        <v>#VALUE!</v>
      </c>
      <c r="H856" t="e">
        <f t="shared" ca="1" si="53"/>
        <v>#VALUE!</v>
      </c>
      <c r="I856" t="e">
        <f t="shared" ca="1" si="54"/>
        <v>#VALUE!</v>
      </c>
    </row>
    <row r="857" spans="1:9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50"/>
        <v>#VALUE!</v>
      </c>
      <c r="F857" t="e">
        <f t="shared" ca="1" si="51"/>
        <v>#VALUE!</v>
      </c>
      <c r="G857" t="e">
        <f t="shared" ca="1" si="52"/>
        <v>#VALUE!</v>
      </c>
      <c r="H857" t="e">
        <f t="shared" ca="1" si="53"/>
        <v>#VALUE!</v>
      </c>
      <c r="I857" t="e">
        <f t="shared" ca="1" si="54"/>
        <v>#VALUE!</v>
      </c>
    </row>
    <row r="858" spans="1:9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50"/>
        <v>#VALUE!</v>
      </c>
      <c r="F858" t="e">
        <f t="shared" ca="1" si="51"/>
        <v>#VALUE!</v>
      </c>
      <c r="G858" t="e">
        <f t="shared" ca="1" si="52"/>
        <v>#VALUE!</v>
      </c>
      <c r="H858" t="e">
        <f t="shared" ca="1" si="53"/>
        <v>#VALUE!</v>
      </c>
      <c r="I858" t="e">
        <f t="shared" ca="1" si="54"/>
        <v>#VALUE!</v>
      </c>
    </row>
    <row r="859" spans="1:9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50"/>
        <v>#VALUE!</v>
      </c>
      <c r="F859" t="e">
        <f t="shared" ca="1" si="51"/>
        <v>#VALUE!</v>
      </c>
      <c r="G859" t="e">
        <f t="shared" ca="1" si="52"/>
        <v>#VALUE!</v>
      </c>
      <c r="H859" t="e">
        <f t="shared" ca="1" si="53"/>
        <v>#VALUE!</v>
      </c>
      <c r="I859" t="e">
        <f t="shared" ca="1" si="54"/>
        <v>#VALUE!</v>
      </c>
    </row>
    <row r="860" spans="1:9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50"/>
        <v>#VALUE!</v>
      </c>
      <c r="F860" t="e">
        <f t="shared" ca="1" si="51"/>
        <v>#VALUE!</v>
      </c>
      <c r="G860" t="e">
        <f t="shared" ca="1" si="52"/>
        <v>#VALUE!</v>
      </c>
      <c r="H860" t="e">
        <f t="shared" ca="1" si="53"/>
        <v>#VALUE!</v>
      </c>
      <c r="I860" t="e">
        <f t="shared" ca="1" si="54"/>
        <v>#VALUE!</v>
      </c>
    </row>
    <row r="861" spans="1:9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50"/>
        <v>#VALUE!</v>
      </c>
      <c r="F861" t="e">
        <f t="shared" ca="1" si="51"/>
        <v>#VALUE!</v>
      </c>
      <c r="G861" t="e">
        <f t="shared" ca="1" si="52"/>
        <v>#VALUE!</v>
      </c>
      <c r="H861" t="e">
        <f t="shared" ca="1" si="53"/>
        <v>#VALUE!</v>
      </c>
      <c r="I861" t="e">
        <f t="shared" ca="1" si="54"/>
        <v>#VALUE!</v>
      </c>
    </row>
    <row r="862" spans="1:9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50"/>
        <v>#VALUE!</v>
      </c>
      <c r="F862" t="e">
        <f t="shared" ca="1" si="51"/>
        <v>#VALUE!</v>
      </c>
      <c r="G862" t="e">
        <f t="shared" ca="1" si="52"/>
        <v>#VALUE!</v>
      </c>
      <c r="H862" t="e">
        <f t="shared" ca="1" si="53"/>
        <v>#VALUE!</v>
      </c>
      <c r="I862" t="e">
        <f t="shared" ca="1" si="54"/>
        <v>#VALUE!</v>
      </c>
    </row>
    <row r="863" spans="1:9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50"/>
        <v>#VALUE!</v>
      </c>
      <c r="F863" t="e">
        <f t="shared" ca="1" si="51"/>
        <v>#VALUE!</v>
      </c>
      <c r="G863" t="e">
        <f t="shared" ca="1" si="52"/>
        <v>#VALUE!</v>
      </c>
      <c r="H863" t="e">
        <f t="shared" ca="1" si="53"/>
        <v>#VALUE!</v>
      </c>
      <c r="I863" t="e">
        <f t="shared" ca="1" si="54"/>
        <v>#VALUE!</v>
      </c>
    </row>
    <row r="864" spans="1:9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50"/>
        <v>#VALUE!</v>
      </c>
      <c r="F864" t="e">
        <f t="shared" ca="1" si="51"/>
        <v>#VALUE!</v>
      </c>
      <c r="G864" t="e">
        <f t="shared" ca="1" si="52"/>
        <v>#VALUE!</v>
      </c>
      <c r="H864" t="e">
        <f t="shared" ca="1" si="53"/>
        <v>#VALUE!</v>
      </c>
      <c r="I864" t="e">
        <f t="shared" ca="1" si="54"/>
        <v>#VALUE!</v>
      </c>
    </row>
    <row r="865" spans="1:9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50"/>
        <v>#VALUE!</v>
      </c>
      <c r="F865" t="e">
        <f t="shared" ca="1" si="51"/>
        <v>#VALUE!</v>
      </c>
      <c r="G865" t="e">
        <f t="shared" ca="1" si="52"/>
        <v>#VALUE!</v>
      </c>
      <c r="H865" t="e">
        <f t="shared" ca="1" si="53"/>
        <v>#VALUE!</v>
      </c>
      <c r="I865" t="e">
        <f t="shared" ca="1" si="54"/>
        <v>#VALUE!</v>
      </c>
    </row>
    <row r="866" spans="1:9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50"/>
        <v>#VALUE!</v>
      </c>
      <c r="F866" t="e">
        <f t="shared" ca="1" si="51"/>
        <v>#VALUE!</v>
      </c>
      <c r="G866" t="e">
        <f t="shared" ca="1" si="52"/>
        <v>#VALUE!</v>
      </c>
      <c r="H866" t="e">
        <f t="shared" ca="1" si="53"/>
        <v>#VALUE!</v>
      </c>
      <c r="I866" t="e">
        <f t="shared" ca="1" si="54"/>
        <v>#VALUE!</v>
      </c>
    </row>
    <row r="867" spans="1:9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50"/>
        <v>#VALUE!</v>
      </c>
      <c r="F867" t="e">
        <f t="shared" ca="1" si="51"/>
        <v>#VALUE!</v>
      </c>
      <c r="G867" t="e">
        <f t="shared" ca="1" si="52"/>
        <v>#VALUE!</v>
      </c>
      <c r="H867" t="e">
        <f t="shared" ca="1" si="53"/>
        <v>#VALUE!</v>
      </c>
      <c r="I867" t="e">
        <f t="shared" ca="1" si="54"/>
        <v>#VALUE!</v>
      </c>
    </row>
    <row r="868" spans="1:9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50"/>
        <v>#VALUE!</v>
      </c>
      <c r="F868" t="e">
        <f t="shared" ca="1" si="51"/>
        <v>#VALUE!</v>
      </c>
      <c r="G868" t="e">
        <f t="shared" ca="1" si="52"/>
        <v>#VALUE!</v>
      </c>
      <c r="H868" t="e">
        <f t="shared" ca="1" si="53"/>
        <v>#VALUE!</v>
      </c>
      <c r="I868" t="e">
        <f t="shared" ca="1" si="54"/>
        <v>#VALUE!</v>
      </c>
    </row>
    <row r="869" spans="1:9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50"/>
        <v>#VALUE!</v>
      </c>
      <c r="F869" t="e">
        <f t="shared" ca="1" si="51"/>
        <v>#VALUE!</v>
      </c>
      <c r="G869" t="e">
        <f t="shared" ca="1" si="52"/>
        <v>#VALUE!</v>
      </c>
      <c r="H869" t="e">
        <f t="shared" ca="1" si="53"/>
        <v>#VALUE!</v>
      </c>
      <c r="I869" t="e">
        <f t="shared" ca="1" si="54"/>
        <v>#VALUE!</v>
      </c>
    </row>
    <row r="870" spans="1:9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50"/>
        <v>#VALUE!</v>
      </c>
      <c r="F870" t="e">
        <f t="shared" ca="1" si="51"/>
        <v>#VALUE!</v>
      </c>
      <c r="G870" t="e">
        <f t="shared" ca="1" si="52"/>
        <v>#VALUE!</v>
      </c>
      <c r="H870" t="e">
        <f t="shared" ca="1" si="53"/>
        <v>#VALUE!</v>
      </c>
      <c r="I870" t="e">
        <f t="shared" ca="1" si="54"/>
        <v>#VALUE!</v>
      </c>
    </row>
    <row r="871" spans="1:9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50"/>
        <v>#VALUE!</v>
      </c>
      <c r="F871" t="e">
        <f t="shared" ca="1" si="51"/>
        <v>#VALUE!</v>
      </c>
      <c r="G871" t="e">
        <f t="shared" ca="1" si="52"/>
        <v>#VALUE!</v>
      </c>
      <c r="H871" t="e">
        <f t="shared" ca="1" si="53"/>
        <v>#VALUE!</v>
      </c>
      <c r="I871" t="e">
        <f t="shared" ca="1" si="54"/>
        <v>#VALUE!</v>
      </c>
    </row>
    <row r="872" spans="1:9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50"/>
        <v>#VALUE!</v>
      </c>
      <c r="F872" t="e">
        <f t="shared" ca="1" si="51"/>
        <v>#VALUE!</v>
      </c>
      <c r="G872" t="e">
        <f t="shared" ca="1" si="52"/>
        <v>#VALUE!</v>
      </c>
      <c r="H872" t="e">
        <f t="shared" ca="1" si="53"/>
        <v>#VALUE!</v>
      </c>
      <c r="I872" t="e">
        <f t="shared" ca="1" si="54"/>
        <v>#VALUE!</v>
      </c>
    </row>
    <row r="873" spans="1:9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50"/>
        <v>#VALUE!</v>
      </c>
      <c r="F873" t="e">
        <f t="shared" ca="1" si="51"/>
        <v>#VALUE!</v>
      </c>
      <c r="G873" t="e">
        <f t="shared" ca="1" si="52"/>
        <v>#VALUE!</v>
      </c>
      <c r="H873" t="e">
        <f t="shared" ca="1" si="53"/>
        <v>#VALUE!</v>
      </c>
      <c r="I873" t="e">
        <f t="shared" ca="1" si="54"/>
        <v>#VALUE!</v>
      </c>
    </row>
    <row r="874" spans="1:9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50"/>
        <v>#VALUE!</v>
      </c>
      <c r="F874" t="e">
        <f t="shared" ca="1" si="51"/>
        <v>#VALUE!</v>
      </c>
      <c r="G874" t="e">
        <f t="shared" ca="1" si="52"/>
        <v>#VALUE!</v>
      </c>
      <c r="H874" t="e">
        <f t="shared" ca="1" si="53"/>
        <v>#VALUE!</v>
      </c>
      <c r="I874" t="e">
        <f t="shared" ca="1" si="54"/>
        <v>#VALUE!</v>
      </c>
    </row>
    <row r="875" spans="1:9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50"/>
        <v>#VALUE!</v>
      </c>
      <c r="F875" t="e">
        <f t="shared" ca="1" si="51"/>
        <v>#VALUE!</v>
      </c>
      <c r="G875" t="e">
        <f t="shared" ca="1" si="52"/>
        <v>#VALUE!</v>
      </c>
      <c r="H875" t="e">
        <f t="shared" ca="1" si="53"/>
        <v>#VALUE!</v>
      </c>
      <c r="I875" t="e">
        <f t="shared" ca="1" si="54"/>
        <v>#VALUE!</v>
      </c>
    </row>
    <row r="876" spans="1:9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50"/>
        <v>#VALUE!</v>
      </c>
      <c r="F876" t="e">
        <f t="shared" ca="1" si="51"/>
        <v>#VALUE!</v>
      </c>
      <c r="G876" t="e">
        <f t="shared" ca="1" si="52"/>
        <v>#VALUE!</v>
      </c>
      <c r="H876" t="e">
        <f t="shared" ca="1" si="53"/>
        <v>#VALUE!</v>
      </c>
      <c r="I876" t="e">
        <f t="shared" ca="1" si="54"/>
        <v>#VALUE!</v>
      </c>
    </row>
    <row r="877" spans="1:9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50"/>
        <v>#VALUE!</v>
      </c>
      <c r="F877" t="e">
        <f t="shared" ca="1" si="51"/>
        <v>#VALUE!</v>
      </c>
      <c r="G877" t="e">
        <f t="shared" ca="1" si="52"/>
        <v>#VALUE!</v>
      </c>
      <c r="H877" t="e">
        <f t="shared" ca="1" si="53"/>
        <v>#VALUE!</v>
      </c>
      <c r="I877" t="e">
        <f t="shared" ca="1" si="54"/>
        <v>#VALUE!</v>
      </c>
    </row>
    <row r="878" spans="1:9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50"/>
        <v>#VALUE!</v>
      </c>
      <c r="F878" t="e">
        <f t="shared" ca="1" si="51"/>
        <v>#VALUE!</v>
      </c>
      <c r="G878" t="e">
        <f t="shared" ca="1" si="52"/>
        <v>#VALUE!</v>
      </c>
      <c r="H878" t="e">
        <f t="shared" ca="1" si="53"/>
        <v>#VALUE!</v>
      </c>
      <c r="I878" t="e">
        <f t="shared" ca="1" si="54"/>
        <v>#VALUE!</v>
      </c>
    </row>
    <row r="879" spans="1:9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50"/>
        <v>#VALUE!</v>
      </c>
      <c r="F879" t="e">
        <f t="shared" ca="1" si="51"/>
        <v>#VALUE!</v>
      </c>
      <c r="G879" t="e">
        <f t="shared" ca="1" si="52"/>
        <v>#VALUE!</v>
      </c>
      <c r="H879" t="e">
        <f t="shared" ca="1" si="53"/>
        <v>#VALUE!</v>
      </c>
      <c r="I879" t="e">
        <f t="shared" ca="1" si="54"/>
        <v>#VALUE!</v>
      </c>
    </row>
    <row r="880" spans="1:9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50"/>
        <v>#VALUE!</v>
      </c>
      <c r="F880" t="e">
        <f t="shared" ca="1" si="51"/>
        <v>#VALUE!</v>
      </c>
      <c r="G880" t="e">
        <f t="shared" ca="1" si="52"/>
        <v>#VALUE!</v>
      </c>
      <c r="H880" t="e">
        <f t="shared" ca="1" si="53"/>
        <v>#VALUE!</v>
      </c>
      <c r="I880" t="e">
        <f t="shared" ca="1" si="54"/>
        <v>#VALUE!</v>
      </c>
    </row>
    <row r="881" spans="1:9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50"/>
        <v>#VALUE!</v>
      </c>
      <c r="F881" t="e">
        <f t="shared" ca="1" si="51"/>
        <v>#VALUE!</v>
      </c>
      <c r="G881" t="e">
        <f t="shared" ca="1" si="52"/>
        <v>#VALUE!</v>
      </c>
      <c r="H881" t="e">
        <f t="shared" ca="1" si="53"/>
        <v>#VALUE!</v>
      </c>
      <c r="I881" t="e">
        <f t="shared" ca="1" si="54"/>
        <v>#VALUE!</v>
      </c>
    </row>
    <row r="882" spans="1:9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50"/>
        <v>#VALUE!</v>
      </c>
      <c r="F882" t="e">
        <f t="shared" ca="1" si="51"/>
        <v>#VALUE!</v>
      </c>
      <c r="G882" t="e">
        <f t="shared" ca="1" si="52"/>
        <v>#VALUE!</v>
      </c>
      <c r="H882" t="e">
        <f t="shared" ca="1" si="53"/>
        <v>#VALUE!</v>
      </c>
      <c r="I882" t="e">
        <f t="shared" ca="1" si="54"/>
        <v>#VALUE!</v>
      </c>
    </row>
    <row r="883" spans="1:9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ref="E883:E946" ca="1" si="55">IF(D883="T", 0.05, IF(D883="C", -0.01, ""))</f>
        <v>#VALUE!</v>
      </c>
      <c r="F883" t="e">
        <f t="shared" ref="F883:F946" ca="1" si="56">IF(D883="T", 0.05, IF(D883="C", 0, ""))</f>
        <v>#VALUE!</v>
      </c>
      <c r="G883" t="e">
        <f t="shared" ref="G883:G946" ca="1" si="57">IF(D883="T", 0, IF(D883="C", 0, ""))</f>
        <v>#VALUE!</v>
      </c>
      <c r="H883" t="e">
        <f t="shared" ref="H883:H946" ca="1" si="58">IF(D883="T", 0.05, IF(D883="C", 0, ""))</f>
        <v>#VALUE!</v>
      </c>
      <c r="I883" t="e">
        <f t="shared" ref="I883:I946" ca="1" si="59">IF(D883="T", 0, IF(D883="C", 0, ""))</f>
        <v>#VALUE!</v>
      </c>
    </row>
    <row r="884" spans="1:9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55"/>
        <v>#VALUE!</v>
      </c>
      <c r="F884" t="e">
        <f t="shared" ca="1" si="56"/>
        <v>#VALUE!</v>
      </c>
      <c r="G884" t="e">
        <f t="shared" ca="1" si="57"/>
        <v>#VALUE!</v>
      </c>
      <c r="H884" t="e">
        <f t="shared" ca="1" si="58"/>
        <v>#VALUE!</v>
      </c>
      <c r="I884" t="e">
        <f t="shared" ca="1" si="59"/>
        <v>#VALUE!</v>
      </c>
    </row>
    <row r="885" spans="1:9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55"/>
        <v>#VALUE!</v>
      </c>
      <c r="F885" t="e">
        <f t="shared" ca="1" si="56"/>
        <v>#VALUE!</v>
      </c>
      <c r="G885" t="e">
        <f t="shared" ca="1" si="57"/>
        <v>#VALUE!</v>
      </c>
      <c r="H885" t="e">
        <f t="shared" ca="1" si="58"/>
        <v>#VALUE!</v>
      </c>
      <c r="I885" t="e">
        <f t="shared" ca="1" si="59"/>
        <v>#VALUE!</v>
      </c>
    </row>
    <row r="886" spans="1:9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55"/>
        <v>#VALUE!</v>
      </c>
      <c r="F886" t="e">
        <f t="shared" ca="1" si="56"/>
        <v>#VALUE!</v>
      </c>
      <c r="G886" t="e">
        <f t="shared" ca="1" si="57"/>
        <v>#VALUE!</v>
      </c>
      <c r="H886" t="e">
        <f t="shared" ca="1" si="58"/>
        <v>#VALUE!</v>
      </c>
      <c r="I886" t="e">
        <f t="shared" ca="1" si="59"/>
        <v>#VALUE!</v>
      </c>
    </row>
    <row r="887" spans="1:9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55"/>
        <v>#VALUE!</v>
      </c>
      <c r="F887" t="e">
        <f t="shared" ca="1" si="56"/>
        <v>#VALUE!</v>
      </c>
      <c r="G887" t="e">
        <f t="shared" ca="1" si="57"/>
        <v>#VALUE!</v>
      </c>
      <c r="H887" t="e">
        <f t="shared" ca="1" si="58"/>
        <v>#VALUE!</v>
      </c>
      <c r="I887" t="e">
        <f t="shared" ca="1" si="59"/>
        <v>#VALUE!</v>
      </c>
    </row>
    <row r="888" spans="1:9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55"/>
        <v>#VALUE!</v>
      </c>
      <c r="F888" t="e">
        <f t="shared" ca="1" si="56"/>
        <v>#VALUE!</v>
      </c>
      <c r="G888" t="e">
        <f t="shared" ca="1" si="57"/>
        <v>#VALUE!</v>
      </c>
      <c r="H888" t="e">
        <f t="shared" ca="1" si="58"/>
        <v>#VALUE!</v>
      </c>
      <c r="I888" t="e">
        <f t="shared" ca="1" si="59"/>
        <v>#VALUE!</v>
      </c>
    </row>
    <row r="889" spans="1:9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55"/>
        <v>#VALUE!</v>
      </c>
      <c r="F889" t="e">
        <f t="shared" ca="1" si="56"/>
        <v>#VALUE!</v>
      </c>
      <c r="G889" t="e">
        <f t="shared" ca="1" si="57"/>
        <v>#VALUE!</v>
      </c>
      <c r="H889" t="e">
        <f t="shared" ca="1" si="58"/>
        <v>#VALUE!</v>
      </c>
      <c r="I889" t="e">
        <f t="shared" ca="1" si="59"/>
        <v>#VALUE!</v>
      </c>
    </row>
    <row r="890" spans="1:9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55"/>
        <v>#VALUE!</v>
      </c>
      <c r="F890" t="e">
        <f t="shared" ca="1" si="56"/>
        <v>#VALUE!</v>
      </c>
      <c r="G890" t="e">
        <f t="shared" ca="1" si="57"/>
        <v>#VALUE!</v>
      </c>
      <c r="H890" t="e">
        <f t="shared" ca="1" si="58"/>
        <v>#VALUE!</v>
      </c>
      <c r="I890" t="e">
        <f t="shared" ca="1" si="59"/>
        <v>#VALUE!</v>
      </c>
    </row>
    <row r="891" spans="1:9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55"/>
        <v>#VALUE!</v>
      </c>
      <c r="F891" t="e">
        <f t="shared" ca="1" si="56"/>
        <v>#VALUE!</v>
      </c>
      <c r="G891" t="e">
        <f t="shared" ca="1" si="57"/>
        <v>#VALUE!</v>
      </c>
      <c r="H891" t="e">
        <f t="shared" ca="1" si="58"/>
        <v>#VALUE!</v>
      </c>
      <c r="I891" t="e">
        <f t="shared" ca="1" si="59"/>
        <v>#VALUE!</v>
      </c>
    </row>
    <row r="892" spans="1:9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55"/>
        <v>#VALUE!</v>
      </c>
      <c r="F892" t="e">
        <f t="shared" ca="1" si="56"/>
        <v>#VALUE!</v>
      </c>
      <c r="G892" t="e">
        <f t="shared" ca="1" si="57"/>
        <v>#VALUE!</v>
      </c>
      <c r="H892" t="e">
        <f t="shared" ca="1" si="58"/>
        <v>#VALUE!</v>
      </c>
      <c r="I892" t="e">
        <f t="shared" ca="1" si="59"/>
        <v>#VALUE!</v>
      </c>
    </row>
    <row r="893" spans="1:9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55"/>
        <v>#VALUE!</v>
      </c>
      <c r="F893" t="e">
        <f t="shared" ca="1" si="56"/>
        <v>#VALUE!</v>
      </c>
      <c r="G893" t="e">
        <f t="shared" ca="1" si="57"/>
        <v>#VALUE!</v>
      </c>
      <c r="H893" t="e">
        <f t="shared" ca="1" si="58"/>
        <v>#VALUE!</v>
      </c>
      <c r="I893" t="e">
        <f t="shared" ca="1" si="59"/>
        <v>#VALUE!</v>
      </c>
    </row>
    <row r="894" spans="1:9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55"/>
        <v>#VALUE!</v>
      </c>
      <c r="F894" t="e">
        <f t="shared" ca="1" si="56"/>
        <v>#VALUE!</v>
      </c>
      <c r="G894" t="e">
        <f t="shared" ca="1" si="57"/>
        <v>#VALUE!</v>
      </c>
      <c r="H894" t="e">
        <f t="shared" ca="1" si="58"/>
        <v>#VALUE!</v>
      </c>
      <c r="I894" t="e">
        <f t="shared" ca="1" si="59"/>
        <v>#VALUE!</v>
      </c>
    </row>
    <row r="895" spans="1:9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55"/>
        <v>#VALUE!</v>
      </c>
      <c r="F895" t="e">
        <f t="shared" ca="1" si="56"/>
        <v>#VALUE!</v>
      </c>
      <c r="G895" t="e">
        <f t="shared" ca="1" si="57"/>
        <v>#VALUE!</v>
      </c>
      <c r="H895" t="e">
        <f t="shared" ca="1" si="58"/>
        <v>#VALUE!</v>
      </c>
      <c r="I895" t="e">
        <f t="shared" ca="1" si="59"/>
        <v>#VALUE!</v>
      </c>
    </row>
    <row r="896" spans="1:9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55"/>
        <v>#VALUE!</v>
      </c>
      <c r="F896" t="e">
        <f t="shared" ca="1" si="56"/>
        <v>#VALUE!</v>
      </c>
      <c r="G896" t="e">
        <f t="shared" ca="1" si="57"/>
        <v>#VALUE!</v>
      </c>
      <c r="H896" t="e">
        <f t="shared" ca="1" si="58"/>
        <v>#VALUE!</v>
      </c>
      <c r="I896" t="e">
        <f t="shared" ca="1" si="59"/>
        <v>#VALUE!</v>
      </c>
    </row>
    <row r="897" spans="1:9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55"/>
        <v>#VALUE!</v>
      </c>
      <c r="F897" t="e">
        <f t="shared" ca="1" si="56"/>
        <v>#VALUE!</v>
      </c>
      <c r="G897" t="e">
        <f t="shared" ca="1" si="57"/>
        <v>#VALUE!</v>
      </c>
      <c r="H897" t="e">
        <f t="shared" ca="1" si="58"/>
        <v>#VALUE!</v>
      </c>
      <c r="I897" t="e">
        <f t="shared" ca="1" si="59"/>
        <v>#VALUE!</v>
      </c>
    </row>
    <row r="898" spans="1:9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55"/>
        <v>#VALUE!</v>
      </c>
      <c r="F898" t="e">
        <f t="shared" ca="1" si="56"/>
        <v>#VALUE!</v>
      </c>
      <c r="G898" t="e">
        <f t="shared" ca="1" si="57"/>
        <v>#VALUE!</v>
      </c>
      <c r="H898" t="e">
        <f t="shared" ca="1" si="58"/>
        <v>#VALUE!</v>
      </c>
      <c r="I898" t="e">
        <f t="shared" ca="1" si="59"/>
        <v>#VALUE!</v>
      </c>
    </row>
    <row r="899" spans="1:9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55"/>
        <v>#VALUE!</v>
      </c>
      <c r="F899" t="e">
        <f t="shared" ca="1" si="56"/>
        <v>#VALUE!</v>
      </c>
      <c r="G899" t="e">
        <f t="shared" ca="1" si="57"/>
        <v>#VALUE!</v>
      </c>
      <c r="H899" t="e">
        <f t="shared" ca="1" si="58"/>
        <v>#VALUE!</v>
      </c>
      <c r="I899" t="e">
        <f t="shared" ca="1" si="59"/>
        <v>#VALUE!</v>
      </c>
    </row>
    <row r="900" spans="1:9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55"/>
        <v>#VALUE!</v>
      </c>
      <c r="F900" t="e">
        <f t="shared" ca="1" si="56"/>
        <v>#VALUE!</v>
      </c>
      <c r="G900" t="e">
        <f t="shared" ca="1" si="57"/>
        <v>#VALUE!</v>
      </c>
      <c r="H900" t="e">
        <f t="shared" ca="1" si="58"/>
        <v>#VALUE!</v>
      </c>
      <c r="I900" t="e">
        <f t="shared" ca="1" si="59"/>
        <v>#VALUE!</v>
      </c>
    </row>
    <row r="901" spans="1:9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55"/>
        <v>#VALUE!</v>
      </c>
      <c r="F901" t="e">
        <f t="shared" ca="1" si="56"/>
        <v>#VALUE!</v>
      </c>
      <c r="G901" t="e">
        <f t="shared" ca="1" si="57"/>
        <v>#VALUE!</v>
      </c>
      <c r="H901" t="e">
        <f t="shared" ca="1" si="58"/>
        <v>#VALUE!</v>
      </c>
      <c r="I901" t="e">
        <f t="shared" ca="1" si="59"/>
        <v>#VALUE!</v>
      </c>
    </row>
    <row r="902" spans="1:9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55"/>
        <v>#VALUE!</v>
      </c>
      <c r="F902" t="e">
        <f t="shared" ca="1" si="56"/>
        <v>#VALUE!</v>
      </c>
      <c r="G902" t="e">
        <f t="shared" ca="1" si="57"/>
        <v>#VALUE!</v>
      </c>
      <c r="H902" t="e">
        <f t="shared" ca="1" si="58"/>
        <v>#VALUE!</v>
      </c>
      <c r="I902" t="e">
        <f t="shared" ca="1" si="59"/>
        <v>#VALUE!</v>
      </c>
    </row>
    <row r="903" spans="1:9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55"/>
        <v>#VALUE!</v>
      </c>
      <c r="F903" t="e">
        <f t="shared" ca="1" si="56"/>
        <v>#VALUE!</v>
      </c>
      <c r="G903" t="e">
        <f t="shared" ca="1" si="57"/>
        <v>#VALUE!</v>
      </c>
      <c r="H903" t="e">
        <f t="shared" ca="1" si="58"/>
        <v>#VALUE!</v>
      </c>
      <c r="I903" t="e">
        <f t="shared" ca="1" si="59"/>
        <v>#VALUE!</v>
      </c>
    </row>
    <row r="904" spans="1:9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55"/>
        <v>#VALUE!</v>
      </c>
      <c r="F904" t="e">
        <f t="shared" ca="1" si="56"/>
        <v>#VALUE!</v>
      </c>
      <c r="G904" t="e">
        <f t="shared" ca="1" si="57"/>
        <v>#VALUE!</v>
      </c>
      <c r="H904" t="e">
        <f t="shared" ca="1" si="58"/>
        <v>#VALUE!</v>
      </c>
      <c r="I904" t="e">
        <f t="shared" ca="1" si="59"/>
        <v>#VALUE!</v>
      </c>
    </row>
    <row r="905" spans="1:9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55"/>
        <v>#VALUE!</v>
      </c>
      <c r="F905" t="e">
        <f t="shared" ca="1" si="56"/>
        <v>#VALUE!</v>
      </c>
      <c r="G905" t="e">
        <f t="shared" ca="1" si="57"/>
        <v>#VALUE!</v>
      </c>
      <c r="H905" t="e">
        <f t="shared" ca="1" si="58"/>
        <v>#VALUE!</v>
      </c>
      <c r="I905" t="e">
        <f t="shared" ca="1" si="59"/>
        <v>#VALUE!</v>
      </c>
    </row>
    <row r="906" spans="1:9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55"/>
        <v>#VALUE!</v>
      </c>
      <c r="F906" t="e">
        <f t="shared" ca="1" si="56"/>
        <v>#VALUE!</v>
      </c>
      <c r="G906" t="e">
        <f t="shared" ca="1" si="57"/>
        <v>#VALUE!</v>
      </c>
      <c r="H906" t="e">
        <f t="shared" ca="1" si="58"/>
        <v>#VALUE!</v>
      </c>
      <c r="I906" t="e">
        <f t="shared" ca="1" si="59"/>
        <v>#VALUE!</v>
      </c>
    </row>
    <row r="907" spans="1:9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55"/>
        <v>#VALUE!</v>
      </c>
      <c r="F907" t="e">
        <f t="shared" ca="1" si="56"/>
        <v>#VALUE!</v>
      </c>
      <c r="G907" t="e">
        <f t="shared" ca="1" si="57"/>
        <v>#VALUE!</v>
      </c>
      <c r="H907" t="e">
        <f t="shared" ca="1" si="58"/>
        <v>#VALUE!</v>
      </c>
      <c r="I907" t="e">
        <f t="shared" ca="1" si="59"/>
        <v>#VALUE!</v>
      </c>
    </row>
    <row r="908" spans="1:9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55"/>
        <v>#VALUE!</v>
      </c>
      <c r="F908" t="e">
        <f t="shared" ca="1" si="56"/>
        <v>#VALUE!</v>
      </c>
      <c r="G908" t="e">
        <f t="shared" ca="1" si="57"/>
        <v>#VALUE!</v>
      </c>
      <c r="H908" t="e">
        <f t="shared" ca="1" si="58"/>
        <v>#VALUE!</v>
      </c>
      <c r="I908" t="e">
        <f t="shared" ca="1" si="59"/>
        <v>#VALUE!</v>
      </c>
    </row>
    <row r="909" spans="1:9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55"/>
        <v>#VALUE!</v>
      </c>
      <c r="F909" t="e">
        <f t="shared" ca="1" si="56"/>
        <v>#VALUE!</v>
      </c>
      <c r="G909" t="e">
        <f t="shared" ca="1" si="57"/>
        <v>#VALUE!</v>
      </c>
      <c r="H909" t="e">
        <f t="shared" ca="1" si="58"/>
        <v>#VALUE!</v>
      </c>
      <c r="I909" t="e">
        <f t="shared" ca="1" si="59"/>
        <v>#VALUE!</v>
      </c>
    </row>
    <row r="910" spans="1:9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55"/>
        <v>#VALUE!</v>
      </c>
      <c r="F910" t="e">
        <f t="shared" ca="1" si="56"/>
        <v>#VALUE!</v>
      </c>
      <c r="G910" t="e">
        <f t="shared" ca="1" si="57"/>
        <v>#VALUE!</v>
      </c>
      <c r="H910" t="e">
        <f t="shared" ca="1" si="58"/>
        <v>#VALUE!</v>
      </c>
      <c r="I910" t="e">
        <f t="shared" ca="1" si="59"/>
        <v>#VALUE!</v>
      </c>
    </row>
    <row r="911" spans="1:9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55"/>
        <v>#VALUE!</v>
      </c>
      <c r="F911" t="e">
        <f t="shared" ca="1" si="56"/>
        <v>#VALUE!</v>
      </c>
      <c r="G911" t="e">
        <f t="shared" ca="1" si="57"/>
        <v>#VALUE!</v>
      </c>
      <c r="H911" t="e">
        <f t="shared" ca="1" si="58"/>
        <v>#VALUE!</v>
      </c>
      <c r="I911" t="e">
        <f t="shared" ca="1" si="59"/>
        <v>#VALUE!</v>
      </c>
    </row>
    <row r="912" spans="1:9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55"/>
        <v>#VALUE!</v>
      </c>
      <c r="F912" t="e">
        <f t="shared" ca="1" si="56"/>
        <v>#VALUE!</v>
      </c>
      <c r="G912" t="e">
        <f t="shared" ca="1" si="57"/>
        <v>#VALUE!</v>
      </c>
      <c r="H912" t="e">
        <f t="shared" ca="1" si="58"/>
        <v>#VALUE!</v>
      </c>
      <c r="I912" t="e">
        <f t="shared" ca="1" si="59"/>
        <v>#VALUE!</v>
      </c>
    </row>
    <row r="913" spans="1:9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55"/>
        <v>#VALUE!</v>
      </c>
      <c r="F913" t="e">
        <f t="shared" ca="1" si="56"/>
        <v>#VALUE!</v>
      </c>
      <c r="G913" t="e">
        <f t="shared" ca="1" si="57"/>
        <v>#VALUE!</v>
      </c>
      <c r="H913" t="e">
        <f t="shared" ca="1" si="58"/>
        <v>#VALUE!</v>
      </c>
      <c r="I913" t="e">
        <f t="shared" ca="1" si="59"/>
        <v>#VALUE!</v>
      </c>
    </row>
    <row r="914" spans="1:9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55"/>
        <v>#VALUE!</v>
      </c>
      <c r="F914" t="e">
        <f t="shared" ca="1" si="56"/>
        <v>#VALUE!</v>
      </c>
      <c r="G914" t="e">
        <f t="shared" ca="1" si="57"/>
        <v>#VALUE!</v>
      </c>
      <c r="H914" t="e">
        <f t="shared" ca="1" si="58"/>
        <v>#VALUE!</v>
      </c>
      <c r="I914" t="e">
        <f t="shared" ca="1" si="59"/>
        <v>#VALUE!</v>
      </c>
    </row>
    <row r="915" spans="1:9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55"/>
        <v>#VALUE!</v>
      </c>
      <c r="F915" t="e">
        <f t="shared" ca="1" si="56"/>
        <v>#VALUE!</v>
      </c>
      <c r="G915" t="e">
        <f t="shared" ca="1" si="57"/>
        <v>#VALUE!</v>
      </c>
      <c r="H915" t="e">
        <f t="shared" ca="1" si="58"/>
        <v>#VALUE!</v>
      </c>
      <c r="I915" t="e">
        <f t="shared" ca="1" si="59"/>
        <v>#VALUE!</v>
      </c>
    </row>
    <row r="916" spans="1:9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55"/>
        <v>#VALUE!</v>
      </c>
      <c r="F916" t="e">
        <f t="shared" ca="1" si="56"/>
        <v>#VALUE!</v>
      </c>
      <c r="G916" t="e">
        <f t="shared" ca="1" si="57"/>
        <v>#VALUE!</v>
      </c>
      <c r="H916" t="e">
        <f t="shared" ca="1" si="58"/>
        <v>#VALUE!</v>
      </c>
      <c r="I916" t="e">
        <f t="shared" ca="1" si="59"/>
        <v>#VALUE!</v>
      </c>
    </row>
    <row r="917" spans="1:9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55"/>
        <v>#VALUE!</v>
      </c>
      <c r="F917" t="e">
        <f t="shared" ca="1" si="56"/>
        <v>#VALUE!</v>
      </c>
      <c r="G917" t="e">
        <f t="shared" ca="1" si="57"/>
        <v>#VALUE!</v>
      </c>
      <c r="H917" t="e">
        <f t="shared" ca="1" si="58"/>
        <v>#VALUE!</v>
      </c>
      <c r="I917" t="e">
        <f t="shared" ca="1" si="59"/>
        <v>#VALUE!</v>
      </c>
    </row>
    <row r="918" spans="1:9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55"/>
        <v>#VALUE!</v>
      </c>
      <c r="F918" t="e">
        <f t="shared" ca="1" si="56"/>
        <v>#VALUE!</v>
      </c>
      <c r="G918" t="e">
        <f t="shared" ca="1" si="57"/>
        <v>#VALUE!</v>
      </c>
      <c r="H918" t="e">
        <f t="shared" ca="1" si="58"/>
        <v>#VALUE!</v>
      </c>
      <c r="I918" t="e">
        <f t="shared" ca="1" si="59"/>
        <v>#VALUE!</v>
      </c>
    </row>
    <row r="919" spans="1:9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55"/>
        <v>#VALUE!</v>
      </c>
      <c r="F919" t="e">
        <f t="shared" ca="1" si="56"/>
        <v>#VALUE!</v>
      </c>
      <c r="G919" t="e">
        <f t="shared" ca="1" si="57"/>
        <v>#VALUE!</v>
      </c>
      <c r="H919" t="e">
        <f t="shared" ca="1" si="58"/>
        <v>#VALUE!</v>
      </c>
      <c r="I919" t="e">
        <f t="shared" ca="1" si="59"/>
        <v>#VALUE!</v>
      </c>
    </row>
    <row r="920" spans="1:9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55"/>
        <v>#VALUE!</v>
      </c>
      <c r="F920" t="e">
        <f t="shared" ca="1" si="56"/>
        <v>#VALUE!</v>
      </c>
      <c r="G920" t="e">
        <f t="shared" ca="1" si="57"/>
        <v>#VALUE!</v>
      </c>
      <c r="H920" t="e">
        <f t="shared" ca="1" si="58"/>
        <v>#VALUE!</v>
      </c>
      <c r="I920" t="e">
        <f t="shared" ca="1" si="59"/>
        <v>#VALUE!</v>
      </c>
    </row>
    <row r="921" spans="1:9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55"/>
        <v>#VALUE!</v>
      </c>
      <c r="F921" t="e">
        <f t="shared" ca="1" si="56"/>
        <v>#VALUE!</v>
      </c>
      <c r="G921" t="e">
        <f t="shared" ca="1" si="57"/>
        <v>#VALUE!</v>
      </c>
      <c r="H921" t="e">
        <f t="shared" ca="1" si="58"/>
        <v>#VALUE!</v>
      </c>
      <c r="I921" t="e">
        <f t="shared" ca="1" si="59"/>
        <v>#VALUE!</v>
      </c>
    </row>
    <row r="922" spans="1:9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55"/>
        <v>#VALUE!</v>
      </c>
      <c r="F922" t="e">
        <f t="shared" ca="1" si="56"/>
        <v>#VALUE!</v>
      </c>
      <c r="G922" t="e">
        <f t="shared" ca="1" si="57"/>
        <v>#VALUE!</v>
      </c>
      <c r="H922" t="e">
        <f t="shared" ca="1" si="58"/>
        <v>#VALUE!</v>
      </c>
      <c r="I922" t="e">
        <f t="shared" ca="1" si="59"/>
        <v>#VALUE!</v>
      </c>
    </row>
    <row r="923" spans="1:9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55"/>
        <v>#VALUE!</v>
      </c>
      <c r="F923" t="e">
        <f t="shared" ca="1" si="56"/>
        <v>#VALUE!</v>
      </c>
      <c r="G923" t="e">
        <f t="shared" ca="1" si="57"/>
        <v>#VALUE!</v>
      </c>
      <c r="H923" t="e">
        <f t="shared" ca="1" si="58"/>
        <v>#VALUE!</v>
      </c>
      <c r="I923" t="e">
        <f t="shared" ca="1" si="59"/>
        <v>#VALUE!</v>
      </c>
    </row>
    <row r="924" spans="1:9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55"/>
        <v>#VALUE!</v>
      </c>
      <c r="F924" t="e">
        <f t="shared" ca="1" si="56"/>
        <v>#VALUE!</v>
      </c>
      <c r="G924" t="e">
        <f t="shared" ca="1" si="57"/>
        <v>#VALUE!</v>
      </c>
      <c r="H924" t="e">
        <f t="shared" ca="1" si="58"/>
        <v>#VALUE!</v>
      </c>
      <c r="I924" t="e">
        <f t="shared" ca="1" si="59"/>
        <v>#VALUE!</v>
      </c>
    </row>
    <row r="925" spans="1:9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55"/>
        <v>#VALUE!</v>
      </c>
      <c r="F925" t="e">
        <f t="shared" ca="1" si="56"/>
        <v>#VALUE!</v>
      </c>
      <c r="G925" t="e">
        <f t="shared" ca="1" si="57"/>
        <v>#VALUE!</v>
      </c>
      <c r="H925" t="e">
        <f t="shared" ca="1" si="58"/>
        <v>#VALUE!</v>
      </c>
      <c r="I925" t="e">
        <f t="shared" ca="1" si="59"/>
        <v>#VALUE!</v>
      </c>
    </row>
    <row r="926" spans="1:9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55"/>
        <v>#VALUE!</v>
      </c>
      <c r="F926" t="e">
        <f t="shared" ca="1" si="56"/>
        <v>#VALUE!</v>
      </c>
      <c r="G926" t="e">
        <f t="shared" ca="1" si="57"/>
        <v>#VALUE!</v>
      </c>
      <c r="H926" t="e">
        <f t="shared" ca="1" si="58"/>
        <v>#VALUE!</v>
      </c>
      <c r="I926" t="e">
        <f t="shared" ca="1" si="59"/>
        <v>#VALUE!</v>
      </c>
    </row>
    <row r="927" spans="1:9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55"/>
        <v>#VALUE!</v>
      </c>
      <c r="F927" t="e">
        <f t="shared" ca="1" si="56"/>
        <v>#VALUE!</v>
      </c>
      <c r="G927" t="e">
        <f t="shared" ca="1" si="57"/>
        <v>#VALUE!</v>
      </c>
      <c r="H927" t="e">
        <f t="shared" ca="1" si="58"/>
        <v>#VALUE!</v>
      </c>
      <c r="I927" t="e">
        <f t="shared" ca="1" si="59"/>
        <v>#VALUE!</v>
      </c>
    </row>
    <row r="928" spans="1:9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55"/>
        <v>#VALUE!</v>
      </c>
      <c r="F928" t="e">
        <f t="shared" ca="1" si="56"/>
        <v>#VALUE!</v>
      </c>
      <c r="G928" t="e">
        <f t="shared" ca="1" si="57"/>
        <v>#VALUE!</v>
      </c>
      <c r="H928" t="e">
        <f t="shared" ca="1" si="58"/>
        <v>#VALUE!</v>
      </c>
      <c r="I928" t="e">
        <f t="shared" ca="1" si="59"/>
        <v>#VALUE!</v>
      </c>
    </row>
    <row r="929" spans="1:9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55"/>
        <v>#VALUE!</v>
      </c>
      <c r="F929" t="e">
        <f t="shared" ca="1" si="56"/>
        <v>#VALUE!</v>
      </c>
      <c r="G929" t="e">
        <f t="shared" ca="1" si="57"/>
        <v>#VALUE!</v>
      </c>
      <c r="H929" t="e">
        <f t="shared" ca="1" si="58"/>
        <v>#VALUE!</v>
      </c>
      <c r="I929" t="e">
        <f t="shared" ca="1" si="59"/>
        <v>#VALUE!</v>
      </c>
    </row>
    <row r="930" spans="1:9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55"/>
        <v>#VALUE!</v>
      </c>
      <c r="F930" t="e">
        <f t="shared" ca="1" si="56"/>
        <v>#VALUE!</v>
      </c>
      <c r="G930" t="e">
        <f t="shared" ca="1" si="57"/>
        <v>#VALUE!</v>
      </c>
      <c r="H930" t="e">
        <f t="shared" ca="1" si="58"/>
        <v>#VALUE!</v>
      </c>
      <c r="I930" t="e">
        <f t="shared" ca="1" si="59"/>
        <v>#VALUE!</v>
      </c>
    </row>
    <row r="931" spans="1:9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55"/>
        <v>#VALUE!</v>
      </c>
      <c r="F931" t="e">
        <f t="shared" ca="1" si="56"/>
        <v>#VALUE!</v>
      </c>
      <c r="G931" t="e">
        <f t="shared" ca="1" si="57"/>
        <v>#VALUE!</v>
      </c>
      <c r="H931" t="e">
        <f t="shared" ca="1" si="58"/>
        <v>#VALUE!</v>
      </c>
      <c r="I931" t="e">
        <f t="shared" ca="1" si="59"/>
        <v>#VALUE!</v>
      </c>
    </row>
    <row r="932" spans="1:9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55"/>
        <v>#VALUE!</v>
      </c>
      <c r="F932" t="e">
        <f t="shared" ca="1" si="56"/>
        <v>#VALUE!</v>
      </c>
      <c r="G932" t="e">
        <f t="shared" ca="1" si="57"/>
        <v>#VALUE!</v>
      </c>
      <c r="H932" t="e">
        <f t="shared" ca="1" si="58"/>
        <v>#VALUE!</v>
      </c>
      <c r="I932" t="e">
        <f t="shared" ca="1" si="59"/>
        <v>#VALUE!</v>
      </c>
    </row>
    <row r="933" spans="1:9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55"/>
        <v>#VALUE!</v>
      </c>
      <c r="F933" t="e">
        <f t="shared" ca="1" si="56"/>
        <v>#VALUE!</v>
      </c>
      <c r="G933" t="e">
        <f t="shared" ca="1" si="57"/>
        <v>#VALUE!</v>
      </c>
      <c r="H933" t="e">
        <f t="shared" ca="1" si="58"/>
        <v>#VALUE!</v>
      </c>
      <c r="I933" t="e">
        <f t="shared" ca="1" si="59"/>
        <v>#VALUE!</v>
      </c>
    </row>
    <row r="934" spans="1:9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55"/>
        <v>#VALUE!</v>
      </c>
      <c r="F934" t="e">
        <f t="shared" ca="1" si="56"/>
        <v>#VALUE!</v>
      </c>
      <c r="G934" t="e">
        <f t="shared" ca="1" si="57"/>
        <v>#VALUE!</v>
      </c>
      <c r="H934" t="e">
        <f t="shared" ca="1" si="58"/>
        <v>#VALUE!</v>
      </c>
      <c r="I934" t="e">
        <f t="shared" ca="1" si="59"/>
        <v>#VALUE!</v>
      </c>
    </row>
    <row r="935" spans="1:9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55"/>
        <v>#VALUE!</v>
      </c>
      <c r="F935" t="e">
        <f t="shared" ca="1" si="56"/>
        <v>#VALUE!</v>
      </c>
      <c r="G935" t="e">
        <f t="shared" ca="1" si="57"/>
        <v>#VALUE!</v>
      </c>
      <c r="H935" t="e">
        <f t="shared" ca="1" si="58"/>
        <v>#VALUE!</v>
      </c>
      <c r="I935" t="e">
        <f t="shared" ca="1" si="59"/>
        <v>#VALUE!</v>
      </c>
    </row>
    <row r="936" spans="1:9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55"/>
        <v>#VALUE!</v>
      </c>
      <c r="F936" t="e">
        <f t="shared" ca="1" si="56"/>
        <v>#VALUE!</v>
      </c>
      <c r="G936" t="e">
        <f t="shared" ca="1" si="57"/>
        <v>#VALUE!</v>
      </c>
      <c r="H936" t="e">
        <f t="shared" ca="1" si="58"/>
        <v>#VALUE!</v>
      </c>
      <c r="I936" t="e">
        <f t="shared" ca="1" si="59"/>
        <v>#VALUE!</v>
      </c>
    </row>
    <row r="937" spans="1:9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55"/>
        <v>#VALUE!</v>
      </c>
      <c r="F937" t="e">
        <f t="shared" ca="1" si="56"/>
        <v>#VALUE!</v>
      </c>
      <c r="G937" t="e">
        <f t="shared" ca="1" si="57"/>
        <v>#VALUE!</v>
      </c>
      <c r="H937" t="e">
        <f t="shared" ca="1" si="58"/>
        <v>#VALUE!</v>
      </c>
      <c r="I937" t="e">
        <f t="shared" ca="1" si="59"/>
        <v>#VALUE!</v>
      </c>
    </row>
    <row r="938" spans="1:9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55"/>
        <v>#VALUE!</v>
      </c>
      <c r="F938" t="e">
        <f t="shared" ca="1" si="56"/>
        <v>#VALUE!</v>
      </c>
      <c r="G938" t="e">
        <f t="shared" ca="1" si="57"/>
        <v>#VALUE!</v>
      </c>
      <c r="H938" t="e">
        <f t="shared" ca="1" si="58"/>
        <v>#VALUE!</v>
      </c>
      <c r="I938" t="e">
        <f t="shared" ca="1" si="59"/>
        <v>#VALUE!</v>
      </c>
    </row>
    <row r="939" spans="1:9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55"/>
        <v>#VALUE!</v>
      </c>
      <c r="F939" t="e">
        <f t="shared" ca="1" si="56"/>
        <v>#VALUE!</v>
      </c>
      <c r="G939" t="e">
        <f t="shared" ca="1" si="57"/>
        <v>#VALUE!</v>
      </c>
      <c r="H939" t="e">
        <f t="shared" ca="1" si="58"/>
        <v>#VALUE!</v>
      </c>
      <c r="I939" t="e">
        <f t="shared" ca="1" si="59"/>
        <v>#VALUE!</v>
      </c>
    </row>
    <row r="940" spans="1:9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55"/>
        <v>#VALUE!</v>
      </c>
      <c r="F940" t="e">
        <f t="shared" ca="1" si="56"/>
        <v>#VALUE!</v>
      </c>
      <c r="G940" t="e">
        <f t="shared" ca="1" si="57"/>
        <v>#VALUE!</v>
      </c>
      <c r="H940" t="e">
        <f t="shared" ca="1" si="58"/>
        <v>#VALUE!</v>
      </c>
      <c r="I940" t="e">
        <f t="shared" ca="1" si="59"/>
        <v>#VALUE!</v>
      </c>
    </row>
    <row r="941" spans="1:9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55"/>
        <v>#VALUE!</v>
      </c>
      <c r="F941" t="e">
        <f t="shared" ca="1" si="56"/>
        <v>#VALUE!</v>
      </c>
      <c r="G941" t="e">
        <f t="shared" ca="1" si="57"/>
        <v>#VALUE!</v>
      </c>
      <c r="H941" t="e">
        <f t="shared" ca="1" si="58"/>
        <v>#VALUE!</v>
      </c>
      <c r="I941" t="e">
        <f t="shared" ca="1" si="59"/>
        <v>#VALUE!</v>
      </c>
    </row>
    <row r="942" spans="1:9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55"/>
        <v>#VALUE!</v>
      </c>
      <c r="F942" t="e">
        <f t="shared" ca="1" si="56"/>
        <v>#VALUE!</v>
      </c>
      <c r="G942" t="e">
        <f t="shared" ca="1" si="57"/>
        <v>#VALUE!</v>
      </c>
      <c r="H942" t="e">
        <f t="shared" ca="1" si="58"/>
        <v>#VALUE!</v>
      </c>
      <c r="I942" t="e">
        <f t="shared" ca="1" si="59"/>
        <v>#VALUE!</v>
      </c>
    </row>
    <row r="943" spans="1:9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55"/>
        <v>#VALUE!</v>
      </c>
      <c r="F943" t="e">
        <f t="shared" ca="1" si="56"/>
        <v>#VALUE!</v>
      </c>
      <c r="G943" t="e">
        <f t="shared" ca="1" si="57"/>
        <v>#VALUE!</v>
      </c>
      <c r="H943" t="e">
        <f t="shared" ca="1" si="58"/>
        <v>#VALUE!</v>
      </c>
      <c r="I943" t="e">
        <f t="shared" ca="1" si="59"/>
        <v>#VALUE!</v>
      </c>
    </row>
    <row r="944" spans="1:9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55"/>
        <v>#VALUE!</v>
      </c>
      <c r="F944" t="e">
        <f t="shared" ca="1" si="56"/>
        <v>#VALUE!</v>
      </c>
      <c r="G944" t="e">
        <f t="shared" ca="1" si="57"/>
        <v>#VALUE!</v>
      </c>
      <c r="H944" t="e">
        <f t="shared" ca="1" si="58"/>
        <v>#VALUE!</v>
      </c>
      <c r="I944" t="e">
        <f t="shared" ca="1" si="59"/>
        <v>#VALUE!</v>
      </c>
    </row>
    <row r="945" spans="1:9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55"/>
        <v>#VALUE!</v>
      </c>
      <c r="F945" t="e">
        <f t="shared" ca="1" si="56"/>
        <v>#VALUE!</v>
      </c>
      <c r="G945" t="e">
        <f t="shared" ca="1" si="57"/>
        <v>#VALUE!</v>
      </c>
      <c r="H945" t="e">
        <f t="shared" ca="1" si="58"/>
        <v>#VALUE!</v>
      </c>
      <c r="I945" t="e">
        <f t="shared" ca="1" si="59"/>
        <v>#VALUE!</v>
      </c>
    </row>
    <row r="946" spans="1:9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55"/>
        <v>#VALUE!</v>
      </c>
      <c r="F946" t="e">
        <f t="shared" ca="1" si="56"/>
        <v>#VALUE!</v>
      </c>
      <c r="G946" t="e">
        <f t="shared" ca="1" si="57"/>
        <v>#VALUE!</v>
      </c>
      <c r="H946" t="e">
        <f t="shared" ca="1" si="58"/>
        <v>#VALUE!</v>
      </c>
      <c r="I946" t="e">
        <f t="shared" ca="1" si="59"/>
        <v>#VALUE!</v>
      </c>
    </row>
    <row r="947" spans="1:9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ref="E947:E1000" ca="1" si="60">IF(D947="T", 0.05, IF(D947="C", -0.01, ""))</f>
        <v>#VALUE!</v>
      </c>
      <c r="F947" t="e">
        <f t="shared" ref="F947:F1000" ca="1" si="61">IF(D947="T", 0.05, IF(D947="C", 0, ""))</f>
        <v>#VALUE!</v>
      </c>
      <c r="G947" t="e">
        <f t="shared" ref="G947:G1000" ca="1" si="62">IF(D947="T", 0, IF(D947="C", 0, ""))</f>
        <v>#VALUE!</v>
      </c>
      <c r="H947" t="e">
        <f t="shared" ref="H947:H1000" ca="1" si="63">IF(D947="T", 0.05, IF(D947="C", 0, ""))</f>
        <v>#VALUE!</v>
      </c>
      <c r="I947" t="e">
        <f t="shared" ref="I947:I1000" ca="1" si="64">IF(D947="T", 0, IF(D947="C", 0, ""))</f>
        <v>#VALUE!</v>
      </c>
    </row>
    <row r="948" spans="1:9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60"/>
        <v>#VALUE!</v>
      </c>
      <c r="F948" t="e">
        <f t="shared" ca="1" si="61"/>
        <v>#VALUE!</v>
      </c>
      <c r="G948" t="e">
        <f t="shared" ca="1" si="62"/>
        <v>#VALUE!</v>
      </c>
      <c r="H948" t="e">
        <f t="shared" ca="1" si="63"/>
        <v>#VALUE!</v>
      </c>
      <c r="I948" t="e">
        <f t="shared" ca="1" si="64"/>
        <v>#VALUE!</v>
      </c>
    </row>
    <row r="949" spans="1:9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60"/>
        <v>#VALUE!</v>
      </c>
      <c r="F949" t="e">
        <f t="shared" ca="1" si="61"/>
        <v>#VALUE!</v>
      </c>
      <c r="G949" t="e">
        <f t="shared" ca="1" si="62"/>
        <v>#VALUE!</v>
      </c>
      <c r="H949" t="e">
        <f t="shared" ca="1" si="63"/>
        <v>#VALUE!</v>
      </c>
      <c r="I949" t="e">
        <f t="shared" ca="1" si="64"/>
        <v>#VALUE!</v>
      </c>
    </row>
    <row r="950" spans="1:9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60"/>
        <v>#VALUE!</v>
      </c>
      <c r="F950" t="e">
        <f t="shared" ca="1" si="61"/>
        <v>#VALUE!</v>
      </c>
      <c r="G950" t="e">
        <f t="shared" ca="1" si="62"/>
        <v>#VALUE!</v>
      </c>
      <c r="H950" t="e">
        <f t="shared" ca="1" si="63"/>
        <v>#VALUE!</v>
      </c>
      <c r="I950" t="e">
        <f t="shared" ca="1" si="64"/>
        <v>#VALUE!</v>
      </c>
    </row>
    <row r="951" spans="1:9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60"/>
        <v>#VALUE!</v>
      </c>
      <c r="F951" t="e">
        <f t="shared" ca="1" si="61"/>
        <v>#VALUE!</v>
      </c>
      <c r="G951" t="e">
        <f t="shared" ca="1" si="62"/>
        <v>#VALUE!</v>
      </c>
      <c r="H951" t="e">
        <f t="shared" ca="1" si="63"/>
        <v>#VALUE!</v>
      </c>
      <c r="I951" t="e">
        <f t="shared" ca="1" si="64"/>
        <v>#VALUE!</v>
      </c>
    </row>
    <row r="952" spans="1:9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60"/>
        <v>#VALUE!</v>
      </c>
      <c r="F952" t="e">
        <f t="shared" ca="1" si="61"/>
        <v>#VALUE!</v>
      </c>
      <c r="G952" t="e">
        <f t="shared" ca="1" si="62"/>
        <v>#VALUE!</v>
      </c>
      <c r="H952" t="e">
        <f t="shared" ca="1" si="63"/>
        <v>#VALUE!</v>
      </c>
      <c r="I952" t="e">
        <f t="shared" ca="1" si="64"/>
        <v>#VALUE!</v>
      </c>
    </row>
    <row r="953" spans="1:9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60"/>
        <v>#VALUE!</v>
      </c>
      <c r="F953" t="e">
        <f t="shared" ca="1" si="61"/>
        <v>#VALUE!</v>
      </c>
      <c r="G953" t="e">
        <f t="shared" ca="1" si="62"/>
        <v>#VALUE!</v>
      </c>
      <c r="H953" t="e">
        <f t="shared" ca="1" si="63"/>
        <v>#VALUE!</v>
      </c>
      <c r="I953" t="e">
        <f t="shared" ca="1" si="64"/>
        <v>#VALUE!</v>
      </c>
    </row>
    <row r="954" spans="1:9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60"/>
        <v>#VALUE!</v>
      </c>
      <c r="F954" t="e">
        <f t="shared" ca="1" si="61"/>
        <v>#VALUE!</v>
      </c>
      <c r="G954" t="e">
        <f t="shared" ca="1" si="62"/>
        <v>#VALUE!</v>
      </c>
      <c r="H954" t="e">
        <f t="shared" ca="1" si="63"/>
        <v>#VALUE!</v>
      </c>
      <c r="I954" t="e">
        <f t="shared" ca="1" si="64"/>
        <v>#VALUE!</v>
      </c>
    </row>
    <row r="955" spans="1:9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60"/>
        <v>#VALUE!</v>
      </c>
      <c r="F955" t="e">
        <f t="shared" ca="1" si="61"/>
        <v>#VALUE!</v>
      </c>
      <c r="G955" t="e">
        <f t="shared" ca="1" si="62"/>
        <v>#VALUE!</v>
      </c>
      <c r="H955" t="e">
        <f t="shared" ca="1" si="63"/>
        <v>#VALUE!</v>
      </c>
      <c r="I955" t="e">
        <f t="shared" ca="1" si="64"/>
        <v>#VALUE!</v>
      </c>
    </row>
    <row r="956" spans="1:9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60"/>
        <v>#VALUE!</v>
      </c>
      <c r="F956" t="e">
        <f t="shared" ca="1" si="61"/>
        <v>#VALUE!</v>
      </c>
      <c r="G956" t="e">
        <f t="shared" ca="1" si="62"/>
        <v>#VALUE!</v>
      </c>
      <c r="H956" t="e">
        <f t="shared" ca="1" si="63"/>
        <v>#VALUE!</v>
      </c>
      <c r="I956" t="e">
        <f t="shared" ca="1" si="64"/>
        <v>#VALUE!</v>
      </c>
    </row>
    <row r="957" spans="1:9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60"/>
        <v>#VALUE!</v>
      </c>
      <c r="F957" t="e">
        <f t="shared" ca="1" si="61"/>
        <v>#VALUE!</v>
      </c>
      <c r="G957" t="e">
        <f t="shared" ca="1" si="62"/>
        <v>#VALUE!</v>
      </c>
      <c r="H957" t="e">
        <f t="shared" ca="1" si="63"/>
        <v>#VALUE!</v>
      </c>
      <c r="I957" t="e">
        <f t="shared" ca="1" si="64"/>
        <v>#VALUE!</v>
      </c>
    </row>
    <row r="958" spans="1:9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60"/>
        <v>#VALUE!</v>
      </c>
      <c r="F958" t="e">
        <f t="shared" ca="1" si="61"/>
        <v>#VALUE!</v>
      </c>
      <c r="G958" t="e">
        <f t="shared" ca="1" si="62"/>
        <v>#VALUE!</v>
      </c>
      <c r="H958" t="e">
        <f t="shared" ca="1" si="63"/>
        <v>#VALUE!</v>
      </c>
      <c r="I958" t="e">
        <f t="shared" ca="1" si="64"/>
        <v>#VALUE!</v>
      </c>
    </row>
    <row r="959" spans="1:9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60"/>
        <v>#VALUE!</v>
      </c>
      <c r="F959" t="e">
        <f t="shared" ca="1" si="61"/>
        <v>#VALUE!</v>
      </c>
      <c r="G959" t="e">
        <f t="shared" ca="1" si="62"/>
        <v>#VALUE!</v>
      </c>
      <c r="H959" t="e">
        <f t="shared" ca="1" si="63"/>
        <v>#VALUE!</v>
      </c>
      <c r="I959" t="e">
        <f t="shared" ca="1" si="64"/>
        <v>#VALUE!</v>
      </c>
    </row>
    <row r="960" spans="1:9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60"/>
        <v>#VALUE!</v>
      </c>
      <c r="F960" t="e">
        <f t="shared" ca="1" si="61"/>
        <v>#VALUE!</v>
      </c>
      <c r="G960" t="e">
        <f t="shared" ca="1" si="62"/>
        <v>#VALUE!</v>
      </c>
      <c r="H960" t="e">
        <f t="shared" ca="1" si="63"/>
        <v>#VALUE!</v>
      </c>
      <c r="I960" t="e">
        <f t="shared" ca="1" si="64"/>
        <v>#VALUE!</v>
      </c>
    </row>
    <row r="961" spans="1:9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60"/>
        <v>#VALUE!</v>
      </c>
      <c r="F961" t="e">
        <f t="shared" ca="1" si="61"/>
        <v>#VALUE!</v>
      </c>
      <c r="G961" t="e">
        <f t="shared" ca="1" si="62"/>
        <v>#VALUE!</v>
      </c>
      <c r="H961" t="e">
        <f t="shared" ca="1" si="63"/>
        <v>#VALUE!</v>
      </c>
      <c r="I961" t="e">
        <f t="shared" ca="1" si="64"/>
        <v>#VALUE!</v>
      </c>
    </row>
    <row r="962" spans="1:9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60"/>
        <v>#VALUE!</v>
      </c>
      <c r="F962" t="e">
        <f t="shared" ca="1" si="61"/>
        <v>#VALUE!</v>
      </c>
      <c r="G962" t="e">
        <f t="shared" ca="1" si="62"/>
        <v>#VALUE!</v>
      </c>
      <c r="H962" t="e">
        <f t="shared" ca="1" si="63"/>
        <v>#VALUE!</v>
      </c>
      <c r="I962" t="e">
        <f t="shared" ca="1" si="64"/>
        <v>#VALUE!</v>
      </c>
    </row>
    <row r="963" spans="1:9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60"/>
        <v>#VALUE!</v>
      </c>
      <c r="F963" t="e">
        <f t="shared" ca="1" si="61"/>
        <v>#VALUE!</v>
      </c>
      <c r="G963" t="e">
        <f t="shared" ca="1" si="62"/>
        <v>#VALUE!</v>
      </c>
      <c r="H963" t="e">
        <f t="shared" ca="1" si="63"/>
        <v>#VALUE!</v>
      </c>
      <c r="I963" t="e">
        <f t="shared" ca="1" si="64"/>
        <v>#VALUE!</v>
      </c>
    </row>
    <row r="964" spans="1:9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60"/>
        <v>#VALUE!</v>
      </c>
      <c r="F964" t="e">
        <f t="shared" ca="1" si="61"/>
        <v>#VALUE!</v>
      </c>
      <c r="G964" t="e">
        <f t="shared" ca="1" si="62"/>
        <v>#VALUE!</v>
      </c>
      <c r="H964" t="e">
        <f t="shared" ca="1" si="63"/>
        <v>#VALUE!</v>
      </c>
      <c r="I964" t="e">
        <f t="shared" ca="1" si="64"/>
        <v>#VALUE!</v>
      </c>
    </row>
    <row r="965" spans="1:9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60"/>
        <v>#VALUE!</v>
      </c>
      <c r="F965" t="e">
        <f t="shared" ca="1" si="61"/>
        <v>#VALUE!</v>
      </c>
      <c r="G965" t="e">
        <f t="shared" ca="1" si="62"/>
        <v>#VALUE!</v>
      </c>
      <c r="H965" t="e">
        <f t="shared" ca="1" si="63"/>
        <v>#VALUE!</v>
      </c>
      <c r="I965" t="e">
        <f t="shared" ca="1" si="64"/>
        <v>#VALUE!</v>
      </c>
    </row>
    <row r="966" spans="1:9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60"/>
        <v>#VALUE!</v>
      </c>
      <c r="F966" t="e">
        <f t="shared" ca="1" si="61"/>
        <v>#VALUE!</v>
      </c>
      <c r="G966" t="e">
        <f t="shared" ca="1" si="62"/>
        <v>#VALUE!</v>
      </c>
      <c r="H966" t="e">
        <f t="shared" ca="1" si="63"/>
        <v>#VALUE!</v>
      </c>
      <c r="I966" t="e">
        <f t="shared" ca="1" si="64"/>
        <v>#VALUE!</v>
      </c>
    </row>
    <row r="967" spans="1:9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60"/>
        <v>#VALUE!</v>
      </c>
      <c r="F967" t="e">
        <f t="shared" ca="1" si="61"/>
        <v>#VALUE!</v>
      </c>
      <c r="G967" t="e">
        <f t="shared" ca="1" si="62"/>
        <v>#VALUE!</v>
      </c>
      <c r="H967" t="e">
        <f t="shared" ca="1" si="63"/>
        <v>#VALUE!</v>
      </c>
      <c r="I967" t="e">
        <f t="shared" ca="1" si="64"/>
        <v>#VALUE!</v>
      </c>
    </row>
    <row r="968" spans="1:9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60"/>
        <v>#VALUE!</v>
      </c>
      <c r="F968" t="e">
        <f t="shared" ca="1" si="61"/>
        <v>#VALUE!</v>
      </c>
      <c r="G968" t="e">
        <f t="shared" ca="1" si="62"/>
        <v>#VALUE!</v>
      </c>
      <c r="H968" t="e">
        <f t="shared" ca="1" si="63"/>
        <v>#VALUE!</v>
      </c>
      <c r="I968" t="e">
        <f t="shared" ca="1" si="64"/>
        <v>#VALUE!</v>
      </c>
    </row>
    <row r="969" spans="1:9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60"/>
        <v>#VALUE!</v>
      </c>
      <c r="F969" t="e">
        <f t="shared" ca="1" si="61"/>
        <v>#VALUE!</v>
      </c>
      <c r="G969" t="e">
        <f t="shared" ca="1" si="62"/>
        <v>#VALUE!</v>
      </c>
      <c r="H969" t="e">
        <f t="shared" ca="1" si="63"/>
        <v>#VALUE!</v>
      </c>
      <c r="I969" t="e">
        <f t="shared" ca="1" si="64"/>
        <v>#VALUE!</v>
      </c>
    </row>
    <row r="970" spans="1:9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60"/>
        <v>#VALUE!</v>
      </c>
      <c r="F970" t="e">
        <f t="shared" ca="1" si="61"/>
        <v>#VALUE!</v>
      </c>
      <c r="G970" t="e">
        <f t="shared" ca="1" si="62"/>
        <v>#VALUE!</v>
      </c>
      <c r="H970" t="e">
        <f t="shared" ca="1" si="63"/>
        <v>#VALUE!</v>
      </c>
      <c r="I970" t="e">
        <f t="shared" ca="1" si="64"/>
        <v>#VALUE!</v>
      </c>
    </row>
    <row r="971" spans="1:9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60"/>
        <v>#VALUE!</v>
      </c>
      <c r="F971" t="e">
        <f t="shared" ca="1" si="61"/>
        <v>#VALUE!</v>
      </c>
      <c r="G971" t="e">
        <f t="shared" ca="1" si="62"/>
        <v>#VALUE!</v>
      </c>
      <c r="H971" t="e">
        <f t="shared" ca="1" si="63"/>
        <v>#VALUE!</v>
      </c>
      <c r="I971" t="e">
        <f t="shared" ca="1" si="64"/>
        <v>#VALUE!</v>
      </c>
    </row>
    <row r="972" spans="1:9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60"/>
        <v>#VALUE!</v>
      </c>
      <c r="F972" t="e">
        <f t="shared" ca="1" si="61"/>
        <v>#VALUE!</v>
      </c>
      <c r="G972" t="e">
        <f t="shared" ca="1" si="62"/>
        <v>#VALUE!</v>
      </c>
      <c r="H972" t="e">
        <f t="shared" ca="1" si="63"/>
        <v>#VALUE!</v>
      </c>
      <c r="I972" t="e">
        <f t="shared" ca="1" si="64"/>
        <v>#VALUE!</v>
      </c>
    </row>
    <row r="973" spans="1:9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60"/>
        <v>#VALUE!</v>
      </c>
      <c r="F973" t="e">
        <f t="shared" ca="1" si="61"/>
        <v>#VALUE!</v>
      </c>
      <c r="G973" t="e">
        <f t="shared" ca="1" si="62"/>
        <v>#VALUE!</v>
      </c>
      <c r="H973" t="e">
        <f t="shared" ca="1" si="63"/>
        <v>#VALUE!</v>
      </c>
      <c r="I973" t="e">
        <f t="shared" ca="1" si="64"/>
        <v>#VALUE!</v>
      </c>
    </row>
    <row r="974" spans="1:9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60"/>
        <v>#VALUE!</v>
      </c>
      <c r="F974" t="e">
        <f t="shared" ca="1" si="61"/>
        <v>#VALUE!</v>
      </c>
      <c r="G974" t="e">
        <f t="shared" ca="1" si="62"/>
        <v>#VALUE!</v>
      </c>
      <c r="H974" t="e">
        <f t="shared" ca="1" si="63"/>
        <v>#VALUE!</v>
      </c>
      <c r="I974" t="e">
        <f t="shared" ca="1" si="64"/>
        <v>#VALUE!</v>
      </c>
    </row>
    <row r="975" spans="1:9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60"/>
        <v>#VALUE!</v>
      </c>
      <c r="F975" t="e">
        <f t="shared" ca="1" si="61"/>
        <v>#VALUE!</v>
      </c>
      <c r="G975" t="e">
        <f t="shared" ca="1" si="62"/>
        <v>#VALUE!</v>
      </c>
      <c r="H975" t="e">
        <f t="shared" ca="1" si="63"/>
        <v>#VALUE!</v>
      </c>
      <c r="I975" t="e">
        <f t="shared" ca="1" si="64"/>
        <v>#VALUE!</v>
      </c>
    </row>
    <row r="976" spans="1:9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60"/>
        <v>#VALUE!</v>
      </c>
      <c r="F976" t="e">
        <f t="shared" ca="1" si="61"/>
        <v>#VALUE!</v>
      </c>
      <c r="G976" t="e">
        <f t="shared" ca="1" si="62"/>
        <v>#VALUE!</v>
      </c>
      <c r="H976" t="e">
        <f t="shared" ca="1" si="63"/>
        <v>#VALUE!</v>
      </c>
      <c r="I976" t="e">
        <f t="shared" ca="1" si="64"/>
        <v>#VALUE!</v>
      </c>
    </row>
    <row r="977" spans="1:9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60"/>
        <v>#VALUE!</v>
      </c>
      <c r="F977" t="e">
        <f t="shared" ca="1" si="61"/>
        <v>#VALUE!</v>
      </c>
      <c r="G977" t="e">
        <f t="shared" ca="1" si="62"/>
        <v>#VALUE!</v>
      </c>
      <c r="H977" t="e">
        <f t="shared" ca="1" si="63"/>
        <v>#VALUE!</v>
      </c>
      <c r="I977" t="e">
        <f t="shared" ca="1" si="64"/>
        <v>#VALUE!</v>
      </c>
    </row>
    <row r="978" spans="1:9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60"/>
        <v>#VALUE!</v>
      </c>
      <c r="F978" t="e">
        <f t="shared" ca="1" si="61"/>
        <v>#VALUE!</v>
      </c>
      <c r="G978" t="e">
        <f t="shared" ca="1" si="62"/>
        <v>#VALUE!</v>
      </c>
      <c r="H978" t="e">
        <f t="shared" ca="1" si="63"/>
        <v>#VALUE!</v>
      </c>
      <c r="I978" t="e">
        <f t="shared" ca="1" si="64"/>
        <v>#VALUE!</v>
      </c>
    </row>
    <row r="979" spans="1:9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60"/>
        <v>#VALUE!</v>
      </c>
      <c r="F979" t="e">
        <f t="shared" ca="1" si="61"/>
        <v>#VALUE!</v>
      </c>
      <c r="G979" t="e">
        <f t="shared" ca="1" si="62"/>
        <v>#VALUE!</v>
      </c>
      <c r="H979" t="e">
        <f t="shared" ca="1" si="63"/>
        <v>#VALUE!</v>
      </c>
      <c r="I979" t="e">
        <f t="shared" ca="1" si="64"/>
        <v>#VALUE!</v>
      </c>
    </row>
    <row r="980" spans="1:9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60"/>
        <v>#VALUE!</v>
      </c>
      <c r="F980" t="e">
        <f t="shared" ca="1" si="61"/>
        <v>#VALUE!</v>
      </c>
      <c r="G980" t="e">
        <f t="shared" ca="1" si="62"/>
        <v>#VALUE!</v>
      </c>
      <c r="H980" t="e">
        <f t="shared" ca="1" si="63"/>
        <v>#VALUE!</v>
      </c>
      <c r="I980" t="e">
        <f t="shared" ca="1" si="64"/>
        <v>#VALUE!</v>
      </c>
    </row>
    <row r="981" spans="1:9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60"/>
        <v>#VALUE!</v>
      </c>
      <c r="F981" t="e">
        <f t="shared" ca="1" si="61"/>
        <v>#VALUE!</v>
      </c>
      <c r="G981" t="e">
        <f t="shared" ca="1" si="62"/>
        <v>#VALUE!</v>
      </c>
      <c r="H981" t="e">
        <f t="shared" ca="1" si="63"/>
        <v>#VALUE!</v>
      </c>
      <c r="I981" t="e">
        <f t="shared" ca="1" si="64"/>
        <v>#VALUE!</v>
      </c>
    </row>
    <row r="982" spans="1:9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60"/>
        <v>#VALUE!</v>
      </c>
      <c r="F982" t="e">
        <f t="shared" ca="1" si="61"/>
        <v>#VALUE!</v>
      </c>
      <c r="G982" t="e">
        <f t="shared" ca="1" si="62"/>
        <v>#VALUE!</v>
      </c>
      <c r="H982" t="e">
        <f t="shared" ca="1" si="63"/>
        <v>#VALUE!</v>
      </c>
      <c r="I982" t="e">
        <f t="shared" ca="1" si="64"/>
        <v>#VALUE!</v>
      </c>
    </row>
    <row r="983" spans="1:9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60"/>
        <v>#VALUE!</v>
      </c>
      <c r="F983" t="e">
        <f t="shared" ca="1" si="61"/>
        <v>#VALUE!</v>
      </c>
      <c r="G983" t="e">
        <f t="shared" ca="1" si="62"/>
        <v>#VALUE!</v>
      </c>
      <c r="H983" t="e">
        <f t="shared" ca="1" si="63"/>
        <v>#VALUE!</v>
      </c>
      <c r="I983" t="e">
        <f t="shared" ca="1" si="64"/>
        <v>#VALUE!</v>
      </c>
    </row>
    <row r="984" spans="1:9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60"/>
        <v>#VALUE!</v>
      </c>
      <c r="F984" t="e">
        <f t="shared" ca="1" si="61"/>
        <v>#VALUE!</v>
      </c>
      <c r="G984" t="e">
        <f t="shared" ca="1" si="62"/>
        <v>#VALUE!</v>
      </c>
      <c r="H984" t="e">
        <f t="shared" ca="1" si="63"/>
        <v>#VALUE!</v>
      </c>
      <c r="I984" t="e">
        <f t="shared" ca="1" si="64"/>
        <v>#VALUE!</v>
      </c>
    </row>
    <row r="985" spans="1:9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60"/>
        <v>#VALUE!</v>
      </c>
      <c r="F985" t="e">
        <f t="shared" ca="1" si="61"/>
        <v>#VALUE!</v>
      </c>
      <c r="G985" t="e">
        <f t="shared" ca="1" si="62"/>
        <v>#VALUE!</v>
      </c>
      <c r="H985" t="e">
        <f t="shared" ca="1" si="63"/>
        <v>#VALUE!</v>
      </c>
      <c r="I985" t="e">
        <f t="shared" ca="1" si="64"/>
        <v>#VALUE!</v>
      </c>
    </row>
    <row r="986" spans="1:9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60"/>
        <v>#VALUE!</v>
      </c>
      <c r="F986" t="e">
        <f t="shared" ca="1" si="61"/>
        <v>#VALUE!</v>
      </c>
      <c r="G986" t="e">
        <f t="shared" ca="1" si="62"/>
        <v>#VALUE!</v>
      </c>
      <c r="H986" t="e">
        <f t="shared" ca="1" si="63"/>
        <v>#VALUE!</v>
      </c>
      <c r="I986" t="e">
        <f t="shared" ca="1" si="64"/>
        <v>#VALUE!</v>
      </c>
    </row>
    <row r="987" spans="1:9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60"/>
        <v>#VALUE!</v>
      </c>
      <c r="F987" t="e">
        <f t="shared" ca="1" si="61"/>
        <v>#VALUE!</v>
      </c>
      <c r="G987" t="e">
        <f t="shared" ca="1" si="62"/>
        <v>#VALUE!</v>
      </c>
      <c r="H987" t="e">
        <f t="shared" ca="1" si="63"/>
        <v>#VALUE!</v>
      </c>
      <c r="I987" t="e">
        <f t="shared" ca="1" si="64"/>
        <v>#VALUE!</v>
      </c>
    </row>
    <row r="988" spans="1:9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60"/>
        <v>#VALUE!</v>
      </c>
      <c r="F988" t="e">
        <f t="shared" ca="1" si="61"/>
        <v>#VALUE!</v>
      </c>
      <c r="G988" t="e">
        <f t="shared" ca="1" si="62"/>
        <v>#VALUE!</v>
      </c>
      <c r="H988" t="e">
        <f t="shared" ca="1" si="63"/>
        <v>#VALUE!</v>
      </c>
      <c r="I988" t="e">
        <f t="shared" ca="1" si="64"/>
        <v>#VALUE!</v>
      </c>
    </row>
    <row r="989" spans="1:9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60"/>
        <v>#VALUE!</v>
      </c>
      <c r="F989" t="e">
        <f t="shared" ca="1" si="61"/>
        <v>#VALUE!</v>
      </c>
      <c r="G989" t="e">
        <f t="shared" ca="1" si="62"/>
        <v>#VALUE!</v>
      </c>
      <c r="H989" t="e">
        <f t="shared" ca="1" si="63"/>
        <v>#VALUE!</v>
      </c>
      <c r="I989" t="e">
        <f t="shared" ca="1" si="64"/>
        <v>#VALUE!</v>
      </c>
    </row>
    <row r="990" spans="1:9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60"/>
        <v>#VALUE!</v>
      </c>
      <c r="F990" t="e">
        <f t="shared" ca="1" si="61"/>
        <v>#VALUE!</v>
      </c>
      <c r="G990" t="e">
        <f t="shared" ca="1" si="62"/>
        <v>#VALUE!</v>
      </c>
      <c r="H990" t="e">
        <f t="shared" ca="1" si="63"/>
        <v>#VALUE!</v>
      </c>
      <c r="I990" t="e">
        <f t="shared" ca="1" si="64"/>
        <v>#VALUE!</v>
      </c>
    </row>
    <row r="991" spans="1:9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60"/>
        <v>#VALUE!</v>
      </c>
      <c r="F991" t="e">
        <f t="shared" ca="1" si="61"/>
        <v>#VALUE!</v>
      </c>
      <c r="G991" t="e">
        <f t="shared" ca="1" si="62"/>
        <v>#VALUE!</v>
      </c>
      <c r="H991" t="e">
        <f t="shared" ca="1" si="63"/>
        <v>#VALUE!</v>
      </c>
      <c r="I991" t="e">
        <f t="shared" ca="1" si="64"/>
        <v>#VALUE!</v>
      </c>
    </row>
    <row r="992" spans="1:9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60"/>
        <v>#VALUE!</v>
      </c>
      <c r="F992" t="e">
        <f t="shared" ca="1" si="61"/>
        <v>#VALUE!</v>
      </c>
      <c r="G992" t="e">
        <f t="shared" ca="1" si="62"/>
        <v>#VALUE!</v>
      </c>
      <c r="H992" t="e">
        <f t="shared" ca="1" si="63"/>
        <v>#VALUE!</v>
      </c>
      <c r="I992" t="e">
        <f t="shared" ca="1" si="64"/>
        <v>#VALUE!</v>
      </c>
    </row>
    <row r="993" spans="1:9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60"/>
        <v>#VALUE!</v>
      </c>
      <c r="F993" t="e">
        <f t="shared" ca="1" si="61"/>
        <v>#VALUE!</v>
      </c>
      <c r="G993" t="e">
        <f t="shared" ca="1" si="62"/>
        <v>#VALUE!</v>
      </c>
      <c r="H993" t="e">
        <f t="shared" ca="1" si="63"/>
        <v>#VALUE!</v>
      </c>
      <c r="I993" t="e">
        <f t="shared" ca="1" si="64"/>
        <v>#VALUE!</v>
      </c>
    </row>
    <row r="994" spans="1:9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60"/>
        <v>#VALUE!</v>
      </c>
      <c r="F994" t="e">
        <f t="shared" ca="1" si="61"/>
        <v>#VALUE!</v>
      </c>
      <c r="G994" t="e">
        <f t="shared" ca="1" si="62"/>
        <v>#VALUE!</v>
      </c>
      <c r="H994" t="e">
        <f t="shared" ca="1" si="63"/>
        <v>#VALUE!</v>
      </c>
      <c r="I994" t="e">
        <f t="shared" ca="1" si="64"/>
        <v>#VALUE!</v>
      </c>
    </row>
    <row r="995" spans="1:9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60"/>
        <v>#VALUE!</v>
      </c>
      <c r="F995" t="e">
        <f t="shared" ca="1" si="61"/>
        <v>#VALUE!</v>
      </c>
      <c r="G995" t="e">
        <f t="shared" ca="1" si="62"/>
        <v>#VALUE!</v>
      </c>
      <c r="H995" t="e">
        <f t="shared" ca="1" si="63"/>
        <v>#VALUE!</v>
      </c>
      <c r="I995" t="e">
        <f t="shared" ca="1" si="64"/>
        <v>#VALUE!</v>
      </c>
    </row>
    <row r="996" spans="1:9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60"/>
        <v>#VALUE!</v>
      </c>
      <c r="F996" t="e">
        <f t="shared" ca="1" si="61"/>
        <v>#VALUE!</v>
      </c>
      <c r="G996" t="e">
        <f t="shared" ca="1" si="62"/>
        <v>#VALUE!</v>
      </c>
      <c r="H996" t="e">
        <f t="shared" ca="1" si="63"/>
        <v>#VALUE!</v>
      </c>
      <c r="I996" t="e">
        <f t="shared" ca="1" si="64"/>
        <v>#VALUE!</v>
      </c>
    </row>
    <row r="997" spans="1:9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60"/>
        <v>#VALUE!</v>
      </c>
      <c r="F997" t="e">
        <f t="shared" ca="1" si="61"/>
        <v>#VALUE!</v>
      </c>
      <c r="G997" t="e">
        <f t="shared" ca="1" si="62"/>
        <v>#VALUE!</v>
      </c>
      <c r="H997" t="e">
        <f t="shared" ca="1" si="63"/>
        <v>#VALUE!</v>
      </c>
      <c r="I997" t="e">
        <f t="shared" ca="1" si="64"/>
        <v>#VALUE!</v>
      </c>
    </row>
    <row r="998" spans="1:9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60"/>
        <v>#VALUE!</v>
      </c>
      <c r="F998" t="e">
        <f t="shared" ca="1" si="61"/>
        <v>#VALUE!</v>
      </c>
      <c r="G998" t="e">
        <f t="shared" ca="1" si="62"/>
        <v>#VALUE!</v>
      </c>
      <c r="H998" t="e">
        <f t="shared" ca="1" si="63"/>
        <v>#VALUE!</v>
      </c>
      <c r="I998" t="e">
        <f t="shared" ca="1" si="64"/>
        <v>#VALUE!</v>
      </c>
    </row>
    <row r="999" spans="1:9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60"/>
        <v>#VALUE!</v>
      </c>
      <c r="F999" t="e">
        <f t="shared" ca="1" si="61"/>
        <v>#VALUE!</v>
      </c>
      <c r="G999" t="e">
        <f t="shared" ca="1" si="62"/>
        <v>#VALUE!</v>
      </c>
      <c r="H999" t="e">
        <f t="shared" ca="1" si="63"/>
        <v>#VALUE!</v>
      </c>
      <c r="I999" t="e">
        <f t="shared" ca="1" si="64"/>
        <v>#VALUE!</v>
      </c>
    </row>
    <row r="1000" spans="1:9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60"/>
        <v>#VALUE!</v>
      </c>
      <c r="F1000" t="e">
        <f t="shared" ca="1" si="61"/>
        <v>#VALUE!</v>
      </c>
      <c r="G1000" t="e">
        <f t="shared" ca="1" si="62"/>
        <v>#VALUE!</v>
      </c>
      <c r="H1000" t="e">
        <f t="shared" ca="1" si="63"/>
        <v>#VALUE!</v>
      </c>
      <c r="I1000" t="e">
        <f t="shared" ca="1" si="64"/>
        <v>#VALUE!</v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2" sqref="A2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137</v>
      </c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3"/>
  <sheetViews>
    <sheetView zoomScale="85" workbookViewId="0">
      <selection activeCell="E3" sqref="E3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106</v>
      </c>
      <c r="C1" s="3" t="s">
        <v>58</v>
      </c>
      <c r="D1" s="11" t="s">
        <v>57</v>
      </c>
      <c r="E1" s="11" t="s">
        <v>113</v>
      </c>
      <c r="F1" s="11" t="s">
        <v>114</v>
      </c>
      <c r="G1" s="3" t="s">
        <v>101</v>
      </c>
    </row>
    <row r="2" spans="1:7" x14ac:dyDescent="0.25">
      <c r="A2" s="7" t="s">
        <v>139</v>
      </c>
      <c r="B2" t="s">
        <v>145</v>
      </c>
      <c r="D2" t="s">
        <v>125</v>
      </c>
    </row>
    <row r="3" spans="1:7" x14ac:dyDescent="0.25">
      <c r="A3" s="7" t="s">
        <v>140</v>
      </c>
      <c r="B3" t="s">
        <v>138</v>
      </c>
      <c r="D3" t="s">
        <v>125</v>
      </c>
      <c r="E3" t="s">
        <v>135</v>
      </c>
    </row>
    <row r="4" spans="1:7" x14ac:dyDescent="0.25">
      <c r="A4" s="7" t="s">
        <v>141</v>
      </c>
      <c r="B4" t="s">
        <v>146</v>
      </c>
      <c r="D4" t="s">
        <v>125</v>
      </c>
      <c r="E4" t="s">
        <v>150</v>
      </c>
    </row>
    <row r="5" spans="1:7" x14ac:dyDescent="0.25">
      <c r="A5" s="7" t="s">
        <v>142</v>
      </c>
      <c r="B5" t="s">
        <v>147</v>
      </c>
      <c r="D5" t="s">
        <v>126</v>
      </c>
    </row>
    <row r="6" spans="1:7" x14ac:dyDescent="0.25">
      <c r="A6" s="7" t="s">
        <v>143</v>
      </c>
      <c r="B6" t="s">
        <v>148</v>
      </c>
      <c r="D6" t="s">
        <v>126</v>
      </c>
      <c r="F6" t="s">
        <v>131</v>
      </c>
    </row>
    <row r="7" spans="1:7" x14ac:dyDescent="0.25">
      <c r="A7" s="7" t="s">
        <v>144</v>
      </c>
      <c r="B7" t="s">
        <v>149</v>
      </c>
      <c r="D7" t="s">
        <v>126</v>
      </c>
    </row>
    <row r="8" spans="1:7" x14ac:dyDescent="0.25">
      <c r="A8" s="7"/>
    </row>
    <row r="9" spans="1:7" x14ac:dyDescent="0.25">
      <c r="A9" s="7"/>
    </row>
    <row r="10" spans="1:7" x14ac:dyDescent="0.25">
      <c r="A10" s="7"/>
      <c r="E10" s="7"/>
    </row>
    <row r="11" spans="1:7" x14ac:dyDescent="0.25">
      <c r="A11" s="7"/>
      <c r="G11" s="18"/>
    </row>
    <row r="12" spans="1:7" x14ac:dyDescent="0.25">
      <c r="A12" s="7"/>
    </row>
    <row r="13" spans="1:7" x14ac:dyDescent="0.25">
      <c r="A13" s="7"/>
    </row>
    <row r="15" spans="1:7" x14ac:dyDescent="0.25">
      <c r="G15" s="18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18 D2" xr:uid="{5B779631-F65A-4E26-80AB-CC3ECF10AD8A}">
      <formula1>system_names</formula1>
    </dataValidation>
    <dataValidation type="list" allowBlank="1" showInputMessage="1" showErrorMessage="1" sqref="C18:C21 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19:D1048576 D3:D17" xr:uid="{B65ECC6E-9A0B-466E-BF54-55971BA9C27C}">
      <formula1>system_names</formula1>
    </dataValidation>
    <dataValidation type="list" showInputMessage="1" showErrorMessage="1" sqref="E11:E13 E8:E9 E15:F1048576 F8:F13 E2:F7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C13 C15:C17 C24:C1048576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5"/>
  <sheetViews>
    <sheetView workbookViewId="0">
      <selection activeCell="E3" sqref="E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106</v>
      </c>
      <c r="D1" s="11" t="s">
        <v>57</v>
      </c>
      <c r="E1" s="11" t="s">
        <v>113</v>
      </c>
      <c r="F1" s="11" t="s">
        <v>114</v>
      </c>
      <c r="G1" s="3" t="s">
        <v>101</v>
      </c>
    </row>
    <row r="2" spans="1:7" x14ac:dyDescent="0.25">
      <c r="A2" s="7" t="s">
        <v>154</v>
      </c>
      <c r="C2" t="s">
        <v>152</v>
      </c>
      <c r="D2" t="s">
        <v>125</v>
      </c>
      <c r="E2" t="s">
        <v>139</v>
      </c>
    </row>
    <row r="3" spans="1:7" x14ac:dyDescent="0.25">
      <c r="A3" s="19" t="s">
        <v>155</v>
      </c>
      <c r="C3" t="s">
        <v>153</v>
      </c>
      <c r="D3" t="s">
        <v>125</v>
      </c>
      <c r="E3" t="s">
        <v>97</v>
      </c>
    </row>
    <row r="4" spans="1:7" x14ac:dyDescent="0.25">
      <c r="A4" s="7"/>
    </row>
    <row r="5" spans="1:7" x14ac:dyDescent="0.25">
      <c r="A5" s="19"/>
    </row>
  </sheetData>
  <dataValidations count="6">
    <dataValidation type="list" showInputMessage="1" showErrorMessage="1" sqref="B15:B1048576 B5 B3" xr:uid="{2328B123-682F-4B3C-AE64-CDC150D0618A}">
      <formula1>space_names</formula1>
    </dataValidation>
    <dataValidation type="custom" allowBlank="1" showInputMessage="1" showErrorMessage="1" sqref="A12:B12 A6:B10" xr:uid="{0603C56D-C1C2-4D3B-A383-CA37F5EAC2A6}">
      <formula1>count_name_occurences(A6)&lt;=1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4 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C3" sqref="C3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113</v>
      </c>
      <c r="C1" s="11" t="s">
        <v>114</v>
      </c>
    </row>
    <row r="2" spans="1:3" x14ac:dyDescent="0.25">
      <c r="A2" s="1" t="s">
        <v>122</v>
      </c>
    </row>
    <row r="3" spans="1:3" x14ac:dyDescent="0.25">
      <c r="A3" s="1" t="s">
        <v>123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0"/>
  <sheetViews>
    <sheetView workbookViewId="0">
      <selection activeCell="C27" sqref="C27"/>
    </sheetView>
  </sheetViews>
  <sheetFormatPr defaultColWidth="8.85546875" defaultRowHeight="15" x14ac:dyDescent="0.25"/>
  <cols>
    <col min="1" max="1" width="49.5703125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147</v>
      </c>
      <c r="B2" t="s">
        <v>61</v>
      </c>
    </row>
    <row r="3" spans="1:2" x14ac:dyDescent="0.25">
      <c r="A3" s="7" t="s">
        <v>138</v>
      </c>
      <c r="B3" s="7" t="s">
        <v>60</v>
      </c>
    </row>
    <row r="4" spans="1:2" x14ac:dyDescent="0.25">
      <c r="A4" s="7" t="s">
        <v>145</v>
      </c>
      <c r="B4" s="7" t="s">
        <v>60</v>
      </c>
    </row>
    <row r="5" spans="1:2" x14ac:dyDescent="0.25">
      <c r="A5" s="7" t="s">
        <v>148</v>
      </c>
      <c r="B5" s="7" t="s">
        <v>60</v>
      </c>
    </row>
    <row r="6" spans="1:2" x14ac:dyDescent="0.25">
      <c r="A6" s="7" t="s">
        <v>146</v>
      </c>
      <c r="B6" t="s">
        <v>60</v>
      </c>
    </row>
    <row r="7" spans="1:2" x14ac:dyDescent="0.25">
      <c r="A7" s="7" t="s">
        <v>151</v>
      </c>
      <c r="B7" t="s">
        <v>60</v>
      </c>
    </row>
    <row r="8" spans="1:2" x14ac:dyDescent="0.25">
      <c r="A8" s="7" t="s">
        <v>152</v>
      </c>
      <c r="B8" t="s">
        <v>129</v>
      </c>
    </row>
    <row r="9" spans="1:2" x14ac:dyDescent="0.25">
      <c r="A9" s="7" t="s">
        <v>153</v>
      </c>
      <c r="B9" t="s">
        <v>71</v>
      </c>
    </row>
    <row r="10" spans="1:2" x14ac:dyDescent="0.25">
      <c r="A10" s="7" t="s">
        <v>149</v>
      </c>
      <c r="B10" t="s">
        <v>60</v>
      </c>
    </row>
    <row r="11" spans="1:2" x14ac:dyDescent="0.25">
      <c r="A11" s="7"/>
    </row>
    <row r="12" spans="1:2" x14ac:dyDescent="0.25">
      <c r="A12" s="7"/>
    </row>
    <row r="13" spans="1:2" x14ac:dyDescent="0.25">
      <c r="A13" s="7"/>
    </row>
    <row r="14" spans="1:2" x14ac:dyDescent="0.25">
      <c r="A14" s="7"/>
    </row>
    <row r="15" spans="1:2" x14ac:dyDescent="0.25">
      <c r="A15" s="7"/>
    </row>
    <row r="16" spans="1:2" x14ac:dyDescent="0.25">
      <c r="A16" s="7"/>
    </row>
    <row r="17" spans="1:1" x14ac:dyDescent="0.25">
      <c r="A17" s="7"/>
    </row>
    <row r="18" spans="1:1" x14ac:dyDescent="0.25">
      <c r="A18" s="7"/>
    </row>
    <row r="42" spans="1:2" x14ac:dyDescent="0.25">
      <c r="A42" s="7"/>
    </row>
    <row r="43" spans="1:2" x14ac:dyDescent="0.25">
      <c r="A43" s="7"/>
      <c r="B43" s="7"/>
    </row>
    <row r="44" spans="1:2" x14ac:dyDescent="0.25">
      <c r="A44" s="7"/>
      <c r="B44" s="7"/>
    </row>
    <row r="45" spans="1:2" x14ac:dyDescent="0.25">
      <c r="A45" s="7"/>
      <c r="B45" s="7"/>
    </row>
    <row r="46" spans="1:2" x14ac:dyDescent="0.25">
      <c r="A46" s="7"/>
    </row>
    <row r="47" spans="1:2" x14ac:dyDescent="0.25">
      <c r="A47" s="7"/>
    </row>
    <row r="48" spans="1:2" x14ac:dyDescent="0.25">
      <c r="A48" s="7"/>
    </row>
    <row r="49" spans="1:1" x14ac:dyDescent="0.25">
      <c r="A49" s="7"/>
    </row>
    <row r="50" spans="1:1" x14ac:dyDescent="0.25">
      <c r="A50" s="7"/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39:A40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U1000"/>
  <sheetViews>
    <sheetView topLeftCell="Y1" workbookViewId="0">
      <selection activeCell="AH2" sqref="AH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20.85546875" customWidth="1"/>
    <col min="47" max="47" width="15.28515625" customWidth="1"/>
  </cols>
  <sheetData>
    <row r="1" spans="1:47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90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90</v>
      </c>
      <c r="AE1" s="16" t="s">
        <v>91</v>
      </c>
      <c r="AF1" s="16" t="s">
        <v>92</v>
      </c>
      <c r="AG1" s="16" t="s">
        <v>93</v>
      </c>
      <c r="AH1" s="16" t="s">
        <v>94</v>
      </c>
      <c r="AI1" s="16" t="s">
        <v>95</v>
      </c>
      <c r="AJ1" s="16" t="s">
        <v>96</v>
      </c>
      <c r="AK1" s="16" t="s">
        <v>97</v>
      </c>
      <c r="AL1" s="16" t="s">
        <v>98</v>
      </c>
      <c r="AM1" s="16" t="s">
        <v>99</v>
      </c>
      <c r="AN1" s="16" t="s">
        <v>100</v>
      </c>
      <c r="AO1" s="16" t="s">
        <v>110</v>
      </c>
      <c r="AP1" s="16" t="s">
        <v>117</v>
      </c>
      <c r="AQ1" s="16" t="s">
        <v>118</v>
      </c>
      <c r="AR1" s="16" t="s">
        <v>119</v>
      </c>
      <c r="AS1" s="16" t="s">
        <v>120</v>
      </c>
      <c r="AT1" s="16" t="s">
        <v>124</v>
      </c>
      <c r="AU1" s="16" t="s">
        <v>128</v>
      </c>
    </row>
    <row r="2" spans="1:47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20" ca="1">_xlfn._xlws.FILTER(IF(COUNTA($AB:$AB)&gt;1,OFFSET($AB$2, 0, 0, COUNTA($AB:$AB)-1, 1),""), IF(COUNTA($AB:$AB)&gt;1,OFFSET($AB$2, 0, 0, COUNTA($AB:$AB)-1, 1),"") &lt;&gt;"")</f>
        <v>heating_coil_valve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INDEX($AE$2:$AU$40,MOD(ROW()-ROW($AE$2),ROWS($AE$2:$AU$40))+1,INT((ROW()-ROW($AE$2))/ROWS($AE$2:$AU$40))+1)</f>
        <v/>
      </c>
      <c r="AA2">
        <f ca="1">MATCH("*",Z2:Z40,0)+ROW()-1</f>
        <v>2</v>
      </c>
      <c r="AB2" t="str" cm="1">
        <f t="array" aca="1" ref="AB2" ca="1">IFERROR(INDIRECT("$Z"&amp;AA2),"")</f>
        <v/>
      </c>
      <c r="AE2" t="str" cm="1">
        <f t="array" aca="1" ref="AE2" ca="1">space_names</f>
        <v/>
      </c>
      <c r="AF2" t="str" cm="1">
        <f t="array" aca="1" ref="AF2" ca="1">damper_names</f>
        <v/>
      </c>
      <c r="AG2" t="str" cm="1">
        <f t="array" aca="1" ref="AG2" ca="1">space_heater_names</f>
        <v/>
      </c>
      <c r="AH2" t="str" cm="1">
        <f t="array" aca="1" ref="AH2:AH3" ca="1">valve_names</f>
        <v>heating_coil_valve</v>
      </c>
      <c r="AI2" t="str" cm="1">
        <f t="array" aca="1" ref="AI2" ca="1">coil_names</f>
        <v>heating_coil</v>
      </c>
      <c r="AJ2" t="str" cm="1">
        <f t="array" aca="1" ref="AJ2" ca="1">air_to_air_heat_recovery_names</f>
        <v/>
      </c>
      <c r="AK2" t="str" cm="1">
        <f t="array" aca="1" ref="AK2" ca="1">fan_names</f>
        <v>fan</v>
      </c>
      <c r="AL2" t="str" cm="1">
        <f t="array" aca="1" ref="AL2" ca="1">controller_names</f>
        <v>heating_coil_controller</v>
      </c>
      <c r="AM2" t="str" cm="1">
        <f t="array" aca="1" ref="AM2:AM7" ca="1">sensor_names</f>
        <v>fan_inlet_air_temperature_sensor</v>
      </c>
      <c r="AN2" t="str" cm="1">
        <f t="array" aca="1" ref="AN2:AN3" ca="1">meter_names</f>
        <v>fan_flow_meter</v>
      </c>
      <c r="AO2" t="s">
        <v>111</v>
      </c>
      <c r="AP2" t="str">
        <f ca="1">IF(AI2&lt;&gt;"", _xlfn.CONCAT(AI2, " (airside)"), "")</f>
        <v>heating_coil (airside)</v>
      </c>
      <c r="AQ2" t="str">
        <f ca="1">IF(AI2&lt;&gt;"", _xlfn.CONCAT(AI2, " (waterside)"), "")</f>
        <v>heating_coil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  <c r="AU2" t="str" cm="1">
        <f t="array" aca="1" ref="AU2" ca="1">pump_names</f>
        <v>heating_coil_pump</v>
      </c>
    </row>
    <row r="3" spans="1:47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heating_coil_check_valve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cm="1">
        <f t="array" ref="Z3">INDEX($AE$2:$AU$40,MOD(ROW()-ROW($AE$2),ROWS($AE$2:$AU$40))+1,INT((ROW()-ROW($AE$2))/ROWS($AE$2:$AU$40))+1)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/>
      </c>
      <c r="AH3" t="str">
        <f ca="1"/>
        <v>heating_coil_check_valve</v>
      </c>
      <c r="AM3" t="str">
        <f ca="1"/>
        <v>coil_outlet_air_temperature_sensor</v>
      </c>
      <c r="AN3" t="str">
        <f ca="1"/>
        <v>fan_power_meter</v>
      </c>
      <c r="AP3" t="str">
        <f t="shared" ref="AP3:AP66" si="0">IF(AI3&lt;&gt;"", _xlfn.CONCAT(AI3, " (airside)"), "")</f>
        <v/>
      </c>
      <c r="AQ3" t="str">
        <f t="shared" ref="AQ3:AQ66" si="1">IF(AI3&lt;&gt;"", _xlfn.CONCAT(AI3, " (waterside)"), "")</f>
        <v/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7" x14ac:dyDescent="0.25">
      <c r="A4" t="s">
        <v>68</v>
      </c>
      <c r="E4" t="str">
        <f ca="1"/>
        <v>COOL</v>
      </c>
      <c r="F4" t="str">
        <f ca="1"/>
        <v/>
      </c>
      <c r="G4" t="str">
        <f ca="1"/>
        <v>heating_coil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INDEX($AE$2:$AU$40,MOD(ROW()-ROW($AE$2),ROWS($AE$2:$AU$40))+1,INT((ROW()-ROW($AE$2))/ROWS($AE$2:$AU$40))+1)</f>
        <v>0</v>
      </c>
      <c r="AA4">
        <f t="shared" ref="AA4:AA67" ca="1" si="6">MATCH("*",INDIRECT(ADDRESS(AA3+1,26,1)&amp;":$Z$1000"),0)+AA3</f>
        <v>80</v>
      </c>
      <c r="AB4" t="str" cm="1">
        <f t="array" aca="1" ref="AB4" ca="1">IFERROR(INDIRECT("$Z"&amp;AA4),"")</f>
        <v/>
      </c>
      <c r="AM4" t="str">
        <f ca="1"/>
        <v>coil_inlet_water_temperature_sensor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7" x14ac:dyDescent="0.25">
      <c r="A5" t="s">
        <v>70</v>
      </c>
      <c r="E5" t="str">
        <f ca="1"/>
        <v/>
      </c>
      <c r="F5" t="str">
        <f ca="1"/>
        <v/>
      </c>
      <c r="G5" t="str">
        <f ca="1"/>
        <v>fan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INDEX($AE$2:$AU$40,MOD(ROW()-ROW($AE$2),ROWS($AE$2:$AU$40))+1,INT((ROW()-ROW($AE$2))/ROWS($AE$2:$AU$40))+1)</f>
        <v>0</v>
      </c>
      <c r="AA5">
        <f t="shared" ca="1" si="6"/>
        <v>119</v>
      </c>
      <c r="AB5" t="str" cm="1">
        <f t="array" aca="1" ref="AB5" ca="1">IFERROR(INDIRECT("$Z"&amp;AA5),"")</f>
        <v>heating_coil_valve</v>
      </c>
      <c r="AM5" t="str">
        <f ca="1"/>
        <v>heating_coil_valve_position_sensor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7" x14ac:dyDescent="0.25">
      <c r="A6" t="s">
        <v>71</v>
      </c>
      <c r="E6" t="str">
        <f ca="1"/>
        <v/>
      </c>
      <c r="F6" t="str">
        <f ca="1"/>
        <v/>
      </c>
      <c r="G6" t="str">
        <f ca="1"/>
        <v>heating_coil_controller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INDEX($AE$2:$AU$40,MOD(ROW()-ROW($AE$2),ROWS($AE$2:$AU$40))+1,INT((ROW()-ROW($AE$2))/ROWS($AE$2:$AU$40))+1)</f>
        <v>0</v>
      </c>
      <c r="AA6">
        <f t="shared" ca="1" si="6"/>
        <v>120</v>
      </c>
      <c r="AB6" t="str" cm="1">
        <f t="array" aca="1" ref="AB6" ca="1">IFERROR(INDIRECT("$Z"&amp;AA6),"")</f>
        <v>heating_coil_check_valve</v>
      </c>
      <c r="AM6" t="str">
        <f ca="1"/>
        <v>coil_outlet_water_temperature_sensor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7" x14ac:dyDescent="0.25">
      <c r="A7" t="s">
        <v>72</v>
      </c>
      <c r="E7" t="str">
        <f ca="1"/>
        <v/>
      </c>
      <c r="F7" t="str">
        <f ca="1"/>
        <v/>
      </c>
      <c r="G7" t="str">
        <f ca="1"/>
        <v>fan_inlet_air_temperature_sensor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INDEX($AE$2:$AU$40,MOD(ROW()-ROW($AE$2),ROWS($AE$2:$AU$40))+1,INT((ROW()-ROW($AE$2))/ROWS($AE$2:$AU$40))+1)</f>
        <v>0</v>
      </c>
      <c r="AA7">
        <f t="shared" ca="1" si="6"/>
        <v>158</v>
      </c>
      <c r="AB7" t="str" cm="1">
        <f t="array" aca="1" ref="AB7" ca="1">IFERROR(INDIRECT("$Z"&amp;AA7),"")</f>
        <v>heating_coil</v>
      </c>
      <c r="AM7" t="str">
        <f ca="1"/>
        <v>supply_water_temperature_sensor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7" x14ac:dyDescent="0.25">
      <c r="A8" t="s">
        <v>64</v>
      </c>
      <c r="E8" t="str">
        <f ca="1"/>
        <v/>
      </c>
      <c r="F8" t="str">
        <f ca="1"/>
        <v/>
      </c>
      <c r="G8" t="str">
        <f ca="1"/>
        <v>coil_outlet_air_temperature_sensor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INDEX($AE$2:$AU$40,MOD(ROW()-ROW($AE$2),ROWS($AE$2:$AU$40))+1,INT((ROW()-ROW($AE$2))/ROWS($AE$2:$AU$40))+1)</f>
        <v>0</v>
      </c>
      <c r="AA8">
        <f t="shared" ca="1" si="6"/>
        <v>197</v>
      </c>
      <c r="AB8" t="str" cm="1">
        <f t="array" aca="1" ref="AB8" ca="1">IFERROR(INDIRECT("$Z"&amp;AA8),"")</f>
        <v/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7" x14ac:dyDescent="0.25">
      <c r="A9" t="s">
        <v>67</v>
      </c>
      <c r="E9" t="str">
        <f ca="1"/>
        <v/>
      </c>
      <c r="F9" t="str">
        <f ca="1"/>
        <v/>
      </c>
      <c r="G9" t="str">
        <f ca="1"/>
        <v>coil_inlet_water_temperature_sensor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INDEX($AE$2:$AU$40,MOD(ROW()-ROW($AE$2),ROWS($AE$2:$AU$40))+1,INT((ROW()-ROW($AE$2))/ROWS($AE$2:$AU$40))+1)</f>
        <v>0</v>
      </c>
      <c r="AA9">
        <f t="shared" ca="1" si="6"/>
        <v>236</v>
      </c>
      <c r="AB9" t="str" cm="1">
        <f t="array" aca="1" ref="AB9" ca="1">IFERROR(INDIRECT("$Z"&amp;AA9),"")</f>
        <v>fan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7" x14ac:dyDescent="0.25">
      <c r="A10" t="s">
        <v>66</v>
      </c>
      <c r="E10" t="str">
        <f ca="1"/>
        <v/>
      </c>
      <c r="F10" t="str">
        <f ca="1"/>
        <v/>
      </c>
      <c r="G10" t="str">
        <f ca="1"/>
        <v>heating_coil_valve_position_sensor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INDEX($AE$2:$AU$40,MOD(ROW()-ROW($AE$2),ROWS($AE$2:$AU$40))+1,INT((ROW()-ROW($AE$2))/ROWS($AE$2:$AU$40))+1)</f>
        <v>0</v>
      </c>
      <c r="AA10">
        <f t="shared" ca="1" si="6"/>
        <v>275</v>
      </c>
      <c r="AB10" t="str" cm="1">
        <f t="array" aca="1" ref="AB10" ca="1">IFERROR(INDIRECT("$Z"&amp;AA10),"")</f>
        <v>heating_coil_controller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7" x14ac:dyDescent="0.25">
      <c r="A11" t="s">
        <v>63</v>
      </c>
      <c r="E11" t="str">
        <f ca="1"/>
        <v/>
      </c>
      <c r="F11" t="str">
        <f ca="1"/>
        <v/>
      </c>
      <c r="G11" t="str">
        <f ca="1"/>
        <v>coil_outlet_water_temperature_sensor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INDEX($AE$2:$AU$40,MOD(ROW()-ROW($AE$2),ROWS($AE$2:$AU$40))+1,INT((ROW()-ROW($AE$2))/ROWS($AE$2:$AU$40))+1)</f>
        <v>0</v>
      </c>
      <c r="AA11">
        <f t="shared" ca="1" si="6"/>
        <v>314</v>
      </c>
      <c r="AB11" t="str" cm="1">
        <f t="array" aca="1" ref="AB11" ca="1">IFERROR(INDIRECT("$Z"&amp;AA11),"")</f>
        <v>fan_inlet_air_temperature_sensor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7" x14ac:dyDescent="0.25">
      <c r="A12" t="s">
        <v>65</v>
      </c>
      <c r="E12" t="str">
        <f ca="1"/>
        <v/>
      </c>
      <c r="F12" t="str">
        <f ca="1"/>
        <v/>
      </c>
      <c r="G12" t="str">
        <f ca="1"/>
        <v>supply_water_temperature_sensor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INDEX($AE$2:$AU$40,MOD(ROW()-ROW($AE$2),ROWS($AE$2:$AU$40))+1,INT((ROW()-ROW($AE$2))/ROWS($AE$2:$AU$40))+1)</f>
        <v>0</v>
      </c>
      <c r="AA12">
        <f t="shared" ca="1" si="6"/>
        <v>315</v>
      </c>
      <c r="AB12" t="str" cm="1">
        <f t="array" aca="1" ref="AB12" ca="1">IFERROR(INDIRECT("$Z"&amp;AA12),"")</f>
        <v>coil_outlet_air_temperature_sensor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7" x14ac:dyDescent="0.25">
      <c r="A13" t="s">
        <v>84</v>
      </c>
      <c r="E13" t="str">
        <f ca="1"/>
        <v/>
      </c>
      <c r="F13" t="str">
        <f ca="1"/>
        <v/>
      </c>
      <c r="G13" t="str">
        <f ca="1"/>
        <v>fan_flow_meter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INDEX($AE$2:$AU$40,MOD(ROW()-ROW($AE$2),ROWS($AE$2:$AU$40))+1,INT((ROW()-ROW($AE$2))/ROWS($AE$2:$AU$40))+1)</f>
        <v>0</v>
      </c>
      <c r="AA13">
        <f t="shared" ca="1" si="6"/>
        <v>316</v>
      </c>
      <c r="AB13" t="str" cm="1">
        <f t="array" aca="1" ref="AB13" ca="1">IFERROR(INDIRECT("$Z"&amp;AA13),"")</f>
        <v>coil_inlet_water_temperature_sensor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7" x14ac:dyDescent="0.25">
      <c r="A14" t="s">
        <v>61</v>
      </c>
      <c r="E14" t="str">
        <f ca="1"/>
        <v/>
      </c>
      <c r="F14" t="str">
        <f ca="1"/>
        <v/>
      </c>
      <c r="G14" t="str">
        <f ca="1"/>
        <v>fan_power_meter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INDEX($AE$2:$AU$40,MOD(ROW()-ROW($AE$2),ROWS($AE$2:$AU$40))+1,INT((ROW()-ROW($AE$2))/ROWS($AE$2:$AU$40))+1)</f>
        <v>0</v>
      </c>
      <c r="AA14">
        <f t="shared" ca="1" si="6"/>
        <v>317</v>
      </c>
      <c r="AB14" t="str" cm="1">
        <f t="array" aca="1" ref="AB14" ca="1">IFERROR(INDIRECT("$Z"&amp;AA14),"")</f>
        <v>heating_coil_valve_position_sensor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7" x14ac:dyDescent="0.25">
      <c r="E15" t="str">
        <f ca="1"/>
        <v/>
      </c>
      <c r="F15" t="str">
        <f ca="1"/>
        <v/>
      </c>
      <c r="G15" t="str">
        <f ca="1"/>
        <v>outdoor_environment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INDEX($AE$2:$AU$40,MOD(ROW()-ROW($AE$2),ROWS($AE$2:$AU$40))+1,INT((ROW()-ROW($AE$2))/ROWS($AE$2:$AU$40))+1)</f>
        <v>0</v>
      </c>
      <c r="AA15">
        <f t="shared" ca="1" si="6"/>
        <v>318</v>
      </c>
      <c r="AB15" t="str" cm="1">
        <f t="array" aca="1" ref="AB15" ca="1">IFERROR(INDIRECT("$Z"&amp;AA15),"")</f>
        <v>coil_outlet_water_temperature_sensor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7" x14ac:dyDescent="0.25">
      <c r="E16" t="str">
        <f ca="1"/>
        <v/>
      </c>
      <c r="F16" t="str">
        <f ca="1"/>
        <v/>
      </c>
      <c r="G16" t="str">
        <f ca="1"/>
        <v>heating_coil (airside)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INDEX($AE$2:$AU$40,MOD(ROW()-ROW($AE$2),ROWS($AE$2:$AU$40))+1,INT((ROW()-ROW($AE$2))/ROWS($AE$2:$AU$40))+1)</f>
        <v>0</v>
      </c>
      <c r="AA16">
        <f t="shared" ca="1" si="6"/>
        <v>319</v>
      </c>
      <c r="AB16" t="str" cm="1">
        <f t="array" aca="1" ref="AB16" ca="1">IFERROR(INDIRECT("$Z"&amp;AA16),"")</f>
        <v>supply_water_temperature_sensor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heating_coil (waterside)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INDEX($AE$2:$AU$40,MOD(ROW()-ROW($AE$2),ROWS($AE$2:$AU$40))+1,INT((ROW()-ROW($AE$2))/ROWS($AE$2:$AU$40))+1)</f>
        <v>0</v>
      </c>
      <c r="AA17">
        <f t="shared" ca="1" si="6"/>
        <v>353</v>
      </c>
      <c r="AB17" t="str" cm="1">
        <f t="array" aca="1" ref="AB17" ca="1">IFERROR(INDIRECT("$Z"&amp;AA17),"")</f>
        <v>fan_flow_meter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supply_flow_junction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INDEX($AE$2:$AU$40,MOD(ROW()-ROW($AE$2),ROWS($AE$2:$AU$40))+1,INT((ROW()-ROW($AE$2))/ROWS($AE$2:$AU$40))+1)</f>
        <v>0</v>
      </c>
      <c r="AA18">
        <f t="shared" ca="1" si="6"/>
        <v>354</v>
      </c>
      <c r="AB18" t="str" cm="1">
        <f t="array" aca="1" ref="AB18" ca="1">IFERROR(INDIRECT("$Z"&amp;AA18),"")</f>
        <v>fan_power_meter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exhaust_flow_junction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INDEX($AE$2:$AU$40,MOD(ROW()-ROW($AE$2),ROWS($AE$2:$AU$40))+1,INT((ROW()-ROW($AE$2))/ROWS($AE$2:$AU$40))+1)</f>
        <v>0</v>
      </c>
      <c r="AA19">
        <f t="shared" ca="1" si="6"/>
        <v>392</v>
      </c>
      <c r="AB19" t="str" cm="1">
        <f t="array" aca="1" ref="AB19" ca="1">IFERROR(INDIRECT("$Z"&amp;AA19),"")</f>
        <v>outdoor_environment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heating_coil_pump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INDEX($AE$2:$AU$40,MOD(ROW()-ROW($AE$2),ROWS($AE$2:$AU$40))+1,INT((ROW()-ROW($AE$2))/ROWS($AE$2:$AU$40))+1)</f>
        <v>0</v>
      </c>
      <c r="AA20">
        <f t="shared" ca="1" si="6"/>
        <v>431</v>
      </c>
      <c r="AB20" t="str" cm="1">
        <f t="array" aca="1" ref="AB20" ca="1">IFERROR(INDIRECT("$Z"&amp;AA20),"")</f>
        <v>heating_coil (airside)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INDEX($AE$2:$AU$40,MOD(ROW()-ROW($AE$2),ROWS($AE$2:$AU$40))+1,INT((ROW()-ROW($AE$2))/ROWS($AE$2:$AU$40))+1)</f>
        <v>0</v>
      </c>
      <c r="AA21">
        <f t="shared" ca="1" si="6"/>
        <v>432</v>
      </c>
      <c r="AB21" t="str" cm="1">
        <f t="array" aca="1" ref="AB21" ca="1">IFERROR(INDIRECT("$Z"&amp;AA21),"")</f>
        <v/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INDEX($AE$2:$AU$40,MOD(ROW()-ROW($AE$2),ROWS($AE$2:$AU$40))+1,INT((ROW()-ROW($AE$2))/ROWS($AE$2:$AU$40))+1)</f>
        <v>0</v>
      </c>
      <c r="AA22">
        <f t="shared" ca="1" si="6"/>
        <v>433</v>
      </c>
      <c r="AB22" t="str" cm="1">
        <f t="array" aca="1" ref="AB22" ca="1">IFERROR(INDIRECT("$Z"&amp;AA22),"")</f>
        <v/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INDEX($AE$2:$AU$40,MOD(ROW()-ROW($AE$2),ROWS($AE$2:$AU$40))+1,INT((ROW()-ROW($AE$2))/ROWS($AE$2:$AU$40))+1)</f>
        <v>0</v>
      </c>
      <c r="AA23">
        <f t="shared" ca="1" si="6"/>
        <v>434</v>
      </c>
      <c r="AB23" t="str" cm="1">
        <f t="array" aca="1" ref="AB23" ca="1">IFERROR(INDIRECT("$Z"&amp;AA23),"")</f>
        <v/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INDEX($AE$2:$AU$40,MOD(ROW()-ROW($AE$2),ROWS($AE$2:$AU$40))+1,INT((ROW()-ROW($AE$2))/ROWS($AE$2:$AU$40))+1)</f>
        <v>0</v>
      </c>
      <c r="AA24">
        <f t="shared" ca="1" si="6"/>
        <v>435</v>
      </c>
      <c r="AB24" t="str" cm="1">
        <f t="array" aca="1" ref="AB24" ca="1">IFERROR(INDIRECT("$Z"&amp;AA24),"")</f>
        <v/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INDEX($AE$2:$AU$40,MOD(ROW()-ROW($AE$2),ROWS($AE$2:$AU$40))+1,INT((ROW()-ROW($AE$2))/ROWS($AE$2:$AU$40))+1)</f>
        <v>0</v>
      </c>
      <c r="AA25">
        <f t="shared" ca="1" si="6"/>
        <v>436</v>
      </c>
      <c r="AB25" t="str" cm="1">
        <f t="array" aca="1" ref="AB25" ca="1">IFERROR(INDIRECT("$Z"&amp;AA25),"")</f>
        <v/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INDEX($AE$2:$AU$40,MOD(ROW()-ROW($AE$2),ROWS($AE$2:$AU$40))+1,INT((ROW()-ROW($AE$2))/ROWS($AE$2:$AU$40))+1)</f>
        <v>0</v>
      </c>
      <c r="AA26">
        <f t="shared" ca="1" si="6"/>
        <v>437</v>
      </c>
      <c r="AB26" t="str" cm="1">
        <f t="array" aca="1" ref="AB26" ca="1">IFERROR(INDIRECT("$Z"&amp;AA26),"")</f>
        <v/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INDEX($AE$2:$AU$40,MOD(ROW()-ROW($AE$2),ROWS($AE$2:$AU$40))+1,INT((ROW()-ROW($AE$2))/ROWS($AE$2:$AU$40))+1)</f>
        <v>0</v>
      </c>
      <c r="AA27">
        <f t="shared" ca="1" si="6"/>
        <v>438</v>
      </c>
      <c r="AB27" t="str" cm="1">
        <f t="array" aca="1" ref="AB27" ca="1">IFERROR(INDIRECT("$Z"&amp;AA27),"")</f>
        <v/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INDEX($AE$2:$AU$40,MOD(ROW()-ROW($AE$2),ROWS($AE$2:$AU$40))+1,INT((ROW()-ROW($AE$2))/ROWS($AE$2:$AU$40))+1)</f>
        <v>0</v>
      </c>
      <c r="AA28">
        <f t="shared" ca="1" si="6"/>
        <v>439</v>
      </c>
      <c r="AB28" t="str" cm="1">
        <f t="array" aca="1" ref="AB28" ca="1">IFERROR(INDIRECT("$Z"&amp;AA28),"")</f>
        <v/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INDEX($AE$2:$AU$40,MOD(ROW()-ROW($AE$2),ROWS($AE$2:$AU$40))+1,INT((ROW()-ROW($AE$2))/ROWS($AE$2:$AU$40))+1)</f>
        <v>0</v>
      </c>
      <c r="AA29">
        <f t="shared" ca="1" si="6"/>
        <v>440</v>
      </c>
      <c r="AB29" t="str" cm="1">
        <f t="array" aca="1" ref="AB29" ca="1">IFERROR(INDIRECT("$Z"&amp;AA29),"")</f>
        <v/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INDEX($AE$2:$AU$40,MOD(ROW()-ROW($AE$2),ROWS($AE$2:$AU$40))+1,INT((ROW()-ROW($AE$2))/ROWS($AE$2:$AU$40))+1)</f>
        <v>0</v>
      </c>
      <c r="AA30">
        <f t="shared" ca="1" si="6"/>
        <v>441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INDEX($AE$2:$AU$40,MOD(ROW()-ROW($AE$2),ROWS($AE$2:$AU$40))+1,INT((ROW()-ROW($AE$2))/ROWS($AE$2:$AU$40))+1)</f>
        <v>0</v>
      </c>
      <c r="AA31">
        <f t="shared" ca="1" si="6"/>
        <v>442</v>
      </c>
      <c r="AB31" t="str" cm="1">
        <f t="array" aca="1" ref="AB31" ca="1">IFERROR(INDIRECT("$Z"&amp;AA31),"")</f>
        <v/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INDEX($AE$2:$AU$40,MOD(ROW()-ROW($AE$2),ROWS($AE$2:$AU$40))+1,INT((ROW()-ROW($AE$2))/ROWS($AE$2:$AU$40))+1)</f>
        <v>0</v>
      </c>
      <c r="AA32">
        <f t="shared" ca="1" si="6"/>
        <v>443</v>
      </c>
      <c r="AB32" t="str" cm="1">
        <f t="array" aca="1" ref="AB32" ca="1">IFERROR(INDIRECT("$Z"&amp;AA32),"")</f>
        <v/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INDEX($AE$2:$AU$40,MOD(ROW()-ROW($AE$2),ROWS($AE$2:$AU$40))+1,INT((ROW()-ROW($AE$2))/ROWS($AE$2:$AU$40))+1)</f>
        <v>0</v>
      </c>
      <c r="AA33">
        <f t="shared" ca="1" si="6"/>
        <v>444</v>
      </c>
      <c r="AB33" t="str" cm="1">
        <f t="array" aca="1" ref="AB33" ca="1">IFERROR(INDIRECT("$Z"&amp;AA33),"")</f>
        <v/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INDEX($AE$2:$AU$40,MOD(ROW()-ROW($AE$2),ROWS($AE$2:$AU$40))+1,INT((ROW()-ROW($AE$2))/ROWS($AE$2:$AU$40))+1)</f>
        <v>0</v>
      </c>
      <c r="AA34">
        <f t="shared" ca="1" si="6"/>
        <v>445</v>
      </c>
      <c r="AB34" t="str" cm="1">
        <f t="array" aca="1" ref="AB34" ca="1">IFERROR(INDIRECT("$Z"&amp;AA34),"")</f>
        <v/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INDEX($AE$2:$AU$40,MOD(ROW()-ROW($AE$2),ROWS($AE$2:$AU$40))+1,INT((ROW()-ROW($AE$2))/ROWS($AE$2:$AU$40))+1)</f>
        <v>0</v>
      </c>
      <c r="AA35">
        <f t="shared" ca="1" si="6"/>
        <v>446</v>
      </c>
      <c r="AB35" t="str" cm="1">
        <f t="array" aca="1" ref="AB35" ca="1">IFERROR(INDIRECT("$Z"&amp;AA35),"")</f>
        <v/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INDEX($AE$2:$AU$40,MOD(ROW()-ROW($AE$2),ROWS($AE$2:$AU$40))+1,INT((ROW()-ROW($AE$2))/ROWS($AE$2:$AU$40))+1)</f>
        <v>0</v>
      </c>
      <c r="AA36">
        <f t="shared" ca="1" si="6"/>
        <v>447</v>
      </c>
      <c r="AB36" t="str" cm="1">
        <f t="array" aca="1" ref="AB36" ca="1">IFERROR(INDIRECT("$Z"&amp;AA36),"")</f>
        <v/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INDEX($AE$2:$AU$40,MOD(ROW()-ROW($AE$2),ROWS($AE$2:$AU$40))+1,INT((ROW()-ROW($AE$2))/ROWS($AE$2:$AU$40))+1)</f>
        <v>0</v>
      </c>
      <c r="AA37">
        <f t="shared" ca="1" si="6"/>
        <v>448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INDEX($AE$2:$AU$40,MOD(ROW()-ROW($AE$2),ROWS($AE$2:$AU$40))+1,INT((ROW()-ROW($AE$2))/ROWS($AE$2:$AU$40))+1)</f>
        <v>0</v>
      </c>
      <c r="AA38">
        <f t="shared" ca="1" si="6"/>
        <v>449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INDEX($AE$2:$AU$40,MOD(ROW()-ROW($AE$2),ROWS($AE$2:$AU$40))+1,INT((ROW()-ROW($AE$2))/ROWS($AE$2:$AU$40))+1)</f>
        <v>0</v>
      </c>
      <c r="AA39">
        <f t="shared" ca="1" si="6"/>
        <v>450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INDEX($AE$2:$AU$40,MOD(ROW()-ROW($AE$2),ROWS($AE$2:$AU$40))+1,INT((ROW()-ROW($AE$2))/ROWS($AE$2:$AU$40))+1)</f>
        <v>0</v>
      </c>
      <c r="AA40">
        <f t="shared" ca="1" si="6"/>
        <v>451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INDEX($AE$2:$AU$40,MOD(ROW()-ROW($AE$2),ROWS($AE$2:$AU$40))+1,INT((ROW()-ROW($AE$2))/ROWS($AE$2:$AU$40))+1)</f>
        <v/>
      </c>
      <c r="AA41">
        <f t="shared" ca="1" si="6"/>
        <v>452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cm="1">
        <f t="array" ref="Z42">INDEX($AE$2:$AU$40,MOD(ROW()-ROW($AE$2),ROWS($AE$2:$AU$40))+1,INT((ROW()-ROW($AE$2))/ROWS($AE$2:$AU$40))+1)</f>
        <v>0</v>
      </c>
      <c r="AA42">
        <f t="shared" ca="1" si="6"/>
        <v>453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INDEX($AE$2:$AU$40,MOD(ROW()-ROW($AE$2),ROWS($AE$2:$AU$40))+1,INT((ROW()-ROW($AE$2))/ROWS($AE$2:$AU$40))+1)</f>
        <v>0</v>
      </c>
      <c r="AA43">
        <f t="shared" ca="1" si="6"/>
        <v>454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INDEX($AE$2:$AU$40,MOD(ROW()-ROW($AE$2),ROWS($AE$2:$AU$40))+1,INT((ROW()-ROW($AE$2))/ROWS($AE$2:$AU$40))+1)</f>
        <v>0</v>
      </c>
      <c r="AA44">
        <f t="shared" ca="1" si="6"/>
        <v>455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INDEX($AE$2:$AU$40,MOD(ROW()-ROW($AE$2),ROWS($AE$2:$AU$40))+1,INT((ROW()-ROW($AE$2))/ROWS($AE$2:$AU$40))+1)</f>
        <v>0</v>
      </c>
      <c r="AA45">
        <f t="shared" ca="1" si="6"/>
        <v>456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INDEX($AE$2:$AU$40,MOD(ROW()-ROW($AE$2),ROWS($AE$2:$AU$40))+1,INT((ROW()-ROW($AE$2))/ROWS($AE$2:$AU$40))+1)</f>
        <v>0</v>
      </c>
      <c r="AA46">
        <f t="shared" ca="1" si="6"/>
        <v>457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INDEX($AE$2:$AU$40,MOD(ROW()-ROW($AE$2),ROWS($AE$2:$AU$40))+1,INT((ROW()-ROW($AE$2))/ROWS($AE$2:$AU$40))+1)</f>
        <v>0</v>
      </c>
      <c r="AA47">
        <f t="shared" ca="1" si="6"/>
        <v>458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INDEX($AE$2:$AU$40,MOD(ROW()-ROW($AE$2),ROWS($AE$2:$AU$40))+1,INT((ROW()-ROW($AE$2))/ROWS($AE$2:$AU$40))+1)</f>
        <v>0</v>
      </c>
      <c r="AA48">
        <f t="shared" ca="1" si="6"/>
        <v>459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INDEX($AE$2:$AU$40,MOD(ROW()-ROW($AE$2),ROWS($AE$2:$AU$40))+1,INT((ROW()-ROW($AE$2))/ROWS($AE$2:$AU$40))+1)</f>
        <v>0</v>
      </c>
      <c r="AA49">
        <f t="shared" ca="1" si="6"/>
        <v>460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INDEX($AE$2:$AU$40,MOD(ROW()-ROW($AE$2),ROWS($AE$2:$AU$40))+1,INT((ROW()-ROW($AE$2))/ROWS($AE$2:$AU$40))+1)</f>
        <v>0</v>
      </c>
      <c r="AA50">
        <f t="shared" ca="1" si="6"/>
        <v>461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INDEX($AE$2:$AU$40,MOD(ROW()-ROW($AE$2),ROWS($AE$2:$AU$40))+1,INT((ROW()-ROW($AE$2))/ROWS($AE$2:$AU$40))+1)</f>
        <v>0</v>
      </c>
      <c r="AA51">
        <f t="shared" ca="1" si="6"/>
        <v>462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INDEX($AE$2:$AU$40,MOD(ROW()-ROW($AE$2),ROWS($AE$2:$AU$40))+1,INT((ROW()-ROW($AE$2))/ROWS($AE$2:$AU$40))+1)</f>
        <v>0</v>
      </c>
      <c r="AA52">
        <f t="shared" ca="1" si="6"/>
        <v>463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INDEX($AE$2:$AU$40,MOD(ROW()-ROW($AE$2),ROWS($AE$2:$AU$40))+1,INT((ROW()-ROW($AE$2))/ROWS($AE$2:$AU$40))+1)</f>
        <v>0</v>
      </c>
      <c r="AA53">
        <f t="shared" ca="1" si="6"/>
        <v>464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INDEX($AE$2:$AU$40,MOD(ROW()-ROW($AE$2),ROWS($AE$2:$AU$40))+1,INT((ROW()-ROW($AE$2))/ROWS($AE$2:$AU$40))+1)</f>
        <v>0</v>
      </c>
      <c r="AA54">
        <f t="shared" ca="1" si="6"/>
        <v>465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INDEX($AE$2:$AU$40,MOD(ROW()-ROW($AE$2),ROWS($AE$2:$AU$40))+1,INT((ROW()-ROW($AE$2))/ROWS($AE$2:$AU$40))+1)</f>
        <v>0</v>
      </c>
      <c r="AA55">
        <f t="shared" ca="1" si="6"/>
        <v>466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INDEX($AE$2:$AU$40,MOD(ROW()-ROW($AE$2),ROWS($AE$2:$AU$40))+1,INT((ROW()-ROW($AE$2))/ROWS($AE$2:$AU$40))+1)</f>
        <v>0</v>
      </c>
      <c r="AA56">
        <f t="shared" ca="1" si="6"/>
        <v>467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INDEX($AE$2:$AU$40,MOD(ROW()-ROW($AE$2),ROWS($AE$2:$AU$40))+1,INT((ROW()-ROW($AE$2))/ROWS($AE$2:$AU$40))+1)</f>
        <v>0</v>
      </c>
      <c r="AA57">
        <f t="shared" ca="1" si="6"/>
        <v>468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INDEX($AE$2:$AU$40,MOD(ROW()-ROW($AE$2),ROWS($AE$2:$AU$40))+1,INT((ROW()-ROW($AE$2))/ROWS($AE$2:$AU$40))+1)</f>
        <v>0</v>
      </c>
      <c r="AA58">
        <f t="shared" ca="1" si="6"/>
        <v>469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INDEX($AE$2:$AU$40,MOD(ROW()-ROW($AE$2),ROWS($AE$2:$AU$40))+1,INT((ROW()-ROW($AE$2))/ROWS($AE$2:$AU$40))+1)</f>
        <v>0</v>
      </c>
      <c r="AA59">
        <f t="shared" ca="1" si="6"/>
        <v>470</v>
      </c>
      <c r="AB59" t="str" cm="1">
        <f t="array" aca="1" ref="AB59" ca="1">IFERROR(INDIRECT("$Z"&amp;AA59),"")</f>
        <v>heating_coil (waterside)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INDEX($AE$2:$AU$40,MOD(ROW()-ROW($AE$2),ROWS($AE$2:$AU$40))+1,INT((ROW()-ROW($AE$2))/ROWS($AE$2:$AU$40))+1)</f>
        <v>0</v>
      </c>
      <c r="AA60">
        <f t="shared" ca="1" si="6"/>
        <v>471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INDEX($AE$2:$AU$40,MOD(ROW()-ROW($AE$2),ROWS($AE$2:$AU$40))+1,INT((ROW()-ROW($AE$2))/ROWS($AE$2:$AU$40))+1)</f>
        <v>0</v>
      </c>
      <c r="AA61">
        <f t="shared" ca="1" si="6"/>
        <v>472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INDEX($AE$2:$AU$40,MOD(ROW()-ROW($AE$2),ROWS($AE$2:$AU$40))+1,INT((ROW()-ROW($AE$2))/ROWS($AE$2:$AU$40))+1)</f>
        <v>0</v>
      </c>
      <c r="AA62">
        <f t="shared" ca="1" si="6"/>
        <v>473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INDEX($AE$2:$AU$40,MOD(ROW()-ROW($AE$2),ROWS($AE$2:$AU$40))+1,INT((ROW()-ROW($AE$2))/ROWS($AE$2:$AU$40))+1)</f>
        <v>0</v>
      </c>
      <c r="AA63">
        <f t="shared" ca="1" si="6"/>
        <v>474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INDEX($AE$2:$AU$40,MOD(ROW()-ROW($AE$2),ROWS($AE$2:$AU$40))+1,INT((ROW()-ROW($AE$2))/ROWS($AE$2:$AU$40))+1)</f>
        <v>0</v>
      </c>
      <c r="AA64">
        <f t="shared" ca="1" si="6"/>
        <v>475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INDEX($AE$2:$AU$40,MOD(ROW()-ROW($AE$2),ROWS($AE$2:$AU$40))+1,INT((ROW()-ROW($AE$2))/ROWS($AE$2:$AU$40))+1)</f>
        <v>0</v>
      </c>
      <c r="AA65">
        <f t="shared" ca="1" si="6"/>
        <v>476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INDEX($AE$2:$AU$40,MOD(ROW()-ROW($AE$2),ROWS($AE$2:$AU$40))+1,INT((ROW()-ROW($AE$2))/ROWS($AE$2:$AU$40))+1)</f>
        <v>0</v>
      </c>
      <c r="AA66">
        <f t="shared" ca="1" si="6"/>
        <v>477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INDEX($AE$2:$AU$40,MOD(ROW()-ROW($AE$2),ROWS($AE$2:$AU$40))+1,INT((ROW()-ROW($AE$2))/ROWS($AE$2:$AU$40))+1)</f>
        <v>0</v>
      </c>
      <c r="AA67">
        <f t="shared" ca="1" si="6"/>
        <v>478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INDEX($AE$2:$AU$40,MOD(ROW()-ROW($AE$2),ROWS($AE$2:$AU$40))+1,INT((ROW()-ROW($AE$2))/ROWS($AE$2:$AU$40))+1)</f>
        <v>0</v>
      </c>
      <c r="AA68">
        <f t="shared" ref="AA68:AA131" ca="1" si="13">MATCH("*",INDIRECT(ADDRESS(AA67+1,26,1)&amp;":$Z$1000"),0)+AA67</f>
        <v>479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INDEX($AE$2:$AU$40,MOD(ROW()-ROW($AE$2),ROWS($AE$2:$AU$40))+1,INT((ROW()-ROW($AE$2))/ROWS($AE$2:$AU$40))+1)</f>
        <v>0</v>
      </c>
      <c r="AA69">
        <f t="shared" ca="1" si="13"/>
        <v>480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INDEX($AE$2:$AU$40,MOD(ROW()-ROW($AE$2),ROWS($AE$2:$AU$40))+1,INT((ROW()-ROW($AE$2))/ROWS($AE$2:$AU$40))+1)</f>
        <v>0</v>
      </c>
      <c r="AA70">
        <f t="shared" ca="1" si="13"/>
        <v>481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INDEX($AE$2:$AU$40,MOD(ROW()-ROW($AE$2),ROWS($AE$2:$AU$40))+1,INT((ROW()-ROW($AE$2))/ROWS($AE$2:$AU$40))+1)</f>
        <v>0</v>
      </c>
      <c r="AA71">
        <f t="shared" ca="1" si="13"/>
        <v>482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INDEX($AE$2:$AU$40,MOD(ROW()-ROW($AE$2),ROWS($AE$2:$AU$40))+1,INT((ROW()-ROW($AE$2))/ROWS($AE$2:$AU$40))+1)</f>
        <v>0</v>
      </c>
      <c r="AA72">
        <f t="shared" ca="1" si="13"/>
        <v>483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INDEX($AE$2:$AU$40,MOD(ROW()-ROW($AE$2),ROWS($AE$2:$AU$40))+1,INT((ROW()-ROW($AE$2))/ROWS($AE$2:$AU$40))+1)</f>
        <v>0</v>
      </c>
      <c r="AA73">
        <f t="shared" ca="1" si="13"/>
        <v>484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INDEX($AE$2:$AU$40,MOD(ROW()-ROW($AE$2),ROWS($AE$2:$AU$40))+1,INT((ROW()-ROW($AE$2))/ROWS($AE$2:$AU$40))+1)</f>
        <v>0</v>
      </c>
      <c r="AA74">
        <f t="shared" ca="1" si="13"/>
        <v>485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INDEX($AE$2:$AU$40,MOD(ROW()-ROW($AE$2),ROWS($AE$2:$AU$40))+1,INT((ROW()-ROW($AE$2))/ROWS($AE$2:$AU$40))+1)</f>
        <v>0</v>
      </c>
      <c r="AA75">
        <f t="shared" ca="1" si="13"/>
        <v>486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INDEX($AE$2:$AU$40,MOD(ROW()-ROW($AE$2),ROWS($AE$2:$AU$40))+1,INT((ROW()-ROW($AE$2))/ROWS($AE$2:$AU$40))+1)</f>
        <v>0</v>
      </c>
      <c r="AA76">
        <f t="shared" ca="1" si="13"/>
        <v>487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INDEX($AE$2:$AU$40,MOD(ROW()-ROW($AE$2),ROWS($AE$2:$AU$40))+1,INT((ROW()-ROW($AE$2))/ROWS($AE$2:$AU$40))+1)</f>
        <v>0</v>
      </c>
      <c r="AA77">
        <f t="shared" ca="1" si="13"/>
        <v>488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INDEX($AE$2:$AU$40,MOD(ROW()-ROW($AE$2),ROWS($AE$2:$AU$40))+1,INT((ROW()-ROW($AE$2))/ROWS($AE$2:$AU$40))+1)</f>
        <v>0</v>
      </c>
      <c r="AA78">
        <f t="shared" ca="1" si="13"/>
        <v>489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INDEX($AE$2:$AU$40,MOD(ROW()-ROW($AE$2),ROWS($AE$2:$AU$40))+1,INT((ROW()-ROW($AE$2))/ROWS($AE$2:$AU$40))+1)</f>
        <v>0</v>
      </c>
      <c r="AA79">
        <f t="shared" ca="1" si="13"/>
        <v>490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INDEX($AE$2:$AU$40,MOD(ROW()-ROW($AE$2),ROWS($AE$2:$AU$40))+1,INT((ROW()-ROW($AE$2))/ROWS($AE$2:$AU$40))+1)</f>
        <v/>
      </c>
      <c r="AA80">
        <f t="shared" ca="1" si="13"/>
        <v>491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INDEX($AE$2:$AU$40,MOD(ROW()-ROW($AE$2),ROWS($AE$2:$AU$40))+1,INT((ROW()-ROW($AE$2))/ROWS($AE$2:$AU$40))+1)</f>
        <v>0</v>
      </c>
      <c r="AA81">
        <f t="shared" ca="1" si="13"/>
        <v>492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INDEX($AE$2:$AU$40,MOD(ROW()-ROW($AE$2),ROWS($AE$2:$AU$40))+1,INT((ROW()-ROW($AE$2))/ROWS($AE$2:$AU$40))+1)</f>
        <v>0</v>
      </c>
      <c r="AA82">
        <f t="shared" ca="1" si="13"/>
        <v>493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INDEX($AE$2:$AU$40,MOD(ROW()-ROW($AE$2),ROWS($AE$2:$AU$40))+1,INT((ROW()-ROW($AE$2))/ROWS($AE$2:$AU$40))+1)</f>
        <v>0</v>
      </c>
      <c r="AA83">
        <f t="shared" ca="1" si="13"/>
        <v>494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INDEX($AE$2:$AU$40,MOD(ROW()-ROW($AE$2),ROWS($AE$2:$AU$40))+1,INT((ROW()-ROW($AE$2))/ROWS($AE$2:$AU$40))+1)</f>
        <v>0</v>
      </c>
      <c r="AA84">
        <f t="shared" ca="1" si="13"/>
        <v>495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INDEX($AE$2:$AU$40,MOD(ROW()-ROW($AE$2),ROWS($AE$2:$AU$40))+1,INT((ROW()-ROW($AE$2))/ROWS($AE$2:$AU$40))+1)</f>
        <v>0</v>
      </c>
      <c r="AA85">
        <f t="shared" ca="1" si="13"/>
        <v>496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INDEX($AE$2:$AU$40,MOD(ROW()-ROW($AE$2),ROWS($AE$2:$AU$40))+1,INT((ROW()-ROW($AE$2))/ROWS($AE$2:$AU$40))+1)</f>
        <v>0</v>
      </c>
      <c r="AA86">
        <f t="shared" ca="1" si="13"/>
        <v>497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INDEX($AE$2:$AU$40,MOD(ROW()-ROW($AE$2),ROWS($AE$2:$AU$40))+1,INT((ROW()-ROW($AE$2))/ROWS($AE$2:$AU$40))+1)</f>
        <v>0</v>
      </c>
      <c r="AA87">
        <f t="shared" ca="1" si="13"/>
        <v>498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INDEX($AE$2:$AU$40,MOD(ROW()-ROW($AE$2),ROWS($AE$2:$AU$40))+1,INT((ROW()-ROW($AE$2))/ROWS($AE$2:$AU$40))+1)</f>
        <v>0</v>
      </c>
      <c r="AA88">
        <f t="shared" ca="1" si="13"/>
        <v>499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INDEX($AE$2:$AU$40,MOD(ROW()-ROW($AE$2),ROWS($AE$2:$AU$40))+1,INT((ROW()-ROW($AE$2))/ROWS($AE$2:$AU$40))+1)</f>
        <v>0</v>
      </c>
      <c r="AA89">
        <f t="shared" ca="1" si="13"/>
        <v>500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INDEX($AE$2:$AU$40,MOD(ROW()-ROW($AE$2),ROWS($AE$2:$AU$40))+1,INT((ROW()-ROW($AE$2))/ROWS($AE$2:$AU$40))+1)</f>
        <v>0</v>
      </c>
      <c r="AA90">
        <f t="shared" ca="1" si="13"/>
        <v>501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INDEX($AE$2:$AU$40,MOD(ROW()-ROW($AE$2),ROWS($AE$2:$AU$40))+1,INT((ROW()-ROW($AE$2))/ROWS($AE$2:$AU$40))+1)</f>
        <v>0</v>
      </c>
      <c r="AA91">
        <f t="shared" ca="1" si="13"/>
        <v>502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INDEX($AE$2:$AU$40,MOD(ROW()-ROW($AE$2),ROWS($AE$2:$AU$40))+1,INT((ROW()-ROW($AE$2))/ROWS($AE$2:$AU$40))+1)</f>
        <v>0</v>
      </c>
      <c r="AA92">
        <f t="shared" ca="1" si="13"/>
        <v>503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INDEX($AE$2:$AU$40,MOD(ROW()-ROW($AE$2),ROWS($AE$2:$AU$40))+1,INT((ROW()-ROW($AE$2))/ROWS($AE$2:$AU$40))+1)</f>
        <v>0</v>
      </c>
      <c r="AA93">
        <f t="shared" ca="1" si="13"/>
        <v>504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INDEX($AE$2:$AU$40,MOD(ROW()-ROW($AE$2),ROWS($AE$2:$AU$40))+1,INT((ROW()-ROW($AE$2))/ROWS($AE$2:$AU$40))+1)</f>
        <v>0</v>
      </c>
      <c r="AA94">
        <f t="shared" ca="1" si="13"/>
        <v>505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INDEX($AE$2:$AU$40,MOD(ROW()-ROW($AE$2),ROWS($AE$2:$AU$40))+1,INT((ROW()-ROW($AE$2))/ROWS($AE$2:$AU$40))+1)</f>
        <v>0</v>
      </c>
      <c r="AA95">
        <f t="shared" ca="1" si="13"/>
        <v>506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INDEX($AE$2:$AU$40,MOD(ROW()-ROW($AE$2),ROWS($AE$2:$AU$40))+1,INT((ROW()-ROW($AE$2))/ROWS($AE$2:$AU$40))+1)</f>
        <v>0</v>
      </c>
      <c r="AA96">
        <f t="shared" ca="1" si="13"/>
        <v>507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INDEX($AE$2:$AU$40,MOD(ROW()-ROW($AE$2),ROWS($AE$2:$AU$40))+1,INT((ROW()-ROW($AE$2))/ROWS($AE$2:$AU$40))+1)</f>
        <v>0</v>
      </c>
      <c r="AA97">
        <f t="shared" ca="1" si="13"/>
        <v>508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INDEX($AE$2:$AU$40,MOD(ROW()-ROW($AE$2),ROWS($AE$2:$AU$40))+1,INT((ROW()-ROW($AE$2))/ROWS($AE$2:$AU$40))+1)</f>
        <v>0</v>
      </c>
      <c r="AA98">
        <f t="shared" ca="1" si="13"/>
        <v>509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INDEX($AE$2:$AU$40,MOD(ROW()-ROW($AE$2),ROWS($AE$2:$AU$40))+1,INT((ROW()-ROW($AE$2))/ROWS($AE$2:$AU$40))+1)</f>
        <v>0</v>
      </c>
      <c r="AA99">
        <f t="shared" ca="1" si="13"/>
        <v>510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INDEX($AE$2:$AU$40,MOD(ROW()-ROW($AE$2),ROWS($AE$2:$AU$40))+1,INT((ROW()-ROW($AE$2))/ROWS($AE$2:$AU$40))+1)</f>
        <v>0</v>
      </c>
      <c r="AA100">
        <f t="shared" ca="1" si="13"/>
        <v>511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INDEX($AE$2:$AU$40,MOD(ROW()-ROW($AE$2),ROWS($AE$2:$AU$40))+1,INT((ROW()-ROW($AE$2))/ROWS($AE$2:$AU$40))+1)</f>
        <v>0</v>
      </c>
      <c r="AA101">
        <f t="shared" ca="1" si="13"/>
        <v>512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INDEX($AE$2:$AU$40,MOD(ROW()-ROW($AE$2),ROWS($AE$2:$AU$40))+1,INT((ROW()-ROW($AE$2))/ROWS($AE$2:$AU$40))+1)</f>
        <v>0</v>
      </c>
      <c r="AA102">
        <f t="shared" ca="1" si="13"/>
        <v>513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INDEX($AE$2:$AU$40,MOD(ROW()-ROW($AE$2),ROWS($AE$2:$AU$40))+1,INT((ROW()-ROW($AE$2))/ROWS($AE$2:$AU$40))+1)</f>
        <v>0</v>
      </c>
      <c r="AA103">
        <f t="shared" ca="1" si="13"/>
        <v>514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INDEX($AE$2:$AU$40,MOD(ROW()-ROW($AE$2),ROWS($AE$2:$AU$40))+1,INT((ROW()-ROW($AE$2))/ROWS($AE$2:$AU$40))+1)</f>
        <v>0</v>
      </c>
      <c r="AA104">
        <f t="shared" ca="1" si="13"/>
        <v>515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INDEX($AE$2:$AU$40,MOD(ROW()-ROW($AE$2),ROWS($AE$2:$AU$40))+1,INT((ROW()-ROW($AE$2))/ROWS($AE$2:$AU$40))+1)</f>
        <v>0</v>
      </c>
      <c r="AA105">
        <f t="shared" ca="1" si="13"/>
        <v>516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INDEX($AE$2:$AU$40,MOD(ROW()-ROW($AE$2),ROWS($AE$2:$AU$40))+1,INT((ROW()-ROW($AE$2))/ROWS($AE$2:$AU$40))+1)</f>
        <v>0</v>
      </c>
      <c r="AA106">
        <f t="shared" ca="1" si="13"/>
        <v>517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INDEX($AE$2:$AU$40,MOD(ROW()-ROW($AE$2),ROWS($AE$2:$AU$40))+1,INT((ROW()-ROW($AE$2))/ROWS($AE$2:$AU$40))+1)</f>
        <v>0</v>
      </c>
      <c r="AA107">
        <f t="shared" ca="1" si="13"/>
        <v>518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INDEX($AE$2:$AU$40,MOD(ROW()-ROW($AE$2),ROWS($AE$2:$AU$40))+1,INT((ROW()-ROW($AE$2))/ROWS($AE$2:$AU$40))+1)</f>
        <v>0</v>
      </c>
      <c r="AA108">
        <f t="shared" ca="1" si="13"/>
        <v>519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INDEX($AE$2:$AU$40,MOD(ROW()-ROW($AE$2),ROWS($AE$2:$AU$40))+1,INT((ROW()-ROW($AE$2))/ROWS($AE$2:$AU$40))+1)</f>
        <v>0</v>
      </c>
      <c r="AA109">
        <f t="shared" ca="1" si="13"/>
        <v>520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INDEX($AE$2:$AU$40,MOD(ROW()-ROW($AE$2),ROWS($AE$2:$AU$40))+1,INT((ROW()-ROW($AE$2))/ROWS($AE$2:$AU$40))+1)</f>
        <v>0</v>
      </c>
      <c r="AA110">
        <f t="shared" ca="1" si="13"/>
        <v>521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INDEX($AE$2:$AU$40,MOD(ROW()-ROW($AE$2),ROWS($AE$2:$AU$40))+1,INT((ROW()-ROW($AE$2))/ROWS($AE$2:$AU$40))+1)</f>
        <v>0</v>
      </c>
      <c r="AA111">
        <f t="shared" ca="1" si="13"/>
        <v>522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INDEX($AE$2:$AU$40,MOD(ROW()-ROW($AE$2),ROWS($AE$2:$AU$40))+1,INT((ROW()-ROW($AE$2))/ROWS($AE$2:$AU$40))+1)</f>
        <v>0</v>
      </c>
      <c r="AA112">
        <f t="shared" ca="1" si="13"/>
        <v>523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INDEX($AE$2:$AU$40,MOD(ROW()-ROW($AE$2),ROWS($AE$2:$AU$40))+1,INT((ROW()-ROW($AE$2))/ROWS($AE$2:$AU$40))+1)</f>
        <v>0</v>
      </c>
      <c r="AA113">
        <f t="shared" ca="1" si="13"/>
        <v>524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INDEX($AE$2:$AU$40,MOD(ROW()-ROW($AE$2),ROWS($AE$2:$AU$40))+1,INT((ROW()-ROW($AE$2))/ROWS($AE$2:$AU$40))+1)</f>
        <v>0</v>
      </c>
      <c r="AA114">
        <f t="shared" ca="1" si="13"/>
        <v>525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INDEX($AE$2:$AU$40,MOD(ROW()-ROW($AE$2),ROWS($AE$2:$AU$40))+1,INT((ROW()-ROW($AE$2))/ROWS($AE$2:$AU$40))+1)</f>
        <v>0</v>
      </c>
      <c r="AA115">
        <f t="shared" ca="1" si="13"/>
        <v>526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INDEX($AE$2:$AU$40,MOD(ROW()-ROW($AE$2),ROWS($AE$2:$AU$40))+1,INT((ROW()-ROW($AE$2))/ROWS($AE$2:$AU$40))+1)</f>
        <v>0</v>
      </c>
      <c r="AA116">
        <f t="shared" ca="1" si="13"/>
        <v>527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INDEX($AE$2:$AU$40,MOD(ROW()-ROW($AE$2),ROWS($AE$2:$AU$40))+1,INT((ROW()-ROW($AE$2))/ROWS($AE$2:$AU$40))+1)</f>
        <v>0</v>
      </c>
      <c r="AA117">
        <f t="shared" ca="1" si="13"/>
        <v>528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INDEX($AE$2:$AU$40,MOD(ROW()-ROW($AE$2),ROWS($AE$2:$AU$40))+1,INT((ROW()-ROW($AE$2))/ROWS($AE$2:$AU$40))+1)</f>
        <v>0</v>
      </c>
      <c r="AA118">
        <f t="shared" ca="1" si="13"/>
        <v>529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INDEX($AE$2:$AU$40,MOD(ROW()-ROW($AE$2),ROWS($AE$2:$AU$40))+1,INT((ROW()-ROW($AE$2))/ROWS($AE$2:$AU$40))+1)</f>
        <v>heating_coil_valve</v>
      </c>
      <c r="AA119">
        <f t="shared" ca="1" si="13"/>
        <v>530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INDEX($AE$2:$AU$40,MOD(ROW()-ROW($AE$2),ROWS($AE$2:$AU$40))+1,INT((ROW()-ROW($AE$2))/ROWS($AE$2:$AU$40))+1)</f>
        <v>heating_coil_check_valve</v>
      </c>
      <c r="AA120">
        <f t="shared" ca="1" si="13"/>
        <v>531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INDEX($AE$2:$AU$40,MOD(ROW()-ROW($AE$2),ROWS($AE$2:$AU$40))+1,INT((ROW()-ROW($AE$2))/ROWS($AE$2:$AU$40))+1)</f>
        <v>0</v>
      </c>
      <c r="AA121">
        <f t="shared" ca="1" si="13"/>
        <v>532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INDEX($AE$2:$AU$40,MOD(ROW()-ROW($AE$2),ROWS($AE$2:$AU$40))+1,INT((ROW()-ROW($AE$2))/ROWS($AE$2:$AU$40))+1)</f>
        <v>0</v>
      </c>
      <c r="AA122">
        <f t="shared" ca="1" si="13"/>
        <v>533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INDEX($AE$2:$AU$40,MOD(ROW()-ROW($AE$2),ROWS($AE$2:$AU$40))+1,INT((ROW()-ROW($AE$2))/ROWS($AE$2:$AU$40))+1)</f>
        <v>0</v>
      </c>
      <c r="AA123">
        <f t="shared" ca="1" si="13"/>
        <v>534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INDEX($AE$2:$AU$40,MOD(ROW()-ROW($AE$2),ROWS($AE$2:$AU$40))+1,INT((ROW()-ROW($AE$2))/ROWS($AE$2:$AU$40))+1)</f>
        <v>0</v>
      </c>
      <c r="AA124">
        <f t="shared" ca="1" si="13"/>
        <v>535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INDEX($AE$2:$AU$40,MOD(ROW()-ROW($AE$2),ROWS($AE$2:$AU$40))+1,INT((ROW()-ROW($AE$2))/ROWS($AE$2:$AU$40))+1)</f>
        <v>0</v>
      </c>
      <c r="AA125">
        <f t="shared" ca="1" si="13"/>
        <v>536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INDEX($AE$2:$AU$40,MOD(ROW()-ROW($AE$2),ROWS($AE$2:$AU$40))+1,INT((ROW()-ROW($AE$2))/ROWS($AE$2:$AU$40))+1)</f>
        <v>0</v>
      </c>
      <c r="AA126">
        <f t="shared" ca="1" si="13"/>
        <v>537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INDEX($AE$2:$AU$40,MOD(ROW()-ROW($AE$2),ROWS($AE$2:$AU$40))+1,INT((ROW()-ROW($AE$2))/ROWS($AE$2:$AU$40))+1)</f>
        <v>0</v>
      </c>
      <c r="AA127">
        <f t="shared" ca="1" si="13"/>
        <v>538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INDEX($AE$2:$AU$40,MOD(ROW()-ROW($AE$2),ROWS($AE$2:$AU$40))+1,INT((ROW()-ROW($AE$2))/ROWS($AE$2:$AU$40))+1)</f>
        <v>0</v>
      </c>
      <c r="AA128">
        <f t="shared" ca="1" si="13"/>
        <v>539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INDEX($AE$2:$AU$40,MOD(ROW()-ROW($AE$2),ROWS($AE$2:$AU$40))+1,INT((ROW()-ROW($AE$2))/ROWS($AE$2:$AU$40))+1)</f>
        <v>0</v>
      </c>
      <c r="AA129">
        <f t="shared" ca="1" si="13"/>
        <v>540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INDEX($AE$2:$AU$40,MOD(ROW()-ROW($AE$2),ROWS($AE$2:$AU$40))+1,INT((ROW()-ROW($AE$2))/ROWS($AE$2:$AU$40))+1)</f>
        <v>0</v>
      </c>
      <c r="AA130">
        <f t="shared" ca="1" si="13"/>
        <v>541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INDEX($AE$2:$AU$40,MOD(ROW()-ROW($AE$2),ROWS($AE$2:$AU$40))+1,INT((ROW()-ROW($AE$2))/ROWS($AE$2:$AU$40))+1)</f>
        <v>0</v>
      </c>
      <c r="AA131">
        <f t="shared" ca="1" si="13"/>
        <v>542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INDEX($AE$2:$AU$40,MOD(ROW()-ROW($AE$2),ROWS($AE$2:$AU$40))+1,INT((ROW()-ROW($AE$2))/ROWS($AE$2:$AU$40))+1)</f>
        <v>0</v>
      </c>
      <c r="AA132">
        <f t="shared" ref="AA132:AA195" ca="1" si="20">MATCH("*",INDIRECT(ADDRESS(AA131+1,26,1)&amp;":$Z$1000"),0)+AA131</f>
        <v>543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INDEX($AE$2:$AU$40,MOD(ROW()-ROW($AE$2),ROWS($AE$2:$AU$40))+1,INT((ROW()-ROW($AE$2))/ROWS($AE$2:$AU$40))+1)</f>
        <v>0</v>
      </c>
      <c r="AA133">
        <f t="shared" ca="1" si="20"/>
        <v>544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INDEX($AE$2:$AU$40,MOD(ROW()-ROW($AE$2),ROWS($AE$2:$AU$40))+1,INT((ROW()-ROW($AE$2))/ROWS($AE$2:$AU$40))+1)</f>
        <v>0</v>
      </c>
      <c r="AA134">
        <f t="shared" ca="1" si="20"/>
        <v>545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INDEX($AE$2:$AU$40,MOD(ROW()-ROW($AE$2),ROWS($AE$2:$AU$40))+1,INT((ROW()-ROW($AE$2))/ROWS($AE$2:$AU$40))+1)</f>
        <v>0</v>
      </c>
      <c r="AA135">
        <f t="shared" ca="1" si="20"/>
        <v>546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INDEX($AE$2:$AU$40,MOD(ROW()-ROW($AE$2),ROWS($AE$2:$AU$40))+1,INT((ROW()-ROW($AE$2))/ROWS($AE$2:$AU$40))+1)</f>
        <v>0</v>
      </c>
      <c r="AA136">
        <f t="shared" ca="1" si="20"/>
        <v>547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INDEX($AE$2:$AU$40,MOD(ROW()-ROW($AE$2),ROWS($AE$2:$AU$40))+1,INT((ROW()-ROW($AE$2))/ROWS($AE$2:$AU$40))+1)</f>
        <v>0</v>
      </c>
      <c r="AA137">
        <f t="shared" ca="1" si="20"/>
        <v>548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INDEX($AE$2:$AU$40,MOD(ROW()-ROW($AE$2),ROWS($AE$2:$AU$40))+1,INT((ROW()-ROW($AE$2))/ROWS($AE$2:$AU$40))+1)</f>
        <v>0</v>
      </c>
      <c r="AA138">
        <f t="shared" ca="1" si="20"/>
        <v>549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INDEX($AE$2:$AU$40,MOD(ROW()-ROW($AE$2),ROWS($AE$2:$AU$40))+1,INT((ROW()-ROW($AE$2))/ROWS($AE$2:$AU$40))+1)</f>
        <v>0</v>
      </c>
      <c r="AA139">
        <f t="shared" ca="1" si="20"/>
        <v>550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INDEX($AE$2:$AU$40,MOD(ROW()-ROW($AE$2),ROWS($AE$2:$AU$40))+1,INT((ROW()-ROW($AE$2))/ROWS($AE$2:$AU$40))+1)</f>
        <v>0</v>
      </c>
      <c r="AA140">
        <f t="shared" ca="1" si="20"/>
        <v>551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INDEX($AE$2:$AU$40,MOD(ROW()-ROW($AE$2),ROWS($AE$2:$AU$40))+1,INT((ROW()-ROW($AE$2))/ROWS($AE$2:$AU$40))+1)</f>
        <v>0</v>
      </c>
      <c r="AA141">
        <f t="shared" ca="1" si="20"/>
        <v>552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INDEX($AE$2:$AU$40,MOD(ROW()-ROW($AE$2),ROWS($AE$2:$AU$40))+1,INT((ROW()-ROW($AE$2))/ROWS($AE$2:$AU$40))+1)</f>
        <v>0</v>
      </c>
      <c r="AA142">
        <f t="shared" ca="1" si="20"/>
        <v>553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INDEX($AE$2:$AU$40,MOD(ROW()-ROW($AE$2),ROWS($AE$2:$AU$40))+1,INT((ROW()-ROW($AE$2))/ROWS($AE$2:$AU$40))+1)</f>
        <v>0</v>
      </c>
      <c r="AA143">
        <f t="shared" ca="1" si="20"/>
        <v>554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INDEX($AE$2:$AU$40,MOD(ROW()-ROW($AE$2),ROWS($AE$2:$AU$40))+1,INT((ROW()-ROW($AE$2))/ROWS($AE$2:$AU$40))+1)</f>
        <v>0</v>
      </c>
      <c r="AA144">
        <f t="shared" ca="1" si="20"/>
        <v>555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INDEX($AE$2:$AU$40,MOD(ROW()-ROW($AE$2),ROWS($AE$2:$AU$40))+1,INT((ROW()-ROW($AE$2))/ROWS($AE$2:$AU$40))+1)</f>
        <v>0</v>
      </c>
      <c r="AA145">
        <f t="shared" ca="1" si="20"/>
        <v>556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INDEX($AE$2:$AU$40,MOD(ROW()-ROW($AE$2),ROWS($AE$2:$AU$40))+1,INT((ROW()-ROW($AE$2))/ROWS($AE$2:$AU$40))+1)</f>
        <v>0</v>
      </c>
      <c r="AA146">
        <f t="shared" ca="1" si="20"/>
        <v>557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INDEX($AE$2:$AU$40,MOD(ROW()-ROW($AE$2),ROWS($AE$2:$AU$40))+1,INT((ROW()-ROW($AE$2))/ROWS($AE$2:$AU$40))+1)</f>
        <v>0</v>
      </c>
      <c r="AA147">
        <f t="shared" ca="1" si="20"/>
        <v>558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INDEX($AE$2:$AU$40,MOD(ROW()-ROW($AE$2),ROWS($AE$2:$AU$40))+1,INT((ROW()-ROW($AE$2))/ROWS($AE$2:$AU$40))+1)</f>
        <v>0</v>
      </c>
      <c r="AA148">
        <f t="shared" ca="1" si="20"/>
        <v>559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INDEX($AE$2:$AU$40,MOD(ROW()-ROW($AE$2),ROWS($AE$2:$AU$40))+1,INT((ROW()-ROW($AE$2))/ROWS($AE$2:$AU$40))+1)</f>
        <v>0</v>
      </c>
      <c r="AA149">
        <f t="shared" ca="1" si="20"/>
        <v>560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INDEX($AE$2:$AU$40,MOD(ROW()-ROW($AE$2),ROWS($AE$2:$AU$40))+1,INT((ROW()-ROW($AE$2))/ROWS($AE$2:$AU$40))+1)</f>
        <v>0</v>
      </c>
      <c r="AA150">
        <f t="shared" ca="1" si="20"/>
        <v>561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INDEX($AE$2:$AU$40,MOD(ROW()-ROW($AE$2),ROWS($AE$2:$AU$40))+1,INT((ROW()-ROW($AE$2))/ROWS($AE$2:$AU$40))+1)</f>
        <v>0</v>
      </c>
      <c r="AA151">
        <f t="shared" ca="1" si="20"/>
        <v>562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INDEX($AE$2:$AU$40,MOD(ROW()-ROW($AE$2),ROWS($AE$2:$AU$40))+1,INT((ROW()-ROW($AE$2))/ROWS($AE$2:$AU$40))+1)</f>
        <v>0</v>
      </c>
      <c r="AA152">
        <f t="shared" ca="1" si="20"/>
        <v>563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INDEX($AE$2:$AU$40,MOD(ROW()-ROW($AE$2),ROWS($AE$2:$AU$40))+1,INT((ROW()-ROW($AE$2))/ROWS($AE$2:$AU$40))+1)</f>
        <v>0</v>
      </c>
      <c r="AA153">
        <f t="shared" ca="1" si="20"/>
        <v>564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INDEX($AE$2:$AU$40,MOD(ROW()-ROW($AE$2),ROWS($AE$2:$AU$40))+1,INT((ROW()-ROW($AE$2))/ROWS($AE$2:$AU$40))+1)</f>
        <v>0</v>
      </c>
      <c r="AA154">
        <f t="shared" ca="1" si="20"/>
        <v>565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INDEX($AE$2:$AU$40,MOD(ROW()-ROW($AE$2),ROWS($AE$2:$AU$40))+1,INT((ROW()-ROW($AE$2))/ROWS($AE$2:$AU$40))+1)</f>
        <v>0</v>
      </c>
      <c r="AA155">
        <f t="shared" ca="1" si="20"/>
        <v>566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INDEX($AE$2:$AU$40,MOD(ROW()-ROW($AE$2),ROWS($AE$2:$AU$40))+1,INT((ROW()-ROW($AE$2))/ROWS($AE$2:$AU$40))+1)</f>
        <v>0</v>
      </c>
      <c r="AA156">
        <f t="shared" ca="1" si="20"/>
        <v>567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INDEX($AE$2:$AU$40,MOD(ROW()-ROW($AE$2),ROWS($AE$2:$AU$40))+1,INT((ROW()-ROW($AE$2))/ROWS($AE$2:$AU$40))+1)</f>
        <v>0</v>
      </c>
      <c r="AA157">
        <f t="shared" ca="1" si="20"/>
        <v>568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INDEX($AE$2:$AU$40,MOD(ROW()-ROW($AE$2),ROWS($AE$2:$AU$40))+1,INT((ROW()-ROW($AE$2))/ROWS($AE$2:$AU$40))+1)</f>
        <v>heating_coil</v>
      </c>
      <c r="AA158">
        <f t="shared" ca="1" si="20"/>
        <v>569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cm="1">
        <f t="array" ref="Z159">INDEX($AE$2:$AU$40,MOD(ROW()-ROW($AE$2),ROWS($AE$2:$AU$40))+1,INT((ROW()-ROW($AE$2))/ROWS($AE$2:$AU$40))+1)</f>
        <v>0</v>
      </c>
      <c r="AA159">
        <f t="shared" ca="1" si="20"/>
        <v>570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INDEX($AE$2:$AU$40,MOD(ROW()-ROW($AE$2),ROWS($AE$2:$AU$40))+1,INT((ROW()-ROW($AE$2))/ROWS($AE$2:$AU$40))+1)</f>
        <v>0</v>
      </c>
      <c r="AA160">
        <f t="shared" ca="1" si="20"/>
        <v>571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INDEX($AE$2:$AU$40,MOD(ROW()-ROW($AE$2),ROWS($AE$2:$AU$40))+1,INT((ROW()-ROW($AE$2))/ROWS($AE$2:$AU$40))+1)</f>
        <v>0</v>
      </c>
      <c r="AA161">
        <f t="shared" ca="1" si="20"/>
        <v>572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INDEX($AE$2:$AU$40,MOD(ROW()-ROW($AE$2),ROWS($AE$2:$AU$40))+1,INT((ROW()-ROW($AE$2))/ROWS($AE$2:$AU$40))+1)</f>
        <v>0</v>
      </c>
      <c r="AA162">
        <f t="shared" ca="1" si="20"/>
        <v>573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INDEX($AE$2:$AU$40,MOD(ROW()-ROW($AE$2),ROWS($AE$2:$AU$40))+1,INT((ROW()-ROW($AE$2))/ROWS($AE$2:$AU$40))+1)</f>
        <v>0</v>
      </c>
      <c r="AA163">
        <f t="shared" ca="1" si="20"/>
        <v>574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INDEX($AE$2:$AU$40,MOD(ROW()-ROW($AE$2),ROWS($AE$2:$AU$40))+1,INT((ROW()-ROW($AE$2))/ROWS($AE$2:$AU$40))+1)</f>
        <v>0</v>
      </c>
      <c r="AA164">
        <f t="shared" ca="1" si="20"/>
        <v>575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INDEX($AE$2:$AU$40,MOD(ROW()-ROW($AE$2),ROWS($AE$2:$AU$40))+1,INT((ROW()-ROW($AE$2))/ROWS($AE$2:$AU$40))+1)</f>
        <v>0</v>
      </c>
      <c r="AA165">
        <f t="shared" ca="1" si="20"/>
        <v>576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INDEX($AE$2:$AU$40,MOD(ROW()-ROW($AE$2),ROWS($AE$2:$AU$40))+1,INT((ROW()-ROW($AE$2))/ROWS($AE$2:$AU$40))+1)</f>
        <v>0</v>
      </c>
      <c r="AA166">
        <f t="shared" ca="1" si="20"/>
        <v>577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INDEX($AE$2:$AU$40,MOD(ROW()-ROW($AE$2),ROWS($AE$2:$AU$40))+1,INT((ROW()-ROW($AE$2))/ROWS($AE$2:$AU$40))+1)</f>
        <v>0</v>
      </c>
      <c r="AA167">
        <f t="shared" ca="1" si="20"/>
        <v>578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INDEX($AE$2:$AU$40,MOD(ROW()-ROW($AE$2),ROWS($AE$2:$AU$40))+1,INT((ROW()-ROW($AE$2))/ROWS($AE$2:$AU$40))+1)</f>
        <v>0</v>
      </c>
      <c r="AA168">
        <f t="shared" ca="1" si="20"/>
        <v>579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INDEX($AE$2:$AU$40,MOD(ROW()-ROW($AE$2),ROWS($AE$2:$AU$40))+1,INT((ROW()-ROW($AE$2))/ROWS($AE$2:$AU$40))+1)</f>
        <v>0</v>
      </c>
      <c r="AA169">
        <f t="shared" ca="1" si="20"/>
        <v>580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INDEX($AE$2:$AU$40,MOD(ROW()-ROW($AE$2),ROWS($AE$2:$AU$40))+1,INT((ROW()-ROW($AE$2))/ROWS($AE$2:$AU$40))+1)</f>
        <v>0</v>
      </c>
      <c r="AA170">
        <f t="shared" ca="1" si="20"/>
        <v>581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INDEX($AE$2:$AU$40,MOD(ROW()-ROW($AE$2),ROWS($AE$2:$AU$40))+1,INT((ROW()-ROW($AE$2))/ROWS($AE$2:$AU$40))+1)</f>
        <v>0</v>
      </c>
      <c r="AA171">
        <f t="shared" ca="1" si="20"/>
        <v>582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INDEX($AE$2:$AU$40,MOD(ROW()-ROW($AE$2),ROWS($AE$2:$AU$40))+1,INT((ROW()-ROW($AE$2))/ROWS($AE$2:$AU$40))+1)</f>
        <v>0</v>
      </c>
      <c r="AA172">
        <f t="shared" ca="1" si="20"/>
        <v>583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INDEX($AE$2:$AU$40,MOD(ROW()-ROW($AE$2),ROWS($AE$2:$AU$40))+1,INT((ROW()-ROW($AE$2))/ROWS($AE$2:$AU$40))+1)</f>
        <v>0</v>
      </c>
      <c r="AA173">
        <f t="shared" ca="1" si="20"/>
        <v>584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INDEX($AE$2:$AU$40,MOD(ROW()-ROW($AE$2),ROWS($AE$2:$AU$40))+1,INT((ROW()-ROW($AE$2))/ROWS($AE$2:$AU$40))+1)</f>
        <v>0</v>
      </c>
      <c r="AA174">
        <f t="shared" ca="1" si="20"/>
        <v>585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INDEX($AE$2:$AU$40,MOD(ROW()-ROW($AE$2),ROWS($AE$2:$AU$40))+1,INT((ROW()-ROW($AE$2))/ROWS($AE$2:$AU$40))+1)</f>
        <v>0</v>
      </c>
      <c r="AA175">
        <f t="shared" ca="1" si="20"/>
        <v>586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INDEX($AE$2:$AU$40,MOD(ROW()-ROW($AE$2),ROWS($AE$2:$AU$40))+1,INT((ROW()-ROW($AE$2))/ROWS($AE$2:$AU$40))+1)</f>
        <v>0</v>
      </c>
      <c r="AA176">
        <f t="shared" ca="1" si="20"/>
        <v>587</v>
      </c>
      <c r="AB176" t="str" cm="1">
        <f t="array" aca="1" ref="AB176" ca="1">IFERROR(INDIRECT("$Z"&amp;AA176),"")</f>
        <v>supply_flow_junction</v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INDEX($AE$2:$AU$40,MOD(ROW()-ROW($AE$2),ROWS($AE$2:$AU$40))+1,INT((ROW()-ROW($AE$2))/ROWS($AE$2:$AU$40))+1)</f>
        <v>0</v>
      </c>
      <c r="AA177">
        <f t="shared" ca="1" si="20"/>
        <v>588</v>
      </c>
      <c r="AB177" t="str" cm="1">
        <f t="array" aca="1" ref="AB177" ca="1">IFERROR(INDIRECT("$Z"&amp;AA177),"")</f>
        <v>exhaust_flow_junction</v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INDEX($AE$2:$AU$40,MOD(ROW()-ROW($AE$2),ROWS($AE$2:$AU$40))+1,INT((ROW()-ROW($AE$2))/ROWS($AE$2:$AU$40))+1)</f>
        <v>0</v>
      </c>
      <c r="AA178">
        <f t="shared" ca="1" si="20"/>
        <v>626</v>
      </c>
      <c r="AB178" t="str" cm="1">
        <f t="array" aca="1" ref="AB178" ca="1">IFERROR(INDIRECT("$Z"&amp;AA178),"")</f>
        <v>heating_coil_pump</v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INDEX($AE$2:$AU$40,MOD(ROW()-ROW($AE$2),ROWS($AE$2:$AU$40))+1,INT((ROW()-ROW($AE$2))/ROWS($AE$2:$AU$40))+1)</f>
        <v>0</v>
      </c>
      <c r="AA179" t="e">
        <f t="shared" ca="1" si="20"/>
        <v>#N/A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INDEX($AE$2:$AU$40,MOD(ROW()-ROW($AE$2),ROWS($AE$2:$AU$40))+1,INT((ROW()-ROW($AE$2))/ROWS($AE$2:$AU$40))+1)</f>
        <v>0</v>
      </c>
      <c r="AA180" t="e">
        <f t="shared" ca="1" si="20"/>
        <v>#N/A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INDEX($AE$2:$AU$40,MOD(ROW()-ROW($AE$2),ROWS($AE$2:$AU$40))+1,INT((ROW()-ROW($AE$2))/ROWS($AE$2:$AU$40))+1)</f>
        <v>0</v>
      </c>
      <c r="AA181" t="e">
        <f t="shared" ca="1" si="20"/>
        <v>#N/A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INDEX($AE$2:$AU$40,MOD(ROW()-ROW($AE$2),ROWS($AE$2:$AU$40))+1,INT((ROW()-ROW($AE$2))/ROWS($AE$2:$AU$40))+1)</f>
        <v>0</v>
      </c>
      <c r="AA182" t="e">
        <f t="shared" ca="1" si="20"/>
        <v>#N/A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INDEX($AE$2:$AU$40,MOD(ROW()-ROW($AE$2),ROWS($AE$2:$AU$40))+1,INT((ROW()-ROW($AE$2))/ROWS($AE$2:$AU$40))+1)</f>
        <v>0</v>
      </c>
      <c r="AA183" t="e">
        <f t="shared" ca="1" si="20"/>
        <v>#N/A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INDEX($AE$2:$AU$40,MOD(ROW()-ROW($AE$2),ROWS($AE$2:$AU$40))+1,INT((ROW()-ROW($AE$2))/ROWS($AE$2:$AU$40))+1)</f>
        <v>0</v>
      </c>
      <c r="AA184" t="e">
        <f t="shared" ca="1" si="20"/>
        <v>#N/A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INDEX($AE$2:$AU$40,MOD(ROW()-ROW($AE$2),ROWS($AE$2:$AU$40))+1,INT((ROW()-ROW($AE$2))/ROWS($AE$2:$AU$40))+1)</f>
        <v>0</v>
      </c>
      <c r="AA185" t="e">
        <f t="shared" ca="1" si="20"/>
        <v>#N/A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INDEX($AE$2:$AU$40,MOD(ROW()-ROW($AE$2),ROWS($AE$2:$AU$40))+1,INT((ROW()-ROW($AE$2))/ROWS($AE$2:$AU$40))+1)</f>
        <v>0</v>
      </c>
      <c r="AA186" t="e">
        <f t="shared" ca="1" si="20"/>
        <v>#N/A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INDEX($AE$2:$AU$40,MOD(ROW()-ROW($AE$2),ROWS($AE$2:$AU$40))+1,INT((ROW()-ROW($AE$2))/ROWS($AE$2:$AU$40))+1)</f>
        <v>0</v>
      </c>
      <c r="AA187" t="e">
        <f t="shared" ca="1" si="20"/>
        <v>#N/A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INDEX($AE$2:$AU$40,MOD(ROW()-ROW($AE$2),ROWS($AE$2:$AU$40))+1,INT((ROW()-ROW($AE$2))/ROWS($AE$2:$AU$40))+1)</f>
        <v>0</v>
      </c>
      <c r="AA188" t="e">
        <f t="shared" ca="1" si="20"/>
        <v>#N/A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INDEX($AE$2:$AU$40,MOD(ROW()-ROW($AE$2),ROWS($AE$2:$AU$40))+1,INT((ROW()-ROW($AE$2))/ROWS($AE$2:$AU$40))+1)</f>
        <v>0</v>
      </c>
      <c r="AA189" t="e">
        <f t="shared" ca="1" si="20"/>
        <v>#N/A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INDEX($AE$2:$AU$40,MOD(ROW()-ROW($AE$2),ROWS($AE$2:$AU$40))+1,INT((ROW()-ROW($AE$2))/ROWS($AE$2:$AU$40))+1)</f>
        <v>0</v>
      </c>
      <c r="AA190" t="e">
        <f t="shared" ca="1" si="20"/>
        <v>#N/A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INDEX($AE$2:$AU$40,MOD(ROW()-ROW($AE$2),ROWS($AE$2:$AU$40))+1,INT((ROW()-ROW($AE$2))/ROWS($AE$2:$AU$40))+1)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INDEX($AE$2:$AU$40,MOD(ROW()-ROW($AE$2),ROWS($AE$2:$AU$40))+1,INT((ROW()-ROW($AE$2))/ROWS($AE$2:$AU$40))+1)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INDEX($AE$2:$AU$40,MOD(ROW()-ROW($AE$2),ROWS($AE$2:$AU$40))+1,INT((ROW()-ROW($AE$2))/ROWS($AE$2:$AU$40))+1)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INDEX($AE$2:$AU$40,MOD(ROW()-ROW($AE$2),ROWS($AE$2:$AU$40))+1,INT((ROW()-ROW($AE$2))/ROWS($AE$2:$AU$40))+1)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INDEX($AE$2:$AU$40,MOD(ROW()-ROW($AE$2),ROWS($AE$2:$AU$40))+1,INT((ROW()-ROW($AE$2))/ROWS($AE$2:$AU$40))+1)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INDEX($AE$2:$AU$40,MOD(ROW()-ROW($AE$2),ROWS($AE$2:$AU$40))+1,INT((ROW()-ROW($AE$2))/ROWS($AE$2:$AU$40))+1)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INDEX($AE$2:$AU$40,MOD(ROW()-ROW($AE$2),ROWS($AE$2:$AU$40))+1,INT((ROW()-ROW($AE$2))/ROWS($AE$2:$AU$40))+1)</f>
        <v/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INDEX($AE$2:$AU$40,MOD(ROW()-ROW($AE$2),ROWS($AE$2:$AU$40))+1,INT((ROW()-ROW($AE$2))/ROWS($AE$2:$AU$40))+1)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INDEX($AE$2:$AU$40,MOD(ROW()-ROW($AE$2),ROWS($AE$2:$AU$40))+1,INT((ROW()-ROW($AE$2))/ROWS($AE$2:$AU$40))+1)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INDEX($AE$2:$AU$40,MOD(ROW()-ROW($AE$2),ROWS($AE$2:$AU$40))+1,INT((ROW()-ROW($AE$2))/ROWS($AE$2:$AU$40))+1)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INDEX($AE$2:$AU$40,MOD(ROW()-ROW($AE$2),ROWS($AE$2:$AU$40))+1,INT((ROW()-ROW($AE$2))/ROWS($AE$2:$AU$40))+1)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INDEX($AE$2:$AU$40,MOD(ROW()-ROW($AE$2),ROWS($AE$2:$AU$40))+1,INT((ROW()-ROW($AE$2))/ROWS($AE$2:$AU$40))+1)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INDEX($AE$2:$AU$40,MOD(ROW()-ROW($AE$2),ROWS($AE$2:$AU$40))+1,INT((ROW()-ROW($AE$2))/ROWS($AE$2:$AU$40))+1)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INDEX($AE$2:$AU$40,MOD(ROW()-ROW($AE$2),ROWS($AE$2:$AU$40))+1,INT((ROW()-ROW($AE$2))/ROWS($AE$2:$AU$40))+1)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INDEX($AE$2:$AU$40,MOD(ROW()-ROW($AE$2),ROWS($AE$2:$AU$40))+1,INT((ROW()-ROW($AE$2))/ROWS($AE$2:$AU$40))+1)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INDEX($AE$2:$AU$40,MOD(ROW()-ROW($AE$2),ROWS($AE$2:$AU$40))+1,INT((ROW()-ROW($AE$2))/ROWS($AE$2:$AU$40))+1)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INDEX($AE$2:$AU$40,MOD(ROW()-ROW($AE$2),ROWS($AE$2:$AU$40))+1,INT((ROW()-ROW($AE$2))/ROWS($AE$2:$AU$40))+1)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INDEX($AE$2:$AU$40,MOD(ROW()-ROW($AE$2),ROWS($AE$2:$AU$40))+1,INT((ROW()-ROW($AE$2))/ROWS($AE$2:$AU$40))+1)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INDEX($AE$2:$AU$40,MOD(ROW()-ROW($AE$2),ROWS($AE$2:$AU$40))+1,INT((ROW()-ROW($AE$2))/ROWS($AE$2:$AU$40))+1)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INDEX($AE$2:$AU$40,MOD(ROW()-ROW($AE$2),ROWS($AE$2:$AU$40))+1,INT((ROW()-ROW($AE$2))/ROWS($AE$2:$AU$40))+1)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INDEX($AE$2:$AU$40,MOD(ROW()-ROW($AE$2),ROWS($AE$2:$AU$40))+1,INT((ROW()-ROW($AE$2))/ROWS($AE$2:$AU$40))+1)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INDEX($AE$2:$AU$40,MOD(ROW()-ROW($AE$2),ROWS($AE$2:$AU$40))+1,INT((ROW()-ROW($AE$2))/ROWS($AE$2:$AU$40))+1)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INDEX($AE$2:$AU$40,MOD(ROW()-ROW($AE$2),ROWS($AE$2:$AU$40))+1,INT((ROW()-ROW($AE$2))/ROWS($AE$2:$AU$40))+1)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INDEX($AE$2:$AU$40,MOD(ROW()-ROW($AE$2),ROWS($AE$2:$AU$40))+1,INT((ROW()-ROW($AE$2))/ROWS($AE$2:$AU$40))+1)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INDEX($AE$2:$AU$40,MOD(ROW()-ROW($AE$2),ROWS($AE$2:$AU$40))+1,INT((ROW()-ROW($AE$2))/ROWS($AE$2:$AU$40))+1)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INDEX($AE$2:$AU$40,MOD(ROW()-ROW($AE$2),ROWS($AE$2:$AU$40))+1,INT((ROW()-ROW($AE$2))/ROWS($AE$2:$AU$40))+1)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INDEX($AE$2:$AU$40,MOD(ROW()-ROW($AE$2),ROWS($AE$2:$AU$40))+1,INT((ROW()-ROW($AE$2))/ROWS($AE$2:$AU$40))+1)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INDEX($AE$2:$AU$40,MOD(ROW()-ROW($AE$2),ROWS($AE$2:$AU$40))+1,INT((ROW()-ROW($AE$2))/ROWS($AE$2:$AU$40))+1)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INDEX($AE$2:$AU$40,MOD(ROW()-ROW($AE$2),ROWS($AE$2:$AU$40))+1,INT((ROW()-ROW($AE$2))/ROWS($AE$2:$AU$40))+1)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INDEX($AE$2:$AU$40,MOD(ROW()-ROW($AE$2),ROWS($AE$2:$AU$40))+1,INT((ROW()-ROW($AE$2))/ROWS($AE$2:$AU$40))+1)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INDEX($AE$2:$AU$40,MOD(ROW()-ROW($AE$2),ROWS($AE$2:$AU$40))+1,INT((ROW()-ROW($AE$2))/ROWS($AE$2:$AU$40))+1)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INDEX($AE$2:$AU$40,MOD(ROW()-ROW($AE$2),ROWS($AE$2:$AU$40))+1,INT((ROW()-ROW($AE$2))/ROWS($AE$2:$AU$40))+1)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INDEX($AE$2:$AU$40,MOD(ROW()-ROW($AE$2),ROWS($AE$2:$AU$40))+1,INT((ROW()-ROW($AE$2))/ROWS($AE$2:$AU$40))+1)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INDEX($AE$2:$AU$40,MOD(ROW()-ROW($AE$2),ROWS($AE$2:$AU$40))+1,INT((ROW()-ROW($AE$2))/ROWS($AE$2:$AU$40))+1)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INDEX($AE$2:$AU$40,MOD(ROW()-ROW($AE$2),ROWS($AE$2:$AU$40))+1,INT((ROW()-ROW($AE$2))/ROWS($AE$2:$AU$40))+1)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INDEX($AE$2:$AU$40,MOD(ROW()-ROW($AE$2),ROWS($AE$2:$AU$40))+1,INT((ROW()-ROW($AE$2))/ROWS($AE$2:$AU$40))+1)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INDEX($AE$2:$AU$40,MOD(ROW()-ROW($AE$2),ROWS($AE$2:$AU$40))+1,INT((ROW()-ROW($AE$2))/ROWS($AE$2:$AU$40))+1)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INDEX($AE$2:$AU$40,MOD(ROW()-ROW($AE$2),ROWS($AE$2:$AU$40))+1,INT((ROW()-ROW($AE$2))/ROWS($AE$2:$AU$40))+1)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INDEX($AE$2:$AU$40,MOD(ROW()-ROW($AE$2),ROWS($AE$2:$AU$40))+1,INT((ROW()-ROW($AE$2))/ROWS($AE$2:$AU$40))+1)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INDEX($AE$2:$AU$40,MOD(ROW()-ROW($AE$2),ROWS($AE$2:$AU$40))+1,INT((ROW()-ROW($AE$2))/ROWS($AE$2:$AU$40))+1)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INDEX($AE$2:$AU$40,MOD(ROW()-ROW($AE$2),ROWS($AE$2:$AU$40))+1,INT((ROW()-ROW($AE$2))/ROWS($AE$2:$AU$40))+1)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INDEX($AE$2:$AU$40,MOD(ROW()-ROW($AE$2),ROWS($AE$2:$AU$40))+1,INT((ROW()-ROW($AE$2))/ROWS($AE$2:$AU$40))+1)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INDEX($AE$2:$AU$40,MOD(ROW()-ROW($AE$2),ROWS($AE$2:$AU$40))+1,INT((ROW()-ROW($AE$2))/ROWS($AE$2:$AU$40))+1)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INDEX($AE$2:$AU$40,MOD(ROW()-ROW($AE$2),ROWS($AE$2:$AU$40))+1,INT((ROW()-ROW($AE$2))/ROWS($AE$2:$AU$40))+1)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INDEX($AE$2:$AU$40,MOD(ROW()-ROW($AE$2),ROWS($AE$2:$AU$40))+1,INT((ROW()-ROW($AE$2))/ROWS($AE$2:$AU$40))+1)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INDEX($AE$2:$AU$40,MOD(ROW()-ROW($AE$2),ROWS($AE$2:$AU$40))+1,INT((ROW()-ROW($AE$2))/ROWS($AE$2:$AU$40))+1)</f>
        <v>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INDEX($AE$2:$AU$40,MOD(ROW()-ROW($AE$2),ROWS($AE$2:$AU$40))+1,INT((ROW()-ROW($AE$2))/ROWS($AE$2:$AU$40))+1)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INDEX($AE$2:$AU$40,MOD(ROW()-ROW($AE$2),ROWS($AE$2:$AU$40))+1,INT((ROW()-ROW($AE$2))/ROWS($AE$2:$AU$40))+1)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INDEX($AE$2:$AU$40,MOD(ROW()-ROW($AE$2),ROWS($AE$2:$AU$40))+1,INT((ROW()-ROW($AE$2))/ROWS($AE$2:$AU$40))+1)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INDEX($AE$2:$AU$40,MOD(ROW()-ROW($AE$2),ROWS($AE$2:$AU$40))+1,INT((ROW()-ROW($AE$2))/ROWS($AE$2:$AU$40))+1)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INDEX($AE$2:$AU$40,MOD(ROW()-ROW($AE$2),ROWS($AE$2:$AU$40))+1,INT((ROW()-ROW($AE$2))/ROWS($AE$2:$AU$40))+1)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INDEX($AE$2:$AU$40,MOD(ROW()-ROW($AE$2),ROWS($AE$2:$AU$40))+1,INT((ROW()-ROW($AE$2))/ROWS($AE$2:$AU$40))+1)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INDEX($AE$2:$AU$40,MOD(ROW()-ROW($AE$2),ROWS($AE$2:$AU$40))+1,INT((ROW()-ROW($AE$2))/ROWS($AE$2:$AU$40))+1)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INDEX($AE$2:$AU$40,MOD(ROW()-ROW($AE$2),ROWS($AE$2:$AU$40))+1,INT((ROW()-ROW($AE$2))/ROWS($AE$2:$AU$40))+1)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INDEX($AE$2:$AU$40,MOD(ROW()-ROW($AE$2),ROWS($AE$2:$AU$40))+1,INT((ROW()-ROW($AE$2))/ROWS($AE$2:$AU$40))+1)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INDEX($AE$2:$AU$40,MOD(ROW()-ROW($AE$2),ROWS($AE$2:$AU$40))+1,INT((ROW()-ROW($AE$2))/ROWS($AE$2:$AU$40))+1)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INDEX($AE$2:$AU$40,MOD(ROW()-ROW($AE$2),ROWS($AE$2:$AU$40))+1,INT((ROW()-ROW($AE$2))/ROWS($AE$2:$AU$40))+1)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INDEX($AE$2:$AU$40,MOD(ROW()-ROW($AE$2),ROWS($AE$2:$AU$40))+1,INT((ROW()-ROW($AE$2))/ROWS($AE$2:$AU$40))+1)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INDEX($AE$2:$AU$40,MOD(ROW()-ROW($AE$2),ROWS($AE$2:$AU$40))+1,INT((ROW()-ROW($AE$2))/ROWS($AE$2:$AU$40))+1)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INDEX($AE$2:$AU$40,MOD(ROW()-ROW($AE$2),ROWS($AE$2:$AU$40))+1,INT((ROW()-ROW($AE$2))/ROWS($AE$2:$AU$40))+1)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INDEX($AE$2:$AU$40,MOD(ROW()-ROW($AE$2),ROWS($AE$2:$AU$40))+1,INT((ROW()-ROW($AE$2))/ROWS($AE$2:$AU$40))+1)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INDEX($AE$2:$AU$40,MOD(ROW()-ROW($AE$2),ROWS($AE$2:$AU$40))+1,INT((ROW()-ROW($AE$2))/ROWS($AE$2:$AU$40))+1)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INDEX($AE$2:$AU$40,MOD(ROW()-ROW($AE$2),ROWS($AE$2:$AU$40))+1,INT((ROW()-ROW($AE$2))/ROWS($AE$2:$AU$40))+1)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INDEX($AE$2:$AU$40,MOD(ROW()-ROW($AE$2),ROWS($AE$2:$AU$40))+1,INT((ROW()-ROW($AE$2))/ROWS($AE$2:$AU$40))+1)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INDEX($AE$2:$AU$40,MOD(ROW()-ROW($AE$2),ROWS($AE$2:$AU$40))+1,INT((ROW()-ROW($AE$2))/ROWS($AE$2:$AU$40))+1)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INDEX($AE$2:$AU$40,MOD(ROW()-ROW($AE$2),ROWS($AE$2:$AU$40))+1,INT((ROW()-ROW($AE$2))/ROWS($AE$2:$AU$40))+1)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INDEX($AE$2:$AU$40,MOD(ROW()-ROW($AE$2),ROWS($AE$2:$AU$40))+1,INT((ROW()-ROW($AE$2))/ROWS($AE$2:$AU$40))+1)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INDEX($AE$2:$AU$40,MOD(ROW()-ROW($AE$2),ROWS($AE$2:$AU$40))+1,INT((ROW()-ROW($AE$2))/ROWS($AE$2:$AU$40))+1)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INDEX($AE$2:$AU$40,MOD(ROW()-ROW($AE$2),ROWS($AE$2:$AU$40))+1,INT((ROW()-ROW($AE$2))/ROWS($AE$2:$AU$40))+1)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INDEX($AE$2:$AU$40,MOD(ROW()-ROW($AE$2),ROWS($AE$2:$AU$40))+1,INT((ROW()-ROW($AE$2))/ROWS($AE$2:$AU$40))+1)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INDEX($AE$2:$AU$40,MOD(ROW()-ROW($AE$2),ROWS($AE$2:$AU$40))+1,INT((ROW()-ROW($AE$2))/ROWS($AE$2:$AU$40))+1)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INDEX($AE$2:$AU$40,MOD(ROW()-ROW($AE$2),ROWS($AE$2:$AU$40))+1,INT((ROW()-ROW($AE$2))/ROWS($AE$2:$AU$40))+1)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INDEX($AE$2:$AU$40,MOD(ROW()-ROW($AE$2),ROWS($AE$2:$AU$40))+1,INT((ROW()-ROW($AE$2))/ROWS($AE$2:$AU$40))+1)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INDEX($AE$2:$AU$40,MOD(ROW()-ROW($AE$2),ROWS($AE$2:$AU$40))+1,INT((ROW()-ROW($AE$2))/ROWS($AE$2:$AU$40))+1)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INDEX($AE$2:$AU$40,MOD(ROW()-ROW($AE$2),ROWS($AE$2:$AU$40))+1,INT((ROW()-ROW($AE$2))/ROWS($AE$2:$AU$40))+1)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INDEX($AE$2:$AU$40,MOD(ROW()-ROW($AE$2),ROWS($AE$2:$AU$40))+1,INT((ROW()-ROW($AE$2))/ROWS($AE$2:$AU$40))+1)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INDEX($AE$2:$AU$40,MOD(ROW()-ROW($AE$2),ROWS($AE$2:$AU$40))+1,INT((ROW()-ROW($AE$2))/ROWS($AE$2:$AU$40))+1)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INDEX($AE$2:$AU$40,MOD(ROW()-ROW($AE$2),ROWS($AE$2:$AU$40))+1,INT((ROW()-ROW($AE$2))/ROWS($AE$2:$AU$40))+1)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INDEX($AE$2:$AU$40,MOD(ROW()-ROW($AE$2),ROWS($AE$2:$AU$40))+1,INT((ROW()-ROW($AE$2))/ROWS($AE$2:$AU$40))+1)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INDEX($AE$2:$AU$40,MOD(ROW()-ROW($AE$2),ROWS($AE$2:$AU$40))+1,INT((ROW()-ROW($AE$2))/ROWS($AE$2:$AU$40))+1)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INDEX($AE$2:$AU$40,MOD(ROW()-ROW($AE$2),ROWS($AE$2:$AU$40))+1,INT((ROW()-ROW($AE$2))/ROWS($AE$2:$AU$40))+1)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INDEX($AE$2:$AU$40,MOD(ROW()-ROW($AE$2),ROWS($AE$2:$AU$40))+1,INT((ROW()-ROW($AE$2))/ROWS($AE$2:$AU$40))+1)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INDEX($AE$2:$AU$40,MOD(ROW()-ROW($AE$2),ROWS($AE$2:$AU$40))+1,INT((ROW()-ROW($AE$2))/ROWS($AE$2:$AU$40))+1)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INDEX($AE$2:$AU$40,MOD(ROW()-ROW($AE$2),ROWS($AE$2:$AU$40))+1,INT((ROW()-ROW($AE$2))/ROWS($AE$2:$AU$40))+1)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INDEX($AE$2:$AU$40,MOD(ROW()-ROW($AE$2),ROWS($AE$2:$AU$40))+1,INT((ROW()-ROW($AE$2))/ROWS($AE$2:$AU$40))+1)</f>
        <v>heating_coil_controller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cm="1">
        <f t="array" ref="Z276">INDEX($AE$2:$AU$40,MOD(ROW()-ROW($AE$2),ROWS($AE$2:$AU$40))+1,INT((ROW()-ROW($AE$2))/ROWS($AE$2:$AU$40))+1)</f>
        <v>0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INDEX($AE$2:$AU$40,MOD(ROW()-ROW($AE$2),ROWS($AE$2:$AU$40))+1,INT((ROW()-ROW($AE$2))/ROWS($AE$2:$AU$40))+1)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INDEX($AE$2:$AU$40,MOD(ROW()-ROW($AE$2),ROWS($AE$2:$AU$40))+1,INT((ROW()-ROW($AE$2))/ROWS($AE$2:$AU$40))+1)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INDEX($AE$2:$AU$40,MOD(ROW()-ROW($AE$2),ROWS($AE$2:$AU$40))+1,INT((ROW()-ROW($AE$2))/ROWS($AE$2:$AU$40))+1)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INDEX($AE$2:$AU$40,MOD(ROW()-ROW($AE$2),ROWS($AE$2:$AU$40))+1,INT((ROW()-ROW($AE$2))/ROWS($AE$2:$AU$40))+1)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INDEX($AE$2:$AU$40,MOD(ROW()-ROW($AE$2),ROWS($AE$2:$AU$40))+1,INT((ROW()-ROW($AE$2))/ROWS($AE$2:$AU$40))+1)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INDEX($AE$2:$AU$40,MOD(ROW()-ROW($AE$2),ROWS($AE$2:$AU$40))+1,INT((ROW()-ROW($AE$2))/ROWS($AE$2:$AU$40))+1)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INDEX($AE$2:$AU$40,MOD(ROW()-ROW($AE$2),ROWS($AE$2:$AU$40))+1,INT((ROW()-ROW($AE$2))/ROWS($AE$2:$AU$40))+1)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INDEX($AE$2:$AU$40,MOD(ROW()-ROW($AE$2),ROWS($AE$2:$AU$40))+1,INT((ROW()-ROW($AE$2))/ROWS($AE$2:$AU$40))+1)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INDEX($AE$2:$AU$40,MOD(ROW()-ROW($AE$2),ROWS($AE$2:$AU$40))+1,INT((ROW()-ROW($AE$2))/ROWS($AE$2:$AU$40))+1)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INDEX($AE$2:$AU$40,MOD(ROW()-ROW($AE$2),ROWS($AE$2:$AU$40))+1,INT((ROW()-ROW($AE$2))/ROWS($AE$2:$AU$40))+1)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INDEX($AE$2:$AU$40,MOD(ROW()-ROW($AE$2),ROWS($AE$2:$AU$40))+1,INT((ROW()-ROW($AE$2))/ROWS($AE$2:$AU$40))+1)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INDEX($AE$2:$AU$40,MOD(ROW()-ROW($AE$2),ROWS($AE$2:$AU$40))+1,INT((ROW()-ROW($AE$2))/ROWS($AE$2:$AU$40))+1)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INDEX($AE$2:$AU$40,MOD(ROW()-ROW($AE$2),ROWS($AE$2:$AU$40))+1,INT((ROW()-ROW($AE$2))/ROWS($AE$2:$AU$40))+1)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INDEX($AE$2:$AU$40,MOD(ROW()-ROW($AE$2),ROWS($AE$2:$AU$40))+1,INT((ROW()-ROW($AE$2))/ROWS($AE$2:$AU$40))+1)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INDEX($AE$2:$AU$40,MOD(ROW()-ROW($AE$2),ROWS($AE$2:$AU$40))+1,INT((ROW()-ROW($AE$2))/ROWS($AE$2:$AU$40))+1)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INDEX($AE$2:$AU$40,MOD(ROW()-ROW($AE$2),ROWS($AE$2:$AU$40))+1,INT((ROW()-ROW($AE$2))/ROWS($AE$2:$AU$40))+1)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INDEX($AE$2:$AU$40,MOD(ROW()-ROW($AE$2),ROWS($AE$2:$AU$40))+1,INT((ROW()-ROW($AE$2))/ROWS($AE$2:$AU$40))+1)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INDEX($AE$2:$AU$40,MOD(ROW()-ROW($AE$2),ROWS($AE$2:$AU$40))+1,INT((ROW()-ROW($AE$2))/ROWS($AE$2:$AU$40))+1)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INDEX($AE$2:$AU$40,MOD(ROW()-ROW($AE$2),ROWS($AE$2:$AU$40))+1,INT((ROW()-ROW($AE$2))/ROWS($AE$2:$AU$40))+1)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INDEX($AE$2:$AU$40,MOD(ROW()-ROW($AE$2),ROWS($AE$2:$AU$40))+1,INT((ROW()-ROW($AE$2))/ROWS($AE$2:$AU$40))+1)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INDEX($AE$2:$AU$40,MOD(ROW()-ROW($AE$2),ROWS($AE$2:$AU$40))+1,INT((ROW()-ROW($AE$2))/ROWS($AE$2:$AU$40))+1)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INDEX($AE$2:$AU$40,MOD(ROW()-ROW($AE$2),ROWS($AE$2:$AU$40))+1,INT((ROW()-ROW($AE$2))/ROWS($AE$2:$AU$40))+1)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INDEX($AE$2:$AU$40,MOD(ROW()-ROW($AE$2),ROWS($AE$2:$AU$40))+1,INT((ROW()-ROW($AE$2))/ROWS($AE$2:$AU$40))+1)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INDEX($AE$2:$AU$40,MOD(ROW()-ROW($AE$2),ROWS($AE$2:$AU$40))+1,INT((ROW()-ROW($AE$2))/ROWS($AE$2:$AU$40))+1)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INDEX($AE$2:$AU$40,MOD(ROW()-ROW($AE$2),ROWS($AE$2:$AU$40))+1,INT((ROW()-ROW($AE$2))/ROWS($AE$2:$AU$40))+1)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INDEX($AE$2:$AU$40,MOD(ROW()-ROW($AE$2),ROWS($AE$2:$AU$40))+1,INT((ROW()-ROW($AE$2))/ROWS($AE$2:$AU$40))+1)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INDEX($AE$2:$AU$40,MOD(ROW()-ROW($AE$2),ROWS($AE$2:$AU$40))+1,INT((ROW()-ROW($AE$2))/ROWS($AE$2:$AU$40))+1)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INDEX($AE$2:$AU$40,MOD(ROW()-ROW($AE$2),ROWS($AE$2:$AU$40))+1,INT((ROW()-ROW($AE$2))/ROWS($AE$2:$AU$40))+1)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INDEX($AE$2:$AU$40,MOD(ROW()-ROW($AE$2),ROWS($AE$2:$AU$40))+1,INT((ROW()-ROW($AE$2))/ROWS($AE$2:$AU$40))+1)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INDEX($AE$2:$AU$40,MOD(ROW()-ROW($AE$2),ROWS($AE$2:$AU$40))+1,INT((ROW()-ROW($AE$2))/ROWS($AE$2:$AU$40))+1)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INDEX($AE$2:$AU$40,MOD(ROW()-ROW($AE$2),ROWS($AE$2:$AU$40))+1,INT((ROW()-ROW($AE$2))/ROWS($AE$2:$AU$40))+1)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INDEX($AE$2:$AU$40,MOD(ROW()-ROW($AE$2),ROWS($AE$2:$AU$40))+1,INT((ROW()-ROW($AE$2))/ROWS($AE$2:$AU$40))+1)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INDEX($AE$2:$AU$40,MOD(ROW()-ROW($AE$2),ROWS($AE$2:$AU$40))+1,INT((ROW()-ROW($AE$2))/ROWS($AE$2:$AU$40))+1)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INDEX($AE$2:$AU$40,MOD(ROW()-ROW($AE$2),ROWS($AE$2:$AU$40))+1,INT((ROW()-ROW($AE$2))/ROWS($AE$2:$AU$40))+1)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INDEX($AE$2:$AU$40,MOD(ROW()-ROW($AE$2),ROWS($AE$2:$AU$40))+1,INT((ROW()-ROW($AE$2))/ROWS($AE$2:$AU$40))+1)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INDEX($AE$2:$AU$40,MOD(ROW()-ROW($AE$2),ROWS($AE$2:$AU$40))+1,INT((ROW()-ROW($AE$2))/ROWS($AE$2:$AU$40))+1)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INDEX($AE$2:$AU$40,MOD(ROW()-ROW($AE$2),ROWS($AE$2:$AU$40))+1,INT((ROW()-ROW($AE$2))/ROWS($AE$2:$AU$40))+1)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INDEX($AE$2:$AU$40,MOD(ROW()-ROW($AE$2),ROWS($AE$2:$AU$40))+1,INT((ROW()-ROW($AE$2))/ROWS($AE$2:$AU$40))+1)</f>
        <v>fan_inlet_air_temperature_sensor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INDEX($AE$2:$AU$40,MOD(ROW()-ROW($AE$2),ROWS($AE$2:$AU$40))+1,INT((ROW()-ROW($AE$2))/ROWS($AE$2:$AU$40))+1)</f>
        <v>coil_outlet_air_temperature_sensor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INDEX($AE$2:$AU$40,MOD(ROW()-ROW($AE$2),ROWS($AE$2:$AU$40))+1,INT((ROW()-ROW($AE$2))/ROWS($AE$2:$AU$40))+1)</f>
        <v>coil_inlet_water_temperature_sensor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INDEX($AE$2:$AU$40,MOD(ROW()-ROW($AE$2),ROWS($AE$2:$AU$40))+1,INT((ROW()-ROW($AE$2))/ROWS($AE$2:$AU$40))+1)</f>
        <v>heating_coil_valve_position_sensor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INDEX($AE$2:$AU$40,MOD(ROW()-ROW($AE$2),ROWS($AE$2:$AU$40))+1,INT((ROW()-ROW($AE$2))/ROWS($AE$2:$AU$40))+1)</f>
        <v>coil_outlet_water_temperature_sensor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INDEX($AE$2:$AU$40,MOD(ROW()-ROW($AE$2),ROWS($AE$2:$AU$40))+1,INT((ROW()-ROW($AE$2))/ROWS($AE$2:$AU$40))+1)</f>
        <v>supply_water_temperature_sensor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cm="1">
        <f t="array" ref="Z320">INDEX($AE$2:$AU$40,MOD(ROW()-ROW($AE$2),ROWS($AE$2:$AU$40))+1,INT((ROW()-ROW($AE$2))/ROWS($AE$2:$AU$40))+1)</f>
        <v>0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cm="1">
        <f t="array" ref="Z321">INDEX($AE$2:$AU$40,MOD(ROW()-ROW($AE$2),ROWS($AE$2:$AU$40))+1,INT((ROW()-ROW($AE$2))/ROWS($AE$2:$AU$40))+1)</f>
        <v>0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cm="1">
        <f t="array" ref="Z322">INDEX($AE$2:$AU$40,MOD(ROW()-ROW($AE$2),ROWS($AE$2:$AU$40))+1,INT((ROW()-ROW($AE$2))/ROWS($AE$2:$AU$40))+1)</f>
        <v>0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cm="1">
        <f t="array" ref="Z323">INDEX($AE$2:$AU$40,MOD(ROW()-ROW($AE$2),ROWS($AE$2:$AU$40))+1,INT((ROW()-ROW($AE$2))/ROWS($AE$2:$AU$40))+1)</f>
        <v>0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cm="1">
        <f t="array" ref="Z324">INDEX($AE$2:$AU$40,MOD(ROW()-ROW($AE$2),ROWS($AE$2:$AU$40))+1,INT((ROW()-ROW($AE$2))/ROWS($AE$2:$AU$40))+1)</f>
        <v>0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cm="1">
        <f t="array" ref="Z325">INDEX($AE$2:$AU$40,MOD(ROW()-ROW($AE$2),ROWS($AE$2:$AU$40))+1,INT((ROW()-ROW($AE$2))/ROWS($AE$2:$AU$40))+1)</f>
        <v>0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cm="1">
        <f t="array" ref="Z326">INDEX($AE$2:$AU$40,MOD(ROW()-ROW($AE$2),ROWS($AE$2:$AU$40))+1,INT((ROW()-ROW($AE$2))/ROWS($AE$2:$AU$40))+1)</f>
        <v>0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cm="1">
        <f t="array" ref="Z327">INDEX($AE$2:$AU$40,MOD(ROW()-ROW($AE$2),ROWS($AE$2:$AU$40))+1,INT((ROW()-ROW($AE$2))/ROWS($AE$2:$AU$40))+1)</f>
        <v>0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cm="1">
        <f t="array" ref="Z328">INDEX($AE$2:$AU$40,MOD(ROW()-ROW($AE$2),ROWS($AE$2:$AU$40))+1,INT((ROW()-ROW($AE$2))/ROWS($AE$2:$AU$40))+1)</f>
        <v>0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cm="1">
        <f t="array" ref="Z329">INDEX($AE$2:$AU$40,MOD(ROW()-ROW($AE$2),ROWS($AE$2:$AU$40))+1,INT((ROW()-ROW($AE$2))/ROWS($AE$2:$AU$40))+1)</f>
        <v>0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INDEX($AE$2:$AU$40,MOD(ROW()-ROW($AE$2),ROWS($AE$2:$AU$40))+1,INT((ROW()-ROW($AE$2))/ROWS($AE$2:$AU$40))+1)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INDEX($AE$2:$AU$40,MOD(ROW()-ROW($AE$2),ROWS($AE$2:$AU$40))+1,INT((ROW()-ROW($AE$2))/ROWS($AE$2:$AU$40))+1)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INDEX($AE$2:$AU$40,MOD(ROW()-ROW($AE$2),ROWS($AE$2:$AU$40))+1,INT((ROW()-ROW($AE$2))/ROWS($AE$2:$AU$40))+1)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INDEX($AE$2:$AU$40,MOD(ROW()-ROW($AE$2),ROWS($AE$2:$AU$40))+1,INT((ROW()-ROW($AE$2))/ROWS($AE$2:$AU$40))+1)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INDEX($AE$2:$AU$40,MOD(ROW()-ROW($AE$2),ROWS($AE$2:$AU$40))+1,INT((ROW()-ROW($AE$2))/ROWS($AE$2:$AU$40))+1)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INDEX($AE$2:$AU$40,MOD(ROW()-ROW($AE$2),ROWS($AE$2:$AU$40))+1,INT((ROW()-ROW($AE$2))/ROWS($AE$2:$AU$40))+1)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INDEX($AE$2:$AU$40,MOD(ROW()-ROW($AE$2),ROWS($AE$2:$AU$40))+1,INT((ROW()-ROW($AE$2))/ROWS($AE$2:$AU$40))+1)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INDEX($AE$2:$AU$40,MOD(ROW()-ROW($AE$2),ROWS($AE$2:$AU$40))+1,INT((ROW()-ROW($AE$2))/ROWS($AE$2:$AU$40))+1)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INDEX($AE$2:$AU$40,MOD(ROW()-ROW($AE$2),ROWS($AE$2:$AU$40))+1,INT((ROW()-ROW($AE$2))/ROWS($AE$2:$AU$40))+1)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INDEX($AE$2:$AU$40,MOD(ROW()-ROW($AE$2),ROWS($AE$2:$AU$40))+1,INT((ROW()-ROW($AE$2))/ROWS($AE$2:$AU$40))+1)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INDEX($AE$2:$AU$40,MOD(ROW()-ROW($AE$2),ROWS($AE$2:$AU$40))+1,INT((ROW()-ROW($AE$2))/ROWS($AE$2:$AU$40))+1)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INDEX($AE$2:$AU$40,MOD(ROW()-ROW($AE$2),ROWS($AE$2:$AU$40))+1,INT((ROW()-ROW($AE$2))/ROWS($AE$2:$AU$40))+1)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INDEX($AE$2:$AU$40,MOD(ROW()-ROW($AE$2),ROWS($AE$2:$AU$40))+1,INT((ROW()-ROW($AE$2))/ROWS($AE$2:$AU$40))+1)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INDEX($AE$2:$AU$40,MOD(ROW()-ROW($AE$2),ROWS($AE$2:$AU$40))+1,INT((ROW()-ROW($AE$2))/ROWS($AE$2:$AU$40))+1)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INDEX($AE$2:$AU$40,MOD(ROW()-ROW($AE$2),ROWS($AE$2:$AU$40))+1,INT((ROW()-ROW($AE$2))/ROWS($AE$2:$AU$40))+1)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INDEX($AE$2:$AU$40,MOD(ROW()-ROW($AE$2),ROWS($AE$2:$AU$40))+1,INT((ROW()-ROW($AE$2))/ROWS($AE$2:$AU$40))+1)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INDEX($AE$2:$AU$40,MOD(ROW()-ROW($AE$2),ROWS($AE$2:$AU$40))+1,INT((ROW()-ROW($AE$2))/ROWS($AE$2:$AU$40))+1)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INDEX($AE$2:$AU$40,MOD(ROW()-ROW($AE$2),ROWS($AE$2:$AU$40))+1,INT((ROW()-ROW($AE$2))/ROWS($AE$2:$AU$40))+1)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INDEX($AE$2:$AU$40,MOD(ROW()-ROW($AE$2),ROWS($AE$2:$AU$40))+1,INT((ROW()-ROW($AE$2))/ROWS($AE$2:$AU$40))+1)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INDEX($AE$2:$AU$40,MOD(ROW()-ROW($AE$2),ROWS($AE$2:$AU$40))+1,INT((ROW()-ROW($AE$2))/ROWS($AE$2:$AU$40))+1)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INDEX($AE$2:$AU$40,MOD(ROW()-ROW($AE$2),ROWS($AE$2:$AU$40))+1,INT((ROW()-ROW($AE$2))/ROWS($AE$2:$AU$40))+1)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INDEX($AE$2:$AU$40,MOD(ROW()-ROW($AE$2),ROWS($AE$2:$AU$40))+1,INT((ROW()-ROW($AE$2))/ROWS($AE$2:$AU$40))+1)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INDEX($AE$2:$AU$40,MOD(ROW()-ROW($AE$2),ROWS($AE$2:$AU$40))+1,INT((ROW()-ROW($AE$2))/ROWS($AE$2:$AU$40))+1)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INDEX($AE$2:$AU$40,MOD(ROW()-ROW($AE$2),ROWS($AE$2:$AU$40))+1,INT((ROW()-ROW($AE$2))/ROWS($AE$2:$AU$40))+1)</f>
        <v>fan_flow_meter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INDEX($AE$2:$AU$40,MOD(ROW()-ROW($AE$2),ROWS($AE$2:$AU$40))+1,INT((ROW()-ROW($AE$2))/ROWS($AE$2:$AU$40))+1)</f>
        <v>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INDEX($AE$2:$AU$40,MOD(ROW()-ROW($AE$2),ROWS($AE$2:$AU$40))+1,INT((ROW()-ROW($AE$2))/ROWS($AE$2:$AU$40))+1)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INDEX($AE$2:$AU$40,MOD(ROW()-ROW($AE$2),ROWS($AE$2:$AU$40))+1,INT((ROW()-ROW($AE$2))/ROWS($AE$2:$AU$40))+1)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INDEX($AE$2:$AU$40,MOD(ROW()-ROW($AE$2),ROWS($AE$2:$AU$40))+1,INT((ROW()-ROW($AE$2))/ROWS($AE$2:$AU$40))+1)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INDEX($AE$2:$AU$40,MOD(ROW()-ROW($AE$2),ROWS($AE$2:$AU$40))+1,INT((ROW()-ROW($AE$2))/ROWS($AE$2:$AU$40))+1)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INDEX($AE$2:$AU$40,MOD(ROW()-ROW($AE$2),ROWS($AE$2:$AU$40))+1,INT((ROW()-ROW($AE$2))/ROWS($AE$2:$AU$40))+1)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INDEX($AE$2:$AU$40,MOD(ROW()-ROW($AE$2),ROWS($AE$2:$AU$40))+1,INT((ROW()-ROW($AE$2))/ROWS($AE$2:$AU$40))+1)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INDEX($AE$2:$AU$40,MOD(ROW()-ROW($AE$2),ROWS($AE$2:$AU$40))+1,INT((ROW()-ROW($AE$2))/ROWS($AE$2:$AU$40))+1)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INDEX($AE$2:$AU$40,MOD(ROW()-ROW($AE$2),ROWS($AE$2:$AU$40))+1,INT((ROW()-ROW($AE$2))/ROWS($AE$2:$AU$40))+1)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INDEX($AE$2:$AU$40,MOD(ROW()-ROW($AE$2),ROWS($AE$2:$AU$40))+1,INT((ROW()-ROW($AE$2))/ROWS($AE$2:$AU$40))+1)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INDEX($AE$2:$AU$40,MOD(ROW()-ROW($AE$2),ROWS($AE$2:$AU$40))+1,INT((ROW()-ROW($AE$2))/ROWS($AE$2:$AU$40))+1)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INDEX($AE$2:$AU$40,MOD(ROW()-ROW($AE$2),ROWS($AE$2:$AU$40))+1,INT((ROW()-ROW($AE$2))/ROWS($AE$2:$AU$40))+1)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INDEX($AE$2:$AU$40,MOD(ROW()-ROW($AE$2),ROWS($AE$2:$AU$40))+1,INT((ROW()-ROW($AE$2))/ROWS($AE$2:$AU$40))+1)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INDEX($AE$2:$AU$40,MOD(ROW()-ROW($AE$2),ROWS($AE$2:$AU$40))+1,INT((ROW()-ROW($AE$2))/ROWS($AE$2:$AU$40))+1)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INDEX($AE$2:$AU$40,MOD(ROW()-ROW($AE$2),ROWS($AE$2:$AU$40))+1,INT((ROW()-ROW($AE$2))/ROWS($AE$2:$AU$40))+1)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INDEX($AE$2:$AU$40,MOD(ROW()-ROW($AE$2),ROWS($AE$2:$AU$40))+1,INT((ROW()-ROW($AE$2))/ROWS($AE$2:$AU$40))+1)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INDEX($AE$2:$AU$40,MOD(ROW()-ROW($AE$2),ROWS($AE$2:$AU$40))+1,INT((ROW()-ROW($AE$2))/ROWS($AE$2:$AU$40))+1)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INDEX($AE$2:$AU$40,MOD(ROW()-ROW($AE$2),ROWS($AE$2:$AU$40))+1,INT((ROW()-ROW($AE$2))/ROWS($AE$2:$AU$40))+1)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INDEX($AE$2:$AU$40,MOD(ROW()-ROW($AE$2),ROWS($AE$2:$AU$40))+1,INT((ROW()-ROW($AE$2))/ROWS($AE$2:$AU$40))+1)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INDEX($AE$2:$AU$40,MOD(ROW()-ROW($AE$2),ROWS($AE$2:$AU$40))+1,INT((ROW()-ROW($AE$2))/ROWS($AE$2:$AU$40))+1)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INDEX($AE$2:$AU$40,MOD(ROW()-ROW($AE$2),ROWS($AE$2:$AU$40))+1,INT((ROW()-ROW($AE$2))/ROWS($AE$2:$AU$40))+1)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INDEX($AE$2:$AU$40,MOD(ROW()-ROW($AE$2),ROWS($AE$2:$AU$40))+1,INT((ROW()-ROW($AE$2))/ROWS($AE$2:$AU$40))+1)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INDEX($AE$2:$AU$40,MOD(ROW()-ROW($AE$2),ROWS($AE$2:$AU$40))+1,INT((ROW()-ROW($AE$2))/ROWS($AE$2:$AU$40))+1)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INDEX($AE$2:$AU$40,MOD(ROW()-ROW($AE$2),ROWS($AE$2:$AU$40))+1,INT((ROW()-ROW($AE$2))/ROWS($AE$2:$AU$40))+1)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INDEX($AE$2:$AU$40,MOD(ROW()-ROW($AE$2),ROWS($AE$2:$AU$40))+1,INT((ROW()-ROW($AE$2))/ROWS($AE$2:$AU$40))+1)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INDEX($AE$2:$AU$40,MOD(ROW()-ROW($AE$2),ROWS($AE$2:$AU$40))+1,INT((ROW()-ROW($AE$2))/ROWS($AE$2:$AU$40))+1)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INDEX($AE$2:$AU$40,MOD(ROW()-ROW($AE$2),ROWS($AE$2:$AU$40))+1,INT((ROW()-ROW($AE$2))/ROWS($AE$2:$AU$40))+1)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INDEX($AE$2:$AU$40,MOD(ROW()-ROW($AE$2),ROWS($AE$2:$AU$40))+1,INT((ROW()-ROW($AE$2))/ROWS($AE$2:$AU$40))+1)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INDEX($AE$2:$AU$40,MOD(ROW()-ROW($AE$2),ROWS($AE$2:$AU$40))+1,INT((ROW()-ROW($AE$2))/ROWS($AE$2:$AU$40))+1)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INDEX($AE$2:$AU$40,MOD(ROW()-ROW($AE$2),ROWS($AE$2:$AU$40))+1,INT((ROW()-ROW($AE$2))/ROWS($AE$2:$AU$40))+1)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INDEX($AE$2:$AU$40,MOD(ROW()-ROW($AE$2),ROWS($AE$2:$AU$40))+1,INT((ROW()-ROW($AE$2))/ROWS($AE$2:$AU$40))+1)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INDEX($AE$2:$AU$40,MOD(ROW()-ROW($AE$2),ROWS($AE$2:$AU$40))+1,INT((ROW()-ROW($AE$2))/ROWS($AE$2:$AU$40))+1)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INDEX($AE$2:$AU$40,MOD(ROW()-ROW($AE$2),ROWS($AE$2:$AU$40))+1,INT((ROW()-ROW($AE$2))/ROWS($AE$2:$AU$40))+1)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INDEX($AE$2:$AU$40,MOD(ROW()-ROW($AE$2),ROWS($AE$2:$AU$40))+1,INT((ROW()-ROW($AE$2))/ROWS($AE$2:$AU$40))+1)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INDEX($AE$2:$AU$40,MOD(ROW()-ROW($AE$2),ROWS($AE$2:$AU$40))+1,INT((ROW()-ROW($AE$2))/ROWS($AE$2:$AU$40))+1)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INDEX($AE$2:$AU$40,MOD(ROW()-ROW($AE$2),ROWS($AE$2:$AU$40))+1,INT((ROW()-ROW($AE$2))/ROWS($AE$2:$AU$40))+1)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INDEX($AE$2:$AU$40,MOD(ROW()-ROW($AE$2),ROWS($AE$2:$AU$40))+1,INT((ROW()-ROW($AE$2))/ROWS($AE$2:$AU$40))+1)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INDEX($AE$2:$AU$40,MOD(ROW()-ROW($AE$2),ROWS($AE$2:$AU$40))+1,INT((ROW()-ROW($AE$2))/ROWS($AE$2:$AU$40))+1)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INDEX($AE$2:$AU$40,MOD(ROW()-ROW($AE$2),ROWS($AE$2:$AU$40))+1,INT((ROW()-ROW($AE$2))/ROWS($AE$2:$AU$40))+1)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INDEX($AE$2:$AU$40,MOD(ROW()-ROW($AE$2),ROWS($AE$2:$AU$40))+1,INT((ROW()-ROW($AE$2))/ROWS($AE$2:$AU$40))+1)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INDEX($AE$2:$AU$40,MOD(ROW()-ROW($AE$2),ROWS($AE$2:$AU$40))+1,INT((ROW()-ROW($AE$2))/ROWS($AE$2:$AU$40))+1)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INDEX($AE$2:$AU$40,MOD(ROW()-ROW($AE$2),ROWS($AE$2:$AU$40))+1,INT((ROW()-ROW($AE$2))/ROWS($AE$2:$AU$40))+1)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INDEX($AE$2:$AU$40,MOD(ROW()-ROW($AE$2),ROWS($AE$2:$AU$40))+1,INT((ROW()-ROW($AE$2))/ROWS($AE$2:$AU$40))+1)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INDEX($AE$2:$AU$40,MOD(ROW()-ROW($AE$2),ROWS($AE$2:$AU$40))+1,INT((ROW()-ROW($AE$2))/ROWS($AE$2:$AU$40))+1)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INDEX($AE$2:$AU$40,MOD(ROW()-ROW($AE$2),ROWS($AE$2:$AU$40))+1,INT((ROW()-ROW($AE$2))/ROWS($AE$2:$AU$40))+1)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INDEX($AE$2:$AU$40,MOD(ROW()-ROW($AE$2),ROWS($AE$2:$AU$40))+1,INT((ROW()-ROW($AE$2))/ROWS($AE$2:$AU$40))+1)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INDEX($AE$2:$AU$40,MOD(ROW()-ROW($AE$2),ROWS($AE$2:$AU$40))+1,INT((ROW()-ROW($AE$2))/ROWS($AE$2:$AU$40))+1)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INDEX($AE$2:$AU$40,MOD(ROW()-ROW($AE$2),ROWS($AE$2:$AU$40))+1,INT((ROW()-ROW($AE$2))/ROWS($AE$2:$AU$40))+1)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INDEX($AE$2:$AU$40,MOD(ROW()-ROW($AE$2),ROWS($AE$2:$AU$40))+1,INT((ROW()-ROW($AE$2))/ROWS($AE$2:$AU$40))+1)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INDEX($AE$2:$AU$40,MOD(ROW()-ROW($AE$2),ROWS($AE$2:$AU$40))+1,INT((ROW()-ROW($AE$2))/ROWS($AE$2:$AU$40))+1)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INDEX($AE$2:$AU$40,MOD(ROW()-ROW($AE$2),ROWS($AE$2:$AU$40))+1,INT((ROW()-ROW($AE$2))/ROWS($AE$2:$AU$40))+1)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INDEX($AE$2:$AU$40,MOD(ROW()-ROW($AE$2),ROWS($AE$2:$AU$40))+1,INT((ROW()-ROW($AE$2))/ROWS($AE$2:$AU$40))+1)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INDEX($AE$2:$AU$40,MOD(ROW()-ROW($AE$2),ROWS($AE$2:$AU$40))+1,INT((ROW()-ROW($AE$2))/ROWS($AE$2:$AU$40))+1)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INDEX($AE$2:$AU$40,MOD(ROW()-ROW($AE$2),ROWS($AE$2:$AU$40))+1,INT((ROW()-ROW($AE$2))/ROWS($AE$2:$AU$40))+1)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INDEX($AE$2:$AU$40,MOD(ROW()-ROW($AE$2),ROWS($AE$2:$AU$40))+1,INT((ROW()-ROW($AE$2))/ROWS($AE$2:$AU$40))+1)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INDEX($AE$2:$AU$40,MOD(ROW()-ROW($AE$2),ROWS($AE$2:$AU$40))+1,INT((ROW()-ROW($AE$2))/ROWS($AE$2:$AU$40))+1)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INDEX($AE$2:$AU$40,MOD(ROW()-ROW($AE$2),ROWS($AE$2:$AU$40))+1,INT((ROW()-ROW($AE$2))/ROWS($AE$2:$AU$40))+1)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INDEX($AE$2:$AU$40,MOD(ROW()-ROW($AE$2),ROWS($AE$2:$AU$40))+1,INT((ROW()-ROW($AE$2))/ROWS($AE$2:$AU$40))+1)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INDEX($AE$2:$AU$40,MOD(ROW()-ROW($AE$2),ROWS($AE$2:$AU$40))+1,INT((ROW()-ROW($AE$2))/ROWS($AE$2:$AU$40))+1)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INDEX($AE$2:$AU$40,MOD(ROW()-ROW($AE$2),ROWS($AE$2:$AU$40))+1,INT((ROW()-ROW($AE$2))/ROWS($AE$2:$AU$40))+1)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INDEX($AE$2:$AU$40,MOD(ROW()-ROW($AE$2),ROWS($AE$2:$AU$40))+1,INT((ROW()-ROW($AE$2))/ROWS($AE$2:$AU$40))+1)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INDEX($AE$2:$AU$40,MOD(ROW()-ROW($AE$2),ROWS($AE$2:$AU$40))+1,INT((ROW()-ROW($AE$2))/ROWS($AE$2:$AU$40))+1)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INDEX($AE$2:$AU$40,MOD(ROW()-ROW($AE$2),ROWS($AE$2:$AU$40))+1,INT((ROW()-ROW($AE$2))/ROWS($AE$2:$AU$40))+1)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INDEX($AE$2:$AU$40,MOD(ROW()-ROW($AE$2),ROWS($AE$2:$AU$40))+1,INT((ROW()-ROW($AE$2))/ROWS($AE$2:$AU$40))+1)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INDEX($AE$2:$AU$40,MOD(ROW()-ROW($AE$2),ROWS($AE$2:$AU$40))+1,INT((ROW()-ROW($AE$2))/ROWS($AE$2:$AU$40))+1)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INDEX($AE$2:$AU$40,MOD(ROW()-ROW($AE$2),ROWS($AE$2:$AU$40))+1,INT((ROW()-ROW($AE$2))/ROWS($AE$2:$AU$40))+1)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INDEX($AE$2:$AU$40,MOD(ROW()-ROW($AE$2),ROWS($AE$2:$AU$40))+1,INT((ROW()-ROW($AE$2))/ROWS($AE$2:$AU$40))+1)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INDEX($AE$2:$AU$40,MOD(ROW()-ROW($AE$2),ROWS($AE$2:$AU$40))+1,INT((ROW()-ROW($AE$2))/ROWS($AE$2:$AU$40))+1)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INDEX($AE$2:$AU$40,MOD(ROW()-ROW($AE$2),ROWS($AE$2:$AU$40))+1,INT((ROW()-ROW($AE$2))/ROWS($AE$2:$AU$40))+1)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INDEX($AE$2:$AU$40,MOD(ROW()-ROW($AE$2),ROWS($AE$2:$AU$40))+1,INT((ROW()-ROW($AE$2))/ROWS($AE$2:$AU$40))+1)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INDEX($AE$2:$AU$40,MOD(ROW()-ROW($AE$2),ROWS($AE$2:$AU$40))+1,INT((ROW()-ROW($AE$2))/ROWS($AE$2:$AU$40))+1)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INDEX($AE$2:$AU$40,MOD(ROW()-ROW($AE$2),ROWS($AE$2:$AU$40))+1,INT((ROW()-ROW($AE$2))/ROWS($AE$2:$AU$40))+1)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INDEX($AE$2:$AU$40,MOD(ROW()-ROW($AE$2),ROWS($AE$2:$AU$40))+1,INT((ROW()-ROW($AE$2))/ROWS($AE$2:$AU$40))+1)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INDEX($AE$2:$AU$40,MOD(ROW()-ROW($AE$2),ROWS($AE$2:$AU$40))+1,INT((ROW()-ROW($AE$2))/ROWS($AE$2:$AU$40))+1)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INDEX($AE$2:$AU$40,MOD(ROW()-ROW($AE$2),ROWS($AE$2:$AU$40))+1,INT((ROW()-ROW($AE$2))/ROWS($AE$2:$AU$40))+1)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INDEX($AE$2:$AU$40,MOD(ROW()-ROW($AE$2),ROWS($AE$2:$AU$40))+1,INT((ROW()-ROW($AE$2))/ROWS($AE$2:$AU$40))+1)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INDEX($AE$2:$AU$40,MOD(ROW()-ROW($AE$2),ROWS($AE$2:$AU$40))+1,INT((ROW()-ROW($AE$2))/ROWS($AE$2:$AU$40))+1)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INDEX($AE$2:$AU$40,MOD(ROW()-ROW($AE$2),ROWS($AE$2:$AU$40))+1,INT((ROW()-ROW($AE$2))/ROWS($AE$2:$AU$40))+1)</f>
        <v>heating_coil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ref="Z432">INDEX($AE$2:$AU$40,MOD(ROW()-ROW($AE$2),ROWS($AE$2:$AU$40))+1,INT((ROW()-ROW($AE$2))/ROWS($AE$2:$AU$40))+1)</f>
        <v/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INDEX($AE$2:$AU$40,MOD(ROW()-ROW($AE$2),ROWS($AE$2:$AU$40))+1,INT((ROW()-ROW($AE$2))/ROWS($AE$2:$AU$40))+1)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INDEX($AE$2:$AU$40,MOD(ROW()-ROW($AE$2),ROWS($AE$2:$AU$40))+1,INT((ROW()-ROW($AE$2))/ROWS($AE$2:$AU$40))+1)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INDEX($AE$2:$AU$40,MOD(ROW()-ROW($AE$2),ROWS($AE$2:$AU$40))+1,INT((ROW()-ROW($AE$2))/ROWS($AE$2:$AU$40))+1)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INDEX($AE$2:$AU$40,MOD(ROW()-ROW($AE$2),ROWS($AE$2:$AU$40))+1,INT((ROW()-ROW($AE$2))/ROWS($AE$2:$AU$40))+1)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INDEX($AE$2:$AU$40,MOD(ROW()-ROW($AE$2),ROWS($AE$2:$AU$40))+1,INT((ROW()-ROW($AE$2))/ROWS($AE$2:$AU$40))+1)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INDEX($AE$2:$AU$40,MOD(ROW()-ROW($AE$2),ROWS($AE$2:$AU$40))+1,INT((ROW()-ROW($AE$2))/ROWS($AE$2:$AU$40))+1)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INDEX($AE$2:$AU$40,MOD(ROW()-ROW($AE$2),ROWS($AE$2:$AU$40))+1,INT((ROW()-ROW($AE$2))/ROWS($AE$2:$AU$40))+1)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INDEX($AE$2:$AU$40,MOD(ROW()-ROW($AE$2),ROWS($AE$2:$AU$40))+1,INT((ROW()-ROW($AE$2))/ROWS($AE$2:$AU$40))+1)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INDEX($AE$2:$AU$40,MOD(ROW()-ROW($AE$2),ROWS($AE$2:$AU$40))+1,INT((ROW()-ROW($AE$2))/ROWS($AE$2:$AU$40))+1)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INDEX($AE$2:$AU$40,MOD(ROW()-ROW($AE$2),ROWS($AE$2:$AU$40))+1,INT((ROW()-ROW($AE$2))/ROWS($AE$2:$AU$40))+1)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INDEX($AE$2:$AU$40,MOD(ROW()-ROW($AE$2),ROWS($AE$2:$AU$40))+1,INT((ROW()-ROW($AE$2))/ROWS($AE$2:$AU$40))+1)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INDEX($AE$2:$AU$40,MOD(ROW()-ROW($AE$2),ROWS($AE$2:$AU$40))+1,INT((ROW()-ROW($AE$2))/ROWS($AE$2:$AU$40))+1)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INDEX($AE$2:$AU$40,MOD(ROW()-ROW($AE$2),ROWS($AE$2:$AU$40))+1,INT((ROW()-ROW($AE$2))/ROWS($AE$2:$AU$40))+1)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INDEX($AE$2:$AU$40,MOD(ROW()-ROW($AE$2),ROWS($AE$2:$AU$40))+1,INT((ROW()-ROW($AE$2))/ROWS($AE$2:$AU$40))+1)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INDEX($AE$2:$AU$40,MOD(ROW()-ROW($AE$2),ROWS($AE$2:$AU$40))+1,INT((ROW()-ROW($AE$2))/ROWS($AE$2:$AU$40))+1)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INDEX($AE$2:$AU$40,MOD(ROW()-ROW($AE$2),ROWS($AE$2:$AU$40))+1,INT((ROW()-ROW($AE$2))/ROWS($AE$2:$AU$40))+1)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INDEX($AE$2:$AU$40,MOD(ROW()-ROW($AE$2),ROWS($AE$2:$AU$40))+1,INT((ROW()-ROW($AE$2))/ROWS($AE$2:$AU$40))+1)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INDEX($AE$2:$AU$40,MOD(ROW()-ROW($AE$2),ROWS($AE$2:$AU$40))+1,INT((ROW()-ROW($AE$2))/ROWS($AE$2:$AU$40))+1)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INDEX($AE$2:$AU$40,MOD(ROW()-ROW($AE$2),ROWS($AE$2:$AU$40))+1,INT((ROW()-ROW($AE$2))/ROWS($AE$2:$AU$40))+1)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INDEX($AE$2:$AU$40,MOD(ROW()-ROW($AE$2),ROWS($AE$2:$AU$40))+1,INT((ROW()-ROW($AE$2))/ROWS($AE$2:$AU$40))+1)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INDEX($AE$2:$AU$40,MOD(ROW()-ROW($AE$2),ROWS($AE$2:$AU$40))+1,INT((ROW()-ROW($AE$2))/ROWS($AE$2:$AU$40))+1)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INDEX($AE$2:$AU$40,MOD(ROW()-ROW($AE$2),ROWS($AE$2:$AU$40))+1,INT((ROW()-ROW($AE$2))/ROWS($AE$2:$AU$40))+1)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INDEX($AE$2:$AU$40,MOD(ROW()-ROW($AE$2),ROWS($AE$2:$AU$40))+1,INT((ROW()-ROW($AE$2))/ROWS($AE$2:$AU$40))+1)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INDEX($AE$2:$AU$40,MOD(ROW()-ROW($AE$2),ROWS($AE$2:$AU$40))+1,INT((ROW()-ROW($AE$2))/ROWS($AE$2:$AU$40))+1)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INDEX($AE$2:$AU$40,MOD(ROW()-ROW($AE$2),ROWS($AE$2:$AU$40))+1,INT((ROW()-ROW($AE$2))/ROWS($AE$2:$AU$40))+1)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INDEX($AE$2:$AU$40,MOD(ROW()-ROW($AE$2),ROWS($AE$2:$AU$40))+1,INT((ROW()-ROW($AE$2))/ROWS($AE$2:$AU$40))+1)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INDEX($AE$2:$AU$40,MOD(ROW()-ROW($AE$2),ROWS($AE$2:$AU$40))+1,INT((ROW()-ROW($AE$2))/ROWS($AE$2:$AU$40))+1)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INDEX($AE$2:$AU$40,MOD(ROW()-ROW($AE$2),ROWS($AE$2:$AU$40))+1,INT((ROW()-ROW($AE$2))/ROWS($AE$2:$AU$40))+1)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INDEX($AE$2:$AU$40,MOD(ROW()-ROW($AE$2),ROWS($AE$2:$AU$40))+1,INT((ROW()-ROW($AE$2))/ROWS($AE$2:$AU$40))+1)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INDEX($AE$2:$AU$40,MOD(ROW()-ROW($AE$2),ROWS($AE$2:$AU$40))+1,INT((ROW()-ROW($AE$2))/ROWS($AE$2:$AU$40))+1)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INDEX($AE$2:$AU$40,MOD(ROW()-ROW($AE$2),ROWS($AE$2:$AU$40))+1,INT((ROW()-ROW($AE$2))/ROWS($AE$2:$AU$40))+1)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INDEX($AE$2:$AU$40,MOD(ROW()-ROW($AE$2),ROWS($AE$2:$AU$40))+1,INT((ROW()-ROW($AE$2))/ROWS($AE$2:$AU$40))+1)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INDEX($AE$2:$AU$40,MOD(ROW()-ROW($AE$2),ROWS($AE$2:$AU$40))+1,INT((ROW()-ROW($AE$2))/ROWS($AE$2:$AU$40))+1)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INDEX($AE$2:$AU$40,MOD(ROW()-ROW($AE$2),ROWS($AE$2:$AU$40))+1,INT((ROW()-ROW($AE$2))/ROWS($AE$2:$AU$40))+1)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INDEX($AE$2:$AU$40,MOD(ROW()-ROW($AE$2),ROWS($AE$2:$AU$40))+1,INT((ROW()-ROW($AE$2))/ROWS($AE$2:$AU$40))+1)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INDEX($AE$2:$AU$40,MOD(ROW()-ROW($AE$2),ROWS($AE$2:$AU$40))+1,INT((ROW()-ROW($AE$2))/ROWS($AE$2:$AU$40))+1)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INDEX($AE$2:$AU$40,MOD(ROW()-ROW($AE$2),ROWS($AE$2:$AU$40))+1,INT((ROW()-ROW($AE$2))/ROWS($AE$2:$AU$40))+1)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INDEX($AE$2:$AU$40,MOD(ROW()-ROW($AE$2),ROWS($AE$2:$AU$40))+1,INT((ROW()-ROW($AE$2))/ROWS($AE$2:$AU$40))+1)</f>
        <v>heating_coil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ref="Z471">INDEX($AE$2:$AU$40,MOD(ROW()-ROW($AE$2),ROWS($AE$2:$AU$40))+1,INT((ROW()-ROW($AE$2))/ROWS($AE$2:$AU$40))+1)</f>
        <v/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INDEX($AE$2:$AU$40,MOD(ROW()-ROW($AE$2),ROWS($AE$2:$AU$40))+1,INT((ROW()-ROW($AE$2))/ROWS($AE$2:$AU$40))+1)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INDEX($AE$2:$AU$40,MOD(ROW()-ROW($AE$2),ROWS($AE$2:$AU$40))+1,INT((ROW()-ROW($AE$2))/ROWS($AE$2:$AU$40))+1)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INDEX($AE$2:$AU$40,MOD(ROW()-ROW($AE$2),ROWS($AE$2:$AU$40))+1,INT((ROW()-ROW($AE$2))/ROWS($AE$2:$AU$40))+1)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INDEX($AE$2:$AU$40,MOD(ROW()-ROW($AE$2),ROWS($AE$2:$AU$40))+1,INT((ROW()-ROW($AE$2))/ROWS($AE$2:$AU$40))+1)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INDEX($AE$2:$AU$40,MOD(ROW()-ROW($AE$2),ROWS($AE$2:$AU$40))+1,INT((ROW()-ROW($AE$2))/ROWS($AE$2:$AU$40))+1)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INDEX($AE$2:$AU$40,MOD(ROW()-ROW($AE$2),ROWS($AE$2:$AU$40))+1,INT((ROW()-ROW($AE$2))/ROWS($AE$2:$AU$40))+1)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INDEX($AE$2:$AU$40,MOD(ROW()-ROW($AE$2),ROWS($AE$2:$AU$40))+1,INT((ROW()-ROW($AE$2))/ROWS($AE$2:$AU$40))+1)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INDEX($AE$2:$AU$40,MOD(ROW()-ROW($AE$2),ROWS($AE$2:$AU$40))+1,INT((ROW()-ROW($AE$2))/ROWS($AE$2:$AU$40))+1)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INDEX($AE$2:$AU$40,MOD(ROW()-ROW($AE$2),ROWS($AE$2:$AU$40))+1,INT((ROW()-ROW($AE$2))/ROWS($AE$2:$AU$40))+1)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INDEX($AE$2:$AU$40,MOD(ROW()-ROW($AE$2),ROWS($AE$2:$AU$40))+1,INT((ROW()-ROW($AE$2))/ROWS($AE$2:$AU$40))+1)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INDEX($AE$2:$AU$40,MOD(ROW()-ROW($AE$2),ROWS($AE$2:$AU$40))+1,INT((ROW()-ROW($AE$2))/ROWS($AE$2:$AU$40))+1)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INDEX($AE$2:$AU$40,MOD(ROW()-ROW($AE$2),ROWS($AE$2:$AU$40))+1,INT((ROW()-ROW($AE$2))/ROWS($AE$2:$AU$40))+1)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INDEX($AE$2:$AU$40,MOD(ROW()-ROW($AE$2),ROWS($AE$2:$AU$40))+1,INT((ROW()-ROW($AE$2))/ROWS($AE$2:$AU$40))+1)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INDEX($AE$2:$AU$40,MOD(ROW()-ROW($AE$2),ROWS($AE$2:$AU$40))+1,INT((ROW()-ROW($AE$2))/ROWS($AE$2:$AU$40))+1)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INDEX($AE$2:$AU$40,MOD(ROW()-ROW($AE$2),ROWS($AE$2:$AU$40))+1,INT((ROW()-ROW($AE$2))/ROWS($AE$2:$AU$40))+1)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INDEX($AE$2:$AU$40,MOD(ROW()-ROW($AE$2),ROWS($AE$2:$AU$40))+1,INT((ROW()-ROW($AE$2))/ROWS($AE$2:$AU$40))+1)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INDEX($AE$2:$AU$40,MOD(ROW()-ROW($AE$2),ROWS($AE$2:$AU$40))+1,INT((ROW()-ROW($AE$2))/ROWS($AE$2:$AU$40))+1)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INDEX($AE$2:$AU$40,MOD(ROW()-ROW($AE$2),ROWS($AE$2:$AU$40))+1,INT((ROW()-ROW($AE$2))/ROWS($AE$2:$AU$40))+1)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INDEX($AE$2:$AU$40,MOD(ROW()-ROW($AE$2),ROWS($AE$2:$AU$40))+1,INT((ROW()-ROW($AE$2))/ROWS($AE$2:$AU$40))+1)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INDEX($AE$2:$AU$40,MOD(ROW()-ROW($AE$2),ROWS($AE$2:$AU$40))+1,INT((ROW()-ROW($AE$2))/ROWS($AE$2:$AU$40))+1)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INDEX($AE$2:$AU$40,MOD(ROW()-ROW($AE$2),ROWS($AE$2:$AU$40))+1,INT((ROW()-ROW($AE$2))/ROWS($AE$2:$AU$40))+1)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INDEX($AE$2:$AU$40,MOD(ROW()-ROW($AE$2),ROWS($AE$2:$AU$40))+1,INT((ROW()-ROW($AE$2))/ROWS($AE$2:$AU$40))+1)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INDEX($AE$2:$AU$40,MOD(ROW()-ROW($AE$2),ROWS($AE$2:$AU$40))+1,INT((ROW()-ROW($AE$2))/ROWS($AE$2:$AU$40))+1)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INDEX($AE$2:$AU$40,MOD(ROW()-ROW($AE$2),ROWS($AE$2:$AU$40))+1,INT((ROW()-ROW($AE$2))/ROWS($AE$2:$AU$40))+1)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INDEX($AE$2:$AU$40,MOD(ROW()-ROW($AE$2),ROWS($AE$2:$AU$40))+1,INT((ROW()-ROW($AE$2))/ROWS($AE$2:$AU$40))+1)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INDEX($AE$2:$AU$40,MOD(ROW()-ROW($AE$2),ROWS($AE$2:$AU$40))+1,INT((ROW()-ROW($AE$2))/ROWS($AE$2:$AU$40))+1)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INDEX($AE$2:$AU$40,MOD(ROW()-ROW($AE$2),ROWS($AE$2:$AU$40))+1,INT((ROW()-ROW($AE$2))/ROWS($AE$2:$AU$40))+1)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INDEX($AE$2:$AU$40,MOD(ROW()-ROW($AE$2),ROWS($AE$2:$AU$40))+1,INT((ROW()-ROW($AE$2))/ROWS($AE$2:$AU$40))+1)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INDEX($AE$2:$AU$40,MOD(ROW()-ROW($AE$2),ROWS($AE$2:$AU$40))+1,INT((ROW()-ROW($AE$2))/ROWS($AE$2:$AU$40))+1)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INDEX($AE$2:$AU$40,MOD(ROW()-ROW($AE$2),ROWS($AE$2:$AU$40))+1,INT((ROW()-ROW($AE$2))/ROWS($AE$2:$AU$40))+1)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INDEX($AE$2:$AU$40,MOD(ROW()-ROW($AE$2),ROWS($AE$2:$AU$40))+1,INT((ROW()-ROW($AE$2))/ROWS($AE$2:$AU$40))+1)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INDEX($AE$2:$AU$40,MOD(ROW()-ROW($AE$2),ROWS($AE$2:$AU$40))+1,INT((ROW()-ROW($AE$2))/ROWS($AE$2:$AU$40))+1)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INDEX($AE$2:$AU$40,MOD(ROW()-ROW($AE$2),ROWS($AE$2:$AU$40))+1,INT((ROW()-ROW($AE$2))/ROWS($AE$2:$AU$40))+1)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INDEX($AE$2:$AU$40,MOD(ROW()-ROW($AE$2),ROWS($AE$2:$AU$40))+1,INT((ROW()-ROW($AE$2))/ROWS($AE$2:$AU$40))+1)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INDEX($AE$2:$AU$40,MOD(ROW()-ROW($AE$2),ROWS($AE$2:$AU$40))+1,INT((ROW()-ROW($AE$2))/ROWS($AE$2:$AU$40))+1)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INDEX($AE$2:$AU$40,MOD(ROW()-ROW($AE$2),ROWS($AE$2:$AU$40))+1,INT((ROW()-ROW($AE$2))/ROWS($AE$2:$AU$40))+1)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INDEX($AE$2:$AU$40,MOD(ROW()-ROW($AE$2),ROWS($AE$2:$AU$40))+1,INT((ROW()-ROW($AE$2))/ROWS($AE$2:$AU$40))+1)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INDEX($AE$2:$AU$40,MOD(ROW()-ROW($AE$2),ROWS($AE$2:$AU$40))+1,INT((ROW()-ROW($AE$2))/ROWS($AE$2:$AU$40))+1)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INDEX($AE$2:$AU$40,MOD(ROW()-ROW($AE$2),ROWS($AE$2:$AU$40))+1,INT((ROW()-ROW($AE$2))/ROWS($AE$2:$AU$40))+1)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INDEX($AE$2:$AU$40,MOD(ROW()-ROW($AE$2),ROWS($AE$2:$AU$40))+1,INT((ROW()-ROW($AE$2))/ROWS($AE$2:$AU$40))+1)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INDEX($AE$2:$AU$40,MOD(ROW()-ROW($AE$2),ROWS($AE$2:$AU$40))+1,INT((ROW()-ROW($AE$2))/ROWS($AE$2:$AU$40))+1)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INDEX($AE$2:$AU$40,MOD(ROW()-ROW($AE$2),ROWS($AE$2:$AU$40))+1,INT((ROW()-ROW($AE$2))/ROWS($AE$2:$AU$40))+1)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INDEX($AE$2:$AU$40,MOD(ROW()-ROW($AE$2),ROWS($AE$2:$AU$40))+1,INT((ROW()-ROW($AE$2))/ROWS($AE$2:$AU$40))+1)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INDEX($AE$2:$AU$40,MOD(ROW()-ROW($AE$2),ROWS($AE$2:$AU$40))+1,INT((ROW()-ROW($AE$2))/ROWS($AE$2:$AU$40))+1)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INDEX($AE$2:$AU$40,MOD(ROW()-ROW($AE$2),ROWS($AE$2:$AU$40))+1,INT((ROW()-ROW($AE$2))/ROWS($AE$2:$AU$40))+1)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INDEX($AE$2:$AU$40,MOD(ROW()-ROW($AE$2),ROWS($AE$2:$AU$40))+1,INT((ROW()-ROW($AE$2))/ROWS($AE$2:$AU$40))+1)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INDEX($AE$2:$AU$40,MOD(ROW()-ROW($AE$2),ROWS($AE$2:$AU$40))+1,INT((ROW()-ROW($AE$2))/ROWS($AE$2:$AU$40))+1)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INDEX($AE$2:$AU$40,MOD(ROW()-ROW($AE$2),ROWS($AE$2:$AU$40))+1,INT((ROW()-ROW($AE$2))/ROWS($AE$2:$AU$40))+1)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INDEX($AE$2:$AU$40,MOD(ROW()-ROW($AE$2),ROWS($AE$2:$AU$40))+1,INT((ROW()-ROW($AE$2))/ROWS($AE$2:$AU$40))+1)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INDEX($AE$2:$AU$40,MOD(ROW()-ROW($AE$2),ROWS($AE$2:$AU$40))+1,INT((ROW()-ROW($AE$2))/ROWS($AE$2:$AU$40))+1)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INDEX($AE$2:$AU$40,MOD(ROW()-ROW($AE$2),ROWS($AE$2:$AU$40))+1,INT((ROW()-ROW($AE$2))/ROWS($AE$2:$AU$40))+1)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INDEX($AE$2:$AU$40,MOD(ROW()-ROW($AE$2),ROWS($AE$2:$AU$40))+1,INT((ROW()-ROW($AE$2))/ROWS($AE$2:$AU$40))+1)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INDEX($AE$2:$AU$40,MOD(ROW()-ROW($AE$2),ROWS($AE$2:$AU$40))+1,INT((ROW()-ROW($AE$2))/ROWS($AE$2:$AU$40))+1)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INDEX($AE$2:$AU$40,MOD(ROW()-ROW($AE$2),ROWS($AE$2:$AU$40))+1,INT((ROW()-ROW($AE$2))/ROWS($AE$2:$AU$40))+1)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INDEX($AE$2:$AU$40,MOD(ROW()-ROW($AE$2),ROWS($AE$2:$AU$40))+1,INT((ROW()-ROW($AE$2))/ROWS($AE$2:$AU$40))+1)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INDEX($AE$2:$AU$40,MOD(ROW()-ROW($AE$2),ROWS($AE$2:$AU$40))+1,INT((ROW()-ROW($AE$2))/ROWS($AE$2:$AU$40))+1)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INDEX($AE$2:$AU$40,MOD(ROW()-ROW($AE$2),ROWS($AE$2:$AU$40))+1,INT((ROW()-ROW($AE$2))/ROWS($AE$2:$AU$40))+1)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INDEX($AE$2:$AU$40,MOD(ROW()-ROW($AE$2),ROWS($AE$2:$AU$40))+1,INT((ROW()-ROW($AE$2))/ROWS($AE$2:$AU$40))+1)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INDEX($AE$2:$AU$40,MOD(ROW()-ROW($AE$2),ROWS($AE$2:$AU$40))+1,INT((ROW()-ROW($AE$2))/ROWS($AE$2:$AU$40))+1)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INDEX($AE$2:$AU$40,MOD(ROW()-ROW($AE$2),ROWS($AE$2:$AU$40))+1,INT((ROW()-ROW($AE$2))/ROWS($AE$2:$AU$40))+1)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INDEX($AE$2:$AU$40,MOD(ROW()-ROW($AE$2),ROWS($AE$2:$AU$40))+1,INT((ROW()-ROW($AE$2))/ROWS($AE$2:$AU$40))+1)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INDEX($AE$2:$AU$40,MOD(ROW()-ROW($AE$2),ROWS($AE$2:$AU$40))+1,INT((ROW()-ROW($AE$2))/ROWS($AE$2:$AU$40))+1)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INDEX($AE$2:$AU$40,MOD(ROW()-ROW($AE$2),ROWS($AE$2:$AU$40))+1,INT((ROW()-ROW($AE$2))/ROWS($AE$2:$AU$40))+1)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INDEX($AE$2:$AU$40,MOD(ROW()-ROW($AE$2),ROWS($AE$2:$AU$40))+1,INT((ROW()-ROW($AE$2))/ROWS($AE$2:$AU$40))+1)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INDEX($AE$2:$AU$40,MOD(ROW()-ROW($AE$2),ROWS($AE$2:$AU$40))+1,INT((ROW()-ROW($AE$2))/ROWS($AE$2:$AU$40))+1)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INDEX($AE$2:$AU$40,MOD(ROW()-ROW($AE$2),ROWS($AE$2:$AU$40))+1,INT((ROW()-ROW($AE$2))/ROWS($AE$2:$AU$40))+1)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INDEX($AE$2:$AU$40,MOD(ROW()-ROW($AE$2),ROWS($AE$2:$AU$40))+1,INT((ROW()-ROW($AE$2))/ROWS($AE$2:$AU$40))+1)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INDEX($AE$2:$AU$40,MOD(ROW()-ROW($AE$2),ROWS($AE$2:$AU$40))+1,INT((ROW()-ROW($AE$2))/ROWS($AE$2:$AU$40))+1)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INDEX($AE$2:$AU$40,MOD(ROW()-ROW($AE$2),ROWS($AE$2:$AU$40))+1,INT((ROW()-ROW($AE$2))/ROWS($AE$2:$AU$40))+1)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INDEX($AE$2:$AU$40,MOD(ROW()-ROW($AE$2),ROWS($AE$2:$AU$40))+1,INT((ROW()-ROW($AE$2))/ROWS($AE$2:$AU$40))+1)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INDEX($AE$2:$AU$40,MOD(ROW()-ROW($AE$2),ROWS($AE$2:$AU$40))+1,INT((ROW()-ROW($AE$2))/ROWS($AE$2:$AU$40))+1)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INDEX($AE$2:$AU$40,MOD(ROW()-ROW($AE$2),ROWS($AE$2:$AU$40))+1,INT((ROW()-ROW($AE$2))/ROWS($AE$2:$AU$40))+1)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INDEX($AE$2:$AU$40,MOD(ROW()-ROW($AE$2),ROWS($AE$2:$AU$40))+1,INT((ROW()-ROW($AE$2))/ROWS($AE$2:$AU$40))+1)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INDEX($AE$2:$AU$40,MOD(ROW()-ROW($AE$2),ROWS($AE$2:$AU$40))+1,INT((ROW()-ROW($AE$2))/ROWS($AE$2:$AU$40))+1)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INDEX($AE$2:$AU$40,MOD(ROW()-ROW($AE$2),ROWS($AE$2:$AU$40))+1,INT((ROW()-ROW($AE$2))/ROWS($AE$2:$AU$40))+1)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INDEX($AE$2:$AU$40,MOD(ROW()-ROW($AE$2),ROWS($AE$2:$AU$40))+1,INT((ROW()-ROW($AE$2))/ROWS($AE$2:$AU$40))+1)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INDEX($AE$2:$AU$40,MOD(ROW()-ROW($AE$2),ROWS($AE$2:$AU$40))+1,INT((ROW()-ROW($AE$2))/ROWS($AE$2:$AU$40))+1)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INDEX($AE$2:$AU$40,MOD(ROW()-ROW($AE$2),ROWS($AE$2:$AU$40))+1,INT((ROW()-ROW($AE$2))/ROWS($AE$2:$AU$40))+1)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INDEX($AE$2:$AU$40,MOD(ROW()-ROW($AE$2),ROWS($AE$2:$AU$40))+1,INT((ROW()-ROW($AE$2))/ROWS($AE$2:$AU$40))+1)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INDEX($AE$2:$AU$40,MOD(ROW()-ROW($AE$2),ROWS($AE$2:$AU$40))+1,INT((ROW()-ROW($AE$2))/ROWS($AE$2:$AU$40))+1)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INDEX($AE$2:$AU$40,MOD(ROW()-ROW($AE$2),ROWS($AE$2:$AU$40))+1,INT((ROW()-ROW($AE$2))/ROWS($AE$2:$AU$40))+1)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INDEX($AE$2:$AU$40,MOD(ROW()-ROW($AE$2),ROWS($AE$2:$AU$40))+1,INT((ROW()-ROW($AE$2))/ROWS($AE$2:$AU$40))+1)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INDEX($AE$2:$AU$40,MOD(ROW()-ROW($AE$2),ROWS($AE$2:$AU$40))+1,INT((ROW()-ROW($AE$2))/ROWS($AE$2:$AU$40))+1)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INDEX($AE$2:$AU$40,MOD(ROW()-ROW($AE$2),ROWS($AE$2:$AU$40))+1,INT((ROW()-ROW($AE$2))/ROWS($AE$2:$AU$40))+1)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INDEX($AE$2:$AU$40,MOD(ROW()-ROW($AE$2),ROWS($AE$2:$AU$40))+1,INT((ROW()-ROW($AE$2))/ROWS($AE$2:$AU$40))+1)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INDEX($AE$2:$AU$40,MOD(ROW()-ROW($AE$2),ROWS($AE$2:$AU$40))+1,INT((ROW()-ROW($AE$2))/ROWS($AE$2:$AU$40))+1)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INDEX($AE$2:$AU$40,MOD(ROW()-ROW($AE$2),ROWS($AE$2:$AU$40))+1,INT((ROW()-ROW($AE$2))/ROWS($AE$2:$AU$40))+1)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INDEX($AE$2:$AU$40,MOD(ROW()-ROW($AE$2),ROWS($AE$2:$AU$40))+1,INT((ROW()-ROW($AE$2))/ROWS($AE$2:$AU$40))+1)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INDEX($AE$2:$AU$40,MOD(ROW()-ROW($AE$2),ROWS($AE$2:$AU$40))+1,INT((ROW()-ROW($AE$2))/ROWS($AE$2:$AU$40))+1)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INDEX($AE$2:$AU$40,MOD(ROW()-ROW($AE$2),ROWS($AE$2:$AU$40))+1,INT((ROW()-ROW($AE$2))/ROWS($AE$2:$AU$40))+1)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INDEX($AE$2:$AU$40,MOD(ROW()-ROW($AE$2),ROWS($AE$2:$AU$40))+1,INT((ROW()-ROW($AE$2))/ROWS($AE$2:$AU$40))+1)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INDEX($AE$2:$AU$40,MOD(ROW()-ROW($AE$2),ROWS($AE$2:$AU$40))+1,INT((ROW()-ROW($AE$2))/ROWS($AE$2:$AU$40))+1)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INDEX($AE$2:$AU$40,MOD(ROW()-ROW($AE$2),ROWS($AE$2:$AU$40))+1,INT((ROW()-ROW($AE$2))/ROWS($AE$2:$AU$40))+1)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INDEX($AE$2:$AU$40,MOD(ROW()-ROW($AE$2),ROWS($AE$2:$AU$40))+1,INT((ROW()-ROW($AE$2))/ROWS($AE$2:$AU$40))+1)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INDEX($AE$2:$AU$40,MOD(ROW()-ROW($AE$2),ROWS($AE$2:$AU$40))+1,INT((ROW()-ROW($AE$2))/ROWS($AE$2:$AU$40))+1)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INDEX($AE$2:$AU$40,MOD(ROW()-ROW($AE$2),ROWS($AE$2:$AU$40))+1,INT((ROW()-ROW($AE$2))/ROWS($AE$2:$AU$40))+1)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INDEX($AE$2:$AU$40,MOD(ROW()-ROW($AE$2),ROWS($AE$2:$AU$40))+1,INT((ROW()-ROW($AE$2))/ROWS($AE$2:$AU$40))+1)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INDEX($AE$2:$AU$40,MOD(ROW()-ROW($AE$2),ROWS($AE$2:$AU$40))+1,INT((ROW()-ROW($AE$2))/ROWS($AE$2:$AU$40))+1)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INDEX($AE$2:$AU$40,MOD(ROW()-ROW($AE$2),ROWS($AE$2:$AU$40))+1,INT((ROW()-ROW($AE$2))/ROWS($AE$2:$AU$40))+1)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INDEX($AE$2:$AU$40,MOD(ROW()-ROW($AE$2),ROWS($AE$2:$AU$40))+1,INT((ROW()-ROW($AE$2))/ROWS($AE$2:$AU$40))+1)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INDEX($AE$2:$AU$40,MOD(ROW()-ROW($AE$2),ROWS($AE$2:$AU$40))+1,INT((ROW()-ROW($AE$2))/ROWS($AE$2:$AU$40))+1)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INDEX($AE$2:$AU$40,MOD(ROW()-ROW($AE$2),ROWS($AE$2:$AU$40))+1,INT((ROW()-ROW($AE$2))/ROWS($AE$2:$AU$40))+1)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INDEX($AE$2:$AU$40,MOD(ROW()-ROW($AE$2),ROWS($AE$2:$AU$40))+1,INT((ROW()-ROW($AE$2))/ROWS($AE$2:$AU$40))+1)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INDEX($AE$2:$AU$40,MOD(ROW()-ROW($AE$2),ROWS($AE$2:$AU$40))+1,INT((ROW()-ROW($AE$2))/ROWS($AE$2:$AU$40))+1)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INDEX($AE$2:$AU$40,MOD(ROW()-ROW($AE$2),ROWS($AE$2:$AU$40))+1,INT((ROW()-ROW($AE$2))/ROWS($AE$2:$AU$40))+1)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INDEX($AE$2:$AU$40,MOD(ROW()-ROW($AE$2),ROWS($AE$2:$AU$40))+1,INT((ROW()-ROW($AE$2))/ROWS($AE$2:$AU$40))+1)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INDEX($AE$2:$AU$40,MOD(ROW()-ROW($AE$2),ROWS($AE$2:$AU$40))+1,INT((ROW()-ROW($AE$2))/ROWS($AE$2:$AU$40))+1)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INDEX($AE$2:$AU$40,MOD(ROW()-ROW($AE$2),ROWS($AE$2:$AU$40))+1,INT((ROW()-ROW($AE$2))/ROWS($AE$2:$AU$40))+1)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INDEX($AE$2:$AU$40,MOD(ROW()-ROW($AE$2),ROWS($AE$2:$AU$40))+1,INT((ROW()-ROW($AE$2))/ROWS($AE$2:$AU$40))+1)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INDEX($AE$2:$AU$40,MOD(ROW()-ROW($AE$2),ROWS($AE$2:$AU$40))+1,INT((ROW()-ROW($AE$2))/ROWS($AE$2:$AU$40))+1)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INDEX($AE$2:$AU$40,MOD(ROW()-ROW($AE$2),ROWS($AE$2:$AU$40))+1,INT((ROW()-ROW($AE$2))/ROWS($AE$2:$AU$40))+1)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INDEX($AE$2:$AU$40,MOD(ROW()-ROW($AE$2),ROWS($AE$2:$AU$40))+1,INT((ROW()-ROW($AE$2))/ROWS($AE$2:$AU$40))+1)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INDEX($AE$2:$AU$40,MOD(ROW()-ROW($AE$2),ROWS($AE$2:$AU$40))+1,INT((ROW()-ROW($AE$2))/ROWS($AE$2:$AU$40))+1)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INDEX($AE$2:$AU$40,MOD(ROW()-ROW($AE$2),ROWS($AE$2:$AU$40))+1,INT((ROW()-ROW($AE$2))/ROWS($AE$2:$AU$40))+1)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INDEX($AE$2:$AU$40,MOD(ROW()-ROW($AE$2),ROWS($AE$2:$AU$40))+1,INT((ROW()-ROW($AE$2))/ROWS($AE$2:$AU$40))+1)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INDEX($AE$2:$AU$40,MOD(ROW()-ROW($AE$2),ROWS($AE$2:$AU$40))+1,INT((ROW()-ROW($AE$2))/ROWS($AE$2:$AU$40))+1)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INDEX($AE$2:$AU$40,MOD(ROW()-ROW($AE$2),ROWS($AE$2:$AU$40))+1,INT((ROW()-ROW($AE$2))/ROWS($AE$2:$AU$40))+1)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INDEX($AE$2:$AU$40,MOD(ROW()-ROW($AE$2),ROWS($AE$2:$AU$40))+1,INT((ROW()-ROW($AE$2))/ROWS($AE$2:$AU$40))+1)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INDEX($AE$2:$AU$40,MOD(ROW()-ROW($AE$2),ROWS($AE$2:$AU$40))+1,INT((ROW()-ROW($AE$2))/ROWS($AE$2:$AU$40))+1)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INDEX($AE$2:$AU$40,MOD(ROW()-ROW($AE$2),ROWS($AE$2:$AU$40))+1,INT((ROW()-ROW($AE$2))/ROWS($AE$2:$AU$40))+1)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INDEX($AE$2:$AU$40,MOD(ROW()-ROW($AE$2),ROWS($AE$2:$AU$40))+1,INT((ROW()-ROW($AE$2))/ROWS($AE$2:$AU$40))+1)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INDEX($AE$2:$AU$40,MOD(ROW()-ROW($AE$2),ROWS($AE$2:$AU$40))+1,INT((ROW()-ROW($AE$2))/ROWS($AE$2:$AU$40))+1)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INDEX($AE$2:$AU$40,MOD(ROW()-ROW($AE$2),ROWS($AE$2:$AU$40))+1,INT((ROW()-ROW($AE$2))/ROWS($AE$2:$AU$40))+1)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INDEX($AE$2:$AU$40,MOD(ROW()-ROW($AE$2),ROWS($AE$2:$AU$40))+1,INT((ROW()-ROW($AE$2))/ROWS($AE$2:$AU$40))+1)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INDEX($AE$2:$AU$40,MOD(ROW()-ROW($AE$2),ROWS($AE$2:$AU$40))+1,INT((ROW()-ROW($AE$2))/ROWS($AE$2:$AU$40))+1)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INDEX($AE$2:$AU$40,MOD(ROW()-ROW($AE$2),ROWS($AE$2:$AU$40))+1,INT((ROW()-ROW($AE$2))/ROWS($AE$2:$AU$40))+1)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INDEX($AE$2:$AU$40,MOD(ROW()-ROW($AE$2),ROWS($AE$2:$AU$40))+1,INT((ROW()-ROW($AE$2))/ROWS($AE$2:$AU$40))+1)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INDEX($AE$2:$AU$40,MOD(ROW()-ROW($AE$2),ROWS($AE$2:$AU$40))+1,INT((ROW()-ROW($AE$2))/ROWS($AE$2:$AU$40))+1)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INDEX($AE$2:$AU$40,MOD(ROW()-ROW($AE$2),ROWS($AE$2:$AU$40))+1,INT((ROW()-ROW($AE$2))/ROWS($AE$2:$AU$40))+1)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INDEX($AE$2:$AU$40,MOD(ROW()-ROW($AE$2),ROWS($AE$2:$AU$40))+1,INT((ROW()-ROW($AE$2))/ROWS($AE$2:$AU$40))+1)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INDEX($AE$2:$AU$40,MOD(ROW()-ROW($AE$2),ROWS($AE$2:$AU$40))+1,INT((ROW()-ROW($AE$2))/ROWS($AE$2:$AU$40))+1)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INDEX($AE$2:$AU$40,MOD(ROW()-ROW($AE$2),ROWS($AE$2:$AU$40))+1,INT((ROW()-ROW($AE$2))/ROWS($AE$2:$AU$40))+1)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INDEX($AE$2:$AU$40,MOD(ROW()-ROW($AE$2),ROWS($AE$2:$AU$40))+1,INT((ROW()-ROW($AE$2))/ROWS($AE$2:$AU$40))+1)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INDEX($AE$2:$AU$40,MOD(ROW()-ROW($AE$2),ROWS($AE$2:$AU$40))+1,INT((ROW()-ROW($AE$2))/ROWS($AE$2:$AU$40))+1)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INDEX($AE$2:$AU$40,MOD(ROW()-ROW($AE$2),ROWS($AE$2:$AU$40))+1,INT((ROW()-ROW($AE$2))/ROWS($AE$2:$AU$40))+1)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INDEX($AE$2:$AU$40,MOD(ROW()-ROW($AE$2),ROWS($AE$2:$AU$40))+1,INT((ROW()-ROW($AE$2))/ROWS($AE$2:$AU$40))+1)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INDEX($AE$2:$AU$40,MOD(ROW()-ROW($AE$2),ROWS($AE$2:$AU$40))+1,INT((ROW()-ROW($AE$2))/ROWS($AE$2:$AU$40))+1)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INDEX($AE$2:$AU$40,MOD(ROW()-ROW($AE$2),ROWS($AE$2:$AU$40))+1,INT((ROW()-ROW($AE$2))/ROWS($AE$2:$AU$40))+1)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INDEX($AE$2:$AU$40,MOD(ROW()-ROW($AE$2),ROWS($AE$2:$AU$40))+1,INT((ROW()-ROW($AE$2))/ROWS($AE$2:$AU$40))+1)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INDEX($AE$2:$AU$40,MOD(ROW()-ROW($AE$2),ROWS($AE$2:$AU$40))+1,INT((ROW()-ROW($AE$2))/ROWS($AE$2:$AU$40))+1)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INDEX($AE$2:$AU$40,MOD(ROW()-ROW($AE$2),ROWS($AE$2:$AU$40))+1,INT((ROW()-ROW($AE$2))/ROWS($AE$2:$AU$40))+1)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INDEX($AE$2:$AU$40,MOD(ROW()-ROW($AE$2),ROWS($AE$2:$AU$40))+1,INT((ROW()-ROW($AE$2))/ROWS($AE$2:$AU$40))+1)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INDEX($AE$2:$AU$40,MOD(ROW()-ROW($AE$2),ROWS($AE$2:$AU$40))+1,INT((ROW()-ROW($AE$2))/ROWS($AE$2:$AU$40))+1)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INDEX($AE$2:$AU$40,MOD(ROW()-ROW($AE$2),ROWS($AE$2:$AU$40))+1,INT((ROW()-ROW($AE$2))/ROWS($AE$2:$AU$40))+1)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INDEX($AE$2:$AU$40,MOD(ROW()-ROW($AE$2),ROWS($AE$2:$AU$40))+1,INT((ROW()-ROW($AE$2))/ROWS($AE$2:$AU$40))+1)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INDEX($AE$2:$AU$40,MOD(ROW()-ROW($AE$2),ROWS($AE$2:$AU$40))+1,INT((ROW()-ROW($AE$2))/ROWS($AE$2:$AU$40))+1)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INDEX($AE$2:$AU$40,MOD(ROW()-ROW($AE$2),ROWS($AE$2:$AU$40))+1,INT((ROW()-ROW($AE$2))/ROWS($AE$2:$AU$40))+1)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INDEX($AE$2:$AU$40,MOD(ROW()-ROW($AE$2),ROWS($AE$2:$AU$40))+1,INT((ROW()-ROW($AE$2))/ROWS($AE$2:$AU$40))+1)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INDEX($AE$2:$AU$40,MOD(ROW()-ROW($AE$2),ROWS($AE$2:$AU$40))+1,INT((ROW()-ROW($AE$2))/ROWS($AE$2:$AU$40))+1)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INDEX($AE$2:$AU$40,MOD(ROW()-ROW($AE$2),ROWS($AE$2:$AU$40))+1,INT((ROW()-ROW($AE$2))/ROWS($AE$2:$AU$40))+1)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INDEX($AE$2:$AU$40,MOD(ROW()-ROW($AE$2),ROWS($AE$2:$AU$40))+1,INT((ROW()-ROW($AE$2))/ROWS($AE$2:$AU$40))+1)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INDEX($AE$2:$AU$40,MOD(ROW()-ROW($AE$2),ROWS($AE$2:$AU$40))+1,INT((ROW()-ROW($AE$2))/ROWS($AE$2:$AU$40))+1)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INDEX($AE$2:$AU$40,MOD(ROW()-ROW($AE$2),ROWS($AE$2:$AU$40))+1,INT((ROW()-ROW($AE$2))/ROWS($AE$2:$AU$40))+1)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INDEX($AE$2:$AU$40,MOD(ROW()-ROW($AE$2),ROWS($AE$2:$AU$40))+1,INT((ROW()-ROW($AE$2))/ROWS($AE$2:$AU$40))+1)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str" cm="1">
        <f t="array" aca="1" ref="Z626" ca="1">INDEX($AE$2:$AU$40,MOD(ROW()-ROW($AE$2),ROWS($AE$2:$AU$40))+1,INT((ROW()-ROW($AE$2))/ROWS($AE$2:$AU$40))+1)</f>
        <v>heating_coil_pump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cm="1">
        <f t="array" ref="Z627">INDEX($AE$2:$AU$40,MOD(ROW()-ROW($AE$2),ROWS($AE$2:$AU$40))+1,INT((ROW()-ROW($AE$2))/ROWS($AE$2:$AU$40))+1)</f>
        <v>0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cm="1">
        <f t="array" ref="Z628">INDEX($AE$2:$AU$40,MOD(ROW()-ROW($AE$2),ROWS($AE$2:$AU$40))+1,INT((ROW()-ROW($AE$2))/ROWS($AE$2:$AU$40))+1)</f>
        <v>0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cm="1">
        <f t="array" ref="Z629">INDEX($AE$2:$AU$40,MOD(ROW()-ROW($AE$2),ROWS($AE$2:$AU$40))+1,INT((ROW()-ROW($AE$2))/ROWS($AE$2:$AU$40))+1)</f>
        <v>0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cm="1">
        <f t="array" ref="Z630">INDEX($AE$2:$AU$40,MOD(ROW()-ROW($AE$2),ROWS($AE$2:$AU$40))+1,INT((ROW()-ROW($AE$2))/ROWS($AE$2:$AU$40))+1)</f>
        <v>0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cm="1">
        <f t="array" ref="Z631">INDEX($AE$2:$AU$40,MOD(ROW()-ROW($AE$2),ROWS($AE$2:$AU$40))+1,INT((ROW()-ROW($AE$2))/ROWS($AE$2:$AU$40))+1)</f>
        <v>0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cm="1">
        <f t="array" ref="Z632">INDEX($AE$2:$AU$40,MOD(ROW()-ROW($AE$2),ROWS($AE$2:$AU$40))+1,INT((ROW()-ROW($AE$2))/ROWS($AE$2:$AU$40))+1)</f>
        <v>0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cm="1">
        <f t="array" ref="Z633">INDEX($AE$2:$AU$40,MOD(ROW()-ROW($AE$2),ROWS($AE$2:$AU$40))+1,INT((ROW()-ROW($AE$2))/ROWS($AE$2:$AU$40))+1)</f>
        <v>0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cm="1">
        <f t="array" ref="Z634">INDEX($AE$2:$AU$40,MOD(ROW()-ROW($AE$2),ROWS($AE$2:$AU$40))+1,INT((ROW()-ROW($AE$2))/ROWS($AE$2:$AU$40))+1)</f>
        <v>0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cm="1">
        <f t="array" ref="Z635">INDEX($AE$2:$AU$40,MOD(ROW()-ROW($AE$2),ROWS($AE$2:$AU$40))+1,INT((ROW()-ROW($AE$2))/ROWS($AE$2:$AU$40))+1)</f>
        <v>0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cm="1">
        <f t="array" ref="Z636">INDEX($AE$2:$AU$40,MOD(ROW()-ROW($AE$2),ROWS($AE$2:$AU$40))+1,INT((ROW()-ROW($AE$2))/ROWS($AE$2:$AU$40))+1)</f>
        <v>0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cm="1">
        <f t="array" ref="Z637">INDEX($AE$2:$AU$40,MOD(ROW()-ROW($AE$2),ROWS($AE$2:$AU$40))+1,INT((ROW()-ROW($AE$2))/ROWS($AE$2:$AU$40))+1)</f>
        <v>0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cm="1">
        <f t="array" ref="Z638">INDEX($AE$2:$AU$40,MOD(ROW()-ROW($AE$2),ROWS($AE$2:$AU$40))+1,INT((ROW()-ROW($AE$2))/ROWS($AE$2:$AU$40))+1)</f>
        <v>0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cm="1">
        <f t="array" ref="Z639">INDEX($AE$2:$AU$40,MOD(ROW()-ROW($AE$2),ROWS($AE$2:$AU$40))+1,INT((ROW()-ROW($AE$2))/ROWS($AE$2:$AU$40))+1)</f>
        <v>0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cm="1">
        <f t="array" ref="Z640">INDEX($AE$2:$AU$40,MOD(ROW()-ROW($AE$2),ROWS($AE$2:$AU$40))+1,INT((ROW()-ROW($AE$2))/ROWS($AE$2:$AU$40))+1)</f>
        <v>0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cm="1">
        <f t="array" ref="Z641">INDEX($AE$2:$AU$40,MOD(ROW()-ROW($AE$2),ROWS($AE$2:$AU$40))+1,INT((ROW()-ROW($AE$2))/ROWS($AE$2:$AU$40))+1)</f>
        <v>0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cm="1">
        <f t="array" ref="Z642">INDEX($AE$2:$AU$40,MOD(ROW()-ROW($AE$2),ROWS($AE$2:$AU$40))+1,INT((ROW()-ROW($AE$2))/ROWS($AE$2:$AU$40))+1)</f>
        <v>0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cm="1">
        <f t="array" ref="Z643">INDEX($AE$2:$AU$40,MOD(ROW()-ROW($AE$2),ROWS($AE$2:$AU$40))+1,INT((ROW()-ROW($AE$2))/ROWS($AE$2:$AU$40))+1)</f>
        <v>0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cm="1">
        <f t="array" ref="Z644">INDEX($AE$2:$AU$40,MOD(ROW()-ROW($AE$2),ROWS($AE$2:$AU$40))+1,INT((ROW()-ROW($AE$2))/ROWS($AE$2:$AU$40))+1)</f>
        <v>0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cm="1">
        <f t="array" ref="Z645">INDEX($AE$2:$AU$40,MOD(ROW()-ROW($AE$2),ROWS($AE$2:$AU$40))+1,INT((ROW()-ROW($AE$2))/ROWS($AE$2:$AU$40))+1)</f>
        <v>0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cm="1">
        <f t="array" ref="Z646">INDEX($AE$2:$AU$40,MOD(ROW()-ROW($AE$2),ROWS($AE$2:$AU$40))+1,INT((ROW()-ROW($AE$2))/ROWS($AE$2:$AU$40))+1)</f>
        <v>0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cm="1">
        <f t="array" ref="Z647">INDEX($AE$2:$AU$40,MOD(ROW()-ROW($AE$2),ROWS($AE$2:$AU$40))+1,INT((ROW()-ROW($AE$2))/ROWS($AE$2:$AU$40))+1)</f>
        <v>0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cm="1">
        <f t="array" ref="Z648">INDEX($AE$2:$AU$40,MOD(ROW()-ROW($AE$2),ROWS($AE$2:$AU$40))+1,INT((ROW()-ROW($AE$2))/ROWS($AE$2:$AU$40))+1)</f>
        <v>0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cm="1">
        <f t="array" ref="Z649">INDEX($AE$2:$AU$40,MOD(ROW()-ROW($AE$2),ROWS($AE$2:$AU$40))+1,INT((ROW()-ROW($AE$2))/ROWS($AE$2:$AU$40))+1)</f>
        <v>0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cm="1">
        <f t="array" ref="Z650">INDEX($AE$2:$AU$40,MOD(ROW()-ROW($AE$2),ROWS($AE$2:$AU$40))+1,INT((ROW()-ROW($AE$2))/ROWS($AE$2:$AU$40))+1)</f>
        <v>0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cm="1">
        <f t="array" ref="Z651">INDEX($AE$2:$AU$40,MOD(ROW()-ROW($AE$2),ROWS($AE$2:$AU$40))+1,INT((ROW()-ROW($AE$2))/ROWS($AE$2:$AU$40))+1)</f>
        <v>0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cm="1">
        <f t="array" ref="Z652">INDEX($AE$2:$AU$40,MOD(ROW()-ROW($AE$2),ROWS($AE$2:$AU$40))+1,INT((ROW()-ROW($AE$2))/ROWS($AE$2:$AU$40))+1)</f>
        <v>0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cm="1">
        <f t="array" ref="Z653">INDEX($AE$2:$AU$40,MOD(ROW()-ROW($AE$2),ROWS($AE$2:$AU$40))+1,INT((ROW()-ROW($AE$2))/ROWS($AE$2:$AU$40))+1)</f>
        <v>0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cm="1">
        <f t="array" ref="Z654">INDEX($AE$2:$AU$40,MOD(ROW()-ROW($AE$2),ROWS($AE$2:$AU$40))+1,INT((ROW()-ROW($AE$2))/ROWS($AE$2:$AU$40))+1)</f>
        <v>0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cm="1">
        <f t="array" ref="Z655">INDEX($AE$2:$AU$40,MOD(ROW()-ROW($AE$2),ROWS($AE$2:$AU$40))+1,INT((ROW()-ROW($AE$2))/ROWS($AE$2:$AU$40))+1)</f>
        <v>0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cm="1">
        <f t="array" ref="Z656">INDEX($AE$2:$AU$40,MOD(ROW()-ROW($AE$2),ROWS($AE$2:$AU$40))+1,INT((ROW()-ROW($AE$2))/ROWS($AE$2:$AU$40))+1)</f>
        <v>0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cm="1">
        <f t="array" ref="Z657">INDEX($AE$2:$AU$40,MOD(ROW()-ROW($AE$2),ROWS($AE$2:$AU$40))+1,INT((ROW()-ROW($AE$2))/ROWS($AE$2:$AU$40))+1)</f>
        <v>0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cm="1">
        <f t="array" ref="Z658">INDEX($AE$2:$AU$40,MOD(ROW()-ROW($AE$2),ROWS($AE$2:$AU$40))+1,INT((ROW()-ROW($AE$2))/ROWS($AE$2:$AU$40))+1)</f>
        <v>0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cm="1">
        <f t="array" ref="Z659">INDEX($AE$2:$AU$40,MOD(ROW()-ROW($AE$2),ROWS($AE$2:$AU$40))+1,INT((ROW()-ROW($AE$2))/ROWS($AE$2:$AU$40))+1)</f>
        <v>0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cm="1">
        <f t="array" ref="Z660">INDEX($AE$2:$AU$40,MOD(ROW()-ROW($AE$2),ROWS($AE$2:$AU$40))+1,INT((ROW()-ROW($AE$2))/ROWS($AE$2:$AU$40))+1)</f>
        <v>0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cm="1">
        <f t="array" ref="Z661">INDEX($AE$2:$AU$40,MOD(ROW()-ROW($AE$2),ROWS($AE$2:$AU$40))+1,INT((ROW()-ROW($AE$2))/ROWS($AE$2:$AU$40))+1)</f>
        <v>0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cm="1">
        <f t="array" ref="Z662">INDEX($AE$2:$AU$40,MOD(ROW()-ROW($AE$2),ROWS($AE$2:$AU$40))+1,INT((ROW()-ROW($AE$2))/ROWS($AE$2:$AU$40))+1)</f>
        <v>0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cm="1">
        <f t="array" ref="Z663">INDEX($AE$2:$AU$40,MOD(ROW()-ROW($AE$2),ROWS($AE$2:$AU$40))+1,INT((ROW()-ROW($AE$2))/ROWS($AE$2:$AU$40))+1)</f>
        <v>0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cm="1">
        <f t="array" ref="Z664">INDEX($AE$2:$AU$40,MOD(ROW()-ROW($AE$2),ROWS($AE$2:$AU$40))+1,INT((ROW()-ROW($AE$2))/ROWS($AE$2:$AU$40))+1)</f>
        <v>0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INDEX($AE$2:$AU$40,MOD(ROW()-ROW($AE$2),ROWS($AE$2:$AU$40))+1,INT((ROW()-ROW($AE$2))/ROWS($AE$2:$AU$40))+1)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INDEX($AE$2:$AU$40,MOD(ROW()-ROW($AE$2),ROWS($AE$2:$AU$40))+1,INT((ROW()-ROW($AE$2))/ROWS($AE$2:$AU$40))+1)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INDEX($AE$2:$AU$40,MOD(ROW()-ROW($AE$2),ROWS($AE$2:$AU$40))+1,INT((ROW()-ROW($AE$2))/ROWS($AE$2:$AU$40))+1)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INDEX($AE$2:$AU$40,MOD(ROW()-ROW($AE$2),ROWS($AE$2:$AU$40))+1,INT((ROW()-ROW($AE$2))/ROWS($AE$2:$AU$40))+1)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INDEX($AE$2:$AU$40,MOD(ROW()-ROW($AE$2),ROWS($AE$2:$AU$40))+1,INT((ROW()-ROW($AE$2))/ROWS($AE$2:$AU$40))+1)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INDEX($AE$2:$AU$40,MOD(ROW()-ROW($AE$2),ROWS($AE$2:$AU$40))+1,INT((ROW()-ROW($AE$2))/ROWS($AE$2:$AU$40))+1)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INDEX($AE$2:$AU$40,MOD(ROW()-ROW($AE$2),ROWS($AE$2:$AU$40))+1,INT((ROW()-ROW($AE$2))/ROWS($AE$2:$AU$40))+1)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INDEX($AE$2:$AU$40,MOD(ROW()-ROW($AE$2),ROWS($AE$2:$AU$40))+1,INT((ROW()-ROW($AE$2))/ROWS($AE$2:$AU$40))+1)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INDEX($AE$2:$AU$40,MOD(ROW()-ROW($AE$2),ROWS($AE$2:$AU$40))+1,INT((ROW()-ROW($AE$2))/ROWS($AE$2:$AU$40))+1)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INDEX($AE$2:$AU$40,MOD(ROW()-ROW($AE$2),ROWS($AE$2:$AU$40))+1,INT((ROW()-ROW($AE$2))/ROWS($AE$2:$AU$40))+1)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INDEX($AE$2:$AU$40,MOD(ROW()-ROW($AE$2),ROWS($AE$2:$AU$40))+1,INT((ROW()-ROW($AE$2))/ROWS($AE$2:$AU$40))+1)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INDEX($AE$2:$AU$40,MOD(ROW()-ROW($AE$2),ROWS($AE$2:$AU$40))+1,INT((ROW()-ROW($AE$2))/ROWS($AE$2:$AU$40))+1)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INDEX($AE$2:$AU$40,MOD(ROW()-ROW($AE$2),ROWS($AE$2:$AU$40))+1,INT((ROW()-ROW($AE$2))/ROWS($AE$2:$AU$40))+1)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INDEX($AE$2:$AU$40,MOD(ROW()-ROW($AE$2),ROWS($AE$2:$AU$40))+1,INT((ROW()-ROW($AE$2))/ROWS($AE$2:$AU$40))+1)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INDEX($AE$2:$AU$40,MOD(ROW()-ROW($AE$2),ROWS($AE$2:$AU$40))+1,INT((ROW()-ROW($AE$2))/ROWS($AE$2:$AU$40))+1)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INDEX($AE$2:$AU$40,MOD(ROW()-ROW($AE$2),ROWS($AE$2:$AU$40))+1,INT((ROW()-ROW($AE$2))/ROWS($AE$2:$AU$40))+1)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INDEX($AE$2:$AU$40,MOD(ROW()-ROW($AE$2),ROWS($AE$2:$AU$40))+1,INT((ROW()-ROW($AE$2))/ROWS($AE$2:$AU$40))+1)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INDEX($AE$2:$AU$40,MOD(ROW()-ROW($AE$2),ROWS($AE$2:$AU$40))+1,INT((ROW()-ROW($AE$2))/ROWS($AE$2:$AU$40))+1)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INDEX($AE$2:$AU$40,MOD(ROW()-ROW($AE$2),ROWS($AE$2:$AU$40))+1,INT((ROW()-ROW($AE$2))/ROWS($AE$2:$AU$40))+1)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INDEX($AE$2:$AU$40,MOD(ROW()-ROW($AE$2),ROWS($AE$2:$AU$40))+1,INT((ROW()-ROW($AE$2))/ROWS($AE$2:$AU$40))+1)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INDEX($AE$2:$AU$40,MOD(ROW()-ROW($AE$2),ROWS($AE$2:$AU$40))+1,INT((ROW()-ROW($AE$2))/ROWS($AE$2:$AU$40))+1)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INDEX($AE$2:$AU$40,MOD(ROW()-ROW($AE$2),ROWS($AE$2:$AU$40))+1,INT((ROW()-ROW($AE$2))/ROWS($AE$2:$AU$40))+1)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INDEX($AE$2:$AU$40,MOD(ROW()-ROW($AE$2),ROWS($AE$2:$AU$40))+1,INT((ROW()-ROW($AE$2))/ROWS($AE$2:$AU$40))+1)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INDEX($AE$2:$AU$40,MOD(ROW()-ROW($AE$2),ROWS($AE$2:$AU$40))+1,INT((ROW()-ROW($AE$2))/ROWS($AE$2:$AU$40))+1)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INDEX($AE$2:$AU$40,MOD(ROW()-ROW($AE$2),ROWS($AE$2:$AU$40))+1,INT((ROW()-ROW($AE$2))/ROWS($AE$2:$AU$40))+1)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INDEX($AE$2:$AU$40,MOD(ROW()-ROW($AE$2),ROWS($AE$2:$AU$40))+1,INT((ROW()-ROW($AE$2))/ROWS($AE$2:$AU$40))+1)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INDEX($AE$2:$AU$40,MOD(ROW()-ROW($AE$2),ROWS($AE$2:$AU$40))+1,INT((ROW()-ROW($AE$2))/ROWS($AE$2:$AU$40))+1)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INDEX($AE$2:$AU$40,MOD(ROW()-ROW($AE$2),ROWS($AE$2:$AU$40))+1,INT((ROW()-ROW($AE$2))/ROWS($AE$2:$AU$40))+1)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INDEX($AE$2:$AU$40,MOD(ROW()-ROW($AE$2),ROWS($AE$2:$AU$40))+1,INT((ROW()-ROW($AE$2))/ROWS($AE$2:$AU$40))+1)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INDEX($AE$2:$AU$40,MOD(ROW()-ROW($AE$2),ROWS($AE$2:$AU$40))+1,INT((ROW()-ROW($AE$2))/ROWS($AE$2:$AU$40))+1)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INDEX($AE$2:$AU$40,MOD(ROW()-ROW($AE$2),ROWS($AE$2:$AU$40))+1,INT((ROW()-ROW($AE$2))/ROWS($AE$2:$AU$40))+1)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INDEX($AE$2:$AU$40,MOD(ROW()-ROW($AE$2),ROWS($AE$2:$AU$40))+1,INT((ROW()-ROW($AE$2))/ROWS($AE$2:$AU$40))+1)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INDEX($AE$2:$AU$40,MOD(ROW()-ROW($AE$2),ROWS($AE$2:$AU$40))+1,INT((ROW()-ROW($AE$2))/ROWS($AE$2:$AU$40))+1)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INDEX($AE$2:$AU$40,MOD(ROW()-ROW($AE$2),ROWS($AE$2:$AU$40))+1,INT((ROW()-ROW($AE$2))/ROWS($AE$2:$AU$40))+1)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INDEX($AE$2:$AU$40,MOD(ROW()-ROW($AE$2),ROWS($AE$2:$AU$40))+1,INT((ROW()-ROW($AE$2))/ROWS($AE$2:$AU$40))+1)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INDEX($AE$2:$AU$40,MOD(ROW()-ROW($AE$2),ROWS($AE$2:$AU$40))+1,INT((ROW()-ROW($AE$2))/ROWS($AE$2:$AU$40))+1)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INDEX($AE$2:$AU$40,MOD(ROW()-ROW($AE$2),ROWS($AE$2:$AU$40))+1,INT((ROW()-ROW($AE$2))/ROWS($AE$2:$AU$40))+1)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INDEX($AE$2:$AU$40,MOD(ROW()-ROW($AE$2),ROWS($AE$2:$AU$40))+1,INT((ROW()-ROW($AE$2))/ROWS($AE$2:$AU$40))+1)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INDEX($AE$2:$AU$40,MOD(ROW()-ROW($AE$2),ROWS($AE$2:$AU$40))+1,INT((ROW()-ROW($AE$2))/ROWS($AE$2:$AU$40))+1)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INDEX($AE$2:$AU$40,MOD(ROW()-ROW($AE$2),ROWS($AE$2:$AU$40))+1,INT((ROW()-ROW($AE$2))/ROWS($AE$2:$AU$40))+1)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INDEX($AE$2:$AU$40,MOD(ROW()-ROW($AE$2),ROWS($AE$2:$AU$40))+1,INT((ROW()-ROW($AE$2))/ROWS($AE$2:$AU$40))+1)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INDEX($AE$2:$AU$40,MOD(ROW()-ROW($AE$2),ROWS($AE$2:$AU$40))+1,INT((ROW()-ROW($AE$2))/ROWS($AE$2:$AU$40))+1)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INDEX($AE$2:$AU$40,MOD(ROW()-ROW($AE$2),ROWS($AE$2:$AU$40))+1,INT((ROW()-ROW($AE$2))/ROWS($AE$2:$AU$40))+1)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INDEX($AE$2:$AU$40,MOD(ROW()-ROW($AE$2),ROWS($AE$2:$AU$40))+1,INT((ROW()-ROW($AE$2))/ROWS($AE$2:$AU$40))+1)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INDEX($AE$2:$AU$40,MOD(ROW()-ROW($AE$2),ROWS($AE$2:$AU$40))+1,INT((ROW()-ROW($AE$2))/ROWS($AE$2:$AU$40))+1)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INDEX($AE$2:$AU$40,MOD(ROW()-ROW($AE$2),ROWS($AE$2:$AU$40))+1,INT((ROW()-ROW($AE$2))/ROWS($AE$2:$AU$40))+1)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INDEX($AE$2:$AU$40,MOD(ROW()-ROW($AE$2),ROWS($AE$2:$AU$40))+1,INT((ROW()-ROW($AE$2))/ROWS($AE$2:$AU$40))+1)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INDEX($AE$2:$AU$40,MOD(ROW()-ROW($AE$2),ROWS($AE$2:$AU$40))+1,INT((ROW()-ROW($AE$2))/ROWS($AE$2:$AU$40))+1)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INDEX($AE$2:$AU$40,MOD(ROW()-ROW($AE$2),ROWS($AE$2:$AU$40))+1,INT((ROW()-ROW($AE$2))/ROWS($AE$2:$AU$40))+1)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INDEX($AE$2:$AU$40,MOD(ROW()-ROW($AE$2),ROWS($AE$2:$AU$40))+1,INT((ROW()-ROW($AE$2))/ROWS($AE$2:$AU$40))+1)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INDEX($AE$2:$AU$40,MOD(ROW()-ROW($AE$2),ROWS($AE$2:$AU$40))+1,INT((ROW()-ROW($AE$2))/ROWS($AE$2:$AU$40))+1)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INDEX($AE$2:$AU$40,MOD(ROW()-ROW($AE$2),ROWS($AE$2:$AU$40))+1,INT((ROW()-ROW($AE$2))/ROWS($AE$2:$AU$40))+1)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INDEX($AE$2:$AU$40,MOD(ROW()-ROW($AE$2),ROWS($AE$2:$AU$40))+1,INT((ROW()-ROW($AE$2))/ROWS($AE$2:$AU$40))+1)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INDEX($AE$2:$AU$40,MOD(ROW()-ROW($AE$2),ROWS($AE$2:$AU$40))+1,INT((ROW()-ROW($AE$2))/ROWS($AE$2:$AU$40))+1)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INDEX($AE$2:$AU$40,MOD(ROW()-ROW($AE$2),ROWS($AE$2:$AU$40))+1,INT((ROW()-ROW($AE$2))/ROWS($AE$2:$AU$40))+1)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INDEX($AE$2:$AU$40,MOD(ROW()-ROW($AE$2),ROWS($AE$2:$AU$40))+1,INT((ROW()-ROW($AE$2))/ROWS($AE$2:$AU$40))+1)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INDEX($AE$2:$AU$40,MOD(ROW()-ROW($AE$2),ROWS($AE$2:$AU$40))+1,INT((ROW()-ROW($AE$2))/ROWS($AE$2:$AU$40))+1)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INDEX($AE$2:$AU$40,MOD(ROW()-ROW($AE$2),ROWS($AE$2:$AU$40))+1,INT((ROW()-ROW($AE$2))/ROWS($AE$2:$AU$40))+1)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INDEX($AE$2:$AU$40,MOD(ROW()-ROW($AE$2),ROWS($AE$2:$AU$40))+1,INT((ROW()-ROW($AE$2))/ROWS($AE$2:$AU$40))+1)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INDEX($AE$2:$AU$40,MOD(ROW()-ROW($AE$2),ROWS($AE$2:$AU$40))+1,INT((ROW()-ROW($AE$2))/ROWS($AE$2:$AU$40))+1)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INDEX($AE$2:$AU$40,MOD(ROW()-ROW($AE$2),ROWS($AE$2:$AU$40))+1,INT((ROW()-ROW($AE$2))/ROWS($AE$2:$AU$40))+1)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INDEX($AE$2:$AU$40,MOD(ROW()-ROW($AE$2),ROWS($AE$2:$AU$40))+1,INT((ROW()-ROW($AE$2))/ROWS($AE$2:$AU$40))+1)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INDEX($AE$2:$AU$40,MOD(ROW()-ROW($AE$2),ROWS($AE$2:$AU$40))+1,INT((ROW()-ROW($AE$2))/ROWS($AE$2:$AU$40))+1)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INDEX($AE$2:$AU$40,MOD(ROW()-ROW($AE$2),ROWS($AE$2:$AU$40))+1,INT((ROW()-ROW($AE$2))/ROWS($AE$2:$AU$40))+1)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INDEX($AE$2:$AU$40,MOD(ROW()-ROW($AE$2),ROWS($AE$2:$AU$40))+1,INT((ROW()-ROW($AE$2))/ROWS($AE$2:$AU$40))+1)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INDEX($AE$2:$AU$40,MOD(ROW()-ROW($AE$2),ROWS($AE$2:$AU$40))+1,INT((ROW()-ROW($AE$2))/ROWS($AE$2:$AU$40))+1)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INDEX($AE$2:$AU$40,MOD(ROW()-ROW($AE$2),ROWS($AE$2:$AU$40))+1,INT((ROW()-ROW($AE$2))/ROWS($AE$2:$AU$40))+1)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INDEX($AE$2:$AU$40,MOD(ROW()-ROW($AE$2),ROWS($AE$2:$AU$40))+1,INT((ROW()-ROW($AE$2))/ROWS($AE$2:$AU$40))+1)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INDEX($AE$2:$AU$40,MOD(ROW()-ROW($AE$2),ROWS($AE$2:$AU$40))+1,INT((ROW()-ROW($AE$2))/ROWS($AE$2:$AU$40))+1)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INDEX($AE$2:$AU$40,MOD(ROW()-ROW($AE$2),ROWS($AE$2:$AU$40))+1,INT((ROW()-ROW($AE$2))/ROWS($AE$2:$AU$40))+1)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INDEX($AE$2:$AU$40,MOD(ROW()-ROW($AE$2),ROWS($AE$2:$AU$40))+1,INT((ROW()-ROW($AE$2))/ROWS($AE$2:$AU$40))+1)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INDEX($AE$2:$AU$40,MOD(ROW()-ROW($AE$2),ROWS($AE$2:$AU$40))+1,INT((ROW()-ROW($AE$2))/ROWS($AE$2:$AU$40))+1)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INDEX($AE$2:$AU$40,MOD(ROW()-ROW($AE$2),ROWS($AE$2:$AU$40))+1,INT((ROW()-ROW($AE$2))/ROWS($AE$2:$AU$40))+1)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INDEX($AE$2:$AU$40,MOD(ROW()-ROW($AE$2),ROWS($AE$2:$AU$40))+1,INT((ROW()-ROW($AE$2))/ROWS($AE$2:$AU$40))+1)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INDEX($AE$2:$AU$40,MOD(ROW()-ROW($AE$2),ROWS($AE$2:$AU$40))+1,INT((ROW()-ROW($AE$2))/ROWS($AE$2:$AU$40))+1)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INDEX($AE$2:$AU$40,MOD(ROW()-ROW($AE$2),ROWS($AE$2:$AU$40))+1,INT((ROW()-ROW($AE$2))/ROWS($AE$2:$AU$40))+1)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INDEX($AE$2:$AU$40,MOD(ROW()-ROW($AE$2),ROWS($AE$2:$AU$40))+1,INT((ROW()-ROW($AE$2))/ROWS($AE$2:$AU$40))+1)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INDEX($AE$2:$AU$40,MOD(ROW()-ROW($AE$2),ROWS($AE$2:$AU$40))+1,INT((ROW()-ROW($AE$2))/ROWS($AE$2:$AU$40))+1)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INDEX($AE$2:$AU$40,MOD(ROW()-ROW($AE$2),ROWS($AE$2:$AU$40))+1,INT((ROW()-ROW($AE$2))/ROWS($AE$2:$AU$40))+1)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INDEX($AE$2:$AU$40,MOD(ROW()-ROW($AE$2),ROWS($AE$2:$AU$40))+1,INT((ROW()-ROW($AE$2))/ROWS($AE$2:$AU$40))+1)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INDEX($AE$2:$AU$40,MOD(ROW()-ROW($AE$2),ROWS($AE$2:$AU$40))+1,INT((ROW()-ROW($AE$2))/ROWS($AE$2:$AU$40))+1)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INDEX($AE$2:$AU$40,MOD(ROW()-ROW($AE$2),ROWS($AE$2:$AU$40))+1,INT((ROW()-ROW($AE$2))/ROWS($AE$2:$AU$40))+1)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INDEX($AE$2:$AU$40,MOD(ROW()-ROW($AE$2),ROWS($AE$2:$AU$40))+1,INT((ROW()-ROW($AE$2))/ROWS($AE$2:$AU$40))+1)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INDEX($AE$2:$AU$40,MOD(ROW()-ROW($AE$2),ROWS($AE$2:$AU$40))+1,INT((ROW()-ROW($AE$2))/ROWS($AE$2:$AU$40))+1)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INDEX($AE$2:$AU$40,MOD(ROW()-ROW($AE$2),ROWS($AE$2:$AU$40))+1,INT((ROW()-ROW($AE$2))/ROWS($AE$2:$AU$40))+1)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INDEX($AE$2:$AU$40,MOD(ROW()-ROW($AE$2),ROWS($AE$2:$AU$40))+1,INT((ROW()-ROW($AE$2))/ROWS($AE$2:$AU$40))+1)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INDEX($AE$2:$AU$40,MOD(ROW()-ROW($AE$2),ROWS($AE$2:$AU$40))+1,INT((ROW()-ROW($AE$2))/ROWS($AE$2:$AU$40))+1)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INDEX($AE$2:$AU$40,MOD(ROW()-ROW($AE$2),ROWS($AE$2:$AU$40))+1,INT((ROW()-ROW($AE$2))/ROWS($AE$2:$AU$40))+1)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INDEX($AE$2:$AU$40,MOD(ROW()-ROW($AE$2),ROWS($AE$2:$AU$40))+1,INT((ROW()-ROW($AE$2))/ROWS($AE$2:$AU$40))+1)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INDEX($AE$2:$AU$40,MOD(ROW()-ROW($AE$2),ROWS($AE$2:$AU$40))+1,INT((ROW()-ROW($AE$2))/ROWS($AE$2:$AU$40))+1)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INDEX($AE$2:$AU$40,MOD(ROW()-ROW($AE$2),ROWS($AE$2:$AU$40))+1,INT((ROW()-ROW($AE$2))/ROWS($AE$2:$AU$40))+1)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INDEX($AE$2:$AU$40,MOD(ROW()-ROW($AE$2),ROWS($AE$2:$AU$40))+1,INT((ROW()-ROW($AE$2))/ROWS($AE$2:$AU$40))+1)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INDEX($AE$2:$AU$40,MOD(ROW()-ROW($AE$2),ROWS($AE$2:$AU$40))+1,INT((ROW()-ROW($AE$2))/ROWS($AE$2:$AU$40))+1)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INDEX($AE$2:$AU$40,MOD(ROW()-ROW($AE$2),ROWS($AE$2:$AU$40))+1,INT((ROW()-ROW($AE$2))/ROWS($AE$2:$AU$40))+1)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INDEX($AE$2:$AU$40,MOD(ROW()-ROW($AE$2),ROWS($AE$2:$AU$40))+1,INT((ROW()-ROW($AE$2))/ROWS($AE$2:$AU$40))+1)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INDEX($AE$2:$AU$40,MOD(ROW()-ROW($AE$2),ROWS($AE$2:$AU$40))+1,INT((ROW()-ROW($AE$2))/ROWS($AE$2:$AU$40))+1)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INDEX($AE$2:$AU$40,MOD(ROW()-ROW($AE$2),ROWS($AE$2:$AU$40))+1,INT((ROW()-ROW($AE$2))/ROWS($AE$2:$AU$40))+1)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INDEX($AE$2:$AU$40,MOD(ROW()-ROW($AE$2),ROWS($AE$2:$AU$40))+1,INT((ROW()-ROW($AE$2))/ROWS($AE$2:$AU$40))+1)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INDEX($AE$2:$AU$40,MOD(ROW()-ROW($AE$2),ROWS($AE$2:$AU$40))+1,INT((ROW()-ROW($AE$2))/ROWS($AE$2:$AU$40))+1)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INDEX($AE$2:$AU$40,MOD(ROW()-ROW($AE$2),ROWS($AE$2:$AU$40))+1,INT((ROW()-ROW($AE$2))/ROWS($AE$2:$AU$40))+1)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INDEX($AE$2:$AU$40,MOD(ROW()-ROW($AE$2),ROWS($AE$2:$AU$40))+1,INT((ROW()-ROW($AE$2))/ROWS($AE$2:$AU$40))+1)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INDEX($AE$2:$AU$40,MOD(ROW()-ROW($AE$2),ROWS($AE$2:$AU$40))+1,INT((ROW()-ROW($AE$2))/ROWS($AE$2:$AU$40))+1)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INDEX($AE$2:$AU$40,MOD(ROW()-ROW($AE$2),ROWS($AE$2:$AU$40))+1,INT((ROW()-ROW($AE$2))/ROWS($AE$2:$AU$40))+1)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INDEX($AE$2:$AU$40,MOD(ROW()-ROW($AE$2),ROWS($AE$2:$AU$40))+1,INT((ROW()-ROW($AE$2))/ROWS($AE$2:$AU$40))+1)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INDEX($AE$2:$AU$40,MOD(ROW()-ROW($AE$2),ROWS($AE$2:$AU$40))+1,INT((ROW()-ROW($AE$2))/ROWS($AE$2:$AU$40))+1)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INDEX($AE$2:$AU$40,MOD(ROW()-ROW($AE$2),ROWS($AE$2:$AU$40))+1,INT((ROW()-ROW($AE$2))/ROWS($AE$2:$AU$40))+1)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INDEX($AE$2:$AU$40,MOD(ROW()-ROW($AE$2),ROWS($AE$2:$AU$40))+1,INT((ROW()-ROW($AE$2))/ROWS($AE$2:$AU$40))+1)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INDEX($AE$2:$AU$40,MOD(ROW()-ROW($AE$2),ROWS($AE$2:$AU$40))+1,INT((ROW()-ROW($AE$2))/ROWS($AE$2:$AU$40))+1)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INDEX($AE$2:$AU$40,MOD(ROW()-ROW($AE$2),ROWS($AE$2:$AU$40))+1,INT((ROW()-ROW($AE$2))/ROWS($AE$2:$AU$40))+1)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INDEX($AE$2:$AU$40,MOD(ROW()-ROW($AE$2),ROWS($AE$2:$AU$40))+1,INT((ROW()-ROW($AE$2))/ROWS($AE$2:$AU$40))+1)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INDEX($AE$2:$AU$40,MOD(ROW()-ROW($AE$2),ROWS($AE$2:$AU$40))+1,INT((ROW()-ROW($AE$2))/ROWS($AE$2:$AU$40))+1)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INDEX($AE$2:$AU$40,MOD(ROW()-ROW($AE$2),ROWS($AE$2:$AU$40))+1,INT((ROW()-ROW($AE$2))/ROWS($AE$2:$AU$40))+1)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INDEX($AE$2:$AU$40,MOD(ROW()-ROW($AE$2),ROWS($AE$2:$AU$40))+1,INT((ROW()-ROW($AE$2))/ROWS($AE$2:$AU$40))+1)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INDEX($AE$2:$AU$40,MOD(ROW()-ROW($AE$2),ROWS($AE$2:$AU$40))+1,INT((ROW()-ROW($AE$2))/ROWS($AE$2:$AU$40))+1)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INDEX($AE$2:$AU$40,MOD(ROW()-ROW($AE$2),ROWS($AE$2:$AU$40))+1,INT((ROW()-ROW($AE$2))/ROWS($AE$2:$AU$40))+1)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INDEX($AE$2:$AU$40,MOD(ROW()-ROW($AE$2),ROWS($AE$2:$AU$40))+1,INT((ROW()-ROW($AE$2))/ROWS($AE$2:$AU$40))+1)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INDEX($AE$2:$AU$40,MOD(ROW()-ROW($AE$2),ROWS($AE$2:$AU$40))+1,INT((ROW()-ROW($AE$2))/ROWS($AE$2:$AU$40))+1)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INDEX($AE$2:$AU$40,MOD(ROW()-ROW($AE$2),ROWS($AE$2:$AU$40))+1,INT((ROW()-ROW($AE$2))/ROWS($AE$2:$AU$40))+1)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INDEX($AE$2:$AU$40,MOD(ROW()-ROW($AE$2),ROWS($AE$2:$AU$40))+1,INT((ROW()-ROW($AE$2))/ROWS($AE$2:$AU$40))+1)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INDEX($AE$2:$AU$40,MOD(ROW()-ROW($AE$2),ROWS($AE$2:$AU$40))+1,INT((ROW()-ROW($AE$2))/ROWS($AE$2:$AU$40))+1)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INDEX($AE$2:$AU$40,MOD(ROW()-ROW($AE$2),ROWS($AE$2:$AU$40))+1,INT((ROW()-ROW($AE$2))/ROWS($AE$2:$AU$40))+1)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INDEX($AE$2:$AU$40,MOD(ROW()-ROW($AE$2),ROWS($AE$2:$AU$40))+1,INT((ROW()-ROW($AE$2))/ROWS($AE$2:$AU$40))+1)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INDEX($AE$2:$AU$40,MOD(ROW()-ROW($AE$2),ROWS($AE$2:$AU$40))+1,INT((ROW()-ROW($AE$2))/ROWS($AE$2:$AU$40))+1)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INDEX($AE$2:$AU$40,MOD(ROW()-ROW($AE$2),ROWS($AE$2:$AU$40))+1,INT((ROW()-ROW($AE$2))/ROWS($AE$2:$AU$40))+1)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INDEX($AE$2:$AU$40,MOD(ROW()-ROW($AE$2),ROWS($AE$2:$AU$40))+1,INT((ROW()-ROW($AE$2))/ROWS($AE$2:$AU$40))+1)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INDEX($AE$2:$AU$40,MOD(ROW()-ROW($AE$2),ROWS($AE$2:$AU$40))+1,INT((ROW()-ROW($AE$2))/ROWS($AE$2:$AU$40))+1)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INDEX($AE$2:$AU$40,MOD(ROW()-ROW($AE$2),ROWS($AE$2:$AU$40))+1,INT((ROW()-ROW($AE$2))/ROWS($AE$2:$AU$40))+1)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INDEX($AE$2:$AU$40,MOD(ROW()-ROW($AE$2),ROWS($AE$2:$AU$40))+1,INT((ROW()-ROW($AE$2))/ROWS($AE$2:$AU$40))+1)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INDEX($AE$2:$AU$40,MOD(ROW()-ROW($AE$2),ROWS($AE$2:$AU$40))+1,INT((ROW()-ROW($AE$2))/ROWS($AE$2:$AU$40))+1)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INDEX($AE$2:$AU$40,MOD(ROW()-ROW($AE$2),ROWS($AE$2:$AU$40))+1,INT((ROW()-ROW($AE$2))/ROWS($AE$2:$AU$40))+1)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INDEX($AE$2:$AU$40,MOD(ROW()-ROW($AE$2),ROWS($AE$2:$AU$40))+1,INT((ROW()-ROW($AE$2))/ROWS($AE$2:$AU$40))+1)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INDEX($AE$2:$AU$40,MOD(ROW()-ROW($AE$2),ROWS($AE$2:$AU$40))+1,INT((ROW()-ROW($AE$2))/ROWS($AE$2:$AU$40))+1)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INDEX($AE$2:$AU$40,MOD(ROW()-ROW($AE$2),ROWS($AE$2:$AU$40))+1,INT((ROW()-ROW($AE$2))/ROWS($AE$2:$AU$40))+1)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INDEX($AE$2:$AU$40,MOD(ROW()-ROW($AE$2),ROWS($AE$2:$AU$40))+1,INT((ROW()-ROW($AE$2))/ROWS($AE$2:$AU$40))+1)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INDEX($AE$2:$AU$40,MOD(ROW()-ROW($AE$2),ROWS($AE$2:$AU$40))+1,INT((ROW()-ROW($AE$2))/ROWS($AE$2:$AU$40))+1)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INDEX($AE$2:$AU$40,MOD(ROW()-ROW($AE$2),ROWS($AE$2:$AU$40))+1,INT((ROW()-ROW($AE$2))/ROWS($AE$2:$AU$40))+1)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INDEX($AE$2:$AU$40,MOD(ROW()-ROW($AE$2),ROWS($AE$2:$AU$40))+1,INT((ROW()-ROW($AE$2))/ROWS($AE$2:$AU$40))+1)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INDEX($AE$2:$AU$40,MOD(ROW()-ROW($AE$2),ROWS($AE$2:$AU$40))+1,INT((ROW()-ROW($AE$2))/ROWS($AE$2:$AU$40))+1)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INDEX($AE$2:$AU$40,MOD(ROW()-ROW($AE$2),ROWS($AE$2:$AU$40))+1,INT((ROW()-ROW($AE$2))/ROWS($AE$2:$AU$40))+1)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INDEX($AE$2:$AU$40,MOD(ROW()-ROW($AE$2),ROWS($AE$2:$AU$40))+1,INT((ROW()-ROW($AE$2))/ROWS($AE$2:$AU$40))+1)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INDEX($AE$2:$AU$40,MOD(ROW()-ROW($AE$2),ROWS($AE$2:$AU$40))+1,INT((ROW()-ROW($AE$2))/ROWS($AE$2:$AU$40))+1)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INDEX($AE$2:$AU$40,MOD(ROW()-ROW($AE$2),ROWS($AE$2:$AU$40))+1,INT((ROW()-ROW($AE$2))/ROWS($AE$2:$AU$40))+1)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INDEX($AE$2:$AU$40,MOD(ROW()-ROW($AE$2),ROWS($AE$2:$AU$40))+1,INT((ROW()-ROW($AE$2))/ROWS($AE$2:$AU$40))+1)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INDEX($AE$2:$AU$40,MOD(ROW()-ROW($AE$2),ROWS($AE$2:$AU$40))+1,INT((ROW()-ROW($AE$2))/ROWS($AE$2:$AU$40))+1)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INDEX($AE$2:$AU$40,MOD(ROW()-ROW($AE$2),ROWS($AE$2:$AU$40))+1,INT((ROW()-ROW($AE$2))/ROWS($AE$2:$AU$40))+1)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INDEX($AE$2:$AU$40,MOD(ROW()-ROW($AE$2),ROWS($AE$2:$AU$40))+1,INT((ROW()-ROW($AE$2))/ROWS($AE$2:$AU$40))+1)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INDEX($AE$2:$AU$40,MOD(ROW()-ROW($AE$2),ROWS($AE$2:$AU$40))+1,INT((ROW()-ROW($AE$2))/ROWS($AE$2:$AU$40))+1)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INDEX($AE$2:$AU$40,MOD(ROW()-ROW($AE$2),ROWS($AE$2:$AU$40))+1,INT((ROW()-ROW($AE$2))/ROWS($AE$2:$AU$40))+1)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INDEX($AE$2:$AU$40,MOD(ROW()-ROW($AE$2),ROWS($AE$2:$AU$40))+1,INT((ROW()-ROW($AE$2))/ROWS($AE$2:$AU$40))+1)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INDEX($AE$2:$AU$40,MOD(ROW()-ROW($AE$2),ROWS($AE$2:$AU$40))+1,INT((ROW()-ROW($AE$2))/ROWS($AE$2:$AU$40))+1)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INDEX($AE$2:$AU$40,MOD(ROW()-ROW($AE$2),ROWS($AE$2:$AU$40))+1,INT((ROW()-ROW($AE$2))/ROWS($AE$2:$AU$40))+1)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INDEX($AE$2:$AU$40,MOD(ROW()-ROW($AE$2),ROWS($AE$2:$AU$40))+1,INT((ROW()-ROW($AE$2))/ROWS($AE$2:$AU$40))+1)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INDEX($AE$2:$AU$40,MOD(ROW()-ROW($AE$2),ROWS($AE$2:$AU$40))+1,INT((ROW()-ROW($AE$2))/ROWS($AE$2:$AU$40))+1)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INDEX($AE$2:$AU$40,MOD(ROW()-ROW($AE$2),ROWS($AE$2:$AU$40))+1,INT((ROW()-ROW($AE$2))/ROWS($AE$2:$AU$40))+1)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INDEX($AE$2:$AU$40,MOD(ROW()-ROW($AE$2),ROWS($AE$2:$AU$40))+1,INT((ROW()-ROW($AE$2))/ROWS($AE$2:$AU$40))+1)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INDEX($AE$2:$AU$40,MOD(ROW()-ROW($AE$2),ROWS($AE$2:$AU$40))+1,INT((ROW()-ROW($AE$2))/ROWS($AE$2:$AU$40))+1)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INDEX($AE$2:$AU$40,MOD(ROW()-ROW($AE$2),ROWS($AE$2:$AU$40))+1,INT((ROW()-ROW($AE$2))/ROWS($AE$2:$AU$40))+1)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INDEX($AE$2:$AU$40,MOD(ROW()-ROW($AE$2),ROWS($AE$2:$AU$40))+1,INT((ROW()-ROW($AE$2))/ROWS($AE$2:$AU$40))+1)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INDEX($AE$2:$AU$40,MOD(ROW()-ROW($AE$2),ROWS($AE$2:$AU$40))+1,INT((ROW()-ROW($AE$2))/ROWS($AE$2:$AU$40))+1)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INDEX($AE$2:$AU$40,MOD(ROW()-ROW($AE$2),ROWS($AE$2:$AU$40))+1,INT((ROW()-ROW($AE$2))/ROWS($AE$2:$AU$40))+1)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INDEX($AE$2:$AU$40,MOD(ROW()-ROW($AE$2),ROWS($AE$2:$AU$40))+1,INT((ROW()-ROW($AE$2))/ROWS($AE$2:$AU$40))+1)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INDEX($AE$2:$AU$40,MOD(ROW()-ROW($AE$2),ROWS($AE$2:$AU$40))+1,INT((ROW()-ROW($AE$2))/ROWS($AE$2:$AU$40))+1)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INDEX($AE$2:$AU$40,MOD(ROW()-ROW($AE$2),ROWS($AE$2:$AU$40))+1,INT((ROW()-ROW($AE$2))/ROWS($AE$2:$AU$40))+1)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INDEX($AE$2:$AU$40,MOD(ROW()-ROW($AE$2),ROWS($AE$2:$AU$40))+1,INT((ROW()-ROW($AE$2))/ROWS($AE$2:$AU$40))+1)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INDEX($AE$2:$AU$40,MOD(ROW()-ROW($AE$2),ROWS($AE$2:$AU$40))+1,INT((ROW()-ROW($AE$2))/ROWS($AE$2:$AU$40))+1)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INDEX($AE$2:$AU$40,MOD(ROW()-ROW($AE$2),ROWS($AE$2:$AU$40))+1,INT((ROW()-ROW($AE$2))/ROWS($AE$2:$AU$40))+1)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INDEX($AE$2:$AU$40,MOD(ROW()-ROW($AE$2),ROWS($AE$2:$AU$40))+1,INT((ROW()-ROW($AE$2))/ROWS($AE$2:$AU$40))+1)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INDEX($AE$2:$AU$40,MOD(ROW()-ROW($AE$2),ROWS($AE$2:$AU$40))+1,INT((ROW()-ROW($AE$2))/ROWS($AE$2:$AU$40))+1)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INDEX($AE$2:$AU$40,MOD(ROW()-ROW($AE$2),ROWS($AE$2:$AU$40))+1,INT((ROW()-ROW($AE$2))/ROWS($AE$2:$AU$40))+1)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INDEX($AE$2:$AU$40,MOD(ROW()-ROW($AE$2),ROWS($AE$2:$AU$40))+1,INT((ROW()-ROW($AE$2))/ROWS($AE$2:$AU$40))+1)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INDEX($AE$2:$AU$40,MOD(ROW()-ROW($AE$2),ROWS($AE$2:$AU$40))+1,INT((ROW()-ROW($AE$2))/ROWS($AE$2:$AU$40))+1)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INDEX($AE$2:$AU$40,MOD(ROW()-ROW($AE$2),ROWS($AE$2:$AU$40))+1,INT((ROW()-ROW($AE$2))/ROWS($AE$2:$AU$40))+1)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INDEX($AE$2:$AU$40,MOD(ROW()-ROW($AE$2),ROWS($AE$2:$AU$40))+1,INT((ROW()-ROW($AE$2))/ROWS($AE$2:$AU$40))+1)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INDEX($AE$2:$AU$40,MOD(ROW()-ROW($AE$2),ROWS($AE$2:$AU$40))+1,INT((ROW()-ROW($AE$2))/ROWS($AE$2:$AU$40))+1)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INDEX($AE$2:$AU$40,MOD(ROW()-ROW($AE$2),ROWS($AE$2:$AU$40))+1,INT((ROW()-ROW($AE$2))/ROWS($AE$2:$AU$40))+1)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INDEX($AE$2:$AU$40,MOD(ROW()-ROW($AE$2),ROWS($AE$2:$AU$40))+1,INT((ROW()-ROW($AE$2))/ROWS($AE$2:$AU$40))+1)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INDEX($AE$2:$AU$40,MOD(ROW()-ROW($AE$2),ROWS($AE$2:$AU$40))+1,INT((ROW()-ROW($AE$2))/ROWS($AE$2:$AU$40))+1)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INDEX($AE$2:$AU$40,MOD(ROW()-ROW($AE$2),ROWS($AE$2:$AU$40))+1,INT((ROW()-ROW($AE$2))/ROWS($AE$2:$AU$40))+1)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INDEX($AE$2:$AU$40,MOD(ROW()-ROW($AE$2),ROWS($AE$2:$AU$40))+1,INT((ROW()-ROW($AE$2))/ROWS($AE$2:$AU$40))+1)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INDEX($AE$2:$AU$40,MOD(ROW()-ROW($AE$2),ROWS($AE$2:$AU$40))+1,INT((ROW()-ROW($AE$2))/ROWS($AE$2:$AU$40))+1)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INDEX($AE$2:$AU$40,MOD(ROW()-ROW($AE$2),ROWS($AE$2:$AU$40))+1,INT((ROW()-ROW($AE$2))/ROWS($AE$2:$AU$40))+1)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INDEX($AE$2:$AU$40,MOD(ROW()-ROW($AE$2),ROWS($AE$2:$AU$40))+1,INT((ROW()-ROW($AE$2))/ROWS($AE$2:$AU$40))+1)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INDEX($AE$2:$AU$40,MOD(ROW()-ROW($AE$2),ROWS($AE$2:$AU$40))+1,INT((ROW()-ROW($AE$2))/ROWS($AE$2:$AU$40))+1)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INDEX($AE$2:$AU$40,MOD(ROW()-ROW($AE$2),ROWS($AE$2:$AU$40))+1,INT((ROW()-ROW($AE$2))/ROWS($AE$2:$AU$40))+1)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INDEX($AE$2:$AU$40,MOD(ROW()-ROW($AE$2),ROWS($AE$2:$AU$40))+1,INT((ROW()-ROW($AE$2))/ROWS($AE$2:$AU$40))+1)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INDEX($AE$2:$AU$40,MOD(ROW()-ROW($AE$2),ROWS($AE$2:$AU$40))+1,INT((ROW()-ROW($AE$2))/ROWS($AE$2:$AU$40))+1)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INDEX($AE$2:$AU$40,MOD(ROW()-ROW($AE$2),ROWS($AE$2:$AU$40))+1,INT((ROW()-ROW($AE$2))/ROWS($AE$2:$AU$40))+1)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INDEX($AE$2:$AU$40,MOD(ROW()-ROW($AE$2),ROWS($AE$2:$AU$40))+1,INT((ROW()-ROW($AE$2))/ROWS($AE$2:$AU$40))+1)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INDEX($AE$2:$AU$40,MOD(ROW()-ROW($AE$2),ROWS($AE$2:$AU$40))+1,INT((ROW()-ROW($AE$2))/ROWS($AE$2:$AU$40))+1)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INDEX($AE$2:$AU$40,MOD(ROW()-ROW($AE$2),ROWS($AE$2:$AU$40))+1,INT((ROW()-ROW($AE$2))/ROWS($AE$2:$AU$40))+1)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INDEX($AE$2:$AU$40,MOD(ROW()-ROW($AE$2),ROWS($AE$2:$AU$40))+1,INT((ROW()-ROW($AE$2))/ROWS($AE$2:$AU$40))+1)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INDEX($AE$2:$AU$40,MOD(ROW()-ROW($AE$2),ROWS($AE$2:$AU$40))+1,INT((ROW()-ROW($AE$2))/ROWS($AE$2:$AU$40))+1)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INDEX($AE$2:$AU$40,MOD(ROW()-ROW($AE$2),ROWS($AE$2:$AU$40))+1,INT((ROW()-ROW($AE$2))/ROWS($AE$2:$AU$40))+1)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INDEX($AE$2:$AU$40,MOD(ROW()-ROW($AE$2),ROWS($AE$2:$AU$40))+1,INT((ROW()-ROW($AE$2))/ROWS($AE$2:$AU$40))+1)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INDEX($AE$2:$AU$40,MOD(ROW()-ROW($AE$2),ROWS($AE$2:$AU$40))+1,INT((ROW()-ROW($AE$2))/ROWS($AE$2:$AU$40))+1)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INDEX($AE$2:$AU$40,MOD(ROW()-ROW($AE$2),ROWS($AE$2:$AU$40))+1,INT((ROW()-ROW($AE$2))/ROWS($AE$2:$AU$40))+1)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INDEX($AE$2:$AU$40,MOD(ROW()-ROW($AE$2),ROWS($AE$2:$AU$40))+1,INT((ROW()-ROW($AE$2))/ROWS($AE$2:$AU$40))+1)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INDEX($AE$2:$AU$40,MOD(ROW()-ROW($AE$2),ROWS($AE$2:$AU$40))+1,INT((ROW()-ROW($AE$2))/ROWS($AE$2:$AU$40))+1)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INDEX($AE$2:$AU$40,MOD(ROW()-ROW($AE$2),ROWS($AE$2:$AU$40))+1,INT((ROW()-ROW($AE$2))/ROWS($AE$2:$AU$40))+1)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INDEX($AE$2:$AU$40,MOD(ROW()-ROW($AE$2),ROWS($AE$2:$AU$40))+1,INT((ROW()-ROW($AE$2))/ROWS($AE$2:$AU$40))+1)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INDEX($AE$2:$AU$40,MOD(ROW()-ROW($AE$2),ROWS($AE$2:$AU$40))+1,INT((ROW()-ROW($AE$2))/ROWS($AE$2:$AU$40))+1)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INDEX($AE$2:$AU$40,MOD(ROW()-ROW($AE$2),ROWS($AE$2:$AU$40))+1,INT((ROW()-ROW($AE$2))/ROWS($AE$2:$AU$40))+1)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INDEX($AE$2:$AU$40,MOD(ROW()-ROW($AE$2),ROWS($AE$2:$AU$40))+1,INT((ROW()-ROW($AE$2))/ROWS($AE$2:$AU$40))+1)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INDEX($AE$2:$AU$40,MOD(ROW()-ROW($AE$2),ROWS($AE$2:$AU$40))+1,INT((ROW()-ROW($AE$2))/ROWS($AE$2:$AU$40))+1)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INDEX($AE$2:$AU$40,MOD(ROW()-ROW($AE$2),ROWS($AE$2:$AU$40))+1,INT((ROW()-ROW($AE$2))/ROWS($AE$2:$AU$40))+1)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INDEX($AE$2:$AU$40,MOD(ROW()-ROW($AE$2),ROWS($AE$2:$AU$40))+1,INT((ROW()-ROW($AE$2))/ROWS($AE$2:$AU$40))+1)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INDEX($AE$2:$AU$40,MOD(ROW()-ROW($AE$2),ROWS($AE$2:$AU$40))+1,INT((ROW()-ROW($AE$2))/ROWS($AE$2:$AU$40))+1)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INDEX($AE$2:$AU$40,MOD(ROW()-ROW($AE$2),ROWS($AE$2:$AU$40))+1,INT((ROW()-ROW($AE$2))/ROWS($AE$2:$AU$40))+1)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INDEX($AE$2:$AU$40,MOD(ROW()-ROW($AE$2),ROWS($AE$2:$AU$40))+1,INT((ROW()-ROW($AE$2))/ROWS($AE$2:$AU$40))+1)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INDEX($AE$2:$AU$40,MOD(ROW()-ROW($AE$2),ROWS($AE$2:$AU$40))+1,INT((ROW()-ROW($AE$2))/ROWS($AE$2:$AU$40))+1)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INDEX($AE$2:$AU$40,MOD(ROW()-ROW($AE$2),ROWS($AE$2:$AU$40))+1,INT((ROW()-ROW($AE$2))/ROWS($AE$2:$AU$40))+1)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INDEX($AE$2:$AU$40,MOD(ROW()-ROW($AE$2),ROWS($AE$2:$AU$40))+1,INT((ROW()-ROW($AE$2))/ROWS($AE$2:$AU$40))+1)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INDEX($AE$2:$AU$40,MOD(ROW()-ROW($AE$2),ROWS($AE$2:$AU$40))+1,INT((ROW()-ROW($AE$2))/ROWS($AE$2:$AU$40))+1)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INDEX($AE$2:$AU$40,MOD(ROW()-ROW($AE$2),ROWS($AE$2:$AU$40))+1,INT((ROW()-ROW($AE$2))/ROWS($AE$2:$AU$40))+1)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INDEX($AE$2:$AU$40,MOD(ROW()-ROW($AE$2),ROWS($AE$2:$AU$40))+1,INT((ROW()-ROW($AE$2))/ROWS($AE$2:$AU$40))+1)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INDEX($AE$2:$AU$40,MOD(ROW()-ROW($AE$2),ROWS($AE$2:$AU$40))+1,INT((ROW()-ROW($AE$2))/ROWS($AE$2:$AU$40))+1)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INDEX($AE$2:$AU$40,MOD(ROW()-ROW($AE$2),ROWS($AE$2:$AU$40))+1,INT((ROW()-ROW($AE$2))/ROWS($AE$2:$AU$40))+1)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INDEX($AE$2:$AU$40,MOD(ROW()-ROW($AE$2),ROWS($AE$2:$AU$40))+1,INT((ROW()-ROW($AE$2))/ROWS($AE$2:$AU$40))+1)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INDEX($AE$2:$AU$40,MOD(ROW()-ROW($AE$2),ROWS($AE$2:$AU$40))+1,INT((ROW()-ROW($AE$2))/ROWS($AE$2:$AU$40))+1)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INDEX($AE$2:$AU$40,MOD(ROW()-ROW($AE$2),ROWS($AE$2:$AU$40))+1,INT((ROW()-ROW($AE$2))/ROWS($AE$2:$AU$40))+1)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INDEX($AE$2:$AU$40,MOD(ROW()-ROW($AE$2),ROWS($AE$2:$AU$40))+1,INT((ROW()-ROW($AE$2))/ROWS($AE$2:$AU$40))+1)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INDEX($AE$2:$AU$40,MOD(ROW()-ROW($AE$2),ROWS($AE$2:$AU$40))+1,INT((ROW()-ROW($AE$2))/ROWS($AE$2:$AU$40))+1)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INDEX($AE$2:$AU$40,MOD(ROW()-ROW($AE$2),ROWS($AE$2:$AU$40))+1,INT((ROW()-ROW($AE$2))/ROWS($AE$2:$AU$40))+1)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INDEX($AE$2:$AU$40,MOD(ROW()-ROW($AE$2),ROWS($AE$2:$AU$40))+1,INT((ROW()-ROW($AE$2))/ROWS($AE$2:$AU$40))+1)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INDEX($AE$2:$AU$40,MOD(ROW()-ROW($AE$2),ROWS($AE$2:$AU$40))+1,INT((ROW()-ROW($AE$2))/ROWS($AE$2:$AU$40))+1)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INDEX($AE$2:$AU$40,MOD(ROW()-ROW($AE$2),ROWS($AE$2:$AU$40))+1,INT((ROW()-ROW($AE$2))/ROWS($AE$2:$AU$40))+1)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INDEX($AE$2:$AU$40,MOD(ROW()-ROW($AE$2),ROWS($AE$2:$AU$40))+1,INT((ROW()-ROW($AE$2))/ROWS($AE$2:$AU$40))+1)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INDEX($AE$2:$AU$40,MOD(ROW()-ROW($AE$2),ROWS($AE$2:$AU$40))+1,INT((ROW()-ROW($AE$2))/ROWS($AE$2:$AU$40))+1)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INDEX($AE$2:$AU$40,MOD(ROW()-ROW($AE$2),ROWS($AE$2:$AU$40))+1,INT((ROW()-ROW($AE$2))/ROWS($AE$2:$AU$40))+1)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INDEX($AE$2:$AU$40,MOD(ROW()-ROW($AE$2),ROWS($AE$2:$AU$40))+1,INT((ROW()-ROW($AE$2))/ROWS($AE$2:$AU$40))+1)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INDEX($AE$2:$AU$40,MOD(ROW()-ROW($AE$2),ROWS($AE$2:$AU$40))+1,INT((ROW()-ROW($AE$2))/ROWS($AE$2:$AU$40))+1)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INDEX($AE$2:$AU$40,MOD(ROW()-ROW($AE$2),ROWS($AE$2:$AU$40))+1,INT((ROW()-ROW($AE$2))/ROWS($AE$2:$AU$40))+1)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INDEX($AE$2:$AU$40,MOD(ROW()-ROW($AE$2),ROWS($AE$2:$AU$40))+1,INT((ROW()-ROW($AE$2))/ROWS($AE$2:$AU$40))+1)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INDEX($AE$2:$AU$40,MOD(ROW()-ROW($AE$2),ROWS($AE$2:$AU$40))+1,INT((ROW()-ROW($AE$2))/ROWS($AE$2:$AU$40))+1)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INDEX($AE$2:$AU$40,MOD(ROW()-ROW($AE$2),ROWS($AE$2:$AU$40))+1,INT((ROW()-ROW($AE$2))/ROWS($AE$2:$AU$40))+1)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INDEX($AE$2:$AU$40,MOD(ROW()-ROW($AE$2),ROWS($AE$2:$AU$40))+1,INT((ROW()-ROW($AE$2))/ROWS($AE$2:$AU$40))+1)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INDEX($AE$2:$AU$40,MOD(ROW()-ROW($AE$2),ROWS($AE$2:$AU$40))+1,INT((ROW()-ROW($AE$2))/ROWS($AE$2:$AU$40))+1)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INDEX($AE$2:$AU$40,MOD(ROW()-ROW($AE$2),ROWS($AE$2:$AU$40))+1,INT((ROW()-ROW($AE$2))/ROWS($AE$2:$AU$40))+1)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INDEX($AE$2:$AU$40,MOD(ROW()-ROW($AE$2),ROWS($AE$2:$AU$40))+1,INT((ROW()-ROW($AE$2))/ROWS($AE$2:$AU$40))+1)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INDEX($AE$2:$AU$40,MOD(ROW()-ROW($AE$2),ROWS($AE$2:$AU$40))+1,INT((ROW()-ROW($AE$2))/ROWS($AE$2:$AU$40))+1)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INDEX($AE$2:$AU$40,MOD(ROW()-ROW($AE$2),ROWS($AE$2:$AU$40))+1,INT((ROW()-ROW($AE$2))/ROWS($AE$2:$AU$40))+1)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INDEX($AE$2:$AU$40,MOD(ROW()-ROW($AE$2),ROWS($AE$2:$AU$40))+1,INT((ROW()-ROW($AE$2))/ROWS($AE$2:$AU$40))+1)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INDEX($AE$2:$AU$40,MOD(ROW()-ROW($AE$2),ROWS($AE$2:$AU$40))+1,INT((ROW()-ROW($AE$2))/ROWS($AE$2:$AU$40))+1)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INDEX($AE$2:$AU$40,MOD(ROW()-ROW($AE$2),ROWS($AE$2:$AU$40))+1,INT((ROW()-ROW($AE$2))/ROWS($AE$2:$AU$40))+1)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INDEX($AE$2:$AU$40,MOD(ROW()-ROW($AE$2),ROWS($AE$2:$AU$40))+1,INT((ROW()-ROW($AE$2))/ROWS($AE$2:$AU$40))+1)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INDEX($AE$2:$AU$40,MOD(ROW()-ROW($AE$2),ROWS($AE$2:$AU$40))+1,INT((ROW()-ROW($AE$2))/ROWS($AE$2:$AU$40))+1)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INDEX($AE$2:$AU$40,MOD(ROW()-ROW($AE$2),ROWS($AE$2:$AU$40))+1,INT((ROW()-ROW($AE$2))/ROWS($AE$2:$AU$40))+1)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INDEX($AE$2:$AU$40,MOD(ROW()-ROW($AE$2),ROWS($AE$2:$AU$40))+1,INT((ROW()-ROW($AE$2))/ROWS($AE$2:$AU$40))+1)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INDEX($AE$2:$AU$40,MOD(ROW()-ROW($AE$2),ROWS($AE$2:$AU$40))+1,INT((ROW()-ROW($AE$2))/ROWS($AE$2:$AU$40))+1)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INDEX($AE$2:$AU$40,MOD(ROW()-ROW($AE$2),ROWS($AE$2:$AU$40))+1,INT((ROW()-ROW($AE$2))/ROWS($AE$2:$AU$40))+1)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INDEX($AE$2:$AU$40,MOD(ROW()-ROW($AE$2),ROWS($AE$2:$AU$40))+1,INT((ROW()-ROW($AE$2))/ROWS($AE$2:$AU$40))+1)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INDEX($AE$2:$AU$40,MOD(ROW()-ROW($AE$2),ROWS($AE$2:$AU$40))+1,INT((ROW()-ROW($AE$2))/ROWS($AE$2:$AU$40))+1)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INDEX($AE$2:$AU$40,MOD(ROW()-ROW($AE$2),ROWS($AE$2:$AU$40))+1,INT((ROW()-ROW($AE$2))/ROWS($AE$2:$AU$40))+1)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INDEX($AE$2:$AU$40,MOD(ROW()-ROW($AE$2),ROWS($AE$2:$AU$40))+1,INT((ROW()-ROW($AE$2))/ROWS($AE$2:$AU$40))+1)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INDEX($AE$2:$AU$40,MOD(ROW()-ROW($AE$2),ROWS($AE$2:$AU$40))+1,INT((ROW()-ROW($AE$2))/ROWS($AE$2:$AU$40))+1)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INDEX($AE$2:$AU$40,MOD(ROW()-ROW($AE$2),ROWS($AE$2:$AU$40))+1,INT((ROW()-ROW($AE$2))/ROWS($AE$2:$AU$40))+1)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INDEX($AE$2:$AU$40,MOD(ROW()-ROW($AE$2),ROWS($AE$2:$AU$40))+1,INT((ROW()-ROW($AE$2))/ROWS($AE$2:$AU$40))+1)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INDEX($AE$2:$AU$40,MOD(ROW()-ROW($AE$2),ROWS($AE$2:$AU$40))+1,INT((ROW()-ROW($AE$2))/ROWS($AE$2:$AU$40))+1)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INDEX($AE$2:$AU$40,MOD(ROW()-ROW($AE$2),ROWS($AE$2:$AU$40))+1,INT((ROW()-ROW($AE$2))/ROWS($AE$2:$AU$40))+1)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INDEX($AE$2:$AU$40,MOD(ROW()-ROW($AE$2),ROWS($AE$2:$AU$40))+1,INT((ROW()-ROW($AE$2))/ROWS($AE$2:$AU$40))+1)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INDEX($AE$2:$AU$40,MOD(ROW()-ROW($AE$2),ROWS($AE$2:$AU$40))+1,INT((ROW()-ROW($AE$2))/ROWS($AE$2:$AU$40))+1)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INDEX($AE$2:$AU$40,MOD(ROW()-ROW($AE$2),ROWS($AE$2:$AU$40))+1,INT((ROW()-ROW($AE$2))/ROWS($AE$2:$AU$40))+1)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INDEX($AE$2:$AU$40,MOD(ROW()-ROW($AE$2),ROWS($AE$2:$AU$40))+1,INT((ROW()-ROW($AE$2))/ROWS($AE$2:$AU$40))+1)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INDEX($AE$2:$AU$40,MOD(ROW()-ROW($AE$2),ROWS($AE$2:$AU$40))+1,INT((ROW()-ROW($AE$2))/ROWS($AE$2:$AU$40))+1)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INDEX($AE$2:$AU$40,MOD(ROW()-ROW($AE$2),ROWS($AE$2:$AU$40))+1,INT((ROW()-ROW($AE$2))/ROWS($AE$2:$AU$40))+1)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INDEX($AE$2:$AU$40,MOD(ROW()-ROW($AE$2),ROWS($AE$2:$AU$40))+1,INT((ROW()-ROW($AE$2))/ROWS($AE$2:$AU$40))+1)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INDEX($AE$2:$AU$40,MOD(ROW()-ROW($AE$2),ROWS($AE$2:$AU$40))+1,INT((ROW()-ROW($AE$2))/ROWS($AE$2:$AU$40))+1)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INDEX($AE$2:$AU$40,MOD(ROW()-ROW($AE$2),ROWS($AE$2:$AU$40))+1,INT((ROW()-ROW($AE$2))/ROWS($AE$2:$AU$40))+1)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INDEX($AE$2:$AU$40,MOD(ROW()-ROW($AE$2),ROWS($AE$2:$AU$40))+1,INT((ROW()-ROW($AE$2))/ROWS($AE$2:$AU$40))+1)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INDEX($AE$2:$AU$40,MOD(ROW()-ROW($AE$2),ROWS($AE$2:$AU$40))+1,INT((ROW()-ROW($AE$2))/ROWS($AE$2:$AU$40))+1)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INDEX($AE$2:$AU$40,MOD(ROW()-ROW($AE$2),ROWS($AE$2:$AU$40))+1,INT((ROW()-ROW($AE$2))/ROWS($AE$2:$AU$40))+1)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INDEX($AE$2:$AU$40,MOD(ROW()-ROW($AE$2),ROWS($AE$2:$AU$40))+1,INT((ROW()-ROW($AE$2))/ROWS($AE$2:$AU$40))+1)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INDEX($AE$2:$AU$40,MOD(ROW()-ROW($AE$2),ROWS($AE$2:$AU$40))+1,INT((ROW()-ROW($AE$2))/ROWS($AE$2:$AU$40))+1)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INDEX($AE$2:$AU$40,MOD(ROW()-ROW($AE$2),ROWS($AE$2:$AU$40))+1,INT((ROW()-ROW($AE$2))/ROWS($AE$2:$AU$40))+1)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INDEX($AE$2:$AU$40,MOD(ROW()-ROW($AE$2),ROWS($AE$2:$AU$40))+1,INT((ROW()-ROW($AE$2))/ROWS($AE$2:$AU$40))+1)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INDEX($AE$2:$AU$40,MOD(ROW()-ROW($AE$2),ROWS($AE$2:$AU$40))+1,INT((ROW()-ROW($AE$2))/ROWS($AE$2:$AU$40))+1)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INDEX($AE$2:$AU$40,MOD(ROW()-ROW($AE$2),ROWS($AE$2:$AU$40))+1,INT((ROW()-ROW($AE$2))/ROWS($AE$2:$AU$40))+1)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INDEX($AE$2:$AU$40,MOD(ROW()-ROW($AE$2),ROWS($AE$2:$AU$40))+1,INT((ROW()-ROW($AE$2))/ROWS($AE$2:$AU$40))+1)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INDEX($AE$2:$AU$40,MOD(ROW()-ROW($AE$2),ROWS($AE$2:$AU$40))+1,INT((ROW()-ROW($AE$2))/ROWS($AE$2:$AU$40))+1)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INDEX($AE$2:$AU$40,MOD(ROW()-ROW($AE$2),ROWS($AE$2:$AU$40))+1,INT((ROW()-ROW($AE$2))/ROWS($AE$2:$AU$40))+1)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INDEX($AE$2:$AU$40,MOD(ROW()-ROW($AE$2),ROWS($AE$2:$AU$40))+1,INT((ROW()-ROW($AE$2))/ROWS($AE$2:$AU$40))+1)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INDEX($AE$2:$AU$40,MOD(ROW()-ROW($AE$2),ROWS($AE$2:$AU$40))+1,INT((ROW()-ROW($AE$2))/ROWS($AE$2:$AU$40))+1)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INDEX($AE$2:$AU$40,MOD(ROW()-ROW($AE$2),ROWS($AE$2:$AU$40))+1,INT((ROW()-ROW($AE$2))/ROWS($AE$2:$AU$40))+1)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INDEX($AE$2:$AU$40,MOD(ROW()-ROW($AE$2),ROWS($AE$2:$AU$40))+1,INT((ROW()-ROW($AE$2))/ROWS($AE$2:$AU$40))+1)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INDEX($AE$2:$AU$40,MOD(ROW()-ROW($AE$2),ROWS($AE$2:$AU$40))+1,INT((ROW()-ROW($AE$2))/ROWS($AE$2:$AU$40))+1)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INDEX($AE$2:$AU$40,MOD(ROW()-ROW($AE$2),ROWS($AE$2:$AU$40))+1,INT((ROW()-ROW($AE$2))/ROWS($AE$2:$AU$40))+1)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INDEX($AE$2:$AU$40,MOD(ROW()-ROW($AE$2),ROWS($AE$2:$AU$40))+1,INT((ROW()-ROW($AE$2))/ROWS($AE$2:$AU$40))+1)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INDEX($AE$2:$AU$40,MOD(ROW()-ROW($AE$2),ROWS($AE$2:$AU$40))+1,INT((ROW()-ROW($AE$2))/ROWS($AE$2:$AU$40))+1)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INDEX($AE$2:$AU$40,MOD(ROW()-ROW($AE$2),ROWS($AE$2:$AU$40))+1,INT((ROW()-ROW($AE$2))/ROWS($AE$2:$AU$40))+1)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INDEX($AE$2:$AU$40,MOD(ROW()-ROW($AE$2),ROWS($AE$2:$AU$40))+1,INT((ROW()-ROW($AE$2))/ROWS($AE$2:$AU$40))+1)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INDEX($AE$2:$AU$40,MOD(ROW()-ROW($AE$2),ROWS($AE$2:$AU$40))+1,INT((ROW()-ROW($AE$2))/ROWS($AE$2:$AU$40))+1)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INDEX($AE$2:$AU$40,MOD(ROW()-ROW($AE$2),ROWS($AE$2:$AU$40))+1,INT((ROW()-ROW($AE$2))/ROWS($AE$2:$AU$40))+1)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INDEX($AE$2:$AU$40,MOD(ROW()-ROW($AE$2),ROWS($AE$2:$AU$40))+1,INT((ROW()-ROW($AE$2))/ROWS($AE$2:$AU$40))+1)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INDEX($AE$2:$AU$40,MOD(ROW()-ROW($AE$2),ROWS($AE$2:$AU$40))+1,INT((ROW()-ROW($AE$2))/ROWS($AE$2:$AU$40))+1)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INDEX($AE$2:$AU$40,MOD(ROW()-ROW($AE$2),ROWS($AE$2:$AU$40))+1,INT((ROW()-ROW($AE$2))/ROWS($AE$2:$AU$40))+1)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INDEX($AE$2:$AU$40,MOD(ROW()-ROW($AE$2),ROWS($AE$2:$AU$40))+1,INT((ROW()-ROW($AE$2))/ROWS($AE$2:$AU$40))+1)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INDEX($AE$2:$AU$40,MOD(ROW()-ROW($AE$2),ROWS($AE$2:$AU$40))+1,INT((ROW()-ROW($AE$2))/ROWS($AE$2:$AU$40))+1)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INDEX($AE$2:$AU$40,MOD(ROW()-ROW($AE$2),ROWS($AE$2:$AU$40))+1,INT((ROW()-ROW($AE$2))/ROWS($AE$2:$AU$40))+1)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INDEX($AE$2:$AU$40,MOD(ROW()-ROW($AE$2),ROWS($AE$2:$AU$40))+1,INT((ROW()-ROW($AE$2))/ROWS($AE$2:$AU$40))+1)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INDEX($AE$2:$AU$40,MOD(ROW()-ROW($AE$2),ROWS($AE$2:$AU$40))+1,INT((ROW()-ROW($AE$2))/ROWS($AE$2:$AU$40))+1)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INDEX($AE$2:$AU$40,MOD(ROW()-ROW($AE$2),ROWS($AE$2:$AU$40))+1,INT((ROW()-ROW($AE$2))/ROWS($AE$2:$AU$40))+1)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INDEX($AE$2:$AU$40,MOD(ROW()-ROW($AE$2),ROWS($AE$2:$AU$40))+1,INT((ROW()-ROW($AE$2))/ROWS($AE$2:$AU$40))+1)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INDEX($AE$2:$AU$40,MOD(ROW()-ROW($AE$2),ROWS($AE$2:$AU$40))+1,INT((ROW()-ROW($AE$2))/ROWS($AE$2:$AU$40))+1)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INDEX($AE$2:$AU$40,MOD(ROW()-ROW($AE$2),ROWS($AE$2:$AU$40))+1,INT((ROW()-ROW($AE$2))/ROWS($AE$2:$AU$40))+1)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INDEX($AE$2:$AU$40,MOD(ROW()-ROW($AE$2),ROWS($AE$2:$AU$40))+1,INT((ROW()-ROW($AE$2))/ROWS($AE$2:$AU$40))+1)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INDEX($AE$2:$AU$40,MOD(ROW()-ROW($AE$2),ROWS($AE$2:$AU$40))+1,INT((ROW()-ROW($AE$2))/ROWS($AE$2:$AU$40))+1)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INDEX($AE$2:$AU$40,MOD(ROW()-ROW($AE$2),ROWS($AE$2:$AU$40))+1,INT((ROW()-ROW($AE$2))/ROWS($AE$2:$AU$40))+1)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INDEX($AE$2:$AU$40,MOD(ROW()-ROW($AE$2),ROWS($AE$2:$AU$40))+1,INT((ROW()-ROW($AE$2))/ROWS($AE$2:$AU$40))+1)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INDEX($AE$2:$AU$40,MOD(ROW()-ROW($AE$2),ROWS($AE$2:$AU$40))+1,INT((ROW()-ROW($AE$2))/ROWS($AE$2:$AU$40))+1)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INDEX($AE$2:$AU$40,MOD(ROW()-ROW($AE$2),ROWS($AE$2:$AU$40))+1,INT((ROW()-ROW($AE$2))/ROWS($AE$2:$AU$40))+1)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INDEX($AE$2:$AU$40,MOD(ROW()-ROW($AE$2),ROWS($AE$2:$AU$40))+1,INT((ROW()-ROW($AE$2))/ROWS($AE$2:$AU$40))+1)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INDEX($AE$2:$AU$40,MOD(ROW()-ROW($AE$2),ROWS($AE$2:$AU$40))+1,INT((ROW()-ROW($AE$2))/ROWS($AE$2:$AU$40))+1)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INDEX($AE$2:$AU$40,MOD(ROW()-ROW($AE$2),ROWS($AE$2:$AU$40))+1,INT((ROW()-ROW($AE$2))/ROWS($AE$2:$AU$40))+1)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INDEX($AE$2:$AU$40,MOD(ROW()-ROW($AE$2),ROWS($AE$2:$AU$40))+1,INT((ROW()-ROW($AE$2))/ROWS($AE$2:$AU$40))+1)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INDEX($AE$2:$AU$40,MOD(ROW()-ROW($AE$2),ROWS($AE$2:$AU$40))+1,INT((ROW()-ROW($AE$2))/ROWS($AE$2:$AU$40))+1)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INDEX($AE$2:$AU$40,MOD(ROW()-ROW($AE$2),ROWS($AE$2:$AU$40))+1,INT((ROW()-ROW($AE$2))/ROWS($AE$2:$AU$40))+1)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INDEX($AE$2:$AU$40,MOD(ROW()-ROW($AE$2),ROWS($AE$2:$AU$40))+1,INT((ROW()-ROW($AE$2))/ROWS($AE$2:$AU$40))+1)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INDEX($AE$2:$AU$40,MOD(ROW()-ROW($AE$2),ROWS($AE$2:$AU$40))+1,INT((ROW()-ROW($AE$2))/ROWS($AE$2:$AU$40))+1)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INDEX($AE$2:$AU$40,MOD(ROW()-ROW($AE$2),ROWS($AE$2:$AU$40))+1,INT((ROW()-ROW($AE$2))/ROWS($AE$2:$AU$40))+1)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INDEX($AE$2:$AU$40,MOD(ROW()-ROW($AE$2),ROWS($AE$2:$AU$40))+1,INT((ROW()-ROW($AE$2))/ROWS($AE$2:$AU$40))+1)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INDEX($AE$2:$AU$40,MOD(ROW()-ROW($AE$2),ROWS($AE$2:$AU$40))+1,INT((ROW()-ROW($AE$2))/ROWS($AE$2:$AU$40))+1)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INDEX($AE$2:$AU$40,MOD(ROW()-ROW($AE$2),ROWS($AE$2:$AU$40))+1,INT((ROW()-ROW($AE$2))/ROWS($AE$2:$AU$40))+1)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INDEX($AE$2:$AU$40,MOD(ROW()-ROW($AE$2),ROWS($AE$2:$AU$40))+1,INT((ROW()-ROW($AE$2))/ROWS($AE$2:$AU$40))+1)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INDEX($AE$2:$AU$40,MOD(ROW()-ROW($AE$2),ROWS($AE$2:$AU$40))+1,INT((ROW()-ROW($AE$2))/ROWS($AE$2:$AU$40))+1)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INDEX($AE$2:$AU$40,MOD(ROW()-ROW($AE$2),ROWS($AE$2:$AU$40))+1,INT((ROW()-ROW($AE$2))/ROWS($AE$2:$AU$40))+1)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INDEX($AE$2:$AU$40,MOD(ROW()-ROW($AE$2),ROWS($AE$2:$AU$40))+1,INT((ROW()-ROW($AE$2))/ROWS($AE$2:$AU$40))+1)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INDEX($AE$2:$AU$40,MOD(ROW()-ROW($AE$2),ROWS($AE$2:$AU$40))+1,INT((ROW()-ROW($AE$2))/ROWS($AE$2:$AU$40))+1)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INDEX($AE$2:$AU$40,MOD(ROW()-ROW($AE$2),ROWS($AE$2:$AU$40))+1,INT((ROW()-ROW($AE$2))/ROWS($AE$2:$AU$40))+1)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INDEX($AE$2:$AU$40,MOD(ROW()-ROW($AE$2),ROWS($AE$2:$AU$40))+1,INT((ROW()-ROW($AE$2))/ROWS($AE$2:$AU$40))+1)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INDEX($AE$2:$AU$40,MOD(ROW()-ROW($AE$2),ROWS($AE$2:$AU$40))+1,INT((ROW()-ROW($AE$2))/ROWS($AE$2:$AU$40))+1)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INDEX($AE$2:$AU$40,MOD(ROW()-ROW($AE$2),ROWS($AE$2:$AU$40))+1,INT((ROW()-ROW($AE$2))/ROWS($AE$2:$AU$40))+1)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INDEX($AE$2:$AU$40,MOD(ROW()-ROW($AE$2),ROWS($AE$2:$AU$40))+1,INT((ROW()-ROW($AE$2))/ROWS($AE$2:$AU$40))+1)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INDEX($AE$2:$AU$40,MOD(ROW()-ROW($AE$2),ROWS($AE$2:$AU$40))+1,INT((ROW()-ROW($AE$2))/ROWS($AE$2:$AU$40))+1)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INDEX($AE$2:$AU$40,MOD(ROW()-ROW($AE$2),ROWS($AE$2:$AU$40))+1,INT((ROW()-ROW($AE$2))/ROWS($AE$2:$AU$40))+1)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INDEX($AE$2:$AU$40,MOD(ROW()-ROW($AE$2),ROWS($AE$2:$AU$40))+1,INT((ROW()-ROW($AE$2))/ROWS($AE$2:$AU$40))+1)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INDEX($AE$2:$AU$40,MOD(ROW()-ROW($AE$2),ROWS($AE$2:$AU$40))+1,INT((ROW()-ROW($AE$2))/ROWS($AE$2:$AU$40))+1)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2025-02-12T12:35:24Z</dcterms:modified>
</cp:coreProperties>
</file>