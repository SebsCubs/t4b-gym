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RL_control/boptest_model/"/>
    </mc:Choice>
  </mc:AlternateContent>
  <xr:revisionPtr revIDLastSave="2" documentId="8_{5D3E91E5-0CA4-4BF6-AA46-EC0B90C1E58D}" xr6:coauthVersionLast="47" xr6:coauthVersionMax="47" xr10:uidLastSave="{A753A010-9F51-47F2-BB34-8B60E6362D38}"/>
  <bookViews>
    <workbookView xWindow="-120" yWindow="-120" windowWidth="38640" windowHeight="21120" firstSheet="8" activeTab="9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18" r:id="rId6"/>
    <sheet name="Coil" sheetId="5" r:id="rId7"/>
    <sheet name="AirToAirHeatRecovery" sheetId="8" r:id="rId8"/>
    <sheet name="Fan" sheetId="9" r:id="rId9"/>
    <sheet name="SetpointController" sheetId="11" r:id="rId10"/>
    <sheet name="Schedule" sheetId="20" r:id="rId11"/>
    <sheet name="RulebasedController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1">IF(COUNTA(RulebasedController!$A:$A)&gt;1,OFFSET(RulebasedController!$A$2, 0, 0, COUNTA(RulebasedController!$A:$A)-1, 1),"")</definedName>
    <definedName name="controller_names" localSheetId="10">IF(COUNTA(Schedule!$A:$A)&gt;1,OFFSET(Schedule!$A$2, 0, 0, COUNTA(Schedule!$A:$A)-1,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1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16" l="1" a="1"/>
  <c r="Z3" i="16" s="1"/>
  <c r="Z4" i="16" a="1"/>
  <c r="Z4" i="16" s="1"/>
  <c r="Z5" i="16" a="1"/>
  <c r="Z5" i="16" s="1"/>
  <c r="Z6" i="16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59" i="16" a="1"/>
  <c r="Z159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7" i="16" a="1"/>
  <c r="Z237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76" i="16" a="1"/>
  <c r="Z276" i="16" s="1"/>
  <c r="Z277" i="16" a="1"/>
  <c r="Z277" i="16" s="1"/>
  <c r="Z278" i="16" a="1"/>
  <c r="Z278" i="16" s="1"/>
  <c r="Z279" i="16" a="1"/>
  <c r="Z279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20" i="16" a="1"/>
  <c r="Z320" i="16" s="1"/>
  <c r="Z321" i="16" a="1"/>
  <c r="Z321" i="16" s="1"/>
  <c r="Z322" i="16" a="1"/>
  <c r="Z322" i="16" s="1"/>
  <c r="Z323" i="16" a="1"/>
  <c r="Z323" i="16" s="1"/>
  <c r="Z324" i="16" a="1"/>
  <c r="Z324" i="16" s="1"/>
  <c r="Z325" i="16" a="1"/>
  <c r="Z325" i="16" s="1"/>
  <c r="Z326" i="16" a="1"/>
  <c r="Z326" i="16" s="1"/>
  <c r="Z327" i="16" a="1"/>
  <c r="Z327" i="16" s="1"/>
  <c r="Z328" i="16" a="1"/>
  <c r="Z328" i="16" s="1"/>
  <c r="Z329" i="16" a="1"/>
  <c r="Z329" i="16" s="1"/>
  <c r="Z330" i="16" a="1"/>
  <c r="Z33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5" i="16" a="1"/>
  <c r="Z355" i="16" s="1"/>
  <c r="Z356" i="16" a="1"/>
  <c r="Z356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2" i="16" a="1"/>
  <c r="Z432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1" i="16" a="1"/>
  <c r="Z471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P3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B989" i="20" l="1"/>
  <c r="B985" i="20"/>
  <c r="B981" i="20"/>
  <c r="B973" i="20"/>
  <c r="B972" i="20"/>
  <c r="B965" i="20"/>
  <c r="B964" i="20"/>
  <c r="B957" i="20"/>
  <c r="B953" i="20"/>
  <c r="B949" i="20"/>
  <c r="B941" i="20"/>
  <c r="B940" i="20"/>
  <c r="B933" i="20"/>
  <c r="B925" i="20"/>
  <c r="B917" i="20"/>
  <c r="B916" i="20"/>
  <c r="B909" i="20"/>
  <c r="B901" i="20"/>
  <c r="B897" i="20"/>
  <c r="B893" i="20"/>
  <c r="B885" i="20"/>
  <c r="B881" i="20"/>
  <c r="B877" i="20"/>
  <c r="B876" i="20"/>
  <c r="B869" i="20"/>
  <c r="B861" i="20"/>
  <c r="B860" i="20"/>
  <c r="B849" i="20"/>
  <c r="B845" i="20"/>
  <c r="B839" i="20"/>
  <c r="B824" i="20"/>
  <c r="B818" i="20"/>
  <c r="B816" i="20"/>
  <c r="B800" i="20"/>
  <c r="B794" i="20"/>
  <c r="B786" i="20"/>
  <c r="B760" i="20"/>
  <c r="B736" i="20"/>
  <c r="B731" i="20"/>
  <c r="B728" i="20"/>
  <c r="B725" i="20"/>
  <c r="B723" i="20"/>
  <c r="B720" i="20"/>
  <c r="B715" i="20"/>
  <c r="B707" i="20"/>
  <c r="B699" i="20"/>
  <c r="B691" i="20"/>
  <c r="B685" i="20"/>
  <c r="B681" i="20"/>
  <c r="B673" i="20"/>
  <c r="B668" i="20"/>
  <c r="B646" i="20"/>
  <c r="B627" i="20"/>
  <c r="B599" i="20"/>
  <c r="B598" i="20"/>
  <c r="B591" i="20"/>
  <c r="B590" i="20"/>
  <c r="B583" i="20"/>
  <c r="B582" i="20"/>
  <c r="B575" i="20"/>
  <c r="B574" i="20"/>
  <c r="B566" i="20"/>
  <c r="B558" i="20"/>
  <c r="B551" i="20"/>
  <c r="B550" i="20"/>
  <c r="B543" i="20"/>
  <c r="B542" i="20"/>
  <c r="B534" i="20"/>
  <c r="B526" i="20"/>
  <c r="B519" i="20"/>
  <c r="B518" i="20"/>
  <c r="B511" i="20"/>
  <c r="B510" i="20"/>
  <c r="B503" i="20"/>
  <c r="B497" i="20"/>
  <c r="B495" i="20"/>
  <c r="B489" i="20"/>
  <c r="B487" i="20"/>
  <c r="B479" i="20"/>
  <c r="B400" i="20"/>
  <c r="B392" i="20"/>
  <c r="B390" i="20"/>
  <c r="B374" i="20"/>
  <c r="B373" i="20"/>
  <c r="B368" i="20"/>
  <c r="B366" i="20"/>
  <c r="B363" i="20"/>
  <c r="B350" i="20"/>
  <c r="B349" i="20"/>
  <c r="B344" i="20"/>
  <c r="B338" i="20"/>
  <c r="B328" i="20"/>
  <c r="B317" i="20"/>
  <c r="B307" i="20"/>
  <c r="B301" i="20"/>
  <c r="B298" i="20"/>
  <c r="B293" i="20"/>
  <c r="B285" i="20"/>
  <c r="B284" i="20"/>
  <c r="B269" i="20"/>
  <c r="B268" i="20"/>
  <c r="B266" i="20"/>
  <c r="B253" i="20"/>
  <c r="B252" i="20"/>
  <c r="B245" i="20"/>
  <c r="B237" i="20"/>
  <c r="B236" i="20"/>
  <c r="B221" i="20"/>
  <c r="B208" i="20"/>
  <c r="B200" i="20"/>
  <c r="B197" i="20"/>
  <c r="B189" i="20"/>
  <c r="B181" i="20"/>
  <c r="D1000" i="19" a="1"/>
  <c r="D1000" i="19" s="1"/>
  <c r="D999" i="19" a="1"/>
  <c r="D999" i="19" s="1"/>
  <c r="D998" i="19" a="1"/>
  <c r="D998" i="19" s="1"/>
  <c r="D997" i="19" a="1"/>
  <c r="D997" i="19" s="1"/>
  <c r="D996" i="19" a="1"/>
  <c r="D996" i="19" s="1"/>
  <c r="D995" i="19" a="1"/>
  <c r="D995" i="19" s="1"/>
  <c r="D994" i="19" a="1"/>
  <c r="D994" i="19" s="1"/>
  <c r="D993" i="19" a="1"/>
  <c r="D993" i="19" s="1"/>
  <c r="D992" i="19" a="1"/>
  <c r="D992" i="19" s="1"/>
  <c r="D991" i="19" a="1"/>
  <c r="D991" i="19" s="1"/>
  <c r="D990" i="19" a="1"/>
  <c r="D990" i="19" s="1"/>
  <c r="D989" i="19" a="1"/>
  <c r="D989" i="19" s="1"/>
  <c r="D988" i="19" a="1"/>
  <c r="D988" i="19" s="1"/>
  <c r="D987" i="19" a="1"/>
  <c r="D987" i="19" s="1"/>
  <c r="D986" i="19" a="1"/>
  <c r="D986" i="19" s="1"/>
  <c r="E986" i="19" s="1"/>
  <c r="D985" i="19" a="1"/>
  <c r="D985" i="19" s="1"/>
  <c r="D984" i="19" a="1"/>
  <c r="D984" i="19" s="1"/>
  <c r="D983" i="19" a="1"/>
  <c r="D983" i="19" s="1"/>
  <c r="D982" i="19" a="1"/>
  <c r="D982" i="19" s="1"/>
  <c r="D981" i="19" a="1"/>
  <c r="D981" i="19" s="1"/>
  <c r="D980" i="19" a="1"/>
  <c r="D980" i="19" s="1"/>
  <c r="D979" i="19" a="1"/>
  <c r="D979" i="19" s="1"/>
  <c r="D978" i="19" a="1"/>
  <c r="D978" i="19" s="1"/>
  <c r="E978" i="19" s="1"/>
  <c r="D977" i="19" a="1"/>
  <c r="D977" i="19" s="1"/>
  <c r="F977" i="19" s="1"/>
  <c r="D976" i="19" a="1"/>
  <c r="D976" i="19" s="1"/>
  <c r="D975" i="19" a="1"/>
  <c r="D975" i="19" s="1"/>
  <c r="D974" i="19" a="1"/>
  <c r="D974" i="19" s="1"/>
  <c r="E974" i="19" s="1"/>
  <c r="D973" i="19" a="1"/>
  <c r="D973" i="19" s="1"/>
  <c r="G973" i="19" s="1"/>
  <c r="D972" i="19" a="1"/>
  <c r="D972" i="19" s="1"/>
  <c r="D971" i="19" a="1"/>
  <c r="D971" i="19" s="1"/>
  <c r="D970" i="19" a="1"/>
  <c r="D970" i="19" s="1"/>
  <c r="D969" i="19" a="1"/>
  <c r="D969" i="19" s="1"/>
  <c r="D968" i="19" a="1"/>
  <c r="D968" i="19" s="1"/>
  <c r="D967" i="19" a="1"/>
  <c r="D967" i="19" s="1"/>
  <c r="D966" i="19" a="1"/>
  <c r="D966" i="19" s="1"/>
  <c r="D965" i="19" a="1"/>
  <c r="D965" i="19" s="1"/>
  <c r="D964" i="19" a="1"/>
  <c r="D964" i="19" s="1"/>
  <c r="D963" i="19" a="1"/>
  <c r="D963" i="19" s="1"/>
  <c r="D962" i="19" a="1"/>
  <c r="D962" i="19" s="1"/>
  <c r="D961" i="19" a="1"/>
  <c r="D961" i="19" s="1"/>
  <c r="D960" i="19" a="1"/>
  <c r="D960" i="19" s="1"/>
  <c r="D959" i="19" a="1"/>
  <c r="D959" i="19" s="1"/>
  <c r="G959" i="19" s="1"/>
  <c r="D958" i="19" a="1"/>
  <c r="D958" i="19" s="1"/>
  <c r="D957" i="19" a="1"/>
  <c r="D957" i="19" s="1"/>
  <c r="G957" i="19" s="1"/>
  <c r="D956" i="19" a="1"/>
  <c r="D956" i="19" s="1"/>
  <c r="D955" i="19" a="1"/>
  <c r="D955" i="19" s="1"/>
  <c r="D954" i="19" a="1"/>
  <c r="D954" i="19" s="1"/>
  <c r="D953" i="19" a="1"/>
  <c r="D953" i="19" s="1"/>
  <c r="D952" i="19" a="1"/>
  <c r="D952" i="19" s="1"/>
  <c r="D951" i="19" a="1"/>
  <c r="D951" i="19" s="1"/>
  <c r="D950" i="19" a="1"/>
  <c r="D950" i="19" s="1"/>
  <c r="D949" i="19" a="1"/>
  <c r="D949" i="19" s="1"/>
  <c r="D948" i="19" a="1"/>
  <c r="D948" i="19" s="1"/>
  <c r="D947" i="19" a="1"/>
  <c r="D947" i="19" s="1"/>
  <c r="D946" i="19" a="1"/>
  <c r="D946" i="19" s="1"/>
  <c r="D945" i="19" a="1"/>
  <c r="D945" i="19" s="1"/>
  <c r="D944" i="19" a="1"/>
  <c r="D944" i="19" s="1"/>
  <c r="D943" i="19" a="1"/>
  <c r="D943" i="19" s="1"/>
  <c r="D942" i="19" a="1"/>
  <c r="D942" i="19" s="1"/>
  <c r="E942" i="19" s="1"/>
  <c r="D941" i="19" a="1"/>
  <c r="D941" i="19" s="1"/>
  <c r="D940" i="19" a="1"/>
  <c r="D940" i="19" s="1"/>
  <c r="D939" i="19" a="1"/>
  <c r="D939" i="19" s="1"/>
  <c r="D938" i="19" a="1"/>
  <c r="D938" i="19" s="1"/>
  <c r="D937" i="19" a="1"/>
  <c r="D937" i="19" s="1"/>
  <c r="F937" i="19" s="1"/>
  <c r="D936" i="19" a="1"/>
  <c r="D936" i="19" s="1"/>
  <c r="D935" i="19" a="1"/>
  <c r="D935" i="19" s="1"/>
  <c r="D934" i="19" a="1"/>
  <c r="D934" i="19" s="1"/>
  <c r="E934" i="19" s="1"/>
  <c r="D933" i="19" a="1"/>
  <c r="D933" i="19" s="1"/>
  <c r="D932" i="19" a="1"/>
  <c r="D932" i="19" s="1"/>
  <c r="F932" i="19" s="1"/>
  <c r="D931" i="19" a="1"/>
  <c r="D931" i="19" s="1"/>
  <c r="D930" i="19" a="1"/>
  <c r="D930" i="19" s="1"/>
  <c r="E930" i="19" s="1"/>
  <c r="D929" i="19" a="1"/>
  <c r="D929" i="19" s="1"/>
  <c r="D928" i="19" a="1"/>
  <c r="D928" i="19" s="1"/>
  <c r="D927" i="19" a="1"/>
  <c r="D927" i="19" s="1"/>
  <c r="E927" i="19" s="1"/>
  <c r="D926" i="19" a="1"/>
  <c r="D926" i="19" s="1"/>
  <c r="D925" i="19" a="1"/>
  <c r="D925" i="19" s="1"/>
  <c r="D924" i="19" a="1"/>
  <c r="D924" i="19" s="1"/>
  <c r="F924" i="19" s="1"/>
  <c r="D923" i="19" a="1"/>
  <c r="D923" i="19" s="1"/>
  <c r="D922" i="19" a="1"/>
  <c r="D922" i="19" s="1"/>
  <c r="E922" i="19" s="1"/>
  <c r="D921" i="19" a="1"/>
  <c r="D921" i="19" s="1"/>
  <c r="D920" i="19" a="1"/>
  <c r="D920" i="19" s="1"/>
  <c r="D919" i="19" a="1"/>
  <c r="D919" i="19" s="1"/>
  <c r="D918" i="19" a="1"/>
  <c r="D918" i="19" s="1"/>
  <c r="D917" i="19" a="1"/>
  <c r="D917" i="19" s="1"/>
  <c r="D916" i="19" a="1"/>
  <c r="D916" i="19" s="1"/>
  <c r="E916" i="19" s="1"/>
  <c r="D915" i="19" a="1"/>
  <c r="D915" i="19" s="1"/>
  <c r="D914" i="19" a="1"/>
  <c r="D914" i="19" s="1"/>
  <c r="D913" i="19" a="1"/>
  <c r="D913" i="19" s="1"/>
  <c r="F913" i="19" s="1"/>
  <c r="D912" i="19" a="1"/>
  <c r="D912" i="19" s="1"/>
  <c r="G912" i="19" s="1"/>
  <c r="D911" i="19" a="1"/>
  <c r="D911" i="19" s="1"/>
  <c r="D910" i="19" a="1"/>
  <c r="D910" i="19" s="1"/>
  <c r="E910" i="19" s="1"/>
  <c r="D909" i="19" a="1"/>
  <c r="D909" i="19" s="1"/>
  <c r="E909" i="19" s="1"/>
  <c r="D908" i="19" a="1"/>
  <c r="D908" i="19" s="1"/>
  <c r="D907" i="19" a="1"/>
  <c r="D907" i="19" s="1"/>
  <c r="D906" i="19" a="1"/>
  <c r="D906" i="19" s="1"/>
  <c r="D905" i="19" a="1"/>
  <c r="D905" i="19" s="1"/>
  <c r="D904" i="19" a="1"/>
  <c r="D904" i="19" s="1"/>
  <c r="G904" i="19" s="1"/>
  <c r="D903" i="19" a="1"/>
  <c r="D903" i="19" s="1"/>
  <c r="D902" i="19" a="1"/>
  <c r="D902" i="19" s="1"/>
  <c r="E902" i="19" s="1"/>
  <c r="D901" i="19" a="1"/>
  <c r="D901" i="19" s="1"/>
  <c r="E901" i="19" s="1"/>
  <c r="D900" i="19" a="1"/>
  <c r="D900" i="19" s="1"/>
  <c r="E900" i="19" s="1"/>
  <c r="D899" i="19" a="1"/>
  <c r="D899" i="19" s="1"/>
  <c r="D898" i="19" a="1"/>
  <c r="D898" i="19" s="1"/>
  <c r="D897" i="19" a="1"/>
  <c r="D897" i="19" s="1"/>
  <c r="F897" i="19" s="1"/>
  <c r="D896" i="19" a="1"/>
  <c r="D896" i="19" s="1"/>
  <c r="G896" i="19" s="1"/>
  <c r="D895" i="19" a="1"/>
  <c r="D895" i="19" s="1"/>
  <c r="D894" i="19" a="1"/>
  <c r="D894" i="19" s="1"/>
  <c r="E894" i="19" s="1"/>
  <c r="D893" i="19" a="1"/>
  <c r="D893" i="19" s="1"/>
  <c r="E893" i="19" s="1"/>
  <c r="D892" i="19" a="1"/>
  <c r="D892" i="19" s="1"/>
  <c r="D891" i="19" a="1"/>
  <c r="D891" i="19" s="1"/>
  <c r="D890" i="19" a="1"/>
  <c r="D890" i="19" s="1"/>
  <c r="F890" i="19" s="1"/>
  <c r="D889" i="19" a="1"/>
  <c r="D889" i="19" s="1"/>
  <c r="F889" i="19" s="1"/>
  <c r="D888" i="19" a="1"/>
  <c r="D888" i="19" s="1"/>
  <c r="D887" i="19" a="1"/>
  <c r="D887" i="19" s="1"/>
  <c r="E887" i="19" s="1"/>
  <c r="D886" i="19" a="1"/>
  <c r="D886" i="19" s="1"/>
  <c r="D885" i="19" a="1"/>
  <c r="D885" i="19" s="1"/>
  <c r="E885" i="19" s="1"/>
  <c r="D884" i="19" a="1"/>
  <c r="D884" i="19" s="1"/>
  <c r="D883" i="19" a="1"/>
  <c r="D883" i="19" s="1"/>
  <c r="D882" i="19" a="1"/>
  <c r="D882" i="19" s="1"/>
  <c r="E882" i="19" s="1"/>
  <c r="D881" i="19" a="1"/>
  <c r="D881" i="19" s="1"/>
  <c r="D880" i="19" a="1"/>
  <c r="D880" i="19" s="1"/>
  <c r="D879" i="19" a="1"/>
  <c r="D879" i="19" s="1"/>
  <c r="E879" i="19" s="1"/>
  <c r="D878" i="19" a="1"/>
  <c r="D878" i="19" s="1"/>
  <c r="D877" i="19" a="1"/>
  <c r="D877" i="19" s="1"/>
  <c r="E877" i="19" s="1"/>
  <c r="D876" i="19" a="1"/>
  <c r="D876" i="19" s="1"/>
  <c r="D875" i="19" a="1"/>
  <c r="D875" i="19" s="1"/>
  <c r="D874" i="19" a="1"/>
  <c r="D874" i="19" s="1"/>
  <c r="D873" i="19" a="1"/>
  <c r="D873" i="19" s="1"/>
  <c r="D872" i="19" a="1"/>
  <c r="D872" i="19" s="1"/>
  <c r="D871" i="19" a="1"/>
  <c r="D871" i="19" s="1"/>
  <c r="D870" i="19" a="1"/>
  <c r="D870" i="19" s="1"/>
  <c r="D869" i="19" a="1"/>
  <c r="D869" i="19" s="1"/>
  <c r="E869" i="19" s="1"/>
  <c r="D868" i="19" a="1"/>
  <c r="D868" i="19" s="1"/>
  <c r="F868" i="19" s="1"/>
  <c r="D867" i="19" a="1"/>
  <c r="D867" i="19" s="1"/>
  <c r="D866" i="19" a="1"/>
  <c r="D866" i="19" s="1"/>
  <c r="D865" i="19" a="1"/>
  <c r="D865" i="19" s="1"/>
  <c r="D864" i="19" a="1"/>
  <c r="D864" i="19" s="1"/>
  <c r="D863" i="19" a="1"/>
  <c r="D863" i="19" s="1"/>
  <c r="E863" i="19" s="1"/>
  <c r="D862" i="19" a="1"/>
  <c r="D862" i="19" s="1"/>
  <c r="D861" i="19" a="1"/>
  <c r="D861" i="19" s="1"/>
  <c r="D860" i="19" a="1"/>
  <c r="D860" i="19" s="1"/>
  <c r="D859" i="19" a="1"/>
  <c r="D859" i="19" s="1"/>
  <c r="D858" i="19" a="1"/>
  <c r="D858" i="19" s="1"/>
  <c r="D857" i="19" a="1"/>
  <c r="D857" i="19" s="1"/>
  <c r="D856" i="19" a="1"/>
  <c r="D856" i="19" s="1"/>
  <c r="D855" i="19" a="1"/>
  <c r="D855" i="19" s="1"/>
  <c r="E855" i="19" s="1"/>
  <c r="D854" i="19" a="1"/>
  <c r="D854" i="19" s="1"/>
  <c r="D853" i="19" a="1"/>
  <c r="D853" i="19" s="1"/>
  <c r="D852" i="19" a="1"/>
  <c r="D852" i="19" s="1"/>
  <c r="D851" i="19" a="1"/>
  <c r="D851" i="19" s="1"/>
  <c r="D850" i="19" a="1"/>
  <c r="D850" i="19" s="1"/>
  <c r="D849" i="19" a="1"/>
  <c r="D849" i="19" s="1"/>
  <c r="D848" i="19" a="1"/>
  <c r="D848" i="19" s="1"/>
  <c r="G848" i="19" s="1"/>
  <c r="D847" i="19" a="1"/>
  <c r="D847" i="19" s="1"/>
  <c r="D846" i="19" a="1"/>
  <c r="D846" i="19" s="1"/>
  <c r="D845" i="19" a="1"/>
  <c r="D845" i="19" s="1"/>
  <c r="E845" i="19" s="1"/>
  <c r="D844" i="19" a="1"/>
  <c r="D844" i="19" s="1"/>
  <c r="D843" i="19" a="1"/>
  <c r="D843" i="19" s="1"/>
  <c r="D842" i="19" a="1"/>
  <c r="D842" i="19" s="1"/>
  <c r="F842" i="19" s="1"/>
  <c r="D841" i="19" a="1"/>
  <c r="D841" i="19" s="1"/>
  <c r="D840" i="19" a="1"/>
  <c r="D840" i="19" s="1"/>
  <c r="G840" i="19" s="1"/>
  <c r="D839" i="19" a="1"/>
  <c r="D839" i="19" s="1"/>
  <c r="D838" i="19" a="1"/>
  <c r="D838" i="19" s="1"/>
  <c r="E838" i="19" s="1"/>
  <c r="D837" i="19" a="1"/>
  <c r="D837" i="19" s="1"/>
  <c r="E837" i="19" s="1"/>
  <c r="D836" i="19" a="1"/>
  <c r="D836" i="19" s="1"/>
  <c r="G836" i="19" s="1"/>
  <c r="D835" i="19" a="1"/>
  <c r="D835" i="19" s="1"/>
  <c r="D834" i="19" a="1"/>
  <c r="D834" i="19" s="1"/>
  <c r="D833" i="19" a="1"/>
  <c r="D833" i="19" s="1"/>
  <c r="D832" i="19" a="1"/>
  <c r="D832" i="19" s="1"/>
  <c r="D831" i="19" a="1"/>
  <c r="D831" i="19" s="1"/>
  <c r="E831" i="19" s="1"/>
  <c r="D830" i="19" a="1"/>
  <c r="D830" i="19" s="1"/>
  <c r="D829" i="19" a="1"/>
  <c r="D829" i="19" s="1"/>
  <c r="D828" i="19" a="1"/>
  <c r="D828" i="19" s="1"/>
  <c r="G828" i="19" s="1"/>
  <c r="D827" i="19" a="1"/>
  <c r="D827" i="19" s="1"/>
  <c r="D826" i="19" a="1"/>
  <c r="D826" i="19" s="1"/>
  <c r="E826" i="19" s="1"/>
  <c r="D825" i="19" a="1"/>
  <c r="D825" i="19" s="1"/>
  <c r="D824" i="19" a="1"/>
  <c r="D824" i="19" s="1"/>
  <c r="F824" i="19" s="1"/>
  <c r="D823" i="19" a="1"/>
  <c r="D823" i="19" s="1"/>
  <c r="D822" i="19" a="1"/>
  <c r="D822" i="19" s="1"/>
  <c r="D821" i="19" a="1"/>
  <c r="D821" i="19" s="1"/>
  <c r="D820" i="19" a="1"/>
  <c r="D820" i="19" s="1"/>
  <c r="G820" i="19" s="1"/>
  <c r="D819" i="19" a="1"/>
  <c r="D819" i="19" s="1"/>
  <c r="D818" i="19" a="1"/>
  <c r="D818" i="19" s="1"/>
  <c r="E818" i="19" s="1"/>
  <c r="D817" i="19" a="1"/>
  <c r="D817" i="19" s="1"/>
  <c r="D816" i="19" a="1"/>
  <c r="D816" i="19" s="1"/>
  <c r="F816" i="19" s="1"/>
  <c r="D815" i="19" a="1"/>
  <c r="D815" i="19" s="1"/>
  <c r="F815" i="19" s="1"/>
  <c r="D814" i="19" a="1"/>
  <c r="D814" i="19" s="1"/>
  <c r="D813" i="19" a="1"/>
  <c r="D813" i="19" s="1"/>
  <c r="D812" i="19" a="1"/>
  <c r="D812" i="19" s="1"/>
  <c r="G812" i="19" s="1"/>
  <c r="D811" i="19" a="1"/>
  <c r="D811" i="19" s="1"/>
  <c r="D810" i="19" a="1"/>
  <c r="D810" i="19" s="1"/>
  <c r="D809" i="19" a="1"/>
  <c r="D809" i="19" s="1"/>
  <c r="D808" i="19" a="1"/>
  <c r="D808" i="19" s="1"/>
  <c r="F808" i="19" s="1"/>
  <c r="D807" i="19" a="1"/>
  <c r="D807" i="19" s="1"/>
  <c r="F807" i="19" s="1"/>
  <c r="D806" i="19" a="1"/>
  <c r="D806" i="19" s="1"/>
  <c r="D805" i="19" a="1"/>
  <c r="D805" i="19" s="1"/>
  <c r="G805" i="19" s="1"/>
  <c r="D804" i="19" a="1"/>
  <c r="D804" i="19" s="1"/>
  <c r="G804" i="19" s="1"/>
  <c r="D803" i="19" a="1"/>
  <c r="D803" i="19" s="1"/>
  <c r="D802" i="19" a="1"/>
  <c r="D802" i="19" s="1"/>
  <c r="D801" i="19" a="1"/>
  <c r="D801" i="19" s="1"/>
  <c r="D800" i="19" a="1"/>
  <c r="D800" i="19" s="1"/>
  <c r="F800" i="19" s="1"/>
  <c r="D799" i="19" a="1"/>
  <c r="D799" i="19" s="1"/>
  <c r="F799" i="19" s="1"/>
  <c r="D798" i="19" a="1"/>
  <c r="D798" i="19" s="1"/>
  <c r="D797" i="19" a="1"/>
  <c r="D797" i="19" s="1"/>
  <c r="G797" i="19" s="1"/>
  <c r="D796" i="19" a="1"/>
  <c r="D796" i="19" s="1"/>
  <c r="G796" i="19" s="1"/>
  <c r="D795" i="19" a="1"/>
  <c r="D795" i="19" s="1"/>
  <c r="D794" i="19" a="1"/>
  <c r="D794" i="19" s="1"/>
  <c r="D793" i="19" a="1"/>
  <c r="D793" i="19" s="1"/>
  <c r="D792" i="19" a="1"/>
  <c r="D792" i="19" s="1"/>
  <c r="F792" i="19" s="1"/>
  <c r="D791" i="19" a="1"/>
  <c r="D791" i="19" s="1"/>
  <c r="F791" i="19" s="1"/>
  <c r="D790" i="19" a="1"/>
  <c r="D790" i="19" s="1"/>
  <c r="D789" i="19" a="1"/>
  <c r="D789" i="19" s="1"/>
  <c r="F789" i="19" s="1"/>
  <c r="D788" i="19" a="1"/>
  <c r="D788" i="19" s="1"/>
  <c r="D787" i="19" a="1"/>
  <c r="D787" i="19" s="1"/>
  <c r="G787" i="19" s="1"/>
  <c r="D786" i="19" a="1"/>
  <c r="D786" i="19" s="1"/>
  <c r="D785" i="19" a="1"/>
  <c r="D785" i="19" s="1"/>
  <c r="D784" i="19" a="1"/>
  <c r="D784" i="19" s="1"/>
  <c r="E784" i="19" s="1"/>
  <c r="D783" i="19" a="1"/>
  <c r="D783" i="19" s="1"/>
  <c r="D782" i="19" a="1"/>
  <c r="D782" i="19" s="1"/>
  <c r="D781" i="19" a="1"/>
  <c r="D781" i="19" s="1"/>
  <c r="G781" i="19" s="1"/>
  <c r="D780" i="19" a="1"/>
  <c r="D780" i="19" s="1"/>
  <c r="D779" i="19" a="1"/>
  <c r="D779" i="19" s="1"/>
  <c r="D778" i="19" a="1"/>
  <c r="D778" i="19" s="1"/>
  <c r="G778" i="19" s="1"/>
  <c r="D777" i="19" a="1"/>
  <c r="D777" i="19" s="1"/>
  <c r="D776" i="19" a="1"/>
  <c r="D776" i="19" s="1"/>
  <c r="D775" i="19" a="1"/>
  <c r="D775" i="19" s="1"/>
  <c r="D774" i="19" a="1"/>
  <c r="D774" i="19" s="1"/>
  <c r="D773" i="19" a="1"/>
  <c r="D773" i="19" s="1"/>
  <c r="D772" i="19" a="1"/>
  <c r="D772" i="19" s="1"/>
  <c r="D771" i="19" a="1"/>
  <c r="D771" i="19" s="1"/>
  <c r="D770" i="19" a="1"/>
  <c r="D770" i="19" s="1"/>
  <c r="D769" i="19" a="1"/>
  <c r="D769" i="19" s="1"/>
  <c r="E769" i="19" s="1"/>
  <c r="D768" i="19" a="1"/>
  <c r="D768" i="19" s="1"/>
  <c r="E768" i="19" s="1"/>
  <c r="D767" i="19" a="1"/>
  <c r="D767" i="19" s="1"/>
  <c r="D766" i="19" a="1"/>
  <c r="D766" i="19" s="1"/>
  <c r="D765" i="19" a="1"/>
  <c r="D765" i="19" s="1"/>
  <c r="D764" i="19" a="1"/>
  <c r="D764" i="19" s="1"/>
  <c r="E764" i="19" s="1"/>
  <c r="D763" i="19" a="1"/>
  <c r="D763" i="19" s="1"/>
  <c r="G763" i="19" s="1"/>
  <c r="D762" i="19" a="1"/>
  <c r="D762" i="19" s="1"/>
  <c r="D761" i="19" a="1"/>
  <c r="D761" i="19" s="1"/>
  <c r="D760" i="19" a="1"/>
  <c r="D760" i="19" s="1"/>
  <c r="E760" i="19" s="1"/>
  <c r="D759" i="19" a="1"/>
  <c r="D759" i="19" s="1"/>
  <c r="D758" i="19" a="1"/>
  <c r="D758" i="19" s="1"/>
  <c r="D757" i="19" a="1"/>
  <c r="D757" i="19" s="1"/>
  <c r="E757" i="19" s="1"/>
  <c r="D756" i="19" a="1"/>
  <c r="D756" i="19" s="1"/>
  <c r="D755" i="19" a="1"/>
  <c r="D755" i="19" s="1"/>
  <c r="D754" i="19" a="1"/>
  <c r="D754" i="19" s="1"/>
  <c r="D753" i="19" a="1"/>
  <c r="D753" i="19" s="1"/>
  <c r="E753" i="19" s="1"/>
  <c r="D752" i="19" a="1"/>
  <c r="D752" i="19" s="1"/>
  <c r="E752" i="19" s="1"/>
  <c r="D751" i="19" a="1"/>
  <c r="D751" i="19" s="1"/>
  <c r="D750" i="19" a="1"/>
  <c r="D750" i="19" s="1"/>
  <c r="D749" i="19" a="1"/>
  <c r="D749" i="19" s="1"/>
  <c r="E749" i="19" s="1"/>
  <c r="D748" i="19" a="1"/>
  <c r="D748" i="19" s="1"/>
  <c r="D747" i="19" a="1"/>
  <c r="D747" i="19" s="1"/>
  <c r="D746" i="19" a="1"/>
  <c r="D746" i="19" s="1"/>
  <c r="D745" i="19" a="1"/>
  <c r="D745" i="19" s="1"/>
  <c r="D744" i="19" a="1"/>
  <c r="D744" i="19" s="1"/>
  <c r="D743" i="19" a="1"/>
  <c r="D743" i="19" s="1"/>
  <c r="D742" i="19" a="1"/>
  <c r="D742" i="19" s="1"/>
  <c r="D741" i="19" a="1"/>
  <c r="D741" i="19" s="1"/>
  <c r="F741" i="19" s="1"/>
  <c r="D740" i="19" a="1"/>
  <c r="D740" i="19" s="1"/>
  <c r="E740" i="19" s="1"/>
  <c r="D739" i="19" a="1"/>
  <c r="D739" i="19" s="1"/>
  <c r="D738" i="19" a="1"/>
  <c r="D738" i="19" s="1"/>
  <c r="D737" i="19" a="1"/>
  <c r="D737" i="19" s="1"/>
  <c r="D736" i="19" a="1"/>
  <c r="D736" i="19" s="1"/>
  <c r="D735" i="19" a="1"/>
  <c r="D735" i="19" s="1"/>
  <c r="F735" i="19" s="1"/>
  <c r="D734" i="19" a="1"/>
  <c r="D734" i="19" s="1"/>
  <c r="D733" i="19" a="1"/>
  <c r="D733" i="19" s="1"/>
  <c r="D732" i="19" a="1"/>
  <c r="D732" i="19" s="1"/>
  <c r="D731" i="19" a="1"/>
  <c r="D731" i="19" s="1"/>
  <c r="E731" i="19" s="1"/>
  <c r="D730" i="19" a="1"/>
  <c r="D730" i="19" s="1"/>
  <c r="D729" i="19" a="1"/>
  <c r="D729" i="19" s="1"/>
  <c r="F729" i="19" s="1"/>
  <c r="D728" i="19" a="1"/>
  <c r="D728" i="19" s="1"/>
  <c r="F728" i="19" s="1"/>
  <c r="D727" i="19" a="1"/>
  <c r="D727" i="19" s="1"/>
  <c r="D726" i="19" a="1"/>
  <c r="D726" i="19" s="1"/>
  <c r="F726" i="19" s="1"/>
  <c r="D725" i="19" a="1"/>
  <c r="D725" i="19" s="1"/>
  <c r="D724" i="19" a="1"/>
  <c r="D724" i="19" s="1"/>
  <c r="D723" i="19" a="1"/>
  <c r="D723" i="19" s="1"/>
  <c r="F723" i="19" s="1"/>
  <c r="D722" i="19" a="1"/>
  <c r="D722" i="19" s="1"/>
  <c r="D721" i="19" a="1"/>
  <c r="D721" i="19" s="1"/>
  <c r="D720" i="19" a="1"/>
  <c r="D720" i="19" s="1"/>
  <c r="F720" i="19" s="1"/>
  <c r="D719" i="19" a="1"/>
  <c r="D719" i="19" s="1"/>
  <c r="D718" i="19" a="1"/>
  <c r="D718" i="19" s="1"/>
  <c r="D717" i="19" a="1"/>
  <c r="D717" i="19" s="1"/>
  <c r="D716" i="19" a="1"/>
  <c r="D716" i="19" s="1"/>
  <c r="D715" i="19" a="1"/>
  <c r="D715" i="19" s="1"/>
  <c r="D714" i="19" a="1"/>
  <c r="D714" i="19" s="1"/>
  <c r="D713" i="19" a="1"/>
  <c r="D713" i="19" s="1"/>
  <c r="D712" i="19" a="1"/>
  <c r="D712" i="19" s="1"/>
  <c r="F712" i="19" s="1"/>
  <c r="D711" i="19" a="1"/>
  <c r="D711" i="19" s="1"/>
  <c r="D710" i="19" a="1"/>
  <c r="D710" i="19" s="1"/>
  <c r="D709" i="19" a="1"/>
  <c r="D709" i="19" s="1"/>
  <c r="E709" i="19" s="1"/>
  <c r="D708" i="19" a="1"/>
  <c r="D708" i="19" s="1"/>
  <c r="D707" i="19" a="1"/>
  <c r="D707" i="19" s="1"/>
  <c r="F707" i="19" s="1"/>
  <c r="D706" i="19" a="1"/>
  <c r="D706" i="19" s="1"/>
  <c r="D705" i="19" a="1"/>
  <c r="D705" i="19" s="1"/>
  <c r="D704" i="19" a="1"/>
  <c r="D704" i="19" s="1"/>
  <c r="F704" i="19" s="1"/>
  <c r="D703" i="19" a="1"/>
  <c r="D703" i="19" s="1"/>
  <c r="D702" i="19" a="1"/>
  <c r="D702" i="19" s="1"/>
  <c r="F702" i="19" s="1"/>
  <c r="D701" i="19" a="1"/>
  <c r="D701" i="19" s="1"/>
  <c r="D700" i="19" a="1"/>
  <c r="D700" i="19" s="1"/>
  <c r="D699" i="19" a="1"/>
  <c r="D699" i="19" s="1"/>
  <c r="G699" i="19" s="1"/>
  <c r="D698" i="19" a="1"/>
  <c r="D698" i="19" s="1"/>
  <c r="E698" i="19" s="1"/>
  <c r="D697" i="19" a="1"/>
  <c r="D697" i="19" s="1"/>
  <c r="D696" i="19" a="1"/>
  <c r="D696" i="19" s="1"/>
  <c r="D695" i="19" a="1"/>
  <c r="D695" i="19" s="1"/>
  <c r="D694" i="19" a="1"/>
  <c r="D694" i="19" s="1"/>
  <c r="E694" i="19" s="1"/>
  <c r="D693" i="19" a="1"/>
  <c r="D693" i="19" s="1"/>
  <c r="D692" i="19" a="1"/>
  <c r="D692" i="19" s="1"/>
  <c r="D691" i="19" a="1"/>
  <c r="D691" i="19" s="1"/>
  <c r="D690" i="19" a="1"/>
  <c r="D690" i="19" s="1"/>
  <c r="D689" i="19" a="1"/>
  <c r="D689" i="19" s="1"/>
  <c r="D688" i="19" a="1"/>
  <c r="D688" i="19" s="1"/>
  <c r="D687" i="19" a="1"/>
  <c r="D687" i="19" s="1"/>
  <c r="D686" i="19" a="1"/>
  <c r="D686" i="19" s="1"/>
  <c r="E686" i="19" s="1"/>
  <c r="D685" i="19" a="1"/>
  <c r="D685" i="19" s="1"/>
  <c r="D684" i="19" a="1"/>
  <c r="D684" i="19" s="1"/>
  <c r="D683" i="19" a="1"/>
  <c r="D683" i="19" s="1"/>
  <c r="G683" i="19" s="1"/>
  <c r="D682" i="19" a="1"/>
  <c r="D682" i="19" s="1"/>
  <c r="D681" i="19" a="1"/>
  <c r="D681" i="19" s="1"/>
  <c r="D680" i="19" a="1"/>
  <c r="D680" i="19" s="1"/>
  <c r="G680" i="19" s="1"/>
  <c r="D679" i="19" a="1"/>
  <c r="D679" i="19" s="1"/>
  <c r="D678" i="19" a="1"/>
  <c r="D678" i="19" s="1"/>
  <c r="E678" i="19" s="1"/>
  <c r="D677" i="19" a="1"/>
  <c r="D677" i="19" s="1"/>
  <c r="D676" i="19" a="1"/>
  <c r="D676" i="19" s="1"/>
  <c r="D675" i="19" a="1"/>
  <c r="D675" i="19" s="1"/>
  <c r="F675" i="19" s="1"/>
  <c r="D674" i="19" a="1"/>
  <c r="D674" i="19" s="1"/>
  <c r="D673" i="19" a="1"/>
  <c r="D673" i="19" s="1"/>
  <c r="F673" i="19" s="1"/>
  <c r="D672" i="19" a="1"/>
  <c r="D672" i="19" s="1"/>
  <c r="D671" i="19" a="1"/>
  <c r="D671" i="19" s="1"/>
  <c r="D670" i="19" a="1"/>
  <c r="D670" i="19" s="1"/>
  <c r="E670" i="19" s="1"/>
  <c r="D669" i="19" a="1"/>
  <c r="D669" i="19" s="1"/>
  <c r="E669" i="19" s="1"/>
  <c r="D668" i="19" a="1"/>
  <c r="D668" i="19" s="1"/>
  <c r="D667" i="19" a="1"/>
  <c r="D667" i="19" s="1"/>
  <c r="G667" i="19" s="1"/>
  <c r="D666" i="19" a="1"/>
  <c r="D666" i="19" s="1"/>
  <c r="E666" i="19" s="1"/>
  <c r="D665" i="19" a="1"/>
  <c r="D665" i="19" s="1"/>
  <c r="D664" i="19" a="1"/>
  <c r="D664" i="19" s="1"/>
  <c r="D663" i="19" a="1"/>
  <c r="D663" i="19" s="1"/>
  <c r="D662" i="19" a="1"/>
  <c r="D662" i="19" s="1"/>
  <c r="E662" i="19" s="1"/>
  <c r="D661" i="19" a="1"/>
  <c r="D661" i="19" s="1"/>
  <c r="D660" i="19" a="1"/>
  <c r="D660" i="19" s="1"/>
  <c r="E660" i="19" s="1"/>
  <c r="D659" i="19" a="1"/>
  <c r="D659" i="19" s="1"/>
  <c r="E659" i="19" s="1"/>
  <c r="D658" i="19" a="1"/>
  <c r="D658" i="19" s="1"/>
  <c r="F658" i="19" s="1"/>
  <c r="D657" i="19" a="1"/>
  <c r="D657" i="19" s="1"/>
  <c r="D656" i="19" a="1"/>
  <c r="D656" i="19" s="1"/>
  <c r="D655" i="19" a="1"/>
  <c r="D655" i="19" s="1"/>
  <c r="D654" i="19" a="1"/>
  <c r="D654" i="19" s="1"/>
  <c r="D653" i="19" a="1"/>
  <c r="D653" i="19" s="1"/>
  <c r="E653" i="19" s="1"/>
  <c r="D652" i="19" a="1"/>
  <c r="D652" i="19" s="1"/>
  <c r="F652" i="19" s="1"/>
  <c r="D651" i="19" a="1"/>
  <c r="D651" i="19" s="1"/>
  <c r="E651" i="19" s="1"/>
  <c r="D650" i="19" a="1"/>
  <c r="D650" i="19" s="1"/>
  <c r="D649" i="19" a="1"/>
  <c r="D649" i="19" s="1"/>
  <c r="D648" i="19" a="1"/>
  <c r="D648" i="19" s="1"/>
  <c r="G648" i="19" s="1"/>
  <c r="D647" i="19" a="1"/>
  <c r="D647" i="19" s="1"/>
  <c r="D646" i="19" a="1"/>
  <c r="D646" i="19" s="1"/>
  <c r="F646" i="19" s="1"/>
  <c r="D645" i="19" a="1"/>
  <c r="D645" i="19" s="1"/>
  <c r="D644" i="19" a="1"/>
  <c r="D644" i="19" s="1"/>
  <c r="D643" i="19" a="1"/>
  <c r="D643" i="19" s="1"/>
  <c r="D642" i="19" a="1"/>
  <c r="D642" i="19" s="1"/>
  <c r="D641" i="19" a="1"/>
  <c r="D641" i="19" s="1"/>
  <c r="D640" i="19" a="1"/>
  <c r="D640" i="19" s="1"/>
  <c r="D639" i="19" a="1"/>
  <c r="D639" i="19" s="1"/>
  <c r="D638" i="19" a="1"/>
  <c r="D638" i="19" s="1"/>
  <c r="E638" i="19" s="1"/>
  <c r="D637" i="19" a="1"/>
  <c r="D637" i="19" s="1"/>
  <c r="D636" i="19" a="1"/>
  <c r="D636" i="19" s="1"/>
  <c r="D635" i="19" a="1"/>
  <c r="D635" i="19" s="1"/>
  <c r="D634" i="19" a="1"/>
  <c r="D634" i="19" s="1"/>
  <c r="D633" i="19" a="1"/>
  <c r="D633" i="19" s="1"/>
  <c r="D632" i="19" a="1"/>
  <c r="D632" i="19" s="1"/>
  <c r="E632" i="19" s="1"/>
  <c r="D631" i="19" a="1"/>
  <c r="D631" i="19" s="1"/>
  <c r="D630" i="19" a="1"/>
  <c r="D630" i="19" s="1"/>
  <c r="D629" i="19" a="1"/>
  <c r="D629" i="19" s="1"/>
  <c r="D628" i="19" a="1"/>
  <c r="D628" i="19" s="1"/>
  <c r="E628" i="19" s="1"/>
  <c r="D627" i="19" a="1"/>
  <c r="D627" i="19" s="1"/>
  <c r="D626" i="19" a="1"/>
  <c r="D626" i="19" s="1"/>
  <c r="D625" i="19" a="1"/>
  <c r="D625" i="19" s="1"/>
  <c r="D624" i="19" a="1"/>
  <c r="D624" i="19" s="1"/>
  <c r="E624" i="19" s="1"/>
  <c r="D623" i="19" a="1"/>
  <c r="D623" i="19" s="1"/>
  <c r="D622" i="19" a="1"/>
  <c r="D622" i="19" s="1"/>
  <c r="D621" i="19" a="1"/>
  <c r="D621" i="19" s="1"/>
  <c r="D620" i="19" a="1"/>
  <c r="D620" i="19" s="1"/>
  <c r="D619" i="19" a="1"/>
  <c r="D619" i="19" s="1"/>
  <c r="D618" i="19" a="1"/>
  <c r="D618" i="19" s="1"/>
  <c r="D617" i="19" a="1"/>
  <c r="D617" i="19" s="1"/>
  <c r="D616" i="19" a="1"/>
  <c r="D616" i="19" s="1"/>
  <c r="D615" i="19" a="1"/>
  <c r="D615" i="19" s="1"/>
  <c r="D614" i="19" a="1"/>
  <c r="D614" i="19" s="1"/>
  <c r="D613" i="19" a="1"/>
  <c r="D613" i="19" s="1"/>
  <c r="D612" i="19" a="1"/>
  <c r="D612" i="19" s="1"/>
  <c r="D611" i="19" a="1"/>
  <c r="D611" i="19" s="1"/>
  <c r="D610" i="19" a="1"/>
  <c r="D610" i="19" s="1"/>
  <c r="D609" i="19" a="1"/>
  <c r="D609" i="19" s="1"/>
  <c r="E609" i="19" s="1"/>
  <c r="D608" i="19" a="1"/>
  <c r="D608" i="19" s="1"/>
  <c r="E608" i="19" s="1"/>
  <c r="D607" i="19" a="1"/>
  <c r="D607" i="19" s="1"/>
  <c r="D606" i="19" a="1"/>
  <c r="D606" i="19" s="1"/>
  <c r="E606" i="19" s="1"/>
  <c r="D605" i="19" a="1"/>
  <c r="D605" i="19" s="1"/>
  <c r="D604" i="19" a="1"/>
  <c r="D604" i="19" s="1"/>
  <c r="E604" i="19" s="1"/>
  <c r="D603" i="19" a="1"/>
  <c r="D603" i="19" s="1"/>
  <c r="G603" i="19" s="1"/>
  <c r="D602" i="19" a="1"/>
  <c r="D602" i="19" s="1"/>
  <c r="D601" i="19" a="1"/>
  <c r="D601" i="19" s="1"/>
  <c r="D600" i="19" a="1"/>
  <c r="D600" i="19" s="1"/>
  <c r="E600" i="19" s="1"/>
  <c r="D599" i="19" a="1"/>
  <c r="D599" i="19" s="1"/>
  <c r="D598" i="19" a="1"/>
  <c r="D598" i="19" s="1"/>
  <c r="D597" i="19" a="1"/>
  <c r="D597" i="19" s="1"/>
  <c r="D596" i="19" a="1"/>
  <c r="D596" i="19" s="1"/>
  <c r="D595" i="19" a="1"/>
  <c r="D595" i="19" s="1"/>
  <c r="D594" i="19" a="1"/>
  <c r="D594" i="19" s="1"/>
  <c r="D593" i="19" a="1"/>
  <c r="D593" i="19" s="1"/>
  <c r="D592" i="19" a="1"/>
  <c r="D592" i="19" s="1"/>
  <c r="D591" i="19" a="1"/>
  <c r="D591" i="19" s="1"/>
  <c r="D590" i="19" a="1"/>
  <c r="D590" i="19" s="1"/>
  <c r="D589" i="19" a="1"/>
  <c r="D589" i="19" s="1"/>
  <c r="D588" i="19" a="1"/>
  <c r="D588" i="19" s="1"/>
  <c r="D587" i="19" a="1"/>
  <c r="D587" i="19" s="1"/>
  <c r="D586" i="19" a="1"/>
  <c r="D586" i="19" s="1"/>
  <c r="D585" i="19" a="1"/>
  <c r="D585" i="19" s="1"/>
  <c r="D584" i="19" a="1"/>
  <c r="D584" i="19" s="1"/>
  <c r="D583" i="19" a="1"/>
  <c r="D583" i="19" s="1"/>
  <c r="D582" i="19" a="1"/>
  <c r="D582" i="19" s="1"/>
  <c r="E582" i="19" s="1"/>
  <c r="D581" i="19" a="1"/>
  <c r="D581" i="19" s="1"/>
  <c r="D580" i="19" a="1"/>
  <c r="D580" i="19" s="1"/>
  <c r="D579" i="19" a="1"/>
  <c r="D579" i="19" s="1"/>
  <c r="D578" i="19" a="1"/>
  <c r="D578" i="19" s="1"/>
  <c r="D577" i="19" a="1"/>
  <c r="D577" i="19" s="1"/>
  <c r="D576" i="19" a="1"/>
  <c r="D576" i="19" s="1"/>
  <c r="D575" i="19" a="1"/>
  <c r="D575" i="19" s="1"/>
  <c r="D574" i="19" a="1"/>
  <c r="D574" i="19" s="1"/>
  <c r="G574" i="19" s="1"/>
  <c r="D573" i="19" a="1"/>
  <c r="D573" i="19" s="1"/>
  <c r="D572" i="19" a="1"/>
  <c r="D572" i="19" s="1"/>
  <c r="D571" i="19" a="1"/>
  <c r="D571" i="19" s="1"/>
  <c r="F571" i="19" s="1"/>
  <c r="D570" i="19" a="1"/>
  <c r="D570" i="19" s="1"/>
  <c r="D569" i="19" a="1"/>
  <c r="D569" i="19" s="1"/>
  <c r="D568" i="19" a="1"/>
  <c r="D568" i="19" s="1"/>
  <c r="E568" i="19" s="1"/>
  <c r="D567" i="19" a="1"/>
  <c r="D567" i="19" s="1"/>
  <c r="D566" i="19" a="1"/>
  <c r="D566" i="19" s="1"/>
  <c r="E566" i="19" s="1"/>
  <c r="D565" i="19" a="1"/>
  <c r="D565" i="19" s="1"/>
  <c r="D564" i="19" a="1"/>
  <c r="D564" i="19" s="1"/>
  <c r="D563" i="19" a="1"/>
  <c r="D563" i="19" s="1"/>
  <c r="D562" i="19" a="1"/>
  <c r="D562" i="19" s="1"/>
  <c r="D561" i="19" a="1"/>
  <c r="D561" i="19" s="1"/>
  <c r="G561" i="19" s="1"/>
  <c r="D560" i="19" a="1"/>
  <c r="D560" i="19" s="1"/>
  <c r="E560" i="19" s="1"/>
  <c r="D559" i="19" a="1"/>
  <c r="D559" i="19" s="1"/>
  <c r="D558" i="19" a="1"/>
  <c r="D558" i="19" s="1"/>
  <c r="F558" i="19" s="1"/>
  <c r="D557" i="19" a="1"/>
  <c r="D557" i="19" s="1"/>
  <c r="D556" i="19" a="1"/>
  <c r="D556" i="19" s="1"/>
  <c r="D555" i="19" a="1"/>
  <c r="D555" i="19" s="1"/>
  <c r="G555" i="19" s="1"/>
  <c r="D554" i="19" a="1"/>
  <c r="D554" i="19" s="1"/>
  <c r="D553" i="19" a="1"/>
  <c r="D553" i="19" s="1"/>
  <c r="E553" i="19" s="1"/>
  <c r="D552" i="19" a="1"/>
  <c r="D552" i="19" s="1"/>
  <c r="E552" i="19" s="1"/>
  <c r="D551" i="19" a="1"/>
  <c r="D551" i="19" s="1"/>
  <c r="D550" i="19" a="1"/>
  <c r="D550" i="19" s="1"/>
  <c r="D549" i="19" a="1"/>
  <c r="D549" i="19" s="1"/>
  <c r="D548" i="19" a="1"/>
  <c r="D548" i="19" s="1"/>
  <c r="D547" i="19" a="1"/>
  <c r="D547" i="19" s="1"/>
  <c r="G547" i="19" s="1"/>
  <c r="D546" i="19" a="1"/>
  <c r="D546" i="19" s="1"/>
  <c r="D545" i="19" a="1"/>
  <c r="D545" i="19" s="1"/>
  <c r="D544" i="19" a="1"/>
  <c r="D544" i="19" s="1"/>
  <c r="E544" i="19" s="1"/>
  <c r="D543" i="19" a="1"/>
  <c r="D543" i="19" s="1"/>
  <c r="D542" i="19" a="1"/>
  <c r="D542" i="19" s="1"/>
  <c r="E542" i="19" s="1"/>
  <c r="D541" i="19" a="1"/>
  <c r="D541" i="19" s="1"/>
  <c r="D540" i="19" a="1"/>
  <c r="D540" i="19" s="1"/>
  <c r="E540" i="19" s="1"/>
  <c r="D539" i="19" a="1"/>
  <c r="D539" i="19" s="1"/>
  <c r="D538" i="19" a="1"/>
  <c r="D538" i="19" s="1"/>
  <c r="D537" i="19" a="1"/>
  <c r="D537" i="19" s="1"/>
  <c r="D536" i="19" a="1"/>
  <c r="D536" i="19" s="1"/>
  <c r="D535" i="19" a="1"/>
  <c r="D535" i="19" s="1"/>
  <c r="D534" i="19" a="1"/>
  <c r="D534" i="19" s="1"/>
  <c r="E534" i="19" s="1"/>
  <c r="D533" i="19" a="1"/>
  <c r="D533" i="19" s="1"/>
  <c r="D532" i="19" a="1"/>
  <c r="D532" i="19" s="1"/>
  <c r="D531" i="19" a="1"/>
  <c r="D531" i="19" s="1"/>
  <c r="D530" i="19" a="1"/>
  <c r="D530" i="19" s="1"/>
  <c r="D529" i="19" a="1"/>
  <c r="D529" i="19" s="1"/>
  <c r="G529" i="19" s="1"/>
  <c r="D528" i="19" a="1"/>
  <c r="D528" i="19" s="1"/>
  <c r="D527" i="19" a="1"/>
  <c r="D527" i="19" s="1"/>
  <c r="D526" i="19" a="1"/>
  <c r="D526" i="19" s="1"/>
  <c r="E526" i="19" s="1"/>
  <c r="D525" i="19" a="1"/>
  <c r="D525" i="19" s="1"/>
  <c r="D524" i="19" a="1"/>
  <c r="D524" i="19" s="1"/>
  <c r="E524" i="19" s="1"/>
  <c r="D523" i="19" a="1"/>
  <c r="D523" i="19" s="1"/>
  <c r="D522" i="19" a="1"/>
  <c r="D522" i="19" s="1"/>
  <c r="D521" i="19" a="1"/>
  <c r="D521" i="19" s="1"/>
  <c r="D520" i="19" a="1"/>
  <c r="D520" i="19" s="1"/>
  <c r="D519" i="19" a="1"/>
  <c r="D519" i="19" s="1"/>
  <c r="D518" i="19" a="1"/>
  <c r="D518" i="19" s="1"/>
  <c r="E518" i="19" s="1"/>
  <c r="D517" i="19" a="1"/>
  <c r="D517" i="19" s="1"/>
  <c r="D516" i="19" a="1"/>
  <c r="D516" i="19" s="1"/>
  <c r="D515" i="19" a="1"/>
  <c r="D515" i="19" s="1"/>
  <c r="D514" i="19" a="1"/>
  <c r="D514" i="19" s="1"/>
  <c r="D513" i="19" a="1"/>
  <c r="D513" i="19" s="1"/>
  <c r="D512" i="19" a="1"/>
  <c r="D512" i="19" s="1"/>
  <c r="D511" i="19" a="1"/>
  <c r="D511" i="19" s="1"/>
  <c r="D510" i="19" a="1"/>
  <c r="D510" i="19" s="1"/>
  <c r="E510" i="19" s="1"/>
  <c r="D509" i="19" a="1"/>
  <c r="D509" i="19" s="1"/>
  <c r="D508" i="19" a="1"/>
  <c r="D508" i="19" s="1"/>
  <c r="D507" i="19" a="1"/>
  <c r="D507" i="19" s="1"/>
  <c r="D506" i="19" a="1"/>
  <c r="D506" i="19" s="1"/>
  <c r="D505" i="19" a="1"/>
  <c r="D505" i="19" s="1"/>
  <c r="D504" i="19" a="1"/>
  <c r="D504" i="19" s="1"/>
  <c r="E504" i="19" s="1"/>
  <c r="D503" i="19" a="1"/>
  <c r="D503" i="19" s="1"/>
  <c r="D502" i="19" a="1"/>
  <c r="D502" i="19" s="1"/>
  <c r="D501" i="19" a="1"/>
  <c r="D501" i="19" s="1"/>
  <c r="D500" i="19" a="1"/>
  <c r="D500" i="19" s="1"/>
  <c r="D499" i="19" a="1"/>
  <c r="D499" i="19" s="1"/>
  <c r="E499" i="19" s="1"/>
  <c r="D498" i="19" a="1"/>
  <c r="D498" i="19" s="1"/>
  <c r="D497" i="19" a="1"/>
  <c r="D497" i="19" s="1"/>
  <c r="G497" i="19" s="1"/>
  <c r="D496" i="19" a="1"/>
  <c r="D496" i="19" s="1"/>
  <c r="E496" i="19" s="1"/>
  <c r="D495" i="19" a="1"/>
  <c r="D495" i="19" s="1"/>
  <c r="D494" i="19" a="1"/>
  <c r="D494" i="19" s="1"/>
  <c r="D493" i="19" a="1"/>
  <c r="D493" i="19" s="1"/>
  <c r="D492" i="19" a="1"/>
  <c r="D492" i="19" s="1"/>
  <c r="D491" i="19" a="1"/>
  <c r="D491" i="19" s="1"/>
  <c r="G491" i="19" s="1"/>
  <c r="D490" i="19" a="1"/>
  <c r="D490" i="19" s="1"/>
  <c r="D489" i="19" a="1"/>
  <c r="D489" i="19" s="1"/>
  <c r="D488" i="19" a="1"/>
  <c r="D488" i="19" s="1"/>
  <c r="E488" i="19" s="1"/>
  <c r="D487" i="19" a="1"/>
  <c r="D487" i="19" s="1"/>
  <c r="D486" i="19" a="1"/>
  <c r="D486" i="19" s="1"/>
  <c r="E486" i="19" s="1"/>
  <c r="D485" i="19" a="1"/>
  <c r="D485" i="19" s="1"/>
  <c r="D484" i="19" a="1"/>
  <c r="D484" i="19" s="1"/>
  <c r="F484" i="19" s="1"/>
  <c r="D483" i="19" a="1"/>
  <c r="D483" i="19" s="1"/>
  <c r="D482" i="19" a="1"/>
  <c r="D482" i="19" s="1"/>
  <c r="D481" i="19" a="1"/>
  <c r="D481" i="19" s="1"/>
  <c r="D480" i="19" a="1"/>
  <c r="D480" i="19" s="1"/>
  <c r="E480" i="19" s="1"/>
  <c r="D479" i="19" a="1"/>
  <c r="D479" i="19" s="1"/>
  <c r="D478" i="19" a="1"/>
  <c r="D478" i="19" s="1"/>
  <c r="D477" i="19" a="1"/>
  <c r="D477" i="19" s="1"/>
  <c r="D476" i="19" a="1"/>
  <c r="D476" i="19" s="1"/>
  <c r="D475" i="19" a="1"/>
  <c r="D475" i="19" s="1"/>
  <c r="E475" i="19" s="1"/>
  <c r="D474" i="19" a="1"/>
  <c r="D474" i="19" s="1"/>
  <c r="D473" i="19" a="1"/>
  <c r="D473" i="19" s="1"/>
  <c r="D472" i="19" a="1"/>
  <c r="D472" i="19" s="1"/>
  <c r="D471" i="19" a="1"/>
  <c r="D471" i="19" s="1"/>
  <c r="D470" i="19" a="1"/>
  <c r="D470" i="19" s="1"/>
  <c r="D469" i="19" a="1"/>
  <c r="D469" i="19" s="1"/>
  <c r="D468" i="19" a="1"/>
  <c r="D468" i="19" s="1"/>
  <c r="D467" i="19" a="1"/>
  <c r="D467" i="19" s="1"/>
  <c r="D466" i="19" a="1"/>
  <c r="D466" i="19" s="1"/>
  <c r="D465" i="19" a="1"/>
  <c r="D465" i="19" s="1"/>
  <c r="D464" i="19" a="1"/>
  <c r="D464" i="19" s="1"/>
  <c r="D463" i="19" a="1"/>
  <c r="D463" i="19" s="1"/>
  <c r="D462" i="19" a="1"/>
  <c r="D462" i="19" s="1"/>
  <c r="G462" i="19" s="1"/>
  <c r="D461" i="19" a="1"/>
  <c r="D461" i="19" s="1"/>
  <c r="D460" i="19" a="1"/>
  <c r="D460" i="19" s="1"/>
  <c r="F460" i="19" s="1"/>
  <c r="D459" i="19" a="1"/>
  <c r="D459" i="19" s="1"/>
  <c r="E459" i="19" s="1"/>
  <c r="D458" i="19" a="1"/>
  <c r="D458" i="19" s="1"/>
  <c r="D457" i="19" a="1"/>
  <c r="D457" i="19" s="1"/>
  <c r="G457" i="19" s="1"/>
  <c r="D456" i="19" a="1"/>
  <c r="D456" i="19" s="1"/>
  <c r="D455" i="19" a="1"/>
  <c r="D455" i="19" s="1"/>
  <c r="D454" i="19" a="1"/>
  <c r="D454" i="19" s="1"/>
  <c r="D453" i="19" a="1"/>
  <c r="D453" i="19" s="1"/>
  <c r="D452" i="19" a="1"/>
  <c r="D452" i="19" s="1"/>
  <c r="D451" i="19" a="1"/>
  <c r="D451" i="19" s="1"/>
  <c r="D450" i="19" a="1"/>
  <c r="D450" i="19" s="1"/>
  <c r="D449" i="19" a="1"/>
  <c r="D449" i="19" s="1"/>
  <c r="F449" i="19" s="1"/>
  <c r="D448" i="19" a="1"/>
  <c r="D448" i="19" s="1"/>
  <c r="D447" i="19" a="1"/>
  <c r="D447" i="19" s="1"/>
  <c r="D446" i="19" a="1"/>
  <c r="D446" i="19" s="1"/>
  <c r="E446" i="19" s="1"/>
  <c r="D445" i="19" a="1"/>
  <c r="D445" i="19" s="1"/>
  <c r="D444" i="19" a="1"/>
  <c r="D444" i="19" s="1"/>
  <c r="E444" i="19" s="1"/>
  <c r="D443" i="19" a="1"/>
  <c r="D443" i="19" s="1"/>
  <c r="D442" i="19" a="1"/>
  <c r="D442" i="19" s="1"/>
  <c r="D441" i="19" a="1"/>
  <c r="D441" i="19" s="1"/>
  <c r="E441" i="19" s="1"/>
  <c r="D440" i="19" a="1"/>
  <c r="D440" i="19" s="1"/>
  <c r="D439" i="19" a="1"/>
  <c r="D439" i="19" s="1"/>
  <c r="G439" i="19" s="1"/>
  <c r="D438" i="19" a="1"/>
  <c r="D438" i="19" s="1"/>
  <c r="E438" i="19" s="1"/>
  <c r="D437" i="19" a="1"/>
  <c r="D437" i="19" s="1"/>
  <c r="D436" i="19" a="1"/>
  <c r="D436" i="19" s="1"/>
  <c r="E436" i="19" s="1"/>
  <c r="D435" i="19" a="1"/>
  <c r="D435" i="19" s="1"/>
  <c r="D434" i="19" a="1"/>
  <c r="D434" i="19" s="1"/>
  <c r="D433" i="19" a="1"/>
  <c r="D433" i="19" s="1"/>
  <c r="G433" i="19" s="1"/>
  <c r="D432" i="19" a="1"/>
  <c r="D432" i="19" s="1"/>
  <c r="D431" i="19" a="1"/>
  <c r="D431" i="19" s="1"/>
  <c r="G431" i="19" s="1"/>
  <c r="D430" i="19" a="1"/>
  <c r="D430" i="19" s="1"/>
  <c r="E430" i="19" s="1"/>
  <c r="D429" i="19" a="1"/>
  <c r="D429" i="19" s="1"/>
  <c r="D428" i="19" a="1"/>
  <c r="D428" i="19" s="1"/>
  <c r="D427" i="19" a="1"/>
  <c r="D427" i="19" s="1"/>
  <c r="D426" i="19" a="1"/>
  <c r="D426" i="19" s="1"/>
  <c r="D425" i="19" a="1"/>
  <c r="D425" i="19" s="1"/>
  <c r="D424" i="19" a="1"/>
  <c r="D424" i="19" s="1"/>
  <c r="D423" i="19" a="1"/>
  <c r="D423" i="19" s="1"/>
  <c r="G423" i="19" s="1"/>
  <c r="D422" i="19" a="1"/>
  <c r="D422" i="19" s="1"/>
  <c r="D421" i="19" a="1"/>
  <c r="D421" i="19" s="1"/>
  <c r="D420" i="19" a="1"/>
  <c r="D420" i="19" s="1"/>
  <c r="G420" i="19" s="1"/>
  <c r="D419" i="19" a="1"/>
  <c r="D419" i="19" s="1"/>
  <c r="D418" i="19" a="1"/>
  <c r="D418" i="19" s="1"/>
  <c r="G418" i="19" s="1"/>
  <c r="D417" i="19" a="1"/>
  <c r="D417" i="19" s="1"/>
  <c r="D416" i="19" a="1"/>
  <c r="D416" i="19" s="1"/>
  <c r="D415" i="19" a="1"/>
  <c r="D415" i="19" s="1"/>
  <c r="D414" i="19" a="1"/>
  <c r="D414" i="19" s="1"/>
  <c r="E414" i="19" s="1"/>
  <c r="D413" i="19" a="1"/>
  <c r="D413" i="19" s="1"/>
  <c r="D412" i="19" a="1"/>
  <c r="D412" i="19" s="1"/>
  <c r="E412" i="19" s="1"/>
  <c r="D411" i="19" a="1"/>
  <c r="D411" i="19" s="1"/>
  <c r="D410" i="19" a="1"/>
  <c r="D410" i="19" s="1"/>
  <c r="D409" i="19" a="1"/>
  <c r="D409" i="19" s="1"/>
  <c r="G409" i="19" s="1"/>
  <c r="D408" i="19" a="1"/>
  <c r="D408" i="19" s="1"/>
  <c r="D407" i="19" a="1"/>
  <c r="D407" i="19" s="1"/>
  <c r="G407" i="19" s="1"/>
  <c r="D406" i="19" a="1"/>
  <c r="D406" i="19" s="1"/>
  <c r="E406" i="19" s="1"/>
  <c r="D405" i="19" a="1"/>
  <c r="D405" i="19" s="1"/>
  <c r="D404" i="19" a="1"/>
  <c r="D404" i="19" s="1"/>
  <c r="E404" i="19" s="1"/>
  <c r="D403" i="19" a="1"/>
  <c r="D403" i="19" s="1"/>
  <c r="D402" i="19" a="1"/>
  <c r="D402" i="19" s="1"/>
  <c r="G402" i="19" s="1"/>
  <c r="D401" i="19" a="1"/>
  <c r="D401" i="19" s="1"/>
  <c r="D400" i="19" a="1"/>
  <c r="D400" i="19" s="1"/>
  <c r="D399" i="19" a="1"/>
  <c r="D399" i="19" s="1"/>
  <c r="G399" i="19" s="1"/>
  <c r="D398" i="19" a="1"/>
  <c r="D398" i="19" s="1"/>
  <c r="D397" i="19" a="1"/>
  <c r="D397" i="19" s="1"/>
  <c r="D396" i="19" a="1"/>
  <c r="D396" i="19" s="1"/>
  <c r="G396" i="19" s="1"/>
  <c r="D395" i="19" a="1"/>
  <c r="D395" i="19" s="1"/>
  <c r="D394" i="19" a="1"/>
  <c r="D394" i="19" s="1"/>
  <c r="D393" i="19" a="1"/>
  <c r="D393" i="19" s="1"/>
  <c r="D392" i="19" a="1"/>
  <c r="D392" i="19" s="1"/>
  <c r="D391" i="19" a="1"/>
  <c r="D391" i="19" s="1"/>
  <c r="G391" i="19" s="1"/>
  <c r="D390" i="19" a="1"/>
  <c r="D390" i="19" s="1"/>
  <c r="E390" i="19" s="1"/>
  <c r="D389" i="19" a="1"/>
  <c r="D389" i="19" s="1"/>
  <c r="D388" i="19" a="1"/>
  <c r="D388" i="19" s="1"/>
  <c r="E388" i="19" s="1"/>
  <c r="D387" i="19" a="1"/>
  <c r="D387" i="19" s="1"/>
  <c r="D386" i="19" a="1"/>
  <c r="D386" i="19" s="1"/>
  <c r="G386" i="19" s="1"/>
  <c r="D385" i="19" a="1"/>
  <c r="D385" i="19" s="1"/>
  <c r="G385" i="19" s="1"/>
  <c r="D384" i="19" a="1"/>
  <c r="D384" i="19" s="1"/>
  <c r="D383" i="19" a="1"/>
  <c r="D383" i="19" s="1"/>
  <c r="G383" i="19" s="1"/>
  <c r="D382" i="19" a="1"/>
  <c r="D382" i="19" s="1"/>
  <c r="D381" i="19" a="1"/>
  <c r="D381" i="19" s="1"/>
  <c r="D380" i="19" a="1"/>
  <c r="D380" i="19" s="1"/>
  <c r="D379" i="19" a="1"/>
  <c r="D379" i="19" s="1"/>
  <c r="D378" i="19" a="1"/>
  <c r="D378" i="19" s="1"/>
  <c r="D377" i="19" a="1"/>
  <c r="D377" i="19" s="1"/>
  <c r="E377" i="19" s="1"/>
  <c r="D376" i="19" a="1"/>
  <c r="D376" i="19" s="1"/>
  <c r="D375" i="19" a="1"/>
  <c r="D375" i="19" s="1"/>
  <c r="G375" i="19" s="1"/>
  <c r="D374" i="19" a="1"/>
  <c r="D374" i="19" s="1"/>
  <c r="E374" i="19" s="1"/>
  <c r="D373" i="19" a="1"/>
  <c r="D373" i="19" s="1"/>
  <c r="D372" i="19" a="1"/>
  <c r="D372" i="19" s="1"/>
  <c r="E372" i="19" s="1"/>
  <c r="D371" i="19" a="1"/>
  <c r="D371" i="19" s="1"/>
  <c r="D370" i="19" a="1"/>
  <c r="D370" i="19" s="1"/>
  <c r="D369" i="19" a="1"/>
  <c r="D369" i="19" s="1"/>
  <c r="G369" i="19" s="1"/>
  <c r="D368" i="19" a="1"/>
  <c r="D368" i="19" s="1"/>
  <c r="D367" i="19" a="1"/>
  <c r="D367" i="19" s="1"/>
  <c r="G367" i="19" s="1"/>
  <c r="D366" i="19" a="1"/>
  <c r="D366" i="19" s="1"/>
  <c r="D365" i="19" a="1"/>
  <c r="D365" i="19" s="1"/>
  <c r="D364" i="19" a="1"/>
  <c r="D364" i="19" s="1"/>
  <c r="G364" i="19" s="1"/>
  <c r="D363" i="19" a="1"/>
  <c r="D363" i="19" s="1"/>
  <c r="D362" i="19" a="1"/>
  <c r="D362" i="19" s="1"/>
  <c r="G362" i="19" s="1"/>
  <c r="D361" i="19" a="1"/>
  <c r="D361" i="19" s="1"/>
  <c r="D360" i="19" a="1"/>
  <c r="D360" i="19" s="1"/>
  <c r="D359" i="19" a="1"/>
  <c r="D359" i="19" s="1"/>
  <c r="D358" i="19" a="1"/>
  <c r="D358" i="19" s="1"/>
  <c r="E358" i="19" s="1"/>
  <c r="D357" i="19" a="1"/>
  <c r="D357" i="19" s="1"/>
  <c r="D356" i="19" a="1"/>
  <c r="D356" i="19" s="1"/>
  <c r="D355" i="19" a="1"/>
  <c r="D355" i="19" s="1"/>
  <c r="D354" i="19" a="1"/>
  <c r="D354" i="19" s="1"/>
  <c r="D353" i="19" a="1"/>
  <c r="D353" i="19" s="1"/>
  <c r="G353" i="19" s="1"/>
  <c r="D352" i="19" a="1"/>
  <c r="D352" i="19" s="1"/>
  <c r="D351" i="19" a="1"/>
  <c r="D351" i="19" s="1"/>
  <c r="G351" i="19" s="1"/>
  <c r="D350" i="19" a="1"/>
  <c r="D350" i="19" s="1"/>
  <c r="E350" i="19" s="1"/>
  <c r="D349" i="19" a="1"/>
  <c r="D349" i="19" s="1"/>
  <c r="D348" i="19" a="1"/>
  <c r="D348" i="19" s="1"/>
  <c r="E348" i="19" s="1"/>
  <c r="D347" i="19" a="1"/>
  <c r="D347" i="19" s="1"/>
  <c r="D346" i="19" a="1"/>
  <c r="D346" i="19" s="1"/>
  <c r="G346" i="19" s="1"/>
  <c r="D345" i="19" a="1"/>
  <c r="D345" i="19" s="1"/>
  <c r="E345" i="19" s="1"/>
  <c r="D344" i="19" a="1"/>
  <c r="D344" i="19" s="1"/>
  <c r="D343" i="19" a="1"/>
  <c r="D343" i="19" s="1"/>
  <c r="G343" i="19" s="1"/>
  <c r="D342" i="19" a="1"/>
  <c r="D342" i="19" s="1"/>
  <c r="D341" i="19" a="1"/>
  <c r="D341" i="19" s="1"/>
  <c r="D340" i="19" a="1"/>
  <c r="D340" i="19" s="1"/>
  <c r="D339" i="19" a="1"/>
  <c r="D339" i="19" s="1"/>
  <c r="D338" i="19" a="1"/>
  <c r="D338" i="19" s="1"/>
  <c r="D337" i="19" a="1"/>
  <c r="D337" i="19" s="1"/>
  <c r="D336" i="19" a="1"/>
  <c r="D336" i="19" s="1"/>
  <c r="D335" i="19" a="1"/>
  <c r="D335" i="19" s="1"/>
  <c r="G335" i="19" s="1"/>
  <c r="D334" i="19" a="1"/>
  <c r="D334" i="19" s="1"/>
  <c r="E334" i="19" s="1"/>
  <c r="D333" i="19" a="1"/>
  <c r="D333" i="19" s="1"/>
  <c r="D332" i="19" a="1"/>
  <c r="D332" i="19" s="1"/>
  <c r="E332" i="19" s="1"/>
  <c r="D331" i="19" a="1"/>
  <c r="D331" i="19" s="1"/>
  <c r="D330" i="19" a="1"/>
  <c r="D330" i="19" s="1"/>
  <c r="D329" i="19" a="1"/>
  <c r="D329" i="19" s="1"/>
  <c r="D328" i="19" a="1"/>
  <c r="D328" i="19" s="1"/>
  <c r="D327" i="19" a="1"/>
  <c r="D327" i="19" s="1"/>
  <c r="D326" i="19" a="1"/>
  <c r="D326" i="19" s="1"/>
  <c r="D325" i="19" a="1"/>
  <c r="D325" i="19" s="1"/>
  <c r="D324" i="19" a="1"/>
  <c r="D324" i="19" s="1"/>
  <c r="E324" i="19" s="1"/>
  <c r="D323" i="19" a="1"/>
  <c r="D323" i="19" s="1"/>
  <c r="D322" i="19" a="1"/>
  <c r="D322" i="19" s="1"/>
  <c r="G322" i="19" s="1"/>
  <c r="D321" i="19" a="1"/>
  <c r="D321" i="19" s="1"/>
  <c r="E321" i="19" s="1"/>
  <c r="D320" i="19" a="1"/>
  <c r="D320" i="19" s="1"/>
  <c r="D319" i="19" a="1"/>
  <c r="D319" i="19" s="1"/>
  <c r="D318" i="19" a="1"/>
  <c r="D318" i="19" s="1"/>
  <c r="E318" i="19" s="1"/>
  <c r="D317" i="19" a="1"/>
  <c r="D317" i="19" s="1"/>
  <c r="D316" i="19" a="1"/>
  <c r="D316" i="19" s="1"/>
  <c r="D315" i="19" a="1"/>
  <c r="D315" i="19" s="1"/>
  <c r="D314" i="19" a="1"/>
  <c r="D314" i="19" s="1"/>
  <c r="D313" i="19" a="1"/>
  <c r="D313" i="19" s="1"/>
  <c r="G313" i="19" s="1"/>
  <c r="D312" i="19" a="1"/>
  <c r="D312" i="19" s="1"/>
  <c r="D311" i="19" a="1"/>
  <c r="D311" i="19" s="1"/>
  <c r="F311" i="19" s="1"/>
  <c r="D310" i="19" a="1"/>
  <c r="D310" i="19" s="1"/>
  <c r="D309" i="19" a="1"/>
  <c r="D309" i="19" s="1"/>
  <c r="D308" i="19" a="1"/>
  <c r="D308" i="19" s="1"/>
  <c r="E308" i="19" s="1"/>
  <c r="D307" i="19" a="1"/>
  <c r="D307" i="19" s="1"/>
  <c r="D306" i="19" a="1"/>
  <c r="D306" i="19" s="1"/>
  <c r="G306" i="19" s="1"/>
  <c r="D305" i="19" a="1"/>
  <c r="D305" i="19" s="1"/>
  <c r="E305" i="19" s="1"/>
  <c r="D304" i="19" a="1"/>
  <c r="D304" i="19" s="1"/>
  <c r="G304" i="19" s="1"/>
  <c r="D303" i="19" a="1"/>
  <c r="D303" i="19" s="1"/>
  <c r="G303" i="19" s="1"/>
  <c r="D302" i="19" a="1"/>
  <c r="D302" i="19" s="1"/>
  <c r="D301" i="19" a="1"/>
  <c r="D301" i="19" s="1"/>
  <c r="E301" i="19" s="1"/>
  <c r="D300" i="19" a="1"/>
  <c r="D300" i="19" s="1"/>
  <c r="E300" i="19" s="1"/>
  <c r="D299" i="19" a="1"/>
  <c r="D299" i="19" s="1"/>
  <c r="D298" i="19" a="1"/>
  <c r="D298" i="19" s="1"/>
  <c r="F298" i="19" s="1"/>
  <c r="D297" i="19" a="1"/>
  <c r="D297" i="19" s="1"/>
  <c r="D296" i="19" a="1"/>
  <c r="D296" i="19" s="1"/>
  <c r="D295" i="19" a="1"/>
  <c r="D295" i="19" s="1"/>
  <c r="D294" i="19" a="1"/>
  <c r="D294" i="19" s="1"/>
  <c r="D293" i="19" a="1"/>
  <c r="D293" i="19" s="1"/>
  <c r="F293" i="19" s="1"/>
  <c r="D292" i="19" a="1"/>
  <c r="D292" i="19" s="1"/>
  <c r="D291" i="19" a="1"/>
  <c r="D291" i="19" s="1"/>
  <c r="D290" i="19" a="1"/>
  <c r="D290" i="19" s="1"/>
  <c r="F290" i="19" s="1"/>
  <c r="D289" i="19" a="1"/>
  <c r="D289" i="19" s="1"/>
  <c r="D288" i="19" a="1"/>
  <c r="D288" i="19" s="1"/>
  <c r="F288" i="19" s="1"/>
  <c r="D287" i="19" a="1"/>
  <c r="D287" i="19" s="1"/>
  <c r="E287" i="19" s="1"/>
  <c r="D286" i="19" a="1"/>
  <c r="D286" i="19" s="1"/>
  <c r="G286" i="19" s="1"/>
  <c r="D285" i="19" a="1"/>
  <c r="D285" i="19" s="1"/>
  <c r="D284" i="19" a="1"/>
  <c r="D284" i="19" s="1"/>
  <c r="D283" i="19" a="1"/>
  <c r="D283" i="19" s="1"/>
  <c r="G283" i="19" s="1"/>
  <c r="D282" i="19" a="1"/>
  <c r="D282" i="19" s="1"/>
  <c r="F282" i="19" s="1"/>
  <c r="D281" i="19" a="1"/>
  <c r="D281" i="19" s="1"/>
  <c r="D280" i="19" a="1"/>
  <c r="D280" i="19" s="1"/>
  <c r="F280" i="19" s="1"/>
  <c r="D279" i="19" a="1"/>
  <c r="D279" i="19" s="1"/>
  <c r="E279" i="19" s="1"/>
  <c r="D278" i="19" a="1"/>
  <c r="D278" i="19" s="1"/>
  <c r="G278" i="19" s="1"/>
  <c r="D277" i="19" a="1"/>
  <c r="D277" i="19" s="1"/>
  <c r="D276" i="19" a="1"/>
  <c r="D276" i="19" s="1"/>
  <c r="D275" i="19" a="1"/>
  <c r="D275" i="19" s="1"/>
  <c r="G275" i="19" s="1"/>
  <c r="D274" i="19" a="1"/>
  <c r="D274" i="19" s="1"/>
  <c r="F274" i="19" s="1"/>
  <c r="D273" i="19" a="1"/>
  <c r="D273" i="19" s="1"/>
  <c r="D272" i="19" a="1"/>
  <c r="D272" i="19" s="1"/>
  <c r="F272" i="19" s="1"/>
  <c r="D271" i="19" a="1"/>
  <c r="D271" i="19" s="1"/>
  <c r="E271" i="19" s="1"/>
  <c r="D270" i="19" a="1"/>
  <c r="D270" i="19" s="1"/>
  <c r="G270" i="19" s="1"/>
  <c r="D269" i="19" a="1"/>
  <c r="D269" i="19" s="1"/>
  <c r="D268" i="19" a="1"/>
  <c r="D268" i="19" s="1"/>
  <c r="D267" i="19" a="1"/>
  <c r="D267" i="19" s="1"/>
  <c r="G267" i="19" s="1"/>
  <c r="D266" i="19" a="1"/>
  <c r="D266" i="19" s="1"/>
  <c r="F266" i="19" s="1"/>
  <c r="D265" i="19" a="1"/>
  <c r="D265" i="19" s="1"/>
  <c r="D264" i="19" a="1"/>
  <c r="D264" i="19" s="1"/>
  <c r="F264" i="19" s="1"/>
  <c r="D263" i="19" a="1"/>
  <c r="D263" i="19" s="1"/>
  <c r="E263" i="19" s="1"/>
  <c r="D262" i="19" a="1"/>
  <c r="D262" i="19" s="1"/>
  <c r="G262" i="19" s="1"/>
  <c r="D261" i="19" a="1"/>
  <c r="D261" i="19" s="1"/>
  <c r="G261" i="19" s="1"/>
  <c r="D260" i="19" a="1"/>
  <c r="D260" i="19" s="1"/>
  <c r="D259" i="19" a="1"/>
  <c r="D259" i="19" s="1"/>
  <c r="G259" i="19" s="1"/>
  <c r="D258" i="19" a="1"/>
  <c r="D258" i="19" s="1"/>
  <c r="F258" i="19" s="1"/>
  <c r="D257" i="19" a="1"/>
  <c r="D257" i="19" s="1"/>
  <c r="D256" i="19" a="1"/>
  <c r="D256" i="19" s="1"/>
  <c r="F256" i="19" s="1"/>
  <c r="D255" i="19" a="1"/>
  <c r="D255" i="19" s="1"/>
  <c r="D254" i="19" a="1"/>
  <c r="D254" i="19" s="1"/>
  <c r="G254" i="19" s="1"/>
  <c r="D253" i="19" a="1"/>
  <c r="D253" i="19" s="1"/>
  <c r="D252" i="19" a="1"/>
  <c r="D252" i="19" s="1"/>
  <c r="D251" i="19" a="1"/>
  <c r="D251" i="19" s="1"/>
  <c r="G251" i="19" s="1"/>
  <c r="D250" i="19" a="1"/>
  <c r="D250" i="19" s="1"/>
  <c r="F250" i="19" s="1"/>
  <c r="D249" i="19" a="1"/>
  <c r="D249" i="19" s="1"/>
  <c r="D248" i="19" a="1"/>
  <c r="D248" i="19" s="1"/>
  <c r="D247" i="19" a="1"/>
  <c r="D247" i="19" s="1"/>
  <c r="E247" i="19" s="1"/>
  <c r="D246" i="19" a="1"/>
  <c r="D246" i="19" s="1"/>
  <c r="G246" i="19" s="1"/>
  <c r="D245" i="19" a="1"/>
  <c r="D245" i="19" s="1"/>
  <c r="D244" i="19" a="1"/>
  <c r="D244" i="19" s="1"/>
  <c r="D243" i="19" a="1"/>
  <c r="D243" i="19" s="1"/>
  <c r="G243" i="19" s="1"/>
  <c r="D242" i="19" a="1"/>
  <c r="D242" i="19" s="1"/>
  <c r="F242" i="19" s="1"/>
  <c r="D241" i="19" a="1"/>
  <c r="D241" i="19" s="1"/>
  <c r="D240" i="19" a="1"/>
  <c r="D240" i="19" s="1"/>
  <c r="F240" i="19" s="1"/>
  <c r="D239" i="19" a="1"/>
  <c r="D239" i="19" s="1"/>
  <c r="E239" i="19" s="1"/>
  <c r="D238" i="19" a="1"/>
  <c r="D238" i="19" s="1"/>
  <c r="G238" i="19" s="1"/>
  <c r="D237" i="19" a="1"/>
  <c r="D237" i="19" s="1"/>
  <c r="F237" i="19" s="1"/>
  <c r="D236" i="19" a="1"/>
  <c r="D236" i="19" s="1"/>
  <c r="D235" i="19" a="1"/>
  <c r="D235" i="19" s="1"/>
  <c r="G235" i="19" s="1"/>
  <c r="D234" i="19" a="1"/>
  <c r="D234" i="19" s="1"/>
  <c r="D233" i="19" a="1"/>
  <c r="D233" i="19" s="1"/>
  <c r="D232" i="19" a="1"/>
  <c r="D232" i="19" s="1"/>
  <c r="F232" i="19" s="1"/>
  <c r="D231" i="19" a="1"/>
  <c r="D231" i="19" s="1"/>
  <c r="E231" i="19" s="1"/>
  <c r="D230" i="19" a="1"/>
  <c r="D230" i="19" s="1"/>
  <c r="D229" i="19" a="1"/>
  <c r="D229" i="19" s="1"/>
  <c r="D228" i="19" a="1"/>
  <c r="D228" i="19" s="1"/>
  <c r="D227" i="19" a="1"/>
  <c r="D227" i="19" s="1"/>
  <c r="D226" i="19" a="1"/>
  <c r="D226" i="19" s="1"/>
  <c r="D225" i="19" a="1"/>
  <c r="D225" i="19" s="1"/>
  <c r="D224" i="19" a="1"/>
  <c r="D224" i="19" s="1"/>
  <c r="D223" i="19" a="1"/>
  <c r="D223" i="19" s="1"/>
  <c r="E223" i="19" s="1"/>
  <c r="D222" i="19" a="1"/>
  <c r="D222" i="19" s="1"/>
  <c r="D221" i="19" a="1"/>
  <c r="D221" i="19" s="1"/>
  <c r="D220" i="19" a="1"/>
  <c r="D220" i="19" s="1"/>
  <c r="D219" i="19" a="1"/>
  <c r="D219" i="19" s="1"/>
  <c r="G219" i="19" s="1"/>
  <c r="D218" i="19" a="1"/>
  <c r="D218" i="19" s="1"/>
  <c r="F218" i="19" s="1"/>
  <c r="D217" i="19" a="1"/>
  <c r="D217" i="19" s="1"/>
  <c r="D216" i="19" a="1"/>
  <c r="D216" i="19" s="1"/>
  <c r="F216" i="19" s="1"/>
  <c r="D215" i="19" a="1"/>
  <c r="D215" i="19" s="1"/>
  <c r="E215" i="19" s="1"/>
  <c r="D214" i="19" a="1"/>
  <c r="D214" i="19" s="1"/>
  <c r="D213" i="19" a="1"/>
  <c r="D213" i="19" s="1"/>
  <c r="F213" i="19" s="1"/>
  <c r="D212" i="19" a="1"/>
  <c r="D212" i="19" s="1"/>
  <c r="D211" i="19" a="1"/>
  <c r="D211" i="19" s="1"/>
  <c r="D210" i="19" a="1"/>
  <c r="D210" i="19" s="1"/>
  <c r="D209" i="19" a="1"/>
  <c r="D209" i="19" s="1"/>
  <c r="D208" i="19" a="1"/>
  <c r="D208" i="19" s="1"/>
  <c r="D207" i="19" a="1"/>
  <c r="D207" i="19" s="1"/>
  <c r="D206" i="19" a="1"/>
  <c r="D206" i="19" s="1"/>
  <c r="G206" i="19" s="1"/>
  <c r="D205" i="19" a="1"/>
  <c r="D205" i="19" s="1"/>
  <c r="F205" i="19" s="1"/>
  <c r="D204" i="19" a="1"/>
  <c r="D204" i="19" s="1"/>
  <c r="D203" i="19" a="1"/>
  <c r="D203" i="19" s="1"/>
  <c r="G203" i="19" s="1"/>
  <c r="D202" i="19" a="1"/>
  <c r="D202" i="19" s="1"/>
  <c r="F202" i="19" s="1"/>
  <c r="D201" i="19" a="1"/>
  <c r="D201" i="19" s="1"/>
  <c r="D200" i="19" a="1"/>
  <c r="D200" i="19" s="1"/>
  <c r="D199" i="19" a="1"/>
  <c r="D199" i="19" s="1"/>
  <c r="E199" i="19" s="1"/>
  <c r="D198" i="19" a="1"/>
  <c r="D198" i="19" s="1"/>
  <c r="D197" i="19" a="1"/>
  <c r="D197" i="19" s="1"/>
  <c r="D196" i="19" a="1"/>
  <c r="D196" i="19" s="1"/>
  <c r="D195" i="19" a="1"/>
  <c r="D195" i="19" s="1"/>
  <c r="D194" i="19" a="1"/>
  <c r="D194" i="19" s="1"/>
  <c r="D193" i="19" a="1"/>
  <c r="D193" i="19" s="1"/>
  <c r="D192" i="19" a="1"/>
  <c r="D192" i="19" s="1"/>
  <c r="F192" i="19" s="1"/>
  <c r="D191" i="19" a="1"/>
  <c r="D191" i="19" s="1"/>
  <c r="E191" i="19" s="1"/>
  <c r="D190" i="19" a="1"/>
  <c r="D190" i="19" s="1"/>
  <c r="G190" i="19" s="1"/>
  <c r="D189" i="19" a="1"/>
  <c r="D189" i="19" s="1"/>
  <c r="D188" i="19" a="1"/>
  <c r="D188" i="19" s="1"/>
  <c r="D187" i="19" a="1"/>
  <c r="D187" i="19" s="1"/>
  <c r="D186" i="19" a="1"/>
  <c r="D186" i="19" s="1"/>
  <c r="F186" i="19" s="1"/>
  <c r="D185" i="19" a="1"/>
  <c r="D185" i="19" s="1"/>
  <c r="D184" i="19" a="1"/>
  <c r="D184" i="19" s="1"/>
  <c r="D183" i="19" a="1"/>
  <c r="D183" i="19" s="1"/>
  <c r="E183" i="19" s="1"/>
  <c r="D182" i="19" a="1"/>
  <c r="D182" i="19" s="1"/>
  <c r="D181" i="19" a="1"/>
  <c r="D181" i="19" s="1"/>
  <c r="D180" i="19" a="1"/>
  <c r="D180" i="19" s="1"/>
  <c r="D179" i="19" a="1"/>
  <c r="D179" i="19" s="1"/>
  <c r="AO2" i="16" a="1"/>
  <c r="AO2" i="16" s="1"/>
  <c r="Z392" i="16" s="1" a="1"/>
  <c r="Z392" i="16" s="1"/>
  <c r="AN2" i="16" a="1"/>
  <c r="AM2" i="16" a="1"/>
  <c r="AK2" i="16" a="1"/>
  <c r="AK2" i="16" s="1"/>
  <c r="Z236" i="16" s="1" a="1"/>
  <c r="Z236" i="16" s="1"/>
  <c r="AJ2" i="16" a="1"/>
  <c r="AJ2" i="16" s="1"/>
  <c r="Z197" i="16" s="1" a="1"/>
  <c r="Z197" i="16" s="1"/>
  <c r="AI2" i="16" a="1"/>
  <c r="AH2" i="16" a="1"/>
  <c r="Z120" i="16" s="1" a="1"/>
  <c r="Z120" i="16" s="1"/>
  <c r="AG2" i="16" a="1"/>
  <c r="AG2" i="16" s="1"/>
  <c r="Z80" i="16" s="1" a="1"/>
  <c r="Z80" i="16" s="1"/>
  <c r="AF2" i="16" a="1"/>
  <c r="AE2" i="16" a="1"/>
  <c r="AE2" i="16" s="1"/>
  <c r="Z2" i="16" s="1" a="1"/>
  <c r="Z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N2" i="16" l="1"/>
  <c r="Z353" i="16" s="1" a="1"/>
  <c r="Z353" i="16" s="1"/>
  <c r="Z354" i="16" a="1"/>
  <c r="Z354" i="16" s="1"/>
  <c r="Z315" i="16" a="1"/>
  <c r="Z315" i="16" s="1"/>
  <c r="Z316" i="16" a="1"/>
  <c r="Z316" i="16" s="1"/>
  <c r="Z317" i="16" a="1"/>
  <c r="Z317" i="16" s="1"/>
  <c r="Z318" i="16" a="1"/>
  <c r="Z318" i="16" s="1"/>
  <c r="Z319" i="16" a="1"/>
  <c r="Z319" i="16" s="1"/>
  <c r="AR2" i="16"/>
  <c r="Z509" i="16" s="1" a="1"/>
  <c r="Z509" i="16" s="1"/>
  <c r="AS2" i="16"/>
  <c r="Z548" i="16" s="1" a="1"/>
  <c r="Z548" i="16" s="1"/>
  <c r="B548" i="20"/>
  <c r="B270" i="20"/>
  <c r="B588" i="20"/>
  <c r="B834" i="20"/>
  <c r="B596" i="20"/>
  <c r="B331" i="20"/>
  <c r="B371" i="20"/>
  <c r="B261" i="20"/>
  <c r="B420" i="20"/>
  <c r="B524" i="20"/>
  <c r="B572" i="20"/>
  <c r="B593" i="20"/>
  <c r="B755" i="20"/>
  <c r="B802" i="20"/>
  <c r="B444" i="20"/>
  <c r="B468" i="20"/>
  <c r="B540" i="20"/>
  <c r="B686" i="20"/>
  <c r="B778" i="20"/>
  <c r="B564" i="20"/>
  <c r="B649" i="20"/>
  <c r="B643" i="20"/>
  <c r="B606" i="20"/>
  <c r="B850" i="20"/>
  <c r="B403" i="20"/>
  <c r="B192" i="20"/>
  <c r="B625" i="20"/>
  <c r="B669" i="20"/>
  <c r="B852" i="20"/>
  <c r="B665" i="20"/>
  <c r="B884" i="20"/>
  <c r="B256" i="20"/>
  <c r="B452" i="20"/>
  <c r="B561" i="20"/>
  <c r="B994" i="20"/>
  <c r="B219" i="20"/>
  <c r="B318" i="20"/>
  <c r="B428" i="20"/>
  <c r="B460" i="20"/>
  <c r="B513" i="20"/>
  <c r="B601" i="20"/>
  <c r="B652" i="20"/>
  <c r="B750" i="20"/>
  <c r="B384" i="20"/>
  <c r="B508" i="20"/>
  <c r="B545" i="20"/>
  <c r="B569" i="20"/>
  <c r="B772" i="20"/>
  <c r="B227" i="20"/>
  <c r="B240" i="20"/>
  <c r="B355" i="20"/>
  <c r="B412" i="20"/>
  <c r="B216" i="20"/>
  <c r="B381" i="20"/>
  <c r="B436" i="20"/>
  <c r="B505" i="20"/>
  <c r="B529" i="20"/>
  <c r="B553" i="20"/>
  <c r="B577" i="20"/>
  <c r="B604" i="20"/>
  <c r="B770" i="20"/>
  <c r="B184" i="20"/>
  <c r="B213" i="20"/>
  <c r="B224" i="20"/>
  <c r="B630" i="20"/>
  <c r="B283" i="20"/>
  <c r="B282" i="20"/>
  <c r="B234" i="20"/>
  <c r="B259" i="20"/>
  <c r="B277" i="20"/>
  <c r="B198" i="20"/>
  <c r="B205" i="20"/>
  <c r="B206" i="20"/>
  <c r="B222" i="20"/>
  <c r="B229" i="20"/>
  <c r="B309" i="20"/>
  <c r="B387" i="20"/>
  <c r="B243" i="20"/>
  <c r="B250" i="20"/>
  <c r="B267" i="20"/>
  <c r="B362" i="20"/>
  <c r="B729" i="20"/>
  <c r="B182" i="20"/>
  <c r="B190" i="20"/>
  <c r="B251" i="20"/>
  <c r="B254" i="20"/>
  <c r="B288" i="20"/>
  <c r="B302" i="20"/>
  <c r="B323" i="20"/>
  <c r="B459" i="20"/>
  <c r="B689" i="20"/>
  <c r="B712" i="20"/>
  <c r="B853" i="20"/>
  <c r="B179" i="20"/>
  <c r="B214" i="20"/>
  <c r="B272" i="20"/>
  <c r="B314" i="20"/>
  <c r="B336" i="20"/>
  <c r="B341" i="20"/>
  <c r="B347" i="20"/>
  <c r="B397" i="20"/>
  <c r="B484" i="20"/>
  <c r="B622" i="20"/>
  <c r="B633" i="20"/>
  <c r="B660" i="20"/>
  <c r="B713" i="20"/>
  <c r="B744" i="20"/>
  <c r="B762" i="20"/>
  <c r="B516" i="20"/>
  <c r="B325" i="20"/>
  <c r="B435" i="20"/>
  <c r="B644" i="20"/>
  <c r="B654" i="20"/>
  <c r="B697" i="20"/>
  <c r="B704" i="20"/>
  <c r="B737" i="20"/>
  <c r="B921" i="20"/>
  <c r="B235" i="20"/>
  <c r="B238" i="20"/>
  <c r="B304" i="20"/>
  <c r="B320" i="20"/>
  <c r="B612" i="20"/>
  <c r="B745" i="20"/>
  <c r="B826" i="20"/>
  <c r="B900" i="20"/>
  <c r="B908" i="20"/>
  <c r="B354" i="20"/>
  <c r="B580" i="20"/>
  <c r="B620" i="20"/>
  <c r="B641" i="20"/>
  <c r="B753" i="20"/>
  <c r="B812" i="20"/>
  <c r="B275" i="20"/>
  <c r="B291" i="20"/>
  <c r="B379" i="20"/>
  <c r="B389" i="20"/>
  <c r="B614" i="20"/>
  <c r="B657" i="20"/>
  <c r="B721" i="20"/>
  <c r="B733" i="20"/>
  <c r="B842" i="20"/>
  <c r="B924" i="20"/>
  <c r="B980" i="20"/>
  <c r="B993" i="20"/>
  <c r="B286" i="20"/>
  <c r="B333" i="20"/>
  <c r="B339" i="20"/>
  <c r="B395" i="20"/>
  <c r="B451" i="20"/>
  <c r="B678" i="20"/>
  <c r="B717" i="20"/>
  <c r="B836" i="20"/>
  <c r="B961" i="20"/>
  <c r="B780" i="20"/>
  <c r="B521" i="20"/>
  <c r="B537" i="20"/>
  <c r="B585" i="20"/>
  <c r="B694" i="20"/>
  <c r="B702" i="20"/>
  <c r="B476" i="20"/>
  <c r="B532" i="20"/>
  <c r="B556" i="20"/>
  <c r="B617" i="20"/>
  <c r="B670" i="20"/>
  <c r="B705" i="20"/>
  <c r="B376" i="20"/>
  <c r="B609" i="20"/>
  <c r="B710" i="20"/>
  <c r="B764" i="20"/>
  <c r="B796" i="20"/>
  <c r="B810" i="20"/>
  <c r="B531" i="20"/>
  <c r="B555" i="20"/>
  <c r="B378" i="20"/>
  <c r="B817" i="20"/>
  <c r="B370" i="20"/>
  <c r="B475" i="20"/>
  <c r="B199" i="20"/>
  <c r="B226" i="20"/>
  <c r="B411" i="20"/>
  <c r="B440" i="20"/>
  <c r="B501" i="20"/>
  <c r="B600" i="20"/>
  <c r="B223" i="20"/>
  <c r="B375" i="20"/>
  <c r="B380" i="20"/>
  <c r="B523" i="20"/>
  <c r="B488" i="20"/>
  <c r="B186" i="20"/>
  <c r="B467" i="20"/>
  <c r="B496" i="20"/>
  <c r="B563" i="20"/>
  <c r="B592" i="20"/>
  <c r="B215" i="20"/>
  <c r="B202" i="20"/>
  <c r="B183" i="20"/>
  <c r="B218" i="20"/>
  <c r="B367" i="20"/>
  <c r="B372" i="20"/>
  <c r="B448" i="20"/>
  <c r="B825" i="20"/>
  <c r="B352" i="20"/>
  <c r="B443" i="20"/>
  <c r="B481" i="20"/>
  <c r="B525" i="20"/>
  <c r="B539" i="20"/>
  <c r="B220" i="20"/>
  <c r="B225" i="20"/>
  <c r="B257" i="20"/>
  <c r="B312" i="20"/>
  <c r="B421" i="20"/>
  <c r="B607" i="20"/>
  <c r="B656" i="20"/>
  <c r="B203" i="20"/>
  <c r="B212" i="20"/>
  <c r="B217" i="20"/>
  <c r="B232" i="20"/>
  <c r="B248" i="20"/>
  <c r="B264" i="20"/>
  <c r="B280" i="20"/>
  <c r="B296" i="20"/>
  <c r="B306" i="20"/>
  <c r="B319" i="20"/>
  <c r="B326" i="20"/>
  <c r="B343" i="20"/>
  <c r="B399" i="20"/>
  <c r="B406" i="20"/>
  <c r="B416" i="20"/>
  <c r="B427" i="20"/>
  <c r="B536" i="20"/>
  <c r="B568" i="20"/>
  <c r="B700" i="20"/>
  <c r="B711" i="20"/>
  <c r="B922" i="20"/>
  <c r="B926" i="20"/>
  <c r="B931" i="20"/>
  <c r="B996" i="20"/>
  <c r="B191" i="20"/>
  <c r="B194" i="20"/>
  <c r="B322" i="20"/>
  <c r="B346" i="20"/>
  <c r="B383" i="20"/>
  <c r="B477" i="20"/>
  <c r="B611" i="20"/>
  <c r="B813" i="20"/>
  <c r="B228" i="20"/>
  <c r="B305" i="20"/>
  <c r="B391" i="20"/>
  <c r="B402" i="20"/>
  <c r="B414" i="20"/>
  <c r="B425" i="20"/>
  <c r="B464" i="20"/>
  <c r="B544" i="20"/>
  <c r="B602" i="20"/>
  <c r="B655" i="20"/>
  <c r="B659" i="20"/>
  <c r="B661" i="20"/>
  <c r="B809" i="20"/>
  <c r="B241" i="20"/>
  <c r="B377" i="20"/>
  <c r="B456" i="20"/>
  <c r="B478" i="20"/>
  <c r="B483" i="20"/>
  <c r="B549" i="20"/>
  <c r="B945" i="20"/>
  <c r="B195" i="20"/>
  <c r="B204" i="20"/>
  <c r="B209" i="20"/>
  <c r="B242" i="20"/>
  <c r="B258" i="20"/>
  <c r="B274" i="20"/>
  <c r="B290" i="20"/>
  <c r="B327" i="20"/>
  <c r="B360" i="20"/>
  <c r="B385" i="20"/>
  <c r="B396" i="20"/>
  <c r="B417" i="20"/>
  <c r="B470" i="20"/>
  <c r="B493" i="20"/>
  <c r="B509" i="20"/>
  <c r="B527" i="20"/>
  <c r="B541" i="20"/>
  <c r="B573" i="20"/>
  <c r="B587" i="20"/>
  <c r="B613" i="20"/>
  <c r="B638" i="20"/>
  <c r="B693" i="20"/>
  <c r="B701" i="20"/>
  <c r="B757" i="20"/>
  <c r="B769" i="20"/>
  <c r="B912" i="20"/>
  <c r="B918" i="20"/>
  <c r="B990" i="20"/>
  <c r="B308" i="20"/>
  <c r="B507" i="20"/>
  <c r="B571" i="20"/>
  <c r="B615" i="20"/>
  <c r="B703" i="20"/>
  <c r="B718" i="20"/>
  <c r="B244" i="20"/>
  <c r="B260" i="20"/>
  <c r="B276" i="20"/>
  <c r="B292" i="20"/>
  <c r="B329" i="20"/>
  <c r="B365" i="20"/>
  <c r="B512" i="20"/>
  <c r="B576" i="20"/>
  <c r="B595" i="20"/>
  <c r="B706" i="20"/>
  <c r="B939" i="20"/>
  <c r="B211" i="20"/>
  <c r="B289" i="20"/>
  <c r="B388" i="20"/>
  <c r="B398" i="20"/>
  <c r="B517" i="20"/>
  <c r="B535" i="20"/>
  <c r="B603" i="20"/>
  <c r="B645" i="20"/>
  <c r="B791" i="20"/>
  <c r="B187" i="20"/>
  <c r="B196" i="20"/>
  <c r="B201" i="20"/>
  <c r="B303" i="20"/>
  <c r="B316" i="20"/>
  <c r="B324" i="20"/>
  <c r="B334" i="20"/>
  <c r="B386" i="20"/>
  <c r="B432" i="20"/>
  <c r="B528" i="20"/>
  <c r="B559" i="20"/>
  <c r="B597" i="20"/>
  <c r="B618" i="20"/>
  <c r="B628" i="20"/>
  <c r="B761" i="20"/>
  <c r="B819" i="20"/>
  <c r="B827" i="20"/>
  <c r="B865" i="20"/>
  <c r="B913" i="20"/>
  <c r="B795" i="20"/>
  <c r="B273" i="20"/>
  <c r="B330" i="20"/>
  <c r="B359" i="20"/>
  <c r="B567" i="20"/>
  <c r="B581" i="20"/>
  <c r="B188" i="20"/>
  <c r="B193" i="20"/>
  <c r="B207" i="20"/>
  <c r="B210" i="20"/>
  <c r="B239" i="20"/>
  <c r="B255" i="20"/>
  <c r="B271" i="20"/>
  <c r="B287" i="20"/>
  <c r="B335" i="20"/>
  <c r="B348" i="20"/>
  <c r="B357" i="20"/>
  <c r="B393" i="20"/>
  <c r="B419" i="20"/>
  <c r="B462" i="20"/>
  <c r="B499" i="20"/>
  <c r="B515" i="20"/>
  <c r="B533" i="20"/>
  <c r="B547" i="20"/>
  <c r="B560" i="20"/>
  <c r="B565" i="20"/>
  <c r="B579" i="20"/>
  <c r="B605" i="20"/>
  <c r="B619" i="20"/>
  <c r="B632" i="20"/>
  <c r="B648" i="20"/>
  <c r="B664" i="20"/>
  <c r="B682" i="20"/>
  <c r="B698" i="20"/>
  <c r="B754" i="20"/>
  <c r="B779" i="20"/>
  <c r="B820" i="20"/>
  <c r="B828" i="20"/>
  <c r="B899" i="20"/>
  <c r="B904" i="20"/>
  <c r="B180" i="20"/>
  <c r="B185" i="20"/>
  <c r="B300" i="20"/>
  <c r="B321" i="20"/>
  <c r="B332" i="20"/>
  <c r="B364" i="20"/>
  <c r="B382" i="20"/>
  <c r="B394" i="20"/>
  <c r="B413" i="20"/>
  <c r="B429" i="20"/>
  <c r="B433" i="20"/>
  <c r="B485" i="20"/>
  <c r="B504" i="20"/>
  <c r="B520" i="20"/>
  <c r="B552" i="20"/>
  <c r="B584" i="20"/>
  <c r="B589" i="20"/>
  <c r="B610" i="20"/>
  <c r="B629" i="20"/>
  <c r="B635" i="20"/>
  <c r="B667" i="20"/>
  <c r="B726" i="20"/>
  <c r="B798" i="20"/>
  <c r="B801" i="20"/>
  <c r="B804" i="20"/>
  <c r="B894" i="20"/>
  <c r="B337" i="20"/>
  <c r="B401" i="20"/>
  <c r="B422" i="20"/>
  <c r="B437" i="20"/>
  <c r="B441" i="20"/>
  <c r="B653" i="20"/>
  <c r="B674" i="20"/>
  <c r="B746" i="20"/>
  <c r="B751" i="20"/>
  <c r="B787" i="20"/>
  <c r="B822" i="20"/>
  <c r="B905" i="20"/>
  <c r="B342" i="20"/>
  <c r="B345" i="20"/>
  <c r="B404" i="20"/>
  <c r="B430" i="20"/>
  <c r="B445" i="20"/>
  <c r="B449" i="20"/>
  <c r="B498" i="20"/>
  <c r="B502" i="20"/>
  <c r="B608" i="20"/>
  <c r="B616" i="20"/>
  <c r="B647" i="20"/>
  <c r="B650" i="20"/>
  <c r="B662" i="20"/>
  <c r="B679" i="20"/>
  <c r="B690" i="20"/>
  <c r="B716" i="20"/>
  <c r="B719" i="20"/>
  <c r="B771" i="20"/>
  <c r="B775" i="20"/>
  <c r="B788" i="20"/>
  <c r="B792" i="20"/>
  <c r="B835" i="20"/>
  <c r="B891" i="20"/>
  <c r="B977" i="20"/>
  <c r="B230" i="20"/>
  <c r="B233" i="20"/>
  <c r="B246" i="20"/>
  <c r="B249" i="20"/>
  <c r="B262" i="20"/>
  <c r="B265" i="20"/>
  <c r="B278" i="20"/>
  <c r="B281" i="20"/>
  <c r="B294" i="20"/>
  <c r="B297" i="20"/>
  <c r="B310" i="20"/>
  <c r="B313" i="20"/>
  <c r="B340" i="20"/>
  <c r="B353" i="20"/>
  <c r="B408" i="20"/>
  <c r="B438" i="20"/>
  <c r="B453" i="20"/>
  <c r="B457" i="20"/>
  <c r="B472" i="20"/>
  <c r="B490" i="20"/>
  <c r="B494" i="20"/>
  <c r="B594" i="20"/>
  <c r="B623" i="20"/>
  <c r="B636" i="20"/>
  <c r="B651" i="20"/>
  <c r="B671" i="20"/>
  <c r="B675" i="20"/>
  <c r="B747" i="20"/>
  <c r="B831" i="20"/>
  <c r="B847" i="20"/>
  <c r="B938" i="20"/>
  <c r="B942" i="20"/>
  <c r="B299" i="20"/>
  <c r="B315" i="20"/>
  <c r="B358" i="20"/>
  <c r="B361" i="20"/>
  <c r="B405" i="20"/>
  <c r="B446" i="20"/>
  <c r="B461" i="20"/>
  <c r="B465" i="20"/>
  <c r="B486" i="20"/>
  <c r="B557" i="20"/>
  <c r="B570" i="20"/>
  <c r="B578" i="20"/>
  <c r="B586" i="20"/>
  <c r="B624" i="20"/>
  <c r="B640" i="20"/>
  <c r="B695" i="20"/>
  <c r="B741" i="20"/>
  <c r="B756" i="20"/>
  <c r="B763" i="20"/>
  <c r="B843" i="20"/>
  <c r="B854" i="20"/>
  <c r="B878" i="20"/>
  <c r="B231" i="20"/>
  <c r="B247" i="20"/>
  <c r="B263" i="20"/>
  <c r="B279" i="20"/>
  <c r="B295" i="20"/>
  <c r="B311" i="20"/>
  <c r="B351" i="20"/>
  <c r="B356" i="20"/>
  <c r="B369" i="20"/>
  <c r="B409" i="20"/>
  <c r="B424" i="20"/>
  <c r="B454" i="20"/>
  <c r="B469" i="20"/>
  <c r="B473" i="20"/>
  <c r="B480" i="20"/>
  <c r="B491" i="20"/>
  <c r="B506" i="20"/>
  <c r="B514" i="20"/>
  <c r="B522" i="20"/>
  <c r="B530" i="20"/>
  <c r="B538" i="20"/>
  <c r="B546" i="20"/>
  <c r="B554" i="20"/>
  <c r="B562" i="20"/>
  <c r="B621" i="20"/>
  <c r="B666" i="20"/>
  <c r="B672" i="20"/>
  <c r="B677" i="20"/>
  <c r="B688" i="20"/>
  <c r="B749" i="20"/>
  <c r="B776" i="20"/>
  <c r="B785" i="20"/>
  <c r="B864" i="20"/>
  <c r="B934" i="20"/>
  <c r="B683" i="20"/>
  <c r="B692" i="20"/>
  <c r="B738" i="20"/>
  <c r="B773" i="20"/>
  <c r="B777" i="20"/>
  <c r="B814" i="20"/>
  <c r="B873" i="20"/>
  <c r="B895" i="20"/>
  <c r="B914" i="20"/>
  <c r="B923" i="20"/>
  <c r="B935" i="20"/>
  <c r="B959" i="20"/>
  <c r="B987" i="20"/>
  <c r="B626" i="20"/>
  <c r="B631" i="20"/>
  <c r="B658" i="20"/>
  <c r="B680" i="20"/>
  <c r="B708" i="20"/>
  <c r="B730" i="20"/>
  <c r="B742" i="20"/>
  <c r="B752" i="20"/>
  <c r="B766" i="20"/>
  <c r="B789" i="20"/>
  <c r="B793" i="20"/>
  <c r="B883" i="20"/>
  <c r="B915" i="20"/>
  <c r="B947" i="20"/>
  <c r="B951" i="20"/>
  <c r="B956" i="20"/>
  <c r="B969" i="20"/>
  <c r="B634" i="20"/>
  <c r="B639" i="20"/>
  <c r="B687" i="20"/>
  <c r="B696" i="20"/>
  <c r="B709" i="20"/>
  <c r="B739" i="20"/>
  <c r="B782" i="20"/>
  <c r="B797" i="20"/>
  <c r="B823" i="20"/>
  <c r="B857" i="20"/>
  <c r="B874" i="20"/>
  <c r="B407" i="20"/>
  <c r="B410" i="20"/>
  <c r="B415" i="20"/>
  <c r="B418" i="20"/>
  <c r="B423" i="20"/>
  <c r="B426" i="20"/>
  <c r="B431" i="20"/>
  <c r="B434" i="20"/>
  <c r="B439" i="20"/>
  <c r="B442" i="20"/>
  <c r="B447" i="20"/>
  <c r="B450" i="20"/>
  <c r="B455" i="20"/>
  <c r="B458" i="20"/>
  <c r="B463" i="20"/>
  <c r="B466" i="20"/>
  <c r="B471" i="20"/>
  <c r="B474" i="20"/>
  <c r="B482" i="20"/>
  <c r="B492" i="20"/>
  <c r="B500" i="20"/>
  <c r="B637" i="20"/>
  <c r="B642" i="20"/>
  <c r="B663" i="20"/>
  <c r="B734" i="20"/>
  <c r="B759" i="20"/>
  <c r="B803" i="20"/>
  <c r="B807" i="20"/>
  <c r="B811" i="20"/>
  <c r="B846" i="20"/>
  <c r="B875" i="20"/>
  <c r="B948" i="20"/>
  <c r="B952" i="20"/>
  <c r="B724" i="20"/>
  <c r="B767" i="20"/>
  <c r="B783" i="20"/>
  <c r="B829" i="20"/>
  <c r="B870" i="20"/>
  <c r="B887" i="20"/>
  <c r="B892" i="20"/>
  <c r="B910" i="20"/>
  <c r="B932" i="20"/>
  <c r="B991" i="20"/>
  <c r="B714" i="20"/>
  <c r="B727" i="20"/>
  <c r="B732" i="20"/>
  <c r="B758" i="20"/>
  <c r="B774" i="20"/>
  <c r="B790" i="20"/>
  <c r="B799" i="20"/>
  <c r="B805" i="20"/>
  <c r="B808" i="20"/>
  <c r="B840" i="20"/>
  <c r="B844" i="20"/>
  <c r="B858" i="20"/>
  <c r="B862" i="20"/>
  <c r="B867" i="20"/>
  <c r="B907" i="20"/>
  <c r="B928" i="20"/>
  <c r="B966" i="20"/>
  <c r="B970" i="20"/>
  <c r="B983" i="20"/>
  <c r="B988" i="20"/>
  <c r="B998" i="20"/>
  <c r="B722" i="20"/>
  <c r="B735" i="20"/>
  <c r="B740" i="20"/>
  <c r="B815" i="20"/>
  <c r="B821" i="20"/>
  <c r="B830" i="20"/>
  <c r="B841" i="20"/>
  <c r="B859" i="20"/>
  <c r="B871" i="20"/>
  <c r="B888" i="20"/>
  <c r="B902" i="20"/>
  <c r="B911" i="20"/>
  <c r="B937" i="20"/>
  <c r="B958" i="20"/>
  <c r="B962" i="20"/>
  <c r="B676" i="20"/>
  <c r="B684" i="20"/>
  <c r="B743" i="20"/>
  <c r="B748" i="20"/>
  <c r="B765" i="20"/>
  <c r="B768" i="20"/>
  <c r="B781" i="20"/>
  <c r="B784" i="20"/>
  <c r="B806" i="20"/>
  <c r="B837" i="20"/>
  <c r="B868" i="20"/>
  <c r="B889" i="20"/>
  <c r="B898" i="20"/>
  <c r="B929" i="20"/>
  <c r="B955" i="20"/>
  <c r="B963" i="20"/>
  <c r="B976" i="20"/>
  <c r="B984" i="20"/>
  <c r="B855" i="20"/>
  <c r="B872" i="20"/>
  <c r="B882" i="20"/>
  <c r="B919" i="20"/>
  <c r="B936" i="20"/>
  <c r="B946" i="20"/>
  <c r="B960" i="20"/>
  <c r="B967" i="20"/>
  <c r="B971" i="20"/>
  <c r="B974" i="20"/>
  <c r="B992" i="20"/>
  <c r="B838" i="20"/>
  <c r="B879" i="20"/>
  <c r="B896" i="20"/>
  <c r="B906" i="20"/>
  <c r="B943" i="20"/>
  <c r="B978" i="20"/>
  <c r="B832" i="20"/>
  <c r="B856" i="20"/>
  <c r="B866" i="20"/>
  <c r="B886" i="20"/>
  <c r="B903" i="20"/>
  <c r="B920" i="20"/>
  <c r="B930" i="20"/>
  <c r="B950" i="20"/>
  <c r="B968" i="20"/>
  <c r="B975" i="20"/>
  <c r="B979" i="20"/>
  <c r="B982" i="20"/>
  <c r="B995" i="20"/>
  <c r="B999" i="20"/>
  <c r="B833" i="20"/>
  <c r="B848" i="20"/>
  <c r="B851" i="20"/>
  <c r="B863" i="20"/>
  <c r="B880" i="20"/>
  <c r="B890" i="20"/>
  <c r="B927" i="20"/>
  <c r="B944" i="20"/>
  <c r="B954" i="20"/>
  <c r="B986" i="20"/>
  <c r="B997" i="20"/>
  <c r="B1000" i="20"/>
  <c r="F760" i="19"/>
  <c r="G760" i="19"/>
  <c r="G412" i="19"/>
  <c r="G553" i="19"/>
  <c r="G540" i="19"/>
  <c r="E547" i="19"/>
  <c r="G791" i="19"/>
  <c r="E500" i="19"/>
  <c r="F500" i="19"/>
  <c r="G842" i="19"/>
  <c r="G678" i="19"/>
  <c r="F678" i="19"/>
  <c r="F869" i="19"/>
  <c r="G869" i="19"/>
  <c r="F612" i="19"/>
  <c r="E612" i="19"/>
  <c r="G612" i="19"/>
  <c r="G970" i="19"/>
  <c r="F970" i="19"/>
  <c r="E970" i="19"/>
  <c r="G563" i="19"/>
  <c r="E563" i="19"/>
  <c r="G515" i="19"/>
  <c r="F515" i="19"/>
  <c r="E515" i="19"/>
  <c r="F650" i="19"/>
  <c r="G650" i="19"/>
  <c r="G500" i="19"/>
  <c r="G305" i="19"/>
  <c r="F566" i="19"/>
  <c r="E603" i="19"/>
  <c r="F412" i="19"/>
  <c r="F818" i="19"/>
  <c r="E213" i="19"/>
  <c r="F345" i="19"/>
  <c r="F462" i="19"/>
  <c r="F510" i="19"/>
  <c r="G213" i="19"/>
  <c r="G345" i="19"/>
  <c r="G731" i="19"/>
  <c r="G807" i="19"/>
  <c r="G901" i="19"/>
  <c r="F297" i="19"/>
  <c r="G297" i="19"/>
  <c r="E297" i="19"/>
  <c r="E481" i="19"/>
  <c r="G481" i="19"/>
  <c r="F481" i="19"/>
  <c r="G572" i="19"/>
  <c r="F572" i="19"/>
  <c r="G619" i="19"/>
  <c r="F619" i="19"/>
  <c r="E619" i="19"/>
  <c r="F705" i="19"/>
  <c r="G705" i="19"/>
  <c r="G548" i="19"/>
  <c r="F548" i="19"/>
  <c r="E548" i="19"/>
  <c r="G946" i="19"/>
  <c r="E946" i="19"/>
  <c r="F946" i="19"/>
  <c r="F327" i="19"/>
  <c r="G327" i="19"/>
  <c r="E596" i="19"/>
  <c r="G596" i="19"/>
  <c r="F596" i="19"/>
  <c r="F713" i="19"/>
  <c r="G713" i="19"/>
  <c r="F269" i="19"/>
  <c r="G269" i="19"/>
  <c r="G770" i="19"/>
  <c r="E770" i="19"/>
  <c r="F996" i="19"/>
  <c r="E996" i="19"/>
  <c r="G556" i="19"/>
  <c r="E556" i="19"/>
  <c r="G656" i="19"/>
  <c r="F656" i="19"/>
  <c r="E656" i="19"/>
  <c r="F189" i="19"/>
  <c r="G189" i="19"/>
  <c r="E189" i="19"/>
  <c r="G531" i="19"/>
  <c r="E531" i="19"/>
  <c r="F531" i="19"/>
  <c r="E545" i="19"/>
  <c r="G545" i="19"/>
  <c r="F545" i="19"/>
  <c r="F681" i="19"/>
  <c r="G681" i="19"/>
  <c r="F229" i="19"/>
  <c r="G229" i="19"/>
  <c r="E229" i="19"/>
  <c r="G393" i="19"/>
  <c r="E393" i="19"/>
  <c r="F393" i="19"/>
  <c r="G564" i="19"/>
  <c r="F564" i="19"/>
  <c r="E564" i="19"/>
  <c r="E585" i="19"/>
  <c r="G585" i="19"/>
  <c r="E601" i="19"/>
  <c r="G601" i="19"/>
  <c r="F601" i="19"/>
  <c r="E625" i="19"/>
  <c r="G625" i="19"/>
  <c r="F689" i="19"/>
  <c r="G689" i="19"/>
  <c r="E555" i="19"/>
  <c r="G729" i="19"/>
  <c r="E457" i="19"/>
  <c r="F555" i="19"/>
  <c r="G609" i="19"/>
  <c r="F648" i="19"/>
  <c r="G675" i="19"/>
  <c r="E683" i="19"/>
  <c r="G694" i="19"/>
  <c r="F699" i="19"/>
  <c r="F757" i="19"/>
  <c r="G815" i="19"/>
  <c r="F930" i="19"/>
  <c r="F959" i="19"/>
  <c r="E648" i="19"/>
  <c r="E675" i="19"/>
  <c r="F694" i="19"/>
  <c r="E699" i="19"/>
  <c r="E707" i="19"/>
  <c r="G877" i="19"/>
  <c r="E959" i="19"/>
  <c r="G300" i="19"/>
  <c r="E322" i="19"/>
  <c r="F353" i="19"/>
  <c r="F457" i="19"/>
  <c r="G524" i="19"/>
  <c r="G628" i="19"/>
  <c r="G757" i="19"/>
  <c r="G444" i="19"/>
  <c r="F609" i="19"/>
  <c r="F638" i="19"/>
  <c r="G893" i="19"/>
  <c r="F305" i="19"/>
  <c r="E462" i="19"/>
  <c r="G534" i="19"/>
  <c r="F540" i="19"/>
  <c r="F826" i="19"/>
  <c r="G885" i="19"/>
  <c r="G909" i="19"/>
  <c r="F324" i="19"/>
  <c r="F526" i="19"/>
  <c r="F670" i="19"/>
  <c r="G673" i="19"/>
  <c r="G784" i="19"/>
  <c r="G837" i="19"/>
  <c r="G670" i="19"/>
  <c r="F181" i="19"/>
  <c r="E181" i="19"/>
  <c r="G181" i="19"/>
  <c r="F221" i="19"/>
  <c r="G221" i="19"/>
  <c r="E221" i="19"/>
  <c r="F277" i="19"/>
  <c r="G277" i="19"/>
  <c r="E277" i="19"/>
  <c r="G394" i="19"/>
  <c r="E394" i="19"/>
  <c r="G595" i="19"/>
  <c r="F595" i="19"/>
  <c r="E595" i="19"/>
  <c r="G182" i="19"/>
  <c r="E182" i="19"/>
  <c r="G198" i="19"/>
  <c r="E198" i="19"/>
  <c r="G222" i="19"/>
  <c r="E222" i="19"/>
  <c r="G314" i="19"/>
  <c r="E314" i="19"/>
  <c r="G370" i="19"/>
  <c r="E370" i="19"/>
  <c r="G426" i="19"/>
  <c r="E426" i="19"/>
  <c r="G523" i="19"/>
  <c r="E523" i="19"/>
  <c r="F523" i="19"/>
  <c r="G378" i="19"/>
  <c r="E378" i="19"/>
  <c r="G401" i="19"/>
  <c r="F401" i="19"/>
  <c r="E401" i="19"/>
  <c r="F253" i="19"/>
  <c r="G253" i="19"/>
  <c r="E253" i="19"/>
  <c r="F285" i="19"/>
  <c r="G285" i="19"/>
  <c r="E285" i="19"/>
  <c r="E467" i="19"/>
  <c r="G467" i="19"/>
  <c r="F467" i="19"/>
  <c r="G230" i="19"/>
  <c r="E230" i="19"/>
  <c r="G354" i="19"/>
  <c r="E354" i="19"/>
  <c r="E513" i="19"/>
  <c r="F513" i="19"/>
  <c r="G513" i="19"/>
  <c r="F179" i="19"/>
  <c r="G179" i="19"/>
  <c r="F195" i="19"/>
  <c r="G195" i="19"/>
  <c r="F337" i="19"/>
  <c r="E337" i="19"/>
  <c r="G337" i="19"/>
  <c r="F187" i="19"/>
  <c r="G187" i="19"/>
  <c r="G214" i="19"/>
  <c r="E214" i="19"/>
  <c r="G330" i="19"/>
  <c r="E330" i="19"/>
  <c r="G338" i="19"/>
  <c r="E338" i="19"/>
  <c r="F197" i="19"/>
  <c r="E197" i="19"/>
  <c r="G329" i="19"/>
  <c r="F329" i="19"/>
  <c r="F508" i="19"/>
  <c r="E508" i="19"/>
  <c r="G587" i="19"/>
  <c r="F587" i="19"/>
  <c r="E587" i="19"/>
  <c r="G919" i="19"/>
  <c r="F919" i="19"/>
  <c r="E919" i="19"/>
  <c r="E356" i="19"/>
  <c r="G356" i="19"/>
  <c r="F356" i="19"/>
  <c r="E386" i="19"/>
  <c r="G516" i="19"/>
  <c r="F516" i="19"/>
  <c r="E630" i="19"/>
  <c r="G630" i="19"/>
  <c r="F630" i="19"/>
  <c r="E313" i="19"/>
  <c r="F321" i="19"/>
  <c r="E569" i="19"/>
  <c r="F569" i="19"/>
  <c r="G588" i="19"/>
  <c r="F588" i="19"/>
  <c r="E588" i="19"/>
  <c r="E190" i="19"/>
  <c r="G205" i="19"/>
  <c r="F313" i="19"/>
  <c r="G321" i="19"/>
  <c r="E362" i="19"/>
  <c r="E409" i="19"/>
  <c r="G442" i="19"/>
  <c r="E442" i="19"/>
  <c r="E458" i="19"/>
  <c r="G458" i="19"/>
  <c r="F458" i="19"/>
  <c r="E505" i="19"/>
  <c r="G505" i="19"/>
  <c r="F505" i="19"/>
  <c r="G569" i="19"/>
  <c r="G579" i="19"/>
  <c r="F579" i="19"/>
  <c r="E617" i="19"/>
  <c r="G617" i="19"/>
  <c r="G620" i="19"/>
  <c r="F620" i="19"/>
  <c r="E620" i="19"/>
  <c r="G643" i="19"/>
  <c r="E643" i="19"/>
  <c r="F721" i="19"/>
  <c r="G721" i="19"/>
  <c r="F759" i="19"/>
  <c r="G759" i="19"/>
  <c r="G951" i="19"/>
  <c r="F951" i="19"/>
  <c r="E951" i="19"/>
  <c r="E577" i="19"/>
  <c r="G577" i="19"/>
  <c r="F577" i="19"/>
  <c r="G197" i="19"/>
  <c r="E205" i="19"/>
  <c r="G237" i="19"/>
  <c r="E561" i="19"/>
  <c r="F561" i="19"/>
  <c r="F956" i="19"/>
  <c r="G956" i="19"/>
  <c r="F261" i="19"/>
  <c r="E261" i="19"/>
  <c r="E269" i="19"/>
  <c r="E385" i="19"/>
  <c r="F409" i="19"/>
  <c r="F468" i="19"/>
  <c r="G468" i="19"/>
  <c r="E468" i="19"/>
  <c r="E484" i="19"/>
  <c r="E489" i="19"/>
  <c r="G489" i="19"/>
  <c r="G492" i="19"/>
  <c r="F492" i="19"/>
  <c r="E492" i="19"/>
  <c r="G532" i="19"/>
  <c r="F532" i="19"/>
  <c r="E537" i="19"/>
  <c r="F537" i="19"/>
  <c r="G537" i="19"/>
  <c r="E579" i="19"/>
  <c r="E590" i="19"/>
  <c r="F590" i="19"/>
  <c r="G590" i="19"/>
  <c r="F617" i="19"/>
  <c r="G627" i="19"/>
  <c r="F627" i="19"/>
  <c r="F643" i="19"/>
  <c r="F697" i="19"/>
  <c r="G697" i="19"/>
  <c r="F715" i="19"/>
  <c r="E715" i="19"/>
  <c r="G715" i="19"/>
  <c r="E497" i="19"/>
  <c r="F497" i="19"/>
  <c r="E516" i="19"/>
  <c r="G847" i="19"/>
  <c r="F847" i="19"/>
  <c r="E847" i="19"/>
  <c r="F972" i="19"/>
  <c r="G972" i="19"/>
  <c r="F319" i="19"/>
  <c r="G319" i="19"/>
  <c r="F385" i="19"/>
  <c r="G410" i="19"/>
  <c r="E410" i="19"/>
  <c r="F455" i="19"/>
  <c r="G455" i="19"/>
  <c r="F476" i="19"/>
  <c r="G476" i="19"/>
  <c r="E476" i="19"/>
  <c r="G484" i="19"/>
  <c r="F489" i="19"/>
  <c r="G499" i="19"/>
  <c r="F499" i="19"/>
  <c r="E502" i="19"/>
  <c r="G502" i="19"/>
  <c r="F502" i="19"/>
  <c r="F524" i="19"/>
  <c r="E529" i="19"/>
  <c r="F529" i="19"/>
  <c r="E532" i="19"/>
  <c r="E627" i="19"/>
  <c r="F876" i="19"/>
  <c r="G876" i="19"/>
  <c r="E876" i="19"/>
  <c r="F964" i="19"/>
  <c r="E964" i="19"/>
  <c r="G301" i="19"/>
  <c r="F301" i="19"/>
  <c r="E598" i="19"/>
  <c r="G598" i="19"/>
  <c r="F884" i="19"/>
  <c r="E884" i="19"/>
  <c r="E237" i="19"/>
  <c r="E329" i="19"/>
  <c r="G983" i="19"/>
  <c r="F983" i="19"/>
  <c r="E983" i="19"/>
  <c r="G293" i="19"/>
  <c r="G636" i="19"/>
  <c r="F636" i="19"/>
  <c r="E636" i="19"/>
  <c r="E206" i="19"/>
  <c r="F300" i="19"/>
  <c r="E306" i="19"/>
  <c r="G311" i="19"/>
  <c r="F377" i="19"/>
  <c r="F444" i="19"/>
  <c r="G507" i="19"/>
  <c r="F507" i="19"/>
  <c r="G539" i="19"/>
  <c r="E539" i="19"/>
  <c r="E580" i="19"/>
  <c r="G580" i="19"/>
  <c r="F580" i="19"/>
  <c r="E654" i="19"/>
  <c r="G654" i="19"/>
  <c r="F654" i="19"/>
  <c r="G954" i="19"/>
  <c r="F954" i="19"/>
  <c r="E954" i="19"/>
  <c r="F245" i="19"/>
  <c r="G245" i="19"/>
  <c r="G434" i="19"/>
  <c r="E434" i="19"/>
  <c r="E245" i="19"/>
  <c r="E346" i="19"/>
  <c r="E402" i="19"/>
  <c r="E418" i="19"/>
  <c r="G441" i="19"/>
  <c r="F441" i="19"/>
  <c r="E473" i="19"/>
  <c r="G473" i="19"/>
  <c r="F473" i="19"/>
  <c r="G483" i="19"/>
  <c r="F483" i="19"/>
  <c r="E483" i="19"/>
  <c r="E491" i="19"/>
  <c r="G508" i="19"/>
  <c r="E641" i="19"/>
  <c r="F641" i="19"/>
  <c r="G641" i="19"/>
  <c r="F860" i="19"/>
  <c r="G860" i="19"/>
  <c r="E860" i="19"/>
  <c r="G967" i="19"/>
  <c r="E967" i="19"/>
  <c r="F491" i="19"/>
  <c r="E853" i="19"/>
  <c r="F853" i="19"/>
  <c r="G853" i="19"/>
  <c r="F967" i="19"/>
  <c r="F369" i="19"/>
  <c r="E369" i="19"/>
  <c r="G377" i="19"/>
  <c r="G450" i="19"/>
  <c r="E450" i="19"/>
  <c r="E465" i="19"/>
  <c r="G465" i="19"/>
  <c r="F465" i="19"/>
  <c r="E507" i="19"/>
  <c r="E521" i="19"/>
  <c r="G521" i="19"/>
  <c r="F521" i="19"/>
  <c r="F539" i="19"/>
  <c r="G611" i="19"/>
  <c r="F611" i="19"/>
  <c r="E611" i="19"/>
  <c r="E733" i="19"/>
  <c r="G733" i="19"/>
  <c r="F733" i="19"/>
  <c r="F839" i="19"/>
  <c r="G839" i="19"/>
  <c r="E839" i="19"/>
  <c r="G635" i="19"/>
  <c r="F635" i="19"/>
  <c r="G644" i="19"/>
  <c r="F644" i="19"/>
  <c r="G696" i="19"/>
  <c r="F696" i="19"/>
  <c r="E696" i="19"/>
  <c r="E810" i="19"/>
  <c r="G810" i="19"/>
  <c r="G935" i="19"/>
  <c r="E935" i="19"/>
  <c r="G962" i="19"/>
  <c r="F962" i="19"/>
  <c r="E962" i="19"/>
  <c r="G991" i="19"/>
  <c r="F991" i="19"/>
  <c r="E991" i="19"/>
  <c r="F553" i="19"/>
  <c r="E572" i="19"/>
  <c r="E635" i="19"/>
  <c r="E644" i="19"/>
  <c r="F665" i="19"/>
  <c r="G665" i="19"/>
  <c r="F691" i="19"/>
  <c r="G691" i="19"/>
  <c r="G701" i="19"/>
  <c r="F701" i="19"/>
  <c r="E701" i="19"/>
  <c r="G741" i="19"/>
  <c r="E741" i="19"/>
  <c r="G746" i="19"/>
  <c r="F746" i="19"/>
  <c r="E746" i="19"/>
  <c r="G789" i="19"/>
  <c r="E789" i="19"/>
  <c r="E794" i="19"/>
  <c r="G794" i="19"/>
  <c r="F794" i="19"/>
  <c r="F810" i="19"/>
  <c r="G831" i="19"/>
  <c r="F831" i="19"/>
  <c r="F852" i="19"/>
  <c r="E852" i="19"/>
  <c r="F935" i="19"/>
  <c r="G510" i="19"/>
  <c r="G526" i="19"/>
  <c r="F547" i="19"/>
  <c r="F556" i="19"/>
  <c r="F563" i="19"/>
  <c r="G566" i="19"/>
  <c r="F603" i="19"/>
  <c r="G661" i="19"/>
  <c r="F661" i="19"/>
  <c r="E661" i="19"/>
  <c r="G754" i="19"/>
  <c r="E754" i="19"/>
  <c r="E861" i="19"/>
  <c r="F861" i="19"/>
  <c r="G943" i="19"/>
  <c r="E943" i="19"/>
  <c r="G308" i="19"/>
  <c r="E353" i="19"/>
  <c r="F585" i="19"/>
  <c r="E593" i="19"/>
  <c r="G593" i="19"/>
  <c r="F593" i="19"/>
  <c r="F628" i="19"/>
  <c r="G652" i="19"/>
  <c r="E652" i="19"/>
  <c r="G688" i="19"/>
  <c r="F688" i="19"/>
  <c r="E688" i="19"/>
  <c r="G749" i="19"/>
  <c r="F749" i="19"/>
  <c r="G861" i="19"/>
  <c r="G890" i="19"/>
  <c r="E890" i="19"/>
  <c r="F943" i="19"/>
  <c r="F948" i="19"/>
  <c r="G948" i="19"/>
  <c r="E948" i="19"/>
  <c r="G975" i="19"/>
  <c r="F975" i="19"/>
  <c r="E975" i="19"/>
  <c r="F988" i="19"/>
  <c r="G988" i="19"/>
  <c r="G994" i="19"/>
  <c r="E994" i="19"/>
  <c r="G999" i="19"/>
  <c r="F999" i="19"/>
  <c r="E999" i="19"/>
  <c r="G571" i="19"/>
  <c r="E571" i="19"/>
  <c r="E574" i="19"/>
  <c r="F574" i="19"/>
  <c r="G604" i="19"/>
  <c r="F604" i="19"/>
  <c r="E633" i="19"/>
  <c r="G633" i="19"/>
  <c r="F633" i="19"/>
  <c r="E646" i="19"/>
  <c r="G646" i="19"/>
  <c r="E704" i="19"/>
  <c r="G704" i="19"/>
  <c r="G773" i="19"/>
  <c r="F773" i="19"/>
  <c r="E773" i="19"/>
  <c r="F786" i="19"/>
  <c r="G786" i="19"/>
  <c r="E802" i="19"/>
  <c r="G802" i="19"/>
  <c r="F802" i="19"/>
  <c r="F823" i="19"/>
  <c r="G823" i="19"/>
  <c r="E844" i="19"/>
  <c r="G844" i="19"/>
  <c r="F844" i="19"/>
  <c r="G927" i="19"/>
  <c r="F927" i="19"/>
  <c r="F994" i="19"/>
  <c r="G818" i="19"/>
  <c r="G826" i="19"/>
  <c r="G638" i="19"/>
  <c r="F683" i="19"/>
  <c r="G707" i="19"/>
  <c r="F625" i="19"/>
  <c r="E778" i="19"/>
  <c r="G799" i="19"/>
  <c r="E836" i="19"/>
  <c r="E842" i="19"/>
  <c r="G924" i="19"/>
  <c r="F836" i="19"/>
  <c r="F877" i="19"/>
  <c r="F885" i="19"/>
  <c r="G307" i="19"/>
  <c r="F307" i="19"/>
  <c r="E307" i="19"/>
  <c r="G355" i="19"/>
  <c r="F355" i="19"/>
  <c r="E355" i="19"/>
  <c r="G417" i="19"/>
  <c r="E417" i="19"/>
  <c r="G209" i="19"/>
  <c r="F209" i="19"/>
  <c r="E209" i="19"/>
  <c r="G226" i="19"/>
  <c r="E226" i="19"/>
  <c r="G236" i="19"/>
  <c r="F236" i="19"/>
  <c r="E236" i="19"/>
  <c r="G268" i="19"/>
  <c r="F268" i="19"/>
  <c r="E268" i="19"/>
  <c r="G331" i="19"/>
  <c r="F331" i="19"/>
  <c r="E331" i="19"/>
  <c r="G411" i="19"/>
  <c r="F411" i="19"/>
  <c r="E411" i="19"/>
  <c r="F461" i="19"/>
  <c r="G461" i="19"/>
  <c r="E461" i="19"/>
  <c r="G687" i="19"/>
  <c r="F687" i="19"/>
  <c r="E687" i="19"/>
  <c r="G180" i="19"/>
  <c r="F180" i="19"/>
  <c r="E180" i="19"/>
  <c r="G183" i="19"/>
  <c r="F183" i="19"/>
  <c r="G193" i="19"/>
  <c r="F193" i="19"/>
  <c r="E193" i="19"/>
  <c r="G196" i="19"/>
  <c r="F196" i="19"/>
  <c r="E196" i="19"/>
  <c r="G199" i="19"/>
  <c r="F199" i="19"/>
  <c r="F203" i="19"/>
  <c r="E203" i="19"/>
  <c r="E216" i="19"/>
  <c r="G216" i="19"/>
  <c r="F226" i="19"/>
  <c r="G233" i="19"/>
  <c r="F233" i="19"/>
  <c r="E233" i="19"/>
  <c r="E240" i="19"/>
  <c r="G240" i="19"/>
  <c r="G247" i="19"/>
  <c r="F247" i="19"/>
  <c r="F251" i="19"/>
  <c r="E251" i="19"/>
  <c r="G258" i="19"/>
  <c r="E258" i="19"/>
  <c r="G265" i="19"/>
  <c r="F265" i="19"/>
  <c r="E265" i="19"/>
  <c r="E272" i="19"/>
  <c r="G272" i="19"/>
  <c r="G279" i="19"/>
  <c r="F279" i="19"/>
  <c r="F283" i="19"/>
  <c r="E283" i="19"/>
  <c r="G290" i="19"/>
  <c r="E290" i="19"/>
  <c r="G294" i="19"/>
  <c r="F294" i="19"/>
  <c r="E294" i="19"/>
  <c r="F304" i="19"/>
  <c r="E304" i="19"/>
  <c r="F325" i="19"/>
  <c r="E325" i="19"/>
  <c r="G325" i="19"/>
  <c r="E396" i="19"/>
  <c r="F396" i="19"/>
  <c r="G403" i="19"/>
  <c r="F403" i="19"/>
  <c r="E403" i="19"/>
  <c r="E420" i="19"/>
  <c r="F420" i="19"/>
  <c r="G425" i="19"/>
  <c r="F425" i="19"/>
  <c r="E425" i="19"/>
  <c r="G443" i="19"/>
  <c r="F443" i="19"/>
  <c r="E443" i="19"/>
  <c r="G629" i="19"/>
  <c r="F629" i="19"/>
  <c r="E629" i="19"/>
  <c r="G210" i="19"/>
  <c r="E210" i="19"/>
  <c r="G220" i="19"/>
  <c r="F220" i="19"/>
  <c r="E220" i="19"/>
  <c r="F227" i="19"/>
  <c r="E227" i="19"/>
  <c r="G276" i="19"/>
  <c r="F276" i="19"/>
  <c r="E276" i="19"/>
  <c r="E295" i="19"/>
  <c r="G295" i="19"/>
  <c r="G435" i="19"/>
  <c r="F435" i="19"/>
  <c r="E435" i="19"/>
  <c r="E452" i="19"/>
  <c r="F452" i="19"/>
  <c r="F583" i="19"/>
  <c r="E583" i="19"/>
  <c r="G583" i="19"/>
  <c r="E184" i="19"/>
  <c r="G184" i="19"/>
  <c r="G194" i="19"/>
  <c r="E194" i="19"/>
  <c r="E200" i="19"/>
  <c r="G200" i="19"/>
  <c r="F210" i="19"/>
  <c r="G217" i="19"/>
  <c r="F217" i="19"/>
  <c r="E217" i="19"/>
  <c r="G227" i="19"/>
  <c r="G234" i="19"/>
  <c r="E234" i="19"/>
  <c r="G241" i="19"/>
  <c r="F241" i="19"/>
  <c r="E241" i="19"/>
  <c r="E248" i="19"/>
  <c r="G248" i="19"/>
  <c r="G255" i="19"/>
  <c r="F255" i="19"/>
  <c r="F259" i="19"/>
  <c r="E259" i="19"/>
  <c r="G266" i="19"/>
  <c r="E266" i="19"/>
  <c r="G273" i="19"/>
  <c r="F273" i="19"/>
  <c r="E273" i="19"/>
  <c r="E280" i="19"/>
  <c r="G280" i="19"/>
  <c r="G287" i="19"/>
  <c r="F287" i="19"/>
  <c r="F291" i="19"/>
  <c r="G291" i="19"/>
  <c r="E291" i="19"/>
  <c r="F295" i="19"/>
  <c r="E340" i="19"/>
  <c r="F340" i="19"/>
  <c r="G347" i="19"/>
  <c r="F347" i="19"/>
  <c r="E347" i="19"/>
  <c r="E364" i="19"/>
  <c r="F364" i="19"/>
  <c r="G371" i="19"/>
  <c r="F371" i="19"/>
  <c r="E371" i="19"/>
  <c r="F417" i="19"/>
  <c r="G449" i="19"/>
  <c r="E449" i="19"/>
  <c r="G452" i="19"/>
  <c r="G642" i="19"/>
  <c r="F642" i="19"/>
  <c r="E642" i="19"/>
  <c r="F184" i="19"/>
  <c r="F194" i="19"/>
  <c r="F200" i="19"/>
  <c r="G204" i="19"/>
  <c r="F204" i="19"/>
  <c r="E204" i="19"/>
  <c r="G207" i="19"/>
  <c r="F207" i="19"/>
  <c r="F211" i="19"/>
  <c r="E211" i="19"/>
  <c r="E224" i="19"/>
  <c r="G224" i="19"/>
  <c r="F234" i="19"/>
  <c r="F248" i="19"/>
  <c r="G252" i="19"/>
  <c r="F252" i="19"/>
  <c r="E252" i="19"/>
  <c r="E255" i="19"/>
  <c r="G284" i="19"/>
  <c r="F284" i="19"/>
  <c r="E284" i="19"/>
  <c r="G292" i="19"/>
  <c r="F292" i="19"/>
  <c r="E296" i="19"/>
  <c r="G296" i="19"/>
  <c r="F296" i="19"/>
  <c r="F299" i="19"/>
  <c r="E299" i="19"/>
  <c r="G315" i="19"/>
  <c r="F315" i="19"/>
  <c r="E315" i="19"/>
  <c r="G340" i="19"/>
  <c r="G361" i="19"/>
  <c r="E361" i="19"/>
  <c r="G522" i="19"/>
  <c r="F522" i="19"/>
  <c r="E522" i="19"/>
  <c r="G528" i="19"/>
  <c r="F528" i="19"/>
  <c r="E528" i="19"/>
  <c r="G549" i="19"/>
  <c r="F549" i="19"/>
  <c r="E549" i="19"/>
  <c r="G565" i="19"/>
  <c r="F565" i="19"/>
  <c r="E565" i="19"/>
  <c r="E614" i="19"/>
  <c r="G614" i="19"/>
  <c r="F614" i="19"/>
  <c r="G998" i="19"/>
  <c r="F998" i="19"/>
  <c r="E998" i="19"/>
  <c r="G185" i="19"/>
  <c r="F185" i="19"/>
  <c r="E185" i="19"/>
  <c r="G188" i="19"/>
  <c r="F188" i="19"/>
  <c r="E188" i="19"/>
  <c r="G191" i="19"/>
  <c r="F191" i="19"/>
  <c r="G201" i="19"/>
  <c r="F201" i="19"/>
  <c r="E201" i="19"/>
  <c r="E207" i="19"/>
  <c r="G211" i="19"/>
  <c r="G218" i="19"/>
  <c r="E218" i="19"/>
  <c r="F224" i="19"/>
  <c r="G228" i="19"/>
  <c r="F228" i="19"/>
  <c r="E228" i="19"/>
  <c r="G231" i="19"/>
  <c r="F231" i="19"/>
  <c r="F235" i="19"/>
  <c r="E235" i="19"/>
  <c r="G242" i="19"/>
  <c r="E242" i="19"/>
  <c r="G249" i="19"/>
  <c r="F249" i="19"/>
  <c r="E249" i="19"/>
  <c r="E256" i="19"/>
  <c r="G256" i="19"/>
  <c r="G263" i="19"/>
  <c r="F263" i="19"/>
  <c r="F267" i="19"/>
  <c r="E267" i="19"/>
  <c r="G274" i="19"/>
  <c r="E274" i="19"/>
  <c r="G281" i="19"/>
  <c r="F281" i="19"/>
  <c r="E281" i="19"/>
  <c r="E288" i="19"/>
  <c r="G288" i="19"/>
  <c r="E292" i="19"/>
  <c r="G299" i="19"/>
  <c r="G302" i="19"/>
  <c r="F302" i="19"/>
  <c r="E302" i="19"/>
  <c r="F309" i="19"/>
  <c r="E309" i="19"/>
  <c r="G309" i="19"/>
  <c r="E316" i="19"/>
  <c r="G316" i="19"/>
  <c r="F316" i="19"/>
  <c r="F361" i="19"/>
  <c r="G427" i="19"/>
  <c r="F427" i="19"/>
  <c r="E427" i="19"/>
  <c r="G477" i="19"/>
  <c r="F477" i="19"/>
  <c r="E477" i="19"/>
  <c r="E494" i="19"/>
  <c r="G494" i="19"/>
  <c r="F494" i="19"/>
  <c r="E208" i="19"/>
  <c r="G208" i="19"/>
  <c r="G225" i="19"/>
  <c r="F225" i="19"/>
  <c r="E225" i="19"/>
  <c r="G260" i="19"/>
  <c r="F260" i="19"/>
  <c r="E260" i="19"/>
  <c r="G323" i="19"/>
  <c r="F323" i="19"/>
  <c r="E323" i="19"/>
  <c r="E380" i="19"/>
  <c r="F380" i="19"/>
  <c r="G387" i="19"/>
  <c r="F387" i="19"/>
  <c r="E387" i="19"/>
  <c r="E428" i="19"/>
  <c r="G428" i="19"/>
  <c r="F428" i="19"/>
  <c r="G472" i="19"/>
  <c r="E472" i="19"/>
  <c r="G525" i="19"/>
  <c r="F525" i="19"/>
  <c r="E525" i="19"/>
  <c r="G674" i="19"/>
  <c r="F674" i="19"/>
  <c r="E674" i="19"/>
  <c r="G223" i="19"/>
  <c r="F223" i="19"/>
  <c r="G244" i="19"/>
  <c r="F244" i="19"/>
  <c r="E244" i="19"/>
  <c r="G456" i="19"/>
  <c r="F456" i="19"/>
  <c r="E456" i="19"/>
  <c r="G186" i="19"/>
  <c r="E186" i="19"/>
  <c r="E192" i="19"/>
  <c r="G192" i="19"/>
  <c r="G202" i="19"/>
  <c r="E202" i="19"/>
  <c r="F208" i="19"/>
  <c r="G212" i="19"/>
  <c r="F212" i="19"/>
  <c r="E212" i="19"/>
  <c r="G215" i="19"/>
  <c r="F215" i="19"/>
  <c r="F219" i="19"/>
  <c r="E219" i="19"/>
  <c r="E232" i="19"/>
  <c r="G232" i="19"/>
  <c r="G239" i="19"/>
  <c r="F239" i="19"/>
  <c r="F243" i="19"/>
  <c r="E243" i="19"/>
  <c r="G250" i="19"/>
  <c r="E250" i="19"/>
  <c r="G257" i="19"/>
  <c r="F257" i="19"/>
  <c r="E257" i="19"/>
  <c r="E264" i="19"/>
  <c r="G264" i="19"/>
  <c r="G271" i="19"/>
  <c r="F271" i="19"/>
  <c r="F275" i="19"/>
  <c r="E275" i="19"/>
  <c r="G282" i="19"/>
  <c r="E282" i="19"/>
  <c r="G289" i="19"/>
  <c r="F289" i="19"/>
  <c r="E289" i="19"/>
  <c r="G310" i="19"/>
  <c r="F310" i="19"/>
  <c r="E310" i="19"/>
  <c r="G380" i="19"/>
  <c r="F472" i="19"/>
  <c r="G485" i="19"/>
  <c r="F485" i="19"/>
  <c r="E485" i="19"/>
  <c r="G541" i="19"/>
  <c r="F541" i="19"/>
  <c r="E541" i="19"/>
  <c r="G324" i="19"/>
  <c r="G328" i="19"/>
  <c r="F328" i="19"/>
  <c r="E328" i="19"/>
  <c r="G334" i="19"/>
  <c r="F334" i="19"/>
  <c r="G344" i="19"/>
  <c r="F344" i="19"/>
  <c r="E344" i="19"/>
  <c r="G350" i="19"/>
  <c r="F350" i="19"/>
  <c r="F357" i="19"/>
  <c r="E357" i="19"/>
  <c r="G357" i="19"/>
  <c r="G368" i="19"/>
  <c r="F368" i="19"/>
  <c r="E368" i="19"/>
  <c r="G374" i="19"/>
  <c r="F374" i="19"/>
  <c r="G384" i="19"/>
  <c r="F384" i="19"/>
  <c r="E384" i="19"/>
  <c r="G390" i="19"/>
  <c r="F390" i="19"/>
  <c r="G400" i="19"/>
  <c r="F400" i="19"/>
  <c r="E400" i="19"/>
  <c r="G406" i="19"/>
  <c r="F406" i="19"/>
  <c r="F413" i="19"/>
  <c r="E413" i="19"/>
  <c r="G413" i="19"/>
  <c r="G424" i="19"/>
  <c r="F424" i="19"/>
  <c r="E424" i="19"/>
  <c r="F431" i="19"/>
  <c r="E431" i="19"/>
  <c r="G438" i="19"/>
  <c r="F438" i="19"/>
  <c r="F445" i="19"/>
  <c r="E445" i="19"/>
  <c r="G445" i="19"/>
  <c r="G475" i="19"/>
  <c r="F475" i="19"/>
  <c r="G478" i="19"/>
  <c r="F478" i="19"/>
  <c r="E478" i="19"/>
  <c r="F519" i="19"/>
  <c r="E519" i="19"/>
  <c r="G519" i="19"/>
  <c r="G589" i="19"/>
  <c r="F589" i="19"/>
  <c r="E589" i="19"/>
  <c r="G613" i="19"/>
  <c r="F613" i="19"/>
  <c r="E613" i="19"/>
  <c r="F335" i="19"/>
  <c r="E335" i="19"/>
  <c r="F341" i="19"/>
  <c r="E341" i="19"/>
  <c r="G341" i="19"/>
  <c r="F351" i="19"/>
  <c r="E351" i="19"/>
  <c r="G358" i="19"/>
  <c r="F358" i="19"/>
  <c r="F365" i="19"/>
  <c r="E365" i="19"/>
  <c r="G365" i="19"/>
  <c r="F375" i="19"/>
  <c r="E375" i="19"/>
  <c r="F381" i="19"/>
  <c r="E381" i="19"/>
  <c r="G381" i="19"/>
  <c r="F391" i="19"/>
  <c r="E391" i="19"/>
  <c r="F397" i="19"/>
  <c r="E397" i="19"/>
  <c r="G397" i="19"/>
  <c r="F407" i="19"/>
  <c r="E407" i="19"/>
  <c r="G414" i="19"/>
  <c r="F414" i="19"/>
  <c r="F421" i="19"/>
  <c r="E421" i="19"/>
  <c r="G421" i="19"/>
  <c r="G432" i="19"/>
  <c r="F432" i="19"/>
  <c r="E432" i="19"/>
  <c r="F439" i="19"/>
  <c r="E439" i="19"/>
  <c r="G446" i="19"/>
  <c r="F446" i="19"/>
  <c r="F453" i="19"/>
  <c r="E453" i="19"/>
  <c r="G453" i="19"/>
  <c r="G459" i="19"/>
  <c r="F459" i="19"/>
  <c r="F466" i="19"/>
  <c r="E466" i="19"/>
  <c r="G466" i="19"/>
  <c r="G480" i="19"/>
  <c r="F480" i="19"/>
  <c r="G486" i="19"/>
  <c r="F486" i="19"/>
  <c r="G501" i="19"/>
  <c r="F501" i="19"/>
  <c r="E501" i="19"/>
  <c r="E550" i="19"/>
  <c r="G550" i="19"/>
  <c r="F550" i="19"/>
  <c r="G600" i="19"/>
  <c r="F600" i="19"/>
  <c r="F639" i="19"/>
  <c r="E639" i="19"/>
  <c r="G639" i="19"/>
  <c r="G762" i="19"/>
  <c r="E762" i="19"/>
  <c r="F762" i="19"/>
  <c r="G841" i="19"/>
  <c r="F841" i="19"/>
  <c r="E841" i="19"/>
  <c r="F940" i="19"/>
  <c r="G940" i="19"/>
  <c r="E940" i="19"/>
  <c r="G320" i="19"/>
  <c r="F320" i="19"/>
  <c r="E320" i="19"/>
  <c r="G326" i="19"/>
  <c r="F326" i="19"/>
  <c r="E463" i="19"/>
  <c r="G463" i="19"/>
  <c r="G469" i="19"/>
  <c r="F469" i="19"/>
  <c r="G536" i="19"/>
  <c r="F536" i="19"/>
  <c r="G578" i="19"/>
  <c r="F578" i="19"/>
  <c r="E578" i="19"/>
  <c r="G605" i="19"/>
  <c r="F605" i="19"/>
  <c r="E605" i="19"/>
  <c r="G621" i="19"/>
  <c r="F621" i="19"/>
  <c r="E621" i="19"/>
  <c r="G692" i="19"/>
  <c r="F692" i="19"/>
  <c r="E692" i="19"/>
  <c r="G717" i="19"/>
  <c r="F717" i="19"/>
  <c r="E717" i="19"/>
  <c r="E238" i="19"/>
  <c r="E246" i="19"/>
  <c r="E254" i="19"/>
  <c r="E262" i="19"/>
  <c r="E270" i="19"/>
  <c r="E278" i="19"/>
  <c r="E286" i="19"/>
  <c r="E298" i="19"/>
  <c r="F317" i="19"/>
  <c r="E317" i="19"/>
  <c r="G317" i="19"/>
  <c r="E326" i="19"/>
  <c r="F332" i="19"/>
  <c r="G336" i="19"/>
  <c r="F336" i="19"/>
  <c r="E336" i="19"/>
  <c r="G342" i="19"/>
  <c r="F342" i="19"/>
  <c r="F348" i="19"/>
  <c r="G352" i="19"/>
  <c r="F352" i="19"/>
  <c r="E352" i="19"/>
  <c r="F359" i="19"/>
  <c r="E359" i="19"/>
  <c r="G366" i="19"/>
  <c r="F366" i="19"/>
  <c r="F372" i="19"/>
  <c r="G376" i="19"/>
  <c r="F376" i="19"/>
  <c r="E376" i="19"/>
  <c r="G382" i="19"/>
  <c r="F382" i="19"/>
  <c r="F388" i="19"/>
  <c r="G392" i="19"/>
  <c r="F392" i="19"/>
  <c r="E392" i="19"/>
  <c r="G398" i="19"/>
  <c r="F398" i="19"/>
  <c r="F404" i="19"/>
  <c r="G408" i="19"/>
  <c r="F408" i="19"/>
  <c r="E408" i="19"/>
  <c r="F415" i="19"/>
  <c r="E415" i="19"/>
  <c r="G422" i="19"/>
  <c r="F422" i="19"/>
  <c r="F429" i="19"/>
  <c r="E429" i="19"/>
  <c r="G429" i="19"/>
  <c r="E433" i="19"/>
  <c r="F436" i="19"/>
  <c r="G440" i="19"/>
  <c r="F440" i="19"/>
  <c r="E440" i="19"/>
  <c r="F447" i="19"/>
  <c r="E447" i="19"/>
  <c r="G454" i="19"/>
  <c r="F454" i="19"/>
  <c r="F463" i="19"/>
  <c r="E469" i="19"/>
  <c r="G514" i="19"/>
  <c r="F514" i="19"/>
  <c r="E514" i="19"/>
  <c r="E536" i="19"/>
  <c r="F575" i="19"/>
  <c r="E575" i="19"/>
  <c r="G575" i="19"/>
  <c r="E622" i="19"/>
  <c r="G622" i="19"/>
  <c r="G677" i="19"/>
  <c r="F677" i="19"/>
  <c r="E677" i="19"/>
  <c r="G684" i="19"/>
  <c r="F684" i="19"/>
  <c r="E684" i="19"/>
  <c r="G693" i="19"/>
  <c r="F693" i="19"/>
  <c r="E693" i="19"/>
  <c r="E179" i="19"/>
  <c r="F182" i="19"/>
  <c r="E187" i="19"/>
  <c r="F190" i="19"/>
  <c r="E195" i="19"/>
  <c r="F198" i="19"/>
  <c r="F206" i="19"/>
  <c r="F214" i="19"/>
  <c r="F222" i="19"/>
  <c r="F230" i="19"/>
  <c r="F238" i="19"/>
  <c r="F246" i="19"/>
  <c r="F254" i="19"/>
  <c r="F262" i="19"/>
  <c r="F270" i="19"/>
  <c r="F278" i="19"/>
  <c r="F286" i="19"/>
  <c r="E293" i="19"/>
  <c r="G298" i="19"/>
  <c r="F303" i="19"/>
  <c r="E303" i="19"/>
  <c r="F308" i="19"/>
  <c r="G332" i="19"/>
  <c r="E342" i="19"/>
  <c r="G348" i="19"/>
  <c r="G359" i="19"/>
  <c r="E366" i="19"/>
  <c r="G372" i="19"/>
  <c r="E382" i="19"/>
  <c r="G388" i="19"/>
  <c r="E398" i="19"/>
  <c r="G404" i="19"/>
  <c r="G415" i="19"/>
  <c r="E422" i="19"/>
  <c r="F433" i="19"/>
  <c r="G436" i="19"/>
  <c r="G447" i="19"/>
  <c r="E454" i="19"/>
  <c r="G464" i="19"/>
  <c r="F464" i="19"/>
  <c r="E464" i="19"/>
  <c r="G470" i="19"/>
  <c r="F470" i="19"/>
  <c r="E470" i="19"/>
  <c r="F511" i="19"/>
  <c r="E511" i="19"/>
  <c r="G511" i="19"/>
  <c r="G557" i="19"/>
  <c r="F557" i="19"/>
  <c r="E557" i="19"/>
  <c r="G581" i="19"/>
  <c r="F581" i="19"/>
  <c r="E581" i="19"/>
  <c r="G597" i="19"/>
  <c r="F597" i="19"/>
  <c r="E597" i="19"/>
  <c r="F622" i="19"/>
  <c r="G685" i="19"/>
  <c r="F685" i="19"/>
  <c r="E685" i="19"/>
  <c r="G312" i="19"/>
  <c r="F312" i="19"/>
  <c r="E312" i="19"/>
  <c r="G318" i="19"/>
  <c r="F318" i="19"/>
  <c r="F333" i="19"/>
  <c r="E333" i="19"/>
  <c r="G333" i="19"/>
  <c r="G339" i="19"/>
  <c r="F339" i="19"/>
  <c r="E339" i="19"/>
  <c r="F343" i="19"/>
  <c r="E343" i="19"/>
  <c r="F349" i="19"/>
  <c r="E349" i="19"/>
  <c r="G349" i="19"/>
  <c r="G360" i="19"/>
  <c r="F360" i="19"/>
  <c r="E360" i="19"/>
  <c r="G363" i="19"/>
  <c r="F363" i="19"/>
  <c r="E363" i="19"/>
  <c r="F367" i="19"/>
  <c r="E367" i="19"/>
  <c r="F373" i="19"/>
  <c r="E373" i="19"/>
  <c r="G373" i="19"/>
  <c r="G379" i="19"/>
  <c r="F379" i="19"/>
  <c r="E379" i="19"/>
  <c r="F383" i="19"/>
  <c r="E383" i="19"/>
  <c r="F389" i="19"/>
  <c r="E389" i="19"/>
  <c r="G389" i="19"/>
  <c r="G395" i="19"/>
  <c r="F395" i="19"/>
  <c r="E395" i="19"/>
  <c r="F399" i="19"/>
  <c r="E399" i="19"/>
  <c r="F405" i="19"/>
  <c r="E405" i="19"/>
  <c r="G405" i="19"/>
  <c r="G416" i="19"/>
  <c r="F416" i="19"/>
  <c r="E416" i="19"/>
  <c r="G419" i="19"/>
  <c r="F419" i="19"/>
  <c r="E419" i="19"/>
  <c r="F423" i="19"/>
  <c r="E423" i="19"/>
  <c r="G430" i="19"/>
  <c r="F430" i="19"/>
  <c r="F437" i="19"/>
  <c r="E437" i="19"/>
  <c r="G437" i="19"/>
  <c r="G448" i="19"/>
  <c r="F448" i="19"/>
  <c r="E448" i="19"/>
  <c r="G451" i="19"/>
  <c r="F451" i="19"/>
  <c r="E451" i="19"/>
  <c r="G493" i="19"/>
  <c r="F493" i="19"/>
  <c r="E493" i="19"/>
  <c r="G517" i="19"/>
  <c r="F517" i="19"/>
  <c r="E517" i="19"/>
  <c r="G533" i="19"/>
  <c r="F533" i="19"/>
  <c r="E533" i="19"/>
  <c r="E558" i="19"/>
  <c r="G558" i="19"/>
  <c r="G586" i="19"/>
  <c r="F586" i="19"/>
  <c r="E586" i="19"/>
  <c r="G592" i="19"/>
  <c r="F592" i="19"/>
  <c r="E592" i="19"/>
  <c r="G664" i="19"/>
  <c r="F664" i="19"/>
  <c r="E664" i="19"/>
  <c r="G703" i="19"/>
  <c r="F703" i="19"/>
  <c r="E703" i="19"/>
  <c r="F306" i="19"/>
  <c r="E311" i="19"/>
  <c r="F314" i="19"/>
  <c r="E319" i="19"/>
  <c r="F322" i="19"/>
  <c r="E327" i="19"/>
  <c r="F330" i="19"/>
  <c r="F338" i="19"/>
  <c r="F346" i="19"/>
  <c r="F354" i="19"/>
  <c r="F362" i="19"/>
  <c r="F370" i="19"/>
  <c r="F378" i="19"/>
  <c r="F386" i="19"/>
  <c r="F394" i="19"/>
  <c r="F402" i="19"/>
  <c r="F410" i="19"/>
  <c r="F418" i="19"/>
  <c r="F426" i="19"/>
  <c r="F434" i="19"/>
  <c r="F442" i="19"/>
  <c r="F450" i="19"/>
  <c r="E455" i="19"/>
  <c r="E460" i="19"/>
  <c r="G474" i="19"/>
  <c r="F474" i="19"/>
  <c r="E474" i="19"/>
  <c r="G488" i="19"/>
  <c r="F488" i="19"/>
  <c r="F518" i="19"/>
  <c r="F535" i="19"/>
  <c r="E535" i="19"/>
  <c r="G535" i="19"/>
  <c r="G538" i="19"/>
  <c r="F538" i="19"/>
  <c r="E538" i="19"/>
  <c r="G552" i="19"/>
  <c r="F552" i="19"/>
  <c r="F582" i="19"/>
  <c r="F599" i="19"/>
  <c r="E599" i="19"/>
  <c r="G599" i="19"/>
  <c r="G602" i="19"/>
  <c r="F602" i="19"/>
  <c r="E602" i="19"/>
  <c r="G616" i="19"/>
  <c r="F616" i="19"/>
  <c r="G651" i="19"/>
  <c r="F651" i="19"/>
  <c r="G659" i="19"/>
  <c r="F659" i="19"/>
  <c r="G724" i="19"/>
  <c r="F724" i="19"/>
  <c r="E724" i="19"/>
  <c r="G732" i="19"/>
  <c r="F732" i="19"/>
  <c r="E732" i="19"/>
  <c r="G736" i="19"/>
  <c r="F736" i="19"/>
  <c r="E736" i="19"/>
  <c r="G766" i="19"/>
  <c r="F766" i="19"/>
  <c r="E766" i="19"/>
  <c r="F771" i="19"/>
  <c r="E771" i="19"/>
  <c r="G771" i="19"/>
  <c r="E775" i="19"/>
  <c r="G775" i="19"/>
  <c r="F775" i="19"/>
  <c r="G460" i="19"/>
  <c r="G518" i="19"/>
  <c r="F527" i="19"/>
  <c r="E527" i="19"/>
  <c r="G527" i="19"/>
  <c r="G530" i="19"/>
  <c r="F530" i="19"/>
  <c r="E530" i="19"/>
  <c r="G544" i="19"/>
  <c r="F544" i="19"/>
  <c r="G582" i="19"/>
  <c r="F591" i="19"/>
  <c r="E591" i="19"/>
  <c r="G591" i="19"/>
  <c r="G594" i="19"/>
  <c r="F594" i="19"/>
  <c r="E594" i="19"/>
  <c r="G608" i="19"/>
  <c r="F608" i="19"/>
  <c r="E616" i="19"/>
  <c r="G663" i="19"/>
  <c r="F663" i="19"/>
  <c r="E663" i="19"/>
  <c r="G666" i="19"/>
  <c r="F666" i="19"/>
  <c r="G725" i="19"/>
  <c r="F725" i="19"/>
  <c r="E725" i="19"/>
  <c r="G767" i="19"/>
  <c r="F767" i="19"/>
  <c r="E767" i="19"/>
  <c r="F503" i="19"/>
  <c r="E503" i="19"/>
  <c r="G503" i="19"/>
  <c r="G506" i="19"/>
  <c r="F506" i="19"/>
  <c r="E506" i="19"/>
  <c r="G520" i="19"/>
  <c r="F520" i="19"/>
  <c r="F567" i="19"/>
  <c r="E567" i="19"/>
  <c r="G567" i="19"/>
  <c r="G570" i="19"/>
  <c r="F570" i="19"/>
  <c r="E570" i="19"/>
  <c r="G584" i="19"/>
  <c r="F584" i="19"/>
  <c r="F631" i="19"/>
  <c r="E631" i="19"/>
  <c r="G631" i="19"/>
  <c r="G634" i="19"/>
  <c r="F634" i="19"/>
  <c r="E634" i="19"/>
  <c r="E647" i="19"/>
  <c r="G647" i="19"/>
  <c r="F649" i="19"/>
  <c r="G649" i="19"/>
  <c r="E649" i="19"/>
  <c r="F495" i="19"/>
  <c r="E495" i="19"/>
  <c r="G495" i="19"/>
  <c r="G498" i="19"/>
  <c r="F498" i="19"/>
  <c r="E498" i="19"/>
  <c r="G512" i="19"/>
  <c r="F512" i="19"/>
  <c r="E520" i="19"/>
  <c r="F542" i="19"/>
  <c r="F559" i="19"/>
  <c r="E559" i="19"/>
  <c r="G559" i="19"/>
  <c r="G562" i="19"/>
  <c r="F562" i="19"/>
  <c r="E562" i="19"/>
  <c r="G576" i="19"/>
  <c r="F576" i="19"/>
  <c r="E584" i="19"/>
  <c r="F606" i="19"/>
  <c r="F623" i="19"/>
  <c r="E623" i="19"/>
  <c r="G623" i="19"/>
  <c r="G626" i="19"/>
  <c r="F626" i="19"/>
  <c r="E626" i="19"/>
  <c r="G640" i="19"/>
  <c r="F640" i="19"/>
  <c r="G645" i="19"/>
  <c r="F645" i="19"/>
  <c r="F647" i="19"/>
  <c r="E655" i="19"/>
  <c r="G655" i="19"/>
  <c r="F657" i="19"/>
  <c r="G657" i="19"/>
  <c r="E657" i="19"/>
  <c r="G682" i="19"/>
  <c r="F682" i="19"/>
  <c r="E682" i="19"/>
  <c r="G750" i="19"/>
  <c r="F750" i="19"/>
  <c r="E750" i="19"/>
  <c r="G783" i="19"/>
  <c r="F783" i="19"/>
  <c r="E783" i="19"/>
  <c r="F803" i="19"/>
  <c r="E803" i="19"/>
  <c r="G803" i="19"/>
  <c r="G817" i="19"/>
  <c r="F817" i="19"/>
  <c r="E817" i="19"/>
  <c r="F821" i="19"/>
  <c r="E821" i="19"/>
  <c r="G821" i="19"/>
  <c r="F487" i="19"/>
  <c r="E487" i="19"/>
  <c r="G487" i="19"/>
  <c r="G490" i="19"/>
  <c r="F490" i="19"/>
  <c r="E490" i="19"/>
  <c r="G504" i="19"/>
  <c r="F504" i="19"/>
  <c r="E512" i="19"/>
  <c r="F534" i="19"/>
  <c r="G542" i="19"/>
  <c r="F551" i="19"/>
  <c r="E551" i="19"/>
  <c r="G551" i="19"/>
  <c r="G554" i="19"/>
  <c r="F554" i="19"/>
  <c r="E554" i="19"/>
  <c r="G568" i="19"/>
  <c r="F568" i="19"/>
  <c r="E576" i="19"/>
  <c r="F598" i="19"/>
  <c r="G606" i="19"/>
  <c r="F615" i="19"/>
  <c r="E615" i="19"/>
  <c r="G615" i="19"/>
  <c r="G618" i="19"/>
  <c r="F618" i="19"/>
  <c r="E618" i="19"/>
  <c r="G632" i="19"/>
  <c r="F632" i="19"/>
  <c r="E640" i="19"/>
  <c r="E645" i="19"/>
  <c r="G653" i="19"/>
  <c r="F653" i="19"/>
  <c r="F655" i="19"/>
  <c r="G669" i="19"/>
  <c r="F669" i="19"/>
  <c r="G672" i="19"/>
  <c r="F672" i="19"/>
  <c r="E672" i="19"/>
  <c r="E710" i="19"/>
  <c r="G710" i="19"/>
  <c r="F710" i="19"/>
  <c r="G743" i="19"/>
  <c r="F743" i="19"/>
  <c r="E743" i="19"/>
  <c r="F795" i="19"/>
  <c r="E795" i="19"/>
  <c r="G795" i="19"/>
  <c r="F471" i="19"/>
  <c r="E471" i="19"/>
  <c r="G471" i="19"/>
  <c r="F479" i="19"/>
  <c r="E479" i="19"/>
  <c r="G479" i="19"/>
  <c r="G482" i="19"/>
  <c r="F482" i="19"/>
  <c r="E482" i="19"/>
  <c r="G496" i="19"/>
  <c r="F496" i="19"/>
  <c r="G509" i="19"/>
  <c r="F509" i="19"/>
  <c r="E509" i="19"/>
  <c r="F543" i="19"/>
  <c r="E543" i="19"/>
  <c r="G543" i="19"/>
  <c r="G546" i="19"/>
  <c r="F546" i="19"/>
  <c r="E546" i="19"/>
  <c r="G560" i="19"/>
  <c r="F560" i="19"/>
  <c r="G573" i="19"/>
  <c r="F573" i="19"/>
  <c r="E573" i="19"/>
  <c r="F607" i="19"/>
  <c r="E607" i="19"/>
  <c r="G607" i="19"/>
  <c r="G610" i="19"/>
  <c r="F610" i="19"/>
  <c r="E610" i="19"/>
  <c r="G624" i="19"/>
  <c r="F624" i="19"/>
  <c r="G637" i="19"/>
  <c r="F637" i="19"/>
  <c r="E637" i="19"/>
  <c r="G679" i="19"/>
  <c r="F679" i="19"/>
  <c r="E679" i="19"/>
  <c r="G690" i="19"/>
  <c r="F690" i="19"/>
  <c r="E690" i="19"/>
  <c r="G695" i="19"/>
  <c r="F695" i="19"/>
  <c r="E695" i="19"/>
  <c r="E744" i="19"/>
  <c r="F744" i="19"/>
  <c r="G744" i="19"/>
  <c r="G774" i="19"/>
  <c r="F774" i="19"/>
  <c r="E774" i="19"/>
  <c r="E650" i="19"/>
  <c r="E658" i="19"/>
  <c r="G668" i="19"/>
  <c r="F668" i="19"/>
  <c r="E668" i="19"/>
  <c r="F686" i="19"/>
  <c r="E691" i="19"/>
  <c r="E702" i="19"/>
  <c r="G702" i="19"/>
  <c r="G708" i="19"/>
  <c r="F708" i="19"/>
  <c r="E708" i="19"/>
  <c r="G720" i="19"/>
  <c r="E720" i="19"/>
  <c r="E723" i="19"/>
  <c r="F734" i="19"/>
  <c r="E734" i="19"/>
  <c r="G734" i="19"/>
  <c r="G782" i="19"/>
  <c r="F782" i="19"/>
  <c r="E782" i="19"/>
  <c r="G798" i="19"/>
  <c r="F798" i="19"/>
  <c r="E798" i="19"/>
  <c r="F819" i="19"/>
  <c r="E819" i="19"/>
  <c r="G819" i="19"/>
  <c r="G905" i="19"/>
  <c r="E905" i="19"/>
  <c r="F905" i="19"/>
  <c r="G658" i="19"/>
  <c r="G671" i="19"/>
  <c r="F671" i="19"/>
  <c r="E671" i="19"/>
  <c r="G676" i="19"/>
  <c r="F676" i="19"/>
  <c r="E676" i="19"/>
  <c r="G686" i="19"/>
  <c r="G709" i="19"/>
  <c r="F709" i="19"/>
  <c r="G716" i="19"/>
  <c r="F716" i="19"/>
  <c r="E716" i="19"/>
  <c r="G723" i="19"/>
  <c r="G728" i="19"/>
  <c r="E728" i="19"/>
  <c r="E735" i="19"/>
  <c r="G735" i="19"/>
  <c r="G740" i="19"/>
  <c r="F740" i="19"/>
  <c r="G742" i="19"/>
  <c r="F742" i="19"/>
  <c r="E742" i="19"/>
  <c r="G758" i="19"/>
  <c r="F758" i="19"/>
  <c r="E758" i="19"/>
  <c r="G765" i="19"/>
  <c r="F765" i="19"/>
  <c r="E765" i="19"/>
  <c r="G790" i="19"/>
  <c r="F790" i="19"/>
  <c r="E790" i="19"/>
  <c r="F811" i="19"/>
  <c r="E811" i="19"/>
  <c r="G811" i="19"/>
  <c r="F827" i="19"/>
  <c r="E827" i="19"/>
  <c r="G827" i="19"/>
  <c r="G843" i="19"/>
  <c r="F843" i="19"/>
  <c r="E843" i="19"/>
  <c r="G849" i="19"/>
  <c r="E849" i="19"/>
  <c r="F849" i="19"/>
  <c r="G866" i="19"/>
  <c r="F866" i="19"/>
  <c r="E866" i="19"/>
  <c r="G931" i="19"/>
  <c r="F931" i="19"/>
  <c r="E931" i="19"/>
  <c r="G960" i="19"/>
  <c r="F960" i="19"/>
  <c r="E960" i="19"/>
  <c r="F997" i="19"/>
  <c r="E997" i="19"/>
  <c r="G997" i="19"/>
  <c r="G700" i="19"/>
  <c r="F700" i="19"/>
  <c r="E700" i="19"/>
  <c r="G706" i="19"/>
  <c r="F706" i="19"/>
  <c r="E706" i="19"/>
  <c r="E718" i="19"/>
  <c r="G718" i="19"/>
  <c r="G737" i="19"/>
  <c r="F737" i="19"/>
  <c r="G748" i="19"/>
  <c r="E748" i="19"/>
  <c r="G751" i="19"/>
  <c r="F751" i="19"/>
  <c r="F755" i="19"/>
  <c r="E755" i="19"/>
  <c r="G755" i="19"/>
  <c r="G772" i="19"/>
  <c r="F772" i="19"/>
  <c r="E772" i="19"/>
  <c r="G780" i="19"/>
  <c r="E780" i="19"/>
  <c r="G788" i="19"/>
  <c r="F788" i="19"/>
  <c r="E788" i="19"/>
  <c r="G809" i="19"/>
  <c r="F809" i="19"/>
  <c r="E809" i="19"/>
  <c r="F813" i="19"/>
  <c r="E813" i="19"/>
  <c r="F829" i="19"/>
  <c r="E829" i="19"/>
  <c r="G969" i="19"/>
  <c r="E969" i="19"/>
  <c r="F969" i="19"/>
  <c r="F662" i="19"/>
  <c r="E667" i="19"/>
  <c r="E680" i="19"/>
  <c r="G711" i="19"/>
  <c r="F711" i="19"/>
  <c r="E711" i="19"/>
  <c r="G714" i="19"/>
  <c r="F714" i="19"/>
  <c r="E714" i="19"/>
  <c r="F718" i="19"/>
  <c r="E726" i="19"/>
  <c r="G726" i="19"/>
  <c r="E737" i="19"/>
  <c r="G745" i="19"/>
  <c r="F745" i="19"/>
  <c r="E745" i="19"/>
  <c r="F748" i="19"/>
  <c r="E751" i="19"/>
  <c r="G756" i="19"/>
  <c r="F756" i="19"/>
  <c r="E756" i="19"/>
  <c r="E776" i="19"/>
  <c r="G776" i="19"/>
  <c r="F776" i="19"/>
  <c r="F780" i="19"/>
  <c r="G801" i="19"/>
  <c r="F801" i="19"/>
  <c r="E801" i="19"/>
  <c r="F805" i="19"/>
  <c r="E805" i="19"/>
  <c r="G813" i="19"/>
  <c r="G829" i="19"/>
  <c r="G873" i="19"/>
  <c r="E873" i="19"/>
  <c r="F873" i="19"/>
  <c r="G881" i="19"/>
  <c r="E881" i="19"/>
  <c r="F881" i="19"/>
  <c r="F900" i="19"/>
  <c r="G900" i="19"/>
  <c r="F908" i="19"/>
  <c r="G908" i="19"/>
  <c r="E908" i="19"/>
  <c r="G660" i="19"/>
  <c r="F660" i="19"/>
  <c r="G662" i="19"/>
  <c r="F667" i="19"/>
  <c r="F680" i="19"/>
  <c r="G698" i="19"/>
  <c r="F698" i="19"/>
  <c r="G719" i="19"/>
  <c r="F719" i="19"/>
  <c r="E719" i="19"/>
  <c r="G722" i="19"/>
  <c r="F722" i="19"/>
  <c r="E722" i="19"/>
  <c r="G769" i="19"/>
  <c r="F769" i="19"/>
  <c r="G777" i="19"/>
  <c r="F777" i="19"/>
  <c r="E777" i="19"/>
  <c r="G785" i="19"/>
  <c r="F785" i="19"/>
  <c r="E785" i="19"/>
  <c r="G793" i="19"/>
  <c r="F793" i="19"/>
  <c r="E793" i="19"/>
  <c r="F797" i="19"/>
  <c r="E797" i="19"/>
  <c r="G814" i="19"/>
  <c r="F814" i="19"/>
  <c r="E814" i="19"/>
  <c r="G874" i="19"/>
  <c r="F874" i="19"/>
  <c r="E874" i="19"/>
  <c r="F892" i="19"/>
  <c r="G892" i="19"/>
  <c r="E892" i="19"/>
  <c r="G966" i="19"/>
  <c r="F966" i="19"/>
  <c r="E966" i="19"/>
  <c r="G712" i="19"/>
  <c r="E712" i="19"/>
  <c r="G727" i="19"/>
  <c r="F727" i="19"/>
  <c r="E727" i="19"/>
  <c r="G730" i="19"/>
  <c r="F730" i="19"/>
  <c r="E730" i="19"/>
  <c r="G738" i="19"/>
  <c r="F738" i="19"/>
  <c r="E738" i="19"/>
  <c r="G753" i="19"/>
  <c r="F753" i="19"/>
  <c r="G764" i="19"/>
  <c r="F764" i="19"/>
  <c r="G806" i="19"/>
  <c r="F806" i="19"/>
  <c r="E806" i="19"/>
  <c r="G953" i="19"/>
  <c r="E953" i="19"/>
  <c r="F953" i="19"/>
  <c r="F980" i="19"/>
  <c r="G980" i="19"/>
  <c r="E980" i="19"/>
  <c r="F787" i="19"/>
  <c r="E787" i="19"/>
  <c r="G792" i="19"/>
  <c r="E792" i="19"/>
  <c r="G800" i="19"/>
  <c r="E800" i="19"/>
  <c r="G808" i="19"/>
  <c r="E808" i="19"/>
  <c r="G816" i="19"/>
  <c r="E816" i="19"/>
  <c r="G824" i="19"/>
  <c r="E824" i="19"/>
  <c r="G835" i="19"/>
  <c r="F835" i="19"/>
  <c r="E835" i="19"/>
  <c r="G838" i="19"/>
  <c r="F838" i="19"/>
  <c r="G855" i="19"/>
  <c r="F855" i="19"/>
  <c r="G859" i="19"/>
  <c r="F859" i="19"/>
  <c r="E859" i="19"/>
  <c r="G862" i="19"/>
  <c r="F862" i="19"/>
  <c r="E862" i="19"/>
  <c r="G887" i="19"/>
  <c r="F887" i="19"/>
  <c r="G897" i="19"/>
  <c r="E897" i="19"/>
  <c r="F916" i="19"/>
  <c r="G916" i="19"/>
  <c r="F949" i="19"/>
  <c r="E949" i="19"/>
  <c r="G949" i="19"/>
  <c r="F747" i="19"/>
  <c r="E747" i="19"/>
  <c r="F778" i="19"/>
  <c r="G852" i="19"/>
  <c r="G863" i="19"/>
  <c r="F863" i="19"/>
  <c r="G884" i="19"/>
  <c r="G898" i="19"/>
  <c r="F898" i="19"/>
  <c r="E898" i="19"/>
  <c r="G913" i="19"/>
  <c r="E913" i="19"/>
  <c r="G928" i="19"/>
  <c r="F928" i="19"/>
  <c r="E928" i="19"/>
  <c r="F957" i="19"/>
  <c r="E957" i="19"/>
  <c r="G961" i="19"/>
  <c r="E961" i="19"/>
  <c r="F961" i="19"/>
  <c r="G747" i="19"/>
  <c r="F763" i="19"/>
  <c r="E763" i="19"/>
  <c r="E781" i="19"/>
  <c r="G822" i="19"/>
  <c r="F822" i="19"/>
  <c r="E822" i="19"/>
  <c r="G825" i="19"/>
  <c r="F825" i="19"/>
  <c r="G830" i="19"/>
  <c r="F830" i="19"/>
  <c r="E830" i="19"/>
  <c r="G833" i="19"/>
  <c r="E833" i="19"/>
  <c r="G850" i="19"/>
  <c r="F850" i="19"/>
  <c r="G857" i="19"/>
  <c r="E857" i="19"/>
  <c r="G882" i="19"/>
  <c r="F882" i="19"/>
  <c r="G889" i="19"/>
  <c r="E889" i="19"/>
  <c r="G906" i="19"/>
  <c r="F906" i="19"/>
  <c r="E906" i="19"/>
  <c r="F925" i="19"/>
  <c r="E925" i="19"/>
  <c r="G929" i="19"/>
  <c r="E929" i="19"/>
  <c r="F929" i="19"/>
  <c r="G934" i="19"/>
  <c r="F934" i="19"/>
  <c r="G937" i="19"/>
  <c r="E937" i="19"/>
  <c r="G974" i="19"/>
  <c r="F974" i="19"/>
  <c r="G977" i="19"/>
  <c r="E977" i="19"/>
  <c r="G992" i="19"/>
  <c r="F992" i="19"/>
  <c r="E992" i="19"/>
  <c r="G761" i="19"/>
  <c r="F761" i="19"/>
  <c r="F779" i="19"/>
  <c r="E779" i="19"/>
  <c r="F781" i="19"/>
  <c r="E825" i="19"/>
  <c r="F833" i="19"/>
  <c r="E850" i="19"/>
  <c r="F857" i="19"/>
  <c r="G871" i="19"/>
  <c r="F871" i="19"/>
  <c r="G895" i="19"/>
  <c r="F895" i="19"/>
  <c r="E895" i="19"/>
  <c r="G914" i="19"/>
  <c r="F914" i="19"/>
  <c r="E914" i="19"/>
  <c r="F922" i="19"/>
  <c r="G925" i="19"/>
  <c r="G945" i="19"/>
  <c r="E945" i="19"/>
  <c r="F945" i="19"/>
  <c r="G968" i="19"/>
  <c r="F968" i="19"/>
  <c r="E968" i="19"/>
  <c r="F989" i="19"/>
  <c r="E989" i="19"/>
  <c r="G993" i="19"/>
  <c r="E993" i="19"/>
  <c r="F993" i="19"/>
  <c r="E665" i="19"/>
  <c r="E673" i="19"/>
  <c r="E681" i="19"/>
  <c r="E689" i="19"/>
  <c r="E697" i="19"/>
  <c r="E705" i="19"/>
  <c r="E713" i="19"/>
  <c r="E721" i="19"/>
  <c r="E729" i="19"/>
  <c r="F739" i="19"/>
  <c r="E739" i="19"/>
  <c r="F752" i="19"/>
  <c r="F754" i="19"/>
  <c r="E759" i="19"/>
  <c r="E761" i="19"/>
  <c r="F768" i="19"/>
  <c r="F770" i="19"/>
  <c r="G779" i="19"/>
  <c r="E786" i="19"/>
  <c r="E791" i="19"/>
  <c r="E796" i="19"/>
  <c r="E799" i="19"/>
  <c r="E804" i="19"/>
  <c r="E807" i="19"/>
  <c r="E812" i="19"/>
  <c r="E815" i="19"/>
  <c r="E820" i="19"/>
  <c r="E823" i="19"/>
  <c r="E828" i="19"/>
  <c r="G834" i="19"/>
  <c r="F834" i="19"/>
  <c r="F845" i="19"/>
  <c r="G858" i="19"/>
  <c r="F858" i="19"/>
  <c r="G865" i="19"/>
  <c r="E865" i="19"/>
  <c r="E868" i="19"/>
  <c r="E871" i="19"/>
  <c r="G903" i="19"/>
  <c r="F903" i="19"/>
  <c r="E903" i="19"/>
  <c r="G922" i="19"/>
  <c r="E938" i="19"/>
  <c r="G938" i="19"/>
  <c r="F938" i="19"/>
  <c r="F965" i="19"/>
  <c r="E965" i="19"/>
  <c r="G971" i="19"/>
  <c r="F971" i="19"/>
  <c r="E971" i="19"/>
  <c r="F986" i="19"/>
  <c r="G989" i="19"/>
  <c r="F731" i="19"/>
  <c r="G739" i="19"/>
  <c r="G752" i="19"/>
  <c r="G768" i="19"/>
  <c r="F784" i="19"/>
  <c r="F796" i="19"/>
  <c r="F804" i="19"/>
  <c r="F812" i="19"/>
  <c r="F820" i="19"/>
  <c r="F828" i="19"/>
  <c r="E834" i="19"/>
  <c r="G845" i="19"/>
  <c r="G851" i="19"/>
  <c r="F851" i="19"/>
  <c r="E851" i="19"/>
  <c r="G854" i="19"/>
  <c r="F854" i="19"/>
  <c r="E854" i="19"/>
  <c r="E858" i="19"/>
  <c r="F865" i="19"/>
  <c r="G868" i="19"/>
  <c r="G879" i="19"/>
  <c r="F879" i="19"/>
  <c r="G911" i="19"/>
  <c r="F911" i="19"/>
  <c r="E911" i="19"/>
  <c r="G952" i="19"/>
  <c r="F952" i="19"/>
  <c r="E952" i="19"/>
  <c r="G965" i="19"/>
  <c r="G986" i="19"/>
  <c r="F832" i="19"/>
  <c r="E832" i="19"/>
  <c r="F848" i="19"/>
  <c r="E848" i="19"/>
  <c r="G926" i="19"/>
  <c r="F926" i="19"/>
  <c r="F941" i="19"/>
  <c r="E941" i="19"/>
  <c r="G944" i="19"/>
  <c r="F944" i="19"/>
  <c r="E944" i="19"/>
  <c r="G958" i="19"/>
  <c r="F958" i="19"/>
  <c r="G963" i="19"/>
  <c r="F963" i="19"/>
  <c r="E963" i="19"/>
  <c r="G990" i="19"/>
  <c r="F990" i="19"/>
  <c r="G995" i="19"/>
  <c r="F995" i="19"/>
  <c r="E995" i="19"/>
  <c r="G832" i="19"/>
  <c r="G846" i="19"/>
  <c r="F846" i="19"/>
  <c r="F856" i="19"/>
  <c r="E856" i="19"/>
  <c r="F864" i="19"/>
  <c r="E864" i="19"/>
  <c r="F872" i="19"/>
  <c r="E872" i="19"/>
  <c r="F880" i="19"/>
  <c r="E880" i="19"/>
  <c r="F888" i="19"/>
  <c r="E888" i="19"/>
  <c r="F917" i="19"/>
  <c r="E917" i="19"/>
  <c r="G920" i="19"/>
  <c r="F920" i="19"/>
  <c r="E920" i="19"/>
  <c r="G923" i="19"/>
  <c r="F923" i="19"/>
  <c r="E923" i="19"/>
  <c r="E926" i="19"/>
  <c r="E932" i="19"/>
  <c r="G941" i="19"/>
  <c r="G950" i="19"/>
  <c r="F950" i="19"/>
  <c r="G955" i="19"/>
  <c r="F955" i="19"/>
  <c r="E955" i="19"/>
  <c r="E958" i="19"/>
  <c r="F978" i="19"/>
  <c r="F981" i="19"/>
  <c r="E981" i="19"/>
  <c r="G984" i="19"/>
  <c r="F984" i="19"/>
  <c r="E984" i="19"/>
  <c r="G987" i="19"/>
  <c r="F987" i="19"/>
  <c r="E987" i="19"/>
  <c r="E990" i="19"/>
  <c r="F837" i="19"/>
  <c r="E846" i="19"/>
  <c r="G856" i="19"/>
  <c r="G864" i="19"/>
  <c r="G872" i="19"/>
  <c r="G880" i="19"/>
  <c r="G888" i="19"/>
  <c r="F893" i="19"/>
  <c r="F896" i="19"/>
  <c r="E896" i="19"/>
  <c r="F901" i="19"/>
  <c r="F904" i="19"/>
  <c r="E904" i="19"/>
  <c r="F909" i="19"/>
  <c r="F912" i="19"/>
  <c r="E912" i="19"/>
  <c r="G917" i="19"/>
  <c r="G932" i="19"/>
  <c r="G942" i="19"/>
  <c r="F942" i="19"/>
  <c r="G947" i="19"/>
  <c r="F947" i="19"/>
  <c r="E947" i="19"/>
  <c r="E950" i="19"/>
  <c r="E972" i="19"/>
  <c r="G978" i="19"/>
  <c r="G981" i="19"/>
  <c r="G867" i="19"/>
  <c r="F867" i="19"/>
  <c r="E867" i="19"/>
  <c r="G870" i="19"/>
  <c r="F870" i="19"/>
  <c r="G875" i="19"/>
  <c r="F875" i="19"/>
  <c r="E875" i="19"/>
  <c r="G878" i="19"/>
  <c r="F878" i="19"/>
  <c r="G883" i="19"/>
  <c r="F883" i="19"/>
  <c r="E883" i="19"/>
  <c r="G886" i="19"/>
  <c r="F886" i="19"/>
  <c r="G918" i="19"/>
  <c r="F918" i="19"/>
  <c r="G921" i="19"/>
  <c r="E921" i="19"/>
  <c r="F933" i="19"/>
  <c r="E933" i="19"/>
  <c r="G936" i="19"/>
  <c r="F936" i="19"/>
  <c r="E936" i="19"/>
  <c r="G939" i="19"/>
  <c r="F939" i="19"/>
  <c r="E939" i="19"/>
  <c r="G982" i="19"/>
  <c r="F982" i="19"/>
  <c r="G985" i="19"/>
  <c r="E985" i="19"/>
  <c r="F840" i="19"/>
  <c r="E840" i="19"/>
  <c r="E870" i="19"/>
  <c r="E878" i="19"/>
  <c r="E886" i="19"/>
  <c r="G891" i="19"/>
  <c r="F891" i="19"/>
  <c r="E891" i="19"/>
  <c r="G894" i="19"/>
  <c r="F894" i="19"/>
  <c r="G899" i="19"/>
  <c r="F899" i="19"/>
  <c r="E899" i="19"/>
  <c r="G902" i="19"/>
  <c r="F902" i="19"/>
  <c r="G907" i="19"/>
  <c r="F907" i="19"/>
  <c r="E907" i="19"/>
  <c r="G910" i="19"/>
  <c r="F910" i="19"/>
  <c r="G915" i="19"/>
  <c r="F915" i="19"/>
  <c r="E915" i="19"/>
  <c r="E918" i="19"/>
  <c r="F921" i="19"/>
  <c r="E924" i="19"/>
  <c r="G930" i="19"/>
  <c r="G933" i="19"/>
  <c r="E956" i="19"/>
  <c r="G964" i="19"/>
  <c r="F973" i="19"/>
  <c r="E973" i="19"/>
  <c r="G976" i="19"/>
  <c r="F976" i="19"/>
  <c r="E976" i="19"/>
  <c r="G979" i="19"/>
  <c r="F979" i="19"/>
  <c r="E979" i="19"/>
  <c r="E982" i="19"/>
  <c r="F985" i="19"/>
  <c r="E988" i="19"/>
  <c r="G996" i="19"/>
  <c r="G1000" i="19"/>
  <c r="F1000" i="19"/>
  <c r="E1000" i="19"/>
  <c r="AH2" i="16"/>
  <c r="Z119" i="16" s="1" a="1"/>
  <c r="Z119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P2" i="16" l="1"/>
  <c r="Z431" i="16" s="1" a="1"/>
  <c r="Z431" i="16" s="1"/>
  <c r="AQ2" i="16"/>
  <c r="Z470" i="16" s="1" a="1"/>
  <c r="Z470" i="16" s="1"/>
  <c r="U41" i="16" a="1"/>
  <c r="U41" i="16" s="1"/>
  <c r="P80" i="16" a="1"/>
  <c r="P80" i="16" s="1"/>
  <c r="C2" i="16"/>
  <c r="AA2" i="16" s="1"/>
  <c r="P42" i="16" a="1"/>
  <c r="P42" i="16" s="1"/>
  <c r="B2" i="16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3" i="16" a="1"/>
  <c r="AA4" i="16"/>
  <c r="AB2" i="16" a="1"/>
  <c r="AB2" i="16" l="1"/>
  <c r="AB3" i="16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Q3" i="16"/>
  <c r="R2" i="16" a="1"/>
  <c r="AB4" i="16" a="1"/>
  <c r="AA5" i="16"/>
  <c r="AB4" i="16" l="1"/>
  <c r="AL2" i="16" a="1"/>
  <c r="R2" i="16"/>
  <c r="W2" i="16" a="1"/>
  <c r="AA6" i="16"/>
  <c r="AB5" i="16" a="1"/>
  <c r="R3" i="16" a="1"/>
  <c r="Q4" i="16"/>
  <c r="AB5" i="16" l="1"/>
  <c r="AL2" i="16"/>
  <c r="Z275" i="16" s="1" a="1"/>
  <c r="Z275" i="16" s="1"/>
  <c r="W2" i="16"/>
  <c r="R3" i="16"/>
  <c r="AA7" i="16"/>
  <c r="R4" i="16" a="1"/>
  <c r="AB6" i="16" a="1"/>
  <c r="Q5" i="16"/>
  <c r="AB6" i="16" l="1"/>
  <c r="R4" i="16"/>
  <c r="AB7" i="16" a="1"/>
  <c r="Q6" i="16"/>
  <c r="AA8" i="16"/>
  <c r="R5" i="16" a="1"/>
  <c r="AB7" i="16" l="1"/>
  <c r="R5" i="16"/>
  <c r="R6" i="16" a="1"/>
  <c r="AA9" i="16"/>
  <c r="AB8" i="16" a="1"/>
  <c r="Q7" i="16"/>
  <c r="AB8" i="16" l="1"/>
  <c r="R6" i="16"/>
  <c r="AB9" i="16" a="1"/>
  <c r="R7" i="16" a="1"/>
  <c r="Q8" i="16"/>
  <c r="AA10" i="16"/>
  <c r="AB9" i="16" l="1"/>
  <c r="R7" i="16"/>
  <c r="AB10" i="16" a="1"/>
  <c r="R8" i="16" a="1"/>
  <c r="AA11" i="16"/>
  <c r="Q9" i="16"/>
  <c r="AB10" i="16" l="1"/>
  <c r="R8" i="16"/>
  <c r="AB11" i="16" a="1"/>
  <c r="R9" i="16" a="1"/>
  <c r="Q10" i="16"/>
  <c r="AA12" i="16"/>
  <c r="AB11" i="16" l="1"/>
  <c r="R9" i="16"/>
  <c r="Q11" i="16"/>
  <c r="AA13" i="16"/>
  <c r="R10" i="16" a="1"/>
  <c r="AB12" i="16" a="1"/>
  <c r="AB12" i="16" l="1"/>
  <c r="R10" i="16"/>
  <c r="AB13" i="16" a="1"/>
  <c r="R11" i="16" a="1"/>
  <c r="Q12" i="16"/>
  <c r="AA14" i="16"/>
  <c r="AB13" i="16" l="1"/>
  <c r="R11" i="16"/>
  <c r="AA15" i="16"/>
  <c r="Q13" i="16"/>
  <c r="R12" i="16" a="1"/>
  <c r="AB14" i="16" a="1"/>
  <c r="AB14" i="16" l="1"/>
  <c r="R12" i="16"/>
  <c r="AB15" i="16" a="1"/>
  <c r="Q14" i="16"/>
  <c r="R13" i="16" a="1"/>
  <c r="AA16" i="16"/>
  <c r="AB15" i="16" l="1"/>
  <c r="R13" i="16"/>
  <c r="R14" i="16" a="1"/>
  <c r="AB16" i="16" a="1"/>
  <c r="Q15" i="16"/>
  <c r="AA17" i="16"/>
  <c r="AB16" i="16" l="1"/>
  <c r="R14" i="16"/>
  <c r="R15" i="16" a="1"/>
  <c r="Q16" i="16"/>
  <c r="AB17" i="16" a="1"/>
  <c r="AA18" i="16"/>
  <c r="AB17" i="16" l="1"/>
  <c r="R15" i="16"/>
  <c r="AA19" i="16"/>
  <c r="Q17" i="16"/>
  <c r="AB18" i="16" a="1"/>
  <c r="R16" i="16" a="1"/>
  <c r="AB18" i="16" l="1"/>
  <c r="R16" i="16"/>
  <c r="Q18" i="16"/>
  <c r="AA20" i="16"/>
  <c r="AB19" i="16" a="1"/>
  <c r="R17" i="16" a="1"/>
  <c r="AB19" i="16" l="1"/>
  <c r="R17" i="16"/>
  <c r="AB20" i="16" a="1"/>
  <c r="R18" i="16" a="1"/>
  <c r="AA21" i="16"/>
  <c r="Q19" i="16"/>
  <c r="AB20" i="16" l="1"/>
  <c r="R18" i="16"/>
  <c r="AA22" i="16"/>
  <c r="Q20" i="16"/>
  <c r="AB21" i="16" a="1"/>
  <c r="R19" i="16" a="1"/>
  <c r="AB21" i="16" l="1"/>
  <c r="R19" i="16"/>
  <c r="AB22" i="16" a="1"/>
  <c r="AA23" i="16"/>
  <c r="R20" i="16" a="1"/>
  <c r="Q21" i="16"/>
  <c r="AB22" i="16" l="1"/>
  <c r="R20" i="16"/>
  <c r="AB23" i="16" a="1"/>
  <c r="AA24" i="16"/>
  <c r="R21" i="16" a="1"/>
  <c r="Q22" i="16"/>
  <c r="AB23" i="16" l="1"/>
  <c r="R21" i="16"/>
  <c r="AB24" i="16" a="1"/>
  <c r="R22" i="16" a="1"/>
  <c r="AA25" i="16"/>
  <c r="Q23" i="16"/>
  <c r="AB24" i="16" l="1"/>
  <c r="R22" i="16"/>
  <c r="AA26" i="16"/>
  <c r="Q24" i="16"/>
  <c r="R23" i="16" a="1"/>
  <c r="AB25" i="16" a="1"/>
  <c r="AB25" i="16" l="1"/>
  <c r="R23" i="16"/>
  <c r="R24" i="16" a="1"/>
  <c r="Q25" i="16"/>
  <c r="AB26" i="16" a="1"/>
  <c r="AA27" i="16"/>
  <c r="AB26" i="16" l="1"/>
  <c r="R24" i="16"/>
  <c r="R25" i="16" a="1"/>
  <c r="AA28" i="16"/>
  <c r="Q26" i="16"/>
  <c r="AB27" i="16" a="1"/>
  <c r="AB27" i="16" l="1"/>
  <c r="R25" i="16"/>
  <c r="AB28" i="16" a="1"/>
  <c r="AA29" i="16"/>
  <c r="Q27" i="16"/>
  <c r="R26" i="16" a="1"/>
  <c r="AB28" i="16" l="1"/>
  <c r="R26" i="16"/>
  <c r="AB29" i="16" a="1"/>
  <c r="R27" i="16" a="1"/>
  <c r="AA30" i="16"/>
  <c r="Q28" i="16"/>
  <c r="AB29" i="16" l="1"/>
  <c r="R27" i="16"/>
  <c r="R28" i="16" a="1"/>
  <c r="AB30" i="16" a="1"/>
  <c r="Q29" i="16"/>
  <c r="AA31" i="16"/>
  <c r="AB30" i="16" l="1"/>
  <c r="R28" i="16"/>
  <c r="AA32" i="16"/>
  <c r="Q30" i="16"/>
  <c r="R29" i="16" a="1"/>
  <c r="AB31" i="16" a="1"/>
  <c r="AB31" i="16" l="1"/>
  <c r="R29" i="16"/>
  <c r="AB32" i="16" a="1"/>
  <c r="R30" i="16" a="1"/>
  <c r="Q31" i="16"/>
  <c r="AA33" i="16"/>
  <c r="AB32" i="16" l="1"/>
  <c r="R30" i="16"/>
  <c r="AA34" i="16"/>
  <c r="R31" i="16" a="1"/>
  <c r="Q32" i="16"/>
  <c r="AB33" i="16" a="1"/>
  <c r="AB33" i="16" l="1"/>
  <c r="R31" i="16"/>
  <c r="AB34" i="16" a="1"/>
  <c r="AA35" i="16"/>
  <c r="R32" i="16" a="1"/>
  <c r="Q33" i="16"/>
  <c r="AB34" i="16" l="1"/>
  <c r="R32" i="16"/>
  <c r="Q34" i="16"/>
  <c r="AA36" i="16"/>
  <c r="AB35" i="16" a="1"/>
  <c r="R33" i="16" a="1"/>
  <c r="AB35" i="16" l="1"/>
  <c r="R33" i="16"/>
  <c r="AB36" i="16" a="1"/>
  <c r="AA37" i="16"/>
  <c r="Q35" i="16"/>
  <c r="R34" i="16" a="1"/>
  <c r="AB36" i="16" l="1"/>
  <c r="R34" i="16"/>
  <c r="R35" i="16" a="1"/>
  <c r="Q36" i="16"/>
  <c r="AB37" i="16" a="1"/>
  <c r="AA38" i="16"/>
  <c r="AB37" i="16" l="1"/>
  <c r="R35" i="16"/>
  <c r="Q37" i="16"/>
  <c r="R36" i="16" a="1"/>
  <c r="AA39" i="16"/>
  <c r="AB38" i="16" a="1"/>
  <c r="AB38" i="16" l="1"/>
  <c r="R36" i="16"/>
  <c r="AB39" i="16" a="1"/>
  <c r="Q38" i="16"/>
  <c r="R37" i="16" a="1"/>
  <c r="AA40" i="16"/>
  <c r="AB39" i="16" l="1"/>
  <c r="R37" i="16"/>
  <c r="AB40" i="16" a="1"/>
  <c r="AA41" i="16"/>
  <c r="R38" i="16" a="1"/>
  <c r="Q39" i="16"/>
  <c r="AB40" i="16" l="1"/>
  <c r="R38" i="16"/>
  <c r="R39" i="16" a="1"/>
  <c r="AA42" i="16"/>
  <c r="AB41" i="16" a="1"/>
  <c r="Q40" i="16"/>
  <c r="AB41" i="16" l="1"/>
  <c r="R39" i="16"/>
  <c r="AA43" i="16"/>
  <c r="AB42" i="16" a="1"/>
  <c r="R40" i="16" a="1"/>
  <c r="Q41" i="16"/>
  <c r="AB42" i="16" l="1"/>
  <c r="R40" i="16"/>
  <c r="AA44" i="16"/>
  <c r="AB43" i="16" a="1"/>
  <c r="Q42" i="16"/>
  <c r="R41" i="16" a="1"/>
  <c r="AB43" i="16" l="1"/>
  <c r="R41" i="16"/>
  <c r="AB44" i="16" a="1"/>
  <c r="Q43" i="16"/>
  <c r="R42" i="16" a="1"/>
  <c r="AA45" i="16"/>
  <c r="AB44" i="16" l="1"/>
  <c r="R42" i="16"/>
  <c r="R43" i="16" a="1"/>
  <c r="Q44" i="16"/>
  <c r="AA46" i="16"/>
  <c r="AB45" i="16" a="1"/>
  <c r="AB45" i="16" l="1"/>
  <c r="R43" i="16"/>
  <c r="AA47" i="16"/>
  <c r="AB46" i="16" a="1"/>
  <c r="R44" i="16" a="1"/>
  <c r="Q45" i="16"/>
  <c r="AB46" i="16" l="1"/>
  <c r="R44" i="16"/>
  <c r="R45" i="16" a="1"/>
  <c r="AA48" i="16"/>
  <c r="Q46" i="16"/>
  <c r="AB47" i="16" a="1"/>
  <c r="AB47" i="16" l="1"/>
  <c r="R45" i="16"/>
  <c r="AB48" i="16" a="1"/>
  <c r="R46" i="16" a="1"/>
  <c r="AA49" i="16"/>
  <c r="Q47" i="16"/>
  <c r="AB48" i="16" l="1"/>
  <c r="R46" i="16"/>
  <c r="R47" i="16" a="1"/>
  <c r="Q48" i="16"/>
  <c r="AB49" i="16" a="1"/>
  <c r="AA50" i="16"/>
  <c r="AB49" i="16" l="1"/>
  <c r="R47" i="16"/>
  <c r="Q49" i="16"/>
  <c r="AA51" i="16"/>
  <c r="AB50" i="16" a="1"/>
  <c r="R48" i="16" a="1"/>
  <c r="AB50" i="16" l="1"/>
  <c r="R48" i="16"/>
  <c r="Q50" i="16"/>
  <c r="R49" i="16" a="1"/>
  <c r="AB51" i="16" a="1"/>
  <c r="AA52" i="16"/>
  <c r="AB51" i="16" l="1"/>
  <c r="R49" i="16"/>
  <c r="R50" i="16" a="1"/>
  <c r="AB52" i="16" a="1"/>
  <c r="Q51" i="16"/>
  <c r="AA53" i="16"/>
  <c r="AB52" i="16" l="1"/>
  <c r="R50" i="16"/>
  <c r="Q52" i="16"/>
  <c r="AB53" i="16" a="1"/>
  <c r="R51" i="16" a="1"/>
  <c r="AA54" i="16"/>
  <c r="AB53" i="16" l="1"/>
  <c r="R51" i="16"/>
  <c r="AB54" i="16" a="1"/>
  <c r="AA55" i="16"/>
  <c r="R52" i="16" a="1"/>
  <c r="Q53" i="16"/>
  <c r="AB54" i="16" l="1"/>
  <c r="R52" i="16"/>
  <c r="R53" i="16" a="1"/>
  <c r="Q54" i="16"/>
  <c r="AA56" i="16"/>
  <c r="AB55" i="16" a="1"/>
  <c r="AB55" i="16" l="1"/>
  <c r="R53" i="16"/>
  <c r="Q55" i="16"/>
  <c r="AA57" i="16"/>
  <c r="R54" i="16" a="1"/>
  <c r="AB56" i="16" a="1"/>
  <c r="AB56" i="16" l="1"/>
  <c r="R54" i="16"/>
  <c r="R55" i="16" a="1"/>
  <c r="AA58" i="16"/>
  <c r="Q56" i="16"/>
  <c r="AB57" i="16" a="1"/>
  <c r="AB57" i="16" l="1"/>
  <c r="R55" i="16"/>
  <c r="R56" i="16" a="1"/>
  <c r="Q57" i="16"/>
  <c r="AA59" i="16"/>
  <c r="AB58" i="16" a="1"/>
  <c r="AB58" i="16" l="1"/>
  <c r="R56" i="16"/>
  <c r="R57" i="16" a="1"/>
  <c r="Q58" i="16"/>
  <c r="AB59" i="16" a="1"/>
  <c r="AA60" i="16"/>
  <c r="AB59" i="16" l="1"/>
  <c r="R57" i="16"/>
  <c r="Q59" i="16"/>
  <c r="AB60" i="16" a="1"/>
  <c r="AA61" i="16"/>
  <c r="R58" i="16" a="1"/>
  <c r="AB60" i="16" l="1"/>
  <c r="R58" i="16"/>
  <c r="Q60" i="16"/>
  <c r="AA62" i="16"/>
  <c r="AB61" i="16" a="1"/>
  <c r="R59" i="16" a="1"/>
  <c r="AB61" i="16" l="1"/>
  <c r="R59" i="16"/>
  <c r="AB62" i="16" a="1"/>
  <c r="AA63" i="16"/>
  <c r="R60" i="16" a="1"/>
  <c r="Q61" i="16"/>
  <c r="AB62" i="16" l="1"/>
  <c r="R60" i="16"/>
  <c r="AA64" i="16"/>
  <c r="AB63" i="16" a="1"/>
  <c r="R61" i="16" a="1"/>
  <c r="Q62" i="16"/>
  <c r="AB63" i="16" l="1"/>
  <c r="R61" i="16"/>
  <c r="AB64" i="16" a="1"/>
  <c r="R62" i="16" a="1"/>
  <c r="AA65" i="16"/>
  <c r="Q63" i="16"/>
  <c r="AB64" i="16" l="1"/>
  <c r="R62" i="16"/>
  <c r="R63" i="16" a="1"/>
  <c r="AB65" i="16" a="1"/>
  <c r="Q64" i="16"/>
  <c r="AA66" i="16"/>
  <c r="AB65" i="16" l="1"/>
  <c r="R63" i="16"/>
  <c r="R64" i="16" a="1"/>
  <c r="Q65" i="16"/>
  <c r="AA67" i="16"/>
  <c r="AB66" i="16" a="1"/>
  <c r="AB66" i="16" l="1"/>
  <c r="R64" i="16"/>
  <c r="R65" i="16" a="1"/>
  <c r="AA68" i="16"/>
  <c r="AB67" i="16" a="1"/>
  <c r="Q66" i="16"/>
  <c r="AB67" i="16" l="1"/>
  <c r="R65" i="16"/>
  <c r="R66" i="16" a="1"/>
  <c r="AA69" i="16"/>
  <c r="Q67" i="16"/>
  <c r="AB68" i="16" a="1"/>
  <c r="AB68" i="16" l="1"/>
  <c r="R66" i="16"/>
  <c r="R67" i="16" a="1"/>
  <c r="Q68" i="16"/>
  <c r="AB69" i="16" a="1"/>
  <c r="AA70" i="16"/>
  <c r="AB69" i="16" l="1"/>
  <c r="R67" i="16"/>
  <c r="Q69" i="16"/>
  <c r="AB70" i="16" a="1"/>
  <c r="R68" i="16" a="1"/>
  <c r="AA71" i="16"/>
  <c r="AB70" i="16" l="1"/>
  <c r="R68" i="16"/>
  <c r="R69" i="16" a="1"/>
  <c r="Q70" i="16"/>
  <c r="AA72" i="16"/>
  <c r="AB71" i="16" a="1"/>
  <c r="AB71" i="16" l="1"/>
  <c r="R69" i="16"/>
  <c r="R70" i="16" a="1"/>
  <c r="Q71" i="16"/>
  <c r="AA73" i="16"/>
  <c r="AB72" i="16" a="1"/>
  <c r="AB72" i="16" l="1"/>
  <c r="R70" i="16"/>
  <c r="R71" i="16" a="1"/>
  <c r="AB73" i="16" a="1"/>
  <c r="AA74" i="16"/>
  <c r="Q72" i="16"/>
  <c r="AB73" i="16" l="1"/>
  <c r="R71" i="16"/>
  <c r="Q73" i="16"/>
  <c r="AB74" i="16" a="1"/>
  <c r="R72" i="16" a="1"/>
  <c r="AA75" i="16"/>
  <c r="AB74" i="16" l="1"/>
  <c r="R72" i="16"/>
  <c r="AB75" i="16" a="1"/>
  <c r="R73" i="16" a="1"/>
  <c r="Q74" i="16"/>
  <c r="AA76" i="16"/>
  <c r="AB75" i="16" l="1"/>
  <c r="R73" i="16"/>
  <c r="AB76" i="16" a="1"/>
  <c r="AA77" i="16"/>
  <c r="R74" i="16" a="1"/>
  <c r="Q75" i="16"/>
  <c r="AB76" i="16" l="1"/>
  <c r="R74" i="16"/>
  <c r="AA78" i="16"/>
  <c r="R75" i="16" a="1"/>
  <c r="Q76" i="16"/>
  <c r="AB77" i="16" a="1"/>
  <c r="AB77" i="16" l="1"/>
  <c r="R75" i="16"/>
  <c r="AA79" i="16"/>
  <c r="AB78" i="16" a="1"/>
  <c r="Q77" i="16"/>
  <c r="R76" i="16" a="1"/>
  <c r="AB78" i="16" l="1"/>
  <c r="R76" i="16"/>
  <c r="AB79" i="16" a="1"/>
  <c r="R77" i="16" a="1"/>
  <c r="AA80" i="16"/>
  <c r="Q78" i="16"/>
  <c r="AB79" i="16" l="1"/>
  <c r="R77" i="16"/>
  <c r="AB80" i="16" a="1"/>
  <c r="R78" i="16" a="1"/>
  <c r="Q79" i="16"/>
  <c r="AA81" i="16"/>
  <c r="AB80" i="16" l="1"/>
  <c r="R78" i="16"/>
  <c r="AB81" i="16" a="1"/>
  <c r="AA82" i="16"/>
  <c r="Q80" i="16"/>
  <c r="R79" i="16" a="1"/>
  <c r="AB81" i="16" l="1"/>
  <c r="R79" i="16"/>
  <c r="R80" i="16" a="1"/>
  <c r="Q81" i="16"/>
  <c r="AA83" i="16"/>
  <c r="AB82" i="16" a="1"/>
  <c r="AB82" i="16" l="1"/>
  <c r="R80" i="16"/>
  <c r="AA84" i="16"/>
  <c r="R81" i="16" a="1"/>
  <c r="AB83" i="16" a="1"/>
  <c r="Q82" i="16"/>
  <c r="AB83" i="16" l="1"/>
  <c r="R81" i="16"/>
  <c r="AA85" i="16"/>
  <c r="R82" i="16" a="1"/>
  <c r="Q83" i="16"/>
  <c r="AB84" i="16" a="1"/>
  <c r="AB84" i="16" l="1"/>
  <c r="R82" i="16"/>
  <c r="AA86" i="16"/>
  <c r="Q84" i="16"/>
  <c r="R83" i="16" a="1"/>
  <c r="AB85" i="16" a="1"/>
  <c r="AB85" i="16" l="1"/>
  <c r="R83" i="16"/>
  <c r="AB86" i="16" a="1"/>
  <c r="R84" i="16" a="1"/>
  <c r="Q85" i="16"/>
  <c r="AA87" i="16"/>
  <c r="AB86" i="16" l="1"/>
  <c r="R84" i="16"/>
  <c r="R85" i="16" a="1"/>
  <c r="AA88" i="16"/>
  <c r="AB87" i="16" a="1"/>
  <c r="Q86" i="16"/>
  <c r="AB87" i="16" l="1"/>
  <c r="R85" i="16"/>
  <c r="Q87" i="16"/>
  <c r="AA89" i="16"/>
  <c r="AB88" i="16" a="1"/>
  <c r="R86" i="16" a="1"/>
  <c r="AB88" i="16" l="1"/>
  <c r="R86" i="16"/>
  <c r="AA90" i="16"/>
  <c r="R87" i="16" a="1"/>
  <c r="AB89" i="16" a="1"/>
  <c r="Q88" i="16"/>
  <c r="AB89" i="16" l="1"/>
  <c r="R87" i="16"/>
  <c r="Q89" i="16"/>
  <c r="AA91" i="16"/>
  <c r="AB90" i="16" a="1"/>
  <c r="R88" i="16" a="1"/>
  <c r="AB90" i="16" l="1"/>
  <c r="R88" i="16"/>
  <c r="AB91" i="16" a="1"/>
  <c r="R89" i="16" a="1"/>
  <c r="AA92" i="16"/>
  <c r="Q90" i="16"/>
  <c r="AB91" i="16" l="1"/>
  <c r="R89" i="16"/>
  <c r="Q91" i="16"/>
  <c r="R90" i="16" a="1"/>
  <c r="AB92" i="16" a="1"/>
  <c r="AA93" i="16"/>
  <c r="AB92" i="16" l="1"/>
  <c r="R90" i="16"/>
  <c r="R91" i="16" a="1"/>
  <c r="Q92" i="16"/>
  <c r="AB93" i="16" a="1"/>
  <c r="AA94" i="16"/>
  <c r="AB93" i="16" l="1"/>
  <c r="R91" i="16"/>
  <c r="AA95" i="16"/>
  <c r="AB94" i="16" a="1"/>
  <c r="R92" i="16" a="1"/>
  <c r="Q93" i="16"/>
  <c r="AB94" i="16" l="1"/>
  <c r="R92" i="16"/>
  <c r="R93" i="16" a="1"/>
  <c r="Q94" i="16"/>
  <c r="AA96" i="16"/>
  <c r="AB95" i="16" a="1"/>
  <c r="AB95" i="16" l="1"/>
  <c r="R93" i="16"/>
  <c r="R94" i="16" a="1"/>
  <c r="AB96" i="16" a="1"/>
  <c r="Q95" i="16"/>
  <c r="AA97" i="16"/>
  <c r="AB96" i="16" l="1"/>
  <c r="R94" i="16"/>
  <c r="AB97" i="16" a="1"/>
  <c r="R95" i="16" a="1"/>
  <c r="Q96" i="16"/>
  <c r="AA98" i="16"/>
  <c r="AB97" i="16" l="1"/>
  <c r="R95" i="16"/>
  <c r="R96" i="16" a="1"/>
  <c r="Q97" i="16"/>
  <c r="AB98" i="16" a="1"/>
  <c r="AA99" i="16"/>
  <c r="AB98" i="16" l="1"/>
  <c r="R96" i="16"/>
  <c r="Q98" i="16"/>
  <c r="AB99" i="16" a="1"/>
  <c r="R97" i="16" a="1"/>
  <c r="AA100" i="16"/>
  <c r="AB99" i="16" l="1"/>
  <c r="R97" i="16"/>
  <c r="AA101" i="16"/>
  <c r="R98" i="16" a="1"/>
  <c r="Q99" i="16"/>
  <c r="AB100" i="16" a="1"/>
  <c r="AB100" i="16" l="1"/>
  <c r="R98" i="16"/>
  <c r="AA102" i="16"/>
  <c r="AB101" i="16" a="1"/>
  <c r="Q100" i="16"/>
  <c r="R99" i="16" a="1"/>
  <c r="AB101" i="16" l="1"/>
  <c r="R99" i="16"/>
  <c r="AB102" i="16" a="1"/>
  <c r="Q101" i="16"/>
  <c r="R100" i="16" a="1"/>
  <c r="AA103" i="16"/>
  <c r="AB102" i="16" l="1"/>
  <c r="R100" i="16"/>
  <c r="Q102" i="16"/>
  <c r="R101" i="16" a="1"/>
  <c r="AB103" i="16" a="1"/>
  <c r="AA104" i="16"/>
  <c r="AB103" i="16" l="1"/>
  <c r="R101" i="16"/>
  <c r="AA105" i="16"/>
  <c r="Q103" i="16"/>
  <c r="AB104" i="16" a="1"/>
  <c r="R102" i="16" a="1"/>
  <c r="AB104" i="16" l="1"/>
  <c r="R102" i="16"/>
  <c r="R103" i="16" a="1"/>
  <c r="Q104" i="16"/>
  <c r="AA106" i="16"/>
  <c r="AB105" i="16" a="1"/>
  <c r="AB105" i="16" l="1"/>
  <c r="R103" i="16"/>
  <c r="R104" i="16" a="1"/>
  <c r="AB106" i="16" a="1"/>
  <c r="Q105" i="16"/>
  <c r="AA107" i="16"/>
  <c r="AB106" i="16" l="1"/>
  <c r="R104" i="16"/>
  <c r="AB107" i="16" a="1"/>
  <c r="R105" i="16" a="1"/>
  <c r="AA108" i="16"/>
  <c r="Q106" i="16"/>
  <c r="AB107" i="16" l="1"/>
  <c r="R105" i="16"/>
  <c r="R106" i="16" a="1"/>
  <c r="AA109" i="16"/>
  <c r="Q107" i="16"/>
  <c r="AB108" i="16" a="1"/>
  <c r="AB108" i="16" l="1"/>
  <c r="R106" i="16"/>
  <c r="AB109" i="16" a="1"/>
  <c r="Q108" i="16"/>
  <c r="R107" i="16" a="1"/>
  <c r="AA110" i="16"/>
  <c r="AB109" i="16" l="1"/>
  <c r="R107" i="16"/>
  <c r="AB110" i="16" a="1"/>
  <c r="AA111" i="16"/>
  <c r="R108" i="16" a="1"/>
  <c r="Q109" i="16"/>
  <c r="AB110" i="16" l="1"/>
  <c r="R108" i="16"/>
  <c r="R109" i="16" a="1"/>
  <c r="Q110" i="16"/>
  <c r="AB111" i="16" a="1"/>
  <c r="AA112" i="16"/>
  <c r="AB111" i="16" l="1"/>
  <c r="R109" i="16"/>
  <c r="AB112" i="16" a="1"/>
  <c r="R110" i="16" a="1"/>
  <c r="AA113" i="16"/>
  <c r="Q111" i="16"/>
  <c r="AB112" i="16" l="1"/>
  <c r="R110" i="16"/>
  <c r="R111" i="16" a="1"/>
  <c r="AA114" i="16"/>
  <c r="AB113" i="16" a="1"/>
  <c r="Q112" i="16"/>
  <c r="AB113" i="16" l="1"/>
  <c r="R111" i="16"/>
  <c r="R112" i="16" a="1"/>
  <c r="AA115" i="16"/>
  <c r="Q113" i="16"/>
  <c r="AB114" i="16" a="1"/>
  <c r="AB114" i="16" l="1"/>
  <c r="R112" i="16"/>
  <c r="AA116" i="16"/>
  <c r="R113" i="16" a="1"/>
  <c r="Q114" i="16"/>
  <c r="AB115" i="16" a="1"/>
  <c r="AB115" i="16" l="1"/>
  <c r="R113" i="16"/>
  <c r="Q115" i="16"/>
  <c r="AB116" i="16" a="1"/>
  <c r="AA117" i="16"/>
  <c r="R114" i="16" a="1"/>
  <c r="AB116" i="16" l="1"/>
  <c r="R114" i="16"/>
  <c r="AB117" i="16" a="1"/>
  <c r="Q116" i="16"/>
  <c r="R115" i="16" a="1"/>
  <c r="AA118" i="16"/>
  <c r="AB117" i="16" l="1"/>
  <c r="R115" i="16"/>
  <c r="R116" i="16" a="1"/>
  <c r="AA119" i="16"/>
  <c r="AB118" i="16" a="1"/>
  <c r="Q117" i="16"/>
  <c r="AB118" i="16" l="1"/>
  <c r="R116" i="16"/>
  <c r="Q118" i="16"/>
  <c r="R117" i="16" a="1"/>
  <c r="AA120" i="16"/>
  <c r="AB119" i="16" a="1"/>
  <c r="AB119" i="16" l="1"/>
  <c r="R117" i="16"/>
  <c r="R118" i="16" a="1"/>
  <c r="AA121" i="16"/>
  <c r="Q119" i="16"/>
  <c r="AB120" i="16" a="1"/>
  <c r="AB120" i="16" l="1"/>
  <c r="R118" i="16"/>
  <c r="R119" i="16" a="1"/>
  <c r="AB121" i="16" a="1"/>
  <c r="AA122" i="16"/>
  <c r="Q120" i="16"/>
  <c r="AB121" i="16" l="1"/>
  <c r="R119" i="16"/>
  <c r="R120" i="16" a="1"/>
  <c r="AA123" i="16"/>
  <c r="AB122" i="16" a="1"/>
  <c r="Q121" i="16"/>
  <c r="AB122" i="16" l="1"/>
  <c r="R120" i="16"/>
  <c r="R121" i="16" a="1"/>
  <c r="Q122" i="16"/>
  <c r="AA124" i="16"/>
  <c r="AB123" i="16" a="1"/>
  <c r="AB123" i="16" l="1"/>
  <c r="R121" i="16"/>
  <c r="Q123" i="16"/>
  <c r="R122" i="16" a="1"/>
  <c r="AA125" i="16"/>
  <c r="AB124" i="16" a="1"/>
  <c r="AB124" i="16" l="1"/>
  <c r="R122" i="16"/>
  <c r="Q124" i="16"/>
  <c r="AB125" i="16" a="1"/>
  <c r="R123" i="16" a="1"/>
  <c r="AA126" i="16"/>
  <c r="AB125" i="16" l="1"/>
  <c r="R123" i="16"/>
  <c r="AA127" i="16"/>
  <c r="R124" i="16" a="1"/>
  <c r="Q125" i="16"/>
  <c r="AB126" i="16" a="1"/>
  <c r="AB126" i="16" l="1"/>
  <c r="R124" i="16"/>
  <c r="R125" i="16" a="1"/>
  <c r="Q126" i="16"/>
  <c r="AA128" i="16"/>
  <c r="AB127" i="16" a="1"/>
  <c r="AB127" i="16" l="1"/>
  <c r="R125" i="16"/>
  <c r="Q127" i="16"/>
  <c r="AB128" i="16" a="1"/>
  <c r="R126" i="16" a="1"/>
  <c r="AA129" i="16"/>
  <c r="AB128" i="16" l="1"/>
  <c r="R126" i="16"/>
  <c r="R127" i="16" a="1"/>
  <c r="Q128" i="16"/>
  <c r="AA130" i="16"/>
  <c r="AB129" i="16" a="1"/>
  <c r="AB129" i="16" l="1"/>
  <c r="R127" i="16"/>
  <c r="AB130" i="16" a="1"/>
  <c r="AA131" i="16"/>
  <c r="Q129" i="16"/>
  <c r="R128" i="16" a="1"/>
  <c r="AB130" i="16" l="1"/>
  <c r="R128" i="16"/>
  <c r="AB131" i="16" a="1"/>
  <c r="R129" i="16" a="1"/>
  <c r="Q130" i="16"/>
  <c r="AA132" i="16"/>
  <c r="AB131" i="16" l="1"/>
  <c r="R129" i="16"/>
  <c r="R130" i="16" a="1"/>
  <c r="Q131" i="16"/>
  <c r="AB132" i="16" a="1"/>
  <c r="AA133" i="16"/>
  <c r="AB132" i="16" l="1"/>
  <c r="R130" i="16"/>
  <c r="R131" i="16" a="1"/>
  <c r="AB133" i="16" a="1"/>
  <c r="Q132" i="16"/>
  <c r="AA134" i="16"/>
  <c r="AB133" i="16" l="1"/>
  <c r="R131" i="16"/>
  <c r="R132" i="16" a="1"/>
  <c r="AB134" i="16" a="1"/>
  <c r="AA135" i="16"/>
  <c r="Q133" i="16"/>
  <c r="AB134" i="16" l="1"/>
  <c r="R132" i="16"/>
  <c r="Q134" i="16"/>
  <c r="AB135" i="16" a="1"/>
  <c r="R133" i="16" a="1"/>
  <c r="AA136" i="16"/>
  <c r="AB135" i="16" l="1"/>
  <c r="R133" i="16"/>
  <c r="AB136" i="16" a="1"/>
  <c r="Q135" i="16"/>
  <c r="R134" i="16" a="1"/>
  <c r="AA137" i="16"/>
  <c r="AB136" i="16" l="1"/>
  <c r="R134" i="16"/>
  <c r="Q136" i="16"/>
  <c r="AB137" i="16" a="1"/>
  <c r="R135" i="16" a="1"/>
  <c r="AA138" i="16"/>
  <c r="AB137" i="16" l="1"/>
  <c r="R135" i="16"/>
  <c r="AB138" i="16" a="1"/>
  <c r="R136" i="16" a="1"/>
  <c r="Q137" i="16"/>
  <c r="AA139" i="16"/>
  <c r="AB138" i="16" l="1"/>
  <c r="R136" i="16"/>
  <c r="AA140" i="16"/>
  <c r="AB139" i="16" a="1"/>
  <c r="R137" i="16" a="1"/>
  <c r="Q138" i="16"/>
  <c r="AB139" i="16" l="1"/>
  <c r="R137" i="16"/>
  <c r="R138" i="16" a="1"/>
  <c r="AB140" i="16" a="1"/>
  <c r="AA141" i="16"/>
  <c r="Q139" i="16"/>
  <c r="AB140" i="16" l="1"/>
  <c r="R138" i="16"/>
  <c r="Q140" i="16"/>
  <c r="AA142" i="16"/>
  <c r="AB141" i="16" a="1"/>
  <c r="R139" i="16" a="1"/>
  <c r="AB141" i="16" l="1"/>
  <c r="R139" i="16"/>
  <c r="R140" i="16" a="1"/>
  <c r="AB142" i="16" a="1"/>
  <c r="Q141" i="16"/>
  <c r="AA143" i="16"/>
  <c r="AB142" i="16" l="1"/>
  <c r="R140" i="16"/>
  <c r="AA144" i="16"/>
  <c r="R141" i="16" a="1"/>
  <c r="AB143" i="16" a="1"/>
  <c r="Q142" i="16"/>
  <c r="AB143" i="16" l="1"/>
  <c r="R141" i="16"/>
  <c r="AA145" i="16"/>
  <c r="R142" i="16" a="1"/>
  <c r="AB144" i="16" a="1"/>
  <c r="Q143" i="16"/>
  <c r="AB144" i="16" l="1"/>
  <c r="R142" i="16"/>
  <c r="Q144" i="16"/>
  <c r="R143" i="16" a="1"/>
  <c r="AA146" i="16"/>
  <c r="AB145" i="16" a="1"/>
  <c r="AB145" i="16" l="1"/>
  <c r="R143" i="16"/>
  <c r="AB146" i="16" a="1"/>
  <c r="Q145" i="16"/>
  <c r="AA147" i="16"/>
  <c r="R144" i="16" a="1"/>
  <c r="AB146" i="16" l="1"/>
  <c r="R144" i="16"/>
  <c r="AA148" i="16"/>
  <c r="R145" i="16" a="1"/>
  <c r="AB147" i="16" a="1"/>
  <c r="Q146" i="16"/>
  <c r="AB147" i="16" l="1"/>
  <c r="R145" i="16"/>
  <c r="R146" i="16" a="1"/>
  <c r="Q147" i="16"/>
  <c r="AB148" i="16" a="1"/>
  <c r="AA149" i="16"/>
  <c r="AB148" i="16" l="1"/>
  <c r="R146" i="16"/>
  <c r="R147" i="16" a="1"/>
  <c r="Q148" i="16"/>
  <c r="AA150" i="16"/>
  <c r="AB149" i="16" a="1"/>
  <c r="AB149" i="16" l="1"/>
  <c r="R147" i="16"/>
  <c r="R148" i="16" a="1"/>
  <c r="Q149" i="16"/>
  <c r="AA151" i="16"/>
  <c r="AB150" i="16" a="1"/>
  <c r="AB150" i="16" l="1"/>
  <c r="R148" i="16"/>
  <c r="AB151" i="16" a="1"/>
  <c r="R149" i="16" a="1"/>
  <c r="Q150" i="16"/>
  <c r="AA152" i="16"/>
  <c r="AB151" i="16" l="1"/>
  <c r="R149" i="16"/>
  <c r="Q151" i="16"/>
  <c r="R150" i="16" a="1"/>
  <c r="AA153" i="16"/>
  <c r="AB152" i="16" a="1"/>
  <c r="AB152" i="16" l="1"/>
  <c r="R150" i="16"/>
  <c r="AA154" i="16"/>
  <c r="Q152" i="16"/>
  <c r="R151" i="16" a="1"/>
  <c r="AB153" i="16" a="1"/>
  <c r="AB153" i="16" l="1"/>
  <c r="R151" i="16"/>
  <c r="AA155" i="16"/>
  <c r="R152" i="16" a="1"/>
  <c r="Q153" i="16"/>
  <c r="AB154" i="16" a="1"/>
  <c r="AB154" i="16" l="1"/>
  <c r="R152" i="16"/>
  <c r="R153" i="16" a="1"/>
  <c r="AB155" i="16" a="1"/>
  <c r="Q154" i="16"/>
  <c r="AA156" i="16"/>
  <c r="AB155" i="16" l="1"/>
  <c r="R153" i="16"/>
  <c r="R154" i="16" a="1"/>
  <c r="AB156" i="16" a="1"/>
  <c r="Q155" i="16"/>
  <c r="AA157" i="16"/>
  <c r="AB156" i="16" l="1"/>
  <c r="R154" i="16"/>
  <c r="AB157" i="16" a="1"/>
  <c r="AA158" i="16"/>
  <c r="Q156" i="16"/>
  <c r="R155" i="16" a="1"/>
  <c r="AB157" i="16" l="1"/>
  <c r="R155" i="16"/>
  <c r="R156" i="16" a="1"/>
  <c r="Q157" i="16"/>
  <c r="AB158" i="16" a="1"/>
  <c r="AA159" i="16"/>
  <c r="AB158" i="16" l="1"/>
  <c r="R156" i="16"/>
  <c r="Q158" i="16"/>
  <c r="AA160" i="16"/>
  <c r="R157" i="16" a="1"/>
  <c r="AB159" i="16" a="1"/>
  <c r="AB159" i="16" l="1"/>
  <c r="R157" i="16"/>
  <c r="AA161" i="16"/>
  <c r="AB160" i="16" a="1"/>
  <c r="Q159" i="16"/>
  <c r="R158" i="16" a="1"/>
  <c r="AB160" i="16" l="1"/>
  <c r="R158" i="16"/>
  <c r="R159" i="16" a="1"/>
  <c r="Q160" i="16"/>
  <c r="AB161" i="16" a="1"/>
  <c r="AA162" i="16"/>
  <c r="AB161" i="16" l="1"/>
  <c r="R159" i="16"/>
  <c r="R160" i="16" a="1"/>
  <c r="AB162" i="16" a="1"/>
  <c r="Q161" i="16"/>
  <c r="AA163" i="16"/>
  <c r="AB162" i="16" l="1"/>
  <c r="R160" i="16"/>
  <c r="AA164" i="16"/>
  <c r="AB163" i="16" a="1"/>
  <c r="Q162" i="16"/>
  <c r="R161" i="16" a="1"/>
  <c r="AB163" i="16" l="1"/>
  <c r="R161" i="16"/>
  <c r="Q163" i="16"/>
  <c r="AB164" i="16" a="1"/>
  <c r="AA165" i="16"/>
  <c r="R162" i="16" a="1"/>
  <c r="AB164" i="16" l="1"/>
  <c r="R162" i="16"/>
  <c r="AB165" i="16" a="1"/>
  <c r="R163" i="16" a="1"/>
  <c r="Q164" i="16"/>
  <c r="AA166" i="16"/>
  <c r="AB165" i="16" l="1"/>
  <c r="R163" i="16"/>
  <c r="AA167" i="16"/>
  <c r="AB166" i="16" a="1"/>
  <c r="Q165" i="16"/>
  <c r="R164" i="16" a="1"/>
  <c r="AB166" i="16" l="1"/>
  <c r="R164" i="16"/>
  <c r="Q166" i="16"/>
  <c r="AB167" i="16" a="1"/>
  <c r="AA168" i="16"/>
  <c r="R165" i="16" a="1"/>
  <c r="AB167" i="16" l="1"/>
  <c r="R165" i="16"/>
  <c r="AA169" i="16"/>
  <c r="Q167" i="16"/>
  <c r="R166" i="16" a="1"/>
  <c r="AB168" i="16" a="1"/>
  <c r="AB168" i="16" l="1"/>
  <c r="R166" i="16"/>
  <c r="R167" i="16" a="1"/>
  <c r="Q168" i="16"/>
  <c r="AB169" i="16" a="1"/>
  <c r="AA170" i="16"/>
  <c r="AB169" i="16" l="1"/>
  <c r="R167" i="16"/>
  <c r="AB170" i="16" a="1"/>
  <c r="AA171" i="16"/>
  <c r="R168" i="16" a="1"/>
  <c r="Q169" i="16"/>
  <c r="AB170" i="16" l="1"/>
  <c r="R168" i="16"/>
  <c r="AB171" i="16" a="1"/>
  <c r="AA172" i="16"/>
  <c r="Q170" i="16"/>
  <c r="R169" i="16" a="1"/>
  <c r="AB171" i="16" l="1"/>
  <c r="R169" i="16"/>
  <c r="R170" i="16" a="1"/>
  <c r="Q171" i="16"/>
  <c r="AA173" i="16"/>
  <c r="AB172" i="16" a="1"/>
  <c r="AB172" i="16" l="1"/>
  <c r="R170" i="16"/>
  <c r="R171" i="16" a="1"/>
  <c r="AB173" i="16" a="1"/>
  <c r="Q172" i="16"/>
  <c r="AA174" i="16"/>
  <c r="AB173" i="16" l="1"/>
  <c r="R171" i="16"/>
  <c r="R172" i="16" a="1"/>
  <c r="AB174" i="16" a="1"/>
  <c r="Q173" i="16"/>
  <c r="AA175" i="16"/>
  <c r="AB174" i="16" l="1"/>
  <c r="R172" i="16"/>
  <c r="R173" i="16" a="1"/>
  <c r="AA176" i="16"/>
  <c r="AB175" i="16" a="1"/>
  <c r="Q174" i="16"/>
  <c r="AB175" i="16" l="1"/>
  <c r="R173" i="16"/>
  <c r="R174" i="16" a="1"/>
  <c r="Q175" i="16"/>
  <c r="AA177" i="16"/>
  <c r="AB176" i="16" a="1"/>
  <c r="AB176" i="16" l="1"/>
  <c r="R174" i="16"/>
  <c r="AB177" i="16" a="1"/>
  <c r="AA178" i="16"/>
  <c r="Q176" i="16"/>
  <c r="R175" i="16" a="1"/>
  <c r="AB177" i="16" l="1"/>
  <c r="R175" i="16"/>
  <c r="R176" i="16" a="1"/>
  <c r="AA179" i="16"/>
  <c r="AB178" i="16" a="1"/>
  <c r="Q177" i="16"/>
  <c r="AB178" i="16" l="1"/>
  <c r="R176" i="16"/>
  <c r="AA180" i="16"/>
  <c r="AB179" i="16" a="1"/>
  <c r="Q178" i="16"/>
  <c r="R177" i="16" a="1"/>
  <c r="AB179" i="16" l="1"/>
  <c r="R177" i="16"/>
  <c r="Q179" i="16"/>
  <c r="AA181" i="16"/>
  <c r="R178" i="16" a="1"/>
  <c r="AB180" i="16" a="1"/>
  <c r="AB180" i="16" l="1"/>
  <c r="R178" i="16"/>
  <c r="Q180" i="16"/>
  <c r="R179" i="16" a="1"/>
  <c r="AB181" i="16" a="1"/>
  <c r="AA182" i="16"/>
  <c r="AB181" i="16" l="1"/>
  <c r="R179" i="16"/>
  <c r="Q181" i="16"/>
  <c r="AA183" i="16"/>
  <c r="R180" i="16" a="1"/>
  <c r="AB182" i="16" a="1"/>
  <c r="AB182" i="16" l="1"/>
  <c r="R180" i="16"/>
  <c r="AB183" i="16" a="1"/>
  <c r="R181" i="16" a="1"/>
  <c r="AA184" i="16"/>
  <c r="Q182" i="16"/>
  <c r="AB183" i="16" l="1"/>
  <c r="R181" i="16"/>
  <c r="AA185" i="16"/>
  <c r="Q183" i="16"/>
  <c r="R182" i="16" a="1"/>
  <c r="AB184" i="16" a="1"/>
  <c r="AB184" i="16" l="1"/>
  <c r="R182" i="16"/>
  <c r="Q184" i="16"/>
  <c r="AA186" i="16"/>
  <c r="R183" i="16" a="1"/>
  <c r="AB185" i="16" a="1"/>
  <c r="AB185" i="16" l="1"/>
  <c r="R183" i="16"/>
  <c r="AB186" i="16" a="1"/>
  <c r="R184" i="16" a="1"/>
  <c r="AA187" i="16"/>
  <c r="Q185" i="16"/>
  <c r="AB186" i="16" l="1"/>
  <c r="R184" i="16"/>
  <c r="R185" i="16" a="1"/>
  <c r="Q186" i="16"/>
  <c r="AA188" i="16"/>
  <c r="AB187" i="16" a="1"/>
  <c r="AB187" i="16" l="1"/>
  <c r="R185" i="16"/>
  <c r="AB188" i="16" a="1"/>
  <c r="R186" i="16" a="1"/>
  <c r="Q187" i="16"/>
  <c r="AA189" i="16"/>
  <c r="AB188" i="16" l="1"/>
  <c r="R186" i="16"/>
  <c r="AB189" i="16" a="1"/>
  <c r="AA190" i="16"/>
  <c r="Q188" i="16"/>
  <c r="R187" i="16" a="1"/>
  <c r="AB189" i="16" l="1"/>
  <c r="R187" i="16"/>
  <c r="Q189" i="16"/>
  <c r="AB190" i="16" a="1"/>
  <c r="R188" i="16" a="1"/>
  <c r="AA191" i="16"/>
  <c r="AB190" i="16" l="1"/>
  <c r="R188" i="16"/>
  <c r="R189" i="16" a="1"/>
  <c r="AA192" i="16"/>
  <c r="Q190" i="16"/>
  <c r="AB191" i="16" a="1"/>
  <c r="AB191" i="16" l="1"/>
  <c r="R189" i="16"/>
  <c r="AA193" i="16"/>
  <c r="AB192" i="16" a="1"/>
  <c r="Q191" i="16"/>
  <c r="R190" i="16" a="1"/>
  <c r="AB192" i="16" l="1"/>
  <c r="R190" i="16"/>
  <c r="R191" i="16" a="1"/>
  <c r="Q192" i="16"/>
  <c r="AA194" i="16"/>
  <c r="AB193" i="16" a="1"/>
  <c r="AB193" i="16" l="1"/>
  <c r="R191" i="16"/>
  <c r="AA195" i="16"/>
  <c r="AB194" i="16" a="1"/>
  <c r="Q193" i="16"/>
  <c r="R192" i="16" a="1"/>
  <c r="AB194" i="16" l="1"/>
  <c r="R192" i="16"/>
  <c r="AA196" i="16"/>
  <c r="Q194" i="16"/>
  <c r="AB195" i="16" a="1"/>
  <c r="R193" i="16" a="1"/>
  <c r="AB195" i="16" l="1"/>
  <c r="R193" i="16"/>
  <c r="Q195" i="16"/>
  <c r="AB196" i="16" a="1"/>
  <c r="AA197" i="16"/>
  <c r="R194" i="16" a="1"/>
  <c r="AB196" i="16" l="1"/>
  <c r="R194" i="16"/>
  <c r="R195" i="16" a="1"/>
  <c r="AB197" i="16" a="1"/>
  <c r="Q196" i="16"/>
  <c r="AA198" i="16"/>
  <c r="AB197" i="16" l="1"/>
  <c r="R195" i="16"/>
  <c r="AA199" i="16"/>
  <c r="R196" i="16" a="1"/>
  <c r="AB198" i="16" a="1"/>
  <c r="Q197" i="16"/>
  <c r="AB198" i="16" l="1"/>
  <c r="R196" i="16"/>
  <c r="AA200" i="16"/>
  <c r="R197" i="16" a="1"/>
  <c r="AB199" i="16" a="1"/>
  <c r="Q198" i="16"/>
  <c r="AB199" i="16" l="1"/>
  <c r="R197" i="16"/>
  <c r="R198" i="16" a="1"/>
  <c r="AA201" i="16"/>
  <c r="Q199" i="16"/>
  <c r="AB200" i="16" a="1"/>
  <c r="AB200" i="16" l="1"/>
  <c r="R198" i="16"/>
  <c r="AA202" i="16"/>
  <c r="Q200" i="16"/>
  <c r="R199" i="16" a="1"/>
  <c r="AB201" i="16" a="1"/>
  <c r="AB201" i="16" l="1"/>
  <c r="R199" i="16"/>
  <c r="AA203" i="16"/>
  <c r="AB202" i="16" a="1"/>
  <c r="R200" i="16" a="1"/>
  <c r="Q201" i="16"/>
  <c r="AB202" i="16" l="1"/>
  <c r="R200" i="16"/>
  <c r="R201" i="16" a="1"/>
  <c r="AB203" i="16" a="1"/>
  <c r="Q202" i="16"/>
  <c r="AA204" i="16"/>
  <c r="AB203" i="16" l="1"/>
  <c r="R201" i="16"/>
  <c r="R202" i="16" a="1"/>
  <c r="AB204" i="16" a="1"/>
  <c r="Q203" i="16"/>
  <c r="AA205" i="16"/>
  <c r="AB204" i="16" l="1"/>
  <c r="R202" i="16"/>
  <c r="Q204" i="16"/>
  <c r="R203" i="16" a="1"/>
  <c r="AB205" i="16" a="1"/>
  <c r="AA206" i="16"/>
  <c r="AB205" i="16" l="1"/>
  <c r="R203" i="16"/>
  <c r="AB206" i="16" a="1"/>
  <c r="Q205" i="16"/>
  <c r="R204" i="16" a="1"/>
  <c r="AA207" i="16"/>
  <c r="AB206" i="16" l="1"/>
  <c r="R204" i="16"/>
  <c r="AA208" i="16"/>
  <c r="R205" i="16" a="1"/>
  <c r="Q206" i="16"/>
  <c r="AB207" i="16" a="1"/>
  <c r="AB207" i="16" l="1"/>
  <c r="R205" i="16"/>
  <c r="AA209" i="16"/>
  <c r="R206" i="16" a="1"/>
  <c r="Q207" i="16"/>
  <c r="AB208" i="16" a="1"/>
  <c r="AB208" i="16" l="1"/>
  <c r="R206" i="16"/>
  <c r="R207" i="16" a="1"/>
  <c r="Q208" i="16"/>
  <c r="AB209" i="16" a="1"/>
  <c r="AA210" i="16"/>
  <c r="AB209" i="16" l="1"/>
  <c r="R207" i="16"/>
  <c r="Q209" i="16"/>
  <c r="AB210" i="16" a="1"/>
  <c r="R208" i="16" a="1"/>
  <c r="AA211" i="16"/>
  <c r="AB210" i="16" l="1"/>
  <c r="R208" i="16"/>
  <c r="AA212" i="16"/>
  <c r="Q210" i="16"/>
  <c r="AB211" i="16" a="1"/>
  <c r="R209" i="16" a="1"/>
  <c r="AB211" i="16" l="1"/>
  <c r="R209" i="16"/>
  <c r="R210" i="16" a="1"/>
  <c r="AA213" i="16"/>
  <c r="AB212" i="16" a="1"/>
  <c r="Q211" i="16"/>
  <c r="AB212" i="16" l="1"/>
  <c r="R210" i="16"/>
  <c r="Q212" i="16"/>
  <c r="AB213" i="16" a="1"/>
  <c r="R211" i="16" a="1"/>
  <c r="AA214" i="16"/>
  <c r="AB213" i="16" l="1"/>
  <c r="R211" i="16"/>
  <c r="R212" i="16" a="1"/>
  <c r="Q213" i="16"/>
  <c r="AB214" i="16" a="1"/>
  <c r="AA215" i="16"/>
  <c r="AB214" i="16" l="1"/>
  <c r="R212" i="16"/>
  <c r="AA216" i="16"/>
  <c r="R213" i="16" a="1"/>
  <c r="AB215" i="16" a="1"/>
  <c r="Q214" i="16"/>
  <c r="AB215" i="16" l="1"/>
  <c r="R213" i="16"/>
  <c r="AA217" i="16"/>
  <c r="AB216" i="16" a="1"/>
  <c r="R214" i="16" a="1"/>
  <c r="Q215" i="16"/>
  <c r="AB216" i="16" l="1"/>
  <c r="R214" i="16"/>
  <c r="Q216" i="16"/>
  <c r="AB217" i="16" a="1"/>
  <c r="AA218" i="16"/>
  <c r="R215" i="16" a="1"/>
  <c r="AB217" i="16" l="1"/>
  <c r="R215" i="16"/>
  <c r="AA219" i="16"/>
  <c r="R216" i="16" a="1"/>
  <c r="Q217" i="16"/>
  <c r="AB218" i="16" a="1"/>
  <c r="AB218" i="16" l="1"/>
  <c r="R216" i="16"/>
  <c r="R217" i="16" a="1"/>
  <c r="AA220" i="16"/>
  <c r="AB219" i="16" a="1"/>
  <c r="Q218" i="16"/>
  <c r="AB219" i="16" l="1"/>
  <c r="R217" i="16"/>
  <c r="R218" i="16" a="1"/>
  <c r="AA221" i="16"/>
  <c r="Q219" i="16"/>
  <c r="AB220" i="16" a="1"/>
  <c r="AB220" i="16" l="1"/>
  <c r="R218" i="16"/>
  <c r="R219" i="16" a="1"/>
  <c r="AA222" i="16"/>
  <c r="AB221" i="16" a="1"/>
  <c r="Q220" i="16"/>
  <c r="AB221" i="16" l="1"/>
  <c r="R219" i="16"/>
  <c r="Q221" i="16"/>
  <c r="AB222" i="16" a="1"/>
  <c r="R220" i="16" a="1"/>
  <c r="AA223" i="16"/>
  <c r="AB222" i="16" l="1"/>
  <c r="R220" i="16"/>
  <c r="AB223" i="16" a="1"/>
  <c r="Q222" i="16"/>
  <c r="AA224" i="16"/>
  <c r="R221" i="16" a="1"/>
  <c r="AB223" i="16" l="1"/>
  <c r="R221" i="16"/>
  <c r="AB224" i="16" a="1"/>
  <c r="R222" i="16" a="1"/>
  <c r="Q223" i="16"/>
  <c r="AA225" i="16"/>
  <c r="AB224" i="16" l="1"/>
  <c r="R222" i="16"/>
  <c r="Q224" i="16"/>
  <c r="R223" i="16" a="1"/>
  <c r="AA226" i="16"/>
  <c r="AB225" i="16" a="1"/>
  <c r="AB225" i="16" l="1"/>
  <c r="R223" i="16"/>
  <c r="AB226" i="16" a="1"/>
  <c r="AA227" i="16"/>
  <c r="Q225" i="16"/>
  <c r="R224" i="16" a="1"/>
  <c r="AB226" i="16" l="1"/>
  <c r="R224" i="16"/>
  <c r="AA228" i="16"/>
  <c r="Q226" i="16"/>
  <c r="R225" i="16" a="1"/>
  <c r="AB227" i="16" a="1"/>
  <c r="AB227" i="16" l="1"/>
  <c r="R225" i="16"/>
  <c r="AB228" i="16" a="1"/>
  <c r="Q227" i="16"/>
  <c r="AA229" i="16"/>
  <c r="R226" i="16" a="1"/>
  <c r="AB228" i="16" l="1"/>
  <c r="R226" i="16"/>
  <c r="Q228" i="16"/>
  <c r="AA230" i="16"/>
  <c r="AB229" i="16" a="1"/>
  <c r="R227" i="16" a="1"/>
  <c r="AB229" i="16" l="1"/>
  <c r="R227" i="16"/>
  <c r="AB230" i="16" a="1"/>
  <c r="Q229" i="16"/>
  <c r="AA231" i="16"/>
  <c r="R228" i="16" a="1"/>
  <c r="AB230" i="16" l="1"/>
  <c r="R228" i="16"/>
  <c r="Q230" i="16"/>
  <c r="AB231" i="16" a="1"/>
  <c r="R229" i="16" a="1"/>
  <c r="AA232" i="16"/>
  <c r="AB231" i="16" l="1"/>
  <c r="R229" i="16"/>
  <c r="AA233" i="16"/>
  <c r="R230" i="16" a="1"/>
  <c r="Q231" i="16"/>
  <c r="AB232" i="16" a="1"/>
  <c r="AB232" i="16" l="1"/>
  <c r="R230" i="16"/>
  <c r="R231" i="16" a="1"/>
  <c r="AA234" i="16"/>
  <c r="Q232" i="16"/>
  <c r="AB233" i="16" a="1"/>
  <c r="AB233" i="16" l="1"/>
  <c r="R231" i="16"/>
  <c r="AA235" i="16"/>
  <c r="R232" i="16" a="1"/>
  <c r="AB234" i="16" a="1"/>
  <c r="Q233" i="16"/>
  <c r="AB234" i="16" l="1"/>
  <c r="R232" i="16"/>
  <c r="AA236" i="16"/>
  <c r="R233" i="16" a="1"/>
  <c r="Q234" i="16"/>
  <c r="AB235" i="16" a="1"/>
  <c r="AB235" i="16" l="1"/>
  <c r="R233" i="16"/>
  <c r="AB236" i="16" a="1"/>
  <c r="R234" i="16" a="1"/>
  <c r="Q235" i="16"/>
  <c r="AA237" i="16"/>
  <c r="AB236" i="16" l="1"/>
  <c r="R234" i="16"/>
  <c r="R235" i="16" a="1"/>
  <c r="AA238" i="16"/>
  <c r="Q236" i="16"/>
  <c r="AB237" i="16" a="1"/>
  <c r="AB237" i="16" l="1"/>
  <c r="R235" i="16"/>
  <c r="Q237" i="16"/>
  <c r="R236" i="16" a="1"/>
  <c r="AB238" i="16" a="1"/>
  <c r="AA239" i="16"/>
  <c r="AB238" i="16" l="1"/>
  <c r="R236" i="16"/>
  <c r="AB239" i="16" a="1"/>
  <c r="R237" i="16" a="1"/>
  <c r="Q238" i="16"/>
  <c r="AA240" i="16"/>
  <c r="AB239" i="16" l="1"/>
  <c r="R237" i="16"/>
  <c r="Q239" i="16"/>
  <c r="AB240" i="16" a="1"/>
  <c r="R238" i="16" a="1"/>
  <c r="AA241" i="16"/>
  <c r="AB240" i="16" l="1"/>
  <c r="R238" i="16"/>
  <c r="AA242" i="16"/>
  <c r="R239" i="16" a="1"/>
  <c r="AB241" i="16" a="1"/>
  <c r="Q240" i="16"/>
  <c r="AB241" i="16" l="1"/>
  <c r="R239" i="16"/>
  <c r="AB242" i="16" a="1"/>
  <c r="R240" i="16" a="1"/>
  <c r="Q241" i="16"/>
  <c r="AA243" i="16"/>
  <c r="AB242" i="16" l="1"/>
  <c r="R240" i="16"/>
  <c r="AA244" i="16"/>
  <c r="R241" i="16" a="1"/>
  <c r="AB243" i="16" a="1"/>
  <c r="Q242" i="16"/>
  <c r="AB243" i="16" l="1"/>
  <c r="R241" i="16"/>
  <c r="AA245" i="16"/>
  <c r="AB244" i="16" a="1"/>
  <c r="Q243" i="16"/>
  <c r="R242" i="16" a="1"/>
  <c r="AB244" i="16" l="1"/>
  <c r="R242" i="16"/>
  <c r="AB245" i="16" a="1"/>
  <c r="Q244" i="16"/>
  <c r="AA246" i="16"/>
  <c r="R243" i="16" a="1"/>
  <c r="AB245" i="16" l="1"/>
  <c r="R243" i="16"/>
  <c r="AA247" i="16"/>
  <c r="Q245" i="16"/>
  <c r="AB246" i="16" a="1"/>
  <c r="R244" i="16" a="1"/>
  <c r="AB246" i="16" l="1"/>
  <c r="R244" i="16"/>
  <c r="R245" i="16" a="1"/>
  <c r="Q246" i="16"/>
  <c r="AB247" i="16" a="1"/>
  <c r="AA248" i="16"/>
  <c r="AB247" i="16" l="1"/>
  <c r="R245" i="16"/>
  <c r="Q247" i="16"/>
  <c r="AA249" i="16"/>
  <c r="R246" i="16" a="1"/>
  <c r="AB248" i="16" a="1"/>
  <c r="AB248" i="16" l="1"/>
  <c r="R246" i="16"/>
  <c r="AB249" i="16" a="1"/>
  <c r="R247" i="16" a="1"/>
  <c r="AA250" i="16"/>
  <c r="Q248" i="16"/>
  <c r="AB249" i="16" l="1"/>
  <c r="R247" i="16"/>
  <c r="Q249" i="16"/>
  <c r="AB250" i="16" a="1"/>
  <c r="R248" i="16" a="1"/>
  <c r="AA251" i="16"/>
  <c r="AB250" i="16" l="1"/>
  <c r="R248" i="16"/>
  <c r="AB251" i="16" a="1"/>
  <c r="Q250" i="16"/>
  <c r="AA252" i="16"/>
  <c r="R249" i="16" a="1"/>
  <c r="AB251" i="16" l="1"/>
  <c r="R249" i="16"/>
  <c r="Q251" i="16"/>
  <c r="R250" i="16" a="1"/>
  <c r="AB252" i="16" a="1"/>
  <c r="AA253" i="16"/>
  <c r="AB252" i="16" l="1"/>
  <c r="R250" i="16"/>
  <c r="Q252" i="16"/>
  <c r="AA254" i="16"/>
  <c r="AB253" i="16" a="1"/>
  <c r="R251" i="16" a="1"/>
  <c r="AB253" i="16" l="1"/>
  <c r="R251" i="16"/>
  <c r="AB254" i="16" a="1"/>
  <c r="R252" i="16" a="1"/>
  <c r="Q253" i="16"/>
  <c r="AA255" i="16"/>
  <c r="AB254" i="16" l="1"/>
  <c r="R252" i="16"/>
  <c r="Q254" i="16"/>
  <c r="AA256" i="16"/>
  <c r="R253" i="16" a="1"/>
  <c r="AB255" i="16" a="1"/>
  <c r="AB255" i="16" l="1"/>
  <c r="R253" i="16"/>
  <c r="R254" i="16" a="1"/>
  <c r="Q255" i="16"/>
  <c r="AB256" i="16" a="1"/>
  <c r="AA257" i="16"/>
  <c r="AB256" i="16" l="1"/>
  <c r="R254" i="16"/>
  <c r="R255" i="16" a="1"/>
  <c r="AB257" i="16" a="1"/>
  <c r="Q256" i="16"/>
  <c r="AA258" i="16"/>
  <c r="AB257" i="16" l="1"/>
  <c r="R255" i="16"/>
  <c r="R256" i="16" a="1"/>
  <c r="AB258" i="16" a="1"/>
  <c r="Q257" i="16"/>
  <c r="AA259" i="16"/>
  <c r="AB258" i="16" l="1"/>
  <c r="R256" i="16"/>
  <c r="R257" i="16" a="1"/>
  <c r="Q258" i="16"/>
  <c r="AB259" i="16" a="1"/>
  <c r="AA260" i="16"/>
  <c r="AB259" i="16" l="1"/>
  <c r="R257" i="16"/>
  <c r="Q259" i="16"/>
  <c r="AA261" i="16"/>
  <c r="R258" i="16" a="1"/>
  <c r="AB260" i="16" a="1"/>
  <c r="AB260" i="16" l="1"/>
  <c r="R258" i="16"/>
  <c r="AA262" i="16"/>
  <c r="Q260" i="16"/>
  <c r="R259" i="16" a="1"/>
  <c r="AB261" i="16" a="1"/>
  <c r="AB261" i="16" l="1"/>
  <c r="R259" i="16"/>
  <c r="Q261" i="16"/>
  <c r="R260" i="16" a="1"/>
  <c r="AB262" i="16" a="1"/>
  <c r="AA263" i="16"/>
  <c r="AB262" i="16" l="1"/>
  <c r="R260" i="16"/>
  <c r="R261" i="16" a="1"/>
  <c r="AB263" i="16" a="1"/>
  <c r="AA264" i="16"/>
  <c r="Q262" i="16"/>
  <c r="AB263" i="16" l="1"/>
  <c r="R261" i="16"/>
  <c r="R262" i="16" a="1"/>
  <c r="AA265" i="16"/>
  <c r="Q263" i="16"/>
  <c r="AB264" i="16" a="1"/>
  <c r="AB264" i="16" l="1"/>
  <c r="R262" i="16"/>
  <c r="AB265" i="16" a="1"/>
  <c r="AA266" i="16"/>
  <c r="Q264" i="16"/>
  <c r="R263" i="16" a="1"/>
  <c r="AB265" i="16" l="1"/>
  <c r="R263" i="16"/>
  <c r="AB266" i="16" a="1"/>
  <c r="R264" i="16" a="1"/>
  <c r="Q265" i="16"/>
  <c r="AA267" i="16"/>
  <c r="AB266" i="16" l="1"/>
  <c r="R264" i="16"/>
  <c r="R265" i="16" a="1"/>
  <c r="AA268" i="16"/>
  <c r="AB267" i="16" a="1"/>
  <c r="Q266" i="16"/>
  <c r="AB267" i="16" l="1"/>
  <c r="R265" i="16"/>
  <c r="AA269" i="16"/>
  <c r="Q267" i="16"/>
  <c r="R266" i="16" a="1"/>
  <c r="AB268" i="16" a="1"/>
  <c r="AB268" i="16" l="1"/>
  <c r="R266" i="16"/>
  <c r="Q268" i="16"/>
  <c r="R267" i="16" a="1"/>
  <c r="AA270" i="16"/>
  <c r="AB269" i="16" a="1"/>
  <c r="AB269" i="16" l="1"/>
  <c r="R267" i="16"/>
  <c r="AA271" i="16"/>
  <c r="AB270" i="16" a="1"/>
  <c r="R268" i="16" a="1"/>
  <c r="Q269" i="16"/>
  <c r="AB270" i="16" l="1"/>
  <c r="R268" i="16"/>
  <c r="AB271" i="16" a="1"/>
  <c r="Q270" i="16"/>
  <c r="AA272" i="16"/>
  <c r="R269" i="16" a="1"/>
  <c r="AB271" i="16" l="1"/>
  <c r="R269" i="16"/>
  <c r="AA273" i="16"/>
  <c r="AB272" i="16" a="1"/>
  <c r="Q271" i="16"/>
  <c r="R270" i="16" a="1"/>
  <c r="AB272" i="16" l="1"/>
  <c r="R270" i="16"/>
  <c r="AB273" i="16" a="1"/>
  <c r="Q272" i="16"/>
  <c r="R271" i="16" a="1"/>
  <c r="AA274" i="16"/>
  <c r="AB273" i="16" l="1"/>
  <c r="R271" i="16"/>
  <c r="R272" i="16" a="1"/>
  <c r="AB274" i="16" a="1"/>
  <c r="AA275" i="16"/>
  <c r="Q273" i="16"/>
  <c r="AB274" i="16" l="1"/>
  <c r="R272" i="16"/>
  <c r="AA276" i="16"/>
  <c r="AB275" i="16" a="1"/>
  <c r="R273" i="16" a="1"/>
  <c r="Q274" i="16"/>
  <c r="AB275" i="16" l="1"/>
  <c r="R273" i="16"/>
  <c r="AB276" i="16" a="1"/>
  <c r="R274" i="16" a="1"/>
  <c r="AA277" i="16"/>
  <c r="Q275" i="16"/>
  <c r="AB276" i="16" l="1"/>
  <c r="R274" i="16"/>
  <c r="R275" i="16" a="1"/>
  <c r="AB277" i="16" a="1"/>
  <c r="AA278" i="16"/>
  <c r="Q276" i="16"/>
  <c r="AB277" i="16" l="1"/>
  <c r="R275" i="16"/>
  <c r="R276" i="16" a="1"/>
  <c r="AB278" i="16" a="1"/>
  <c r="Q277" i="16"/>
  <c r="AA279" i="16"/>
  <c r="AB278" i="16" l="1"/>
  <c r="R276" i="16"/>
  <c r="Q278" i="16"/>
  <c r="R277" i="16" a="1"/>
  <c r="AB279" i="16" a="1"/>
  <c r="AA280" i="16"/>
  <c r="AB279" i="16" l="1"/>
  <c r="R277" i="16"/>
  <c r="AA281" i="16"/>
  <c r="Q279" i="16"/>
  <c r="AB280" i="16" a="1"/>
  <c r="R278" i="16" a="1"/>
  <c r="AB280" i="16" l="1"/>
  <c r="R278" i="16"/>
  <c r="R279" i="16" a="1"/>
  <c r="AA282" i="16"/>
  <c r="Q280" i="16"/>
  <c r="AB281" i="16" a="1"/>
  <c r="AB281" i="16" l="1"/>
  <c r="R279" i="16"/>
  <c r="Q281" i="16"/>
  <c r="R280" i="16" a="1"/>
  <c r="AB282" i="16" a="1"/>
  <c r="AA283" i="16"/>
  <c r="AB282" i="16" l="1"/>
  <c r="R280" i="16"/>
  <c r="R281" i="16" a="1"/>
  <c r="AB283" i="16" a="1"/>
  <c r="Q282" i="16"/>
  <c r="AA284" i="16"/>
  <c r="AB283" i="16" l="1"/>
  <c r="R281" i="16"/>
  <c r="AA285" i="16"/>
  <c r="R282" i="16" a="1"/>
  <c r="AB284" i="16" a="1"/>
  <c r="Q283" i="16"/>
  <c r="AB284" i="16" l="1"/>
  <c r="R282" i="16"/>
  <c r="AA286" i="16"/>
  <c r="AB285" i="16" a="1"/>
  <c r="Q284" i="16"/>
  <c r="R283" i="16" a="1"/>
  <c r="AB285" i="16" l="1"/>
  <c r="R283" i="16"/>
  <c r="AA287" i="16"/>
  <c r="R284" i="16" a="1"/>
  <c r="Q285" i="16"/>
  <c r="AB286" i="16" a="1"/>
  <c r="AB286" i="16" l="1"/>
  <c r="R284" i="16"/>
  <c r="AB287" i="16" a="1"/>
  <c r="R285" i="16" a="1"/>
  <c r="Q286" i="16"/>
  <c r="AA288" i="16"/>
  <c r="AB287" i="16" l="1"/>
  <c r="R285" i="16"/>
  <c r="Q287" i="16"/>
  <c r="AA289" i="16"/>
  <c r="AB288" i="16" a="1"/>
  <c r="R286" i="16" a="1"/>
  <c r="AB288" i="16" l="1"/>
  <c r="R286" i="16"/>
  <c r="AA290" i="16"/>
  <c r="AB289" i="16" a="1"/>
  <c r="R287" i="16" a="1"/>
  <c r="Q288" i="16"/>
  <c r="AB289" i="16" l="1"/>
  <c r="R287" i="16"/>
  <c r="AB290" i="16" a="1"/>
  <c r="R288" i="16" a="1"/>
  <c r="AA291" i="16"/>
  <c r="Q289" i="16"/>
  <c r="AB290" i="16" l="1"/>
  <c r="R288" i="16"/>
  <c r="AA292" i="16"/>
  <c r="R289" i="16" a="1"/>
  <c r="Q290" i="16"/>
  <c r="AB291" i="16" a="1"/>
  <c r="AB291" i="16" l="1"/>
  <c r="R289" i="16"/>
  <c r="AA293" i="16"/>
  <c r="R290" i="16" a="1"/>
  <c r="Q291" i="16"/>
  <c r="AB292" i="16" a="1"/>
  <c r="AB292" i="16" l="1"/>
  <c r="R290" i="16"/>
  <c r="R291" i="16" a="1"/>
  <c r="AA294" i="16"/>
  <c r="Q292" i="16"/>
  <c r="AB293" i="16" a="1"/>
  <c r="AB293" i="16" l="1"/>
  <c r="R291" i="16"/>
  <c r="AA295" i="16"/>
  <c r="Q293" i="16"/>
  <c r="AB294" i="16" a="1"/>
  <c r="R292" i="16" a="1"/>
  <c r="AB294" i="16" l="1"/>
  <c r="R292" i="16"/>
  <c r="AB295" i="16" a="1"/>
  <c r="R293" i="16" a="1"/>
  <c r="AA296" i="16"/>
  <c r="Q294" i="16"/>
  <c r="AB295" i="16" l="1"/>
  <c r="R293" i="16"/>
  <c r="AA297" i="16"/>
  <c r="AB296" i="16" a="1"/>
  <c r="Q295" i="16"/>
  <c r="R294" i="16" a="1"/>
  <c r="AB296" i="16" l="1"/>
  <c r="R294" i="16"/>
  <c r="AA298" i="16"/>
  <c r="AB297" i="16" a="1"/>
  <c r="Q296" i="16"/>
  <c r="R295" i="16" a="1"/>
  <c r="AB297" i="16" l="1"/>
  <c r="R295" i="16"/>
  <c r="AA299" i="16"/>
  <c r="R296" i="16" a="1"/>
  <c r="Q297" i="16"/>
  <c r="AB298" i="16" a="1"/>
  <c r="AB298" i="16" l="1"/>
  <c r="R296" i="16"/>
  <c r="Q298" i="16"/>
  <c r="R297" i="16" a="1"/>
  <c r="AB299" i="16" a="1"/>
  <c r="AA300" i="16"/>
  <c r="AB299" i="16" l="1"/>
  <c r="R297" i="16"/>
  <c r="Q299" i="16"/>
  <c r="AB300" i="16" a="1"/>
  <c r="R298" i="16" a="1"/>
  <c r="AA301" i="16"/>
  <c r="AB300" i="16" l="1"/>
  <c r="R298" i="16"/>
  <c r="Q300" i="16"/>
  <c r="R299" i="16" a="1"/>
  <c r="AB301" i="16" a="1"/>
  <c r="AA302" i="16"/>
  <c r="AB301" i="16" l="1"/>
  <c r="R299" i="16"/>
  <c r="R300" i="16" a="1"/>
  <c r="AB302" i="16" a="1"/>
  <c r="AA303" i="16"/>
  <c r="Q301" i="16"/>
  <c r="AB302" i="16" l="1"/>
  <c r="R300" i="16"/>
  <c r="AB303" i="16" a="1"/>
  <c r="Q302" i="16"/>
  <c r="AA304" i="16"/>
  <c r="R301" i="16" a="1"/>
  <c r="AB303" i="16" l="1"/>
  <c r="R301" i="16"/>
  <c r="AA305" i="16"/>
  <c r="Q303" i="16"/>
  <c r="R302" i="16" a="1"/>
  <c r="AB304" i="16" a="1"/>
  <c r="AB304" i="16" l="1"/>
  <c r="R302" i="16"/>
  <c r="R303" i="16" a="1"/>
  <c r="AB305" i="16" a="1"/>
  <c r="AA306" i="16"/>
  <c r="Q304" i="16"/>
  <c r="AB305" i="16" l="1"/>
  <c r="R303" i="16"/>
  <c r="AB306" i="16" a="1"/>
  <c r="R304" i="16" a="1"/>
  <c r="Q305" i="16"/>
  <c r="AA307" i="16"/>
  <c r="AB306" i="16" l="1"/>
  <c r="R304" i="16"/>
  <c r="Q306" i="16"/>
  <c r="AA308" i="16"/>
  <c r="AB307" i="16" a="1"/>
  <c r="R305" i="16" a="1"/>
  <c r="AB307" i="16" l="1"/>
  <c r="R305" i="16"/>
  <c r="Q307" i="16"/>
  <c r="R306" i="16" a="1"/>
  <c r="AB308" i="16" a="1"/>
  <c r="AA309" i="16"/>
  <c r="AB308" i="16" l="1"/>
  <c r="R306" i="16"/>
  <c r="AA310" i="16"/>
  <c r="R307" i="16" a="1"/>
  <c r="Q308" i="16"/>
  <c r="AB309" i="16" a="1"/>
  <c r="AB309" i="16" l="1"/>
  <c r="R307" i="16"/>
  <c r="R308" i="16" a="1"/>
  <c r="AA311" i="16"/>
  <c r="Q309" i="16"/>
  <c r="AB310" i="16" a="1"/>
  <c r="AB310" i="16" l="1"/>
  <c r="R308" i="16"/>
  <c r="AA312" i="16"/>
  <c r="R309" i="16" a="1"/>
  <c r="Q310" i="16"/>
  <c r="AB311" i="16" a="1"/>
  <c r="AB311" i="16" l="1"/>
  <c r="R309" i="16"/>
  <c r="AB312" i="16" a="1"/>
  <c r="R310" i="16" a="1"/>
  <c r="AA313" i="16"/>
  <c r="Q311" i="16"/>
  <c r="AB312" i="16" l="1"/>
  <c r="R310" i="16"/>
  <c r="R311" i="16" a="1"/>
  <c r="AB313" i="16" a="1"/>
  <c r="Q312" i="16"/>
  <c r="AA314" i="16"/>
  <c r="AB313" i="16" l="1"/>
  <c r="R311" i="16"/>
  <c r="AB314" i="16" a="1"/>
  <c r="R312" i="16" a="1"/>
  <c r="Q313" i="16"/>
  <c r="AA315" i="16"/>
  <c r="AB314" i="16" l="1"/>
  <c r="R312" i="16"/>
  <c r="AB315" i="16" a="1"/>
  <c r="AA316" i="16"/>
  <c r="R313" i="16" a="1"/>
  <c r="Q314" i="16"/>
  <c r="AB315" i="16" l="1"/>
  <c r="R313" i="16"/>
  <c r="AA317" i="16"/>
  <c r="AB316" i="16" a="1"/>
  <c r="R314" i="16" a="1"/>
  <c r="Q315" i="16"/>
  <c r="AB316" i="16" l="1"/>
  <c r="R314" i="16"/>
  <c r="AA318" i="16"/>
  <c r="AB317" i="16" a="1"/>
  <c r="R315" i="16" a="1"/>
  <c r="Q316" i="16"/>
  <c r="AB317" i="16" l="1"/>
  <c r="R315" i="16"/>
  <c r="R316" i="16" a="1"/>
  <c r="AA319" i="16"/>
  <c r="Q317" i="16"/>
  <c r="AB318" i="16" a="1"/>
  <c r="AB318" i="16" l="1"/>
  <c r="R316" i="16"/>
  <c r="AA320" i="16"/>
  <c r="Q318" i="16"/>
  <c r="AB319" i="16" a="1"/>
  <c r="R317" i="16" a="1"/>
  <c r="AB319" i="16" l="1"/>
  <c r="R317" i="16"/>
  <c r="R318" i="16" a="1"/>
  <c r="AA321" i="16"/>
  <c r="Q319" i="16"/>
  <c r="AB320" i="16" a="1"/>
  <c r="AB320" i="16" l="1"/>
  <c r="R318" i="16"/>
  <c r="AA322" i="16"/>
  <c r="AB321" i="16" a="1"/>
  <c r="R319" i="16" a="1"/>
  <c r="Q320" i="16"/>
  <c r="AB321" i="16" l="1"/>
  <c r="R319" i="16"/>
  <c r="R320" i="16" a="1"/>
  <c r="AB322" i="16" a="1"/>
  <c r="Q321" i="16"/>
  <c r="AA323" i="16"/>
  <c r="AB322" i="16" l="1"/>
  <c r="R320" i="16"/>
  <c r="AA324" i="16"/>
  <c r="Q322" i="16"/>
  <c r="AB323" i="16" a="1"/>
  <c r="R321" i="16" a="1"/>
  <c r="AB323" i="16" l="1"/>
  <c r="R321" i="16"/>
  <c r="R322" i="16" a="1"/>
  <c r="Q323" i="16"/>
  <c r="AB324" i="16" a="1"/>
  <c r="AA325" i="16"/>
  <c r="AB324" i="16" l="1"/>
  <c r="R322" i="16"/>
  <c r="AA326" i="16"/>
  <c r="R323" i="16" a="1"/>
  <c r="AB325" i="16" a="1"/>
  <c r="Q324" i="16"/>
  <c r="AB325" i="16" l="1"/>
  <c r="R323" i="16"/>
  <c r="Q325" i="16"/>
  <c r="AB326" i="16" a="1"/>
  <c r="AA327" i="16"/>
  <c r="R324" i="16" a="1"/>
  <c r="AB326" i="16" l="1"/>
  <c r="R324" i="16"/>
  <c r="AA328" i="16"/>
  <c r="AB327" i="16" a="1"/>
  <c r="Q326" i="16"/>
  <c r="R325" i="16" a="1"/>
  <c r="AB327" i="16" l="1"/>
  <c r="R325" i="16"/>
  <c r="AA329" i="16"/>
  <c r="AB328" i="16" a="1"/>
  <c r="R326" i="16" a="1"/>
  <c r="Q327" i="16"/>
  <c r="AB328" i="16" l="1"/>
  <c r="R326" i="16"/>
  <c r="R327" i="16" a="1"/>
  <c r="AA330" i="16"/>
  <c r="AB329" i="16" a="1"/>
  <c r="Q328" i="16"/>
  <c r="AB329" i="16" l="1"/>
  <c r="R327" i="16"/>
  <c r="Q329" i="16"/>
  <c r="AA331" i="16"/>
  <c r="AB330" i="16" a="1"/>
  <c r="R328" i="16" a="1"/>
  <c r="AB330" i="16" l="1"/>
  <c r="R328" i="16"/>
  <c r="R329" i="16" a="1"/>
  <c r="AB331" i="16" a="1"/>
  <c r="Q330" i="16"/>
  <c r="AA332" i="16"/>
  <c r="AB331" i="16" l="1"/>
  <c r="R329" i="16"/>
  <c r="AB332" i="16" a="1"/>
  <c r="AA333" i="16"/>
  <c r="R330" i="16" a="1"/>
  <c r="Q331" i="16"/>
  <c r="AB332" i="16" l="1"/>
  <c r="R330" i="16"/>
  <c r="AB333" i="16" a="1"/>
  <c r="Q332" i="16"/>
  <c r="AA334" i="16"/>
  <c r="R331" i="16" a="1"/>
  <c r="AB333" i="16" l="1"/>
  <c r="R331" i="16"/>
  <c r="R332" i="16" a="1"/>
  <c r="AA335" i="16"/>
  <c r="AB334" i="16" a="1"/>
  <c r="Q333" i="16"/>
  <c r="AB334" i="16" l="1"/>
  <c r="R332" i="16"/>
  <c r="R333" i="16" a="1"/>
  <c r="AA336" i="16"/>
  <c r="Q334" i="16"/>
  <c r="AB335" i="16" a="1"/>
  <c r="AB335" i="16" l="1"/>
  <c r="R333" i="16"/>
  <c r="AA337" i="16"/>
  <c r="AB336" i="16" a="1"/>
  <c r="R334" i="16" a="1"/>
  <c r="Q335" i="16"/>
  <c r="AB336" i="16" l="1"/>
  <c r="R334" i="16"/>
  <c r="Q336" i="16"/>
  <c r="AB337" i="16" a="1"/>
  <c r="AA338" i="16"/>
  <c r="R335" i="16" a="1"/>
  <c r="AB337" i="16" l="1"/>
  <c r="R335" i="16"/>
  <c r="AB338" i="16" a="1"/>
  <c r="R336" i="16" a="1"/>
  <c r="AA339" i="16"/>
  <c r="Q337" i="16"/>
  <c r="AB338" i="16" l="1"/>
  <c r="R336" i="16"/>
  <c r="Q338" i="16"/>
  <c r="R337" i="16" a="1"/>
  <c r="AB339" i="16" a="1"/>
  <c r="AA340" i="16"/>
  <c r="AB339" i="16" l="1"/>
  <c r="R337" i="16"/>
  <c r="AB340" i="16" a="1"/>
  <c r="AA341" i="16"/>
  <c r="Q339" i="16"/>
  <c r="R338" i="16" a="1"/>
  <c r="AB340" i="16" l="1"/>
  <c r="R338" i="16"/>
  <c r="AB341" i="16" a="1"/>
  <c r="Q340" i="16"/>
  <c r="R339" i="16" a="1"/>
  <c r="AA342" i="16"/>
  <c r="AB341" i="16" l="1"/>
  <c r="R339" i="16"/>
  <c r="AB342" i="16" a="1"/>
  <c r="R340" i="16" a="1"/>
  <c r="Q341" i="16"/>
  <c r="AA343" i="16"/>
  <c r="AB342" i="16" l="1"/>
  <c r="R340" i="16"/>
  <c r="AB343" i="16" a="1"/>
  <c r="Q342" i="16"/>
  <c r="R341" i="16" a="1"/>
  <c r="AA344" i="16"/>
  <c r="AB343" i="16" l="1"/>
  <c r="R341" i="16"/>
  <c r="AA345" i="16"/>
  <c r="R342" i="16" a="1"/>
  <c r="AB344" i="16" a="1"/>
  <c r="Q343" i="16"/>
  <c r="AB344" i="16" l="1"/>
  <c r="R342" i="16"/>
  <c r="AA346" i="16"/>
  <c r="Q344" i="16"/>
  <c r="R343" i="16" a="1"/>
  <c r="AB345" i="16" a="1"/>
  <c r="AB345" i="16" l="1"/>
  <c r="R343" i="16"/>
  <c r="AB346" i="16" a="1"/>
  <c r="R344" i="16" a="1"/>
  <c r="AA347" i="16"/>
  <c r="Q345" i="16"/>
  <c r="AB346" i="16" l="1"/>
  <c r="R344" i="16"/>
  <c r="AB347" i="16" a="1"/>
  <c r="Q346" i="16"/>
  <c r="R345" i="16" a="1"/>
  <c r="AA348" i="16"/>
  <c r="AB347" i="16" l="1"/>
  <c r="R345" i="16"/>
  <c r="AB348" i="16" a="1"/>
  <c r="Q347" i="16"/>
  <c r="R346" i="16" a="1"/>
  <c r="AA349" i="16"/>
  <c r="AB348" i="16" l="1"/>
  <c r="R346" i="16"/>
  <c r="AB349" i="16" a="1"/>
  <c r="AA350" i="16"/>
  <c r="Q348" i="16"/>
  <c r="R347" i="16" a="1"/>
  <c r="AB349" i="16" l="1"/>
  <c r="R347" i="16"/>
  <c r="AB350" i="16" a="1"/>
  <c r="AA351" i="16"/>
  <c r="R348" i="16" a="1"/>
  <c r="Q349" i="16"/>
  <c r="AB350" i="16" l="1"/>
  <c r="R348" i="16"/>
  <c r="R349" i="16" a="1"/>
  <c r="AA352" i="16"/>
  <c r="Q350" i="16"/>
  <c r="AB351" i="16" a="1"/>
  <c r="AB351" i="16" l="1"/>
  <c r="R349" i="16"/>
  <c r="AA353" i="16"/>
  <c r="AB352" i="16" a="1"/>
  <c r="Q351" i="16"/>
  <c r="R350" i="16" a="1"/>
  <c r="AB352" i="16" l="1"/>
  <c r="R350" i="16"/>
  <c r="AB353" i="16" a="1"/>
  <c r="R351" i="16" a="1"/>
  <c r="Q352" i="16"/>
  <c r="AA354" i="16"/>
  <c r="AB353" i="16" l="1"/>
  <c r="R351" i="16"/>
  <c r="R352" i="16" a="1"/>
  <c r="Q353" i="16"/>
  <c r="AA355" i="16"/>
  <c r="AB354" i="16" a="1"/>
  <c r="AB354" i="16" l="1"/>
  <c r="R352" i="16"/>
  <c r="AA356" i="16"/>
  <c r="R353" i="16" a="1"/>
  <c r="AB355" i="16" a="1"/>
  <c r="Q354" i="16"/>
  <c r="AB355" i="16" l="1"/>
  <c r="R353" i="16"/>
  <c r="R354" i="16" a="1"/>
  <c r="Q355" i="16"/>
  <c r="AA357" i="16"/>
  <c r="AB356" i="16" a="1"/>
  <c r="AB356" i="16" l="1"/>
  <c r="R354" i="16"/>
  <c r="R355" i="16" a="1"/>
  <c r="AA358" i="16"/>
  <c r="AB357" i="16" a="1"/>
  <c r="Q356" i="16"/>
  <c r="AB357" i="16" l="1"/>
  <c r="R355" i="16"/>
  <c r="R356" i="16" a="1"/>
  <c r="AA359" i="16"/>
  <c r="Q357" i="16"/>
  <c r="AB358" i="16" a="1"/>
  <c r="AB358" i="16" l="1"/>
  <c r="R356" i="16"/>
  <c r="R357" i="16" a="1"/>
  <c r="AB359" i="16" a="1"/>
  <c r="Q358" i="16"/>
  <c r="AA360" i="16"/>
  <c r="AB359" i="16" l="1"/>
  <c r="R357" i="16"/>
  <c r="AB360" i="16" a="1"/>
  <c r="R358" i="16" a="1"/>
  <c r="AA361" i="16"/>
  <c r="Q359" i="16"/>
  <c r="AB360" i="16" l="1"/>
  <c r="R358" i="16"/>
  <c r="AA362" i="16"/>
  <c r="R359" i="16" a="1"/>
  <c r="AB361" i="16" a="1"/>
  <c r="Q360" i="16"/>
  <c r="AB361" i="16" l="1"/>
  <c r="R359" i="16"/>
  <c r="AB362" i="16" a="1"/>
  <c r="Q361" i="16"/>
  <c r="AA363" i="16"/>
  <c r="R360" i="16" a="1"/>
  <c r="AB362" i="16" l="1"/>
  <c r="R360" i="16"/>
  <c r="AB363" i="16" a="1"/>
  <c r="AA364" i="16"/>
  <c r="Q362" i="16"/>
  <c r="R361" i="16" a="1"/>
  <c r="AB363" i="16" l="1"/>
  <c r="R361" i="16"/>
  <c r="R362" i="16" a="1"/>
  <c r="AA365" i="16"/>
  <c r="AB364" i="16" a="1"/>
  <c r="Q363" i="16"/>
  <c r="AB364" i="16" l="1"/>
  <c r="R362" i="16"/>
  <c r="R363" i="16" a="1"/>
  <c r="AB365" i="16" a="1"/>
  <c r="Q364" i="16"/>
  <c r="AA366" i="16"/>
  <c r="AB365" i="16" l="1"/>
  <c r="R363" i="16"/>
  <c r="Q365" i="16"/>
  <c r="R364" i="16" a="1"/>
  <c r="AA367" i="16"/>
  <c r="AB366" i="16" a="1"/>
  <c r="AB366" i="16" l="1"/>
  <c r="R364" i="16"/>
  <c r="AB367" i="16" a="1"/>
  <c r="Q366" i="16"/>
  <c r="R365" i="16" a="1"/>
  <c r="AA368" i="16"/>
  <c r="AB367" i="16" l="1"/>
  <c r="R365" i="16"/>
  <c r="Q367" i="16"/>
  <c r="R366" i="16" a="1"/>
  <c r="AB368" i="16" a="1"/>
  <c r="AA369" i="16"/>
  <c r="AB368" i="16" l="1"/>
  <c r="R366" i="16"/>
  <c r="AA370" i="16"/>
  <c r="AB369" i="16" a="1"/>
  <c r="R367" i="16" a="1"/>
  <c r="Q368" i="16"/>
  <c r="AB369" i="16" l="1"/>
  <c r="R367" i="16"/>
  <c r="Q369" i="16"/>
  <c r="AB370" i="16" a="1"/>
  <c r="R368" i="16" a="1"/>
  <c r="AA371" i="16"/>
  <c r="AB370" i="16" l="1"/>
  <c r="R368" i="16"/>
  <c r="Q370" i="16"/>
  <c r="AB371" i="16" a="1"/>
  <c r="AA372" i="16"/>
  <c r="R369" i="16" a="1"/>
  <c r="AB371" i="16" l="1"/>
  <c r="R369" i="16"/>
  <c r="R370" i="16" a="1"/>
  <c r="AB372" i="16" a="1"/>
  <c r="Q371" i="16"/>
  <c r="AA373" i="16"/>
  <c r="AB372" i="16" l="1"/>
  <c r="R370" i="16"/>
  <c r="AA374" i="16"/>
  <c r="AB373" i="16" a="1"/>
  <c r="R371" i="16" a="1"/>
  <c r="Q372" i="16"/>
  <c r="AB373" i="16" l="1"/>
  <c r="R371" i="16"/>
  <c r="R372" i="16" a="1"/>
  <c r="AB374" i="16" a="1"/>
  <c r="Q373" i="16"/>
  <c r="AA375" i="16"/>
  <c r="AB374" i="16" l="1"/>
  <c r="R372" i="16"/>
  <c r="AB375" i="16" a="1"/>
  <c r="AA376" i="16"/>
  <c r="Q374" i="16"/>
  <c r="R373" i="16" a="1"/>
  <c r="AB375" i="16" l="1"/>
  <c r="R373" i="16"/>
  <c r="R374" i="16" a="1"/>
  <c r="Q375" i="16"/>
  <c r="AB376" i="16" a="1"/>
  <c r="AA377" i="16"/>
  <c r="AB376" i="16" l="1"/>
  <c r="R374" i="16"/>
  <c r="AB377" i="16" a="1"/>
  <c r="AA378" i="16"/>
  <c r="R375" i="16" a="1"/>
  <c r="Q376" i="16"/>
  <c r="AB377" i="16" l="1"/>
  <c r="R375" i="16"/>
  <c r="AA379" i="16"/>
  <c r="R376" i="16" a="1"/>
  <c r="Q377" i="16"/>
  <c r="AB378" i="16" a="1"/>
  <c r="AB378" i="16" l="1"/>
  <c r="R376" i="16"/>
  <c r="AA380" i="16"/>
  <c r="AB379" i="16" a="1"/>
  <c r="R377" i="16" a="1"/>
  <c r="Q378" i="16"/>
  <c r="AB379" i="16" l="1"/>
  <c r="R377" i="16"/>
  <c r="AB380" i="16" a="1"/>
  <c r="AA381" i="16"/>
  <c r="Q379" i="16"/>
  <c r="R378" i="16" a="1"/>
  <c r="AB380" i="16" l="1"/>
  <c r="R378" i="16"/>
  <c r="Q380" i="16"/>
  <c r="AA382" i="16"/>
  <c r="R379" i="16" a="1"/>
  <c r="AB381" i="16" a="1"/>
  <c r="AB381" i="16" l="1"/>
  <c r="R379" i="16"/>
  <c r="Q381" i="16"/>
  <c r="AB382" i="16" a="1"/>
  <c r="R380" i="16" a="1"/>
  <c r="AA383" i="16"/>
  <c r="AB382" i="16" l="1"/>
  <c r="R380" i="16"/>
  <c r="AA384" i="16"/>
  <c r="AB383" i="16" a="1"/>
  <c r="Q382" i="16"/>
  <c r="R381" i="16" a="1"/>
  <c r="AB383" i="16" l="1"/>
  <c r="R381" i="16"/>
  <c r="AA385" i="16"/>
  <c r="R382" i="16" a="1"/>
  <c r="AB384" i="16" a="1"/>
  <c r="Q383" i="16"/>
  <c r="AB384" i="16" l="1"/>
  <c r="R382" i="16"/>
  <c r="AA386" i="16"/>
  <c r="Q384" i="16"/>
  <c r="R383" i="16" a="1"/>
  <c r="AB385" i="16" a="1"/>
  <c r="AB385" i="16" l="1"/>
  <c r="R383" i="16"/>
  <c r="AB386" i="16" a="1"/>
  <c r="R384" i="16" a="1"/>
  <c r="Q385" i="16"/>
  <c r="AA387" i="16"/>
  <c r="AB386" i="16" l="1"/>
  <c r="R384" i="16"/>
  <c r="AA388" i="16"/>
  <c r="AB387" i="16" a="1"/>
  <c r="R385" i="16" a="1"/>
  <c r="Q386" i="16"/>
  <c r="AB387" i="16" l="1"/>
  <c r="R385" i="16"/>
  <c r="AA389" i="16"/>
  <c r="Q387" i="16"/>
  <c r="AB388" i="16" a="1"/>
  <c r="R386" i="16" a="1"/>
  <c r="AB388" i="16" l="1"/>
  <c r="R386" i="16"/>
  <c r="R387" i="16" a="1"/>
  <c r="AA390" i="16"/>
  <c r="AB389" i="16" a="1"/>
  <c r="Q388" i="16"/>
  <c r="AB389" i="16" l="1"/>
  <c r="R387" i="16"/>
  <c r="AA391" i="16"/>
  <c r="AB390" i="16" a="1"/>
  <c r="Q389" i="16"/>
  <c r="R388" i="16" a="1"/>
  <c r="AB390" i="16" l="1"/>
  <c r="R388" i="16"/>
  <c r="AB391" i="16" a="1"/>
  <c r="R389" i="16" a="1"/>
  <c r="Q390" i="16"/>
  <c r="AA392" i="16"/>
  <c r="AB391" i="16" l="1"/>
  <c r="R389" i="16"/>
  <c r="AA393" i="16"/>
  <c r="R390" i="16" a="1"/>
  <c r="AB392" i="16" a="1"/>
  <c r="Q391" i="16"/>
  <c r="AB392" i="16" l="1"/>
  <c r="R390" i="16"/>
  <c r="AB393" i="16" a="1"/>
  <c r="Q392" i="16"/>
  <c r="AA394" i="16"/>
  <c r="R391" i="16" a="1"/>
  <c r="AB393" i="16" l="1"/>
  <c r="R391" i="16"/>
  <c r="AA395" i="16"/>
  <c r="R392" i="16" a="1"/>
  <c r="Q393" i="16"/>
  <c r="AB394" i="16" a="1"/>
  <c r="AB394" i="16" l="1"/>
  <c r="R392" i="16"/>
  <c r="AA396" i="16"/>
  <c r="Q394" i="16"/>
  <c r="R393" i="16" a="1"/>
  <c r="AB395" i="16" a="1"/>
  <c r="AB395" i="16" l="1"/>
  <c r="R393" i="16"/>
  <c r="R394" i="16" a="1"/>
  <c r="Q395" i="16"/>
  <c r="AB396" i="16" a="1"/>
  <c r="AA397" i="16"/>
  <c r="AB396" i="16" l="1"/>
  <c r="R394" i="16"/>
  <c r="AA398" i="16"/>
  <c r="AB397" i="16" a="1"/>
  <c r="Q396" i="16"/>
  <c r="R395" i="16" a="1"/>
  <c r="AB397" i="16" l="1"/>
  <c r="R395" i="16"/>
  <c r="Q397" i="16"/>
  <c r="R396" i="16" a="1"/>
  <c r="AB398" i="16" a="1"/>
  <c r="AA399" i="16"/>
  <c r="AB398" i="16" l="1"/>
  <c r="R396" i="16"/>
  <c r="AB399" i="16" a="1"/>
  <c r="AA400" i="16"/>
  <c r="R397" i="16" a="1"/>
  <c r="Q398" i="16"/>
  <c r="AB399" i="16" l="1"/>
  <c r="R397" i="16"/>
  <c r="AA401" i="16"/>
  <c r="R398" i="16" a="1"/>
  <c r="Q399" i="16"/>
  <c r="AB400" i="16" a="1"/>
  <c r="AB400" i="16" l="1"/>
  <c r="R398" i="16"/>
  <c r="R399" i="16" a="1"/>
  <c r="Q400" i="16"/>
  <c r="AB401" i="16" a="1"/>
  <c r="AA402" i="16"/>
  <c r="AB401" i="16" l="1"/>
  <c r="R399" i="16"/>
  <c r="Q401" i="16"/>
  <c r="AB402" i="16" a="1"/>
  <c r="AA403" i="16"/>
  <c r="R400" i="16" a="1"/>
  <c r="AB402" i="16" l="1"/>
  <c r="R400" i="16"/>
  <c r="AA404" i="16"/>
  <c r="R401" i="16" a="1"/>
  <c r="Q402" i="16"/>
  <c r="AB403" i="16" a="1"/>
  <c r="AB403" i="16" l="1"/>
  <c r="R401" i="16"/>
  <c r="R402" i="16" a="1"/>
  <c r="AA405" i="16"/>
  <c r="AB404" i="16" a="1"/>
  <c r="Q403" i="16"/>
  <c r="AB404" i="16" l="1"/>
  <c r="R402" i="16"/>
  <c r="Q404" i="16"/>
  <c r="R403" i="16" a="1"/>
  <c r="AB405" i="16" a="1"/>
  <c r="AA406" i="16"/>
  <c r="AB405" i="16" l="1"/>
  <c r="R403" i="16"/>
  <c r="AA407" i="16"/>
  <c r="AB406" i="16" a="1"/>
  <c r="R404" i="16" a="1"/>
  <c r="Q405" i="16"/>
  <c r="AB406" i="16" l="1"/>
  <c r="R404" i="16"/>
  <c r="AB407" i="16" a="1"/>
  <c r="R405" i="16" a="1"/>
  <c r="Q406" i="16"/>
  <c r="AA408" i="16"/>
  <c r="AB407" i="16" l="1"/>
  <c r="R405" i="16"/>
  <c r="AB408" i="16" a="1"/>
  <c r="AA409" i="16"/>
  <c r="R406" i="16" a="1"/>
  <c r="Q407" i="16"/>
  <c r="AB408" i="16" l="1"/>
  <c r="R406" i="16"/>
  <c r="Q408" i="16"/>
  <c r="R407" i="16" a="1"/>
  <c r="AA410" i="16"/>
  <c r="AB409" i="16" a="1"/>
  <c r="AB409" i="16" l="1"/>
  <c r="R407" i="16"/>
  <c r="R408" i="16" a="1"/>
  <c r="AA411" i="16"/>
  <c r="Q409" i="16"/>
  <c r="AB410" i="16" a="1"/>
  <c r="AB410" i="16" l="1"/>
  <c r="R408" i="16"/>
  <c r="AB411" i="16" a="1"/>
  <c r="Q410" i="16"/>
  <c r="R409" i="16" a="1"/>
  <c r="AA412" i="16"/>
  <c r="AB411" i="16" l="1"/>
  <c r="R409" i="16"/>
  <c r="Q411" i="16"/>
  <c r="AA413" i="16"/>
  <c r="R410" i="16" a="1"/>
  <c r="AB412" i="16" a="1"/>
  <c r="AB412" i="16" l="1"/>
  <c r="R410" i="16"/>
  <c r="R411" i="16" a="1"/>
  <c r="AB413" i="16" a="1"/>
  <c r="Q412" i="16"/>
  <c r="AA414" i="16"/>
  <c r="AB413" i="16" l="1"/>
  <c r="R411" i="16"/>
  <c r="AA415" i="16"/>
  <c r="Q413" i="16"/>
  <c r="AB414" i="16" a="1"/>
  <c r="R412" i="16" a="1"/>
  <c r="AB414" i="16" l="1"/>
  <c r="R412" i="16"/>
  <c r="AA416" i="16"/>
  <c r="AB415" i="16" a="1"/>
  <c r="Q414" i="16"/>
  <c r="R413" i="16" a="1"/>
  <c r="AB415" i="16" l="1"/>
  <c r="R413" i="16"/>
  <c r="R414" i="16" a="1"/>
  <c r="AA417" i="16"/>
  <c r="AB416" i="16" a="1"/>
  <c r="Q415" i="16"/>
  <c r="AB416" i="16" l="1"/>
  <c r="R414" i="16"/>
  <c r="R415" i="16" a="1"/>
  <c r="AA418" i="16"/>
  <c r="AB417" i="16" a="1"/>
  <c r="Q416" i="16"/>
  <c r="AB417" i="16" l="1"/>
  <c r="R415" i="16"/>
  <c r="AA419" i="16"/>
  <c r="R416" i="16" a="1"/>
  <c r="AB418" i="16" a="1"/>
  <c r="Q417" i="16"/>
  <c r="AB418" i="16" l="1"/>
  <c r="R416" i="16"/>
  <c r="Q418" i="16"/>
  <c r="AA420" i="16"/>
  <c r="R417" i="16" a="1"/>
  <c r="AB419" i="16" a="1"/>
  <c r="AB419" i="16" l="1"/>
  <c r="R417" i="16"/>
  <c r="AA421" i="16"/>
  <c r="AB420" i="16" a="1"/>
  <c r="Q419" i="16"/>
  <c r="R418" i="16" a="1"/>
  <c r="AB420" i="16" l="1"/>
  <c r="R418" i="16"/>
  <c r="AA422" i="16"/>
  <c r="R419" i="16" a="1"/>
  <c r="Q420" i="16"/>
  <c r="AB421" i="16" a="1"/>
  <c r="AB421" i="16" l="1"/>
  <c r="R419" i="16"/>
  <c r="R420" i="16" a="1"/>
  <c r="AA423" i="16"/>
  <c r="AB422" i="16" a="1"/>
  <c r="Q421" i="16"/>
  <c r="AB422" i="16" l="1"/>
  <c r="R420" i="16"/>
  <c r="R421" i="16" a="1"/>
  <c r="Q422" i="16"/>
  <c r="AA424" i="16"/>
  <c r="AB423" i="16" a="1"/>
  <c r="AB423" i="16" l="1"/>
  <c r="R421" i="16"/>
  <c r="Q423" i="16"/>
  <c r="AB424" i="16" a="1"/>
  <c r="AA425" i="16"/>
  <c r="R422" i="16" a="1"/>
  <c r="AB424" i="16" l="1"/>
  <c r="R422" i="16"/>
  <c r="Q424" i="16"/>
  <c r="AB425" i="16" a="1"/>
  <c r="R423" i="16" a="1"/>
  <c r="AA426" i="16"/>
  <c r="AB425" i="16" l="1"/>
  <c r="R423" i="16"/>
  <c r="AA427" i="16"/>
  <c r="AB426" i="16" a="1"/>
  <c r="R424" i="16" a="1"/>
  <c r="Q425" i="16"/>
  <c r="AB426" i="16" l="1"/>
  <c r="R424" i="16"/>
  <c r="R425" i="16" a="1"/>
  <c r="Q426" i="16"/>
  <c r="AB427" i="16" a="1"/>
  <c r="AA428" i="16"/>
  <c r="AB427" i="16" l="1"/>
  <c r="R425" i="16"/>
  <c r="R426" i="16" a="1"/>
  <c r="AA429" i="16"/>
  <c r="AB428" i="16" a="1"/>
  <c r="Q427" i="16"/>
  <c r="AB428" i="16" l="1"/>
  <c r="R426" i="16"/>
  <c r="R427" i="16" a="1"/>
  <c r="Q428" i="16"/>
  <c r="AA430" i="16"/>
  <c r="AB429" i="16" a="1"/>
  <c r="AB429" i="16" l="1"/>
  <c r="R427" i="16"/>
  <c r="Q429" i="16"/>
  <c r="AB430" i="16" a="1"/>
  <c r="R428" i="16" a="1"/>
  <c r="AA431" i="16"/>
  <c r="AB430" i="16" l="1"/>
  <c r="R428" i="16"/>
  <c r="Q430" i="16"/>
  <c r="R429" i="16" a="1"/>
  <c r="AB431" i="16" a="1"/>
  <c r="AA432" i="16"/>
  <c r="AB431" i="16" l="1"/>
  <c r="R429" i="16"/>
  <c r="R430" i="16" a="1"/>
  <c r="AB432" i="16" a="1"/>
  <c r="AA433" i="16"/>
  <c r="Q431" i="16"/>
  <c r="AB432" i="16" l="1"/>
  <c r="R430" i="16"/>
  <c r="R431" i="16" a="1"/>
  <c r="AB433" i="16" a="1"/>
  <c r="AA434" i="16"/>
  <c r="Q432" i="16"/>
  <c r="AB433" i="16" l="1"/>
  <c r="R431" i="16"/>
  <c r="AA435" i="16"/>
  <c r="Q433" i="16"/>
  <c r="R432" i="16" a="1"/>
  <c r="AB434" i="16" a="1"/>
  <c r="AB434" i="16" l="1"/>
  <c r="R432" i="16"/>
  <c r="AB435" i="16" a="1"/>
  <c r="Q434" i="16"/>
  <c r="R433" i="16" a="1"/>
  <c r="AA436" i="16"/>
  <c r="AB435" i="16" l="1"/>
  <c r="R433" i="16"/>
  <c r="R434" i="16" a="1"/>
  <c r="Q435" i="16"/>
  <c r="AA437" i="16"/>
  <c r="AB436" i="16" a="1"/>
  <c r="AB436" i="16" l="1"/>
  <c r="R434" i="16"/>
  <c r="AB437" i="16" a="1"/>
  <c r="AA438" i="16"/>
  <c r="Q436" i="16"/>
  <c r="R435" i="16" a="1"/>
  <c r="AB437" i="16" l="1"/>
  <c r="R435" i="16"/>
  <c r="Q437" i="16"/>
  <c r="R436" i="16" a="1"/>
  <c r="AA439" i="16"/>
  <c r="AB438" i="16" a="1"/>
  <c r="AB438" i="16" l="1"/>
  <c r="R436" i="16"/>
  <c r="R437" i="16" a="1"/>
  <c r="AA440" i="16"/>
  <c r="AB439" i="16" a="1"/>
  <c r="Q438" i="16"/>
  <c r="AB439" i="16" l="1"/>
  <c r="R437" i="16"/>
  <c r="AA441" i="16"/>
  <c r="Q439" i="16"/>
  <c r="AB440" i="16" a="1"/>
  <c r="R438" i="16" a="1"/>
  <c r="AB440" i="16" l="1"/>
  <c r="R438" i="16"/>
  <c r="R439" i="16" a="1"/>
  <c r="AA442" i="16"/>
  <c r="AB441" i="16" a="1"/>
  <c r="Q440" i="16"/>
  <c r="AB441" i="16" l="1"/>
  <c r="R439" i="16"/>
  <c r="R440" i="16" a="1"/>
  <c r="AA443" i="16"/>
  <c r="AB442" i="16" a="1"/>
  <c r="Q441" i="16"/>
  <c r="AB442" i="16" l="1"/>
  <c r="R440" i="16"/>
  <c r="AB443" i="16" a="1"/>
  <c r="AA444" i="16"/>
  <c r="R441" i="16" a="1"/>
  <c r="Q442" i="16"/>
  <c r="AB443" i="16" l="1"/>
  <c r="R441" i="16"/>
  <c r="Q443" i="16"/>
  <c r="AA445" i="16"/>
  <c r="AB444" i="16" a="1"/>
  <c r="R442" i="16" a="1"/>
  <c r="AB444" i="16" l="1"/>
  <c r="R442" i="16"/>
  <c r="AB445" i="16" a="1"/>
  <c r="AA446" i="16"/>
  <c r="Q444" i="16"/>
  <c r="R443" i="16" a="1"/>
  <c r="AB445" i="16" l="1"/>
  <c r="R443" i="16"/>
  <c r="R444" i="16" a="1"/>
  <c r="AB446" i="16" a="1"/>
  <c r="AA447" i="16"/>
  <c r="Q445" i="16"/>
  <c r="AB446" i="16" l="1"/>
  <c r="R444" i="16"/>
  <c r="Q446" i="16"/>
  <c r="R445" i="16" a="1"/>
  <c r="AB447" i="16" a="1"/>
  <c r="AA448" i="16"/>
  <c r="AB447" i="16" l="1"/>
  <c r="R445" i="16"/>
  <c r="AB448" i="16" a="1"/>
  <c r="Q447" i="16"/>
  <c r="AA449" i="16"/>
  <c r="R446" i="16" a="1"/>
  <c r="AB448" i="16" l="1"/>
  <c r="R446" i="16"/>
  <c r="AB449" i="16" a="1"/>
  <c r="R447" i="16" a="1"/>
  <c r="AA450" i="16"/>
  <c r="Q448" i="16"/>
  <c r="AB449" i="16" l="1"/>
  <c r="R447" i="16"/>
  <c r="R448" i="16" a="1"/>
  <c r="AA451" i="16"/>
  <c r="AB450" i="16" a="1"/>
  <c r="Q449" i="16"/>
  <c r="AB450" i="16" l="1"/>
  <c r="R448" i="16"/>
  <c r="AA452" i="16"/>
  <c r="R449" i="16" a="1"/>
  <c r="Q450" i="16"/>
  <c r="AB451" i="16" a="1"/>
  <c r="AB451" i="16" l="1"/>
  <c r="R449" i="16"/>
  <c r="AB452" i="16" a="1"/>
  <c r="R450" i="16" a="1"/>
  <c r="Q451" i="16"/>
  <c r="AA453" i="16"/>
  <c r="AB452" i="16" l="1"/>
  <c r="R450" i="16"/>
  <c r="AB453" i="16" a="1"/>
  <c r="Q452" i="16"/>
  <c r="R451" i="16" a="1"/>
  <c r="AA454" i="16"/>
  <c r="AB453" i="16" l="1"/>
  <c r="R451" i="16"/>
  <c r="AA455" i="16"/>
  <c r="AB454" i="16" a="1"/>
  <c r="R452" i="16" a="1"/>
  <c r="Q453" i="16"/>
  <c r="AB454" i="16" l="1"/>
  <c r="R452" i="16"/>
  <c r="Q454" i="16"/>
  <c r="AB455" i="16" a="1"/>
  <c r="AA456" i="16"/>
  <c r="R453" i="16" a="1"/>
  <c r="AB455" i="16" l="1"/>
  <c r="R453" i="16"/>
  <c r="R454" i="16" a="1"/>
  <c r="AA457" i="16"/>
  <c r="AB456" i="16" a="1"/>
  <c r="Q455" i="16"/>
  <c r="AB456" i="16" l="1"/>
  <c r="R454" i="16"/>
  <c r="AA458" i="16"/>
  <c r="Q456" i="16"/>
  <c r="R455" i="16" a="1"/>
  <c r="AB457" i="16" a="1"/>
  <c r="AB457" i="16" l="1"/>
  <c r="R455" i="16"/>
  <c r="AA459" i="16"/>
  <c r="Q457" i="16"/>
  <c r="R456" i="16" a="1"/>
  <c r="AB458" i="16" a="1"/>
  <c r="AB458" i="16" l="1"/>
  <c r="R456" i="16"/>
  <c r="AB459" i="16" a="1"/>
  <c r="AA460" i="16"/>
  <c r="R457" i="16" a="1"/>
  <c r="Q458" i="16"/>
  <c r="AB459" i="16" l="1"/>
  <c r="R457" i="16"/>
  <c r="AA461" i="16"/>
  <c r="AB460" i="16" a="1"/>
  <c r="R458" i="16" a="1"/>
  <c r="Q459" i="16"/>
  <c r="AB460" i="16" l="1"/>
  <c r="R458" i="16"/>
  <c r="AA462" i="16"/>
  <c r="AB461" i="16" a="1"/>
  <c r="R459" i="16" a="1"/>
  <c r="Q460" i="16"/>
  <c r="AB461" i="16" l="1"/>
  <c r="R459" i="16"/>
  <c r="Q461" i="16"/>
  <c r="AB462" i="16" a="1"/>
  <c r="AA463" i="16"/>
  <c r="R460" i="16" a="1"/>
  <c r="AB462" i="16" l="1"/>
  <c r="R460" i="16"/>
  <c r="AB463" i="16" a="1"/>
  <c r="Q462" i="16"/>
  <c r="R461" i="16" a="1"/>
  <c r="AA464" i="16"/>
  <c r="AB463" i="16" l="1"/>
  <c r="R461" i="16"/>
  <c r="Q463" i="16"/>
  <c r="R462" i="16" a="1"/>
  <c r="AA465" i="16"/>
  <c r="AB464" i="16" a="1"/>
  <c r="AB464" i="16" l="1"/>
  <c r="R462" i="16"/>
  <c r="AA466" i="16"/>
  <c r="Q464" i="16"/>
  <c r="R463" i="16" a="1"/>
  <c r="AB465" i="16" a="1"/>
  <c r="AB465" i="16" l="1"/>
  <c r="R463" i="16"/>
  <c r="R464" i="16" a="1"/>
  <c r="Q465" i="16"/>
  <c r="AB466" i="16" a="1"/>
  <c r="AA467" i="16"/>
  <c r="AB466" i="16" l="1"/>
  <c r="R464" i="16"/>
  <c r="AB467" i="16" a="1"/>
  <c r="Q466" i="16"/>
  <c r="AA468" i="16"/>
  <c r="R465" i="16" a="1"/>
  <c r="AB467" i="16" l="1"/>
  <c r="R465" i="16"/>
  <c r="AB468" i="16" a="1"/>
  <c r="AA469" i="16"/>
  <c r="R466" i="16" a="1"/>
  <c r="Q467" i="16"/>
  <c r="AB468" i="16" l="1"/>
  <c r="R466" i="16"/>
  <c r="AA470" i="16"/>
  <c r="R467" i="16" a="1"/>
  <c r="AB469" i="16" a="1"/>
  <c r="Q468" i="16"/>
  <c r="AB469" i="16" l="1"/>
  <c r="R467" i="16"/>
  <c r="AA471" i="16"/>
  <c r="R468" i="16" a="1"/>
  <c r="AB470" i="16" a="1"/>
  <c r="Q469" i="16"/>
  <c r="AB470" i="16" l="1"/>
  <c r="R468" i="16"/>
  <c r="R469" i="16" a="1"/>
  <c r="AB471" i="16" a="1"/>
  <c r="AA472" i="16"/>
  <c r="Q470" i="16"/>
  <c r="AB471" i="16" l="1"/>
  <c r="R469" i="16"/>
  <c r="AA473" i="16"/>
  <c r="Q471" i="16"/>
  <c r="R470" i="16" a="1"/>
  <c r="AB472" i="16" a="1"/>
  <c r="AB472" i="16" l="1"/>
  <c r="R470" i="16"/>
  <c r="R471" i="16" a="1"/>
  <c r="AA474" i="16"/>
  <c r="AB473" i="16" a="1"/>
  <c r="Q472" i="16"/>
  <c r="AB473" i="16" l="1"/>
  <c r="R471" i="16"/>
  <c r="R472" i="16" a="1"/>
  <c r="AB474" i="16" a="1"/>
  <c r="Q473" i="16"/>
  <c r="AA475" i="16"/>
  <c r="AB474" i="16" l="1"/>
  <c r="R472" i="16"/>
  <c r="R473" i="16" a="1"/>
  <c r="Q474" i="16"/>
  <c r="AB475" i="16" a="1"/>
  <c r="AA476" i="16"/>
  <c r="AB475" i="16" l="1"/>
  <c r="R473" i="16"/>
  <c r="R474" i="16" a="1"/>
  <c r="Q475" i="16"/>
  <c r="AB476" i="16" a="1"/>
  <c r="AA477" i="16"/>
  <c r="AB476" i="16" l="1"/>
  <c r="R474" i="16"/>
  <c r="R475" i="16" a="1"/>
  <c r="AA478" i="16"/>
  <c r="AB477" i="16" a="1"/>
  <c r="Q476" i="16"/>
  <c r="AB477" i="16" l="1"/>
  <c r="R475" i="16"/>
  <c r="Q477" i="16"/>
  <c r="AA479" i="16"/>
  <c r="AB478" i="16" a="1"/>
  <c r="R476" i="16" a="1"/>
  <c r="AB478" i="16" l="1"/>
  <c r="R476" i="16"/>
  <c r="Q478" i="16"/>
  <c r="AB479" i="16" a="1"/>
  <c r="R477" i="16" a="1"/>
  <c r="AA480" i="16"/>
  <c r="AB479" i="16" l="1"/>
  <c r="R477" i="16"/>
  <c r="AB480" i="16" a="1"/>
  <c r="Q479" i="16"/>
  <c r="AA481" i="16"/>
  <c r="R478" i="16" a="1"/>
  <c r="AB480" i="16" l="1"/>
  <c r="R478" i="16"/>
  <c r="AA482" i="16"/>
  <c r="R479" i="16" a="1"/>
  <c r="AB481" i="16" a="1"/>
  <c r="Q480" i="16"/>
  <c r="AB481" i="16" l="1"/>
  <c r="R479" i="16"/>
  <c r="R480" i="16" a="1"/>
  <c r="Q481" i="16"/>
  <c r="AA483" i="16"/>
  <c r="AB482" i="16" a="1"/>
  <c r="AB482" i="16" l="1"/>
  <c r="R480" i="16"/>
  <c r="Q482" i="16"/>
  <c r="AA484" i="16"/>
  <c r="AB483" i="16" a="1"/>
  <c r="R481" i="16" a="1"/>
  <c r="AB483" i="16" l="1"/>
  <c r="R481" i="16"/>
  <c r="AB484" i="16" a="1"/>
  <c r="R482" i="16" a="1"/>
  <c r="AA485" i="16"/>
  <c r="Q483" i="16"/>
  <c r="AB484" i="16" l="1"/>
  <c r="R482" i="16"/>
  <c r="AA486" i="16"/>
  <c r="R483" i="16" a="1"/>
  <c r="Q484" i="16"/>
  <c r="AB485" i="16" a="1"/>
  <c r="AB485" i="16" l="1"/>
  <c r="R483" i="16"/>
  <c r="R484" i="16" a="1"/>
  <c r="Q485" i="16"/>
  <c r="AB486" i="16" a="1"/>
  <c r="AA487" i="16"/>
  <c r="AB486" i="16" l="1"/>
  <c r="R484" i="16"/>
  <c r="AB487" i="16" a="1"/>
  <c r="R485" i="16" a="1"/>
  <c r="Q486" i="16"/>
  <c r="AA488" i="16"/>
  <c r="AB487" i="16" l="1"/>
  <c r="R485" i="16"/>
  <c r="AB488" i="16" a="1"/>
  <c r="AA489" i="16"/>
  <c r="R486" i="16" a="1"/>
  <c r="Q487" i="16"/>
  <c r="AB488" i="16" l="1"/>
  <c r="R486" i="16"/>
  <c r="AA490" i="16"/>
  <c r="AB489" i="16" a="1"/>
  <c r="R487" i="16" a="1"/>
  <c r="Q488" i="16"/>
  <c r="AB489" i="16" l="1"/>
  <c r="R487" i="16"/>
  <c r="AB490" i="16" a="1"/>
  <c r="Q489" i="16"/>
  <c r="R488" i="16" a="1"/>
  <c r="AA491" i="16"/>
  <c r="AB490" i="16" l="1"/>
  <c r="R488" i="16"/>
  <c r="AB491" i="16" a="1"/>
  <c r="R489" i="16" a="1"/>
  <c r="Q490" i="16"/>
  <c r="AA492" i="16"/>
  <c r="AB491" i="16" l="1"/>
  <c r="R489" i="16"/>
  <c r="R490" i="16" a="1"/>
  <c r="Q491" i="16"/>
  <c r="AB492" i="16" a="1"/>
  <c r="AA493" i="16"/>
  <c r="AB492" i="16" l="1"/>
  <c r="R490" i="16"/>
  <c r="AA494" i="16"/>
  <c r="R491" i="16" a="1"/>
  <c r="AB493" i="16" a="1"/>
  <c r="Q492" i="16"/>
  <c r="AB493" i="16" l="1"/>
  <c r="R491" i="16"/>
  <c r="AA495" i="16"/>
  <c r="R492" i="16" a="1"/>
  <c r="AB494" i="16" a="1"/>
  <c r="Q493" i="16"/>
  <c r="AB494" i="16" l="1"/>
  <c r="R492" i="16"/>
  <c r="Q494" i="16"/>
  <c r="AA496" i="16"/>
  <c r="AB495" i="16" a="1"/>
  <c r="R493" i="16" a="1"/>
  <c r="AB495" i="16" l="1"/>
  <c r="R493" i="16"/>
  <c r="Q495" i="16"/>
  <c r="AB496" i="16" a="1"/>
  <c r="R494" i="16" a="1"/>
  <c r="AA497" i="16"/>
  <c r="AB496" i="16" l="1"/>
  <c r="R494" i="16"/>
  <c r="AB497" i="16" a="1"/>
  <c r="AA498" i="16"/>
  <c r="Q496" i="16"/>
  <c r="R495" i="16" a="1"/>
  <c r="AB497" i="16" l="1"/>
  <c r="R495" i="16"/>
  <c r="AA499" i="16"/>
  <c r="AB498" i="16" a="1"/>
  <c r="R496" i="16" a="1"/>
  <c r="Q497" i="16"/>
  <c r="AB498" i="16" l="1"/>
  <c r="R496" i="16"/>
  <c r="Q498" i="16"/>
  <c r="R497" i="16" a="1"/>
  <c r="AB499" i="16" a="1"/>
  <c r="AA500" i="16"/>
  <c r="AB499" i="16" l="1"/>
  <c r="R497" i="16"/>
  <c r="AA501" i="16"/>
  <c r="R498" i="16" a="1"/>
  <c r="AB500" i="16" a="1"/>
  <c r="Q499" i="16"/>
  <c r="AB500" i="16" l="1"/>
  <c r="R498" i="16"/>
  <c r="R499" i="16" a="1"/>
  <c r="AB501" i="16" a="1"/>
  <c r="AA502" i="16"/>
  <c r="Q500" i="16"/>
  <c r="AB501" i="16" l="1"/>
  <c r="R499" i="16"/>
  <c r="AB502" i="16" a="1"/>
  <c r="AA503" i="16"/>
  <c r="R500" i="16" a="1"/>
  <c r="Q501" i="16"/>
  <c r="AB502" i="16" l="1"/>
  <c r="R500" i="16"/>
  <c r="R501" i="16" a="1"/>
  <c r="Q502" i="16"/>
  <c r="AB503" i="16" a="1"/>
  <c r="AA504" i="16"/>
  <c r="AB503" i="16" l="1"/>
  <c r="R501" i="16"/>
  <c r="AA505" i="16"/>
  <c r="Q503" i="16"/>
  <c r="AB504" i="16" a="1"/>
  <c r="R502" i="16" a="1"/>
  <c r="AB504" i="16" l="1"/>
  <c r="R502" i="16"/>
  <c r="Q504" i="16"/>
  <c r="AA506" i="16"/>
  <c r="AB505" i="16" a="1"/>
  <c r="R503" i="16" a="1"/>
  <c r="AB505" i="16" l="1"/>
  <c r="R503" i="16"/>
  <c r="AB506" i="16" a="1"/>
  <c r="Q505" i="16"/>
  <c r="R504" i="16" a="1"/>
  <c r="AA507" i="16"/>
  <c r="AB506" i="16" l="1"/>
  <c r="R504" i="16"/>
  <c r="Q506" i="16"/>
  <c r="AA508" i="16"/>
  <c r="R505" i="16" a="1"/>
  <c r="AB507" i="16" a="1"/>
  <c r="AB507" i="16" l="1"/>
  <c r="R505" i="16"/>
  <c r="AA509" i="16"/>
  <c r="AB508" i="16" a="1"/>
  <c r="R506" i="16" a="1"/>
  <c r="Q507" i="16"/>
  <c r="AB508" i="16" l="1"/>
  <c r="R506" i="16"/>
  <c r="AA510" i="16"/>
  <c r="R507" i="16" a="1"/>
  <c r="AB509" i="16" a="1"/>
  <c r="Q508" i="16"/>
  <c r="AB509" i="16" l="1"/>
  <c r="R507" i="16"/>
  <c r="R508" i="16" a="1"/>
  <c r="AA511" i="16"/>
  <c r="Q509" i="16"/>
  <c r="AB510" i="16" a="1"/>
  <c r="AB510" i="16" l="1"/>
  <c r="R508" i="16"/>
  <c r="Q510" i="16"/>
  <c r="R509" i="16" a="1"/>
  <c r="AB511" i="16" a="1"/>
  <c r="AA512" i="16"/>
  <c r="AB511" i="16" l="1"/>
  <c r="R509" i="16"/>
  <c r="Q511" i="16"/>
  <c r="AA513" i="16"/>
  <c r="AB512" i="16" a="1"/>
  <c r="R510" i="16" a="1"/>
  <c r="AB512" i="16" l="1"/>
  <c r="R510" i="16"/>
  <c r="Q512" i="16"/>
  <c r="R511" i="16" a="1"/>
  <c r="AB513" i="16" a="1"/>
  <c r="AA514" i="16"/>
  <c r="AB513" i="16" l="1"/>
  <c r="R511" i="16"/>
  <c r="Q513" i="16"/>
  <c r="R512" i="16" a="1"/>
  <c r="AB514" i="16" a="1"/>
  <c r="AA515" i="16"/>
  <c r="AB514" i="16" l="1"/>
  <c r="R512" i="16"/>
  <c r="AB515" i="16" a="1"/>
  <c r="R513" i="16" a="1"/>
  <c r="Q514" i="16"/>
  <c r="AA516" i="16"/>
  <c r="AB515" i="16" l="1"/>
  <c r="R513" i="16"/>
  <c r="AB516" i="16" a="1"/>
  <c r="R514" i="16" a="1"/>
  <c r="Q515" i="16"/>
  <c r="AA517" i="16"/>
  <c r="AB516" i="16" l="1"/>
  <c r="R514" i="16"/>
  <c r="Q516" i="16"/>
  <c r="R515" i="16" a="1"/>
  <c r="AB517" i="16" a="1"/>
  <c r="AA518" i="16"/>
  <c r="AB517" i="16" l="1"/>
  <c r="R515" i="16"/>
  <c r="Q517" i="16"/>
  <c r="R516" i="16" a="1"/>
  <c r="AA519" i="16"/>
  <c r="AB518" i="16" a="1"/>
  <c r="AB518" i="16" l="1"/>
  <c r="R516" i="16"/>
  <c r="R517" i="16" a="1"/>
  <c r="AA520" i="16"/>
  <c r="AB519" i="16" a="1"/>
  <c r="Q518" i="16"/>
  <c r="AB519" i="16" l="1"/>
  <c r="R517" i="16"/>
  <c r="Q519" i="16"/>
  <c r="AB520" i="16" a="1"/>
  <c r="R518" i="16" a="1"/>
  <c r="AA521" i="16"/>
  <c r="AB520" i="16" l="1"/>
  <c r="R518" i="16"/>
  <c r="AA522" i="16"/>
  <c r="R519" i="16" a="1"/>
  <c r="Q520" i="16"/>
  <c r="AB521" i="16" a="1"/>
  <c r="AB521" i="16" l="1"/>
  <c r="R519" i="16"/>
  <c r="Q521" i="16"/>
  <c r="AB522" i="16" a="1"/>
  <c r="R520" i="16" a="1"/>
  <c r="AA523" i="16"/>
  <c r="AB522" i="16" l="1"/>
  <c r="R520" i="16"/>
  <c r="AB523" i="16" a="1"/>
  <c r="AA524" i="16"/>
  <c r="Q522" i="16"/>
  <c r="R521" i="16" a="1"/>
  <c r="AB523" i="16" l="1"/>
  <c r="R521" i="16"/>
  <c r="R522" i="16" a="1"/>
  <c r="AB524" i="16" a="1"/>
  <c r="Q523" i="16"/>
  <c r="AA525" i="16"/>
  <c r="AB524" i="16" l="1"/>
  <c r="R522" i="16"/>
  <c r="R523" i="16" a="1"/>
  <c r="AA526" i="16"/>
  <c r="Q524" i="16"/>
  <c r="AB525" i="16" a="1"/>
  <c r="AB525" i="16" l="1"/>
  <c r="R523" i="16"/>
  <c r="Q525" i="16"/>
  <c r="R524" i="16" a="1"/>
  <c r="AB526" i="16" a="1"/>
  <c r="AA527" i="16"/>
  <c r="AB526" i="16" l="1"/>
  <c r="R524" i="16"/>
  <c r="R525" i="16" a="1"/>
  <c r="AB527" i="16" a="1"/>
  <c r="AA528" i="16"/>
  <c r="Q526" i="16"/>
  <c r="AB527" i="16" l="1"/>
  <c r="R525" i="16"/>
  <c r="AB528" i="16" a="1"/>
  <c r="Q527" i="16"/>
  <c r="AA529" i="16"/>
  <c r="R526" i="16" a="1"/>
  <c r="AB528" i="16" l="1"/>
  <c r="R526" i="16"/>
  <c r="AA530" i="16"/>
  <c r="R527" i="16" a="1"/>
  <c r="AB529" i="16" a="1"/>
  <c r="Q528" i="16"/>
  <c r="AB529" i="16" l="1"/>
  <c r="R527" i="16"/>
  <c r="Q529" i="16"/>
  <c r="R528" i="16" a="1"/>
  <c r="AA531" i="16"/>
  <c r="AB530" i="16" a="1"/>
  <c r="AB530" i="16" l="1"/>
  <c r="R528" i="16"/>
  <c r="AA532" i="16"/>
  <c r="R529" i="16" a="1"/>
  <c r="AB531" i="16" a="1"/>
  <c r="Q530" i="16"/>
  <c r="AB531" i="16" l="1"/>
  <c r="R529" i="16"/>
  <c r="Q531" i="16"/>
  <c r="R530" i="16" a="1"/>
  <c r="AA533" i="16"/>
  <c r="AB532" i="16" a="1"/>
  <c r="AB532" i="16" l="1"/>
  <c r="R530" i="16"/>
  <c r="Q532" i="16"/>
  <c r="AB533" i="16" a="1"/>
  <c r="R531" i="16" a="1"/>
  <c r="AA534" i="16"/>
  <c r="AB533" i="16" l="1"/>
  <c r="R531" i="16"/>
  <c r="R532" i="16" a="1"/>
  <c r="AA535" i="16"/>
  <c r="Q533" i="16"/>
  <c r="AB534" i="16" a="1"/>
  <c r="AB534" i="16" l="1"/>
  <c r="R532" i="16"/>
  <c r="R533" i="16" a="1"/>
  <c r="AB535" i="16" a="1"/>
  <c r="AA536" i="16"/>
  <c r="Q534" i="16"/>
  <c r="AB535" i="16" l="1"/>
  <c r="R533" i="16"/>
  <c r="Q535" i="16"/>
  <c r="AA537" i="16"/>
  <c r="AB536" i="16" a="1"/>
  <c r="R534" i="16" a="1"/>
  <c r="AB536" i="16" l="1"/>
  <c r="R534" i="16"/>
  <c r="Q536" i="16"/>
  <c r="AB537" i="16" a="1"/>
  <c r="AA538" i="16"/>
  <c r="R535" i="16" a="1"/>
  <c r="AB537" i="16" l="1"/>
  <c r="R535" i="16"/>
  <c r="AB538" i="16" a="1"/>
  <c r="Q537" i="16"/>
  <c r="AA539" i="16"/>
  <c r="R536" i="16" a="1"/>
  <c r="AB538" i="16" l="1"/>
  <c r="R536" i="16"/>
  <c r="R537" i="16" a="1"/>
  <c r="Q538" i="16"/>
  <c r="AB539" i="16" a="1"/>
  <c r="AA540" i="16"/>
  <c r="AB539" i="16" l="1"/>
  <c r="R537" i="16"/>
  <c r="Q539" i="16"/>
  <c r="AA541" i="16"/>
  <c r="R538" i="16" a="1"/>
  <c r="AB540" i="16" a="1"/>
  <c r="AB540" i="16" l="1"/>
  <c r="R538" i="16"/>
  <c r="AB541" i="16" a="1"/>
  <c r="Q540" i="16"/>
  <c r="AA542" i="16"/>
  <c r="R539" i="16" a="1"/>
  <c r="AB541" i="16" l="1"/>
  <c r="R539" i="16"/>
  <c r="AA543" i="16"/>
  <c r="Q541" i="16"/>
  <c r="AB542" i="16" a="1"/>
  <c r="R540" i="16" a="1"/>
  <c r="AB542" i="16" l="1"/>
  <c r="R540" i="16"/>
  <c r="R541" i="16" a="1"/>
  <c r="Q542" i="16"/>
  <c r="AB543" i="16" a="1"/>
  <c r="AA544" i="16"/>
  <c r="AB543" i="16" l="1"/>
  <c r="R541" i="16"/>
  <c r="Q543" i="16"/>
  <c r="AA545" i="16"/>
  <c r="R542" i="16" a="1"/>
  <c r="AB544" i="16" a="1"/>
  <c r="AB544" i="16" l="1"/>
  <c r="R542" i="16"/>
  <c r="AB545" i="16" a="1"/>
  <c r="Q544" i="16"/>
  <c r="AA546" i="16"/>
  <c r="R543" i="16" a="1"/>
  <c r="AB545" i="16" l="1"/>
  <c r="R543" i="16"/>
  <c r="AB546" i="16" a="1"/>
  <c r="R544" i="16" a="1"/>
  <c r="AA547" i="16"/>
  <c r="Q545" i="16"/>
  <c r="AB546" i="16" l="1"/>
  <c r="R544" i="16"/>
  <c r="AA548" i="16"/>
  <c r="Q546" i="16"/>
  <c r="AB547" i="16" a="1"/>
  <c r="R545" i="16" a="1"/>
  <c r="AB547" i="16" l="1"/>
  <c r="R545" i="16"/>
  <c r="Q547" i="16"/>
  <c r="AB548" i="16" a="1"/>
  <c r="R546" i="16" a="1"/>
  <c r="AA549" i="16"/>
  <c r="AB548" i="16" l="1"/>
  <c r="R546" i="16"/>
  <c r="AA550" i="16"/>
  <c r="R547" i="16" a="1"/>
  <c r="Q548" i="16"/>
  <c r="AB549" i="16" a="1"/>
  <c r="AB549" i="16" l="1"/>
  <c r="R547" i="16"/>
  <c r="R548" i="16" a="1"/>
  <c r="AB550" i="16" a="1"/>
  <c r="AA551" i="16"/>
  <c r="Q549" i="16"/>
  <c r="AB550" i="16" l="1"/>
  <c r="R548" i="16"/>
  <c r="R549" i="16" a="1"/>
  <c r="Q550" i="16"/>
  <c r="AB551" i="16" a="1"/>
  <c r="AA552" i="16"/>
  <c r="AB551" i="16" l="1"/>
  <c r="R549" i="16"/>
  <c r="AB552" i="16" a="1"/>
  <c r="Q551" i="16"/>
  <c r="AA553" i="16"/>
  <c r="R550" i="16" a="1"/>
  <c r="AB552" i="16" l="1"/>
  <c r="R550" i="16"/>
  <c r="AA554" i="16"/>
  <c r="AB553" i="16" a="1"/>
  <c r="Q552" i="16"/>
  <c r="R551" i="16" a="1"/>
  <c r="AB553" i="16" l="1"/>
  <c r="R551" i="16"/>
  <c r="AB554" i="16" a="1"/>
  <c r="Q553" i="16"/>
  <c r="R552" i="16" a="1"/>
  <c r="AA555" i="16"/>
  <c r="AB554" i="16" l="1"/>
  <c r="R552" i="16"/>
  <c r="R553" i="16" a="1"/>
  <c r="Q554" i="16"/>
  <c r="AA556" i="16"/>
  <c r="AB555" i="16" a="1"/>
  <c r="AB555" i="16" l="1"/>
  <c r="R553" i="16"/>
  <c r="Q555" i="16"/>
  <c r="AB556" i="16" a="1"/>
  <c r="R554" i="16" a="1"/>
  <c r="AA557" i="16"/>
  <c r="AB556" i="16" l="1"/>
  <c r="R554" i="16"/>
  <c r="R555" i="16" a="1"/>
  <c r="Q556" i="16"/>
  <c r="AB557" i="16" a="1"/>
  <c r="AA558" i="16"/>
  <c r="AB557" i="16" l="1"/>
  <c r="R555" i="16"/>
  <c r="R556" i="16" a="1"/>
  <c r="Q557" i="16"/>
  <c r="AA559" i="16"/>
  <c r="AB558" i="16" a="1"/>
  <c r="AB558" i="16" l="1"/>
  <c r="R556" i="16"/>
  <c r="Q558" i="16"/>
  <c r="AB559" i="16" a="1"/>
  <c r="R557" i="16" a="1"/>
  <c r="AA560" i="16"/>
  <c r="AB559" i="16" l="1"/>
  <c r="R557" i="16"/>
  <c r="R558" i="16" a="1"/>
  <c r="AB560" i="16" a="1"/>
  <c r="Q559" i="16"/>
  <c r="AA561" i="16"/>
  <c r="AB560" i="16" l="1"/>
  <c r="R558" i="16"/>
  <c r="Q560" i="16"/>
  <c r="AB561" i="16" a="1"/>
  <c r="R559" i="16" a="1"/>
  <c r="AA562" i="16"/>
  <c r="AB561" i="16" l="1"/>
  <c r="R559" i="16"/>
  <c r="AB562" i="16" a="1"/>
  <c r="AA563" i="16"/>
  <c r="R560" i="16" a="1"/>
  <c r="Q561" i="16"/>
  <c r="AB562" i="16" l="1"/>
  <c r="R560" i="16"/>
  <c r="R561" i="16" a="1"/>
  <c r="Q562" i="16"/>
  <c r="AB563" i="16" a="1"/>
  <c r="AA564" i="16"/>
  <c r="AB563" i="16" l="1"/>
  <c r="R561" i="16"/>
  <c r="AA565" i="16"/>
  <c r="Q563" i="16"/>
  <c r="AB564" i="16" a="1"/>
  <c r="R562" i="16" a="1"/>
  <c r="AB564" i="16" l="1"/>
  <c r="R562" i="16"/>
  <c r="R563" i="16" a="1"/>
  <c r="AA566" i="16"/>
  <c r="AB565" i="16" a="1"/>
  <c r="Q564" i="16"/>
  <c r="AB565" i="16" l="1"/>
  <c r="R563" i="16"/>
  <c r="AB566" i="16" a="1"/>
  <c r="AA567" i="16"/>
  <c r="R564" i="16" a="1"/>
  <c r="Q565" i="16"/>
  <c r="AB566" i="16" l="1"/>
  <c r="R564" i="16"/>
  <c r="Q566" i="16"/>
  <c r="R565" i="16" a="1"/>
  <c r="AA568" i="16"/>
  <c r="AB567" i="16" a="1"/>
  <c r="AB567" i="16" l="1"/>
  <c r="R565" i="16"/>
  <c r="R566" i="16" a="1"/>
  <c r="AA569" i="16"/>
  <c r="AB568" i="16" a="1"/>
  <c r="Q567" i="16"/>
  <c r="AB568" i="16" l="1"/>
  <c r="R566" i="16"/>
  <c r="AB569" i="16" a="1"/>
  <c r="Q568" i="16"/>
  <c r="AA570" i="16"/>
  <c r="R567" i="16" a="1"/>
  <c r="AB569" i="16" l="1"/>
  <c r="R567" i="16"/>
  <c r="AB570" i="16" a="1"/>
  <c r="R568" i="16" a="1"/>
  <c r="Q569" i="16"/>
  <c r="AA571" i="16"/>
  <c r="AB570" i="16" l="1"/>
  <c r="R568" i="16"/>
  <c r="AB571" i="16" a="1"/>
  <c r="R569" i="16" a="1"/>
  <c r="AA572" i="16"/>
  <c r="Q570" i="16"/>
  <c r="AB571" i="16" l="1"/>
  <c r="R569" i="16"/>
  <c r="R570" i="16" a="1"/>
  <c r="AA573" i="16"/>
  <c r="AB572" i="16" a="1"/>
  <c r="Q571" i="16"/>
  <c r="AB572" i="16" l="1"/>
  <c r="R570" i="16"/>
  <c r="Q572" i="16"/>
  <c r="AB573" i="16" a="1"/>
  <c r="R571" i="16" a="1"/>
  <c r="AA574" i="16"/>
  <c r="AB573" i="16" l="1"/>
  <c r="R571" i="16"/>
  <c r="AA575" i="16"/>
  <c r="Q573" i="16"/>
  <c r="AB574" i="16" a="1"/>
  <c r="R572" i="16" a="1"/>
  <c r="AB574" i="16" l="1"/>
  <c r="R572" i="16"/>
  <c r="AA576" i="16"/>
  <c r="Q574" i="16"/>
  <c r="AB575" i="16" a="1"/>
  <c r="R573" i="16" a="1"/>
  <c r="AB575" i="16" l="1"/>
  <c r="R573" i="16"/>
  <c r="R574" i="16" a="1"/>
  <c r="Q575" i="16"/>
  <c r="AA577" i="16"/>
  <c r="AB576" i="16" a="1"/>
  <c r="AB576" i="16" l="1"/>
  <c r="R574" i="16"/>
  <c r="AA578" i="16"/>
  <c r="AB577" i="16" a="1"/>
  <c r="R575" i="16" a="1"/>
  <c r="Q576" i="16"/>
  <c r="AB577" i="16" l="1"/>
  <c r="R575" i="16"/>
  <c r="AB578" i="16" a="1"/>
  <c r="AA579" i="16"/>
  <c r="Q577" i="16"/>
  <c r="R576" i="16" a="1"/>
  <c r="AB578" i="16" l="1"/>
  <c r="R576" i="16"/>
  <c r="AB579" i="16" a="1"/>
  <c r="AA580" i="16"/>
  <c r="R577" i="16" a="1"/>
  <c r="Q578" i="16"/>
  <c r="AB579" i="16" l="1"/>
  <c r="R577" i="16"/>
  <c r="Q579" i="16"/>
  <c r="R578" i="16" a="1"/>
  <c r="AB580" i="16" a="1"/>
  <c r="AA581" i="16"/>
  <c r="AB580" i="16" l="1"/>
  <c r="R578" i="16"/>
  <c r="Q580" i="16"/>
  <c r="R579" i="16" a="1"/>
  <c r="AB581" i="16" a="1"/>
  <c r="AA582" i="16"/>
  <c r="AB581" i="16" l="1"/>
  <c r="R579" i="16"/>
  <c r="R580" i="16" a="1"/>
  <c r="AA583" i="16"/>
  <c r="AB582" i="16" a="1"/>
  <c r="Q581" i="16"/>
  <c r="AB582" i="16" l="1"/>
  <c r="R580" i="16"/>
  <c r="R581" i="16" a="1"/>
  <c r="AB583" i="16" a="1"/>
  <c r="Q582" i="16"/>
  <c r="AA584" i="16"/>
  <c r="AB583" i="16" l="1"/>
  <c r="R581" i="16"/>
  <c r="Q583" i="16"/>
  <c r="R582" i="16" a="1"/>
  <c r="AB584" i="16" a="1"/>
  <c r="AA585" i="16"/>
  <c r="AB584" i="16" l="1"/>
  <c r="R582" i="16"/>
  <c r="AA586" i="16"/>
  <c r="R583" i="16" a="1"/>
  <c r="AB585" i="16" a="1"/>
  <c r="Q584" i="16"/>
  <c r="AB585" i="16" l="1"/>
  <c r="R583" i="16"/>
  <c r="AA587" i="16"/>
  <c r="Q585" i="16"/>
  <c r="AB586" i="16" a="1"/>
  <c r="R584" i="16" a="1"/>
  <c r="AB586" i="16" l="1"/>
  <c r="R584" i="16"/>
  <c r="R585" i="16" a="1"/>
  <c r="AA588" i="16"/>
  <c r="AB587" i="16" a="1"/>
  <c r="Q586" i="16"/>
  <c r="AB587" i="16" l="1"/>
  <c r="R585" i="16"/>
  <c r="R586" i="16" a="1"/>
  <c r="AA589" i="16"/>
  <c r="AB588" i="16" a="1"/>
  <c r="Q587" i="16"/>
  <c r="AB588" i="16" l="1"/>
  <c r="R586" i="16"/>
  <c r="AB589" i="16" a="1"/>
  <c r="R587" i="16" a="1"/>
  <c r="Q588" i="16"/>
  <c r="AA590" i="16"/>
  <c r="AB589" i="16" l="1"/>
  <c r="R587" i="16"/>
  <c r="Q589" i="16"/>
  <c r="AA591" i="16"/>
  <c r="R588" i="16" a="1"/>
  <c r="AB590" i="16" a="1"/>
  <c r="AB590" i="16" l="1"/>
  <c r="R588" i="16"/>
  <c r="R589" i="16" a="1"/>
  <c r="AB591" i="16" a="1"/>
  <c r="AA592" i="16"/>
  <c r="Q590" i="16"/>
  <c r="AB591" i="16" l="1"/>
  <c r="R589" i="16"/>
  <c r="R590" i="16" a="1"/>
  <c r="Q591" i="16"/>
  <c r="AA593" i="16"/>
  <c r="AB592" i="16" a="1"/>
  <c r="AB592" i="16" l="1"/>
  <c r="R590" i="16"/>
  <c r="AB593" i="16" a="1"/>
  <c r="R591" i="16" a="1"/>
  <c r="Q592" i="16"/>
  <c r="AA594" i="16"/>
  <c r="AB593" i="16" l="1"/>
  <c r="R591" i="16"/>
  <c r="R592" i="16" a="1"/>
  <c r="Q593" i="16"/>
  <c r="AB594" i="16" a="1"/>
  <c r="AA595" i="16"/>
  <c r="AB594" i="16" l="1"/>
  <c r="R592" i="16"/>
  <c r="Q594" i="16"/>
  <c r="AB595" i="16" a="1"/>
  <c r="AA596" i="16"/>
  <c r="R593" i="16" a="1"/>
  <c r="AB595" i="16" l="1"/>
  <c r="R593" i="16"/>
  <c r="AB596" i="16" a="1"/>
  <c r="R594" i="16" a="1"/>
  <c r="Q595" i="16"/>
  <c r="AA597" i="16"/>
  <c r="AB596" i="16" l="1"/>
  <c r="R594" i="16"/>
  <c r="AA598" i="16"/>
  <c r="Q596" i="16"/>
  <c r="R595" i="16" a="1"/>
  <c r="AB597" i="16" a="1"/>
  <c r="AB597" i="16" l="1"/>
  <c r="R595" i="16"/>
  <c r="AA599" i="16"/>
  <c r="Q597" i="16"/>
  <c r="AB598" i="16" a="1"/>
  <c r="R596" i="16" a="1"/>
  <c r="AB598" i="16" l="1"/>
  <c r="R596" i="16"/>
  <c r="Q598" i="16"/>
  <c r="R597" i="16" a="1"/>
  <c r="AA600" i="16"/>
  <c r="AB599" i="16" a="1"/>
  <c r="AB599" i="16" l="1"/>
  <c r="R597" i="16"/>
  <c r="AA601" i="16"/>
  <c r="AB600" i="16" a="1"/>
  <c r="Q599" i="16"/>
  <c r="R598" i="16" a="1"/>
  <c r="AB600" i="16" l="1"/>
  <c r="R598" i="16"/>
  <c r="AB601" i="16" a="1"/>
  <c r="AA602" i="16"/>
  <c r="R599" i="16" a="1"/>
  <c r="Q600" i="16"/>
  <c r="AB601" i="16" l="1"/>
  <c r="R599" i="16"/>
  <c r="Q601" i="16"/>
  <c r="AB602" i="16" a="1"/>
  <c r="R600" i="16" a="1"/>
  <c r="AA603" i="16"/>
  <c r="AB602" i="16" l="1"/>
  <c r="R600" i="16"/>
  <c r="AA604" i="16"/>
  <c r="AB603" i="16" a="1"/>
  <c r="R601" i="16" a="1"/>
  <c r="Q602" i="16"/>
  <c r="AB603" i="16" l="1"/>
  <c r="R601" i="16"/>
  <c r="AA605" i="16"/>
  <c r="Q603" i="16"/>
  <c r="R602" i="16" a="1"/>
  <c r="AB604" i="16" a="1"/>
  <c r="AB604" i="16" l="1"/>
  <c r="R602" i="16"/>
  <c r="Q604" i="16"/>
  <c r="R603" i="16" a="1"/>
  <c r="AB605" i="16" a="1"/>
  <c r="AA606" i="16"/>
  <c r="AB605" i="16" l="1"/>
  <c r="R603" i="16"/>
  <c r="Q605" i="16"/>
  <c r="AA607" i="16"/>
  <c r="R604" i="16" a="1"/>
  <c r="AB606" i="16" a="1"/>
  <c r="AB606" i="16" l="1"/>
  <c r="R604" i="16"/>
  <c r="AA608" i="16"/>
  <c r="R605" i="16" a="1"/>
  <c r="AB607" i="16" a="1"/>
  <c r="Q606" i="16"/>
  <c r="AB607" i="16" l="1"/>
  <c r="R605" i="16"/>
  <c r="AB608" i="16" a="1"/>
  <c r="Q607" i="16"/>
  <c r="AA609" i="16"/>
  <c r="R606" i="16" a="1"/>
  <c r="AB608" i="16" l="1"/>
  <c r="R606" i="16"/>
  <c r="AA610" i="16"/>
  <c r="R607" i="16" a="1"/>
  <c r="Q608" i="16"/>
  <c r="AB609" i="16" a="1"/>
  <c r="AB609" i="16" l="1"/>
  <c r="R607" i="16"/>
  <c r="AB610" i="16" a="1"/>
  <c r="Q609" i="16"/>
  <c r="R608" i="16" a="1"/>
  <c r="AA611" i="16"/>
  <c r="AB610" i="16" l="1"/>
  <c r="R608" i="16"/>
  <c r="AA612" i="16"/>
  <c r="Q610" i="16"/>
  <c r="AB611" i="16" a="1"/>
  <c r="R609" i="16" a="1"/>
  <c r="AB611" i="16" l="1"/>
  <c r="R609" i="16"/>
  <c r="AB612" i="16" a="1"/>
  <c r="AA613" i="16"/>
  <c r="R610" i="16" a="1"/>
  <c r="Q611" i="16"/>
  <c r="AB612" i="16" l="1"/>
  <c r="R610" i="16"/>
  <c r="AA614" i="16"/>
  <c r="Q612" i="16"/>
  <c r="AB613" i="16" a="1"/>
  <c r="R611" i="16" a="1"/>
  <c r="AB613" i="16" l="1"/>
  <c r="R611" i="16"/>
  <c r="AA615" i="16"/>
  <c r="R612" i="16" a="1"/>
  <c r="AB614" i="16" a="1"/>
  <c r="Q613" i="16"/>
  <c r="AB614" i="16" l="1"/>
  <c r="R612" i="16"/>
  <c r="R613" i="16" a="1"/>
  <c r="AA616" i="16"/>
  <c r="AB615" i="16" a="1"/>
  <c r="Q614" i="16"/>
  <c r="AB615" i="16" l="1"/>
  <c r="R613" i="16"/>
  <c r="R614" i="16" a="1"/>
  <c r="AA617" i="16"/>
  <c r="AB616" i="16" a="1"/>
  <c r="Q615" i="16"/>
  <c r="AB616" i="16" l="1"/>
  <c r="R614" i="16"/>
  <c r="AB617" i="16" a="1"/>
  <c r="R615" i="16" a="1"/>
  <c r="AA618" i="16"/>
  <c r="Q616" i="16"/>
  <c r="AB617" i="16" l="1"/>
  <c r="R615" i="16"/>
  <c r="R616" i="16" a="1"/>
  <c r="AA619" i="16"/>
  <c r="AB618" i="16" a="1"/>
  <c r="Q617" i="16"/>
  <c r="AB618" i="16" l="1"/>
  <c r="R616" i="16"/>
  <c r="Q618" i="16"/>
  <c r="R617" i="16" a="1"/>
  <c r="AB619" i="16" a="1"/>
  <c r="AA620" i="16"/>
  <c r="AB619" i="16" l="1"/>
  <c r="R617" i="16"/>
  <c r="R618" i="16" a="1"/>
  <c r="Q619" i="16"/>
  <c r="AA621" i="16"/>
  <c r="AB620" i="16" a="1"/>
  <c r="AB620" i="16" l="1"/>
  <c r="R618" i="16"/>
  <c r="AA622" i="16"/>
  <c r="R619" i="16" a="1"/>
  <c r="AB621" i="16" a="1"/>
  <c r="Q620" i="16"/>
  <c r="AB621" i="16" l="1"/>
  <c r="R619" i="16"/>
  <c r="AB622" i="16" a="1"/>
  <c r="R620" i="16" a="1"/>
  <c r="Q621" i="16"/>
  <c r="AA623" i="16"/>
  <c r="AB622" i="16" l="1"/>
  <c r="R620" i="16"/>
  <c r="R621" i="16" a="1"/>
  <c r="AB623" i="16" a="1"/>
  <c r="Q622" i="16"/>
  <c r="AA624" i="16"/>
  <c r="AB623" i="16" l="1"/>
  <c r="R621" i="16"/>
  <c r="AB624" i="16" a="1"/>
  <c r="Q623" i="16"/>
  <c r="R622" i="16" a="1"/>
  <c r="AA625" i="16"/>
  <c r="AB624" i="16" l="1"/>
  <c r="R622" i="16"/>
  <c r="AB625" i="16" a="1"/>
  <c r="R623" i="16" a="1"/>
  <c r="AA626" i="16"/>
  <c r="Q624" i="16"/>
  <c r="AB625" i="16" l="1"/>
  <c r="R623" i="16"/>
  <c r="AB626" i="16" a="1"/>
  <c r="R624" i="16" a="1"/>
  <c r="AA627" i="16"/>
  <c r="Q625" i="16"/>
  <c r="AB626" i="16" l="1"/>
  <c r="R624" i="16"/>
  <c r="R625" i="16" a="1"/>
  <c r="Q626" i="16"/>
  <c r="AB627" i="16" a="1"/>
  <c r="AA628" i="16"/>
  <c r="AB627" i="16" l="1"/>
  <c r="R625" i="16"/>
  <c r="Q627" i="16"/>
  <c r="AA629" i="16"/>
  <c r="R626" i="16" a="1"/>
  <c r="AB628" i="16" a="1"/>
  <c r="AB628" i="16" l="1"/>
  <c r="R626" i="16"/>
  <c r="R627" i="16" a="1"/>
  <c r="Q628" i="16"/>
  <c r="AB629" i="16" a="1"/>
  <c r="AA630" i="16"/>
  <c r="AB629" i="16" l="1"/>
  <c r="R627" i="16"/>
  <c r="AB630" i="16" a="1"/>
  <c r="Q629" i="16"/>
  <c r="R628" i="16" a="1"/>
  <c r="AA631" i="16"/>
  <c r="AB630" i="16" l="1"/>
  <c r="R628" i="16"/>
  <c r="R629" i="16" a="1"/>
  <c r="AA632" i="16"/>
  <c r="AB631" i="16" a="1"/>
  <c r="Q630" i="16"/>
  <c r="AB631" i="16" l="1"/>
  <c r="R629" i="16"/>
  <c r="Q631" i="16"/>
  <c r="AB632" i="16" a="1"/>
  <c r="R630" i="16" a="1"/>
  <c r="AA633" i="16"/>
  <c r="AB632" i="16" l="1"/>
  <c r="R630" i="16"/>
  <c r="AA634" i="16"/>
  <c r="R631" i="16" a="1"/>
  <c r="AB633" i="16" a="1"/>
  <c r="Q632" i="16"/>
  <c r="AB633" i="16" l="1"/>
  <c r="R631" i="16"/>
  <c r="R632" i="16" a="1"/>
  <c r="Q633" i="16"/>
  <c r="AA635" i="16"/>
  <c r="AB634" i="16" a="1"/>
  <c r="AB634" i="16" l="1"/>
  <c r="R632" i="16"/>
  <c r="AA636" i="16"/>
  <c r="R633" i="16" a="1"/>
  <c r="Q634" i="16"/>
  <c r="AB635" i="16" a="1"/>
  <c r="AB635" i="16" l="1"/>
  <c r="R633" i="16"/>
  <c r="AA637" i="16"/>
  <c r="R634" i="16" a="1"/>
  <c r="AB636" i="16" a="1"/>
  <c r="Q635" i="16"/>
  <c r="AB636" i="16" l="1"/>
  <c r="R634" i="16"/>
  <c r="Q636" i="16"/>
  <c r="AB637" i="16" a="1"/>
  <c r="R635" i="16" a="1"/>
  <c r="AA638" i="16"/>
  <c r="AB637" i="16" l="1"/>
  <c r="R635" i="16"/>
  <c r="R636" i="16" a="1"/>
  <c r="Q637" i="16"/>
  <c r="AB638" i="16" a="1"/>
  <c r="AA639" i="16"/>
  <c r="AB638" i="16" l="1"/>
  <c r="R636" i="16"/>
  <c r="AB639" i="16" a="1"/>
  <c r="R637" i="16" a="1"/>
  <c r="AA640" i="16"/>
  <c r="Q638" i="16"/>
  <c r="AB639" i="16" l="1"/>
  <c r="R637" i="16"/>
  <c r="R638" i="16" a="1"/>
  <c r="AB640" i="16" a="1"/>
  <c r="AA641" i="16"/>
  <c r="Q639" i="16"/>
  <c r="AB640" i="16" l="1"/>
  <c r="R638" i="16"/>
  <c r="R639" i="16" a="1"/>
  <c r="Q640" i="16"/>
  <c r="AA642" i="16"/>
  <c r="AB641" i="16" a="1"/>
  <c r="AB641" i="16" l="1"/>
  <c r="R639" i="16"/>
  <c r="R640" i="16" a="1"/>
  <c r="AB642" i="16" a="1"/>
  <c r="Q641" i="16"/>
  <c r="AA643" i="16"/>
  <c r="AB642" i="16" l="1"/>
  <c r="R640" i="16"/>
  <c r="R641" i="16" a="1"/>
  <c r="Q642" i="16"/>
  <c r="AB643" i="16" a="1"/>
  <c r="AA644" i="16"/>
  <c r="AB643" i="16" l="1"/>
  <c r="R641" i="16"/>
  <c r="R642" i="16" a="1"/>
  <c r="AB644" i="16" a="1"/>
  <c r="Q643" i="16"/>
  <c r="AA645" i="16"/>
  <c r="AB644" i="16" l="1"/>
  <c r="R642" i="16"/>
  <c r="AA646" i="16"/>
  <c r="R643" i="16" a="1"/>
  <c r="Q644" i="16"/>
  <c r="AB645" i="16" a="1"/>
  <c r="AB645" i="16" l="1"/>
  <c r="R643" i="16"/>
  <c r="Q645" i="16"/>
  <c r="AA647" i="16"/>
  <c r="R644" i="16" a="1"/>
  <c r="AB646" i="16" a="1"/>
  <c r="AB646" i="16" l="1"/>
  <c r="R644" i="16"/>
  <c r="R645" i="16" a="1"/>
  <c r="AB647" i="16" a="1"/>
  <c r="Q646" i="16"/>
  <c r="AA648" i="16"/>
  <c r="AB647" i="16" l="1"/>
  <c r="R645" i="16"/>
  <c r="R646" i="16" a="1"/>
  <c r="AA649" i="16"/>
  <c r="AB648" i="16" a="1"/>
  <c r="Q647" i="16"/>
  <c r="AB648" i="16" l="1"/>
  <c r="R646" i="16"/>
  <c r="AA650" i="16"/>
  <c r="R647" i="16" a="1"/>
  <c r="Q648" i="16"/>
  <c r="AB649" i="16" a="1"/>
  <c r="AB649" i="16" l="1"/>
  <c r="R647" i="16"/>
  <c r="Q649" i="16"/>
  <c r="R648" i="16" a="1"/>
  <c r="AA651" i="16"/>
  <c r="AB650" i="16" a="1"/>
  <c r="AB650" i="16" l="1"/>
  <c r="R648" i="16"/>
  <c r="Q650" i="16"/>
  <c r="AB651" i="16" a="1"/>
  <c r="AA652" i="16"/>
  <c r="R649" i="16" a="1"/>
  <c r="AB651" i="16" l="1"/>
  <c r="R649" i="16"/>
  <c r="AA653" i="16"/>
  <c r="R650" i="16" a="1"/>
  <c r="Q651" i="16"/>
  <c r="AB652" i="16" a="1"/>
  <c r="AB652" i="16" l="1"/>
  <c r="R650" i="16"/>
  <c r="AA654" i="16"/>
  <c r="Q652" i="16"/>
  <c r="AB653" i="16" a="1"/>
  <c r="R651" i="16" a="1"/>
  <c r="AB653" i="16" l="1"/>
  <c r="R651" i="16"/>
  <c r="AA655" i="16"/>
  <c r="Q653" i="16"/>
  <c r="R652" i="16" a="1"/>
  <c r="AB654" i="16" a="1"/>
  <c r="AB654" i="16" l="1"/>
  <c r="R652" i="16"/>
  <c r="Q654" i="16"/>
  <c r="R653" i="16" a="1"/>
  <c r="AB655" i="16" a="1"/>
  <c r="AA656" i="16"/>
  <c r="AB655" i="16" l="1"/>
  <c r="R653" i="16"/>
  <c r="AA657" i="16"/>
  <c r="R654" i="16" a="1"/>
  <c r="Q655" i="16"/>
  <c r="AB656" i="16" a="1"/>
  <c r="AB656" i="16" l="1"/>
  <c r="R654" i="16"/>
  <c r="AA658" i="16"/>
  <c r="R655" i="16" a="1"/>
  <c r="Q656" i="16"/>
  <c r="AB657" i="16" a="1"/>
  <c r="AB657" i="16" l="1"/>
  <c r="R655" i="16"/>
  <c r="AB658" i="16" a="1"/>
  <c r="R656" i="16" a="1"/>
  <c r="AA659" i="16"/>
  <c r="Q657" i="16"/>
  <c r="AB658" i="16" l="1"/>
  <c r="R656" i="16"/>
  <c r="Q658" i="16"/>
  <c r="AB659" i="16" a="1"/>
  <c r="AA660" i="16"/>
  <c r="R657" i="16" a="1"/>
  <c r="AB659" i="16" l="1"/>
  <c r="R657" i="16"/>
  <c r="AA661" i="16"/>
  <c r="Q659" i="16"/>
  <c r="AB660" i="16" a="1"/>
  <c r="R658" i="16" a="1"/>
  <c r="AB660" i="16" l="1"/>
  <c r="R658" i="16"/>
  <c r="AA662" i="16"/>
  <c r="AB661" i="16" a="1"/>
  <c r="R659" i="16" a="1"/>
  <c r="Q660" i="16"/>
  <c r="AB661" i="16" l="1"/>
  <c r="R659" i="16"/>
  <c r="Q661" i="16"/>
  <c r="R660" i="16" a="1"/>
  <c r="AB662" i="16" a="1"/>
  <c r="AA663" i="16"/>
  <c r="AB662" i="16" l="1"/>
  <c r="R660" i="16"/>
  <c r="R661" i="16" a="1"/>
  <c r="AA664" i="16"/>
  <c r="AB663" i="16" a="1"/>
  <c r="Q662" i="16"/>
  <c r="AB663" i="16" l="1"/>
  <c r="R661" i="16"/>
  <c r="AB664" i="16" a="1"/>
  <c r="R662" i="16" a="1"/>
  <c r="AA665" i="16"/>
  <c r="Q663" i="16"/>
  <c r="AB664" i="16" l="1"/>
  <c r="R662" i="16"/>
  <c r="AA666" i="16"/>
  <c r="Q664" i="16"/>
  <c r="R663" i="16" a="1"/>
  <c r="AB665" i="16" a="1"/>
  <c r="AB665" i="16" l="1"/>
  <c r="R663" i="16"/>
  <c r="R664" i="16" a="1"/>
  <c r="AB666" i="16" a="1"/>
  <c r="AA667" i="16"/>
  <c r="Q665" i="16"/>
  <c r="AB666" i="16" l="1"/>
  <c r="R664" i="16"/>
  <c r="AB667" i="16" a="1"/>
  <c r="AA668" i="16"/>
  <c r="Q666" i="16"/>
  <c r="R665" i="16" a="1"/>
  <c r="AB667" i="16" l="1"/>
  <c r="R665" i="16"/>
  <c r="R666" i="16" a="1"/>
  <c r="AA669" i="16"/>
  <c r="Q667" i="16"/>
  <c r="AB668" i="16" a="1"/>
  <c r="AB668" i="16" l="1"/>
  <c r="R666" i="16"/>
  <c r="AB669" i="16" a="1"/>
  <c r="R667" i="16" a="1"/>
  <c r="AA670" i="16"/>
  <c r="Q668" i="16"/>
  <c r="AB669" i="16" l="1"/>
  <c r="R667" i="16"/>
  <c r="R668" i="16" a="1"/>
  <c r="AB670" i="16" a="1"/>
  <c r="AA671" i="16"/>
  <c r="Q669" i="16"/>
  <c r="AB670" i="16" l="1"/>
  <c r="R668" i="16"/>
  <c r="R669" i="16" a="1"/>
  <c r="Q670" i="16"/>
  <c r="AB671" i="16" a="1"/>
  <c r="AA672" i="16"/>
  <c r="AB671" i="16" l="1"/>
  <c r="R669" i="16"/>
  <c r="R670" i="16" a="1"/>
  <c r="AB672" i="16" a="1"/>
  <c r="Q671" i="16"/>
  <c r="AA673" i="16"/>
  <c r="AB672" i="16" l="1"/>
  <c r="R670" i="16"/>
  <c r="AB673" i="16" a="1"/>
  <c r="Q672" i="16"/>
  <c r="R671" i="16" a="1"/>
  <c r="AA674" i="16"/>
  <c r="AB673" i="16" l="1"/>
  <c r="R671" i="16"/>
  <c r="R672" i="16" a="1"/>
  <c r="AB674" i="16" a="1"/>
  <c r="Q673" i="16"/>
  <c r="AA675" i="16"/>
  <c r="AB674" i="16" l="1"/>
  <c r="R672" i="16"/>
  <c r="AB675" i="16" a="1"/>
  <c r="Q674" i="16"/>
  <c r="R673" i="16" a="1"/>
  <c r="AA676" i="16"/>
  <c r="AB675" i="16" l="1"/>
  <c r="R673" i="16"/>
  <c r="AA677" i="16"/>
  <c r="R674" i="16" a="1"/>
  <c r="Q675" i="16"/>
  <c r="AB676" i="16" a="1"/>
  <c r="AB676" i="16" l="1"/>
  <c r="R674" i="16"/>
  <c r="Q676" i="16"/>
  <c r="AA678" i="16"/>
  <c r="AB677" i="16" a="1"/>
  <c r="R675" i="16" a="1"/>
  <c r="AB677" i="16" l="1"/>
  <c r="R675" i="16"/>
  <c r="AA679" i="16"/>
  <c r="R676" i="16" a="1"/>
  <c r="AB678" i="16" a="1"/>
  <c r="Q677" i="16"/>
  <c r="AB678" i="16" l="1"/>
  <c r="R676" i="16"/>
  <c r="AA680" i="16"/>
  <c r="R677" i="16" a="1"/>
  <c r="Q678" i="16"/>
  <c r="AB679" i="16" a="1"/>
  <c r="AB679" i="16" l="1"/>
  <c r="R677" i="16"/>
  <c r="R678" i="16" a="1"/>
  <c r="AB680" i="16" a="1"/>
  <c r="AA681" i="16"/>
  <c r="Q679" i="16"/>
  <c r="AB680" i="16" l="1"/>
  <c r="R678" i="16"/>
  <c r="Q680" i="16"/>
  <c r="AB681" i="16" a="1"/>
  <c r="AA682" i="16"/>
  <c r="R679" i="16" a="1"/>
  <c r="AB681" i="16" l="1"/>
  <c r="R679" i="16"/>
  <c r="R680" i="16" a="1"/>
  <c r="Q681" i="16"/>
  <c r="AA683" i="16"/>
  <c r="AB682" i="16" a="1"/>
  <c r="AB682" i="16" l="1"/>
  <c r="R680" i="16"/>
  <c r="Q682" i="16"/>
  <c r="AB683" i="16" a="1"/>
  <c r="R681" i="16" a="1"/>
  <c r="AA684" i="16"/>
  <c r="AB683" i="16" l="1"/>
  <c r="R681" i="16"/>
  <c r="AA685" i="16"/>
  <c r="R682" i="16" a="1"/>
  <c r="AB684" i="16" a="1"/>
  <c r="Q683" i="16"/>
  <c r="AB684" i="16" l="1"/>
  <c r="R682" i="16"/>
  <c r="AA686" i="16"/>
  <c r="AB685" i="16" a="1"/>
  <c r="R683" i="16" a="1"/>
  <c r="Q684" i="16"/>
  <c r="AB685" i="16" l="1"/>
  <c r="R683" i="16"/>
  <c r="AA687" i="16"/>
  <c r="AB686" i="16" a="1"/>
  <c r="R684" i="16" a="1"/>
  <c r="Q685" i="16"/>
  <c r="AB686" i="16" l="1"/>
  <c r="R684" i="16"/>
  <c r="R685" i="16" a="1"/>
  <c r="AA688" i="16"/>
  <c r="AB687" i="16" a="1"/>
  <c r="Q686" i="16"/>
  <c r="AB687" i="16" l="1"/>
  <c r="R685" i="16"/>
  <c r="Q687" i="16"/>
  <c r="AA689" i="16"/>
  <c r="AB688" i="16" a="1"/>
  <c r="R686" i="16" a="1"/>
  <c r="AB688" i="16" l="1"/>
  <c r="R686" i="16"/>
  <c r="R687" i="16" a="1"/>
  <c r="AA690" i="16"/>
  <c r="AB689" i="16" a="1"/>
  <c r="Q688" i="16"/>
  <c r="AB689" i="16" l="1"/>
  <c r="R687" i="16"/>
  <c r="R688" i="16" a="1"/>
  <c r="Q689" i="16"/>
  <c r="AA691" i="16"/>
  <c r="AB690" i="16" a="1"/>
  <c r="AB690" i="16" l="1"/>
  <c r="R688" i="16"/>
  <c r="Q690" i="16"/>
  <c r="R689" i="16" a="1"/>
  <c r="AB691" i="16" a="1"/>
  <c r="AA692" i="16"/>
  <c r="AB691" i="16" l="1"/>
  <c r="R689" i="16"/>
  <c r="Q691" i="16"/>
  <c r="R690" i="16" a="1"/>
  <c r="AB692" i="16" a="1"/>
  <c r="AA693" i="16"/>
  <c r="AB692" i="16" l="1"/>
  <c r="R690" i="16"/>
  <c r="Q692" i="16"/>
  <c r="AB693" i="16" a="1"/>
  <c r="R691" i="16" a="1"/>
  <c r="AA694" i="16"/>
  <c r="AB693" i="16" l="1"/>
  <c r="R691" i="16"/>
  <c r="AA695" i="16"/>
  <c r="AB694" i="16" a="1"/>
  <c r="R692" i="16" a="1"/>
  <c r="Q693" i="16"/>
  <c r="AB694" i="16" l="1"/>
  <c r="R692" i="16"/>
  <c r="R693" i="16" a="1"/>
  <c r="AA696" i="16"/>
  <c r="Q694" i="16"/>
  <c r="AB695" i="16" a="1"/>
  <c r="AB695" i="16" l="1"/>
  <c r="R693" i="16"/>
  <c r="AA697" i="16"/>
  <c r="R694" i="16" a="1"/>
  <c r="Q695" i="16"/>
  <c r="AB696" i="16" a="1"/>
  <c r="AB696" i="16" l="1"/>
  <c r="R694" i="16"/>
  <c r="AA698" i="16"/>
  <c r="Q696" i="16"/>
  <c r="AB697" i="16" a="1"/>
  <c r="R695" i="16" a="1"/>
  <c r="AB697" i="16" l="1"/>
  <c r="R695" i="16"/>
  <c r="R696" i="16" a="1"/>
  <c r="Q697" i="16"/>
  <c r="AA699" i="16"/>
  <c r="AB698" i="16" a="1"/>
  <c r="AB698" i="16" l="1"/>
  <c r="R696" i="16"/>
  <c r="R697" i="16" a="1"/>
  <c r="AA700" i="16"/>
  <c r="AB699" i="16" a="1"/>
  <c r="Q698" i="16"/>
  <c r="AB699" i="16" l="1"/>
  <c r="R697" i="16"/>
  <c r="R698" i="16" a="1"/>
  <c r="AA701" i="16"/>
  <c r="AB700" i="16" a="1"/>
  <c r="Q699" i="16"/>
  <c r="AB700" i="16" l="1"/>
  <c r="R698" i="16"/>
  <c r="R699" i="16" a="1"/>
  <c r="Q700" i="16"/>
  <c r="AA702" i="16"/>
  <c r="AB701" i="16" a="1"/>
  <c r="AB701" i="16" l="1"/>
  <c r="R699" i="16"/>
  <c r="R700" i="16" a="1"/>
  <c r="AA703" i="16"/>
  <c r="Q701" i="16"/>
  <c r="AB702" i="16" a="1"/>
  <c r="AB702" i="16" l="1"/>
  <c r="R700" i="16"/>
  <c r="AB703" i="16" a="1"/>
  <c r="AA704" i="16"/>
  <c r="R701" i="16" a="1"/>
  <c r="Q702" i="16"/>
  <c r="AB703" i="16" l="1"/>
  <c r="R701" i="16"/>
  <c r="R702" i="16" a="1"/>
  <c r="Q703" i="16"/>
  <c r="AB704" i="16" a="1"/>
  <c r="AA705" i="16"/>
  <c r="AB704" i="16" l="1"/>
  <c r="R702" i="16"/>
  <c r="R703" i="16" a="1"/>
  <c r="AA706" i="16"/>
  <c r="Q704" i="16"/>
  <c r="AB705" i="16" a="1"/>
  <c r="AB705" i="16" l="1"/>
  <c r="R703" i="16"/>
  <c r="R704" i="16" a="1"/>
  <c r="AB706" i="16" a="1"/>
  <c r="AA707" i="16"/>
  <c r="Q705" i="16"/>
  <c r="AB706" i="16" l="1"/>
  <c r="R704" i="16"/>
  <c r="AB707" i="16" a="1"/>
  <c r="Q706" i="16"/>
  <c r="R705" i="16" a="1"/>
  <c r="AA708" i="16"/>
  <c r="AB707" i="16" l="1"/>
  <c r="R705" i="16"/>
  <c r="Q707" i="16"/>
  <c r="R706" i="16" a="1"/>
  <c r="AB708" i="16" a="1"/>
  <c r="AA709" i="16"/>
  <c r="AB708" i="16" l="1"/>
  <c r="R706" i="16"/>
  <c r="R707" i="16" a="1"/>
  <c r="AB709" i="16" a="1"/>
  <c r="Q708" i="16"/>
  <c r="AA710" i="16"/>
  <c r="AB709" i="16" l="1"/>
  <c r="R707" i="16"/>
  <c r="AB710" i="16" a="1"/>
  <c r="Q709" i="16"/>
  <c r="AA711" i="16"/>
  <c r="R708" i="16" a="1"/>
  <c r="AB710" i="16" l="1"/>
  <c r="R708" i="16"/>
  <c r="AB711" i="16" a="1"/>
  <c r="AA712" i="16"/>
  <c r="R709" i="16" a="1"/>
  <c r="Q710" i="16"/>
  <c r="AB711" i="16" l="1"/>
  <c r="R709" i="16"/>
  <c r="Q711" i="16"/>
  <c r="AB712" i="16" a="1"/>
  <c r="AA713" i="16"/>
  <c r="R710" i="16" a="1"/>
  <c r="AB712" i="16" l="1"/>
  <c r="R710" i="16"/>
  <c r="R711" i="16" a="1"/>
  <c r="AA714" i="16"/>
  <c r="AB713" i="16" a="1"/>
  <c r="Q712" i="16"/>
  <c r="AB713" i="16" l="1"/>
  <c r="R711" i="16"/>
  <c r="R712" i="16" a="1"/>
  <c r="AA715" i="16"/>
  <c r="Q713" i="16"/>
  <c r="AB714" i="16" a="1"/>
  <c r="AB714" i="16" l="1"/>
  <c r="R712" i="16"/>
  <c r="AA716" i="16"/>
  <c r="R713" i="16" a="1"/>
  <c r="AB715" i="16" a="1"/>
  <c r="Q714" i="16"/>
  <c r="AB715" i="16" l="1"/>
  <c r="R713" i="16"/>
  <c r="AB716" i="16" a="1"/>
  <c r="AA717" i="16"/>
  <c r="R714" i="16" a="1"/>
  <c r="Q715" i="16"/>
  <c r="AB716" i="16" l="1"/>
  <c r="R714" i="16"/>
  <c r="AA718" i="16"/>
  <c r="R715" i="16" a="1"/>
  <c r="AB717" i="16" a="1"/>
  <c r="Q716" i="16"/>
  <c r="AB717" i="16" l="1"/>
  <c r="R715" i="16"/>
  <c r="R716" i="16" a="1"/>
  <c r="AA719" i="16"/>
  <c r="AB718" i="16" a="1"/>
  <c r="Q717" i="16"/>
  <c r="AB718" i="16" l="1"/>
  <c r="R716" i="16"/>
  <c r="R717" i="16" a="1"/>
  <c r="Q718" i="16"/>
  <c r="AB719" i="16" a="1"/>
  <c r="AA720" i="16"/>
  <c r="AB719" i="16" l="1"/>
  <c r="R717" i="16"/>
  <c r="AB720" i="16" a="1"/>
  <c r="R718" i="16" a="1"/>
  <c r="AA721" i="16"/>
  <c r="Q719" i="16"/>
  <c r="AB720" i="16" l="1"/>
  <c r="R718" i="16"/>
  <c r="AB721" i="16" a="1"/>
  <c r="AA722" i="16"/>
  <c r="R719" i="16" a="1"/>
  <c r="Q720" i="16"/>
  <c r="AB721" i="16" l="1"/>
  <c r="R719" i="16"/>
  <c r="R720" i="16" a="1"/>
  <c r="Q721" i="16"/>
  <c r="AB722" i="16" a="1"/>
  <c r="AA723" i="16"/>
  <c r="AB722" i="16" l="1"/>
  <c r="R720" i="16"/>
  <c r="AA724" i="16"/>
  <c r="AB723" i="16" a="1"/>
  <c r="R721" i="16" a="1"/>
  <c r="Q722" i="16"/>
  <c r="AB723" i="16" l="1"/>
  <c r="R721" i="16"/>
  <c r="AB724" i="16" a="1"/>
  <c r="R722" i="16" a="1"/>
  <c r="AA725" i="16"/>
  <c r="Q723" i="16"/>
  <c r="AB724" i="16" l="1"/>
  <c r="R722" i="16"/>
  <c r="AA726" i="16"/>
  <c r="R723" i="16" a="1"/>
  <c r="AB725" i="16" a="1"/>
  <c r="Q724" i="16"/>
  <c r="AB725" i="16" l="1"/>
  <c r="R723" i="16"/>
  <c r="R724" i="16" a="1"/>
  <c r="AA727" i="16"/>
  <c r="Q725" i="16"/>
  <c r="AB726" i="16" a="1"/>
  <c r="AB726" i="16" l="1"/>
  <c r="R724" i="16"/>
  <c r="AA728" i="16"/>
  <c r="Q726" i="16"/>
  <c r="R725" i="16" a="1"/>
  <c r="AB727" i="16" a="1"/>
  <c r="AB727" i="16" l="1"/>
  <c r="R725" i="16"/>
  <c r="R726" i="16" a="1"/>
  <c r="AB728" i="16" a="1"/>
  <c r="AA729" i="16"/>
  <c r="Q727" i="16"/>
  <c r="AB728" i="16" l="1"/>
  <c r="R726" i="16"/>
  <c r="R727" i="16" a="1"/>
  <c r="AB729" i="16" a="1"/>
  <c r="Q728" i="16"/>
  <c r="AA730" i="16"/>
  <c r="AB729" i="16" l="1"/>
  <c r="R727" i="16"/>
  <c r="R728" i="16" a="1"/>
  <c r="Q729" i="16"/>
  <c r="AB730" i="16" a="1"/>
  <c r="AA731" i="16"/>
  <c r="AB730" i="16" l="1"/>
  <c r="R728" i="16"/>
  <c r="AB731" i="16" a="1"/>
  <c r="Q730" i="16"/>
  <c r="AA732" i="16"/>
  <c r="R729" i="16" a="1"/>
  <c r="AB731" i="16" l="1"/>
  <c r="R729" i="16"/>
  <c r="AB732" i="16" a="1"/>
  <c r="Q731" i="16"/>
  <c r="AA733" i="16"/>
  <c r="R730" i="16" a="1"/>
  <c r="AB732" i="16" l="1"/>
  <c r="R730" i="16"/>
  <c r="AA734" i="16"/>
  <c r="Q732" i="16"/>
  <c r="R731" i="16" a="1"/>
  <c r="AB733" i="16" a="1"/>
  <c r="AB733" i="16" l="1"/>
  <c r="R731" i="16"/>
  <c r="R732" i="16" a="1"/>
  <c r="AB734" i="16" a="1"/>
  <c r="AA735" i="16"/>
  <c r="Q733" i="16"/>
  <c r="AB734" i="16" l="1"/>
  <c r="R732" i="16"/>
  <c r="AB735" i="16" a="1"/>
  <c r="AA736" i="16"/>
  <c r="R733" i="16" a="1"/>
  <c r="Q734" i="16"/>
  <c r="AB735" i="16" l="1"/>
  <c r="R733" i="16"/>
  <c r="R734" i="16" a="1"/>
  <c r="Q735" i="16"/>
  <c r="AA737" i="16"/>
  <c r="AB736" i="16" a="1"/>
  <c r="AB736" i="16" l="1"/>
  <c r="R734" i="16"/>
  <c r="AB737" i="16" a="1"/>
  <c r="AA738" i="16"/>
  <c r="Q736" i="16"/>
  <c r="R735" i="16" a="1"/>
  <c r="AB737" i="16" l="1"/>
  <c r="R735" i="16"/>
  <c r="R736" i="16" a="1"/>
  <c r="Q737" i="16"/>
  <c r="AA739" i="16"/>
  <c r="AB738" i="16" a="1"/>
  <c r="AB738" i="16" l="1"/>
  <c r="R736" i="16"/>
  <c r="R737" i="16" a="1"/>
  <c r="AA740" i="16"/>
  <c r="AB739" i="16" a="1"/>
  <c r="Q738" i="16"/>
  <c r="AB739" i="16" l="1"/>
  <c r="R737" i="16"/>
  <c r="AB740" i="16" a="1"/>
  <c r="Q739" i="16"/>
  <c r="R738" i="16" a="1"/>
  <c r="AA741" i="16"/>
  <c r="AB740" i="16" l="1"/>
  <c r="R738" i="16"/>
  <c r="Q740" i="16"/>
  <c r="R739" i="16" a="1"/>
  <c r="AB741" i="16" a="1"/>
  <c r="AA742" i="16"/>
  <c r="AB741" i="16" l="1"/>
  <c r="R739" i="16"/>
  <c r="AB742" i="16" a="1"/>
  <c r="R740" i="16" a="1"/>
  <c r="AA743" i="16"/>
  <c r="Q741" i="16"/>
  <c r="AB742" i="16" l="1"/>
  <c r="R740" i="16"/>
  <c r="R741" i="16" a="1"/>
  <c r="AA744" i="16"/>
  <c r="Q742" i="16"/>
  <c r="AB743" i="16" a="1"/>
  <c r="AB743" i="16" l="1"/>
  <c r="R741" i="16"/>
  <c r="Q743" i="16"/>
  <c r="AB744" i="16" a="1"/>
  <c r="R742" i="16" a="1"/>
  <c r="AA745" i="16"/>
  <c r="AB744" i="16" l="1"/>
  <c r="R742" i="16"/>
  <c r="R743" i="16" a="1"/>
  <c r="AB745" i="16" a="1"/>
  <c r="Q744" i="16"/>
  <c r="AA746" i="16"/>
  <c r="AB745" i="16" l="1"/>
  <c r="R743" i="16"/>
  <c r="AA747" i="16"/>
  <c r="R744" i="16" a="1"/>
  <c r="AB746" i="16" a="1"/>
  <c r="Q745" i="16"/>
  <c r="AB746" i="16" l="1"/>
  <c r="R744" i="16"/>
  <c r="R745" i="16" a="1"/>
  <c r="AA748" i="16"/>
  <c r="Q746" i="16"/>
  <c r="AB747" i="16" a="1"/>
  <c r="AB747" i="16" l="1"/>
  <c r="R745" i="16"/>
  <c r="R746" i="16" a="1"/>
  <c r="Q747" i="16"/>
  <c r="AA749" i="16"/>
  <c r="AB748" i="16" a="1"/>
  <c r="AB748" i="16" l="1"/>
  <c r="R746" i="16"/>
  <c r="AB749" i="16" a="1"/>
  <c r="AA750" i="16"/>
  <c r="R747" i="16" a="1"/>
  <c r="Q748" i="16"/>
  <c r="AB749" i="16" l="1"/>
  <c r="R747" i="16"/>
  <c r="Q749" i="16"/>
  <c r="AA751" i="16"/>
  <c r="AB750" i="16" a="1"/>
  <c r="R748" i="16" a="1"/>
  <c r="AB750" i="16" l="1"/>
  <c r="R748" i="16"/>
  <c r="R749" i="16" a="1"/>
  <c r="AB751" i="16" a="1"/>
  <c r="AA752" i="16"/>
  <c r="Q750" i="16"/>
  <c r="AB751" i="16" l="1"/>
  <c r="R749" i="16"/>
  <c r="Q751" i="16"/>
  <c r="AB752" i="16" a="1"/>
  <c r="AA753" i="16"/>
  <c r="R750" i="16" a="1"/>
  <c r="AB752" i="16" l="1"/>
  <c r="R750" i="16"/>
  <c r="AA754" i="16"/>
  <c r="R751" i="16" a="1"/>
  <c r="Q752" i="16"/>
  <c r="AB753" i="16" a="1"/>
  <c r="AB753" i="16" l="1"/>
  <c r="R751" i="16"/>
  <c r="R752" i="16" a="1"/>
  <c r="Q753" i="16"/>
  <c r="AB754" i="16" a="1"/>
  <c r="AA755" i="16"/>
  <c r="AB754" i="16" l="1"/>
  <c r="R752" i="16"/>
  <c r="AA756" i="16"/>
  <c r="AB755" i="16" a="1"/>
  <c r="Q754" i="16"/>
  <c r="R753" i="16" a="1"/>
  <c r="AB755" i="16" l="1"/>
  <c r="R753" i="16"/>
  <c r="AB756" i="16" a="1"/>
  <c r="Q755" i="16"/>
  <c r="AA757" i="16"/>
  <c r="R754" i="16" a="1"/>
  <c r="AB756" i="16" l="1"/>
  <c r="R754" i="16"/>
  <c r="AB757" i="16" a="1"/>
  <c r="AA758" i="16"/>
  <c r="R755" i="16" a="1"/>
  <c r="Q756" i="16"/>
  <c r="AB757" i="16" l="1"/>
  <c r="R755" i="16"/>
  <c r="Q757" i="16"/>
  <c r="AA759" i="16"/>
  <c r="R756" i="16" a="1"/>
  <c r="AB758" i="16" a="1"/>
  <c r="AB758" i="16" l="1"/>
  <c r="R756" i="16"/>
  <c r="AA760" i="16"/>
  <c r="R757" i="16" a="1"/>
  <c r="AB759" i="16" a="1"/>
  <c r="Q758" i="16"/>
  <c r="AB759" i="16" l="1"/>
  <c r="R757" i="16"/>
  <c r="R758" i="16" a="1"/>
  <c r="AA761" i="16"/>
  <c r="AB760" i="16" a="1"/>
  <c r="Q759" i="16"/>
  <c r="AB760" i="16" l="1"/>
  <c r="R758" i="16"/>
  <c r="AA762" i="16"/>
  <c r="AB761" i="16" a="1"/>
  <c r="Q760" i="16"/>
  <c r="R759" i="16" a="1"/>
  <c r="AB761" i="16" l="1"/>
  <c r="R759" i="16"/>
  <c r="Q761" i="16"/>
  <c r="AB762" i="16" a="1"/>
  <c r="R760" i="16" a="1"/>
  <c r="AA763" i="16"/>
  <c r="AB762" i="16" l="1"/>
  <c r="R760" i="16"/>
  <c r="R761" i="16" a="1"/>
  <c r="Q762" i="16"/>
  <c r="AB763" i="16" a="1"/>
  <c r="AA764" i="16"/>
  <c r="AB763" i="16" l="1"/>
  <c r="R761" i="16"/>
  <c r="AA765" i="16"/>
  <c r="R762" i="16" a="1"/>
  <c r="Q763" i="16"/>
  <c r="AB764" i="16" a="1"/>
  <c r="AB764" i="16" l="1"/>
  <c r="R762" i="16"/>
  <c r="R763" i="16" a="1"/>
  <c r="AB765" i="16" a="1"/>
  <c r="AA766" i="16"/>
  <c r="Q764" i="16"/>
  <c r="AB765" i="16" l="1"/>
  <c r="R763" i="16"/>
  <c r="AA767" i="16"/>
  <c r="R764" i="16" a="1"/>
  <c r="AB766" i="16" a="1"/>
  <c r="Q765" i="16"/>
  <c r="AB766" i="16" l="1"/>
  <c r="R764" i="16"/>
  <c r="AA768" i="16"/>
  <c r="Q766" i="16"/>
  <c r="AB767" i="16" a="1"/>
  <c r="R765" i="16" a="1"/>
  <c r="AB767" i="16" l="1"/>
  <c r="R765" i="16"/>
  <c r="Q767" i="16"/>
  <c r="AA769" i="16"/>
  <c r="R766" i="16" a="1"/>
  <c r="AB768" i="16" a="1"/>
  <c r="AB768" i="16" l="1"/>
  <c r="R766" i="16"/>
  <c r="Q768" i="16"/>
  <c r="AA770" i="16"/>
  <c r="R767" i="16" a="1"/>
  <c r="AB769" i="16" a="1"/>
  <c r="AB769" i="16" l="1"/>
  <c r="R767" i="16"/>
  <c r="AB770" i="16" a="1"/>
  <c r="R768" i="16" a="1"/>
  <c r="AA771" i="16"/>
  <c r="Q769" i="16"/>
  <c r="AB770" i="16" l="1"/>
  <c r="R768" i="16"/>
  <c r="Q770" i="16"/>
  <c r="R769" i="16" a="1"/>
  <c r="AB771" i="16" a="1"/>
  <c r="AA772" i="16"/>
  <c r="AB771" i="16" l="1"/>
  <c r="R769" i="16"/>
  <c r="Q771" i="16"/>
  <c r="R770" i="16" a="1"/>
  <c r="AA773" i="16"/>
  <c r="AB772" i="16" a="1"/>
  <c r="AB772" i="16" l="1"/>
  <c r="R770" i="16"/>
  <c r="Q772" i="16"/>
  <c r="AB773" i="16" a="1"/>
  <c r="R771" i="16" a="1"/>
  <c r="AA774" i="16"/>
  <c r="AB773" i="16" l="1"/>
  <c r="R771" i="16"/>
  <c r="AB774" i="16" a="1"/>
  <c r="R772" i="16" a="1"/>
  <c r="Q773" i="16"/>
  <c r="AA775" i="16"/>
  <c r="AB774" i="16" l="1"/>
  <c r="R772" i="16"/>
  <c r="AA776" i="16"/>
  <c r="AB775" i="16" a="1"/>
  <c r="R773" i="16" a="1"/>
  <c r="Q774" i="16"/>
  <c r="AB775" i="16" l="1"/>
  <c r="R773" i="16"/>
  <c r="R774" i="16" a="1"/>
  <c r="AA777" i="16"/>
  <c r="AB776" i="16" a="1"/>
  <c r="Q775" i="16"/>
  <c r="AB776" i="16" l="1"/>
  <c r="R774" i="16"/>
  <c r="AB777" i="16" a="1"/>
  <c r="R775" i="16" a="1"/>
  <c r="AA778" i="16"/>
  <c r="Q776" i="16"/>
  <c r="AB777" i="16" l="1"/>
  <c r="R775" i="16"/>
  <c r="AB778" i="16" a="1"/>
  <c r="AA779" i="16"/>
  <c r="R776" i="16" a="1"/>
  <c r="Q777" i="16"/>
  <c r="AB778" i="16" l="1"/>
  <c r="R776" i="16"/>
  <c r="AB779" i="16" a="1"/>
  <c r="Q778" i="16"/>
  <c r="R777" i="16" a="1"/>
  <c r="AA780" i="16"/>
  <c r="AB779" i="16" l="1"/>
  <c r="R777" i="16"/>
  <c r="AA781" i="16"/>
  <c r="R778" i="16" a="1"/>
  <c r="AB780" i="16" a="1"/>
  <c r="Q779" i="16"/>
  <c r="AB780" i="16" l="1"/>
  <c r="R778" i="16"/>
  <c r="R779" i="16" a="1"/>
  <c r="Q780" i="16"/>
  <c r="AA782" i="16"/>
  <c r="AB781" i="16" a="1"/>
  <c r="AB781" i="16" l="1"/>
  <c r="R779" i="16"/>
  <c r="AB782" i="16" a="1"/>
  <c r="Q781" i="16"/>
  <c r="R780" i="16" a="1"/>
  <c r="AA783" i="16"/>
  <c r="AB782" i="16" l="1"/>
  <c r="R780" i="16"/>
  <c r="AA784" i="16"/>
  <c r="R781" i="16" a="1"/>
  <c r="Q782" i="16"/>
  <c r="AB783" i="16" a="1"/>
  <c r="AB783" i="16" l="1"/>
  <c r="R781" i="16"/>
  <c r="AA785" i="16"/>
  <c r="AB784" i="16" a="1"/>
  <c r="R782" i="16" a="1"/>
  <c r="Q783" i="16"/>
  <c r="AB784" i="16" l="1"/>
  <c r="R782" i="16"/>
  <c r="Q784" i="16"/>
  <c r="AA786" i="16"/>
  <c r="AB785" i="16" a="1"/>
  <c r="R783" i="16" a="1"/>
  <c r="AB785" i="16" l="1"/>
  <c r="R783" i="16"/>
  <c r="Q785" i="16"/>
  <c r="AA787" i="16"/>
  <c r="AB786" i="16" a="1"/>
  <c r="R784" i="16" a="1"/>
  <c r="AB786" i="16" l="1"/>
  <c r="R784" i="16"/>
  <c r="Q786" i="16"/>
  <c r="AB787" i="16" a="1"/>
  <c r="AA788" i="16"/>
  <c r="R785" i="16" a="1"/>
  <c r="AB787" i="16" l="1"/>
  <c r="R785" i="16"/>
  <c r="R786" i="16" a="1"/>
  <c r="AB788" i="16" a="1"/>
  <c r="AA789" i="16"/>
  <c r="Q787" i="16"/>
  <c r="AB788" i="16" l="1"/>
  <c r="R786" i="16"/>
  <c r="R787" i="16" a="1"/>
  <c r="AA790" i="16"/>
  <c r="AB789" i="16" a="1"/>
  <c r="Q788" i="16"/>
  <c r="AB789" i="16" l="1"/>
  <c r="R787" i="16"/>
  <c r="AA791" i="16"/>
  <c r="Q789" i="16"/>
  <c r="AB790" i="16" a="1"/>
  <c r="R788" i="16" a="1"/>
  <c r="AB790" i="16" l="1"/>
  <c r="R788" i="16"/>
  <c r="R789" i="16" a="1"/>
  <c r="AA792" i="16"/>
  <c r="AB791" i="16" a="1"/>
  <c r="Q790" i="16"/>
  <c r="AB791" i="16" l="1"/>
  <c r="R789" i="16"/>
  <c r="R790" i="16" a="1"/>
  <c r="Q791" i="16"/>
  <c r="AB792" i="16" a="1"/>
  <c r="AA793" i="16"/>
  <c r="AB792" i="16" l="1"/>
  <c r="R790" i="16"/>
  <c r="AA794" i="16"/>
  <c r="Q792" i="16"/>
  <c r="AB793" i="16" a="1"/>
  <c r="R791" i="16" a="1"/>
  <c r="AB793" i="16" l="1"/>
  <c r="R791" i="16"/>
  <c r="R792" i="16" a="1"/>
  <c r="Q793" i="16"/>
  <c r="AB794" i="16" a="1"/>
  <c r="AA795" i="16"/>
  <c r="AB794" i="16" l="1"/>
  <c r="R792" i="16"/>
  <c r="AB795" i="16" a="1"/>
  <c r="R793" i="16" a="1"/>
  <c r="Q794" i="16"/>
  <c r="AA796" i="16"/>
  <c r="AB795" i="16" l="1"/>
  <c r="R793" i="16"/>
  <c r="R794" i="16" a="1"/>
  <c r="AA797" i="16"/>
  <c r="Q795" i="16"/>
  <c r="AB796" i="16" a="1"/>
  <c r="AB796" i="16" l="1"/>
  <c r="R794" i="16"/>
  <c r="R795" i="16" a="1"/>
  <c r="AB797" i="16" a="1"/>
  <c r="Q796" i="16"/>
  <c r="AA798" i="16"/>
  <c r="AB797" i="16" l="1"/>
  <c r="R795" i="16"/>
  <c r="Q797" i="16"/>
  <c r="AB798" i="16" a="1"/>
  <c r="R796" i="16" a="1"/>
  <c r="AA799" i="16"/>
  <c r="AB798" i="16" l="1"/>
  <c r="R796" i="16"/>
  <c r="Q798" i="16"/>
  <c r="AB799" i="16" a="1"/>
  <c r="R797" i="16" a="1"/>
  <c r="AA800" i="16"/>
  <c r="AB799" i="16" l="1"/>
  <c r="R797" i="16"/>
  <c r="AB800" i="16" a="1"/>
  <c r="R798" i="16" a="1"/>
  <c r="Q799" i="16"/>
  <c r="AA801" i="16"/>
  <c r="AB800" i="16" l="1"/>
  <c r="R798" i="16"/>
  <c r="Q800" i="16"/>
  <c r="AB801" i="16" a="1"/>
  <c r="AA802" i="16"/>
  <c r="R799" i="16" a="1"/>
  <c r="AB801" i="16" l="1"/>
  <c r="R799" i="16"/>
  <c r="AA803" i="16"/>
  <c r="AB802" i="16" a="1"/>
  <c r="R800" i="16" a="1"/>
  <c r="Q801" i="16"/>
  <c r="AB802" i="16" l="1"/>
  <c r="R800" i="16"/>
  <c r="Q802" i="16"/>
  <c r="AB803" i="16" a="1"/>
  <c r="R801" i="16" a="1"/>
  <c r="AA804" i="16"/>
  <c r="AB803" i="16" l="1"/>
  <c r="R801" i="16"/>
  <c r="AB804" i="16" a="1"/>
  <c r="AA805" i="16"/>
  <c r="R802" i="16" a="1"/>
  <c r="Q803" i="16"/>
  <c r="AB804" i="16" l="1"/>
  <c r="R802" i="16"/>
  <c r="Q804" i="16"/>
  <c r="AB805" i="16" a="1"/>
  <c r="R803" i="16" a="1"/>
  <c r="AA806" i="16"/>
  <c r="AB805" i="16" l="1"/>
  <c r="R803" i="16"/>
  <c r="AB806" i="16" a="1"/>
  <c r="R804" i="16" a="1"/>
  <c r="Q805" i="16"/>
  <c r="AA807" i="16"/>
  <c r="AB806" i="16" l="1"/>
  <c r="R804" i="16"/>
  <c r="AB807" i="16" a="1"/>
  <c r="R805" i="16" a="1"/>
  <c r="Q806" i="16"/>
  <c r="AA808" i="16"/>
  <c r="AB807" i="16" l="1"/>
  <c r="R805" i="16"/>
  <c r="R806" i="16" a="1"/>
  <c r="AB808" i="16" a="1"/>
  <c r="AA809" i="16"/>
  <c r="Q807" i="16"/>
  <c r="AB808" i="16" l="1"/>
  <c r="R806" i="16"/>
  <c r="R807" i="16" a="1"/>
  <c r="AA810" i="16"/>
  <c r="Q808" i="16"/>
  <c r="AB809" i="16" a="1"/>
  <c r="AB809" i="16" l="1"/>
  <c r="R807" i="16"/>
  <c r="R808" i="16" a="1"/>
  <c r="AB810" i="16" a="1"/>
  <c r="AA811" i="16"/>
  <c r="Q809" i="16"/>
  <c r="AB810" i="16" l="1"/>
  <c r="R808" i="16"/>
  <c r="AA812" i="16"/>
  <c r="AB811" i="16" a="1"/>
  <c r="R809" i="16" a="1"/>
  <c r="Q810" i="16"/>
  <c r="AB811" i="16" l="1"/>
  <c r="R809" i="16"/>
  <c r="AB812" i="16" a="1"/>
  <c r="R810" i="16" a="1"/>
  <c r="AA813" i="16"/>
  <c r="Q811" i="16"/>
  <c r="AB812" i="16" l="1"/>
  <c r="R810" i="16"/>
  <c r="Q812" i="16"/>
  <c r="AB813" i="16" a="1"/>
  <c r="AA814" i="16"/>
  <c r="R811" i="16" a="1"/>
  <c r="AB813" i="16" l="1"/>
  <c r="R811" i="16"/>
  <c r="R812" i="16" a="1"/>
  <c r="Q813" i="16"/>
  <c r="AB814" i="16" a="1"/>
  <c r="AA815" i="16"/>
  <c r="AB814" i="16" l="1"/>
  <c r="R812" i="16"/>
  <c r="AB815" i="16" a="1"/>
  <c r="R813" i="16" a="1"/>
  <c r="AA816" i="16"/>
  <c r="Q814" i="16"/>
  <c r="AB815" i="16" l="1"/>
  <c r="R813" i="16"/>
  <c r="AB816" i="16" a="1"/>
  <c r="AA817" i="16"/>
  <c r="R814" i="16" a="1"/>
  <c r="Q815" i="16"/>
  <c r="AB816" i="16" l="1"/>
  <c r="R814" i="16"/>
  <c r="AA818" i="16"/>
  <c r="R815" i="16" a="1"/>
  <c r="AB817" i="16" a="1"/>
  <c r="Q816" i="16"/>
  <c r="AB817" i="16" l="1"/>
  <c r="R815" i="16"/>
  <c r="R816" i="16" a="1"/>
  <c r="Q817" i="16"/>
  <c r="AB818" i="16" a="1"/>
  <c r="AA819" i="16"/>
  <c r="AB818" i="16" l="1"/>
  <c r="R816" i="16"/>
  <c r="Q818" i="16"/>
  <c r="R817" i="16" a="1"/>
  <c r="AB819" i="16" a="1"/>
  <c r="AA820" i="16"/>
  <c r="AB819" i="16" l="1"/>
  <c r="R817" i="16"/>
  <c r="R818" i="16" a="1"/>
  <c r="AA821" i="16"/>
  <c r="Q819" i="16"/>
  <c r="AB820" i="16" a="1"/>
  <c r="AB820" i="16" l="1"/>
  <c r="R818" i="16"/>
  <c r="AA822" i="16"/>
  <c r="R819" i="16" a="1"/>
  <c r="Q820" i="16"/>
  <c r="AB821" i="16" a="1"/>
  <c r="AB821" i="16" l="1"/>
  <c r="R819" i="16"/>
  <c r="R820" i="16" a="1"/>
  <c r="AB822" i="16" a="1"/>
  <c r="Q821" i="16"/>
  <c r="AA823" i="16"/>
  <c r="AB822" i="16" l="1"/>
  <c r="R820" i="16"/>
  <c r="R821" i="16" a="1"/>
  <c r="AB823" i="16" a="1"/>
  <c r="Q822" i="16"/>
  <c r="AA824" i="16"/>
  <c r="AB823" i="16" l="1"/>
  <c r="R821" i="16"/>
  <c r="Q823" i="16"/>
  <c r="R822" i="16" a="1"/>
  <c r="AB824" i="16" a="1"/>
  <c r="AA825" i="16"/>
  <c r="AB824" i="16" l="1"/>
  <c r="R822" i="16"/>
  <c r="R823" i="16" a="1"/>
  <c r="AB825" i="16" a="1"/>
  <c r="Q824" i="16"/>
  <c r="AA826" i="16"/>
  <c r="AB825" i="16" l="1"/>
  <c r="R823" i="16"/>
  <c r="AB826" i="16" a="1"/>
  <c r="Q825" i="16"/>
  <c r="AA827" i="16"/>
  <c r="R824" i="16" a="1"/>
  <c r="AB826" i="16" l="1"/>
  <c r="R824" i="16"/>
  <c r="AB827" i="16" a="1"/>
  <c r="R825" i="16" a="1"/>
  <c r="AA828" i="16"/>
  <c r="Q826" i="16"/>
  <c r="AB827" i="16" l="1"/>
  <c r="R825" i="16"/>
  <c r="AA829" i="16"/>
  <c r="R826" i="16" a="1"/>
  <c r="Q827" i="16"/>
  <c r="AB828" i="16" a="1"/>
  <c r="AB828" i="16" l="1"/>
  <c r="R826" i="16"/>
  <c r="AA830" i="16"/>
  <c r="AB829" i="16" a="1"/>
  <c r="Q828" i="16"/>
  <c r="R827" i="16" a="1"/>
  <c r="AB829" i="16" l="1"/>
  <c r="R827" i="16"/>
  <c r="AA831" i="16"/>
  <c r="R828" i="16" a="1"/>
  <c r="AB830" i="16" a="1"/>
  <c r="Q829" i="16"/>
  <c r="AB830" i="16" l="1"/>
  <c r="R828" i="16"/>
  <c r="Q830" i="16"/>
  <c r="AA832" i="16"/>
  <c r="AB831" i="16" a="1"/>
  <c r="R829" i="16" a="1"/>
  <c r="AB831" i="16" l="1"/>
  <c r="R829" i="16"/>
  <c r="R830" i="16" a="1"/>
  <c r="AA833" i="16"/>
  <c r="Q831" i="16"/>
  <c r="AB832" i="16" a="1"/>
  <c r="AB832" i="16" l="1"/>
  <c r="R830" i="16"/>
  <c r="Q832" i="16"/>
  <c r="R831" i="16" a="1"/>
  <c r="AB833" i="16" a="1"/>
  <c r="AA834" i="16"/>
  <c r="AB833" i="16" l="1"/>
  <c r="R831" i="16"/>
  <c r="Q833" i="16"/>
  <c r="R832" i="16" a="1"/>
  <c r="AA835" i="16"/>
  <c r="AB834" i="16" a="1"/>
  <c r="AB834" i="16" l="1"/>
  <c r="R832" i="16"/>
  <c r="Q834" i="16"/>
  <c r="AB835" i="16" a="1"/>
  <c r="R833" i="16" a="1"/>
  <c r="AA836" i="16"/>
  <c r="AB835" i="16" l="1"/>
  <c r="R833" i="16"/>
  <c r="R834" i="16" a="1"/>
  <c r="Q835" i="16"/>
  <c r="AB836" i="16" a="1"/>
  <c r="AA837" i="16"/>
  <c r="AB836" i="16" l="1"/>
  <c r="R834" i="16"/>
  <c r="Q836" i="16"/>
  <c r="R835" i="16" a="1"/>
  <c r="AA838" i="16"/>
  <c r="AB837" i="16" a="1"/>
  <c r="AB837" i="16" l="1"/>
  <c r="R835" i="16"/>
  <c r="Q837" i="16"/>
  <c r="R836" i="16" a="1"/>
  <c r="AB838" i="16" a="1"/>
  <c r="AA839" i="16"/>
  <c r="AB838" i="16" l="1"/>
  <c r="R836" i="16"/>
  <c r="Q838" i="16"/>
  <c r="R837" i="16" a="1"/>
  <c r="AA840" i="16"/>
  <c r="AB839" i="16" a="1"/>
  <c r="AB839" i="16" l="1"/>
  <c r="R837" i="16"/>
  <c r="AB840" i="16" a="1"/>
  <c r="R838" i="16" a="1"/>
  <c r="AA841" i="16"/>
  <c r="Q839" i="16"/>
  <c r="AB840" i="16" l="1"/>
  <c r="R838" i="16"/>
  <c r="AB841" i="16" a="1"/>
  <c r="R839" i="16" a="1"/>
  <c r="AA842" i="16"/>
  <c r="Q840" i="16"/>
  <c r="AB841" i="16" l="1"/>
  <c r="R839" i="16"/>
  <c r="Q841" i="16"/>
  <c r="AA843" i="16"/>
  <c r="R840" i="16" a="1"/>
  <c r="AB842" i="16" a="1"/>
  <c r="AB842" i="16" l="1"/>
  <c r="R840" i="16"/>
  <c r="AB843" i="16" a="1"/>
  <c r="Q842" i="16"/>
  <c r="AA844" i="16"/>
  <c r="R841" i="16" a="1"/>
  <c r="AB843" i="16" l="1"/>
  <c r="R841" i="16"/>
  <c r="R842" i="16" a="1"/>
  <c r="AB844" i="16" a="1"/>
  <c r="AA845" i="16"/>
  <c r="Q843" i="16"/>
  <c r="AB844" i="16" l="1"/>
  <c r="R842" i="16"/>
  <c r="R843" i="16" a="1"/>
  <c r="AA846" i="16"/>
  <c r="Q844" i="16"/>
  <c r="AB845" i="16" a="1"/>
  <c r="AB845" i="16" l="1"/>
  <c r="R843" i="16"/>
  <c r="AB846" i="16" a="1"/>
  <c r="AA847" i="16"/>
  <c r="R844" i="16" a="1"/>
  <c r="Q845" i="16"/>
  <c r="AB846" i="16" l="1"/>
  <c r="R844" i="16"/>
  <c r="AB847" i="16" a="1"/>
  <c r="R845" i="16" a="1"/>
  <c r="Q846" i="16"/>
  <c r="AA848" i="16"/>
  <c r="AB847" i="16" l="1"/>
  <c r="R845" i="16"/>
  <c r="R846" i="16" a="1"/>
  <c r="AA849" i="16"/>
  <c r="AB848" i="16" a="1"/>
  <c r="Q847" i="16"/>
  <c r="AB848" i="16" l="1"/>
  <c r="R846" i="16"/>
  <c r="Q848" i="16"/>
  <c r="R847" i="16" a="1"/>
  <c r="AB849" i="16" a="1"/>
  <c r="AA850" i="16"/>
  <c r="AB849" i="16" l="1"/>
  <c r="R847" i="16"/>
  <c r="AB850" i="16" a="1"/>
  <c r="AA851" i="16"/>
  <c r="R848" i="16" a="1"/>
  <c r="Q849" i="16"/>
  <c r="AB850" i="16" l="1"/>
  <c r="R848" i="16"/>
  <c r="AB851" i="16" a="1"/>
  <c r="R849" i="16" a="1"/>
  <c r="AA852" i="16"/>
  <c r="Q850" i="16"/>
  <c r="AB851" i="16" l="1"/>
  <c r="R849" i="16"/>
  <c r="AA853" i="16"/>
  <c r="Q851" i="16"/>
  <c r="R850" i="16" a="1"/>
  <c r="AB852" i="16" a="1"/>
  <c r="AB852" i="16" l="1"/>
  <c r="R850" i="16"/>
  <c r="AA854" i="16"/>
  <c r="Q852" i="16"/>
  <c r="AB853" i="16" a="1"/>
  <c r="R851" i="16" a="1"/>
  <c r="AB853" i="16" l="1"/>
  <c r="R851" i="16"/>
  <c r="Q853" i="16"/>
  <c r="AA855" i="16"/>
  <c r="R852" i="16" a="1"/>
  <c r="AB854" i="16" a="1"/>
  <c r="AB854" i="16" l="1"/>
  <c r="R852" i="16"/>
  <c r="R853" i="16" a="1"/>
  <c r="Q854" i="16"/>
  <c r="AA856" i="16"/>
  <c r="AB855" i="16" a="1"/>
  <c r="AB855" i="16" l="1"/>
  <c r="R853" i="16"/>
  <c r="AA857" i="16"/>
  <c r="R854" i="16" a="1"/>
  <c r="AB856" i="16" a="1"/>
  <c r="Q855" i="16"/>
  <c r="AB856" i="16" l="1"/>
  <c r="R854" i="16"/>
  <c r="R855" i="16" a="1"/>
  <c r="AB857" i="16" a="1"/>
  <c r="Q856" i="16"/>
  <c r="AA858" i="16"/>
  <c r="AB857" i="16" l="1"/>
  <c r="R855" i="16"/>
  <c r="Q857" i="16"/>
  <c r="AB858" i="16" a="1"/>
  <c r="AA859" i="16"/>
  <c r="R856" i="16" a="1"/>
  <c r="AB858" i="16" l="1"/>
  <c r="R856" i="16"/>
  <c r="Q858" i="16"/>
  <c r="AA860" i="16"/>
  <c r="AB859" i="16" a="1"/>
  <c r="R857" i="16" a="1"/>
  <c r="AB859" i="16" l="1"/>
  <c r="R857" i="16"/>
  <c r="R858" i="16" a="1"/>
  <c r="AA861" i="16"/>
  <c r="Q859" i="16"/>
  <c r="AB860" i="16" a="1"/>
  <c r="AB860" i="16" l="1"/>
  <c r="R858" i="16"/>
  <c r="R859" i="16" a="1"/>
  <c r="Q860" i="16"/>
  <c r="AB861" i="16" a="1"/>
  <c r="AA862" i="16"/>
  <c r="AB861" i="16" l="1"/>
  <c r="R859" i="16"/>
  <c r="Q861" i="16"/>
  <c r="R860" i="16" a="1"/>
  <c r="AB862" i="16" a="1"/>
  <c r="AA863" i="16"/>
  <c r="AB862" i="16" l="1"/>
  <c r="R860" i="16"/>
  <c r="R861" i="16" a="1"/>
  <c r="Q862" i="16"/>
  <c r="AB863" i="16" a="1"/>
  <c r="AA864" i="16"/>
  <c r="AB863" i="16" l="1"/>
  <c r="R861" i="16"/>
  <c r="AA865" i="16"/>
  <c r="Q863" i="16"/>
  <c r="R862" i="16" a="1"/>
  <c r="AB864" i="16" a="1"/>
  <c r="AB864" i="16" l="1"/>
  <c r="R862" i="16"/>
  <c r="AB865" i="16" a="1"/>
  <c r="AA866" i="16"/>
  <c r="Q864" i="16"/>
  <c r="R863" i="16" a="1"/>
  <c r="AB865" i="16" l="1"/>
  <c r="R863" i="16"/>
  <c r="AB866" i="16" a="1"/>
  <c r="AA867" i="16"/>
  <c r="R864" i="16" a="1"/>
  <c r="Q865" i="16"/>
  <c r="AB866" i="16" l="1"/>
  <c r="R864" i="16"/>
  <c r="R865" i="16" a="1"/>
  <c r="AA868" i="16"/>
  <c r="AB867" i="16" a="1"/>
  <c r="Q866" i="16"/>
  <c r="AB867" i="16" l="1"/>
  <c r="R865" i="16"/>
  <c r="R866" i="16" a="1"/>
  <c r="Q867" i="16"/>
  <c r="AA869" i="16"/>
  <c r="AB868" i="16" a="1"/>
  <c r="AB868" i="16" l="1"/>
  <c r="R866" i="16"/>
  <c r="AB869" i="16" a="1"/>
  <c r="AA870" i="16"/>
  <c r="R867" i="16" a="1"/>
  <c r="Q868" i="16"/>
  <c r="AB869" i="16" l="1"/>
  <c r="R867" i="16"/>
  <c r="AB870" i="16" a="1"/>
  <c r="Q869" i="16"/>
  <c r="R868" i="16" a="1"/>
  <c r="AA871" i="16"/>
  <c r="AB870" i="16" l="1"/>
  <c r="R868" i="16"/>
  <c r="AA872" i="16"/>
  <c r="Q870" i="16"/>
  <c r="R869" i="16" a="1"/>
  <c r="AB871" i="16" a="1"/>
  <c r="AB871" i="16" l="1"/>
  <c r="R869" i="16"/>
  <c r="R870" i="16" a="1"/>
  <c r="Q871" i="16"/>
  <c r="AA873" i="16"/>
  <c r="AB872" i="16" a="1"/>
  <c r="AB872" i="16" l="1"/>
  <c r="R870" i="16"/>
  <c r="Q872" i="16"/>
  <c r="AB873" i="16" a="1"/>
  <c r="R871" i="16" a="1"/>
  <c r="AA874" i="16"/>
  <c r="AB873" i="16" l="1"/>
  <c r="R871" i="16"/>
  <c r="R872" i="16" a="1"/>
  <c r="AA875" i="16"/>
  <c r="Q873" i="16"/>
  <c r="AB874" i="16" a="1"/>
  <c r="AB874" i="16" l="1"/>
  <c r="R872" i="16"/>
  <c r="AA876" i="16"/>
  <c r="AB875" i="16" a="1"/>
  <c r="R873" i="16" a="1"/>
  <c r="Q874" i="16"/>
  <c r="AB875" i="16" l="1"/>
  <c r="R873" i="16"/>
  <c r="R874" i="16" a="1"/>
  <c r="Q875" i="16"/>
  <c r="AB876" i="16" a="1"/>
  <c r="AA877" i="16"/>
  <c r="AB876" i="16" l="1"/>
  <c r="R874" i="16"/>
  <c r="Q876" i="16"/>
  <c r="AB877" i="16" a="1"/>
  <c r="R875" i="16" a="1"/>
  <c r="AA878" i="16"/>
  <c r="AB877" i="16" l="1"/>
  <c r="R875" i="16"/>
  <c r="AA879" i="16"/>
  <c r="R876" i="16" a="1"/>
  <c r="Q877" i="16"/>
  <c r="AB878" i="16" a="1"/>
  <c r="AB878" i="16" l="1"/>
  <c r="R876" i="16"/>
  <c r="AB879" i="16" a="1"/>
  <c r="Q878" i="16"/>
  <c r="AA880" i="16"/>
  <c r="R877" i="16" a="1"/>
  <c r="AB879" i="16" l="1"/>
  <c r="R877" i="16"/>
  <c r="AB880" i="16" a="1"/>
  <c r="R878" i="16" a="1"/>
  <c r="AA881" i="16"/>
  <c r="Q879" i="16"/>
  <c r="AB880" i="16" l="1"/>
  <c r="R878" i="16"/>
  <c r="Q880" i="16"/>
  <c r="R879" i="16" a="1"/>
  <c r="AB881" i="16" a="1"/>
  <c r="AA882" i="16"/>
  <c r="AB881" i="16" l="1"/>
  <c r="R879" i="16"/>
  <c r="R880" i="16" a="1"/>
  <c r="Q881" i="16"/>
  <c r="AB882" i="16" a="1"/>
  <c r="AA883" i="16"/>
  <c r="AB882" i="16" l="1"/>
  <c r="R880" i="16"/>
  <c r="R881" i="16" a="1"/>
  <c r="Q882" i="16"/>
  <c r="AB883" i="16" a="1"/>
  <c r="AA884" i="16"/>
  <c r="AB883" i="16" l="1"/>
  <c r="R881" i="16"/>
  <c r="AA885" i="16"/>
  <c r="R882" i="16" a="1"/>
  <c r="AB884" i="16" a="1"/>
  <c r="Q883" i="16"/>
  <c r="AB884" i="16" l="1"/>
  <c r="R882" i="16"/>
  <c r="R883" i="16" a="1"/>
  <c r="AA886" i="16"/>
  <c r="AB885" i="16" a="1"/>
  <c r="Q884" i="16"/>
  <c r="AB885" i="16" l="1"/>
  <c r="R883" i="16"/>
  <c r="R884" i="16" a="1"/>
  <c r="AB886" i="16" a="1"/>
  <c r="Q885" i="16"/>
  <c r="AA887" i="16"/>
  <c r="AB886" i="16" l="1"/>
  <c r="R884" i="16"/>
  <c r="R885" i="16" a="1"/>
  <c r="AB887" i="16" a="1"/>
  <c r="Q886" i="16"/>
  <c r="AA888" i="16"/>
  <c r="AB887" i="16" l="1"/>
  <c r="R885" i="16"/>
  <c r="AA889" i="16"/>
  <c r="AB888" i="16" a="1"/>
  <c r="R886" i="16" a="1"/>
  <c r="Q887" i="16"/>
  <c r="AB888" i="16" l="1"/>
  <c r="R886" i="16"/>
  <c r="R887" i="16" a="1"/>
  <c r="Q888" i="16"/>
  <c r="AA890" i="16"/>
  <c r="AB889" i="16" a="1"/>
  <c r="AB889" i="16" l="1"/>
  <c r="R887" i="16"/>
  <c r="AA891" i="16"/>
  <c r="R888" i="16" a="1"/>
  <c r="AB890" i="16" a="1"/>
  <c r="Q889" i="16"/>
  <c r="AB890" i="16" l="1"/>
  <c r="R888" i="16"/>
  <c r="AA892" i="16"/>
  <c r="R889" i="16" a="1"/>
  <c r="AB891" i="16" a="1"/>
  <c r="Q890" i="16"/>
  <c r="AB891" i="16" l="1"/>
  <c r="R889" i="16"/>
  <c r="AA893" i="16"/>
  <c r="R890" i="16" a="1"/>
  <c r="Q891" i="16"/>
  <c r="AB892" i="16" a="1"/>
  <c r="AB892" i="16" l="1"/>
  <c r="R890" i="16"/>
  <c r="Q892" i="16"/>
  <c r="AA894" i="16"/>
  <c r="AB893" i="16" a="1"/>
  <c r="R891" i="16" a="1"/>
  <c r="AB893" i="16" l="1"/>
  <c r="R891" i="16"/>
  <c r="AB894" i="16" a="1"/>
  <c r="Q893" i="16"/>
  <c r="R892" i="16" a="1"/>
  <c r="AA895" i="16"/>
  <c r="AB894" i="16" l="1"/>
  <c r="R892" i="16"/>
  <c r="AB895" i="16" a="1"/>
  <c r="Q894" i="16"/>
  <c r="AA896" i="16"/>
  <c r="R893" i="16" a="1"/>
  <c r="AB895" i="16" l="1"/>
  <c r="R893" i="16"/>
  <c r="AA897" i="16"/>
  <c r="R894" i="16" a="1"/>
  <c r="AB896" i="16" a="1"/>
  <c r="Q895" i="16"/>
  <c r="AB896" i="16" l="1"/>
  <c r="R894" i="16"/>
  <c r="Q896" i="16"/>
  <c r="AA898" i="16"/>
  <c r="AB897" i="16" a="1"/>
  <c r="R895" i="16" a="1"/>
  <c r="AB897" i="16" l="1"/>
  <c r="R895" i="16"/>
  <c r="AA899" i="16"/>
  <c r="AB898" i="16" a="1"/>
  <c r="R896" i="16" a="1"/>
  <c r="Q897" i="16"/>
  <c r="AB898" i="16" l="1"/>
  <c r="R896" i="16"/>
  <c r="AB899" i="16" a="1"/>
  <c r="R897" i="16" a="1"/>
  <c r="AA900" i="16"/>
  <c r="Q898" i="16"/>
  <c r="AB899" i="16" l="1"/>
  <c r="R897" i="16"/>
  <c r="Q899" i="16"/>
  <c r="AA901" i="16"/>
  <c r="R898" i="16" a="1"/>
  <c r="AB900" i="16" a="1"/>
  <c r="AB900" i="16" l="1"/>
  <c r="R898" i="16"/>
  <c r="AA902" i="16"/>
  <c r="AB901" i="16" a="1"/>
  <c r="Q900" i="16"/>
  <c r="R899" i="16" a="1"/>
  <c r="AB901" i="16" l="1"/>
  <c r="R899" i="16"/>
  <c r="Q901" i="16"/>
  <c r="AB902" i="16" a="1"/>
  <c r="AA903" i="16"/>
  <c r="R900" i="16" a="1"/>
  <c r="AB902" i="16" l="1"/>
  <c r="R900" i="16"/>
  <c r="AA904" i="16"/>
  <c r="R901" i="16" a="1"/>
  <c r="AB903" i="16" a="1"/>
  <c r="Q902" i="16"/>
  <c r="AB903" i="16" l="1"/>
  <c r="R901" i="16"/>
  <c r="R902" i="16" a="1"/>
  <c r="AA905" i="16"/>
  <c r="AB904" i="16" a="1"/>
  <c r="Q903" i="16"/>
  <c r="AB904" i="16" l="1"/>
  <c r="R902" i="16"/>
  <c r="AA906" i="16"/>
  <c r="AB905" i="16" a="1"/>
  <c r="R903" i="16" a="1"/>
  <c r="Q904" i="16"/>
  <c r="AB905" i="16" l="1"/>
  <c r="R903" i="16"/>
  <c r="R904" i="16" a="1"/>
  <c r="AA907" i="16"/>
  <c r="Q905" i="16"/>
  <c r="AB906" i="16" a="1"/>
  <c r="AB906" i="16" l="1"/>
  <c r="R904" i="16"/>
  <c r="AB907" i="16" a="1"/>
  <c r="R905" i="16" a="1"/>
  <c r="Q906" i="16"/>
  <c r="AA908" i="16"/>
  <c r="AB907" i="16" l="1"/>
  <c r="R905" i="16"/>
  <c r="AA909" i="16"/>
  <c r="R906" i="16" a="1"/>
  <c r="AB908" i="16" a="1"/>
  <c r="Q907" i="16"/>
  <c r="AB908" i="16" l="1"/>
  <c r="R906" i="16"/>
  <c r="Q908" i="16"/>
  <c r="AB909" i="16" a="1"/>
  <c r="R907" i="16" a="1"/>
  <c r="AA910" i="16"/>
  <c r="AB909" i="16" l="1"/>
  <c r="R907" i="16"/>
  <c r="AB910" i="16" a="1"/>
  <c r="Q909" i="16"/>
  <c r="R908" i="16" a="1"/>
  <c r="AA911" i="16"/>
  <c r="AB910" i="16" l="1"/>
  <c r="R908" i="16"/>
  <c r="AB911" i="16" a="1"/>
  <c r="Q910" i="16"/>
  <c r="AA912" i="16"/>
  <c r="R909" i="16" a="1"/>
  <c r="AB911" i="16" l="1"/>
  <c r="R909" i="16"/>
  <c r="AB912" i="16" a="1"/>
  <c r="R910" i="16" a="1"/>
  <c r="Q911" i="16"/>
  <c r="AA913" i="16"/>
  <c r="AB912" i="16" l="1"/>
  <c r="R910" i="16"/>
  <c r="Q912" i="16"/>
  <c r="AA914" i="16"/>
  <c r="R911" i="16" a="1"/>
  <c r="AB913" i="16" a="1"/>
  <c r="AB913" i="16" l="1"/>
  <c r="R911" i="16"/>
  <c r="AB914" i="16" a="1"/>
  <c r="R912" i="16" a="1"/>
  <c r="AA915" i="16"/>
  <c r="Q913" i="16"/>
  <c r="AB914" i="16" l="1"/>
  <c r="R912" i="16"/>
  <c r="AB915" i="16" a="1"/>
  <c r="Q914" i="16"/>
  <c r="AA916" i="16"/>
  <c r="R913" i="16" a="1"/>
  <c r="AB915" i="16" l="1"/>
  <c r="R913" i="16"/>
  <c r="R914" i="16" a="1"/>
  <c r="AA917" i="16"/>
  <c r="AB916" i="16" a="1"/>
  <c r="Q915" i="16"/>
  <c r="AB916" i="16" l="1"/>
  <c r="R914" i="16"/>
  <c r="AA918" i="16"/>
  <c r="Q916" i="16"/>
  <c r="AB917" i="16" a="1"/>
  <c r="R915" i="16" a="1"/>
  <c r="AB917" i="16" l="1"/>
  <c r="R915" i="16"/>
  <c r="AB918" i="16" a="1"/>
  <c r="AA919" i="16"/>
  <c r="R916" i="16" a="1"/>
  <c r="Q917" i="16"/>
  <c r="AB918" i="16" l="1"/>
  <c r="R916" i="16"/>
  <c r="AB919" i="16" a="1"/>
  <c r="AA920" i="16"/>
  <c r="Q918" i="16"/>
  <c r="R917" i="16" a="1"/>
  <c r="AB919" i="16" l="1"/>
  <c r="R917" i="16"/>
  <c r="R918" i="16" a="1"/>
  <c r="Q919" i="16"/>
  <c r="AA921" i="16"/>
  <c r="AB920" i="16" a="1"/>
  <c r="AB920" i="16" l="1"/>
  <c r="R918" i="16"/>
  <c r="AA922" i="16"/>
  <c r="Q920" i="16"/>
  <c r="R919" i="16" a="1"/>
  <c r="AB921" i="16" a="1"/>
  <c r="AB921" i="16" l="1"/>
  <c r="R919" i="16"/>
  <c r="AA923" i="16"/>
  <c r="AB922" i="16" a="1"/>
  <c r="Q921" i="16"/>
  <c r="R920" i="16" a="1"/>
  <c r="AB922" i="16" l="1"/>
  <c r="R920" i="16"/>
  <c r="Q922" i="16"/>
  <c r="R921" i="16" a="1"/>
  <c r="AA924" i="16"/>
  <c r="AB923" i="16" a="1"/>
  <c r="AB923" i="16" l="1"/>
  <c r="R921" i="16"/>
  <c r="Q923" i="16"/>
  <c r="AB924" i="16" a="1"/>
  <c r="AA925" i="16"/>
  <c r="R922" i="16" a="1"/>
  <c r="AB924" i="16" l="1"/>
  <c r="R922" i="16"/>
  <c r="AB925" i="16" a="1"/>
  <c r="AA926" i="16"/>
  <c r="Q924" i="16"/>
  <c r="R923" i="16" a="1"/>
  <c r="AB925" i="16" l="1"/>
  <c r="R923" i="16"/>
  <c r="R924" i="16" a="1"/>
  <c r="AA927" i="16"/>
  <c r="AB926" i="16" a="1"/>
  <c r="Q925" i="16"/>
  <c r="AB926" i="16" l="1"/>
  <c r="R924" i="16"/>
  <c r="AA928" i="16"/>
  <c r="R925" i="16" a="1"/>
  <c r="AB927" i="16" a="1"/>
  <c r="Q926" i="16"/>
  <c r="AB927" i="16" l="1"/>
  <c r="R925" i="16"/>
  <c r="AB928" i="16" a="1"/>
  <c r="R926" i="16" a="1"/>
  <c r="Q927" i="16"/>
  <c r="AA929" i="16"/>
  <c r="AB928" i="16" l="1"/>
  <c r="R926" i="16"/>
  <c r="AA930" i="16"/>
  <c r="R927" i="16" a="1"/>
  <c r="AB929" i="16" a="1"/>
  <c r="Q928" i="16"/>
  <c r="AB929" i="16" l="1"/>
  <c r="R927" i="16"/>
  <c r="R928" i="16" a="1"/>
  <c r="AA931" i="16"/>
  <c r="Q929" i="16"/>
  <c r="AB930" i="16" a="1"/>
  <c r="AB930" i="16" l="1"/>
  <c r="R928" i="16"/>
  <c r="Q930" i="16"/>
  <c r="AA932" i="16"/>
  <c r="AB931" i="16" a="1"/>
  <c r="R929" i="16" a="1"/>
  <c r="AB931" i="16" l="1"/>
  <c r="R929" i="16"/>
  <c r="Q931" i="16"/>
  <c r="R930" i="16" a="1"/>
  <c r="AB932" i="16" a="1"/>
  <c r="AA933" i="16"/>
  <c r="AB932" i="16" l="1"/>
  <c r="R930" i="16"/>
  <c r="Q932" i="16"/>
  <c r="R931" i="16" a="1"/>
  <c r="AA934" i="16"/>
  <c r="AB933" i="16" a="1"/>
  <c r="AB933" i="16" l="1"/>
  <c r="R931" i="16"/>
  <c r="Q933" i="16"/>
  <c r="AA935" i="16"/>
  <c r="R932" i="16" a="1"/>
  <c r="AB934" i="16" a="1"/>
  <c r="AB934" i="16" l="1"/>
  <c r="R932" i="16"/>
  <c r="AB935" i="16" a="1"/>
  <c r="AA936" i="16"/>
  <c r="Q934" i="16"/>
  <c r="R933" i="16" a="1"/>
  <c r="AB935" i="16" l="1"/>
  <c r="R933" i="16"/>
  <c r="AB936" i="16" a="1"/>
  <c r="Q935" i="16"/>
  <c r="R934" i="16" a="1"/>
  <c r="AA937" i="16"/>
  <c r="AB936" i="16" l="1"/>
  <c r="R934" i="16"/>
  <c r="AA938" i="16"/>
  <c r="R935" i="16" a="1"/>
  <c r="AB937" i="16" a="1"/>
  <c r="Q936" i="16"/>
  <c r="AB937" i="16" l="1"/>
  <c r="R935" i="16"/>
  <c r="R936" i="16" a="1"/>
  <c r="AA939" i="16"/>
  <c r="AB938" i="16" a="1"/>
  <c r="Q937" i="16"/>
  <c r="AB938" i="16" l="1"/>
  <c r="R936" i="16"/>
  <c r="R937" i="16" a="1"/>
  <c r="AB939" i="16" a="1"/>
  <c r="Q938" i="16"/>
  <c r="AA940" i="16"/>
  <c r="AB939" i="16" l="1"/>
  <c r="R937" i="16"/>
  <c r="Q939" i="16"/>
  <c r="AB940" i="16" a="1"/>
  <c r="R938" i="16" a="1"/>
  <c r="AA941" i="16"/>
  <c r="AB940" i="16" l="1"/>
  <c r="R938" i="16"/>
  <c r="Q940" i="16"/>
  <c r="AB941" i="16" a="1"/>
  <c r="AA942" i="16"/>
  <c r="R939" i="16" a="1"/>
  <c r="AB941" i="16" l="1"/>
  <c r="R939" i="16"/>
  <c r="R940" i="16" a="1"/>
  <c r="AB942" i="16" a="1"/>
  <c r="AA943" i="16"/>
  <c r="Q941" i="16"/>
  <c r="AB942" i="16" l="1"/>
  <c r="R940" i="16"/>
  <c r="AB943" i="16" a="1"/>
  <c r="Q942" i="16"/>
  <c r="R941" i="16" a="1"/>
  <c r="AA944" i="16"/>
  <c r="AB943" i="16" l="1"/>
  <c r="R941" i="16"/>
  <c r="AA945" i="16"/>
  <c r="AB944" i="16" a="1"/>
  <c r="Q943" i="16"/>
  <c r="R942" i="16" a="1"/>
  <c r="AB944" i="16" l="1"/>
  <c r="R942" i="16"/>
  <c r="Q944" i="16"/>
  <c r="AA946" i="16"/>
  <c r="AB945" i="16" a="1"/>
  <c r="R943" i="16" a="1"/>
  <c r="AB945" i="16" l="1"/>
  <c r="R943" i="16"/>
  <c r="Q945" i="16"/>
  <c r="AB946" i="16" a="1"/>
  <c r="AA947" i="16"/>
  <c r="R944" i="16" a="1"/>
  <c r="AB946" i="16" l="1"/>
  <c r="R944" i="16"/>
  <c r="AA948" i="16"/>
  <c r="Q946" i="16"/>
  <c r="R945" i="16" a="1"/>
  <c r="AB947" i="16" a="1"/>
  <c r="AB947" i="16" l="1"/>
  <c r="R945" i="16"/>
  <c r="AB948" i="16" a="1"/>
  <c r="R946" i="16" a="1"/>
  <c r="AA949" i="16"/>
  <c r="Q947" i="16"/>
  <c r="AB948" i="16" l="1"/>
  <c r="R946" i="16"/>
  <c r="AB949" i="16" a="1"/>
  <c r="Q948" i="16"/>
  <c r="R947" i="16" a="1"/>
  <c r="AA950" i="16"/>
  <c r="AB949" i="16" l="1"/>
  <c r="R947" i="16"/>
  <c r="R948" i="16" a="1"/>
  <c r="AB950" i="16" a="1"/>
  <c r="Q949" i="16"/>
  <c r="AA951" i="16"/>
  <c r="AB950" i="16" l="1"/>
  <c r="R948" i="16"/>
  <c r="AB951" i="16" a="1"/>
  <c r="Q950" i="16"/>
  <c r="R949" i="16" a="1"/>
  <c r="AA952" i="16"/>
  <c r="AB951" i="16" l="1"/>
  <c r="R949" i="16"/>
  <c r="Q951" i="16"/>
  <c r="AB952" i="16" a="1"/>
  <c r="AA953" i="16"/>
  <c r="R950" i="16" a="1"/>
  <c r="AB952" i="16" l="1"/>
  <c r="R950" i="16"/>
  <c r="R951" i="16" a="1"/>
  <c r="AA954" i="16"/>
  <c r="AB953" i="16" a="1"/>
  <c r="Q952" i="16"/>
  <c r="AB953" i="16" l="1"/>
  <c r="R951" i="16"/>
  <c r="Q953" i="16"/>
  <c r="AA955" i="16"/>
  <c r="AB954" i="16" a="1"/>
  <c r="R952" i="16" a="1"/>
  <c r="AB954" i="16" l="1"/>
  <c r="R952" i="16"/>
  <c r="AB955" i="16" a="1"/>
  <c r="AA956" i="16"/>
  <c r="Q954" i="16"/>
  <c r="R953" i="16" a="1"/>
  <c r="AB955" i="16" l="1"/>
  <c r="R953" i="16"/>
  <c r="R954" i="16" a="1"/>
  <c r="AA957" i="16"/>
  <c r="AB956" i="16" a="1"/>
  <c r="Q955" i="16"/>
  <c r="AB956" i="16" l="1"/>
  <c r="R954" i="16"/>
  <c r="AB957" i="16" a="1"/>
  <c r="R955" i="16" a="1"/>
  <c r="AA958" i="16"/>
  <c r="Q956" i="16"/>
  <c r="AB957" i="16" l="1"/>
  <c r="R955" i="16"/>
  <c r="R956" i="16" a="1"/>
  <c r="Q957" i="16"/>
  <c r="AA959" i="16"/>
  <c r="AB958" i="16" a="1"/>
  <c r="AB958" i="16" l="1"/>
  <c r="R956" i="16"/>
  <c r="AA960" i="16"/>
  <c r="AB959" i="16" a="1"/>
  <c r="R957" i="16" a="1"/>
  <c r="Q958" i="16"/>
  <c r="AB959" i="16" l="1"/>
  <c r="R957" i="16"/>
  <c r="AB960" i="16" a="1"/>
  <c r="R958" i="16" a="1"/>
  <c r="Q959" i="16"/>
  <c r="AA961" i="16"/>
  <c r="AB960" i="16" l="1"/>
  <c r="R958" i="16"/>
  <c r="Q960" i="16"/>
  <c r="R959" i="16" a="1"/>
  <c r="AB961" i="16" a="1"/>
  <c r="AA962" i="16"/>
  <c r="AB961" i="16" l="1"/>
  <c r="R959" i="16"/>
  <c r="AA963" i="16"/>
  <c r="AB962" i="16" a="1"/>
  <c r="Q961" i="16"/>
  <c r="R960" i="16" a="1"/>
  <c r="AB962" i="16" l="1"/>
  <c r="R960" i="16"/>
  <c r="Q962" i="16"/>
  <c r="AB963" i="16" a="1"/>
  <c r="R961" i="16" a="1"/>
  <c r="AA964" i="16"/>
  <c r="AB963" i="16" l="1"/>
  <c r="R961" i="16"/>
  <c r="AB964" i="16" a="1"/>
  <c r="R962" i="16" a="1"/>
  <c r="Q963" i="16"/>
  <c r="AA965" i="16"/>
  <c r="AB964" i="16" l="1"/>
  <c r="R962" i="16"/>
  <c r="Q964" i="16"/>
  <c r="R963" i="16" a="1"/>
  <c r="AB965" i="16" a="1"/>
  <c r="AA966" i="16"/>
  <c r="AB965" i="16" l="1"/>
  <c r="R963" i="16"/>
  <c r="R964" i="16" a="1"/>
  <c r="AB966" i="16" a="1"/>
  <c r="AA967" i="16"/>
  <c r="Q965" i="16"/>
  <c r="AB966" i="16" l="1"/>
  <c r="R964" i="16"/>
  <c r="R965" i="16" a="1"/>
  <c r="AB967" i="16" a="1"/>
  <c r="AA968" i="16"/>
  <c r="Q966" i="16"/>
  <c r="AB967" i="16" l="1"/>
  <c r="R965" i="16"/>
  <c r="AA969" i="16"/>
  <c r="Q967" i="16"/>
  <c r="R966" i="16" a="1"/>
  <c r="AB968" i="16" a="1"/>
  <c r="AB968" i="16" l="1"/>
  <c r="R966" i="16"/>
  <c r="R967" i="16" a="1"/>
  <c r="Q968" i="16"/>
  <c r="AB969" i="16" a="1"/>
  <c r="AA970" i="16"/>
  <c r="AB969" i="16" l="1"/>
  <c r="R967" i="16"/>
  <c r="AA971" i="16"/>
  <c r="AB970" i="16" a="1"/>
  <c r="Q969" i="16"/>
  <c r="R968" i="16" a="1"/>
  <c r="AB970" i="16" l="1"/>
  <c r="R968" i="16"/>
  <c r="Q970" i="16"/>
  <c r="AA972" i="16"/>
  <c r="R969" i="16" a="1"/>
  <c r="AB971" i="16" a="1"/>
  <c r="AB971" i="16" l="1"/>
  <c r="R969" i="16"/>
  <c r="AB972" i="16" a="1"/>
  <c r="AA973" i="16"/>
  <c r="Q971" i="16"/>
  <c r="R970" i="16" a="1"/>
  <c r="AB972" i="16" l="1"/>
  <c r="R970" i="16"/>
  <c r="Q972" i="16"/>
  <c r="AB973" i="16" a="1"/>
  <c r="R971" i="16" a="1"/>
  <c r="AA974" i="16"/>
  <c r="AB973" i="16" l="1"/>
  <c r="R971" i="16"/>
  <c r="AB974" i="16" a="1"/>
  <c r="R972" i="16" a="1"/>
  <c r="Q973" i="16"/>
  <c r="AA975" i="16"/>
  <c r="AB974" i="16" l="1"/>
  <c r="R972" i="16"/>
  <c r="R973" i="16" a="1"/>
  <c r="AA976" i="16"/>
  <c r="AB975" i="16" a="1"/>
  <c r="Q974" i="16"/>
  <c r="AB975" i="16" l="1"/>
  <c r="R973" i="16"/>
  <c r="AB976" i="16" a="1"/>
  <c r="R974" i="16" a="1"/>
  <c r="Q975" i="16"/>
  <c r="AA977" i="16"/>
  <c r="AB976" i="16" l="1"/>
  <c r="R974" i="16"/>
  <c r="AB977" i="16" a="1"/>
  <c r="AA978" i="16"/>
  <c r="R975" i="16" a="1"/>
  <c r="Q976" i="16"/>
  <c r="AB977" i="16" l="1"/>
  <c r="R975" i="16"/>
  <c r="Q977" i="16"/>
  <c r="R976" i="16" a="1"/>
  <c r="AB978" i="16" a="1"/>
  <c r="AA979" i="16"/>
  <c r="AB978" i="16" l="1"/>
  <c r="R976" i="16"/>
  <c r="Q978" i="16"/>
  <c r="AA980" i="16"/>
  <c r="R977" i="16" a="1"/>
  <c r="AB979" i="16" a="1"/>
  <c r="AB979" i="16" l="1"/>
  <c r="R977" i="16"/>
  <c r="Q979" i="16"/>
  <c r="AA981" i="16"/>
  <c r="R978" i="16" a="1"/>
  <c r="AB980" i="16" a="1"/>
  <c r="AB980" i="16" l="1"/>
  <c r="R978" i="16"/>
  <c r="Q980" i="16"/>
  <c r="AB981" i="16" a="1"/>
  <c r="R979" i="16" a="1"/>
  <c r="AA982" i="16"/>
  <c r="AB981" i="16" l="1"/>
  <c r="R979" i="16"/>
  <c r="AB982" i="16" a="1"/>
  <c r="Q981" i="16"/>
  <c r="AA983" i="16"/>
  <c r="R980" i="16" a="1"/>
  <c r="AB982" i="16" l="1"/>
  <c r="R980" i="16"/>
  <c r="AB983" i="16" a="1"/>
  <c r="Q982" i="16"/>
  <c r="R981" i="16" a="1"/>
  <c r="AA984" i="16"/>
  <c r="AB983" i="16" l="1"/>
  <c r="R981" i="16"/>
  <c r="Q983" i="16"/>
  <c r="AA985" i="16"/>
  <c r="R982" i="16" a="1"/>
  <c r="AB984" i="16" a="1"/>
  <c r="AB984" i="16" l="1"/>
  <c r="R982" i="16"/>
  <c r="AB985" i="16" a="1"/>
  <c r="Q984" i="16"/>
  <c r="R983" i="16" a="1"/>
  <c r="AA986" i="16"/>
  <c r="AB985" i="16" l="1"/>
  <c r="R983" i="16"/>
  <c r="AB986" i="16" a="1"/>
  <c r="R984" i="16" a="1"/>
  <c r="Q985" i="16"/>
  <c r="AA987" i="16"/>
  <c r="AB986" i="16" l="1"/>
  <c r="R984" i="16"/>
  <c r="Q986" i="16"/>
  <c r="AB987" i="16" a="1"/>
  <c r="AA988" i="16"/>
  <c r="R985" i="16" a="1"/>
  <c r="AB987" i="16" l="1"/>
  <c r="R985" i="16"/>
  <c r="R986" i="16" a="1"/>
  <c r="AB988" i="16" a="1"/>
  <c r="AA989" i="16"/>
  <c r="Q987" i="16"/>
  <c r="AB988" i="16" l="1"/>
  <c r="R986" i="16"/>
  <c r="AA990" i="16"/>
  <c r="R987" i="16" a="1"/>
  <c r="Q988" i="16"/>
  <c r="AB989" i="16" a="1"/>
  <c r="AB989" i="16" l="1"/>
  <c r="R987" i="16"/>
  <c r="AB990" i="16" a="1"/>
  <c r="AA991" i="16"/>
  <c r="Q989" i="16"/>
  <c r="R988" i="16" a="1"/>
  <c r="AB990" i="16" l="1"/>
  <c r="R988" i="16"/>
  <c r="AB991" i="16" a="1"/>
  <c r="Q990" i="16"/>
  <c r="AA992" i="16"/>
  <c r="R989" i="16" a="1"/>
  <c r="AB991" i="16" l="1"/>
  <c r="R989" i="16"/>
  <c r="AB992" i="16" a="1"/>
  <c r="R990" i="16" a="1"/>
  <c r="Q991" i="16"/>
  <c r="AA993" i="16"/>
  <c r="AB992" i="16" l="1"/>
  <c r="R990" i="16"/>
  <c r="Q992" i="16"/>
  <c r="R991" i="16" a="1"/>
  <c r="AB993" i="16" a="1"/>
  <c r="AA994" i="16"/>
  <c r="AB993" i="16" l="1"/>
  <c r="R991" i="16"/>
  <c r="R992" i="16" a="1"/>
  <c r="AA995" i="16"/>
  <c r="Q993" i="16"/>
  <c r="AB994" i="16" a="1"/>
  <c r="AB994" i="16" l="1"/>
  <c r="R992" i="16"/>
  <c r="R993" i="16" a="1"/>
  <c r="Q994" i="16"/>
  <c r="AA996" i="16"/>
  <c r="AB995" i="16" a="1"/>
  <c r="AB995" i="16" l="1"/>
  <c r="R993" i="16"/>
  <c r="R994" i="16" a="1"/>
  <c r="AA997" i="16"/>
  <c r="Q995" i="16"/>
  <c r="AB996" i="16" a="1"/>
  <c r="AB996" i="16" l="1"/>
  <c r="R994" i="16"/>
  <c r="AA998" i="16"/>
  <c r="AB997" i="16" a="1"/>
  <c r="R995" i="16" a="1"/>
  <c r="Q996" i="16"/>
  <c r="AB997" i="16" l="1"/>
  <c r="R995" i="16"/>
  <c r="Q997" i="16"/>
  <c r="R996" i="16" a="1"/>
  <c r="AA999" i="16"/>
  <c r="AB998" i="16" a="1"/>
  <c r="AB998" i="16" l="1"/>
  <c r="R996" i="16"/>
  <c r="AB999" i="16" a="1"/>
  <c r="AA1000" i="16"/>
  <c r="R997" i="16" a="1"/>
  <c r="Q998" i="16"/>
  <c r="AB999" i="16" l="1"/>
  <c r="R997" i="16"/>
  <c r="Q999" i="16"/>
  <c r="R998" i="16" a="1"/>
  <c r="AB1000" i="16" a="1"/>
  <c r="AB1000" i="16" l="1"/>
  <c r="G2" i="16" s="1" a="1"/>
  <c r="G2" i="16" s="1"/>
  <c r="R998" i="16"/>
  <c r="R999" i="16" a="1"/>
  <c r="V3" i="16"/>
  <c r="Q1000" i="16"/>
  <c r="R999" i="16" l="1"/>
  <c r="W3" i="16" a="1"/>
  <c r="R1000" i="16" a="1"/>
  <c r="V4" i="16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W7" i="16" a="1"/>
  <c r="V8" i="16"/>
  <c r="W7" i="16" l="1"/>
  <c r="V9" i="16"/>
  <c r="W8" i="16" a="1"/>
  <c r="W8" i="16" l="1"/>
  <c r="W9" i="16" a="1"/>
  <c r="V10" i="16"/>
  <c r="W9" i="16" l="1"/>
  <c r="V11" i="16"/>
  <c r="W10" i="16" a="1"/>
  <c r="W10" i="16" l="1"/>
  <c r="W11" i="16" a="1"/>
  <c r="V12" i="16"/>
  <c r="W11" i="16" l="1"/>
  <c r="W12" i="16" a="1"/>
  <c r="V13" i="16"/>
  <c r="W12" i="16" l="1"/>
  <c r="W13" i="16" a="1"/>
  <c r="V14" i="16"/>
  <c r="W13" i="16" l="1"/>
  <c r="W14" i="16" a="1"/>
  <c r="V15" i="16"/>
  <c r="W14" i="16" l="1"/>
  <c r="V16" i="16"/>
  <c r="W15" i="16" a="1"/>
  <c r="W15" i="16" l="1"/>
  <c r="V17" i="16"/>
  <c r="W16" i="16" a="1"/>
  <c r="W16" i="16" l="1"/>
  <c r="W17" i="16" a="1"/>
  <c r="V18" i="16"/>
  <c r="W17" i="16" l="1"/>
  <c r="W18" i="16" a="1"/>
  <c r="V19" i="16"/>
  <c r="W18" i="16" l="1"/>
  <c r="W19" i="16" a="1"/>
  <c r="V20" i="16"/>
  <c r="W19" i="16" l="1"/>
  <c r="W20" i="16" a="1"/>
  <c r="V21" i="16"/>
  <c r="W20" i="16" l="1"/>
  <c r="W21" i="16" a="1"/>
  <c r="V22" i="16"/>
  <c r="W21" i="16" l="1"/>
  <c r="W22" i="16" a="1"/>
  <c r="V23" i="16"/>
  <c r="W22" i="16" l="1"/>
  <c r="W23" i="16" a="1"/>
  <c r="V24" i="16"/>
  <c r="W23" i="16" l="1"/>
  <c r="V25" i="16"/>
  <c r="W24" i="16" a="1"/>
  <c r="W24" i="16" l="1"/>
  <c r="W25" i="16" a="1"/>
  <c r="V26" i="16"/>
  <c r="W25" i="16" l="1"/>
  <c r="V27" i="16"/>
  <c r="W26" i="16" a="1"/>
  <c r="W26" i="16" l="1"/>
  <c r="W27" i="16" a="1"/>
  <c r="V28" i="16"/>
  <c r="W27" i="16" l="1"/>
  <c r="V29" i="16"/>
  <c r="W28" i="16" a="1"/>
  <c r="W28" i="16" l="1"/>
  <c r="V30" i="16"/>
  <c r="W29" i="16" a="1"/>
  <c r="W29" i="16" l="1"/>
  <c r="V31" i="16"/>
  <c r="W30" i="16" a="1"/>
  <c r="W30" i="16" l="1"/>
  <c r="V32" i="16"/>
  <c r="W31" i="16" a="1"/>
  <c r="W31" i="16" l="1"/>
  <c r="V33" i="16"/>
  <c r="W32" i="16" a="1"/>
  <c r="W32" i="16" l="1"/>
  <c r="W33" i="16" a="1"/>
  <c r="V34" i="16"/>
  <c r="W33" i="16" l="1"/>
  <c r="W34" i="16" a="1"/>
  <c r="V35" i="16"/>
  <c r="W34" i="16" l="1"/>
  <c r="W35" i="16" a="1"/>
  <c r="V36" i="16"/>
  <c r="W35" i="16" l="1"/>
  <c r="V37" i="16"/>
  <c r="W36" i="16" a="1"/>
  <c r="W36" i="16" l="1"/>
  <c r="W37" i="16" a="1"/>
  <c r="V38" i="16"/>
  <c r="W37" i="16" l="1"/>
  <c r="V39" i="16"/>
  <c r="W38" i="16" a="1"/>
  <c r="W38" i="16" l="1"/>
  <c r="W39" i="16" a="1"/>
  <c r="V40" i="16"/>
  <c r="W39" i="16" l="1"/>
  <c r="W40" i="16" a="1"/>
  <c r="V41" i="16"/>
  <c r="W40" i="16" l="1"/>
  <c r="V42" i="16"/>
  <c r="W41" i="16" a="1"/>
  <c r="W41" i="16" l="1"/>
  <c r="V43" i="16"/>
  <c r="W42" i="16" a="1"/>
  <c r="W42" i="16" l="1"/>
  <c r="V44" i="16"/>
  <c r="W43" i="16" a="1"/>
  <c r="W43" i="16" l="1"/>
  <c r="W44" i="16" a="1"/>
  <c r="V45" i="16"/>
  <c r="W44" i="16" l="1"/>
  <c r="W45" i="16" a="1"/>
  <c r="V46" i="16"/>
  <c r="W45" i="16" l="1"/>
  <c r="W46" i="16" a="1"/>
  <c r="V47" i="16"/>
  <c r="W46" i="16" l="1"/>
  <c r="V48" i="16"/>
  <c r="W47" i="16" a="1"/>
  <c r="W47" i="16" l="1"/>
  <c r="W48" i="16" a="1"/>
  <c r="V49" i="16"/>
  <c r="W48" i="16" l="1"/>
  <c r="W49" i="16" a="1"/>
  <c r="V50" i="16"/>
  <c r="W49" i="16" l="1"/>
  <c r="W50" i="16" a="1"/>
  <c r="V51" i="16"/>
  <c r="W50" i="16" l="1"/>
  <c r="W51" i="16" a="1"/>
  <c r="V52" i="16"/>
  <c r="W51" i="16" l="1"/>
  <c r="W52" i="16" a="1"/>
  <c r="V53" i="16"/>
  <c r="W52" i="16" l="1"/>
  <c r="V54" i="16"/>
  <c r="W53" i="16" a="1"/>
  <c r="W53" i="16" l="1"/>
  <c r="V55" i="16"/>
  <c r="W54" i="16" a="1"/>
  <c r="W54" i="16" l="1"/>
  <c r="W55" i="16" a="1"/>
  <c r="V56" i="16"/>
  <c r="W55" i="16" l="1"/>
  <c r="V57" i="16"/>
  <c r="W56" i="16" a="1"/>
  <c r="W56" i="16" l="1"/>
  <c r="W57" i="16" a="1"/>
  <c r="V58" i="16"/>
  <c r="W57" i="16" l="1"/>
  <c r="V59" i="16"/>
  <c r="W58" i="16" a="1"/>
  <c r="W58" i="16" l="1"/>
  <c r="V60" i="16"/>
  <c r="W59" i="16" a="1"/>
  <c r="W59" i="16" l="1"/>
  <c r="W60" i="16" a="1"/>
  <c r="V61" i="16"/>
  <c r="W60" i="16" l="1"/>
  <c r="V62" i="16"/>
  <c r="W61" i="16" a="1"/>
  <c r="W61" i="16" l="1"/>
  <c r="V63" i="16"/>
  <c r="W62" i="16" a="1"/>
  <c r="W62" i="16" l="1"/>
  <c r="V64" i="16"/>
  <c r="W63" i="16" a="1"/>
  <c r="W63" i="16" l="1"/>
  <c r="W64" i="16" a="1"/>
  <c r="V65" i="16"/>
  <c r="W64" i="16" l="1"/>
  <c r="V66" i="16"/>
  <c r="W65" i="16" a="1"/>
  <c r="W65" i="16" l="1"/>
  <c r="V67" i="16"/>
  <c r="W66" i="16" a="1"/>
  <c r="W66" i="16" l="1"/>
  <c r="W67" i="16" a="1"/>
  <c r="V68" i="16"/>
  <c r="W67" i="16" l="1"/>
  <c r="V69" i="16"/>
  <c r="W68" i="16" a="1"/>
  <c r="W68" i="16" l="1"/>
  <c r="W69" i="16" a="1"/>
  <c r="V70" i="16"/>
  <c r="W69" i="16" l="1"/>
  <c r="W70" i="16" a="1"/>
  <c r="V71" i="16"/>
  <c r="W70" i="16" l="1"/>
  <c r="W71" i="16" a="1"/>
  <c r="V72" i="16"/>
  <c r="W71" i="16" l="1"/>
  <c r="V73" i="16"/>
  <c r="W72" i="16" a="1"/>
  <c r="W72" i="16" l="1"/>
  <c r="W73" i="16" a="1"/>
  <c r="V74" i="16"/>
  <c r="W73" i="16" l="1"/>
  <c r="W74" i="16" a="1"/>
  <c r="V75" i="16"/>
  <c r="W74" i="16" l="1"/>
  <c r="W75" i="16" a="1"/>
  <c r="V76" i="16"/>
  <c r="W75" i="16" l="1"/>
  <c r="W76" i="16" a="1"/>
  <c r="V77" i="16"/>
  <c r="W76" i="16" l="1"/>
  <c r="V78" i="16"/>
  <c r="W77" i="16" a="1"/>
  <c r="W77" i="16" l="1"/>
  <c r="W78" i="16" a="1"/>
  <c r="V79" i="16"/>
  <c r="W78" i="16" l="1"/>
  <c r="W79" i="16" a="1"/>
  <c r="V80" i="16"/>
  <c r="W79" i="16" l="1"/>
  <c r="W80" i="16" a="1"/>
  <c r="V81" i="16"/>
  <c r="W80" i="16" l="1"/>
  <c r="V82" i="16"/>
  <c r="W81" i="16" a="1"/>
  <c r="W81" i="16" l="1"/>
  <c r="V83" i="16"/>
  <c r="W82" i="16" a="1"/>
  <c r="W82" i="16" l="1"/>
  <c r="V84" i="16"/>
  <c r="W83" i="16" a="1"/>
  <c r="W83" i="16" l="1"/>
  <c r="V85" i="16"/>
  <c r="W84" i="16" a="1"/>
  <c r="W84" i="16" l="1"/>
  <c r="V86" i="16"/>
  <c r="W85" i="16" a="1"/>
  <c r="W85" i="16" l="1"/>
  <c r="W86" i="16" a="1"/>
  <c r="V87" i="16"/>
  <c r="W86" i="16" l="1"/>
  <c r="W87" i="16" a="1"/>
  <c r="V88" i="16"/>
  <c r="W87" i="16" l="1"/>
  <c r="V89" i="16"/>
  <c r="W88" i="16" a="1"/>
  <c r="W88" i="16" l="1"/>
  <c r="V90" i="16"/>
  <c r="W89" i="16" a="1"/>
  <c r="W89" i="16" l="1"/>
  <c r="W90" i="16" a="1"/>
  <c r="V91" i="16"/>
  <c r="W90" i="16" l="1"/>
  <c r="W91" i="16" a="1"/>
  <c r="V92" i="16"/>
  <c r="W91" i="16" l="1"/>
  <c r="W92" i="16" a="1"/>
  <c r="V93" i="16"/>
  <c r="W92" i="16" l="1"/>
  <c r="V94" i="16"/>
  <c r="W93" i="16" a="1"/>
  <c r="W93" i="16" l="1"/>
  <c r="V95" i="16"/>
  <c r="W94" i="16" a="1"/>
  <c r="W94" i="16" l="1"/>
  <c r="W95" i="16" a="1"/>
  <c r="V96" i="16"/>
  <c r="W95" i="16" l="1"/>
  <c r="W96" i="16" a="1"/>
  <c r="V97" i="16"/>
  <c r="W96" i="16" l="1"/>
  <c r="W97" i="16" a="1"/>
  <c r="V98" i="16"/>
  <c r="W97" i="16" l="1"/>
  <c r="W98" i="16" a="1"/>
  <c r="V99" i="16"/>
  <c r="W98" i="16" l="1"/>
  <c r="W99" i="16" a="1"/>
  <c r="V100" i="16"/>
  <c r="W99" i="16" l="1"/>
  <c r="W100" i="16" a="1"/>
  <c r="V101" i="16"/>
  <c r="W100" i="16" l="1"/>
  <c r="W101" i="16" a="1"/>
  <c r="V102" i="16"/>
  <c r="W101" i="16" l="1"/>
  <c r="W102" i="16" a="1"/>
  <c r="V103" i="16"/>
  <c r="W102" i="16" l="1"/>
  <c r="V104" i="16"/>
  <c r="W103" i="16" a="1"/>
  <c r="W103" i="16" l="1"/>
  <c r="V105" i="16"/>
  <c r="W104" i="16" a="1"/>
  <c r="W104" i="16" l="1"/>
  <c r="W105" i="16" a="1"/>
  <c r="V106" i="16"/>
  <c r="W105" i="16" l="1"/>
  <c r="V107" i="16"/>
  <c r="W106" i="16" a="1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W112" i="16" a="1"/>
  <c r="V113" i="16"/>
  <c r="W112" i="16" l="1"/>
  <c r="V114" i="16"/>
  <c r="W113" i="16" a="1"/>
  <c r="W113" i="16" l="1"/>
  <c r="W114" i="16" a="1"/>
  <c r="V115" i="16"/>
  <c r="W114" i="16" l="1"/>
  <c r="V116" i="16"/>
  <c r="W115" i="16" a="1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W124" i="16" a="1"/>
  <c r="V125" i="16"/>
  <c r="W124" i="16" l="1"/>
  <c r="W125" i="16" a="1"/>
  <c r="V126" i="16"/>
  <c r="W125" i="16" l="1"/>
  <c r="V127" i="16"/>
  <c r="W126" i="16" a="1"/>
  <c r="W126" i="16" l="1"/>
  <c r="W127" i="16" a="1"/>
  <c r="V128" i="16"/>
  <c r="W127" i="16" l="1"/>
  <c r="W128" i="16" a="1"/>
  <c r="V129" i="16"/>
  <c r="W128" i="16" l="1"/>
  <c r="W129" i="16" a="1"/>
  <c r="V130" i="16"/>
  <c r="W129" i="16" l="1"/>
  <c r="W130" i="16" a="1"/>
  <c r="V131" i="16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V135" i="16"/>
  <c r="W134" i="16" a="1"/>
  <c r="W134" i="16" l="1"/>
  <c r="W135" i="16" a="1"/>
  <c r="V136" i="16"/>
  <c r="W135" i="16" l="1"/>
  <c r="V137" i="16"/>
  <c r="W136" i="16" a="1"/>
  <c r="W136" i="16" l="1"/>
  <c r="W137" i="16" a="1"/>
  <c r="V138" i="16"/>
  <c r="W137" i="16" l="1"/>
  <c r="W138" i="16" a="1"/>
  <c r="V139" i="16"/>
  <c r="W138" i="16" l="1"/>
  <c r="V140" i="16"/>
  <c r="W139" i="16" a="1"/>
  <c r="W139" i="16" l="1"/>
  <c r="W140" i="16" a="1"/>
  <c r="V141" i="16"/>
  <c r="W140" i="16" l="1"/>
  <c r="W141" i="16" a="1"/>
  <c r="V142" i="16"/>
  <c r="W141" i="16" l="1"/>
  <c r="V143" i="16"/>
  <c r="W142" i="16" a="1"/>
  <c r="W142" i="16" l="1"/>
  <c r="V144" i="16"/>
  <c r="W143" i="16" a="1"/>
  <c r="W143" i="16" l="1"/>
  <c r="V145" i="16"/>
  <c r="W144" i="16" a="1"/>
  <c r="W144" i="16" l="1"/>
  <c r="W145" i="16" a="1"/>
  <c r="V146" i="16"/>
  <c r="W145" i="16" l="1"/>
  <c r="V147" i="16"/>
  <c r="W146" i="16" a="1"/>
  <c r="W146" i="16" l="1"/>
  <c r="V148" i="16"/>
  <c r="W147" i="16" a="1"/>
  <c r="W147" i="16" l="1"/>
  <c r="V149" i="16"/>
  <c r="W148" i="16" a="1"/>
  <c r="W148" i="16" l="1"/>
  <c r="V150" i="16"/>
  <c r="W149" i="16" a="1"/>
  <c r="W149" i="16" l="1"/>
  <c r="W150" i="16" a="1"/>
  <c r="V151" i="16"/>
  <c r="W150" i="16" l="1"/>
  <c r="W151" i="16" a="1"/>
  <c r="V152" i="16"/>
  <c r="W151" i="16" l="1"/>
  <c r="V153" i="16"/>
  <c r="W152" i="16" a="1"/>
  <c r="W152" i="16" l="1"/>
  <c r="V154" i="16"/>
  <c r="W153" i="16" a="1"/>
  <c r="W153" i="16" l="1"/>
  <c r="W154" i="16" a="1"/>
  <c r="V155" i="16"/>
  <c r="W154" i="16" l="1"/>
  <c r="V156" i="16"/>
  <c r="W155" i="16" a="1"/>
  <c r="W155" i="16" l="1"/>
  <c r="V157" i="16"/>
  <c r="W156" i="16" a="1"/>
  <c r="W156" i="16" l="1"/>
  <c r="V158" i="16"/>
  <c r="W157" i="16" a="1"/>
  <c r="W157" i="16" l="1"/>
  <c r="V159" i="16"/>
  <c r="W158" i="16" a="1"/>
  <c r="W158" i="16" l="1"/>
  <c r="W159" i="16" a="1"/>
  <c r="V160" i="16"/>
  <c r="W159" i="16" l="1"/>
  <c r="V161" i="16"/>
  <c r="W160" i="16" a="1"/>
  <c r="W160" i="16" l="1"/>
  <c r="V162" i="16"/>
  <c r="W161" i="16" a="1"/>
  <c r="W161" i="16" l="1"/>
  <c r="V163" i="16"/>
  <c r="W162" i="16" a="1"/>
  <c r="W162" i="16" l="1"/>
  <c r="V164" i="16"/>
  <c r="W163" i="16" a="1"/>
  <c r="W163" i="16" l="1"/>
  <c r="W164" i="16" a="1"/>
  <c r="V165" i="16"/>
  <c r="W164" i="16" l="1"/>
  <c r="V166" i="16"/>
  <c r="W165" i="16" a="1"/>
  <c r="W165" i="16" l="1"/>
  <c r="V167" i="16"/>
  <c r="W166" i="16" a="1"/>
  <c r="W166" i="16" l="1"/>
  <c r="W167" i="16" a="1"/>
  <c r="V168" i="16"/>
  <c r="W167" i="16" l="1"/>
  <c r="W168" i="16" a="1"/>
  <c r="V169" i="16"/>
  <c r="W168" i="16" l="1"/>
  <c r="V170" i="16"/>
  <c r="W169" i="16" a="1"/>
  <c r="W169" i="16" l="1"/>
  <c r="V171" i="16"/>
  <c r="W170" i="16" a="1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W174" i="16" a="1"/>
  <c r="V175" i="16"/>
  <c r="W174" i="16" l="1"/>
  <c r="W175" i="16" a="1"/>
  <c r="V176" i="16"/>
  <c r="W175" i="16" l="1"/>
  <c r="W176" i="16" a="1"/>
  <c r="V177" i="16"/>
  <c r="W176" i="16" l="1"/>
  <c r="V178" i="16"/>
  <c r="W177" i="16" a="1"/>
  <c r="W177" i="16" l="1"/>
  <c r="W178" i="16" a="1"/>
  <c r="V179" i="16"/>
  <c r="W178" i="16" l="1"/>
  <c r="W179" i="16" a="1"/>
  <c r="V180" i="16"/>
  <c r="W179" i="16" l="1"/>
  <c r="W180" i="16" a="1"/>
  <c r="V181" i="16"/>
  <c r="W180" i="16" l="1"/>
  <c r="W181" i="16" a="1"/>
  <c r="V182" i="16"/>
  <c r="W181" i="16" l="1"/>
  <c r="V183" i="16"/>
  <c r="W182" i="16" a="1"/>
  <c r="W182" i="16" l="1"/>
  <c r="V184" i="16"/>
  <c r="W183" i="16" a="1"/>
  <c r="W183" i="16" l="1"/>
  <c r="V185" i="16"/>
  <c r="W184" i="16" a="1"/>
  <c r="W184" i="16" l="1"/>
  <c r="W185" i="16" a="1"/>
  <c r="V186" i="16"/>
  <c r="W185" i="16" l="1"/>
  <c r="V187" i="16"/>
  <c r="W186" i="16" a="1"/>
  <c r="W186" i="16" l="1"/>
  <c r="V188" i="16"/>
  <c r="W187" i="16" a="1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W192" i="16" a="1"/>
  <c r="V193" i="16"/>
  <c r="W192" i="16" l="1"/>
  <c r="W193" i="16" a="1"/>
  <c r="V194" i="16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V198" i="16"/>
  <c r="W197" i="16" a="1"/>
  <c r="W197" i="16" l="1"/>
  <c r="W198" i="16" a="1"/>
  <c r="V199" i="16"/>
  <c r="W198" i="16" l="1"/>
  <c r="V200" i="16"/>
  <c r="W199" i="16" a="1"/>
  <c r="W199" i="16" l="1"/>
  <c r="W200" i="16" a="1"/>
  <c r="V201" i="16"/>
  <c r="W200" i="16" l="1"/>
  <c r="W201" i="16" a="1"/>
  <c r="V202" i="16"/>
  <c r="W201" i="16" l="1"/>
  <c r="W202" i="16" a="1"/>
  <c r="V203" i="16"/>
  <c r="W202" i="16" l="1"/>
  <c r="V204" i="16"/>
  <c r="W203" i="16" a="1"/>
  <c r="W203" i="16" l="1"/>
  <c r="V205" i="16"/>
  <c r="W204" i="16" a="1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W208" i="16" a="1"/>
  <c r="V209" i="16"/>
  <c r="W208" i="16" l="1"/>
  <c r="W209" i="16" a="1"/>
  <c r="V210" i="16"/>
  <c r="W209" i="16" l="1"/>
  <c r="V211" i="16"/>
  <c r="W210" i="16" a="1"/>
  <c r="W210" i="16" l="1"/>
  <c r="W211" i="16" a="1"/>
  <c r="V212" i="16"/>
  <c r="W211" i="16" l="1"/>
  <c r="V213" i="16"/>
  <c r="W212" i="16" a="1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V218" i="16"/>
  <c r="W217" i="16" a="1"/>
  <c r="W217" i="16" l="1"/>
  <c r="W218" i="16" a="1"/>
  <c r="V219" i="16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W236" i="16" a="1"/>
  <c r="V237" i="16"/>
  <c r="W236" i="16" l="1"/>
  <c r="W237" i="16" a="1"/>
  <c r="V238" i="16"/>
  <c r="W237" i="16" l="1"/>
  <c r="W238" i="16" a="1"/>
  <c r="V239" i="16"/>
  <c r="W238" i="16" l="1"/>
  <c r="V240" i="16"/>
  <c r="W239" i="16" a="1"/>
  <c r="W239" i="16" l="1"/>
  <c r="W240" i="16" a="1"/>
  <c r="V241" i="16"/>
  <c r="W240" i="16" l="1"/>
  <c r="V242" i="16"/>
  <c r="W241" i="16" a="1"/>
  <c r="W241" i="16" l="1"/>
  <c r="V243" i="16"/>
  <c r="W242" i="16" a="1"/>
  <c r="W242" i="16" l="1"/>
  <c r="V244" i="16"/>
  <c r="W243" i="16" a="1"/>
  <c r="W243" i="16" l="1"/>
  <c r="V245" i="16"/>
  <c r="W244" i="16" a="1"/>
  <c r="W244" i="16" l="1"/>
  <c r="V246" i="16"/>
  <c r="W245" i="16" a="1"/>
  <c r="W245" i="16" l="1"/>
  <c r="W246" i="16" a="1"/>
  <c r="V247" i="16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V251" i="16"/>
  <c r="W250" i="16" a="1"/>
  <c r="W250" i="16" l="1"/>
  <c r="V252" i="16"/>
  <c r="W251" i="16" a="1"/>
  <c r="W251" i="16" l="1"/>
  <c r="V253" i="16"/>
  <c r="W252" i="16" a="1"/>
  <c r="W252" i="16" l="1"/>
  <c r="V254" i="16"/>
  <c r="W253" i="16" a="1"/>
  <c r="W253" i="16" l="1"/>
  <c r="V255" i="16"/>
  <c r="W254" i="16" a="1"/>
  <c r="W254" i="16" l="1"/>
  <c r="V256" i="16"/>
  <c r="W255" i="16" a="1"/>
  <c r="W255" i="16" l="1"/>
  <c r="W256" i="16" a="1"/>
  <c r="V257" i="16"/>
  <c r="W256" i="16" l="1"/>
  <c r="W257" i="16" a="1"/>
  <c r="V258" i="16"/>
  <c r="W257" i="16" l="1"/>
  <c r="V259" i="16"/>
  <c r="W258" i="16" a="1"/>
  <c r="W258" i="16" l="1"/>
  <c r="W259" i="16" a="1"/>
  <c r="V260" i="16"/>
  <c r="W259" i="16" l="1"/>
  <c r="V261" i="16"/>
  <c r="W260" i="16" a="1"/>
  <c r="W260" i="16" l="1"/>
  <c r="W261" i="16" a="1"/>
  <c r="V262" i="16"/>
  <c r="W261" i="16" l="1"/>
  <c r="W262" i="16" a="1"/>
  <c r="V263" i="16"/>
  <c r="W262" i="16" l="1"/>
  <c r="V264" i="16"/>
  <c r="W263" i="16" a="1"/>
  <c r="W263" i="16" l="1"/>
  <c r="W264" i="16" a="1"/>
  <c r="V265" i="16"/>
  <c r="W264" i="16" l="1"/>
  <c r="V266" i="16"/>
  <c r="W265" i="16" a="1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V271" i="16"/>
  <c r="W270" i="16" a="1"/>
  <c r="W270" i="16" l="1"/>
  <c r="V272" i="16"/>
  <c r="W271" i="16" a="1"/>
  <c r="W271" i="16" l="1"/>
  <c r="V273" i="16"/>
  <c r="W272" i="16" a="1"/>
  <c r="W272" i="16" l="1"/>
  <c r="V274" i="16"/>
  <c r="W273" i="16" a="1"/>
  <c r="W273" i="16" l="1"/>
  <c r="W274" i="16" a="1"/>
  <c r="V275" i="16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W278" i="16" a="1"/>
  <c r="V279" i="16"/>
  <c r="W278" i="16" l="1"/>
  <c r="W279" i="16" a="1"/>
  <c r="V280" i="16"/>
  <c r="W279" i="16" l="1"/>
  <c r="W280" i="16" a="1"/>
  <c r="V281" i="16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V285" i="16"/>
  <c r="W284" i="16" a="1"/>
  <c r="W284" i="16" l="1"/>
  <c r="V286" i="16"/>
  <c r="W285" i="16" a="1"/>
  <c r="W285" i="16" l="1"/>
  <c r="W286" i="16" a="1"/>
  <c r="V287" i="16"/>
  <c r="W286" i="16" l="1"/>
  <c r="W287" i="16" a="1"/>
  <c r="V288" i="16"/>
  <c r="W287" i="16" l="1"/>
  <c r="V289" i="16"/>
  <c r="W288" i="16" a="1"/>
  <c r="W288" i="16" l="1"/>
  <c r="V290" i="16"/>
  <c r="W289" i="16" a="1"/>
  <c r="W289" i="16" l="1"/>
  <c r="V291" i="16"/>
  <c r="W290" i="16" a="1"/>
  <c r="W290" i="16" l="1"/>
  <c r="W291" i="16" a="1"/>
  <c r="V292" i="16"/>
  <c r="W291" i="16" l="1"/>
  <c r="W292" i="16" a="1"/>
  <c r="V293" i="16"/>
  <c r="W292" i="16" l="1"/>
  <c r="W293" i="16" a="1"/>
  <c r="V294" i="16"/>
  <c r="W293" i="16" l="1"/>
  <c r="V295" i="16"/>
  <c r="W294" i="16" a="1"/>
  <c r="W294" i="16" l="1"/>
  <c r="W295" i="16" a="1"/>
  <c r="V296" i="16"/>
  <c r="W295" i="16" l="1"/>
  <c r="W296" i="16" a="1"/>
  <c r="V297" i="16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V301" i="16"/>
  <c r="W300" i="16" a="1"/>
  <c r="W300" i="16" l="1"/>
  <c r="V302" i="16"/>
  <c r="W301" i="16" a="1"/>
  <c r="W301" i="16" l="1"/>
  <c r="V303" i="16"/>
  <c r="W302" i="16" a="1"/>
  <c r="W302" i="16" l="1"/>
  <c r="W303" i="16" a="1"/>
  <c r="V304" i="16"/>
  <c r="W303" i="16" l="1"/>
  <c r="V305" i="16"/>
  <c r="W304" i="16" a="1"/>
  <c r="W304" i="16" l="1"/>
  <c r="V306" i="16"/>
  <c r="W305" i="16" a="1"/>
  <c r="W305" i="16" l="1"/>
  <c r="V307" i="16"/>
  <c r="W306" i="16" a="1"/>
  <c r="W306" i="16" l="1"/>
  <c r="W307" i="16" a="1"/>
  <c r="V308" i="16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W316" i="16" a="1"/>
  <c r="V317" i="16"/>
  <c r="W316" i="16" l="1"/>
  <c r="V318" i="16"/>
  <c r="W317" i="16" a="1"/>
  <c r="W317" i="16" l="1"/>
  <c r="W318" i="16" a="1"/>
  <c r="V319" i="16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V323" i="16"/>
  <c r="W322" i="16" a="1"/>
  <c r="W322" i="16" l="1"/>
  <c r="V324" i="16"/>
  <c r="W323" i="16" a="1"/>
  <c r="W323" i="16" l="1"/>
  <c r="W324" i="16" a="1"/>
  <c r="V325" i="16"/>
  <c r="W324" i="16" l="1"/>
  <c r="V326" i="16"/>
  <c r="W325" i="16" a="1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W329" i="16" a="1"/>
  <c r="V330" i="16"/>
  <c r="W329" i="16" l="1"/>
  <c r="V331" i="16"/>
  <c r="W330" i="16" a="1"/>
  <c r="W330" i="16" l="1"/>
  <c r="V332" i="16"/>
  <c r="W331" i="16" a="1"/>
  <c r="W331" i="16" l="1"/>
  <c r="W332" i="16" a="1"/>
  <c r="V333" i="16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V340" i="16"/>
  <c r="W339" i="16" a="1"/>
  <c r="W339" i="16" l="1"/>
  <c r="W340" i="16" a="1"/>
  <c r="V341" i="16"/>
  <c r="W340" i="16" l="1"/>
  <c r="W341" i="16" a="1"/>
  <c r="V342" i="16"/>
  <c r="W341" i="16" l="1"/>
  <c r="V343" i="16"/>
  <c r="W342" i="16" a="1"/>
  <c r="W342" i="16" l="1"/>
  <c r="V344" i="16"/>
  <c r="W343" i="16" a="1"/>
  <c r="W343" i="16" l="1"/>
  <c r="W344" i="16" a="1"/>
  <c r="V345" i="16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W348" i="16" a="1"/>
  <c r="V349" i="16"/>
  <c r="W348" i="16" l="1"/>
  <c r="W349" i="16" a="1"/>
  <c r="V350" i="16"/>
  <c r="W349" i="16" l="1"/>
  <c r="W350" i="16" a="1"/>
  <c r="V351" i="16"/>
  <c r="W350" i="16" l="1"/>
  <c r="V352" i="16"/>
  <c r="W351" i="16" a="1"/>
  <c r="W351" i="16" l="1"/>
  <c r="V353" i="16"/>
  <c r="W352" i="16" a="1"/>
  <c r="W352" i="16" l="1"/>
  <c r="W353" i="16" a="1"/>
  <c r="V354" i="16"/>
  <c r="W353" i="16" l="1"/>
  <c r="V355" i="16"/>
  <c r="W354" i="16" a="1"/>
  <c r="W354" i="16" l="1"/>
  <c r="W355" i="16" a="1"/>
  <c r="V356" i="16"/>
  <c r="W355" i="16" l="1"/>
  <c r="W356" i="16" a="1"/>
  <c r="V357" i="16"/>
  <c r="W356" i="16" l="1"/>
  <c r="W357" i="16" a="1"/>
  <c r="V358" i="16"/>
  <c r="W357" i="16" l="1"/>
  <c r="V359" i="16"/>
  <c r="W358" i="16" a="1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V363" i="16"/>
  <c r="W362" i="16" a="1"/>
  <c r="W362" i="16" l="1"/>
  <c r="W363" i="16" a="1"/>
  <c r="V364" i="16"/>
  <c r="W363" i="16" l="1"/>
  <c r="W364" i="16" a="1"/>
  <c r="V365" i="16"/>
  <c r="W364" i="16" l="1"/>
  <c r="W365" i="16" a="1"/>
  <c r="V366" i="16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V372" i="16"/>
  <c r="W371" i="16" a="1"/>
  <c r="W371" i="16" l="1"/>
  <c r="V373" i="16"/>
  <c r="W372" i="16" a="1"/>
  <c r="W372" i="16" l="1"/>
  <c r="W373" i="16" a="1"/>
  <c r="V374" i="16"/>
  <c r="W373" i="16" l="1"/>
  <c r="V375" i="16"/>
  <c r="W374" i="16" a="1"/>
  <c r="W374" i="16" l="1"/>
  <c r="V376" i="16"/>
  <c r="W375" i="16" a="1"/>
  <c r="W375" i="16" l="1"/>
  <c r="V377" i="16"/>
  <c r="W376" i="16" a="1"/>
  <c r="W376" i="16" l="1"/>
  <c r="V378" i="16"/>
  <c r="W377" i="16" a="1"/>
  <c r="W377" i="16" l="1"/>
  <c r="V379" i="16"/>
  <c r="W378" i="16" a="1"/>
  <c r="W378" i="16" l="1"/>
  <c r="W379" i="16" a="1"/>
  <c r="V380" i="16"/>
  <c r="W379" i="16" l="1"/>
  <c r="W380" i="16" a="1"/>
  <c r="V381" i="16"/>
  <c r="W380" i="16" l="1"/>
  <c r="W381" i="16" a="1"/>
  <c r="V382" i="16"/>
  <c r="W381" i="16" l="1"/>
  <c r="V383" i="16"/>
  <c r="W382" i="16" a="1"/>
  <c r="W382" i="16" l="1"/>
  <c r="V384" i="16"/>
  <c r="W383" i="16" a="1"/>
  <c r="W383" i="16" l="1"/>
  <c r="V385" i="16"/>
  <c r="W384" i="16" a="1"/>
  <c r="W384" i="16" l="1"/>
  <c r="W385" i="16" a="1"/>
  <c r="V386" i="16"/>
  <c r="W385" i="16" l="1"/>
  <c r="W386" i="16" a="1"/>
  <c r="V387" i="16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V392" i="16"/>
  <c r="W391" i="16" a="1"/>
  <c r="W391" i="16" l="1"/>
  <c r="W392" i="16" a="1"/>
  <c r="V393" i="16"/>
  <c r="W392" i="16" l="1"/>
  <c r="V394" i="16"/>
  <c r="W393" i="16" a="1"/>
  <c r="W393" i="16" l="1"/>
  <c r="V395" i="16"/>
  <c r="W394" i="16" a="1"/>
  <c r="W394" i="16" l="1"/>
  <c r="W395" i="16" a="1"/>
  <c r="V396" i="16"/>
  <c r="W395" i="16" l="1"/>
  <c r="W396" i="16" a="1"/>
  <c r="V397" i="16"/>
  <c r="W396" i="16" l="1"/>
  <c r="V398" i="16"/>
  <c r="W397" i="16" a="1"/>
  <c r="W397" i="16" l="1"/>
  <c r="V399" i="16"/>
  <c r="W398" i="16" a="1"/>
  <c r="W398" i="16" l="1"/>
  <c r="W399" i="16" a="1"/>
  <c r="V400" i="16"/>
  <c r="W399" i="16" l="1"/>
  <c r="V401" i="16"/>
  <c r="W400" i="16" a="1"/>
  <c r="W400" i="16" l="1"/>
  <c r="V402" i="16"/>
  <c r="W401" i="16" a="1"/>
  <c r="W401" i="16" l="1"/>
  <c r="V403" i="16"/>
  <c r="W402" i="16" a="1"/>
  <c r="W402" i="16" l="1"/>
  <c r="W403" i="16" a="1"/>
  <c r="V404" i="16"/>
  <c r="W403" i="16" l="1"/>
  <c r="W404" i="16" a="1"/>
  <c r="V405" i="16"/>
  <c r="W404" i="16" l="1"/>
  <c r="V406" i="16"/>
  <c r="W405" i="16" a="1"/>
  <c r="W405" i="16" l="1"/>
  <c r="W406" i="16" a="1"/>
  <c r="V407" i="16"/>
  <c r="W406" i="16" l="1"/>
  <c r="V408" i="16"/>
  <c r="W407" i="16" a="1"/>
  <c r="W407" i="16" l="1"/>
  <c r="V409" i="16"/>
  <c r="W408" i="16" a="1"/>
  <c r="W408" i="16" l="1"/>
  <c r="V410" i="16"/>
  <c r="W409" i="16" a="1"/>
  <c r="W409" i="16" l="1"/>
  <c r="V411" i="16"/>
  <c r="W410" i="16" a="1"/>
  <c r="W410" i="16" l="1"/>
  <c r="W411" i="16" a="1"/>
  <c r="V412" i="16"/>
  <c r="W411" i="16" l="1"/>
  <c r="W412" i="16" a="1"/>
  <c r="V413" i="16"/>
  <c r="W412" i="16" l="1"/>
  <c r="V414" i="16"/>
  <c r="W413" i="16" a="1"/>
  <c r="W413" i="16" l="1"/>
  <c r="W414" i="16" a="1"/>
  <c r="V415" i="16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V420" i="16"/>
  <c r="W419" i="16" a="1"/>
  <c r="W419" i="16" l="1"/>
  <c r="W420" i="16" a="1"/>
  <c r="V421" i="16"/>
  <c r="W420" i="16" l="1"/>
  <c r="V422" i="16"/>
  <c r="W421" i="16" a="1"/>
  <c r="W421" i="16" l="1"/>
  <c r="V423" i="16"/>
  <c r="W422" i="16" a="1"/>
  <c r="W422" i="16" l="1"/>
  <c r="V424" i="16"/>
  <c r="W423" i="16" a="1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V428" i="16"/>
  <c r="W427" i="16" a="1"/>
  <c r="W427" i="16" l="1"/>
  <c r="V429" i="16"/>
  <c r="W428" i="16" a="1"/>
  <c r="W428" i="16" l="1"/>
  <c r="V430" i="16"/>
  <c r="W429" i="16" a="1"/>
  <c r="W429" i="16" l="1"/>
  <c r="W430" i="16" a="1"/>
  <c r="V431" i="16"/>
  <c r="W430" i="16" l="1"/>
  <c r="V432" i="16"/>
  <c r="W431" i="16" a="1"/>
  <c r="W431" i="16" l="1"/>
  <c r="W432" i="16" a="1"/>
  <c r="V433" i="16"/>
  <c r="W432" i="16" l="1"/>
  <c r="V434" i="16"/>
  <c r="W433" i="16" a="1"/>
  <c r="W433" i="16" l="1"/>
  <c r="W434" i="16" a="1"/>
  <c r="V435" i="16"/>
  <c r="W434" i="16" l="1"/>
  <c r="W435" i="16" a="1"/>
  <c r="V436" i="16"/>
  <c r="W435" i="16" l="1"/>
  <c r="W436" i="16" a="1"/>
  <c r="V437" i="16"/>
  <c r="W436" i="16" l="1"/>
  <c r="W437" i="16" a="1"/>
  <c r="V438" i="16"/>
  <c r="W437" i="16" l="1"/>
  <c r="W438" i="16" a="1"/>
  <c r="V439" i="16"/>
  <c r="W438" i="16" l="1"/>
  <c r="W439" i="16" a="1"/>
  <c r="V440" i="16"/>
  <c r="W439" i="16" l="1"/>
  <c r="W440" i="16" a="1"/>
  <c r="V441" i="16"/>
  <c r="W440" i="16" l="1"/>
  <c r="W441" i="16" a="1"/>
  <c r="V442" i="16"/>
  <c r="W441" i="16" l="1"/>
  <c r="V443" i="16"/>
  <c r="W442" i="16" a="1"/>
  <c r="W442" i="16" l="1"/>
  <c r="V444" i="16"/>
  <c r="W443" i="16" a="1"/>
  <c r="W443" i="16" l="1"/>
  <c r="W444" i="16" a="1"/>
  <c r="V445" i="16"/>
  <c r="W444" i="16" l="1"/>
  <c r="W445" i="16" a="1"/>
  <c r="V446" i="16"/>
  <c r="W445" i="16" l="1"/>
  <c r="V447" i="16"/>
  <c r="W446" i="16" a="1"/>
  <c r="W446" i="16" l="1"/>
  <c r="W447" i="16" a="1"/>
  <c r="V448" i="16"/>
  <c r="W447" i="16" l="1"/>
  <c r="V449" i="16"/>
  <c r="W448" i="16" a="1"/>
  <c r="W448" i="16" l="1"/>
  <c r="V450" i="16"/>
  <c r="W449" i="16" a="1"/>
  <c r="W449" i="16" l="1"/>
  <c r="W450" i="16" a="1"/>
  <c r="V451" i="16"/>
  <c r="W450" i="16" l="1"/>
  <c r="W451" i="16" a="1"/>
  <c r="V452" i="16"/>
  <c r="W451" i="16" l="1"/>
  <c r="V453" i="16"/>
  <c r="W452" i="16" a="1"/>
  <c r="W452" i="16" l="1"/>
  <c r="W453" i="16" a="1"/>
  <c r="V454" i="16"/>
  <c r="W453" i="16" l="1"/>
  <c r="W454" i="16" a="1"/>
  <c r="V455" i="16"/>
  <c r="W454" i="16" l="1"/>
  <c r="W455" i="16" a="1"/>
  <c r="V456" i="16"/>
  <c r="W455" i="16" l="1"/>
  <c r="W456" i="16" a="1"/>
  <c r="V457" i="16"/>
  <c r="W456" i="16" l="1"/>
  <c r="V458" i="16"/>
  <c r="W457" i="16" a="1"/>
  <c r="W457" i="16" l="1"/>
  <c r="W458" i="16" a="1"/>
  <c r="V459" i="16"/>
  <c r="W458" i="16" l="1"/>
  <c r="V460" i="16"/>
  <c r="W459" i="16" a="1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V464" i="16"/>
  <c r="W463" i="16" a="1"/>
  <c r="W463" i="16" l="1"/>
  <c r="W464" i="16" a="1"/>
  <c r="V465" i="16"/>
  <c r="W464" i="16" l="1"/>
  <c r="V466" i="16"/>
  <c r="W465" i="16" a="1"/>
  <c r="W465" i="16" l="1"/>
  <c r="W466" i="16" a="1"/>
  <c r="V467" i="16"/>
  <c r="W466" i="16" l="1"/>
  <c r="W467" i="16" a="1"/>
  <c r="V468" i="16"/>
  <c r="W467" i="16" l="1"/>
  <c r="V469" i="16"/>
  <c r="W468" i="16" a="1"/>
  <c r="W468" i="16" l="1"/>
  <c r="W469" i="16" a="1"/>
  <c r="V470" i="16"/>
  <c r="W469" i="16" l="1"/>
  <c r="V471" i="16"/>
  <c r="W470" i="16" a="1"/>
  <c r="W470" i="16" l="1"/>
  <c r="W471" i="16" a="1"/>
  <c r="V472" i="16"/>
  <c r="W471" i="16" l="1"/>
  <c r="W472" i="16" a="1"/>
  <c r="V473" i="16"/>
  <c r="W472" i="16" l="1"/>
  <c r="V474" i="16"/>
  <c r="W473" i="16" a="1"/>
  <c r="W473" i="16" l="1"/>
  <c r="V475" i="16"/>
  <c r="W474" i="16" a="1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W479" i="16" a="1"/>
  <c r="V480" i="16"/>
  <c r="W479" i="16" l="1"/>
  <c r="W480" i="16" a="1"/>
  <c r="V481" i="16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W492" i="16" a="1"/>
  <c r="V493" i="16"/>
  <c r="W492" i="16" l="1"/>
  <c r="W493" i="16" a="1"/>
  <c r="V494" i="16"/>
  <c r="W493" i="16" l="1"/>
  <c r="V495" i="16"/>
  <c r="W494" i="16" a="1"/>
  <c r="W494" i="16" l="1"/>
  <c r="V496" i="16"/>
  <c r="W495" i="16" a="1"/>
  <c r="W495" i="16" l="1"/>
  <c r="V497" i="16"/>
  <c r="W496" i="16" a="1"/>
  <c r="W496" i="16" l="1"/>
  <c r="W497" i="16" a="1"/>
  <c r="V498" i="16"/>
  <c r="W497" i="16" l="1"/>
  <c r="V499" i="16"/>
  <c r="W498" i="16" a="1"/>
  <c r="W498" i="16" l="1"/>
  <c r="W499" i="16" a="1"/>
  <c r="V500" i="16"/>
  <c r="W499" i="16" l="1"/>
  <c r="V501" i="16"/>
  <c r="W500" i="16" a="1"/>
  <c r="W500" i="16" l="1"/>
  <c r="V502" i="16"/>
  <c r="W501" i="16" a="1"/>
  <c r="W501" i="16" l="1"/>
  <c r="W502" i="16" a="1"/>
  <c r="V503" i="16"/>
  <c r="W502" i="16" l="1"/>
  <c r="V504" i="16"/>
  <c r="W503" i="16" a="1"/>
  <c r="W503" i="16" l="1"/>
  <c r="V505" i="16"/>
  <c r="W504" i="16" a="1"/>
  <c r="W504" i="16" l="1"/>
  <c r="W505" i="16" a="1"/>
  <c r="V506" i="16"/>
  <c r="W505" i="16" l="1"/>
  <c r="V507" i="16"/>
  <c r="W506" i="16" a="1"/>
  <c r="W506" i="16" l="1"/>
  <c r="V508" i="16"/>
  <c r="W507" i="16" a="1"/>
  <c r="W507" i="16" l="1"/>
  <c r="W508" i="16" a="1"/>
  <c r="V509" i="16"/>
  <c r="W508" i="16" l="1"/>
  <c r="W509" i="16" a="1"/>
  <c r="V510" i="16"/>
  <c r="W509" i="16" l="1"/>
  <c r="V511" i="16"/>
  <c r="W510" i="16" a="1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V515" i="16"/>
  <c r="W514" i="16" a="1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V521" i="16"/>
  <c r="W520" i="16" a="1"/>
  <c r="W520" i="16" l="1"/>
  <c r="V522" i="16"/>
  <c r="W521" i="16" a="1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W529" i="16" a="1"/>
  <c r="V530" i="16"/>
  <c r="W529" i="16" l="1"/>
  <c r="V531" i="16"/>
  <c r="W530" i="16" a="1"/>
  <c r="W530" i="16" l="1"/>
  <c r="W531" i="16" a="1"/>
  <c r="V532" i="16"/>
  <c r="W531" i="16" l="1"/>
  <c r="W532" i="16" a="1"/>
  <c r="V533" i="16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W536" i="16" a="1"/>
  <c r="V537" i="16"/>
  <c r="W536" i="16" l="1"/>
  <c r="W537" i="16" a="1"/>
  <c r="V538" i="16"/>
  <c r="W537" i="16" l="1"/>
  <c r="W538" i="16" a="1"/>
  <c r="V539" i="16"/>
  <c r="W538" i="16" l="1"/>
  <c r="V540" i="16"/>
  <c r="W539" i="16" a="1"/>
  <c r="W539" i="16" l="1"/>
  <c r="W540" i="16" a="1"/>
  <c r="V541" i="16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V546" i="16"/>
  <c r="W545" i="16" a="1"/>
  <c r="W545" i="16" l="1"/>
  <c r="W546" i="16" a="1"/>
  <c r="V547" i="16"/>
  <c r="W546" i="16" l="1"/>
  <c r="V548" i="16"/>
  <c r="W547" i="16" a="1"/>
  <c r="W547" i="16" l="1"/>
  <c r="V549" i="16"/>
  <c r="W548" i="16" a="1"/>
  <c r="W548" i="16" l="1"/>
  <c r="W549" i="16" a="1"/>
  <c r="V550" i="16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V555" i="16"/>
  <c r="W554" i="16" a="1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W559" i="16" a="1"/>
  <c r="V560" i="16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V566" i="16"/>
  <c r="W565" i="16" a="1"/>
  <c r="W565" i="16" l="1"/>
  <c r="V567" i="16"/>
  <c r="W566" i="16" a="1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V576" i="16"/>
  <c r="W575" i="16" a="1"/>
  <c r="W575" i="16" l="1"/>
  <c r="V577" i="16"/>
  <c r="W576" i="16" a="1"/>
  <c r="W576" i="16" l="1"/>
  <c r="V578" i="16"/>
  <c r="W577" i="16" a="1"/>
  <c r="W577" i="16" l="1"/>
  <c r="W578" i="16" a="1"/>
  <c r="V579" i="16"/>
  <c r="W578" i="16" l="1"/>
  <c r="V580" i="16"/>
  <c r="W579" i="16" a="1"/>
  <c r="W579" i="16" l="1"/>
  <c r="V581" i="16"/>
  <c r="W580" i="16" a="1"/>
  <c r="W580" i="16" l="1"/>
  <c r="W581" i="16" a="1"/>
  <c r="V582" i="16"/>
  <c r="W581" i="16" l="1"/>
  <c r="V583" i="16"/>
  <c r="W582" i="16" a="1"/>
  <c r="W582" i="16" l="1"/>
  <c r="V584" i="16"/>
  <c r="W583" i="16" a="1"/>
  <c r="W583" i="16" l="1"/>
  <c r="V585" i="16"/>
  <c r="W584" i="16" a="1"/>
  <c r="W584" i="16" l="1"/>
  <c r="W585" i="16" a="1"/>
  <c r="V586" i="16"/>
  <c r="W585" i="16" l="1"/>
  <c r="V587" i="16"/>
  <c r="W586" i="16" a="1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V593" i="16"/>
  <c r="W592" i="16" a="1"/>
  <c r="W592" i="16" l="1"/>
  <c r="V594" i="16"/>
  <c r="W593" i="16" a="1"/>
  <c r="W593" i="16" l="1"/>
  <c r="V595" i="16"/>
  <c r="W594" i="16" a="1"/>
  <c r="W594" i="16" l="1"/>
  <c r="W595" i="16" a="1"/>
  <c r="V596" i="16"/>
  <c r="W595" i="16" l="1"/>
  <c r="V597" i="16"/>
  <c r="W596" i="16" a="1"/>
  <c r="W596" i="16" l="1"/>
  <c r="V598" i="16"/>
  <c r="W597" i="16" a="1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V609" i="16"/>
  <c r="W608" i="16" a="1"/>
  <c r="W608" i="16" l="1"/>
  <c r="W609" i="16" a="1"/>
  <c r="V610" i="16"/>
  <c r="W609" i="16" l="1"/>
  <c r="V611" i="16"/>
  <c r="W610" i="16" a="1"/>
  <c r="W610" i="16" l="1"/>
  <c r="V612" i="16"/>
  <c r="W611" i="16" a="1"/>
  <c r="W611" i="16" l="1"/>
  <c r="V613" i="16"/>
  <c r="W612" i="16" a="1"/>
  <c r="W612" i="16" l="1"/>
  <c r="V614" i="16"/>
  <c r="W613" i="16" a="1"/>
  <c r="W613" i="16" l="1"/>
  <c r="V615" i="16"/>
  <c r="W614" i="16" a="1"/>
  <c r="W614" i="16" l="1"/>
  <c r="V616" i="16"/>
  <c r="W615" i="16" a="1"/>
  <c r="W615" i="16" l="1"/>
  <c r="V617" i="16"/>
  <c r="W616" i="16" a="1"/>
  <c r="W616" i="16" l="1"/>
  <c r="V618" i="16"/>
  <c r="W617" i="16" a="1"/>
  <c r="W617" i="16" l="1"/>
  <c r="W618" i="16" a="1"/>
  <c r="V619" i="16"/>
  <c r="W618" i="16" l="1"/>
  <c r="W619" i="16" a="1"/>
  <c r="V620" i="16"/>
  <c r="W619" i="16" l="1"/>
  <c r="V621" i="16"/>
  <c r="W620" i="16" a="1"/>
  <c r="W620" i="16" l="1"/>
  <c r="V622" i="16"/>
  <c r="W621" i="16" a="1"/>
  <c r="W621" i="16" l="1"/>
  <c r="V623" i="16"/>
  <c r="W622" i="16" a="1"/>
  <c r="W622" i="16" l="1"/>
  <c r="V624" i="16"/>
  <c r="W623" i="16" a="1"/>
  <c r="W623" i="16" l="1"/>
  <c r="W624" i="16" a="1"/>
  <c r="V625" i="16"/>
  <c r="W624" i="16" l="1"/>
  <c r="V626" i="16"/>
  <c r="W625" i="16" a="1"/>
  <c r="W625" i="16" l="1"/>
  <c r="V627" i="16"/>
  <c r="W626" i="16" a="1"/>
  <c r="W626" i="16" l="1"/>
  <c r="V628" i="16"/>
  <c r="W627" i="16" a="1"/>
  <c r="W627" i="16" l="1"/>
  <c r="V629" i="16"/>
  <c r="W628" i="16" a="1"/>
  <c r="W628" i="16" l="1"/>
  <c r="W629" i="16" a="1"/>
  <c r="V630" i="16"/>
  <c r="W629" i="16" l="1"/>
  <c r="V631" i="16"/>
  <c r="W630" i="16" a="1"/>
  <c r="W630" i="16" l="1"/>
  <c r="V632" i="16"/>
  <c r="W631" i="16" a="1"/>
  <c r="W631" i="16" l="1"/>
  <c r="V633" i="16"/>
  <c r="W632" i="16" a="1"/>
  <c r="W632" i="16" l="1"/>
  <c r="V634" i="16"/>
  <c r="W633" i="16" a="1"/>
  <c r="W633" i="16" l="1"/>
  <c r="W634" i="16" a="1"/>
  <c r="V635" i="16"/>
  <c r="W634" i="16" l="1"/>
  <c r="W635" i="16" a="1"/>
  <c r="V636" i="16"/>
  <c r="W635" i="16" l="1"/>
  <c r="V637" i="16"/>
  <c r="W636" i="16" a="1"/>
  <c r="W636" i="16" l="1"/>
  <c r="W637" i="16" a="1"/>
  <c r="V638" i="16"/>
  <c r="W637" i="16" l="1"/>
  <c r="V639" i="16"/>
  <c r="W638" i="16" a="1"/>
  <c r="W638" i="16" l="1"/>
  <c r="V640" i="16"/>
  <c r="W639" i="16" a="1"/>
  <c r="W639" i="16" l="1"/>
  <c r="V641" i="16"/>
  <c r="W640" i="16" a="1"/>
  <c r="W640" i="16" l="1"/>
  <c r="W641" i="16" a="1"/>
  <c r="V642" i="16"/>
  <c r="W641" i="16" l="1"/>
  <c r="W642" i="16" a="1"/>
  <c r="V643" i="16"/>
  <c r="W642" i="16" l="1"/>
  <c r="W643" i="16" a="1"/>
  <c r="V644" i="16"/>
  <c r="W643" i="16" l="1"/>
  <c r="V645" i="16"/>
  <c r="W644" i="16" a="1"/>
  <c r="W644" i="16" l="1"/>
  <c r="V646" i="16"/>
  <c r="W645" i="16" a="1"/>
  <c r="W645" i="16" l="1"/>
  <c r="V647" i="16"/>
  <c r="W646" i="16" a="1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V652" i="16"/>
  <c r="W651" i="16" a="1"/>
  <c r="W651" i="16" l="1"/>
  <c r="W652" i="16" a="1"/>
  <c r="V653" i="16"/>
  <c r="W652" i="16" l="1"/>
  <c r="W653" i="16" a="1"/>
  <c r="V654" i="16"/>
  <c r="W653" i="16" l="1"/>
  <c r="V655" i="16"/>
  <c r="W654" i="16" a="1"/>
  <c r="W654" i="16" l="1"/>
  <c r="V656" i="16"/>
  <c r="W655" i="16" a="1"/>
  <c r="W655" i="16" l="1"/>
  <c r="V657" i="16"/>
  <c r="W656" i="16" a="1"/>
  <c r="W656" i="16" l="1"/>
  <c r="V658" i="16"/>
  <c r="W657" i="16" a="1"/>
  <c r="W657" i="16" l="1"/>
  <c r="V659" i="16"/>
  <c r="W658" i="16" a="1"/>
  <c r="W658" i="16" l="1"/>
  <c r="V660" i="16"/>
  <c r="W659" i="16" a="1"/>
  <c r="W659" i="16" l="1"/>
  <c r="W660" i="16" a="1"/>
  <c r="V661" i="16"/>
  <c r="W660" i="16" l="1"/>
  <c r="V662" i="16"/>
  <c r="W661" i="16" a="1"/>
  <c r="W661" i="16" l="1"/>
  <c r="V663" i="16"/>
  <c r="W662" i="16" a="1"/>
  <c r="W662" i="16" l="1"/>
  <c r="W663" i="16" a="1"/>
  <c r="V664" i="16"/>
  <c r="W663" i="16" l="1"/>
  <c r="W664" i="16" a="1"/>
  <c r="V665" i="16"/>
  <c r="W664" i="16" l="1"/>
  <c r="W665" i="16" a="1"/>
  <c r="V666" i="16"/>
  <c r="W665" i="16" l="1"/>
  <c r="W666" i="16" a="1"/>
  <c r="V667" i="16"/>
  <c r="W666" i="16" l="1"/>
  <c r="V668" i="16"/>
  <c r="W667" i="16" a="1"/>
  <c r="W667" i="16" l="1"/>
  <c r="W668" i="16" a="1"/>
  <c r="V669" i="16"/>
  <c r="W668" i="16" l="1"/>
  <c r="V670" i="16"/>
  <c r="W669" i="16" a="1"/>
  <c r="W669" i="16" l="1"/>
  <c r="W670" i="16" a="1"/>
  <c r="V671" i="16"/>
  <c r="W670" i="16" l="1"/>
  <c r="V672" i="16"/>
  <c r="W671" i="16" a="1"/>
  <c r="W671" i="16" l="1"/>
  <c r="W672" i="16" a="1"/>
  <c r="V673" i="16"/>
  <c r="W672" i="16" l="1"/>
  <c r="V674" i="16"/>
  <c r="W673" i="16" a="1"/>
  <c r="W673" i="16" l="1"/>
  <c r="W674" i="16" a="1"/>
  <c r="V675" i="16"/>
  <c r="W674" i="16" l="1"/>
  <c r="W675" i="16" a="1"/>
  <c r="V676" i="16"/>
  <c r="W675" i="16" l="1"/>
  <c r="V677" i="16"/>
  <c r="W676" i="16" a="1"/>
  <c r="W676" i="16" l="1"/>
  <c r="V678" i="16"/>
  <c r="W677" i="16" a="1"/>
  <c r="W677" i="16" l="1"/>
  <c r="W678" i="16" a="1"/>
  <c r="V679" i="16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W682" i="16" a="1"/>
  <c r="V683" i="16"/>
  <c r="W682" i="16" l="1"/>
  <c r="W683" i="16" a="1"/>
  <c r="V684" i="16"/>
  <c r="W683" i="16" l="1"/>
  <c r="V685" i="16"/>
  <c r="W684" i="16" a="1"/>
  <c r="W684" i="16" l="1"/>
  <c r="W685" i="16" a="1"/>
  <c r="V686" i="16"/>
  <c r="W685" i="16" l="1"/>
  <c r="W686" i="16" a="1"/>
  <c r="V687" i="16"/>
  <c r="W686" i="16" l="1"/>
  <c r="V688" i="16"/>
  <c r="W687" i="16" a="1"/>
  <c r="W687" i="16" l="1"/>
  <c r="W688" i="16" a="1"/>
  <c r="V689" i="16"/>
  <c r="W688" i="16" l="1"/>
  <c r="W689" i="16" a="1"/>
  <c r="V690" i="16"/>
  <c r="W689" i="16" l="1"/>
  <c r="V691" i="16"/>
  <c r="W690" i="16" a="1"/>
  <c r="W690" i="16" l="1"/>
  <c r="V692" i="16"/>
  <c r="W691" i="16" a="1"/>
  <c r="W691" i="16" l="1"/>
  <c r="W692" i="16" a="1"/>
  <c r="V693" i="16"/>
  <c r="W692" i="16" l="1"/>
  <c r="V694" i="16"/>
  <c r="W693" i="16" a="1"/>
  <c r="W693" i="16" l="1"/>
  <c r="W694" i="16" a="1"/>
  <c r="V695" i="16"/>
  <c r="W694" i="16" l="1"/>
  <c r="V696" i="16"/>
  <c r="W695" i="16" a="1"/>
  <c r="W695" i="16" l="1"/>
  <c r="W696" i="16" a="1"/>
  <c r="V697" i="16"/>
  <c r="W696" i="16" l="1"/>
  <c r="W697" i="16" a="1"/>
  <c r="V698" i="16"/>
  <c r="W697" i="16" l="1"/>
  <c r="W698" i="16" a="1"/>
  <c r="V699" i="16"/>
  <c r="W698" i="16" l="1"/>
  <c r="W699" i="16" a="1"/>
  <c r="V700" i="16"/>
  <c r="W699" i="16" l="1"/>
  <c r="V701" i="16"/>
  <c r="W700" i="16" a="1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V705" i="16"/>
  <c r="W704" i="16" a="1"/>
  <c r="W704" i="16" l="1"/>
  <c r="V706" i="16"/>
  <c r="W705" i="16" a="1"/>
  <c r="W705" i="16" l="1"/>
  <c r="W706" i="16" a="1"/>
  <c r="V707" i="16"/>
  <c r="W706" i="16" l="1"/>
  <c r="V708" i="16"/>
  <c r="W707" i="16" a="1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W712" i="16" a="1"/>
  <c r="V713" i="16"/>
  <c r="W712" i="16" l="1"/>
  <c r="V714" i="16"/>
  <c r="W713" i="16" a="1"/>
  <c r="W713" i="16" l="1"/>
  <c r="V715" i="16"/>
  <c r="W714" i="16" a="1"/>
  <c r="W714" i="16" l="1"/>
  <c r="W715" i="16" a="1"/>
  <c r="V716" i="16"/>
  <c r="W715" i="16" l="1"/>
  <c r="V717" i="16"/>
  <c r="W716" i="16" a="1"/>
  <c r="W716" i="16" l="1"/>
  <c r="W717" i="16" a="1"/>
  <c r="V718" i="16"/>
  <c r="W717" i="16" l="1"/>
  <c r="W718" i="16" a="1"/>
  <c r="V719" i="16"/>
  <c r="W718" i="16" l="1"/>
  <c r="V720" i="16"/>
  <c r="W719" i="16" a="1"/>
  <c r="W719" i="16" l="1"/>
  <c r="W720" i="16" a="1"/>
  <c r="V721" i="16"/>
  <c r="W720" i="16" l="1"/>
  <c r="W721" i="16" a="1"/>
  <c r="V722" i="16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W726" i="16" a="1"/>
  <c r="V727" i="16"/>
  <c r="W726" i="16" l="1"/>
  <c r="V728" i="16"/>
  <c r="W727" i="16" a="1"/>
  <c r="W727" i="16" l="1"/>
  <c r="V729" i="16"/>
  <c r="W728" i="16" a="1"/>
  <c r="W728" i="16" l="1"/>
  <c r="V730" i="16"/>
  <c r="W729" i="16" a="1"/>
  <c r="W729" i="16" l="1"/>
  <c r="V731" i="16"/>
  <c r="W730" i="16" a="1"/>
  <c r="W730" i="16" l="1"/>
  <c r="W731" i="16" a="1"/>
  <c r="V732" i="16"/>
  <c r="W731" i="16" l="1"/>
  <c r="W732" i="16" a="1"/>
  <c r="V733" i="16"/>
  <c r="W732" i="16" l="1"/>
  <c r="W733" i="16" a="1"/>
  <c r="V734" i="16"/>
  <c r="W733" i="16" l="1"/>
  <c r="W734" i="16" a="1"/>
  <c r="V735" i="16"/>
  <c r="W734" i="16" l="1"/>
  <c r="W735" i="16" a="1"/>
  <c r="V736" i="16"/>
  <c r="W735" i="16" l="1"/>
  <c r="V737" i="16"/>
  <c r="W736" i="16" a="1"/>
  <c r="W736" i="16" l="1"/>
  <c r="V738" i="16"/>
  <c r="W737" i="16" a="1"/>
  <c r="W737" i="16" l="1"/>
  <c r="W738" i="16" a="1"/>
  <c r="V739" i="16"/>
  <c r="W738" i="16" l="1"/>
  <c r="W739" i="16" a="1"/>
  <c r="V740" i="16"/>
  <c r="W739" i="16" l="1"/>
  <c r="W740" i="16" a="1"/>
  <c r="V741" i="16"/>
  <c r="W740" i="16" l="1"/>
  <c r="V742" i="16"/>
  <c r="W741" i="16" a="1"/>
  <c r="W741" i="16" l="1"/>
  <c r="V743" i="16"/>
  <c r="W742" i="16" a="1"/>
  <c r="W742" i="16" l="1"/>
  <c r="W743" i="16" a="1"/>
  <c r="V744" i="16"/>
  <c r="W743" i="16" l="1"/>
  <c r="V745" i="16"/>
  <c r="W744" i="16" a="1"/>
  <c r="W744" i="16" l="1"/>
  <c r="V746" i="16"/>
  <c r="W745" i="16" a="1"/>
  <c r="W745" i="16" l="1"/>
  <c r="W746" i="16" a="1"/>
  <c r="V747" i="16"/>
  <c r="W746" i="16" l="1"/>
  <c r="W747" i="16" a="1"/>
  <c r="V748" i="16"/>
  <c r="W747" i="16" l="1"/>
  <c r="W748" i="16" a="1"/>
  <c r="V749" i="16"/>
  <c r="W748" i="16" l="1"/>
  <c r="W749" i="16" a="1"/>
  <c r="V750" i="16"/>
  <c r="W749" i="16" l="1"/>
  <c r="W750" i="16" a="1"/>
  <c r="V751" i="16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W755" i="16" a="1"/>
  <c r="V756" i="16"/>
  <c r="W755" i="16" l="1"/>
  <c r="W756" i="16" a="1"/>
  <c r="V757" i="16"/>
  <c r="W756" i="16" l="1"/>
  <c r="W757" i="16" a="1"/>
  <c r="V758" i="16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V763" i="16"/>
  <c r="W762" i="16" a="1"/>
  <c r="W762" i="16" l="1"/>
  <c r="W763" i="16" a="1"/>
  <c r="V764" i="16"/>
  <c r="W763" i="16" l="1"/>
  <c r="V765" i="16"/>
  <c r="W764" i="16" a="1"/>
  <c r="W764" i="16" l="1"/>
  <c r="V766" i="16"/>
  <c r="W765" i="16" a="1"/>
  <c r="W765" i="16" l="1"/>
  <c r="V767" i="16"/>
  <c r="W766" i="16" a="1"/>
  <c r="W766" i="16" l="1"/>
  <c r="V768" i="16"/>
  <c r="W767" i="16" a="1"/>
  <c r="W767" i="16" l="1"/>
  <c r="W768" i="16" a="1"/>
  <c r="V769" i="16"/>
  <c r="W768" i="16" l="1"/>
  <c r="W769" i="16" a="1"/>
  <c r="V770" i="16"/>
  <c r="W769" i="16" l="1"/>
  <c r="V771" i="16"/>
  <c r="W770" i="16" a="1"/>
  <c r="W770" i="16" l="1"/>
  <c r="V772" i="16"/>
  <c r="W771" i="16" a="1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V776" i="16"/>
  <c r="W775" i="16" a="1"/>
  <c r="W775" i="16" l="1"/>
  <c r="W776" i="16" a="1"/>
  <c r="V777" i="16"/>
  <c r="W776" i="16" l="1"/>
  <c r="W777" i="16" a="1"/>
  <c r="V778" i="16"/>
  <c r="W777" i="16" l="1"/>
  <c r="V779" i="16"/>
  <c r="W778" i="16" a="1"/>
  <c r="W778" i="16" l="1"/>
  <c r="V780" i="16"/>
  <c r="W779" i="16" a="1"/>
  <c r="W779" i="16" l="1"/>
  <c r="W780" i="16" a="1"/>
  <c r="V781" i="16"/>
  <c r="W780" i="16" l="1"/>
  <c r="V782" i="16"/>
  <c r="W781" i="16" a="1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V786" i="16"/>
  <c r="W785" i="16" a="1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V791" i="16"/>
  <c r="W790" i="16" a="1"/>
  <c r="W790" i="16" l="1"/>
  <c r="W791" i="16" a="1"/>
  <c r="V792" i="16"/>
  <c r="W791" i="16" l="1"/>
  <c r="V793" i="16"/>
  <c r="W792" i="16" a="1"/>
  <c r="W792" i="16" l="1"/>
  <c r="V794" i="16"/>
  <c r="W793" i="16" a="1"/>
  <c r="W793" i="16" l="1"/>
  <c r="V795" i="16"/>
  <c r="W794" i="16" a="1"/>
  <c r="W794" i="16" l="1"/>
  <c r="V796" i="16"/>
  <c r="W795" i="16" a="1"/>
  <c r="W795" i="16" l="1"/>
  <c r="V797" i="16"/>
  <c r="W796" i="16" a="1"/>
  <c r="W796" i="16" l="1"/>
  <c r="W797" i="16" a="1"/>
  <c r="V798" i="16"/>
  <c r="W797" i="16" l="1"/>
  <c r="V799" i="16"/>
  <c r="W798" i="16" a="1"/>
  <c r="W798" i="16" l="1"/>
  <c r="W799" i="16" a="1"/>
  <c r="V800" i="16"/>
  <c r="W799" i="16" l="1"/>
  <c r="W800" i="16" a="1"/>
  <c r="V801" i="16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V805" i="16"/>
  <c r="W804" i="16" a="1"/>
  <c r="W804" i="16" l="1"/>
  <c r="V806" i="16"/>
  <c r="W805" i="16" a="1"/>
  <c r="W805" i="16" l="1"/>
  <c r="V807" i="16"/>
  <c r="W806" i="16" a="1"/>
  <c r="W806" i="16" l="1"/>
  <c r="W807" i="16" a="1"/>
  <c r="V808" i="16"/>
  <c r="W807" i="16" l="1"/>
  <c r="V809" i="16"/>
  <c r="W808" i="16" a="1"/>
  <c r="W808" i="16" l="1"/>
  <c r="W809" i="16" a="1"/>
  <c r="V810" i="16"/>
  <c r="W809" i="16" l="1"/>
  <c r="W810" i="16" a="1"/>
  <c r="V811" i="16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V815" i="16"/>
  <c r="W814" i="16" a="1"/>
  <c r="W814" i="16" l="1"/>
  <c r="V816" i="16"/>
  <c r="W815" i="16" a="1"/>
  <c r="W815" i="16" l="1"/>
  <c r="W816" i="16" a="1"/>
  <c r="V817" i="16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W820" i="16" a="1"/>
  <c r="V821" i="16"/>
  <c r="W820" i="16" l="1"/>
  <c r="W821" i="16" a="1"/>
  <c r="V822" i="16"/>
  <c r="W821" i="16" l="1"/>
  <c r="V823" i="16"/>
  <c r="W822" i="16" a="1"/>
  <c r="W822" i="16" l="1"/>
  <c r="W823" i="16" a="1"/>
  <c r="V824" i="16"/>
  <c r="W823" i="16" l="1"/>
  <c r="W824" i="16" a="1"/>
  <c r="V825" i="16"/>
  <c r="W824" i="16" l="1"/>
  <c r="W825" i="16" a="1"/>
  <c r="V826" i="16"/>
  <c r="W825" i="16" l="1"/>
  <c r="W826" i="16" a="1"/>
  <c r="V827" i="16"/>
  <c r="W826" i="16" l="1"/>
  <c r="V828" i="16"/>
  <c r="W827" i="16" a="1"/>
  <c r="W827" i="16" l="1"/>
  <c r="W828" i="16" a="1"/>
  <c r="V829" i="16"/>
  <c r="W828" i="16" l="1"/>
  <c r="V830" i="16"/>
  <c r="W829" i="16" a="1"/>
  <c r="W829" i="16" l="1"/>
  <c r="V831" i="16"/>
  <c r="W830" i="16" a="1"/>
  <c r="W830" i="16" l="1"/>
  <c r="V832" i="16"/>
  <c r="W831" i="16" a="1"/>
  <c r="W831" i="16" l="1"/>
  <c r="V833" i="16"/>
  <c r="W832" i="16" a="1"/>
  <c r="W832" i="16" l="1"/>
  <c r="W833" i="16" a="1"/>
  <c r="V834" i="16"/>
  <c r="W833" i="16" l="1"/>
  <c r="V835" i="16"/>
  <c r="W834" i="16" a="1"/>
  <c r="W834" i="16" l="1"/>
  <c r="V836" i="16"/>
  <c r="W835" i="16" a="1"/>
  <c r="W835" i="16" l="1"/>
  <c r="V837" i="16"/>
  <c r="W836" i="16" a="1"/>
  <c r="W836" i="16" l="1"/>
  <c r="W837" i="16" a="1"/>
  <c r="V838" i="16"/>
  <c r="W837" i="16" l="1"/>
  <c r="W838" i="16" a="1"/>
  <c r="V839" i="16"/>
  <c r="W838" i="16" l="1"/>
  <c r="W839" i="16" a="1"/>
  <c r="V840" i="16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W843" i="16" a="1"/>
  <c r="V844" i="16"/>
  <c r="W843" i="16" l="1"/>
  <c r="V845" i="16"/>
  <c r="W844" i="16" a="1"/>
  <c r="W844" i="16" l="1"/>
  <c r="V846" i="16"/>
  <c r="W845" i="16" a="1"/>
  <c r="W845" i="16" l="1"/>
  <c r="W846" i="16" a="1"/>
  <c r="V847" i="16"/>
  <c r="W846" i="16" l="1"/>
  <c r="V848" i="16"/>
  <c r="W847" i="16" a="1"/>
  <c r="W847" i="16" l="1"/>
  <c r="V849" i="16"/>
  <c r="W848" i="16" a="1"/>
  <c r="W848" i="16" l="1"/>
  <c r="V850" i="16"/>
  <c r="W849" i="16" a="1"/>
  <c r="W849" i="16" l="1"/>
  <c r="W850" i="16" a="1"/>
  <c r="V851" i="16"/>
  <c r="W850" i="16" l="1"/>
  <c r="W851" i="16" a="1"/>
  <c r="V852" i="16"/>
  <c r="W851" i="16" l="1"/>
  <c r="W852" i="16" a="1"/>
  <c r="V853" i="16"/>
  <c r="W852" i="16" l="1"/>
  <c r="W853" i="16" a="1"/>
  <c r="V854" i="16"/>
  <c r="W853" i="16" l="1"/>
  <c r="V855" i="16"/>
  <c r="W854" i="16" a="1"/>
  <c r="W854" i="16" l="1"/>
  <c r="W855" i="16" a="1"/>
  <c r="V856" i="16"/>
  <c r="W855" i="16" l="1"/>
  <c r="V857" i="16"/>
  <c r="W856" i="16" a="1"/>
  <c r="W856" i="16" l="1"/>
  <c r="V858" i="16"/>
  <c r="W857" i="16" a="1"/>
  <c r="W857" i="16" l="1"/>
  <c r="V859" i="16"/>
  <c r="W858" i="16" a="1"/>
  <c r="W858" i="16" l="1"/>
  <c r="V860" i="16"/>
  <c r="W859" i="16" a="1"/>
  <c r="W859" i="16" l="1"/>
  <c r="V861" i="16"/>
  <c r="W860" i="16" a="1"/>
  <c r="W860" i="16" l="1"/>
  <c r="V862" i="16"/>
  <c r="W861" i="16" a="1"/>
  <c r="W861" i="16" l="1"/>
  <c r="V863" i="16"/>
  <c r="W862" i="16" a="1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V867" i="16"/>
  <c r="W866" i="16" a="1"/>
  <c r="W866" i="16" l="1"/>
  <c r="V868" i="16"/>
  <c r="W867" i="16" a="1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W871" i="16" a="1"/>
  <c r="V872" i="16"/>
  <c r="W871" i="16" l="1"/>
  <c r="V873" i="16"/>
  <c r="W872" i="16" a="1"/>
  <c r="W872" i="16" l="1"/>
  <c r="W873" i="16" a="1"/>
  <c r="V874" i="16"/>
  <c r="W873" i="16" l="1"/>
  <c r="V875" i="16"/>
  <c r="W874" i="16" a="1"/>
  <c r="W874" i="16" l="1"/>
  <c r="W875" i="16" a="1"/>
  <c r="V876" i="16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V880" i="16"/>
  <c r="W879" i="16" a="1"/>
  <c r="W879" i="16" l="1"/>
  <c r="V881" i="16"/>
  <c r="W880" i="16" a="1"/>
  <c r="W880" i="16" l="1"/>
  <c r="W881" i="16" a="1"/>
  <c r="V882" i="16"/>
  <c r="W881" i="16" l="1"/>
  <c r="W882" i="16" a="1"/>
  <c r="V883" i="16"/>
  <c r="W882" i="16" l="1"/>
  <c r="V884" i="16"/>
  <c r="W883" i="16" a="1"/>
  <c r="W883" i="16" l="1"/>
  <c r="V885" i="16"/>
  <c r="W884" i="16" a="1"/>
  <c r="W884" i="16" l="1"/>
  <c r="V886" i="16"/>
  <c r="W885" i="16" a="1"/>
  <c r="W885" i="16" l="1"/>
  <c r="V887" i="16"/>
  <c r="W886" i="16" a="1"/>
  <c r="W886" i="16" l="1"/>
  <c r="V888" i="16"/>
  <c r="W887" i="16" a="1"/>
  <c r="W887" i="16" l="1"/>
  <c r="W888" i="16" a="1"/>
  <c r="V889" i="16"/>
  <c r="W888" i="16" l="1"/>
  <c r="V890" i="16"/>
  <c r="W889" i="16" a="1"/>
  <c r="W889" i="16" l="1"/>
  <c r="V891" i="16"/>
  <c r="W890" i="16" a="1"/>
  <c r="W890" i="16" l="1"/>
  <c r="W891" i="16" a="1"/>
  <c r="V892" i="16"/>
  <c r="W891" i="16" l="1"/>
  <c r="V893" i="16"/>
  <c r="W892" i="16" a="1"/>
  <c r="W892" i="16" l="1"/>
  <c r="V894" i="16"/>
  <c r="W893" i="16" a="1"/>
  <c r="W893" i="16" l="1"/>
  <c r="V895" i="16"/>
  <c r="W894" i="16" a="1"/>
  <c r="W894" i="16" l="1"/>
  <c r="W895" i="16" a="1"/>
  <c r="V896" i="16"/>
  <c r="W895" i="16" l="1"/>
  <c r="W896" i="16" a="1"/>
  <c r="V897" i="16"/>
  <c r="W896" i="16" l="1"/>
  <c r="W897" i="16" a="1"/>
  <c r="V898" i="16"/>
  <c r="W897" i="16" l="1"/>
  <c r="W898" i="16" a="1"/>
  <c r="V899" i="16"/>
  <c r="W898" i="16" l="1"/>
  <c r="V900" i="16"/>
  <c r="W899" i="16" a="1"/>
  <c r="W899" i="16" l="1"/>
  <c r="V901" i="16"/>
  <c r="W900" i="16" a="1"/>
  <c r="W900" i="16" l="1"/>
  <c r="V902" i="16"/>
  <c r="W901" i="16" a="1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V914" i="16"/>
  <c r="W913" i="16" a="1"/>
  <c r="W913" i="16" l="1"/>
  <c r="V915" i="16"/>
  <c r="W914" i="16" a="1"/>
  <c r="W914" i="16" l="1"/>
  <c r="V916" i="16"/>
  <c r="W915" i="16" a="1"/>
  <c r="W915" i="16" l="1"/>
  <c r="V917" i="16"/>
  <c r="W916" i="16" a="1"/>
  <c r="W916" i="16" l="1"/>
  <c r="W917" i="16" a="1"/>
  <c r="V918" i="16"/>
  <c r="W917" i="16" l="1"/>
  <c r="V919" i="16"/>
  <c r="W918" i="16" a="1"/>
  <c r="W918" i="16" l="1"/>
  <c r="W919" i="16" a="1"/>
  <c r="V920" i="16"/>
  <c r="W919" i="16" l="1"/>
  <c r="W920" i="16" a="1"/>
  <c r="V921" i="16"/>
  <c r="W920" i="16" l="1"/>
  <c r="W921" i="16" a="1"/>
  <c r="V922" i="16"/>
  <c r="W921" i="16" l="1"/>
  <c r="W922" i="16" a="1"/>
  <c r="V923" i="16"/>
  <c r="W922" i="16" l="1"/>
  <c r="V924" i="16"/>
  <c r="W923" i="16" a="1"/>
  <c r="W923" i="16" l="1"/>
  <c r="W924" i="16" a="1"/>
  <c r="V925" i="16"/>
  <c r="W924" i="16" l="1"/>
  <c r="V926" i="16"/>
  <c r="W925" i="16" a="1"/>
  <c r="W925" i="16" l="1"/>
  <c r="W926" i="16" a="1"/>
  <c r="V927" i="16"/>
  <c r="W926" i="16" l="1"/>
  <c r="W927" i="16" a="1"/>
  <c r="V928" i="16"/>
  <c r="W927" i="16" l="1"/>
  <c r="V929" i="16"/>
  <c r="W928" i="16" a="1"/>
  <c r="W928" i="16" l="1"/>
  <c r="V930" i="16"/>
  <c r="W929" i="16" a="1"/>
  <c r="W929" i="16" l="1"/>
  <c r="V931" i="16"/>
  <c r="W930" i="16" a="1"/>
  <c r="W930" i="16" l="1"/>
  <c r="V932" i="16"/>
  <c r="W931" i="16" a="1"/>
  <c r="W931" i="16" l="1"/>
  <c r="V933" i="16"/>
  <c r="W932" i="16" a="1"/>
  <c r="W932" i="16" l="1"/>
  <c r="V934" i="16"/>
  <c r="W933" i="16" a="1"/>
  <c r="W933" i="16" l="1"/>
  <c r="W934" i="16" a="1"/>
  <c r="V935" i="16"/>
  <c r="W934" i="16" l="1"/>
  <c r="W935" i="16" a="1"/>
  <c r="V936" i="16"/>
  <c r="W935" i="16" l="1"/>
  <c r="V937" i="16"/>
  <c r="W936" i="16" a="1"/>
  <c r="W936" i="16" l="1"/>
  <c r="W937" i="16" a="1"/>
  <c r="V938" i="16"/>
  <c r="W937" i="16" l="1"/>
  <c r="W938" i="16" a="1"/>
  <c r="V939" i="16"/>
  <c r="W938" i="16" l="1"/>
  <c r="W939" i="16" a="1"/>
  <c r="V940" i="16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W943" i="16" a="1"/>
  <c r="V944" i="16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V949" i="16"/>
  <c r="W948" i="16" a="1"/>
  <c r="W948" i="16" l="1"/>
  <c r="V950" i="16"/>
  <c r="W949" i="16" a="1"/>
  <c r="W949" i="16" l="1"/>
  <c r="V951" i="16"/>
  <c r="W950" i="16" a="1"/>
  <c r="W950" i="16" l="1"/>
  <c r="V952" i="16"/>
  <c r="W951" i="16" a="1"/>
  <c r="W951" i="16" l="1"/>
  <c r="W952" i="16" a="1"/>
  <c r="V953" i="16"/>
  <c r="W952" i="16" l="1"/>
  <c r="W953" i="16" a="1"/>
  <c r="V954" i="16"/>
  <c r="W953" i="16" l="1"/>
  <c r="V955" i="16"/>
  <c r="W954" i="16" a="1"/>
  <c r="W954" i="16" l="1"/>
  <c r="W955" i="16" a="1"/>
  <c r="V956" i="16"/>
  <c r="W955" i="16" l="1"/>
  <c r="W956" i="16" a="1"/>
  <c r="V957" i="16"/>
  <c r="W956" i="16" l="1"/>
  <c r="V958" i="16"/>
  <c r="W957" i="16" a="1"/>
  <c r="W957" i="16" l="1"/>
  <c r="V959" i="16"/>
  <c r="W958" i="16" a="1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V963" i="16"/>
  <c r="W962" i="16" a="1"/>
  <c r="W962" i="16" l="1"/>
  <c r="V964" i="16"/>
  <c r="W963" i="16" a="1"/>
  <c r="W963" i="16" l="1"/>
  <c r="W964" i="16" a="1"/>
  <c r="V965" i="16"/>
  <c r="W964" i="16" l="1"/>
  <c r="V966" i="16"/>
  <c r="W965" i="16" a="1"/>
  <c r="W965" i="16" l="1"/>
  <c r="W966" i="16" a="1"/>
  <c r="V967" i="16"/>
  <c r="W966" i="16" l="1"/>
  <c r="V968" i="16"/>
  <c r="W967" i="16" a="1"/>
  <c r="W967" i="16" l="1"/>
  <c r="V969" i="16"/>
  <c r="W968" i="16" a="1"/>
  <c r="W968" i="16" l="1"/>
  <c r="W969" i="16" a="1"/>
  <c r="V970" i="16"/>
  <c r="W969" i="16" l="1"/>
  <c r="V971" i="16"/>
  <c r="W970" i="16" a="1"/>
  <c r="W970" i="16" l="1"/>
  <c r="V972" i="16"/>
  <c r="W971" i="16" a="1"/>
  <c r="W971" i="16" l="1"/>
  <c r="W972" i="16" a="1"/>
  <c r="V973" i="16"/>
  <c r="W972" i="16" l="1"/>
  <c r="V974" i="16"/>
  <c r="W973" i="16" a="1"/>
  <c r="W973" i="16" l="1"/>
  <c r="W974" i="16" a="1"/>
  <c r="V975" i="16"/>
  <c r="W974" i="16" l="1"/>
  <c r="V976" i="16"/>
  <c r="W975" i="16" a="1"/>
  <c r="W975" i="16" l="1"/>
  <c r="V977" i="16"/>
  <c r="W976" i="16" a="1"/>
  <c r="W976" i="16" l="1"/>
  <c r="V978" i="16"/>
  <c r="W977" i="16" a="1"/>
  <c r="W977" i="16" l="1"/>
  <c r="W978" i="16" a="1"/>
  <c r="V979" i="16"/>
  <c r="W978" i="16" l="1"/>
  <c r="W979" i="16" a="1"/>
  <c r="V980" i="16"/>
  <c r="W979" i="16" l="1"/>
  <c r="V981" i="16"/>
  <c r="W980" i="16" a="1"/>
  <c r="W980" i="16" l="1"/>
  <c r="V982" i="16"/>
  <c r="W981" i="16" a="1"/>
  <c r="W981" i="16" l="1"/>
  <c r="V983" i="16"/>
  <c r="W982" i="16" a="1"/>
  <c r="W982" i="16" l="1"/>
  <c r="V984" i="16"/>
  <c r="W983" i="16" a="1"/>
  <c r="W983" i="16" l="1"/>
  <c r="W984" i="16" a="1"/>
  <c r="V985" i="16"/>
  <c r="W984" i="16" l="1"/>
  <c r="V986" i="16"/>
  <c r="W985" i="16" a="1"/>
  <c r="W985" i="16" l="1"/>
  <c r="W986" i="16" a="1"/>
  <c r="V987" i="16"/>
  <c r="W986" i="16" l="1"/>
  <c r="W987" i="16" a="1"/>
  <c r="V988" i="16"/>
  <c r="W987" i="16" l="1"/>
  <c r="V989" i="16"/>
  <c r="W988" i="16" a="1"/>
  <c r="W988" i="16" l="1"/>
  <c r="V990" i="16"/>
  <c r="W989" i="16" a="1"/>
  <c r="W989" i="16" l="1"/>
  <c r="W990" i="16" a="1"/>
  <c r="V991" i="16"/>
  <c r="W990" i="16" l="1"/>
  <c r="V992" i="16"/>
  <c r="W991" i="16" a="1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W995" i="16" a="1"/>
  <c r="V996" i="16"/>
  <c r="W995" i="16" l="1"/>
  <c r="W996" i="16" a="1"/>
  <c r="V997" i="16"/>
  <c r="W996" i="16" l="1"/>
  <c r="W997" i="16" a="1"/>
  <c r="V998" i="16"/>
  <c r="W997" i="16" l="1"/>
  <c r="V999" i="16"/>
  <c r="W998" i="16" a="1"/>
  <c r="W998" i="16" l="1"/>
  <c r="W999" i="16" a="1"/>
  <c r="V1000" i="16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<sst xmlns="http://schemas.openxmlformats.org/spreadsheetml/2006/main" count="264" uniqueCount="146">
  <si>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</si>
  <si>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</si>
  <si>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</si>
  <si>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</si>
  <si>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</si>
  <si>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</si>
  <si>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</si>
  <si>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</si>
  <si>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</si>
  <si>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</si>
  <si>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</si>
  <si>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</si>
  <si>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</si>
  <si>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</si>
  <si>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</si>
  <si>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</si>
  <si>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</si>
  <si>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</si>
  <si>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</si>
  <si>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</si>
  <si>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</si>
  <si>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</si>
  <si>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</si>
  <si>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</si>
  <si>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</si>
  <si>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</si>
  <si>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</si>
  <si>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</si>
  <si>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</si>
  <si>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</si>
  <si>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</si>
  <si>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</si>
  <si>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</si>
  <si>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</si>
  <si>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</si>
  <si>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</si>
  <si>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</si>
  <si>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</si>
  <si>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</si>
  <si>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</si>
  <si>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</si>
  <si>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</si>
  <si>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</si>
  <si>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</si>
  <si>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</si>
  <si>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</si>
  <si>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</si>
  <si>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</si>
  <si>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</si>
  <si>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</si>
  <si>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</si>
  <si>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</si>
  <si>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</si>
  <si>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</si>
  <si>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</si>
  <si>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</si>
  <si>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</si>
  <si>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</si>
  <si>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</si>
  <si>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</si>
  <si>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</si>
  <si>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</si>
  <si>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</si>
  <si>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</si>
  <si>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</si>
  <si>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</si>
  <si>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</si>
  <si>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</si>
  <si>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</si>
  <si>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</si>
  <si>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</si>
  <si>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</si>
  <si>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</si>
  <si>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</si>
  <si>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</si>
  <si>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</si>
  <si>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</si>
  <si>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</si>
  <si>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</si>
  <si>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</si>
  <si>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</si>
  <si>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</si>
  <si>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</si>
  <si>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</si>
  <si>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</si>
  <si>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</si>
  <si>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</si>
  <si>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</si>
  <si>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</si>
  <si>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</si>
  <si>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</si>
  <si>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</si>
  <si>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</si>
  <si>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</si>
  <si>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</si>
  <si>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</si>
  <si>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</si>
  <si>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</si>
  <si>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</si>
  <si>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</si>
  <si>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</si>
  <si>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csv filename</t>
  </si>
  <si>
    <t>airFlowRateMin</t>
  </si>
  <si>
    <t>nominalLatentCapacity</t>
  </si>
  <si>
    <t>nominalSensibleCapacity</t>
  </si>
  <si>
    <t>nominalUa</t>
  </si>
  <si>
    <t>VE02</t>
  </si>
  <si>
    <t>VA01</t>
  </si>
  <si>
    <t>VA01;VE02</t>
  </si>
  <si>
    <t>pump</t>
  </si>
  <si>
    <t>fan inlet air temperature sensor</t>
  </si>
  <si>
    <t>check valve</t>
  </si>
  <si>
    <t>heating coil</t>
  </si>
  <si>
    <t>coil outlet water temperature property</t>
  </si>
  <si>
    <t>coil inlet water temperature property</t>
  </si>
  <si>
    <t>coil outlet air temperature property</t>
  </si>
  <si>
    <t>fan inlet air temperature property</t>
  </si>
  <si>
    <t>valve position property</t>
  </si>
  <si>
    <t>return air temperature property</t>
  </si>
  <si>
    <t>fan flow property</t>
  </si>
  <si>
    <t>fan power property</t>
  </si>
  <si>
    <t>Flow</t>
  </si>
  <si>
    <t>fan flow meter</t>
  </si>
  <si>
    <t>fan power meter</t>
  </si>
  <si>
    <t>coil outlet air temperature sensor</t>
  </si>
  <si>
    <t>coil inlet water temperature sensor</t>
  </si>
  <si>
    <t>valve position sensor</t>
  </si>
  <si>
    <t>coil outlet water temperature sensor</t>
  </si>
  <si>
    <t>supply water temperature sensor</t>
  </si>
  <si>
    <t>supply water temperature property</t>
  </si>
  <si>
    <t>check valve;supply water temperature sensor</t>
  </si>
  <si>
    <t>controller setpoint schedule</t>
  </si>
  <si>
    <t>observes</t>
  </si>
  <si>
    <t>controls</t>
  </si>
  <si>
    <t>hasProfile</t>
  </si>
  <si>
    <t>isReverse</t>
  </si>
  <si>
    <t>coil_airside</t>
  </si>
  <si>
    <t>coil_waterside</t>
  </si>
  <si>
    <t>air_to_air_heat_recovery_supply</t>
  </si>
  <si>
    <t>air_to_air_heat_recovery_exhaust</t>
  </si>
  <si>
    <t>hasFluidSuppliedBy</t>
  </si>
  <si>
    <t>hasFluidReturnedBy</t>
  </si>
  <si>
    <t>heating coil (waterside)</t>
  </si>
  <si>
    <t>heating coil (airside)</t>
  </si>
  <si>
    <t>hasFluidSuppliedBy (airside)</t>
  </si>
  <si>
    <t>hasFluidSuppliedBy (waterside)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</si>
</sst>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1" fillId="4" borderId="3" xfId="0" applyFont="1" applyFill="1" applyBorder="1"/>
    <xf numFmtId="0" fontId="4" fillId="0" borderId="0" xfId="0" applyFont="1"/>
    <xf numFmtId="0" fontId="0" fillId="0" borderId="7" xfId="0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3" sqref="B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106</v>
      </c>
      <c r="B2" t="s">
        <v>107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C27" sqref="C27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6" t="s">
        <v>59</v>
      </c>
      <c r="B1" s="3" t="s">
        <v>74</v>
      </c>
      <c r="C1" s="17" t="s">
        <v>140</v>
      </c>
      <c r="D1" s="5" t="s">
        <v>56</v>
      </c>
    </row>
    <row r="2" spans="1:4" x14ac:dyDescent="0.25">
      <c r="B2" s="7"/>
    </row>
    <row r="3" spans="1:4" x14ac:dyDescent="0.25">
      <c r="B3" s="7"/>
      <c r="C3" s="7"/>
    </row>
    <row r="4" spans="1:4" x14ac:dyDescent="0.25">
      <c r="B4" s="7"/>
      <c r="C4" s="7"/>
    </row>
    <row r="5" spans="1:4" x14ac:dyDescent="0.25">
      <c r="B5" s="7"/>
      <c r="C5" s="7"/>
    </row>
    <row r="6" spans="1:4" x14ac:dyDescent="0.25">
      <c r="B6" s="7"/>
      <c r="C6" s="7"/>
    </row>
    <row r="7" spans="1:4" x14ac:dyDescent="0.25">
      <c r="B7" s="7"/>
      <c r="C7" s="7"/>
    </row>
    <row r="8" spans="1:4" x14ac:dyDescent="0.25">
      <c r="B8" s="7"/>
      <c r="C8" s="7"/>
    </row>
    <row r="9" spans="1:4" x14ac:dyDescent="0.25">
      <c r="B9" s="7"/>
      <c r="C9" s="7"/>
    </row>
    <row r="10" spans="1:4" x14ac:dyDescent="0.25">
      <c r="B10" s="7"/>
      <c r="C10" s="7"/>
    </row>
    <row r="11" spans="1:4" x14ac:dyDescent="0.25">
      <c r="B11" s="7"/>
      <c r="C11" s="7"/>
    </row>
    <row r="12" spans="1:4" x14ac:dyDescent="0.25">
      <c r="B12" s="7"/>
      <c r="C12" s="7"/>
    </row>
    <row r="14" spans="1:4" x14ac:dyDescent="0.25">
      <c r="B14" s="7"/>
      <c r="C14" s="7"/>
    </row>
  </sheetData>
  <phoneticPr fontId="2" type="noConversion"/>
  <dataValidations count="4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C1048576" xr:uid="{69A2CEA9-C890-4759-80A4-B7743DB492D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"/>
  <sheetViews>
    <sheetView zoomScaleNormal="100" workbookViewId="0">
      <selection activeCell="E1" sqref="E1"/>
    </sheetView>
  </sheetViews>
  <sheetFormatPr defaultColWidth="8.85546875" defaultRowHeight="15" x14ac:dyDescent="0.25"/>
  <cols>
    <col min="1" max="1" width="26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2" t="s">
        <v>140</v>
      </c>
      <c r="E1" s="12" t="s">
        <v>141</v>
      </c>
      <c r="F1" s="12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</sheetData>
  <phoneticPr fontId="2" type="noConversion"/>
  <dataValidations count="5">
    <dataValidation type="list" showInputMessage="1" showErrorMessage="1" sqref="B13:B1048576 B2:B3 B6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6:C1048576 C2:C3" xr:uid="{89B57641-DFAD-4729-8A4B-61C914339752}">
      <formula1>space_names</formula1>
    </dataValidation>
    <dataValidation type="list" showInputMessage="1" showErrorMessage="1" sqref="F6:F1048576 F2:F3" xr:uid="{7358227A-5FC0-425B-BAE0-1F0BF0553776}">
      <formula1>property_instance</formula1>
    </dataValidation>
    <dataValidation type="list" showInputMessage="1" showErrorMessage="1" sqref="D2:E3 D6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C38" sqref="C38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2" t="s">
        <v>140</v>
      </c>
      <c r="E1" s="12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2" sqref="A2:XFD3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4" width="75.28515625" bestFit="1" customWidth="1"/>
    <col min="5" max="5" width="75.28515625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2" t="s">
        <v>140</v>
      </c>
      <c r="E1" s="12" t="s">
        <v>141</v>
      </c>
      <c r="F1" s="12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94</v>
      </c>
      <c r="B2" t="s">
        <v>107</v>
      </c>
      <c r="E2" t="s">
        <v>142</v>
      </c>
      <c r="F2" s="7" t="s">
        <v>117</v>
      </c>
      <c r="H2">
        <v>0.87</v>
      </c>
    </row>
    <row r="3" spans="1:14" x14ac:dyDescent="0.25">
      <c r="A3" s="1" t="s">
        <v>111</v>
      </c>
      <c r="B3" t="s">
        <v>107</v>
      </c>
      <c r="C3" t="str">
        <f>IF(SpaceHeater!A3&lt;&gt;"",SpaceHeater!A3,"")</f>
        <v/>
      </c>
      <c r="E3" t="s">
        <v>142</v>
      </c>
    </row>
    <row r="7" spans="1:14" x14ac:dyDescent="0.25">
      <c r="C7" t="str">
        <f>IF(SpaceHeater!A7&lt;&gt;"",SpaceHeater!A7,"")</f>
        <v/>
      </c>
    </row>
    <row r="8" spans="1:14" x14ac:dyDescent="0.25">
      <c r="C8" t="str">
        <f>IF(SpaceHeater!A8&lt;&gt;"",SpaceHeater!A8,"")</f>
        <v/>
      </c>
    </row>
    <row r="9" spans="1:14" x14ac:dyDescent="0.25">
      <c r="C9" t="str">
        <f>IF(SpaceHeater!A9&lt;&gt;"",SpaceHeater!A9,"")</f>
        <v/>
      </c>
    </row>
    <row r="10" spans="1:14" x14ac:dyDescent="0.25">
      <c r="C10" t="str">
        <f>IF(SpaceHeater!A10&lt;&gt;"",SpaceHeater!A10,"")</f>
        <v/>
      </c>
    </row>
    <row r="11" spans="1:14" x14ac:dyDescent="0.25">
      <c r="C11" t="str">
        <f>IF(SpaceHeater!A11&lt;&gt;"",SpaceHeater!A11,"")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  <row r="1000" spans="3:3" x14ac:dyDescent="0.25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2C800-2D69-4335-93B2-220219506BD1}">
  <sheetPr codeName="Sheet16"/>
  <dimension ref="A1:M2"/>
  <sheetViews>
    <sheetView workbookViewId="0">
      <selection activeCell="D37" sqref="D37"/>
    </sheetView>
  </sheetViews>
  <sheetFormatPr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140</v>
      </c>
      <c r="D1" s="12" t="s">
        <v>141</v>
      </c>
      <c r="E1" s="12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109</v>
      </c>
      <c r="B2" t="s">
        <v>107</v>
      </c>
      <c r="C2" t="s">
        <v>130</v>
      </c>
    </row>
  </sheetData>
  <dataValidations count="3">
    <dataValidation type="list" showInputMessage="1" showErrorMessage="1" sqref="B2:B1048576" xr:uid="{8968578A-DBB8-43A8-821E-6E777C4D3D4E}">
      <formula1>heating_cooling_system_names</formula1>
    </dataValidation>
    <dataValidation type="list" showInputMessage="1" showErrorMessage="1" sqref="C2:D1048576" xr:uid="{BD870C1E-83DA-4708-8F95-7D7D58FF5044}">
      <formula1>all_flow_systems</formula1>
    </dataValidation>
    <dataValidation type="list" showInputMessage="1" showErrorMessage="1" sqref="E2:E1048576" xr:uid="{1BD6309A-C339-4E76-8B1A-2480EC984E33}">
      <formula1>property_instance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2"/>
  <sheetViews>
    <sheetView workbookViewId="0">
      <selection activeCell="A2" sqref="A2:XFD2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144</v>
      </c>
      <c r="D1" s="12" t="s">
        <v>145</v>
      </c>
      <c r="E1" s="12" t="s">
        <v>74</v>
      </c>
      <c r="F1" s="3" t="s">
        <v>22</v>
      </c>
      <c r="G1" s="2" t="s">
        <v>102</v>
      </c>
      <c r="H1" s="2" t="s">
        <v>103</v>
      </c>
      <c r="I1" s="3" t="s">
        <v>104</v>
      </c>
      <c r="J1" s="12" t="s">
        <v>105</v>
      </c>
      <c r="K1" s="2" t="s">
        <v>36</v>
      </c>
      <c r="L1" s="2" t="s">
        <v>37</v>
      </c>
      <c r="M1" s="2" t="s">
        <v>11</v>
      </c>
    </row>
    <row r="2" spans="1:13" x14ac:dyDescent="0.25">
      <c r="A2" s="19" t="s">
        <v>112</v>
      </c>
      <c r="B2" t="s">
        <v>108</v>
      </c>
      <c r="C2" s="7" t="s">
        <v>97</v>
      </c>
      <c r="D2" s="7" t="s">
        <v>125</v>
      </c>
      <c r="E2" s="7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C1" sqref="C1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140</v>
      </c>
      <c r="D1" s="12" t="s">
        <v>141</v>
      </c>
      <c r="E1" s="12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A2" sqref="A2:XFD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2" t="s">
        <v>140</v>
      </c>
      <c r="D1" s="12" t="s">
        <v>141</v>
      </c>
      <c r="E1" s="12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97</v>
      </c>
      <c r="B2" t="s">
        <v>106</v>
      </c>
      <c r="C2" t="s">
        <v>122</v>
      </c>
      <c r="E2" t="s">
        <v>120</v>
      </c>
      <c r="H2">
        <v>11.55583</v>
      </c>
      <c r="I2">
        <v>8000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tabSelected="1" workbookViewId="0">
      <selection activeCell="A2" sqref="A2:XFD2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3.28515625" bestFit="1" customWidth="1"/>
    <col min="5" max="5" width="36.85546875" bestFit="1" customWidth="1"/>
    <col min="6" max="6" width="26.5703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132</v>
      </c>
      <c r="E1" s="3" t="s">
        <v>133</v>
      </c>
      <c r="F1" s="3" t="s">
        <v>134</v>
      </c>
      <c r="G1" s="3" t="s">
        <v>135</v>
      </c>
    </row>
    <row r="2" spans="1:7" x14ac:dyDescent="0.25">
      <c r="A2" s="1" t="s">
        <v>98</v>
      </c>
      <c r="B2" t="s">
        <v>107</v>
      </c>
      <c r="D2" t="s">
        <v>115</v>
      </c>
      <c r="E2" t="s">
        <v>117</v>
      </c>
      <c r="F2" t="s">
        <v>131</v>
      </c>
      <c r="G2" t="b">
        <v>1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e" cm="1">
        <f t="array" aca="1" ref="D179" ca="1">IF(OR(COUNTIF(damper_names,_xlfn.CONCAT("D_S_",C179))=1, COUNTIF(damper_names,_xlfn.CONCAT("D_E_",C179))=1), "C", "")</f>
        <v>#VALUE!</v>
      </c>
      <c r="E179" t="e">
        <f t="shared" ref="E179:E198" ca="1" si="0">IF(D179="T", 0.05, IF(D179="C", -0.01, ""))</f>
        <v>#VALUE!</v>
      </c>
      <c r="F179" t="e">
        <f t="shared" ref="F179:F198" ca="1" si="1">IF(D179="T", 0.05, IF(D179="C", 0, ""))</f>
        <v>#VALUE!</v>
      </c>
      <c r="G179" t="e">
        <f t="shared" ref="G179:G198" ca="1" si="2">IF(D179="T", 0, IF(D179="C", 0, ""))</f>
        <v>#VALUE!</v>
      </c>
    </row>
    <row r="180" spans="1:7" x14ac:dyDescent="0.25">
      <c r="A180" s="1"/>
      <c r="D180" t="e" cm="1">
        <f t="array" aca="1" ref="D180" ca="1">IF(OR(COUNTIF(damper_names,_xlfn.CONCAT("D_S_",C180))=1, COUNTIF(damper_names,_xlfn.CONCAT("D_E_",C180))=1), "C", "")</f>
        <v>#VALUE!</v>
      </c>
      <c r="E180" t="e">
        <f t="shared" ca="1" si="0"/>
        <v>#VALUE!</v>
      </c>
      <c r="F180" t="e">
        <f t="shared" ca="1" si="1"/>
        <v>#VALUE!</v>
      </c>
      <c r="G180" t="e">
        <f t="shared" ca="1" si="2"/>
        <v>#VALUE!</v>
      </c>
    </row>
    <row r="181" spans="1:7" x14ac:dyDescent="0.25">
      <c r="A181" s="1"/>
      <c r="D181" t="e" cm="1">
        <f t="array" aca="1" ref="D181" ca="1">IF(OR(COUNTIF(damper_names,_xlfn.CONCAT("D_S_",C181))=1, COUNTIF(damper_names,_xlfn.CONCAT("D_E_",C181))=1), "C", "")</f>
        <v>#VALUE!</v>
      </c>
      <c r="E181" t="e">
        <f t="shared" ca="1" si="0"/>
        <v>#VALUE!</v>
      </c>
      <c r="F181" t="e">
        <f t="shared" ca="1" si="1"/>
        <v>#VALUE!</v>
      </c>
      <c r="G181" t="e">
        <f t="shared" ca="1" si="2"/>
        <v>#VALUE!</v>
      </c>
    </row>
    <row r="182" spans="1:7" x14ac:dyDescent="0.25">
      <c r="A182" s="1"/>
      <c r="D182" t="e" cm="1">
        <f t="array" aca="1" ref="D182" ca="1">IF(OR(COUNTIF(damper_names,_xlfn.CONCAT("D_S_",C182))=1, COUNTIF(damper_names,_xlfn.CONCAT("D_E_",C182))=1), "C", "")</f>
        <v>#VALUE!</v>
      </c>
      <c r="E182" t="e">
        <f t="shared" ca="1" si="0"/>
        <v>#VALUE!</v>
      </c>
      <c r="F182" t="e">
        <f t="shared" ca="1" si="1"/>
        <v>#VALUE!</v>
      </c>
      <c r="G182" t="e">
        <f t="shared" ca="1" si="2"/>
        <v>#VALUE!</v>
      </c>
    </row>
    <row r="183" spans="1:7" x14ac:dyDescent="0.25">
      <c r="A183" s="1"/>
      <c r="D183" t="e" cm="1">
        <f t="array" aca="1" ref="D183" ca="1">IF(OR(COUNTIF(damper_names,_xlfn.CONCAT("D_S_",C183))=1, COUNTIF(damper_names,_xlfn.CONCAT("D_E_",C183))=1), "C", "")</f>
        <v>#VALUE!</v>
      </c>
      <c r="E183" t="e">
        <f t="shared" ca="1" si="0"/>
        <v>#VALUE!</v>
      </c>
      <c r="F183" t="e">
        <f t="shared" ca="1" si="1"/>
        <v>#VALUE!</v>
      </c>
      <c r="G183" t="e">
        <f t="shared" ca="1" si="2"/>
        <v>#VALUE!</v>
      </c>
    </row>
    <row r="184" spans="1:7" x14ac:dyDescent="0.25">
      <c r="A184" s="1"/>
      <c r="D184" t="e" cm="1">
        <f t="array" aca="1" ref="D184" ca="1">IF(OR(COUNTIF(damper_names,_xlfn.CONCAT("D_S_",C184))=1, COUNTIF(damper_names,_xlfn.CONCAT("D_E_",C184))=1), "C", "")</f>
        <v>#VALUE!</v>
      </c>
      <c r="E184" t="e">
        <f t="shared" ca="1" si="0"/>
        <v>#VALUE!</v>
      </c>
      <c r="F184" t="e">
        <f t="shared" ca="1" si="1"/>
        <v>#VALUE!</v>
      </c>
      <c r="G184" t="e">
        <f t="shared" ca="1" si="2"/>
        <v>#VALUE!</v>
      </c>
    </row>
    <row r="185" spans="1:7" x14ac:dyDescent="0.25">
      <c r="A185" s="1"/>
      <c r="D185" t="e" cm="1">
        <f t="array" aca="1" ref="D185" ca="1">IF(OR(COUNTIF(damper_names,_xlfn.CONCAT("D_S_",C185))=1, COUNTIF(damper_names,_xlfn.CONCAT("D_E_",C185))=1), "C", "")</f>
        <v>#VALUE!</v>
      </c>
      <c r="E185" t="e">
        <f t="shared" ca="1" si="0"/>
        <v>#VALUE!</v>
      </c>
      <c r="F185" t="e">
        <f t="shared" ca="1" si="1"/>
        <v>#VALUE!</v>
      </c>
      <c r="G185" t="e">
        <f t="shared" ca="1" si="2"/>
        <v>#VALUE!</v>
      </c>
    </row>
    <row r="186" spans="1:7" x14ac:dyDescent="0.25">
      <c r="A186" s="1"/>
      <c r="D186" t="e" cm="1">
        <f t="array" aca="1" ref="D186" ca="1">IF(OR(COUNTIF(damper_names,_xlfn.CONCAT("D_S_",C186))=1, COUNTIF(damper_names,_xlfn.CONCAT("D_E_",C186))=1), "C", "")</f>
        <v>#VALUE!</v>
      </c>
      <c r="E186" t="e">
        <f t="shared" ca="1" si="0"/>
        <v>#VALUE!</v>
      </c>
      <c r="F186" t="e">
        <f t="shared" ca="1" si="1"/>
        <v>#VALUE!</v>
      </c>
      <c r="G186" t="e">
        <f t="shared" ca="1" si="2"/>
        <v>#VALUE!</v>
      </c>
    </row>
    <row r="187" spans="1:7" x14ac:dyDescent="0.25">
      <c r="A187" s="1"/>
      <c r="D187" t="e" cm="1">
        <f t="array" aca="1" ref="D187" ca="1">IF(OR(COUNTIF(damper_names,_xlfn.CONCAT("D_S_",C187))=1, COUNTIF(damper_names,_xlfn.CONCAT("D_E_",C187))=1), "C", "")</f>
        <v>#VALUE!</v>
      </c>
      <c r="E187" t="e">
        <f t="shared" ca="1" si="0"/>
        <v>#VALUE!</v>
      </c>
      <c r="F187" t="e">
        <f t="shared" ca="1" si="1"/>
        <v>#VALUE!</v>
      </c>
      <c r="G187" t="e">
        <f t="shared" ca="1" si="2"/>
        <v>#VALUE!</v>
      </c>
    </row>
    <row r="188" spans="1:7" x14ac:dyDescent="0.25">
      <c r="A188" s="1"/>
      <c r="D188" t="e" cm="1">
        <f t="array" aca="1" ref="D188" ca="1">IF(OR(COUNTIF(damper_names,_xlfn.CONCAT("D_S_",C188))=1, COUNTIF(damper_names,_xlfn.CONCAT("D_E_",C188))=1), "C", "")</f>
        <v>#VALUE!</v>
      </c>
      <c r="E188" t="e">
        <f t="shared" ca="1" si="0"/>
        <v>#VALUE!</v>
      </c>
      <c r="F188" t="e">
        <f t="shared" ca="1" si="1"/>
        <v>#VALUE!</v>
      </c>
      <c r="G188" t="e">
        <f t="shared" ca="1" si="2"/>
        <v>#VALUE!</v>
      </c>
    </row>
    <row r="189" spans="1:7" x14ac:dyDescent="0.25">
      <c r="A189" s="1"/>
      <c r="D189" t="e" cm="1">
        <f t="array" aca="1" ref="D189" ca="1">IF(OR(COUNTIF(damper_names,_xlfn.CONCAT("D_S_",C189))=1, COUNTIF(damper_names,_xlfn.CONCAT("D_E_",C189))=1), "C", "")</f>
        <v>#VALUE!</v>
      </c>
      <c r="E189" t="e">
        <f t="shared" ca="1" si="0"/>
        <v>#VALUE!</v>
      </c>
      <c r="F189" t="e">
        <f t="shared" ca="1" si="1"/>
        <v>#VALUE!</v>
      </c>
      <c r="G189" t="e">
        <f t="shared" ca="1" si="2"/>
        <v>#VALUE!</v>
      </c>
    </row>
    <row r="190" spans="1:7" x14ac:dyDescent="0.25">
      <c r="A190" s="1"/>
      <c r="D190" t="e" cm="1">
        <f t="array" aca="1" ref="D190" ca="1">IF(OR(COUNTIF(damper_names,_xlfn.CONCAT("D_S_",C190))=1, COUNTIF(damper_names,_xlfn.CONCAT("D_E_",C190))=1), "C", "")</f>
        <v>#VALUE!</v>
      </c>
      <c r="E190" t="e">
        <f t="shared" ca="1" si="0"/>
        <v>#VALUE!</v>
      </c>
      <c r="F190" t="e">
        <f t="shared" ca="1" si="1"/>
        <v>#VALUE!</v>
      </c>
      <c r="G190" t="e">
        <f t="shared" ca="1" si="2"/>
        <v>#VALUE!</v>
      </c>
    </row>
    <row r="191" spans="1:7" x14ac:dyDescent="0.25">
      <c r="A191" s="1"/>
      <c r="D191" t="e" cm="1">
        <f t="array" aca="1" ref="D191" ca="1">IF(OR(COUNTIF(damper_names,_xlfn.CONCAT("D_S_",C191))=1, COUNTIF(damper_names,_xlfn.CONCAT("D_E_",C191))=1), "C", "")</f>
        <v>#VALUE!</v>
      </c>
      <c r="E191" t="e">
        <f t="shared" ca="1" si="0"/>
        <v>#VALUE!</v>
      </c>
      <c r="F191" t="e">
        <f t="shared" ca="1" si="1"/>
        <v>#VALUE!</v>
      </c>
      <c r="G191" t="e">
        <f t="shared" ca="1" si="2"/>
        <v>#VALUE!</v>
      </c>
    </row>
    <row r="192" spans="1:7" x14ac:dyDescent="0.25">
      <c r="A192" s="1"/>
      <c r="D192" t="e" cm="1">
        <f t="array" aca="1" ref="D192" ca="1">IF(OR(COUNTIF(damper_names,_xlfn.CONCAT("D_S_",C192))=1, COUNTIF(damper_names,_xlfn.CONCAT("D_E_",C192))=1), "C", "")</f>
        <v>#VALUE!</v>
      </c>
      <c r="E192" t="e">
        <f t="shared" ca="1" si="0"/>
        <v>#VALUE!</v>
      </c>
      <c r="F192" t="e">
        <f t="shared" ca="1" si="1"/>
        <v>#VALUE!</v>
      </c>
      <c r="G192" t="e">
        <f t="shared" ca="1" si="2"/>
        <v>#VALUE!</v>
      </c>
    </row>
    <row r="193" spans="1:7" x14ac:dyDescent="0.25">
      <c r="A193" s="1"/>
      <c r="D193" t="e" cm="1">
        <f t="array" aca="1" ref="D193" ca="1">IF(OR(COUNTIF(damper_names,_xlfn.CONCAT("D_S_",C193))=1, COUNTIF(damper_names,_xlfn.CONCAT("D_E_",C193))=1), "C", "")</f>
        <v>#VALUE!</v>
      </c>
      <c r="E193" t="e">
        <f t="shared" ca="1" si="0"/>
        <v>#VALUE!</v>
      </c>
      <c r="F193" t="e">
        <f t="shared" ca="1" si="1"/>
        <v>#VALUE!</v>
      </c>
      <c r="G193" t="e">
        <f t="shared" ca="1" si="2"/>
        <v>#VALUE!</v>
      </c>
    </row>
    <row r="194" spans="1:7" x14ac:dyDescent="0.25">
      <c r="A194" s="1"/>
      <c r="D194" t="e" cm="1">
        <f t="array" aca="1" ref="D194" ca="1">IF(OR(COUNTIF(damper_names,_xlfn.CONCAT("D_S_",C194))=1, COUNTIF(damper_names,_xlfn.CONCAT("D_E_",C194))=1), "C", "")</f>
        <v>#VALUE!</v>
      </c>
      <c r="E194" t="e">
        <f t="shared" ca="1" si="0"/>
        <v>#VALUE!</v>
      </c>
      <c r="F194" t="e">
        <f t="shared" ca="1" si="1"/>
        <v>#VALUE!</v>
      </c>
      <c r="G194" t="e">
        <f t="shared" ca="1" si="2"/>
        <v>#VALUE!</v>
      </c>
    </row>
    <row r="195" spans="1:7" x14ac:dyDescent="0.25">
      <c r="A195" s="1"/>
      <c r="D195" t="e" cm="1">
        <f t="array" aca="1" ref="D195" ca="1">IF(OR(COUNTIF(damper_names,_xlfn.CONCAT("D_S_",C195))=1, COUNTIF(damper_names,_xlfn.CONCAT("D_E_",C195))=1), "C", "")</f>
        <v>#VALUE!</v>
      </c>
      <c r="E195" t="e">
        <f t="shared" ca="1" si="0"/>
        <v>#VALUE!</v>
      </c>
      <c r="F195" t="e">
        <f t="shared" ca="1" si="1"/>
        <v>#VALUE!</v>
      </c>
      <c r="G195" t="e">
        <f t="shared" ca="1" si="2"/>
        <v>#VALUE!</v>
      </c>
    </row>
    <row r="196" spans="1:7" x14ac:dyDescent="0.25">
      <c r="A196" s="1"/>
      <c r="D196" t="e" cm="1">
        <f t="array" aca="1" ref="D196" ca="1">IF(OR(COUNTIF(damper_names,_xlfn.CONCAT("D_S_",C196))=1, COUNTIF(damper_names,_xlfn.CONCAT("D_E_",C196))=1), "C", "")</f>
        <v>#VALUE!</v>
      </c>
      <c r="E196" t="e">
        <f t="shared" ca="1" si="0"/>
        <v>#VALUE!</v>
      </c>
      <c r="F196" t="e">
        <f t="shared" ca="1" si="1"/>
        <v>#VALUE!</v>
      </c>
      <c r="G196" t="e">
        <f t="shared" ca="1" si="2"/>
        <v>#VALUE!</v>
      </c>
    </row>
    <row r="197" spans="1:7" x14ac:dyDescent="0.25">
      <c r="A197" s="1"/>
      <c r="D197" t="e" cm="1">
        <f t="array" aca="1" ref="D197" ca="1">IF(OR(COUNTIF(damper_names,_xlfn.CONCAT("D_S_",C197))=1, COUNTIF(damper_names,_xlfn.CONCAT("D_E_",C197))=1), "C", "")</f>
        <v>#VALUE!</v>
      </c>
      <c r="E197" t="e">
        <f t="shared" ca="1" si="0"/>
        <v>#VALUE!</v>
      </c>
      <c r="F197" t="e">
        <f t="shared" ca="1" si="1"/>
        <v>#VALUE!</v>
      </c>
      <c r="G197" t="e">
        <f t="shared" ca="1" si="2"/>
        <v>#VALUE!</v>
      </c>
    </row>
    <row r="198" spans="1:7" x14ac:dyDescent="0.25">
      <c r="A198" s="1"/>
      <c r="D198" t="e" cm="1">
        <f t="array" aca="1" ref="D198" ca="1">IF(OR(COUNTIF(damper_names,_xlfn.CONCAT("D_S_",C198))=1, COUNTIF(damper_names,_xlfn.CONCAT("D_E_",C198))=1), "C", "")</f>
        <v>#VALUE!</v>
      </c>
      <c r="E198" t="e">
        <f t="shared" ca="1" si="0"/>
        <v>#VALUE!</v>
      </c>
      <c r="F198" t="e">
        <f t="shared" ca="1" si="1"/>
        <v>#VALUE!</v>
      </c>
      <c r="G198" t="e">
        <f t="shared" ca="1" si="2"/>
        <v>#VALUE!</v>
      </c>
    </row>
    <row r="199" spans="1:7" x14ac:dyDescent="0.25">
      <c r="A199" s="1"/>
      <c r="D199" t="e" cm="1">
        <f t="array" aca="1" ref="D199" ca="1">IF(OR(COUNTIF(damper_names,_xlfn.CONCAT("D_S_",C199))=1, COUNTIF(damper_names,_xlfn.CONCAT("D_E_",C199))=1), "C", "")</f>
        <v>#VALUE!</v>
      </c>
      <c r="E199" t="e">
        <f t="shared" ref="E199:E262" ca="1" si="3">IF(D199="T", 0.05, IF(D199="C", -0.01, ""))</f>
        <v>#VALUE!</v>
      </c>
      <c r="F199" t="e">
        <f t="shared" ref="F199:F262" ca="1" si="4">IF(D199="T", 0.05, IF(D199="C", 0, ""))</f>
        <v>#VALUE!</v>
      </c>
      <c r="G199" t="e">
        <f t="shared" ref="G199:G262" ca="1" si="5">IF(D199="T", 0, IF(D199="C", 0, ""))</f>
        <v>#VALUE!</v>
      </c>
    </row>
    <row r="200" spans="1:7" x14ac:dyDescent="0.25">
      <c r="A200" s="1"/>
      <c r="D200" t="e" cm="1">
        <f t="array" aca="1" ref="D200" ca="1">IF(OR(COUNTIF(damper_names,_xlfn.CONCAT("D_S_",C200))=1, COUNTIF(damper_names,_xlfn.CONCAT("D_E_",C200))=1), "C", "")</f>
        <v>#VALUE!</v>
      </c>
      <c r="E200" t="e">
        <f t="shared" ca="1" si="3"/>
        <v>#VALUE!</v>
      </c>
      <c r="F200" t="e">
        <f t="shared" ca="1" si="4"/>
        <v>#VALUE!</v>
      </c>
      <c r="G200" t="e">
        <f t="shared" ca="1" si="5"/>
        <v>#VALUE!</v>
      </c>
    </row>
    <row r="201" spans="1:7" x14ac:dyDescent="0.25">
      <c r="A201" s="1"/>
      <c r="D201" t="e" cm="1">
        <f t="array" aca="1" ref="D201" ca="1">IF(OR(COUNTIF(damper_names,_xlfn.CONCAT("D_S_",C201))=1, COUNTIF(damper_names,_xlfn.CONCAT("D_E_",C201))=1), "C", "")</f>
        <v>#VALUE!</v>
      </c>
      <c r="E201" t="e">
        <f t="shared" ca="1" si="3"/>
        <v>#VALUE!</v>
      </c>
      <c r="F201" t="e">
        <f t="shared" ca="1" si="4"/>
        <v>#VALUE!</v>
      </c>
      <c r="G201" t="e">
        <f t="shared" ca="1" si="5"/>
        <v>#VALUE!</v>
      </c>
    </row>
    <row r="202" spans="1:7" x14ac:dyDescent="0.25">
      <c r="A202" s="1"/>
      <c r="D202" t="e" cm="1">
        <f t="array" aca="1" ref="D202" ca="1">IF(OR(COUNTIF(damper_names,_xlfn.CONCAT("D_S_",C202))=1, COUNTIF(damper_names,_xlfn.CONCAT("D_E_",C202))=1), "C", "")</f>
        <v>#VALUE!</v>
      </c>
      <c r="E202" t="e">
        <f t="shared" ca="1" si="3"/>
        <v>#VALUE!</v>
      </c>
      <c r="F202" t="e">
        <f t="shared" ca="1" si="4"/>
        <v>#VALUE!</v>
      </c>
      <c r="G202" t="e">
        <f t="shared" ca="1" si="5"/>
        <v>#VALUE!</v>
      </c>
    </row>
    <row r="203" spans="1:7" x14ac:dyDescent="0.25">
      <c r="A203" s="1"/>
      <c r="D203" t="e" cm="1">
        <f t="array" aca="1" ref="D203" ca="1">IF(OR(COUNTIF(damper_names,_xlfn.CONCAT("D_S_",C203))=1, COUNTIF(damper_names,_xlfn.CONCAT("D_E_",C203))=1), "C", "")</f>
        <v>#VALUE!</v>
      </c>
      <c r="E203" t="e">
        <f t="shared" ca="1" si="3"/>
        <v>#VALUE!</v>
      </c>
      <c r="F203" t="e">
        <f t="shared" ca="1" si="4"/>
        <v>#VALUE!</v>
      </c>
      <c r="G203" t="e">
        <f t="shared" ca="1" si="5"/>
        <v>#VALUE!</v>
      </c>
    </row>
    <row r="204" spans="1:7" x14ac:dyDescent="0.25">
      <c r="A204" s="1"/>
      <c r="D204" t="e" cm="1">
        <f t="array" aca="1" ref="D204" ca="1">IF(OR(COUNTIF(damper_names,_xlfn.CONCAT("D_S_",C204))=1, COUNTIF(damper_names,_xlfn.CONCAT("D_E_",C204))=1), "C", "")</f>
        <v>#VALUE!</v>
      </c>
      <c r="E204" t="e">
        <f t="shared" ca="1" si="3"/>
        <v>#VALUE!</v>
      </c>
      <c r="F204" t="e">
        <f t="shared" ca="1" si="4"/>
        <v>#VALUE!</v>
      </c>
      <c r="G204" t="e">
        <f t="shared" ca="1" si="5"/>
        <v>#VALUE!</v>
      </c>
    </row>
    <row r="205" spans="1:7" x14ac:dyDescent="0.25">
      <c r="A205" s="1"/>
      <c r="D205" t="e" cm="1">
        <f t="array" aca="1" ref="D205" ca="1">IF(OR(COUNTIF(damper_names,_xlfn.CONCAT("D_S_",C205))=1, COUNTIF(damper_names,_xlfn.CONCAT("D_E_",C205))=1), "C", "")</f>
        <v>#VALUE!</v>
      </c>
      <c r="E205" t="e">
        <f t="shared" ca="1" si="3"/>
        <v>#VALUE!</v>
      </c>
      <c r="F205" t="e">
        <f t="shared" ca="1" si="4"/>
        <v>#VALUE!</v>
      </c>
      <c r="G205" t="e">
        <f t="shared" ca="1" si="5"/>
        <v>#VALUE!</v>
      </c>
    </row>
    <row r="206" spans="1:7" x14ac:dyDescent="0.25">
      <c r="A206" s="1"/>
      <c r="D206" t="e" cm="1">
        <f t="array" aca="1" ref="D206" ca="1">IF(OR(COUNTIF(damper_names,_xlfn.CONCAT("D_S_",C206))=1, COUNTIF(damper_names,_xlfn.CONCAT("D_E_",C206))=1), "C", "")</f>
        <v>#VALUE!</v>
      </c>
      <c r="E206" t="e">
        <f t="shared" ca="1" si="3"/>
        <v>#VALUE!</v>
      </c>
      <c r="F206" t="e">
        <f t="shared" ca="1" si="4"/>
        <v>#VALUE!</v>
      </c>
      <c r="G206" t="e">
        <f t="shared" ca="1" si="5"/>
        <v>#VALUE!</v>
      </c>
    </row>
    <row r="207" spans="1:7" x14ac:dyDescent="0.25">
      <c r="A207" s="1"/>
      <c r="D207" t="e" cm="1">
        <f t="array" aca="1" ref="D207" ca="1">IF(OR(COUNTIF(damper_names,_xlfn.CONCAT("D_S_",C207))=1, COUNTIF(damper_names,_xlfn.CONCAT("D_E_",C207))=1), "C", "")</f>
        <v>#VALUE!</v>
      </c>
      <c r="E207" t="e">
        <f t="shared" ca="1" si="3"/>
        <v>#VALUE!</v>
      </c>
      <c r="F207" t="e">
        <f t="shared" ca="1" si="4"/>
        <v>#VALUE!</v>
      </c>
      <c r="G207" t="e">
        <f t="shared" ca="1" si="5"/>
        <v>#VALUE!</v>
      </c>
    </row>
    <row r="208" spans="1:7" x14ac:dyDescent="0.25">
      <c r="A208" s="1"/>
      <c r="D208" t="e" cm="1">
        <f t="array" aca="1" ref="D208" ca="1">IF(OR(COUNTIF(damper_names,_xlfn.CONCAT("D_S_",C208))=1, COUNTIF(damper_names,_xlfn.CONCAT("D_E_",C208))=1), "C", "")</f>
        <v>#VALUE!</v>
      </c>
      <c r="E208" t="e">
        <f t="shared" ca="1" si="3"/>
        <v>#VALUE!</v>
      </c>
      <c r="F208" t="e">
        <f t="shared" ca="1" si="4"/>
        <v>#VALUE!</v>
      </c>
      <c r="G208" t="e">
        <f t="shared" ca="1" si="5"/>
        <v>#VALUE!</v>
      </c>
    </row>
    <row r="209" spans="1:7" x14ac:dyDescent="0.25">
      <c r="A209" s="1"/>
      <c r="D209" t="e" cm="1">
        <f t="array" aca="1" ref="D209" ca="1">IF(OR(COUNTIF(damper_names,_xlfn.CONCAT("D_S_",C209))=1, COUNTIF(damper_names,_xlfn.CONCAT("D_E_",C209))=1), "C", "")</f>
        <v>#VALUE!</v>
      </c>
      <c r="E209" t="e">
        <f t="shared" ca="1" si="3"/>
        <v>#VALUE!</v>
      </c>
      <c r="F209" t="e">
        <f t="shared" ca="1" si="4"/>
        <v>#VALUE!</v>
      </c>
      <c r="G209" t="e">
        <f t="shared" ca="1" si="5"/>
        <v>#VALUE!</v>
      </c>
    </row>
    <row r="210" spans="1:7" x14ac:dyDescent="0.25">
      <c r="A210" s="1"/>
      <c r="D210" t="e" cm="1">
        <f t="array" aca="1" ref="D210" ca="1">IF(OR(COUNTIF(damper_names,_xlfn.CONCAT("D_S_",C210))=1, COUNTIF(damper_names,_xlfn.CONCAT("D_E_",C210))=1), "C", "")</f>
        <v>#VALUE!</v>
      </c>
      <c r="E210" t="e">
        <f t="shared" ca="1" si="3"/>
        <v>#VALUE!</v>
      </c>
      <c r="F210" t="e">
        <f t="shared" ca="1" si="4"/>
        <v>#VALUE!</v>
      </c>
      <c r="G210" t="e">
        <f t="shared" ca="1" si="5"/>
        <v>#VALUE!</v>
      </c>
    </row>
    <row r="211" spans="1:7" x14ac:dyDescent="0.25">
      <c r="A211" s="1"/>
      <c r="D211" t="e" cm="1">
        <f t="array" aca="1" ref="D211" ca="1">IF(OR(COUNTIF(damper_names,_xlfn.CONCAT("D_S_",C211))=1, COUNTIF(damper_names,_xlfn.CONCAT("D_E_",C211))=1), "C", "")</f>
        <v>#VALUE!</v>
      </c>
      <c r="E211" t="e">
        <f t="shared" ca="1" si="3"/>
        <v>#VALUE!</v>
      </c>
      <c r="F211" t="e">
        <f t="shared" ca="1" si="4"/>
        <v>#VALUE!</v>
      </c>
      <c r="G211" t="e">
        <f t="shared" ca="1" si="5"/>
        <v>#VALUE!</v>
      </c>
    </row>
    <row r="212" spans="1:7" x14ac:dyDescent="0.25">
      <c r="A212" s="1"/>
      <c r="D212" t="e" cm="1">
        <f t="array" aca="1" ref="D212" ca="1">IF(OR(COUNTIF(damper_names,_xlfn.CONCAT("D_S_",C212))=1, COUNTIF(damper_names,_xlfn.CONCAT("D_E_",C212))=1), "C", "")</f>
        <v>#VALUE!</v>
      </c>
      <c r="E212" t="e">
        <f t="shared" ca="1" si="3"/>
        <v>#VALUE!</v>
      </c>
      <c r="F212" t="e">
        <f t="shared" ca="1" si="4"/>
        <v>#VALUE!</v>
      </c>
      <c r="G212" t="e">
        <f t="shared" ca="1" si="5"/>
        <v>#VALUE!</v>
      </c>
    </row>
    <row r="213" spans="1:7" x14ac:dyDescent="0.25">
      <c r="A213" s="1"/>
      <c r="D213" t="e" cm="1">
        <f t="array" aca="1" ref="D213" ca="1">IF(OR(COUNTIF(damper_names,_xlfn.CONCAT("D_S_",C213))=1, COUNTIF(damper_names,_xlfn.CONCAT("D_E_",C213))=1), "C", "")</f>
        <v>#VALUE!</v>
      </c>
      <c r="E213" t="e">
        <f t="shared" ca="1" si="3"/>
        <v>#VALUE!</v>
      </c>
      <c r="F213" t="e">
        <f t="shared" ca="1" si="4"/>
        <v>#VALUE!</v>
      </c>
      <c r="G213" t="e">
        <f t="shared" ca="1" si="5"/>
        <v>#VALUE!</v>
      </c>
    </row>
    <row r="214" spans="1:7" x14ac:dyDescent="0.25">
      <c r="A214" s="1"/>
      <c r="D214" t="e" cm="1">
        <f t="array" aca="1" ref="D214" ca="1">IF(OR(COUNTIF(damper_names,_xlfn.CONCAT("D_S_",C214))=1, COUNTIF(damper_names,_xlfn.CONCAT("D_E_",C214))=1), "C", "")</f>
        <v>#VALUE!</v>
      </c>
      <c r="E214" t="e">
        <f t="shared" ca="1" si="3"/>
        <v>#VALUE!</v>
      </c>
      <c r="F214" t="e">
        <f t="shared" ca="1" si="4"/>
        <v>#VALUE!</v>
      </c>
      <c r="G214" t="e">
        <f t="shared" ca="1" si="5"/>
        <v>#VALUE!</v>
      </c>
    </row>
    <row r="215" spans="1:7" x14ac:dyDescent="0.25">
      <c r="A215" s="1"/>
      <c r="D215" t="e" cm="1">
        <f t="array" aca="1" ref="D215" ca="1">IF(OR(COUNTIF(damper_names,_xlfn.CONCAT("D_S_",C215))=1, COUNTIF(damper_names,_xlfn.CONCAT("D_E_",C215))=1), "C", "")</f>
        <v>#VALUE!</v>
      </c>
      <c r="E215" t="e">
        <f t="shared" ca="1" si="3"/>
        <v>#VALUE!</v>
      </c>
      <c r="F215" t="e">
        <f t="shared" ca="1" si="4"/>
        <v>#VALUE!</v>
      </c>
      <c r="G215" t="e">
        <f t="shared" ca="1" si="5"/>
        <v>#VALUE!</v>
      </c>
    </row>
    <row r="216" spans="1:7" x14ac:dyDescent="0.25">
      <c r="A216" s="1"/>
      <c r="D216" t="e" cm="1">
        <f t="array" aca="1" ref="D216" ca="1">IF(OR(COUNTIF(damper_names,_xlfn.CONCAT("D_S_",C216))=1, COUNTIF(damper_names,_xlfn.CONCAT("D_E_",C216))=1), "C", "")</f>
        <v>#VALUE!</v>
      </c>
      <c r="E216" t="e">
        <f t="shared" ca="1" si="3"/>
        <v>#VALUE!</v>
      </c>
      <c r="F216" t="e">
        <f t="shared" ca="1" si="4"/>
        <v>#VALUE!</v>
      </c>
      <c r="G216" t="e">
        <f t="shared" ca="1" si="5"/>
        <v>#VALUE!</v>
      </c>
    </row>
    <row r="217" spans="1:7" x14ac:dyDescent="0.25">
      <c r="A217" s="1"/>
      <c r="D217" t="e" cm="1">
        <f t="array" aca="1" ref="D217" ca="1">IF(OR(COUNTIF(damper_names,_xlfn.CONCAT("D_S_",C217))=1, COUNTIF(damper_names,_xlfn.CONCAT("D_E_",C217))=1), "C", "")</f>
        <v>#VALUE!</v>
      </c>
      <c r="E217" t="e">
        <f t="shared" ca="1" si="3"/>
        <v>#VALUE!</v>
      </c>
      <c r="F217" t="e">
        <f t="shared" ca="1" si="4"/>
        <v>#VALUE!</v>
      </c>
      <c r="G217" t="e">
        <f t="shared" ca="1" si="5"/>
        <v>#VALUE!</v>
      </c>
    </row>
    <row r="218" spans="1:7" x14ac:dyDescent="0.25">
      <c r="A218" s="1"/>
      <c r="D218" t="e" cm="1">
        <f t="array" aca="1" ref="D218" ca="1">IF(OR(COUNTIF(damper_names,_xlfn.CONCAT("D_S_",C218))=1, COUNTIF(damper_names,_xlfn.CONCAT("D_E_",C218))=1), "C", "")</f>
        <v>#VALUE!</v>
      </c>
      <c r="E218" t="e">
        <f t="shared" ca="1" si="3"/>
        <v>#VALUE!</v>
      </c>
      <c r="F218" t="e">
        <f t="shared" ca="1" si="4"/>
        <v>#VALUE!</v>
      </c>
      <c r="G218" t="e">
        <f t="shared" ca="1" si="5"/>
        <v>#VALUE!</v>
      </c>
    </row>
    <row r="219" spans="1:7" x14ac:dyDescent="0.25">
      <c r="A219" s="1"/>
      <c r="D219" t="e" cm="1">
        <f t="array" aca="1" ref="D219" ca="1">IF(OR(COUNTIF(damper_names,_xlfn.CONCAT("D_S_",C219))=1, COUNTIF(damper_names,_xlfn.CONCAT("D_E_",C219))=1), "C", "")</f>
        <v>#VALUE!</v>
      </c>
      <c r="E219" t="e">
        <f t="shared" ca="1" si="3"/>
        <v>#VALUE!</v>
      </c>
      <c r="F219" t="e">
        <f t="shared" ca="1" si="4"/>
        <v>#VALUE!</v>
      </c>
      <c r="G219" t="e">
        <f t="shared" ca="1" si="5"/>
        <v>#VALUE!</v>
      </c>
    </row>
    <row r="220" spans="1:7" x14ac:dyDescent="0.25">
      <c r="A220" s="1"/>
      <c r="D220" t="e" cm="1">
        <f t="array" aca="1" ref="D220" ca="1">IF(OR(COUNTIF(damper_names,_xlfn.CONCAT("D_S_",C220))=1, COUNTIF(damper_names,_xlfn.CONCAT("D_E_",C220))=1), "C", "")</f>
        <v>#VALUE!</v>
      </c>
      <c r="E220" t="e">
        <f t="shared" ca="1" si="3"/>
        <v>#VALUE!</v>
      </c>
      <c r="F220" t="e">
        <f t="shared" ca="1" si="4"/>
        <v>#VALUE!</v>
      </c>
      <c r="G220" t="e">
        <f t="shared" ca="1" si="5"/>
        <v>#VALUE!</v>
      </c>
    </row>
    <row r="221" spans="1:7" x14ac:dyDescent="0.25">
      <c r="A221" s="1"/>
      <c r="D221" t="e" cm="1">
        <f t="array" aca="1" ref="D221" ca="1">IF(OR(COUNTIF(damper_names,_xlfn.CONCAT("D_S_",C221))=1, COUNTIF(damper_names,_xlfn.CONCAT("D_E_",C221))=1), "C", "")</f>
        <v>#VALUE!</v>
      </c>
      <c r="E221" t="e">
        <f t="shared" ca="1" si="3"/>
        <v>#VALUE!</v>
      </c>
      <c r="F221" t="e">
        <f t="shared" ca="1" si="4"/>
        <v>#VALUE!</v>
      </c>
      <c r="G221" t="e">
        <f t="shared" ca="1" si="5"/>
        <v>#VALUE!</v>
      </c>
    </row>
    <row r="222" spans="1:7" x14ac:dyDescent="0.25">
      <c r="A222" s="1"/>
      <c r="D222" t="e" cm="1">
        <f t="array" aca="1" ref="D222" ca="1">IF(OR(COUNTIF(damper_names,_xlfn.CONCAT("D_S_",C222))=1, COUNTIF(damper_names,_xlfn.CONCAT("D_E_",C222))=1), "C", "")</f>
        <v>#VALUE!</v>
      </c>
      <c r="E222" t="e">
        <f t="shared" ca="1" si="3"/>
        <v>#VALUE!</v>
      </c>
      <c r="F222" t="e">
        <f t="shared" ca="1" si="4"/>
        <v>#VALUE!</v>
      </c>
      <c r="G222" t="e">
        <f t="shared" ca="1" si="5"/>
        <v>#VALUE!</v>
      </c>
    </row>
    <row r="223" spans="1:7" x14ac:dyDescent="0.25">
      <c r="A223" s="1"/>
      <c r="D223" t="e" cm="1">
        <f t="array" aca="1" ref="D223" ca="1">IF(OR(COUNTIF(damper_names,_xlfn.CONCAT("D_S_",C223))=1, COUNTIF(damper_names,_xlfn.CONCAT("D_E_",C223))=1), "C", "")</f>
        <v>#VALUE!</v>
      </c>
      <c r="E223" t="e">
        <f t="shared" ca="1" si="3"/>
        <v>#VALUE!</v>
      </c>
      <c r="F223" t="e">
        <f t="shared" ca="1" si="4"/>
        <v>#VALUE!</v>
      </c>
      <c r="G223" t="e">
        <f t="shared" ca="1" si="5"/>
        <v>#VALUE!</v>
      </c>
    </row>
    <row r="224" spans="1:7" x14ac:dyDescent="0.25">
      <c r="A224" s="1"/>
      <c r="D224" t="e" cm="1">
        <f t="array" aca="1" ref="D224" ca="1">IF(OR(COUNTIF(damper_names,_xlfn.CONCAT("D_S_",C224))=1, COUNTIF(damper_names,_xlfn.CONCAT("D_E_",C224))=1), "C", "")</f>
        <v>#VALUE!</v>
      </c>
      <c r="E224" t="e">
        <f t="shared" ca="1" si="3"/>
        <v>#VALUE!</v>
      </c>
      <c r="F224" t="e">
        <f t="shared" ca="1" si="4"/>
        <v>#VALUE!</v>
      </c>
      <c r="G224" t="e">
        <f t="shared" ca="1" si="5"/>
        <v>#VALUE!</v>
      </c>
    </row>
    <row r="225" spans="1:7" x14ac:dyDescent="0.25">
      <c r="A225" s="1"/>
      <c r="D225" t="e" cm="1">
        <f t="array" aca="1" ref="D225" ca="1">IF(OR(COUNTIF(damper_names,_xlfn.CONCAT("D_S_",C225))=1, COUNTIF(damper_names,_xlfn.CONCAT("D_E_",C225))=1), "C", "")</f>
        <v>#VALUE!</v>
      </c>
      <c r="E225" t="e">
        <f t="shared" ca="1" si="3"/>
        <v>#VALUE!</v>
      </c>
      <c r="F225" t="e">
        <f t="shared" ca="1" si="4"/>
        <v>#VALUE!</v>
      </c>
      <c r="G225" t="e">
        <f t="shared" ca="1" si="5"/>
        <v>#VALUE!</v>
      </c>
    </row>
    <row r="226" spans="1:7" x14ac:dyDescent="0.25">
      <c r="A226" s="1"/>
      <c r="D226" t="e" cm="1">
        <f t="array" aca="1" ref="D226" ca="1">IF(OR(COUNTIF(damper_names,_xlfn.CONCAT("D_S_",C226))=1, COUNTIF(damper_names,_xlfn.CONCAT("D_E_",C226))=1), "C", "")</f>
        <v>#VALUE!</v>
      </c>
      <c r="E226" t="e">
        <f t="shared" ca="1" si="3"/>
        <v>#VALUE!</v>
      </c>
      <c r="F226" t="e">
        <f t="shared" ca="1" si="4"/>
        <v>#VALUE!</v>
      </c>
      <c r="G226" t="e">
        <f t="shared" ca="1" si="5"/>
        <v>#VALUE!</v>
      </c>
    </row>
    <row r="227" spans="1:7" x14ac:dyDescent="0.25">
      <c r="A227" s="1"/>
      <c r="D227" t="e" cm="1">
        <f t="array" aca="1" ref="D227" ca="1">IF(OR(COUNTIF(damper_names,_xlfn.CONCAT("D_S_",C227))=1, COUNTIF(damper_names,_xlfn.CONCAT("D_E_",C227))=1), "C", "")</f>
        <v>#VALUE!</v>
      </c>
      <c r="E227" t="e">
        <f t="shared" ca="1" si="3"/>
        <v>#VALUE!</v>
      </c>
      <c r="F227" t="e">
        <f t="shared" ca="1" si="4"/>
        <v>#VALUE!</v>
      </c>
      <c r="G227" t="e">
        <f t="shared" ca="1" si="5"/>
        <v>#VALUE!</v>
      </c>
    </row>
    <row r="228" spans="1:7" x14ac:dyDescent="0.25">
      <c r="A228" s="1"/>
      <c r="D228" t="e" cm="1">
        <f t="array" aca="1" ref="D228" ca="1">IF(OR(COUNTIF(damper_names,_xlfn.CONCAT("D_S_",C228))=1, COUNTIF(damper_names,_xlfn.CONCAT("D_E_",C228))=1), "C", "")</f>
        <v>#VALUE!</v>
      </c>
      <c r="E228" t="e">
        <f t="shared" ca="1" si="3"/>
        <v>#VALUE!</v>
      </c>
      <c r="F228" t="e">
        <f t="shared" ca="1" si="4"/>
        <v>#VALUE!</v>
      </c>
      <c r="G228" t="e">
        <f t="shared" ca="1" si="5"/>
        <v>#VALUE!</v>
      </c>
    </row>
    <row r="229" spans="1:7" x14ac:dyDescent="0.25">
      <c r="A229" s="1"/>
      <c r="D229" t="e" cm="1">
        <f t="array" aca="1" ref="D229" ca="1">IF(OR(COUNTIF(damper_names,_xlfn.CONCAT("D_S_",C229))=1, COUNTIF(damper_names,_xlfn.CONCAT("D_E_",C229))=1), "C", "")</f>
        <v>#VALUE!</v>
      </c>
      <c r="E229" t="e">
        <f t="shared" ca="1" si="3"/>
        <v>#VALUE!</v>
      </c>
      <c r="F229" t="e">
        <f t="shared" ca="1" si="4"/>
        <v>#VALUE!</v>
      </c>
      <c r="G229" t="e">
        <f t="shared" ca="1" si="5"/>
        <v>#VALUE!</v>
      </c>
    </row>
    <row r="230" spans="1:7" x14ac:dyDescent="0.25">
      <c r="A230" s="1"/>
      <c r="D230" t="e" cm="1">
        <f t="array" aca="1" ref="D230" ca="1">IF(OR(COUNTIF(damper_names,_xlfn.CONCAT("D_S_",C230))=1, COUNTIF(damper_names,_xlfn.CONCAT("D_E_",C230))=1), "C", "")</f>
        <v>#VALUE!</v>
      </c>
      <c r="E230" t="e">
        <f t="shared" ca="1" si="3"/>
        <v>#VALUE!</v>
      </c>
      <c r="F230" t="e">
        <f t="shared" ca="1" si="4"/>
        <v>#VALUE!</v>
      </c>
      <c r="G230" t="e">
        <f t="shared" ca="1" si="5"/>
        <v>#VALUE!</v>
      </c>
    </row>
    <row r="231" spans="1:7" x14ac:dyDescent="0.25">
      <c r="A231" s="1"/>
      <c r="D231" t="e" cm="1">
        <f t="array" aca="1" ref="D231" ca="1">IF(OR(COUNTIF(damper_names,_xlfn.CONCAT("D_S_",C231))=1, COUNTIF(damper_names,_xlfn.CONCAT("D_E_",C231))=1), "C", "")</f>
        <v>#VALUE!</v>
      </c>
      <c r="E231" t="e">
        <f t="shared" ca="1" si="3"/>
        <v>#VALUE!</v>
      </c>
      <c r="F231" t="e">
        <f t="shared" ca="1" si="4"/>
        <v>#VALUE!</v>
      </c>
      <c r="G231" t="e">
        <f t="shared" ca="1" si="5"/>
        <v>#VALUE!</v>
      </c>
    </row>
    <row r="232" spans="1:7" x14ac:dyDescent="0.25">
      <c r="A232" s="1"/>
      <c r="D232" t="e" cm="1">
        <f t="array" aca="1" ref="D232" ca="1">IF(OR(COUNTIF(damper_names,_xlfn.CONCAT("D_S_",C232))=1, COUNTIF(damper_names,_xlfn.CONCAT("D_E_",C232))=1), "C", "")</f>
        <v>#VALUE!</v>
      </c>
      <c r="E232" t="e">
        <f t="shared" ca="1" si="3"/>
        <v>#VALUE!</v>
      </c>
      <c r="F232" t="e">
        <f t="shared" ca="1" si="4"/>
        <v>#VALUE!</v>
      </c>
      <c r="G232" t="e">
        <f t="shared" ca="1" si="5"/>
        <v>#VALUE!</v>
      </c>
    </row>
    <row r="233" spans="1:7" x14ac:dyDescent="0.25">
      <c r="A233" s="1"/>
      <c r="D233" t="e" cm="1">
        <f t="array" aca="1" ref="D233" ca="1">IF(OR(COUNTIF(damper_names,_xlfn.CONCAT("D_S_",C233))=1, COUNTIF(damper_names,_xlfn.CONCAT("D_E_",C233))=1), "C", "")</f>
        <v>#VALUE!</v>
      </c>
      <c r="E233" t="e">
        <f t="shared" ca="1" si="3"/>
        <v>#VALUE!</v>
      </c>
      <c r="F233" t="e">
        <f t="shared" ca="1" si="4"/>
        <v>#VALUE!</v>
      </c>
      <c r="G233" t="e">
        <f t="shared" ca="1" si="5"/>
        <v>#VALUE!</v>
      </c>
    </row>
    <row r="234" spans="1:7" x14ac:dyDescent="0.25">
      <c r="A234" s="1"/>
      <c r="D234" t="e" cm="1">
        <f t="array" aca="1" ref="D234" ca="1">IF(OR(COUNTIF(damper_names,_xlfn.CONCAT("D_S_",C234))=1, COUNTIF(damper_names,_xlfn.CONCAT("D_E_",C234))=1), "C", "")</f>
        <v>#VALUE!</v>
      </c>
      <c r="E234" t="e">
        <f t="shared" ca="1" si="3"/>
        <v>#VALUE!</v>
      </c>
      <c r="F234" t="e">
        <f t="shared" ca="1" si="4"/>
        <v>#VALUE!</v>
      </c>
      <c r="G234" t="e">
        <f t="shared" ca="1" si="5"/>
        <v>#VALUE!</v>
      </c>
    </row>
    <row r="235" spans="1:7" x14ac:dyDescent="0.25">
      <c r="A235" s="1"/>
      <c r="D235" t="e" cm="1">
        <f t="array" aca="1" ref="D235" ca="1">IF(OR(COUNTIF(damper_names,_xlfn.CONCAT("D_S_",C235))=1, COUNTIF(damper_names,_xlfn.CONCAT("D_E_",C235))=1), "C", "")</f>
        <v>#VALUE!</v>
      </c>
      <c r="E235" t="e">
        <f t="shared" ca="1" si="3"/>
        <v>#VALUE!</v>
      </c>
      <c r="F235" t="e">
        <f t="shared" ca="1" si="4"/>
        <v>#VALUE!</v>
      </c>
      <c r="G235" t="e">
        <f t="shared" ca="1" si="5"/>
        <v>#VALUE!</v>
      </c>
    </row>
    <row r="236" spans="1:7" x14ac:dyDescent="0.25">
      <c r="A236" s="1"/>
      <c r="D236" t="e" cm="1">
        <f t="array" aca="1" ref="D236" ca="1">IF(OR(COUNTIF(damper_names,_xlfn.CONCAT("D_S_",C236))=1, COUNTIF(damper_names,_xlfn.CONCAT("D_E_",C236))=1), "C", "")</f>
        <v>#VALUE!</v>
      </c>
      <c r="E236" t="e">
        <f t="shared" ca="1" si="3"/>
        <v>#VALUE!</v>
      </c>
      <c r="F236" t="e">
        <f t="shared" ca="1" si="4"/>
        <v>#VALUE!</v>
      </c>
      <c r="G236" t="e">
        <f t="shared" ca="1" si="5"/>
        <v>#VALUE!</v>
      </c>
    </row>
    <row r="237" spans="1:7" x14ac:dyDescent="0.25">
      <c r="A237" s="1"/>
      <c r="D237" t="e" cm="1">
        <f t="array" aca="1" ref="D237" ca="1">IF(OR(COUNTIF(damper_names,_xlfn.CONCAT("D_S_",C237))=1, COUNTIF(damper_names,_xlfn.CONCAT("D_E_",C237))=1), "C", "")</f>
        <v>#VALUE!</v>
      </c>
      <c r="E237" t="e">
        <f t="shared" ca="1" si="3"/>
        <v>#VALUE!</v>
      </c>
      <c r="F237" t="e">
        <f t="shared" ca="1" si="4"/>
        <v>#VALUE!</v>
      </c>
      <c r="G237" t="e">
        <f t="shared" ca="1" si="5"/>
        <v>#VALUE!</v>
      </c>
    </row>
    <row r="238" spans="1:7" x14ac:dyDescent="0.25">
      <c r="A238" s="1"/>
      <c r="D238" t="e" cm="1">
        <f t="array" aca="1" ref="D238" ca="1">IF(OR(COUNTIF(damper_names,_xlfn.CONCAT("D_S_",C238))=1, COUNTIF(damper_names,_xlfn.CONCAT("D_E_",C238))=1), "C", "")</f>
        <v>#VALUE!</v>
      </c>
      <c r="E238" t="e">
        <f t="shared" ca="1" si="3"/>
        <v>#VALUE!</v>
      </c>
      <c r="F238" t="e">
        <f t="shared" ca="1" si="4"/>
        <v>#VALUE!</v>
      </c>
      <c r="G238" t="e">
        <f t="shared" ca="1" si="5"/>
        <v>#VALUE!</v>
      </c>
    </row>
    <row r="239" spans="1:7" x14ac:dyDescent="0.25">
      <c r="A239" s="1"/>
      <c r="D239" t="e" cm="1">
        <f t="array" aca="1" ref="D239" ca="1">IF(OR(COUNTIF(damper_names,_xlfn.CONCAT("D_S_",C239))=1, COUNTIF(damper_names,_xlfn.CONCAT("D_E_",C239))=1), "C", "")</f>
        <v>#VALUE!</v>
      </c>
      <c r="E239" t="e">
        <f t="shared" ca="1" si="3"/>
        <v>#VALUE!</v>
      </c>
      <c r="F239" t="e">
        <f t="shared" ca="1" si="4"/>
        <v>#VALUE!</v>
      </c>
      <c r="G239" t="e">
        <f t="shared" ca="1" si="5"/>
        <v>#VALUE!</v>
      </c>
    </row>
    <row r="240" spans="1:7" x14ac:dyDescent="0.25">
      <c r="A240" s="1"/>
      <c r="D240" t="e" cm="1">
        <f t="array" aca="1" ref="D240" ca="1">IF(OR(COUNTIF(damper_names,_xlfn.CONCAT("D_S_",C240))=1, COUNTIF(damper_names,_xlfn.CONCAT("D_E_",C240))=1), "C", "")</f>
        <v>#VALUE!</v>
      </c>
      <c r="E240" t="e">
        <f t="shared" ca="1" si="3"/>
        <v>#VALUE!</v>
      </c>
      <c r="F240" t="e">
        <f t="shared" ca="1" si="4"/>
        <v>#VALUE!</v>
      </c>
      <c r="G240" t="e">
        <f t="shared" ca="1" si="5"/>
        <v>#VALUE!</v>
      </c>
    </row>
    <row r="241" spans="1:7" x14ac:dyDescent="0.25">
      <c r="A241" s="1"/>
      <c r="D241" t="e" cm="1">
        <f t="array" aca="1" ref="D241" ca="1">IF(OR(COUNTIF(damper_names,_xlfn.CONCAT("D_S_",C241))=1, COUNTIF(damper_names,_xlfn.CONCAT("D_E_",C241))=1), "C", "")</f>
        <v>#VALUE!</v>
      </c>
      <c r="E241" t="e">
        <f t="shared" ca="1" si="3"/>
        <v>#VALUE!</v>
      </c>
      <c r="F241" t="e">
        <f t="shared" ca="1" si="4"/>
        <v>#VALUE!</v>
      </c>
      <c r="G241" t="e">
        <f t="shared" ca="1" si="5"/>
        <v>#VALUE!</v>
      </c>
    </row>
    <row r="242" spans="1:7" x14ac:dyDescent="0.25">
      <c r="A242" s="1"/>
      <c r="D242" t="e" cm="1">
        <f t="array" aca="1" ref="D242" ca="1">IF(OR(COUNTIF(damper_names,_xlfn.CONCAT("D_S_",C242))=1, COUNTIF(damper_names,_xlfn.CONCAT("D_E_",C242))=1), "C", "")</f>
        <v>#VALUE!</v>
      </c>
      <c r="E242" t="e">
        <f t="shared" ca="1" si="3"/>
        <v>#VALUE!</v>
      </c>
      <c r="F242" t="e">
        <f t="shared" ca="1" si="4"/>
        <v>#VALUE!</v>
      </c>
      <c r="G242" t="e">
        <f t="shared" ca="1" si="5"/>
        <v>#VALUE!</v>
      </c>
    </row>
    <row r="243" spans="1:7" x14ac:dyDescent="0.25">
      <c r="A243" s="1"/>
      <c r="D243" t="e" cm="1">
        <f t="array" aca="1" ref="D243" ca="1">IF(OR(COUNTIF(damper_names,_xlfn.CONCAT("D_S_",C243))=1, COUNTIF(damper_names,_xlfn.CONCAT("D_E_",C243))=1), "C", "")</f>
        <v>#VALUE!</v>
      </c>
      <c r="E243" t="e">
        <f t="shared" ca="1" si="3"/>
        <v>#VALUE!</v>
      </c>
      <c r="F243" t="e">
        <f t="shared" ca="1" si="4"/>
        <v>#VALUE!</v>
      </c>
      <c r="G243" t="e">
        <f t="shared" ca="1" si="5"/>
        <v>#VALUE!</v>
      </c>
    </row>
    <row r="244" spans="1:7" x14ac:dyDescent="0.25">
      <c r="A244" s="1"/>
      <c r="D244" t="e" cm="1">
        <f t="array" aca="1" ref="D244" ca="1">IF(OR(COUNTIF(damper_names,_xlfn.CONCAT("D_S_",C244))=1, COUNTIF(damper_names,_xlfn.CONCAT("D_E_",C244))=1), "C", "")</f>
        <v>#VALUE!</v>
      </c>
      <c r="E244" t="e">
        <f t="shared" ca="1" si="3"/>
        <v>#VALUE!</v>
      </c>
      <c r="F244" t="e">
        <f t="shared" ca="1" si="4"/>
        <v>#VALUE!</v>
      </c>
      <c r="G244" t="e">
        <f t="shared" ca="1" si="5"/>
        <v>#VALUE!</v>
      </c>
    </row>
    <row r="245" spans="1:7" x14ac:dyDescent="0.25">
      <c r="A245" s="1"/>
      <c r="D245" t="e" cm="1">
        <f t="array" aca="1" ref="D245" ca="1">IF(OR(COUNTIF(damper_names,_xlfn.CONCAT("D_S_",C245))=1, COUNTIF(damper_names,_xlfn.CONCAT("D_E_",C245))=1), "C", "")</f>
        <v>#VALUE!</v>
      </c>
      <c r="E245" t="e">
        <f t="shared" ca="1" si="3"/>
        <v>#VALUE!</v>
      </c>
      <c r="F245" t="e">
        <f t="shared" ca="1" si="4"/>
        <v>#VALUE!</v>
      </c>
      <c r="G245" t="e">
        <f t="shared" ca="1" si="5"/>
        <v>#VALUE!</v>
      </c>
    </row>
    <row r="246" spans="1:7" x14ac:dyDescent="0.25">
      <c r="A246" s="1"/>
      <c r="D246" t="e" cm="1">
        <f t="array" aca="1" ref="D246" ca="1">IF(OR(COUNTIF(damper_names,_xlfn.CONCAT("D_S_",C246))=1, COUNTIF(damper_names,_xlfn.CONCAT("D_E_",C246))=1), "C", "")</f>
        <v>#VALUE!</v>
      </c>
      <c r="E246" t="e">
        <f t="shared" ca="1" si="3"/>
        <v>#VALUE!</v>
      </c>
      <c r="F246" t="e">
        <f t="shared" ca="1" si="4"/>
        <v>#VALUE!</v>
      </c>
      <c r="G246" t="e">
        <f t="shared" ca="1" si="5"/>
        <v>#VALUE!</v>
      </c>
    </row>
    <row r="247" spans="1:7" x14ac:dyDescent="0.25">
      <c r="A247" s="1"/>
      <c r="D247" t="e" cm="1">
        <f t="array" aca="1" ref="D247" ca="1">IF(OR(COUNTIF(damper_names,_xlfn.CONCAT("D_S_",C247))=1, COUNTIF(damper_names,_xlfn.CONCAT("D_E_",C247))=1), "C", "")</f>
        <v>#VALUE!</v>
      </c>
      <c r="E247" t="e">
        <f t="shared" ca="1" si="3"/>
        <v>#VALUE!</v>
      </c>
      <c r="F247" t="e">
        <f t="shared" ca="1" si="4"/>
        <v>#VALUE!</v>
      </c>
      <c r="G247" t="e">
        <f t="shared" ca="1" si="5"/>
        <v>#VALUE!</v>
      </c>
    </row>
    <row r="248" spans="1:7" x14ac:dyDescent="0.25">
      <c r="A248" s="1"/>
      <c r="D248" t="e" cm="1">
        <f t="array" aca="1" ref="D248" ca="1">IF(OR(COUNTIF(damper_names,_xlfn.CONCAT("D_S_",C248))=1, COUNTIF(damper_names,_xlfn.CONCAT("D_E_",C248))=1), "C", "")</f>
        <v>#VALUE!</v>
      </c>
      <c r="E248" t="e">
        <f t="shared" ca="1" si="3"/>
        <v>#VALUE!</v>
      </c>
      <c r="F248" t="e">
        <f t="shared" ca="1" si="4"/>
        <v>#VALUE!</v>
      </c>
      <c r="G248" t="e">
        <f t="shared" ca="1" si="5"/>
        <v>#VALUE!</v>
      </c>
    </row>
    <row r="249" spans="1:7" x14ac:dyDescent="0.25">
      <c r="A249" s="1"/>
      <c r="D249" t="e" cm="1">
        <f t="array" aca="1" ref="D249" ca="1">IF(OR(COUNTIF(damper_names,_xlfn.CONCAT("D_S_",C249))=1, COUNTIF(damper_names,_xlfn.CONCAT("D_E_",C249))=1), "C", "")</f>
        <v>#VALUE!</v>
      </c>
      <c r="E249" t="e">
        <f t="shared" ca="1" si="3"/>
        <v>#VALUE!</v>
      </c>
      <c r="F249" t="e">
        <f t="shared" ca="1" si="4"/>
        <v>#VALUE!</v>
      </c>
      <c r="G249" t="e">
        <f t="shared" ca="1" si="5"/>
        <v>#VALUE!</v>
      </c>
    </row>
    <row r="250" spans="1:7" x14ac:dyDescent="0.25">
      <c r="A250" s="1"/>
      <c r="D250" t="e" cm="1">
        <f t="array" aca="1" ref="D250" ca="1">IF(OR(COUNTIF(damper_names,_xlfn.CONCAT("D_S_",C250))=1, COUNTIF(damper_names,_xlfn.CONCAT("D_E_",C250))=1), "C", "")</f>
        <v>#VALUE!</v>
      </c>
      <c r="E250" t="e">
        <f t="shared" ca="1" si="3"/>
        <v>#VALUE!</v>
      </c>
      <c r="F250" t="e">
        <f t="shared" ca="1" si="4"/>
        <v>#VALUE!</v>
      </c>
      <c r="G250" t="e">
        <f t="shared" ca="1" si="5"/>
        <v>#VALUE!</v>
      </c>
    </row>
    <row r="251" spans="1:7" x14ac:dyDescent="0.25">
      <c r="A251" s="1"/>
      <c r="D251" t="e" cm="1">
        <f t="array" aca="1" ref="D251" ca="1">IF(OR(COUNTIF(damper_names,_xlfn.CONCAT("D_S_",C251))=1, COUNTIF(damper_names,_xlfn.CONCAT("D_E_",C251))=1), "C", "")</f>
        <v>#VALUE!</v>
      </c>
      <c r="E251" t="e">
        <f t="shared" ca="1" si="3"/>
        <v>#VALUE!</v>
      </c>
      <c r="F251" t="e">
        <f t="shared" ca="1" si="4"/>
        <v>#VALUE!</v>
      </c>
      <c r="G251" t="e">
        <f t="shared" ca="1" si="5"/>
        <v>#VALUE!</v>
      </c>
    </row>
    <row r="252" spans="1:7" x14ac:dyDescent="0.25">
      <c r="A252" s="1"/>
      <c r="D252" t="e" cm="1">
        <f t="array" aca="1" ref="D252" ca="1">IF(OR(COUNTIF(damper_names,_xlfn.CONCAT("D_S_",C252))=1, COUNTIF(damper_names,_xlfn.CONCAT("D_E_",C252))=1), "C", "")</f>
        <v>#VALUE!</v>
      </c>
      <c r="E252" t="e">
        <f t="shared" ca="1" si="3"/>
        <v>#VALUE!</v>
      </c>
      <c r="F252" t="e">
        <f t="shared" ca="1" si="4"/>
        <v>#VALUE!</v>
      </c>
      <c r="G252" t="e">
        <f t="shared" ca="1" si="5"/>
        <v>#VALUE!</v>
      </c>
    </row>
    <row r="253" spans="1:7" x14ac:dyDescent="0.25">
      <c r="A253" s="1"/>
      <c r="D253" t="e" cm="1">
        <f t="array" aca="1" ref="D253" ca="1">IF(OR(COUNTIF(damper_names,_xlfn.CONCAT("D_S_",C253))=1, COUNTIF(damper_names,_xlfn.CONCAT("D_E_",C253))=1), "C", "")</f>
        <v>#VALUE!</v>
      </c>
      <c r="E253" t="e">
        <f t="shared" ca="1" si="3"/>
        <v>#VALUE!</v>
      </c>
      <c r="F253" t="e">
        <f t="shared" ca="1" si="4"/>
        <v>#VALUE!</v>
      </c>
      <c r="G253" t="e">
        <f t="shared" ca="1" si="5"/>
        <v>#VALUE!</v>
      </c>
    </row>
    <row r="254" spans="1:7" x14ac:dyDescent="0.25">
      <c r="A254" s="1"/>
      <c r="D254" t="e" cm="1">
        <f t="array" aca="1" ref="D254" ca="1">IF(OR(COUNTIF(damper_names,_xlfn.CONCAT("D_S_",C254))=1, COUNTIF(damper_names,_xlfn.CONCAT("D_E_",C254))=1), "C", "")</f>
        <v>#VALUE!</v>
      </c>
      <c r="E254" t="e">
        <f t="shared" ca="1" si="3"/>
        <v>#VALUE!</v>
      </c>
      <c r="F254" t="e">
        <f t="shared" ca="1" si="4"/>
        <v>#VALUE!</v>
      </c>
      <c r="G254" t="e">
        <f t="shared" ca="1" si="5"/>
        <v>#VALUE!</v>
      </c>
    </row>
    <row r="255" spans="1:7" x14ac:dyDescent="0.25">
      <c r="A255" s="1"/>
      <c r="D255" t="e" cm="1">
        <f t="array" aca="1" ref="D255" ca="1">IF(OR(COUNTIF(damper_names,_xlfn.CONCAT("D_S_",C255))=1, COUNTIF(damper_names,_xlfn.CONCAT("D_E_",C255))=1), "C", "")</f>
        <v>#VALUE!</v>
      </c>
      <c r="E255" t="e">
        <f t="shared" ca="1" si="3"/>
        <v>#VALUE!</v>
      </c>
      <c r="F255" t="e">
        <f t="shared" ca="1" si="4"/>
        <v>#VALUE!</v>
      </c>
      <c r="G255" t="e">
        <f t="shared" ca="1" si="5"/>
        <v>#VALUE!</v>
      </c>
    </row>
    <row r="256" spans="1:7" x14ac:dyDescent="0.25">
      <c r="A256" s="1"/>
      <c r="D256" t="e" cm="1">
        <f t="array" aca="1" ref="D256" ca="1">IF(OR(COUNTIF(damper_names,_xlfn.CONCAT("D_S_",C256))=1, COUNTIF(damper_names,_xlfn.CONCAT("D_E_",C256))=1), "C", "")</f>
        <v>#VALUE!</v>
      </c>
      <c r="E256" t="e">
        <f t="shared" ca="1" si="3"/>
        <v>#VALUE!</v>
      </c>
      <c r="F256" t="e">
        <f t="shared" ca="1" si="4"/>
        <v>#VALUE!</v>
      </c>
      <c r="G256" t="e">
        <f t="shared" ca="1" si="5"/>
        <v>#VALUE!</v>
      </c>
    </row>
    <row r="257" spans="1:7" x14ac:dyDescent="0.25">
      <c r="A257" s="1"/>
      <c r="D257" t="e" cm="1">
        <f t="array" aca="1" ref="D257" ca="1">IF(OR(COUNTIF(damper_names,_xlfn.CONCAT("D_S_",C257))=1, COUNTIF(damper_names,_xlfn.CONCAT("D_E_",C257))=1), "C", "")</f>
        <v>#VALUE!</v>
      </c>
      <c r="E257" t="e">
        <f t="shared" ca="1" si="3"/>
        <v>#VALUE!</v>
      </c>
      <c r="F257" t="e">
        <f t="shared" ca="1" si="4"/>
        <v>#VALUE!</v>
      </c>
      <c r="G257" t="e">
        <f t="shared" ca="1" si="5"/>
        <v>#VALUE!</v>
      </c>
    </row>
    <row r="258" spans="1:7" x14ac:dyDescent="0.25">
      <c r="A258" s="1"/>
      <c r="D258" t="e" cm="1">
        <f t="array" aca="1" ref="D258" ca="1">IF(OR(COUNTIF(damper_names,_xlfn.CONCAT("D_S_",C258))=1, COUNTIF(damper_names,_xlfn.CONCAT("D_E_",C258))=1), "C", "")</f>
        <v>#VALUE!</v>
      </c>
      <c r="E258" t="e">
        <f t="shared" ca="1" si="3"/>
        <v>#VALUE!</v>
      </c>
      <c r="F258" t="e">
        <f t="shared" ca="1" si="4"/>
        <v>#VALUE!</v>
      </c>
      <c r="G258" t="e">
        <f t="shared" ca="1" si="5"/>
        <v>#VALUE!</v>
      </c>
    </row>
    <row r="259" spans="1:7" x14ac:dyDescent="0.25">
      <c r="A259" s="1"/>
      <c r="D259" t="e" cm="1">
        <f t="array" aca="1" ref="D259" ca="1">IF(OR(COUNTIF(damper_names,_xlfn.CONCAT("D_S_",C259))=1, COUNTIF(damper_names,_xlfn.CONCAT("D_E_",C259))=1), "C", "")</f>
        <v>#VALUE!</v>
      </c>
      <c r="E259" t="e">
        <f t="shared" ca="1" si="3"/>
        <v>#VALUE!</v>
      </c>
      <c r="F259" t="e">
        <f t="shared" ca="1" si="4"/>
        <v>#VALUE!</v>
      </c>
      <c r="G259" t="e">
        <f t="shared" ca="1" si="5"/>
        <v>#VALUE!</v>
      </c>
    </row>
    <row r="260" spans="1:7" x14ac:dyDescent="0.25">
      <c r="A260" s="1"/>
      <c r="D260" t="e" cm="1">
        <f t="array" aca="1" ref="D260" ca="1">IF(OR(COUNTIF(damper_names,_xlfn.CONCAT("D_S_",C260))=1, COUNTIF(damper_names,_xlfn.CONCAT("D_E_",C260))=1), "C", "")</f>
        <v>#VALUE!</v>
      </c>
      <c r="E260" t="e">
        <f t="shared" ca="1" si="3"/>
        <v>#VALUE!</v>
      </c>
      <c r="F260" t="e">
        <f t="shared" ca="1" si="4"/>
        <v>#VALUE!</v>
      </c>
      <c r="G260" t="e">
        <f t="shared" ca="1" si="5"/>
        <v>#VALUE!</v>
      </c>
    </row>
    <row r="261" spans="1:7" x14ac:dyDescent="0.25">
      <c r="A261" s="1"/>
      <c r="D261" t="e" cm="1">
        <f t="array" aca="1" ref="D261" ca="1">IF(OR(COUNTIF(damper_names,_xlfn.CONCAT("D_S_",C261))=1, COUNTIF(damper_names,_xlfn.CONCAT("D_E_",C261))=1), "C", "")</f>
        <v>#VALUE!</v>
      </c>
      <c r="E261" t="e">
        <f t="shared" ca="1" si="3"/>
        <v>#VALUE!</v>
      </c>
      <c r="F261" t="e">
        <f t="shared" ca="1" si="4"/>
        <v>#VALUE!</v>
      </c>
      <c r="G261" t="e">
        <f t="shared" ca="1" si="5"/>
        <v>#VALUE!</v>
      </c>
    </row>
    <row r="262" spans="1:7" x14ac:dyDescent="0.25">
      <c r="A262" s="1"/>
      <c r="D262" t="e" cm="1">
        <f t="array" aca="1" ref="D262" ca="1">IF(OR(COUNTIF(damper_names,_xlfn.CONCAT("D_S_",C262))=1, COUNTIF(damper_names,_xlfn.CONCAT("D_E_",C262))=1), "C", "")</f>
        <v>#VALUE!</v>
      </c>
      <c r="E262" t="e">
        <f t="shared" ca="1" si="3"/>
        <v>#VALUE!</v>
      </c>
      <c r="F262" t="e">
        <f t="shared" ca="1" si="4"/>
        <v>#VALUE!</v>
      </c>
      <c r="G262" t="e">
        <f t="shared" ca="1" si="5"/>
        <v>#VALUE!</v>
      </c>
    </row>
    <row r="263" spans="1:7" x14ac:dyDescent="0.25">
      <c r="A263" s="1"/>
      <c r="D263" t="e" cm="1">
        <f t="array" aca="1" ref="D263" ca="1">IF(OR(COUNTIF(damper_names,_xlfn.CONCAT("D_S_",C263))=1, COUNTIF(damper_names,_xlfn.CONCAT("D_E_",C263))=1), "C", "")</f>
        <v>#VALUE!</v>
      </c>
      <c r="E263" t="e">
        <f t="shared" ref="E263:E326" ca="1" si="6">IF(D263="T", 0.05, IF(D263="C", -0.01, ""))</f>
        <v>#VALUE!</v>
      </c>
      <c r="F263" t="e">
        <f t="shared" ref="F263:F326" ca="1" si="7">IF(D263="T", 0.05, IF(D263="C", 0, ""))</f>
        <v>#VALUE!</v>
      </c>
      <c r="G263" t="e">
        <f t="shared" ref="G263:G326" ca="1" si="8">IF(D263="T", 0, IF(D263="C", 0, ""))</f>
        <v>#VALUE!</v>
      </c>
    </row>
    <row r="264" spans="1:7" x14ac:dyDescent="0.25">
      <c r="A264" s="1"/>
      <c r="D264" t="e" cm="1">
        <f t="array" aca="1" ref="D264" ca="1">IF(OR(COUNTIF(damper_names,_xlfn.CONCAT("D_S_",C264))=1, COUNTIF(damper_names,_xlfn.CONCAT("D_E_",C264))=1), "C", "")</f>
        <v>#VALUE!</v>
      </c>
      <c r="E264" t="e">
        <f t="shared" ca="1" si="6"/>
        <v>#VALUE!</v>
      </c>
      <c r="F264" t="e">
        <f t="shared" ca="1" si="7"/>
        <v>#VALUE!</v>
      </c>
      <c r="G264" t="e">
        <f t="shared" ca="1" si="8"/>
        <v>#VALUE!</v>
      </c>
    </row>
    <row r="265" spans="1:7" x14ac:dyDescent="0.25">
      <c r="A265" s="1"/>
      <c r="D265" t="e" cm="1">
        <f t="array" aca="1" ref="D265" ca="1">IF(OR(COUNTIF(damper_names,_xlfn.CONCAT("D_S_",C265))=1, COUNTIF(damper_names,_xlfn.CONCAT("D_E_",C265))=1), "C", "")</f>
        <v>#VALUE!</v>
      </c>
      <c r="E265" t="e">
        <f t="shared" ca="1" si="6"/>
        <v>#VALUE!</v>
      </c>
      <c r="F265" t="e">
        <f t="shared" ca="1" si="7"/>
        <v>#VALUE!</v>
      </c>
      <c r="G265" t="e">
        <f t="shared" ca="1" si="8"/>
        <v>#VALUE!</v>
      </c>
    </row>
    <row r="266" spans="1:7" x14ac:dyDescent="0.25">
      <c r="A266" s="1"/>
      <c r="D266" t="e" cm="1">
        <f t="array" aca="1" ref="D266" ca="1">IF(OR(COUNTIF(damper_names,_xlfn.CONCAT("D_S_",C266))=1, COUNTIF(damper_names,_xlfn.CONCAT("D_E_",C266))=1), "C", "")</f>
        <v>#VALUE!</v>
      </c>
      <c r="E266" t="e">
        <f t="shared" ca="1" si="6"/>
        <v>#VALUE!</v>
      </c>
      <c r="F266" t="e">
        <f t="shared" ca="1" si="7"/>
        <v>#VALUE!</v>
      </c>
      <c r="G266" t="e">
        <f t="shared" ca="1" si="8"/>
        <v>#VALUE!</v>
      </c>
    </row>
    <row r="267" spans="1:7" x14ac:dyDescent="0.25">
      <c r="A267" s="1"/>
      <c r="D267" t="e" cm="1">
        <f t="array" aca="1" ref="D267" ca="1">IF(OR(COUNTIF(damper_names,_xlfn.CONCAT("D_S_",C267))=1, COUNTIF(damper_names,_xlfn.CONCAT("D_E_",C267))=1), "C", "")</f>
        <v>#VALUE!</v>
      </c>
      <c r="E267" t="e">
        <f t="shared" ca="1" si="6"/>
        <v>#VALUE!</v>
      </c>
      <c r="F267" t="e">
        <f t="shared" ca="1" si="7"/>
        <v>#VALUE!</v>
      </c>
      <c r="G267" t="e">
        <f t="shared" ca="1" si="8"/>
        <v>#VALUE!</v>
      </c>
    </row>
    <row r="268" spans="1:7" x14ac:dyDescent="0.25">
      <c r="A268" s="1"/>
      <c r="D268" t="e" cm="1">
        <f t="array" aca="1" ref="D268" ca="1">IF(OR(COUNTIF(damper_names,_xlfn.CONCAT("D_S_",C268))=1, COUNTIF(damper_names,_xlfn.CONCAT("D_E_",C268))=1), "C", "")</f>
        <v>#VALUE!</v>
      </c>
      <c r="E268" t="e">
        <f t="shared" ca="1" si="6"/>
        <v>#VALUE!</v>
      </c>
      <c r="F268" t="e">
        <f t="shared" ca="1" si="7"/>
        <v>#VALUE!</v>
      </c>
      <c r="G268" t="e">
        <f t="shared" ca="1" si="8"/>
        <v>#VALUE!</v>
      </c>
    </row>
    <row r="269" spans="1:7" x14ac:dyDescent="0.25">
      <c r="A269" s="1"/>
      <c r="D269" t="e" cm="1">
        <f t="array" aca="1" ref="D269" ca="1">IF(OR(COUNTIF(damper_names,_xlfn.CONCAT("D_S_",C269))=1, COUNTIF(damper_names,_xlfn.CONCAT("D_E_",C269))=1), "C", "")</f>
        <v>#VALUE!</v>
      </c>
      <c r="E269" t="e">
        <f t="shared" ca="1" si="6"/>
        <v>#VALUE!</v>
      </c>
      <c r="F269" t="e">
        <f t="shared" ca="1" si="7"/>
        <v>#VALUE!</v>
      </c>
      <c r="G269" t="e">
        <f t="shared" ca="1" si="8"/>
        <v>#VALUE!</v>
      </c>
    </row>
    <row r="270" spans="1:7" x14ac:dyDescent="0.25">
      <c r="A270" s="1"/>
      <c r="D270" t="e" cm="1">
        <f t="array" aca="1" ref="D270" ca="1">IF(OR(COUNTIF(damper_names,_xlfn.CONCAT("D_S_",C270))=1, COUNTIF(damper_names,_xlfn.CONCAT("D_E_",C270))=1), "C", "")</f>
        <v>#VALUE!</v>
      </c>
      <c r="E270" t="e">
        <f t="shared" ca="1" si="6"/>
        <v>#VALUE!</v>
      </c>
      <c r="F270" t="e">
        <f t="shared" ca="1" si="7"/>
        <v>#VALUE!</v>
      </c>
      <c r="G270" t="e">
        <f t="shared" ca="1" si="8"/>
        <v>#VALUE!</v>
      </c>
    </row>
    <row r="271" spans="1:7" x14ac:dyDescent="0.25">
      <c r="A271" s="1"/>
      <c r="D271" t="e" cm="1">
        <f t="array" aca="1" ref="D271" ca="1">IF(OR(COUNTIF(damper_names,_xlfn.CONCAT("D_S_",C271))=1, COUNTIF(damper_names,_xlfn.CONCAT("D_E_",C271))=1), "C", "")</f>
        <v>#VALUE!</v>
      </c>
      <c r="E271" t="e">
        <f t="shared" ca="1" si="6"/>
        <v>#VALUE!</v>
      </c>
      <c r="F271" t="e">
        <f t="shared" ca="1" si="7"/>
        <v>#VALUE!</v>
      </c>
      <c r="G271" t="e">
        <f t="shared" ca="1" si="8"/>
        <v>#VALUE!</v>
      </c>
    </row>
    <row r="272" spans="1:7" x14ac:dyDescent="0.25">
      <c r="A272" s="1"/>
      <c r="D272" t="e" cm="1">
        <f t="array" aca="1" ref="D272" ca="1">IF(OR(COUNTIF(damper_names,_xlfn.CONCAT("D_S_",C272))=1, COUNTIF(damper_names,_xlfn.CONCAT("D_E_",C272))=1), "C", "")</f>
        <v>#VALUE!</v>
      </c>
      <c r="E272" t="e">
        <f t="shared" ca="1" si="6"/>
        <v>#VALUE!</v>
      </c>
      <c r="F272" t="e">
        <f t="shared" ca="1" si="7"/>
        <v>#VALUE!</v>
      </c>
      <c r="G272" t="e">
        <f t="shared" ca="1" si="8"/>
        <v>#VALUE!</v>
      </c>
    </row>
    <row r="273" spans="1:7" x14ac:dyDescent="0.25">
      <c r="A273" s="1"/>
      <c r="D273" t="e" cm="1">
        <f t="array" aca="1" ref="D273" ca="1">IF(OR(COUNTIF(damper_names,_xlfn.CONCAT("D_S_",C273))=1, COUNTIF(damper_names,_xlfn.CONCAT("D_E_",C273))=1), "C", "")</f>
        <v>#VALUE!</v>
      </c>
      <c r="E273" t="e">
        <f t="shared" ca="1" si="6"/>
        <v>#VALUE!</v>
      </c>
      <c r="F273" t="e">
        <f t="shared" ca="1" si="7"/>
        <v>#VALUE!</v>
      </c>
      <c r="G273" t="e">
        <f t="shared" ca="1" si="8"/>
        <v>#VALUE!</v>
      </c>
    </row>
    <row r="274" spans="1:7" x14ac:dyDescent="0.25">
      <c r="A274" s="1"/>
      <c r="D274" t="e" cm="1">
        <f t="array" aca="1" ref="D274" ca="1">IF(OR(COUNTIF(damper_names,_xlfn.CONCAT("D_S_",C274))=1, COUNTIF(damper_names,_xlfn.CONCAT("D_E_",C274))=1), "C", "")</f>
        <v>#VALUE!</v>
      </c>
      <c r="E274" t="e">
        <f t="shared" ca="1" si="6"/>
        <v>#VALUE!</v>
      </c>
      <c r="F274" t="e">
        <f t="shared" ca="1" si="7"/>
        <v>#VALUE!</v>
      </c>
      <c r="G274" t="e">
        <f t="shared" ca="1" si="8"/>
        <v>#VALUE!</v>
      </c>
    </row>
    <row r="275" spans="1:7" x14ac:dyDescent="0.25">
      <c r="A275" s="1"/>
      <c r="D275" t="e" cm="1">
        <f t="array" aca="1" ref="D275" ca="1">IF(OR(COUNTIF(damper_names,_xlfn.CONCAT("D_S_",C275))=1, COUNTIF(damper_names,_xlfn.CONCAT("D_E_",C275))=1), "C", "")</f>
        <v>#VALUE!</v>
      </c>
      <c r="E275" t="e">
        <f t="shared" ca="1" si="6"/>
        <v>#VALUE!</v>
      </c>
      <c r="F275" t="e">
        <f t="shared" ca="1" si="7"/>
        <v>#VALUE!</v>
      </c>
      <c r="G275" t="e">
        <f t="shared" ca="1" si="8"/>
        <v>#VALUE!</v>
      </c>
    </row>
    <row r="276" spans="1:7" x14ac:dyDescent="0.25">
      <c r="A276" s="1"/>
      <c r="D276" t="e" cm="1">
        <f t="array" aca="1" ref="D276" ca="1">IF(OR(COUNTIF(damper_names,_xlfn.CONCAT("D_S_",C276))=1, COUNTIF(damper_names,_xlfn.CONCAT("D_E_",C276))=1), "C", "")</f>
        <v>#VALUE!</v>
      </c>
      <c r="E276" t="e">
        <f t="shared" ca="1" si="6"/>
        <v>#VALUE!</v>
      </c>
      <c r="F276" t="e">
        <f t="shared" ca="1" si="7"/>
        <v>#VALUE!</v>
      </c>
      <c r="G276" t="e">
        <f t="shared" ca="1" si="8"/>
        <v>#VALUE!</v>
      </c>
    </row>
    <row r="277" spans="1:7" x14ac:dyDescent="0.25">
      <c r="A277" s="1"/>
      <c r="D277" t="e" cm="1">
        <f t="array" aca="1" ref="D277" ca="1">IF(OR(COUNTIF(damper_names,_xlfn.CONCAT("D_S_",C277))=1, COUNTIF(damper_names,_xlfn.CONCAT("D_E_",C277))=1), "C", "")</f>
        <v>#VALUE!</v>
      </c>
      <c r="E277" t="e">
        <f t="shared" ca="1" si="6"/>
        <v>#VALUE!</v>
      </c>
      <c r="F277" t="e">
        <f t="shared" ca="1" si="7"/>
        <v>#VALUE!</v>
      </c>
      <c r="G277" t="e">
        <f t="shared" ca="1" si="8"/>
        <v>#VALUE!</v>
      </c>
    </row>
    <row r="278" spans="1:7" x14ac:dyDescent="0.25">
      <c r="A278" s="1"/>
      <c r="D278" t="e" cm="1">
        <f t="array" aca="1" ref="D278" ca="1">IF(OR(COUNTIF(damper_names,_xlfn.CONCAT("D_S_",C278))=1, COUNTIF(damper_names,_xlfn.CONCAT("D_E_",C278))=1), "C", "")</f>
        <v>#VALUE!</v>
      </c>
      <c r="E278" t="e">
        <f t="shared" ca="1" si="6"/>
        <v>#VALUE!</v>
      </c>
      <c r="F278" t="e">
        <f t="shared" ca="1" si="7"/>
        <v>#VALUE!</v>
      </c>
      <c r="G278" t="e">
        <f t="shared" ca="1" si="8"/>
        <v>#VALUE!</v>
      </c>
    </row>
    <row r="279" spans="1:7" x14ac:dyDescent="0.25">
      <c r="A279" s="1"/>
      <c r="D279" t="e" cm="1">
        <f t="array" aca="1" ref="D279" ca="1">IF(OR(COUNTIF(damper_names,_xlfn.CONCAT("D_S_",C279))=1, COUNTIF(damper_names,_xlfn.CONCAT("D_E_",C279))=1), "C", "")</f>
        <v>#VALUE!</v>
      </c>
      <c r="E279" t="e">
        <f t="shared" ca="1" si="6"/>
        <v>#VALUE!</v>
      </c>
      <c r="F279" t="e">
        <f t="shared" ca="1" si="7"/>
        <v>#VALUE!</v>
      </c>
      <c r="G279" t="e">
        <f t="shared" ca="1" si="8"/>
        <v>#VALUE!</v>
      </c>
    </row>
    <row r="280" spans="1:7" x14ac:dyDescent="0.25">
      <c r="A280" s="1"/>
      <c r="D280" t="e" cm="1">
        <f t="array" aca="1" ref="D280" ca="1">IF(OR(COUNTIF(damper_names,_xlfn.CONCAT("D_S_",C280))=1, COUNTIF(damper_names,_xlfn.CONCAT("D_E_",C280))=1), "C", "")</f>
        <v>#VALUE!</v>
      </c>
      <c r="E280" t="e">
        <f t="shared" ca="1" si="6"/>
        <v>#VALUE!</v>
      </c>
      <c r="F280" t="e">
        <f t="shared" ca="1" si="7"/>
        <v>#VALUE!</v>
      </c>
      <c r="G280" t="e">
        <f t="shared" ca="1" si="8"/>
        <v>#VALUE!</v>
      </c>
    </row>
    <row r="281" spans="1:7" x14ac:dyDescent="0.25">
      <c r="A281" s="1"/>
      <c r="D281" t="e" cm="1">
        <f t="array" aca="1" ref="D281" ca="1">IF(OR(COUNTIF(damper_names,_xlfn.CONCAT("D_S_",C281))=1, COUNTIF(damper_names,_xlfn.CONCAT("D_E_",C281))=1), "C", "")</f>
        <v>#VALUE!</v>
      </c>
      <c r="E281" t="e">
        <f t="shared" ca="1" si="6"/>
        <v>#VALUE!</v>
      </c>
      <c r="F281" t="e">
        <f t="shared" ca="1" si="7"/>
        <v>#VALUE!</v>
      </c>
      <c r="G281" t="e">
        <f t="shared" ca="1" si="8"/>
        <v>#VALUE!</v>
      </c>
    </row>
    <row r="282" spans="1:7" x14ac:dyDescent="0.25">
      <c r="A282" s="1"/>
      <c r="D282" t="e" cm="1">
        <f t="array" aca="1" ref="D282" ca="1">IF(OR(COUNTIF(damper_names,_xlfn.CONCAT("D_S_",C282))=1, COUNTIF(damper_names,_xlfn.CONCAT("D_E_",C282))=1), "C", "")</f>
        <v>#VALUE!</v>
      </c>
      <c r="E282" t="e">
        <f t="shared" ca="1" si="6"/>
        <v>#VALUE!</v>
      </c>
      <c r="F282" t="e">
        <f t="shared" ca="1" si="7"/>
        <v>#VALUE!</v>
      </c>
      <c r="G282" t="e">
        <f t="shared" ca="1" si="8"/>
        <v>#VALUE!</v>
      </c>
    </row>
    <row r="283" spans="1:7" x14ac:dyDescent="0.25">
      <c r="A283" s="1"/>
      <c r="D283" t="e" cm="1">
        <f t="array" aca="1" ref="D283" ca="1">IF(OR(COUNTIF(damper_names,_xlfn.CONCAT("D_S_",C283))=1, COUNTIF(damper_names,_xlfn.CONCAT("D_E_",C283))=1), "C", "")</f>
        <v>#VALUE!</v>
      </c>
      <c r="E283" t="e">
        <f t="shared" ca="1" si="6"/>
        <v>#VALUE!</v>
      </c>
      <c r="F283" t="e">
        <f t="shared" ca="1" si="7"/>
        <v>#VALUE!</v>
      </c>
      <c r="G283" t="e">
        <f t="shared" ca="1" si="8"/>
        <v>#VALUE!</v>
      </c>
    </row>
    <row r="284" spans="1:7" x14ac:dyDescent="0.25">
      <c r="A284" s="1"/>
      <c r="D284" t="e" cm="1">
        <f t="array" aca="1" ref="D284" ca="1">IF(OR(COUNTIF(damper_names,_xlfn.CONCAT("D_S_",C284))=1, COUNTIF(damper_names,_xlfn.CONCAT("D_E_",C284))=1), "C", "")</f>
        <v>#VALUE!</v>
      </c>
      <c r="E284" t="e">
        <f t="shared" ca="1" si="6"/>
        <v>#VALUE!</v>
      </c>
      <c r="F284" t="e">
        <f t="shared" ca="1" si="7"/>
        <v>#VALUE!</v>
      </c>
      <c r="G284" t="e">
        <f t="shared" ca="1" si="8"/>
        <v>#VALUE!</v>
      </c>
    </row>
    <row r="285" spans="1:7" x14ac:dyDescent="0.25">
      <c r="A285" s="1"/>
      <c r="D285" t="e" cm="1">
        <f t="array" aca="1" ref="D285" ca="1">IF(OR(COUNTIF(damper_names,_xlfn.CONCAT("D_S_",C285))=1, COUNTIF(damper_names,_xlfn.CONCAT("D_E_",C285))=1), "C", "")</f>
        <v>#VALUE!</v>
      </c>
      <c r="E285" t="e">
        <f t="shared" ca="1" si="6"/>
        <v>#VALUE!</v>
      </c>
      <c r="F285" t="e">
        <f t="shared" ca="1" si="7"/>
        <v>#VALUE!</v>
      </c>
      <c r="G285" t="e">
        <f t="shared" ca="1" si="8"/>
        <v>#VALUE!</v>
      </c>
    </row>
    <row r="286" spans="1:7" x14ac:dyDescent="0.25">
      <c r="A286" s="1"/>
      <c r="D286" t="e" cm="1">
        <f t="array" aca="1" ref="D286" ca="1">IF(OR(COUNTIF(damper_names,_xlfn.CONCAT("D_S_",C286))=1, COUNTIF(damper_names,_xlfn.CONCAT("D_E_",C286))=1), "C", "")</f>
        <v>#VALUE!</v>
      </c>
      <c r="E286" t="e">
        <f t="shared" ca="1" si="6"/>
        <v>#VALUE!</v>
      </c>
      <c r="F286" t="e">
        <f t="shared" ca="1" si="7"/>
        <v>#VALUE!</v>
      </c>
      <c r="G286" t="e">
        <f t="shared" ca="1" si="8"/>
        <v>#VALUE!</v>
      </c>
    </row>
    <row r="287" spans="1:7" x14ac:dyDescent="0.25">
      <c r="A287" s="1"/>
      <c r="D287" t="e" cm="1">
        <f t="array" aca="1" ref="D287" ca="1">IF(OR(COUNTIF(damper_names,_xlfn.CONCAT("D_S_",C287))=1, COUNTIF(damper_names,_xlfn.CONCAT("D_E_",C287))=1), "C", "")</f>
        <v>#VALUE!</v>
      </c>
      <c r="E287" t="e">
        <f t="shared" ca="1" si="6"/>
        <v>#VALUE!</v>
      </c>
      <c r="F287" t="e">
        <f t="shared" ca="1" si="7"/>
        <v>#VALUE!</v>
      </c>
      <c r="G287" t="e">
        <f t="shared" ca="1" si="8"/>
        <v>#VALUE!</v>
      </c>
    </row>
    <row r="288" spans="1:7" x14ac:dyDescent="0.25">
      <c r="A288" s="1"/>
      <c r="D288" t="e" cm="1">
        <f t="array" aca="1" ref="D288" ca="1">IF(OR(COUNTIF(damper_names,_xlfn.CONCAT("D_S_",C288))=1, COUNTIF(damper_names,_xlfn.CONCAT("D_E_",C288))=1), "C", "")</f>
        <v>#VALUE!</v>
      </c>
      <c r="E288" t="e">
        <f t="shared" ca="1" si="6"/>
        <v>#VALUE!</v>
      </c>
      <c r="F288" t="e">
        <f t="shared" ca="1" si="7"/>
        <v>#VALUE!</v>
      </c>
      <c r="G288" t="e">
        <f t="shared" ca="1" si="8"/>
        <v>#VALUE!</v>
      </c>
    </row>
    <row r="289" spans="1:7" x14ac:dyDescent="0.25">
      <c r="A289" s="1"/>
      <c r="D289" t="e" cm="1">
        <f t="array" aca="1" ref="D289" ca="1">IF(OR(COUNTIF(damper_names,_xlfn.CONCAT("D_S_",C289))=1, COUNTIF(damper_names,_xlfn.CONCAT("D_E_",C289))=1), "C", "")</f>
        <v>#VALUE!</v>
      </c>
      <c r="E289" t="e">
        <f t="shared" ca="1" si="6"/>
        <v>#VALUE!</v>
      </c>
      <c r="F289" t="e">
        <f t="shared" ca="1" si="7"/>
        <v>#VALUE!</v>
      </c>
      <c r="G289" t="e">
        <f t="shared" ca="1" si="8"/>
        <v>#VALUE!</v>
      </c>
    </row>
    <row r="290" spans="1:7" x14ac:dyDescent="0.25">
      <c r="A290" s="1"/>
      <c r="D290" t="e" cm="1">
        <f t="array" aca="1" ref="D290" ca="1">IF(OR(COUNTIF(damper_names,_xlfn.CONCAT("D_S_",C290))=1, COUNTIF(damper_names,_xlfn.CONCAT("D_E_",C290))=1), "C", "")</f>
        <v>#VALUE!</v>
      </c>
      <c r="E290" t="e">
        <f t="shared" ca="1" si="6"/>
        <v>#VALUE!</v>
      </c>
      <c r="F290" t="e">
        <f t="shared" ca="1" si="7"/>
        <v>#VALUE!</v>
      </c>
      <c r="G290" t="e">
        <f t="shared" ca="1" si="8"/>
        <v>#VALUE!</v>
      </c>
    </row>
    <row r="291" spans="1:7" x14ac:dyDescent="0.25">
      <c r="A291" s="1"/>
      <c r="D291" t="e" cm="1">
        <f t="array" aca="1" ref="D291" ca="1">IF(OR(COUNTIF(damper_names,_xlfn.CONCAT("D_S_",C291))=1, COUNTIF(damper_names,_xlfn.CONCAT("D_E_",C291))=1), "C", "")</f>
        <v>#VALUE!</v>
      </c>
      <c r="E291" t="e">
        <f t="shared" ca="1" si="6"/>
        <v>#VALUE!</v>
      </c>
      <c r="F291" t="e">
        <f t="shared" ca="1" si="7"/>
        <v>#VALUE!</v>
      </c>
      <c r="G291" t="e">
        <f t="shared" ca="1" si="8"/>
        <v>#VALUE!</v>
      </c>
    </row>
    <row r="292" spans="1:7" x14ac:dyDescent="0.25">
      <c r="A292" s="1"/>
      <c r="D292" t="e" cm="1">
        <f t="array" aca="1" ref="D292" ca="1">IF(OR(COUNTIF(damper_names,_xlfn.CONCAT("D_S_",C292))=1, COUNTIF(damper_names,_xlfn.CONCAT("D_E_",C292))=1), "C", "")</f>
        <v>#VALUE!</v>
      </c>
      <c r="E292" t="e">
        <f t="shared" ca="1" si="6"/>
        <v>#VALUE!</v>
      </c>
      <c r="F292" t="e">
        <f t="shared" ca="1" si="7"/>
        <v>#VALUE!</v>
      </c>
      <c r="G292" t="e">
        <f t="shared" ca="1" si="8"/>
        <v>#VALUE!</v>
      </c>
    </row>
    <row r="293" spans="1:7" x14ac:dyDescent="0.25">
      <c r="A293" s="1"/>
      <c r="D293" t="e" cm="1">
        <f t="array" aca="1" ref="D293" ca="1">IF(OR(COUNTIF(damper_names,_xlfn.CONCAT("D_S_",C293))=1, COUNTIF(damper_names,_xlfn.CONCAT("D_E_",C293))=1), "C", "")</f>
        <v>#VALUE!</v>
      </c>
      <c r="E293" t="e">
        <f t="shared" ca="1" si="6"/>
        <v>#VALUE!</v>
      </c>
      <c r="F293" t="e">
        <f t="shared" ca="1" si="7"/>
        <v>#VALUE!</v>
      </c>
      <c r="G293" t="e">
        <f t="shared" ca="1" si="8"/>
        <v>#VALUE!</v>
      </c>
    </row>
    <row r="294" spans="1:7" x14ac:dyDescent="0.25">
      <c r="A294" s="1"/>
      <c r="D294" t="e" cm="1">
        <f t="array" aca="1" ref="D294" ca="1">IF(OR(COUNTIF(damper_names,_xlfn.CONCAT("D_S_",C294))=1, COUNTIF(damper_names,_xlfn.CONCAT("D_E_",C294))=1), "C", "")</f>
        <v>#VALUE!</v>
      </c>
      <c r="E294" t="e">
        <f t="shared" ca="1" si="6"/>
        <v>#VALUE!</v>
      </c>
      <c r="F294" t="e">
        <f t="shared" ca="1" si="7"/>
        <v>#VALUE!</v>
      </c>
      <c r="G294" t="e">
        <f t="shared" ca="1" si="8"/>
        <v>#VALUE!</v>
      </c>
    </row>
    <row r="295" spans="1:7" x14ac:dyDescent="0.25">
      <c r="A295" s="1"/>
      <c r="D295" t="e" cm="1">
        <f t="array" aca="1" ref="D295" ca="1">IF(OR(COUNTIF(damper_names,_xlfn.CONCAT("D_S_",C295))=1, COUNTIF(damper_names,_xlfn.CONCAT("D_E_",C295))=1), "C", "")</f>
        <v>#VALUE!</v>
      </c>
      <c r="E295" t="e">
        <f t="shared" ca="1" si="6"/>
        <v>#VALUE!</v>
      </c>
      <c r="F295" t="e">
        <f t="shared" ca="1" si="7"/>
        <v>#VALUE!</v>
      </c>
      <c r="G295" t="e">
        <f t="shared" ca="1" si="8"/>
        <v>#VALUE!</v>
      </c>
    </row>
    <row r="296" spans="1:7" x14ac:dyDescent="0.25">
      <c r="A296" s="1"/>
      <c r="D296" t="e" cm="1">
        <f t="array" aca="1" ref="D296" ca="1">IF(OR(COUNTIF(damper_names,_xlfn.CONCAT("D_S_",C296))=1, COUNTIF(damper_names,_xlfn.CONCAT("D_E_",C296))=1), "C", "")</f>
        <v>#VALUE!</v>
      </c>
      <c r="E296" t="e">
        <f t="shared" ca="1" si="6"/>
        <v>#VALUE!</v>
      </c>
      <c r="F296" t="e">
        <f t="shared" ca="1" si="7"/>
        <v>#VALUE!</v>
      </c>
      <c r="G296" t="e">
        <f t="shared" ca="1" si="8"/>
        <v>#VALUE!</v>
      </c>
    </row>
    <row r="297" spans="1:7" x14ac:dyDescent="0.25">
      <c r="A297" s="1"/>
      <c r="D297" t="e" cm="1">
        <f t="array" aca="1" ref="D297" ca="1">IF(OR(COUNTIF(damper_names,_xlfn.CONCAT("D_S_",C297))=1, COUNTIF(damper_names,_xlfn.CONCAT("D_E_",C297))=1), "C", "")</f>
        <v>#VALUE!</v>
      </c>
      <c r="E297" t="e">
        <f t="shared" ca="1" si="6"/>
        <v>#VALUE!</v>
      </c>
      <c r="F297" t="e">
        <f t="shared" ca="1" si="7"/>
        <v>#VALUE!</v>
      </c>
      <c r="G297" t="e">
        <f t="shared" ca="1" si="8"/>
        <v>#VALUE!</v>
      </c>
    </row>
    <row r="298" spans="1:7" x14ac:dyDescent="0.25">
      <c r="A298" s="1"/>
      <c r="D298" t="e" cm="1">
        <f t="array" aca="1" ref="D298" ca="1">IF(OR(COUNTIF(damper_names,_xlfn.CONCAT("D_S_",C298))=1, COUNTIF(damper_names,_xlfn.CONCAT("D_E_",C298))=1), "C", "")</f>
        <v>#VALUE!</v>
      </c>
      <c r="E298" t="e">
        <f t="shared" ca="1" si="6"/>
        <v>#VALUE!</v>
      </c>
      <c r="F298" t="e">
        <f t="shared" ca="1" si="7"/>
        <v>#VALUE!</v>
      </c>
      <c r="G298" t="e">
        <f t="shared" ca="1" si="8"/>
        <v>#VALUE!</v>
      </c>
    </row>
    <row r="299" spans="1:7" x14ac:dyDescent="0.25">
      <c r="A299" s="1"/>
      <c r="D299" t="e" cm="1">
        <f t="array" aca="1" ref="D299" ca="1">IF(OR(COUNTIF(damper_names,_xlfn.CONCAT("D_S_",C299))=1, COUNTIF(damper_names,_xlfn.CONCAT("D_E_",C299))=1), "C", "")</f>
        <v>#VALUE!</v>
      </c>
      <c r="E299" t="e">
        <f t="shared" ca="1" si="6"/>
        <v>#VALUE!</v>
      </c>
      <c r="F299" t="e">
        <f t="shared" ca="1" si="7"/>
        <v>#VALUE!</v>
      </c>
      <c r="G299" t="e">
        <f t="shared" ca="1" si="8"/>
        <v>#VALUE!</v>
      </c>
    </row>
    <row r="300" spans="1:7" x14ac:dyDescent="0.25">
      <c r="A300" s="1"/>
      <c r="D300" t="e" cm="1">
        <f t="array" aca="1" ref="D300" ca="1">IF(OR(COUNTIF(damper_names,_xlfn.CONCAT("D_S_",C300))=1, COUNTIF(damper_names,_xlfn.CONCAT("D_E_",C300))=1), "C", "")</f>
        <v>#VALUE!</v>
      </c>
      <c r="E300" t="e">
        <f t="shared" ca="1" si="6"/>
        <v>#VALUE!</v>
      </c>
      <c r="F300" t="e">
        <f t="shared" ca="1" si="7"/>
        <v>#VALUE!</v>
      </c>
      <c r="G300" t="e">
        <f t="shared" ca="1" si="8"/>
        <v>#VALUE!</v>
      </c>
    </row>
    <row r="301" spans="1:7" x14ac:dyDescent="0.25">
      <c r="A301" s="1"/>
      <c r="D301" t="e" cm="1">
        <f t="array" aca="1" ref="D301" ca="1">IF(OR(COUNTIF(damper_names,_xlfn.CONCAT("D_S_",C301))=1, COUNTIF(damper_names,_xlfn.CONCAT("D_E_",C301))=1), "C", "")</f>
        <v>#VALUE!</v>
      </c>
      <c r="E301" t="e">
        <f t="shared" ca="1" si="6"/>
        <v>#VALUE!</v>
      </c>
      <c r="F301" t="e">
        <f t="shared" ca="1" si="7"/>
        <v>#VALUE!</v>
      </c>
      <c r="G301" t="e">
        <f t="shared" ca="1" si="8"/>
        <v>#VALUE!</v>
      </c>
    </row>
    <row r="302" spans="1:7" x14ac:dyDescent="0.25">
      <c r="A302" s="1"/>
      <c r="D302" t="e" cm="1">
        <f t="array" aca="1" ref="D302" ca="1">IF(OR(COUNTIF(damper_names,_xlfn.CONCAT("D_S_",C302))=1, COUNTIF(damper_names,_xlfn.CONCAT("D_E_",C302))=1), "C", "")</f>
        <v>#VALUE!</v>
      </c>
      <c r="E302" t="e">
        <f t="shared" ca="1" si="6"/>
        <v>#VALUE!</v>
      </c>
      <c r="F302" t="e">
        <f t="shared" ca="1" si="7"/>
        <v>#VALUE!</v>
      </c>
      <c r="G302" t="e">
        <f t="shared" ca="1" si="8"/>
        <v>#VALUE!</v>
      </c>
    </row>
    <row r="303" spans="1:7" x14ac:dyDescent="0.25">
      <c r="A303" s="1"/>
      <c r="D303" t="e" cm="1">
        <f t="array" aca="1" ref="D303" ca="1">IF(OR(COUNTIF(damper_names,_xlfn.CONCAT("D_S_",C303))=1, COUNTIF(damper_names,_xlfn.CONCAT("D_E_",C303))=1), "C", "")</f>
        <v>#VALUE!</v>
      </c>
      <c r="E303" t="e">
        <f t="shared" ca="1" si="6"/>
        <v>#VALUE!</v>
      </c>
      <c r="F303" t="e">
        <f t="shared" ca="1" si="7"/>
        <v>#VALUE!</v>
      </c>
      <c r="G303" t="e">
        <f t="shared" ca="1" si="8"/>
        <v>#VALUE!</v>
      </c>
    </row>
    <row r="304" spans="1:7" x14ac:dyDescent="0.25">
      <c r="A304" s="1"/>
      <c r="D304" t="e" cm="1">
        <f t="array" aca="1" ref="D304" ca="1">IF(OR(COUNTIF(damper_names,_xlfn.CONCAT("D_S_",C304))=1, COUNTIF(damper_names,_xlfn.CONCAT("D_E_",C304))=1), "C", "")</f>
        <v>#VALUE!</v>
      </c>
      <c r="E304" t="e">
        <f t="shared" ca="1" si="6"/>
        <v>#VALUE!</v>
      </c>
      <c r="F304" t="e">
        <f t="shared" ca="1" si="7"/>
        <v>#VALUE!</v>
      </c>
      <c r="G304" t="e">
        <f t="shared" ca="1" si="8"/>
        <v>#VALUE!</v>
      </c>
    </row>
    <row r="305" spans="1:7" x14ac:dyDescent="0.25">
      <c r="A305" s="1"/>
      <c r="D305" t="e" cm="1">
        <f t="array" aca="1" ref="D305" ca="1">IF(OR(COUNTIF(damper_names,_xlfn.CONCAT("D_S_",C305))=1, COUNTIF(damper_names,_xlfn.CONCAT("D_E_",C305))=1), "C", "")</f>
        <v>#VALUE!</v>
      </c>
      <c r="E305" t="e">
        <f t="shared" ca="1" si="6"/>
        <v>#VALUE!</v>
      </c>
      <c r="F305" t="e">
        <f t="shared" ca="1" si="7"/>
        <v>#VALUE!</v>
      </c>
      <c r="G305" t="e">
        <f t="shared" ca="1" si="8"/>
        <v>#VALUE!</v>
      </c>
    </row>
    <row r="306" spans="1:7" x14ac:dyDescent="0.25">
      <c r="A306" s="1"/>
      <c r="D306" t="e" cm="1">
        <f t="array" aca="1" ref="D306" ca="1">IF(OR(COUNTIF(damper_names,_xlfn.CONCAT("D_S_",C306))=1, COUNTIF(damper_names,_xlfn.CONCAT("D_E_",C306))=1), "C", "")</f>
        <v>#VALUE!</v>
      </c>
      <c r="E306" t="e">
        <f t="shared" ca="1" si="6"/>
        <v>#VALUE!</v>
      </c>
      <c r="F306" t="e">
        <f t="shared" ca="1" si="7"/>
        <v>#VALUE!</v>
      </c>
      <c r="G306" t="e">
        <f t="shared" ca="1" si="8"/>
        <v>#VALUE!</v>
      </c>
    </row>
    <row r="307" spans="1:7" x14ac:dyDescent="0.25">
      <c r="A307" s="1"/>
      <c r="D307" t="e" cm="1">
        <f t="array" aca="1" ref="D307" ca="1">IF(OR(COUNTIF(damper_names,_xlfn.CONCAT("D_S_",C307))=1, COUNTIF(damper_names,_xlfn.CONCAT("D_E_",C307))=1), "C", "")</f>
        <v>#VALUE!</v>
      </c>
      <c r="E307" t="e">
        <f t="shared" ca="1" si="6"/>
        <v>#VALUE!</v>
      </c>
      <c r="F307" t="e">
        <f t="shared" ca="1" si="7"/>
        <v>#VALUE!</v>
      </c>
      <c r="G307" t="e">
        <f t="shared" ca="1" si="8"/>
        <v>#VALUE!</v>
      </c>
    </row>
    <row r="308" spans="1:7" x14ac:dyDescent="0.25">
      <c r="A308" s="1"/>
      <c r="D308" t="e" cm="1">
        <f t="array" aca="1" ref="D308" ca="1">IF(OR(COUNTIF(damper_names,_xlfn.CONCAT("D_S_",C308))=1, COUNTIF(damper_names,_xlfn.CONCAT("D_E_",C308))=1), "C", "")</f>
        <v>#VALUE!</v>
      </c>
      <c r="E308" t="e">
        <f t="shared" ca="1" si="6"/>
        <v>#VALUE!</v>
      </c>
      <c r="F308" t="e">
        <f t="shared" ca="1" si="7"/>
        <v>#VALUE!</v>
      </c>
      <c r="G308" t="e">
        <f t="shared" ca="1" si="8"/>
        <v>#VALUE!</v>
      </c>
    </row>
    <row r="309" spans="1:7" x14ac:dyDescent="0.25">
      <c r="A309" s="1"/>
      <c r="D309" t="e" cm="1">
        <f t="array" aca="1" ref="D309" ca="1">IF(OR(COUNTIF(damper_names,_xlfn.CONCAT("D_S_",C309))=1, COUNTIF(damper_names,_xlfn.CONCAT("D_E_",C309))=1), "C", "")</f>
        <v>#VALUE!</v>
      </c>
      <c r="E309" t="e">
        <f t="shared" ca="1" si="6"/>
        <v>#VALUE!</v>
      </c>
      <c r="F309" t="e">
        <f t="shared" ca="1" si="7"/>
        <v>#VALUE!</v>
      </c>
      <c r="G309" t="e">
        <f t="shared" ca="1" si="8"/>
        <v>#VALUE!</v>
      </c>
    </row>
    <row r="310" spans="1:7" x14ac:dyDescent="0.25">
      <c r="A310" s="1"/>
      <c r="D310" t="e" cm="1">
        <f t="array" aca="1" ref="D310" ca="1">IF(OR(COUNTIF(damper_names,_xlfn.CONCAT("D_S_",C310))=1, COUNTIF(damper_names,_xlfn.CONCAT("D_E_",C310))=1), "C", "")</f>
        <v>#VALUE!</v>
      </c>
      <c r="E310" t="e">
        <f t="shared" ca="1" si="6"/>
        <v>#VALUE!</v>
      </c>
      <c r="F310" t="e">
        <f t="shared" ca="1" si="7"/>
        <v>#VALUE!</v>
      </c>
      <c r="G310" t="e">
        <f t="shared" ca="1" si="8"/>
        <v>#VALUE!</v>
      </c>
    </row>
    <row r="311" spans="1:7" x14ac:dyDescent="0.25">
      <c r="A311" s="1"/>
      <c r="D311" t="e" cm="1">
        <f t="array" aca="1" ref="D311" ca="1">IF(OR(COUNTIF(damper_names,_xlfn.CONCAT("D_S_",C311))=1, COUNTIF(damper_names,_xlfn.CONCAT("D_E_",C311))=1), "C", "")</f>
        <v>#VALUE!</v>
      </c>
      <c r="E311" t="e">
        <f t="shared" ca="1" si="6"/>
        <v>#VALUE!</v>
      </c>
      <c r="F311" t="e">
        <f t="shared" ca="1" si="7"/>
        <v>#VALUE!</v>
      </c>
      <c r="G311" t="e">
        <f t="shared" ca="1" si="8"/>
        <v>#VALUE!</v>
      </c>
    </row>
    <row r="312" spans="1:7" x14ac:dyDescent="0.25">
      <c r="A312" s="1"/>
      <c r="D312" t="e" cm="1">
        <f t="array" aca="1" ref="D312" ca="1">IF(OR(COUNTIF(damper_names,_xlfn.CONCAT("D_S_",C312))=1, COUNTIF(damper_names,_xlfn.CONCAT("D_E_",C312))=1), "C", "")</f>
        <v>#VALUE!</v>
      </c>
      <c r="E312" t="e">
        <f t="shared" ca="1" si="6"/>
        <v>#VALUE!</v>
      </c>
      <c r="F312" t="e">
        <f t="shared" ca="1" si="7"/>
        <v>#VALUE!</v>
      </c>
      <c r="G312" t="e">
        <f t="shared" ca="1" si="8"/>
        <v>#VALUE!</v>
      </c>
    </row>
    <row r="313" spans="1:7" x14ac:dyDescent="0.25">
      <c r="A313" s="1"/>
      <c r="D313" t="e" cm="1">
        <f t="array" aca="1" ref="D313" ca="1">IF(OR(COUNTIF(damper_names,_xlfn.CONCAT("D_S_",C313))=1, COUNTIF(damper_names,_xlfn.CONCAT("D_E_",C313))=1), "C", "")</f>
        <v>#VALUE!</v>
      </c>
      <c r="E313" t="e">
        <f t="shared" ca="1" si="6"/>
        <v>#VALUE!</v>
      </c>
      <c r="F313" t="e">
        <f t="shared" ca="1" si="7"/>
        <v>#VALUE!</v>
      </c>
      <c r="G313" t="e">
        <f t="shared" ca="1" si="8"/>
        <v>#VALUE!</v>
      </c>
    </row>
    <row r="314" spans="1:7" x14ac:dyDescent="0.25">
      <c r="A314" s="1"/>
      <c r="D314" t="e" cm="1">
        <f t="array" aca="1" ref="D314" ca="1">IF(OR(COUNTIF(damper_names,_xlfn.CONCAT("D_S_",C314))=1, COUNTIF(damper_names,_xlfn.CONCAT("D_E_",C314))=1), "C", "")</f>
        <v>#VALUE!</v>
      </c>
      <c r="E314" t="e">
        <f t="shared" ca="1" si="6"/>
        <v>#VALUE!</v>
      </c>
      <c r="F314" t="e">
        <f t="shared" ca="1" si="7"/>
        <v>#VALUE!</v>
      </c>
      <c r="G314" t="e">
        <f t="shared" ca="1" si="8"/>
        <v>#VALUE!</v>
      </c>
    </row>
    <row r="315" spans="1:7" x14ac:dyDescent="0.25">
      <c r="A315" s="1"/>
      <c r="D315" t="e" cm="1">
        <f t="array" aca="1" ref="D315" ca="1">IF(OR(COUNTIF(damper_names,_xlfn.CONCAT("D_S_",C315))=1, COUNTIF(damper_names,_xlfn.CONCAT("D_E_",C315))=1), "C", "")</f>
        <v>#VALUE!</v>
      </c>
      <c r="E315" t="e">
        <f t="shared" ca="1" si="6"/>
        <v>#VALUE!</v>
      </c>
      <c r="F315" t="e">
        <f t="shared" ca="1" si="7"/>
        <v>#VALUE!</v>
      </c>
      <c r="G315" t="e">
        <f t="shared" ca="1" si="8"/>
        <v>#VALUE!</v>
      </c>
    </row>
    <row r="316" spans="1:7" x14ac:dyDescent="0.25">
      <c r="A316" s="1"/>
      <c r="D316" t="e" cm="1">
        <f t="array" aca="1" ref="D316" ca="1">IF(OR(COUNTIF(damper_names,_xlfn.CONCAT("D_S_",C316))=1, COUNTIF(damper_names,_xlfn.CONCAT("D_E_",C316))=1), "C", "")</f>
        <v>#VALUE!</v>
      </c>
      <c r="E316" t="e">
        <f t="shared" ca="1" si="6"/>
        <v>#VALUE!</v>
      </c>
      <c r="F316" t="e">
        <f t="shared" ca="1" si="7"/>
        <v>#VALUE!</v>
      </c>
      <c r="G316" t="e">
        <f t="shared" ca="1" si="8"/>
        <v>#VALUE!</v>
      </c>
    </row>
    <row r="317" spans="1:7" x14ac:dyDescent="0.25">
      <c r="A317" s="1"/>
      <c r="D317" t="e" cm="1">
        <f t="array" aca="1" ref="D317" ca="1">IF(OR(COUNTIF(damper_names,_xlfn.CONCAT("D_S_",C317))=1, COUNTIF(damper_names,_xlfn.CONCAT("D_E_",C317))=1), "C", "")</f>
        <v>#VALUE!</v>
      </c>
      <c r="E317" t="e">
        <f t="shared" ca="1" si="6"/>
        <v>#VALUE!</v>
      </c>
      <c r="F317" t="e">
        <f t="shared" ca="1" si="7"/>
        <v>#VALUE!</v>
      </c>
      <c r="G317" t="e">
        <f t="shared" ca="1" si="8"/>
        <v>#VALUE!</v>
      </c>
    </row>
    <row r="318" spans="1:7" x14ac:dyDescent="0.25">
      <c r="A318" s="1"/>
      <c r="D318" t="e" cm="1">
        <f t="array" aca="1" ref="D318" ca="1">IF(OR(COUNTIF(damper_names,_xlfn.CONCAT("D_S_",C318))=1, COUNTIF(damper_names,_xlfn.CONCAT("D_E_",C318))=1), "C", "")</f>
        <v>#VALUE!</v>
      </c>
      <c r="E318" t="e">
        <f t="shared" ca="1" si="6"/>
        <v>#VALUE!</v>
      </c>
      <c r="F318" t="e">
        <f t="shared" ca="1" si="7"/>
        <v>#VALUE!</v>
      </c>
      <c r="G318" t="e">
        <f t="shared" ca="1" si="8"/>
        <v>#VALUE!</v>
      </c>
    </row>
    <row r="319" spans="1:7" x14ac:dyDescent="0.25">
      <c r="A319" s="1"/>
      <c r="D319" t="e" cm="1">
        <f t="array" aca="1" ref="D319" ca="1">IF(OR(COUNTIF(damper_names,_xlfn.CONCAT("D_S_",C319))=1, COUNTIF(damper_names,_xlfn.CONCAT("D_E_",C319))=1), "C", "")</f>
        <v>#VALUE!</v>
      </c>
      <c r="E319" t="e">
        <f t="shared" ca="1" si="6"/>
        <v>#VALUE!</v>
      </c>
      <c r="F319" t="e">
        <f t="shared" ca="1" si="7"/>
        <v>#VALUE!</v>
      </c>
      <c r="G319" t="e">
        <f t="shared" ca="1" si="8"/>
        <v>#VALUE!</v>
      </c>
    </row>
    <row r="320" spans="1:7" x14ac:dyDescent="0.25">
      <c r="A320" s="1"/>
      <c r="D320" t="e" cm="1">
        <f t="array" aca="1" ref="D320" ca="1">IF(OR(COUNTIF(damper_names,_xlfn.CONCAT("D_S_",C320))=1, COUNTIF(damper_names,_xlfn.CONCAT("D_E_",C320))=1), "C", "")</f>
        <v>#VALUE!</v>
      </c>
      <c r="E320" t="e">
        <f t="shared" ca="1" si="6"/>
        <v>#VALUE!</v>
      </c>
      <c r="F320" t="e">
        <f t="shared" ca="1" si="7"/>
        <v>#VALUE!</v>
      </c>
      <c r="G320" t="e">
        <f t="shared" ca="1" si="8"/>
        <v>#VALUE!</v>
      </c>
    </row>
    <row r="321" spans="1:7" x14ac:dyDescent="0.25">
      <c r="A321" s="1"/>
      <c r="D321" t="e" cm="1">
        <f t="array" aca="1" ref="D321" ca="1">IF(OR(COUNTIF(damper_names,_xlfn.CONCAT("D_S_",C321))=1, COUNTIF(damper_names,_xlfn.CONCAT("D_E_",C321))=1), "C", "")</f>
        <v>#VALUE!</v>
      </c>
      <c r="E321" t="e">
        <f t="shared" ca="1" si="6"/>
        <v>#VALUE!</v>
      </c>
      <c r="F321" t="e">
        <f t="shared" ca="1" si="7"/>
        <v>#VALUE!</v>
      </c>
      <c r="G321" t="e">
        <f t="shared" ca="1" si="8"/>
        <v>#VALUE!</v>
      </c>
    </row>
    <row r="322" spans="1:7" x14ac:dyDescent="0.25">
      <c r="A322" s="1"/>
      <c r="D322" t="e" cm="1">
        <f t="array" aca="1" ref="D322" ca="1">IF(OR(COUNTIF(damper_names,_xlfn.CONCAT("D_S_",C322))=1, COUNTIF(damper_names,_xlfn.CONCAT("D_E_",C322))=1), "C", "")</f>
        <v>#VALUE!</v>
      </c>
      <c r="E322" t="e">
        <f t="shared" ca="1" si="6"/>
        <v>#VALUE!</v>
      </c>
      <c r="F322" t="e">
        <f t="shared" ca="1" si="7"/>
        <v>#VALUE!</v>
      </c>
      <c r="G322" t="e">
        <f t="shared" ca="1" si="8"/>
        <v>#VALUE!</v>
      </c>
    </row>
    <row r="323" spans="1:7" x14ac:dyDescent="0.25">
      <c r="A323" s="1"/>
      <c r="D323" t="e" cm="1">
        <f t="array" aca="1" ref="D323" ca="1">IF(OR(COUNTIF(damper_names,_xlfn.CONCAT("D_S_",C323))=1, COUNTIF(damper_names,_xlfn.CONCAT("D_E_",C323))=1), "C", "")</f>
        <v>#VALUE!</v>
      </c>
      <c r="E323" t="e">
        <f t="shared" ca="1" si="6"/>
        <v>#VALUE!</v>
      </c>
      <c r="F323" t="e">
        <f t="shared" ca="1" si="7"/>
        <v>#VALUE!</v>
      </c>
      <c r="G323" t="e">
        <f t="shared" ca="1" si="8"/>
        <v>#VALUE!</v>
      </c>
    </row>
    <row r="324" spans="1:7" x14ac:dyDescent="0.25">
      <c r="A324" s="1"/>
      <c r="D324" t="e" cm="1">
        <f t="array" aca="1" ref="D324" ca="1">IF(OR(COUNTIF(damper_names,_xlfn.CONCAT("D_S_",C324))=1, COUNTIF(damper_names,_xlfn.CONCAT("D_E_",C324))=1), "C", "")</f>
        <v>#VALUE!</v>
      </c>
      <c r="E324" t="e">
        <f t="shared" ca="1" si="6"/>
        <v>#VALUE!</v>
      </c>
      <c r="F324" t="e">
        <f t="shared" ca="1" si="7"/>
        <v>#VALUE!</v>
      </c>
      <c r="G324" t="e">
        <f t="shared" ca="1" si="8"/>
        <v>#VALUE!</v>
      </c>
    </row>
    <row r="325" spans="1:7" x14ac:dyDescent="0.25">
      <c r="A325" s="1"/>
      <c r="D325" t="e" cm="1">
        <f t="array" aca="1" ref="D325" ca="1">IF(OR(COUNTIF(damper_names,_xlfn.CONCAT("D_S_",C325))=1, COUNTIF(damper_names,_xlfn.CONCAT("D_E_",C325))=1), "C", "")</f>
        <v>#VALUE!</v>
      </c>
      <c r="E325" t="e">
        <f t="shared" ca="1" si="6"/>
        <v>#VALUE!</v>
      </c>
      <c r="F325" t="e">
        <f t="shared" ca="1" si="7"/>
        <v>#VALUE!</v>
      </c>
      <c r="G325" t="e">
        <f t="shared" ca="1" si="8"/>
        <v>#VALUE!</v>
      </c>
    </row>
    <row r="326" spans="1:7" x14ac:dyDescent="0.25">
      <c r="A326" s="1"/>
      <c r="D326" t="e" cm="1">
        <f t="array" aca="1" ref="D326" ca="1">IF(OR(COUNTIF(damper_names,_xlfn.CONCAT("D_S_",C326))=1, COUNTIF(damper_names,_xlfn.CONCAT("D_E_",C326))=1), "C", "")</f>
        <v>#VALUE!</v>
      </c>
      <c r="E326" t="e">
        <f t="shared" ca="1" si="6"/>
        <v>#VALUE!</v>
      </c>
      <c r="F326" t="e">
        <f t="shared" ca="1" si="7"/>
        <v>#VALUE!</v>
      </c>
      <c r="G326" t="e">
        <f t="shared" ca="1" si="8"/>
        <v>#VALUE!</v>
      </c>
    </row>
    <row r="327" spans="1:7" x14ac:dyDescent="0.25">
      <c r="A327" s="1"/>
      <c r="D327" t="e" cm="1">
        <f t="array" aca="1" ref="D327" ca="1">IF(OR(COUNTIF(damper_names,_xlfn.CONCAT("D_S_",C327))=1, COUNTIF(damper_names,_xlfn.CONCAT("D_E_",C327))=1), "C", "")</f>
        <v>#VALUE!</v>
      </c>
      <c r="E327" t="e">
        <f t="shared" ref="E327:E390" ca="1" si="9">IF(D327="T", 0.05, IF(D327="C", -0.01, ""))</f>
        <v>#VALUE!</v>
      </c>
      <c r="F327" t="e">
        <f t="shared" ref="F327:F390" ca="1" si="10">IF(D327="T", 0.05, IF(D327="C", 0, ""))</f>
        <v>#VALUE!</v>
      </c>
      <c r="G327" t="e">
        <f t="shared" ref="G327:G390" ca="1" si="11">IF(D327="T", 0, IF(D327="C", 0, ""))</f>
        <v>#VALUE!</v>
      </c>
    </row>
    <row r="328" spans="1:7" x14ac:dyDescent="0.25">
      <c r="A328" s="1"/>
      <c r="D328" t="e" cm="1">
        <f t="array" aca="1" ref="D328" ca="1">IF(OR(COUNTIF(damper_names,_xlfn.CONCAT("D_S_",C328))=1, COUNTIF(damper_names,_xlfn.CONCAT("D_E_",C328))=1), "C", "")</f>
        <v>#VALUE!</v>
      </c>
      <c r="E328" t="e">
        <f t="shared" ca="1" si="9"/>
        <v>#VALUE!</v>
      </c>
      <c r="F328" t="e">
        <f t="shared" ca="1" si="10"/>
        <v>#VALUE!</v>
      </c>
      <c r="G328" t="e">
        <f t="shared" ca="1" si="11"/>
        <v>#VALUE!</v>
      </c>
    </row>
    <row r="329" spans="1:7" x14ac:dyDescent="0.25">
      <c r="A329" s="1"/>
      <c r="D329" t="e" cm="1">
        <f t="array" aca="1" ref="D329" ca="1">IF(OR(COUNTIF(damper_names,_xlfn.CONCAT("D_S_",C329))=1, COUNTIF(damper_names,_xlfn.CONCAT("D_E_",C329))=1), "C", "")</f>
        <v>#VALUE!</v>
      </c>
      <c r="E329" t="e">
        <f t="shared" ca="1" si="9"/>
        <v>#VALUE!</v>
      </c>
      <c r="F329" t="e">
        <f t="shared" ca="1" si="10"/>
        <v>#VALUE!</v>
      </c>
      <c r="G329" t="e">
        <f t="shared" ca="1" si="11"/>
        <v>#VALUE!</v>
      </c>
    </row>
    <row r="330" spans="1:7" x14ac:dyDescent="0.25">
      <c r="A330" s="1"/>
      <c r="D330" t="e" cm="1">
        <f t="array" aca="1" ref="D330" ca="1">IF(OR(COUNTIF(damper_names,_xlfn.CONCAT("D_S_",C330))=1, COUNTIF(damper_names,_xlfn.CONCAT("D_E_",C330))=1), "C", "")</f>
        <v>#VALUE!</v>
      </c>
      <c r="E330" t="e">
        <f t="shared" ca="1" si="9"/>
        <v>#VALUE!</v>
      </c>
      <c r="F330" t="e">
        <f t="shared" ca="1" si="10"/>
        <v>#VALUE!</v>
      </c>
      <c r="G330" t="e">
        <f t="shared" ca="1" si="11"/>
        <v>#VALUE!</v>
      </c>
    </row>
    <row r="331" spans="1:7" x14ac:dyDescent="0.25">
      <c r="A331" s="1"/>
      <c r="D331" t="e" cm="1">
        <f t="array" aca="1" ref="D331" ca="1">IF(OR(COUNTIF(damper_names,_xlfn.CONCAT("D_S_",C331))=1, COUNTIF(damper_names,_xlfn.CONCAT("D_E_",C331))=1), "C", "")</f>
        <v>#VALUE!</v>
      </c>
      <c r="E331" t="e">
        <f t="shared" ca="1" si="9"/>
        <v>#VALUE!</v>
      </c>
      <c r="F331" t="e">
        <f t="shared" ca="1" si="10"/>
        <v>#VALUE!</v>
      </c>
      <c r="G331" t="e">
        <f t="shared" ca="1" si="11"/>
        <v>#VALUE!</v>
      </c>
    </row>
    <row r="332" spans="1:7" x14ac:dyDescent="0.25">
      <c r="A332" s="1"/>
      <c r="D332" t="e" cm="1">
        <f t="array" aca="1" ref="D332" ca="1">IF(OR(COUNTIF(damper_names,_xlfn.CONCAT("D_S_",C332))=1, COUNTIF(damper_names,_xlfn.CONCAT("D_E_",C332))=1), "C", "")</f>
        <v>#VALUE!</v>
      </c>
      <c r="E332" t="e">
        <f t="shared" ca="1" si="9"/>
        <v>#VALUE!</v>
      </c>
      <c r="F332" t="e">
        <f t="shared" ca="1" si="10"/>
        <v>#VALUE!</v>
      </c>
      <c r="G332" t="e">
        <f t="shared" ca="1" si="11"/>
        <v>#VALUE!</v>
      </c>
    </row>
    <row r="333" spans="1:7" x14ac:dyDescent="0.25">
      <c r="A333" s="1"/>
      <c r="D333" t="e" cm="1">
        <f t="array" aca="1" ref="D333" ca="1">IF(OR(COUNTIF(damper_names,_xlfn.CONCAT("D_S_",C333))=1, COUNTIF(damper_names,_xlfn.CONCAT("D_E_",C333))=1), "C", "")</f>
        <v>#VALUE!</v>
      </c>
      <c r="E333" t="e">
        <f t="shared" ca="1" si="9"/>
        <v>#VALUE!</v>
      </c>
      <c r="F333" t="e">
        <f t="shared" ca="1" si="10"/>
        <v>#VALUE!</v>
      </c>
      <c r="G333" t="e">
        <f t="shared" ca="1" si="11"/>
        <v>#VALUE!</v>
      </c>
    </row>
    <row r="334" spans="1:7" x14ac:dyDescent="0.25">
      <c r="A334" s="1"/>
      <c r="D334" t="e" cm="1">
        <f t="array" aca="1" ref="D334" ca="1">IF(OR(COUNTIF(damper_names,_xlfn.CONCAT("D_S_",C334))=1, COUNTIF(damper_names,_xlfn.CONCAT("D_E_",C334))=1), "C", "")</f>
        <v>#VALUE!</v>
      </c>
      <c r="E334" t="e">
        <f t="shared" ca="1" si="9"/>
        <v>#VALUE!</v>
      </c>
      <c r="F334" t="e">
        <f t="shared" ca="1" si="10"/>
        <v>#VALUE!</v>
      </c>
      <c r="G334" t="e">
        <f t="shared" ca="1" si="11"/>
        <v>#VALUE!</v>
      </c>
    </row>
    <row r="335" spans="1:7" x14ac:dyDescent="0.25">
      <c r="A335" s="1"/>
      <c r="D335" t="e" cm="1">
        <f t="array" aca="1" ref="D335" ca="1">IF(OR(COUNTIF(damper_names,_xlfn.CONCAT("D_S_",C335))=1, COUNTIF(damper_names,_xlfn.CONCAT("D_E_",C335))=1), "C", "")</f>
        <v>#VALUE!</v>
      </c>
      <c r="E335" t="e">
        <f t="shared" ca="1" si="9"/>
        <v>#VALUE!</v>
      </c>
      <c r="F335" t="e">
        <f t="shared" ca="1" si="10"/>
        <v>#VALUE!</v>
      </c>
      <c r="G335" t="e">
        <f t="shared" ca="1" si="11"/>
        <v>#VALUE!</v>
      </c>
    </row>
    <row r="336" spans="1:7" x14ac:dyDescent="0.25">
      <c r="A336" s="1"/>
      <c r="D336" t="e" cm="1">
        <f t="array" aca="1" ref="D336" ca="1">IF(OR(COUNTIF(damper_names,_xlfn.CONCAT("D_S_",C336))=1, COUNTIF(damper_names,_xlfn.CONCAT("D_E_",C336))=1), "C", "")</f>
        <v>#VALUE!</v>
      </c>
      <c r="E336" t="e">
        <f t="shared" ca="1" si="9"/>
        <v>#VALUE!</v>
      </c>
      <c r="F336" t="e">
        <f t="shared" ca="1" si="10"/>
        <v>#VALUE!</v>
      </c>
      <c r="G336" t="e">
        <f t="shared" ca="1" si="11"/>
        <v>#VALUE!</v>
      </c>
    </row>
    <row r="337" spans="1:7" x14ac:dyDescent="0.25">
      <c r="A337" s="1"/>
      <c r="D337" t="e" cm="1">
        <f t="array" aca="1" ref="D337" ca="1">IF(OR(COUNTIF(damper_names,_xlfn.CONCAT("D_S_",C337))=1, COUNTIF(damper_names,_xlfn.CONCAT("D_E_",C337))=1), "C", "")</f>
        <v>#VALUE!</v>
      </c>
      <c r="E337" t="e">
        <f t="shared" ca="1" si="9"/>
        <v>#VALUE!</v>
      </c>
      <c r="F337" t="e">
        <f t="shared" ca="1" si="10"/>
        <v>#VALUE!</v>
      </c>
      <c r="G337" t="e">
        <f t="shared" ca="1" si="11"/>
        <v>#VALUE!</v>
      </c>
    </row>
    <row r="338" spans="1:7" x14ac:dyDescent="0.25">
      <c r="A338" s="1"/>
      <c r="D338" t="e" cm="1">
        <f t="array" aca="1" ref="D338" ca="1">IF(OR(COUNTIF(damper_names,_xlfn.CONCAT("D_S_",C338))=1, COUNTIF(damper_names,_xlfn.CONCAT("D_E_",C338))=1), "C", "")</f>
        <v>#VALUE!</v>
      </c>
      <c r="E338" t="e">
        <f t="shared" ca="1" si="9"/>
        <v>#VALUE!</v>
      </c>
      <c r="F338" t="e">
        <f t="shared" ca="1" si="10"/>
        <v>#VALUE!</v>
      </c>
      <c r="G338" t="e">
        <f t="shared" ca="1" si="11"/>
        <v>#VALUE!</v>
      </c>
    </row>
    <row r="339" spans="1:7" x14ac:dyDescent="0.25">
      <c r="A339" s="1"/>
      <c r="D339" t="e" cm="1">
        <f t="array" aca="1" ref="D339" ca="1">IF(OR(COUNTIF(damper_names,_xlfn.CONCAT("D_S_",C339))=1, COUNTIF(damper_names,_xlfn.CONCAT("D_E_",C339))=1), "C", "")</f>
        <v>#VALUE!</v>
      </c>
      <c r="E339" t="e">
        <f t="shared" ca="1" si="9"/>
        <v>#VALUE!</v>
      </c>
      <c r="F339" t="e">
        <f t="shared" ca="1" si="10"/>
        <v>#VALUE!</v>
      </c>
      <c r="G339" t="e">
        <f t="shared" ca="1" si="11"/>
        <v>#VALUE!</v>
      </c>
    </row>
    <row r="340" spans="1:7" x14ac:dyDescent="0.25">
      <c r="A340" s="1"/>
      <c r="D340" t="e" cm="1">
        <f t="array" aca="1" ref="D340" ca="1">IF(OR(COUNTIF(damper_names,_xlfn.CONCAT("D_S_",C340))=1, COUNTIF(damper_names,_xlfn.CONCAT("D_E_",C340))=1), "C", "")</f>
        <v>#VALUE!</v>
      </c>
      <c r="E340" t="e">
        <f t="shared" ca="1" si="9"/>
        <v>#VALUE!</v>
      </c>
      <c r="F340" t="e">
        <f t="shared" ca="1" si="10"/>
        <v>#VALUE!</v>
      </c>
      <c r="G340" t="e">
        <f t="shared" ca="1" si="11"/>
        <v>#VALUE!</v>
      </c>
    </row>
    <row r="341" spans="1:7" x14ac:dyDescent="0.25">
      <c r="A341" s="1"/>
      <c r="D341" t="e" cm="1">
        <f t="array" aca="1" ref="D341" ca="1">IF(OR(COUNTIF(damper_names,_xlfn.CONCAT("D_S_",C341))=1, COUNTIF(damper_names,_xlfn.CONCAT("D_E_",C341))=1), "C", "")</f>
        <v>#VALUE!</v>
      </c>
      <c r="E341" t="e">
        <f t="shared" ca="1" si="9"/>
        <v>#VALUE!</v>
      </c>
      <c r="F341" t="e">
        <f t="shared" ca="1" si="10"/>
        <v>#VALUE!</v>
      </c>
      <c r="G341" t="e">
        <f t="shared" ca="1" si="11"/>
        <v>#VALUE!</v>
      </c>
    </row>
    <row r="342" spans="1:7" x14ac:dyDescent="0.25">
      <c r="A342" s="1"/>
      <c r="D342" t="e" cm="1">
        <f t="array" aca="1" ref="D342" ca="1">IF(OR(COUNTIF(damper_names,_xlfn.CONCAT("D_S_",C342))=1, COUNTIF(damper_names,_xlfn.CONCAT("D_E_",C342))=1), "C", "")</f>
        <v>#VALUE!</v>
      </c>
      <c r="E342" t="e">
        <f t="shared" ca="1" si="9"/>
        <v>#VALUE!</v>
      </c>
      <c r="F342" t="e">
        <f t="shared" ca="1" si="10"/>
        <v>#VALUE!</v>
      </c>
      <c r="G342" t="e">
        <f t="shared" ca="1" si="11"/>
        <v>#VALUE!</v>
      </c>
    </row>
    <row r="343" spans="1:7" x14ac:dyDescent="0.25">
      <c r="A343" s="1"/>
      <c r="D343" t="e" cm="1">
        <f t="array" aca="1" ref="D343" ca="1">IF(OR(COUNTIF(damper_names,_xlfn.CONCAT("D_S_",C343))=1, COUNTIF(damper_names,_xlfn.CONCAT("D_E_",C343))=1), "C", "")</f>
        <v>#VALUE!</v>
      </c>
      <c r="E343" t="e">
        <f t="shared" ca="1" si="9"/>
        <v>#VALUE!</v>
      </c>
      <c r="F343" t="e">
        <f t="shared" ca="1" si="10"/>
        <v>#VALUE!</v>
      </c>
      <c r="G343" t="e">
        <f t="shared" ca="1" si="11"/>
        <v>#VALUE!</v>
      </c>
    </row>
    <row r="344" spans="1:7" x14ac:dyDescent="0.25">
      <c r="A344" s="1"/>
      <c r="D344" t="e" cm="1">
        <f t="array" aca="1" ref="D344" ca="1">IF(OR(COUNTIF(damper_names,_xlfn.CONCAT("D_S_",C344))=1, COUNTIF(damper_names,_xlfn.CONCAT("D_E_",C344))=1), "C", "")</f>
        <v>#VALUE!</v>
      </c>
      <c r="E344" t="e">
        <f t="shared" ca="1" si="9"/>
        <v>#VALUE!</v>
      </c>
      <c r="F344" t="e">
        <f t="shared" ca="1" si="10"/>
        <v>#VALUE!</v>
      </c>
      <c r="G344" t="e">
        <f t="shared" ca="1" si="11"/>
        <v>#VALUE!</v>
      </c>
    </row>
    <row r="345" spans="1:7" x14ac:dyDescent="0.25">
      <c r="A345" s="1"/>
      <c r="D345" t="e" cm="1">
        <f t="array" aca="1" ref="D345" ca="1">IF(OR(COUNTIF(damper_names,_xlfn.CONCAT("D_S_",C345))=1, COUNTIF(damper_names,_xlfn.CONCAT("D_E_",C345))=1), "C", "")</f>
        <v>#VALUE!</v>
      </c>
      <c r="E345" t="e">
        <f t="shared" ca="1" si="9"/>
        <v>#VALUE!</v>
      </c>
      <c r="F345" t="e">
        <f t="shared" ca="1" si="10"/>
        <v>#VALUE!</v>
      </c>
      <c r="G345" t="e">
        <f t="shared" ca="1" si="11"/>
        <v>#VALUE!</v>
      </c>
    </row>
    <row r="346" spans="1:7" x14ac:dyDescent="0.25">
      <c r="A346" s="1"/>
      <c r="D346" t="e" cm="1">
        <f t="array" aca="1" ref="D346" ca="1">IF(OR(COUNTIF(damper_names,_xlfn.CONCAT("D_S_",C346))=1, COUNTIF(damper_names,_xlfn.CONCAT("D_E_",C346))=1), "C", "")</f>
        <v>#VALUE!</v>
      </c>
      <c r="E346" t="e">
        <f t="shared" ca="1" si="9"/>
        <v>#VALUE!</v>
      </c>
      <c r="F346" t="e">
        <f t="shared" ca="1" si="10"/>
        <v>#VALUE!</v>
      </c>
      <c r="G346" t="e">
        <f t="shared" ca="1" si="11"/>
        <v>#VALUE!</v>
      </c>
    </row>
    <row r="347" spans="1:7" x14ac:dyDescent="0.25">
      <c r="A347" s="1"/>
      <c r="D347" t="e" cm="1">
        <f t="array" aca="1" ref="D347" ca="1">IF(OR(COUNTIF(damper_names,_xlfn.CONCAT("D_S_",C347))=1, COUNTIF(damper_names,_xlfn.CONCAT("D_E_",C347))=1), "C", "")</f>
        <v>#VALUE!</v>
      </c>
      <c r="E347" t="e">
        <f t="shared" ca="1" si="9"/>
        <v>#VALUE!</v>
      </c>
      <c r="F347" t="e">
        <f t="shared" ca="1" si="10"/>
        <v>#VALUE!</v>
      </c>
      <c r="G347" t="e">
        <f t="shared" ca="1" si="11"/>
        <v>#VALUE!</v>
      </c>
    </row>
    <row r="348" spans="1:7" x14ac:dyDescent="0.25">
      <c r="A348" s="1"/>
      <c r="D348" t="e" cm="1">
        <f t="array" aca="1" ref="D348" ca="1">IF(OR(COUNTIF(damper_names,_xlfn.CONCAT("D_S_",C348))=1, COUNTIF(damper_names,_xlfn.CONCAT("D_E_",C348))=1), "C", "")</f>
        <v>#VALUE!</v>
      </c>
      <c r="E348" t="e">
        <f t="shared" ca="1" si="9"/>
        <v>#VALUE!</v>
      </c>
      <c r="F348" t="e">
        <f t="shared" ca="1" si="10"/>
        <v>#VALUE!</v>
      </c>
      <c r="G348" t="e">
        <f t="shared" ca="1" si="11"/>
        <v>#VALUE!</v>
      </c>
    </row>
    <row r="349" spans="1:7" x14ac:dyDescent="0.25">
      <c r="A349" s="1"/>
      <c r="D349" t="e" cm="1">
        <f t="array" aca="1" ref="D349" ca="1">IF(OR(COUNTIF(damper_names,_xlfn.CONCAT("D_S_",C349))=1, COUNTIF(damper_names,_xlfn.CONCAT("D_E_",C349))=1), "C", "")</f>
        <v>#VALUE!</v>
      </c>
      <c r="E349" t="e">
        <f t="shared" ca="1" si="9"/>
        <v>#VALUE!</v>
      </c>
      <c r="F349" t="e">
        <f t="shared" ca="1" si="10"/>
        <v>#VALUE!</v>
      </c>
      <c r="G349" t="e">
        <f t="shared" ca="1" si="11"/>
        <v>#VALUE!</v>
      </c>
    </row>
    <row r="350" spans="1:7" x14ac:dyDescent="0.25">
      <c r="A350" s="1"/>
      <c r="D350" t="e" cm="1">
        <f t="array" aca="1" ref="D350" ca="1">IF(OR(COUNTIF(damper_names,_xlfn.CONCAT("D_S_",C350))=1, COUNTIF(damper_names,_xlfn.CONCAT("D_E_",C350))=1), "C", "")</f>
        <v>#VALUE!</v>
      </c>
      <c r="E350" t="e">
        <f t="shared" ca="1" si="9"/>
        <v>#VALUE!</v>
      </c>
      <c r="F350" t="e">
        <f t="shared" ca="1" si="10"/>
        <v>#VALUE!</v>
      </c>
      <c r="G350" t="e">
        <f t="shared" ca="1" si="11"/>
        <v>#VALUE!</v>
      </c>
    </row>
    <row r="351" spans="1:7" x14ac:dyDescent="0.25">
      <c r="A351" s="1"/>
      <c r="D351" t="e" cm="1">
        <f t="array" aca="1" ref="D351" ca="1">IF(OR(COUNTIF(damper_names,_xlfn.CONCAT("D_S_",C351))=1, COUNTIF(damper_names,_xlfn.CONCAT("D_E_",C351))=1), "C", "")</f>
        <v>#VALUE!</v>
      </c>
      <c r="E351" t="e">
        <f t="shared" ca="1" si="9"/>
        <v>#VALUE!</v>
      </c>
      <c r="F351" t="e">
        <f t="shared" ca="1" si="10"/>
        <v>#VALUE!</v>
      </c>
      <c r="G351" t="e">
        <f t="shared" ca="1" si="11"/>
        <v>#VALUE!</v>
      </c>
    </row>
    <row r="352" spans="1:7" x14ac:dyDescent="0.25">
      <c r="A352" s="1"/>
      <c r="D352" t="e" cm="1">
        <f t="array" aca="1" ref="D352" ca="1">IF(OR(COUNTIF(damper_names,_xlfn.CONCAT("D_S_",C352))=1, COUNTIF(damper_names,_xlfn.CONCAT("D_E_",C352))=1), "C", "")</f>
        <v>#VALUE!</v>
      </c>
      <c r="E352" t="e">
        <f t="shared" ca="1" si="9"/>
        <v>#VALUE!</v>
      </c>
      <c r="F352" t="e">
        <f t="shared" ca="1" si="10"/>
        <v>#VALUE!</v>
      </c>
      <c r="G352" t="e">
        <f t="shared" ca="1" si="11"/>
        <v>#VALUE!</v>
      </c>
    </row>
    <row r="353" spans="1:7" x14ac:dyDescent="0.25">
      <c r="A353" s="1"/>
      <c r="D353" t="e" cm="1">
        <f t="array" aca="1" ref="D353" ca="1">IF(OR(COUNTIF(damper_names,_xlfn.CONCAT("D_S_",C353))=1, COUNTIF(damper_names,_xlfn.CONCAT("D_E_",C353))=1), "C", "")</f>
        <v>#VALUE!</v>
      </c>
      <c r="E353" t="e">
        <f t="shared" ca="1" si="9"/>
        <v>#VALUE!</v>
      </c>
      <c r="F353" t="e">
        <f t="shared" ca="1" si="10"/>
        <v>#VALUE!</v>
      </c>
      <c r="G353" t="e">
        <f t="shared" ca="1" si="11"/>
        <v>#VALUE!</v>
      </c>
    </row>
    <row r="354" spans="1:7" x14ac:dyDescent="0.25">
      <c r="A354" s="1"/>
      <c r="D354" t="e" cm="1">
        <f t="array" aca="1" ref="D354" ca="1">IF(OR(COUNTIF(damper_names,_xlfn.CONCAT("D_S_",C354))=1, COUNTIF(damper_names,_xlfn.CONCAT("D_E_",C354))=1), "C", "")</f>
        <v>#VALUE!</v>
      </c>
      <c r="E354" t="e">
        <f t="shared" ca="1" si="9"/>
        <v>#VALUE!</v>
      </c>
      <c r="F354" t="e">
        <f t="shared" ca="1" si="10"/>
        <v>#VALUE!</v>
      </c>
      <c r="G354" t="e">
        <f t="shared" ca="1" si="11"/>
        <v>#VALUE!</v>
      </c>
    </row>
    <row r="355" spans="1:7" x14ac:dyDescent="0.25">
      <c r="A355" s="1"/>
      <c r="D355" t="e" cm="1">
        <f t="array" aca="1" ref="D355" ca="1">IF(OR(COUNTIF(damper_names,_xlfn.CONCAT("D_S_",C355))=1, COUNTIF(damper_names,_xlfn.CONCAT("D_E_",C355))=1), "C", "")</f>
        <v>#VALUE!</v>
      </c>
      <c r="E355" t="e">
        <f t="shared" ca="1" si="9"/>
        <v>#VALUE!</v>
      </c>
      <c r="F355" t="e">
        <f t="shared" ca="1" si="10"/>
        <v>#VALUE!</v>
      </c>
      <c r="G355" t="e">
        <f t="shared" ca="1" si="11"/>
        <v>#VALUE!</v>
      </c>
    </row>
    <row r="356" spans="1:7" x14ac:dyDescent="0.25">
      <c r="A356" s="1"/>
      <c r="D356" t="e" cm="1">
        <f t="array" aca="1" ref="D356" ca="1">IF(OR(COUNTIF(damper_names,_xlfn.CONCAT("D_S_",C356))=1, COUNTIF(damper_names,_xlfn.CONCAT("D_E_",C356))=1), "C", "")</f>
        <v>#VALUE!</v>
      </c>
      <c r="E356" t="e">
        <f t="shared" ca="1" si="9"/>
        <v>#VALUE!</v>
      </c>
      <c r="F356" t="e">
        <f t="shared" ca="1" si="10"/>
        <v>#VALUE!</v>
      </c>
      <c r="G356" t="e">
        <f t="shared" ca="1" si="11"/>
        <v>#VALUE!</v>
      </c>
    </row>
    <row r="357" spans="1:7" x14ac:dyDescent="0.25">
      <c r="A357" s="1"/>
      <c r="D357" t="e" cm="1">
        <f t="array" aca="1" ref="D357" ca="1">IF(OR(COUNTIF(damper_names,_xlfn.CONCAT("D_S_",C357))=1, COUNTIF(damper_names,_xlfn.CONCAT("D_E_",C357))=1), "C", "")</f>
        <v>#VALUE!</v>
      </c>
      <c r="E357" t="e">
        <f t="shared" ca="1" si="9"/>
        <v>#VALUE!</v>
      </c>
      <c r="F357" t="e">
        <f t="shared" ca="1" si="10"/>
        <v>#VALUE!</v>
      </c>
      <c r="G357" t="e">
        <f t="shared" ca="1" si="11"/>
        <v>#VALUE!</v>
      </c>
    </row>
    <row r="358" spans="1:7" x14ac:dyDescent="0.25">
      <c r="A358" s="1"/>
      <c r="D358" t="e" cm="1">
        <f t="array" aca="1" ref="D358" ca="1">IF(OR(COUNTIF(damper_names,_xlfn.CONCAT("D_S_",C358))=1, COUNTIF(damper_names,_xlfn.CONCAT("D_E_",C358))=1), "C", "")</f>
        <v>#VALUE!</v>
      </c>
      <c r="E358" t="e">
        <f t="shared" ca="1" si="9"/>
        <v>#VALUE!</v>
      </c>
      <c r="F358" t="e">
        <f t="shared" ca="1" si="10"/>
        <v>#VALUE!</v>
      </c>
      <c r="G358" t="e">
        <f t="shared" ca="1" si="11"/>
        <v>#VALUE!</v>
      </c>
    </row>
    <row r="359" spans="1:7" x14ac:dyDescent="0.25">
      <c r="A359" s="1"/>
      <c r="D359" t="e" cm="1">
        <f t="array" aca="1" ref="D359" ca="1">IF(OR(COUNTIF(damper_names,_xlfn.CONCAT("D_S_",C359))=1, COUNTIF(damper_names,_xlfn.CONCAT("D_E_",C359))=1), "C", "")</f>
        <v>#VALUE!</v>
      </c>
      <c r="E359" t="e">
        <f t="shared" ca="1" si="9"/>
        <v>#VALUE!</v>
      </c>
      <c r="F359" t="e">
        <f t="shared" ca="1" si="10"/>
        <v>#VALUE!</v>
      </c>
      <c r="G359" t="e">
        <f t="shared" ca="1" si="11"/>
        <v>#VALUE!</v>
      </c>
    </row>
    <row r="360" spans="1:7" x14ac:dyDescent="0.25">
      <c r="A360" s="1"/>
      <c r="D360" t="e" cm="1">
        <f t="array" aca="1" ref="D360" ca="1">IF(OR(COUNTIF(damper_names,_xlfn.CONCAT("D_S_",C360))=1, COUNTIF(damper_names,_xlfn.CONCAT("D_E_",C360))=1), "C", "")</f>
        <v>#VALUE!</v>
      </c>
      <c r="E360" t="e">
        <f t="shared" ca="1" si="9"/>
        <v>#VALUE!</v>
      </c>
      <c r="F360" t="e">
        <f t="shared" ca="1" si="10"/>
        <v>#VALUE!</v>
      </c>
      <c r="G360" t="e">
        <f t="shared" ca="1" si="11"/>
        <v>#VALUE!</v>
      </c>
    </row>
    <row r="361" spans="1:7" x14ac:dyDescent="0.25">
      <c r="A361" s="1"/>
      <c r="D361" t="e" cm="1">
        <f t="array" aca="1" ref="D361" ca="1">IF(OR(COUNTIF(damper_names,_xlfn.CONCAT("D_S_",C361))=1, COUNTIF(damper_names,_xlfn.CONCAT("D_E_",C361))=1), "C", "")</f>
        <v>#VALUE!</v>
      </c>
      <c r="E361" t="e">
        <f t="shared" ca="1" si="9"/>
        <v>#VALUE!</v>
      </c>
      <c r="F361" t="e">
        <f t="shared" ca="1" si="10"/>
        <v>#VALUE!</v>
      </c>
      <c r="G361" t="e">
        <f t="shared" ca="1" si="11"/>
        <v>#VALUE!</v>
      </c>
    </row>
    <row r="362" spans="1:7" x14ac:dyDescent="0.25">
      <c r="A362" s="1"/>
      <c r="D362" t="e" cm="1">
        <f t="array" aca="1" ref="D362" ca="1">IF(OR(COUNTIF(damper_names,_xlfn.CONCAT("D_S_",C362))=1, COUNTIF(damper_names,_xlfn.CONCAT("D_E_",C362))=1), "C", "")</f>
        <v>#VALUE!</v>
      </c>
      <c r="E362" t="e">
        <f t="shared" ca="1" si="9"/>
        <v>#VALUE!</v>
      </c>
      <c r="F362" t="e">
        <f t="shared" ca="1" si="10"/>
        <v>#VALUE!</v>
      </c>
      <c r="G362" t="e">
        <f t="shared" ca="1" si="11"/>
        <v>#VALUE!</v>
      </c>
    </row>
    <row r="363" spans="1:7" x14ac:dyDescent="0.25">
      <c r="A363" s="1"/>
      <c r="D363" t="e" cm="1">
        <f t="array" aca="1" ref="D363" ca="1">IF(OR(COUNTIF(damper_names,_xlfn.CONCAT("D_S_",C363))=1, COUNTIF(damper_names,_xlfn.CONCAT("D_E_",C363))=1), "C", "")</f>
        <v>#VALUE!</v>
      </c>
      <c r="E363" t="e">
        <f t="shared" ca="1" si="9"/>
        <v>#VALUE!</v>
      </c>
      <c r="F363" t="e">
        <f t="shared" ca="1" si="10"/>
        <v>#VALUE!</v>
      </c>
      <c r="G363" t="e">
        <f t="shared" ca="1" si="11"/>
        <v>#VALUE!</v>
      </c>
    </row>
    <row r="364" spans="1:7" x14ac:dyDescent="0.25">
      <c r="A364" s="1"/>
      <c r="D364" t="e" cm="1">
        <f t="array" aca="1" ref="D364" ca="1">IF(OR(COUNTIF(damper_names,_xlfn.CONCAT("D_S_",C364))=1, COUNTIF(damper_names,_xlfn.CONCAT("D_E_",C364))=1), "C", "")</f>
        <v>#VALUE!</v>
      </c>
      <c r="E364" t="e">
        <f t="shared" ca="1" si="9"/>
        <v>#VALUE!</v>
      </c>
      <c r="F364" t="e">
        <f t="shared" ca="1" si="10"/>
        <v>#VALUE!</v>
      </c>
      <c r="G364" t="e">
        <f t="shared" ca="1" si="11"/>
        <v>#VALUE!</v>
      </c>
    </row>
    <row r="365" spans="1:7" x14ac:dyDescent="0.25">
      <c r="A365" s="1"/>
      <c r="D365" t="e" cm="1">
        <f t="array" aca="1" ref="D365" ca="1">IF(OR(COUNTIF(damper_names,_xlfn.CONCAT("D_S_",C365))=1, COUNTIF(damper_names,_xlfn.CONCAT("D_E_",C365))=1), "C", "")</f>
        <v>#VALUE!</v>
      </c>
      <c r="E365" t="e">
        <f t="shared" ca="1" si="9"/>
        <v>#VALUE!</v>
      </c>
      <c r="F365" t="e">
        <f t="shared" ca="1" si="10"/>
        <v>#VALUE!</v>
      </c>
      <c r="G365" t="e">
        <f t="shared" ca="1" si="11"/>
        <v>#VALUE!</v>
      </c>
    </row>
    <row r="366" spans="1:7" x14ac:dyDescent="0.25">
      <c r="A366" s="1"/>
      <c r="D366" t="e" cm="1">
        <f t="array" aca="1" ref="D366" ca="1">IF(OR(COUNTIF(damper_names,_xlfn.CONCAT("D_S_",C366))=1, COUNTIF(damper_names,_xlfn.CONCAT("D_E_",C366))=1), "C", "")</f>
        <v>#VALUE!</v>
      </c>
      <c r="E366" t="e">
        <f t="shared" ca="1" si="9"/>
        <v>#VALUE!</v>
      </c>
      <c r="F366" t="e">
        <f t="shared" ca="1" si="10"/>
        <v>#VALUE!</v>
      </c>
      <c r="G366" t="e">
        <f t="shared" ca="1" si="11"/>
        <v>#VALUE!</v>
      </c>
    </row>
    <row r="367" spans="1:7" x14ac:dyDescent="0.25">
      <c r="A367" s="1"/>
      <c r="D367" t="e" cm="1">
        <f t="array" aca="1" ref="D367" ca="1">IF(OR(COUNTIF(damper_names,_xlfn.CONCAT("D_S_",C367))=1, COUNTIF(damper_names,_xlfn.CONCAT("D_E_",C367))=1), "C", "")</f>
        <v>#VALUE!</v>
      </c>
      <c r="E367" t="e">
        <f t="shared" ca="1" si="9"/>
        <v>#VALUE!</v>
      </c>
      <c r="F367" t="e">
        <f t="shared" ca="1" si="10"/>
        <v>#VALUE!</v>
      </c>
      <c r="G367" t="e">
        <f t="shared" ca="1" si="11"/>
        <v>#VALUE!</v>
      </c>
    </row>
    <row r="368" spans="1:7" x14ac:dyDescent="0.25">
      <c r="A368" s="1"/>
      <c r="D368" t="e" cm="1">
        <f t="array" aca="1" ref="D368" ca="1">IF(OR(COUNTIF(damper_names,_xlfn.CONCAT("D_S_",C368))=1, COUNTIF(damper_names,_xlfn.CONCAT("D_E_",C368))=1), "C", "")</f>
        <v>#VALUE!</v>
      </c>
      <c r="E368" t="e">
        <f t="shared" ca="1" si="9"/>
        <v>#VALUE!</v>
      </c>
      <c r="F368" t="e">
        <f t="shared" ca="1" si="10"/>
        <v>#VALUE!</v>
      </c>
      <c r="G368" t="e">
        <f t="shared" ca="1" si="11"/>
        <v>#VALUE!</v>
      </c>
    </row>
    <row r="369" spans="1:7" x14ac:dyDescent="0.25">
      <c r="A369" s="1"/>
      <c r="D369" t="e" cm="1">
        <f t="array" aca="1" ref="D369" ca="1">IF(OR(COUNTIF(damper_names,_xlfn.CONCAT("D_S_",C369))=1, COUNTIF(damper_names,_xlfn.CONCAT("D_E_",C369))=1), "C", "")</f>
        <v>#VALUE!</v>
      </c>
      <c r="E369" t="e">
        <f t="shared" ca="1" si="9"/>
        <v>#VALUE!</v>
      </c>
      <c r="F369" t="e">
        <f t="shared" ca="1" si="10"/>
        <v>#VALUE!</v>
      </c>
      <c r="G369" t="e">
        <f t="shared" ca="1" si="11"/>
        <v>#VALUE!</v>
      </c>
    </row>
    <row r="370" spans="1:7" x14ac:dyDescent="0.25">
      <c r="A370" s="1"/>
      <c r="D370" t="e" cm="1">
        <f t="array" aca="1" ref="D370" ca="1">IF(OR(COUNTIF(damper_names,_xlfn.CONCAT("D_S_",C370))=1, COUNTIF(damper_names,_xlfn.CONCAT("D_E_",C370))=1), "C", "")</f>
        <v>#VALUE!</v>
      </c>
      <c r="E370" t="e">
        <f t="shared" ca="1" si="9"/>
        <v>#VALUE!</v>
      </c>
      <c r="F370" t="e">
        <f t="shared" ca="1" si="10"/>
        <v>#VALUE!</v>
      </c>
      <c r="G370" t="e">
        <f t="shared" ca="1" si="11"/>
        <v>#VALUE!</v>
      </c>
    </row>
    <row r="371" spans="1:7" x14ac:dyDescent="0.25">
      <c r="A371" s="1"/>
      <c r="D371" t="e" cm="1">
        <f t="array" aca="1" ref="D371" ca="1">IF(OR(COUNTIF(damper_names,_xlfn.CONCAT("D_S_",C371))=1, COUNTIF(damper_names,_xlfn.CONCAT("D_E_",C371))=1), "C", "")</f>
        <v>#VALUE!</v>
      </c>
      <c r="E371" t="e">
        <f t="shared" ca="1" si="9"/>
        <v>#VALUE!</v>
      </c>
      <c r="F371" t="e">
        <f t="shared" ca="1" si="10"/>
        <v>#VALUE!</v>
      </c>
      <c r="G371" t="e">
        <f t="shared" ca="1" si="11"/>
        <v>#VALUE!</v>
      </c>
    </row>
    <row r="372" spans="1:7" x14ac:dyDescent="0.25">
      <c r="A372" s="1"/>
      <c r="D372" t="e" cm="1">
        <f t="array" aca="1" ref="D372" ca="1">IF(OR(COUNTIF(damper_names,_xlfn.CONCAT("D_S_",C372))=1, COUNTIF(damper_names,_xlfn.CONCAT("D_E_",C372))=1), "C", "")</f>
        <v>#VALUE!</v>
      </c>
      <c r="E372" t="e">
        <f t="shared" ca="1" si="9"/>
        <v>#VALUE!</v>
      </c>
      <c r="F372" t="e">
        <f t="shared" ca="1" si="10"/>
        <v>#VALUE!</v>
      </c>
      <c r="G372" t="e">
        <f t="shared" ca="1" si="11"/>
        <v>#VALUE!</v>
      </c>
    </row>
    <row r="373" spans="1:7" x14ac:dyDescent="0.25">
      <c r="A373" s="1"/>
      <c r="D373" t="e" cm="1">
        <f t="array" aca="1" ref="D373" ca="1">IF(OR(COUNTIF(damper_names,_xlfn.CONCAT("D_S_",C373))=1, COUNTIF(damper_names,_xlfn.CONCAT("D_E_",C373))=1), "C", "")</f>
        <v>#VALUE!</v>
      </c>
      <c r="E373" t="e">
        <f t="shared" ca="1" si="9"/>
        <v>#VALUE!</v>
      </c>
      <c r="F373" t="e">
        <f t="shared" ca="1" si="10"/>
        <v>#VALUE!</v>
      </c>
      <c r="G373" t="e">
        <f t="shared" ca="1" si="11"/>
        <v>#VALUE!</v>
      </c>
    </row>
    <row r="374" spans="1:7" x14ac:dyDescent="0.25">
      <c r="A374" s="1"/>
      <c r="D374" t="e" cm="1">
        <f t="array" aca="1" ref="D374" ca="1">IF(OR(COUNTIF(damper_names,_xlfn.CONCAT("D_S_",C374))=1, COUNTIF(damper_names,_xlfn.CONCAT("D_E_",C374))=1), "C", "")</f>
        <v>#VALUE!</v>
      </c>
      <c r="E374" t="e">
        <f t="shared" ca="1" si="9"/>
        <v>#VALUE!</v>
      </c>
      <c r="F374" t="e">
        <f t="shared" ca="1" si="10"/>
        <v>#VALUE!</v>
      </c>
      <c r="G374" t="e">
        <f t="shared" ca="1" si="11"/>
        <v>#VALUE!</v>
      </c>
    </row>
    <row r="375" spans="1:7" x14ac:dyDescent="0.25">
      <c r="A375" s="1"/>
      <c r="D375" t="e" cm="1">
        <f t="array" aca="1" ref="D375" ca="1">IF(OR(COUNTIF(damper_names,_xlfn.CONCAT("D_S_",C375))=1, COUNTIF(damper_names,_xlfn.CONCAT("D_E_",C375))=1), "C", "")</f>
        <v>#VALUE!</v>
      </c>
      <c r="E375" t="e">
        <f t="shared" ca="1" si="9"/>
        <v>#VALUE!</v>
      </c>
      <c r="F375" t="e">
        <f t="shared" ca="1" si="10"/>
        <v>#VALUE!</v>
      </c>
      <c r="G375" t="e">
        <f t="shared" ca="1" si="11"/>
        <v>#VALUE!</v>
      </c>
    </row>
    <row r="376" spans="1:7" x14ac:dyDescent="0.25">
      <c r="A376" s="1"/>
      <c r="D376" t="e" cm="1">
        <f t="array" aca="1" ref="D376" ca="1">IF(OR(COUNTIF(damper_names,_xlfn.CONCAT("D_S_",C376))=1, COUNTIF(damper_names,_xlfn.CONCAT("D_E_",C376))=1), "C", "")</f>
        <v>#VALUE!</v>
      </c>
      <c r="E376" t="e">
        <f t="shared" ca="1" si="9"/>
        <v>#VALUE!</v>
      </c>
      <c r="F376" t="e">
        <f t="shared" ca="1" si="10"/>
        <v>#VALUE!</v>
      </c>
      <c r="G376" t="e">
        <f t="shared" ca="1" si="11"/>
        <v>#VALUE!</v>
      </c>
    </row>
    <row r="377" spans="1:7" x14ac:dyDescent="0.25">
      <c r="A377" s="1"/>
      <c r="D377" t="e" cm="1">
        <f t="array" aca="1" ref="D377" ca="1">IF(OR(COUNTIF(damper_names,_xlfn.CONCAT("D_S_",C377))=1, COUNTIF(damper_names,_xlfn.CONCAT("D_E_",C377))=1), "C", "")</f>
        <v>#VALUE!</v>
      </c>
      <c r="E377" t="e">
        <f t="shared" ca="1" si="9"/>
        <v>#VALUE!</v>
      </c>
      <c r="F377" t="e">
        <f t="shared" ca="1" si="10"/>
        <v>#VALUE!</v>
      </c>
      <c r="G377" t="e">
        <f t="shared" ca="1" si="11"/>
        <v>#VALUE!</v>
      </c>
    </row>
    <row r="378" spans="1:7" x14ac:dyDescent="0.25">
      <c r="A378" s="1"/>
      <c r="D378" t="e" cm="1">
        <f t="array" aca="1" ref="D378" ca="1">IF(OR(COUNTIF(damper_names,_xlfn.CONCAT("D_S_",C378))=1, COUNTIF(damper_names,_xlfn.CONCAT("D_E_",C378))=1), "C", "")</f>
        <v>#VALUE!</v>
      </c>
      <c r="E378" t="e">
        <f t="shared" ca="1" si="9"/>
        <v>#VALUE!</v>
      </c>
      <c r="F378" t="e">
        <f t="shared" ca="1" si="10"/>
        <v>#VALUE!</v>
      </c>
      <c r="G378" t="e">
        <f t="shared" ca="1" si="11"/>
        <v>#VALUE!</v>
      </c>
    </row>
    <row r="379" spans="1:7" x14ac:dyDescent="0.25">
      <c r="A379" s="1"/>
      <c r="D379" t="e" cm="1">
        <f t="array" aca="1" ref="D379" ca="1">IF(OR(COUNTIF(damper_names,_xlfn.CONCAT("D_S_",C379))=1, COUNTIF(damper_names,_xlfn.CONCAT("D_E_",C379))=1), "C", "")</f>
        <v>#VALUE!</v>
      </c>
      <c r="E379" t="e">
        <f t="shared" ca="1" si="9"/>
        <v>#VALUE!</v>
      </c>
      <c r="F379" t="e">
        <f t="shared" ca="1" si="10"/>
        <v>#VALUE!</v>
      </c>
      <c r="G379" t="e">
        <f t="shared" ca="1" si="11"/>
        <v>#VALUE!</v>
      </c>
    </row>
    <row r="380" spans="1:7" x14ac:dyDescent="0.25">
      <c r="A380" s="1"/>
      <c r="D380" t="e" cm="1">
        <f t="array" aca="1" ref="D380" ca="1">IF(OR(COUNTIF(damper_names,_xlfn.CONCAT("D_S_",C380))=1, COUNTIF(damper_names,_xlfn.CONCAT("D_E_",C380))=1), "C", "")</f>
        <v>#VALUE!</v>
      </c>
      <c r="E380" t="e">
        <f t="shared" ca="1" si="9"/>
        <v>#VALUE!</v>
      </c>
      <c r="F380" t="e">
        <f t="shared" ca="1" si="10"/>
        <v>#VALUE!</v>
      </c>
      <c r="G380" t="e">
        <f t="shared" ca="1" si="11"/>
        <v>#VALUE!</v>
      </c>
    </row>
    <row r="381" spans="1:7" x14ac:dyDescent="0.25">
      <c r="A381" s="1"/>
      <c r="D381" t="e" cm="1">
        <f t="array" aca="1" ref="D381" ca="1">IF(OR(COUNTIF(damper_names,_xlfn.CONCAT("D_S_",C381))=1, COUNTIF(damper_names,_xlfn.CONCAT("D_E_",C381))=1), "C", "")</f>
        <v>#VALUE!</v>
      </c>
      <c r="E381" t="e">
        <f t="shared" ca="1" si="9"/>
        <v>#VALUE!</v>
      </c>
      <c r="F381" t="e">
        <f t="shared" ca="1" si="10"/>
        <v>#VALUE!</v>
      </c>
      <c r="G381" t="e">
        <f t="shared" ca="1" si="11"/>
        <v>#VALUE!</v>
      </c>
    </row>
    <row r="382" spans="1:7" x14ac:dyDescent="0.25">
      <c r="A382" s="1"/>
      <c r="D382" t="e" cm="1">
        <f t="array" aca="1" ref="D382" ca="1">IF(OR(COUNTIF(damper_names,_xlfn.CONCAT("D_S_",C382))=1, COUNTIF(damper_names,_xlfn.CONCAT("D_E_",C382))=1), "C", "")</f>
        <v>#VALUE!</v>
      </c>
      <c r="E382" t="e">
        <f t="shared" ca="1" si="9"/>
        <v>#VALUE!</v>
      </c>
      <c r="F382" t="e">
        <f t="shared" ca="1" si="10"/>
        <v>#VALUE!</v>
      </c>
      <c r="G382" t="e">
        <f t="shared" ca="1" si="11"/>
        <v>#VALUE!</v>
      </c>
    </row>
    <row r="383" spans="1:7" x14ac:dyDescent="0.25">
      <c r="A383" s="1"/>
      <c r="D383" t="e" cm="1">
        <f t="array" aca="1" ref="D383" ca="1">IF(OR(COUNTIF(damper_names,_xlfn.CONCAT("D_S_",C383))=1, COUNTIF(damper_names,_xlfn.CONCAT("D_E_",C383))=1), "C", "")</f>
        <v>#VALUE!</v>
      </c>
      <c r="E383" t="e">
        <f t="shared" ca="1" si="9"/>
        <v>#VALUE!</v>
      </c>
      <c r="F383" t="e">
        <f t="shared" ca="1" si="10"/>
        <v>#VALUE!</v>
      </c>
      <c r="G383" t="e">
        <f t="shared" ca="1" si="11"/>
        <v>#VALUE!</v>
      </c>
    </row>
    <row r="384" spans="1:7" x14ac:dyDescent="0.25">
      <c r="A384" s="1"/>
      <c r="D384" t="e" cm="1">
        <f t="array" aca="1" ref="D384" ca="1">IF(OR(COUNTIF(damper_names,_xlfn.CONCAT("D_S_",C384))=1, COUNTIF(damper_names,_xlfn.CONCAT("D_E_",C384))=1), "C", "")</f>
        <v>#VALUE!</v>
      </c>
      <c r="E384" t="e">
        <f t="shared" ca="1" si="9"/>
        <v>#VALUE!</v>
      </c>
      <c r="F384" t="e">
        <f t="shared" ca="1" si="10"/>
        <v>#VALUE!</v>
      </c>
      <c r="G384" t="e">
        <f t="shared" ca="1" si="11"/>
        <v>#VALUE!</v>
      </c>
    </row>
    <row r="385" spans="1:7" x14ac:dyDescent="0.25">
      <c r="A385" s="1"/>
      <c r="D385" t="e" cm="1">
        <f t="array" aca="1" ref="D385" ca="1">IF(OR(COUNTIF(damper_names,_xlfn.CONCAT("D_S_",C385))=1, COUNTIF(damper_names,_xlfn.CONCAT("D_E_",C385))=1), "C", "")</f>
        <v>#VALUE!</v>
      </c>
      <c r="E385" t="e">
        <f t="shared" ca="1" si="9"/>
        <v>#VALUE!</v>
      </c>
      <c r="F385" t="e">
        <f t="shared" ca="1" si="10"/>
        <v>#VALUE!</v>
      </c>
      <c r="G385" t="e">
        <f t="shared" ca="1" si="11"/>
        <v>#VALUE!</v>
      </c>
    </row>
    <row r="386" spans="1:7" x14ac:dyDescent="0.25">
      <c r="A386" s="1"/>
      <c r="D386" t="e" cm="1">
        <f t="array" aca="1" ref="D386" ca="1">IF(OR(COUNTIF(damper_names,_xlfn.CONCAT("D_S_",C386))=1, COUNTIF(damper_names,_xlfn.CONCAT("D_E_",C386))=1), "C", "")</f>
        <v>#VALUE!</v>
      </c>
      <c r="E386" t="e">
        <f t="shared" ca="1" si="9"/>
        <v>#VALUE!</v>
      </c>
      <c r="F386" t="e">
        <f t="shared" ca="1" si="10"/>
        <v>#VALUE!</v>
      </c>
      <c r="G386" t="e">
        <f t="shared" ca="1" si="11"/>
        <v>#VALUE!</v>
      </c>
    </row>
    <row r="387" spans="1:7" x14ac:dyDescent="0.25">
      <c r="A387" s="1"/>
      <c r="D387" t="e" cm="1">
        <f t="array" aca="1" ref="D387" ca="1">IF(OR(COUNTIF(damper_names,_xlfn.CONCAT("D_S_",C387))=1, COUNTIF(damper_names,_xlfn.CONCAT("D_E_",C387))=1), "C", "")</f>
        <v>#VALUE!</v>
      </c>
      <c r="E387" t="e">
        <f t="shared" ca="1" si="9"/>
        <v>#VALUE!</v>
      </c>
      <c r="F387" t="e">
        <f t="shared" ca="1" si="10"/>
        <v>#VALUE!</v>
      </c>
      <c r="G387" t="e">
        <f t="shared" ca="1" si="11"/>
        <v>#VALUE!</v>
      </c>
    </row>
    <row r="388" spans="1:7" x14ac:dyDescent="0.25">
      <c r="A388" s="1"/>
      <c r="D388" t="e" cm="1">
        <f t="array" aca="1" ref="D388" ca="1">IF(OR(COUNTIF(damper_names,_xlfn.CONCAT("D_S_",C388))=1, COUNTIF(damper_names,_xlfn.CONCAT("D_E_",C388))=1), "C", "")</f>
        <v>#VALUE!</v>
      </c>
      <c r="E388" t="e">
        <f t="shared" ca="1" si="9"/>
        <v>#VALUE!</v>
      </c>
      <c r="F388" t="e">
        <f t="shared" ca="1" si="10"/>
        <v>#VALUE!</v>
      </c>
      <c r="G388" t="e">
        <f t="shared" ca="1" si="11"/>
        <v>#VALUE!</v>
      </c>
    </row>
    <row r="389" spans="1:7" x14ac:dyDescent="0.25">
      <c r="A389" s="1"/>
      <c r="D389" t="e" cm="1">
        <f t="array" aca="1" ref="D389" ca="1">IF(OR(COUNTIF(damper_names,_xlfn.CONCAT("D_S_",C389))=1, COUNTIF(damper_names,_xlfn.CONCAT("D_E_",C389))=1), "C", "")</f>
        <v>#VALUE!</v>
      </c>
      <c r="E389" t="e">
        <f t="shared" ca="1" si="9"/>
        <v>#VALUE!</v>
      </c>
      <c r="F389" t="e">
        <f t="shared" ca="1" si="10"/>
        <v>#VALUE!</v>
      </c>
      <c r="G389" t="e">
        <f t="shared" ca="1" si="11"/>
        <v>#VALUE!</v>
      </c>
    </row>
    <row r="390" spans="1:7" x14ac:dyDescent="0.25">
      <c r="A390" s="1"/>
      <c r="D390" t="e" cm="1">
        <f t="array" aca="1" ref="D390" ca="1">IF(OR(COUNTIF(damper_names,_xlfn.CONCAT("D_S_",C390))=1, COUNTIF(damper_names,_xlfn.CONCAT("D_E_",C390))=1), "C", "")</f>
        <v>#VALUE!</v>
      </c>
      <c r="E390" t="e">
        <f t="shared" ca="1" si="9"/>
        <v>#VALUE!</v>
      </c>
      <c r="F390" t="e">
        <f t="shared" ca="1" si="10"/>
        <v>#VALUE!</v>
      </c>
      <c r="G390" t="e">
        <f t="shared" ca="1" si="11"/>
        <v>#VALUE!</v>
      </c>
    </row>
    <row r="391" spans="1:7" x14ac:dyDescent="0.25">
      <c r="A391" s="1"/>
      <c r="D391" t="e" cm="1">
        <f t="array" aca="1" ref="D391" ca="1">IF(OR(COUNTIF(damper_names,_xlfn.CONCAT("D_S_",C391))=1, COUNTIF(damper_names,_xlfn.CONCAT("D_E_",C391))=1), "C", "")</f>
        <v>#VALUE!</v>
      </c>
      <c r="E391" t="e">
        <f t="shared" ref="E391:E454" ca="1" si="12">IF(D391="T", 0.05, IF(D391="C", -0.01, ""))</f>
        <v>#VALUE!</v>
      </c>
      <c r="F391" t="e">
        <f t="shared" ref="F391:F454" ca="1" si="13">IF(D391="T", 0.05, IF(D391="C", 0, ""))</f>
        <v>#VALUE!</v>
      </c>
      <c r="G391" t="e">
        <f t="shared" ref="G391:G454" ca="1" si="14">IF(D391="T", 0, IF(D391="C", 0, ""))</f>
        <v>#VALUE!</v>
      </c>
    </row>
    <row r="392" spans="1:7" x14ac:dyDescent="0.25">
      <c r="A392" s="1"/>
      <c r="D392" t="e" cm="1">
        <f t="array" aca="1" ref="D392" ca="1">IF(OR(COUNTIF(damper_names,_xlfn.CONCAT("D_S_",C392))=1, COUNTIF(damper_names,_xlfn.CONCAT("D_E_",C392))=1), "C", "")</f>
        <v>#VALUE!</v>
      </c>
      <c r="E392" t="e">
        <f t="shared" ca="1" si="12"/>
        <v>#VALUE!</v>
      </c>
      <c r="F392" t="e">
        <f t="shared" ca="1" si="13"/>
        <v>#VALUE!</v>
      </c>
      <c r="G392" t="e">
        <f t="shared" ca="1" si="14"/>
        <v>#VALUE!</v>
      </c>
    </row>
    <row r="393" spans="1:7" x14ac:dyDescent="0.25">
      <c r="A393" s="1"/>
      <c r="D393" t="e" cm="1">
        <f t="array" aca="1" ref="D393" ca="1">IF(OR(COUNTIF(damper_names,_xlfn.CONCAT("D_S_",C393))=1, COUNTIF(damper_names,_xlfn.CONCAT("D_E_",C393))=1), "C", "")</f>
        <v>#VALUE!</v>
      </c>
      <c r="E393" t="e">
        <f t="shared" ca="1" si="12"/>
        <v>#VALUE!</v>
      </c>
      <c r="F393" t="e">
        <f t="shared" ca="1" si="13"/>
        <v>#VALUE!</v>
      </c>
      <c r="G393" t="e">
        <f t="shared" ca="1" si="14"/>
        <v>#VALUE!</v>
      </c>
    </row>
    <row r="394" spans="1:7" x14ac:dyDescent="0.25">
      <c r="A394" s="1"/>
      <c r="D394" t="e" cm="1">
        <f t="array" aca="1" ref="D394" ca="1">IF(OR(COUNTIF(damper_names,_xlfn.CONCAT("D_S_",C394))=1, COUNTIF(damper_names,_xlfn.CONCAT("D_E_",C394))=1), "C", "")</f>
        <v>#VALUE!</v>
      </c>
      <c r="E394" t="e">
        <f t="shared" ca="1" si="12"/>
        <v>#VALUE!</v>
      </c>
      <c r="F394" t="e">
        <f t="shared" ca="1" si="13"/>
        <v>#VALUE!</v>
      </c>
      <c r="G394" t="e">
        <f t="shared" ca="1" si="14"/>
        <v>#VALUE!</v>
      </c>
    </row>
    <row r="395" spans="1:7" x14ac:dyDescent="0.25">
      <c r="A395" s="1"/>
      <c r="D395" t="e" cm="1">
        <f t="array" aca="1" ref="D395" ca="1">IF(OR(COUNTIF(damper_names,_xlfn.CONCAT("D_S_",C395))=1, COUNTIF(damper_names,_xlfn.CONCAT("D_E_",C395))=1), "C", "")</f>
        <v>#VALUE!</v>
      </c>
      <c r="E395" t="e">
        <f t="shared" ca="1" si="12"/>
        <v>#VALUE!</v>
      </c>
      <c r="F395" t="e">
        <f t="shared" ca="1" si="13"/>
        <v>#VALUE!</v>
      </c>
      <c r="G395" t="e">
        <f t="shared" ca="1" si="14"/>
        <v>#VALUE!</v>
      </c>
    </row>
    <row r="396" spans="1:7" x14ac:dyDescent="0.25">
      <c r="A396" s="1"/>
      <c r="D396" t="e" cm="1">
        <f t="array" aca="1" ref="D396" ca="1">IF(OR(COUNTIF(damper_names,_xlfn.CONCAT("D_S_",C396))=1, COUNTIF(damper_names,_xlfn.CONCAT("D_E_",C396))=1), "C", "")</f>
        <v>#VALUE!</v>
      </c>
      <c r="E396" t="e">
        <f t="shared" ca="1" si="12"/>
        <v>#VALUE!</v>
      </c>
      <c r="F396" t="e">
        <f t="shared" ca="1" si="13"/>
        <v>#VALUE!</v>
      </c>
      <c r="G396" t="e">
        <f t="shared" ca="1" si="14"/>
        <v>#VALUE!</v>
      </c>
    </row>
    <row r="397" spans="1:7" x14ac:dyDescent="0.25">
      <c r="A397" s="1"/>
      <c r="D397" t="e" cm="1">
        <f t="array" aca="1" ref="D397" ca="1">IF(OR(COUNTIF(damper_names,_xlfn.CONCAT("D_S_",C397))=1, COUNTIF(damper_names,_xlfn.CONCAT("D_E_",C397))=1), "C", "")</f>
        <v>#VALUE!</v>
      </c>
      <c r="E397" t="e">
        <f t="shared" ca="1" si="12"/>
        <v>#VALUE!</v>
      </c>
      <c r="F397" t="e">
        <f t="shared" ca="1" si="13"/>
        <v>#VALUE!</v>
      </c>
      <c r="G397" t="e">
        <f t="shared" ca="1" si="14"/>
        <v>#VALUE!</v>
      </c>
    </row>
    <row r="398" spans="1:7" x14ac:dyDescent="0.25">
      <c r="A398" s="1"/>
      <c r="D398" t="e" cm="1">
        <f t="array" aca="1" ref="D398" ca="1">IF(OR(COUNTIF(damper_names,_xlfn.CONCAT("D_S_",C398))=1, COUNTIF(damper_names,_xlfn.CONCAT("D_E_",C398))=1), "C", "")</f>
        <v>#VALUE!</v>
      </c>
      <c r="E398" t="e">
        <f t="shared" ca="1" si="12"/>
        <v>#VALUE!</v>
      </c>
      <c r="F398" t="e">
        <f t="shared" ca="1" si="13"/>
        <v>#VALUE!</v>
      </c>
      <c r="G398" t="e">
        <f t="shared" ca="1" si="14"/>
        <v>#VALUE!</v>
      </c>
    </row>
    <row r="399" spans="1:7" x14ac:dyDescent="0.25">
      <c r="A399" s="1"/>
      <c r="D399" t="e" cm="1">
        <f t="array" aca="1" ref="D399" ca="1">IF(OR(COUNTIF(damper_names,_xlfn.CONCAT("D_S_",C399))=1, COUNTIF(damper_names,_xlfn.CONCAT("D_E_",C399))=1), "C", "")</f>
        <v>#VALUE!</v>
      </c>
      <c r="E399" t="e">
        <f t="shared" ca="1" si="12"/>
        <v>#VALUE!</v>
      </c>
      <c r="F399" t="e">
        <f t="shared" ca="1" si="13"/>
        <v>#VALUE!</v>
      </c>
      <c r="G399" t="e">
        <f t="shared" ca="1" si="14"/>
        <v>#VALUE!</v>
      </c>
    </row>
    <row r="400" spans="1:7" x14ac:dyDescent="0.25">
      <c r="A400" s="1"/>
      <c r="D400" t="e" cm="1">
        <f t="array" aca="1" ref="D400" ca="1">IF(OR(COUNTIF(damper_names,_xlfn.CONCAT("D_S_",C400))=1, COUNTIF(damper_names,_xlfn.CONCAT("D_E_",C400))=1), "C", "")</f>
        <v>#VALUE!</v>
      </c>
      <c r="E400" t="e">
        <f t="shared" ca="1" si="12"/>
        <v>#VALUE!</v>
      </c>
      <c r="F400" t="e">
        <f t="shared" ca="1" si="13"/>
        <v>#VALUE!</v>
      </c>
      <c r="G400" t="e">
        <f t="shared" ca="1" si="14"/>
        <v>#VALUE!</v>
      </c>
    </row>
    <row r="401" spans="1:7" x14ac:dyDescent="0.25">
      <c r="A401" s="1"/>
      <c r="D401" t="e" cm="1">
        <f t="array" aca="1" ref="D401" ca="1">IF(OR(COUNTIF(damper_names,_xlfn.CONCAT("D_S_",C401))=1, COUNTIF(damper_names,_xlfn.CONCAT("D_E_",C401))=1), "C", "")</f>
        <v>#VALUE!</v>
      </c>
      <c r="E401" t="e">
        <f t="shared" ca="1" si="12"/>
        <v>#VALUE!</v>
      </c>
      <c r="F401" t="e">
        <f t="shared" ca="1" si="13"/>
        <v>#VALUE!</v>
      </c>
      <c r="G401" t="e">
        <f t="shared" ca="1" si="14"/>
        <v>#VALUE!</v>
      </c>
    </row>
    <row r="402" spans="1:7" x14ac:dyDescent="0.25">
      <c r="A402" s="1"/>
      <c r="D402" t="e" cm="1">
        <f t="array" aca="1" ref="D402" ca="1">IF(OR(COUNTIF(damper_names,_xlfn.CONCAT("D_S_",C402))=1, COUNTIF(damper_names,_xlfn.CONCAT("D_E_",C402))=1), "C", "")</f>
        <v>#VALUE!</v>
      </c>
      <c r="E402" t="e">
        <f t="shared" ca="1" si="12"/>
        <v>#VALUE!</v>
      </c>
      <c r="F402" t="e">
        <f t="shared" ca="1" si="13"/>
        <v>#VALUE!</v>
      </c>
      <c r="G402" t="e">
        <f t="shared" ca="1" si="14"/>
        <v>#VALUE!</v>
      </c>
    </row>
    <row r="403" spans="1:7" x14ac:dyDescent="0.25">
      <c r="A403" s="1"/>
      <c r="D403" t="e" cm="1">
        <f t="array" aca="1" ref="D403" ca="1">IF(OR(COUNTIF(damper_names,_xlfn.CONCAT("D_S_",C403))=1, COUNTIF(damper_names,_xlfn.CONCAT("D_E_",C403))=1), "C", "")</f>
        <v>#VALUE!</v>
      </c>
      <c r="E403" t="e">
        <f t="shared" ca="1" si="12"/>
        <v>#VALUE!</v>
      </c>
      <c r="F403" t="e">
        <f t="shared" ca="1" si="13"/>
        <v>#VALUE!</v>
      </c>
      <c r="G403" t="e">
        <f t="shared" ca="1" si="14"/>
        <v>#VALUE!</v>
      </c>
    </row>
    <row r="404" spans="1:7" x14ac:dyDescent="0.25">
      <c r="A404" s="1"/>
      <c r="D404" t="e" cm="1">
        <f t="array" aca="1" ref="D404" ca="1">IF(OR(COUNTIF(damper_names,_xlfn.CONCAT("D_S_",C404))=1, COUNTIF(damper_names,_xlfn.CONCAT("D_E_",C404))=1), "C", "")</f>
        <v>#VALUE!</v>
      </c>
      <c r="E404" t="e">
        <f t="shared" ca="1" si="12"/>
        <v>#VALUE!</v>
      </c>
      <c r="F404" t="e">
        <f t="shared" ca="1" si="13"/>
        <v>#VALUE!</v>
      </c>
      <c r="G404" t="e">
        <f t="shared" ca="1" si="14"/>
        <v>#VALUE!</v>
      </c>
    </row>
    <row r="405" spans="1:7" x14ac:dyDescent="0.25">
      <c r="A405" s="1"/>
      <c r="D405" t="e" cm="1">
        <f t="array" aca="1" ref="D405" ca="1">IF(OR(COUNTIF(damper_names,_xlfn.CONCAT("D_S_",C405))=1, COUNTIF(damper_names,_xlfn.CONCAT("D_E_",C405))=1), "C", "")</f>
        <v>#VALUE!</v>
      </c>
      <c r="E405" t="e">
        <f t="shared" ca="1" si="12"/>
        <v>#VALUE!</v>
      </c>
      <c r="F405" t="e">
        <f t="shared" ca="1" si="13"/>
        <v>#VALUE!</v>
      </c>
      <c r="G405" t="e">
        <f t="shared" ca="1" si="14"/>
        <v>#VALUE!</v>
      </c>
    </row>
    <row r="406" spans="1:7" x14ac:dyDescent="0.25">
      <c r="A406" s="1"/>
      <c r="D406" t="e" cm="1">
        <f t="array" aca="1" ref="D406" ca="1">IF(OR(COUNTIF(damper_names,_xlfn.CONCAT("D_S_",C406))=1, COUNTIF(damper_names,_xlfn.CONCAT("D_E_",C406))=1), "C", "")</f>
        <v>#VALUE!</v>
      </c>
      <c r="E406" t="e">
        <f t="shared" ca="1" si="12"/>
        <v>#VALUE!</v>
      </c>
      <c r="F406" t="e">
        <f t="shared" ca="1" si="13"/>
        <v>#VALUE!</v>
      </c>
      <c r="G406" t="e">
        <f t="shared" ca="1" si="14"/>
        <v>#VALUE!</v>
      </c>
    </row>
    <row r="407" spans="1:7" x14ac:dyDescent="0.25">
      <c r="A407" s="1"/>
      <c r="D407" t="e" cm="1">
        <f t="array" aca="1" ref="D407" ca="1">IF(OR(COUNTIF(damper_names,_xlfn.CONCAT("D_S_",C407))=1, COUNTIF(damper_names,_xlfn.CONCAT("D_E_",C407))=1), "C", "")</f>
        <v>#VALUE!</v>
      </c>
      <c r="E407" t="e">
        <f t="shared" ca="1" si="12"/>
        <v>#VALUE!</v>
      </c>
      <c r="F407" t="e">
        <f t="shared" ca="1" si="13"/>
        <v>#VALUE!</v>
      </c>
      <c r="G407" t="e">
        <f t="shared" ca="1" si="14"/>
        <v>#VALUE!</v>
      </c>
    </row>
    <row r="408" spans="1:7" x14ac:dyDescent="0.25">
      <c r="A408" s="1"/>
      <c r="D408" t="e" cm="1">
        <f t="array" aca="1" ref="D408" ca="1">IF(OR(COUNTIF(damper_names,_xlfn.CONCAT("D_S_",C408))=1, COUNTIF(damper_names,_xlfn.CONCAT("D_E_",C408))=1), "C", "")</f>
        <v>#VALUE!</v>
      </c>
      <c r="E408" t="e">
        <f t="shared" ca="1" si="12"/>
        <v>#VALUE!</v>
      </c>
      <c r="F408" t="e">
        <f t="shared" ca="1" si="13"/>
        <v>#VALUE!</v>
      </c>
      <c r="G408" t="e">
        <f t="shared" ca="1" si="14"/>
        <v>#VALUE!</v>
      </c>
    </row>
    <row r="409" spans="1:7" x14ac:dyDescent="0.25">
      <c r="A409" s="1"/>
      <c r="D409" t="e" cm="1">
        <f t="array" aca="1" ref="D409" ca="1">IF(OR(COUNTIF(damper_names,_xlfn.CONCAT("D_S_",C409))=1, COUNTIF(damper_names,_xlfn.CONCAT("D_E_",C409))=1), "C", "")</f>
        <v>#VALUE!</v>
      </c>
      <c r="E409" t="e">
        <f t="shared" ca="1" si="12"/>
        <v>#VALUE!</v>
      </c>
      <c r="F409" t="e">
        <f t="shared" ca="1" si="13"/>
        <v>#VALUE!</v>
      </c>
      <c r="G409" t="e">
        <f t="shared" ca="1" si="14"/>
        <v>#VALUE!</v>
      </c>
    </row>
    <row r="410" spans="1:7" x14ac:dyDescent="0.25">
      <c r="A410" s="1"/>
      <c r="D410" t="e" cm="1">
        <f t="array" aca="1" ref="D410" ca="1">IF(OR(COUNTIF(damper_names,_xlfn.CONCAT("D_S_",C410))=1, COUNTIF(damper_names,_xlfn.CONCAT("D_E_",C410))=1), "C", "")</f>
        <v>#VALUE!</v>
      </c>
      <c r="E410" t="e">
        <f t="shared" ca="1" si="12"/>
        <v>#VALUE!</v>
      </c>
      <c r="F410" t="e">
        <f t="shared" ca="1" si="13"/>
        <v>#VALUE!</v>
      </c>
      <c r="G410" t="e">
        <f t="shared" ca="1" si="14"/>
        <v>#VALUE!</v>
      </c>
    </row>
    <row r="411" spans="1:7" x14ac:dyDescent="0.25">
      <c r="A411" s="1"/>
      <c r="D411" t="e" cm="1">
        <f t="array" aca="1" ref="D411" ca="1">IF(OR(COUNTIF(damper_names,_xlfn.CONCAT("D_S_",C411))=1, COUNTIF(damper_names,_xlfn.CONCAT("D_E_",C411))=1), "C", "")</f>
        <v>#VALUE!</v>
      </c>
      <c r="E411" t="e">
        <f t="shared" ca="1" si="12"/>
        <v>#VALUE!</v>
      </c>
      <c r="F411" t="e">
        <f t="shared" ca="1" si="13"/>
        <v>#VALUE!</v>
      </c>
      <c r="G411" t="e">
        <f t="shared" ca="1" si="14"/>
        <v>#VALUE!</v>
      </c>
    </row>
    <row r="412" spans="1:7" x14ac:dyDescent="0.25">
      <c r="A412" s="1"/>
      <c r="D412" t="e" cm="1">
        <f t="array" aca="1" ref="D412" ca="1">IF(OR(COUNTIF(damper_names,_xlfn.CONCAT("D_S_",C412))=1, COUNTIF(damper_names,_xlfn.CONCAT("D_E_",C412))=1), "C", "")</f>
        <v>#VALUE!</v>
      </c>
      <c r="E412" t="e">
        <f t="shared" ca="1" si="12"/>
        <v>#VALUE!</v>
      </c>
      <c r="F412" t="e">
        <f t="shared" ca="1" si="13"/>
        <v>#VALUE!</v>
      </c>
      <c r="G412" t="e">
        <f t="shared" ca="1" si="14"/>
        <v>#VALUE!</v>
      </c>
    </row>
    <row r="413" spans="1:7" x14ac:dyDescent="0.25">
      <c r="A413" s="1"/>
      <c r="D413" t="e" cm="1">
        <f t="array" aca="1" ref="D413" ca="1">IF(OR(COUNTIF(damper_names,_xlfn.CONCAT("D_S_",C413))=1, COUNTIF(damper_names,_xlfn.CONCAT("D_E_",C413))=1), "C", "")</f>
        <v>#VALUE!</v>
      </c>
      <c r="E413" t="e">
        <f t="shared" ca="1" si="12"/>
        <v>#VALUE!</v>
      </c>
      <c r="F413" t="e">
        <f t="shared" ca="1" si="13"/>
        <v>#VALUE!</v>
      </c>
      <c r="G413" t="e">
        <f t="shared" ca="1" si="14"/>
        <v>#VALUE!</v>
      </c>
    </row>
    <row r="414" spans="1:7" x14ac:dyDescent="0.25">
      <c r="A414" s="1"/>
      <c r="D414" t="e" cm="1">
        <f t="array" aca="1" ref="D414" ca="1">IF(OR(COUNTIF(damper_names,_xlfn.CONCAT("D_S_",C414))=1, COUNTIF(damper_names,_xlfn.CONCAT("D_E_",C414))=1), "C", "")</f>
        <v>#VALUE!</v>
      </c>
      <c r="E414" t="e">
        <f t="shared" ca="1" si="12"/>
        <v>#VALUE!</v>
      </c>
      <c r="F414" t="e">
        <f t="shared" ca="1" si="13"/>
        <v>#VALUE!</v>
      </c>
      <c r="G414" t="e">
        <f t="shared" ca="1" si="14"/>
        <v>#VALUE!</v>
      </c>
    </row>
    <row r="415" spans="1:7" x14ac:dyDescent="0.25">
      <c r="A415" s="1"/>
      <c r="D415" t="e" cm="1">
        <f t="array" aca="1" ref="D415" ca="1">IF(OR(COUNTIF(damper_names,_xlfn.CONCAT("D_S_",C415))=1, COUNTIF(damper_names,_xlfn.CONCAT("D_E_",C415))=1), "C", "")</f>
        <v>#VALUE!</v>
      </c>
      <c r="E415" t="e">
        <f t="shared" ca="1" si="12"/>
        <v>#VALUE!</v>
      </c>
      <c r="F415" t="e">
        <f t="shared" ca="1" si="13"/>
        <v>#VALUE!</v>
      </c>
      <c r="G415" t="e">
        <f t="shared" ca="1" si="14"/>
        <v>#VALUE!</v>
      </c>
    </row>
    <row r="416" spans="1:7" x14ac:dyDescent="0.25">
      <c r="A416" s="1"/>
      <c r="D416" t="e" cm="1">
        <f t="array" aca="1" ref="D416" ca="1">IF(OR(COUNTIF(damper_names,_xlfn.CONCAT("D_S_",C416))=1, COUNTIF(damper_names,_xlfn.CONCAT("D_E_",C416))=1), "C", "")</f>
        <v>#VALUE!</v>
      </c>
      <c r="E416" t="e">
        <f t="shared" ca="1" si="12"/>
        <v>#VALUE!</v>
      </c>
      <c r="F416" t="e">
        <f t="shared" ca="1" si="13"/>
        <v>#VALUE!</v>
      </c>
      <c r="G416" t="e">
        <f t="shared" ca="1" si="14"/>
        <v>#VALUE!</v>
      </c>
    </row>
    <row r="417" spans="1:7" x14ac:dyDescent="0.25">
      <c r="A417" s="1"/>
      <c r="D417" t="e" cm="1">
        <f t="array" aca="1" ref="D417" ca="1">IF(OR(COUNTIF(damper_names,_xlfn.CONCAT("D_S_",C417))=1, COUNTIF(damper_names,_xlfn.CONCAT("D_E_",C417))=1), "C", "")</f>
        <v>#VALUE!</v>
      </c>
      <c r="E417" t="e">
        <f t="shared" ca="1" si="12"/>
        <v>#VALUE!</v>
      </c>
      <c r="F417" t="e">
        <f t="shared" ca="1" si="13"/>
        <v>#VALUE!</v>
      </c>
      <c r="G417" t="e">
        <f t="shared" ca="1" si="14"/>
        <v>#VALUE!</v>
      </c>
    </row>
    <row r="418" spans="1:7" x14ac:dyDescent="0.25">
      <c r="A418" s="1"/>
      <c r="D418" t="e" cm="1">
        <f t="array" aca="1" ref="D418" ca="1">IF(OR(COUNTIF(damper_names,_xlfn.CONCAT("D_S_",C418))=1, COUNTIF(damper_names,_xlfn.CONCAT("D_E_",C418))=1), "C", "")</f>
        <v>#VALUE!</v>
      </c>
      <c r="E418" t="e">
        <f t="shared" ca="1" si="12"/>
        <v>#VALUE!</v>
      </c>
      <c r="F418" t="e">
        <f t="shared" ca="1" si="13"/>
        <v>#VALUE!</v>
      </c>
      <c r="G418" t="e">
        <f t="shared" ca="1" si="14"/>
        <v>#VALUE!</v>
      </c>
    </row>
    <row r="419" spans="1:7" x14ac:dyDescent="0.25">
      <c r="A419" s="1"/>
      <c r="D419" t="e" cm="1">
        <f t="array" aca="1" ref="D419" ca="1">IF(OR(COUNTIF(damper_names,_xlfn.CONCAT("D_S_",C419))=1, COUNTIF(damper_names,_xlfn.CONCAT("D_E_",C419))=1), "C", "")</f>
        <v>#VALUE!</v>
      </c>
      <c r="E419" t="e">
        <f t="shared" ca="1" si="12"/>
        <v>#VALUE!</v>
      </c>
      <c r="F419" t="e">
        <f t="shared" ca="1" si="13"/>
        <v>#VALUE!</v>
      </c>
      <c r="G419" t="e">
        <f t="shared" ca="1" si="14"/>
        <v>#VALUE!</v>
      </c>
    </row>
    <row r="420" spans="1:7" x14ac:dyDescent="0.25">
      <c r="A420" s="1"/>
      <c r="D420" t="e" cm="1">
        <f t="array" aca="1" ref="D420" ca="1">IF(OR(COUNTIF(damper_names,_xlfn.CONCAT("D_S_",C420))=1, COUNTIF(damper_names,_xlfn.CONCAT("D_E_",C420))=1), "C", "")</f>
        <v>#VALUE!</v>
      </c>
      <c r="E420" t="e">
        <f t="shared" ca="1" si="12"/>
        <v>#VALUE!</v>
      </c>
      <c r="F420" t="e">
        <f t="shared" ca="1" si="13"/>
        <v>#VALUE!</v>
      </c>
      <c r="G420" t="e">
        <f t="shared" ca="1" si="14"/>
        <v>#VALUE!</v>
      </c>
    </row>
    <row r="421" spans="1:7" x14ac:dyDescent="0.25">
      <c r="A421" s="1"/>
      <c r="D421" t="e" cm="1">
        <f t="array" aca="1" ref="D421" ca="1">IF(OR(COUNTIF(damper_names,_xlfn.CONCAT("D_S_",C421))=1, COUNTIF(damper_names,_xlfn.CONCAT("D_E_",C421))=1), "C", "")</f>
        <v>#VALUE!</v>
      </c>
      <c r="E421" t="e">
        <f t="shared" ca="1" si="12"/>
        <v>#VALUE!</v>
      </c>
      <c r="F421" t="e">
        <f t="shared" ca="1" si="13"/>
        <v>#VALUE!</v>
      </c>
      <c r="G421" t="e">
        <f t="shared" ca="1" si="14"/>
        <v>#VALUE!</v>
      </c>
    </row>
    <row r="422" spans="1:7" x14ac:dyDescent="0.25">
      <c r="A422" s="1"/>
      <c r="D422" t="e" cm="1">
        <f t="array" aca="1" ref="D422" ca="1">IF(OR(COUNTIF(damper_names,_xlfn.CONCAT("D_S_",C422))=1, COUNTIF(damper_names,_xlfn.CONCAT("D_E_",C422))=1), "C", "")</f>
        <v>#VALUE!</v>
      </c>
      <c r="E422" t="e">
        <f t="shared" ca="1" si="12"/>
        <v>#VALUE!</v>
      </c>
      <c r="F422" t="e">
        <f t="shared" ca="1" si="13"/>
        <v>#VALUE!</v>
      </c>
      <c r="G422" t="e">
        <f t="shared" ca="1" si="14"/>
        <v>#VALUE!</v>
      </c>
    </row>
    <row r="423" spans="1:7" x14ac:dyDescent="0.25">
      <c r="A423" s="1"/>
      <c r="D423" t="e" cm="1">
        <f t="array" aca="1" ref="D423" ca="1">IF(OR(COUNTIF(damper_names,_xlfn.CONCAT("D_S_",C423))=1, COUNTIF(damper_names,_xlfn.CONCAT("D_E_",C423))=1), "C", "")</f>
        <v>#VALUE!</v>
      </c>
      <c r="E423" t="e">
        <f t="shared" ca="1" si="12"/>
        <v>#VALUE!</v>
      </c>
      <c r="F423" t="e">
        <f t="shared" ca="1" si="13"/>
        <v>#VALUE!</v>
      </c>
      <c r="G423" t="e">
        <f t="shared" ca="1" si="14"/>
        <v>#VALUE!</v>
      </c>
    </row>
    <row r="424" spans="1:7" x14ac:dyDescent="0.25">
      <c r="A424" s="1"/>
      <c r="D424" t="e" cm="1">
        <f t="array" aca="1" ref="D424" ca="1">IF(OR(COUNTIF(damper_names,_xlfn.CONCAT("D_S_",C424))=1, COUNTIF(damper_names,_xlfn.CONCAT("D_E_",C424))=1), "C", "")</f>
        <v>#VALUE!</v>
      </c>
      <c r="E424" t="e">
        <f t="shared" ca="1" si="12"/>
        <v>#VALUE!</v>
      </c>
      <c r="F424" t="e">
        <f t="shared" ca="1" si="13"/>
        <v>#VALUE!</v>
      </c>
      <c r="G424" t="e">
        <f t="shared" ca="1" si="14"/>
        <v>#VALUE!</v>
      </c>
    </row>
    <row r="425" spans="1:7" x14ac:dyDescent="0.25">
      <c r="A425" s="1"/>
      <c r="D425" t="e" cm="1">
        <f t="array" aca="1" ref="D425" ca="1">IF(OR(COUNTIF(damper_names,_xlfn.CONCAT("D_S_",C425))=1, COUNTIF(damper_names,_xlfn.CONCAT("D_E_",C425))=1), "C", "")</f>
        <v>#VALUE!</v>
      </c>
      <c r="E425" t="e">
        <f t="shared" ca="1" si="12"/>
        <v>#VALUE!</v>
      </c>
      <c r="F425" t="e">
        <f t="shared" ca="1" si="13"/>
        <v>#VALUE!</v>
      </c>
      <c r="G425" t="e">
        <f t="shared" ca="1" si="14"/>
        <v>#VALUE!</v>
      </c>
    </row>
    <row r="426" spans="1:7" x14ac:dyDescent="0.25">
      <c r="A426" s="1"/>
      <c r="D426" t="e" cm="1">
        <f t="array" aca="1" ref="D426" ca="1">IF(OR(COUNTIF(damper_names,_xlfn.CONCAT("D_S_",C426))=1, COUNTIF(damper_names,_xlfn.CONCAT("D_E_",C426))=1), "C", "")</f>
        <v>#VALUE!</v>
      </c>
      <c r="E426" t="e">
        <f t="shared" ca="1" si="12"/>
        <v>#VALUE!</v>
      </c>
      <c r="F426" t="e">
        <f t="shared" ca="1" si="13"/>
        <v>#VALUE!</v>
      </c>
      <c r="G426" t="e">
        <f t="shared" ca="1" si="14"/>
        <v>#VALUE!</v>
      </c>
    </row>
    <row r="427" spans="1:7" x14ac:dyDescent="0.25">
      <c r="A427" s="1"/>
      <c r="D427" t="e" cm="1">
        <f t="array" aca="1" ref="D427" ca="1">IF(OR(COUNTIF(damper_names,_xlfn.CONCAT("D_S_",C427))=1, COUNTIF(damper_names,_xlfn.CONCAT("D_E_",C427))=1), "C", "")</f>
        <v>#VALUE!</v>
      </c>
      <c r="E427" t="e">
        <f t="shared" ca="1" si="12"/>
        <v>#VALUE!</v>
      </c>
      <c r="F427" t="e">
        <f t="shared" ca="1" si="13"/>
        <v>#VALUE!</v>
      </c>
      <c r="G427" t="e">
        <f t="shared" ca="1" si="14"/>
        <v>#VALUE!</v>
      </c>
    </row>
    <row r="428" spans="1:7" x14ac:dyDescent="0.25">
      <c r="A428" s="1"/>
      <c r="D428" t="e" cm="1">
        <f t="array" aca="1" ref="D428" ca="1">IF(OR(COUNTIF(damper_names,_xlfn.CONCAT("D_S_",C428))=1, COUNTIF(damper_names,_xlfn.CONCAT("D_E_",C428))=1), "C", "")</f>
        <v>#VALUE!</v>
      </c>
      <c r="E428" t="e">
        <f t="shared" ca="1" si="12"/>
        <v>#VALUE!</v>
      </c>
      <c r="F428" t="e">
        <f t="shared" ca="1" si="13"/>
        <v>#VALUE!</v>
      </c>
      <c r="G428" t="e">
        <f t="shared" ca="1" si="14"/>
        <v>#VALUE!</v>
      </c>
    </row>
    <row r="429" spans="1:7" x14ac:dyDescent="0.25">
      <c r="A429" s="1"/>
      <c r="D429" t="e" cm="1">
        <f t="array" aca="1" ref="D429" ca="1">IF(OR(COUNTIF(damper_names,_xlfn.CONCAT("D_S_",C429))=1, COUNTIF(damper_names,_xlfn.CONCAT("D_E_",C429))=1), "C", "")</f>
        <v>#VALUE!</v>
      </c>
      <c r="E429" t="e">
        <f t="shared" ca="1" si="12"/>
        <v>#VALUE!</v>
      </c>
      <c r="F429" t="e">
        <f t="shared" ca="1" si="13"/>
        <v>#VALUE!</v>
      </c>
      <c r="G429" t="e">
        <f t="shared" ca="1" si="14"/>
        <v>#VALUE!</v>
      </c>
    </row>
    <row r="430" spans="1:7" x14ac:dyDescent="0.25">
      <c r="A430" s="1"/>
      <c r="D430" t="e" cm="1">
        <f t="array" aca="1" ref="D430" ca="1">IF(OR(COUNTIF(damper_names,_xlfn.CONCAT("D_S_",C430))=1, COUNTIF(damper_names,_xlfn.CONCAT("D_E_",C430))=1), "C", "")</f>
        <v>#VALUE!</v>
      </c>
      <c r="E430" t="e">
        <f t="shared" ca="1" si="12"/>
        <v>#VALUE!</v>
      </c>
      <c r="F430" t="e">
        <f t="shared" ca="1" si="13"/>
        <v>#VALUE!</v>
      </c>
      <c r="G430" t="e">
        <f t="shared" ca="1" si="14"/>
        <v>#VALUE!</v>
      </c>
    </row>
    <row r="431" spans="1:7" x14ac:dyDescent="0.25">
      <c r="A431" s="1"/>
      <c r="D431" t="e" cm="1">
        <f t="array" aca="1" ref="D431" ca="1">IF(OR(COUNTIF(damper_names,_xlfn.CONCAT("D_S_",C431))=1, COUNTIF(damper_names,_xlfn.CONCAT("D_E_",C431))=1), "C", "")</f>
        <v>#VALUE!</v>
      </c>
      <c r="E431" t="e">
        <f t="shared" ca="1" si="12"/>
        <v>#VALUE!</v>
      </c>
      <c r="F431" t="e">
        <f t="shared" ca="1" si="13"/>
        <v>#VALUE!</v>
      </c>
      <c r="G431" t="e">
        <f t="shared" ca="1" si="14"/>
        <v>#VALUE!</v>
      </c>
    </row>
    <row r="432" spans="1:7" x14ac:dyDescent="0.25">
      <c r="A432" s="1"/>
      <c r="D432" t="e" cm="1">
        <f t="array" aca="1" ref="D432" ca="1">IF(OR(COUNTIF(damper_names,_xlfn.CONCAT("D_S_",C432))=1, COUNTIF(damper_names,_xlfn.CONCAT("D_E_",C432))=1), "C", "")</f>
        <v>#VALUE!</v>
      </c>
      <c r="E432" t="e">
        <f t="shared" ca="1" si="12"/>
        <v>#VALUE!</v>
      </c>
      <c r="F432" t="e">
        <f t="shared" ca="1" si="13"/>
        <v>#VALUE!</v>
      </c>
      <c r="G432" t="e">
        <f t="shared" ca="1" si="14"/>
        <v>#VALUE!</v>
      </c>
    </row>
    <row r="433" spans="1:7" x14ac:dyDescent="0.25">
      <c r="A433" s="1"/>
      <c r="D433" t="e" cm="1">
        <f t="array" aca="1" ref="D433" ca="1">IF(OR(COUNTIF(damper_names,_xlfn.CONCAT("D_S_",C433))=1, COUNTIF(damper_names,_xlfn.CONCAT("D_E_",C433))=1), "C", "")</f>
        <v>#VALUE!</v>
      </c>
      <c r="E433" t="e">
        <f t="shared" ca="1" si="12"/>
        <v>#VALUE!</v>
      </c>
      <c r="F433" t="e">
        <f t="shared" ca="1" si="13"/>
        <v>#VALUE!</v>
      </c>
      <c r="G433" t="e">
        <f t="shared" ca="1" si="14"/>
        <v>#VALUE!</v>
      </c>
    </row>
    <row r="434" spans="1:7" x14ac:dyDescent="0.25">
      <c r="A434" s="1"/>
      <c r="D434" t="e" cm="1">
        <f t="array" aca="1" ref="D434" ca="1">IF(OR(COUNTIF(damper_names,_xlfn.CONCAT("D_S_",C434))=1, COUNTIF(damper_names,_xlfn.CONCAT("D_E_",C434))=1), "C", "")</f>
        <v>#VALUE!</v>
      </c>
      <c r="E434" t="e">
        <f t="shared" ca="1" si="12"/>
        <v>#VALUE!</v>
      </c>
      <c r="F434" t="e">
        <f t="shared" ca="1" si="13"/>
        <v>#VALUE!</v>
      </c>
      <c r="G434" t="e">
        <f t="shared" ca="1" si="14"/>
        <v>#VALUE!</v>
      </c>
    </row>
    <row r="435" spans="1:7" x14ac:dyDescent="0.25">
      <c r="A435" s="1"/>
      <c r="D435" t="e" cm="1">
        <f t="array" aca="1" ref="D435" ca="1">IF(OR(COUNTIF(damper_names,_xlfn.CONCAT("D_S_",C435))=1, COUNTIF(damper_names,_xlfn.CONCAT("D_E_",C435))=1), "C", "")</f>
        <v>#VALUE!</v>
      </c>
      <c r="E435" t="e">
        <f t="shared" ca="1" si="12"/>
        <v>#VALUE!</v>
      </c>
      <c r="F435" t="e">
        <f t="shared" ca="1" si="13"/>
        <v>#VALUE!</v>
      </c>
      <c r="G435" t="e">
        <f t="shared" ca="1" si="14"/>
        <v>#VALUE!</v>
      </c>
    </row>
    <row r="436" spans="1:7" x14ac:dyDescent="0.25">
      <c r="A436" s="1"/>
      <c r="D436" t="e" cm="1">
        <f t="array" aca="1" ref="D436" ca="1">IF(OR(COUNTIF(damper_names,_xlfn.CONCAT("D_S_",C436))=1, COUNTIF(damper_names,_xlfn.CONCAT("D_E_",C436))=1), "C", "")</f>
        <v>#VALUE!</v>
      </c>
      <c r="E436" t="e">
        <f t="shared" ca="1" si="12"/>
        <v>#VALUE!</v>
      </c>
      <c r="F436" t="e">
        <f t="shared" ca="1" si="13"/>
        <v>#VALUE!</v>
      </c>
      <c r="G436" t="e">
        <f t="shared" ca="1" si="14"/>
        <v>#VALUE!</v>
      </c>
    </row>
    <row r="437" spans="1:7" x14ac:dyDescent="0.25">
      <c r="A437" s="1"/>
      <c r="D437" t="e" cm="1">
        <f t="array" aca="1" ref="D437" ca="1">IF(OR(COUNTIF(damper_names,_xlfn.CONCAT("D_S_",C437))=1, COUNTIF(damper_names,_xlfn.CONCAT("D_E_",C437))=1), "C", "")</f>
        <v>#VALUE!</v>
      </c>
      <c r="E437" t="e">
        <f t="shared" ca="1" si="12"/>
        <v>#VALUE!</v>
      </c>
      <c r="F437" t="e">
        <f t="shared" ca="1" si="13"/>
        <v>#VALUE!</v>
      </c>
      <c r="G437" t="e">
        <f t="shared" ca="1" si="14"/>
        <v>#VALUE!</v>
      </c>
    </row>
    <row r="438" spans="1:7" x14ac:dyDescent="0.25">
      <c r="A438" s="1"/>
      <c r="D438" t="e" cm="1">
        <f t="array" aca="1" ref="D438" ca="1">IF(OR(COUNTIF(damper_names,_xlfn.CONCAT("D_S_",C438))=1, COUNTIF(damper_names,_xlfn.CONCAT("D_E_",C438))=1), "C", "")</f>
        <v>#VALUE!</v>
      </c>
      <c r="E438" t="e">
        <f t="shared" ca="1" si="12"/>
        <v>#VALUE!</v>
      </c>
      <c r="F438" t="e">
        <f t="shared" ca="1" si="13"/>
        <v>#VALUE!</v>
      </c>
      <c r="G438" t="e">
        <f t="shared" ca="1" si="14"/>
        <v>#VALUE!</v>
      </c>
    </row>
    <row r="439" spans="1:7" x14ac:dyDescent="0.25">
      <c r="A439" s="1"/>
      <c r="D439" t="e" cm="1">
        <f t="array" aca="1" ref="D439" ca="1">IF(OR(COUNTIF(damper_names,_xlfn.CONCAT("D_S_",C439))=1, COUNTIF(damper_names,_xlfn.CONCAT("D_E_",C439))=1), "C", "")</f>
        <v>#VALUE!</v>
      </c>
      <c r="E439" t="e">
        <f t="shared" ca="1" si="12"/>
        <v>#VALUE!</v>
      </c>
      <c r="F439" t="e">
        <f t="shared" ca="1" si="13"/>
        <v>#VALUE!</v>
      </c>
      <c r="G439" t="e">
        <f t="shared" ca="1" si="14"/>
        <v>#VALUE!</v>
      </c>
    </row>
    <row r="440" spans="1:7" x14ac:dyDescent="0.25">
      <c r="A440" s="1"/>
      <c r="D440" t="e" cm="1">
        <f t="array" aca="1" ref="D440" ca="1">IF(OR(COUNTIF(damper_names,_xlfn.CONCAT("D_S_",C440))=1, COUNTIF(damper_names,_xlfn.CONCAT("D_E_",C440))=1), "C", "")</f>
        <v>#VALUE!</v>
      </c>
      <c r="E440" t="e">
        <f t="shared" ca="1" si="12"/>
        <v>#VALUE!</v>
      </c>
      <c r="F440" t="e">
        <f t="shared" ca="1" si="13"/>
        <v>#VALUE!</v>
      </c>
      <c r="G440" t="e">
        <f t="shared" ca="1" si="14"/>
        <v>#VALUE!</v>
      </c>
    </row>
    <row r="441" spans="1:7" x14ac:dyDescent="0.25">
      <c r="A441" s="1"/>
      <c r="D441" t="e" cm="1">
        <f t="array" aca="1" ref="D441" ca="1">IF(OR(COUNTIF(damper_names,_xlfn.CONCAT("D_S_",C441))=1, COUNTIF(damper_names,_xlfn.CONCAT("D_E_",C441))=1), "C", "")</f>
        <v>#VALUE!</v>
      </c>
      <c r="E441" t="e">
        <f t="shared" ca="1" si="12"/>
        <v>#VALUE!</v>
      </c>
      <c r="F441" t="e">
        <f t="shared" ca="1" si="13"/>
        <v>#VALUE!</v>
      </c>
      <c r="G441" t="e">
        <f t="shared" ca="1" si="14"/>
        <v>#VALUE!</v>
      </c>
    </row>
    <row r="442" spans="1:7" x14ac:dyDescent="0.25">
      <c r="A442" s="1"/>
      <c r="D442" t="e" cm="1">
        <f t="array" aca="1" ref="D442" ca="1">IF(OR(COUNTIF(damper_names,_xlfn.CONCAT("D_S_",C442))=1, COUNTIF(damper_names,_xlfn.CONCAT("D_E_",C442))=1), "C", "")</f>
        <v>#VALUE!</v>
      </c>
      <c r="E442" t="e">
        <f t="shared" ca="1" si="12"/>
        <v>#VALUE!</v>
      </c>
      <c r="F442" t="e">
        <f t="shared" ca="1" si="13"/>
        <v>#VALUE!</v>
      </c>
      <c r="G442" t="e">
        <f t="shared" ca="1" si="14"/>
        <v>#VALUE!</v>
      </c>
    </row>
    <row r="443" spans="1:7" x14ac:dyDescent="0.25">
      <c r="A443" s="1"/>
      <c r="D443" t="e" cm="1">
        <f t="array" aca="1" ref="D443" ca="1">IF(OR(COUNTIF(damper_names,_xlfn.CONCAT("D_S_",C443))=1, COUNTIF(damper_names,_xlfn.CONCAT("D_E_",C443))=1), "C", "")</f>
        <v>#VALUE!</v>
      </c>
      <c r="E443" t="e">
        <f t="shared" ca="1" si="12"/>
        <v>#VALUE!</v>
      </c>
      <c r="F443" t="e">
        <f t="shared" ca="1" si="13"/>
        <v>#VALUE!</v>
      </c>
      <c r="G443" t="e">
        <f t="shared" ca="1" si="14"/>
        <v>#VALUE!</v>
      </c>
    </row>
    <row r="444" spans="1:7" x14ac:dyDescent="0.25">
      <c r="A444" s="1"/>
      <c r="D444" t="e" cm="1">
        <f t="array" aca="1" ref="D444" ca="1">IF(OR(COUNTIF(damper_names,_xlfn.CONCAT("D_S_",C444))=1, COUNTIF(damper_names,_xlfn.CONCAT("D_E_",C444))=1), "C", "")</f>
        <v>#VALUE!</v>
      </c>
      <c r="E444" t="e">
        <f t="shared" ca="1" si="12"/>
        <v>#VALUE!</v>
      </c>
      <c r="F444" t="e">
        <f t="shared" ca="1" si="13"/>
        <v>#VALUE!</v>
      </c>
      <c r="G444" t="e">
        <f t="shared" ca="1" si="14"/>
        <v>#VALUE!</v>
      </c>
    </row>
    <row r="445" spans="1:7" x14ac:dyDescent="0.25">
      <c r="A445" s="1"/>
      <c r="D445" t="e" cm="1">
        <f t="array" aca="1" ref="D445" ca="1">IF(OR(COUNTIF(damper_names,_xlfn.CONCAT("D_S_",C445))=1, COUNTIF(damper_names,_xlfn.CONCAT("D_E_",C445))=1), "C", "")</f>
        <v>#VALUE!</v>
      </c>
      <c r="E445" t="e">
        <f t="shared" ca="1" si="12"/>
        <v>#VALUE!</v>
      </c>
      <c r="F445" t="e">
        <f t="shared" ca="1" si="13"/>
        <v>#VALUE!</v>
      </c>
      <c r="G445" t="e">
        <f t="shared" ca="1" si="14"/>
        <v>#VALUE!</v>
      </c>
    </row>
    <row r="446" spans="1:7" x14ac:dyDescent="0.25">
      <c r="A446" s="1"/>
      <c r="D446" t="e" cm="1">
        <f t="array" aca="1" ref="D446" ca="1">IF(OR(COUNTIF(damper_names,_xlfn.CONCAT("D_S_",C446))=1, COUNTIF(damper_names,_xlfn.CONCAT("D_E_",C446))=1), "C", "")</f>
        <v>#VALUE!</v>
      </c>
      <c r="E446" t="e">
        <f t="shared" ca="1" si="12"/>
        <v>#VALUE!</v>
      </c>
      <c r="F446" t="e">
        <f t="shared" ca="1" si="13"/>
        <v>#VALUE!</v>
      </c>
      <c r="G446" t="e">
        <f t="shared" ca="1" si="14"/>
        <v>#VALUE!</v>
      </c>
    </row>
    <row r="447" spans="1:7" x14ac:dyDescent="0.25">
      <c r="A447" s="1"/>
      <c r="D447" t="e" cm="1">
        <f t="array" aca="1" ref="D447" ca="1">IF(OR(COUNTIF(damper_names,_xlfn.CONCAT("D_S_",C447))=1, COUNTIF(damper_names,_xlfn.CONCAT("D_E_",C447))=1), "C", "")</f>
        <v>#VALUE!</v>
      </c>
      <c r="E447" t="e">
        <f t="shared" ca="1" si="12"/>
        <v>#VALUE!</v>
      </c>
      <c r="F447" t="e">
        <f t="shared" ca="1" si="13"/>
        <v>#VALUE!</v>
      </c>
      <c r="G447" t="e">
        <f t="shared" ca="1" si="14"/>
        <v>#VALUE!</v>
      </c>
    </row>
    <row r="448" spans="1:7" x14ac:dyDescent="0.25">
      <c r="A448" s="1"/>
      <c r="D448" t="e" cm="1">
        <f t="array" aca="1" ref="D448" ca="1">IF(OR(COUNTIF(damper_names,_xlfn.CONCAT("D_S_",C448))=1, COUNTIF(damper_names,_xlfn.CONCAT("D_E_",C448))=1), "C", "")</f>
        <v>#VALUE!</v>
      </c>
      <c r="E448" t="e">
        <f t="shared" ca="1" si="12"/>
        <v>#VALUE!</v>
      </c>
      <c r="F448" t="e">
        <f t="shared" ca="1" si="13"/>
        <v>#VALUE!</v>
      </c>
      <c r="G448" t="e">
        <f t="shared" ca="1" si="14"/>
        <v>#VALUE!</v>
      </c>
    </row>
    <row r="449" spans="1:7" x14ac:dyDescent="0.25">
      <c r="A449" s="1"/>
      <c r="D449" t="e" cm="1">
        <f t="array" aca="1" ref="D449" ca="1">IF(OR(COUNTIF(damper_names,_xlfn.CONCAT("D_S_",C449))=1, COUNTIF(damper_names,_xlfn.CONCAT("D_E_",C449))=1), "C", "")</f>
        <v>#VALUE!</v>
      </c>
      <c r="E449" t="e">
        <f t="shared" ca="1" si="12"/>
        <v>#VALUE!</v>
      </c>
      <c r="F449" t="e">
        <f t="shared" ca="1" si="13"/>
        <v>#VALUE!</v>
      </c>
      <c r="G449" t="e">
        <f t="shared" ca="1" si="14"/>
        <v>#VALUE!</v>
      </c>
    </row>
    <row r="450" spans="1:7" x14ac:dyDescent="0.25">
      <c r="A450" s="1"/>
      <c r="D450" t="e" cm="1">
        <f t="array" aca="1" ref="D450" ca="1">IF(OR(COUNTIF(damper_names,_xlfn.CONCAT("D_S_",C450))=1, COUNTIF(damper_names,_xlfn.CONCAT("D_E_",C450))=1), "C", "")</f>
        <v>#VALUE!</v>
      </c>
      <c r="E450" t="e">
        <f t="shared" ca="1" si="12"/>
        <v>#VALUE!</v>
      </c>
      <c r="F450" t="e">
        <f t="shared" ca="1" si="13"/>
        <v>#VALUE!</v>
      </c>
      <c r="G450" t="e">
        <f t="shared" ca="1" si="14"/>
        <v>#VALUE!</v>
      </c>
    </row>
    <row r="451" spans="1:7" x14ac:dyDescent="0.25">
      <c r="A451" s="1"/>
      <c r="D451" t="e" cm="1">
        <f t="array" aca="1" ref="D451" ca="1">IF(OR(COUNTIF(damper_names,_xlfn.CONCAT("D_S_",C451))=1, COUNTIF(damper_names,_xlfn.CONCAT("D_E_",C451))=1), "C", "")</f>
        <v>#VALUE!</v>
      </c>
      <c r="E451" t="e">
        <f t="shared" ca="1" si="12"/>
        <v>#VALUE!</v>
      </c>
      <c r="F451" t="e">
        <f t="shared" ca="1" si="13"/>
        <v>#VALUE!</v>
      </c>
      <c r="G451" t="e">
        <f t="shared" ca="1" si="14"/>
        <v>#VALUE!</v>
      </c>
    </row>
    <row r="452" spans="1:7" x14ac:dyDescent="0.25">
      <c r="A452" s="1"/>
      <c r="D452" t="e" cm="1">
        <f t="array" aca="1" ref="D452" ca="1">IF(OR(COUNTIF(damper_names,_xlfn.CONCAT("D_S_",C452))=1, COUNTIF(damper_names,_xlfn.CONCAT("D_E_",C452))=1), "C", "")</f>
        <v>#VALUE!</v>
      </c>
      <c r="E452" t="e">
        <f t="shared" ca="1" si="12"/>
        <v>#VALUE!</v>
      </c>
      <c r="F452" t="e">
        <f t="shared" ca="1" si="13"/>
        <v>#VALUE!</v>
      </c>
      <c r="G452" t="e">
        <f t="shared" ca="1" si="14"/>
        <v>#VALUE!</v>
      </c>
    </row>
    <row r="453" spans="1:7" x14ac:dyDescent="0.25">
      <c r="A453" s="1"/>
      <c r="D453" t="e" cm="1">
        <f t="array" aca="1" ref="D453" ca="1">IF(OR(COUNTIF(damper_names,_xlfn.CONCAT("D_S_",C453))=1, COUNTIF(damper_names,_xlfn.CONCAT("D_E_",C453))=1), "C", "")</f>
        <v>#VALUE!</v>
      </c>
      <c r="E453" t="e">
        <f t="shared" ca="1" si="12"/>
        <v>#VALUE!</v>
      </c>
      <c r="F453" t="e">
        <f t="shared" ca="1" si="13"/>
        <v>#VALUE!</v>
      </c>
      <c r="G453" t="e">
        <f t="shared" ca="1" si="14"/>
        <v>#VALUE!</v>
      </c>
    </row>
    <row r="454" spans="1:7" x14ac:dyDescent="0.25">
      <c r="A454" s="1"/>
      <c r="D454" t="e" cm="1">
        <f t="array" aca="1" ref="D454" ca="1">IF(OR(COUNTIF(damper_names,_xlfn.CONCAT("D_S_",C454))=1, COUNTIF(damper_names,_xlfn.CONCAT("D_E_",C454))=1), "C", "")</f>
        <v>#VALUE!</v>
      </c>
      <c r="E454" t="e">
        <f t="shared" ca="1" si="12"/>
        <v>#VALUE!</v>
      </c>
      <c r="F454" t="e">
        <f t="shared" ca="1" si="13"/>
        <v>#VALUE!</v>
      </c>
      <c r="G454" t="e">
        <f t="shared" ca="1" si="14"/>
        <v>#VALUE!</v>
      </c>
    </row>
    <row r="455" spans="1:7" x14ac:dyDescent="0.25">
      <c r="A455" s="1"/>
      <c r="D455" t="e" cm="1">
        <f t="array" aca="1" ref="D455" ca="1">IF(OR(COUNTIF(damper_names,_xlfn.CONCAT("D_S_",C455))=1, COUNTIF(damper_names,_xlfn.CONCAT("D_E_",C455))=1), "C", "")</f>
        <v>#VALUE!</v>
      </c>
      <c r="E455" t="e">
        <f t="shared" ref="E455:E518" ca="1" si="15">IF(D455="T", 0.05, IF(D455="C", -0.01, ""))</f>
        <v>#VALUE!</v>
      </c>
      <c r="F455" t="e">
        <f t="shared" ref="F455:F518" ca="1" si="16">IF(D455="T", 0.05, IF(D455="C", 0, ""))</f>
        <v>#VALUE!</v>
      </c>
      <c r="G455" t="e">
        <f t="shared" ref="G455:G518" ca="1" si="17">IF(D455="T", 0, IF(D455="C", 0, ""))</f>
        <v>#VALUE!</v>
      </c>
    </row>
    <row r="456" spans="1:7" x14ac:dyDescent="0.25">
      <c r="A456" s="1"/>
      <c r="D456" t="e" cm="1">
        <f t="array" aca="1" ref="D456" ca="1">IF(OR(COUNTIF(damper_names,_xlfn.CONCAT("D_S_",C456))=1, COUNTIF(damper_names,_xlfn.CONCAT("D_E_",C456))=1), "C", "")</f>
        <v>#VALUE!</v>
      </c>
      <c r="E456" t="e">
        <f t="shared" ca="1" si="15"/>
        <v>#VALUE!</v>
      </c>
      <c r="F456" t="e">
        <f t="shared" ca="1" si="16"/>
        <v>#VALUE!</v>
      </c>
      <c r="G456" t="e">
        <f t="shared" ca="1" si="17"/>
        <v>#VALUE!</v>
      </c>
    </row>
    <row r="457" spans="1:7" x14ac:dyDescent="0.25">
      <c r="A457" s="1"/>
      <c r="D457" t="e" cm="1">
        <f t="array" aca="1" ref="D457" ca="1">IF(OR(COUNTIF(damper_names,_xlfn.CONCAT("D_S_",C457))=1, COUNTIF(damper_names,_xlfn.CONCAT("D_E_",C457))=1), "C", "")</f>
        <v>#VALUE!</v>
      </c>
      <c r="E457" t="e">
        <f t="shared" ca="1" si="15"/>
        <v>#VALUE!</v>
      </c>
      <c r="F457" t="e">
        <f t="shared" ca="1" si="16"/>
        <v>#VALUE!</v>
      </c>
      <c r="G457" t="e">
        <f t="shared" ca="1" si="17"/>
        <v>#VALUE!</v>
      </c>
    </row>
    <row r="458" spans="1:7" x14ac:dyDescent="0.25">
      <c r="A458" s="1"/>
      <c r="D458" t="e" cm="1">
        <f t="array" aca="1" ref="D458" ca="1">IF(OR(COUNTIF(damper_names,_xlfn.CONCAT("D_S_",C458))=1, COUNTIF(damper_names,_xlfn.CONCAT("D_E_",C458))=1), "C", "")</f>
        <v>#VALUE!</v>
      </c>
      <c r="E458" t="e">
        <f t="shared" ca="1" si="15"/>
        <v>#VALUE!</v>
      </c>
      <c r="F458" t="e">
        <f t="shared" ca="1" si="16"/>
        <v>#VALUE!</v>
      </c>
      <c r="G458" t="e">
        <f t="shared" ca="1" si="17"/>
        <v>#VALUE!</v>
      </c>
    </row>
    <row r="459" spans="1:7" x14ac:dyDescent="0.25">
      <c r="A459" s="1"/>
      <c r="D459" t="e" cm="1">
        <f t="array" aca="1" ref="D459" ca="1">IF(OR(COUNTIF(damper_names,_xlfn.CONCAT("D_S_",C459))=1, COUNTIF(damper_names,_xlfn.CONCAT("D_E_",C459))=1), "C", "")</f>
        <v>#VALUE!</v>
      </c>
      <c r="E459" t="e">
        <f t="shared" ca="1" si="15"/>
        <v>#VALUE!</v>
      </c>
      <c r="F459" t="e">
        <f t="shared" ca="1" si="16"/>
        <v>#VALUE!</v>
      </c>
      <c r="G459" t="e">
        <f t="shared" ca="1" si="17"/>
        <v>#VALUE!</v>
      </c>
    </row>
    <row r="460" spans="1:7" x14ac:dyDescent="0.25">
      <c r="A460" s="1"/>
      <c r="D460" t="e" cm="1">
        <f t="array" aca="1" ref="D460" ca="1">IF(OR(COUNTIF(damper_names,_xlfn.CONCAT("D_S_",C460))=1, COUNTIF(damper_names,_xlfn.CONCAT("D_E_",C460))=1), "C", "")</f>
        <v>#VALUE!</v>
      </c>
      <c r="E460" t="e">
        <f t="shared" ca="1" si="15"/>
        <v>#VALUE!</v>
      </c>
      <c r="F460" t="e">
        <f t="shared" ca="1" si="16"/>
        <v>#VALUE!</v>
      </c>
      <c r="G460" t="e">
        <f t="shared" ca="1" si="17"/>
        <v>#VALUE!</v>
      </c>
    </row>
    <row r="461" spans="1:7" x14ac:dyDescent="0.25">
      <c r="A461" s="1"/>
      <c r="D461" t="e" cm="1">
        <f t="array" aca="1" ref="D461" ca="1">IF(OR(COUNTIF(damper_names,_xlfn.CONCAT("D_S_",C461))=1, COUNTIF(damper_names,_xlfn.CONCAT("D_E_",C461))=1), "C", "")</f>
        <v>#VALUE!</v>
      </c>
      <c r="E461" t="e">
        <f t="shared" ca="1" si="15"/>
        <v>#VALUE!</v>
      </c>
      <c r="F461" t="e">
        <f t="shared" ca="1" si="16"/>
        <v>#VALUE!</v>
      </c>
      <c r="G461" t="e">
        <f t="shared" ca="1" si="17"/>
        <v>#VALUE!</v>
      </c>
    </row>
    <row r="462" spans="1:7" x14ac:dyDescent="0.25">
      <c r="A462" s="1"/>
      <c r="D462" t="e" cm="1">
        <f t="array" aca="1" ref="D462" ca="1">IF(OR(COUNTIF(damper_names,_xlfn.CONCAT("D_S_",C462))=1, COUNTIF(damper_names,_xlfn.CONCAT("D_E_",C462))=1), "C", "")</f>
        <v>#VALUE!</v>
      </c>
      <c r="E462" t="e">
        <f t="shared" ca="1" si="15"/>
        <v>#VALUE!</v>
      </c>
      <c r="F462" t="e">
        <f t="shared" ca="1" si="16"/>
        <v>#VALUE!</v>
      </c>
      <c r="G462" t="e">
        <f t="shared" ca="1" si="17"/>
        <v>#VALUE!</v>
      </c>
    </row>
    <row r="463" spans="1:7" x14ac:dyDescent="0.25">
      <c r="A463" s="1"/>
      <c r="D463" t="e" cm="1">
        <f t="array" aca="1" ref="D463" ca="1">IF(OR(COUNTIF(damper_names,_xlfn.CONCAT("D_S_",C463))=1, COUNTIF(damper_names,_xlfn.CONCAT("D_E_",C463))=1), "C", "")</f>
        <v>#VALUE!</v>
      </c>
      <c r="E463" t="e">
        <f t="shared" ca="1" si="15"/>
        <v>#VALUE!</v>
      </c>
      <c r="F463" t="e">
        <f t="shared" ca="1" si="16"/>
        <v>#VALUE!</v>
      </c>
      <c r="G463" t="e">
        <f t="shared" ca="1" si="17"/>
        <v>#VALUE!</v>
      </c>
    </row>
    <row r="464" spans="1:7" x14ac:dyDescent="0.25">
      <c r="A464" s="1"/>
      <c r="D464" t="e" cm="1">
        <f t="array" aca="1" ref="D464" ca="1">IF(OR(COUNTIF(damper_names,_xlfn.CONCAT("D_S_",C464))=1, COUNTIF(damper_names,_xlfn.CONCAT("D_E_",C464))=1), "C", "")</f>
        <v>#VALUE!</v>
      </c>
      <c r="E464" t="e">
        <f t="shared" ca="1" si="15"/>
        <v>#VALUE!</v>
      </c>
      <c r="F464" t="e">
        <f t="shared" ca="1" si="16"/>
        <v>#VALUE!</v>
      </c>
      <c r="G464" t="e">
        <f t="shared" ca="1" si="17"/>
        <v>#VALUE!</v>
      </c>
    </row>
    <row r="465" spans="1:7" x14ac:dyDescent="0.25">
      <c r="A465" s="1"/>
      <c r="D465" t="e" cm="1">
        <f t="array" aca="1" ref="D465" ca="1">IF(OR(COUNTIF(damper_names,_xlfn.CONCAT("D_S_",C465))=1, COUNTIF(damper_names,_xlfn.CONCAT("D_E_",C465))=1), "C", "")</f>
        <v>#VALUE!</v>
      </c>
      <c r="E465" t="e">
        <f t="shared" ca="1" si="15"/>
        <v>#VALUE!</v>
      </c>
      <c r="F465" t="e">
        <f t="shared" ca="1" si="16"/>
        <v>#VALUE!</v>
      </c>
      <c r="G465" t="e">
        <f t="shared" ca="1" si="17"/>
        <v>#VALUE!</v>
      </c>
    </row>
    <row r="466" spans="1:7" x14ac:dyDescent="0.25">
      <c r="A466" s="1"/>
      <c r="D466" t="e" cm="1">
        <f t="array" aca="1" ref="D466" ca="1">IF(OR(COUNTIF(damper_names,_xlfn.CONCAT("D_S_",C466))=1, COUNTIF(damper_names,_xlfn.CONCAT("D_E_",C466))=1), "C", "")</f>
        <v>#VALUE!</v>
      </c>
      <c r="E466" t="e">
        <f t="shared" ca="1" si="15"/>
        <v>#VALUE!</v>
      </c>
      <c r="F466" t="e">
        <f t="shared" ca="1" si="16"/>
        <v>#VALUE!</v>
      </c>
      <c r="G466" t="e">
        <f t="shared" ca="1" si="17"/>
        <v>#VALUE!</v>
      </c>
    </row>
    <row r="467" spans="1:7" x14ac:dyDescent="0.25">
      <c r="A467" s="1"/>
      <c r="D467" t="e" cm="1">
        <f t="array" aca="1" ref="D467" ca="1">IF(OR(COUNTIF(damper_names,_xlfn.CONCAT("D_S_",C467))=1, COUNTIF(damper_names,_xlfn.CONCAT("D_E_",C467))=1), "C", "")</f>
        <v>#VALUE!</v>
      </c>
      <c r="E467" t="e">
        <f t="shared" ca="1" si="15"/>
        <v>#VALUE!</v>
      </c>
      <c r="F467" t="e">
        <f t="shared" ca="1" si="16"/>
        <v>#VALUE!</v>
      </c>
      <c r="G467" t="e">
        <f t="shared" ca="1" si="17"/>
        <v>#VALUE!</v>
      </c>
    </row>
    <row r="468" spans="1:7" x14ac:dyDescent="0.25">
      <c r="A468" s="1"/>
      <c r="D468" t="e" cm="1">
        <f t="array" aca="1" ref="D468" ca="1">IF(OR(COUNTIF(damper_names,_xlfn.CONCAT("D_S_",C468))=1, COUNTIF(damper_names,_xlfn.CONCAT("D_E_",C468))=1), "C", "")</f>
        <v>#VALUE!</v>
      </c>
      <c r="E468" t="e">
        <f t="shared" ca="1" si="15"/>
        <v>#VALUE!</v>
      </c>
      <c r="F468" t="e">
        <f t="shared" ca="1" si="16"/>
        <v>#VALUE!</v>
      </c>
      <c r="G468" t="e">
        <f t="shared" ca="1" si="17"/>
        <v>#VALUE!</v>
      </c>
    </row>
    <row r="469" spans="1:7" x14ac:dyDescent="0.25">
      <c r="A469" s="1"/>
      <c r="D469" t="e" cm="1">
        <f t="array" aca="1" ref="D469" ca="1">IF(OR(COUNTIF(damper_names,_xlfn.CONCAT("D_S_",C469))=1, COUNTIF(damper_names,_xlfn.CONCAT("D_E_",C469))=1), "C", "")</f>
        <v>#VALUE!</v>
      </c>
      <c r="E469" t="e">
        <f t="shared" ca="1" si="15"/>
        <v>#VALUE!</v>
      </c>
      <c r="F469" t="e">
        <f t="shared" ca="1" si="16"/>
        <v>#VALUE!</v>
      </c>
      <c r="G469" t="e">
        <f t="shared" ca="1" si="17"/>
        <v>#VALUE!</v>
      </c>
    </row>
    <row r="470" spans="1:7" x14ac:dyDescent="0.25">
      <c r="A470" s="1"/>
      <c r="D470" t="e" cm="1">
        <f t="array" aca="1" ref="D470" ca="1">IF(OR(COUNTIF(damper_names,_xlfn.CONCAT("D_S_",C470))=1, COUNTIF(damper_names,_xlfn.CONCAT("D_E_",C470))=1), "C", "")</f>
        <v>#VALUE!</v>
      </c>
      <c r="E470" t="e">
        <f t="shared" ca="1" si="15"/>
        <v>#VALUE!</v>
      </c>
      <c r="F470" t="e">
        <f t="shared" ca="1" si="16"/>
        <v>#VALUE!</v>
      </c>
      <c r="G470" t="e">
        <f t="shared" ca="1" si="17"/>
        <v>#VALUE!</v>
      </c>
    </row>
    <row r="471" spans="1:7" x14ac:dyDescent="0.25">
      <c r="A471" s="1"/>
      <c r="D471" t="e" cm="1">
        <f t="array" aca="1" ref="D471" ca="1">IF(OR(COUNTIF(damper_names,_xlfn.CONCAT("D_S_",C471))=1, COUNTIF(damper_names,_xlfn.CONCAT("D_E_",C471))=1), "C", "")</f>
        <v>#VALUE!</v>
      </c>
      <c r="E471" t="e">
        <f t="shared" ca="1" si="15"/>
        <v>#VALUE!</v>
      </c>
      <c r="F471" t="e">
        <f t="shared" ca="1" si="16"/>
        <v>#VALUE!</v>
      </c>
      <c r="G471" t="e">
        <f t="shared" ca="1" si="17"/>
        <v>#VALUE!</v>
      </c>
    </row>
    <row r="472" spans="1:7" x14ac:dyDescent="0.25">
      <c r="A472" s="1"/>
      <c r="D472" t="e" cm="1">
        <f t="array" aca="1" ref="D472" ca="1">IF(OR(COUNTIF(damper_names,_xlfn.CONCAT("D_S_",C472))=1, COUNTIF(damper_names,_xlfn.CONCAT("D_E_",C472))=1), "C", "")</f>
        <v>#VALUE!</v>
      </c>
      <c r="E472" t="e">
        <f t="shared" ca="1" si="15"/>
        <v>#VALUE!</v>
      </c>
      <c r="F472" t="e">
        <f t="shared" ca="1" si="16"/>
        <v>#VALUE!</v>
      </c>
      <c r="G472" t="e">
        <f t="shared" ca="1" si="17"/>
        <v>#VALUE!</v>
      </c>
    </row>
    <row r="473" spans="1:7" x14ac:dyDescent="0.25">
      <c r="A473" s="1"/>
      <c r="D473" t="e" cm="1">
        <f t="array" aca="1" ref="D473" ca="1">IF(OR(COUNTIF(damper_names,_xlfn.CONCAT("D_S_",C473))=1, COUNTIF(damper_names,_xlfn.CONCAT("D_E_",C473))=1), "C", "")</f>
        <v>#VALUE!</v>
      </c>
      <c r="E473" t="e">
        <f t="shared" ca="1" si="15"/>
        <v>#VALUE!</v>
      </c>
      <c r="F473" t="e">
        <f t="shared" ca="1" si="16"/>
        <v>#VALUE!</v>
      </c>
      <c r="G473" t="e">
        <f t="shared" ca="1" si="17"/>
        <v>#VALUE!</v>
      </c>
    </row>
    <row r="474" spans="1:7" x14ac:dyDescent="0.25">
      <c r="A474" s="1"/>
      <c r="D474" t="e" cm="1">
        <f t="array" aca="1" ref="D474" ca="1">IF(OR(COUNTIF(damper_names,_xlfn.CONCAT("D_S_",C474))=1, COUNTIF(damper_names,_xlfn.CONCAT("D_E_",C474))=1), "C", "")</f>
        <v>#VALUE!</v>
      </c>
      <c r="E474" t="e">
        <f t="shared" ca="1" si="15"/>
        <v>#VALUE!</v>
      </c>
      <c r="F474" t="e">
        <f t="shared" ca="1" si="16"/>
        <v>#VALUE!</v>
      </c>
      <c r="G474" t="e">
        <f t="shared" ca="1" si="17"/>
        <v>#VALUE!</v>
      </c>
    </row>
    <row r="475" spans="1:7" x14ac:dyDescent="0.25">
      <c r="A475" s="1"/>
      <c r="D475" t="e" cm="1">
        <f t="array" aca="1" ref="D475" ca="1">IF(OR(COUNTIF(damper_names,_xlfn.CONCAT("D_S_",C475))=1, COUNTIF(damper_names,_xlfn.CONCAT("D_E_",C475))=1), "C", "")</f>
        <v>#VALUE!</v>
      </c>
      <c r="E475" t="e">
        <f t="shared" ca="1" si="15"/>
        <v>#VALUE!</v>
      </c>
      <c r="F475" t="e">
        <f t="shared" ca="1" si="16"/>
        <v>#VALUE!</v>
      </c>
      <c r="G475" t="e">
        <f t="shared" ca="1" si="17"/>
        <v>#VALUE!</v>
      </c>
    </row>
    <row r="476" spans="1:7" x14ac:dyDescent="0.25">
      <c r="A476" s="1"/>
      <c r="D476" t="e" cm="1">
        <f t="array" aca="1" ref="D476" ca="1">IF(OR(COUNTIF(damper_names,_xlfn.CONCAT("D_S_",C476))=1, COUNTIF(damper_names,_xlfn.CONCAT("D_E_",C476))=1), "C", "")</f>
        <v>#VALUE!</v>
      </c>
      <c r="E476" t="e">
        <f t="shared" ca="1" si="15"/>
        <v>#VALUE!</v>
      </c>
      <c r="F476" t="e">
        <f t="shared" ca="1" si="16"/>
        <v>#VALUE!</v>
      </c>
      <c r="G476" t="e">
        <f t="shared" ca="1" si="17"/>
        <v>#VALUE!</v>
      </c>
    </row>
    <row r="477" spans="1:7" x14ac:dyDescent="0.25">
      <c r="A477" s="1"/>
      <c r="D477" t="e" cm="1">
        <f t="array" aca="1" ref="D477" ca="1">IF(OR(COUNTIF(damper_names,_xlfn.CONCAT("D_S_",C477))=1, COUNTIF(damper_names,_xlfn.CONCAT("D_E_",C477))=1), "C", "")</f>
        <v>#VALUE!</v>
      </c>
      <c r="E477" t="e">
        <f t="shared" ca="1" si="15"/>
        <v>#VALUE!</v>
      </c>
      <c r="F477" t="e">
        <f t="shared" ca="1" si="16"/>
        <v>#VALUE!</v>
      </c>
      <c r="G477" t="e">
        <f t="shared" ca="1" si="17"/>
        <v>#VALUE!</v>
      </c>
    </row>
    <row r="478" spans="1:7" x14ac:dyDescent="0.25">
      <c r="A478" s="1"/>
      <c r="D478" t="e" cm="1">
        <f t="array" aca="1" ref="D478" ca="1">IF(OR(COUNTIF(damper_names,_xlfn.CONCAT("D_S_",C478))=1, COUNTIF(damper_names,_xlfn.CONCAT("D_E_",C478))=1), "C", "")</f>
        <v>#VALUE!</v>
      </c>
      <c r="E478" t="e">
        <f t="shared" ca="1" si="15"/>
        <v>#VALUE!</v>
      </c>
      <c r="F478" t="e">
        <f t="shared" ca="1" si="16"/>
        <v>#VALUE!</v>
      </c>
      <c r="G478" t="e">
        <f t="shared" ca="1" si="17"/>
        <v>#VALUE!</v>
      </c>
    </row>
    <row r="479" spans="1:7" x14ac:dyDescent="0.25">
      <c r="A479" s="1"/>
      <c r="D479" t="e" cm="1">
        <f t="array" aca="1" ref="D479" ca="1">IF(OR(COUNTIF(damper_names,_xlfn.CONCAT("D_S_",C479))=1, COUNTIF(damper_names,_xlfn.CONCAT("D_E_",C479))=1), "C", "")</f>
        <v>#VALUE!</v>
      </c>
      <c r="E479" t="e">
        <f t="shared" ca="1" si="15"/>
        <v>#VALUE!</v>
      </c>
      <c r="F479" t="e">
        <f t="shared" ca="1" si="16"/>
        <v>#VALUE!</v>
      </c>
      <c r="G479" t="e">
        <f t="shared" ca="1" si="17"/>
        <v>#VALUE!</v>
      </c>
    </row>
    <row r="480" spans="1:7" x14ac:dyDescent="0.25">
      <c r="A480" s="1"/>
      <c r="D480" t="e" cm="1">
        <f t="array" aca="1" ref="D480" ca="1">IF(OR(COUNTIF(damper_names,_xlfn.CONCAT("D_S_",C480))=1, COUNTIF(damper_names,_xlfn.CONCAT("D_E_",C480))=1), "C", "")</f>
        <v>#VALUE!</v>
      </c>
      <c r="E480" t="e">
        <f t="shared" ca="1" si="15"/>
        <v>#VALUE!</v>
      </c>
      <c r="F480" t="e">
        <f t="shared" ca="1" si="16"/>
        <v>#VALUE!</v>
      </c>
      <c r="G480" t="e">
        <f t="shared" ca="1" si="17"/>
        <v>#VALUE!</v>
      </c>
    </row>
    <row r="481" spans="1:7" x14ac:dyDescent="0.25">
      <c r="A481" s="1"/>
      <c r="D481" t="e" cm="1">
        <f t="array" aca="1" ref="D481" ca="1">IF(OR(COUNTIF(damper_names,_xlfn.CONCAT("D_S_",C481))=1, COUNTIF(damper_names,_xlfn.CONCAT("D_E_",C481))=1), "C", "")</f>
        <v>#VALUE!</v>
      </c>
      <c r="E481" t="e">
        <f t="shared" ca="1" si="15"/>
        <v>#VALUE!</v>
      </c>
      <c r="F481" t="e">
        <f t="shared" ca="1" si="16"/>
        <v>#VALUE!</v>
      </c>
      <c r="G481" t="e">
        <f t="shared" ca="1" si="17"/>
        <v>#VALUE!</v>
      </c>
    </row>
    <row r="482" spans="1:7" x14ac:dyDescent="0.25">
      <c r="A482" s="1"/>
      <c r="D482" t="e" cm="1">
        <f t="array" aca="1" ref="D482" ca="1">IF(OR(COUNTIF(damper_names,_xlfn.CONCAT("D_S_",C482))=1, COUNTIF(damper_names,_xlfn.CONCAT("D_E_",C482))=1), "C", "")</f>
        <v>#VALUE!</v>
      </c>
      <c r="E482" t="e">
        <f t="shared" ca="1" si="15"/>
        <v>#VALUE!</v>
      </c>
      <c r="F482" t="e">
        <f t="shared" ca="1" si="16"/>
        <v>#VALUE!</v>
      </c>
      <c r="G482" t="e">
        <f t="shared" ca="1" si="17"/>
        <v>#VALUE!</v>
      </c>
    </row>
    <row r="483" spans="1:7" x14ac:dyDescent="0.25">
      <c r="A483" s="1"/>
      <c r="D483" t="e" cm="1">
        <f t="array" aca="1" ref="D483" ca="1">IF(OR(COUNTIF(damper_names,_xlfn.CONCAT("D_S_",C483))=1, COUNTIF(damper_names,_xlfn.CONCAT("D_E_",C483))=1), "C", "")</f>
        <v>#VALUE!</v>
      </c>
      <c r="E483" t="e">
        <f t="shared" ca="1" si="15"/>
        <v>#VALUE!</v>
      </c>
      <c r="F483" t="e">
        <f t="shared" ca="1" si="16"/>
        <v>#VALUE!</v>
      </c>
      <c r="G483" t="e">
        <f t="shared" ca="1" si="17"/>
        <v>#VALUE!</v>
      </c>
    </row>
    <row r="484" spans="1:7" x14ac:dyDescent="0.25">
      <c r="A484" s="1"/>
      <c r="D484" t="e" cm="1">
        <f t="array" aca="1" ref="D484" ca="1">IF(OR(COUNTIF(damper_names,_xlfn.CONCAT("D_S_",C484))=1, COUNTIF(damper_names,_xlfn.CONCAT("D_E_",C484))=1), "C", "")</f>
        <v>#VALUE!</v>
      </c>
      <c r="E484" t="e">
        <f t="shared" ca="1" si="15"/>
        <v>#VALUE!</v>
      </c>
      <c r="F484" t="e">
        <f t="shared" ca="1" si="16"/>
        <v>#VALUE!</v>
      </c>
      <c r="G484" t="e">
        <f t="shared" ca="1" si="17"/>
        <v>#VALUE!</v>
      </c>
    </row>
    <row r="485" spans="1:7" x14ac:dyDescent="0.25">
      <c r="A485" s="1"/>
      <c r="D485" t="e" cm="1">
        <f t="array" aca="1" ref="D485" ca="1">IF(OR(COUNTIF(damper_names,_xlfn.CONCAT("D_S_",C485))=1, COUNTIF(damper_names,_xlfn.CONCAT("D_E_",C485))=1), "C", "")</f>
        <v>#VALUE!</v>
      </c>
      <c r="E485" t="e">
        <f t="shared" ca="1" si="15"/>
        <v>#VALUE!</v>
      </c>
      <c r="F485" t="e">
        <f t="shared" ca="1" si="16"/>
        <v>#VALUE!</v>
      </c>
      <c r="G485" t="e">
        <f t="shared" ca="1" si="17"/>
        <v>#VALUE!</v>
      </c>
    </row>
    <row r="486" spans="1:7" x14ac:dyDescent="0.25">
      <c r="A486" s="1"/>
      <c r="D486" t="e" cm="1">
        <f t="array" aca="1" ref="D486" ca="1">IF(OR(COUNTIF(damper_names,_xlfn.CONCAT("D_S_",C486))=1, COUNTIF(damper_names,_xlfn.CONCAT("D_E_",C486))=1), "C", "")</f>
        <v>#VALUE!</v>
      </c>
      <c r="E486" t="e">
        <f t="shared" ca="1" si="15"/>
        <v>#VALUE!</v>
      </c>
      <c r="F486" t="e">
        <f t="shared" ca="1" si="16"/>
        <v>#VALUE!</v>
      </c>
      <c r="G486" t="e">
        <f t="shared" ca="1" si="17"/>
        <v>#VALUE!</v>
      </c>
    </row>
    <row r="487" spans="1:7" x14ac:dyDescent="0.25">
      <c r="A487" s="1"/>
      <c r="D487" t="e" cm="1">
        <f t="array" aca="1" ref="D487" ca="1">IF(OR(COUNTIF(damper_names,_xlfn.CONCAT("D_S_",C487))=1, COUNTIF(damper_names,_xlfn.CONCAT("D_E_",C487))=1), "C", "")</f>
        <v>#VALUE!</v>
      </c>
      <c r="E487" t="e">
        <f t="shared" ca="1" si="15"/>
        <v>#VALUE!</v>
      </c>
      <c r="F487" t="e">
        <f t="shared" ca="1" si="16"/>
        <v>#VALUE!</v>
      </c>
      <c r="G487" t="e">
        <f t="shared" ca="1" si="17"/>
        <v>#VALUE!</v>
      </c>
    </row>
    <row r="488" spans="1:7" x14ac:dyDescent="0.25">
      <c r="A488" s="1"/>
      <c r="D488" t="e" cm="1">
        <f t="array" aca="1" ref="D488" ca="1">IF(OR(COUNTIF(damper_names,_xlfn.CONCAT("D_S_",C488))=1, COUNTIF(damper_names,_xlfn.CONCAT("D_E_",C488))=1), "C", "")</f>
        <v>#VALUE!</v>
      </c>
      <c r="E488" t="e">
        <f t="shared" ca="1" si="15"/>
        <v>#VALUE!</v>
      </c>
      <c r="F488" t="e">
        <f t="shared" ca="1" si="16"/>
        <v>#VALUE!</v>
      </c>
      <c r="G488" t="e">
        <f t="shared" ca="1" si="17"/>
        <v>#VALUE!</v>
      </c>
    </row>
    <row r="489" spans="1:7" x14ac:dyDescent="0.25">
      <c r="A489" s="1"/>
      <c r="D489" t="e" cm="1">
        <f t="array" aca="1" ref="D489" ca="1">IF(OR(COUNTIF(damper_names,_xlfn.CONCAT("D_S_",C489))=1, COUNTIF(damper_names,_xlfn.CONCAT("D_E_",C489))=1), "C", "")</f>
        <v>#VALUE!</v>
      </c>
      <c r="E489" t="e">
        <f t="shared" ca="1" si="15"/>
        <v>#VALUE!</v>
      </c>
      <c r="F489" t="e">
        <f t="shared" ca="1" si="16"/>
        <v>#VALUE!</v>
      </c>
      <c r="G489" t="e">
        <f t="shared" ca="1" si="17"/>
        <v>#VALUE!</v>
      </c>
    </row>
    <row r="490" spans="1:7" x14ac:dyDescent="0.25">
      <c r="A490" s="1"/>
      <c r="D490" t="e" cm="1">
        <f t="array" aca="1" ref="D490" ca="1">IF(OR(COUNTIF(damper_names,_xlfn.CONCAT("D_S_",C490))=1, COUNTIF(damper_names,_xlfn.CONCAT("D_E_",C490))=1), "C", "")</f>
        <v>#VALUE!</v>
      </c>
      <c r="E490" t="e">
        <f t="shared" ca="1" si="15"/>
        <v>#VALUE!</v>
      </c>
      <c r="F490" t="e">
        <f t="shared" ca="1" si="16"/>
        <v>#VALUE!</v>
      </c>
      <c r="G490" t="e">
        <f t="shared" ca="1" si="17"/>
        <v>#VALUE!</v>
      </c>
    </row>
    <row r="491" spans="1:7" x14ac:dyDescent="0.25">
      <c r="A491" s="1"/>
      <c r="D491" t="e" cm="1">
        <f t="array" aca="1" ref="D491" ca="1">IF(OR(COUNTIF(damper_names,_xlfn.CONCAT("D_S_",C491))=1, COUNTIF(damper_names,_xlfn.CONCAT("D_E_",C491))=1), "C", "")</f>
        <v>#VALUE!</v>
      </c>
      <c r="E491" t="e">
        <f t="shared" ca="1" si="15"/>
        <v>#VALUE!</v>
      </c>
      <c r="F491" t="e">
        <f t="shared" ca="1" si="16"/>
        <v>#VALUE!</v>
      </c>
      <c r="G491" t="e">
        <f t="shared" ca="1" si="17"/>
        <v>#VALUE!</v>
      </c>
    </row>
    <row r="492" spans="1:7" x14ac:dyDescent="0.25">
      <c r="A492" s="1"/>
      <c r="D492" t="e" cm="1">
        <f t="array" aca="1" ref="D492" ca="1">IF(OR(COUNTIF(damper_names,_xlfn.CONCAT("D_S_",C492))=1, COUNTIF(damper_names,_xlfn.CONCAT("D_E_",C492))=1), "C", "")</f>
        <v>#VALUE!</v>
      </c>
      <c r="E492" t="e">
        <f t="shared" ca="1" si="15"/>
        <v>#VALUE!</v>
      </c>
      <c r="F492" t="e">
        <f t="shared" ca="1" si="16"/>
        <v>#VALUE!</v>
      </c>
      <c r="G492" t="e">
        <f t="shared" ca="1" si="17"/>
        <v>#VALUE!</v>
      </c>
    </row>
    <row r="493" spans="1:7" x14ac:dyDescent="0.25">
      <c r="A493" s="1"/>
      <c r="D493" t="e" cm="1">
        <f t="array" aca="1" ref="D493" ca="1">IF(OR(COUNTIF(damper_names,_xlfn.CONCAT("D_S_",C493))=1, COUNTIF(damper_names,_xlfn.CONCAT("D_E_",C493))=1), "C", "")</f>
        <v>#VALUE!</v>
      </c>
      <c r="E493" t="e">
        <f t="shared" ca="1" si="15"/>
        <v>#VALUE!</v>
      </c>
      <c r="F493" t="e">
        <f t="shared" ca="1" si="16"/>
        <v>#VALUE!</v>
      </c>
      <c r="G493" t="e">
        <f t="shared" ca="1" si="17"/>
        <v>#VALUE!</v>
      </c>
    </row>
    <row r="494" spans="1:7" x14ac:dyDescent="0.25">
      <c r="A494" s="1"/>
      <c r="D494" t="e" cm="1">
        <f t="array" aca="1" ref="D494" ca="1">IF(OR(COUNTIF(damper_names,_xlfn.CONCAT("D_S_",C494))=1, COUNTIF(damper_names,_xlfn.CONCAT("D_E_",C494))=1), "C", "")</f>
        <v>#VALUE!</v>
      </c>
      <c r="E494" t="e">
        <f t="shared" ca="1" si="15"/>
        <v>#VALUE!</v>
      </c>
      <c r="F494" t="e">
        <f t="shared" ca="1" si="16"/>
        <v>#VALUE!</v>
      </c>
      <c r="G494" t="e">
        <f t="shared" ca="1" si="17"/>
        <v>#VALUE!</v>
      </c>
    </row>
    <row r="495" spans="1:7" x14ac:dyDescent="0.25">
      <c r="A495" s="1"/>
      <c r="D495" t="e" cm="1">
        <f t="array" aca="1" ref="D495" ca="1">IF(OR(COUNTIF(damper_names,_xlfn.CONCAT("D_S_",C495))=1, COUNTIF(damper_names,_xlfn.CONCAT("D_E_",C495))=1), "C", "")</f>
        <v>#VALUE!</v>
      </c>
      <c r="E495" t="e">
        <f t="shared" ca="1" si="15"/>
        <v>#VALUE!</v>
      </c>
      <c r="F495" t="e">
        <f t="shared" ca="1" si="16"/>
        <v>#VALUE!</v>
      </c>
      <c r="G495" t="e">
        <f t="shared" ca="1" si="17"/>
        <v>#VALUE!</v>
      </c>
    </row>
    <row r="496" spans="1:7" x14ac:dyDescent="0.25">
      <c r="A496" s="1"/>
      <c r="D496" t="e" cm="1">
        <f t="array" aca="1" ref="D496" ca="1">IF(OR(COUNTIF(damper_names,_xlfn.CONCAT("D_S_",C496))=1, COUNTIF(damper_names,_xlfn.CONCAT("D_E_",C496))=1), "C", "")</f>
        <v>#VALUE!</v>
      </c>
      <c r="E496" t="e">
        <f t="shared" ca="1" si="15"/>
        <v>#VALUE!</v>
      </c>
      <c r="F496" t="e">
        <f t="shared" ca="1" si="16"/>
        <v>#VALUE!</v>
      </c>
      <c r="G496" t="e">
        <f t="shared" ca="1" si="17"/>
        <v>#VALUE!</v>
      </c>
    </row>
    <row r="497" spans="1:7" x14ac:dyDescent="0.25">
      <c r="A497" s="1"/>
      <c r="D497" t="e" cm="1">
        <f t="array" aca="1" ref="D497" ca="1">IF(OR(COUNTIF(damper_names,_xlfn.CONCAT("D_S_",C497))=1, COUNTIF(damper_names,_xlfn.CONCAT("D_E_",C497))=1), "C", "")</f>
        <v>#VALUE!</v>
      </c>
      <c r="E497" t="e">
        <f t="shared" ca="1" si="15"/>
        <v>#VALUE!</v>
      </c>
      <c r="F497" t="e">
        <f t="shared" ca="1" si="16"/>
        <v>#VALUE!</v>
      </c>
      <c r="G497" t="e">
        <f t="shared" ca="1" si="17"/>
        <v>#VALUE!</v>
      </c>
    </row>
    <row r="498" spans="1:7" x14ac:dyDescent="0.25">
      <c r="A498" s="1"/>
      <c r="D498" t="e" cm="1">
        <f t="array" aca="1" ref="D498" ca="1">IF(OR(COUNTIF(damper_names,_xlfn.CONCAT("D_S_",C498))=1, COUNTIF(damper_names,_xlfn.CONCAT("D_E_",C498))=1), "C", "")</f>
        <v>#VALUE!</v>
      </c>
      <c r="E498" t="e">
        <f t="shared" ca="1" si="15"/>
        <v>#VALUE!</v>
      </c>
      <c r="F498" t="e">
        <f t="shared" ca="1" si="16"/>
        <v>#VALUE!</v>
      </c>
      <c r="G498" t="e">
        <f t="shared" ca="1" si="17"/>
        <v>#VALUE!</v>
      </c>
    </row>
    <row r="499" spans="1:7" x14ac:dyDescent="0.25">
      <c r="A499" s="1"/>
      <c r="D499" t="e" cm="1">
        <f t="array" aca="1" ref="D499" ca="1">IF(OR(COUNTIF(damper_names,_xlfn.CONCAT("D_S_",C499))=1, COUNTIF(damper_names,_xlfn.CONCAT("D_E_",C499))=1), "C", "")</f>
        <v>#VALUE!</v>
      </c>
      <c r="E499" t="e">
        <f t="shared" ca="1" si="15"/>
        <v>#VALUE!</v>
      </c>
      <c r="F499" t="e">
        <f t="shared" ca="1" si="16"/>
        <v>#VALUE!</v>
      </c>
      <c r="G499" t="e">
        <f t="shared" ca="1" si="17"/>
        <v>#VALUE!</v>
      </c>
    </row>
    <row r="500" spans="1:7" x14ac:dyDescent="0.25">
      <c r="A500" s="1"/>
      <c r="D500" t="e" cm="1">
        <f t="array" aca="1" ref="D500" ca="1">IF(OR(COUNTIF(damper_names,_xlfn.CONCAT("D_S_",C500))=1, COUNTIF(damper_names,_xlfn.CONCAT("D_E_",C500))=1), "C", "")</f>
        <v>#VALUE!</v>
      </c>
      <c r="E500" t="e">
        <f t="shared" ca="1" si="15"/>
        <v>#VALUE!</v>
      </c>
      <c r="F500" t="e">
        <f t="shared" ca="1" si="16"/>
        <v>#VALUE!</v>
      </c>
      <c r="G500" t="e">
        <f t="shared" ca="1" si="17"/>
        <v>#VALUE!</v>
      </c>
    </row>
    <row r="501" spans="1:7" x14ac:dyDescent="0.25">
      <c r="A501" s="1"/>
      <c r="D501" t="e" cm="1">
        <f t="array" aca="1" ref="D501" ca="1">IF(OR(COUNTIF(damper_names,_xlfn.CONCAT("D_S_",C501))=1, COUNTIF(damper_names,_xlfn.CONCAT("D_E_",C501))=1), "C", "")</f>
        <v>#VALUE!</v>
      </c>
      <c r="E501" t="e">
        <f t="shared" ca="1" si="15"/>
        <v>#VALUE!</v>
      </c>
      <c r="F501" t="e">
        <f t="shared" ca="1" si="16"/>
        <v>#VALUE!</v>
      </c>
      <c r="G501" t="e">
        <f t="shared" ca="1" si="17"/>
        <v>#VALUE!</v>
      </c>
    </row>
    <row r="502" spans="1:7" x14ac:dyDescent="0.25">
      <c r="A502" s="1"/>
      <c r="D502" t="e" cm="1">
        <f t="array" aca="1" ref="D502" ca="1">IF(OR(COUNTIF(damper_names,_xlfn.CONCAT("D_S_",C502))=1, COUNTIF(damper_names,_xlfn.CONCAT("D_E_",C502))=1), "C", "")</f>
        <v>#VALUE!</v>
      </c>
      <c r="E502" t="e">
        <f t="shared" ca="1" si="15"/>
        <v>#VALUE!</v>
      </c>
      <c r="F502" t="e">
        <f t="shared" ca="1" si="16"/>
        <v>#VALUE!</v>
      </c>
      <c r="G502" t="e">
        <f t="shared" ca="1" si="17"/>
        <v>#VALUE!</v>
      </c>
    </row>
    <row r="503" spans="1:7" x14ac:dyDescent="0.25">
      <c r="A503" s="1"/>
      <c r="D503" t="e" cm="1">
        <f t="array" aca="1" ref="D503" ca="1">IF(OR(COUNTIF(damper_names,_xlfn.CONCAT("D_S_",C503))=1, COUNTIF(damper_names,_xlfn.CONCAT("D_E_",C503))=1), "C", "")</f>
        <v>#VALUE!</v>
      </c>
      <c r="E503" t="e">
        <f t="shared" ca="1" si="15"/>
        <v>#VALUE!</v>
      </c>
      <c r="F503" t="e">
        <f t="shared" ca="1" si="16"/>
        <v>#VALUE!</v>
      </c>
      <c r="G503" t="e">
        <f t="shared" ca="1" si="17"/>
        <v>#VALUE!</v>
      </c>
    </row>
    <row r="504" spans="1:7" x14ac:dyDescent="0.25">
      <c r="A504" s="1"/>
      <c r="D504" t="e" cm="1">
        <f t="array" aca="1" ref="D504" ca="1">IF(OR(COUNTIF(damper_names,_xlfn.CONCAT("D_S_",C504))=1, COUNTIF(damper_names,_xlfn.CONCAT("D_E_",C504))=1), "C", "")</f>
        <v>#VALUE!</v>
      </c>
      <c r="E504" t="e">
        <f t="shared" ca="1" si="15"/>
        <v>#VALUE!</v>
      </c>
      <c r="F504" t="e">
        <f t="shared" ca="1" si="16"/>
        <v>#VALUE!</v>
      </c>
      <c r="G504" t="e">
        <f t="shared" ca="1" si="17"/>
        <v>#VALUE!</v>
      </c>
    </row>
    <row r="505" spans="1:7" x14ac:dyDescent="0.25">
      <c r="A505" s="1"/>
      <c r="D505" t="e" cm="1">
        <f t="array" aca="1" ref="D505" ca="1">IF(OR(COUNTIF(damper_names,_xlfn.CONCAT("D_S_",C505))=1, COUNTIF(damper_names,_xlfn.CONCAT("D_E_",C505))=1), "C", "")</f>
        <v>#VALUE!</v>
      </c>
      <c r="E505" t="e">
        <f t="shared" ca="1" si="15"/>
        <v>#VALUE!</v>
      </c>
      <c r="F505" t="e">
        <f t="shared" ca="1" si="16"/>
        <v>#VALUE!</v>
      </c>
      <c r="G505" t="e">
        <f t="shared" ca="1" si="17"/>
        <v>#VALUE!</v>
      </c>
    </row>
    <row r="506" spans="1:7" x14ac:dyDescent="0.25">
      <c r="A506" s="1"/>
      <c r="D506" t="e" cm="1">
        <f t="array" aca="1" ref="D506" ca="1">IF(OR(COUNTIF(damper_names,_xlfn.CONCAT("D_S_",C506))=1, COUNTIF(damper_names,_xlfn.CONCAT("D_E_",C506))=1), "C", "")</f>
        <v>#VALUE!</v>
      </c>
      <c r="E506" t="e">
        <f t="shared" ca="1" si="15"/>
        <v>#VALUE!</v>
      </c>
      <c r="F506" t="e">
        <f t="shared" ca="1" si="16"/>
        <v>#VALUE!</v>
      </c>
      <c r="G506" t="e">
        <f t="shared" ca="1" si="17"/>
        <v>#VALUE!</v>
      </c>
    </row>
    <row r="507" spans="1:7" x14ac:dyDescent="0.25">
      <c r="A507" s="1"/>
      <c r="D507" t="e" cm="1">
        <f t="array" aca="1" ref="D507" ca="1">IF(OR(COUNTIF(damper_names,_xlfn.CONCAT("D_S_",C507))=1, COUNTIF(damper_names,_xlfn.CONCAT("D_E_",C507))=1), "C", "")</f>
        <v>#VALUE!</v>
      </c>
      <c r="E507" t="e">
        <f t="shared" ca="1" si="15"/>
        <v>#VALUE!</v>
      </c>
      <c r="F507" t="e">
        <f t="shared" ca="1" si="16"/>
        <v>#VALUE!</v>
      </c>
      <c r="G507" t="e">
        <f t="shared" ca="1" si="17"/>
        <v>#VALUE!</v>
      </c>
    </row>
    <row r="508" spans="1:7" x14ac:dyDescent="0.25">
      <c r="A508" s="1"/>
      <c r="D508" t="e" cm="1">
        <f t="array" aca="1" ref="D508" ca="1">IF(OR(COUNTIF(damper_names,_xlfn.CONCAT("D_S_",C508))=1, COUNTIF(damper_names,_xlfn.CONCAT("D_E_",C508))=1), "C", "")</f>
        <v>#VALUE!</v>
      </c>
      <c r="E508" t="e">
        <f t="shared" ca="1" si="15"/>
        <v>#VALUE!</v>
      </c>
      <c r="F508" t="e">
        <f t="shared" ca="1" si="16"/>
        <v>#VALUE!</v>
      </c>
      <c r="G508" t="e">
        <f t="shared" ca="1" si="17"/>
        <v>#VALUE!</v>
      </c>
    </row>
    <row r="509" spans="1:7" x14ac:dyDescent="0.25">
      <c r="A509" s="1"/>
      <c r="D509" t="e" cm="1">
        <f t="array" aca="1" ref="D509" ca="1">IF(OR(COUNTIF(damper_names,_xlfn.CONCAT("D_S_",C509))=1, COUNTIF(damper_names,_xlfn.CONCAT("D_E_",C509))=1), "C", "")</f>
        <v>#VALUE!</v>
      </c>
      <c r="E509" t="e">
        <f t="shared" ca="1" si="15"/>
        <v>#VALUE!</v>
      </c>
      <c r="F509" t="e">
        <f t="shared" ca="1" si="16"/>
        <v>#VALUE!</v>
      </c>
      <c r="G509" t="e">
        <f t="shared" ca="1" si="17"/>
        <v>#VALUE!</v>
      </c>
    </row>
    <row r="510" spans="1:7" x14ac:dyDescent="0.25">
      <c r="A510" s="1"/>
      <c r="D510" t="e" cm="1">
        <f t="array" aca="1" ref="D510" ca="1">IF(OR(COUNTIF(damper_names,_xlfn.CONCAT("D_S_",C510))=1, COUNTIF(damper_names,_xlfn.CONCAT("D_E_",C510))=1), "C", "")</f>
        <v>#VALUE!</v>
      </c>
      <c r="E510" t="e">
        <f t="shared" ca="1" si="15"/>
        <v>#VALUE!</v>
      </c>
      <c r="F510" t="e">
        <f t="shared" ca="1" si="16"/>
        <v>#VALUE!</v>
      </c>
      <c r="G510" t="e">
        <f t="shared" ca="1" si="17"/>
        <v>#VALUE!</v>
      </c>
    </row>
    <row r="511" spans="1:7" x14ac:dyDescent="0.25">
      <c r="A511" s="1"/>
      <c r="D511" t="e" cm="1">
        <f t="array" aca="1" ref="D511" ca="1">IF(OR(COUNTIF(damper_names,_xlfn.CONCAT("D_S_",C511))=1, COUNTIF(damper_names,_xlfn.CONCAT("D_E_",C511))=1), "C", "")</f>
        <v>#VALUE!</v>
      </c>
      <c r="E511" t="e">
        <f t="shared" ca="1" si="15"/>
        <v>#VALUE!</v>
      </c>
      <c r="F511" t="e">
        <f t="shared" ca="1" si="16"/>
        <v>#VALUE!</v>
      </c>
      <c r="G511" t="e">
        <f t="shared" ca="1" si="17"/>
        <v>#VALUE!</v>
      </c>
    </row>
    <row r="512" spans="1:7" x14ac:dyDescent="0.25">
      <c r="A512" s="1"/>
      <c r="D512" t="e" cm="1">
        <f t="array" aca="1" ref="D512" ca="1">IF(OR(COUNTIF(damper_names,_xlfn.CONCAT("D_S_",C512))=1, COUNTIF(damper_names,_xlfn.CONCAT("D_E_",C512))=1), "C", "")</f>
        <v>#VALUE!</v>
      </c>
      <c r="E512" t="e">
        <f t="shared" ca="1" si="15"/>
        <v>#VALUE!</v>
      </c>
      <c r="F512" t="e">
        <f t="shared" ca="1" si="16"/>
        <v>#VALUE!</v>
      </c>
      <c r="G512" t="e">
        <f t="shared" ca="1" si="17"/>
        <v>#VALUE!</v>
      </c>
    </row>
    <row r="513" spans="1:7" x14ac:dyDescent="0.25">
      <c r="A513" s="1"/>
      <c r="D513" t="e" cm="1">
        <f t="array" aca="1" ref="D513" ca="1">IF(OR(COUNTIF(damper_names,_xlfn.CONCAT("D_S_",C513))=1, COUNTIF(damper_names,_xlfn.CONCAT("D_E_",C513))=1), "C", "")</f>
        <v>#VALUE!</v>
      </c>
      <c r="E513" t="e">
        <f t="shared" ca="1" si="15"/>
        <v>#VALUE!</v>
      </c>
      <c r="F513" t="e">
        <f t="shared" ca="1" si="16"/>
        <v>#VALUE!</v>
      </c>
      <c r="G513" t="e">
        <f t="shared" ca="1" si="17"/>
        <v>#VALUE!</v>
      </c>
    </row>
    <row r="514" spans="1:7" x14ac:dyDescent="0.25">
      <c r="A514" s="1"/>
      <c r="D514" t="e" cm="1">
        <f t="array" aca="1" ref="D514" ca="1">IF(OR(COUNTIF(damper_names,_xlfn.CONCAT("D_S_",C514))=1, COUNTIF(damper_names,_xlfn.CONCAT("D_E_",C514))=1), "C", "")</f>
        <v>#VALUE!</v>
      </c>
      <c r="E514" t="e">
        <f t="shared" ca="1" si="15"/>
        <v>#VALUE!</v>
      </c>
      <c r="F514" t="e">
        <f t="shared" ca="1" si="16"/>
        <v>#VALUE!</v>
      </c>
      <c r="G514" t="e">
        <f t="shared" ca="1" si="17"/>
        <v>#VALUE!</v>
      </c>
    </row>
    <row r="515" spans="1:7" x14ac:dyDescent="0.25">
      <c r="A515" s="1"/>
      <c r="D515" t="e" cm="1">
        <f t="array" aca="1" ref="D515" ca="1">IF(OR(COUNTIF(damper_names,_xlfn.CONCAT("D_S_",C515))=1, COUNTIF(damper_names,_xlfn.CONCAT("D_E_",C515))=1), "C", "")</f>
        <v>#VALUE!</v>
      </c>
      <c r="E515" t="e">
        <f t="shared" ca="1" si="15"/>
        <v>#VALUE!</v>
      </c>
      <c r="F515" t="e">
        <f t="shared" ca="1" si="16"/>
        <v>#VALUE!</v>
      </c>
      <c r="G515" t="e">
        <f t="shared" ca="1" si="17"/>
        <v>#VALUE!</v>
      </c>
    </row>
    <row r="516" spans="1:7" x14ac:dyDescent="0.25">
      <c r="A516" s="1"/>
      <c r="D516" t="e" cm="1">
        <f t="array" aca="1" ref="D516" ca="1">IF(OR(COUNTIF(damper_names,_xlfn.CONCAT("D_S_",C516))=1, COUNTIF(damper_names,_xlfn.CONCAT("D_E_",C516))=1), "C", "")</f>
        <v>#VALUE!</v>
      </c>
      <c r="E516" t="e">
        <f t="shared" ca="1" si="15"/>
        <v>#VALUE!</v>
      </c>
      <c r="F516" t="e">
        <f t="shared" ca="1" si="16"/>
        <v>#VALUE!</v>
      </c>
      <c r="G516" t="e">
        <f t="shared" ca="1" si="17"/>
        <v>#VALUE!</v>
      </c>
    </row>
    <row r="517" spans="1:7" x14ac:dyDescent="0.25">
      <c r="A517" s="1"/>
      <c r="D517" t="e" cm="1">
        <f t="array" aca="1" ref="D517" ca="1">IF(OR(COUNTIF(damper_names,_xlfn.CONCAT("D_S_",C517))=1, COUNTIF(damper_names,_xlfn.CONCAT("D_E_",C517))=1), "C", "")</f>
        <v>#VALUE!</v>
      </c>
      <c r="E517" t="e">
        <f t="shared" ca="1" si="15"/>
        <v>#VALUE!</v>
      </c>
      <c r="F517" t="e">
        <f t="shared" ca="1" si="16"/>
        <v>#VALUE!</v>
      </c>
      <c r="G517" t="e">
        <f t="shared" ca="1" si="17"/>
        <v>#VALUE!</v>
      </c>
    </row>
    <row r="518" spans="1:7" x14ac:dyDescent="0.25">
      <c r="A518" s="1"/>
      <c r="D518" t="e" cm="1">
        <f t="array" aca="1" ref="D518" ca="1">IF(OR(COUNTIF(damper_names,_xlfn.CONCAT("D_S_",C518))=1, COUNTIF(damper_names,_xlfn.CONCAT("D_E_",C518))=1), "C", "")</f>
        <v>#VALUE!</v>
      </c>
      <c r="E518" t="e">
        <f t="shared" ca="1" si="15"/>
        <v>#VALUE!</v>
      </c>
      <c r="F518" t="e">
        <f t="shared" ca="1" si="16"/>
        <v>#VALUE!</v>
      </c>
      <c r="G518" t="e">
        <f t="shared" ca="1" si="17"/>
        <v>#VALUE!</v>
      </c>
    </row>
    <row r="519" spans="1:7" x14ac:dyDescent="0.25">
      <c r="A519" s="1"/>
      <c r="D519" t="e" cm="1">
        <f t="array" aca="1" ref="D519" ca="1">IF(OR(COUNTIF(damper_names,_xlfn.CONCAT("D_S_",C519))=1, COUNTIF(damper_names,_xlfn.CONCAT("D_E_",C519))=1), "C", "")</f>
        <v>#VALUE!</v>
      </c>
      <c r="E519" t="e">
        <f t="shared" ref="E519:E582" ca="1" si="18">IF(D519="T", 0.05, IF(D519="C", -0.01, ""))</f>
        <v>#VALUE!</v>
      </c>
      <c r="F519" t="e">
        <f t="shared" ref="F519:F582" ca="1" si="19">IF(D519="T", 0.05, IF(D519="C", 0, ""))</f>
        <v>#VALUE!</v>
      </c>
      <c r="G519" t="e">
        <f t="shared" ref="G519:G582" ca="1" si="20">IF(D519="T", 0, IF(D519="C", 0, ""))</f>
        <v>#VALUE!</v>
      </c>
    </row>
    <row r="520" spans="1:7" x14ac:dyDescent="0.25">
      <c r="A520" s="1"/>
      <c r="D520" t="e" cm="1">
        <f t="array" aca="1" ref="D520" ca="1">IF(OR(COUNTIF(damper_names,_xlfn.CONCAT("D_S_",C520))=1, COUNTIF(damper_names,_xlfn.CONCAT("D_E_",C520))=1), "C", "")</f>
        <v>#VALUE!</v>
      </c>
      <c r="E520" t="e">
        <f t="shared" ca="1" si="18"/>
        <v>#VALUE!</v>
      </c>
      <c r="F520" t="e">
        <f t="shared" ca="1" si="19"/>
        <v>#VALUE!</v>
      </c>
      <c r="G520" t="e">
        <f t="shared" ca="1" si="20"/>
        <v>#VALUE!</v>
      </c>
    </row>
    <row r="521" spans="1:7" x14ac:dyDescent="0.25">
      <c r="A521" s="1"/>
      <c r="D521" t="e" cm="1">
        <f t="array" aca="1" ref="D521" ca="1">IF(OR(COUNTIF(damper_names,_xlfn.CONCAT("D_S_",C521))=1, COUNTIF(damper_names,_xlfn.CONCAT("D_E_",C521))=1), "C", "")</f>
        <v>#VALUE!</v>
      </c>
      <c r="E521" t="e">
        <f t="shared" ca="1" si="18"/>
        <v>#VALUE!</v>
      </c>
      <c r="F521" t="e">
        <f t="shared" ca="1" si="19"/>
        <v>#VALUE!</v>
      </c>
      <c r="G521" t="e">
        <f t="shared" ca="1" si="20"/>
        <v>#VALUE!</v>
      </c>
    </row>
    <row r="522" spans="1:7" x14ac:dyDescent="0.25">
      <c r="A522" s="1"/>
      <c r="D522" t="e" cm="1">
        <f t="array" aca="1" ref="D522" ca="1">IF(OR(COUNTIF(damper_names,_xlfn.CONCAT("D_S_",C522))=1, COUNTIF(damper_names,_xlfn.CONCAT("D_E_",C522))=1), "C", "")</f>
        <v>#VALUE!</v>
      </c>
      <c r="E522" t="e">
        <f t="shared" ca="1" si="18"/>
        <v>#VALUE!</v>
      </c>
      <c r="F522" t="e">
        <f t="shared" ca="1" si="19"/>
        <v>#VALUE!</v>
      </c>
      <c r="G522" t="e">
        <f t="shared" ca="1" si="20"/>
        <v>#VALUE!</v>
      </c>
    </row>
    <row r="523" spans="1:7" x14ac:dyDescent="0.25">
      <c r="A523" s="1"/>
      <c r="D523" t="e" cm="1">
        <f t="array" aca="1" ref="D523" ca="1">IF(OR(COUNTIF(damper_names,_xlfn.CONCAT("D_S_",C523))=1, COUNTIF(damper_names,_xlfn.CONCAT("D_E_",C523))=1), "C", "")</f>
        <v>#VALUE!</v>
      </c>
      <c r="E523" t="e">
        <f t="shared" ca="1" si="18"/>
        <v>#VALUE!</v>
      </c>
      <c r="F523" t="e">
        <f t="shared" ca="1" si="19"/>
        <v>#VALUE!</v>
      </c>
      <c r="G523" t="e">
        <f t="shared" ca="1" si="20"/>
        <v>#VALUE!</v>
      </c>
    </row>
    <row r="524" spans="1:7" x14ac:dyDescent="0.25">
      <c r="A524" s="1"/>
      <c r="D524" t="e" cm="1">
        <f t="array" aca="1" ref="D524" ca="1">IF(OR(COUNTIF(damper_names,_xlfn.CONCAT("D_S_",C524))=1, COUNTIF(damper_names,_xlfn.CONCAT("D_E_",C524))=1), "C", "")</f>
        <v>#VALUE!</v>
      </c>
      <c r="E524" t="e">
        <f t="shared" ca="1" si="18"/>
        <v>#VALUE!</v>
      </c>
      <c r="F524" t="e">
        <f t="shared" ca="1" si="19"/>
        <v>#VALUE!</v>
      </c>
      <c r="G524" t="e">
        <f t="shared" ca="1" si="20"/>
        <v>#VALUE!</v>
      </c>
    </row>
    <row r="525" spans="1:7" x14ac:dyDescent="0.25">
      <c r="A525" s="1"/>
      <c r="D525" t="e" cm="1">
        <f t="array" aca="1" ref="D525" ca="1">IF(OR(COUNTIF(damper_names,_xlfn.CONCAT("D_S_",C525))=1, COUNTIF(damper_names,_xlfn.CONCAT("D_E_",C525))=1), "C", "")</f>
        <v>#VALUE!</v>
      </c>
      <c r="E525" t="e">
        <f t="shared" ca="1" si="18"/>
        <v>#VALUE!</v>
      </c>
      <c r="F525" t="e">
        <f t="shared" ca="1" si="19"/>
        <v>#VALUE!</v>
      </c>
      <c r="G525" t="e">
        <f t="shared" ca="1" si="20"/>
        <v>#VALUE!</v>
      </c>
    </row>
    <row r="526" spans="1:7" x14ac:dyDescent="0.25">
      <c r="A526" s="1"/>
      <c r="D526" t="e" cm="1">
        <f t="array" aca="1" ref="D526" ca="1">IF(OR(COUNTIF(damper_names,_xlfn.CONCAT("D_S_",C526))=1, COUNTIF(damper_names,_xlfn.CONCAT("D_E_",C526))=1), "C", "")</f>
        <v>#VALUE!</v>
      </c>
      <c r="E526" t="e">
        <f t="shared" ca="1" si="18"/>
        <v>#VALUE!</v>
      </c>
      <c r="F526" t="e">
        <f t="shared" ca="1" si="19"/>
        <v>#VALUE!</v>
      </c>
      <c r="G526" t="e">
        <f t="shared" ca="1" si="20"/>
        <v>#VALUE!</v>
      </c>
    </row>
    <row r="527" spans="1:7" x14ac:dyDescent="0.25">
      <c r="A527" s="1"/>
      <c r="D527" t="e" cm="1">
        <f t="array" aca="1" ref="D527" ca="1">IF(OR(COUNTIF(damper_names,_xlfn.CONCAT("D_S_",C527))=1, COUNTIF(damper_names,_xlfn.CONCAT("D_E_",C527))=1), "C", "")</f>
        <v>#VALUE!</v>
      </c>
      <c r="E527" t="e">
        <f t="shared" ca="1" si="18"/>
        <v>#VALUE!</v>
      </c>
      <c r="F527" t="e">
        <f t="shared" ca="1" si="19"/>
        <v>#VALUE!</v>
      </c>
      <c r="G527" t="e">
        <f t="shared" ca="1" si="20"/>
        <v>#VALUE!</v>
      </c>
    </row>
    <row r="528" spans="1:7" x14ac:dyDescent="0.25">
      <c r="A528" s="1"/>
      <c r="D528" t="e" cm="1">
        <f t="array" aca="1" ref="D528" ca="1">IF(OR(COUNTIF(damper_names,_xlfn.CONCAT("D_S_",C528))=1, COUNTIF(damper_names,_xlfn.CONCAT("D_E_",C528))=1), "C", "")</f>
        <v>#VALUE!</v>
      </c>
      <c r="E528" t="e">
        <f t="shared" ca="1" si="18"/>
        <v>#VALUE!</v>
      </c>
      <c r="F528" t="e">
        <f t="shared" ca="1" si="19"/>
        <v>#VALUE!</v>
      </c>
      <c r="G528" t="e">
        <f t="shared" ca="1" si="20"/>
        <v>#VALUE!</v>
      </c>
    </row>
    <row r="529" spans="1:7" x14ac:dyDescent="0.25">
      <c r="A529" s="1"/>
      <c r="D529" t="e" cm="1">
        <f t="array" aca="1" ref="D529" ca="1">IF(OR(COUNTIF(damper_names,_xlfn.CONCAT("D_S_",C529))=1, COUNTIF(damper_names,_xlfn.CONCAT("D_E_",C529))=1), "C", "")</f>
        <v>#VALUE!</v>
      </c>
      <c r="E529" t="e">
        <f t="shared" ca="1" si="18"/>
        <v>#VALUE!</v>
      </c>
      <c r="F529" t="e">
        <f t="shared" ca="1" si="19"/>
        <v>#VALUE!</v>
      </c>
      <c r="G529" t="e">
        <f t="shared" ca="1" si="20"/>
        <v>#VALUE!</v>
      </c>
    </row>
    <row r="530" spans="1:7" x14ac:dyDescent="0.25">
      <c r="A530" s="1"/>
      <c r="D530" t="e" cm="1">
        <f t="array" aca="1" ref="D530" ca="1">IF(OR(COUNTIF(damper_names,_xlfn.CONCAT("D_S_",C530))=1, COUNTIF(damper_names,_xlfn.CONCAT("D_E_",C530))=1), "C", "")</f>
        <v>#VALUE!</v>
      </c>
      <c r="E530" t="e">
        <f t="shared" ca="1" si="18"/>
        <v>#VALUE!</v>
      </c>
      <c r="F530" t="e">
        <f t="shared" ca="1" si="19"/>
        <v>#VALUE!</v>
      </c>
      <c r="G530" t="e">
        <f t="shared" ca="1" si="20"/>
        <v>#VALUE!</v>
      </c>
    </row>
    <row r="531" spans="1:7" x14ac:dyDescent="0.25">
      <c r="A531" s="1"/>
      <c r="D531" t="e" cm="1">
        <f t="array" aca="1" ref="D531" ca="1">IF(OR(COUNTIF(damper_names,_xlfn.CONCAT("D_S_",C531))=1, COUNTIF(damper_names,_xlfn.CONCAT("D_E_",C531))=1), "C", "")</f>
        <v>#VALUE!</v>
      </c>
      <c r="E531" t="e">
        <f t="shared" ca="1" si="18"/>
        <v>#VALUE!</v>
      </c>
      <c r="F531" t="e">
        <f t="shared" ca="1" si="19"/>
        <v>#VALUE!</v>
      </c>
      <c r="G531" t="e">
        <f t="shared" ca="1" si="20"/>
        <v>#VALUE!</v>
      </c>
    </row>
    <row r="532" spans="1:7" x14ac:dyDescent="0.25">
      <c r="A532" s="1"/>
      <c r="D532" t="e" cm="1">
        <f t="array" aca="1" ref="D532" ca="1">IF(OR(COUNTIF(damper_names,_xlfn.CONCAT("D_S_",C532))=1, COUNTIF(damper_names,_xlfn.CONCAT("D_E_",C532))=1), "C", "")</f>
        <v>#VALUE!</v>
      </c>
      <c r="E532" t="e">
        <f t="shared" ca="1" si="18"/>
        <v>#VALUE!</v>
      </c>
      <c r="F532" t="e">
        <f t="shared" ca="1" si="19"/>
        <v>#VALUE!</v>
      </c>
      <c r="G532" t="e">
        <f t="shared" ca="1" si="20"/>
        <v>#VALUE!</v>
      </c>
    </row>
    <row r="533" spans="1:7" x14ac:dyDescent="0.25">
      <c r="A533" s="1"/>
      <c r="D533" t="e" cm="1">
        <f t="array" aca="1" ref="D533" ca="1">IF(OR(COUNTIF(damper_names,_xlfn.CONCAT("D_S_",C533))=1, COUNTIF(damper_names,_xlfn.CONCAT("D_E_",C533))=1), "C", "")</f>
        <v>#VALUE!</v>
      </c>
      <c r="E533" t="e">
        <f t="shared" ca="1" si="18"/>
        <v>#VALUE!</v>
      </c>
      <c r="F533" t="e">
        <f t="shared" ca="1" si="19"/>
        <v>#VALUE!</v>
      </c>
      <c r="G533" t="e">
        <f t="shared" ca="1" si="20"/>
        <v>#VALUE!</v>
      </c>
    </row>
    <row r="534" spans="1:7" x14ac:dyDescent="0.25">
      <c r="A534" s="1"/>
      <c r="D534" t="e" cm="1">
        <f t="array" aca="1" ref="D534" ca="1">IF(OR(COUNTIF(damper_names,_xlfn.CONCAT("D_S_",C534))=1, COUNTIF(damper_names,_xlfn.CONCAT("D_E_",C534))=1), "C", "")</f>
        <v>#VALUE!</v>
      </c>
      <c r="E534" t="e">
        <f t="shared" ca="1" si="18"/>
        <v>#VALUE!</v>
      </c>
      <c r="F534" t="e">
        <f t="shared" ca="1" si="19"/>
        <v>#VALUE!</v>
      </c>
      <c r="G534" t="e">
        <f t="shared" ca="1" si="20"/>
        <v>#VALUE!</v>
      </c>
    </row>
    <row r="535" spans="1:7" x14ac:dyDescent="0.25">
      <c r="A535" s="1"/>
      <c r="D535" t="e" cm="1">
        <f t="array" aca="1" ref="D535" ca="1">IF(OR(COUNTIF(damper_names,_xlfn.CONCAT("D_S_",C535))=1, COUNTIF(damper_names,_xlfn.CONCAT("D_E_",C535))=1), "C", "")</f>
        <v>#VALUE!</v>
      </c>
      <c r="E535" t="e">
        <f t="shared" ca="1" si="18"/>
        <v>#VALUE!</v>
      </c>
      <c r="F535" t="e">
        <f t="shared" ca="1" si="19"/>
        <v>#VALUE!</v>
      </c>
      <c r="G535" t="e">
        <f t="shared" ca="1" si="20"/>
        <v>#VALUE!</v>
      </c>
    </row>
    <row r="536" spans="1:7" x14ac:dyDescent="0.25">
      <c r="A536" s="1"/>
      <c r="D536" t="e" cm="1">
        <f t="array" aca="1" ref="D536" ca="1">IF(OR(COUNTIF(damper_names,_xlfn.CONCAT("D_S_",C536))=1, COUNTIF(damper_names,_xlfn.CONCAT("D_E_",C536))=1), "C", "")</f>
        <v>#VALUE!</v>
      </c>
      <c r="E536" t="e">
        <f t="shared" ca="1" si="18"/>
        <v>#VALUE!</v>
      </c>
      <c r="F536" t="e">
        <f t="shared" ca="1" si="19"/>
        <v>#VALUE!</v>
      </c>
      <c r="G536" t="e">
        <f t="shared" ca="1" si="20"/>
        <v>#VALUE!</v>
      </c>
    </row>
    <row r="537" spans="1:7" x14ac:dyDescent="0.25">
      <c r="A537" s="1"/>
      <c r="D537" t="e" cm="1">
        <f t="array" aca="1" ref="D537" ca="1">IF(OR(COUNTIF(damper_names,_xlfn.CONCAT("D_S_",C537))=1, COUNTIF(damper_names,_xlfn.CONCAT("D_E_",C537))=1), "C", "")</f>
        <v>#VALUE!</v>
      </c>
      <c r="E537" t="e">
        <f t="shared" ca="1" si="18"/>
        <v>#VALUE!</v>
      </c>
      <c r="F537" t="e">
        <f t="shared" ca="1" si="19"/>
        <v>#VALUE!</v>
      </c>
      <c r="G537" t="e">
        <f t="shared" ca="1" si="20"/>
        <v>#VALUE!</v>
      </c>
    </row>
    <row r="538" spans="1:7" x14ac:dyDescent="0.25">
      <c r="A538" s="1"/>
      <c r="D538" t="e" cm="1">
        <f t="array" aca="1" ref="D538" ca="1">IF(OR(COUNTIF(damper_names,_xlfn.CONCAT("D_S_",C538))=1, COUNTIF(damper_names,_xlfn.CONCAT("D_E_",C538))=1), "C", "")</f>
        <v>#VALUE!</v>
      </c>
      <c r="E538" t="e">
        <f t="shared" ca="1" si="18"/>
        <v>#VALUE!</v>
      </c>
      <c r="F538" t="e">
        <f t="shared" ca="1" si="19"/>
        <v>#VALUE!</v>
      </c>
      <c r="G538" t="e">
        <f t="shared" ca="1" si="20"/>
        <v>#VALUE!</v>
      </c>
    </row>
    <row r="539" spans="1:7" x14ac:dyDescent="0.25">
      <c r="A539" s="1"/>
      <c r="D539" t="e" cm="1">
        <f t="array" aca="1" ref="D539" ca="1">IF(OR(COUNTIF(damper_names,_xlfn.CONCAT("D_S_",C539))=1, COUNTIF(damper_names,_xlfn.CONCAT("D_E_",C539))=1), "C", "")</f>
        <v>#VALUE!</v>
      </c>
      <c r="E539" t="e">
        <f t="shared" ca="1" si="18"/>
        <v>#VALUE!</v>
      </c>
      <c r="F539" t="e">
        <f t="shared" ca="1" si="19"/>
        <v>#VALUE!</v>
      </c>
      <c r="G539" t="e">
        <f t="shared" ca="1" si="20"/>
        <v>#VALUE!</v>
      </c>
    </row>
    <row r="540" spans="1:7" x14ac:dyDescent="0.25">
      <c r="A540" s="1"/>
      <c r="D540" t="e" cm="1">
        <f t="array" aca="1" ref="D540" ca="1">IF(OR(COUNTIF(damper_names,_xlfn.CONCAT("D_S_",C540))=1, COUNTIF(damper_names,_xlfn.CONCAT("D_E_",C540))=1), "C", "")</f>
        <v>#VALUE!</v>
      </c>
      <c r="E540" t="e">
        <f t="shared" ca="1" si="18"/>
        <v>#VALUE!</v>
      </c>
      <c r="F540" t="e">
        <f t="shared" ca="1" si="19"/>
        <v>#VALUE!</v>
      </c>
      <c r="G540" t="e">
        <f t="shared" ca="1" si="20"/>
        <v>#VALUE!</v>
      </c>
    </row>
    <row r="541" spans="1:7" x14ac:dyDescent="0.25">
      <c r="A541" s="1"/>
      <c r="D541" t="e" cm="1">
        <f t="array" aca="1" ref="D541" ca="1">IF(OR(COUNTIF(damper_names,_xlfn.CONCAT("D_S_",C541))=1, COUNTIF(damper_names,_xlfn.CONCAT("D_E_",C541))=1), "C", "")</f>
        <v>#VALUE!</v>
      </c>
      <c r="E541" t="e">
        <f t="shared" ca="1" si="18"/>
        <v>#VALUE!</v>
      </c>
      <c r="F541" t="e">
        <f t="shared" ca="1" si="19"/>
        <v>#VALUE!</v>
      </c>
      <c r="G541" t="e">
        <f t="shared" ca="1" si="20"/>
        <v>#VALUE!</v>
      </c>
    </row>
    <row r="542" spans="1:7" x14ac:dyDescent="0.25">
      <c r="A542" s="1"/>
      <c r="D542" t="e" cm="1">
        <f t="array" aca="1" ref="D542" ca="1">IF(OR(COUNTIF(damper_names,_xlfn.CONCAT("D_S_",C542))=1, COUNTIF(damper_names,_xlfn.CONCAT("D_E_",C542))=1), "C", "")</f>
        <v>#VALUE!</v>
      </c>
      <c r="E542" t="e">
        <f t="shared" ca="1" si="18"/>
        <v>#VALUE!</v>
      </c>
      <c r="F542" t="e">
        <f t="shared" ca="1" si="19"/>
        <v>#VALUE!</v>
      </c>
      <c r="G542" t="e">
        <f t="shared" ca="1" si="20"/>
        <v>#VALUE!</v>
      </c>
    </row>
    <row r="543" spans="1:7" x14ac:dyDescent="0.25">
      <c r="A543" s="1"/>
      <c r="D543" t="e" cm="1">
        <f t="array" aca="1" ref="D543" ca="1">IF(OR(COUNTIF(damper_names,_xlfn.CONCAT("D_S_",C543))=1, COUNTIF(damper_names,_xlfn.CONCAT("D_E_",C543))=1), "C", "")</f>
        <v>#VALUE!</v>
      </c>
      <c r="E543" t="e">
        <f t="shared" ca="1" si="18"/>
        <v>#VALUE!</v>
      </c>
      <c r="F543" t="e">
        <f t="shared" ca="1" si="19"/>
        <v>#VALUE!</v>
      </c>
      <c r="G543" t="e">
        <f t="shared" ca="1" si="20"/>
        <v>#VALUE!</v>
      </c>
    </row>
    <row r="544" spans="1:7" x14ac:dyDescent="0.25">
      <c r="A544" s="1"/>
      <c r="D544" t="e" cm="1">
        <f t="array" aca="1" ref="D544" ca="1">IF(OR(COUNTIF(damper_names,_xlfn.CONCAT("D_S_",C544))=1, COUNTIF(damper_names,_xlfn.CONCAT("D_E_",C544))=1), "C", "")</f>
        <v>#VALUE!</v>
      </c>
      <c r="E544" t="e">
        <f t="shared" ca="1" si="18"/>
        <v>#VALUE!</v>
      </c>
      <c r="F544" t="e">
        <f t="shared" ca="1" si="19"/>
        <v>#VALUE!</v>
      </c>
      <c r="G544" t="e">
        <f t="shared" ca="1" si="20"/>
        <v>#VALUE!</v>
      </c>
    </row>
    <row r="545" spans="1:7" x14ac:dyDescent="0.25">
      <c r="A545" s="1"/>
      <c r="D545" t="e" cm="1">
        <f t="array" aca="1" ref="D545" ca="1">IF(OR(COUNTIF(damper_names,_xlfn.CONCAT("D_S_",C545))=1, COUNTIF(damper_names,_xlfn.CONCAT("D_E_",C545))=1), "C", "")</f>
        <v>#VALUE!</v>
      </c>
      <c r="E545" t="e">
        <f t="shared" ca="1" si="18"/>
        <v>#VALUE!</v>
      </c>
      <c r="F545" t="e">
        <f t="shared" ca="1" si="19"/>
        <v>#VALUE!</v>
      </c>
      <c r="G545" t="e">
        <f t="shared" ca="1" si="20"/>
        <v>#VALUE!</v>
      </c>
    </row>
    <row r="546" spans="1:7" x14ac:dyDescent="0.25">
      <c r="A546" s="1"/>
      <c r="D546" t="e" cm="1">
        <f t="array" aca="1" ref="D546" ca="1">IF(OR(COUNTIF(damper_names,_xlfn.CONCAT("D_S_",C546))=1, COUNTIF(damper_names,_xlfn.CONCAT("D_E_",C546))=1), "C", "")</f>
        <v>#VALUE!</v>
      </c>
      <c r="E546" t="e">
        <f t="shared" ca="1" si="18"/>
        <v>#VALUE!</v>
      </c>
      <c r="F546" t="e">
        <f t="shared" ca="1" si="19"/>
        <v>#VALUE!</v>
      </c>
      <c r="G546" t="e">
        <f t="shared" ca="1" si="20"/>
        <v>#VALUE!</v>
      </c>
    </row>
    <row r="547" spans="1:7" x14ac:dyDescent="0.25">
      <c r="A547" s="1"/>
      <c r="D547" t="e" cm="1">
        <f t="array" aca="1" ref="D547" ca="1">IF(OR(COUNTIF(damper_names,_xlfn.CONCAT("D_S_",C547))=1, COUNTIF(damper_names,_xlfn.CONCAT("D_E_",C547))=1), "C", "")</f>
        <v>#VALUE!</v>
      </c>
      <c r="E547" t="e">
        <f t="shared" ca="1" si="18"/>
        <v>#VALUE!</v>
      </c>
      <c r="F547" t="e">
        <f t="shared" ca="1" si="19"/>
        <v>#VALUE!</v>
      </c>
      <c r="G547" t="e">
        <f t="shared" ca="1" si="20"/>
        <v>#VALUE!</v>
      </c>
    </row>
    <row r="548" spans="1:7" x14ac:dyDescent="0.25">
      <c r="A548" s="1"/>
      <c r="D548" t="e" cm="1">
        <f t="array" aca="1" ref="D548" ca="1">IF(OR(COUNTIF(damper_names,_xlfn.CONCAT("D_S_",C548))=1, COUNTIF(damper_names,_xlfn.CONCAT("D_E_",C548))=1), "C", "")</f>
        <v>#VALUE!</v>
      </c>
      <c r="E548" t="e">
        <f t="shared" ca="1" si="18"/>
        <v>#VALUE!</v>
      </c>
      <c r="F548" t="e">
        <f t="shared" ca="1" si="19"/>
        <v>#VALUE!</v>
      </c>
      <c r="G548" t="e">
        <f t="shared" ca="1" si="20"/>
        <v>#VALUE!</v>
      </c>
    </row>
    <row r="549" spans="1:7" x14ac:dyDescent="0.25">
      <c r="A549" s="1"/>
      <c r="D549" t="e" cm="1">
        <f t="array" aca="1" ref="D549" ca="1">IF(OR(COUNTIF(damper_names,_xlfn.CONCAT("D_S_",C549))=1, COUNTIF(damper_names,_xlfn.CONCAT("D_E_",C549))=1), "C", "")</f>
        <v>#VALUE!</v>
      </c>
      <c r="E549" t="e">
        <f t="shared" ca="1" si="18"/>
        <v>#VALUE!</v>
      </c>
      <c r="F549" t="e">
        <f t="shared" ca="1" si="19"/>
        <v>#VALUE!</v>
      </c>
      <c r="G549" t="e">
        <f t="shared" ca="1" si="20"/>
        <v>#VALUE!</v>
      </c>
    </row>
    <row r="550" spans="1:7" x14ac:dyDescent="0.25">
      <c r="A550" s="1"/>
      <c r="D550" t="e" cm="1">
        <f t="array" aca="1" ref="D550" ca="1">IF(OR(COUNTIF(damper_names,_xlfn.CONCAT("D_S_",C550))=1, COUNTIF(damper_names,_xlfn.CONCAT("D_E_",C550))=1), "C", "")</f>
        <v>#VALUE!</v>
      </c>
      <c r="E550" t="e">
        <f t="shared" ca="1" si="18"/>
        <v>#VALUE!</v>
      </c>
      <c r="F550" t="e">
        <f t="shared" ca="1" si="19"/>
        <v>#VALUE!</v>
      </c>
      <c r="G550" t="e">
        <f t="shared" ca="1" si="20"/>
        <v>#VALUE!</v>
      </c>
    </row>
    <row r="551" spans="1:7" x14ac:dyDescent="0.25">
      <c r="A551" s="1"/>
      <c r="D551" t="e" cm="1">
        <f t="array" aca="1" ref="D551" ca="1">IF(OR(COUNTIF(damper_names,_xlfn.CONCAT("D_S_",C551))=1, COUNTIF(damper_names,_xlfn.CONCAT("D_E_",C551))=1), "C", "")</f>
        <v>#VALUE!</v>
      </c>
      <c r="E551" t="e">
        <f t="shared" ca="1" si="18"/>
        <v>#VALUE!</v>
      </c>
      <c r="F551" t="e">
        <f t="shared" ca="1" si="19"/>
        <v>#VALUE!</v>
      </c>
      <c r="G551" t="e">
        <f t="shared" ca="1" si="20"/>
        <v>#VALUE!</v>
      </c>
    </row>
    <row r="552" spans="1:7" x14ac:dyDescent="0.25">
      <c r="A552" s="1"/>
      <c r="D552" t="e" cm="1">
        <f t="array" aca="1" ref="D552" ca="1">IF(OR(COUNTIF(damper_names,_xlfn.CONCAT("D_S_",C552))=1, COUNTIF(damper_names,_xlfn.CONCAT("D_E_",C552))=1), "C", "")</f>
        <v>#VALUE!</v>
      </c>
      <c r="E552" t="e">
        <f t="shared" ca="1" si="18"/>
        <v>#VALUE!</v>
      </c>
      <c r="F552" t="e">
        <f t="shared" ca="1" si="19"/>
        <v>#VALUE!</v>
      </c>
      <c r="G552" t="e">
        <f t="shared" ca="1" si="20"/>
        <v>#VALUE!</v>
      </c>
    </row>
    <row r="553" spans="1:7" x14ac:dyDescent="0.25">
      <c r="A553" s="1"/>
      <c r="D553" t="e" cm="1">
        <f t="array" aca="1" ref="D553" ca="1">IF(OR(COUNTIF(damper_names,_xlfn.CONCAT("D_S_",C553))=1, COUNTIF(damper_names,_xlfn.CONCAT("D_E_",C553))=1), "C", "")</f>
        <v>#VALUE!</v>
      </c>
      <c r="E553" t="e">
        <f t="shared" ca="1" si="18"/>
        <v>#VALUE!</v>
      </c>
      <c r="F553" t="e">
        <f t="shared" ca="1" si="19"/>
        <v>#VALUE!</v>
      </c>
      <c r="G553" t="e">
        <f t="shared" ca="1" si="20"/>
        <v>#VALUE!</v>
      </c>
    </row>
    <row r="554" spans="1:7" x14ac:dyDescent="0.25">
      <c r="A554" s="1"/>
      <c r="D554" t="e" cm="1">
        <f t="array" aca="1" ref="D554" ca="1">IF(OR(COUNTIF(damper_names,_xlfn.CONCAT("D_S_",C554))=1, COUNTIF(damper_names,_xlfn.CONCAT("D_E_",C554))=1), "C", "")</f>
        <v>#VALUE!</v>
      </c>
      <c r="E554" t="e">
        <f t="shared" ca="1" si="18"/>
        <v>#VALUE!</v>
      </c>
      <c r="F554" t="e">
        <f t="shared" ca="1" si="19"/>
        <v>#VALUE!</v>
      </c>
      <c r="G554" t="e">
        <f t="shared" ca="1" si="20"/>
        <v>#VALUE!</v>
      </c>
    </row>
    <row r="555" spans="1:7" x14ac:dyDescent="0.25">
      <c r="A555" s="1"/>
      <c r="D555" t="e" cm="1">
        <f t="array" aca="1" ref="D555" ca="1">IF(OR(COUNTIF(damper_names,_xlfn.CONCAT("D_S_",C555))=1, COUNTIF(damper_names,_xlfn.CONCAT("D_E_",C555))=1), "C", "")</f>
        <v>#VALUE!</v>
      </c>
      <c r="E555" t="e">
        <f t="shared" ca="1" si="18"/>
        <v>#VALUE!</v>
      </c>
      <c r="F555" t="e">
        <f t="shared" ca="1" si="19"/>
        <v>#VALUE!</v>
      </c>
      <c r="G555" t="e">
        <f t="shared" ca="1" si="20"/>
        <v>#VALUE!</v>
      </c>
    </row>
    <row r="556" spans="1:7" x14ac:dyDescent="0.25">
      <c r="A556" s="1"/>
      <c r="D556" t="e" cm="1">
        <f t="array" aca="1" ref="D556" ca="1">IF(OR(COUNTIF(damper_names,_xlfn.CONCAT("D_S_",C556))=1, COUNTIF(damper_names,_xlfn.CONCAT("D_E_",C556))=1), "C", "")</f>
        <v>#VALUE!</v>
      </c>
      <c r="E556" t="e">
        <f t="shared" ca="1" si="18"/>
        <v>#VALUE!</v>
      </c>
      <c r="F556" t="e">
        <f t="shared" ca="1" si="19"/>
        <v>#VALUE!</v>
      </c>
      <c r="G556" t="e">
        <f t="shared" ca="1" si="20"/>
        <v>#VALUE!</v>
      </c>
    </row>
    <row r="557" spans="1:7" x14ac:dyDescent="0.25">
      <c r="A557" s="1"/>
      <c r="D557" t="e" cm="1">
        <f t="array" aca="1" ref="D557" ca="1">IF(OR(COUNTIF(damper_names,_xlfn.CONCAT("D_S_",C557))=1, COUNTIF(damper_names,_xlfn.CONCAT("D_E_",C557))=1), "C", "")</f>
        <v>#VALUE!</v>
      </c>
      <c r="E557" t="e">
        <f t="shared" ca="1" si="18"/>
        <v>#VALUE!</v>
      </c>
      <c r="F557" t="e">
        <f t="shared" ca="1" si="19"/>
        <v>#VALUE!</v>
      </c>
      <c r="G557" t="e">
        <f t="shared" ca="1" si="20"/>
        <v>#VALUE!</v>
      </c>
    </row>
    <row r="558" spans="1:7" x14ac:dyDescent="0.25">
      <c r="A558" s="1"/>
      <c r="D558" t="e" cm="1">
        <f t="array" aca="1" ref="D558" ca="1">IF(OR(COUNTIF(damper_names,_xlfn.CONCAT("D_S_",C558))=1, COUNTIF(damper_names,_xlfn.CONCAT("D_E_",C558))=1), "C", "")</f>
        <v>#VALUE!</v>
      </c>
      <c r="E558" t="e">
        <f t="shared" ca="1" si="18"/>
        <v>#VALUE!</v>
      </c>
      <c r="F558" t="e">
        <f t="shared" ca="1" si="19"/>
        <v>#VALUE!</v>
      </c>
      <c r="G558" t="e">
        <f t="shared" ca="1" si="20"/>
        <v>#VALUE!</v>
      </c>
    </row>
    <row r="559" spans="1:7" x14ac:dyDescent="0.25">
      <c r="A559" s="1"/>
      <c r="D559" t="e" cm="1">
        <f t="array" aca="1" ref="D559" ca="1">IF(OR(COUNTIF(damper_names,_xlfn.CONCAT("D_S_",C559))=1, COUNTIF(damper_names,_xlfn.CONCAT("D_E_",C559))=1), "C", "")</f>
        <v>#VALUE!</v>
      </c>
      <c r="E559" t="e">
        <f t="shared" ca="1" si="18"/>
        <v>#VALUE!</v>
      </c>
      <c r="F559" t="e">
        <f t="shared" ca="1" si="19"/>
        <v>#VALUE!</v>
      </c>
      <c r="G559" t="e">
        <f t="shared" ca="1" si="20"/>
        <v>#VALUE!</v>
      </c>
    </row>
    <row r="560" spans="1:7" x14ac:dyDescent="0.25">
      <c r="A560" s="1"/>
      <c r="D560" t="e" cm="1">
        <f t="array" aca="1" ref="D560" ca="1">IF(OR(COUNTIF(damper_names,_xlfn.CONCAT("D_S_",C560))=1, COUNTIF(damper_names,_xlfn.CONCAT("D_E_",C560))=1), "C", "")</f>
        <v>#VALUE!</v>
      </c>
      <c r="E560" t="e">
        <f t="shared" ca="1" si="18"/>
        <v>#VALUE!</v>
      </c>
      <c r="F560" t="e">
        <f t="shared" ca="1" si="19"/>
        <v>#VALUE!</v>
      </c>
      <c r="G560" t="e">
        <f t="shared" ca="1" si="20"/>
        <v>#VALUE!</v>
      </c>
    </row>
    <row r="561" spans="1:7" x14ac:dyDescent="0.25">
      <c r="A561" s="1"/>
      <c r="D561" t="e" cm="1">
        <f t="array" aca="1" ref="D561" ca="1">IF(OR(COUNTIF(damper_names,_xlfn.CONCAT("D_S_",C561))=1, COUNTIF(damper_names,_xlfn.CONCAT("D_E_",C561))=1), "C", "")</f>
        <v>#VALUE!</v>
      </c>
      <c r="E561" t="e">
        <f t="shared" ca="1" si="18"/>
        <v>#VALUE!</v>
      </c>
      <c r="F561" t="e">
        <f t="shared" ca="1" si="19"/>
        <v>#VALUE!</v>
      </c>
      <c r="G561" t="e">
        <f t="shared" ca="1" si="20"/>
        <v>#VALUE!</v>
      </c>
    </row>
    <row r="562" spans="1:7" x14ac:dyDescent="0.25">
      <c r="A562" s="1"/>
      <c r="D562" t="e" cm="1">
        <f t="array" aca="1" ref="D562" ca="1">IF(OR(COUNTIF(damper_names,_xlfn.CONCAT("D_S_",C562))=1, COUNTIF(damper_names,_xlfn.CONCAT("D_E_",C562))=1), "C", "")</f>
        <v>#VALUE!</v>
      </c>
      <c r="E562" t="e">
        <f t="shared" ca="1" si="18"/>
        <v>#VALUE!</v>
      </c>
      <c r="F562" t="e">
        <f t="shared" ca="1" si="19"/>
        <v>#VALUE!</v>
      </c>
      <c r="G562" t="e">
        <f t="shared" ca="1" si="20"/>
        <v>#VALUE!</v>
      </c>
    </row>
    <row r="563" spans="1:7" x14ac:dyDescent="0.25">
      <c r="A563" s="1"/>
      <c r="D563" t="e" cm="1">
        <f t="array" aca="1" ref="D563" ca="1">IF(OR(COUNTIF(damper_names,_xlfn.CONCAT("D_S_",C563))=1, COUNTIF(damper_names,_xlfn.CONCAT("D_E_",C563))=1), "C", "")</f>
        <v>#VALUE!</v>
      </c>
      <c r="E563" t="e">
        <f t="shared" ca="1" si="18"/>
        <v>#VALUE!</v>
      </c>
      <c r="F563" t="e">
        <f t="shared" ca="1" si="19"/>
        <v>#VALUE!</v>
      </c>
      <c r="G563" t="e">
        <f t="shared" ca="1" si="20"/>
        <v>#VALUE!</v>
      </c>
    </row>
    <row r="564" spans="1:7" x14ac:dyDescent="0.25">
      <c r="A564" s="1"/>
      <c r="D564" t="e" cm="1">
        <f t="array" aca="1" ref="D564" ca="1">IF(OR(COUNTIF(damper_names,_xlfn.CONCAT("D_S_",C564))=1, COUNTIF(damper_names,_xlfn.CONCAT("D_E_",C564))=1), "C", "")</f>
        <v>#VALUE!</v>
      </c>
      <c r="E564" t="e">
        <f t="shared" ca="1" si="18"/>
        <v>#VALUE!</v>
      </c>
      <c r="F564" t="e">
        <f t="shared" ca="1" si="19"/>
        <v>#VALUE!</v>
      </c>
      <c r="G564" t="e">
        <f t="shared" ca="1" si="20"/>
        <v>#VALUE!</v>
      </c>
    </row>
    <row r="565" spans="1:7" x14ac:dyDescent="0.25">
      <c r="A565" s="1"/>
      <c r="D565" t="e" cm="1">
        <f t="array" aca="1" ref="D565" ca="1">IF(OR(COUNTIF(damper_names,_xlfn.CONCAT("D_S_",C565))=1, COUNTIF(damper_names,_xlfn.CONCAT("D_E_",C565))=1), "C", "")</f>
        <v>#VALUE!</v>
      </c>
      <c r="E565" t="e">
        <f t="shared" ca="1" si="18"/>
        <v>#VALUE!</v>
      </c>
      <c r="F565" t="e">
        <f t="shared" ca="1" si="19"/>
        <v>#VALUE!</v>
      </c>
      <c r="G565" t="e">
        <f t="shared" ca="1" si="20"/>
        <v>#VALUE!</v>
      </c>
    </row>
    <row r="566" spans="1:7" x14ac:dyDescent="0.25">
      <c r="A566" s="1"/>
      <c r="D566" t="e" cm="1">
        <f t="array" aca="1" ref="D566" ca="1">IF(OR(COUNTIF(damper_names,_xlfn.CONCAT("D_S_",C566))=1, COUNTIF(damper_names,_xlfn.CONCAT("D_E_",C566))=1), "C", "")</f>
        <v>#VALUE!</v>
      </c>
      <c r="E566" t="e">
        <f t="shared" ca="1" si="18"/>
        <v>#VALUE!</v>
      </c>
      <c r="F566" t="e">
        <f t="shared" ca="1" si="19"/>
        <v>#VALUE!</v>
      </c>
      <c r="G566" t="e">
        <f t="shared" ca="1" si="20"/>
        <v>#VALUE!</v>
      </c>
    </row>
    <row r="567" spans="1:7" x14ac:dyDescent="0.25">
      <c r="A567" s="1"/>
      <c r="D567" t="e" cm="1">
        <f t="array" aca="1" ref="D567" ca="1">IF(OR(COUNTIF(damper_names,_xlfn.CONCAT("D_S_",C567))=1, COUNTIF(damper_names,_xlfn.CONCAT("D_E_",C567))=1), "C", "")</f>
        <v>#VALUE!</v>
      </c>
      <c r="E567" t="e">
        <f t="shared" ca="1" si="18"/>
        <v>#VALUE!</v>
      </c>
      <c r="F567" t="e">
        <f t="shared" ca="1" si="19"/>
        <v>#VALUE!</v>
      </c>
      <c r="G567" t="e">
        <f t="shared" ca="1" si="20"/>
        <v>#VALUE!</v>
      </c>
    </row>
    <row r="568" spans="1:7" x14ac:dyDescent="0.25">
      <c r="A568" s="1"/>
      <c r="D568" t="e" cm="1">
        <f t="array" aca="1" ref="D568" ca="1">IF(OR(COUNTIF(damper_names,_xlfn.CONCAT("D_S_",C568))=1, COUNTIF(damper_names,_xlfn.CONCAT("D_E_",C568))=1), "C", "")</f>
        <v>#VALUE!</v>
      </c>
      <c r="E568" t="e">
        <f t="shared" ca="1" si="18"/>
        <v>#VALUE!</v>
      </c>
      <c r="F568" t="e">
        <f t="shared" ca="1" si="19"/>
        <v>#VALUE!</v>
      </c>
      <c r="G568" t="e">
        <f t="shared" ca="1" si="20"/>
        <v>#VALUE!</v>
      </c>
    </row>
    <row r="569" spans="1:7" x14ac:dyDescent="0.25">
      <c r="A569" s="1"/>
      <c r="D569" t="e" cm="1">
        <f t="array" aca="1" ref="D569" ca="1">IF(OR(COUNTIF(damper_names,_xlfn.CONCAT("D_S_",C569))=1, COUNTIF(damper_names,_xlfn.CONCAT("D_E_",C569))=1), "C", "")</f>
        <v>#VALUE!</v>
      </c>
      <c r="E569" t="e">
        <f t="shared" ca="1" si="18"/>
        <v>#VALUE!</v>
      </c>
      <c r="F569" t="e">
        <f t="shared" ca="1" si="19"/>
        <v>#VALUE!</v>
      </c>
      <c r="G569" t="e">
        <f t="shared" ca="1" si="20"/>
        <v>#VALUE!</v>
      </c>
    </row>
    <row r="570" spans="1:7" x14ac:dyDescent="0.25">
      <c r="A570" s="1"/>
      <c r="D570" t="e" cm="1">
        <f t="array" aca="1" ref="D570" ca="1">IF(OR(COUNTIF(damper_names,_xlfn.CONCAT("D_S_",C570))=1, COUNTIF(damper_names,_xlfn.CONCAT("D_E_",C570))=1), "C", "")</f>
        <v>#VALUE!</v>
      </c>
      <c r="E570" t="e">
        <f t="shared" ca="1" si="18"/>
        <v>#VALUE!</v>
      </c>
      <c r="F570" t="e">
        <f t="shared" ca="1" si="19"/>
        <v>#VALUE!</v>
      </c>
      <c r="G570" t="e">
        <f t="shared" ca="1" si="20"/>
        <v>#VALUE!</v>
      </c>
    </row>
    <row r="571" spans="1:7" x14ac:dyDescent="0.25">
      <c r="A571" s="1"/>
      <c r="D571" t="e" cm="1">
        <f t="array" aca="1" ref="D571" ca="1">IF(OR(COUNTIF(damper_names,_xlfn.CONCAT("D_S_",C571))=1, COUNTIF(damper_names,_xlfn.CONCAT("D_E_",C571))=1), "C", "")</f>
        <v>#VALUE!</v>
      </c>
      <c r="E571" t="e">
        <f t="shared" ca="1" si="18"/>
        <v>#VALUE!</v>
      </c>
      <c r="F571" t="e">
        <f t="shared" ca="1" si="19"/>
        <v>#VALUE!</v>
      </c>
      <c r="G571" t="e">
        <f t="shared" ca="1" si="20"/>
        <v>#VALUE!</v>
      </c>
    </row>
    <row r="572" spans="1:7" x14ac:dyDescent="0.25">
      <c r="A572" s="1"/>
      <c r="D572" t="e" cm="1">
        <f t="array" aca="1" ref="D572" ca="1">IF(OR(COUNTIF(damper_names,_xlfn.CONCAT("D_S_",C572))=1, COUNTIF(damper_names,_xlfn.CONCAT("D_E_",C572))=1), "C", "")</f>
        <v>#VALUE!</v>
      </c>
      <c r="E572" t="e">
        <f t="shared" ca="1" si="18"/>
        <v>#VALUE!</v>
      </c>
      <c r="F572" t="e">
        <f t="shared" ca="1" si="19"/>
        <v>#VALUE!</v>
      </c>
      <c r="G572" t="e">
        <f t="shared" ca="1" si="20"/>
        <v>#VALUE!</v>
      </c>
    </row>
    <row r="573" spans="1:7" x14ac:dyDescent="0.25">
      <c r="A573" s="1"/>
      <c r="D573" t="e" cm="1">
        <f t="array" aca="1" ref="D573" ca="1">IF(OR(COUNTIF(damper_names,_xlfn.CONCAT("D_S_",C573))=1, COUNTIF(damper_names,_xlfn.CONCAT("D_E_",C573))=1), "C", "")</f>
        <v>#VALUE!</v>
      </c>
      <c r="E573" t="e">
        <f t="shared" ca="1" si="18"/>
        <v>#VALUE!</v>
      </c>
      <c r="F573" t="e">
        <f t="shared" ca="1" si="19"/>
        <v>#VALUE!</v>
      </c>
      <c r="G573" t="e">
        <f t="shared" ca="1" si="20"/>
        <v>#VALUE!</v>
      </c>
    </row>
    <row r="574" spans="1:7" x14ac:dyDescent="0.25">
      <c r="A574" s="1"/>
      <c r="D574" t="e" cm="1">
        <f t="array" aca="1" ref="D574" ca="1">IF(OR(COUNTIF(damper_names,_xlfn.CONCAT("D_S_",C574))=1, COUNTIF(damper_names,_xlfn.CONCAT("D_E_",C574))=1), "C", "")</f>
        <v>#VALUE!</v>
      </c>
      <c r="E574" t="e">
        <f t="shared" ca="1" si="18"/>
        <v>#VALUE!</v>
      </c>
      <c r="F574" t="e">
        <f t="shared" ca="1" si="19"/>
        <v>#VALUE!</v>
      </c>
      <c r="G574" t="e">
        <f t="shared" ca="1" si="20"/>
        <v>#VALUE!</v>
      </c>
    </row>
    <row r="575" spans="1:7" x14ac:dyDescent="0.25">
      <c r="A575" s="1"/>
      <c r="D575" t="e" cm="1">
        <f t="array" aca="1" ref="D575" ca="1">IF(OR(COUNTIF(damper_names,_xlfn.CONCAT("D_S_",C575))=1, COUNTIF(damper_names,_xlfn.CONCAT("D_E_",C575))=1), "C", "")</f>
        <v>#VALUE!</v>
      </c>
      <c r="E575" t="e">
        <f t="shared" ca="1" si="18"/>
        <v>#VALUE!</v>
      </c>
      <c r="F575" t="e">
        <f t="shared" ca="1" si="19"/>
        <v>#VALUE!</v>
      </c>
      <c r="G575" t="e">
        <f t="shared" ca="1" si="20"/>
        <v>#VALUE!</v>
      </c>
    </row>
    <row r="576" spans="1:7" x14ac:dyDescent="0.25">
      <c r="A576" s="1"/>
      <c r="D576" t="e" cm="1">
        <f t="array" aca="1" ref="D576" ca="1">IF(OR(COUNTIF(damper_names,_xlfn.CONCAT("D_S_",C576))=1, COUNTIF(damper_names,_xlfn.CONCAT("D_E_",C576))=1), "C", "")</f>
        <v>#VALUE!</v>
      </c>
      <c r="E576" t="e">
        <f t="shared" ca="1" si="18"/>
        <v>#VALUE!</v>
      </c>
      <c r="F576" t="e">
        <f t="shared" ca="1" si="19"/>
        <v>#VALUE!</v>
      </c>
      <c r="G576" t="e">
        <f t="shared" ca="1" si="20"/>
        <v>#VALUE!</v>
      </c>
    </row>
    <row r="577" spans="1:7" x14ac:dyDescent="0.25">
      <c r="A577" s="1"/>
      <c r="D577" t="e" cm="1">
        <f t="array" aca="1" ref="D577" ca="1">IF(OR(COUNTIF(damper_names,_xlfn.CONCAT("D_S_",C577))=1, COUNTIF(damper_names,_xlfn.CONCAT("D_E_",C577))=1), "C", "")</f>
        <v>#VALUE!</v>
      </c>
      <c r="E577" t="e">
        <f t="shared" ca="1" si="18"/>
        <v>#VALUE!</v>
      </c>
      <c r="F577" t="e">
        <f t="shared" ca="1" si="19"/>
        <v>#VALUE!</v>
      </c>
      <c r="G577" t="e">
        <f t="shared" ca="1" si="20"/>
        <v>#VALUE!</v>
      </c>
    </row>
    <row r="578" spans="1:7" x14ac:dyDescent="0.25">
      <c r="A578" s="1"/>
      <c r="D578" t="e" cm="1">
        <f t="array" aca="1" ref="D578" ca="1">IF(OR(COUNTIF(damper_names,_xlfn.CONCAT("D_S_",C578))=1, COUNTIF(damper_names,_xlfn.CONCAT("D_E_",C578))=1), "C", "")</f>
        <v>#VALUE!</v>
      </c>
      <c r="E578" t="e">
        <f t="shared" ca="1" si="18"/>
        <v>#VALUE!</v>
      </c>
      <c r="F578" t="e">
        <f t="shared" ca="1" si="19"/>
        <v>#VALUE!</v>
      </c>
      <c r="G578" t="e">
        <f t="shared" ca="1" si="20"/>
        <v>#VALUE!</v>
      </c>
    </row>
    <row r="579" spans="1:7" x14ac:dyDescent="0.25">
      <c r="A579" s="1"/>
      <c r="D579" t="e" cm="1">
        <f t="array" aca="1" ref="D579" ca="1">IF(OR(COUNTIF(damper_names,_xlfn.CONCAT("D_S_",C579))=1, COUNTIF(damper_names,_xlfn.CONCAT("D_E_",C579))=1), "C", "")</f>
        <v>#VALUE!</v>
      </c>
      <c r="E579" t="e">
        <f t="shared" ca="1" si="18"/>
        <v>#VALUE!</v>
      </c>
      <c r="F579" t="e">
        <f t="shared" ca="1" si="19"/>
        <v>#VALUE!</v>
      </c>
      <c r="G579" t="e">
        <f t="shared" ca="1" si="20"/>
        <v>#VALUE!</v>
      </c>
    </row>
    <row r="580" spans="1:7" x14ac:dyDescent="0.25">
      <c r="A580" s="1"/>
      <c r="D580" t="e" cm="1">
        <f t="array" aca="1" ref="D580" ca="1">IF(OR(COUNTIF(damper_names,_xlfn.CONCAT("D_S_",C580))=1, COUNTIF(damper_names,_xlfn.CONCAT("D_E_",C580))=1), "C", "")</f>
        <v>#VALUE!</v>
      </c>
      <c r="E580" t="e">
        <f t="shared" ca="1" si="18"/>
        <v>#VALUE!</v>
      </c>
      <c r="F580" t="e">
        <f t="shared" ca="1" si="19"/>
        <v>#VALUE!</v>
      </c>
      <c r="G580" t="e">
        <f t="shared" ca="1" si="20"/>
        <v>#VALUE!</v>
      </c>
    </row>
    <row r="581" spans="1:7" x14ac:dyDescent="0.25">
      <c r="A581" s="1"/>
      <c r="D581" t="e" cm="1">
        <f t="array" aca="1" ref="D581" ca="1">IF(OR(COUNTIF(damper_names,_xlfn.CONCAT("D_S_",C581))=1, COUNTIF(damper_names,_xlfn.CONCAT("D_E_",C581))=1), "C", "")</f>
        <v>#VALUE!</v>
      </c>
      <c r="E581" t="e">
        <f t="shared" ca="1" si="18"/>
        <v>#VALUE!</v>
      </c>
      <c r="F581" t="e">
        <f t="shared" ca="1" si="19"/>
        <v>#VALUE!</v>
      </c>
      <c r="G581" t="e">
        <f t="shared" ca="1" si="20"/>
        <v>#VALUE!</v>
      </c>
    </row>
    <row r="582" spans="1:7" x14ac:dyDescent="0.25">
      <c r="A582" s="1"/>
      <c r="D582" t="e" cm="1">
        <f t="array" aca="1" ref="D582" ca="1">IF(OR(COUNTIF(damper_names,_xlfn.CONCAT("D_S_",C582))=1, COUNTIF(damper_names,_xlfn.CONCAT("D_E_",C582))=1), "C", "")</f>
        <v>#VALUE!</v>
      </c>
      <c r="E582" t="e">
        <f t="shared" ca="1" si="18"/>
        <v>#VALUE!</v>
      </c>
      <c r="F582" t="e">
        <f t="shared" ca="1" si="19"/>
        <v>#VALUE!</v>
      </c>
      <c r="G582" t="e">
        <f t="shared" ca="1" si="20"/>
        <v>#VALUE!</v>
      </c>
    </row>
    <row r="583" spans="1:7" x14ac:dyDescent="0.25">
      <c r="A583" s="1"/>
      <c r="D583" t="e" cm="1">
        <f t="array" aca="1" ref="D583" ca="1">IF(OR(COUNTIF(damper_names,_xlfn.CONCAT("D_S_",C583))=1, COUNTIF(damper_names,_xlfn.CONCAT("D_E_",C583))=1), "C", "")</f>
        <v>#VALUE!</v>
      </c>
      <c r="E583" t="e">
        <f t="shared" ref="E583:E646" ca="1" si="21">IF(D583="T", 0.05, IF(D583="C", -0.01, ""))</f>
        <v>#VALUE!</v>
      </c>
      <c r="F583" t="e">
        <f t="shared" ref="F583:F646" ca="1" si="22">IF(D583="T", 0.05, IF(D583="C", 0, ""))</f>
        <v>#VALUE!</v>
      </c>
      <c r="G583" t="e">
        <f t="shared" ref="G583:G646" ca="1" si="23">IF(D583="T", 0, IF(D583="C", 0, ""))</f>
        <v>#VALUE!</v>
      </c>
    </row>
    <row r="584" spans="1:7" x14ac:dyDescent="0.25">
      <c r="A584" s="1"/>
      <c r="D584" t="e" cm="1">
        <f t="array" aca="1" ref="D584" ca="1">IF(OR(COUNTIF(damper_names,_xlfn.CONCAT("D_S_",C584))=1, COUNTIF(damper_names,_xlfn.CONCAT("D_E_",C584))=1), "C", "")</f>
        <v>#VALUE!</v>
      </c>
      <c r="E584" t="e">
        <f t="shared" ca="1" si="21"/>
        <v>#VALUE!</v>
      </c>
      <c r="F584" t="e">
        <f t="shared" ca="1" si="22"/>
        <v>#VALUE!</v>
      </c>
      <c r="G584" t="e">
        <f t="shared" ca="1" si="23"/>
        <v>#VALUE!</v>
      </c>
    </row>
    <row r="585" spans="1:7" x14ac:dyDescent="0.25">
      <c r="A585" s="1"/>
      <c r="D585" t="e" cm="1">
        <f t="array" aca="1" ref="D585" ca="1">IF(OR(COUNTIF(damper_names,_xlfn.CONCAT("D_S_",C585))=1, COUNTIF(damper_names,_xlfn.CONCAT("D_E_",C585))=1), "C", "")</f>
        <v>#VALUE!</v>
      </c>
      <c r="E585" t="e">
        <f t="shared" ca="1" si="21"/>
        <v>#VALUE!</v>
      </c>
      <c r="F585" t="e">
        <f t="shared" ca="1" si="22"/>
        <v>#VALUE!</v>
      </c>
      <c r="G585" t="e">
        <f t="shared" ca="1" si="23"/>
        <v>#VALUE!</v>
      </c>
    </row>
    <row r="586" spans="1:7" x14ac:dyDescent="0.25">
      <c r="A586" s="1"/>
      <c r="D586" t="e" cm="1">
        <f t="array" aca="1" ref="D586" ca="1">IF(OR(COUNTIF(damper_names,_xlfn.CONCAT("D_S_",C586))=1, COUNTIF(damper_names,_xlfn.CONCAT("D_E_",C586))=1), "C", "")</f>
        <v>#VALUE!</v>
      </c>
      <c r="E586" t="e">
        <f t="shared" ca="1" si="21"/>
        <v>#VALUE!</v>
      </c>
      <c r="F586" t="e">
        <f t="shared" ca="1" si="22"/>
        <v>#VALUE!</v>
      </c>
      <c r="G586" t="e">
        <f t="shared" ca="1" si="23"/>
        <v>#VALUE!</v>
      </c>
    </row>
    <row r="587" spans="1:7" x14ac:dyDescent="0.25">
      <c r="A587" s="1"/>
      <c r="D587" t="e" cm="1">
        <f t="array" aca="1" ref="D587" ca="1">IF(OR(COUNTIF(damper_names,_xlfn.CONCAT("D_S_",C587))=1, COUNTIF(damper_names,_xlfn.CONCAT("D_E_",C587))=1), "C", "")</f>
        <v>#VALUE!</v>
      </c>
      <c r="E587" t="e">
        <f t="shared" ca="1" si="21"/>
        <v>#VALUE!</v>
      </c>
      <c r="F587" t="e">
        <f t="shared" ca="1" si="22"/>
        <v>#VALUE!</v>
      </c>
      <c r="G587" t="e">
        <f t="shared" ca="1" si="23"/>
        <v>#VALUE!</v>
      </c>
    </row>
    <row r="588" spans="1:7" x14ac:dyDescent="0.25">
      <c r="A588" s="1"/>
      <c r="D588" t="e" cm="1">
        <f t="array" aca="1" ref="D588" ca="1">IF(OR(COUNTIF(damper_names,_xlfn.CONCAT("D_S_",C588))=1, COUNTIF(damper_names,_xlfn.CONCAT("D_E_",C588))=1), "C", "")</f>
        <v>#VALUE!</v>
      </c>
      <c r="E588" t="e">
        <f t="shared" ca="1" si="21"/>
        <v>#VALUE!</v>
      </c>
      <c r="F588" t="e">
        <f t="shared" ca="1" si="22"/>
        <v>#VALUE!</v>
      </c>
      <c r="G588" t="e">
        <f t="shared" ca="1" si="23"/>
        <v>#VALUE!</v>
      </c>
    </row>
    <row r="589" spans="1:7" x14ac:dyDescent="0.25">
      <c r="A589" s="1"/>
      <c r="D589" t="e" cm="1">
        <f t="array" aca="1" ref="D589" ca="1">IF(OR(COUNTIF(damper_names,_xlfn.CONCAT("D_S_",C589))=1, COUNTIF(damper_names,_xlfn.CONCAT("D_E_",C589))=1), "C", "")</f>
        <v>#VALUE!</v>
      </c>
      <c r="E589" t="e">
        <f t="shared" ca="1" si="21"/>
        <v>#VALUE!</v>
      </c>
      <c r="F589" t="e">
        <f t="shared" ca="1" si="22"/>
        <v>#VALUE!</v>
      </c>
      <c r="G589" t="e">
        <f t="shared" ca="1" si="23"/>
        <v>#VALUE!</v>
      </c>
    </row>
    <row r="590" spans="1:7" x14ac:dyDescent="0.25">
      <c r="A590" s="1"/>
      <c r="D590" t="e" cm="1">
        <f t="array" aca="1" ref="D590" ca="1">IF(OR(COUNTIF(damper_names,_xlfn.CONCAT("D_S_",C590))=1, COUNTIF(damper_names,_xlfn.CONCAT("D_E_",C590))=1), "C", "")</f>
        <v>#VALUE!</v>
      </c>
      <c r="E590" t="e">
        <f t="shared" ca="1" si="21"/>
        <v>#VALUE!</v>
      </c>
      <c r="F590" t="e">
        <f t="shared" ca="1" si="22"/>
        <v>#VALUE!</v>
      </c>
      <c r="G590" t="e">
        <f t="shared" ca="1" si="23"/>
        <v>#VALUE!</v>
      </c>
    </row>
    <row r="591" spans="1:7" x14ac:dyDescent="0.25">
      <c r="A591" s="1"/>
      <c r="D591" t="e" cm="1">
        <f t="array" aca="1" ref="D591" ca="1">IF(OR(COUNTIF(damper_names,_xlfn.CONCAT("D_S_",C591))=1, COUNTIF(damper_names,_xlfn.CONCAT("D_E_",C591))=1), "C", "")</f>
        <v>#VALUE!</v>
      </c>
      <c r="E591" t="e">
        <f t="shared" ca="1" si="21"/>
        <v>#VALUE!</v>
      </c>
      <c r="F591" t="e">
        <f t="shared" ca="1" si="22"/>
        <v>#VALUE!</v>
      </c>
      <c r="G591" t="e">
        <f t="shared" ca="1" si="23"/>
        <v>#VALUE!</v>
      </c>
    </row>
    <row r="592" spans="1:7" x14ac:dyDescent="0.25">
      <c r="A592" s="1"/>
      <c r="D592" t="e" cm="1">
        <f t="array" aca="1" ref="D592" ca="1">IF(OR(COUNTIF(damper_names,_xlfn.CONCAT("D_S_",C592))=1, COUNTIF(damper_names,_xlfn.CONCAT("D_E_",C592))=1), "C", "")</f>
        <v>#VALUE!</v>
      </c>
      <c r="E592" t="e">
        <f t="shared" ca="1" si="21"/>
        <v>#VALUE!</v>
      </c>
      <c r="F592" t="e">
        <f t="shared" ca="1" si="22"/>
        <v>#VALUE!</v>
      </c>
      <c r="G592" t="e">
        <f t="shared" ca="1" si="23"/>
        <v>#VALUE!</v>
      </c>
    </row>
    <row r="593" spans="1:7" x14ac:dyDescent="0.25">
      <c r="A593" s="1"/>
      <c r="D593" t="e" cm="1">
        <f t="array" aca="1" ref="D593" ca="1">IF(OR(COUNTIF(damper_names,_xlfn.CONCAT("D_S_",C593))=1, COUNTIF(damper_names,_xlfn.CONCAT("D_E_",C593))=1), "C", "")</f>
        <v>#VALUE!</v>
      </c>
      <c r="E593" t="e">
        <f t="shared" ca="1" si="21"/>
        <v>#VALUE!</v>
      </c>
      <c r="F593" t="e">
        <f t="shared" ca="1" si="22"/>
        <v>#VALUE!</v>
      </c>
      <c r="G593" t="e">
        <f t="shared" ca="1" si="23"/>
        <v>#VALUE!</v>
      </c>
    </row>
    <row r="594" spans="1:7" x14ac:dyDescent="0.25">
      <c r="A594" s="1"/>
      <c r="D594" t="e" cm="1">
        <f t="array" aca="1" ref="D594" ca="1">IF(OR(COUNTIF(damper_names,_xlfn.CONCAT("D_S_",C594))=1, COUNTIF(damper_names,_xlfn.CONCAT("D_E_",C594))=1), "C", "")</f>
        <v>#VALUE!</v>
      </c>
      <c r="E594" t="e">
        <f t="shared" ca="1" si="21"/>
        <v>#VALUE!</v>
      </c>
      <c r="F594" t="e">
        <f t="shared" ca="1" si="22"/>
        <v>#VALUE!</v>
      </c>
      <c r="G594" t="e">
        <f t="shared" ca="1" si="23"/>
        <v>#VALUE!</v>
      </c>
    </row>
    <row r="595" spans="1:7" x14ac:dyDescent="0.25">
      <c r="A595" s="1"/>
      <c r="D595" t="e" cm="1">
        <f t="array" aca="1" ref="D595" ca="1">IF(OR(COUNTIF(damper_names,_xlfn.CONCAT("D_S_",C595))=1, COUNTIF(damper_names,_xlfn.CONCAT("D_E_",C595))=1), "C", "")</f>
        <v>#VALUE!</v>
      </c>
      <c r="E595" t="e">
        <f t="shared" ca="1" si="21"/>
        <v>#VALUE!</v>
      </c>
      <c r="F595" t="e">
        <f t="shared" ca="1" si="22"/>
        <v>#VALUE!</v>
      </c>
      <c r="G595" t="e">
        <f t="shared" ca="1" si="23"/>
        <v>#VALUE!</v>
      </c>
    </row>
    <row r="596" spans="1:7" x14ac:dyDescent="0.25">
      <c r="A596" s="1"/>
      <c r="D596" t="e" cm="1">
        <f t="array" aca="1" ref="D596" ca="1">IF(OR(COUNTIF(damper_names,_xlfn.CONCAT("D_S_",C596))=1, COUNTIF(damper_names,_xlfn.CONCAT("D_E_",C596))=1), "C", "")</f>
        <v>#VALUE!</v>
      </c>
      <c r="E596" t="e">
        <f t="shared" ca="1" si="21"/>
        <v>#VALUE!</v>
      </c>
      <c r="F596" t="e">
        <f t="shared" ca="1" si="22"/>
        <v>#VALUE!</v>
      </c>
      <c r="G596" t="e">
        <f t="shared" ca="1" si="23"/>
        <v>#VALUE!</v>
      </c>
    </row>
    <row r="597" spans="1:7" x14ac:dyDescent="0.25">
      <c r="A597" s="1"/>
      <c r="D597" t="e" cm="1">
        <f t="array" aca="1" ref="D597" ca="1">IF(OR(COUNTIF(damper_names,_xlfn.CONCAT("D_S_",C597))=1, COUNTIF(damper_names,_xlfn.CONCAT("D_E_",C597))=1), "C", "")</f>
        <v>#VALUE!</v>
      </c>
      <c r="E597" t="e">
        <f t="shared" ca="1" si="21"/>
        <v>#VALUE!</v>
      </c>
      <c r="F597" t="e">
        <f t="shared" ca="1" si="22"/>
        <v>#VALUE!</v>
      </c>
      <c r="G597" t="e">
        <f t="shared" ca="1" si="23"/>
        <v>#VALUE!</v>
      </c>
    </row>
    <row r="598" spans="1:7" x14ac:dyDescent="0.25">
      <c r="A598" s="1"/>
      <c r="D598" t="e" cm="1">
        <f t="array" aca="1" ref="D598" ca="1">IF(OR(COUNTIF(damper_names,_xlfn.CONCAT("D_S_",C598))=1, COUNTIF(damper_names,_xlfn.CONCAT("D_E_",C598))=1), "C", "")</f>
        <v>#VALUE!</v>
      </c>
      <c r="E598" t="e">
        <f t="shared" ca="1" si="21"/>
        <v>#VALUE!</v>
      </c>
      <c r="F598" t="e">
        <f t="shared" ca="1" si="22"/>
        <v>#VALUE!</v>
      </c>
      <c r="G598" t="e">
        <f t="shared" ca="1" si="23"/>
        <v>#VALUE!</v>
      </c>
    </row>
    <row r="599" spans="1:7" x14ac:dyDescent="0.25">
      <c r="A599" s="1"/>
      <c r="D599" t="e" cm="1">
        <f t="array" aca="1" ref="D599" ca="1">IF(OR(COUNTIF(damper_names,_xlfn.CONCAT("D_S_",C599))=1, COUNTIF(damper_names,_xlfn.CONCAT("D_E_",C599))=1), "C", "")</f>
        <v>#VALUE!</v>
      </c>
      <c r="E599" t="e">
        <f t="shared" ca="1" si="21"/>
        <v>#VALUE!</v>
      </c>
      <c r="F599" t="e">
        <f t="shared" ca="1" si="22"/>
        <v>#VALUE!</v>
      </c>
      <c r="G599" t="e">
        <f t="shared" ca="1" si="23"/>
        <v>#VALUE!</v>
      </c>
    </row>
    <row r="600" spans="1:7" x14ac:dyDescent="0.25">
      <c r="A600" s="1"/>
      <c r="D600" t="e" cm="1">
        <f t="array" aca="1" ref="D600" ca="1">IF(OR(COUNTIF(damper_names,_xlfn.CONCAT("D_S_",C600))=1, COUNTIF(damper_names,_xlfn.CONCAT("D_E_",C600))=1), "C", "")</f>
        <v>#VALUE!</v>
      </c>
      <c r="E600" t="e">
        <f t="shared" ca="1" si="21"/>
        <v>#VALUE!</v>
      </c>
      <c r="F600" t="e">
        <f t="shared" ca="1" si="22"/>
        <v>#VALUE!</v>
      </c>
      <c r="G600" t="e">
        <f t="shared" ca="1" si="23"/>
        <v>#VALUE!</v>
      </c>
    </row>
    <row r="601" spans="1:7" x14ac:dyDescent="0.25">
      <c r="A601" s="1"/>
      <c r="D601" t="e" cm="1">
        <f t="array" aca="1" ref="D601" ca="1">IF(OR(COUNTIF(damper_names,_xlfn.CONCAT("D_S_",C601))=1, COUNTIF(damper_names,_xlfn.CONCAT("D_E_",C601))=1), "C", "")</f>
        <v>#VALUE!</v>
      </c>
      <c r="E601" t="e">
        <f t="shared" ca="1" si="21"/>
        <v>#VALUE!</v>
      </c>
      <c r="F601" t="e">
        <f t="shared" ca="1" si="22"/>
        <v>#VALUE!</v>
      </c>
      <c r="G601" t="e">
        <f t="shared" ca="1" si="23"/>
        <v>#VALUE!</v>
      </c>
    </row>
    <row r="602" spans="1:7" x14ac:dyDescent="0.25">
      <c r="A602" s="1"/>
      <c r="D602" t="e" cm="1">
        <f t="array" aca="1" ref="D602" ca="1">IF(OR(COUNTIF(damper_names,_xlfn.CONCAT("D_S_",C602))=1, COUNTIF(damper_names,_xlfn.CONCAT("D_E_",C602))=1), "C", "")</f>
        <v>#VALUE!</v>
      </c>
      <c r="E602" t="e">
        <f t="shared" ca="1" si="21"/>
        <v>#VALUE!</v>
      </c>
      <c r="F602" t="e">
        <f t="shared" ca="1" si="22"/>
        <v>#VALUE!</v>
      </c>
      <c r="G602" t="e">
        <f t="shared" ca="1" si="23"/>
        <v>#VALUE!</v>
      </c>
    </row>
    <row r="603" spans="1:7" x14ac:dyDescent="0.25">
      <c r="A603" s="1"/>
      <c r="D603" t="e" cm="1">
        <f t="array" aca="1" ref="D603" ca="1">IF(OR(COUNTIF(damper_names,_xlfn.CONCAT("D_S_",C603))=1, COUNTIF(damper_names,_xlfn.CONCAT("D_E_",C603))=1), "C", "")</f>
        <v>#VALUE!</v>
      </c>
      <c r="E603" t="e">
        <f t="shared" ca="1" si="21"/>
        <v>#VALUE!</v>
      </c>
      <c r="F603" t="e">
        <f t="shared" ca="1" si="22"/>
        <v>#VALUE!</v>
      </c>
      <c r="G603" t="e">
        <f t="shared" ca="1" si="23"/>
        <v>#VALUE!</v>
      </c>
    </row>
    <row r="604" spans="1:7" x14ac:dyDescent="0.25">
      <c r="A604" s="1"/>
      <c r="D604" t="e" cm="1">
        <f t="array" aca="1" ref="D604" ca="1">IF(OR(COUNTIF(damper_names,_xlfn.CONCAT("D_S_",C604))=1, COUNTIF(damper_names,_xlfn.CONCAT("D_E_",C604))=1), "C", "")</f>
        <v>#VALUE!</v>
      </c>
      <c r="E604" t="e">
        <f t="shared" ca="1" si="21"/>
        <v>#VALUE!</v>
      </c>
      <c r="F604" t="e">
        <f t="shared" ca="1" si="22"/>
        <v>#VALUE!</v>
      </c>
      <c r="G604" t="e">
        <f t="shared" ca="1" si="23"/>
        <v>#VALUE!</v>
      </c>
    </row>
    <row r="605" spans="1:7" x14ac:dyDescent="0.25">
      <c r="A605" s="1"/>
      <c r="D605" t="e" cm="1">
        <f t="array" aca="1" ref="D605" ca="1">IF(OR(COUNTIF(damper_names,_xlfn.CONCAT("D_S_",C605))=1, COUNTIF(damper_names,_xlfn.CONCAT("D_E_",C605))=1), "C", "")</f>
        <v>#VALUE!</v>
      </c>
      <c r="E605" t="e">
        <f t="shared" ca="1" si="21"/>
        <v>#VALUE!</v>
      </c>
      <c r="F605" t="e">
        <f t="shared" ca="1" si="22"/>
        <v>#VALUE!</v>
      </c>
      <c r="G605" t="e">
        <f t="shared" ca="1" si="23"/>
        <v>#VALUE!</v>
      </c>
    </row>
    <row r="606" spans="1:7" x14ac:dyDescent="0.25">
      <c r="A606" s="1"/>
      <c r="D606" t="e" cm="1">
        <f t="array" aca="1" ref="D606" ca="1">IF(OR(COUNTIF(damper_names,_xlfn.CONCAT("D_S_",C606))=1, COUNTIF(damper_names,_xlfn.CONCAT("D_E_",C606))=1), "C", "")</f>
        <v>#VALUE!</v>
      </c>
      <c r="E606" t="e">
        <f t="shared" ca="1" si="21"/>
        <v>#VALUE!</v>
      </c>
      <c r="F606" t="e">
        <f t="shared" ca="1" si="22"/>
        <v>#VALUE!</v>
      </c>
      <c r="G606" t="e">
        <f t="shared" ca="1" si="23"/>
        <v>#VALUE!</v>
      </c>
    </row>
    <row r="607" spans="1:7" x14ac:dyDescent="0.25">
      <c r="A607" s="1"/>
      <c r="D607" t="e" cm="1">
        <f t="array" aca="1" ref="D607" ca="1">IF(OR(COUNTIF(damper_names,_xlfn.CONCAT("D_S_",C607))=1, COUNTIF(damper_names,_xlfn.CONCAT("D_E_",C607))=1), "C", "")</f>
        <v>#VALUE!</v>
      </c>
      <c r="E607" t="e">
        <f t="shared" ca="1" si="21"/>
        <v>#VALUE!</v>
      </c>
      <c r="F607" t="e">
        <f t="shared" ca="1" si="22"/>
        <v>#VALUE!</v>
      </c>
      <c r="G607" t="e">
        <f t="shared" ca="1" si="23"/>
        <v>#VALUE!</v>
      </c>
    </row>
    <row r="608" spans="1:7" x14ac:dyDescent="0.25">
      <c r="A608" s="1"/>
      <c r="D608" t="e" cm="1">
        <f t="array" aca="1" ref="D608" ca="1">IF(OR(COUNTIF(damper_names,_xlfn.CONCAT("D_S_",C608))=1, COUNTIF(damper_names,_xlfn.CONCAT("D_E_",C608))=1), "C", "")</f>
        <v>#VALUE!</v>
      </c>
      <c r="E608" t="e">
        <f t="shared" ca="1" si="21"/>
        <v>#VALUE!</v>
      </c>
      <c r="F608" t="e">
        <f t="shared" ca="1" si="22"/>
        <v>#VALUE!</v>
      </c>
      <c r="G608" t="e">
        <f t="shared" ca="1" si="23"/>
        <v>#VALUE!</v>
      </c>
    </row>
    <row r="609" spans="1:7" x14ac:dyDescent="0.25">
      <c r="A609" s="1"/>
      <c r="D609" t="e" cm="1">
        <f t="array" aca="1" ref="D609" ca="1">IF(OR(COUNTIF(damper_names,_xlfn.CONCAT("D_S_",C609))=1, COUNTIF(damper_names,_xlfn.CONCAT("D_E_",C609))=1), "C", "")</f>
        <v>#VALUE!</v>
      </c>
      <c r="E609" t="e">
        <f t="shared" ca="1" si="21"/>
        <v>#VALUE!</v>
      </c>
      <c r="F609" t="e">
        <f t="shared" ca="1" si="22"/>
        <v>#VALUE!</v>
      </c>
      <c r="G609" t="e">
        <f t="shared" ca="1" si="23"/>
        <v>#VALUE!</v>
      </c>
    </row>
    <row r="610" spans="1:7" x14ac:dyDescent="0.25">
      <c r="A610" s="1"/>
      <c r="D610" t="e" cm="1">
        <f t="array" aca="1" ref="D610" ca="1">IF(OR(COUNTIF(damper_names,_xlfn.CONCAT("D_S_",C610))=1, COUNTIF(damper_names,_xlfn.CONCAT("D_E_",C610))=1), "C", "")</f>
        <v>#VALUE!</v>
      </c>
      <c r="E610" t="e">
        <f t="shared" ca="1" si="21"/>
        <v>#VALUE!</v>
      </c>
      <c r="F610" t="e">
        <f t="shared" ca="1" si="22"/>
        <v>#VALUE!</v>
      </c>
      <c r="G610" t="e">
        <f t="shared" ca="1" si="23"/>
        <v>#VALUE!</v>
      </c>
    </row>
    <row r="611" spans="1:7" x14ac:dyDescent="0.25">
      <c r="A611" s="1"/>
      <c r="D611" t="e" cm="1">
        <f t="array" aca="1" ref="D611" ca="1">IF(OR(COUNTIF(damper_names,_xlfn.CONCAT("D_S_",C611))=1, COUNTIF(damper_names,_xlfn.CONCAT("D_E_",C611))=1), "C", "")</f>
        <v>#VALUE!</v>
      </c>
      <c r="E611" t="e">
        <f t="shared" ca="1" si="21"/>
        <v>#VALUE!</v>
      </c>
      <c r="F611" t="e">
        <f t="shared" ca="1" si="22"/>
        <v>#VALUE!</v>
      </c>
      <c r="G611" t="e">
        <f t="shared" ca="1" si="23"/>
        <v>#VALUE!</v>
      </c>
    </row>
    <row r="612" spans="1:7" x14ac:dyDescent="0.25">
      <c r="A612" s="1"/>
      <c r="D612" t="e" cm="1">
        <f t="array" aca="1" ref="D612" ca="1">IF(OR(COUNTIF(damper_names,_xlfn.CONCAT("D_S_",C612))=1, COUNTIF(damper_names,_xlfn.CONCAT("D_E_",C612))=1), "C", "")</f>
        <v>#VALUE!</v>
      </c>
      <c r="E612" t="e">
        <f t="shared" ca="1" si="21"/>
        <v>#VALUE!</v>
      </c>
      <c r="F612" t="e">
        <f t="shared" ca="1" si="22"/>
        <v>#VALUE!</v>
      </c>
      <c r="G612" t="e">
        <f t="shared" ca="1" si="23"/>
        <v>#VALUE!</v>
      </c>
    </row>
    <row r="613" spans="1:7" x14ac:dyDescent="0.25">
      <c r="A613" s="1"/>
      <c r="D613" t="e" cm="1">
        <f t="array" aca="1" ref="D613" ca="1">IF(OR(COUNTIF(damper_names,_xlfn.CONCAT("D_S_",C613))=1, COUNTIF(damper_names,_xlfn.CONCAT("D_E_",C613))=1), "C", "")</f>
        <v>#VALUE!</v>
      </c>
      <c r="E613" t="e">
        <f t="shared" ca="1" si="21"/>
        <v>#VALUE!</v>
      </c>
      <c r="F613" t="e">
        <f t="shared" ca="1" si="22"/>
        <v>#VALUE!</v>
      </c>
      <c r="G613" t="e">
        <f t="shared" ca="1" si="23"/>
        <v>#VALUE!</v>
      </c>
    </row>
    <row r="614" spans="1:7" x14ac:dyDescent="0.25">
      <c r="A614" s="1"/>
      <c r="D614" t="e" cm="1">
        <f t="array" aca="1" ref="D614" ca="1">IF(OR(COUNTIF(damper_names,_xlfn.CONCAT("D_S_",C614))=1, COUNTIF(damper_names,_xlfn.CONCAT("D_E_",C614))=1), "C", "")</f>
        <v>#VALUE!</v>
      </c>
      <c r="E614" t="e">
        <f t="shared" ca="1" si="21"/>
        <v>#VALUE!</v>
      </c>
      <c r="F614" t="e">
        <f t="shared" ca="1" si="22"/>
        <v>#VALUE!</v>
      </c>
      <c r="G614" t="e">
        <f t="shared" ca="1" si="23"/>
        <v>#VALUE!</v>
      </c>
    </row>
    <row r="615" spans="1:7" x14ac:dyDescent="0.25">
      <c r="A615" s="1"/>
      <c r="D615" t="e" cm="1">
        <f t="array" aca="1" ref="D615" ca="1">IF(OR(COUNTIF(damper_names,_xlfn.CONCAT("D_S_",C615))=1, COUNTIF(damper_names,_xlfn.CONCAT("D_E_",C615))=1), "C", "")</f>
        <v>#VALUE!</v>
      </c>
      <c r="E615" t="e">
        <f t="shared" ca="1" si="21"/>
        <v>#VALUE!</v>
      </c>
      <c r="F615" t="e">
        <f t="shared" ca="1" si="22"/>
        <v>#VALUE!</v>
      </c>
      <c r="G615" t="e">
        <f t="shared" ca="1" si="23"/>
        <v>#VALUE!</v>
      </c>
    </row>
    <row r="616" spans="1:7" x14ac:dyDescent="0.25">
      <c r="A616" s="1"/>
      <c r="D616" t="e" cm="1">
        <f t="array" aca="1" ref="D616" ca="1">IF(OR(COUNTIF(damper_names,_xlfn.CONCAT("D_S_",C616))=1, COUNTIF(damper_names,_xlfn.CONCAT("D_E_",C616))=1), "C", "")</f>
        <v>#VALUE!</v>
      </c>
      <c r="E616" t="e">
        <f t="shared" ca="1" si="21"/>
        <v>#VALUE!</v>
      </c>
      <c r="F616" t="e">
        <f t="shared" ca="1" si="22"/>
        <v>#VALUE!</v>
      </c>
      <c r="G616" t="e">
        <f t="shared" ca="1" si="23"/>
        <v>#VALUE!</v>
      </c>
    </row>
    <row r="617" spans="1:7" x14ac:dyDescent="0.25">
      <c r="A617" s="1"/>
      <c r="D617" t="e" cm="1">
        <f t="array" aca="1" ref="D617" ca="1">IF(OR(COUNTIF(damper_names,_xlfn.CONCAT("D_S_",C617))=1, COUNTIF(damper_names,_xlfn.CONCAT("D_E_",C617))=1), "C", "")</f>
        <v>#VALUE!</v>
      </c>
      <c r="E617" t="e">
        <f t="shared" ca="1" si="21"/>
        <v>#VALUE!</v>
      </c>
      <c r="F617" t="e">
        <f t="shared" ca="1" si="22"/>
        <v>#VALUE!</v>
      </c>
      <c r="G617" t="e">
        <f t="shared" ca="1" si="23"/>
        <v>#VALUE!</v>
      </c>
    </row>
    <row r="618" spans="1:7" x14ac:dyDescent="0.25">
      <c r="A618" s="1"/>
      <c r="D618" t="e" cm="1">
        <f t="array" aca="1" ref="D618" ca="1">IF(OR(COUNTIF(damper_names,_xlfn.CONCAT("D_S_",C618))=1, COUNTIF(damper_names,_xlfn.CONCAT("D_E_",C618))=1), "C", "")</f>
        <v>#VALUE!</v>
      </c>
      <c r="E618" t="e">
        <f t="shared" ca="1" si="21"/>
        <v>#VALUE!</v>
      </c>
      <c r="F618" t="e">
        <f t="shared" ca="1" si="22"/>
        <v>#VALUE!</v>
      </c>
      <c r="G618" t="e">
        <f t="shared" ca="1" si="23"/>
        <v>#VALUE!</v>
      </c>
    </row>
    <row r="619" spans="1:7" x14ac:dyDescent="0.25">
      <c r="A619" s="1"/>
      <c r="D619" t="e" cm="1">
        <f t="array" aca="1" ref="D619" ca="1">IF(OR(COUNTIF(damper_names,_xlfn.CONCAT("D_S_",C619))=1, COUNTIF(damper_names,_xlfn.CONCAT("D_E_",C619))=1), "C", "")</f>
        <v>#VALUE!</v>
      </c>
      <c r="E619" t="e">
        <f t="shared" ca="1" si="21"/>
        <v>#VALUE!</v>
      </c>
      <c r="F619" t="e">
        <f t="shared" ca="1" si="22"/>
        <v>#VALUE!</v>
      </c>
      <c r="G619" t="e">
        <f t="shared" ca="1" si="23"/>
        <v>#VALUE!</v>
      </c>
    </row>
    <row r="620" spans="1:7" x14ac:dyDescent="0.25">
      <c r="A620" s="1"/>
      <c r="D620" t="e" cm="1">
        <f t="array" aca="1" ref="D620" ca="1">IF(OR(COUNTIF(damper_names,_xlfn.CONCAT("D_S_",C620))=1, COUNTIF(damper_names,_xlfn.CONCAT("D_E_",C620))=1), "C", "")</f>
        <v>#VALUE!</v>
      </c>
      <c r="E620" t="e">
        <f t="shared" ca="1" si="21"/>
        <v>#VALUE!</v>
      </c>
      <c r="F620" t="e">
        <f t="shared" ca="1" si="22"/>
        <v>#VALUE!</v>
      </c>
      <c r="G620" t="e">
        <f t="shared" ca="1" si="23"/>
        <v>#VALUE!</v>
      </c>
    </row>
    <row r="621" spans="1:7" x14ac:dyDescent="0.25">
      <c r="A621" s="1"/>
      <c r="D621" t="e" cm="1">
        <f t="array" aca="1" ref="D621" ca="1">IF(OR(COUNTIF(damper_names,_xlfn.CONCAT("D_S_",C621))=1, COUNTIF(damper_names,_xlfn.CONCAT("D_E_",C621))=1), "C", "")</f>
        <v>#VALUE!</v>
      </c>
      <c r="E621" t="e">
        <f t="shared" ca="1" si="21"/>
        <v>#VALUE!</v>
      </c>
      <c r="F621" t="e">
        <f t="shared" ca="1" si="22"/>
        <v>#VALUE!</v>
      </c>
      <c r="G621" t="e">
        <f t="shared" ca="1" si="23"/>
        <v>#VALUE!</v>
      </c>
    </row>
    <row r="622" spans="1:7" x14ac:dyDescent="0.25">
      <c r="A622" s="1"/>
      <c r="D622" t="e" cm="1">
        <f t="array" aca="1" ref="D622" ca="1">IF(OR(COUNTIF(damper_names,_xlfn.CONCAT("D_S_",C622))=1, COUNTIF(damper_names,_xlfn.CONCAT("D_E_",C622))=1), "C", "")</f>
        <v>#VALUE!</v>
      </c>
      <c r="E622" t="e">
        <f t="shared" ca="1" si="21"/>
        <v>#VALUE!</v>
      </c>
      <c r="F622" t="e">
        <f t="shared" ca="1" si="22"/>
        <v>#VALUE!</v>
      </c>
      <c r="G622" t="e">
        <f t="shared" ca="1" si="23"/>
        <v>#VALUE!</v>
      </c>
    </row>
    <row r="623" spans="1:7" x14ac:dyDescent="0.25">
      <c r="A623" s="1"/>
      <c r="D623" t="e" cm="1">
        <f t="array" aca="1" ref="D623" ca="1">IF(OR(COUNTIF(damper_names,_xlfn.CONCAT("D_S_",C623))=1, COUNTIF(damper_names,_xlfn.CONCAT("D_E_",C623))=1), "C", "")</f>
        <v>#VALUE!</v>
      </c>
      <c r="E623" t="e">
        <f t="shared" ca="1" si="21"/>
        <v>#VALUE!</v>
      </c>
      <c r="F623" t="e">
        <f t="shared" ca="1" si="22"/>
        <v>#VALUE!</v>
      </c>
      <c r="G623" t="e">
        <f t="shared" ca="1" si="23"/>
        <v>#VALUE!</v>
      </c>
    </row>
    <row r="624" spans="1:7" x14ac:dyDescent="0.25">
      <c r="A624" s="1"/>
      <c r="D624" t="e" cm="1">
        <f t="array" aca="1" ref="D624" ca="1">IF(OR(COUNTIF(damper_names,_xlfn.CONCAT("D_S_",C624))=1, COUNTIF(damper_names,_xlfn.CONCAT("D_E_",C624))=1), "C", "")</f>
        <v>#VALUE!</v>
      </c>
      <c r="E624" t="e">
        <f t="shared" ca="1" si="21"/>
        <v>#VALUE!</v>
      </c>
      <c r="F624" t="e">
        <f t="shared" ca="1" si="22"/>
        <v>#VALUE!</v>
      </c>
      <c r="G624" t="e">
        <f t="shared" ca="1" si="23"/>
        <v>#VALUE!</v>
      </c>
    </row>
    <row r="625" spans="1:7" x14ac:dyDescent="0.25">
      <c r="A625" s="1"/>
      <c r="D625" t="e" cm="1">
        <f t="array" aca="1" ref="D625" ca="1">IF(OR(COUNTIF(damper_names,_xlfn.CONCAT("D_S_",C625))=1, COUNTIF(damper_names,_xlfn.CONCAT("D_E_",C625))=1), "C", "")</f>
        <v>#VALUE!</v>
      </c>
      <c r="E625" t="e">
        <f t="shared" ca="1" si="21"/>
        <v>#VALUE!</v>
      </c>
      <c r="F625" t="e">
        <f t="shared" ca="1" si="22"/>
        <v>#VALUE!</v>
      </c>
      <c r="G625" t="e">
        <f t="shared" ca="1" si="23"/>
        <v>#VALUE!</v>
      </c>
    </row>
    <row r="626" spans="1:7" x14ac:dyDescent="0.25">
      <c r="A626" s="1"/>
      <c r="D626" t="e" cm="1">
        <f t="array" aca="1" ref="D626" ca="1">IF(OR(COUNTIF(damper_names,_xlfn.CONCAT("D_S_",C626))=1, COUNTIF(damper_names,_xlfn.CONCAT("D_E_",C626))=1), "C", "")</f>
        <v>#VALUE!</v>
      </c>
      <c r="E626" t="e">
        <f t="shared" ca="1" si="21"/>
        <v>#VALUE!</v>
      </c>
      <c r="F626" t="e">
        <f t="shared" ca="1" si="22"/>
        <v>#VALUE!</v>
      </c>
      <c r="G626" t="e">
        <f t="shared" ca="1" si="23"/>
        <v>#VALUE!</v>
      </c>
    </row>
    <row r="627" spans="1:7" x14ac:dyDescent="0.25">
      <c r="A627" s="1"/>
      <c r="D627" t="e" cm="1">
        <f t="array" aca="1" ref="D627" ca="1">IF(OR(COUNTIF(damper_names,_xlfn.CONCAT("D_S_",C627))=1, COUNTIF(damper_names,_xlfn.CONCAT("D_E_",C627))=1), "C", "")</f>
        <v>#VALUE!</v>
      </c>
      <c r="E627" t="e">
        <f t="shared" ca="1" si="21"/>
        <v>#VALUE!</v>
      </c>
      <c r="F627" t="e">
        <f t="shared" ca="1" si="22"/>
        <v>#VALUE!</v>
      </c>
      <c r="G627" t="e">
        <f t="shared" ca="1" si="23"/>
        <v>#VALUE!</v>
      </c>
    </row>
    <row r="628" spans="1:7" x14ac:dyDescent="0.25">
      <c r="A628" s="1"/>
      <c r="D628" t="e" cm="1">
        <f t="array" aca="1" ref="D628" ca="1">IF(OR(COUNTIF(damper_names,_xlfn.CONCAT("D_S_",C628))=1, COUNTIF(damper_names,_xlfn.CONCAT("D_E_",C628))=1), "C", "")</f>
        <v>#VALUE!</v>
      </c>
      <c r="E628" t="e">
        <f t="shared" ca="1" si="21"/>
        <v>#VALUE!</v>
      </c>
      <c r="F628" t="e">
        <f t="shared" ca="1" si="22"/>
        <v>#VALUE!</v>
      </c>
      <c r="G628" t="e">
        <f t="shared" ca="1" si="23"/>
        <v>#VALUE!</v>
      </c>
    </row>
    <row r="629" spans="1:7" x14ac:dyDescent="0.25">
      <c r="A629" s="1"/>
      <c r="D629" t="e" cm="1">
        <f t="array" aca="1" ref="D629" ca="1">IF(OR(COUNTIF(damper_names,_xlfn.CONCAT("D_S_",C629))=1, COUNTIF(damper_names,_xlfn.CONCAT("D_E_",C629))=1), "C", "")</f>
        <v>#VALUE!</v>
      </c>
      <c r="E629" t="e">
        <f t="shared" ca="1" si="21"/>
        <v>#VALUE!</v>
      </c>
      <c r="F629" t="e">
        <f t="shared" ca="1" si="22"/>
        <v>#VALUE!</v>
      </c>
      <c r="G629" t="e">
        <f t="shared" ca="1" si="23"/>
        <v>#VALUE!</v>
      </c>
    </row>
    <row r="630" spans="1:7" x14ac:dyDescent="0.25">
      <c r="A630" s="1"/>
      <c r="D630" t="e" cm="1">
        <f t="array" aca="1" ref="D630" ca="1">IF(OR(COUNTIF(damper_names,_xlfn.CONCAT("D_S_",C630))=1, COUNTIF(damper_names,_xlfn.CONCAT("D_E_",C630))=1), "C", "")</f>
        <v>#VALUE!</v>
      </c>
      <c r="E630" t="e">
        <f t="shared" ca="1" si="21"/>
        <v>#VALUE!</v>
      </c>
      <c r="F630" t="e">
        <f t="shared" ca="1" si="22"/>
        <v>#VALUE!</v>
      </c>
      <c r="G630" t="e">
        <f t="shared" ca="1" si="23"/>
        <v>#VALUE!</v>
      </c>
    </row>
    <row r="631" spans="1:7" x14ac:dyDescent="0.25">
      <c r="A631" s="1"/>
      <c r="D631" t="e" cm="1">
        <f t="array" aca="1" ref="D631" ca="1">IF(OR(COUNTIF(damper_names,_xlfn.CONCAT("D_S_",C631))=1, COUNTIF(damper_names,_xlfn.CONCAT("D_E_",C631))=1), "C", "")</f>
        <v>#VALUE!</v>
      </c>
      <c r="E631" t="e">
        <f t="shared" ca="1" si="21"/>
        <v>#VALUE!</v>
      </c>
      <c r="F631" t="e">
        <f t="shared" ca="1" si="22"/>
        <v>#VALUE!</v>
      </c>
      <c r="G631" t="e">
        <f t="shared" ca="1" si="23"/>
        <v>#VALUE!</v>
      </c>
    </row>
    <row r="632" spans="1:7" x14ac:dyDescent="0.25">
      <c r="A632" s="1"/>
      <c r="D632" t="e" cm="1">
        <f t="array" aca="1" ref="D632" ca="1">IF(OR(COUNTIF(damper_names,_xlfn.CONCAT("D_S_",C632))=1, COUNTIF(damper_names,_xlfn.CONCAT("D_E_",C632))=1), "C", "")</f>
        <v>#VALUE!</v>
      </c>
      <c r="E632" t="e">
        <f t="shared" ca="1" si="21"/>
        <v>#VALUE!</v>
      </c>
      <c r="F632" t="e">
        <f t="shared" ca="1" si="22"/>
        <v>#VALUE!</v>
      </c>
      <c r="G632" t="e">
        <f t="shared" ca="1" si="23"/>
        <v>#VALUE!</v>
      </c>
    </row>
    <row r="633" spans="1:7" x14ac:dyDescent="0.25">
      <c r="A633" s="1"/>
      <c r="D633" t="e" cm="1">
        <f t="array" aca="1" ref="D633" ca="1">IF(OR(COUNTIF(damper_names,_xlfn.CONCAT("D_S_",C633))=1, COUNTIF(damper_names,_xlfn.CONCAT("D_E_",C633))=1), "C", "")</f>
        <v>#VALUE!</v>
      </c>
      <c r="E633" t="e">
        <f t="shared" ca="1" si="21"/>
        <v>#VALUE!</v>
      </c>
      <c r="F633" t="e">
        <f t="shared" ca="1" si="22"/>
        <v>#VALUE!</v>
      </c>
      <c r="G633" t="e">
        <f t="shared" ca="1" si="23"/>
        <v>#VALUE!</v>
      </c>
    </row>
    <row r="634" spans="1:7" x14ac:dyDescent="0.25">
      <c r="A634" s="1"/>
      <c r="D634" t="e" cm="1">
        <f t="array" aca="1" ref="D634" ca="1">IF(OR(COUNTIF(damper_names,_xlfn.CONCAT("D_S_",C634))=1, COUNTIF(damper_names,_xlfn.CONCAT("D_E_",C634))=1), "C", "")</f>
        <v>#VALUE!</v>
      </c>
      <c r="E634" t="e">
        <f t="shared" ca="1" si="21"/>
        <v>#VALUE!</v>
      </c>
      <c r="F634" t="e">
        <f t="shared" ca="1" si="22"/>
        <v>#VALUE!</v>
      </c>
      <c r="G634" t="e">
        <f t="shared" ca="1" si="23"/>
        <v>#VALUE!</v>
      </c>
    </row>
    <row r="635" spans="1:7" x14ac:dyDescent="0.25">
      <c r="A635" s="1"/>
      <c r="D635" t="e" cm="1">
        <f t="array" aca="1" ref="D635" ca="1">IF(OR(COUNTIF(damper_names,_xlfn.CONCAT("D_S_",C635))=1, COUNTIF(damper_names,_xlfn.CONCAT("D_E_",C635))=1), "C", "")</f>
        <v>#VALUE!</v>
      </c>
      <c r="E635" t="e">
        <f t="shared" ca="1" si="21"/>
        <v>#VALUE!</v>
      </c>
      <c r="F635" t="e">
        <f t="shared" ca="1" si="22"/>
        <v>#VALUE!</v>
      </c>
      <c r="G635" t="e">
        <f t="shared" ca="1" si="23"/>
        <v>#VALUE!</v>
      </c>
    </row>
    <row r="636" spans="1:7" x14ac:dyDescent="0.25">
      <c r="A636" s="1"/>
      <c r="D636" t="e" cm="1">
        <f t="array" aca="1" ref="D636" ca="1">IF(OR(COUNTIF(damper_names,_xlfn.CONCAT("D_S_",C636))=1, COUNTIF(damper_names,_xlfn.CONCAT("D_E_",C636))=1), "C", "")</f>
        <v>#VALUE!</v>
      </c>
      <c r="E636" t="e">
        <f t="shared" ca="1" si="21"/>
        <v>#VALUE!</v>
      </c>
      <c r="F636" t="e">
        <f t="shared" ca="1" si="22"/>
        <v>#VALUE!</v>
      </c>
      <c r="G636" t="e">
        <f t="shared" ca="1" si="23"/>
        <v>#VALUE!</v>
      </c>
    </row>
    <row r="637" spans="1:7" x14ac:dyDescent="0.25">
      <c r="A637" s="1"/>
      <c r="D637" t="e" cm="1">
        <f t="array" aca="1" ref="D637" ca="1">IF(OR(COUNTIF(damper_names,_xlfn.CONCAT("D_S_",C637))=1, COUNTIF(damper_names,_xlfn.CONCAT("D_E_",C637))=1), "C", "")</f>
        <v>#VALUE!</v>
      </c>
      <c r="E637" t="e">
        <f t="shared" ca="1" si="21"/>
        <v>#VALUE!</v>
      </c>
      <c r="F637" t="e">
        <f t="shared" ca="1" si="22"/>
        <v>#VALUE!</v>
      </c>
      <c r="G637" t="e">
        <f t="shared" ca="1" si="23"/>
        <v>#VALUE!</v>
      </c>
    </row>
    <row r="638" spans="1:7" x14ac:dyDescent="0.25">
      <c r="A638" s="1"/>
      <c r="D638" t="e" cm="1">
        <f t="array" aca="1" ref="D638" ca="1">IF(OR(COUNTIF(damper_names,_xlfn.CONCAT("D_S_",C638))=1, COUNTIF(damper_names,_xlfn.CONCAT("D_E_",C638))=1), "C", "")</f>
        <v>#VALUE!</v>
      </c>
      <c r="E638" t="e">
        <f t="shared" ca="1" si="21"/>
        <v>#VALUE!</v>
      </c>
      <c r="F638" t="e">
        <f t="shared" ca="1" si="22"/>
        <v>#VALUE!</v>
      </c>
      <c r="G638" t="e">
        <f t="shared" ca="1" si="23"/>
        <v>#VALUE!</v>
      </c>
    </row>
    <row r="639" spans="1:7" x14ac:dyDescent="0.25">
      <c r="A639" s="1"/>
      <c r="D639" t="e" cm="1">
        <f t="array" aca="1" ref="D639" ca="1">IF(OR(COUNTIF(damper_names,_xlfn.CONCAT("D_S_",C639))=1, COUNTIF(damper_names,_xlfn.CONCAT("D_E_",C639))=1), "C", "")</f>
        <v>#VALUE!</v>
      </c>
      <c r="E639" t="e">
        <f t="shared" ca="1" si="21"/>
        <v>#VALUE!</v>
      </c>
      <c r="F639" t="e">
        <f t="shared" ca="1" si="22"/>
        <v>#VALUE!</v>
      </c>
      <c r="G639" t="e">
        <f t="shared" ca="1" si="23"/>
        <v>#VALUE!</v>
      </c>
    </row>
    <row r="640" spans="1:7" x14ac:dyDescent="0.25">
      <c r="A640" s="1"/>
      <c r="D640" t="e" cm="1">
        <f t="array" aca="1" ref="D640" ca="1">IF(OR(COUNTIF(damper_names,_xlfn.CONCAT("D_S_",C640))=1, COUNTIF(damper_names,_xlfn.CONCAT("D_E_",C640))=1), "C", "")</f>
        <v>#VALUE!</v>
      </c>
      <c r="E640" t="e">
        <f t="shared" ca="1" si="21"/>
        <v>#VALUE!</v>
      </c>
      <c r="F640" t="e">
        <f t="shared" ca="1" si="22"/>
        <v>#VALUE!</v>
      </c>
      <c r="G640" t="e">
        <f t="shared" ca="1" si="23"/>
        <v>#VALUE!</v>
      </c>
    </row>
    <row r="641" spans="1:7" x14ac:dyDescent="0.25">
      <c r="A641" s="1"/>
      <c r="D641" t="e" cm="1">
        <f t="array" aca="1" ref="D641" ca="1">IF(OR(COUNTIF(damper_names,_xlfn.CONCAT("D_S_",C641))=1, COUNTIF(damper_names,_xlfn.CONCAT("D_E_",C641))=1), "C", "")</f>
        <v>#VALUE!</v>
      </c>
      <c r="E641" t="e">
        <f t="shared" ca="1" si="21"/>
        <v>#VALUE!</v>
      </c>
      <c r="F641" t="e">
        <f t="shared" ca="1" si="22"/>
        <v>#VALUE!</v>
      </c>
      <c r="G641" t="e">
        <f t="shared" ca="1" si="23"/>
        <v>#VALUE!</v>
      </c>
    </row>
    <row r="642" spans="1:7" x14ac:dyDescent="0.25">
      <c r="A642" s="1"/>
      <c r="D642" t="e" cm="1">
        <f t="array" aca="1" ref="D642" ca="1">IF(OR(COUNTIF(damper_names,_xlfn.CONCAT("D_S_",C642))=1, COUNTIF(damper_names,_xlfn.CONCAT("D_E_",C642))=1), "C", "")</f>
        <v>#VALUE!</v>
      </c>
      <c r="E642" t="e">
        <f t="shared" ca="1" si="21"/>
        <v>#VALUE!</v>
      </c>
      <c r="F642" t="e">
        <f t="shared" ca="1" si="22"/>
        <v>#VALUE!</v>
      </c>
      <c r="G642" t="e">
        <f t="shared" ca="1" si="23"/>
        <v>#VALUE!</v>
      </c>
    </row>
    <row r="643" spans="1:7" x14ac:dyDescent="0.25">
      <c r="A643" s="1"/>
      <c r="D643" t="e" cm="1">
        <f t="array" aca="1" ref="D643" ca="1">IF(OR(COUNTIF(damper_names,_xlfn.CONCAT("D_S_",C643))=1, COUNTIF(damper_names,_xlfn.CONCAT("D_E_",C643))=1), "C", "")</f>
        <v>#VALUE!</v>
      </c>
      <c r="E643" t="e">
        <f t="shared" ca="1" si="21"/>
        <v>#VALUE!</v>
      </c>
      <c r="F643" t="e">
        <f t="shared" ca="1" si="22"/>
        <v>#VALUE!</v>
      </c>
      <c r="G643" t="e">
        <f t="shared" ca="1" si="23"/>
        <v>#VALUE!</v>
      </c>
    </row>
    <row r="644" spans="1:7" x14ac:dyDescent="0.25">
      <c r="A644" s="1"/>
      <c r="D644" t="e" cm="1">
        <f t="array" aca="1" ref="D644" ca="1">IF(OR(COUNTIF(damper_names,_xlfn.CONCAT("D_S_",C644))=1, COUNTIF(damper_names,_xlfn.CONCAT("D_E_",C644))=1), "C", "")</f>
        <v>#VALUE!</v>
      </c>
      <c r="E644" t="e">
        <f t="shared" ca="1" si="21"/>
        <v>#VALUE!</v>
      </c>
      <c r="F644" t="e">
        <f t="shared" ca="1" si="22"/>
        <v>#VALUE!</v>
      </c>
      <c r="G644" t="e">
        <f t="shared" ca="1" si="23"/>
        <v>#VALUE!</v>
      </c>
    </row>
    <row r="645" spans="1:7" x14ac:dyDescent="0.25">
      <c r="A645" s="1"/>
      <c r="D645" t="e" cm="1">
        <f t="array" aca="1" ref="D645" ca="1">IF(OR(COUNTIF(damper_names,_xlfn.CONCAT("D_S_",C645))=1, COUNTIF(damper_names,_xlfn.CONCAT("D_E_",C645))=1), "C", "")</f>
        <v>#VALUE!</v>
      </c>
      <c r="E645" t="e">
        <f t="shared" ca="1" si="21"/>
        <v>#VALUE!</v>
      </c>
      <c r="F645" t="e">
        <f t="shared" ca="1" si="22"/>
        <v>#VALUE!</v>
      </c>
      <c r="G645" t="e">
        <f t="shared" ca="1" si="23"/>
        <v>#VALUE!</v>
      </c>
    </row>
    <row r="646" spans="1:7" x14ac:dyDescent="0.25">
      <c r="A646" s="1"/>
      <c r="D646" t="e" cm="1">
        <f t="array" aca="1" ref="D646" ca="1">IF(OR(COUNTIF(damper_names,_xlfn.CONCAT("D_S_",C646))=1, COUNTIF(damper_names,_xlfn.CONCAT("D_E_",C646))=1), "C", "")</f>
        <v>#VALUE!</v>
      </c>
      <c r="E646" t="e">
        <f t="shared" ca="1" si="21"/>
        <v>#VALUE!</v>
      </c>
      <c r="F646" t="e">
        <f t="shared" ca="1" si="22"/>
        <v>#VALUE!</v>
      </c>
      <c r="G646" t="e">
        <f t="shared" ca="1" si="23"/>
        <v>#VALUE!</v>
      </c>
    </row>
    <row r="647" spans="1:7" x14ac:dyDescent="0.25">
      <c r="A647" s="1"/>
      <c r="D647" t="e" cm="1">
        <f t="array" aca="1" ref="D647" ca="1">IF(OR(COUNTIF(damper_names,_xlfn.CONCAT("D_S_",C647))=1, COUNTIF(damper_names,_xlfn.CONCAT("D_E_",C647))=1), "C", "")</f>
        <v>#VALUE!</v>
      </c>
      <c r="E647" t="e">
        <f t="shared" ref="E647:E710" ca="1" si="24">IF(D647="T", 0.05, IF(D647="C", -0.01, ""))</f>
        <v>#VALUE!</v>
      </c>
      <c r="F647" t="e">
        <f t="shared" ref="F647:F710" ca="1" si="25">IF(D647="T", 0.05, IF(D647="C", 0, ""))</f>
        <v>#VALUE!</v>
      </c>
      <c r="G647" t="e">
        <f t="shared" ref="G647:G710" ca="1" si="26">IF(D647="T", 0, IF(D647="C", 0, ""))</f>
        <v>#VALUE!</v>
      </c>
    </row>
    <row r="648" spans="1:7" x14ac:dyDescent="0.25">
      <c r="A648" s="1"/>
      <c r="D648" t="e" cm="1">
        <f t="array" aca="1" ref="D648" ca="1">IF(OR(COUNTIF(damper_names,_xlfn.CONCAT("D_S_",C648))=1, COUNTIF(damper_names,_xlfn.CONCAT("D_E_",C648))=1), "C", "")</f>
        <v>#VALUE!</v>
      </c>
      <c r="E648" t="e">
        <f t="shared" ca="1" si="24"/>
        <v>#VALUE!</v>
      </c>
      <c r="F648" t="e">
        <f t="shared" ca="1" si="25"/>
        <v>#VALUE!</v>
      </c>
      <c r="G648" t="e">
        <f t="shared" ca="1" si="26"/>
        <v>#VALUE!</v>
      </c>
    </row>
    <row r="649" spans="1:7" x14ac:dyDescent="0.25">
      <c r="A649" s="1"/>
      <c r="D649" t="e" cm="1">
        <f t="array" aca="1" ref="D649" ca="1">IF(OR(COUNTIF(damper_names,_xlfn.CONCAT("D_S_",C649))=1, COUNTIF(damper_names,_xlfn.CONCAT("D_E_",C649))=1), "C", "")</f>
        <v>#VALUE!</v>
      </c>
      <c r="E649" t="e">
        <f t="shared" ca="1" si="24"/>
        <v>#VALUE!</v>
      </c>
      <c r="F649" t="e">
        <f t="shared" ca="1" si="25"/>
        <v>#VALUE!</v>
      </c>
      <c r="G649" t="e">
        <f t="shared" ca="1" si="26"/>
        <v>#VALUE!</v>
      </c>
    </row>
    <row r="650" spans="1:7" x14ac:dyDescent="0.25">
      <c r="A650" s="1"/>
      <c r="D650" t="e" cm="1">
        <f t="array" aca="1" ref="D650" ca="1">IF(OR(COUNTIF(damper_names,_xlfn.CONCAT("D_S_",C650))=1, COUNTIF(damper_names,_xlfn.CONCAT("D_E_",C650))=1), "C", "")</f>
        <v>#VALUE!</v>
      </c>
      <c r="E650" t="e">
        <f t="shared" ca="1" si="24"/>
        <v>#VALUE!</v>
      </c>
      <c r="F650" t="e">
        <f t="shared" ca="1" si="25"/>
        <v>#VALUE!</v>
      </c>
      <c r="G650" t="e">
        <f t="shared" ca="1" si="26"/>
        <v>#VALUE!</v>
      </c>
    </row>
    <row r="651" spans="1:7" x14ac:dyDescent="0.25">
      <c r="A651" s="1"/>
      <c r="D651" t="e" cm="1">
        <f t="array" aca="1" ref="D651" ca="1">IF(OR(COUNTIF(damper_names,_xlfn.CONCAT("D_S_",C651))=1, COUNTIF(damper_names,_xlfn.CONCAT("D_E_",C651))=1), "C", "")</f>
        <v>#VALUE!</v>
      </c>
      <c r="E651" t="e">
        <f t="shared" ca="1" si="24"/>
        <v>#VALUE!</v>
      </c>
      <c r="F651" t="e">
        <f t="shared" ca="1" si="25"/>
        <v>#VALUE!</v>
      </c>
      <c r="G651" t="e">
        <f t="shared" ca="1" si="26"/>
        <v>#VALUE!</v>
      </c>
    </row>
    <row r="652" spans="1:7" x14ac:dyDescent="0.25">
      <c r="A652" s="1"/>
      <c r="D652" t="e" cm="1">
        <f t="array" aca="1" ref="D652" ca="1">IF(OR(COUNTIF(damper_names,_xlfn.CONCAT("D_S_",C652))=1, COUNTIF(damper_names,_xlfn.CONCAT("D_E_",C652))=1), "C", "")</f>
        <v>#VALUE!</v>
      </c>
      <c r="E652" t="e">
        <f t="shared" ca="1" si="24"/>
        <v>#VALUE!</v>
      </c>
      <c r="F652" t="e">
        <f t="shared" ca="1" si="25"/>
        <v>#VALUE!</v>
      </c>
      <c r="G652" t="e">
        <f t="shared" ca="1" si="26"/>
        <v>#VALUE!</v>
      </c>
    </row>
    <row r="653" spans="1:7" x14ac:dyDescent="0.25">
      <c r="A653" s="1"/>
      <c r="D653" t="e" cm="1">
        <f t="array" aca="1" ref="D653" ca="1">IF(OR(COUNTIF(damper_names,_xlfn.CONCAT("D_S_",C653))=1, COUNTIF(damper_names,_xlfn.CONCAT("D_E_",C653))=1), "C", "")</f>
        <v>#VALUE!</v>
      </c>
      <c r="E653" t="e">
        <f t="shared" ca="1" si="24"/>
        <v>#VALUE!</v>
      </c>
      <c r="F653" t="e">
        <f t="shared" ca="1" si="25"/>
        <v>#VALUE!</v>
      </c>
      <c r="G653" t="e">
        <f t="shared" ca="1" si="26"/>
        <v>#VALUE!</v>
      </c>
    </row>
    <row r="654" spans="1:7" x14ac:dyDescent="0.25">
      <c r="A654" s="1"/>
      <c r="D654" t="e" cm="1">
        <f t="array" aca="1" ref="D654" ca="1">IF(OR(COUNTIF(damper_names,_xlfn.CONCAT("D_S_",C654))=1, COUNTIF(damper_names,_xlfn.CONCAT("D_E_",C654))=1), "C", "")</f>
        <v>#VALUE!</v>
      </c>
      <c r="E654" t="e">
        <f t="shared" ca="1" si="24"/>
        <v>#VALUE!</v>
      </c>
      <c r="F654" t="e">
        <f t="shared" ca="1" si="25"/>
        <v>#VALUE!</v>
      </c>
      <c r="G654" t="e">
        <f t="shared" ca="1" si="26"/>
        <v>#VALUE!</v>
      </c>
    </row>
    <row r="655" spans="1:7" x14ac:dyDescent="0.25">
      <c r="A655" s="1"/>
      <c r="D655" t="e" cm="1">
        <f t="array" aca="1" ref="D655" ca="1">IF(OR(COUNTIF(damper_names,_xlfn.CONCAT("D_S_",C655))=1, COUNTIF(damper_names,_xlfn.CONCAT("D_E_",C655))=1), "C", "")</f>
        <v>#VALUE!</v>
      </c>
      <c r="E655" t="e">
        <f t="shared" ca="1" si="24"/>
        <v>#VALUE!</v>
      </c>
      <c r="F655" t="e">
        <f t="shared" ca="1" si="25"/>
        <v>#VALUE!</v>
      </c>
      <c r="G655" t="e">
        <f t="shared" ca="1" si="26"/>
        <v>#VALUE!</v>
      </c>
    </row>
    <row r="656" spans="1:7" x14ac:dyDescent="0.25">
      <c r="A656" s="1"/>
      <c r="D656" t="e" cm="1">
        <f t="array" aca="1" ref="D656" ca="1">IF(OR(COUNTIF(damper_names,_xlfn.CONCAT("D_S_",C656))=1, COUNTIF(damper_names,_xlfn.CONCAT("D_E_",C656))=1), "C", "")</f>
        <v>#VALUE!</v>
      </c>
      <c r="E656" t="e">
        <f t="shared" ca="1" si="24"/>
        <v>#VALUE!</v>
      </c>
      <c r="F656" t="e">
        <f t="shared" ca="1" si="25"/>
        <v>#VALUE!</v>
      </c>
      <c r="G656" t="e">
        <f t="shared" ca="1" si="26"/>
        <v>#VALUE!</v>
      </c>
    </row>
    <row r="657" spans="1:7" x14ac:dyDescent="0.25">
      <c r="A657" s="1"/>
      <c r="D657" t="e" cm="1">
        <f t="array" aca="1" ref="D657" ca="1">IF(OR(COUNTIF(damper_names,_xlfn.CONCAT("D_S_",C657))=1, COUNTIF(damper_names,_xlfn.CONCAT("D_E_",C657))=1), "C", "")</f>
        <v>#VALUE!</v>
      </c>
      <c r="E657" t="e">
        <f t="shared" ca="1" si="24"/>
        <v>#VALUE!</v>
      </c>
      <c r="F657" t="e">
        <f t="shared" ca="1" si="25"/>
        <v>#VALUE!</v>
      </c>
      <c r="G657" t="e">
        <f t="shared" ca="1" si="26"/>
        <v>#VALUE!</v>
      </c>
    </row>
    <row r="658" spans="1:7" x14ac:dyDescent="0.25">
      <c r="A658" s="1"/>
      <c r="D658" t="e" cm="1">
        <f t="array" aca="1" ref="D658" ca="1">IF(OR(COUNTIF(damper_names,_xlfn.CONCAT("D_S_",C658))=1, COUNTIF(damper_names,_xlfn.CONCAT("D_E_",C658))=1), "C", "")</f>
        <v>#VALUE!</v>
      </c>
      <c r="E658" t="e">
        <f t="shared" ca="1" si="24"/>
        <v>#VALUE!</v>
      </c>
      <c r="F658" t="e">
        <f t="shared" ca="1" si="25"/>
        <v>#VALUE!</v>
      </c>
      <c r="G658" t="e">
        <f t="shared" ca="1" si="26"/>
        <v>#VALUE!</v>
      </c>
    </row>
    <row r="659" spans="1:7" x14ac:dyDescent="0.25">
      <c r="A659" s="1"/>
      <c r="D659" t="e" cm="1">
        <f t="array" aca="1" ref="D659" ca="1">IF(OR(COUNTIF(damper_names,_xlfn.CONCAT("D_S_",C659))=1, COUNTIF(damper_names,_xlfn.CONCAT("D_E_",C659))=1), "C", "")</f>
        <v>#VALUE!</v>
      </c>
      <c r="E659" t="e">
        <f t="shared" ca="1" si="24"/>
        <v>#VALUE!</v>
      </c>
      <c r="F659" t="e">
        <f t="shared" ca="1" si="25"/>
        <v>#VALUE!</v>
      </c>
      <c r="G659" t="e">
        <f t="shared" ca="1" si="26"/>
        <v>#VALUE!</v>
      </c>
    </row>
    <row r="660" spans="1:7" x14ac:dyDescent="0.25">
      <c r="A660" s="1"/>
      <c r="D660" t="e" cm="1">
        <f t="array" aca="1" ref="D660" ca="1">IF(OR(COUNTIF(damper_names,_xlfn.CONCAT("D_S_",C660))=1, COUNTIF(damper_names,_xlfn.CONCAT("D_E_",C660))=1), "C", "")</f>
        <v>#VALUE!</v>
      </c>
      <c r="E660" t="e">
        <f t="shared" ca="1" si="24"/>
        <v>#VALUE!</v>
      </c>
      <c r="F660" t="e">
        <f t="shared" ca="1" si="25"/>
        <v>#VALUE!</v>
      </c>
      <c r="G660" t="e">
        <f t="shared" ca="1" si="26"/>
        <v>#VALUE!</v>
      </c>
    </row>
    <row r="661" spans="1:7" x14ac:dyDescent="0.25">
      <c r="A661" s="1"/>
      <c r="D661" t="e" cm="1">
        <f t="array" aca="1" ref="D661" ca="1">IF(OR(COUNTIF(damper_names,_xlfn.CONCAT("D_S_",C661))=1, COUNTIF(damper_names,_xlfn.CONCAT("D_E_",C661))=1), "C", "")</f>
        <v>#VALUE!</v>
      </c>
      <c r="E661" t="e">
        <f t="shared" ca="1" si="24"/>
        <v>#VALUE!</v>
      </c>
      <c r="F661" t="e">
        <f t="shared" ca="1" si="25"/>
        <v>#VALUE!</v>
      </c>
      <c r="G661" t="e">
        <f t="shared" ca="1" si="26"/>
        <v>#VALUE!</v>
      </c>
    </row>
    <row r="662" spans="1:7" x14ac:dyDescent="0.25">
      <c r="A662" s="1"/>
      <c r="D662" t="e" cm="1">
        <f t="array" aca="1" ref="D662" ca="1">IF(OR(COUNTIF(damper_names,_xlfn.CONCAT("D_S_",C662))=1, COUNTIF(damper_names,_xlfn.CONCAT("D_E_",C662))=1), "C", "")</f>
        <v>#VALUE!</v>
      </c>
      <c r="E662" t="e">
        <f t="shared" ca="1" si="24"/>
        <v>#VALUE!</v>
      </c>
      <c r="F662" t="e">
        <f t="shared" ca="1" si="25"/>
        <v>#VALUE!</v>
      </c>
      <c r="G662" t="e">
        <f t="shared" ca="1" si="26"/>
        <v>#VALUE!</v>
      </c>
    </row>
    <row r="663" spans="1:7" x14ac:dyDescent="0.25">
      <c r="A663" s="1"/>
      <c r="D663" t="e" cm="1">
        <f t="array" aca="1" ref="D663" ca="1">IF(OR(COUNTIF(damper_names,_xlfn.CONCAT("D_S_",C663))=1, COUNTIF(damper_names,_xlfn.CONCAT("D_E_",C663))=1), "C", "")</f>
        <v>#VALUE!</v>
      </c>
      <c r="E663" t="e">
        <f t="shared" ca="1" si="24"/>
        <v>#VALUE!</v>
      </c>
      <c r="F663" t="e">
        <f t="shared" ca="1" si="25"/>
        <v>#VALUE!</v>
      </c>
      <c r="G663" t="e">
        <f t="shared" ca="1" si="26"/>
        <v>#VALUE!</v>
      </c>
    </row>
    <row r="664" spans="1:7" x14ac:dyDescent="0.25">
      <c r="A664" s="1"/>
      <c r="D664" t="e" cm="1">
        <f t="array" aca="1" ref="D664" ca="1">IF(OR(COUNTIF(damper_names,_xlfn.CONCAT("D_S_",C664))=1, COUNTIF(damper_names,_xlfn.CONCAT("D_E_",C664))=1), "C", "")</f>
        <v>#VALUE!</v>
      </c>
      <c r="E664" t="e">
        <f t="shared" ca="1" si="24"/>
        <v>#VALUE!</v>
      </c>
      <c r="F664" t="e">
        <f t="shared" ca="1" si="25"/>
        <v>#VALUE!</v>
      </c>
      <c r="G664" t="e">
        <f t="shared" ca="1" si="26"/>
        <v>#VALUE!</v>
      </c>
    </row>
    <row r="665" spans="1:7" x14ac:dyDescent="0.25">
      <c r="A665" s="1"/>
      <c r="D665" t="e" cm="1">
        <f t="array" aca="1" ref="D665" ca="1">IF(OR(COUNTIF(damper_names,_xlfn.CONCAT("D_S_",C665))=1, COUNTIF(damper_names,_xlfn.CONCAT("D_E_",C665))=1), "C", "")</f>
        <v>#VALUE!</v>
      </c>
      <c r="E665" t="e">
        <f t="shared" ca="1" si="24"/>
        <v>#VALUE!</v>
      </c>
      <c r="F665" t="e">
        <f t="shared" ca="1" si="25"/>
        <v>#VALUE!</v>
      </c>
      <c r="G665" t="e">
        <f t="shared" ca="1" si="26"/>
        <v>#VALUE!</v>
      </c>
    </row>
    <row r="666" spans="1:7" x14ac:dyDescent="0.25">
      <c r="A666" s="1"/>
      <c r="D666" t="e" cm="1">
        <f t="array" aca="1" ref="D666" ca="1">IF(OR(COUNTIF(damper_names,_xlfn.CONCAT("D_S_",C666))=1, COUNTIF(damper_names,_xlfn.CONCAT("D_E_",C666))=1), "C", "")</f>
        <v>#VALUE!</v>
      </c>
      <c r="E666" t="e">
        <f t="shared" ca="1" si="24"/>
        <v>#VALUE!</v>
      </c>
      <c r="F666" t="e">
        <f t="shared" ca="1" si="25"/>
        <v>#VALUE!</v>
      </c>
      <c r="G666" t="e">
        <f t="shared" ca="1" si="26"/>
        <v>#VALUE!</v>
      </c>
    </row>
    <row r="667" spans="1:7" x14ac:dyDescent="0.25">
      <c r="A667" s="1"/>
      <c r="D667" t="e" cm="1">
        <f t="array" aca="1" ref="D667" ca="1">IF(OR(COUNTIF(damper_names,_xlfn.CONCAT("D_S_",C667))=1, COUNTIF(damper_names,_xlfn.CONCAT("D_E_",C667))=1), "C", "")</f>
        <v>#VALUE!</v>
      </c>
      <c r="E667" t="e">
        <f t="shared" ca="1" si="24"/>
        <v>#VALUE!</v>
      </c>
      <c r="F667" t="e">
        <f t="shared" ca="1" si="25"/>
        <v>#VALUE!</v>
      </c>
      <c r="G667" t="e">
        <f t="shared" ca="1" si="26"/>
        <v>#VALUE!</v>
      </c>
    </row>
    <row r="668" spans="1:7" x14ac:dyDescent="0.25">
      <c r="A668" s="1"/>
      <c r="D668" t="e" cm="1">
        <f t="array" aca="1" ref="D668" ca="1">IF(OR(COUNTIF(damper_names,_xlfn.CONCAT("D_S_",C668))=1, COUNTIF(damper_names,_xlfn.CONCAT("D_E_",C668))=1), "C", "")</f>
        <v>#VALUE!</v>
      </c>
      <c r="E668" t="e">
        <f t="shared" ca="1" si="24"/>
        <v>#VALUE!</v>
      </c>
      <c r="F668" t="e">
        <f t="shared" ca="1" si="25"/>
        <v>#VALUE!</v>
      </c>
      <c r="G668" t="e">
        <f t="shared" ca="1" si="26"/>
        <v>#VALUE!</v>
      </c>
    </row>
    <row r="669" spans="1:7" x14ac:dyDescent="0.25">
      <c r="A669" s="1"/>
      <c r="D669" t="e" cm="1">
        <f t="array" aca="1" ref="D669" ca="1">IF(OR(COUNTIF(damper_names,_xlfn.CONCAT("D_S_",C669))=1, COUNTIF(damper_names,_xlfn.CONCAT("D_E_",C669))=1), "C", "")</f>
        <v>#VALUE!</v>
      </c>
      <c r="E669" t="e">
        <f t="shared" ca="1" si="24"/>
        <v>#VALUE!</v>
      </c>
      <c r="F669" t="e">
        <f t="shared" ca="1" si="25"/>
        <v>#VALUE!</v>
      </c>
      <c r="G669" t="e">
        <f t="shared" ca="1" si="26"/>
        <v>#VALUE!</v>
      </c>
    </row>
    <row r="670" spans="1:7" x14ac:dyDescent="0.25">
      <c r="A670" s="1"/>
      <c r="D670" t="e" cm="1">
        <f t="array" aca="1" ref="D670" ca="1">IF(OR(COUNTIF(damper_names,_xlfn.CONCAT("D_S_",C670))=1, COUNTIF(damper_names,_xlfn.CONCAT("D_E_",C670))=1), "C", "")</f>
        <v>#VALUE!</v>
      </c>
      <c r="E670" t="e">
        <f t="shared" ca="1" si="24"/>
        <v>#VALUE!</v>
      </c>
      <c r="F670" t="e">
        <f t="shared" ca="1" si="25"/>
        <v>#VALUE!</v>
      </c>
      <c r="G670" t="e">
        <f t="shared" ca="1" si="26"/>
        <v>#VALUE!</v>
      </c>
    </row>
    <row r="671" spans="1:7" x14ac:dyDescent="0.25">
      <c r="A671" s="1"/>
      <c r="D671" t="e" cm="1">
        <f t="array" aca="1" ref="D671" ca="1">IF(OR(COUNTIF(damper_names,_xlfn.CONCAT("D_S_",C671))=1, COUNTIF(damper_names,_xlfn.CONCAT("D_E_",C671))=1), "C", "")</f>
        <v>#VALUE!</v>
      </c>
      <c r="E671" t="e">
        <f t="shared" ca="1" si="24"/>
        <v>#VALUE!</v>
      </c>
      <c r="F671" t="e">
        <f t="shared" ca="1" si="25"/>
        <v>#VALUE!</v>
      </c>
      <c r="G671" t="e">
        <f t="shared" ca="1" si="26"/>
        <v>#VALUE!</v>
      </c>
    </row>
    <row r="672" spans="1:7" x14ac:dyDescent="0.25">
      <c r="A672" s="1"/>
      <c r="D672" t="e" cm="1">
        <f t="array" aca="1" ref="D672" ca="1">IF(OR(COUNTIF(damper_names,_xlfn.CONCAT("D_S_",C672))=1, COUNTIF(damper_names,_xlfn.CONCAT("D_E_",C672))=1), "C", "")</f>
        <v>#VALUE!</v>
      </c>
      <c r="E672" t="e">
        <f t="shared" ca="1" si="24"/>
        <v>#VALUE!</v>
      </c>
      <c r="F672" t="e">
        <f t="shared" ca="1" si="25"/>
        <v>#VALUE!</v>
      </c>
      <c r="G672" t="e">
        <f t="shared" ca="1" si="26"/>
        <v>#VALUE!</v>
      </c>
    </row>
    <row r="673" spans="1:7" x14ac:dyDescent="0.25">
      <c r="A673" s="1"/>
      <c r="D673" t="e" cm="1">
        <f t="array" aca="1" ref="D673" ca="1">IF(OR(COUNTIF(damper_names,_xlfn.CONCAT("D_S_",C673))=1, COUNTIF(damper_names,_xlfn.CONCAT("D_E_",C673))=1), "C", "")</f>
        <v>#VALUE!</v>
      </c>
      <c r="E673" t="e">
        <f t="shared" ca="1" si="24"/>
        <v>#VALUE!</v>
      </c>
      <c r="F673" t="e">
        <f t="shared" ca="1" si="25"/>
        <v>#VALUE!</v>
      </c>
      <c r="G673" t="e">
        <f t="shared" ca="1" si="26"/>
        <v>#VALUE!</v>
      </c>
    </row>
    <row r="674" spans="1:7" x14ac:dyDescent="0.25">
      <c r="A674" s="1"/>
      <c r="D674" t="e" cm="1">
        <f t="array" aca="1" ref="D674" ca="1">IF(OR(COUNTIF(damper_names,_xlfn.CONCAT("D_S_",C674))=1, COUNTIF(damper_names,_xlfn.CONCAT("D_E_",C674))=1), "C", "")</f>
        <v>#VALUE!</v>
      </c>
      <c r="E674" t="e">
        <f t="shared" ca="1" si="24"/>
        <v>#VALUE!</v>
      </c>
      <c r="F674" t="e">
        <f t="shared" ca="1" si="25"/>
        <v>#VALUE!</v>
      </c>
      <c r="G674" t="e">
        <f t="shared" ca="1" si="26"/>
        <v>#VALUE!</v>
      </c>
    </row>
    <row r="675" spans="1:7" x14ac:dyDescent="0.25">
      <c r="A675" s="1"/>
      <c r="D675" t="e" cm="1">
        <f t="array" aca="1" ref="D675" ca="1">IF(OR(COUNTIF(damper_names,_xlfn.CONCAT("D_S_",C675))=1, COUNTIF(damper_names,_xlfn.CONCAT("D_E_",C675))=1), "C", "")</f>
        <v>#VALUE!</v>
      </c>
      <c r="E675" t="e">
        <f t="shared" ca="1" si="24"/>
        <v>#VALUE!</v>
      </c>
      <c r="F675" t="e">
        <f t="shared" ca="1" si="25"/>
        <v>#VALUE!</v>
      </c>
      <c r="G675" t="e">
        <f t="shared" ca="1" si="26"/>
        <v>#VALUE!</v>
      </c>
    </row>
    <row r="676" spans="1:7" x14ac:dyDescent="0.25">
      <c r="A676" s="1"/>
      <c r="D676" t="e" cm="1">
        <f t="array" aca="1" ref="D676" ca="1">IF(OR(COUNTIF(damper_names,_xlfn.CONCAT("D_S_",C676))=1, COUNTIF(damper_names,_xlfn.CONCAT("D_E_",C676))=1), "C", "")</f>
        <v>#VALUE!</v>
      </c>
      <c r="E676" t="e">
        <f t="shared" ca="1" si="24"/>
        <v>#VALUE!</v>
      </c>
      <c r="F676" t="e">
        <f t="shared" ca="1" si="25"/>
        <v>#VALUE!</v>
      </c>
      <c r="G676" t="e">
        <f t="shared" ca="1" si="26"/>
        <v>#VALUE!</v>
      </c>
    </row>
    <row r="677" spans="1:7" x14ac:dyDescent="0.25">
      <c r="A677" s="1"/>
      <c r="D677" t="e" cm="1">
        <f t="array" aca="1" ref="D677" ca="1">IF(OR(COUNTIF(damper_names,_xlfn.CONCAT("D_S_",C677))=1, COUNTIF(damper_names,_xlfn.CONCAT("D_E_",C677))=1), "C", "")</f>
        <v>#VALUE!</v>
      </c>
      <c r="E677" t="e">
        <f t="shared" ca="1" si="24"/>
        <v>#VALUE!</v>
      </c>
      <c r="F677" t="e">
        <f t="shared" ca="1" si="25"/>
        <v>#VALUE!</v>
      </c>
      <c r="G677" t="e">
        <f t="shared" ca="1" si="26"/>
        <v>#VALUE!</v>
      </c>
    </row>
    <row r="678" spans="1:7" x14ac:dyDescent="0.25">
      <c r="A678" s="1"/>
      <c r="D678" t="e" cm="1">
        <f t="array" aca="1" ref="D678" ca="1">IF(OR(COUNTIF(damper_names,_xlfn.CONCAT("D_S_",C678))=1, COUNTIF(damper_names,_xlfn.CONCAT("D_E_",C678))=1), "C", "")</f>
        <v>#VALUE!</v>
      </c>
      <c r="E678" t="e">
        <f t="shared" ca="1" si="24"/>
        <v>#VALUE!</v>
      </c>
      <c r="F678" t="e">
        <f t="shared" ca="1" si="25"/>
        <v>#VALUE!</v>
      </c>
      <c r="G678" t="e">
        <f t="shared" ca="1" si="26"/>
        <v>#VALUE!</v>
      </c>
    </row>
    <row r="679" spans="1:7" x14ac:dyDescent="0.25">
      <c r="A679" s="1"/>
      <c r="D679" t="e" cm="1">
        <f t="array" aca="1" ref="D679" ca="1">IF(OR(COUNTIF(damper_names,_xlfn.CONCAT("D_S_",C679))=1, COUNTIF(damper_names,_xlfn.CONCAT("D_E_",C679))=1), "C", "")</f>
        <v>#VALUE!</v>
      </c>
      <c r="E679" t="e">
        <f t="shared" ca="1" si="24"/>
        <v>#VALUE!</v>
      </c>
      <c r="F679" t="e">
        <f t="shared" ca="1" si="25"/>
        <v>#VALUE!</v>
      </c>
      <c r="G679" t="e">
        <f t="shared" ca="1" si="26"/>
        <v>#VALUE!</v>
      </c>
    </row>
    <row r="680" spans="1:7" x14ac:dyDescent="0.25">
      <c r="A680" s="1"/>
      <c r="D680" t="e" cm="1">
        <f t="array" aca="1" ref="D680" ca="1">IF(OR(COUNTIF(damper_names,_xlfn.CONCAT("D_S_",C680))=1, COUNTIF(damper_names,_xlfn.CONCAT("D_E_",C680))=1), "C", "")</f>
        <v>#VALUE!</v>
      </c>
      <c r="E680" t="e">
        <f t="shared" ca="1" si="24"/>
        <v>#VALUE!</v>
      </c>
      <c r="F680" t="e">
        <f t="shared" ca="1" si="25"/>
        <v>#VALUE!</v>
      </c>
      <c r="G680" t="e">
        <f t="shared" ca="1" si="26"/>
        <v>#VALUE!</v>
      </c>
    </row>
    <row r="681" spans="1:7" x14ac:dyDescent="0.25">
      <c r="A681" s="1"/>
      <c r="D681" t="e" cm="1">
        <f t="array" aca="1" ref="D681" ca="1">IF(OR(COUNTIF(damper_names,_xlfn.CONCAT("D_S_",C681))=1, COUNTIF(damper_names,_xlfn.CONCAT("D_E_",C681))=1), "C", "")</f>
        <v>#VALUE!</v>
      </c>
      <c r="E681" t="e">
        <f t="shared" ca="1" si="24"/>
        <v>#VALUE!</v>
      </c>
      <c r="F681" t="e">
        <f t="shared" ca="1" si="25"/>
        <v>#VALUE!</v>
      </c>
      <c r="G681" t="e">
        <f t="shared" ca="1" si="26"/>
        <v>#VALUE!</v>
      </c>
    </row>
    <row r="682" spans="1:7" x14ac:dyDescent="0.25">
      <c r="A682" s="1"/>
      <c r="D682" t="e" cm="1">
        <f t="array" aca="1" ref="D682" ca="1">IF(OR(COUNTIF(damper_names,_xlfn.CONCAT("D_S_",C682))=1, COUNTIF(damper_names,_xlfn.CONCAT("D_E_",C682))=1), "C", "")</f>
        <v>#VALUE!</v>
      </c>
      <c r="E682" t="e">
        <f t="shared" ca="1" si="24"/>
        <v>#VALUE!</v>
      </c>
      <c r="F682" t="e">
        <f t="shared" ca="1" si="25"/>
        <v>#VALUE!</v>
      </c>
      <c r="G682" t="e">
        <f t="shared" ca="1" si="26"/>
        <v>#VALUE!</v>
      </c>
    </row>
    <row r="683" spans="1:7" x14ac:dyDescent="0.25">
      <c r="A683" s="1"/>
      <c r="D683" t="e" cm="1">
        <f t="array" aca="1" ref="D683" ca="1">IF(OR(COUNTIF(damper_names,_xlfn.CONCAT("D_S_",C683))=1, COUNTIF(damper_names,_xlfn.CONCAT("D_E_",C683))=1), "C", "")</f>
        <v>#VALUE!</v>
      </c>
      <c r="E683" t="e">
        <f t="shared" ca="1" si="24"/>
        <v>#VALUE!</v>
      </c>
      <c r="F683" t="e">
        <f t="shared" ca="1" si="25"/>
        <v>#VALUE!</v>
      </c>
      <c r="G683" t="e">
        <f t="shared" ca="1" si="26"/>
        <v>#VALUE!</v>
      </c>
    </row>
    <row r="684" spans="1:7" x14ac:dyDescent="0.25">
      <c r="A684" s="1"/>
      <c r="D684" t="e" cm="1">
        <f t="array" aca="1" ref="D684" ca="1">IF(OR(COUNTIF(damper_names,_xlfn.CONCAT("D_S_",C684))=1, COUNTIF(damper_names,_xlfn.CONCAT("D_E_",C684))=1), "C", "")</f>
        <v>#VALUE!</v>
      </c>
      <c r="E684" t="e">
        <f t="shared" ca="1" si="24"/>
        <v>#VALUE!</v>
      </c>
      <c r="F684" t="e">
        <f t="shared" ca="1" si="25"/>
        <v>#VALUE!</v>
      </c>
      <c r="G684" t="e">
        <f t="shared" ca="1" si="26"/>
        <v>#VALUE!</v>
      </c>
    </row>
    <row r="685" spans="1:7" x14ac:dyDescent="0.25">
      <c r="A685" s="1"/>
      <c r="D685" t="e" cm="1">
        <f t="array" aca="1" ref="D685" ca="1">IF(OR(COUNTIF(damper_names,_xlfn.CONCAT("D_S_",C685))=1, COUNTIF(damper_names,_xlfn.CONCAT("D_E_",C685))=1), "C", "")</f>
        <v>#VALUE!</v>
      </c>
      <c r="E685" t="e">
        <f t="shared" ca="1" si="24"/>
        <v>#VALUE!</v>
      </c>
      <c r="F685" t="e">
        <f t="shared" ca="1" si="25"/>
        <v>#VALUE!</v>
      </c>
      <c r="G685" t="e">
        <f t="shared" ca="1" si="26"/>
        <v>#VALUE!</v>
      </c>
    </row>
    <row r="686" spans="1:7" x14ac:dyDescent="0.25">
      <c r="A686" s="1"/>
      <c r="D686" t="e" cm="1">
        <f t="array" aca="1" ref="D686" ca="1">IF(OR(COUNTIF(damper_names,_xlfn.CONCAT("D_S_",C686))=1, COUNTIF(damper_names,_xlfn.CONCAT("D_E_",C686))=1), "C", "")</f>
        <v>#VALUE!</v>
      </c>
      <c r="E686" t="e">
        <f t="shared" ca="1" si="24"/>
        <v>#VALUE!</v>
      </c>
      <c r="F686" t="e">
        <f t="shared" ca="1" si="25"/>
        <v>#VALUE!</v>
      </c>
      <c r="G686" t="e">
        <f t="shared" ca="1" si="26"/>
        <v>#VALUE!</v>
      </c>
    </row>
    <row r="687" spans="1:7" x14ac:dyDescent="0.25">
      <c r="A687" s="1"/>
      <c r="D687" t="e" cm="1">
        <f t="array" aca="1" ref="D687" ca="1">IF(OR(COUNTIF(damper_names,_xlfn.CONCAT("D_S_",C687))=1, COUNTIF(damper_names,_xlfn.CONCAT("D_E_",C687))=1), "C", "")</f>
        <v>#VALUE!</v>
      </c>
      <c r="E687" t="e">
        <f t="shared" ca="1" si="24"/>
        <v>#VALUE!</v>
      </c>
      <c r="F687" t="e">
        <f t="shared" ca="1" si="25"/>
        <v>#VALUE!</v>
      </c>
      <c r="G687" t="e">
        <f t="shared" ca="1" si="26"/>
        <v>#VALUE!</v>
      </c>
    </row>
    <row r="688" spans="1:7" x14ac:dyDescent="0.25">
      <c r="A688" s="1"/>
      <c r="D688" t="e" cm="1">
        <f t="array" aca="1" ref="D688" ca="1">IF(OR(COUNTIF(damper_names,_xlfn.CONCAT("D_S_",C688))=1, COUNTIF(damper_names,_xlfn.CONCAT("D_E_",C688))=1), "C", "")</f>
        <v>#VALUE!</v>
      </c>
      <c r="E688" t="e">
        <f t="shared" ca="1" si="24"/>
        <v>#VALUE!</v>
      </c>
      <c r="F688" t="e">
        <f t="shared" ca="1" si="25"/>
        <v>#VALUE!</v>
      </c>
      <c r="G688" t="e">
        <f t="shared" ca="1" si="26"/>
        <v>#VALUE!</v>
      </c>
    </row>
    <row r="689" spans="1:7" x14ac:dyDescent="0.25">
      <c r="A689" s="1"/>
      <c r="D689" t="e" cm="1">
        <f t="array" aca="1" ref="D689" ca="1">IF(OR(COUNTIF(damper_names,_xlfn.CONCAT("D_S_",C689))=1, COUNTIF(damper_names,_xlfn.CONCAT("D_E_",C689))=1), "C", "")</f>
        <v>#VALUE!</v>
      </c>
      <c r="E689" t="e">
        <f t="shared" ca="1" si="24"/>
        <v>#VALUE!</v>
      </c>
      <c r="F689" t="e">
        <f t="shared" ca="1" si="25"/>
        <v>#VALUE!</v>
      </c>
      <c r="G689" t="e">
        <f t="shared" ca="1" si="26"/>
        <v>#VALUE!</v>
      </c>
    </row>
    <row r="690" spans="1:7" x14ac:dyDescent="0.25">
      <c r="A690" s="1"/>
      <c r="D690" t="e" cm="1">
        <f t="array" aca="1" ref="D690" ca="1">IF(OR(COUNTIF(damper_names,_xlfn.CONCAT("D_S_",C690))=1, COUNTIF(damper_names,_xlfn.CONCAT("D_E_",C690))=1), "C", "")</f>
        <v>#VALUE!</v>
      </c>
      <c r="E690" t="e">
        <f t="shared" ca="1" si="24"/>
        <v>#VALUE!</v>
      </c>
      <c r="F690" t="e">
        <f t="shared" ca="1" si="25"/>
        <v>#VALUE!</v>
      </c>
      <c r="G690" t="e">
        <f t="shared" ca="1" si="26"/>
        <v>#VALUE!</v>
      </c>
    </row>
    <row r="691" spans="1:7" x14ac:dyDescent="0.25">
      <c r="A691" s="1"/>
      <c r="D691" t="e" cm="1">
        <f t="array" aca="1" ref="D691" ca="1">IF(OR(COUNTIF(damper_names,_xlfn.CONCAT("D_S_",C691))=1, COUNTIF(damper_names,_xlfn.CONCAT("D_E_",C691))=1), "C", "")</f>
        <v>#VALUE!</v>
      </c>
      <c r="E691" t="e">
        <f t="shared" ca="1" si="24"/>
        <v>#VALUE!</v>
      </c>
      <c r="F691" t="e">
        <f t="shared" ca="1" si="25"/>
        <v>#VALUE!</v>
      </c>
      <c r="G691" t="e">
        <f t="shared" ca="1" si="26"/>
        <v>#VALUE!</v>
      </c>
    </row>
    <row r="692" spans="1:7" x14ac:dyDescent="0.25">
      <c r="A692" s="1"/>
      <c r="D692" t="e" cm="1">
        <f t="array" aca="1" ref="D692" ca="1">IF(OR(COUNTIF(damper_names,_xlfn.CONCAT("D_S_",C692))=1, COUNTIF(damper_names,_xlfn.CONCAT("D_E_",C692))=1), "C", "")</f>
        <v>#VALUE!</v>
      </c>
      <c r="E692" t="e">
        <f t="shared" ca="1" si="24"/>
        <v>#VALUE!</v>
      </c>
      <c r="F692" t="e">
        <f t="shared" ca="1" si="25"/>
        <v>#VALUE!</v>
      </c>
      <c r="G692" t="e">
        <f t="shared" ca="1" si="26"/>
        <v>#VALUE!</v>
      </c>
    </row>
    <row r="693" spans="1:7" x14ac:dyDescent="0.25">
      <c r="A693" s="1"/>
      <c r="D693" t="e" cm="1">
        <f t="array" aca="1" ref="D693" ca="1">IF(OR(COUNTIF(damper_names,_xlfn.CONCAT("D_S_",C693))=1, COUNTIF(damper_names,_xlfn.CONCAT("D_E_",C693))=1), "C", "")</f>
        <v>#VALUE!</v>
      </c>
      <c r="E693" t="e">
        <f t="shared" ca="1" si="24"/>
        <v>#VALUE!</v>
      </c>
      <c r="F693" t="e">
        <f t="shared" ca="1" si="25"/>
        <v>#VALUE!</v>
      </c>
      <c r="G693" t="e">
        <f t="shared" ca="1" si="26"/>
        <v>#VALUE!</v>
      </c>
    </row>
    <row r="694" spans="1:7" x14ac:dyDescent="0.25">
      <c r="A694" s="1"/>
      <c r="D694" t="e" cm="1">
        <f t="array" aca="1" ref="D694" ca="1">IF(OR(COUNTIF(damper_names,_xlfn.CONCAT("D_S_",C694))=1, COUNTIF(damper_names,_xlfn.CONCAT("D_E_",C694))=1), "C", "")</f>
        <v>#VALUE!</v>
      </c>
      <c r="E694" t="e">
        <f t="shared" ca="1" si="24"/>
        <v>#VALUE!</v>
      </c>
      <c r="F694" t="e">
        <f t="shared" ca="1" si="25"/>
        <v>#VALUE!</v>
      </c>
      <c r="G694" t="e">
        <f t="shared" ca="1" si="26"/>
        <v>#VALUE!</v>
      </c>
    </row>
    <row r="695" spans="1:7" x14ac:dyDescent="0.25">
      <c r="A695" s="1"/>
      <c r="D695" t="e" cm="1">
        <f t="array" aca="1" ref="D695" ca="1">IF(OR(COUNTIF(damper_names,_xlfn.CONCAT("D_S_",C695))=1, COUNTIF(damper_names,_xlfn.CONCAT("D_E_",C695))=1), "C", "")</f>
        <v>#VALUE!</v>
      </c>
      <c r="E695" t="e">
        <f t="shared" ca="1" si="24"/>
        <v>#VALUE!</v>
      </c>
      <c r="F695" t="e">
        <f t="shared" ca="1" si="25"/>
        <v>#VALUE!</v>
      </c>
      <c r="G695" t="e">
        <f t="shared" ca="1" si="26"/>
        <v>#VALUE!</v>
      </c>
    </row>
    <row r="696" spans="1:7" x14ac:dyDescent="0.25">
      <c r="A696" s="1"/>
      <c r="D696" t="e" cm="1">
        <f t="array" aca="1" ref="D696" ca="1">IF(OR(COUNTIF(damper_names,_xlfn.CONCAT("D_S_",C696))=1, COUNTIF(damper_names,_xlfn.CONCAT("D_E_",C696))=1), "C", "")</f>
        <v>#VALUE!</v>
      </c>
      <c r="E696" t="e">
        <f t="shared" ca="1" si="24"/>
        <v>#VALUE!</v>
      </c>
      <c r="F696" t="e">
        <f t="shared" ca="1" si="25"/>
        <v>#VALUE!</v>
      </c>
      <c r="G696" t="e">
        <f t="shared" ca="1" si="26"/>
        <v>#VALUE!</v>
      </c>
    </row>
    <row r="697" spans="1:7" x14ac:dyDescent="0.25">
      <c r="A697" s="1"/>
      <c r="D697" t="e" cm="1">
        <f t="array" aca="1" ref="D697" ca="1">IF(OR(COUNTIF(damper_names,_xlfn.CONCAT("D_S_",C697))=1, COUNTIF(damper_names,_xlfn.CONCAT("D_E_",C697))=1), "C", "")</f>
        <v>#VALUE!</v>
      </c>
      <c r="E697" t="e">
        <f t="shared" ca="1" si="24"/>
        <v>#VALUE!</v>
      </c>
      <c r="F697" t="e">
        <f t="shared" ca="1" si="25"/>
        <v>#VALUE!</v>
      </c>
      <c r="G697" t="e">
        <f t="shared" ca="1" si="26"/>
        <v>#VALUE!</v>
      </c>
    </row>
    <row r="698" spans="1:7" x14ac:dyDescent="0.25">
      <c r="A698" s="1"/>
      <c r="D698" t="e" cm="1">
        <f t="array" aca="1" ref="D698" ca="1">IF(OR(COUNTIF(damper_names,_xlfn.CONCAT("D_S_",C698))=1, COUNTIF(damper_names,_xlfn.CONCAT("D_E_",C698))=1), "C", "")</f>
        <v>#VALUE!</v>
      </c>
      <c r="E698" t="e">
        <f t="shared" ca="1" si="24"/>
        <v>#VALUE!</v>
      </c>
      <c r="F698" t="e">
        <f t="shared" ca="1" si="25"/>
        <v>#VALUE!</v>
      </c>
      <c r="G698" t="e">
        <f t="shared" ca="1" si="26"/>
        <v>#VALUE!</v>
      </c>
    </row>
    <row r="699" spans="1:7" x14ac:dyDescent="0.25">
      <c r="A699" s="1"/>
      <c r="D699" t="e" cm="1">
        <f t="array" aca="1" ref="D699" ca="1">IF(OR(COUNTIF(damper_names,_xlfn.CONCAT("D_S_",C699))=1, COUNTIF(damper_names,_xlfn.CONCAT("D_E_",C699))=1), "C", "")</f>
        <v>#VALUE!</v>
      </c>
      <c r="E699" t="e">
        <f t="shared" ca="1" si="24"/>
        <v>#VALUE!</v>
      </c>
      <c r="F699" t="e">
        <f t="shared" ca="1" si="25"/>
        <v>#VALUE!</v>
      </c>
      <c r="G699" t="e">
        <f t="shared" ca="1" si="26"/>
        <v>#VALUE!</v>
      </c>
    </row>
    <row r="700" spans="1:7" x14ac:dyDescent="0.25">
      <c r="A700" s="1"/>
      <c r="D700" t="e" cm="1">
        <f t="array" aca="1" ref="D700" ca="1">IF(OR(COUNTIF(damper_names,_xlfn.CONCAT("D_S_",C700))=1, COUNTIF(damper_names,_xlfn.CONCAT("D_E_",C700))=1), "C", "")</f>
        <v>#VALUE!</v>
      </c>
      <c r="E700" t="e">
        <f t="shared" ca="1" si="24"/>
        <v>#VALUE!</v>
      </c>
      <c r="F700" t="e">
        <f t="shared" ca="1" si="25"/>
        <v>#VALUE!</v>
      </c>
      <c r="G700" t="e">
        <f t="shared" ca="1" si="26"/>
        <v>#VALUE!</v>
      </c>
    </row>
    <row r="701" spans="1:7" x14ac:dyDescent="0.25">
      <c r="A701" s="1"/>
      <c r="D701" t="e" cm="1">
        <f t="array" aca="1" ref="D701" ca="1">IF(OR(COUNTIF(damper_names,_xlfn.CONCAT("D_S_",C701))=1, COUNTIF(damper_names,_xlfn.CONCAT("D_E_",C701))=1), "C", "")</f>
        <v>#VALUE!</v>
      </c>
      <c r="E701" t="e">
        <f t="shared" ca="1" si="24"/>
        <v>#VALUE!</v>
      </c>
      <c r="F701" t="e">
        <f t="shared" ca="1" si="25"/>
        <v>#VALUE!</v>
      </c>
      <c r="G701" t="e">
        <f t="shared" ca="1" si="26"/>
        <v>#VALUE!</v>
      </c>
    </row>
    <row r="702" spans="1:7" x14ac:dyDescent="0.25">
      <c r="A702" s="1"/>
      <c r="D702" t="e" cm="1">
        <f t="array" aca="1" ref="D702" ca="1">IF(OR(COUNTIF(damper_names,_xlfn.CONCAT("D_S_",C702))=1, COUNTIF(damper_names,_xlfn.CONCAT("D_E_",C702))=1), "C", "")</f>
        <v>#VALUE!</v>
      </c>
      <c r="E702" t="e">
        <f t="shared" ca="1" si="24"/>
        <v>#VALUE!</v>
      </c>
      <c r="F702" t="e">
        <f t="shared" ca="1" si="25"/>
        <v>#VALUE!</v>
      </c>
      <c r="G702" t="e">
        <f t="shared" ca="1" si="26"/>
        <v>#VALUE!</v>
      </c>
    </row>
    <row r="703" spans="1:7" x14ac:dyDescent="0.25">
      <c r="A703" s="1"/>
      <c r="D703" t="e" cm="1">
        <f t="array" aca="1" ref="D703" ca="1">IF(OR(COUNTIF(damper_names,_xlfn.CONCAT("D_S_",C703))=1, COUNTIF(damper_names,_xlfn.CONCAT("D_E_",C703))=1), "C", "")</f>
        <v>#VALUE!</v>
      </c>
      <c r="E703" t="e">
        <f t="shared" ca="1" si="24"/>
        <v>#VALUE!</v>
      </c>
      <c r="F703" t="e">
        <f t="shared" ca="1" si="25"/>
        <v>#VALUE!</v>
      </c>
      <c r="G703" t="e">
        <f t="shared" ca="1" si="26"/>
        <v>#VALUE!</v>
      </c>
    </row>
    <row r="704" spans="1:7" x14ac:dyDescent="0.25">
      <c r="A704" s="1"/>
      <c r="D704" t="e" cm="1">
        <f t="array" aca="1" ref="D704" ca="1">IF(OR(COUNTIF(damper_names,_xlfn.CONCAT("D_S_",C704))=1, COUNTIF(damper_names,_xlfn.CONCAT("D_E_",C704))=1), "C", "")</f>
        <v>#VALUE!</v>
      </c>
      <c r="E704" t="e">
        <f t="shared" ca="1" si="24"/>
        <v>#VALUE!</v>
      </c>
      <c r="F704" t="e">
        <f t="shared" ca="1" si="25"/>
        <v>#VALUE!</v>
      </c>
      <c r="G704" t="e">
        <f t="shared" ca="1" si="26"/>
        <v>#VALUE!</v>
      </c>
    </row>
    <row r="705" spans="1:7" x14ac:dyDescent="0.25">
      <c r="A705" s="1"/>
      <c r="D705" t="e" cm="1">
        <f t="array" aca="1" ref="D705" ca="1">IF(OR(COUNTIF(damper_names,_xlfn.CONCAT("D_S_",C705))=1, COUNTIF(damper_names,_xlfn.CONCAT("D_E_",C705))=1), "C", "")</f>
        <v>#VALUE!</v>
      </c>
      <c r="E705" t="e">
        <f t="shared" ca="1" si="24"/>
        <v>#VALUE!</v>
      </c>
      <c r="F705" t="e">
        <f t="shared" ca="1" si="25"/>
        <v>#VALUE!</v>
      </c>
      <c r="G705" t="e">
        <f t="shared" ca="1" si="26"/>
        <v>#VALUE!</v>
      </c>
    </row>
    <row r="706" spans="1:7" x14ac:dyDescent="0.25">
      <c r="A706" s="1"/>
      <c r="D706" t="e" cm="1">
        <f t="array" aca="1" ref="D706" ca="1">IF(OR(COUNTIF(damper_names,_xlfn.CONCAT("D_S_",C706))=1, COUNTIF(damper_names,_xlfn.CONCAT("D_E_",C706))=1), "C", "")</f>
        <v>#VALUE!</v>
      </c>
      <c r="E706" t="e">
        <f t="shared" ca="1" si="24"/>
        <v>#VALUE!</v>
      </c>
      <c r="F706" t="e">
        <f t="shared" ca="1" si="25"/>
        <v>#VALUE!</v>
      </c>
      <c r="G706" t="e">
        <f t="shared" ca="1" si="26"/>
        <v>#VALUE!</v>
      </c>
    </row>
    <row r="707" spans="1:7" x14ac:dyDescent="0.25">
      <c r="A707" s="1"/>
      <c r="D707" t="e" cm="1">
        <f t="array" aca="1" ref="D707" ca="1">IF(OR(COUNTIF(damper_names,_xlfn.CONCAT("D_S_",C707))=1, COUNTIF(damper_names,_xlfn.CONCAT("D_E_",C707))=1), "C", "")</f>
        <v>#VALUE!</v>
      </c>
      <c r="E707" t="e">
        <f t="shared" ca="1" si="24"/>
        <v>#VALUE!</v>
      </c>
      <c r="F707" t="e">
        <f t="shared" ca="1" si="25"/>
        <v>#VALUE!</v>
      </c>
      <c r="G707" t="e">
        <f t="shared" ca="1" si="26"/>
        <v>#VALUE!</v>
      </c>
    </row>
    <row r="708" spans="1:7" x14ac:dyDescent="0.25">
      <c r="A708" s="1"/>
      <c r="D708" t="e" cm="1">
        <f t="array" aca="1" ref="D708" ca="1">IF(OR(COUNTIF(damper_names,_xlfn.CONCAT("D_S_",C708))=1, COUNTIF(damper_names,_xlfn.CONCAT("D_E_",C708))=1), "C", "")</f>
        <v>#VALUE!</v>
      </c>
      <c r="E708" t="e">
        <f t="shared" ca="1" si="24"/>
        <v>#VALUE!</v>
      </c>
      <c r="F708" t="e">
        <f t="shared" ca="1" si="25"/>
        <v>#VALUE!</v>
      </c>
      <c r="G708" t="e">
        <f t="shared" ca="1" si="26"/>
        <v>#VALUE!</v>
      </c>
    </row>
    <row r="709" spans="1:7" x14ac:dyDescent="0.25">
      <c r="A709" s="1"/>
      <c r="D709" t="e" cm="1">
        <f t="array" aca="1" ref="D709" ca="1">IF(OR(COUNTIF(damper_names,_xlfn.CONCAT("D_S_",C709))=1, COUNTIF(damper_names,_xlfn.CONCAT("D_E_",C709))=1), "C", "")</f>
        <v>#VALUE!</v>
      </c>
      <c r="E709" t="e">
        <f t="shared" ca="1" si="24"/>
        <v>#VALUE!</v>
      </c>
      <c r="F709" t="e">
        <f t="shared" ca="1" si="25"/>
        <v>#VALUE!</v>
      </c>
      <c r="G709" t="e">
        <f t="shared" ca="1" si="26"/>
        <v>#VALUE!</v>
      </c>
    </row>
    <row r="710" spans="1:7" x14ac:dyDescent="0.25">
      <c r="A710" s="1"/>
      <c r="D710" t="e" cm="1">
        <f t="array" aca="1" ref="D710" ca="1">IF(OR(COUNTIF(damper_names,_xlfn.CONCAT("D_S_",C710))=1, COUNTIF(damper_names,_xlfn.CONCAT("D_E_",C710))=1), "C", "")</f>
        <v>#VALUE!</v>
      </c>
      <c r="E710" t="e">
        <f t="shared" ca="1" si="24"/>
        <v>#VALUE!</v>
      </c>
      <c r="F710" t="e">
        <f t="shared" ca="1" si="25"/>
        <v>#VALUE!</v>
      </c>
      <c r="G710" t="e">
        <f t="shared" ca="1" si="26"/>
        <v>#VALUE!</v>
      </c>
    </row>
    <row r="711" spans="1:7" x14ac:dyDescent="0.25">
      <c r="A711" s="1"/>
      <c r="D711" t="e" cm="1">
        <f t="array" aca="1" ref="D711" ca="1">IF(OR(COUNTIF(damper_names,_xlfn.CONCAT("D_S_",C711))=1, COUNTIF(damper_names,_xlfn.CONCAT("D_E_",C711))=1), "C", "")</f>
        <v>#VALUE!</v>
      </c>
      <c r="E711" t="e">
        <f t="shared" ref="E711:E774" ca="1" si="27">IF(D711="T", 0.05, IF(D711="C", -0.01, ""))</f>
        <v>#VALUE!</v>
      </c>
      <c r="F711" t="e">
        <f t="shared" ref="F711:F774" ca="1" si="28">IF(D711="T", 0.05, IF(D711="C", 0, ""))</f>
        <v>#VALUE!</v>
      </c>
      <c r="G711" t="e">
        <f t="shared" ref="G711:G774" ca="1" si="29">IF(D711="T", 0, IF(D711="C", 0, ""))</f>
        <v>#VALUE!</v>
      </c>
    </row>
    <row r="712" spans="1:7" x14ac:dyDescent="0.25">
      <c r="A712" s="1"/>
      <c r="D712" t="e" cm="1">
        <f t="array" aca="1" ref="D712" ca="1">IF(OR(COUNTIF(damper_names,_xlfn.CONCAT("D_S_",C712))=1, COUNTIF(damper_names,_xlfn.CONCAT("D_E_",C712))=1), "C", "")</f>
        <v>#VALUE!</v>
      </c>
      <c r="E712" t="e">
        <f t="shared" ca="1" si="27"/>
        <v>#VALUE!</v>
      </c>
      <c r="F712" t="e">
        <f t="shared" ca="1" si="28"/>
        <v>#VALUE!</v>
      </c>
      <c r="G712" t="e">
        <f t="shared" ca="1" si="29"/>
        <v>#VALUE!</v>
      </c>
    </row>
    <row r="713" spans="1:7" x14ac:dyDescent="0.25">
      <c r="A713" s="1"/>
      <c r="D713" t="e" cm="1">
        <f t="array" aca="1" ref="D713" ca="1">IF(OR(COUNTIF(damper_names,_xlfn.CONCAT("D_S_",C713))=1, COUNTIF(damper_names,_xlfn.CONCAT("D_E_",C713))=1), "C", "")</f>
        <v>#VALUE!</v>
      </c>
      <c r="E713" t="e">
        <f t="shared" ca="1" si="27"/>
        <v>#VALUE!</v>
      </c>
      <c r="F713" t="e">
        <f t="shared" ca="1" si="28"/>
        <v>#VALUE!</v>
      </c>
      <c r="G713" t="e">
        <f t="shared" ca="1" si="29"/>
        <v>#VALUE!</v>
      </c>
    </row>
    <row r="714" spans="1:7" x14ac:dyDescent="0.25">
      <c r="A714" s="1"/>
      <c r="D714" t="e" cm="1">
        <f t="array" aca="1" ref="D714" ca="1">IF(OR(COUNTIF(damper_names,_xlfn.CONCAT("D_S_",C714))=1, COUNTIF(damper_names,_xlfn.CONCAT("D_E_",C714))=1), "C", "")</f>
        <v>#VALUE!</v>
      </c>
      <c r="E714" t="e">
        <f t="shared" ca="1" si="27"/>
        <v>#VALUE!</v>
      </c>
      <c r="F714" t="e">
        <f t="shared" ca="1" si="28"/>
        <v>#VALUE!</v>
      </c>
      <c r="G714" t="e">
        <f t="shared" ca="1" si="29"/>
        <v>#VALUE!</v>
      </c>
    </row>
    <row r="715" spans="1:7" x14ac:dyDescent="0.25">
      <c r="A715" s="1"/>
      <c r="D715" t="e" cm="1">
        <f t="array" aca="1" ref="D715" ca="1">IF(OR(COUNTIF(damper_names,_xlfn.CONCAT("D_S_",C715))=1, COUNTIF(damper_names,_xlfn.CONCAT("D_E_",C715))=1), "C", "")</f>
        <v>#VALUE!</v>
      </c>
      <c r="E715" t="e">
        <f t="shared" ca="1" si="27"/>
        <v>#VALUE!</v>
      </c>
      <c r="F715" t="e">
        <f t="shared" ca="1" si="28"/>
        <v>#VALUE!</v>
      </c>
      <c r="G715" t="e">
        <f t="shared" ca="1" si="29"/>
        <v>#VALUE!</v>
      </c>
    </row>
    <row r="716" spans="1:7" x14ac:dyDescent="0.25">
      <c r="A716" s="1"/>
      <c r="D716" t="e" cm="1">
        <f t="array" aca="1" ref="D716" ca="1">IF(OR(COUNTIF(damper_names,_xlfn.CONCAT("D_S_",C716))=1, COUNTIF(damper_names,_xlfn.CONCAT("D_E_",C716))=1), "C", "")</f>
        <v>#VALUE!</v>
      </c>
      <c r="E716" t="e">
        <f t="shared" ca="1" si="27"/>
        <v>#VALUE!</v>
      </c>
      <c r="F716" t="e">
        <f t="shared" ca="1" si="28"/>
        <v>#VALUE!</v>
      </c>
      <c r="G716" t="e">
        <f t="shared" ca="1" si="29"/>
        <v>#VALUE!</v>
      </c>
    </row>
    <row r="717" spans="1:7" x14ac:dyDescent="0.25">
      <c r="A717" s="1"/>
      <c r="D717" t="e" cm="1">
        <f t="array" aca="1" ref="D717" ca="1">IF(OR(COUNTIF(damper_names,_xlfn.CONCAT("D_S_",C717))=1, COUNTIF(damper_names,_xlfn.CONCAT("D_E_",C717))=1), "C", "")</f>
        <v>#VALUE!</v>
      </c>
      <c r="E717" t="e">
        <f t="shared" ca="1" si="27"/>
        <v>#VALUE!</v>
      </c>
      <c r="F717" t="e">
        <f t="shared" ca="1" si="28"/>
        <v>#VALUE!</v>
      </c>
      <c r="G717" t="e">
        <f t="shared" ca="1" si="29"/>
        <v>#VALUE!</v>
      </c>
    </row>
    <row r="718" spans="1:7" x14ac:dyDescent="0.25">
      <c r="A718" s="1"/>
      <c r="D718" t="e" cm="1">
        <f t="array" aca="1" ref="D718" ca="1">IF(OR(COUNTIF(damper_names,_xlfn.CONCAT("D_S_",C718))=1, COUNTIF(damper_names,_xlfn.CONCAT("D_E_",C718))=1), "C", "")</f>
        <v>#VALUE!</v>
      </c>
      <c r="E718" t="e">
        <f t="shared" ca="1" si="27"/>
        <v>#VALUE!</v>
      </c>
      <c r="F718" t="e">
        <f t="shared" ca="1" si="28"/>
        <v>#VALUE!</v>
      </c>
      <c r="G718" t="e">
        <f t="shared" ca="1" si="29"/>
        <v>#VALUE!</v>
      </c>
    </row>
    <row r="719" spans="1:7" x14ac:dyDescent="0.25">
      <c r="A719" s="1"/>
      <c r="D719" t="e" cm="1">
        <f t="array" aca="1" ref="D719" ca="1">IF(OR(COUNTIF(damper_names,_xlfn.CONCAT("D_S_",C719))=1, COUNTIF(damper_names,_xlfn.CONCAT("D_E_",C719))=1), "C", "")</f>
        <v>#VALUE!</v>
      </c>
      <c r="E719" t="e">
        <f t="shared" ca="1" si="27"/>
        <v>#VALUE!</v>
      </c>
      <c r="F719" t="e">
        <f t="shared" ca="1" si="28"/>
        <v>#VALUE!</v>
      </c>
      <c r="G719" t="e">
        <f t="shared" ca="1" si="29"/>
        <v>#VALUE!</v>
      </c>
    </row>
    <row r="720" spans="1:7" x14ac:dyDescent="0.25">
      <c r="A720" s="1"/>
      <c r="D720" t="e" cm="1">
        <f t="array" aca="1" ref="D720" ca="1">IF(OR(COUNTIF(damper_names,_xlfn.CONCAT("D_S_",C720))=1, COUNTIF(damper_names,_xlfn.CONCAT("D_E_",C720))=1), "C", "")</f>
        <v>#VALUE!</v>
      </c>
      <c r="E720" t="e">
        <f t="shared" ca="1" si="27"/>
        <v>#VALUE!</v>
      </c>
      <c r="F720" t="e">
        <f t="shared" ca="1" si="28"/>
        <v>#VALUE!</v>
      </c>
      <c r="G720" t="e">
        <f t="shared" ca="1" si="29"/>
        <v>#VALUE!</v>
      </c>
    </row>
    <row r="721" spans="1:7" x14ac:dyDescent="0.25">
      <c r="A721" s="1"/>
      <c r="D721" t="e" cm="1">
        <f t="array" aca="1" ref="D721" ca="1">IF(OR(COUNTIF(damper_names,_xlfn.CONCAT("D_S_",C721))=1, COUNTIF(damper_names,_xlfn.CONCAT("D_E_",C721))=1), "C", "")</f>
        <v>#VALUE!</v>
      </c>
      <c r="E721" t="e">
        <f t="shared" ca="1" si="27"/>
        <v>#VALUE!</v>
      </c>
      <c r="F721" t="e">
        <f t="shared" ca="1" si="28"/>
        <v>#VALUE!</v>
      </c>
      <c r="G721" t="e">
        <f t="shared" ca="1" si="29"/>
        <v>#VALUE!</v>
      </c>
    </row>
    <row r="722" spans="1:7" x14ac:dyDescent="0.25">
      <c r="A722" s="1"/>
      <c r="D722" t="e" cm="1">
        <f t="array" aca="1" ref="D722" ca="1">IF(OR(COUNTIF(damper_names,_xlfn.CONCAT("D_S_",C722))=1, COUNTIF(damper_names,_xlfn.CONCAT("D_E_",C722))=1), "C", "")</f>
        <v>#VALUE!</v>
      </c>
      <c r="E722" t="e">
        <f t="shared" ca="1" si="27"/>
        <v>#VALUE!</v>
      </c>
      <c r="F722" t="e">
        <f t="shared" ca="1" si="28"/>
        <v>#VALUE!</v>
      </c>
      <c r="G722" t="e">
        <f t="shared" ca="1" si="29"/>
        <v>#VALUE!</v>
      </c>
    </row>
    <row r="723" spans="1:7" x14ac:dyDescent="0.25">
      <c r="A723" s="1"/>
      <c r="D723" t="e" cm="1">
        <f t="array" aca="1" ref="D723" ca="1">IF(OR(COUNTIF(damper_names,_xlfn.CONCAT("D_S_",C723))=1, COUNTIF(damper_names,_xlfn.CONCAT("D_E_",C723))=1), "C", "")</f>
        <v>#VALUE!</v>
      </c>
      <c r="E723" t="e">
        <f t="shared" ca="1" si="27"/>
        <v>#VALUE!</v>
      </c>
      <c r="F723" t="e">
        <f t="shared" ca="1" si="28"/>
        <v>#VALUE!</v>
      </c>
      <c r="G723" t="e">
        <f t="shared" ca="1" si="29"/>
        <v>#VALUE!</v>
      </c>
    </row>
    <row r="724" spans="1:7" x14ac:dyDescent="0.25">
      <c r="A724" s="1"/>
      <c r="D724" t="e" cm="1">
        <f t="array" aca="1" ref="D724" ca="1">IF(OR(COUNTIF(damper_names,_xlfn.CONCAT("D_S_",C724))=1, COUNTIF(damper_names,_xlfn.CONCAT("D_E_",C724))=1), "C", "")</f>
        <v>#VALUE!</v>
      </c>
      <c r="E724" t="e">
        <f t="shared" ca="1" si="27"/>
        <v>#VALUE!</v>
      </c>
      <c r="F724" t="e">
        <f t="shared" ca="1" si="28"/>
        <v>#VALUE!</v>
      </c>
      <c r="G724" t="e">
        <f t="shared" ca="1" si="29"/>
        <v>#VALUE!</v>
      </c>
    </row>
    <row r="725" spans="1:7" x14ac:dyDescent="0.25">
      <c r="A725" s="1"/>
      <c r="D725" t="e" cm="1">
        <f t="array" aca="1" ref="D725" ca="1">IF(OR(COUNTIF(damper_names,_xlfn.CONCAT("D_S_",C725))=1, COUNTIF(damper_names,_xlfn.CONCAT("D_E_",C725))=1), "C", "")</f>
        <v>#VALUE!</v>
      </c>
      <c r="E725" t="e">
        <f t="shared" ca="1" si="27"/>
        <v>#VALUE!</v>
      </c>
      <c r="F725" t="e">
        <f t="shared" ca="1" si="28"/>
        <v>#VALUE!</v>
      </c>
      <c r="G725" t="e">
        <f t="shared" ca="1" si="29"/>
        <v>#VALUE!</v>
      </c>
    </row>
    <row r="726" spans="1:7" x14ac:dyDescent="0.25">
      <c r="A726" s="1"/>
      <c r="D726" t="e" cm="1">
        <f t="array" aca="1" ref="D726" ca="1">IF(OR(COUNTIF(damper_names,_xlfn.CONCAT("D_S_",C726))=1, COUNTIF(damper_names,_xlfn.CONCAT("D_E_",C726))=1), "C", "")</f>
        <v>#VALUE!</v>
      </c>
      <c r="E726" t="e">
        <f t="shared" ca="1" si="27"/>
        <v>#VALUE!</v>
      </c>
      <c r="F726" t="e">
        <f t="shared" ca="1" si="28"/>
        <v>#VALUE!</v>
      </c>
      <c r="G726" t="e">
        <f t="shared" ca="1" si="29"/>
        <v>#VALUE!</v>
      </c>
    </row>
    <row r="727" spans="1:7" x14ac:dyDescent="0.25">
      <c r="A727" s="1"/>
      <c r="D727" t="e" cm="1">
        <f t="array" aca="1" ref="D727" ca="1">IF(OR(COUNTIF(damper_names,_xlfn.CONCAT("D_S_",C727))=1, COUNTIF(damper_names,_xlfn.CONCAT("D_E_",C727))=1), "C", "")</f>
        <v>#VALUE!</v>
      </c>
      <c r="E727" t="e">
        <f t="shared" ca="1" si="27"/>
        <v>#VALUE!</v>
      </c>
      <c r="F727" t="e">
        <f t="shared" ca="1" si="28"/>
        <v>#VALUE!</v>
      </c>
      <c r="G727" t="e">
        <f t="shared" ca="1" si="29"/>
        <v>#VALUE!</v>
      </c>
    </row>
    <row r="728" spans="1:7" x14ac:dyDescent="0.25">
      <c r="A728" s="1"/>
      <c r="D728" t="e" cm="1">
        <f t="array" aca="1" ref="D728" ca="1">IF(OR(COUNTIF(damper_names,_xlfn.CONCAT("D_S_",C728))=1, COUNTIF(damper_names,_xlfn.CONCAT("D_E_",C728))=1), "C", "")</f>
        <v>#VALUE!</v>
      </c>
      <c r="E728" t="e">
        <f t="shared" ca="1" si="27"/>
        <v>#VALUE!</v>
      </c>
      <c r="F728" t="e">
        <f t="shared" ca="1" si="28"/>
        <v>#VALUE!</v>
      </c>
      <c r="G728" t="e">
        <f t="shared" ca="1" si="29"/>
        <v>#VALUE!</v>
      </c>
    </row>
    <row r="729" spans="1:7" x14ac:dyDescent="0.25">
      <c r="A729" s="1"/>
      <c r="D729" t="e" cm="1">
        <f t="array" aca="1" ref="D729" ca="1">IF(OR(COUNTIF(damper_names,_xlfn.CONCAT("D_S_",C729))=1, COUNTIF(damper_names,_xlfn.CONCAT("D_E_",C729))=1), "C", "")</f>
        <v>#VALUE!</v>
      </c>
      <c r="E729" t="e">
        <f t="shared" ca="1" si="27"/>
        <v>#VALUE!</v>
      </c>
      <c r="F729" t="e">
        <f t="shared" ca="1" si="28"/>
        <v>#VALUE!</v>
      </c>
      <c r="G729" t="e">
        <f t="shared" ca="1" si="29"/>
        <v>#VALUE!</v>
      </c>
    </row>
    <row r="730" spans="1:7" x14ac:dyDescent="0.25">
      <c r="A730" s="1"/>
      <c r="D730" t="e" cm="1">
        <f t="array" aca="1" ref="D730" ca="1">IF(OR(COUNTIF(damper_names,_xlfn.CONCAT("D_S_",C730))=1, COUNTIF(damper_names,_xlfn.CONCAT("D_E_",C730))=1), "C", "")</f>
        <v>#VALUE!</v>
      </c>
      <c r="E730" t="e">
        <f t="shared" ca="1" si="27"/>
        <v>#VALUE!</v>
      </c>
      <c r="F730" t="e">
        <f t="shared" ca="1" si="28"/>
        <v>#VALUE!</v>
      </c>
      <c r="G730" t="e">
        <f t="shared" ca="1" si="29"/>
        <v>#VALUE!</v>
      </c>
    </row>
    <row r="731" spans="1:7" x14ac:dyDescent="0.25">
      <c r="A731" s="1"/>
      <c r="D731" t="e" cm="1">
        <f t="array" aca="1" ref="D731" ca="1">IF(OR(COUNTIF(damper_names,_xlfn.CONCAT("D_S_",C731))=1, COUNTIF(damper_names,_xlfn.CONCAT("D_E_",C731))=1), "C", "")</f>
        <v>#VALUE!</v>
      </c>
      <c r="E731" t="e">
        <f t="shared" ca="1" si="27"/>
        <v>#VALUE!</v>
      </c>
      <c r="F731" t="e">
        <f t="shared" ca="1" si="28"/>
        <v>#VALUE!</v>
      </c>
      <c r="G731" t="e">
        <f t="shared" ca="1" si="29"/>
        <v>#VALUE!</v>
      </c>
    </row>
    <row r="732" spans="1:7" x14ac:dyDescent="0.25">
      <c r="A732" s="1"/>
      <c r="D732" t="e" cm="1">
        <f t="array" aca="1" ref="D732" ca="1">IF(OR(COUNTIF(damper_names,_xlfn.CONCAT("D_S_",C732))=1, COUNTIF(damper_names,_xlfn.CONCAT("D_E_",C732))=1), "C", "")</f>
        <v>#VALUE!</v>
      </c>
      <c r="E732" t="e">
        <f t="shared" ca="1" si="27"/>
        <v>#VALUE!</v>
      </c>
      <c r="F732" t="e">
        <f t="shared" ca="1" si="28"/>
        <v>#VALUE!</v>
      </c>
      <c r="G732" t="e">
        <f t="shared" ca="1" si="29"/>
        <v>#VALUE!</v>
      </c>
    </row>
    <row r="733" spans="1:7" x14ac:dyDescent="0.25">
      <c r="A733" s="1"/>
      <c r="D733" t="e" cm="1">
        <f t="array" aca="1" ref="D733" ca="1">IF(OR(COUNTIF(damper_names,_xlfn.CONCAT("D_S_",C733))=1, COUNTIF(damper_names,_xlfn.CONCAT("D_E_",C733))=1), "C", "")</f>
        <v>#VALUE!</v>
      </c>
      <c r="E733" t="e">
        <f t="shared" ca="1" si="27"/>
        <v>#VALUE!</v>
      </c>
      <c r="F733" t="e">
        <f t="shared" ca="1" si="28"/>
        <v>#VALUE!</v>
      </c>
      <c r="G733" t="e">
        <f t="shared" ca="1" si="29"/>
        <v>#VALUE!</v>
      </c>
    </row>
    <row r="734" spans="1:7" x14ac:dyDescent="0.25">
      <c r="A734" s="1"/>
      <c r="D734" t="e" cm="1">
        <f t="array" aca="1" ref="D734" ca="1">IF(OR(COUNTIF(damper_names,_xlfn.CONCAT("D_S_",C734))=1, COUNTIF(damper_names,_xlfn.CONCAT("D_E_",C734))=1), "C", "")</f>
        <v>#VALUE!</v>
      </c>
      <c r="E734" t="e">
        <f t="shared" ca="1" si="27"/>
        <v>#VALUE!</v>
      </c>
      <c r="F734" t="e">
        <f t="shared" ca="1" si="28"/>
        <v>#VALUE!</v>
      </c>
      <c r="G734" t="e">
        <f t="shared" ca="1" si="29"/>
        <v>#VALUE!</v>
      </c>
    </row>
    <row r="735" spans="1:7" x14ac:dyDescent="0.25">
      <c r="A735" s="1"/>
      <c r="D735" t="e" cm="1">
        <f t="array" aca="1" ref="D735" ca="1">IF(OR(COUNTIF(damper_names,_xlfn.CONCAT("D_S_",C735))=1, COUNTIF(damper_names,_xlfn.CONCAT("D_E_",C735))=1), "C", "")</f>
        <v>#VALUE!</v>
      </c>
      <c r="E735" t="e">
        <f t="shared" ca="1" si="27"/>
        <v>#VALUE!</v>
      </c>
      <c r="F735" t="e">
        <f t="shared" ca="1" si="28"/>
        <v>#VALUE!</v>
      </c>
      <c r="G735" t="e">
        <f t="shared" ca="1" si="29"/>
        <v>#VALUE!</v>
      </c>
    </row>
    <row r="736" spans="1:7" x14ac:dyDescent="0.25">
      <c r="A736" s="1"/>
      <c r="D736" t="e" cm="1">
        <f t="array" aca="1" ref="D736" ca="1">IF(OR(COUNTIF(damper_names,_xlfn.CONCAT("D_S_",C736))=1, COUNTIF(damper_names,_xlfn.CONCAT("D_E_",C736))=1), "C", "")</f>
        <v>#VALUE!</v>
      </c>
      <c r="E736" t="e">
        <f t="shared" ca="1" si="27"/>
        <v>#VALUE!</v>
      </c>
      <c r="F736" t="e">
        <f t="shared" ca="1" si="28"/>
        <v>#VALUE!</v>
      </c>
      <c r="G736" t="e">
        <f t="shared" ca="1" si="29"/>
        <v>#VALUE!</v>
      </c>
    </row>
    <row r="737" spans="1:7" x14ac:dyDescent="0.25">
      <c r="A737" s="1"/>
      <c r="D737" t="e" cm="1">
        <f t="array" aca="1" ref="D737" ca="1">IF(OR(COUNTIF(damper_names,_xlfn.CONCAT("D_S_",C737))=1, COUNTIF(damper_names,_xlfn.CONCAT("D_E_",C737))=1), "C", "")</f>
        <v>#VALUE!</v>
      </c>
      <c r="E737" t="e">
        <f t="shared" ca="1" si="27"/>
        <v>#VALUE!</v>
      </c>
      <c r="F737" t="e">
        <f t="shared" ca="1" si="28"/>
        <v>#VALUE!</v>
      </c>
      <c r="G737" t="e">
        <f t="shared" ca="1" si="29"/>
        <v>#VALUE!</v>
      </c>
    </row>
    <row r="738" spans="1:7" x14ac:dyDescent="0.25">
      <c r="A738" s="1"/>
      <c r="D738" t="e" cm="1">
        <f t="array" aca="1" ref="D738" ca="1">IF(OR(COUNTIF(damper_names,_xlfn.CONCAT("D_S_",C738))=1, COUNTIF(damper_names,_xlfn.CONCAT("D_E_",C738))=1), "C", "")</f>
        <v>#VALUE!</v>
      </c>
      <c r="E738" t="e">
        <f t="shared" ca="1" si="27"/>
        <v>#VALUE!</v>
      </c>
      <c r="F738" t="e">
        <f t="shared" ca="1" si="28"/>
        <v>#VALUE!</v>
      </c>
      <c r="G738" t="e">
        <f t="shared" ca="1" si="29"/>
        <v>#VALUE!</v>
      </c>
    </row>
    <row r="739" spans="1:7" x14ac:dyDescent="0.25">
      <c r="A739" s="1"/>
      <c r="D739" t="e" cm="1">
        <f t="array" aca="1" ref="D739" ca="1">IF(OR(COUNTIF(damper_names,_xlfn.CONCAT("D_S_",C739))=1, COUNTIF(damper_names,_xlfn.CONCAT("D_E_",C739))=1), "C", "")</f>
        <v>#VALUE!</v>
      </c>
      <c r="E739" t="e">
        <f t="shared" ca="1" si="27"/>
        <v>#VALUE!</v>
      </c>
      <c r="F739" t="e">
        <f t="shared" ca="1" si="28"/>
        <v>#VALUE!</v>
      </c>
      <c r="G739" t="e">
        <f t="shared" ca="1" si="29"/>
        <v>#VALUE!</v>
      </c>
    </row>
    <row r="740" spans="1:7" x14ac:dyDescent="0.25">
      <c r="A740" s="1"/>
      <c r="D740" t="e" cm="1">
        <f t="array" aca="1" ref="D740" ca="1">IF(OR(COUNTIF(damper_names,_xlfn.CONCAT("D_S_",C740))=1, COUNTIF(damper_names,_xlfn.CONCAT("D_E_",C740))=1), "C", "")</f>
        <v>#VALUE!</v>
      </c>
      <c r="E740" t="e">
        <f t="shared" ca="1" si="27"/>
        <v>#VALUE!</v>
      </c>
      <c r="F740" t="e">
        <f t="shared" ca="1" si="28"/>
        <v>#VALUE!</v>
      </c>
      <c r="G740" t="e">
        <f t="shared" ca="1" si="29"/>
        <v>#VALUE!</v>
      </c>
    </row>
    <row r="741" spans="1:7" x14ac:dyDescent="0.25">
      <c r="A741" s="1"/>
      <c r="D741" t="e" cm="1">
        <f t="array" aca="1" ref="D741" ca="1">IF(OR(COUNTIF(damper_names,_xlfn.CONCAT("D_S_",C741))=1, COUNTIF(damper_names,_xlfn.CONCAT("D_E_",C741))=1), "C", "")</f>
        <v>#VALUE!</v>
      </c>
      <c r="E741" t="e">
        <f t="shared" ca="1" si="27"/>
        <v>#VALUE!</v>
      </c>
      <c r="F741" t="e">
        <f t="shared" ca="1" si="28"/>
        <v>#VALUE!</v>
      </c>
      <c r="G741" t="e">
        <f t="shared" ca="1" si="29"/>
        <v>#VALUE!</v>
      </c>
    </row>
    <row r="742" spans="1:7" x14ac:dyDescent="0.25">
      <c r="A742" s="1"/>
      <c r="D742" t="e" cm="1">
        <f t="array" aca="1" ref="D742" ca="1">IF(OR(COUNTIF(damper_names,_xlfn.CONCAT("D_S_",C742))=1, COUNTIF(damper_names,_xlfn.CONCAT("D_E_",C742))=1), "C", "")</f>
        <v>#VALUE!</v>
      </c>
      <c r="E742" t="e">
        <f t="shared" ca="1" si="27"/>
        <v>#VALUE!</v>
      </c>
      <c r="F742" t="e">
        <f t="shared" ca="1" si="28"/>
        <v>#VALUE!</v>
      </c>
      <c r="G742" t="e">
        <f t="shared" ca="1" si="29"/>
        <v>#VALUE!</v>
      </c>
    </row>
    <row r="743" spans="1:7" x14ac:dyDescent="0.25">
      <c r="A743" s="1"/>
      <c r="D743" t="e" cm="1">
        <f t="array" aca="1" ref="D743" ca="1">IF(OR(COUNTIF(damper_names,_xlfn.CONCAT("D_S_",C743))=1, COUNTIF(damper_names,_xlfn.CONCAT("D_E_",C743))=1), "C", "")</f>
        <v>#VALUE!</v>
      </c>
      <c r="E743" t="e">
        <f t="shared" ca="1" si="27"/>
        <v>#VALUE!</v>
      </c>
      <c r="F743" t="e">
        <f t="shared" ca="1" si="28"/>
        <v>#VALUE!</v>
      </c>
      <c r="G743" t="e">
        <f t="shared" ca="1" si="29"/>
        <v>#VALUE!</v>
      </c>
    </row>
    <row r="744" spans="1:7" x14ac:dyDescent="0.25">
      <c r="A744" s="1"/>
      <c r="D744" t="e" cm="1">
        <f t="array" aca="1" ref="D744" ca="1">IF(OR(COUNTIF(damper_names,_xlfn.CONCAT("D_S_",C744))=1, COUNTIF(damper_names,_xlfn.CONCAT("D_E_",C744))=1), "C", "")</f>
        <v>#VALUE!</v>
      </c>
      <c r="E744" t="e">
        <f t="shared" ca="1" si="27"/>
        <v>#VALUE!</v>
      </c>
      <c r="F744" t="e">
        <f t="shared" ca="1" si="28"/>
        <v>#VALUE!</v>
      </c>
      <c r="G744" t="e">
        <f t="shared" ca="1" si="29"/>
        <v>#VALUE!</v>
      </c>
    </row>
    <row r="745" spans="1:7" x14ac:dyDescent="0.25">
      <c r="A745" s="1"/>
      <c r="D745" t="e" cm="1">
        <f t="array" aca="1" ref="D745" ca="1">IF(OR(COUNTIF(damper_names,_xlfn.CONCAT("D_S_",C745))=1, COUNTIF(damper_names,_xlfn.CONCAT("D_E_",C745))=1), "C", "")</f>
        <v>#VALUE!</v>
      </c>
      <c r="E745" t="e">
        <f t="shared" ca="1" si="27"/>
        <v>#VALUE!</v>
      </c>
      <c r="F745" t="e">
        <f t="shared" ca="1" si="28"/>
        <v>#VALUE!</v>
      </c>
      <c r="G745" t="e">
        <f t="shared" ca="1" si="29"/>
        <v>#VALUE!</v>
      </c>
    </row>
    <row r="746" spans="1:7" x14ac:dyDescent="0.25">
      <c r="A746" s="1"/>
      <c r="D746" t="e" cm="1">
        <f t="array" aca="1" ref="D746" ca="1">IF(OR(COUNTIF(damper_names,_xlfn.CONCAT("D_S_",C746))=1, COUNTIF(damper_names,_xlfn.CONCAT("D_E_",C746))=1), "C", "")</f>
        <v>#VALUE!</v>
      </c>
      <c r="E746" t="e">
        <f t="shared" ca="1" si="27"/>
        <v>#VALUE!</v>
      </c>
      <c r="F746" t="e">
        <f t="shared" ca="1" si="28"/>
        <v>#VALUE!</v>
      </c>
      <c r="G746" t="e">
        <f t="shared" ca="1" si="29"/>
        <v>#VALUE!</v>
      </c>
    </row>
    <row r="747" spans="1:7" x14ac:dyDescent="0.25">
      <c r="A747" s="1"/>
      <c r="D747" t="e" cm="1">
        <f t="array" aca="1" ref="D747" ca="1">IF(OR(COUNTIF(damper_names,_xlfn.CONCAT("D_S_",C747))=1, COUNTIF(damper_names,_xlfn.CONCAT("D_E_",C747))=1), "C", "")</f>
        <v>#VALUE!</v>
      </c>
      <c r="E747" t="e">
        <f t="shared" ca="1" si="27"/>
        <v>#VALUE!</v>
      </c>
      <c r="F747" t="e">
        <f t="shared" ca="1" si="28"/>
        <v>#VALUE!</v>
      </c>
      <c r="G747" t="e">
        <f t="shared" ca="1" si="29"/>
        <v>#VALUE!</v>
      </c>
    </row>
    <row r="748" spans="1:7" x14ac:dyDescent="0.25">
      <c r="A748" s="1"/>
      <c r="D748" t="e" cm="1">
        <f t="array" aca="1" ref="D748" ca="1">IF(OR(COUNTIF(damper_names,_xlfn.CONCAT("D_S_",C748))=1, COUNTIF(damper_names,_xlfn.CONCAT("D_E_",C748))=1), "C", "")</f>
        <v>#VALUE!</v>
      </c>
      <c r="E748" t="e">
        <f t="shared" ca="1" si="27"/>
        <v>#VALUE!</v>
      </c>
      <c r="F748" t="e">
        <f t="shared" ca="1" si="28"/>
        <v>#VALUE!</v>
      </c>
      <c r="G748" t="e">
        <f t="shared" ca="1" si="29"/>
        <v>#VALUE!</v>
      </c>
    </row>
    <row r="749" spans="1:7" x14ac:dyDescent="0.25">
      <c r="A749" s="1"/>
      <c r="D749" t="e" cm="1">
        <f t="array" aca="1" ref="D749" ca="1">IF(OR(COUNTIF(damper_names,_xlfn.CONCAT("D_S_",C749))=1, COUNTIF(damper_names,_xlfn.CONCAT("D_E_",C749))=1), "C", "")</f>
        <v>#VALUE!</v>
      </c>
      <c r="E749" t="e">
        <f t="shared" ca="1" si="27"/>
        <v>#VALUE!</v>
      </c>
      <c r="F749" t="e">
        <f t="shared" ca="1" si="28"/>
        <v>#VALUE!</v>
      </c>
      <c r="G749" t="e">
        <f t="shared" ca="1" si="29"/>
        <v>#VALUE!</v>
      </c>
    </row>
    <row r="750" spans="1:7" x14ac:dyDescent="0.25">
      <c r="A750" s="1"/>
      <c r="D750" t="e" cm="1">
        <f t="array" aca="1" ref="D750" ca="1">IF(OR(COUNTIF(damper_names,_xlfn.CONCAT("D_S_",C750))=1, COUNTIF(damper_names,_xlfn.CONCAT("D_E_",C750))=1), "C", "")</f>
        <v>#VALUE!</v>
      </c>
      <c r="E750" t="e">
        <f t="shared" ca="1" si="27"/>
        <v>#VALUE!</v>
      </c>
      <c r="F750" t="e">
        <f t="shared" ca="1" si="28"/>
        <v>#VALUE!</v>
      </c>
      <c r="G750" t="e">
        <f t="shared" ca="1" si="29"/>
        <v>#VALUE!</v>
      </c>
    </row>
    <row r="751" spans="1:7" x14ac:dyDescent="0.25">
      <c r="A751" s="1"/>
      <c r="D751" t="e" cm="1">
        <f t="array" aca="1" ref="D751" ca="1">IF(OR(COUNTIF(damper_names,_xlfn.CONCAT("D_S_",C751))=1, COUNTIF(damper_names,_xlfn.CONCAT("D_E_",C751))=1), "C", "")</f>
        <v>#VALUE!</v>
      </c>
      <c r="E751" t="e">
        <f t="shared" ca="1" si="27"/>
        <v>#VALUE!</v>
      </c>
      <c r="F751" t="e">
        <f t="shared" ca="1" si="28"/>
        <v>#VALUE!</v>
      </c>
      <c r="G751" t="e">
        <f t="shared" ca="1" si="29"/>
        <v>#VALUE!</v>
      </c>
    </row>
    <row r="752" spans="1:7" x14ac:dyDescent="0.25">
      <c r="A752" s="1"/>
      <c r="D752" t="e" cm="1">
        <f t="array" aca="1" ref="D752" ca="1">IF(OR(COUNTIF(damper_names,_xlfn.CONCAT("D_S_",C752))=1, COUNTIF(damper_names,_xlfn.CONCAT("D_E_",C752))=1), "C", "")</f>
        <v>#VALUE!</v>
      </c>
      <c r="E752" t="e">
        <f t="shared" ca="1" si="27"/>
        <v>#VALUE!</v>
      </c>
      <c r="F752" t="e">
        <f t="shared" ca="1" si="28"/>
        <v>#VALUE!</v>
      </c>
      <c r="G752" t="e">
        <f t="shared" ca="1" si="29"/>
        <v>#VALUE!</v>
      </c>
    </row>
    <row r="753" spans="1:7" x14ac:dyDescent="0.25">
      <c r="A753" s="1"/>
      <c r="D753" t="e" cm="1">
        <f t="array" aca="1" ref="D753" ca="1">IF(OR(COUNTIF(damper_names,_xlfn.CONCAT("D_S_",C753))=1, COUNTIF(damper_names,_xlfn.CONCAT("D_E_",C753))=1), "C", "")</f>
        <v>#VALUE!</v>
      </c>
      <c r="E753" t="e">
        <f t="shared" ca="1" si="27"/>
        <v>#VALUE!</v>
      </c>
      <c r="F753" t="e">
        <f t="shared" ca="1" si="28"/>
        <v>#VALUE!</v>
      </c>
      <c r="G753" t="e">
        <f t="shared" ca="1" si="29"/>
        <v>#VALUE!</v>
      </c>
    </row>
    <row r="754" spans="1:7" x14ac:dyDescent="0.25">
      <c r="A754" s="1"/>
      <c r="D754" t="e" cm="1">
        <f t="array" aca="1" ref="D754" ca="1">IF(OR(COUNTIF(damper_names,_xlfn.CONCAT("D_S_",C754))=1, COUNTIF(damper_names,_xlfn.CONCAT("D_E_",C754))=1), "C", "")</f>
        <v>#VALUE!</v>
      </c>
      <c r="E754" t="e">
        <f t="shared" ca="1" si="27"/>
        <v>#VALUE!</v>
      </c>
      <c r="F754" t="e">
        <f t="shared" ca="1" si="28"/>
        <v>#VALUE!</v>
      </c>
      <c r="G754" t="e">
        <f t="shared" ca="1" si="29"/>
        <v>#VALUE!</v>
      </c>
    </row>
    <row r="755" spans="1:7" x14ac:dyDescent="0.25">
      <c r="A755" s="1"/>
      <c r="D755" t="e" cm="1">
        <f t="array" aca="1" ref="D755" ca="1">IF(OR(COUNTIF(damper_names,_xlfn.CONCAT("D_S_",C755))=1, COUNTIF(damper_names,_xlfn.CONCAT("D_E_",C755))=1), "C", "")</f>
        <v>#VALUE!</v>
      </c>
      <c r="E755" t="e">
        <f t="shared" ca="1" si="27"/>
        <v>#VALUE!</v>
      </c>
      <c r="F755" t="e">
        <f t="shared" ca="1" si="28"/>
        <v>#VALUE!</v>
      </c>
      <c r="G755" t="e">
        <f t="shared" ca="1" si="29"/>
        <v>#VALUE!</v>
      </c>
    </row>
    <row r="756" spans="1:7" x14ac:dyDescent="0.25">
      <c r="A756" s="1"/>
      <c r="D756" t="e" cm="1">
        <f t="array" aca="1" ref="D756" ca="1">IF(OR(COUNTIF(damper_names,_xlfn.CONCAT("D_S_",C756))=1, COUNTIF(damper_names,_xlfn.CONCAT("D_E_",C756))=1), "C", "")</f>
        <v>#VALUE!</v>
      </c>
      <c r="E756" t="e">
        <f t="shared" ca="1" si="27"/>
        <v>#VALUE!</v>
      </c>
      <c r="F756" t="e">
        <f t="shared" ca="1" si="28"/>
        <v>#VALUE!</v>
      </c>
      <c r="G756" t="e">
        <f t="shared" ca="1" si="29"/>
        <v>#VALUE!</v>
      </c>
    </row>
    <row r="757" spans="1:7" x14ac:dyDescent="0.25">
      <c r="A757" s="1"/>
      <c r="D757" t="e" cm="1">
        <f t="array" aca="1" ref="D757" ca="1">IF(OR(COUNTIF(damper_names,_xlfn.CONCAT("D_S_",C757))=1, COUNTIF(damper_names,_xlfn.CONCAT("D_E_",C757))=1), "C", "")</f>
        <v>#VALUE!</v>
      </c>
      <c r="E757" t="e">
        <f t="shared" ca="1" si="27"/>
        <v>#VALUE!</v>
      </c>
      <c r="F757" t="e">
        <f t="shared" ca="1" si="28"/>
        <v>#VALUE!</v>
      </c>
      <c r="G757" t="e">
        <f t="shared" ca="1" si="29"/>
        <v>#VALUE!</v>
      </c>
    </row>
    <row r="758" spans="1:7" x14ac:dyDescent="0.25">
      <c r="A758" s="1"/>
      <c r="D758" t="e" cm="1">
        <f t="array" aca="1" ref="D758" ca="1">IF(OR(COUNTIF(damper_names,_xlfn.CONCAT("D_S_",C758))=1, COUNTIF(damper_names,_xlfn.CONCAT("D_E_",C758))=1), "C", "")</f>
        <v>#VALUE!</v>
      </c>
      <c r="E758" t="e">
        <f t="shared" ca="1" si="27"/>
        <v>#VALUE!</v>
      </c>
      <c r="F758" t="e">
        <f t="shared" ca="1" si="28"/>
        <v>#VALUE!</v>
      </c>
      <c r="G758" t="e">
        <f t="shared" ca="1" si="29"/>
        <v>#VALUE!</v>
      </c>
    </row>
    <row r="759" spans="1:7" x14ac:dyDescent="0.25">
      <c r="A759" s="1"/>
      <c r="D759" t="e" cm="1">
        <f t="array" aca="1" ref="D759" ca="1">IF(OR(COUNTIF(damper_names,_xlfn.CONCAT("D_S_",C759))=1, COUNTIF(damper_names,_xlfn.CONCAT("D_E_",C759))=1), "C", "")</f>
        <v>#VALUE!</v>
      </c>
      <c r="E759" t="e">
        <f t="shared" ca="1" si="27"/>
        <v>#VALUE!</v>
      </c>
      <c r="F759" t="e">
        <f t="shared" ca="1" si="28"/>
        <v>#VALUE!</v>
      </c>
      <c r="G759" t="e">
        <f t="shared" ca="1" si="29"/>
        <v>#VALUE!</v>
      </c>
    </row>
    <row r="760" spans="1:7" x14ac:dyDescent="0.25">
      <c r="A760" s="1"/>
      <c r="D760" t="e" cm="1">
        <f t="array" aca="1" ref="D760" ca="1">IF(OR(COUNTIF(damper_names,_xlfn.CONCAT("D_S_",C760))=1, COUNTIF(damper_names,_xlfn.CONCAT("D_E_",C760))=1), "C", "")</f>
        <v>#VALUE!</v>
      </c>
      <c r="E760" t="e">
        <f t="shared" ca="1" si="27"/>
        <v>#VALUE!</v>
      </c>
      <c r="F760" t="e">
        <f t="shared" ca="1" si="28"/>
        <v>#VALUE!</v>
      </c>
      <c r="G760" t="e">
        <f t="shared" ca="1" si="29"/>
        <v>#VALUE!</v>
      </c>
    </row>
    <row r="761" spans="1:7" x14ac:dyDescent="0.25">
      <c r="A761" s="1"/>
      <c r="D761" t="e" cm="1">
        <f t="array" aca="1" ref="D761" ca="1">IF(OR(COUNTIF(damper_names,_xlfn.CONCAT("D_S_",C761))=1, COUNTIF(damper_names,_xlfn.CONCAT("D_E_",C761))=1), "C", "")</f>
        <v>#VALUE!</v>
      </c>
      <c r="E761" t="e">
        <f t="shared" ca="1" si="27"/>
        <v>#VALUE!</v>
      </c>
      <c r="F761" t="e">
        <f t="shared" ca="1" si="28"/>
        <v>#VALUE!</v>
      </c>
      <c r="G761" t="e">
        <f t="shared" ca="1" si="29"/>
        <v>#VALUE!</v>
      </c>
    </row>
    <row r="762" spans="1:7" x14ac:dyDescent="0.25">
      <c r="A762" s="1"/>
      <c r="D762" t="e" cm="1">
        <f t="array" aca="1" ref="D762" ca="1">IF(OR(COUNTIF(damper_names,_xlfn.CONCAT("D_S_",C762))=1, COUNTIF(damper_names,_xlfn.CONCAT("D_E_",C762))=1), "C", "")</f>
        <v>#VALUE!</v>
      </c>
      <c r="E762" t="e">
        <f t="shared" ca="1" si="27"/>
        <v>#VALUE!</v>
      </c>
      <c r="F762" t="e">
        <f t="shared" ca="1" si="28"/>
        <v>#VALUE!</v>
      </c>
      <c r="G762" t="e">
        <f t="shared" ca="1" si="29"/>
        <v>#VALUE!</v>
      </c>
    </row>
    <row r="763" spans="1:7" x14ac:dyDescent="0.25">
      <c r="A763" s="1"/>
      <c r="D763" t="e" cm="1">
        <f t="array" aca="1" ref="D763" ca="1">IF(OR(COUNTIF(damper_names,_xlfn.CONCAT("D_S_",C763))=1, COUNTIF(damper_names,_xlfn.CONCAT("D_E_",C763))=1), "C", "")</f>
        <v>#VALUE!</v>
      </c>
      <c r="E763" t="e">
        <f t="shared" ca="1" si="27"/>
        <v>#VALUE!</v>
      </c>
      <c r="F763" t="e">
        <f t="shared" ca="1" si="28"/>
        <v>#VALUE!</v>
      </c>
      <c r="G763" t="e">
        <f t="shared" ca="1" si="29"/>
        <v>#VALUE!</v>
      </c>
    </row>
    <row r="764" spans="1:7" x14ac:dyDescent="0.25">
      <c r="A764" s="1"/>
      <c r="D764" t="e" cm="1">
        <f t="array" aca="1" ref="D764" ca="1">IF(OR(COUNTIF(damper_names,_xlfn.CONCAT("D_S_",C764))=1, COUNTIF(damper_names,_xlfn.CONCAT("D_E_",C764))=1), "C", "")</f>
        <v>#VALUE!</v>
      </c>
      <c r="E764" t="e">
        <f t="shared" ca="1" si="27"/>
        <v>#VALUE!</v>
      </c>
      <c r="F764" t="e">
        <f t="shared" ca="1" si="28"/>
        <v>#VALUE!</v>
      </c>
      <c r="G764" t="e">
        <f t="shared" ca="1" si="29"/>
        <v>#VALUE!</v>
      </c>
    </row>
    <row r="765" spans="1:7" x14ac:dyDescent="0.25">
      <c r="A765" s="1"/>
      <c r="D765" t="e" cm="1">
        <f t="array" aca="1" ref="D765" ca="1">IF(OR(COUNTIF(damper_names,_xlfn.CONCAT("D_S_",C765))=1, COUNTIF(damper_names,_xlfn.CONCAT("D_E_",C765))=1), "C", "")</f>
        <v>#VALUE!</v>
      </c>
      <c r="E765" t="e">
        <f t="shared" ca="1" si="27"/>
        <v>#VALUE!</v>
      </c>
      <c r="F765" t="e">
        <f t="shared" ca="1" si="28"/>
        <v>#VALUE!</v>
      </c>
      <c r="G765" t="e">
        <f t="shared" ca="1" si="29"/>
        <v>#VALUE!</v>
      </c>
    </row>
    <row r="766" spans="1:7" x14ac:dyDescent="0.25">
      <c r="A766" s="1"/>
      <c r="D766" t="e" cm="1">
        <f t="array" aca="1" ref="D766" ca="1">IF(OR(COUNTIF(damper_names,_xlfn.CONCAT("D_S_",C766))=1, COUNTIF(damper_names,_xlfn.CONCAT("D_E_",C766))=1), "C", "")</f>
        <v>#VALUE!</v>
      </c>
      <c r="E766" t="e">
        <f t="shared" ca="1" si="27"/>
        <v>#VALUE!</v>
      </c>
      <c r="F766" t="e">
        <f t="shared" ca="1" si="28"/>
        <v>#VALUE!</v>
      </c>
      <c r="G766" t="e">
        <f t="shared" ca="1" si="29"/>
        <v>#VALUE!</v>
      </c>
    </row>
    <row r="767" spans="1:7" x14ac:dyDescent="0.25">
      <c r="A767" s="1"/>
      <c r="D767" t="e" cm="1">
        <f t="array" aca="1" ref="D767" ca="1">IF(OR(COUNTIF(damper_names,_xlfn.CONCAT("D_S_",C767))=1, COUNTIF(damper_names,_xlfn.CONCAT("D_E_",C767))=1), "C", "")</f>
        <v>#VALUE!</v>
      </c>
      <c r="E767" t="e">
        <f t="shared" ca="1" si="27"/>
        <v>#VALUE!</v>
      </c>
      <c r="F767" t="e">
        <f t="shared" ca="1" si="28"/>
        <v>#VALUE!</v>
      </c>
      <c r="G767" t="e">
        <f t="shared" ca="1" si="29"/>
        <v>#VALUE!</v>
      </c>
    </row>
    <row r="768" spans="1:7" x14ac:dyDescent="0.25">
      <c r="A768" s="1"/>
      <c r="D768" t="e" cm="1">
        <f t="array" aca="1" ref="D768" ca="1">IF(OR(COUNTIF(damper_names,_xlfn.CONCAT("D_S_",C768))=1, COUNTIF(damper_names,_xlfn.CONCAT("D_E_",C768))=1), "C", "")</f>
        <v>#VALUE!</v>
      </c>
      <c r="E768" t="e">
        <f t="shared" ca="1" si="27"/>
        <v>#VALUE!</v>
      </c>
      <c r="F768" t="e">
        <f t="shared" ca="1" si="28"/>
        <v>#VALUE!</v>
      </c>
      <c r="G768" t="e">
        <f t="shared" ca="1" si="29"/>
        <v>#VALUE!</v>
      </c>
    </row>
    <row r="769" spans="1:7" x14ac:dyDescent="0.25">
      <c r="A769" s="1"/>
      <c r="D769" t="e" cm="1">
        <f t="array" aca="1" ref="D769" ca="1">IF(OR(COUNTIF(damper_names,_xlfn.CONCAT("D_S_",C769))=1, COUNTIF(damper_names,_xlfn.CONCAT("D_E_",C769))=1), "C", "")</f>
        <v>#VALUE!</v>
      </c>
      <c r="E769" t="e">
        <f t="shared" ca="1" si="27"/>
        <v>#VALUE!</v>
      </c>
      <c r="F769" t="e">
        <f t="shared" ca="1" si="28"/>
        <v>#VALUE!</v>
      </c>
      <c r="G769" t="e">
        <f t="shared" ca="1" si="29"/>
        <v>#VALUE!</v>
      </c>
    </row>
    <row r="770" spans="1:7" x14ac:dyDescent="0.25">
      <c r="A770" s="1"/>
      <c r="D770" t="e" cm="1">
        <f t="array" aca="1" ref="D770" ca="1">IF(OR(COUNTIF(damper_names,_xlfn.CONCAT("D_S_",C770))=1, COUNTIF(damper_names,_xlfn.CONCAT("D_E_",C770))=1), "C", "")</f>
        <v>#VALUE!</v>
      </c>
      <c r="E770" t="e">
        <f t="shared" ca="1" si="27"/>
        <v>#VALUE!</v>
      </c>
      <c r="F770" t="e">
        <f t="shared" ca="1" si="28"/>
        <v>#VALUE!</v>
      </c>
      <c r="G770" t="e">
        <f t="shared" ca="1" si="29"/>
        <v>#VALUE!</v>
      </c>
    </row>
    <row r="771" spans="1:7" x14ac:dyDescent="0.25">
      <c r="A771" s="1"/>
      <c r="D771" t="e" cm="1">
        <f t="array" aca="1" ref="D771" ca="1">IF(OR(COUNTIF(damper_names,_xlfn.CONCAT("D_S_",C771))=1, COUNTIF(damper_names,_xlfn.CONCAT("D_E_",C771))=1), "C", "")</f>
        <v>#VALUE!</v>
      </c>
      <c r="E771" t="e">
        <f t="shared" ca="1" si="27"/>
        <v>#VALUE!</v>
      </c>
      <c r="F771" t="e">
        <f t="shared" ca="1" si="28"/>
        <v>#VALUE!</v>
      </c>
      <c r="G771" t="e">
        <f t="shared" ca="1" si="29"/>
        <v>#VALUE!</v>
      </c>
    </row>
    <row r="772" spans="1:7" x14ac:dyDescent="0.25">
      <c r="A772" s="1"/>
      <c r="D772" t="e" cm="1">
        <f t="array" aca="1" ref="D772" ca="1">IF(OR(COUNTIF(damper_names,_xlfn.CONCAT("D_S_",C772))=1, COUNTIF(damper_names,_xlfn.CONCAT("D_E_",C772))=1), "C", "")</f>
        <v>#VALUE!</v>
      </c>
      <c r="E772" t="e">
        <f t="shared" ca="1" si="27"/>
        <v>#VALUE!</v>
      </c>
      <c r="F772" t="e">
        <f t="shared" ca="1" si="28"/>
        <v>#VALUE!</v>
      </c>
      <c r="G772" t="e">
        <f t="shared" ca="1" si="29"/>
        <v>#VALUE!</v>
      </c>
    </row>
    <row r="773" spans="1:7" x14ac:dyDescent="0.25">
      <c r="A773" s="1"/>
      <c r="D773" t="e" cm="1">
        <f t="array" aca="1" ref="D773" ca="1">IF(OR(COUNTIF(damper_names,_xlfn.CONCAT("D_S_",C773))=1, COUNTIF(damper_names,_xlfn.CONCAT("D_E_",C773))=1), "C", "")</f>
        <v>#VALUE!</v>
      </c>
      <c r="E773" t="e">
        <f t="shared" ca="1" si="27"/>
        <v>#VALUE!</v>
      </c>
      <c r="F773" t="e">
        <f t="shared" ca="1" si="28"/>
        <v>#VALUE!</v>
      </c>
      <c r="G773" t="e">
        <f t="shared" ca="1" si="29"/>
        <v>#VALUE!</v>
      </c>
    </row>
    <row r="774" spans="1:7" x14ac:dyDescent="0.25">
      <c r="A774" s="1"/>
      <c r="D774" t="e" cm="1">
        <f t="array" aca="1" ref="D774" ca="1">IF(OR(COUNTIF(damper_names,_xlfn.CONCAT("D_S_",C774))=1, COUNTIF(damper_names,_xlfn.CONCAT("D_E_",C774))=1), "C", "")</f>
        <v>#VALUE!</v>
      </c>
      <c r="E774" t="e">
        <f t="shared" ca="1" si="27"/>
        <v>#VALUE!</v>
      </c>
      <c r="F774" t="e">
        <f t="shared" ca="1" si="28"/>
        <v>#VALUE!</v>
      </c>
      <c r="G774" t="e">
        <f t="shared" ca="1" si="29"/>
        <v>#VALUE!</v>
      </c>
    </row>
    <row r="775" spans="1:7" x14ac:dyDescent="0.25">
      <c r="A775" s="1"/>
      <c r="D775" t="e" cm="1">
        <f t="array" aca="1" ref="D775" ca="1">IF(OR(COUNTIF(damper_names,_xlfn.CONCAT("D_S_",C775))=1, COUNTIF(damper_names,_xlfn.CONCAT("D_E_",C775))=1), "C", "")</f>
        <v>#VALUE!</v>
      </c>
      <c r="E775" t="e">
        <f t="shared" ref="E775:E838" ca="1" si="30">IF(D775="T", 0.05, IF(D775="C", -0.01, ""))</f>
        <v>#VALUE!</v>
      </c>
      <c r="F775" t="e">
        <f t="shared" ref="F775:F838" ca="1" si="31">IF(D775="T", 0.05, IF(D775="C", 0, ""))</f>
        <v>#VALUE!</v>
      </c>
      <c r="G775" t="e">
        <f t="shared" ref="G775:G838" ca="1" si="32">IF(D775="T", 0, IF(D775="C", 0, ""))</f>
        <v>#VALUE!</v>
      </c>
    </row>
    <row r="776" spans="1:7" x14ac:dyDescent="0.25">
      <c r="A776" s="1"/>
      <c r="D776" t="e" cm="1">
        <f t="array" aca="1" ref="D776" ca="1">IF(OR(COUNTIF(damper_names,_xlfn.CONCAT("D_S_",C776))=1, COUNTIF(damper_names,_xlfn.CONCAT("D_E_",C776))=1), "C", "")</f>
        <v>#VALUE!</v>
      </c>
      <c r="E776" t="e">
        <f t="shared" ca="1" si="30"/>
        <v>#VALUE!</v>
      </c>
      <c r="F776" t="e">
        <f t="shared" ca="1" si="31"/>
        <v>#VALUE!</v>
      </c>
      <c r="G776" t="e">
        <f t="shared" ca="1" si="32"/>
        <v>#VALUE!</v>
      </c>
    </row>
    <row r="777" spans="1:7" x14ac:dyDescent="0.25">
      <c r="A777" s="1"/>
      <c r="D777" t="e" cm="1">
        <f t="array" aca="1" ref="D777" ca="1">IF(OR(COUNTIF(damper_names,_xlfn.CONCAT("D_S_",C777))=1, COUNTIF(damper_names,_xlfn.CONCAT("D_E_",C777))=1), "C", "")</f>
        <v>#VALUE!</v>
      </c>
      <c r="E777" t="e">
        <f t="shared" ca="1" si="30"/>
        <v>#VALUE!</v>
      </c>
      <c r="F777" t="e">
        <f t="shared" ca="1" si="31"/>
        <v>#VALUE!</v>
      </c>
      <c r="G777" t="e">
        <f t="shared" ca="1" si="32"/>
        <v>#VALUE!</v>
      </c>
    </row>
    <row r="778" spans="1:7" x14ac:dyDescent="0.25">
      <c r="A778" s="1"/>
      <c r="D778" t="e" cm="1">
        <f t="array" aca="1" ref="D778" ca="1">IF(OR(COUNTIF(damper_names,_xlfn.CONCAT("D_S_",C778))=1, COUNTIF(damper_names,_xlfn.CONCAT("D_E_",C778))=1), "C", "")</f>
        <v>#VALUE!</v>
      </c>
      <c r="E778" t="e">
        <f t="shared" ca="1" si="30"/>
        <v>#VALUE!</v>
      </c>
      <c r="F778" t="e">
        <f t="shared" ca="1" si="31"/>
        <v>#VALUE!</v>
      </c>
      <c r="G778" t="e">
        <f t="shared" ca="1" si="32"/>
        <v>#VALUE!</v>
      </c>
    </row>
    <row r="779" spans="1:7" x14ac:dyDescent="0.25">
      <c r="A779" s="1"/>
      <c r="D779" t="e" cm="1">
        <f t="array" aca="1" ref="D779" ca="1">IF(OR(COUNTIF(damper_names,_xlfn.CONCAT("D_S_",C779))=1, COUNTIF(damper_names,_xlfn.CONCAT("D_E_",C779))=1), "C", "")</f>
        <v>#VALUE!</v>
      </c>
      <c r="E779" t="e">
        <f t="shared" ca="1" si="30"/>
        <v>#VALUE!</v>
      </c>
      <c r="F779" t="e">
        <f t="shared" ca="1" si="31"/>
        <v>#VALUE!</v>
      </c>
      <c r="G779" t="e">
        <f t="shared" ca="1" si="32"/>
        <v>#VALUE!</v>
      </c>
    </row>
    <row r="780" spans="1:7" x14ac:dyDescent="0.25">
      <c r="A780" s="1"/>
      <c r="D780" t="e" cm="1">
        <f t="array" aca="1" ref="D780" ca="1">IF(OR(COUNTIF(damper_names,_xlfn.CONCAT("D_S_",C780))=1, COUNTIF(damper_names,_xlfn.CONCAT("D_E_",C780))=1), "C", "")</f>
        <v>#VALUE!</v>
      </c>
      <c r="E780" t="e">
        <f t="shared" ca="1" si="30"/>
        <v>#VALUE!</v>
      </c>
      <c r="F780" t="e">
        <f t="shared" ca="1" si="31"/>
        <v>#VALUE!</v>
      </c>
      <c r="G780" t="e">
        <f t="shared" ca="1" si="32"/>
        <v>#VALUE!</v>
      </c>
    </row>
    <row r="781" spans="1:7" x14ac:dyDescent="0.25">
      <c r="A781" s="1"/>
      <c r="D781" t="e" cm="1">
        <f t="array" aca="1" ref="D781" ca="1">IF(OR(COUNTIF(damper_names,_xlfn.CONCAT("D_S_",C781))=1, COUNTIF(damper_names,_xlfn.CONCAT("D_E_",C781))=1), "C", "")</f>
        <v>#VALUE!</v>
      </c>
      <c r="E781" t="e">
        <f t="shared" ca="1" si="30"/>
        <v>#VALUE!</v>
      </c>
      <c r="F781" t="e">
        <f t="shared" ca="1" si="31"/>
        <v>#VALUE!</v>
      </c>
      <c r="G781" t="e">
        <f t="shared" ca="1" si="32"/>
        <v>#VALUE!</v>
      </c>
    </row>
    <row r="782" spans="1:7" x14ac:dyDescent="0.25">
      <c r="A782" s="1"/>
      <c r="D782" t="e" cm="1">
        <f t="array" aca="1" ref="D782" ca="1">IF(OR(COUNTIF(damper_names,_xlfn.CONCAT("D_S_",C782))=1, COUNTIF(damper_names,_xlfn.CONCAT("D_E_",C782))=1), "C", "")</f>
        <v>#VALUE!</v>
      </c>
      <c r="E782" t="e">
        <f t="shared" ca="1" si="30"/>
        <v>#VALUE!</v>
      </c>
      <c r="F782" t="e">
        <f t="shared" ca="1" si="31"/>
        <v>#VALUE!</v>
      </c>
      <c r="G782" t="e">
        <f t="shared" ca="1" si="32"/>
        <v>#VALUE!</v>
      </c>
    </row>
    <row r="783" spans="1:7" x14ac:dyDescent="0.25">
      <c r="A783" s="1"/>
      <c r="D783" t="e" cm="1">
        <f t="array" aca="1" ref="D783" ca="1">IF(OR(COUNTIF(damper_names,_xlfn.CONCAT("D_S_",C783))=1, COUNTIF(damper_names,_xlfn.CONCAT("D_E_",C783))=1), "C", "")</f>
        <v>#VALUE!</v>
      </c>
      <c r="E783" t="e">
        <f t="shared" ca="1" si="30"/>
        <v>#VALUE!</v>
      </c>
      <c r="F783" t="e">
        <f t="shared" ca="1" si="31"/>
        <v>#VALUE!</v>
      </c>
      <c r="G783" t="e">
        <f t="shared" ca="1" si="32"/>
        <v>#VALUE!</v>
      </c>
    </row>
    <row r="784" spans="1:7" x14ac:dyDescent="0.25">
      <c r="A784" s="1"/>
      <c r="D784" t="e" cm="1">
        <f t="array" aca="1" ref="D784" ca="1">IF(OR(COUNTIF(damper_names,_xlfn.CONCAT("D_S_",C784))=1, COUNTIF(damper_names,_xlfn.CONCAT("D_E_",C784))=1), "C", "")</f>
        <v>#VALUE!</v>
      </c>
      <c r="E784" t="e">
        <f t="shared" ca="1" si="30"/>
        <v>#VALUE!</v>
      </c>
      <c r="F784" t="e">
        <f t="shared" ca="1" si="31"/>
        <v>#VALUE!</v>
      </c>
      <c r="G784" t="e">
        <f t="shared" ca="1" si="32"/>
        <v>#VALUE!</v>
      </c>
    </row>
    <row r="785" spans="1:7" x14ac:dyDescent="0.25">
      <c r="A785" s="1"/>
      <c r="D785" t="e" cm="1">
        <f t="array" aca="1" ref="D785" ca="1">IF(OR(COUNTIF(damper_names,_xlfn.CONCAT("D_S_",C785))=1, COUNTIF(damper_names,_xlfn.CONCAT("D_E_",C785))=1), "C", "")</f>
        <v>#VALUE!</v>
      </c>
      <c r="E785" t="e">
        <f t="shared" ca="1" si="30"/>
        <v>#VALUE!</v>
      </c>
      <c r="F785" t="e">
        <f t="shared" ca="1" si="31"/>
        <v>#VALUE!</v>
      </c>
      <c r="G785" t="e">
        <f t="shared" ca="1" si="32"/>
        <v>#VALUE!</v>
      </c>
    </row>
    <row r="786" spans="1:7" x14ac:dyDescent="0.25">
      <c r="A786" s="1"/>
      <c r="D786" t="e" cm="1">
        <f t="array" aca="1" ref="D786" ca="1">IF(OR(COUNTIF(damper_names,_xlfn.CONCAT("D_S_",C786))=1, COUNTIF(damper_names,_xlfn.CONCAT("D_E_",C786))=1), "C", "")</f>
        <v>#VALUE!</v>
      </c>
      <c r="E786" t="e">
        <f t="shared" ca="1" si="30"/>
        <v>#VALUE!</v>
      </c>
      <c r="F786" t="e">
        <f t="shared" ca="1" si="31"/>
        <v>#VALUE!</v>
      </c>
      <c r="G786" t="e">
        <f t="shared" ca="1" si="32"/>
        <v>#VALUE!</v>
      </c>
    </row>
    <row r="787" spans="1:7" x14ac:dyDescent="0.25">
      <c r="A787" s="1"/>
      <c r="D787" t="e" cm="1">
        <f t="array" aca="1" ref="D787" ca="1">IF(OR(COUNTIF(damper_names,_xlfn.CONCAT("D_S_",C787))=1, COUNTIF(damper_names,_xlfn.CONCAT("D_E_",C787))=1), "C", "")</f>
        <v>#VALUE!</v>
      </c>
      <c r="E787" t="e">
        <f t="shared" ca="1" si="30"/>
        <v>#VALUE!</v>
      </c>
      <c r="F787" t="e">
        <f t="shared" ca="1" si="31"/>
        <v>#VALUE!</v>
      </c>
      <c r="G787" t="e">
        <f t="shared" ca="1" si="32"/>
        <v>#VALUE!</v>
      </c>
    </row>
    <row r="788" spans="1:7" x14ac:dyDescent="0.25">
      <c r="A788" s="1"/>
      <c r="D788" t="e" cm="1">
        <f t="array" aca="1" ref="D788" ca="1">IF(OR(COUNTIF(damper_names,_xlfn.CONCAT("D_S_",C788))=1, COUNTIF(damper_names,_xlfn.CONCAT("D_E_",C788))=1), "C", "")</f>
        <v>#VALUE!</v>
      </c>
      <c r="E788" t="e">
        <f t="shared" ca="1" si="30"/>
        <v>#VALUE!</v>
      </c>
      <c r="F788" t="e">
        <f t="shared" ca="1" si="31"/>
        <v>#VALUE!</v>
      </c>
      <c r="G788" t="e">
        <f t="shared" ca="1" si="32"/>
        <v>#VALUE!</v>
      </c>
    </row>
    <row r="789" spans="1:7" x14ac:dyDescent="0.25">
      <c r="A789" s="1"/>
      <c r="D789" t="e" cm="1">
        <f t="array" aca="1" ref="D789" ca="1">IF(OR(COUNTIF(damper_names,_xlfn.CONCAT("D_S_",C789))=1, COUNTIF(damper_names,_xlfn.CONCAT("D_E_",C789))=1), "C", "")</f>
        <v>#VALUE!</v>
      </c>
      <c r="E789" t="e">
        <f t="shared" ca="1" si="30"/>
        <v>#VALUE!</v>
      </c>
      <c r="F789" t="e">
        <f t="shared" ca="1" si="31"/>
        <v>#VALUE!</v>
      </c>
      <c r="G789" t="e">
        <f t="shared" ca="1" si="32"/>
        <v>#VALUE!</v>
      </c>
    </row>
    <row r="790" spans="1:7" x14ac:dyDescent="0.25">
      <c r="A790" s="1"/>
      <c r="D790" t="e" cm="1">
        <f t="array" aca="1" ref="D790" ca="1">IF(OR(COUNTIF(damper_names,_xlfn.CONCAT("D_S_",C790))=1, COUNTIF(damper_names,_xlfn.CONCAT("D_E_",C790))=1), "C", "")</f>
        <v>#VALUE!</v>
      </c>
      <c r="E790" t="e">
        <f t="shared" ca="1" si="30"/>
        <v>#VALUE!</v>
      </c>
      <c r="F790" t="e">
        <f t="shared" ca="1" si="31"/>
        <v>#VALUE!</v>
      </c>
      <c r="G790" t="e">
        <f t="shared" ca="1" si="32"/>
        <v>#VALUE!</v>
      </c>
    </row>
    <row r="791" spans="1:7" x14ac:dyDescent="0.25">
      <c r="A791" s="1"/>
      <c r="D791" t="e" cm="1">
        <f t="array" aca="1" ref="D791" ca="1">IF(OR(COUNTIF(damper_names,_xlfn.CONCAT("D_S_",C791))=1, COUNTIF(damper_names,_xlfn.CONCAT("D_E_",C791))=1), "C", "")</f>
        <v>#VALUE!</v>
      </c>
      <c r="E791" t="e">
        <f t="shared" ca="1" si="30"/>
        <v>#VALUE!</v>
      </c>
      <c r="F791" t="e">
        <f t="shared" ca="1" si="31"/>
        <v>#VALUE!</v>
      </c>
      <c r="G791" t="e">
        <f t="shared" ca="1" si="32"/>
        <v>#VALUE!</v>
      </c>
    </row>
    <row r="792" spans="1:7" x14ac:dyDescent="0.25">
      <c r="A792" s="1"/>
      <c r="D792" t="e" cm="1">
        <f t="array" aca="1" ref="D792" ca="1">IF(OR(COUNTIF(damper_names,_xlfn.CONCAT("D_S_",C792))=1, COUNTIF(damper_names,_xlfn.CONCAT("D_E_",C792))=1), "C", "")</f>
        <v>#VALUE!</v>
      </c>
      <c r="E792" t="e">
        <f t="shared" ca="1" si="30"/>
        <v>#VALUE!</v>
      </c>
      <c r="F792" t="e">
        <f t="shared" ca="1" si="31"/>
        <v>#VALUE!</v>
      </c>
      <c r="G792" t="e">
        <f t="shared" ca="1" si="32"/>
        <v>#VALUE!</v>
      </c>
    </row>
    <row r="793" spans="1:7" x14ac:dyDescent="0.25">
      <c r="A793" s="1"/>
      <c r="D793" t="e" cm="1">
        <f t="array" aca="1" ref="D793" ca="1">IF(OR(COUNTIF(damper_names,_xlfn.CONCAT("D_S_",C793))=1, COUNTIF(damper_names,_xlfn.CONCAT("D_E_",C793))=1), "C", "")</f>
        <v>#VALUE!</v>
      </c>
      <c r="E793" t="e">
        <f t="shared" ca="1" si="30"/>
        <v>#VALUE!</v>
      </c>
      <c r="F793" t="e">
        <f t="shared" ca="1" si="31"/>
        <v>#VALUE!</v>
      </c>
      <c r="G793" t="e">
        <f t="shared" ca="1" si="32"/>
        <v>#VALUE!</v>
      </c>
    </row>
    <row r="794" spans="1:7" x14ac:dyDescent="0.25">
      <c r="A794" s="1"/>
      <c r="D794" t="e" cm="1">
        <f t="array" aca="1" ref="D794" ca="1">IF(OR(COUNTIF(damper_names,_xlfn.CONCAT("D_S_",C794))=1, COUNTIF(damper_names,_xlfn.CONCAT("D_E_",C794))=1), "C", "")</f>
        <v>#VALUE!</v>
      </c>
      <c r="E794" t="e">
        <f t="shared" ca="1" si="30"/>
        <v>#VALUE!</v>
      </c>
      <c r="F794" t="e">
        <f t="shared" ca="1" si="31"/>
        <v>#VALUE!</v>
      </c>
      <c r="G794" t="e">
        <f t="shared" ca="1" si="32"/>
        <v>#VALUE!</v>
      </c>
    </row>
    <row r="795" spans="1:7" x14ac:dyDescent="0.25">
      <c r="A795" s="1"/>
      <c r="D795" t="e" cm="1">
        <f t="array" aca="1" ref="D795" ca="1">IF(OR(COUNTIF(damper_names,_xlfn.CONCAT("D_S_",C795))=1, COUNTIF(damper_names,_xlfn.CONCAT("D_E_",C795))=1), "C", "")</f>
        <v>#VALUE!</v>
      </c>
      <c r="E795" t="e">
        <f t="shared" ca="1" si="30"/>
        <v>#VALUE!</v>
      </c>
      <c r="F795" t="e">
        <f t="shared" ca="1" si="31"/>
        <v>#VALUE!</v>
      </c>
      <c r="G795" t="e">
        <f t="shared" ca="1" si="32"/>
        <v>#VALUE!</v>
      </c>
    </row>
    <row r="796" spans="1:7" x14ac:dyDescent="0.25">
      <c r="A796" s="1"/>
      <c r="D796" t="e" cm="1">
        <f t="array" aca="1" ref="D796" ca="1">IF(OR(COUNTIF(damper_names,_xlfn.CONCAT("D_S_",C796))=1, COUNTIF(damper_names,_xlfn.CONCAT("D_E_",C796))=1), "C", "")</f>
        <v>#VALUE!</v>
      </c>
      <c r="E796" t="e">
        <f t="shared" ca="1" si="30"/>
        <v>#VALUE!</v>
      </c>
      <c r="F796" t="e">
        <f t="shared" ca="1" si="31"/>
        <v>#VALUE!</v>
      </c>
      <c r="G796" t="e">
        <f t="shared" ca="1" si="32"/>
        <v>#VALUE!</v>
      </c>
    </row>
    <row r="797" spans="1:7" x14ac:dyDescent="0.25">
      <c r="A797" s="1"/>
      <c r="D797" t="e" cm="1">
        <f t="array" aca="1" ref="D797" ca="1">IF(OR(COUNTIF(damper_names,_xlfn.CONCAT("D_S_",C797))=1, COUNTIF(damper_names,_xlfn.CONCAT("D_E_",C797))=1), "C", "")</f>
        <v>#VALUE!</v>
      </c>
      <c r="E797" t="e">
        <f t="shared" ca="1" si="30"/>
        <v>#VALUE!</v>
      </c>
      <c r="F797" t="e">
        <f t="shared" ca="1" si="31"/>
        <v>#VALUE!</v>
      </c>
      <c r="G797" t="e">
        <f t="shared" ca="1" si="32"/>
        <v>#VALUE!</v>
      </c>
    </row>
    <row r="798" spans="1:7" x14ac:dyDescent="0.25">
      <c r="A798" s="1"/>
      <c r="D798" t="e" cm="1">
        <f t="array" aca="1" ref="D798" ca="1">IF(OR(COUNTIF(damper_names,_xlfn.CONCAT("D_S_",C798))=1, COUNTIF(damper_names,_xlfn.CONCAT("D_E_",C798))=1), "C", "")</f>
        <v>#VALUE!</v>
      </c>
      <c r="E798" t="e">
        <f t="shared" ca="1" si="30"/>
        <v>#VALUE!</v>
      </c>
      <c r="F798" t="e">
        <f t="shared" ca="1" si="31"/>
        <v>#VALUE!</v>
      </c>
      <c r="G798" t="e">
        <f t="shared" ca="1" si="32"/>
        <v>#VALUE!</v>
      </c>
    </row>
    <row r="799" spans="1:7" x14ac:dyDescent="0.25">
      <c r="A799" s="1"/>
      <c r="D799" t="e" cm="1">
        <f t="array" aca="1" ref="D799" ca="1">IF(OR(COUNTIF(damper_names,_xlfn.CONCAT("D_S_",C799))=1, COUNTIF(damper_names,_xlfn.CONCAT("D_E_",C799))=1), "C", "")</f>
        <v>#VALUE!</v>
      </c>
      <c r="E799" t="e">
        <f t="shared" ca="1" si="30"/>
        <v>#VALUE!</v>
      </c>
      <c r="F799" t="e">
        <f t="shared" ca="1" si="31"/>
        <v>#VALUE!</v>
      </c>
      <c r="G799" t="e">
        <f t="shared" ca="1" si="32"/>
        <v>#VALUE!</v>
      </c>
    </row>
    <row r="800" spans="1:7" x14ac:dyDescent="0.25">
      <c r="A800" s="1"/>
      <c r="D800" t="e" cm="1">
        <f t="array" aca="1" ref="D800" ca="1">IF(OR(COUNTIF(damper_names,_xlfn.CONCAT("D_S_",C800))=1, COUNTIF(damper_names,_xlfn.CONCAT("D_E_",C800))=1), "C", "")</f>
        <v>#VALUE!</v>
      </c>
      <c r="E800" t="e">
        <f t="shared" ca="1" si="30"/>
        <v>#VALUE!</v>
      </c>
      <c r="F800" t="e">
        <f t="shared" ca="1" si="31"/>
        <v>#VALUE!</v>
      </c>
      <c r="G800" t="e">
        <f t="shared" ca="1" si="32"/>
        <v>#VALUE!</v>
      </c>
    </row>
    <row r="801" spans="1:7" x14ac:dyDescent="0.25">
      <c r="A801" s="1"/>
      <c r="D801" t="e" cm="1">
        <f t="array" aca="1" ref="D801" ca="1">IF(OR(COUNTIF(damper_names,_xlfn.CONCAT("D_S_",C801))=1, COUNTIF(damper_names,_xlfn.CONCAT("D_E_",C801))=1), "C", "")</f>
        <v>#VALUE!</v>
      </c>
      <c r="E801" t="e">
        <f t="shared" ca="1" si="30"/>
        <v>#VALUE!</v>
      </c>
      <c r="F801" t="e">
        <f t="shared" ca="1" si="31"/>
        <v>#VALUE!</v>
      </c>
      <c r="G801" t="e">
        <f t="shared" ca="1" si="32"/>
        <v>#VALUE!</v>
      </c>
    </row>
    <row r="802" spans="1:7" x14ac:dyDescent="0.25">
      <c r="A802" s="1"/>
      <c r="D802" t="e" cm="1">
        <f t="array" aca="1" ref="D802" ca="1">IF(OR(COUNTIF(damper_names,_xlfn.CONCAT("D_S_",C802))=1, COUNTIF(damper_names,_xlfn.CONCAT("D_E_",C802))=1), "C", "")</f>
        <v>#VALUE!</v>
      </c>
      <c r="E802" t="e">
        <f t="shared" ca="1" si="30"/>
        <v>#VALUE!</v>
      </c>
      <c r="F802" t="e">
        <f t="shared" ca="1" si="31"/>
        <v>#VALUE!</v>
      </c>
      <c r="G802" t="e">
        <f t="shared" ca="1" si="32"/>
        <v>#VALUE!</v>
      </c>
    </row>
    <row r="803" spans="1:7" x14ac:dyDescent="0.25">
      <c r="A803" s="1"/>
      <c r="D803" t="e" cm="1">
        <f t="array" aca="1" ref="D803" ca="1">IF(OR(COUNTIF(damper_names,_xlfn.CONCAT("D_S_",C803))=1, COUNTIF(damper_names,_xlfn.CONCAT("D_E_",C803))=1), "C", "")</f>
        <v>#VALUE!</v>
      </c>
      <c r="E803" t="e">
        <f t="shared" ca="1" si="30"/>
        <v>#VALUE!</v>
      </c>
      <c r="F803" t="e">
        <f t="shared" ca="1" si="31"/>
        <v>#VALUE!</v>
      </c>
      <c r="G803" t="e">
        <f t="shared" ca="1" si="32"/>
        <v>#VALUE!</v>
      </c>
    </row>
    <row r="804" spans="1:7" x14ac:dyDescent="0.25">
      <c r="A804" s="1"/>
      <c r="D804" t="e" cm="1">
        <f t="array" aca="1" ref="D804" ca="1">IF(OR(COUNTIF(damper_names,_xlfn.CONCAT("D_S_",C804))=1, COUNTIF(damper_names,_xlfn.CONCAT("D_E_",C804))=1), "C", "")</f>
        <v>#VALUE!</v>
      </c>
      <c r="E804" t="e">
        <f t="shared" ca="1" si="30"/>
        <v>#VALUE!</v>
      </c>
      <c r="F804" t="e">
        <f t="shared" ca="1" si="31"/>
        <v>#VALUE!</v>
      </c>
      <c r="G804" t="e">
        <f t="shared" ca="1" si="32"/>
        <v>#VALUE!</v>
      </c>
    </row>
    <row r="805" spans="1:7" x14ac:dyDescent="0.25">
      <c r="A805" s="1"/>
      <c r="D805" t="e" cm="1">
        <f t="array" aca="1" ref="D805" ca="1">IF(OR(COUNTIF(damper_names,_xlfn.CONCAT("D_S_",C805))=1, COUNTIF(damper_names,_xlfn.CONCAT("D_E_",C805))=1), "C", "")</f>
        <v>#VALUE!</v>
      </c>
      <c r="E805" t="e">
        <f t="shared" ca="1" si="30"/>
        <v>#VALUE!</v>
      </c>
      <c r="F805" t="e">
        <f t="shared" ca="1" si="31"/>
        <v>#VALUE!</v>
      </c>
      <c r="G805" t="e">
        <f t="shared" ca="1" si="32"/>
        <v>#VALUE!</v>
      </c>
    </row>
    <row r="806" spans="1:7" x14ac:dyDescent="0.25">
      <c r="A806" s="1"/>
      <c r="D806" t="e" cm="1">
        <f t="array" aca="1" ref="D806" ca="1">IF(OR(COUNTIF(damper_names,_xlfn.CONCAT("D_S_",C806))=1, COUNTIF(damper_names,_xlfn.CONCAT("D_E_",C806))=1), "C", "")</f>
        <v>#VALUE!</v>
      </c>
      <c r="E806" t="e">
        <f t="shared" ca="1" si="30"/>
        <v>#VALUE!</v>
      </c>
      <c r="F806" t="e">
        <f t="shared" ca="1" si="31"/>
        <v>#VALUE!</v>
      </c>
      <c r="G806" t="e">
        <f t="shared" ca="1" si="32"/>
        <v>#VALUE!</v>
      </c>
    </row>
    <row r="807" spans="1:7" x14ac:dyDescent="0.25">
      <c r="A807" s="1"/>
      <c r="D807" t="e" cm="1">
        <f t="array" aca="1" ref="D807" ca="1">IF(OR(COUNTIF(damper_names,_xlfn.CONCAT("D_S_",C807))=1, COUNTIF(damper_names,_xlfn.CONCAT("D_E_",C807))=1), "C", "")</f>
        <v>#VALUE!</v>
      </c>
      <c r="E807" t="e">
        <f t="shared" ca="1" si="30"/>
        <v>#VALUE!</v>
      </c>
      <c r="F807" t="e">
        <f t="shared" ca="1" si="31"/>
        <v>#VALUE!</v>
      </c>
      <c r="G807" t="e">
        <f t="shared" ca="1" si="32"/>
        <v>#VALUE!</v>
      </c>
    </row>
    <row r="808" spans="1:7" x14ac:dyDescent="0.25">
      <c r="A808" s="1"/>
      <c r="D808" t="e" cm="1">
        <f t="array" aca="1" ref="D808" ca="1">IF(OR(COUNTIF(damper_names,_xlfn.CONCAT("D_S_",C808))=1, COUNTIF(damper_names,_xlfn.CONCAT("D_E_",C808))=1), "C", "")</f>
        <v>#VALUE!</v>
      </c>
      <c r="E808" t="e">
        <f t="shared" ca="1" si="30"/>
        <v>#VALUE!</v>
      </c>
      <c r="F808" t="e">
        <f t="shared" ca="1" si="31"/>
        <v>#VALUE!</v>
      </c>
      <c r="G808" t="e">
        <f t="shared" ca="1" si="32"/>
        <v>#VALUE!</v>
      </c>
    </row>
    <row r="809" spans="1:7" x14ac:dyDescent="0.25">
      <c r="A809" s="1"/>
      <c r="D809" t="e" cm="1">
        <f t="array" aca="1" ref="D809" ca="1">IF(OR(COUNTIF(damper_names,_xlfn.CONCAT("D_S_",C809))=1, COUNTIF(damper_names,_xlfn.CONCAT("D_E_",C809))=1), "C", "")</f>
        <v>#VALUE!</v>
      </c>
      <c r="E809" t="e">
        <f t="shared" ca="1" si="30"/>
        <v>#VALUE!</v>
      </c>
      <c r="F809" t="e">
        <f t="shared" ca="1" si="31"/>
        <v>#VALUE!</v>
      </c>
      <c r="G809" t="e">
        <f t="shared" ca="1" si="32"/>
        <v>#VALUE!</v>
      </c>
    </row>
    <row r="810" spans="1:7" x14ac:dyDescent="0.25">
      <c r="A810" s="1"/>
      <c r="D810" t="e" cm="1">
        <f t="array" aca="1" ref="D810" ca="1">IF(OR(COUNTIF(damper_names,_xlfn.CONCAT("D_S_",C810))=1, COUNTIF(damper_names,_xlfn.CONCAT("D_E_",C810))=1), "C", "")</f>
        <v>#VALUE!</v>
      </c>
      <c r="E810" t="e">
        <f t="shared" ca="1" si="30"/>
        <v>#VALUE!</v>
      </c>
      <c r="F810" t="e">
        <f t="shared" ca="1" si="31"/>
        <v>#VALUE!</v>
      </c>
      <c r="G810" t="e">
        <f t="shared" ca="1" si="32"/>
        <v>#VALUE!</v>
      </c>
    </row>
    <row r="811" spans="1:7" x14ac:dyDescent="0.25">
      <c r="A811" s="1"/>
      <c r="D811" t="e" cm="1">
        <f t="array" aca="1" ref="D811" ca="1">IF(OR(COUNTIF(damper_names,_xlfn.CONCAT("D_S_",C811))=1, COUNTIF(damper_names,_xlfn.CONCAT("D_E_",C811))=1), "C", "")</f>
        <v>#VALUE!</v>
      </c>
      <c r="E811" t="e">
        <f t="shared" ca="1" si="30"/>
        <v>#VALUE!</v>
      </c>
      <c r="F811" t="e">
        <f t="shared" ca="1" si="31"/>
        <v>#VALUE!</v>
      </c>
      <c r="G811" t="e">
        <f t="shared" ca="1" si="32"/>
        <v>#VALUE!</v>
      </c>
    </row>
    <row r="812" spans="1:7" x14ac:dyDescent="0.25">
      <c r="A812" s="1"/>
      <c r="D812" t="e" cm="1">
        <f t="array" aca="1" ref="D812" ca="1">IF(OR(COUNTIF(damper_names,_xlfn.CONCAT("D_S_",C812))=1, COUNTIF(damper_names,_xlfn.CONCAT("D_E_",C812))=1), "C", "")</f>
        <v>#VALUE!</v>
      </c>
      <c r="E812" t="e">
        <f t="shared" ca="1" si="30"/>
        <v>#VALUE!</v>
      </c>
      <c r="F812" t="e">
        <f t="shared" ca="1" si="31"/>
        <v>#VALUE!</v>
      </c>
      <c r="G812" t="e">
        <f t="shared" ca="1" si="32"/>
        <v>#VALUE!</v>
      </c>
    </row>
    <row r="813" spans="1:7" x14ac:dyDescent="0.25">
      <c r="A813" s="1"/>
      <c r="D813" t="e" cm="1">
        <f t="array" aca="1" ref="D813" ca="1">IF(OR(COUNTIF(damper_names,_xlfn.CONCAT("D_S_",C813))=1, COUNTIF(damper_names,_xlfn.CONCAT("D_E_",C813))=1), "C", "")</f>
        <v>#VALUE!</v>
      </c>
      <c r="E813" t="e">
        <f t="shared" ca="1" si="30"/>
        <v>#VALUE!</v>
      </c>
      <c r="F813" t="e">
        <f t="shared" ca="1" si="31"/>
        <v>#VALUE!</v>
      </c>
      <c r="G813" t="e">
        <f t="shared" ca="1" si="32"/>
        <v>#VALUE!</v>
      </c>
    </row>
    <row r="814" spans="1:7" x14ac:dyDescent="0.25">
      <c r="A814" s="1"/>
      <c r="D814" t="e" cm="1">
        <f t="array" aca="1" ref="D814" ca="1">IF(OR(COUNTIF(damper_names,_xlfn.CONCAT("D_S_",C814))=1, COUNTIF(damper_names,_xlfn.CONCAT("D_E_",C814))=1), "C", "")</f>
        <v>#VALUE!</v>
      </c>
      <c r="E814" t="e">
        <f t="shared" ca="1" si="30"/>
        <v>#VALUE!</v>
      </c>
      <c r="F814" t="e">
        <f t="shared" ca="1" si="31"/>
        <v>#VALUE!</v>
      </c>
      <c r="G814" t="e">
        <f t="shared" ca="1" si="32"/>
        <v>#VALUE!</v>
      </c>
    </row>
    <row r="815" spans="1:7" x14ac:dyDescent="0.25">
      <c r="A815" s="1"/>
      <c r="D815" t="e" cm="1">
        <f t="array" aca="1" ref="D815" ca="1">IF(OR(COUNTIF(damper_names,_xlfn.CONCAT("D_S_",C815))=1, COUNTIF(damper_names,_xlfn.CONCAT("D_E_",C815))=1), "C", "")</f>
        <v>#VALUE!</v>
      </c>
      <c r="E815" t="e">
        <f t="shared" ca="1" si="30"/>
        <v>#VALUE!</v>
      </c>
      <c r="F815" t="e">
        <f t="shared" ca="1" si="31"/>
        <v>#VALUE!</v>
      </c>
      <c r="G815" t="e">
        <f t="shared" ca="1" si="32"/>
        <v>#VALUE!</v>
      </c>
    </row>
    <row r="816" spans="1:7" x14ac:dyDescent="0.25">
      <c r="A816" s="1"/>
      <c r="D816" t="e" cm="1">
        <f t="array" aca="1" ref="D816" ca="1">IF(OR(COUNTIF(damper_names,_xlfn.CONCAT("D_S_",C816))=1, COUNTIF(damper_names,_xlfn.CONCAT("D_E_",C816))=1), "C", "")</f>
        <v>#VALUE!</v>
      </c>
      <c r="E816" t="e">
        <f t="shared" ca="1" si="30"/>
        <v>#VALUE!</v>
      </c>
      <c r="F816" t="e">
        <f t="shared" ca="1" si="31"/>
        <v>#VALUE!</v>
      </c>
      <c r="G816" t="e">
        <f t="shared" ca="1" si="32"/>
        <v>#VALUE!</v>
      </c>
    </row>
    <row r="817" spans="1:7" x14ac:dyDescent="0.25">
      <c r="A817" s="1"/>
      <c r="D817" t="e" cm="1">
        <f t="array" aca="1" ref="D817" ca="1">IF(OR(COUNTIF(damper_names,_xlfn.CONCAT("D_S_",C817))=1, COUNTIF(damper_names,_xlfn.CONCAT("D_E_",C817))=1), "C", "")</f>
        <v>#VALUE!</v>
      </c>
      <c r="E817" t="e">
        <f t="shared" ca="1" si="30"/>
        <v>#VALUE!</v>
      </c>
      <c r="F817" t="e">
        <f t="shared" ca="1" si="31"/>
        <v>#VALUE!</v>
      </c>
      <c r="G817" t="e">
        <f t="shared" ca="1" si="32"/>
        <v>#VALUE!</v>
      </c>
    </row>
    <row r="818" spans="1:7" x14ac:dyDescent="0.25">
      <c r="A818" s="1"/>
      <c r="D818" t="e" cm="1">
        <f t="array" aca="1" ref="D818" ca="1">IF(OR(COUNTIF(damper_names,_xlfn.CONCAT("D_S_",C818))=1, COUNTIF(damper_names,_xlfn.CONCAT("D_E_",C818))=1), "C", "")</f>
        <v>#VALUE!</v>
      </c>
      <c r="E818" t="e">
        <f t="shared" ca="1" si="30"/>
        <v>#VALUE!</v>
      </c>
      <c r="F818" t="e">
        <f t="shared" ca="1" si="31"/>
        <v>#VALUE!</v>
      </c>
      <c r="G818" t="e">
        <f t="shared" ca="1" si="32"/>
        <v>#VALUE!</v>
      </c>
    </row>
    <row r="819" spans="1:7" x14ac:dyDescent="0.25">
      <c r="A819" s="1"/>
      <c r="D819" t="e" cm="1">
        <f t="array" aca="1" ref="D819" ca="1">IF(OR(COUNTIF(damper_names,_xlfn.CONCAT("D_S_",C819))=1, COUNTIF(damper_names,_xlfn.CONCAT("D_E_",C819))=1), "C", "")</f>
        <v>#VALUE!</v>
      </c>
      <c r="E819" t="e">
        <f t="shared" ca="1" si="30"/>
        <v>#VALUE!</v>
      </c>
      <c r="F819" t="e">
        <f t="shared" ca="1" si="31"/>
        <v>#VALUE!</v>
      </c>
      <c r="G819" t="e">
        <f t="shared" ca="1" si="32"/>
        <v>#VALUE!</v>
      </c>
    </row>
    <row r="820" spans="1:7" x14ac:dyDescent="0.25">
      <c r="A820" s="1"/>
      <c r="D820" t="e" cm="1">
        <f t="array" aca="1" ref="D820" ca="1">IF(OR(COUNTIF(damper_names,_xlfn.CONCAT("D_S_",C820))=1, COUNTIF(damper_names,_xlfn.CONCAT("D_E_",C820))=1), "C", "")</f>
        <v>#VALUE!</v>
      </c>
      <c r="E820" t="e">
        <f t="shared" ca="1" si="30"/>
        <v>#VALUE!</v>
      </c>
      <c r="F820" t="e">
        <f t="shared" ca="1" si="31"/>
        <v>#VALUE!</v>
      </c>
      <c r="G820" t="e">
        <f t="shared" ca="1" si="32"/>
        <v>#VALUE!</v>
      </c>
    </row>
    <row r="821" spans="1:7" x14ac:dyDescent="0.25">
      <c r="A821" s="1"/>
      <c r="D821" t="e" cm="1">
        <f t="array" aca="1" ref="D821" ca="1">IF(OR(COUNTIF(damper_names,_xlfn.CONCAT("D_S_",C821))=1, COUNTIF(damper_names,_xlfn.CONCAT("D_E_",C821))=1), "C", "")</f>
        <v>#VALUE!</v>
      </c>
      <c r="E821" t="e">
        <f t="shared" ca="1" si="30"/>
        <v>#VALUE!</v>
      </c>
      <c r="F821" t="e">
        <f t="shared" ca="1" si="31"/>
        <v>#VALUE!</v>
      </c>
      <c r="G821" t="e">
        <f t="shared" ca="1" si="32"/>
        <v>#VALUE!</v>
      </c>
    </row>
    <row r="822" spans="1:7" x14ac:dyDescent="0.25">
      <c r="A822" s="1"/>
      <c r="D822" t="e" cm="1">
        <f t="array" aca="1" ref="D822" ca="1">IF(OR(COUNTIF(damper_names,_xlfn.CONCAT("D_S_",C822))=1, COUNTIF(damper_names,_xlfn.CONCAT("D_E_",C822))=1), "C", "")</f>
        <v>#VALUE!</v>
      </c>
      <c r="E822" t="e">
        <f t="shared" ca="1" si="30"/>
        <v>#VALUE!</v>
      </c>
      <c r="F822" t="e">
        <f t="shared" ca="1" si="31"/>
        <v>#VALUE!</v>
      </c>
      <c r="G822" t="e">
        <f t="shared" ca="1" si="32"/>
        <v>#VALUE!</v>
      </c>
    </row>
    <row r="823" spans="1:7" x14ac:dyDescent="0.25">
      <c r="A823" s="1"/>
      <c r="D823" t="e" cm="1">
        <f t="array" aca="1" ref="D823" ca="1">IF(OR(COUNTIF(damper_names,_xlfn.CONCAT("D_S_",C823))=1, COUNTIF(damper_names,_xlfn.CONCAT("D_E_",C823))=1), "C", "")</f>
        <v>#VALUE!</v>
      </c>
      <c r="E823" t="e">
        <f t="shared" ca="1" si="30"/>
        <v>#VALUE!</v>
      </c>
      <c r="F823" t="e">
        <f t="shared" ca="1" si="31"/>
        <v>#VALUE!</v>
      </c>
      <c r="G823" t="e">
        <f t="shared" ca="1" si="32"/>
        <v>#VALUE!</v>
      </c>
    </row>
    <row r="824" spans="1:7" x14ac:dyDescent="0.25">
      <c r="A824" s="1"/>
      <c r="D824" t="e" cm="1">
        <f t="array" aca="1" ref="D824" ca="1">IF(OR(COUNTIF(damper_names,_xlfn.CONCAT("D_S_",C824))=1, COUNTIF(damper_names,_xlfn.CONCAT("D_E_",C824))=1), "C", "")</f>
        <v>#VALUE!</v>
      </c>
      <c r="E824" t="e">
        <f t="shared" ca="1" si="30"/>
        <v>#VALUE!</v>
      </c>
      <c r="F824" t="e">
        <f t="shared" ca="1" si="31"/>
        <v>#VALUE!</v>
      </c>
      <c r="G824" t="e">
        <f t="shared" ca="1" si="32"/>
        <v>#VALUE!</v>
      </c>
    </row>
    <row r="825" spans="1:7" x14ac:dyDescent="0.25">
      <c r="A825" s="1"/>
      <c r="D825" t="e" cm="1">
        <f t="array" aca="1" ref="D825" ca="1">IF(OR(COUNTIF(damper_names,_xlfn.CONCAT("D_S_",C825))=1, COUNTIF(damper_names,_xlfn.CONCAT("D_E_",C825))=1), "C", "")</f>
        <v>#VALUE!</v>
      </c>
      <c r="E825" t="e">
        <f t="shared" ca="1" si="30"/>
        <v>#VALUE!</v>
      </c>
      <c r="F825" t="e">
        <f t="shared" ca="1" si="31"/>
        <v>#VALUE!</v>
      </c>
      <c r="G825" t="e">
        <f t="shared" ca="1" si="32"/>
        <v>#VALUE!</v>
      </c>
    </row>
    <row r="826" spans="1:7" x14ac:dyDescent="0.25">
      <c r="A826" s="1"/>
      <c r="D826" t="e" cm="1">
        <f t="array" aca="1" ref="D826" ca="1">IF(OR(COUNTIF(damper_names,_xlfn.CONCAT("D_S_",C826))=1, COUNTIF(damper_names,_xlfn.CONCAT("D_E_",C826))=1), "C", "")</f>
        <v>#VALUE!</v>
      </c>
      <c r="E826" t="e">
        <f t="shared" ca="1" si="30"/>
        <v>#VALUE!</v>
      </c>
      <c r="F826" t="e">
        <f t="shared" ca="1" si="31"/>
        <v>#VALUE!</v>
      </c>
      <c r="G826" t="e">
        <f t="shared" ca="1" si="32"/>
        <v>#VALUE!</v>
      </c>
    </row>
    <row r="827" spans="1:7" x14ac:dyDescent="0.25">
      <c r="A827" s="1"/>
      <c r="D827" t="e" cm="1">
        <f t="array" aca="1" ref="D827" ca="1">IF(OR(COUNTIF(damper_names,_xlfn.CONCAT("D_S_",C827))=1, COUNTIF(damper_names,_xlfn.CONCAT("D_E_",C827))=1), "C", "")</f>
        <v>#VALUE!</v>
      </c>
      <c r="E827" t="e">
        <f t="shared" ca="1" si="30"/>
        <v>#VALUE!</v>
      </c>
      <c r="F827" t="e">
        <f t="shared" ca="1" si="31"/>
        <v>#VALUE!</v>
      </c>
      <c r="G827" t="e">
        <f t="shared" ca="1" si="32"/>
        <v>#VALUE!</v>
      </c>
    </row>
    <row r="828" spans="1:7" x14ac:dyDescent="0.25">
      <c r="A828" s="1"/>
      <c r="D828" t="e" cm="1">
        <f t="array" aca="1" ref="D828" ca="1">IF(OR(COUNTIF(damper_names,_xlfn.CONCAT("D_S_",C828))=1, COUNTIF(damper_names,_xlfn.CONCAT("D_E_",C828))=1), "C", "")</f>
        <v>#VALUE!</v>
      </c>
      <c r="E828" t="e">
        <f t="shared" ca="1" si="30"/>
        <v>#VALUE!</v>
      </c>
      <c r="F828" t="e">
        <f t="shared" ca="1" si="31"/>
        <v>#VALUE!</v>
      </c>
      <c r="G828" t="e">
        <f t="shared" ca="1" si="32"/>
        <v>#VALUE!</v>
      </c>
    </row>
    <row r="829" spans="1:7" x14ac:dyDescent="0.25">
      <c r="A829" s="1"/>
      <c r="D829" t="e" cm="1">
        <f t="array" aca="1" ref="D829" ca="1">IF(OR(COUNTIF(damper_names,_xlfn.CONCAT("D_S_",C829))=1, COUNTIF(damper_names,_xlfn.CONCAT("D_E_",C829))=1), "C", "")</f>
        <v>#VALUE!</v>
      </c>
      <c r="E829" t="e">
        <f t="shared" ca="1" si="30"/>
        <v>#VALUE!</v>
      </c>
      <c r="F829" t="e">
        <f t="shared" ca="1" si="31"/>
        <v>#VALUE!</v>
      </c>
      <c r="G829" t="e">
        <f t="shared" ca="1" si="32"/>
        <v>#VALUE!</v>
      </c>
    </row>
    <row r="830" spans="1:7" x14ac:dyDescent="0.25">
      <c r="A830" s="1"/>
      <c r="D830" t="e" cm="1">
        <f t="array" aca="1" ref="D830" ca="1">IF(OR(COUNTIF(damper_names,_xlfn.CONCAT("D_S_",C830))=1, COUNTIF(damper_names,_xlfn.CONCAT("D_E_",C830))=1), "C", "")</f>
        <v>#VALUE!</v>
      </c>
      <c r="E830" t="e">
        <f t="shared" ca="1" si="30"/>
        <v>#VALUE!</v>
      </c>
      <c r="F830" t="e">
        <f t="shared" ca="1" si="31"/>
        <v>#VALUE!</v>
      </c>
      <c r="G830" t="e">
        <f t="shared" ca="1" si="32"/>
        <v>#VALUE!</v>
      </c>
    </row>
    <row r="831" spans="1:7" x14ac:dyDescent="0.25">
      <c r="A831" s="1"/>
      <c r="D831" t="e" cm="1">
        <f t="array" aca="1" ref="D831" ca="1">IF(OR(COUNTIF(damper_names,_xlfn.CONCAT("D_S_",C831))=1, COUNTIF(damper_names,_xlfn.CONCAT("D_E_",C831))=1), "C", "")</f>
        <v>#VALUE!</v>
      </c>
      <c r="E831" t="e">
        <f t="shared" ca="1" si="30"/>
        <v>#VALUE!</v>
      </c>
      <c r="F831" t="e">
        <f t="shared" ca="1" si="31"/>
        <v>#VALUE!</v>
      </c>
      <c r="G831" t="e">
        <f t="shared" ca="1" si="32"/>
        <v>#VALUE!</v>
      </c>
    </row>
    <row r="832" spans="1:7" x14ac:dyDescent="0.25">
      <c r="A832" s="1"/>
      <c r="D832" t="e" cm="1">
        <f t="array" aca="1" ref="D832" ca="1">IF(OR(COUNTIF(damper_names,_xlfn.CONCAT("D_S_",C832))=1, COUNTIF(damper_names,_xlfn.CONCAT("D_E_",C832))=1), "C", "")</f>
        <v>#VALUE!</v>
      </c>
      <c r="E832" t="e">
        <f t="shared" ca="1" si="30"/>
        <v>#VALUE!</v>
      </c>
      <c r="F832" t="e">
        <f t="shared" ca="1" si="31"/>
        <v>#VALUE!</v>
      </c>
      <c r="G832" t="e">
        <f t="shared" ca="1" si="32"/>
        <v>#VALUE!</v>
      </c>
    </row>
    <row r="833" spans="1:7" x14ac:dyDescent="0.25">
      <c r="A833" s="1"/>
      <c r="D833" t="e" cm="1">
        <f t="array" aca="1" ref="D833" ca="1">IF(OR(COUNTIF(damper_names,_xlfn.CONCAT("D_S_",C833))=1, COUNTIF(damper_names,_xlfn.CONCAT("D_E_",C833))=1), "C", "")</f>
        <v>#VALUE!</v>
      </c>
      <c r="E833" t="e">
        <f t="shared" ca="1" si="30"/>
        <v>#VALUE!</v>
      </c>
      <c r="F833" t="e">
        <f t="shared" ca="1" si="31"/>
        <v>#VALUE!</v>
      </c>
      <c r="G833" t="e">
        <f t="shared" ca="1" si="32"/>
        <v>#VALUE!</v>
      </c>
    </row>
    <row r="834" spans="1:7" x14ac:dyDescent="0.25">
      <c r="A834" s="1"/>
      <c r="D834" t="e" cm="1">
        <f t="array" aca="1" ref="D834" ca="1">IF(OR(COUNTIF(damper_names,_xlfn.CONCAT("D_S_",C834))=1, COUNTIF(damper_names,_xlfn.CONCAT("D_E_",C834))=1), "C", "")</f>
        <v>#VALUE!</v>
      </c>
      <c r="E834" t="e">
        <f t="shared" ca="1" si="30"/>
        <v>#VALUE!</v>
      </c>
      <c r="F834" t="e">
        <f t="shared" ca="1" si="31"/>
        <v>#VALUE!</v>
      </c>
      <c r="G834" t="e">
        <f t="shared" ca="1" si="32"/>
        <v>#VALUE!</v>
      </c>
    </row>
    <row r="835" spans="1:7" x14ac:dyDescent="0.25">
      <c r="A835" s="1"/>
      <c r="D835" t="e" cm="1">
        <f t="array" aca="1" ref="D835" ca="1">IF(OR(COUNTIF(damper_names,_xlfn.CONCAT("D_S_",C835))=1, COUNTIF(damper_names,_xlfn.CONCAT("D_E_",C835))=1), "C", "")</f>
        <v>#VALUE!</v>
      </c>
      <c r="E835" t="e">
        <f t="shared" ca="1" si="30"/>
        <v>#VALUE!</v>
      </c>
      <c r="F835" t="e">
        <f t="shared" ca="1" si="31"/>
        <v>#VALUE!</v>
      </c>
      <c r="G835" t="e">
        <f t="shared" ca="1" si="32"/>
        <v>#VALUE!</v>
      </c>
    </row>
    <row r="836" spans="1:7" x14ac:dyDescent="0.25">
      <c r="A836" s="1"/>
      <c r="D836" t="e" cm="1">
        <f t="array" aca="1" ref="D836" ca="1">IF(OR(COUNTIF(damper_names,_xlfn.CONCAT("D_S_",C836))=1, COUNTIF(damper_names,_xlfn.CONCAT("D_E_",C836))=1), "C", "")</f>
        <v>#VALUE!</v>
      </c>
      <c r="E836" t="e">
        <f t="shared" ca="1" si="30"/>
        <v>#VALUE!</v>
      </c>
      <c r="F836" t="e">
        <f t="shared" ca="1" si="31"/>
        <v>#VALUE!</v>
      </c>
      <c r="G836" t="e">
        <f t="shared" ca="1" si="32"/>
        <v>#VALUE!</v>
      </c>
    </row>
    <row r="837" spans="1:7" x14ac:dyDescent="0.25">
      <c r="A837" s="1"/>
      <c r="D837" t="e" cm="1">
        <f t="array" aca="1" ref="D837" ca="1">IF(OR(COUNTIF(damper_names,_xlfn.CONCAT("D_S_",C837))=1, COUNTIF(damper_names,_xlfn.CONCAT("D_E_",C837))=1), "C", "")</f>
        <v>#VALUE!</v>
      </c>
      <c r="E837" t="e">
        <f t="shared" ca="1" si="30"/>
        <v>#VALUE!</v>
      </c>
      <c r="F837" t="e">
        <f t="shared" ca="1" si="31"/>
        <v>#VALUE!</v>
      </c>
      <c r="G837" t="e">
        <f t="shared" ca="1" si="32"/>
        <v>#VALUE!</v>
      </c>
    </row>
    <row r="838" spans="1:7" x14ac:dyDescent="0.25">
      <c r="A838" s="1"/>
      <c r="D838" t="e" cm="1">
        <f t="array" aca="1" ref="D838" ca="1">IF(OR(COUNTIF(damper_names,_xlfn.CONCAT("D_S_",C838))=1, COUNTIF(damper_names,_xlfn.CONCAT("D_E_",C838))=1), "C", "")</f>
        <v>#VALUE!</v>
      </c>
      <c r="E838" t="e">
        <f t="shared" ca="1" si="30"/>
        <v>#VALUE!</v>
      </c>
      <c r="F838" t="e">
        <f t="shared" ca="1" si="31"/>
        <v>#VALUE!</v>
      </c>
      <c r="G838" t="e">
        <f t="shared" ca="1" si="32"/>
        <v>#VALUE!</v>
      </c>
    </row>
    <row r="839" spans="1:7" x14ac:dyDescent="0.25">
      <c r="A839" s="1"/>
      <c r="D839" t="e" cm="1">
        <f t="array" aca="1" ref="D839" ca="1">IF(OR(COUNTIF(damper_names,_xlfn.CONCAT("D_S_",C839))=1, COUNTIF(damper_names,_xlfn.CONCAT("D_E_",C839))=1), "C", "")</f>
        <v>#VALUE!</v>
      </c>
      <c r="E839" t="e">
        <f t="shared" ref="E839:E902" ca="1" si="33">IF(D839="T", 0.05, IF(D839="C", -0.01, ""))</f>
        <v>#VALUE!</v>
      </c>
      <c r="F839" t="e">
        <f t="shared" ref="F839:F902" ca="1" si="34">IF(D839="T", 0.05, IF(D839="C", 0, ""))</f>
        <v>#VALUE!</v>
      </c>
      <c r="G839" t="e">
        <f t="shared" ref="G839:G902" ca="1" si="35">IF(D839="T", 0, IF(D839="C", 0, ""))</f>
        <v>#VALUE!</v>
      </c>
    </row>
    <row r="840" spans="1:7" x14ac:dyDescent="0.25">
      <c r="A840" s="1"/>
      <c r="D840" t="e" cm="1">
        <f t="array" aca="1" ref="D840" ca="1">IF(OR(COUNTIF(damper_names,_xlfn.CONCAT("D_S_",C840))=1, COUNTIF(damper_names,_xlfn.CONCAT("D_E_",C840))=1), "C", "")</f>
        <v>#VALUE!</v>
      </c>
      <c r="E840" t="e">
        <f t="shared" ca="1" si="33"/>
        <v>#VALUE!</v>
      </c>
      <c r="F840" t="e">
        <f t="shared" ca="1" si="34"/>
        <v>#VALUE!</v>
      </c>
      <c r="G840" t="e">
        <f t="shared" ca="1" si="35"/>
        <v>#VALUE!</v>
      </c>
    </row>
    <row r="841" spans="1:7" x14ac:dyDescent="0.25">
      <c r="A841" s="1"/>
      <c r="D841" t="e" cm="1">
        <f t="array" aca="1" ref="D841" ca="1">IF(OR(COUNTIF(damper_names,_xlfn.CONCAT("D_S_",C841))=1, COUNTIF(damper_names,_xlfn.CONCAT("D_E_",C841))=1), "C", "")</f>
        <v>#VALUE!</v>
      </c>
      <c r="E841" t="e">
        <f t="shared" ca="1" si="33"/>
        <v>#VALUE!</v>
      </c>
      <c r="F841" t="e">
        <f t="shared" ca="1" si="34"/>
        <v>#VALUE!</v>
      </c>
      <c r="G841" t="e">
        <f t="shared" ca="1" si="35"/>
        <v>#VALUE!</v>
      </c>
    </row>
    <row r="842" spans="1:7" x14ac:dyDescent="0.25">
      <c r="A842" s="1"/>
      <c r="D842" t="e" cm="1">
        <f t="array" aca="1" ref="D842" ca="1">IF(OR(COUNTIF(damper_names,_xlfn.CONCAT("D_S_",C842))=1, COUNTIF(damper_names,_xlfn.CONCAT("D_E_",C842))=1), "C", "")</f>
        <v>#VALUE!</v>
      </c>
      <c r="E842" t="e">
        <f t="shared" ca="1" si="33"/>
        <v>#VALUE!</v>
      </c>
      <c r="F842" t="e">
        <f t="shared" ca="1" si="34"/>
        <v>#VALUE!</v>
      </c>
      <c r="G842" t="e">
        <f t="shared" ca="1" si="35"/>
        <v>#VALUE!</v>
      </c>
    </row>
    <row r="843" spans="1:7" x14ac:dyDescent="0.25">
      <c r="A843" s="1"/>
      <c r="D843" t="e" cm="1">
        <f t="array" aca="1" ref="D843" ca="1">IF(OR(COUNTIF(damper_names,_xlfn.CONCAT("D_S_",C843))=1, COUNTIF(damper_names,_xlfn.CONCAT("D_E_",C843))=1), "C", "")</f>
        <v>#VALUE!</v>
      </c>
      <c r="E843" t="e">
        <f t="shared" ca="1" si="33"/>
        <v>#VALUE!</v>
      </c>
      <c r="F843" t="e">
        <f t="shared" ca="1" si="34"/>
        <v>#VALUE!</v>
      </c>
      <c r="G843" t="e">
        <f t="shared" ca="1" si="35"/>
        <v>#VALUE!</v>
      </c>
    </row>
    <row r="844" spans="1:7" x14ac:dyDescent="0.25">
      <c r="A844" s="1"/>
      <c r="D844" t="e" cm="1">
        <f t="array" aca="1" ref="D844" ca="1">IF(OR(COUNTIF(damper_names,_xlfn.CONCAT("D_S_",C844))=1, COUNTIF(damper_names,_xlfn.CONCAT("D_E_",C844))=1), "C", "")</f>
        <v>#VALUE!</v>
      </c>
      <c r="E844" t="e">
        <f t="shared" ca="1" si="33"/>
        <v>#VALUE!</v>
      </c>
      <c r="F844" t="e">
        <f t="shared" ca="1" si="34"/>
        <v>#VALUE!</v>
      </c>
      <c r="G844" t="e">
        <f t="shared" ca="1" si="35"/>
        <v>#VALUE!</v>
      </c>
    </row>
    <row r="845" spans="1:7" x14ac:dyDescent="0.25">
      <c r="A845" s="1"/>
      <c r="D845" t="e" cm="1">
        <f t="array" aca="1" ref="D845" ca="1">IF(OR(COUNTIF(damper_names,_xlfn.CONCAT("D_S_",C845))=1, COUNTIF(damper_names,_xlfn.CONCAT("D_E_",C845))=1), "C", "")</f>
        <v>#VALUE!</v>
      </c>
      <c r="E845" t="e">
        <f t="shared" ca="1" si="33"/>
        <v>#VALUE!</v>
      </c>
      <c r="F845" t="e">
        <f t="shared" ca="1" si="34"/>
        <v>#VALUE!</v>
      </c>
      <c r="G845" t="e">
        <f t="shared" ca="1" si="35"/>
        <v>#VALUE!</v>
      </c>
    </row>
    <row r="846" spans="1:7" x14ac:dyDescent="0.25">
      <c r="A846" s="1"/>
      <c r="D846" t="e" cm="1">
        <f t="array" aca="1" ref="D846" ca="1">IF(OR(COUNTIF(damper_names,_xlfn.CONCAT("D_S_",C846))=1, COUNTIF(damper_names,_xlfn.CONCAT("D_E_",C846))=1), "C", "")</f>
        <v>#VALUE!</v>
      </c>
      <c r="E846" t="e">
        <f t="shared" ca="1" si="33"/>
        <v>#VALUE!</v>
      </c>
      <c r="F846" t="e">
        <f t="shared" ca="1" si="34"/>
        <v>#VALUE!</v>
      </c>
      <c r="G846" t="e">
        <f t="shared" ca="1" si="35"/>
        <v>#VALUE!</v>
      </c>
    </row>
    <row r="847" spans="1:7" x14ac:dyDescent="0.25">
      <c r="A847" s="1"/>
      <c r="D847" t="e" cm="1">
        <f t="array" aca="1" ref="D847" ca="1">IF(OR(COUNTIF(damper_names,_xlfn.CONCAT("D_S_",C847))=1, COUNTIF(damper_names,_xlfn.CONCAT("D_E_",C847))=1), "C", "")</f>
        <v>#VALUE!</v>
      </c>
      <c r="E847" t="e">
        <f t="shared" ca="1" si="33"/>
        <v>#VALUE!</v>
      </c>
      <c r="F847" t="e">
        <f t="shared" ca="1" si="34"/>
        <v>#VALUE!</v>
      </c>
      <c r="G847" t="e">
        <f t="shared" ca="1" si="35"/>
        <v>#VALUE!</v>
      </c>
    </row>
    <row r="848" spans="1:7" x14ac:dyDescent="0.25">
      <c r="A848" s="1"/>
      <c r="D848" t="e" cm="1">
        <f t="array" aca="1" ref="D848" ca="1">IF(OR(COUNTIF(damper_names,_xlfn.CONCAT("D_S_",C848))=1, COUNTIF(damper_names,_xlfn.CONCAT("D_E_",C848))=1), "C", "")</f>
        <v>#VALUE!</v>
      </c>
      <c r="E848" t="e">
        <f t="shared" ca="1" si="33"/>
        <v>#VALUE!</v>
      </c>
      <c r="F848" t="e">
        <f t="shared" ca="1" si="34"/>
        <v>#VALUE!</v>
      </c>
      <c r="G848" t="e">
        <f t="shared" ca="1" si="35"/>
        <v>#VALUE!</v>
      </c>
    </row>
    <row r="849" spans="1:7" x14ac:dyDescent="0.25">
      <c r="A849" s="1"/>
      <c r="D849" t="e" cm="1">
        <f t="array" aca="1" ref="D849" ca="1">IF(OR(COUNTIF(damper_names,_xlfn.CONCAT("D_S_",C849))=1, COUNTIF(damper_names,_xlfn.CONCAT("D_E_",C849))=1), "C", "")</f>
        <v>#VALUE!</v>
      </c>
      <c r="E849" t="e">
        <f t="shared" ca="1" si="33"/>
        <v>#VALUE!</v>
      </c>
      <c r="F849" t="e">
        <f t="shared" ca="1" si="34"/>
        <v>#VALUE!</v>
      </c>
      <c r="G849" t="e">
        <f t="shared" ca="1" si="35"/>
        <v>#VALUE!</v>
      </c>
    </row>
    <row r="850" spans="1:7" x14ac:dyDescent="0.25">
      <c r="A850" s="1"/>
      <c r="D850" t="e" cm="1">
        <f t="array" aca="1" ref="D850" ca="1">IF(OR(COUNTIF(damper_names,_xlfn.CONCAT("D_S_",C850))=1, COUNTIF(damper_names,_xlfn.CONCAT("D_E_",C850))=1), "C", "")</f>
        <v>#VALUE!</v>
      </c>
      <c r="E850" t="e">
        <f t="shared" ca="1" si="33"/>
        <v>#VALUE!</v>
      </c>
      <c r="F850" t="e">
        <f t="shared" ca="1" si="34"/>
        <v>#VALUE!</v>
      </c>
      <c r="G850" t="e">
        <f t="shared" ca="1" si="35"/>
        <v>#VALUE!</v>
      </c>
    </row>
    <row r="851" spans="1:7" x14ac:dyDescent="0.25">
      <c r="A851" s="1"/>
      <c r="D851" t="e" cm="1">
        <f t="array" aca="1" ref="D851" ca="1">IF(OR(COUNTIF(damper_names,_xlfn.CONCAT("D_S_",C851))=1, COUNTIF(damper_names,_xlfn.CONCAT("D_E_",C851))=1), "C", "")</f>
        <v>#VALUE!</v>
      </c>
      <c r="E851" t="e">
        <f t="shared" ca="1" si="33"/>
        <v>#VALUE!</v>
      </c>
      <c r="F851" t="e">
        <f t="shared" ca="1" si="34"/>
        <v>#VALUE!</v>
      </c>
      <c r="G851" t="e">
        <f t="shared" ca="1" si="35"/>
        <v>#VALUE!</v>
      </c>
    </row>
    <row r="852" spans="1:7" x14ac:dyDescent="0.25">
      <c r="A852" s="1"/>
      <c r="D852" t="e" cm="1">
        <f t="array" aca="1" ref="D852" ca="1">IF(OR(COUNTIF(damper_names,_xlfn.CONCAT("D_S_",C852))=1, COUNTIF(damper_names,_xlfn.CONCAT("D_E_",C852))=1), "C", "")</f>
        <v>#VALUE!</v>
      </c>
      <c r="E852" t="e">
        <f t="shared" ca="1" si="33"/>
        <v>#VALUE!</v>
      </c>
      <c r="F852" t="e">
        <f t="shared" ca="1" si="34"/>
        <v>#VALUE!</v>
      </c>
      <c r="G852" t="e">
        <f t="shared" ca="1" si="35"/>
        <v>#VALUE!</v>
      </c>
    </row>
    <row r="853" spans="1:7" x14ac:dyDescent="0.25">
      <c r="A853" s="1"/>
      <c r="D853" t="e" cm="1">
        <f t="array" aca="1" ref="D853" ca="1">IF(OR(COUNTIF(damper_names,_xlfn.CONCAT("D_S_",C853))=1, COUNTIF(damper_names,_xlfn.CONCAT("D_E_",C853))=1), "C", "")</f>
        <v>#VALUE!</v>
      </c>
      <c r="E853" t="e">
        <f t="shared" ca="1" si="33"/>
        <v>#VALUE!</v>
      </c>
      <c r="F853" t="e">
        <f t="shared" ca="1" si="34"/>
        <v>#VALUE!</v>
      </c>
      <c r="G853" t="e">
        <f t="shared" ca="1" si="35"/>
        <v>#VALUE!</v>
      </c>
    </row>
    <row r="854" spans="1:7" x14ac:dyDescent="0.25">
      <c r="A854" s="1"/>
      <c r="D854" t="e" cm="1">
        <f t="array" aca="1" ref="D854" ca="1">IF(OR(COUNTIF(damper_names,_xlfn.CONCAT("D_S_",C854))=1, COUNTIF(damper_names,_xlfn.CONCAT("D_E_",C854))=1), "C", "")</f>
        <v>#VALUE!</v>
      </c>
      <c r="E854" t="e">
        <f t="shared" ca="1" si="33"/>
        <v>#VALUE!</v>
      </c>
      <c r="F854" t="e">
        <f t="shared" ca="1" si="34"/>
        <v>#VALUE!</v>
      </c>
      <c r="G854" t="e">
        <f t="shared" ca="1" si="35"/>
        <v>#VALUE!</v>
      </c>
    </row>
    <row r="855" spans="1:7" x14ac:dyDescent="0.25">
      <c r="A855" s="1"/>
      <c r="D855" t="e" cm="1">
        <f t="array" aca="1" ref="D855" ca="1">IF(OR(COUNTIF(damper_names,_xlfn.CONCAT("D_S_",C855))=1, COUNTIF(damper_names,_xlfn.CONCAT("D_E_",C855))=1), "C", "")</f>
        <v>#VALUE!</v>
      </c>
      <c r="E855" t="e">
        <f t="shared" ca="1" si="33"/>
        <v>#VALUE!</v>
      </c>
      <c r="F855" t="e">
        <f t="shared" ca="1" si="34"/>
        <v>#VALUE!</v>
      </c>
      <c r="G855" t="e">
        <f t="shared" ca="1" si="35"/>
        <v>#VALUE!</v>
      </c>
    </row>
    <row r="856" spans="1:7" x14ac:dyDescent="0.25">
      <c r="A856" s="1"/>
      <c r="D856" t="e" cm="1">
        <f t="array" aca="1" ref="D856" ca="1">IF(OR(COUNTIF(damper_names,_xlfn.CONCAT("D_S_",C856))=1, COUNTIF(damper_names,_xlfn.CONCAT("D_E_",C856))=1), "C", "")</f>
        <v>#VALUE!</v>
      </c>
      <c r="E856" t="e">
        <f t="shared" ca="1" si="33"/>
        <v>#VALUE!</v>
      </c>
      <c r="F856" t="e">
        <f t="shared" ca="1" si="34"/>
        <v>#VALUE!</v>
      </c>
      <c r="G856" t="e">
        <f t="shared" ca="1" si="35"/>
        <v>#VALUE!</v>
      </c>
    </row>
    <row r="857" spans="1:7" x14ac:dyDescent="0.25">
      <c r="A857" s="1"/>
      <c r="D857" t="e" cm="1">
        <f t="array" aca="1" ref="D857" ca="1">IF(OR(COUNTIF(damper_names,_xlfn.CONCAT("D_S_",C857))=1, COUNTIF(damper_names,_xlfn.CONCAT("D_E_",C857))=1), "C", "")</f>
        <v>#VALUE!</v>
      </c>
      <c r="E857" t="e">
        <f t="shared" ca="1" si="33"/>
        <v>#VALUE!</v>
      </c>
      <c r="F857" t="e">
        <f t="shared" ca="1" si="34"/>
        <v>#VALUE!</v>
      </c>
      <c r="G857" t="e">
        <f t="shared" ca="1" si="35"/>
        <v>#VALUE!</v>
      </c>
    </row>
    <row r="858" spans="1:7" x14ac:dyDescent="0.25">
      <c r="A858" s="1"/>
      <c r="D858" t="e" cm="1">
        <f t="array" aca="1" ref="D858" ca="1">IF(OR(COUNTIF(damper_names,_xlfn.CONCAT("D_S_",C858))=1, COUNTIF(damper_names,_xlfn.CONCAT("D_E_",C858))=1), "C", "")</f>
        <v>#VALUE!</v>
      </c>
      <c r="E858" t="e">
        <f t="shared" ca="1" si="33"/>
        <v>#VALUE!</v>
      </c>
      <c r="F858" t="e">
        <f t="shared" ca="1" si="34"/>
        <v>#VALUE!</v>
      </c>
      <c r="G858" t="e">
        <f t="shared" ca="1" si="35"/>
        <v>#VALUE!</v>
      </c>
    </row>
    <row r="859" spans="1:7" x14ac:dyDescent="0.25">
      <c r="A859" s="1"/>
      <c r="D859" t="e" cm="1">
        <f t="array" aca="1" ref="D859" ca="1">IF(OR(COUNTIF(damper_names,_xlfn.CONCAT("D_S_",C859))=1, COUNTIF(damper_names,_xlfn.CONCAT("D_E_",C859))=1), "C", "")</f>
        <v>#VALUE!</v>
      </c>
      <c r="E859" t="e">
        <f t="shared" ca="1" si="33"/>
        <v>#VALUE!</v>
      </c>
      <c r="F859" t="e">
        <f t="shared" ca="1" si="34"/>
        <v>#VALUE!</v>
      </c>
      <c r="G859" t="e">
        <f t="shared" ca="1" si="35"/>
        <v>#VALUE!</v>
      </c>
    </row>
    <row r="860" spans="1:7" x14ac:dyDescent="0.25">
      <c r="A860" s="1"/>
      <c r="D860" t="e" cm="1">
        <f t="array" aca="1" ref="D860" ca="1">IF(OR(COUNTIF(damper_names,_xlfn.CONCAT("D_S_",C860))=1, COUNTIF(damper_names,_xlfn.CONCAT("D_E_",C860))=1), "C", "")</f>
        <v>#VALUE!</v>
      </c>
      <c r="E860" t="e">
        <f t="shared" ca="1" si="33"/>
        <v>#VALUE!</v>
      </c>
      <c r="F860" t="e">
        <f t="shared" ca="1" si="34"/>
        <v>#VALUE!</v>
      </c>
      <c r="G860" t="e">
        <f t="shared" ca="1" si="35"/>
        <v>#VALUE!</v>
      </c>
    </row>
    <row r="861" spans="1:7" x14ac:dyDescent="0.25">
      <c r="A861" s="1"/>
      <c r="D861" t="e" cm="1">
        <f t="array" aca="1" ref="D861" ca="1">IF(OR(COUNTIF(damper_names,_xlfn.CONCAT("D_S_",C861))=1, COUNTIF(damper_names,_xlfn.CONCAT("D_E_",C861))=1), "C", "")</f>
        <v>#VALUE!</v>
      </c>
      <c r="E861" t="e">
        <f t="shared" ca="1" si="33"/>
        <v>#VALUE!</v>
      </c>
      <c r="F861" t="e">
        <f t="shared" ca="1" si="34"/>
        <v>#VALUE!</v>
      </c>
      <c r="G861" t="e">
        <f t="shared" ca="1" si="35"/>
        <v>#VALUE!</v>
      </c>
    </row>
    <row r="862" spans="1:7" x14ac:dyDescent="0.25">
      <c r="A862" s="1"/>
      <c r="D862" t="e" cm="1">
        <f t="array" aca="1" ref="D862" ca="1">IF(OR(COUNTIF(damper_names,_xlfn.CONCAT("D_S_",C862))=1, COUNTIF(damper_names,_xlfn.CONCAT("D_E_",C862))=1), "C", "")</f>
        <v>#VALUE!</v>
      </c>
      <c r="E862" t="e">
        <f t="shared" ca="1" si="33"/>
        <v>#VALUE!</v>
      </c>
      <c r="F862" t="e">
        <f t="shared" ca="1" si="34"/>
        <v>#VALUE!</v>
      </c>
      <c r="G862" t="e">
        <f t="shared" ca="1" si="35"/>
        <v>#VALUE!</v>
      </c>
    </row>
    <row r="863" spans="1:7" x14ac:dyDescent="0.25">
      <c r="A863" s="1"/>
      <c r="D863" t="e" cm="1">
        <f t="array" aca="1" ref="D863" ca="1">IF(OR(COUNTIF(damper_names,_xlfn.CONCAT("D_S_",C863))=1, COUNTIF(damper_names,_xlfn.CONCAT("D_E_",C863))=1), "C", "")</f>
        <v>#VALUE!</v>
      </c>
      <c r="E863" t="e">
        <f t="shared" ca="1" si="33"/>
        <v>#VALUE!</v>
      </c>
      <c r="F863" t="e">
        <f t="shared" ca="1" si="34"/>
        <v>#VALUE!</v>
      </c>
      <c r="G863" t="e">
        <f t="shared" ca="1" si="35"/>
        <v>#VALUE!</v>
      </c>
    </row>
    <row r="864" spans="1:7" x14ac:dyDescent="0.25">
      <c r="A864" s="1"/>
      <c r="D864" t="e" cm="1">
        <f t="array" aca="1" ref="D864" ca="1">IF(OR(COUNTIF(damper_names,_xlfn.CONCAT("D_S_",C864))=1, COUNTIF(damper_names,_xlfn.CONCAT("D_E_",C864))=1), "C", "")</f>
        <v>#VALUE!</v>
      </c>
      <c r="E864" t="e">
        <f t="shared" ca="1" si="33"/>
        <v>#VALUE!</v>
      </c>
      <c r="F864" t="e">
        <f t="shared" ca="1" si="34"/>
        <v>#VALUE!</v>
      </c>
      <c r="G864" t="e">
        <f t="shared" ca="1" si="35"/>
        <v>#VALUE!</v>
      </c>
    </row>
    <row r="865" spans="1:7" x14ac:dyDescent="0.25">
      <c r="A865" s="1"/>
      <c r="D865" t="e" cm="1">
        <f t="array" aca="1" ref="D865" ca="1">IF(OR(COUNTIF(damper_names,_xlfn.CONCAT("D_S_",C865))=1, COUNTIF(damper_names,_xlfn.CONCAT("D_E_",C865))=1), "C", "")</f>
        <v>#VALUE!</v>
      </c>
      <c r="E865" t="e">
        <f t="shared" ca="1" si="33"/>
        <v>#VALUE!</v>
      </c>
      <c r="F865" t="e">
        <f t="shared" ca="1" si="34"/>
        <v>#VALUE!</v>
      </c>
      <c r="G865" t="e">
        <f t="shared" ca="1" si="35"/>
        <v>#VALUE!</v>
      </c>
    </row>
    <row r="866" spans="1:7" x14ac:dyDescent="0.25">
      <c r="A866" s="1"/>
      <c r="D866" t="e" cm="1">
        <f t="array" aca="1" ref="D866" ca="1">IF(OR(COUNTIF(damper_names,_xlfn.CONCAT("D_S_",C866))=1, COUNTIF(damper_names,_xlfn.CONCAT("D_E_",C866))=1), "C", "")</f>
        <v>#VALUE!</v>
      </c>
      <c r="E866" t="e">
        <f t="shared" ca="1" si="33"/>
        <v>#VALUE!</v>
      </c>
      <c r="F866" t="e">
        <f t="shared" ca="1" si="34"/>
        <v>#VALUE!</v>
      </c>
      <c r="G866" t="e">
        <f t="shared" ca="1" si="35"/>
        <v>#VALUE!</v>
      </c>
    </row>
    <row r="867" spans="1:7" x14ac:dyDescent="0.25">
      <c r="A867" s="1"/>
      <c r="D867" t="e" cm="1">
        <f t="array" aca="1" ref="D867" ca="1">IF(OR(COUNTIF(damper_names,_xlfn.CONCAT("D_S_",C867))=1, COUNTIF(damper_names,_xlfn.CONCAT("D_E_",C867))=1), "C", "")</f>
        <v>#VALUE!</v>
      </c>
      <c r="E867" t="e">
        <f t="shared" ca="1" si="33"/>
        <v>#VALUE!</v>
      </c>
      <c r="F867" t="e">
        <f t="shared" ca="1" si="34"/>
        <v>#VALUE!</v>
      </c>
      <c r="G867" t="e">
        <f t="shared" ca="1" si="35"/>
        <v>#VALUE!</v>
      </c>
    </row>
    <row r="868" spans="1:7" x14ac:dyDescent="0.25">
      <c r="A868" s="1"/>
      <c r="D868" t="e" cm="1">
        <f t="array" aca="1" ref="D868" ca="1">IF(OR(COUNTIF(damper_names,_xlfn.CONCAT("D_S_",C868))=1, COUNTIF(damper_names,_xlfn.CONCAT("D_E_",C868))=1), "C", "")</f>
        <v>#VALUE!</v>
      </c>
      <c r="E868" t="e">
        <f t="shared" ca="1" si="33"/>
        <v>#VALUE!</v>
      </c>
      <c r="F868" t="e">
        <f t="shared" ca="1" si="34"/>
        <v>#VALUE!</v>
      </c>
      <c r="G868" t="e">
        <f t="shared" ca="1" si="35"/>
        <v>#VALUE!</v>
      </c>
    </row>
    <row r="869" spans="1:7" x14ac:dyDescent="0.25">
      <c r="A869" s="1"/>
      <c r="D869" t="e" cm="1">
        <f t="array" aca="1" ref="D869" ca="1">IF(OR(COUNTIF(damper_names,_xlfn.CONCAT("D_S_",C869))=1, COUNTIF(damper_names,_xlfn.CONCAT("D_E_",C869))=1), "C", "")</f>
        <v>#VALUE!</v>
      </c>
      <c r="E869" t="e">
        <f t="shared" ca="1" si="33"/>
        <v>#VALUE!</v>
      </c>
      <c r="F869" t="e">
        <f t="shared" ca="1" si="34"/>
        <v>#VALUE!</v>
      </c>
      <c r="G869" t="e">
        <f t="shared" ca="1" si="35"/>
        <v>#VALUE!</v>
      </c>
    </row>
    <row r="870" spans="1:7" x14ac:dyDescent="0.25">
      <c r="A870" s="1"/>
      <c r="D870" t="e" cm="1">
        <f t="array" aca="1" ref="D870" ca="1">IF(OR(COUNTIF(damper_names,_xlfn.CONCAT("D_S_",C870))=1, COUNTIF(damper_names,_xlfn.CONCAT("D_E_",C870))=1), "C", "")</f>
        <v>#VALUE!</v>
      </c>
      <c r="E870" t="e">
        <f t="shared" ca="1" si="33"/>
        <v>#VALUE!</v>
      </c>
      <c r="F870" t="e">
        <f t="shared" ca="1" si="34"/>
        <v>#VALUE!</v>
      </c>
      <c r="G870" t="e">
        <f t="shared" ca="1" si="35"/>
        <v>#VALUE!</v>
      </c>
    </row>
    <row r="871" spans="1:7" x14ac:dyDescent="0.25">
      <c r="A871" s="1"/>
      <c r="D871" t="e" cm="1">
        <f t="array" aca="1" ref="D871" ca="1">IF(OR(COUNTIF(damper_names,_xlfn.CONCAT("D_S_",C871))=1, COUNTIF(damper_names,_xlfn.CONCAT("D_E_",C871))=1), "C", "")</f>
        <v>#VALUE!</v>
      </c>
      <c r="E871" t="e">
        <f t="shared" ca="1" si="33"/>
        <v>#VALUE!</v>
      </c>
      <c r="F871" t="e">
        <f t="shared" ca="1" si="34"/>
        <v>#VALUE!</v>
      </c>
      <c r="G871" t="e">
        <f t="shared" ca="1" si="35"/>
        <v>#VALUE!</v>
      </c>
    </row>
    <row r="872" spans="1:7" x14ac:dyDescent="0.25">
      <c r="A872" s="1"/>
      <c r="D872" t="e" cm="1">
        <f t="array" aca="1" ref="D872" ca="1">IF(OR(COUNTIF(damper_names,_xlfn.CONCAT("D_S_",C872))=1, COUNTIF(damper_names,_xlfn.CONCAT("D_E_",C872))=1), "C", "")</f>
        <v>#VALUE!</v>
      </c>
      <c r="E872" t="e">
        <f t="shared" ca="1" si="33"/>
        <v>#VALUE!</v>
      </c>
      <c r="F872" t="e">
        <f t="shared" ca="1" si="34"/>
        <v>#VALUE!</v>
      </c>
      <c r="G872" t="e">
        <f t="shared" ca="1" si="35"/>
        <v>#VALUE!</v>
      </c>
    </row>
    <row r="873" spans="1:7" x14ac:dyDescent="0.25">
      <c r="A873" s="1"/>
      <c r="D873" t="e" cm="1">
        <f t="array" aca="1" ref="D873" ca="1">IF(OR(COUNTIF(damper_names,_xlfn.CONCAT("D_S_",C873))=1, COUNTIF(damper_names,_xlfn.CONCAT("D_E_",C873))=1), "C", "")</f>
        <v>#VALUE!</v>
      </c>
      <c r="E873" t="e">
        <f t="shared" ca="1" si="33"/>
        <v>#VALUE!</v>
      </c>
      <c r="F873" t="e">
        <f t="shared" ca="1" si="34"/>
        <v>#VALUE!</v>
      </c>
      <c r="G873" t="e">
        <f t="shared" ca="1" si="35"/>
        <v>#VALUE!</v>
      </c>
    </row>
    <row r="874" spans="1:7" x14ac:dyDescent="0.25">
      <c r="A874" s="1"/>
      <c r="D874" t="e" cm="1">
        <f t="array" aca="1" ref="D874" ca="1">IF(OR(COUNTIF(damper_names,_xlfn.CONCAT("D_S_",C874))=1, COUNTIF(damper_names,_xlfn.CONCAT("D_E_",C874))=1), "C", "")</f>
        <v>#VALUE!</v>
      </c>
      <c r="E874" t="e">
        <f t="shared" ca="1" si="33"/>
        <v>#VALUE!</v>
      </c>
      <c r="F874" t="e">
        <f t="shared" ca="1" si="34"/>
        <v>#VALUE!</v>
      </c>
      <c r="G874" t="e">
        <f t="shared" ca="1" si="35"/>
        <v>#VALUE!</v>
      </c>
    </row>
    <row r="875" spans="1:7" x14ac:dyDescent="0.25">
      <c r="A875" s="1"/>
      <c r="D875" t="e" cm="1">
        <f t="array" aca="1" ref="D875" ca="1">IF(OR(COUNTIF(damper_names,_xlfn.CONCAT("D_S_",C875))=1, COUNTIF(damper_names,_xlfn.CONCAT("D_E_",C875))=1), "C", "")</f>
        <v>#VALUE!</v>
      </c>
      <c r="E875" t="e">
        <f t="shared" ca="1" si="33"/>
        <v>#VALUE!</v>
      </c>
      <c r="F875" t="e">
        <f t="shared" ca="1" si="34"/>
        <v>#VALUE!</v>
      </c>
      <c r="G875" t="e">
        <f t="shared" ca="1" si="35"/>
        <v>#VALUE!</v>
      </c>
    </row>
    <row r="876" spans="1:7" x14ac:dyDescent="0.25">
      <c r="A876" s="1"/>
      <c r="D876" t="e" cm="1">
        <f t="array" aca="1" ref="D876" ca="1">IF(OR(COUNTIF(damper_names,_xlfn.CONCAT("D_S_",C876))=1, COUNTIF(damper_names,_xlfn.CONCAT("D_E_",C876))=1), "C", "")</f>
        <v>#VALUE!</v>
      </c>
      <c r="E876" t="e">
        <f t="shared" ca="1" si="33"/>
        <v>#VALUE!</v>
      </c>
      <c r="F876" t="e">
        <f t="shared" ca="1" si="34"/>
        <v>#VALUE!</v>
      </c>
      <c r="G876" t="e">
        <f t="shared" ca="1" si="35"/>
        <v>#VALUE!</v>
      </c>
    </row>
    <row r="877" spans="1:7" x14ac:dyDescent="0.25">
      <c r="A877" s="1"/>
      <c r="D877" t="e" cm="1">
        <f t="array" aca="1" ref="D877" ca="1">IF(OR(COUNTIF(damper_names,_xlfn.CONCAT("D_S_",C877))=1, COUNTIF(damper_names,_xlfn.CONCAT("D_E_",C877))=1), "C", "")</f>
        <v>#VALUE!</v>
      </c>
      <c r="E877" t="e">
        <f t="shared" ca="1" si="33"/>
        <v>#VALUE!</v>
      </c>
      <c r="F877" t="e">
        <f t="shared" ca="1" si="34"/>
        <v>#VALUE!</v>
      </c>
      <c r="G877" t="e">
        <f t="shared" ca="1" si="35"/>
        <v>#VALUE!</v>
      </c>
    </row>
    <row r="878" spans="1:7" x14ac:dyDescent="0.25">
      <c r="A878" s="1"/>
      <c r="D878" t="e" cm="1">
        <f t="array" aca="1" ref="D878" ca="1">IF(OR(COUNTIF(damper_names,_xlfn.CONCAT("D_S_",C878))=1, COUNTIF(damper_names,_xlfn.CONCAT("D_E_",C878))=1), "C", "")</f>
        <v>#VALUE!</v>
      </c>
      <c r="E878" t="e">
        <f t="shared" ca="1" si="33"/>
        <v>#VALUE!</v>
      </c>
      <c r="F878" t="e">
        <f t="shared" ca="1" si="34"/>
        <v>#VALUE!</v>
      </c>
      <c r="G878" t="e">
        <f t="shared" ca="1" si="35"/>
        <v>#VALUE!</v>
      </c>
    </row>
    <row r="879" spans="1:7" x14ac:dyDescent="0.25">
      <c r="A879" s="1"/>
      <c r="D879" t="e" cm="1">
        <f t="array" aca="1" ref="D879" ca="1">IF(OR(COUNTIF(damper_names,_xlfn.CONCAT("D_S_",C879))=1, COUNTIF(damper_names,_xlfn.CONCAT("D_E_",C879))=1), "C", "")</f>
        <v>#VALUE!</v>
      </c>
      <c r="E879" t="e">
        <f t="shared" ca="1" si="33"/>
        <v>#VALUE!</v>
      </c>
      <c r="F879" t="e">
        <f t="shared" ca="1" si="34"/>
        <v>#VALUE!</v>
      </c>
      <c r="G879" t="e">
        <f t="shared" ca="1" si="35"/>
        <v>#VALUE!</v>
      </c>
    </row>
    <row r="880" spans="1:7" x14ac:dyDescent="0.25">
      <c r="A880" s="1"/>
      <c r="D880" t="e" cm="1">
        <f t="array" aca="1" ref="D880" ca="1">IF(OR(COUNTIF(damper_names,_xlfn.CONCAT("D_S_",C880))=1, COUNTIF(damper_names,_xlfn.CONCAT("D_E_",C880))=1), "C", "")</f>
        <v>#VALUE!</v>
      </c>
      <c r="E880" t="e">
        <f t="shared" ca="1" si="33"/>
        <v>#VALUE!</v>
      </c>
      <c r="F880" t="e">
        <f t="shared" ca="1" si="34"/>
        <v>#VALUE!</v>
      </c>
      <c r="G880" t="e">
        <f t="shared" ca="1" si="35"/>
        <v>#VALUE!</v>
      </c>
    </row>
    <row r="881" spans="1:7" x14ac:dyDescent="0.25">
      <c r="A881" s="1"/>
      <c r="D881" t="e" cm="1">
        <f t="array" aca="1" ref="D881" ca="1">IF(OR(COUNTIF(damper_names,_xlfn.CONCAT("D_S_",C881))=1, COUNTIF(damper_names,_xlfn.CONCAT("D_E_",C881))=1), "C", "")</f>
        <v>#VALUE!</v>
      </c>
      <c r="E881" t="e">
        <f t="shared" ca="1" si="33"/>
        <v>#VALUE!</v>
      </c>
      <c r="F881" t="e">
        <f t="shared" ca="1" si="34"/>
        <v>#VALUE!</v>
      </c>
      <c r="G881" t="e">
        <f t="shared" ca="1" si="35"/>
        <v>#VALUE!</v>
      </c>
    </row>
    <row r="882" spans="1:7" x14ac:dyDescent="0.25">
      <c r="A882" s="1"/>
      <c r="D882" t="e" cm="1">
        <f t="array" aca="1" ref="D882" ca="1">IF(OR(COUNTIF(damper_names,_xlfn.CONCAT("D_S_",C882))=1, COUNTIF(damper_names,_xlfn.CONCAT("D_E_",C882))=1), "C", "")</f>
        <v>#VALUE!</v>
      </c>
      <c r="E882" t="e">
        <f t="shared" ca="1" si="33"/>
        <v>#VALUE!</v>
      </c>
      <c r="F882" t="e">
        <f t="shared" ca="1" si="34"/>
        <v>#VALUE!</v>
      </c>
      <c r="G882" t="e">
        <f t="shared" ca="1" si="35"/>
        <v>#VALUE!</v>
      </c>
    </row>
    <row r="883" spans="1:7" x14ac:dyDescent="0.25">
      <c r="A883" s="1"/>
      <c r="D883" t="e" cm="1">
        <f t="array" aca="1" ref="D883" ca="1">IF(OR(COUNTIF(damper_names,_xlfn.CONCAT("D_S_",C883))=1, COUNTIF(damper_names,_xlfn.CONCAT("D_E_",C883))=1), "C", "")</f>
        <v>#VALUE!</v>
      </c>
      <c r="E883" t="e">
        <f t="shared" ca="1" si="33"/>
        <v>#VALUE!</v>
      </c>
      <c r="F883" t="e">
        <f t="shared" ca="1" si="34"/>
        <v>#VALUE!</v>
      </c>
      <c r="G883" t="e">
        <f t="shared" ca="1" si="35"/>
        <v>#VALUE!</v>
      </c>
    </row>
    <row r="884" spans="1:7" x14ac:dyDescent="0.25">
      <c r="A884" s="1"/>
      <c r="D884" t="e" cm="1">
        <f t="array" aca="1" ref="D884" ca="1">IF(OR(COUNTIF(damper_names,_xlfn.CONCAT("D_S_",C884))=1, COUNTIF(damper_names,_xlfn.CONCAT("D_E_",C884))=1), "C", "")</f>
        <v>#VALUE!</v>
      </c>
      <c r="E884" t="e">
        <f t="shared" ca="1" si="33"/>
        <v>#VALUE!</v>
      </c>
      <c r="F884" t="e">
        <f t="shared" ca="1" si="34"/>
        <v>#VALUE!</v>
      </c>
      <c r="G884" t="e">
        <f t="shared" ca="1" si="35"/>
        <v>#VALUE!</v>
      </c>
    </row>
    <row r="885" spans="1:7" x14ac:dyDescent="0.25">
      <c r="A885" s="1"/>
      <c r="D885" t="e" cm="1">
        <f t="array" aca="1" ref="D885" ca="1">IF(OR(COUNTIF(damper_names,_xlfn.CONCAT("D_S_",C885))=1, COUNTIF(damper_names,_xlfn.CONCAT("D_E_",C885))=1), "C", "")</f>
        <v>#VALUE!</v>
      </c>
      <c r="E885" t="e">
        <f t="shared" ca="1" si="33"/>
        <v>#VALUE!</v>
      </c>
      <c r="F885" t="e">
        <f t="shared" ca="1" si="34"/>
        <v>#VALUE!</v>
      </c>
      <c r="G885" t="e">
        <f t="shared" ca="1" si="35"/>
        <v>#VALUE!</v>
      </c>
    </row>
    <row r="886" spans="1:7" x14ac:dyDescent="0.25">
      <c r="A886" s="1"/>
      <c r="D886" t="e" cm="1">
        <f t="array" aca="1" ref="D886" ca="1">IF(OR(COUNTIF(damper_names,_xlfn.CONCAT("D_S_",C886))=1, COUNTIF(damper_names,_xlfn.CONCAT("D_E_",C886))=1), "C", "")</f>
        <v>#VALUE!</v>
      </c>
      <c r="E886" t="e">
        <f t="shared" ca="1" si="33"/>
        <v>#VALUE!</v>
      </c>
      <c r="F886" t="e">
        <f t="shared" ca="1" si="34"/>
        <v>#VALUE!</v>
      </c>
      <c r="G886" t="e">
        <f t="shared" ca="1" si="35"/>
        <v>#VALUE!</v>
      </c>
    </row>
    <row r="887" spans="1:7" x14ac:dyDescent="0.25">
      <c r="A887" s="1"/>
      <c r="D887" t="e" cm="1">
        <f t="array" aca="1" ref="D887" ca="1">IF(OR(COUNTIF(damper_names,_xlfn.CONCAT("D_S_",C887))=1, COUNTIF(damper_names,_xlfn.CONCAT("D_E_",C887))=1), "C", "")</f>
        <v>#VALUE!</v>
      </c>
      <c r="E887" t="e">
        <f t="shared" ca="1" si="33"/>
        <v>#VALUE!</v>
      </c>
      <c r="F887" t="e">
        <f t="shared" ca="1" si="34"/>
        <v>#VALUE!</v>
      </c>
      <c r="G887" t="e">
        <f t="shared" ca="1" si="35"/>
        <v>#VALUE!</v>
      </c>
    </row>
    <row r="888" spans="1:7" x14ac:dyDescent="0.25">
      <c r="A888" s="1"/>
      <c r="D888" t="e" cm="1">
        <f t="array" aca="1" ref="D888" ca="1">IF(OR(COUNTIF(damper_names,_xlfn.CONCAT("D_S_",C888))=1, COUNTIF(damper_names,_xlfn.CONCAT("D_E_",C888))=1), "C", "")</f>
        <v>#VALUE!</v>
      </c>
      <c r="E888" t="e">
        <f t="shared" ca="1" si="33"/>
        <v>#VALUE!</v>
      </c>
      <c r="F888" t="e">
        <f t="shared" ca="1" si="34"/>
        <v>#VALUE!</v>
      </c>
      <c r="G888" t="e">
        <f t="shared" ca="1" si="35"/>
        <v>#VALUE!</v>
      </c>
    </row>
    <row r="889" spans="1:7" x14ac:dyDescent="0.25">
      <c r="A889" s="1"/>
      <c r="D889" t="e" cm="1">
        <f t="array" aca="1" ref="D889" ca="1">IF(OR(COUNTIF(damper_names,_xlfn.CONCAT("D_S_",C889))=1, COUNTIF(damper_names,_xlfn.CONCAT("D_E_",C889))=1), "C", "")</f>
        <v>#VALUE!</v>
      </c>
      <c r="E889" t="e">
        <f t="shared" ca="1" si="33"/>
        <v>#VALUE!</v>
      </c>
      <c r="F889" t="e">
        <f t="shared" ca="1" si="34"/>
        <v>#VALUE!</v>
      </c>
      <c r="G889" t="e">
        <f t="shared" ca="1" si="35"/>
        <v>#VALUE!</v>
      </c>
    </row>
    <row r="890" spans="1:7" x14ac:dyDescent="0.25">
      <c r="A890" s="1"/>
      <c r="D890" t="e" cm="1">
        <f t="array" aca="1" ref="D890" ca="1">IF(OR(COUNTIF(damper_names,_xlfn.CONCAT("D_S_",C890))=1, COUNTIF(damper_names,_xlfn.CONCAT("D_E_",C890))=1), "C", "")</f>
        <v>#VALUE!</v>
      </c>
      <c r="E890" t="e">
        <f t="shared" ca="1" si="33"/>
        <v>#VALUE!</v>
      </c>
      <c r="F890" t="e">
        <f t="shared" ca="1" si="34"/>
        <v>#VALUE!</v>
      </c>
      <c r="G890" t="e">
        <f t="shared" ca="1" si="35"/>
        <v>#VALUE!</v>
      </c>
    </row>
    <row r="891" spans="1:7" x14ac:dyDescent="0.25">
      <c r="A891" s="1"/>
      <c r="D891" t="e" cm="1">
        <f t="array" aca="1" ref="D891" ca="1">IF(OR(COUNTIF(damper_names,_xlfn.CONCAT("D_S_",C891))=1, COUNTIF(damper_names,_xlfn.CONCAT("D_E_",C891))=1), "C", "")</f>
        <v>#VALUE!</v>
      </c>
      <c r="E891" t="e">
        <f t="shared" ca="1" si="33"/>
        <v>#VALUE!</v>
      </c>
      <c r="F891" t="e">
        <f t="shared" ca="1" si="34"/>
        <v>#VALUE!</v>
      </c>
      <c r="G891" t="e">
        <f t="shared" ca="1" si="35"/>
        <v>#VALUE!</v>
      </c>
    </row>
    <row r="892" spans="1:7" x14ac:dyDescent="0.25">
      <c r="A892" s="1"/>
      <c r="D892" t="e" cm="1">
        <f t="array" aca="1" ref="D892" ca="1">IF(OR(COUNTIF(damper_names,_xlfn.CONCAT("D_S_",C892))=1, COUNTIF(damper_names,_xlfn.CONCAT("D_E_",C892))=1), "C", "")</f>
        <v>#VALUE!</v>
      </c>
      <c r="E892" t="e">
        <f t="shared" ca="1" si="33"/>
        <v>#VALUE!</v>
      </c>
      <c r="F892" t="e">
        <f t="shared" ca="1" si="34"/>
        <v>#VALUE!</v>
      </c>
      <c r="G892" t="e">
        <f t="shared" ca="1" si="35"/>
        <v>#VALUE!</v>
      </c>
    </row>
    <row r="893" spans="1:7" x14ac:dyDescent="0.25">
      <c r="A893" s="1"/>
      <c r="D893" t="e" cm="1">
        <f t="array" aca="1" ref="D893" ca="1">IF(OR(COUNTIF(damper_names,_xlfn.CONCAT("D_S_",C893))=1, COUNTIF(damper_names,_xlfn.CONCAT("D_E_",C893))=1), "C", "")</f>
        <v>#VALUE!</v>
      </c>
      <c r="E893" t="e">
        <f t="shared" ca="1" si="33"/>
        <v>#VALUE!</v>
      </c>
      <c r="F893" t="e">
        <f t="shared" ca="1" si="34"/>
        <v>#VALUE!</v>
      </c>
      <c r="G893" t="e">
        <f t="shared" ca="1" si="35"/>
        <v>#VALUE!</v>
      </c>
    </row>
    <row r="894" spans="1:7" x14ac:dyDescent="0.25">
      <c r="A894" s="1"/>
      <c r="D894" t="e" cm="1">
        <f t="array" aca="1" ref="D894" ca="1">IF(OR(COUNTIF(damper_names,_xlfn.CONCAT("D_S_",C894))=1, COUNTIF(damper_names,_xlfn.CONCAT("D_E_",C894))=1), "C", "")</f>
        <v>#VALUE!</v>
      </c>
      <c r="E894" t="e">
        <f t="shared" ca="1" si="33"/>
        <v>#VALUE!</v>
      </c>
      <c r="F894" t="e">
        <f t="shared" ca="1" si="34"/>
        <v>#VALUE!</v>
      </c>
      <c r="G894" t="e">
        <f t="shared" ca="1" si="35"/>
        <v>#VALUE!</v>
      </c>
    </row>
    <row r="895" spans="1:7" x14ac:dyDescent="0.25">
      <c r="A895" s="1"/>
      <c r="D895" t="e" cm="1">
        <f t="array" aca="1" ref="D895" ca="1">IF(OR(COUNTIF(damper_names,_xlfn.CONCAT("D_S_",C895))=1, COUNTIF(damper_names,_xlfn.CONCAT("D_E_",C895))=1), "C", "")</f>
        <v>#VALUE!</v>
      </c>
      <c r="E895" t="e">
        <f t="shared" ca="1" si="33"/>
        <v>#VALUE!</v>
      </c>
      <c r="F895" t="e">
        <f t="shared" ca="1" si="34"/>
        <v>#VALUE!</v>
      </c>
      <c r="G895" t="e">
        <f t="shared" ca="1" si="35"/>
        <v>#VALUE!</v>
      </c>
    </row>
    <row r="896" spans="1:7" x14ac:dyDescent="0.25">
      <c r="A896" s="1"/>
      <c r="D896" t="e" cm="1">
        <f t="array" aca="1" ref="D896" ca="1">IF(OR(COUNTIF(damper_names,_xlfn.CONCAT("D_S_",C896))=1, COUNTIF(damper_names,_xlfn.CONCAT("D_E_",C896))=1), "C", "")</f>
        <v>#VALUE!</v>
      </c>
      <c r="E896" t="e">
        <f t="shared" ca="1" si="33"/>
        <v>#VALUE!</v>
      </c>
      <c r="F896" t="e">
        <f t="shared" ca="1" si="34"/>
        <v>#VALUE!</v>
      </c>
      <c r="G896" t="e">
        <f t="shared" ca="1" si="35"/>
        <v>#VALUE!</v>
      </c>
    </row>
    <row r="897" spans="1:7" x14ac:dyDescent="0.25">
      <c r="A897" s="1"/>
      <c r="D897" t="e" cm="1">
        <f t="array" aca="1" ref="D897" ca="1">IF(OR(COUNTIF(damper_names,_xlfn.CONCAT("D_S_",C897))=1, COUNTIF(damper_names,_xlfn.CONCAT("D_E_",C897))=1), "C", "")</f>
        <v>#VALUE!</v>
      </c>
      <c r="E897" t="e">
        <f t="shared" ca="1" si="33"/>
        <v>#VALUE!</v>
      </c>
      <c r="F897" t="e">
        <f t="shared" ca="1" si="34"/>
        <v>#VALUE!</v>
      </c>
      <c r="G897" t="e">
        <f t="shared" ca="1" si="35"/>
        <v>#VALUE!</v>
      </c>
    </row>
    <row r="898" spans="1:7" x14ac:dyDescent="0.25">
      <c r="A898" s="1"/>
      <c r="D898" t="e" cm="1">
        <f t="array" aca="1" ref="D898" ca="1">IF(OR(COUNTIF(damper_names,_xlfn.CONCAT("D_S_",C898))=1, COUNTIF(damper_names,_xlfn.CONCAT("D_E_",C898))=1), "C", "")</f>
        <v>#VALUE!</v>
      </c>
      <c r="E898" t="e">
        <f t="shared" ca="1" si="33"/>
        <v>#VALUE!</v>
      </c>
      <c r="F898" t="e">
        <f t="shared" ca="1" si="34"/>
        <v>#VALUE!</v>
      </c>
      <c r="G898" t="e">
        <f t="shared" ca="1" si="35"/>
        <v>#VALUE!</v>
      </c>
    </row>
    <row r="899" spans="1:7" x14ac:dyDescent="0.25">
      <c r="A899" s="1"/>
      <c r="D899" t="e" cm="1">
        <f t="array" aca="1" ref="D899" ca="1">IF(OR(COUNTIF(damper_names,_xlfn.CONCAT("D_S_",C899))=1, COUNTIF(damper_names,_xlfn.CONCAT("D_E_",C899))=1), "C", "")</f>
        <v>#VALUE!</v>
      </c>
      <c r="E899" t="e">
        <f t="shared" ca="1" si="33"/>
        <v>#VALUE!</v>
      </c>
      <c r="F899" t="e">
        <f t="shared" ca="1" si="34"/>
        <v>#VALUE!</v>
      </c>
      <c r="G899" t="e">
        <f t="shared" ca="1" si="35"/>
        <v>#VALUE!</v>
      </c>
    </row>
    <row r="900" spans="1:7" x14ac:dyDescent="0.25">
      <c r="A900" s="1"/>
      <c r="D900" t="e" cm="1">
        <f t="array" aca="1" ref="D900" ca="1">IF(OR(COUNTIF(damper_names,_xlfn.CONCAT("D_S_",C900))=1, COUNTIF(damper_names,_xlfn.CONCAT("D_E_",C900))=1), "C", "")</f>
        <v>#VALUE!</v>
      </c>
      <c r="E900" t="e">
        <f t="shared" ca="1" si="33"/>
        <v>#VALUE!</v>
      </c>
      <c r="F900" t="e">
        <f t="shared" ca="1" si="34"/>
        <v>#VALUE!</v>
      </c>
      <c r="G900" t="e">
        <f t="shared" ca="1" si="35"/>
        <v>#VALUE!</v>
      </c>
    </row>
    <row r="901" spans="1:7" x14ac:dyDescent="0.25">
      <c r="A901" s="1"/>
      <c r="D901" t="e" cm="1">
        <f t="array" aca="1" ref="D901" ca="1">IF(OR(COUNTIF(damper_names,_xlfn.CONCAT("D_S_",C901))=1, COUNTIF(damper_names,_xlfn.CONCAT("D_E_",C901))=1), "C", "")</f>
        <v>#VALUE!</v>
      </c>
      <c r="E901" t="e">
        <f t="shared" ca="1" si="33"/>
        <v>#VALUE!</v>
      </c>
      <c r="F901" t="e">
        <f t="shared" ca="1" si="34"/>
        <v>#VALUE!</v>
      </c>
      <c r="G901" t="e">
        <f t="shared" ca="1" si="35"/>
        <v>#VALUE!</v>
      </c>
    </row>
    <row r="902" spans="1:7" x14ac:dyDescent="0.25">
      <c r="A902" s="1"/>
      <c r="D902" t="e" cm="1">
        <f t="array" aca="1" ref="D902" ca="1">IF(OR(COUNTIF(damper_names,_xlfn.CONCAT("D_S_",C902))=1, COUNTIF(damper_names,_xlfn.CONCAT("D_E_",C902))=1), "C", "")</f>
        <v>#VALUE!</v>
      </c>
      <c r="E902" t="e">
        <f t="shared" ca="1" si="33"/>
        <v>#VALUE!</v>
      </c>
      <c r="F902" t="e">
        <f t="shared" ca="1" si="34"/>
        <v>#VALUE!</v>
      </c>
      <c r="G902" t="e">
        <f t="shared" ca="1" si="35"/>
        <v>#VALUE!</v>
      </c>
    </row>
    <row r="903" spans="1:7" x14ac:dyDescent="0.25">
      <c r="A903" s="1"/>
      <c r="D903" t="e" cm="1">
        <f t="array" aca="1" ref="D903" ca="1">IF(OR(COUNTIF(damper_names,_xlfn.CONCAT("D_S_",C903))=1, COUNTIF(damper_names,_xlfn.CONCAT("D_E_",C903))=1), "C", "")</f>
        <v>#VALUE!</v>
      </c>
      <c r="E903" t="e">
        <f t="shared" ref="E903:E966" ca="1" si="36">IF(D903="T", 0.05, IF(D903="C", -0.01, ""))</f>
        <v>#VALUE!</v>
      </c>
      <c r="F903" t="e">
        <f t="shared" ref="F903:F966" ca="1" si="37">IF(D903="T", 0.05, IF(D903="C", 0, ""))</f>
        <v>#VALUE!</v>
      </c>
      <c r="G903" t="e">
        <f t="shared" ref="G903:G966" ca="1" si="38">IF(D903="T", 0, IF(D903="C", 0, ""))</f>
        <v>#VALUE!</v>
      </c>
    </row>
    <row r="904" spans="1:7" x14ac:dyDescent="0.25">
      <c r="A904" s="1"/>
      <c r="D904" t="e" cm="1">
        <f t="array" aca="1" ref="D904" ca="1">IF(OR(COUNTIF(damper_names,_xlfn.CONCAT("D_S_",C904))=1, COUNTIF(damper_names,_xlfn.CONCAT("D_E_",C904))=1), "C", "")</f>
        <v>#VALUE!</v>
      </c>
      <c r="E904" t="e">
        <f t="shared" ca="1" si="36"/>
        <v>#VALUE!</v>
      </c>
      <c r="F904" t="e">
        <f t="shared" ca="1" si="37"/>
        <v>#VALUE!</v>
      </c>
      <c r="G904" t="e">
        <f t="shared" ca="1" si="38"/>
        <v>#VALUE!</v>
      </c>
    </row>
    <row r="905" spans="1:7" x14ac:dyDescent="0.25">
      <c r="A905" s="1"/>
      <c r="D905" t="e" cm="1">
        <f t="array" aca="1" ref="D905" ca="1">IF(OR(COUNTIF(damper_names,_xlfn.CONCAT("D_S_",C905))=1, COUNTIF(damper_names,_xlfn.CONCAT("D_E_",C905))=1), "C", "")</f>
        <v>#VALUE!</v>
      </c>
      <c r="E905" t="e">
        <f t="shared" ca="1" si="36"/>
        <v>#VALUE!</v>
      </c>
      <c r="F905" t="e">
        <f t="shared" ca="1" si="37"/>
        <v>#VALUE!</v>
      </c>
      <c r="G905" t="e">
        <f t="shared" ca="1" si="38"/>
        <v>#VALUE!</v>
      </c>
    </row>
    <row r="906" spans="1:7" x14ac:dyDescent="0.25">
      <c r="A906" s="1"/>
      <c r="D906" t="e" cm="1">
        <f t="array" aca="1" ref="D906" ca="1">IF(OR(COUNTIF(damper_names,_xlfn.CONCAT("D_S_",C906))=1, COUNTIF(damper_names,_xlfn.CONCAT("D_E_",C906))=1), "C", "")</f>
        <v>#VALUE!</v>
      </c>
      <c r="E906" t="e">
        <f t="shared" ca="1" si="36"/>
        <v>#VALUE!</v>
      </c>
      <c r="F906" t="e">
        <f t="shared" ca="1" si="37"/>
        <v>#VALUE!</v>
      </c>
      <c r="G906" t="e">
        <f t="shared" ca="1" si="38"/>
        <v>#VALUE!</v>
      </c>
    </row>
    <row r="907" spans="1:7" x14ac:dyDescent="0.25">
      <c r="A907" s="1"/>
      <c r="D907" t="e" cm="1">
        <f t="array" aca="1" ref="D907" ca="1">IF(OR(COUNTIF(damper_names,_xlfn.CONCAT("D_S_",C907))=1, COUNTIF(damper_names,_xlfn.CONCAT("D_E_",C907))=1), "C", "")</f>
        <v>#VALUE!</v>
      </c>
      <c r="E907" t="e">
        <f t="shared" ca="1" si="36"/>
        <v>#VALUE!</v>
      </c>
      <c r="F907" t="e">
        <f t="shared" ca="1" si="37"/>
        <v>#VALUE!</v>
      </c>
      <c r="G907" t="e">
        <f t="shared" ca="1" si="38"/>
        <v>#VALUE!</v>
      </c>
    </row>
    <row r="908" spans="1:7" x14ac:dyDescent="0.25">
      <c r="A908" s="1"/>
      <c r="D908" t="e" cm="1">
        <f t="array" aca="1" ref="D908" ca="1">IF(OR(COUNTIF(damper_names,_xlfn.CONCAT("D_S_",C908))=1, COUNTIF(damper_names,_xlfn.CONCAT("D_E_",C908))=1), "C", "")</f>
        <v>#VALUE!</v>
      </c>
      <c r="E908" t="e">
        <f t="shared" ca="1" si="36"/>
        <v>#VALUE!</v>
      </c>
      <c r="F908" t="e">
        <f t="shared" ca="1" si="37"/>
        <v>#VALUE!</v>
      </c>
      <c r="G908" t="e">
        <f t="shared" ca="1" si="38"/>
        <v>#VALUE!</v>
      </c>
    </row>
    <row r="909" spans="1:7" x14ac:dyDescent="0.25">
      <c r="A909" s="1"/>
      <c r="D909" t="e" cm="1">
        <f t="array" aca="1" ref="D909" ca="1">IF(OR(COUNTIF(damper_names,_xlfn.CONCAT("D_S_",C909))=1, COUNTIF(damper_names,_xlfn.CONCAT("D_E_",C909))=1), "C", "")</f>
        <v>#VALUE!</v>
      </c>
      <c r="E909" t="e">
        <f t="shared" ca="1" si="36"/>
        <v>#VALUE!</v>
      </c>
      <c r="F909" t="e">
        <f t="shared" ca="1" si="37"/>
        <v>#VALUE!</v>
      </c>
      <c r="G909" t="e">
        <f t="shared" ca="1" si="38"/>
        <v>#VALUE!</v>
      </c>
    </row>
    <row r="910" spans="1:7" x14ac:dyDescent="0.25">
      <c r="A910" s="1"/>
      <c r="D910" t="e" cm="1">
        <f t="array" aca="1" ref="D910" ca="1">IF(OR(COUNTIF(damper_names,_xlfn.CONCAT("D_S_",C910))=1, COUNTIF(damper_names,_xlfn.CONCAT("D_E_",C910))=1), "C", "")</f>
        <v>#VALUE!</v>
      </c>
      <c r="E910" t="e">
        <f t="shared" ca="1" si="36"/>
        <v>#VALUE!</v>
      </c>
      <c r="F910" t="e">
        <f t="shared" ca="1" si="37"/>
        <v>#VALUE!</v>
      </c>
      <c r="G910" t="e">
        <f t="shared" ca="1" si="38"/>
        <v>#VALUE!</v>
      </c>
    </row>
    <row r="911" spans="1:7" x14ac:dyDescent="0.25">
      <c r="A911" s="1"/>
      <c r="D911" t="e" cm="1">
        <f t="array" aca="1" ref="D911" ca="1">IF(OR(COUNTIF(damper_names,_xlfn.CONCAT("D_S_",C911))=1, COUNTIF(damper_names,_xlfn.CONCAT("D_E_",C911))=1), "C", "")</f>
        <v>#VALUE!</v>
      </c>
      <c r="E911" t="e">
        <f t="shared" ca="1" si="36"/>
        <v>#VALUE!</v>
      </c>
      <c r="F911" t="e">
        <f t="shared" ca="1" si="37"/>
        <v>#VALUE!</v>
      </c>
      <c r="G911" t="e">
        <f t="shared" ca="1" si="38"/>
        <v>#VALUE!</v>
      </c>
    </row>
    <row r="912" spans="1:7" x14ac:dyDescent="0.25">
      <c r="A912" s="1"/>
      <c r="D912" t="e" cm="1">
        <f t="array" aca="1" ref="D912" ca="1">IF(OR(COUNTIF(damper_names,_xlfn.CONCAT("D_S_",C912))=1, COUNTIF(damper_names,_xlfn.CONCAT("D_E_",C912))=1), "C", "")</f>
        <v>#VALUE!</v>
      </c>
      <c r="E912" t="e">
        <f t="shared" ca="1" si="36"/>
        <v>#VALUE!</v>
      </c>
      <c r="F912" t="e">
        <f t="shared" ca="1" si="37"/>
        <v>#VALUE!</v>
      </c>
      <c r="G912" t="e">
        <f t="shared" ca="1" si="38"/>
        <v>#VALUE!</v>
      </c>
    </row>
    <row r="913" spans="1:7" x14ac:dyDescent="0.25">
      <c r="A913" s="1"/>
      <c r="D913" t="e" cm="1">
        <f t="array" aca="1" ref="D913" ca="1">IF(OR(COUNTIF(damper_names,_xlfn.CONCAT("D_S_",C913))=1, COUNTIF(damper_names,_xlfn.CONCAT("D_E_",C913))=1), "C", "")</f>
        <v>#VALUE!</v>
      </c>
      <c r="E913" t="e">
        <f t="shared" ca="1" si="36"/>
        <v>#VALUE!</v>
      </c>
      <c r="F913" t="e">
        <f t="shared" ca="1" si="37"/>
        <v>#VALUE!</v>
      </c>
      <c r="G913" t="e">
        <f t="shared" ca="1" si="38"/>
        <v>#VALUE!</v>
      </c>
    </row>
    <row r="914" spans="1:7" x14ac:dyDescent="0.25">
      <c r="A914" s="1"/>
      <c r="D914" t="e" cm="1">
        <f t="array" aca="1" ref="D914" ca="1">IF(OR(COUNTIF(damper_names,_xlfn.CONCAT("D_S_",C914))=1, COUNTIF(damper_names,_xlfn.CONCAT("D_E_",C914))=1), "C", "")</f>
        <v>#VALUE!</v>
      </c>
      <c r="E914" t="e">
        <f t="shared" ca="1" si="36"/>
        <v>#VALUE!</v>
      </c>
      <c r="F914" t="e">
        <f t="shared" ca="1" si="37"/>
        <v>#VALUE!</v>
      </c>
      <c r="G914" t="e">
        <f t="shared" ca="1" si="38"/>
        <v>#VALUE!</v>
      </c>
    </row>
    <row r="915" spans="1:7" x14ac:dyDescent="0.25">
      <c r="A915" s="1"/>
      <c r="D915" t="e" cm="1">
        <f t="array" aca="1" ref="D915" ca="1">IF(OR(COUNTIF(damper_names,_xlfn.CONCAT("D_S_",C915))=1, COUNTIF(damper_names,_xlfn.CONCAT("D_E_",C915))=1), "C", "")</f>
        <v>#VALUE!</v>
      </c>
      <c r="E915" t="e">
        <f t="shared" ca="1" si="36"/>
        <v>#VALUE!</v>
      </c>
      <c r="F915" t="e">
        <f t="shared" ca="1" si="37"/>
        <v>#VALUE!</v>
      </c>
      <c r="G915" t="e">
        <f t="shared" ca="1" si="38"/>
        <v>#VALUE!</v>
      </c>
    </row>
    <row r="916" spans="1:7" x14ac:dyDescent="0.25">
      <c r="A916" s="1"/>
      <c r="D916" t="e" cm="1">
        <f t="array" aca="1" ref="D916" ca="1">IF(OR(COUNTIF(damper_names,_xlfn.CONCAT("D_S_",C916))=1, COUNTIF(damper_names,_xlfn.CONCAT("D_E_",C916))=1), "C", "")</f>
        <v>#VALUE!</v>
      </c>
      <c r="E916" t="e">
        <f t="shared" ca="1" si="36"/>
        <v>#VALUE!</v>
      </c>
      <c r="F916" t="e">
        <f t="shared" ca="1" si="37"/>
        <v>#VALUE!</v>
      </c>
      <c r="G916" t="e">
        <f t="shared" ca="1" si="38"/>
        <v>#VALUE!</v>
      </c>
    </row>
    <row r="917" spans="1:7" x14ac:dyDescent="0.25">
      <c r="A917" s="1"/>
      <c r="D917" t="e" cm="1">
        <f t="array" aca="1" ref="D917" ca="1">IF(OR(COUNTIF(damper_names,_xlfn.CONCAT("D_S_",C917))=1, COUNTIF(damper_names,_xlfn.CONCAT("D_E_",C917))=1), "C", "")</f>
        <v>#VALUE!</v>
      </c>
      <c r="E917" t="e">
        <f t="shared" ca="1" si="36"/>
        <v>#VALUE!</v>
      </c>
      <c r="F917" t="e">
        <f t="shared" ca="1" si="37"/>
        <v>#VALUE!</v>
      </c>
      <c r="G917" t="e">
        <f t="shared" ca="1" si="38"/>
        <v>#VALUE!</v>
      </c>
    </row>
    <row r="918" spans="1:7" x14ac:dyDescent="0.25">
      <c r="A918" s="1"/>
      <c r="D918" t="e" cm="1">
        <f t="array" aca="1" ref="D918" ca="1">IF(OR(COUNTIF(damper_names,_xlfn.CONCAT("D_S_",C918))=1, COUNTIF(damper_names,_xlfn.CONCAT("D_E_",C918))=1), "C", "")</f>
        <v>#VALUE!</v>
      </c>
      <c r="E918" t="e">
        <f t="shared" ca="1" si="36"/>
        <v>#VALUE!</v>
      </c>
      <c r="F918" t="e">
        <f t="shared" ca="1" si="37"/>
        <v>#VALUE!</v>
      </c>
      <c r="G918" t="e">
        <f t="shared" ca="1" si="38"/>
        <v>#VALUE!</v>
      </c>
    </row>
    <row r="919" spans="1:7" x14ac:dyDescent="0.25">
      <c r="A919" s="1"/>
      <c r="D919" t="e" cm="1">
        <f t="array" aca="1" ref="D919" ca="1">IF(OR(COUNTIF(damper_names,_xlfn.CONCAT("D_S_",C919))=1, COUNTIF(damper_names,_xlfn.CONCAT("D_E_",C919))=1), "C", "")</f>
        <v>#VALUE!</v>
      </c>
      <c r="E919" t="e">
        <f t="shared" ca="1" si="36"/>
        <v>#VALUE!</v>
      </c>
      <c r="F919" t="e">
        <f t="shared" ca="1" si="37"/>
        <v>#VALUE!</v>
      </c>
      <c r="G919" t="e">
        <f t="shared" ca="1" si="38"/>
        <v>#VALUE!</v>
      </c>
    </row>
    <row r="920" spans="1:7" x14ac:dyDescent="0.25">
      <c r="A920" s="1"/>
      <c r="D920" t="e" cm="1">
        <f t="array" aca="1" ref="D920" ca="1">IF(OR(COUNTIF(damper_names,_xlfn.CONCAT("D_S_",C920))=1, COUNTIF(damper_names,_xlfn.CONCAT("D_E_",C920))=1), "C", "")</f>
        <v>#VALUE!</v>
      </c>
      <c r="E920" t="e">
        <f t="shared" ca="1" si="36"/>
        <v>#VALUE!</v>
      </c>
      <c r="F920" t="e">
        <f t="shared" ca="1" si="37"/>
        <v>#VALUE!</v>
      </c>
      <c r="G920" t="e">
        <f t="shared" ca="1" si="38"/>
        <v>#VALUE!</v>
      </c>
    </row>
    <row r="921" spans="1:7" x14ac:dyDescent="0.25">
      <c r="A921" s="1"/>
      <c r="D921" t="e" cm="1">
        <f t="array" aca="1" ref="D921" ca="1">IF(OR(COUNTIF(damper_names,_xlfn.CONCAT("D_S_",C921))=1, COUNTIF(damper_names,_xlfn.CONCAT("D_E_",C921))=1), "C", "")</f>
        <v>#VALUE!</v>
      </c>
      <c r="E921" t="e">
        <f t="shared" ca="1" si="36"/>
        <v>#VALUE!</v>
      </c>
      <c r="F921" t="e">
        <f t="shared" ca="1" si="37"/>
        <v>#VALUE!</v>
      </c>
      <c r="G921" t="e">
        <f t="shared" ca="1" si="38"/>
        <v>#VALUE!</v>
      </c>
    </row>
    <row r="922" spans="1:7" x14ac:dyDescent="0.25">
      <c r="A922" s="1"/>
      <c r="D922" t="e" cm="1">
        <f t="array" aca="1" ref="D922" ca="1">IF(OR(COUNTIF(damper_names,_xlfn.CONCAT("D_S_",C922))=1, COUNTIF(damper_names,_xlfn.CONCAT("D_E_",C922))=1), "C", "")</f>
        <v>#VALUE!</v>
      </c>
      <c r="E922" t="e">
        <f t="shared" ca="1" si="36"/>
        <v>#VALUE!</v>
      </c>
      <c r="F922" t="e">
        <f t="shared" ca="1" si="37"/>
        <v>#VALUE!</v>
      </c>
      <c r="G922" t="e">
        <f t="shared" ca="1" si="38"/>
        <v>#VALUE!</v>
      </c>
    </row>
    <row r="923" spans="1:7" x14ac:dyDescent="0.25">
      <c r="A923" s="1"/>
      <c r="D923" t="e" cm="1">
        <f t="array" aca="1" ref="D923" ca="1">IF(OR(COUNTIF(damper_names,_xlfn.CONCAT("D_S_",C923))=1, COUNTIF(damper_names,_xlfn.CONCAT("D_E_",C923))=1), "C", "")</f>
        <v>#VALUE!</v>
      </c>
      <c r="E923" t="e">
        <f t="shared" ca="1" si="36"/>
        <v>#VALUE!</v>
      </c>
      <c r="F923" t="e">
        <f t="shared" ca="1" si="37"/>
        <v>#VALUE!</v>
      </c>
      <c r="G923" t="e">
        <f t="shared" ca="1" si="38"/>
        <v>#VALUE!</v>
      </c>
    </row>
    <row r="924" spans="1:7" x14ac:dyDescent="0.25">
      <c r="A924" s="1"/>
      <c r="D924" t="e" cm="1">
        <f t="array" aca="1" ref="D924" ca="1">IF(OR(COUNTIF(damper_names,_xlfn.CONCAT("D_S_",C924))=1, COUNTIF(damper_names,_xlfn.CONCAT("D_E_",C924))=1), "C", "")</f>
        <v>#VALUE!</v>
      </c>
      <c r="E924" t="e">
        <f t="shared" ca="1" si="36"/>
        <v>#VALUE!</v>
      </c>
      <c r="F924" t="e">
        <f t="shared" ca="1" si="37"/>
        <v>#VALUE!</v>
      </c>
      <c r="G924" t="e">
        <f t="shared" ca="1" si="38"/>
        <v>#VALUE!</v>
      </c>
    </row>
    <row r="925" spans="1:7" x14ac:dyDescent="0.25">
      <c r="A925" s="1"/>
      <c r="D925" t="e" cm="1">
        <f t="array" aca="1" ref="D925" ca="1">IF(OR(COUNTIF(damper_names,_xlfn.CONCAT("D_S_",C925))=1, COUNTIF(damper_names,_xlfn.CONCAT("D_E_",C925))=1), "C", "")</f>
        <v>#VALUE!</v>
      </c>
      <c r="E925" t="e">
        <f t="shared" ca="1" si="36"/>
        <v>#VALUE!</v>
      </c>
      <c r="F925" t="e">
        <f t="shared" ca="1" si="37"/>
        <v>#VALUE!</v>
      </c>
      <c r="G925" t="e">
        <f t="shared" ca="1" si="38"/>
        <v>#VALUE!</v>
      </c>
    </row>
    <row r="926" spans="1:7" x14ac:dyDescent="0.25">
      <c r="A926" s="1"/>
      <c r="D926" t="e" cm="1">
        <f t="array" aca="1" ref="D926" ca="1">IF(OR(COUNTIF(damper_names,_xlfn.CONCAT("D_S_",C926))=1, COUNTIF(damper_names,_xlfn.CONCAT("D_E_",C926))=1), "C", "")</f>
        <v>#VALUE!</v>
      </c>
      <c r="E926" t="e">
        <f t="shared" ca="1" si="36"/>
        <v>#VALUE!</v>
      </c>
      <c r="F926" t="e">
        <f t="shared" ca="1" si="37"/>
        <v>#VALUE!</v>
      </c>
      <c r="G926" t="e">
        <f t="shared" ca="1" si="38"/>
        <v>#VALUE!</v>
      </c>
    </row>
    <row r="927" spans="1:7" x14ac:dyDescent="0.25">
      <c r="A927" s="1"/>
      <c r="D927" t="e" cm="1">
        <f t="array" aca="1" ref="D927" ca="1">IF(OR(COUNTIF(damper_names,_xlfn.CONCAT("D_S_",C927))=1, COUNTIF(damper_names,_xlfn.CONCAT("D_E_",C927))=1), "C", "")</f>
        <v>#VALUE!</v>
      </c>
      <c r="E927" t="e">
        <f t="shared" ca="1" si="36"/>
        <v>#VALUE!</v>
      </c>
      <c r="F927" t="e">
        <f t="shared" ca="1" si="37"/>
        <v>#VALUE!</v>
      </c>
      <c r="G927" t="e">
        <f t="shared" ca="1" si="38"/>
        <v>#VALUE!</v>
      </c>
    </row>
    <row r="928" spans="1:7" x14ac:dyDescent="0.25">
      <c r="A928" s="1"/>
      <c r="D928" t="e" cm="1">
        <f t="array" aca="1" ref="D928" ca="1">IF(OR(COUNTIF(damper_names,_xlfn.CONCAT("D_S_",C928))=1, COUNTIF(damper_names,_xlfn.CONCAT("D_E_",C928))=1), "C", "")</f>
        <v>#VALUE!</v>
      </c>
      <c r="E928" t="e">
        <f t="shared" ca="1" si="36"/>
        <v>#VALUE!</v>
      </c>
      <c r="F928" t="e">
        <f t="shared" ca="1" si="37"/>
        <v>#VALUE!</v>
      </c>
      <c r="G928" t="e">
        <f t="shared" ca="1" si="38"/>
        <v>#VALUE!</v>
      </c>
    </row>
    <row r="929" spans="1:7" x14ac:dyDescent="0.25">
      <c r="A929" s="1"/>
      <c r="D929" t="e" cm="1">
        <f t="array" aca="1" ref="D929" ca="1">IF(OR(COUNTIF(damper_names,_xlfn.CONCAT("D_S_",C929))=1, COUNTIF(damper_names,_xlfn.CONCAT("D_E_",C929))=1), "C", "")</f>
        <v>#VALUE!</v>
      </c>
      <c r="E929" t="e">
        <f t="shared" ca="1" si="36"/>
        <v>#VALUE!</v>
      </c>
      <c r="F929" t="e">
        <f t="shared" ca="1" si="37"/>
        <v>#VALUE!</v>
      </c>
      <c r="G929" t="e">
        <f t="shared" ca="1" si="38"/>
        <v>#VALUE!</v>
      </c>
    </row>
    <row r="930" spans="1:7" x14ac:dyDescent="0.25">
      <c r="A930" s="1"/>
      <c r="D930" t="e" cm="1">
        <f t="array" aca="1" ref="D930" ca="1">IF(OR(COUNTIF(damper_names,_xlfn.CONCAT("D_S_",C930))=1, COUNTIF(damper_names,_xlfn.CONCAT("D_E_",C930))=1), "C", "")</f>
        <v>#VALUE!</v>
      </c>
      <c r="E930" t="e">
        <f t="shared" ca="1" si="36"/>
        <v>#VALUE!</v>
      </c>
      <c r="F930" t="e">
        <f t="shared" ca="1" si="37"/>
        <v>#VALUE!</v>
      </c>
      <c r="G930" t="e">
        <f t="shared" ca="1" si="38"/>
        <v>#VALUE!</v>
      </c>
    </row>
    <row r="931" spans="1:7" x14ac:dyDescent="0.25">
      <c r="A931" s="1"/>
      <c r="D931" t="e" cm="1">
        <f t="array" aca="1" ref="D931" ca="1">IF(OR(COUNTIF(damper_names,_xlfn.CONCAT("D_S_",C931))=1, COUNTIF(damper_names,_xlfn.CONCAT("D_E_",C931))=1), "C", "")</f>
        <v>#VALUE!</v>
      </c>
      <c r="E931" t="e">
        <f t="shared" ca="1" si="36"/>
        <v>#VALUE!</v>
      </c>
      <c r="F931" t="e">
        <f t="shared" ca="1" si="37"/>
        <v>#VALUE!</v>
      </c>
      <c r="G931" t="e">
        <f t="shared" ca="1" si="38"/>
        <v>#VALUE!</v>
      </c>
    </row>
    <row r="932" spans="1:7" x14ac:dyDescent="0.25">
      <c r="A932" s="1"/>
      <c r="D932" t="e" cm="1">
        <f t="array" aca="1" ref="D932" ca="1">IF(OR(COUNTIF(damper_names,_xlfn.CONCAT("D_S_",C932))=1, COUNTIF(damper_names,_xlfn.CONCAT("D_E_",C932))=1), "C", "")</f>
        <v>#VALUE!</v>
      </c>
      <c r="E932" t="e">
        <f t="shared" ca="1" si="36"/>
        <v>#VALUE!</v>
      </c>
      <c r="F932" t="e">
        <f t="shared" ca="1" si="37"/>
        <v>#VALUE!</v>
      </c>
      <c r="G932" t="e">
        <f t="shared" ca="1" si="38"/>
        <v>#VALUE!</v>
      </c>
    </row>
    <row r="933" spans="1:7" x14ac:dyDescent="0.25">
      <c r="A933" s="1"/>
      <c r="D933" t="e" cm="1">
        <f t="array" aca="1" ref="D933" ca="1">IF(OR(COUNTIF(damper_names,_xlfn.CONCAT("D_S_",C933))=1, COUNTIF(damper_names,_xlfn.CONCAT("D_E_",C933))=1), "C", "")</f>
        <v>#VALUE!</v>
      </c>
      <c r="E933" t="e">
        <f t="shared" ca="1" si="36"/>
        <v>#VALUE!</v>
      </c>
      <c r="F933" t="e">
        <f t="shared" ca="1" si="37"/>
        <v>#VALUE!</v>
      </c>
      <c r="G933" t="e">
        <f t="shared" ca="1" si="38"/>
        <v>#VALUE!</v>
      </c>
    </row>
    <row r="934" spans="1:7" x14ac:dyDescent="0.25">
      <c r="A934" s="1"/>
      <c r="D934" t="e" cm="1">
        <f t="array" aca="1" ref="D934" ca="1">IF(OR(COUNTIF(damper_names,_xlfn.CONCAT("D_S_",C934))=1, COUNTIF(damper_names,_xlfn.CONCAT("D_E_",C934))=1), "C", "")</f>
        <v>#VALUE!</v>
      </c>
      <c r="E934" t="e">
        <f t="shared" ca="1" si="36"/>
        <v>#VALUE!</v>
      </c>
      <c r="F934" t="e">
        <f t="shared" ca="1" si="37"/>
        <v>#VALUE!</v>
      </c>
      <c r="G934" t="e">
        <f t="shared" ca="1" si="38"/>
        <v>#VALUE!</v>
      </c>
    </row>
    <row r="935" spans="1:7" x14ac:dyDescent="0.25">
      <c r="A935" s="1"/>
      <c r="D935" t="e" cm="1">
        <f t="array" aca="1" ref="D935" ca="1">IF(OR(COUNTIF(damper_names,_xlfn.CONCAT("D_S_",C935))=1, COUNTIF(damper_names,_xlfn.CONCAT("D_E_",C935))=1), "C", "")</f>
        <v>#VALUE!</v>
      </c>
      <c r="E935" t="e">
        <f t="shared" ca="1" si="36"/>
        <v>#VALUE!</v>
      </c>
      <c r="F935" t="e">
        <f t="shared" ca="1" si="37"/>
        <v>#VALUE!</v>
      </c>
      <c r="G935" t="e">
        <f t="shared" ca="1" si="38"/>
        <v>#VALUE!</v>
      </c>
    </row>
    <row r="936" spans="1:7" x14ac:dyDescent="0.25">
      <c r="A936" s="1"/>
      <c r="D936" t="e" cm="1">
        <f t="array" aca="1" ref="D936" ca="1">IF(OR(COUNTIF(damper_names,_xlfn.CONCAT("D_S_",C936))=1, COUNTIF(damper_names,_xlfn.CONCAT("D_E_",C936))=1), "C", "")</f>
        <v>#VALUE!</v>
      </c>
      <c r="E936" t="e">
        <f t="shared" ca="1" si="36"/>
        <v>#VALUE!</v>
      </c>
      <c r="F936" t="e">
        <f t="shared" ca="1" si="37"/>
        <v>#VALUE!</v>
      </c>
      <c r="G936" t="e">
        <f t="shared" ca="1" si="38"/>
        <v>#VALUE!</v>
      </c>
    </row>
    <row r="937" spans="1:7" x14ac:dyDescent="0.25">
      <c r="A937" s="1"/>
      <c r="D937" t="e" cm="1">
        <f t="array" aca="1" ref="D937" ca="1">IF(OR(COUNTIF(damper_names,_xlfn.CONCAT("D_S_",C937))=1, COUNTIF(damper_names,_xlfn.CONCAT("D_E_",C937))=1), "C", "")</f>
        <v>#VALUE!</v>
      </c>
      <c r="E937" t="e">
        <f t="shared" ca="1" si="36"/>
        <v>#VALUE!</v>
      </c>
      <c r="F937" t="e">
        <f t="shared" ca="1" si="37"/>
        <v>#VALUE!</v>
      </c>
      <c r="G937" t="e">
        <f t="shared" ca="1" si="38"/>
        <v>#VALUE!</v>
      </c>
    </row>
    <row r="938" spans="1:7" x14ac:dyDescent="0.25">
      <c r="A938" s="1"/>
      <c r="D938" t="e" cm="1">
        <f t="array" aca="1" ref="D938" ca="1">IF(OR(COUNTIF(damper_names,_xlfn.CONCAT("D_S_",C938))=1, COUNTIF(damper_names,_xlfn.CONCAT("D_E_",C938))=1), "C", "")</f>
        <v>#VALUE!</v>
      </c>
      <c r="E938" t="e">
        <f t="shared" ca="1" si="36"/>
        <v>#VALUE!</v>
      </c>
      <c r="F938" t="e">
        <f t="shared" ca="1" si="37"/>
        <v>#VALUE!</v>
      </c>
      <c r="G938" t="e">
        <f t="shared" ca="1" si="38"/>
        <v>#VALUE!</v>
      </c>
    </row>
    <row r="939" spans="1:7" x14ac:dyDescent="0.25">
      <c r="A939" s="1"/>
      <c r="D939" t="e" cm="1">
        <f t="array" aca="1" ref="D939" ca="1">IF(OR(COUNTIF(damper_names,_xlfn.CONCAT("D_S_",C939))=1, COUNTIF(damper_names,_xlfn.CONCAT("D_E_",C939))=1), "C", "")</f>
        <v>#VALUE!</v>
      </c>
      <c r="E939" t="e">
        <f t="shared" ca="1" si="36"/>
        <v>#VALUE!</v>
      </c>
      <c r="F939" t="e">
        <f t="shared" ca="1" si="37"/>
        <v>#VALUE!</v>
      </c>
      <c r="G939" t="e">
        <f t="shared" ca="1" si="38"/>
        <v>#VALUE!</v>
      </c>
    </row>
    <row r="940" spans="1:7" x14ac:dyDescent="0.25">
      <c r="A940" s="1"/>
      <c r="D940" t="e" cm="1">
        <f t="array" aca="1" ref="D940" ca="1">IF(OR(COUNTIF(damper_names,_xlfn.CONCAT("D_S_",C940))=1, COUNTIF(damper_names,_xlfn.CONCAT("D_E_",C940))=1), "C", "")</f>
        <v>#VALUE!</v>
      </c>
      <c r="E940" t="e">
        <f t="shared" ca="1" si="36"/>
        <v>#VALUE!</v>
      </c>
      <c r="F940" t="e">
        <f t="shared" ca="1" si="37"/>
        <v>#VALUE!</v>
      </c>
      <c r="G940" t="e">
        <f t="shared" ca="1" si="38"/>
        <v>#VALUE!</v>
      </c>
    </row>
    <row r="941" spans="1:7" x14ac:dyDescent="0.25">
      <c r="A941" s="1"/>
      <c r="D941" t="e" cm="1">
        <f t="array" aca="1" ref="D941" ca="1">IF(OR(COUNTIF(damper_names,_xlfn.CONCAT("D_S_",C941))=1, COUNTIF(damper_names,_xlfn.CONCAT("D_E_",C941))=1), "C", "")</f>
        <v>#VALUE!</v>
      </c>
      <c r="E941" t="e">
        <f t="shared" ca="1" si="36"/>
        <v>#VALUE!</v>
      </c>
      <c r="F941" t="e">
        <f t="shared" ca="1" si="37"/>
        <v>#VALUE!</v>
      </c>
      <c r="G941" t="e">
        <f t="shared" ca="1" si="38"/>
        <v>#VALUE!</v>
      </c>
    </row>
    <row r="942" spans="1:7" x14ac:dyDescent="0.25">
      <c r="A942" s="1"/>
      <c r="D942" t="e" cm="1">
        <f t="array" aca="1" ref="D942" ca="1">IF(OR(COUNTIF(damper_names,_xlfn.CONCAT("D_S_",C942))=1, COUNTIF(damper_names,_xlfn.CONCAT("D_E_",C942))=1), "C", "")</f>
        <v>#VALUE!</v>
      </c>
      <c r="E942" t="e">
        <f t="shared" ca="1" si="36"/>
        <v>#VALUE!</v>
      </c>
      <c r="F942" t="e">
        <f t="shared" ca="1" si="37"/>
        <v>#VALUE!</v>
      </c>
      <c r="G942" t="e">
        <f t="shared" ca="1" si="38"/>
        <v>#VALUE!</v>
      </c>
    </row>
    <row r="943" spans="1:7" x14ac:dyDescent="0.25">
      <c r="A943" s="1"/>
      <c r="D943" t="e" cm="1">
        <f t="array" aca="1" ref="D943" ca="1">IF(OR(COUNTIF(damper_names,_xlfn.CONCAT("D_S_",C943))=1, COUNTIF(damper_names,_xlfn.CONCAT("D_E_",C943))=1), "C", "")</f>
        <v>#VALUE!</v>
      </c>
      <c r="E943" t="e">
        <f t="shared" ca="1" si="36"/>
        <v>#VALUE!</v>
      </c>
      <c r="F943" t="e">
        <f t="shared" ca="1" si="37"/>
        <v>#VALUE!</v>
      </c>
      <c r="G943" t="e">
        <f t="shared" ca="1" si="38"/>
        <v>#VALUE!</v>
      </c>
    </row>
    <row r="944" spans="1:7" x14ac:dyDescent="0.25">
      <c r="A944" s="1"/>
      <c r="D944" t="e" cm="1">
        <f t="array" aca="1" ref="D944" ca="1">IF(OR(COUNTIF(damper_names,_xlfn.CONCAT("D_S_",C944))=1, COUNTIF(damper_names,_xlfn.CONCAT("D_E_",C944))=1), "C", "")</f>
        <v>#VALUE!</v>
      </c>
      <c r="E944" t="e">
        <f t="shared" ca="1" si="36"/>
        <v>#VALUE!</v>
      </c>
      <c r="F944" t="e">
        <f t="shared" ca="1" si="37"/>
        <v>#VALUE!</v>
      </c>
      <c r="G944" t="e">
        <f t="shared" ca="1" si="38"/>
        <v>#VALUE!</v>
      </c>
    </row>
    <row r="945" spans="1:7" x14ac:dyDescent="0.25">
      <c r="A945" s="1"/>
      <c r="D945" t="e" cm="1">
        <f t="array" aca="1" ref="D945" ca="1">IF(OR(COUNTIF(damper_names,_xlfn.CONCAT("D_S_",C945))=1, COUNTIF(damper_names,_xlfn.CONCAT("D_E_",C945))=1), "C", "")</f>
        <v>#VALUE!</v>
      </c>
      <c r="E945" t="e">
        <f t="shared" ca="1" si="36"/>
        <v>#VALUE!</v>
      </c>
      <c r="F945" t="e">
        <f t="shared" ca="1" si="37"/>
        <v>#VALUE!</v>
      </c>
      <c r="G945" t="e">
        <f t="shared" ca="1" si="38"/>
        <v>#VALUE!</v>
      </c>
    </row>
    <row r="946" spans="1:7" x14ac:dyDescent="0.25">
      <c r="A946" s="1"/>
      <c r="D946" t="e" cm="1">
        <f t="array" aca="1" ref="D946" ca="1">IF(OR(COUNTIF(damper_names,_xlfn.CONCAT("D_S_",C946))=1, COUNTIF(damper_names,_xlfn.CONCAT("D_E_",C946))=1), "C", "")</f>
        <v>#VALUE!</v>
      </c>
      <c r="E946" t="e">
        <f t="shared" ca="1" si="36"/>
        <v>#VALUE!</v>
      </c>
      <c r="F946" t="e">
        <f t="shared" ca="1" si="37"/>
        <v>#VALUE!</v>
      </c>
      <c r="G946" t="e">
        <f t="shared" ca="1" si="38"/>
        <v>#VALUE!</v>
      </c>
    </row>
    <row r="947" spans="1:7" x14ac:dyDescent="0.25">
      <c r="A947" s="1"/>
      <c r="D947" t="e" cm="1">
        <f t="array" aca="1" ref="D947" ca="1">IF(OR(COUNTIF(damper_names,_xlfn.CONCAT("D_S_",C947))=1, COUNTIF(damper_names,_xlfn.CONCAT("D_E_",C947))=1), "C", "")</f>
        <v>#VALUE!</v>
      </c>
      <c r="E947" t="e">
        <f t="shared" ca="1" si="36"/>
        <v>#VALUE!</v>
      </c>
      <c r="F947" t="e">
        <f t="shared" ca="1" si="37"/>
        <v>#VALUE!</v>
      </c>
      <c r="G947" t="e">
        <f t="shared" ca="1" si="38"/>
        <v>#VALUE!</v>
      </c>
    </row>
    <row r="948" spans="1:7" x14ac:dyDescent="0.25">
      <c r="A948" s="1"/>
      <c r="D948" t="e" cm="1">
        <f t="array" aca="1" ref="D948" ca="1">IF(OR(COUNTIF(damper_names,_xlfn.CONCAT("D_S_",C948))=1, COUNTIF(damper_names,_xlfn.CONCAT("D_E_",C948))=1), "C", "")</f>
        <v>#VALUE!</v>
      </c>
      <c r="E948" t="e">
        <f t="shared" ca="1" si="36"/>
        <v>#VALUE!</v>
      </c>
      <c r="F948" t="e">
        <f t="shared" ca="1" si="37"/>
        <v>#VALUE!</v>
      </c>
      <c r="G948" t="e">
        <f t="shared" ca="1" si="38"/>
        <v>#VALUE!</v>
      </c>
    </row>
    <row r="949" spans="1:7" x14ac:dyDescent="0.25">
      <c r="A949" s="1"/>
      <c r="D949" t="e" cm="1">
        <f t="array" aca="1" ref="D949" ca="1">IF(OR(COUNTIF(damper_names,_xlfn.CONCAT("D_S_",C949))=1, COUNTIF(damper_names,_xlfn.CONCAT("D_E_",C949))=1), "C", "")</f>
        <v>#VALUE!</v>
      </c>
      <c r="E949" t="e">
        <f t="shared" ca="1" si="36"/>
        <v>#VALUE!</v>
      </c>
      <c r="F949" t="e">
        <f t="shared" ca="1" si="37"/>
        <v>#VALUE!</v>
      </c>
      <c r="G949" t="e">
        <f t="shared" ca="1" si="38"/>
        <v>#VALUE!</v>
      </c>
    </row>
    <row r="950" spans="1:7" x14ac:dyDescent="0.25">
      <c r="A950" s="1"/>
      <c r="D950" t="e" cm="1">
        <f t="array" aca="1" ref="D950" ca="1">IF(OR(COUNTIF(damper_names,_xlfn.CONCAT("D_S_",C950))=1, COUNTIF(damper_names,_xlfn.CONCAT("D_E_",C950))=1), "C", "")</f>
        <v>#VALUE!</v>
      </c>
      <c r="E950" t="e">
        <f t="shared" ca="1" si="36"/>
        <v>#VALUE!</v>
      </c>
      <c r="F950" t="e">
        <f t="shared" ca="1" si="37"/>
        <v>#VALUE!</v>
      </c>
      <c r="G950" t="e">
        <f t="shared" ca="1" si="38"/>
        <v>#VALUE!</v>
      </c>
    </row>
    <row r="951" spans="1:7" x14ac:dyDescent="0.25">
      <c r="A951" s="1"/>
      <c r="D951" t="e" cm="1">
        <f t="array" aca="1" ref="D951" ca="1">IF(OR(COUNTIF(damper_names,_xlfn.CONCAT("D_S_",C951))=1, COUNTIF(damper_names,_xlfn.CONCAT("D_E_",C951))=1), "C", "")</f>
        <v>#VALUE!</v>
      </c>
      <c r="E951" t="e">
        <f t="shared" ca="1" si="36"/>
        <v>#VALUE!</v>
      </c>
      <c r="F951" t="e">
        <f t="shared" ca="1" si="37"/>
        <v>#VALUE!</v>
      </c>
      <c r="G951" t="e">
        <f t="shared" ca="1" si="38"/>
        <v>#VALUE!</v>
      </c>
    </row>
    <row r="952" spans="1:7" x14ac:dyDescent="0.25">
      <c r="A952" s="1"/>
      <c r="D952" t="e" cm="1">
        <f t="array" aca="1" ref="D952" ca="1">IF(OR(COUNTIF(damper_names,_xlfn.CONCAT("D_S_",C952))=1, COUNTIF(damper_names,_xlfn.CONCAT("D_E_",C952))=1), "C", "")</f>
        <v>#VALUE!</v>
      </c>
      <c r="E952" t="e">
        <f t="shared" ca="1" si="36"/>
        <v>#VALUE!</v>
      </c>
      <c r="F952" t="e">
        <f t="shared" ca="1" si="37"/>
        <v>#VALUE!</v>
      </c>
      <c r="G952" t="e">
        <f t="shared" ca="1" si="38"/>
        <v>#VALUE!</v>
      </c>
    </row>
    <row r="953" spans="1:7" x14ac:dyDescent="0.25">
      <c r="A953" s="1"/>
      <c r="D953" t="e" cm="1">
        <f t="array" aca="1" ref="D953" ca="1">IF(OR(COUNTIF(damper_names,_xlfn.CONCAT("D_S_",C953))=1, COUNTIF(damper_names,_xlfn.CONCAT("D_E_",C953))=1), "C", "")</f>
        <v>#VALUE!</v>
      </c>
      <c r="E953" t="e">
        <f t="shared" ca="1" si="36"/>
        <v>#VALUE!</v>
      </c>
      <c r="F953" t="e">
        <f t="shared" ca="1" si="37"/>
        <v>#VALUE!</v>
      </c>
      <c r="G953" t="e">
        <f t="shared" ca="1" si="38"/>
        <v>#VALUE!</v>
      </c>
    </row>
    <row r="954" spans="1:7" x14ac:dyDescent="0.25">
      <c r="A954" s="1"/>
      <c r="D954" t="e" cm="1">
        <f t="array" aca="1" ref="D954" ca="1">IF(OR(COUNTIF(damper_names,_xlfn.CONCAT("D_S_",C954))=1, COUNTIF(damper_names,_xlfn.CONCAT("D_E_",C954))=1), "C", "")</f>
        <v>#VALUE!</v>
      </c>
      <c r="E954" t="e">
        <f t="shared" ca="1" si="36"/>
        <v>#VALUE!</v>
      </c>
      <c r="F954" t="e">
        <f t="shared" ca="1" si="37"/>
        <v>#VALUE!</v>
      </c>
      <c r="G954" t="e">
        <f t="shared" ca="1" si="38"/>
        <v>#VALUE!</v>
      </c>
    </row>
    <row r="955" spans="1:7" x14ac:dyDescent="0.25">
      <c r="A955" s="1"/>
      <c r="D955" t="e" cm="1">
        <f t="array" aca="1" ref="D955" ca="1">IF(OR(COUNTIF(damper_names,_xlfn.CONCAT("D_S_",C955))=1, COUNTIF(damper_names,_xlfn.CONCAT("D_E_",C955))=1), "C", "")</f>
        <v>#VALUE!</v>
      </c>
      <c r="E955" t="e">
        <f t="shared" ca="1" si="36"/>
        <v>#VALUE!</v>
      </c>
      <c r="F955" t="e">
        <f t="shared" ca="1" si="37"/>
        <v>#VALUE!</v>
      </c>
      <c r="G955" t="e">
        <f t="shared" ca="1" si="38"/>
        <v>#VALUE!</v>
      </c>
    </row>
    <row r="956" spans="1:7" x14ac:dyDescent="0.25">
      <c r="A956" s="1"/>
      <c r="D956" t="e" cm="1">
        <f t="array" aca="1" ref="D956" ca="1">IF(OR(COUNTIF(damper_names,_xlfn.CONCAT("D_S_",C956))=1, COUNTIF(damper_names,_xlfn.CONCAT("D_E_",C956))=1), "C", "")</f>
        <v>#VALUE!</v>
      </c>
      <c r="E956" t="e">
        <f t="shared" ca="1" si="36"/>
        <v>#VALUE!</v>
      </c>
      <c r="F956" t="e">
        <f t="shared" ca="1" si="37"/>
        <v>#VALUE!</v>
      </c>
      <c r="G956" t="e">
        <f t="shared" ca="1" si="38"/>
        <v>#VALUE!</v>
      </c>
    </row>
    <row r="957" spans="1:7" x14ac:dyDescent="0.25">
      <c r="A957" s="1"/>
      <c r="D957" t="e" cm="1">
        <f t="array" aca="1" ref="D957" ca="1">IF(OR(COUNTIF(damper_names,_xlfn.CONCAT("D_S_",C957))=1, COUNTIF(damper_names,_xlfn.CONCAT("D_E_",C957))=1), "C", "")</f>
        <v>#VALUE!</v>
      </c>
      <c r="E957" t="e">
        <f t="shared" ca="1" si="36"/>
        <v>#VALUE!</v>
      </c>
      <c r="F957" t="e">
        <f t="shared" ca="1" si="37"/>
        <v>#VALUE!</v>
      </c>
      <c r="G957" t="e">
        <f t="shared" ca="1" si="38"/>
        <v>#VALUE!</v>
      </c>
    </row>
    <row r="958" spans="1:7" x14ac:dyDescent="0.25">
      <c r="A958" s="1"/>
      <c r="D958" t="e" cm="1">
        <f t="array" aca="1" ref="D958" ca="1">IF(OR(COUNTIF(damper_names,_xlfn.CONCAT("D_S_",C958))=1, COUNTIF(damper_names,_xlfn.CONCAT("D_E_",C958))=1), "C", "")</f>
        <v>#VALUE!</v>
      </c>
      <c r="E958" t="e">
        <f t="shared" ca="1" si="36"/>
        <v>#VALUE!</v>
      </c>
      <c r="F958" t="e">
        <f t="shared" ca="1" si="37"/>
        <v>#VALUE!</v>
      </c>
      <c r="G958" t="e">
        <f t="shared" ca="1" si="38"/>
        <v>#VALUE!</v>
      </c>
    </row>
    <row r="959" spans="1:7" x14ac:dyDescent="0.25">
      <c r="A959" s="1"/>
      <c r="D959" t="e" cm="1">
        <f t="array" aca="1" ref="D959" ca="1">IF(OR(COUNTIF(damper_names,_xlfn.CONCAT("D_S_",C959))=1, COUNTIF(damper_names,_xlfn.CONCAT("D_E_",C959))=1), "C", "")</f>
        <v>#VALUE!</v>
      </c>
      <c r="E959" t="e">
        <f t="shared" ca="1" si="36"/>
        <v>#VALUE!</v>
      </c>
      <c r="F959" t="e">
        <f t="shared" ca="1" si="37"/>
        <v>#VALUE!</v>
      </c>
      <c r="G959" t="e">
        <f t="shared" ca="1" si="38"/>
        <v>#VALUE!</v>
      </c>
    </row>
    <row r="960" spans="1:7" x14ac:dyDescent="0.25">
      <c r="A960" s="1"/>
      <c r="D960" t="e" cm="1">
        <f t="array" aca="1" ref="D960" ca="1">IF(OR(COUNTIF(damper_names,_xlfn.CONCAT("D_S_",C960))=1, COUNTIF(damper_names,_xlfn.CONCAT("D_E_",C960))=1), "C", "")</f>
        <v>#VALUE!</v>
      </c>
      <c r="E960" t="e">
        <f t="shared" ca="1" si="36"/>
        <v>#VALUE!</v>
      </c>
      <c r="F960" t="e">
        <f t="shared" ca="1" si="37"/>
        <v>#VALUE!</v>
      </c>
      <c r="G960" t="e">
        <f t="shared" ca="1" si="38"/>
        <v>#VALUE!</v>
      </c>
    </row>
    <row r="961" spans="1:7" x14ac:dyDescent="0.25">
      <c r="A961" s="1"/>
      <c r="D961" t="e" cm="1">
        <f t="array" aca="1" ref="D961" ca="1">IF(OR(COUNTIF(damper_names,_xlfn.CONCAT("D_S_",C961))=1, COUNTIF(damper_names,_xlfn.CONCAT("D_E_",C961))=1), "C", "")</f>
        <v>#VALUE!</v>
      </c>
      <c r="E961" t="e">
        <f t="shared" ca="1" si="36"/>
        <v>#VALUE!</v>
      </c>
      <c r="F961" t="e">
        <f t="shared" ca="1" si="37"/>
        <v>#VALUE!</v>
      </c>
      <c r="G961" t="e">
        <f t="shared" ca="1" si="38"/>
        <v>#VALUE!</v>
      </c>
    </row>
    <row r="962" spans="1:7" x14ac:dyDescent="0.25">
      <c r="A962" s="1"/>
      <c r="D962" t="e" cm="1">
        <f t="array" aca="1" ref="D962" ca="1">IF(OR(COUNTIF(damper_names,_xlfn.CONCAT("D_S_",C962))=1, COUNTIF(damper_names,_xlfn.CONCAT("D_E_",C962))=1), "C", "")</f>
        <v>#VALUE!</v>
      </c>
      <c r="E962" t="e">
        <f t="shared" ca="1" si="36"/>
        <v>#VALUE!</v>
      </c>
      <c r="F962" t="e">
        <f t="shared" ca="1" si="37"/>
        <v>#VALUE!</v>
      </c>
      <c r="G962" t="e">
        <f t="shared" ca="1" si="38"/>
        <v>#VALUE!</v>
      </c>
    </row>
    <row r="963" spans="1:7" x14ac:dyDescent="0.25">
      <c r="A963" s="1"/>
      <c r="D963" t="e" cm="1">
        <f t="array" aca="1" ref="D963" ca="1">IF(OR(COUNTIF(damper_names,_xlfn.CONCAT("D_S_",C963))=1, COUNTIF(damper_names,_xlfn.CONCAT("D_E_",C963))=1), "C", "")</f>
        <v>#VALUE!</v>
      </c>
      <c r="E963" t="e">
        <f t="shared" ca="1" si="36"/>
        <v>#VALUE!</v>
      </c>
      <c r="F963" t="e">
        <f t="shared" ca="1" si="37"/>
        <v>#VALUE!</v>
      </c>
      <c r="G963" t="e">
        <f t="shared" ca="1" si="38"/>
        <v>#VALUE!</v>
      </c>
    </row>
    <row r="964" spans="1:7" x14ac:dyDescent="0.25">
      <c r="A964" s="1"/>
      <c r="D964" t="e" cm="1">
        <f t="array" aca="1" ref="D964" ca="1">IF(OR(COUNTIF(damper_names,_xlfn.CONCAT("D_S_",C964))=1, COUNTIF(damper_names,_xlfn.CONCAT("D_E_",C964))=1), "C", "")</f>
        <v>#VALUE!</v>
      </c>
      <c r="E964" t="e">
        <f t="shared" ca="1" si="36"/>
        <v>#VALUE!</v>
      </c>
      <c r="F964" t="e">
        <f t="shared" ca="1" si="37"/>
        <v>#VALUE!</v>
      </c>
      <c r="G964" t="e">
        <f t="shared" ca="1" si="38"/>
        <v>#VALUE!</v>
      </c>
    </row>
    <row r="965" spans="1:7" x14ac:dyDescent="0.25">
      <c r="A965" s="1"/>
      <c r="D965" t="e" cm="1">
        <f t="array" aca="1" ref="D965" ca="1">IF(OR(COUNTIF(damper_names,_xlfn.CONCAT("D_S_",C965))=1, COUNTIF(damper_names,_xlfn.CONCAT("D_E_",C965))=1), "C", "")</f>
        <v>#VALUE!</v>
      </c>
      <c r="E965" t="e">
        <f t="shared" ca="1" si="36"/>
        <v>#VALUE!</v>
      </c>
      <c r="F965" t="e">
        <f t="shared" ca="1" si="37"/>
        <v>#VALUE!</v>
      </c>
      <c r="G965" t="e">
        <f t="shared" ca="1" si="38"/>
        <v>#VALUE!</v>
      </c>
    </row>
    <row r="966" spans="1:7" x14ac:dyDescent="0.25">
      <c r="A966" s="1"/>
      <c r="D966" t="e" cm="1">
        <f t="array" aca="1" ref="D966" ca="1">IF(OR(COUNTIF(damper_names,_xlfn.CONCAT("D_S_",C966))=1, COUNTIF(damper_names,_xlfn.CONCAT("D_E_",C966))=1), "C", "")</f>
        <v>#VALUE!</v>
      </c>
      <c r="E966" t="e">
        <f t="shared" ca="1" si="36"/>
        <v>#VALUE!</v>
      </c>
      <c r="F966" t="e">
        <f t="shared" ca="1" si="37"/>
        <v>#VALUE!</v>
      </c>
      <c r="G966" t="e">
        <f t="shared" ca="1" si="38"/>
        <v>#VALUE!</v>
      </c>
    </row>
    <row r="967" spans="1:7" x14ac:dyDescent="0.25">
      <c r="A967" s="1"/>
      <c r="D967" t="e" cm="1">
        <f t="array" aca="1" ref="D967" ca="1">IF(OR(COUNTIF(damper_names,_xlfn.CONCAT("D_S_",C967))=1, COUNTIF(damper_names,_xlfn.CONCAT("D_E_",C967))=1), "C", "")</f>
        <v>#VALUE!</v>
      </c>
      <c r="E967" t="e">
        <f t="shared" ref="E967:E1000" ca="1" si="39">IF(D967="T", 0.05, IF(D967="C", -0.01, ""))</f>
        <v>#VALUE!</v>
      </c>
      <c r="F967" t="e">
        <f t="shared" ref="F967:F1000" ca="1" si="40">IF(D967="T", 0.05, IF(D967="C", 0, ""))</f>
        <v>#VALUE!</v>
      </c>
      <c r="G967" t="e">
        <f t="shared" ref="G967:G1000" ca="1" si="41">IF(D967="T", 0, IF(D967="C", 0, ""))</f>
        <v>#VALUE!</v>
      </c>
    </row>
    <row r="968" spans="1:7" x14ac:dyDescent="0.25">
      <c r="A968" s="1"/>
      <c r="D968" t="e" cm="1">
        <f t="array" aca="1" ref="D968" ca="1">IF(OR(COUNTIF(damper_names,_xlfn.CONCAT("D_S_",C968))=1, COUNTIF(damper_names,_xlfn.CONCAT("D_E_",C968))=1), "C", "")</f>
        <v>#VALUE!</v>
      </c>
      <c r="E968" t="e">
        <f t="shared" ca="1" si="39"/>
        <v>#VALUE!</v>
      </c>
      <c r="F968" t="e">
        <f t="shared" ca="1" si="40"/>
        <v>#VALUE!</v>
      </c>
      <c r="G968" t="e">
        <f t="shared" ca="1" si="41"/>
        <v>#VALUE!</v>
      </c>
    </row>
    <row r="969" spans="1:7" x14ac:dyDescent="0.25">
      <c r="A969" s="1"/>
      <c r="D969" t="e" cm="1">
        <f t="array" aca="1" ref="D969" ca="1">IF(OR(COUNTIF(damper_names,_xlfn.CONCAT("D_S_",C969))=1, COUNTIF(damper_names,_xlfn.CONCAT("D_E_",C969))=1), "C", "")</f>
        <v>#VALUE!</v>
      </c>
      <c r="E969" t="e">
        <f t="shared" ca="1" si="39"/>
        <v>#VALUE!</v>
      </c>
      <c r="F969" t="e">
        <f t="shared" ca="1" si="40"/>
        <v>#VALUE!</v>
      </c>
      <c r="G969" t="e">
        <f t="shared" ca="1" si="41"/>
        <v>#VALUE!</v>
      </c>
    </row>
    <row r="970" spans="1:7" x14ac:dyDescent="0.25">
      <c r="A970" s="1"/>
      <c r="D970" t="e" cm="1">
        <f t="array" aca="1" ref="D970" ca="1">IF(OR(COUNTIF(damper_names,_xlfn.CONCAT("D_S_",C970))=1, COUNTIF(damper_names,_xlfn.CONCAT("D_E_",C970))=1), "C", "")</f>
        <v>#VALUE!</v>
      </c>
      <c r="E970" t="e">
        <f t="shared" ca="1" si="39"/>
        <v>#VALUE!</v>
      </c>
      <c r="F970" t="e">
        <f t="shared" ca="1" si="40"/>
        <v>#VALUE!</v>
      </c>
      <c r="G970" t="e">
        <f t="shared" ca="1" si="41"/>
        <v>#VALUE!</v>
      </c>
    </row>
    <row r="971" spans="1:7" x14ac:dyDescent="0.25">
      <c r="A971" s="1"/>
      <c r="D971" t="e" cm="1">
        <f t="array" aca="1" ref="D971" ca="1">IF(OR(COUNTIF(damper_names,_xlfn.CONCAT("D_S_",C971))=1, COUNTIF(damper_names,_xlfn.CONCAT("D_E_",C971))=1), "C", "")</f>
        <v>#VALUE!</v>
      </c>
      <c r="E971" t="e">
        <f t="shared" ca="1" si="39"/>
        <v>#VALUE!</v>
      </c>
      <c r="F971" t="e">
        <f t="shared" ca="1" si="40"/>
        <v>#VALUE!</v>
      </c>
      <c r="G971" t="e">
        <f t="shared" ca="1" si="41"/>
        <v>#VALUE!</v>
      </c>
    </row>
    <row r="972" spans="1:7" x14ac:dyDescent="0.25">
      <c r="A972" s="1"/>
      <c r="D972" t="e" cm="1">
        <f t="array" aca="1" ref="D972" ca="1">IF(OR(COUNTIF(damper_names,_xlfn.CONCAT("D_S_",C972))=1, COUNTIF(damper_names,_xlfn.CONCAT("D_E_",C972))=1), "C", "")</f>
        <v>#VALUE!</v>
      </c>
      <c r="E972" t="e">
        <f t="shared" ca="1" si="39"/>
        <v>#VALUE!</v>
      </c>
      <c r="F972" t="e">
        <f t="shared" ca="1" si="40"/>
        <v>#VALUE!</v>
      </c>
      <c r="G972" t="e">
        <f t="shared" ca="1" si="41"/>
        <v>#VALUE!</v>
      </c>
    </row>
    <row r="973" spans="1:7" x14ac:dyDescent="0.25">
      <c r="A973" s="1"/>
      <c r="D973" t="e" cm="1">
        <f t="array" aca="1" ref="D973" ca="1">IF(OR(COUNTIF(damper_names,_xlfn.CONCAT("D_S_",C973))=1, COUNTIF(damper_names,_xlfn.CONCAT("D_E_",C973))=1), "C", "")</f>
        <v>#VALUE!</v>
      </c>
      <c r="E973" t="e">
        <f t="shared" ca="1" si="39"/>
        <v>#VALUE!</v>
      </c>
      <c r="F973" t="e">
        <f t="shared" ca="1" si="40"/>
        <v>#VALUE!</v>
      </c>
      <c r="G973" t="e">
        <f t="shared" ca="1" si="41"/>
        <v>#VALUE!</v>
      </c>
    </row>
    <row r="974" spans="1:7" x14ac:dyDescent="0.25">
      <c r="A974" s="1"/>
      <c r="D974" t="e" cm="1">
        <f t="array" aca="1" ref="D974" ca="1">IF(OR(COUNTIF(damper_names,_xlfn.CONCAT("D_S_",C974))=1, COUNTIF(damper_names,_xlfn.CONCAT("D_E_",C974))=1), "C", "")</f>
        <v>#VALUE!</v>
      </c>
      <c r="E974" t="e">
        <f t="shared" ca="1" si="39"/>
        <v>#VALUE!</v>
      </c>
      <c r="F974" t="e">
        <f t="shared" ca="1" si="40"/>
        <v>#VALUE!</v>
      </c>
      <c r="G974" t="e">
        <f t="shared" ca="1" si="41"/>
        <v>#VALUE!</v>
      </c>
    </row>
    <row r="975" spans="1:7" x14ac:dyDescent="0.25">
      <c r="A975" s="1"/>
      <c r="D975" t="e" cm="1">
        <f t="array" aca="1" ref="D975" ca="1">IF(OR(COUNTIF(damper_names,_xlfn.CONCAT("D_S_",C975))=1, COUNTIF(damper_names,_xlfn.CONCAT("D_E_",C975))=1), "C", "")</f>
        <v>#VALUE!</v>
      </c>
      <c r="E975" t="e">
        <f t="shared" ca="1" si="39"/>
        <v>#VALUE!</v>
      </c>
      <c r="F975" t="e">
        <f t="shared" ca="1" si="40"/>
        <v>#VALUE!</v>
      </c>
      <c r="G975" t="e">
        <f t="shared" ca="1" si="41"/>
        <v>#VALUE!</v>
      </c>
    </row>
    <row r="976" spans="1:7" x14ac:dyDescent="0.25">
      <c r="A976" s="1"/>
      <c r="D976" t="e" cm="1">
        <f t="array" aca="1" ref="D976" ca="1">IF(OR(COUNTIF(damper_names,_xlfn.CONCAT("D_S_",C976))=1, COUNTIF(damper_names,_xlfn.CONCAT("D_E_",C976))=1), "C", "")</f>
        <v>#VALUE!</v>
      </c>
      <c r="E976" t="e">
        <f t="shared" ca="1" si="39"/>
        <v>#VALUE!</v>
      </c>
      <c r="F976" t="e">
        <f t="shared" ca="1" si="40"/>
        <v>#VALUE!</v>
      </c>
      <c r="G976" t="e">
        <f t="shared" ca="1" si="41"/>
        <v>#VALUE!</v>
      </c>
    </row>
    <row r="977" spans="1:7" x14ac:dyDescent="0.25">
      <c r="A977" s="1"/>
      <c r="D977" t="e" cm="1">
        <f t="array" aca="1" ref="D977" ca="1">IF(OR(COUNTIF(damper_names,_xlfn.CONCAT("D_S_",C977))=1, COUNTIF(damper_names,_xlfn.CONCAT("D_E_",C977))=1), "C", "")</f>
        <v>#VALUE!</v>
      </c>
      <c r="E977" t="e">
        <f t="shared" ca="1" si="39"/>
        <v>#VALUE!</v>
      </c>
      <c r="F977" t="e">
        <f t="shared" ca="1" si="40"/>
        <v>#VALUE!</v>
      </c>
      <c r="G977" t="e">
        <f t="shared" ca="1" si="41"/>
        <v>#VALUE!</v>
      </c>
    </row>
    <row r="978" spans="1:7" x14ac:dyDescent="0.25">
      <c r="A978" s="1"/>
      <c r="D978" t="e" cm="1">
        <f t="array" aca="1" ref="D978" ca="1">IF(OR(COUNTIF(damper_names,_xlfn.CONCAT("D_S_",C978))=1, COUNTIF(damper_names,_xlfn.CONCAT("D_E_",C978))=1), "C", "")</f>
        <v>#VALUE!</v>
      </c>
      <c r="E978" t="e">
        <f t="shared" ca="1" si="39"/>
        <v>#VALUE!</v>
      </c>
      <c r="F978" t="e">
        <f t="shared" ca="1" si="40"/>
        <v>#VALUE!</v>
      </c>
      <c r="G978" t="e">
        <f t="shared" ca="1" si="41"/>
        <v>#VALUE!</v>
      </c>
    </row>
    <row r="979" spans="1:7" x14ac:dyDescent="0.25">
      <c r="A979" s="1"/>
      <c r="D979" t="e" cm="1">
        <f t="array" aca="1" ref="D979" ca="1">IF(OR(COUNTIF(damper_names,_xlfn.CONCAT("D_S_",C979))=1, COUNTIF(damper_names,_xlfn.CONCAT("D_E_",C979))=1), "C", "")</f>
        <v>#VALUE!</v>
      </c>
      <c r="E979" t="e">
        <f t="shared" ca="1" si="39"/>
        <v>#VALUE!</v>
      </c>
      <c r="F979" t="e">
        <f t="shared" ca="1" si="40"/>
        <v>#VALUE!</v>
      </c>
      <c r="G979" t="e">
        <f t="shared" ca="1" si="41"/>
        <v>#VALUE!</v>
      </c>
    </row>
    <row r="980" spans="1:7" x14ac:dyDescent="0.25">
      <c r="A980" s="1"/>
      <c r="D980" t="e" cm="1">
        <f t="array" aca="1" ref="D980" ca="1">IF(OR(COUNTIF(damper_names,_xlfn.CONCAT("D_S_",C980))=1, COUNTIF(damper_names,_xlfn.CONCAT("D_E_",C980))=1), "C", "")</f>
        <v>#VALUE!</v>
      </c>
      <c r="E980" t="e">
        <f t="shared" ca="1" si="39"/>
        <v>#VALUE!</v>
      </c>
      <c r="F980" t="e">
        <f t="shared" ca="1" si="40"/>
        <v>#VALUE!</v>
      </c>
      <c r="G980" t="e">
        <f t="shared" ca="1" si="41"/>
        <v>#VALUE!</v>
      </c>
    </row>
    <row r="981" spans="1:7" x14ac:dyDescent="0.25">
      <c r="A981" s="1"/>
      <c r="D981" t="e" cm="1">
        <f t="array" aca="1" ref="D981" ca="1">IF(OR(COUNTIF(damper_names,_xlfn.CONCAT("D_S_",C981))=1, COUNTIF(damper_names,_xlfn.CONCAT("D_E_",C981))=1), "C", "")</f>
        <v>#VALUE!</v>
      </c>
      <c r="E981" t="e">
        <f t="shared" ca="1" si="39"/>
        <v>#VALUE!</v>
      </c>
      <c r="F981" t="e">
        <f t="shared" ca="1" si="40"/>
        <v>#VALUE!</v>
      </c>
      <c r="G981" t="e">
        <f t="shared" ca="1" si="41"/>
        <v>#VALUE!</v>
      </c>
    </row>
    <row r="982" spans="1:7" x14ac:dyDescent="0.25">
      <c r="A982" s="1"/>
      <c r="D982" t="e" cm="1">
        <f t="array" aca="1" ref="D982" ca="1">IF(OR(COUNTIF(damper_names,_xlfn.CONCAT("D_S_",C982))=1, COUNTIF(damper_names,_xlfn.CONCAT("D_E_",C982))=1), "C", "")</f>
        <v>#VALUE!</v>
      </c>
      <c r="E982" t="e">
        <f t="shared" ca="1" si="39"/>
        <v>#VALUE!</v>
      </c>
      <c r="F982" t="e">
        <f t="shared" ca="1" si="40"/>
        <v>#VALUE!</v>
      </c>
      <c r="G982" t="e">
        <f t="shared" ca="1" si="41"/>
        <v>#VALUE!</v>
      </c>
    </row>
    <row r="983" spans="1:7" x14ac:dyDescent="0.25">
      <c r="A983" s="1"/>
      <c r="D983" t="e" cm="1">
        <f t="array" aca="1" ref="D983" ca="1">IF(OR(COUNTIF(damper_names,_xlfn.CONCAT("D_S_",C983))=1, COUNTIF(damper_names,_xlfn.CONCAT("D_E_",C983))=1), "C", "")</f>
        <v>#VALUE!</v>
      </c>
      <c r="E983" t="e">
        <f t="shared" ca="1" si="39"/>
        <v>#VALUE!</v>
      </c>
      <c r="F983" t="e">
        <f t="shared" ca="1" si="40"/>
        <v>#VALUE!</v>
      </c>
      <c r="G983" t="e">
        <f t="shared" ca="1" si="41"/>
        <v>#VALUE!</v>
      </c>
    </row>
    <row r="984" spans="1:7" x14ac:dyDescent="0.25">
      <c r="A984" s="1"/>
      <c r="D984" t="e" cm="1">
        <f t="array" aca="1" ref="D984" ca="1">IF(OR(COUNTIF(damper_names,_xlfn.CONCAT("D_S_",C984))=1, COUNTIF(damper_names,_xlfn.CONCAT("D_E_",C984))=1), "C", "")</f>
        <v>#VALUE!</v>
      </c>
      <c r="E984" t="e">
        <f t="shared" ca="1" si="39"/>
        <v>#VALUE!</v>
      </c>
      <c r="F984" t="e">
        <f t="shared" ca="1" si="40"/>
        <v>#VALUE!</v>
      </c>
      <c r="G984" t="e">
        <f t="shared" ca="1" si="41"/>
        <v>#VALUE!</v>
      </c>
    </row>
    <row r="985" spans="1:7" x14ac:dyDescent="0.25">
      <c r="A985" s="1"/>
      <c r="D985" t="e" cm="1">
        <f t="array" aca="1" ref="D985" ca="1">IF(OR(COUNTIF(damper_names,_xlfn.CONCAT("D_S_",C985))=1, COUNTIF(damper_names,_xlfn.CONCAT("D_E_",C985))=1), "C", "")</f>
        <v>#VALUE!</v>
      </c>
      <c r="E985" t="e">
        <f t="shared" ca="1" si="39"/>
        <v>#VALUE!</v>
      </c>
      <c r="F985" t="e">
        <f t="shared" ca="1" si="40"/>
        <v>#VALUE!</v>
      </c>
      <c r="G985" t="e">
        <f t="shared" ca="1" si="41"/>
        <v>#VALUE!</v>
      </c>
    </row>
    <row r="986" spans="1:7" x14ac:dyDescent="0.25">
      <c r="A986" s="1"/>
      <c r="D986" t="e" cm="1">
        <f t="array" aca="1" ref="D986" ca="1">IF(OR(COUNTIF(damper_names,_xlfn.CONCAT("D_S_",C986))=1, COUNTIF(damper_names,_xlfn.CONCAT("D_E_",C986))=1), "C", "")</f>
        <v>#VALUE!</v>
      </c>
      <c r="E986" t="e">
        <f t="shared" ca="1" si="39"/>
        <v>#VALUE!</v>
      </c>
      <c r="F986" t="e">
        <f t="shared" ca="1" si="40"/>
        <v>#VALUE!</v>
      </c>
      <c r="G986" t="e">
        <f t="shared" ca="1" si="41"/>
        <v>#VALUE!</v>
      </c>
    </row>
    <row r="987" spans="1:7" x14ac:dyDescent="0.25">
      <c r="A987" s="1"/>
      <c r="D987" t="e" cm="1">
        <f t="array" aca="1" ref="D987" ca="1">IF(OR(COUNTIF(damper_names,_xlfn.CONCAT("D_S_",C987))=1, COUNTIF(damper_names,_xlfn.CONCAT("D_E_",C987))=1), "C", "")</f>
        <v>#VALUE!</v>
      </c>
      <c r="E987" t="e">
        <f t="shared" ca="1" si="39"/>
        <v>#VALUE!</v>
      </c>
      <c r="F987" t="e">
        <f t="shared" ca="1" si="40"/>
        <v>#VALUE!</v>
      </c>
      <c r="G987" t="e">
        <f t="shared" ca="1" si="41"/>
        <v>#VALUE!</v>
      </c>
    </row>
    <row r="988" spans="1:7" x14ac:dyDescent="0.25">
      <c r="A988" s="1"/>
      <c r="D988" t="e" cm="1">
        <f t="array" aca="1" ref="D988" ca="1">IF(OR(COUNTIF(damper_names,_xlfn.CONCAT("D_S_",C988))=1, COUNTIF(damper_names,_xlfn.CONCAT("D_E_",C988))=1), "C", "")</f>
        <v>#VALUE!</v>
      </c>
      <c r="E988" t="e">
        <f t="shared" ca="1" si="39"/>
        <v>#VALUE!</v>
      </c>
      <c r="F988" t="e">
        <f t="shared" ca="1" si="40"/>
        <v>#VALUE!</v>
      </c>
      <c r="G988" t="e">
        <f t="shared" ca="1" si="41"/>
        <v>#VALUE!</v>
      </c>
    </row>
    <row r="989" spans="1:7" x14ac:dyDescent="0.25">
      <c r="A989" s="1"/>
      <c r="D989" t="e" cm="1">
        <f t="array" aca="1" ref="D989" ca="1">IF(OR(COUNTIF(damper_names,_xlfn.CONCAT("D_S_",C989))=1, COUNTIF(damper_names,_xlfn.CONCAT("D_E_",C989))=1), "C", "")</f>
        <v>#VALUE!</v>
      </c>
      <c r="E989" t="e">
        <f t="shared" ca="1" si="39"/>
        <v>#VALUE!</v>
      </c>
      <c r="F989" t="e">
        <f t="shared" ca="1" si="40"/>
        <v>#VALUE!</v>
      </c>
      <c r="G989" t="e">
        <f t="shared" ca="1" si="41"/>
        <v>#VALUE!</v>
      </c>
    </row>
    <row r="990" spans="1:7" x14ac:dyDescent="0.25">
      <c r="A990" s="1"/>
      <c r="D990" t="e" cm="1">
        <f t="array" aca="1" ref="D990" ca="1">IF(OR(COUNTIF(damper_names,_xlfn.CONCAT("D_S_",C990))=1, COUNTIF(damper_names,_xlfn.CONCAT("D_E_",C990))=1), "C", "")</f>
        <v>#VALUE!</v>
      </c>
      <c r="E990" t="e">
        <f t="shared" ca="1" si="39"/>
        <v>#VALUE!</v>
      </c>
      <c r="F990" t="e">
        <f t="shared" ca="1" si="40"/>
        <v>#VALUE!</v>
      </c>
      <c r="G990" t="e">
        <f t="shared" ca="1" si="41"/>
        <v>#VALUE!</v>
      </c>
    </row>
    <row r="991" spans="1:7" x14ac:dyDescent="0.25">
      <c r="A991" s="1"/>
      <c r="D991" t="e" cm="1">
        <f t="array" aca="1" ref="D991" ca="1">IF(OR(COUNTIF(damper_names,_xlfn.CONCAT("D_S_",C991))=1, COUNTIF(damper_names,_xlfn.CONCAT("D_E_",C991))=1), "C", "")</f>
        <v>#VALUE!</v>
      </c>
      <c r="E991" t="e">
        <f t="shared" ca="1" si="39"/>
        <v>#VALUE!</v>
      </c>
      <c r="F991" t="e">
        <f t="shared" ca="1" si="40"/>
        <v>#VALUE!</v>
      </c>
      <c r="G991" t="e">
        <f t="shared" ca="1" si="41"/>
        <v>#VALUE!</v>
      </c>
    </row>
    <row r="992" spans="1:7" x14ac:dyDescent="0.25">
      <c r="A992" s="1"/>
      <c r="D992" t="e" cm="1">
        <f t="array" aca="1" ref="D992" ca="1">IF(OR(COUNTIF(damper_names,_xlfn.CONCAT("D_S_",C992))=1, COUNTIF(damper_names,_xlfn.CONCAT("D_E_",C992))=1), "C", "")</f>
        <v>#VALUE!</v>
      </c>
      <c r="E992" t="e">
        <f t="shared" ca="1" si="39"/>
        <v>#VALUE!</v>
      </c>
      <c r="F992" t="e">
        <f t="shared" ca="1" si="40"/>
        <v>#VALUE!</v>
      </c>
      <c r="G992" t="e">
        <f t="shared" ca="1" si="41"/>
        <v>#VALUE!</v>
      </c>
    </row>
    <row r="993" spans="1:7" x14ac:dyDescent="0.25">
      <c r="A993" s="1"/>
      <c r="D993" t="e" cm="1">
        <f t="array" aca="1" ref="D993" ca="1">IF(OR(COUNTIF(damper_names,_xlfn.CONCAT("D_S_",C993))=1, COUNTIF(damper_names,_xlfn.CONCAT("D_E_",C993))=1), "C", "")</f>
        <v>#VALUE!</v>
      </c>
      <c r="E993" t="e">
        <f t="shared" ca="1" si="39"/>
        <v>#VALUE!</v>
      </c>
      <c r="F993" t="e">
        <f t="shared" ca="1" si="40"/>
        <v>#VALUE!</v>
      </c>
      <c r="G993" t="e">
        <f t="shared" ca="1" si="41"/>
        <v>#VALUE!</v>
      </c>
    </row>
    <row r="994" spans="1:7" x14ac:dyDescent="0.25">
      <c r="A994" s="1"/>
      <c r="D994" t="e" cm="1">
        <f t="array" aca="1" ref="D994" ca="1">IF(OR(COUNTIF(damper_names,_xlfn.CONCAT("D_S_",C994))=1, COUNTIF(damper_names,_xlfn.CONCAT("D_E_",C994))=1), "C", "")</f>
        <v>#VALUE!</v>
      </c>
      <c r="E994" t="e">
        <f t="shared" ca="1" si="39"/>
        <v>#VALUE!</v>
      </c>
      <c r="F994" t="e">
        <f t="shared" ca="1" si="40"/>
        <v>#VALUE!</v>
      </c>
      <c r="G994" t="e">
        <f t="shared" ca="1" si="41"/>
        <v>#VALUE!</v>
      </c>
    </row>
    <row r="995" spans="1:7" x14ac:dyDescent="0.25">
      <c r="A995" s="1"/>
      <c r="D995" t="e" cm="1">
        <f t="array" aca="1" ref="D995" ca="1">IF(OR(COUNTIF(damper_names,_xlfn.CONCAT("D_S_",C995))=1, COUNTIF(damper_names,_xlfn.CONCAT("D_E_",C995))=1), "C", "")</f>
        <v>#VALUE!</v>
      </c>
      <c r="E995" t="e">
        <f t="shared" ca="1" si="39"/>
        <v>#VALUE!</v>
      </c>
      <c r="F995" t="e">
        <f t="shared" ca="1" si="40"/>
        <v>#VALUE!</v>
      </c>
      <c r="G995" t="e">
        <f t="shared" ca="1" si="41"/>
        <v>#VALUE!</v>
      </c>
    </row>
    <row r="996" spans="1:7" x14ac:dyDescent="0.25">
      <c r="A996" s="1"/>
      <c r="D996" t="e" cm="1">
        <f t="array" aca="1" ref="D996" ca="1">IF(OR(COUNTIF(damper_names,_xlfn.CONCAT("D_S_",C996))=1, COUNTIF(damper_names,_xlfn.CONCAT("D_E_",C996))=1), "C", "")</f>
        <v>#VALUE!</v>
      </c>
      <c r="E996" t="e">
        <f t="shared" ca="1" si="39"/>
        <v>#VALUE!</v>
      </c>
      <c r="F996" t="e">
        <f t="shared" ca="1" si="40"/>
        <v>#VALUE!</v>
      </c>
      <c r="G996" t="e">
        <f t="shared" ca="1" si="41"/>
        <v>#VALUE!</v>
      </c>
    </row>
    <row r="997" spans="1:7" x14ac:dyDescent="0.25">
      <c r="A997" s="1"/>
      <c r="D997" t="e" cm="1">
        <f t="array" aca="1" ref="D997" ca="1">IF(OR(COUNTIF(damper_names,_xlfn.CONCAT("D_S_",C997))=1, COUNTIF(damper_names,_xlfn.CONCAT("D_E_",C997))=1), "C", "")</f>
        <v>#VALUE!</v>
      </c>
      <c r="E997" t="e">
        <f t="shared" ca="1" si="39"/>
        <v>#VALUE!</v>
      </c>
      <c r="F997" t="e">
        <f t="shared" ca="1" si="40"/>
        <v>#VALUE!</v>
      </c>
      <c r="G997" t="e">
        <f t="shared" ca="1" si="41"/>
        <v>#VALUE!</v>
      </c>
    </row>
    <row r="998" spans="1:7" x14ac:dyDescent="0.25">
      <c r="A998" s="1"/>
      <c r="D998" t="e" cm="1">
        <f t="array" aca="1" ref="D998" ca="1">IF(OR(COUNTIF(damper_names,_xlfn.CONCAT("D_S_",C998))=1, COUNTIF(damper_names,_xlfn.CONCAT("D_E_",C998))=1), "C", "")</f>
        <v>#VALUE!</v>
      </c>
      <c r="E998" t="e">
        <f t="shared" ca="1" si="39"/>
        <v>#VALUE!</v>
      </c>
      <c r="F998" t="e">
        <f t="shared" ca="1" si="40"/>
        <v>#VALUE!</v>
      </c>
      <c r="G998" t="e">
        <f t="shared" ca="1" si="41"/>
        <v>#VALUE!</v>
      </c>
    </row>
    <row r="999" spans="1:7" x14ac:dyDescent="0.25">
      <c r="A999" s="1"/>
      <c r="D999" t="e" cm="1">
        <f t="array" aca="1" ref="D999" ca="1">IF(OR(COUNTIF(damper_names,_xlfn.CONCAT("D_S_",C999))=1, COUNTIF(damper_names,_xlfn.CONCAT("D_E_",C999))=1), "C", "")</f>
        <v>#VALUE!</v>
      </c>
      <c r="E999" t="e">
        <f t="shared" ca="1" si="39"/>
        <v>#VALUE!</v>
      </c>
      <c r="F999" t="e">
        <f t="shared" ca="1" si="40"/>
        <v>#VALUE!</v>
      </c>
      <c r="G999" t="e">
        <f t="shared" ca="1" si="41"/>
        <v>#VALUE!</v>
      </c>
    </row>
    <row r="1000" spans="1:7" x14ac:dyDescent="0.25">
      <c r="A1000" s="1"/>
      <c r="D1000" t="e" cm="1">
        <f t="array" aca="1" ref="D1000" ca="1">IF(OR(COUNTIF(damper_names,_xlfn.CONCAT("D_S_",C1000))=1, COUNTIF(damper_names,_xlfn.CONCAT("D_E_",C1000))=1), "C", "")</f>
        <v>#VALUE!</v>
      </c>
      <c r="E1000" t="e">
        <f t="shared" ca="1" si="39"/>
        <v>#VALUE!</v>
      </c>
      <c r="F1000" t="e">
        <f t="shared" ca="1" si="40"/>
        <v>#VALUE!</v>
      </c>
      <c r="G1000" t="e">
        <f t="shared" ca="1" si="41"/>
        <v>#VALUE!</v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48576" xr:uid="{2ABC91D5-3DE4-4C93-ACC9-517A69A87332}">
      <formula1>property_instance</formula1>
    </dataValidation>
    <dataValidation type="list" allowBlank="1" showInputMessage="1" showErrorMessage="1" sqref="G2:G1048576" xr:uid="{35D25DCA-887C-463D-9655-9917EDCA0718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1CE8D7E2-49D8-46B4-8898-037BA80AA502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25106-EE50-4084-91E6-799FF98F6ABC}">
  <sheetPr codeName="Sheet18"/>
  <dimension ref="A1:B1000"/>
  <sheetViews>
    <sheetView workbookViewId="0">
      <selection activeCell="A2" sqref="A2"/>
    </sheetView>
  </sheetViews>
  <sheetFormatPr defaultColWidth="8.85546875" defaultRowHeight="15" x14ac:dyDescent="0.25"/>
  <cols>
    <col min="1" max="1" width="27.85546875" bestFit="1" customWidth="1"/>
  </cols>
  <sheetData>
    <row r="1" spans="1:2" ht="15.75" thickBot="1" x14ac:dyDescent="0.3">
      <c r="A1" s="6" t="s">
        <v>59</v>
      </c>
      <c r="B1" s="4"/>
    </row>
    <row r="2" spans="1:2" x14ac:dyDescent="0.25">
      <c r="A2" s="1" t="s">
        <v>131</v>
      </c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2" x14ac:dyDescent="0.25">
      <c r="A177" s="1"/>
    </row>
    <row r="178" spans="1:2" x14ac:dyDescent="0.25">
      <c r="A178" s="1"/>
    </row>
    <row r="179" spans="1:2" x14ac:dyDescent="0.25">
      <c r="A179" s="1"/>
      <c r="B179" t="e">
        <f>IF(#REF!="T", 0, IF(#REF!="C", 0, ""))</f>
        <v>#REF!</v>
      </c>
    </row>
    <row r="180" spans="1:2" x14ac:dyDescent="0.25">
      <c r="A180" s="1"/>
      <c r="B180" t="e">
        <f>IF(#REF!="T", 0, IF(#REF!="C", 0, ""))</f>
        <v>#REF!</v>
      </c>
    </row>
    <row r="181" spans="1:2" x14ac:dyDescent="0.25">
      <c r="A181" s="1"/>
      <c r="B181" t="e">
        <f>IF(#REF!="T", 0, IF(#REF!="C", 0, ""))</f>
        <v>#REF!</v>
      </c>
    </row>
    <row r="182" spans="1:2" x14ac:dyDescent="0.25">
      <c r="A182" s="1"/>
      <c r="B182" t="e">
        <f>IF(#REF!="T", 0, IF(#REF!="C", 0, ""))</f>
        <v>#REF!</v>
      </c>
    </row>
    <row r="183" spans="1:2" x14ac:dyDescent="0.25">
      <c r="A183" s="1"/>
      <c r="B183" t="e">
        <f>IF(#REF!="T", 0, IF(#REF!="C", 0, ""))</f>
        <v>#REF!</v>
      </c>
    </row>
    <row r="184" spans="1:2" x14ac:dyDescent="0.25">
      <c r="A184" s="1"/>
      <c r="B184" t="e">
        <f>IF(#REF!="T", 0, IF(#REF!="C", 0, ""))</f>
        <v>#REF!</v>
      </c>
    </row>
    <row r="185" spans="1:2" x14ac:dyDescent="0.25">
      <c r="A185" s="1"/>
      <c r="B185" t="e">
        <f>IF(#REF!="T", 0, IF(#REF!="C", 0, ""))</f>
        <v>#REF!</v>
      </c>
    </row>
    <row r="186" spans="1:2" x14ac:dyDescent="0.25">
      <c r="A186" s="1"/>
      <c r="B186" t="e">
        <f>IF(#REF!="T", 0, IF(#REF!="C", 0, ""))</f>
        <v>#REF!</v>
      </c>
    </row>
    <row r="187" spans="1:2" x14ac:dyDescent="0.25">
      <c r="A187" s="1"/>
      <c r="B187" t="e">
        <f>IF(#REF!="T", 0, IF(#REF!="C", 0, ""))</f>
        <v>#REF!</v>
      </c>
    </row>
    <row r="188" spans="1:2" x14ac:dyDescent="0.25">
      <c r="A188" s="1"/>
      <c r="B188" t="e">
        <f>IF(#REF!="T", 0, IF(#REF!="C", 0, ""))</f>
        <v>#REF!</v>
      </c>
    </row>
    <row r="189" spans="1:2" x14ac:dyDescent="0.25">
      <c r="A189" s="1"/>
      <c r="B189" t="e">
        <f>IF(#REF!="T", 0, IF(#REF!="C", 0, ""))</f>
        <v>#REF!</v>
      </c>
    </row>
    <row r="190" spans="1:2" x14ac:dyDescent="0.25">
      <c r="A190" s="1"/>
      <c r="B190" t="e">
        <f>IF(#REF!="T", 0, IF(#REF!="C", 0, ""))</f>
        <v>#REF!</v>
      </c>
    </row>
    <row r="191" spans="1:2" x14ac:dyDescent="0.25">
      <c r="A191" s="1"/>
      <c r="B191" t="e">
        <f>IF(#REF!="T", 0, IF(#REF!="C", 0, ""))</f>
        <v>#REF!</v>
      </c>
    </row>
    <row r="192" spans="1:2" x14ac:dyDescent="0.25">
      <c r="A192" s="1"/>
      <c r="B192" t="e">
        <f>IF(#REF!="T", 0, IF(#REF!="C", 0, ""))</f>
        <v>#REF!</v>
      </c>
    </row>
    <row r="193" spans="1:2" x14ac:dyDescent="0.25">
      <c r="A193" s="1"/>
      <c r="B193" t="e">
        <f>IF(#REF!="T", 0, IF(#REF!="C", 0, ""))</f>
        <v>#REF!</v>
      </c>
    </row>
    <row r="194" spans="1:2" x14ac:dyDescent="0.25">
      <c r="A194" s="1"/>
      <c r="B194" t="e">
        <f>IF(#REF!="T", 0, IF(#REF!="C", 0, ""))</f>
        <v>#REF!</v>
      </c>
    </row>
    <row r="195" spans="1:2" x14ac:dyDescent="0.25">
      <c r="A195" s="1"/>
      <c r="B195" t="e">
        <f>IF(#REF!="T", 0, IF(#REF!="C", 0, ""))</f>
        <v>#REF!</v>
      </c>
    </row>
    <row r="196" spans="1:2" x14ac:dyDescent="0.25">
      <c r="A196" s="1"/>
      <c r="B196" t="e">
        <f>IF(#REF!="T", 0, IF(#REF!="C", 0, ""))</f>
        <v>#REF!</v>
      </c>
    </row>
    <row r="197" spans="1:2" x14ac:dyDescent="0.25">
      <c r="A197" s="1"/>
      <c r="B197" t="e">
        <f>IF(#REF!="T", 0, IF(#REF!="C", 0, ""))</f>
        <v>#REF!</v>
      </c>
    </row>
    <row r="198" spans="1:2" x14ac:dyDescent="0.25">
      <c r="A198" s="1"/>
      <c r="B198" t="e">
        <f>IF(#REF!="T", 0, IF(#REF!="C", 0, ""))</f>
        <v>#REF!</v>
      </c>
    </row>
    <row r="199" spans="1:2" x14ac:dyDescent="0.25">
      <c r="A199" s="1"/>
      <c r="B199" t="e">
        <f>IF(#REF!="T", 0, IF(#REF!="C", 0, ""))</f>
        <v>#REF!</v>
      </c>
    </row>
    <row r="200" spans="1:2" x14ac:dyDescent="0.25">
      <c r="A200" s="1"/>
      <c r="B200" t="e">
        <f>IF(#REF!="T", 0, IF(#REF!="C", 0, ""))</f>
        <v>#REF!</v>
      </c>
    </row>
    <row r="201" spans="1:2" x14ac:dyDescent="0.25">
      <c r="A201" s="1"/>
      <c r="B201" t="e">
        <f>IF(#REF!="T", 0, IF(#REF!="C", 0, ""))</f>
        <v>#REF!</v>
      </c>
    </row>
    <row r="202" spans="1:2" x14ac:dyDescent="0.25">
      <c r="A202" s="1"/>
      <c r="B202" t="e">
        <f>IF(#REF!="T", 0, IF(#REF!="C", 0, ""))</f>
        <v>#REF!</v>
      </c>
    </row>
    <row r="203" spans="1:2" x14ac:dyDescent="0.25">
      <c r="A203" s="1"/>
      <c r="B203" t="e">
        <f>IF(#REF!="T", 0, IF(#REF!="C", 0, ""))</f>
        <v>#REF!</v>
      </c>
    </row>
    <row r="204" spans="1:2" x14ac:dyDescent="0.25">
      <c r="A204" s="1"/>
      <c r="B204" t="e">
        <f>IF(#REF!="T", 0, IF(#REF!="C", 0, ""))</f>
        <v>#REF!</v>
      </c>
    </row>
    <row r="205" spans="1:2" x14ac:dyDescent="0.25">
      <c r="A205" s="1"/>
      <c r="B205" t="e">
        <f>IF(#REF!="T", 0, IF(#REF!="C", 0, ""))</f>
        <v>#REF!</v>
      </c>
    </row>
    <row r="206" spans="1:2" x14ac:dyDescent="0.25">
      <c r="A206" s="1"/>
      <c r="B206" t="e">
        <f>IF(#REF!="T", 0, IF(#REF!="C", 0, ""))</f>
        <v>#REF!</v>
      </c>
    </row>
    <row r="207" spans="1:2" x14ac:dyDescent="0.25">
      <c r="A207" s="1"/>
      <c r="B207" t="e">
        <f>IF(#REF!="T", 0, IF(#REF!="C", 0, ""))</f>
        <v>#REF!</v>
      </c>
    </row>
    <row r="208" spans="1:2" x14ac:dyDescent="0.25">
      <c r="A208" s="1"/>
      <c r="B208" t="e">
        <f>IF(#REF!="T", 0, IF(#REF!="C", 0, ""))</f>
        <v>#REF!</v>
      </c>
    </row>
    <row r="209" spans="1:2" x14ac:dyDescent="0.25">
      <c r="A209" s="1"/>
      <c r="B209" t="e">
        <f>IF(#REF!="T", 0, IF(#REF!="C", 0, ""))</f>
        <v>#REF!</v>
      </c>
    </row>
    <row r="210" spans="1:2" x14ac:dyDescent="0.25">
      <c r="A210" s="1"/>
      <c r="B210" t="e">
        <f>IF(#REF!="T", 0, IF(#REF!="C", 0, ""))</f>
        <v>#REF!</v>
      </c>
    </row>
    <row r="211" spans="1:2" x14ac:dyDescent="0.25">
      <c r="A211" s="1"/>
      <c r="B211" t="e">
        <f>IF(#REF!="T", 0, IF(#REF!="C", 0, ""))</f>
        <v>#REF!</v>
      </c>
    </row>
    <row r="212" spans="1:2" x14ac:dyDescent="0.25">
      <c r="A212" s="1"/>
      <c r="B212" t="e">
        <f>IF(#REF!="T", 0, IF(#REF!="C", 0, ""))</f>
        <v>#REF!</v>
      </c>
    </row>
    <row r="213" spans="1:2" x14ac:dyDescent="0.25">
      <c r="A213" s="1"/>
      <c r="B213" t="e">
        <f>IF(#REF!="T", 0, IF(#REF!="C", 0, ""))</f>
        <v>#REF!</v>
      </c>
    </row>
    <row r="214" spans="1:2" x14ac:dyDescent="0.25">
      <c r="A214" s="1"/>
      <c r="B214" t="e">
        <f>IF(#REF!="T", 0, IF(#REF!="C", 0, ""))</f>
        <v>#REF!</v>
      </c>
    </row>
    <row r="215" spans="1:2" x14ac:dyDescent="0.25">
      <c r="A215" s="1"/>
      <c r="B215" t="e">
        <f>IF(#REF!="T", 0, IF(#REF!="C", 0, ""))</f>
        <v>#REF!</v>
      </c>
    </row>
    <row r="216" spans="1:2" x14ac:dyDescent="0.25">
      <c r="A216" s="1"/>
      <c r="B216" t="e">
        <f>IF(#REF!="T", 0, IF(#REF!="C", 0, ""))</f>
        <v>#REF!</v>
      </c>
    </row>
    <row r="217" spans="1:2" x14ac:dyDescent="0.25">
      <c r="A217" s="1"/>
      <c r="B217" t="e">
        <f>IF(#REF!="T", 0, IF(#REF!="C", 0, ""))</f>
        <v>#REF!</v>
      </c>
    </row>
    <row r="218" spans="1:2" x14ac:dyDescent="0.25">
      <c r="A218" s="1"/>
      <c r="B218" t="e">
        <f>IF(#REF!="T", 0, IF(#REF!="C", 0, ""))</f>
        <v>#REF!</v>
      </c>
    </row>
    <row r="219" spans="1:2" x14ac:dyDescent="0.25">
      <c r="A219" s="1"/>
      <c r="B219" t="e">
        <f>IF(#REF!="T", 0, IF(#REF!="C", 0, ""))</f>
        <v>#REF!</v>
      </c>
    </row>
    <row r="220" spans="1:2" x14ac:dyDescent="0.25">
      <c r="A220" s="1"/>
      <c r="B220" t="e">
        <f>IF(#REF!="T", 0, IF(#REF!="C", 0, ""))</f>
        <v>#REF!</v>
      </c>
    </row>
    <row r="221" spans="1:2" x14ac:dyDescent="0.25">
      <c r="A221" s="1"/>
      <c r="B221" t="e">
        <f>IF(#REF!="T", 0, IF(#REF!="C", 0, ""))</f>
        <v>#REF!</v>
      </c>
    </row>
    <row r="222" spans="1:2" x14ac:dyDescent="0.25">
      <c r="A222" s="1"/>
      <c r="B222" t="e">
        <f>IF(#REF!="T", 0, IF(#REF!="C", 0, ""))</f>
        <v>#REF!</v>
      </c>
    </row>
    <row r="223" spans="1:2" x14ac:dyDescent="0.25">
      <c r="A223" s="1"/>
      <c r="B223" t="e">
        <f>IF(#REF!="T", 0, IF(#REF!="C", 0, ""))</f>
        <v>#REF!</v>
      </c>
    </row>
    <row r="224" spans="1:2" x14ac:dyDescent="0.25">
      <c r="A224" s="1"/>
      <c r="B224" t="e">
        <f>IF(#REF!="T", 0, IF(#REF!="C", 0, ""))</f>
        <v>#REF!</v>
      </c>
    </row>
    <row r="225" spans="1:2" x14ac:dyDescent="0.25">
      <c r="A225" s="1"/>
      <c r="B225" t="e">
        <f>IF(#REF!="T", 0, IF(#REF!="C", 0, ""))</f>
        <v>#REF!</v>
      </c>
    </row>
    <row r="226" spans="1:2" x14ac:dyDescent="0.25">
      <c r="A226" s="1"/>
      <c r="B226" t="e">
        <f>IF(#REF!="T", 0, IF(#REF!="C", 0, ""))</f>
        <v>#REF!</v>
      </c>
    </row>
    <row r="227" spans="1:2" x14ac:dyDescent="0.25">
      <c r="A227" s="1"/>
      <c r="B227" t="e">
        <f>IF(#REF!="T", 0, IF(#REF!="C", 0, ""))</f>
        <v>#REF!</v>
      </c>
    </row>
    <row r="228" spans="1:2" x14ac:dyDescent="0.25">
      <c r="A228" s="1"/>
      <c r="B228" t="e">
        <f>IF(#REF!="T", 0, IF(#REF!="C", 0, ""))</f>
        <v>#REF!</v>
      </c>
    </row>
    <row r="229" spans="1:2" x14ac:dyDescent="0.25">
      <c r="A229" s="1"/>
      <c r="B229" t="e">
        <f>IF(#REF!="T", 0, IF(#REF!="C", 0, ""))</f>
        <v>#REF!</v>
      </c>
    </row>
    <row r="230" spans="1:2" x14ac:dyDescent="0.25">
      <c r="A230" s="1"/>
      <c r="B230" t="e">
        <f>IF(#REF!="T", 0, IF(#REF!="C", 0, ""))</f>
        <v>#REF!</v>
      </c>
    </row>
    <row r="231" spans="1:2" x14ac:dyDescent="0.25">
      <c r="A231" s="1"/>
      <c r="B231" t="e">
        <f>IF(#REF!="T", 0, IF(#REF!="C", 0, ""))</f>
        <v>#REF!</v>
      </c>
    </row>
    <row r="232" spans="1:2" x14ac:dyDescent="0.25">
      <c r="A232" s="1"/>
      <c r="B232" t="e">
        <f>IF(#REF!="T", 0, IF(#REF!="C", 0, ""))</f>
        <v>#REF!</v>
      </c>
    </row>
    <row r="233" spans="1:2" x14ac:dyDescent="0.25">
      <c r="A233" s="1"/>
      <c r="B233" t="e">
        <f>IF(#REF!="T", 0, IF(#REF!="C", 0, ""))</f>
        <v>#REF!</v>
      </c>
    </row>
    <row r="234" spans="1:2" x14ac:dyDescent="0.25">
      <c r="A234" s="1"/>
      <c r="B234" t="e">
        <f>IF(#REF!="T", 0, IF(#REF!="C", 0, ""))</f>
        <v>#REF!</v>
      </c>
    </row>
    <row r="235" spans="1:2" x14ac:dyDescent="0.25">
      <c r="A235" s="1"/>
      <c r="B235" t="e">
        <f>IF(#REF!="T", 0, IF(#REF!="C", 0, ""))</f>
        <v>#REF!</v>
      </c>
    </row>
    <row r="236" spans="1:2" x14ac:dyDescent="0.25">
      <c r="A236" s="1"/>
      <c r="B236" t="e">
        <f>IF(#REF!="T", 0, IF(#REF!="C", 0, ""))</f>
        <v>#REF!</v>
      </c>
    </row>
    <row r="237" spans="1:2" x14ac:dyDescent="0.25">
      <c r="A237" s="1"/>
      <c r="B237" t="e">
        <f>IF(#REF!="T", 0, IF(#REF!="C", 0, ""))</f>
        <v>#REF!</v>
      </c>
    </row>
    <row r="238" spans="1:2" x14ac:dyDescent="0.25">
      <c r="A238" s="1"/>
      <c r="B238" t="e">
        <f>IF(#REF!="T", 0, IF(#REF!="C", 0, ""))</f>
        <v>#REF!</v>
      </c>
    </row>
    <row r="239" spans="1:2" x14ac:dyDescent="0.25">
      <c r="A239" s="1"/>
      <c r="B239" t="e">
        <f>IF(#REF!="T", 0, IF(#REF!="C", 0, ""))</f>
        <v>#REF!</v>
      </c>
    </row>
    <row r="240" spans="1:2" x14ac:dyDescent="0.25">
      <c r="A240" s="1"/>
      <c r="B240" t="e">
        <f>IF(#REF!="T", 0, IF(#REF!="C", 0, ""))</f>
        <v>#REF!</v>
      </c>
    </row>
    <row r="241" spans="1:2" x14ac:dyDescent="0.25">
      <c r="A241" s="1"/>
      <c r="B241" t="e">
        <f>IF(#REF!="T", 0, IF(#REF!="C", 0, ""))</f>
        <v>#REF!</v>
      </c>
    </row>
    <row r="242" spans="1:2" x14ac:dyDescent="0.25">
      <c r="A242" s="1"/>
      <c r="B242" t="e">
        <f>IF(#REF!="T", 0, IF(#REF!="C", 0, ""))</f>
        <v>#REF!</v>
      </c>
    </row>
    <row r="243" spans="1:2" x14ac:dyDescent="0.25">
      <c r="A243" s="1"/>
      <c r="B243" t="e">
        <f>IF(#REF!="T", 0, IF(#REF!="C", 0, ""))</f>
        <v>#REF!</v>
      </c>
    </row>
    <row r="244" spans="1:2" x14ac:dyDescent="0.25">
      <c r="A244" s="1"/>
      <c r="B244" t="e">
        <f>IF(#REF!="T", 0, IF(#REF!="C", 0, ""))</f>
        <v>#REF!</v>
      </c>
    </row>
    <row r="245" spans="1:2" x14ac:dyDescent="0.25">
      <c r="A245" s="1"/>
      <c r="B245" t="e">
        <f>IF(#REF!="T", 0, IF(#REF!="C", 0, ""))</f>
        <v>#REF!</v>
      </c>
    </row>
    <row r="246" spans="1:2" x14ac:dyDescent="0.25">
      <c r="A246" s="1"/>
      <c r="B246" t="e">
        <f>IF(#REF!="T", 0, IF(#REF!="C", 0, ""))</f>
        <v>#REF!</v>
      </c>
    </row>
    <row r="247" spans="1:2" x14ac:dyDescent="0.25">
      <c r="A247" s="1"/>
      <c r="B247" t="e">
        <f>IF(#REF!="T", 0, IF(#REF!="C", 0, ""))</f>
        <v>#REF!</v>
      </c>
    </row>
    <row r="248" spans="1:2" x14ac:dyDescent="0.25">
      <c r="A248" s="1"/>
      <c r="B248" t="e">
        <f>IF(#REF!="T", 0, IF(#REF!="C", 0, ""))</f>
        <v>#REF!</v>
      </c>
    </row>
    <row r="249" spans="1:2" x14ac:dyDescent="0.25">
      <c r="A249" s="1"/>
      <c r="B249" t="e">
        <f>IF(#REF!="T", 0, IF(#REF!="C", 0, ""))</f>
        <v>#REF!</v>
      </c>
    </row>
    <row r="250" spans="1:2" x14ac:dyDescent="0.25">
      <c r="A250" s="1"/>
      <c r="B250" t="e">
        <f>IF(#REF!="T", 0, IF(#REF!="C", 0, ""))</f>
        <v>#REF!</v>
      </c>
    </row>
    <row r="251" spans="1:2" x14ac:dyDescent="0.25">
      <c r="A251" s="1"/>
      <c r="B251" t="e">
        <f>IF(#REF!="T", 0, IF(#REF!="C", 0, ""))</f>
        <v>#REF!</v>
      </c>
    </row>
    <row r="252" spans="1:2" x14ac:dyDescent="0.25">
      <c r="A252" s="1"/>
      <c r="B252" t="e">
        <f>IF(#REF!="T", 0, IF(#REF!="C", 0, ""))</f>
        <v>#REF!</v>
      </c>
    </row>
    <row r="253" spans="1:2" x14ac:dyDescent="0.25">
      <c r="A253" s="1"/>
      <c r="B253" t="e">
        <f>IF(#REF!="T", 0, IF(#REF!="C", 0, ""))</f>
        <v>#REF!</v>
      </c>
    </row>
    <row r="254" spans="1:2" x14ac:dyDescent="0.25">
      <c r="A254" s="1"/>
      <c r="B254" t="e">
        <f>IF(#REF!="T", 0, IF(#REF!="C", 0, ""))</f>
        <v>#REF!</v>
      </c>
    </row>
    <row r="255" spans="1:2" x14ac:dyDescent="0.25">
      <c r="A255" s="1"/>
      <c r="B255" t="e">
        <f>IF(#REF!="T", 0, IF(#REF!="C", 0, ""))</f>
        <v>#REF!</v>
      </c>
    </row>
    <row r="256" spans="1:2" x14ac:dyDescent="0.25">
      <c r="A256" s="1"/>
      <c r="B256" t="e">
        <f>IF(#REF!="T", 0, IF(#REF!="C", 0, ""))</f>
        <v>#REF!</v>
      </c>
    </row>
    <row r="257" spans="1:2" x14ac:dyDescent="0.25">
      <c r="A257" s="1"/>
      <c r="B257" t="e">
        <f>IF(#REF!="T", 0, IF(#REF!="C", 0, ""))</f>
        <v>#REF!</v>
      </c>
    </row>
    <row r="258" spans="1:2" x14ac:dyDescent="0.25">
      <c r="A258" s="1"/>
      <c r="B258" t="e">
        <f>IF(#REF!="T", 0, IF(#REF!="C", 0, ""))</f>
        <v>#REF!</v>
      </c>
    </row>
    <row r="259" spans="1:2" x14ac:dyDescent="0.25">
      <c r="A259" s="1"/>
      <c r="B259" t="e">
        <f>IF(#REF!="T", 0, IF(#REF!="C", 0, ""))</f>
        <v>#REF!</v>
      </c>
    </row>
    <row r="260" spans="1:2" x14ac:dyDescent="0.25">
      <c r="A260" s="1"/>
      <c r="B260" t="e">
        <f>IF(#REF!="T", 0, IF(#REF!="C", 0, ""))</f>
        <v>#REF!</v>
      </c>
    </row>
    <row r="261" spans="1:2" x14ac:dyDescent="0.25">
      <c r="A261" s="1"/>
      <c r="B261" t="e">
        <f>IF(#REF!="T", 0, IF(#REF!="C", 0, ""))</f>
        <v>#REF!</v>
      </c>
    </row>
    <row r="262" spans="1:2" x14ac:dyDescent="0.25">
      <c r="A262" s="1"/>
      <c r="B262" t="e">
        <f>IF(#REF!="T", 0, IF(#REF!="C", 0, ""))</f>
        <v>#REF!</v>
      </c>
    </row>
    <row r="263" spans="1:2" x14ac:dyDescent="0.25">
      <c r="A263" s="1"/>
      <c r="B263" t="e">
        <f>IF(#REF!="T", 0, IF(#REF!="C", 0, ""))</f>
        <v>#REF!</v>
      </c>
    </row>
    <row r="264" spans="1:2" x14ac:dyDescent="0.25">
      <c r="A264" s="1"/>
      <c r="B264" t="e">
        <f>IF(#REF!="T", 0, IF(#REF!="C", 0, ""))</f>
        <v>#REF!</v>
      </c>
    </row>
    <row r="265" spans="1:2" x14ac:dyDescent="0.25">
      <c r="A265" s="1"/>
      <c r="B265" t="e">
        <f>IF(#REF!="T", 0, IF(#REF!="C", 0, ""))</f>
        <v>#REF!</v>
      </c>
    </row>
    <row r="266" spans="1:2" x14ac:dyDescent="0.25">
      <c r="A266" s="1"/>
      <c r="B266" t="e">
        <f>IF(#REF!="T", 0, IF(#REF!="C", 0, ""))</f>
        <v>#REF!</v>
      </c>
    </row>
    <row r="267" spans="1:2" x14ac:dyDescent="0.25">
      <c r="A267" s="1"/>
      <c r="B267" t="e">
        <f>IF(#REF!="T", 0, IF(#REF!="C", 0, ""))</f>
        <v>#REF!</v>
      </c>
    </row>
    <row r="268" spans="1:2" x14ac:dyDescent="0.25">
      <c r="A268" s="1"/>
      <c r="B268" t="e">
        <f>IF(#REF!="T", 0, IF(#REF!="C", 0, ""))</f>
        <v>#REF!</v>
      </c>
    </row>
    <row r="269" spans="1:2" x14ac:dyDescent="0.25">
      <c r="A269" s="1"/>
      <c r="B269" t="e">
        <f>IF(#REF!="T", 0, IF(#REF!="C", 0, ""))</f>
        <v>#REF!</v>
      </c>
    </row>
    <row r="270" spans="1:2" x14ac:dyDescent="0.25">
      <c r="A270" s="1"/>
      <c r="B270" t="e">
        <f>IF(#REF!="T", 0, IF(#REF!="C", 0, ""))</f>
        <v>#REF!</v>
      </c>
    </row>
    <row r="271" spans="1:2" x14ac:dyDescent="0.25">
      <c r="A271" s="1"/>
      <c r="B271" t="e">
        <f>IF(#REF!="T", 0, IF(#REF!="C", 0, ""))</f>
        <v>#REF!</v>
      </c>
    </row>
    <row r="272" spans="1:2" x14ac:dyDescent="0.25">
      <c r="A272" s="1"/>
      <c r="B272" t="e">
        <f>IF(#REF!="T", 0, IF(#REF!="C", 0, ""))</f>
        <v>#REF!</v>
      </c>
    </row>
    <row r="273" spans="1:2" x14ac:dyDescent="0.25">
      <c r="A273" s="1"/>
      <c r="B273" t="e">
        <f>IF(#REF!="T", 0, IF(#REF!="C", 0, ""))</f>
        <v>#REF!</v>
      </c>
    </row>
    <row r="274" spans="1:2" x14ac:dyDescent="0.25">
      <c r="A274" s="1"/>
      <c r="B274" t="e">
        <f>IF(#REF!="T", 0, IF(#REF!="C", 0, ""))</f>
        <v>#REF!</v>
      </c>
    </row>
    <row r="275" spans="1:2" x14ac:dyDescent="0.25">
      <c r="A275" s="1"/>
      <c r="B275" t="e">
        <f>IF(#REF!="T", 0, IF(#REF!="C", 0, ""))</f>
        <v>#REF!</v>
      </c>
    </row>
    <row r="276" spans="1:2" x14ac:dyDescent="0.25">
      <c r="A276" s="1"/>
      <c r="B276" t="e">
        <f>IF(#REF!="T", 0, IF(#REF!="C", 0, ""))</f>
        <v>#REF!</v>
      </c>
    </row>
    <row r="277" spans="1:2" x14ac:dyDescent="0.25">
      <c r="A277" s="1"/>
      <c r="B277" t="e">
        <f>IF(#REF!="T", 0, IF(#REF!="C", 0, ""))</f>
        <v>#REF!</v>
      </c>
    </row>
    <row r="278" spans="1:2" x14ac:dyDescent="0.25">
      <c r="A278" s="1"/>
      <c r="B278" t="e">
        <f>IF(#REF!="T", 0, IF(#REF!="C", 0, ""))</f>
        <v>#REF!</v>
      </c>
    </row>
    <row r="279" spans="1:2" x14ac:dyDescent="0.25">
      <c r="A279" s="1"/>
      <c r="B279" t="e">
        <f>IF(#REF!="T", 0, IF(#REF!="C", 0, ""))</f>
        <v>#REF!</v>
      </c>
    </row>
    <row r="280" spans="1:2" x14ac:dyDescent="0.25">
      <c r="A280" s="1"/>
      <c r="B280" t="e">
        <f>IF(#REF!="T", 0, IF(#REF!="C", 0, ""))</f>
        <v>#REF!</v>
      </c>
    </row>
    <row r="281" spans="1:2" x14ac:dyDescent="0.25">
      <c r="A281" s="1"/>
      <c r="B281" t="e">
        <f>IF(#REF!="T", 0, IF(#REF!="C", 0, ""))</f>
        <v>#REF!</v>
      </c>
    </row>
    <row r="282" spans="1:2" x14ac:dyDescent="0.25">
      <c r="A282" s="1"/>
      <c r="B282" t="e">
        <f>IF(#REF!="T", 0, IF(#REF!="C", 0, ""))</f>
        <v>#REF!</v>
      </c>
    </row>
    <row r="283" spans="1:2" x14ac:dyDescent="0.25">
      <c r="A283" s="1"/>
      <c r="B283" t="e">
        <f>IF(#REF!="T", 0, IF(#REF!="C", 0, ""))</f>
        <v>#REF!</v>
      </c>
    </row>
    <row r="284" spans="1:2" x14ac:dyDescent="0.25">
      <c r="A284" s="1"/>
      <c r="B284" t="e">
        <f>IF(#REF!="T", 0, IF(#REF!="C", 0, ""))</f>
        <v>#REF!</v>
      </c>
    </row>
    <row r="285" spans="1:2" x14ac:dyDescent="0.25">
      <c r="A285" s="1"/>
      <c r="B285" t="e">
        <f>IF(#REF!="T", 0, IF(#REF!="C", 0, ""))</f>
        <v>#REF!</v>
      </c>
    </row>
    <row r="286" spans="1:2" x14ac:dyDescent="0.25">
      <c r="A286" s="1"/>
      <c r="B286" t="e">
        <f>IF(#REF!="T", 0, IF(#REF!="C", 0, ""))</f>
        <v>#REF!</v>
      </c>
    </row>
    <row r="287" spans="1:2" x14ac:dyDescent="0.25">
      <c r="A287" s="1"/>
      <c r="B287" t="e">
        <f>IF(#REF!="T", 0, IF(#REF!="C", 0, ""))</f>
        <v>#REF!</v>
      </c>
    </row>
    <row r="288" spans="1:2" x14ac:dyDescent="0.25">
      <c r="A288" s="1"/>
      <c r="B288" t="e">
        <f>IF(#REF!="T", 0, IF(#REF!="C", 0, ""))</f>
        <v>#REF!</v>
      </c>
    </row>
    <row r="289" spans="1:2" x14ac:dyDescent="0.25">
      <c r="A289" s="1"/>
      <c r="B289" t="e">
        <f>IF(#REF!="T", 0, IF(#REF!="C", 0, ""))</f>
        <v>#REF!</v>
      </c>
    </row>
    <row r="290" spans="1:2" x14ac:dyDescent="0.25">
      <c r="A290" s="1"/>
      <c r="B290" t="e">
        <f>IF(#REF!="T", 0, IF(#REF!="C", 0, ""))</f>
        <v>#REF!</v>
      </c>
    </row>
    <row r="291" spans="1:2" x14ac:dyDescent="0.25">
      <c r="A291" s="1"/>
      <c r="B291" t="e">
        <f>IF(#REF!="T", 0, IF(#REF!="C", 0, ""))</f>
        <v>#REF!</v>
      </c>
    </row>
    <row r="292" spans="1:2" x14ac:dyDescent="0.25">
      <c r="A292" s="1"/>
      <c r="B292" t="e">
        <f>IF(#REF!="T", 0, IF(#REF!="C", 0, ""))</f>
        <v>#REF!</v>
      </c>
    </row>
    <row r="293" spans="1:2" x14ac:dyDescent="0.25">
      <c r="A293" s="1"/>
      <c r="B293" t="e">
        <f>IF(#REF!="T", 0, IF(#REF!="C", 0, ""))</f>
        <v>#REF!</v>
      </c>
    </row>
    <row r="294" spans="1:2" x14ac:dyDescent="0.25">
      <c r="A294" s="1"/>
      <c r="B294" t="e">
        <f>IF(#REF!="T", 0, IF(#REF!="C", 0, ""))</f>
        <v>#REF!</v>
      </c>
    </row>
    <row r="295" spans="1:2" x14ac:dyDescent="0.25">
      <c r="A295" s="1"/>
      <c r="B295" t="e">
        <f>IF(#REF!="T", 0, IF(#REF!="C", 0, ""))</f>
        <v>#REF!</v>
      </c>
    </row>
    <row r="296" spans="1:2" x14ac:dyDescent="0.25">
      <c r="A296" s="1"/>
      <c r="B296" t="e">
        <f>IF(#REF!="T", 0, IF(#REF!="C", 0, ""))</f>
        <v>#REF!</v>
      </c>
    </row>
    <row r="297" spans="1:2" x14ac:dyDescent="0.25">
      <c r="A297" s="1"/>
      <c r="B297" t="e">
        <f>IF(#REF!="T", 0, IF(#REF!="C", 0, ""))</f>
        <v>#REF!</v>
      </c>
    </row>
    <row r="298" spans="1:2" x14ac:dyDescent="0.25">
      <c r="A298" s="1"/>
      <c r="B298" t="e">
        <f>IF(#REF!="T", 0, IF(#REF!="C", 0, ""))</f>
        <v>#REF!</v>
      </c>
    </row>
    <row r="299" spans="1:2" x14ac:dyDescent="0.25">
      <c r="A299" s="1"/>
      <c r="B299" t="e">
        <f>IF(#REF!="T", 0, IF(#REF!="C", 0, ""))</f>
        <v>#REF!</v>
      </c>
    </row>
    <row r="300" spans="1:2" x14ac:dyDescent="0.25">
      <c r="A300" s="1"/>
      <c r="B300" t="e">
        <f>IF(#REF!="T", 0, IF(#REF!="C", 0, ""))</f>
        <v>#REF!</v>
      </c>
    </row>
    <row r="301" spans="1:2" x14ac:dyDescent="0.25">
      <c r="A301" s="1"/>
      <c r="B301" t="e">
        <f>IF(#REF!="T", 0, IF(#REF!="C", 0, ""))</f>
        <v>#REF!</v>
      </c>
    </row>
    <row r="302" spans="1:2" x14ac:dyDescent="0.25">
      <c r="A302" s="1"/>
      <c r="B302" t="e">
        <f>IF(#REF!="T", 0, IF(#REF!="C", 0, ""))</f>
        <v>#REF!</v>
      </c>
    </row>
    <row r="303" spans="1:2" x14ac:dyDescent="0.25">
      <c r="A303" s="1"/>
      <c r="B303" t="e">
        <f>IF(#REF!="T", 0, IF(#REF!="C", 0, ""))</f>
        <v>#REF!</v>
      </c>
    </row>
    <row r="304" spans="1:2" x14ac:dyDescent="0.25">
      <c r="A304" s="1"/>
      <c r="B304" t="e">
        <f>IF(#REF!="T", 0, IF(#REF!="C", 0, ""))</f>
        <v>#REF!</v>
      </c>
    </row>
    <row r="305" spans="1:2" x14ac:dyDescent="0.25">
      <c r="A305" s="1"/>
      <c r="B305" t="e">
        <f>IF(#REF!="T", 0, IF(#REF!="C", 0, ""))</f>
        <v>#REF!</v>
      </c>
    </row>
    <row r="306" spans="1:2" x14ac:dyDescent="0.25">
      <c r="A306" s="1"/>
      <c r="B306" t="e">
        <f>IF(#REF!="T", 0, IF(#REF!="C", 0, ""))</f>
        <v>#REF!</v>
      </c>
    </row>
    <row r="307" spans="1:2" x14ac:dyDescent="0.25">
      <c r="A307" s="1"/>
      <c r="B307" t="e">
        <f>IF(#REF!="T", 0, IF(#REF!="C", 0, ""))</f>
        <v>#REF!</v>
      </c>
    </row>
    <row r="308" spans="1:2" x14ac:dyDescent="0.25">
      <c r="A308" s="1"/>
      <c r="B308" t="e">
        <f>IF(#REF!="T", 0, IF(#REF!="C", 0, ""))</f>
        <v>#REF!</v>
      </c>
    </row>
    <row r="309" spans="1:2" x14ac:dyDescent="0.25">
      <c r="A309" s="1"/>
      <c r="B309" t="e">
        <f>IF(#REF!="T", 0, IF(#REF!="C", 0, ""))</f>
        <v>#REF!</v>
      </c>
    </row>
    <row r="310" spans="1:2" x14ac:dyDescent="0.25">
      <c r="A310" s="1"/>
      <c r="B310" t="e">
        <f>IF(#REF!="T", 0, IF(#REF!="C", 0, ""))</f>
        <v>#REF!</v>
      </c>
    </row>
    <row r="311" spans="1:2" x14ac:dyDescent="0.25">
      <c r="A311" s="1"/>
      <c r="B311" t="e">
        <f>IF(#REF!="T", 0, IF(#REF!="C", 0, ""))</f>
        <v>#REF!</v>
      </c>
    </row>
    <row r="312" spans="1:2" x14ac:dyDescent="0.25">
      <c r="A312" s="1"/>
      <c r="B312" t="e">
        <f>IF(#REF!="T", 0, IF(#REF!="C", 0, ""))</f>
        <v>#REF!</v>
      </c>
    </row>
    <row r="313" spans="1:2" x14ac:dyDescent="0.25">
      <c r="A313" s="1"/>
      <c r="B313" t="e">
        <f>IF(#REF!="T", 0, IF(#REF!="C", 0, ""))</f>
        <v>#REF!</v>
      </c>
    </row>
    <row r="314" spans="1:2" x14ac:dyDescent="0.25">
      <c r="A314" s="1"/>
      <c r="B314" t="e">
        <f>IF(#REF!="T", 0, IF(#REF!="C", 0, ""))</f>
        <v>#REF!</v>
      </c>
    </row>
    <row r="315" spans="1:2" x14ac:dyDescent="0.25">
      <c r="A315" s="1"/>
      <c r="B315" t="e">
        <f>IF(#REF!="T", 0, IF(#REF!="C", 0, ""))</f>
        <v>#REF!</v>
      </c>
    </row>
    <row r="316" spans="1:2" x14ac:dyDescent="0.25">
      <c r="A316" s="1"/>
      <c r="B316" t="e">
        <f>IF(#REF!="T", 0, IF(#REF!="C", 0, ""))</f>
        <v>#REF!</v>
      </c>
    </row>
    <row r="317" spans="1:2" x14ac:dyDescent="0.25">
      <c r="A317" s="1"/>
      <c r="B317" t="e">
        <f>IF(#REF!="T", 0, IF(#REF!="C", 0, ""))</f>
        <v>#REF!</v>
      </c>
    </row>
    <row r="318" spans="1:2" x14ac:dyDescent="0.25">
      <c r="A318" s="1"/>
      <c r="B318" t="e">
        <f>IF(#REF!="T", 0, IF(#REF!="C", 0, ""))</f>
        <v>#REF!</v>
      </c>
    </row>
    <row r="319" spans="1:2" x14ac:dyDescent="0.25">
      <c r="A319" s="1"/>
      <c r="B319" t="e">
        <f>IF(#REF!="T", 0, IF(#REF!="C", 0, ""))</f>
        <v>#REF!</v>
      </c>
    </row>
    <row r="320" spans="1:2" x14ac:dyDescent="0.25">
      <c r="A320" s="1"/>
      <c r="B320" t="e">
        <f>IF(#REF!="T", 0, IF(#REF!="C", 0, ""))</f>
        <v>#REF!</v>
      </c>
    </row>
    <row r="321" spans="1:2" x14ac:dyDescent="0.25">
      <c r="A321" s="1"/>
      <c r="B321" t="e">
        <f>IF(#REF!="T", 0, IF(#REF!="C", 0, ""))</f>
        <v>#REF!</v>
      </c>
    </row>
    <row r="322" spans="1:2" x14ac:dyDescent="0.25">
      <c r="A322" s="1"/>
      <c r="B322" t="e">
        <f>IF(#REF!="T", 0, IF(#REF!="C", 0, ""))</f>
        <v>#REF!</v>
      </c>
    </row>
    <row r="323" spans="1:2" x14ac:dyDescent="0.25">
      <c r="A323" s="1"/>
      <c r="B323" t="e">
        <f>IF(#REF!="T", 0, IF(#REF!="C", 0, ""))</f>
        <v>#REF!</v>
      </c>
    </row>
    <row r="324" spans="1:2" x14ac:dyDescent="0.25">
      <c r="A324" s="1"/>
      <c r="B324" t="e">
        <f>IF(#REF!="T", 0, IF(#REF!="C", 0, ""))</f>
        <v>#REF!</v>
      </c>
    </row>
    <row r="325" spans="1:2" x14ac:dyDescent="0.25">
      <c r="A325" s="1"/>
      <c r="B325" t="e">
        <f>IF(#REF!="T", 0, IF(#REF!="C", 0, ""))</f>
        <v>#REF!</v>
      </c>
    </row>
    <row r="326" spans="1:2" x14ac:dyDescent="0.25">
      <c r="A326" s="1"/>
      <c r="B326" t="e">
        <f>IF(#REF!="T", 0, IF(#REF!="C", 0, ""))</f>
        <v>#REF!</v>
      </c>
    </row>
    <row r="327" spans="1:2" x14ac:dyDescent="0.25">
      <c r="A327" s="1"/>
      <c r="B327" t="e">
        <f>IF(#REF!="T", 0, IF(#REF!="C", 0, ""))</f>
        <v>#REF!</v>
      </c>
    </row>
    <row r="328" spans="1:2" x14ac:dyDescent="0.25">
      <c r="A328" s="1"/>
      <c r="B328" t="e">
        <f>IF(#REF!="T", 0, IF(#REF!="C", 0, ""))</f>
        <v>#REF!</v>
      </c>
    </row>
    <row r="329" spans="1:2" x14ac:dyDescent="0.25">
      <c r="A329" s="1"/>
      <c r="B329" t="e">
        <f>IF(#REF!="T", 0, IF(#REF!="C", 0, ""))</f>
        <v>#REF!</v>
      </c>
    </row>
    <row r="330" spans="1:2" x14ac:dyDescent="0.25">
      <c r="A330" s="1"/>
      <c r="B330" t="e">
        <f>IF(#REF!="T", 0, IF(#REF!="C", 0, ""))</f>
        <v>#REF!</v>
      </c>
    </row>
    <row r="331" spans="1:2" x14ac:dyDescent="0.25">
      <c r="A331" s="1"/>
      <c r="B331" t="e">
        <f>IF(#REF!="T", 0, IF(#REF!="C", 0, ""))</f>
        <v>#REF!</v>
      </c>
    </row>
    <row r="332" spans="1:2" x14ac:dyDescent="0.25">
      <c r="A332" s="1"/>
      <c r="B332" t="e">
        <f>IF(#REF!="T", 0, IF(#REF!="C", 0, ""))</f>
        <v>#REF!</v>
      </c>
    </row>
    <row r="333" spans="1:2" x14ac:dyDescent="0.25">
      <c r="A333" s="1"/>
      <c r="B333" t="e">
        <f>IF(#REF!="T", 0, IF(#REF!="C", 0, ""))</f>
        <v>#REF!</v>
      </c>
    </row>
    <row r="334" spans="1:2" x14ac:dyDescent="0.25">
      <c r="A334" s="1"/>
      <c r="B334" t="e">
        <f>IF(#REF!="T", 0, IF(#REF!="C", 0, ""))</f>
        <v>#REF!</v>
      </c>
    </row>
    <row r="335" spans="1:2" x14ac:dyDescent="0.25">
      <c r="A335" s="1"/>
      <c r="B335" t="e">
        <f>IF(#REF!="T", 0, IF(#REF!="C", 0, ""))</f>
        <v>#REF!</v>
      </c>
    </row>
    <row r="336" spans="1:2" x14ac:dyDescent="0.25">
      <c r="A336" s="1"/>
      <c r="B336" t="e">
        <f>IF(#REF!="T", 0, IF(#REF!="C", 0, ""))</f>
        <v>#REF!</v>
      </c>
    </row>
    <row r="337" spans="1:2" x14ac:dyDescent="0.25">
      <c r="A337" s="1"/>
      <c r="B337" t="e">
        <f>IF(#REF!="T", 0, IF(#REF!="C", 0, ""))</f>
        <v>#REF!</v>
      </c>
    </row>
    <row r="338" spans="1:2" x14ac:dyDescent="0.25">
      <c r="A338" s="1"/>
      <c r="B338" t="e">
        <f>IF(#REF!="T", 0, IF(#REF!="C", 0, ""))</f>
        <v>#REF!</v>
      </c>
    </row>
    <row r="339" spans="1:2" x14ac:dyDescent="0.25">
      <c r="A339" s="1"/>
      <c r="B339" t="e">
        <f>IF(#REF!="T", 0, IF(#REF!="C", 0, ""))</f>
        <v>#REF!</v>
      </c>
    </row>
    <row r="340" spans="1:2" x14ac:dyDescent="0.25">
      <c r="A340" s="1"/>
      <c r="B340" t="e">
        <f>IF(#REF!="T", 0, IF(#REF!="C", 0, ""))</f>
        <v>#REF!</v>
      </c>
    </row>
    <row r="341" spans="1:2" x14ac:dyDescent="0.25">
      <c r="A341" s="1"/>
      <c r="B341" t="e">
        <f>IF(#REF!="T", 0, IF(#REF!="C", 0, ""))</f>
        <v>#REF!</v>
      </c>
    </row>
    <row r="342" spans="1:2" x14ac:dyDescent="0.25">
      <c r="A342" s="1"/>
      <c r="B342" t="e">
        <f>IF(#REF!="T", 0, IF(#REF!="C", 0, ""))</f>
        <v>#REF!</v>
      </c>
    </row>
    <row r="343" spans="1:2" x14ac:dyDescent="0.25">
      <c r="A343" s="1"/>
      <c r="B343" t="e">
        <f>IF(#REF!="T", 0, IF(#REF!="C", 0, ""))</f>
        <v>#REF!</v>
      </c>
    </row>
    <row r="344" spans="1:2" x14ac:dyDescent="0.25">
      <c r="A344" s="1"/>
      <c r="B344" t="e">
        <f>IF(#REF!="T", 0, IF(#REF!="C", 0, ""))</f>
        <v>#REF!</v>
      </c>
    </row>
    <row r="345" spans="1:2" x14ac:dyDescent="0.25">
      <c r="A345" s="1"/>
      <c r="B345" t="e">
        <f>IF(#REF!="T", 0, IF(#REF!="C", 0, ""))</f>
        <v>#REF!</v>
      </c>
    </row>
    <row r="346" spans="1:2" x14ac:dyDescent="0.25">
      <c r="A346" s="1"/>
      <c r="B346" t="e">
        <f>IF(#REF!="T", 0, IF(#REF!="C", 0, ""))</f>
        <v>#REF!</v>
      </c>
    </row>
    <row r="347" spans="1:2" x14ac:dyDescent="0.25">
      <c r="A347" s="1"/>
      <c r="B347" t="e">
        <f>IF(#REF!="T", 0, IF(#REF!="C", 0, ""))</f>
        <v>#REF!</v>
      </c>
    </row>
    <row r="348" spans="1:2" x14ac:dyDescent="0.25">
      <c r="A348" s="1"/>
      <c r="B348" t="e">
        <f>IF(#REF!="T", 0, IF(#REF!="C", 0, ""))</f>
        <v>#REF!</v>
      </c>
    </row>
    <row r="349" spans="1:2" x14ac:dyDescent="0.25">
      <c r="A349" s="1"/>
      <c r="B349" t="e">
        <f>IF(#REF!="T", 0, IF(#REF!="C", 0, ""))</f>
        <v>#REF!</v>
      </c>
    </row>
    <row r="350" spans="1:2" x14ac:dyDescent="0.25">
      <c r="A350" s="1"/>
      <c r="B350" t="e">
        <f>IF(#REF!="T", 0, IF(#REF!="C", 0, ""))</f>
        <v>#REF!</v>
      </c>
    </row>
    <row r="351" spans="1:2" x14ac:dyDescent="0.25">
      <c r="A351" s="1"/>
      <c r="B351" t="e">
        <f>IF(#REF!="T", 0, IF(#REF!="C", 0, ""))</f>
        <v>#REF!</v>
      </c>
    </row>
    <row r="352" spans="1:2" x14ac:dyDescent="0.25">
      <c r="A352" s="1"/>
      <c r="B352" t="e">
        <f>IF(#REF!="T", 0, IF(#REF!="C", 0, ""))</f>
        <v>#REF!</v>
      </c>
    </row>
    <row r="353" spans="1:2" x14ac:dyDescent="0.25">
      <c r="A353" s="1"/>
      <c r="B353" t="e">
        <f>IF(#REF!="T", 0, IF(#REF!="C", 0, ""))</f>
        <v>#REF!</v>
      </c>
    </row>
    <row r="354" spans="1:2" x14ac:dyDescent="0.25">
      <c r="A354" s="1"/>
      <c r="B354" t="e">
        <f>IF(#REF!="T", 0, IF(#REF!="C", 0, ""))</f>
        <v>#REF!</v>
      </c>
    </row>
    <row r="355" spans="1:2" x14ac:dyDescent="0.25">
      <c r="A355" s="1"/>
      <c r="B355" t="e">
        <f>IF(#REF!="T", 0, IF(#REF!="C", 0, ""))</f>
        <v>#REF!</v>
      </c>
    </row>
    <row r="356" spans="1:2" x14ac:dyDescent="0.25">
      <c r="A356" s="1"/>
      <c r="B356" t="e">
        <f>IF(#REF!="T", 0, IF(#REF!="C", 0, ""))</f>
        <v>#REF!</v>
      </c>
    </row>
    <row r="357" spans="1:2" x14ac:dyDescent="0.25">
      <c r="A357" s="1"/>
      <c r="B357" t="e">
        <f>IF(#REF!="T", 0, IF(#REF!="C", 0, ""))</f>
        <v>#REF!</v>
      </c>
    </row>
    <row r="358" spans="1:2" x14ac:dyDescent="0.25">
      <c r="A358" s="1"/>
      <c r="B358" t="e">
        <f>IF(#REF!="T", 0, IF(#REF!="C", 0, ""))</f>
        <v>#REF!</v>
      </c>
    </row>
    <row r="359" spans="1:2" x14ac:dyDescent="0.25">
      <c r="A359" s="1"/>
      <c r="B359" t="e">
        <f>IF(#REF!="T", 0, IF(#REF!="C", 0, ""))</f>
        <v>#REF!</v>
      </c>
    </row>
    <row r="360" spans="1:2" x14ac:dyDescent="0.25">
      <c r="A360" s="1"/>
      <c r="B360" t="e">
        <f>IF(#REF!="T", 0, IF(#REF!="C", 0, ""))</f>
        <v>#REF!</v>
      </c>
    </row>
    <row r="361" spans="1:2" x14ac:dyDescent="0.25">
      <c r="A361" s="1"/>
      <c r="B361" t="e">
        <f>IF(#REF!="T", 0, IF(#REF!="C", 0, ""))</f>
        <v>#REF!</v>
      </c>
    </row>
    <row r="362" spans="1:2" x14ac:dyDescent="0.25">
      <c r="A362" s="1"/>
      <c r="B362" t="e">
        <f>IF(#REF!="T", 0, IF(#REF!="C", 0, ""))</f>
        <v>#REF!</v>
      </c>
    </row>
    <row r="363" spans="1:2" x14ac:dyDescent="0.25">
      <c r="A363" s="1"/>
      <c r="B363" t="e">
        <f>IF(#REF!="T", 0, IF(#REF!="C", 0, ""))</f>
        <v>#REF!</v>
      </c>
    </row>
    <row r="364" spans="1:2" x14ac:dyDescent="0.25">
      <c r="A364" s="1"/>
      <c r="B364" t="e">
        <f>IF(#REF!="T", 0, IF(#REF!="C", 0, ""))</f>
        <v>#REF!</v>
      </c>
    </row>
    <row r="365" spans="1:2" x14ac:dyDescent="0.25">
      <c r="A365" s="1"/>
      <c r="B365" t="e">
        <f>IF(#REF!="T", 0, IF(#REF!="C", 0, ""))</f>
        <v>#REF!</v>
      </c>
    </row>
    <row r="366" spans="1:2" x14ac:dyDescent="0.25">
      <c r="A366" s="1"/>
      <c r="B366" t="e">
        <f>IF(#REF!="T", 0, IF(#REF!="C", 0, ""))</f>
        <v>#REF!</v>
      </c>
    </row>
    <row r="367" spans="1:2" x14ac:dyDescent="0.25">
      <c r="A367" s="1"/>
      <c r="B367" t="e">
        <f>IF(#REF!="T", 0, IF(#REF!="C", 0, ""))</f>
        <v>#REF!</v>
      </c>
    </row>
    <row r="368" spans="1:2" x14ac:dyDescent="0.25">
      <c r="A368" s="1"/>
      <c r="B368" t="e">
        <f>IF(#REF!="T", 0, IF(#REF!="C", 0, ""))</f>
        <v>#REF!</v>
      </c>
    </row>
    <row r="369" spans="1:2" x14ac:dyDescent="0.25">
      <c r="A369" s="1"/>
      <c r="B369" t="e">
        <f>IF(#REF!="T", 0, IF(#REF!="C", 0, ""))</f>
        <v>#REF!</v>
      </c>
    </row>
    <row r="370" spans="1:2" x14ac:dyDescent="0.25">
      <c r="A370" s="1"/>
      <c r="B370" t="e">
        <f>IF(#REF!="T", 0, IF(#REF!="C", 0, ""))</f>
        <v>#REF!</v>
      </c>
    </row>
    <row r="371" spans="1:2" x14ac:dyDescent="0.25">
      <c r="A371" s="1"/>
      <c r="B371" t="e">
        <f>IF(#REF!="T", 0, IF(#REF!="C", 0, ""))</f>
        <v>#REF!</v>
      </c>
    </row>
    <row r="372" spans="1:2" x14ac:dyDescent="0.25">
      <c r="A372" s="1"/>
      <c r="B372" t="e">
        <f>IF(#REF!="T", 0, IF(#REF!="C", 0, ""))</f>
        <v>#REF!</v>
      </c>
    </row>
    <row r="373" spans="1:2" x14ac:dyDescent="0.25">
      <c r="A373" s="1"/>
      <c r="B373" t="e">
        <f>IF(#REF!="T", 0, IF(#REF!="C", 0, ""))</f>
        <v>#REF!</v>
      </c>
    </row>
    <row r="374" spans="1:2" x14ac:dyDescent="0.25">
      <c r="A374" s="1"/>
      <c r="B374" t="e">
        <f>IF(#REF!="T", 0, IF(#REF!="C", 0, ""))</f>
        <v>#REF!</v>
      </c>
    </row>
    <row r="375" spans="1:2" x14ac:dyDescent="0.25">
      <c r="A375" s="1"/>
      <c r="B375" t="e">
        <f>IF(#REF!="T", 0, IF(#REF!="C", 0, ""))</f>
        <v>#REF!</v>
      </c>
    </row>
    <row r="376" spans="1:2" x14ac:dyDescent="0.25">
      <c r="A376" s="1"/>
      <c r="B376" t="e">
        <f>IF(#REF!="T", 0, IF(#REF!="C", 0, ""))</f>
        <v>#REF!</v>
      </c>
    </row>
    <row r="377" spans="1:2" x14ac:dyDescent="0.25">
      <c r="A377" s="1"/>
      <c r="B377" t="e">
        <f>IF(#REF!="T", 0, IF(#REF!="C", 0, ""))</f>
        <v>#REF!</v>
      </c>
    </row>
    <row r="378" spans="1:2" x14ac:dyDescent="0.25">
      <c r="A378" s="1"/>
      <c r="B378" t="e">
        <f>IF(#REF!="T", 0, IF(#REF!="C", 0, ""))</f>
        <v>#REF!</v>
      </c>
    </row>
    <row r="379" spans="1:2" x14ac:dyDescent="0.25">
      <c r="A379" s="1"/>
      <c r="B379" t="e">
        <f>IF(#REF!="T", 0, IF(#REF!="C", 0, ""))</f>
        <v>#REF!</v>
      </c>
    </row>
    <row r="380" spans="1:2" x14ac:dyDescent="0.25">
      <c r="A380" s="1"/>
      <c r="B380" t="e">
        <f>IF(#REF!="T", 0, IF(#REF!="C", 0, ""))</f>
        <v>#REF!</v>
      </c>
    </row>
    <row r="381" spans="1:2" x14ac:dyDescent="0.25">
      <c r="A381" s="1"/>
      <c r="B381" t="e">
        <f>IF(#REF!="T", 0, IF(#REF!="C", 0, ""))</f>
        <v>#REF!</v>
      </c>
    </row>
    <row r="382" spans="1:2" x14ac:dyDescent="0.25">
      <c r="A382" s="1"/>
      <c r="B382" t="e">
        <f>IF(#REF!="T", 0, IF(#REF!="C", 0, ""))</f>
        <v>#REF!</v>
      </c>
    </row>
    <row r="383" spans="1:2" x14ac:dyDescent="0.25">
      <c r="A383" s="1"/>
      <c r="B383" t="e">
        <f>IF(#REF!="T", 0, IF(#REF!="C", 0, ""))</f>
        <v>#REF!</v>
      </c>
    </row>
    <row r="384" spans="1:2" x14ac:dyDescent="0.25">
      <c r="A384" s="1"/>
      <c r="B384" t="e">
        <f>IF(#REF!="T", 0, IF(#REF!="C", 0, ""))</f>
        <v>#REF!</v>
      </c>
    </row>
    <row r="385" spans="1:2" x14ac:dyDescent="0.25">
      <c r="A385" s="1"/>
      <c r="B385" t="e">
        <f>IF(#REF!="T", 0, IF(#REF!="C", 0, ""))</f>
        <v>#REF!</v>
      </c>
    </row>
    <row r="386" spans="1:2" x14ac:dyDescent="0.25">
      <c r="A386" s="1"/>
      <c r="B386" t="e">
        <f>IF(#REF!="T", 0, IF(#REF!="C", 0, ""))</f>
        <v>#REF!</v>
      </c>
    </row>
    <row r="387" spans="1:2" x14ac:dyDescent="0.25">
      <c r="A387" s="1"/>
      <c r="B387" t="e">
        <f>IF(#REF!="T", 0, IF(#REF!="C", 0, ""))</f>
        <v>#REF!</v>
      </c>
    </row>
    <row r="388" spans="1:2" x14ac:dyDescent="0.25">
      <c r="A388" s="1"/>
      <c r="B388" t="e">
        <f>IF(#REF!="T", 0, IF(#REF!="C", 0, ""))</f>
        <v>#REF!</v>
      </c>
    </row>
    <row r="389" spans="1:2" x14ac:dyDescent="0.25">
      <c r="A389" s="1"/>
      <c r="B389" t="e">
        <f>IF(#REF!="T", 0, IF(#REF!="C", 0, ""))</f>
        <v>#REF!</v>
      </c>
    </row>
    <row r="390" spans="1:2" x14ac:dyDescent="0.25">
      <c r="A390" s="1"/>
      <c r="B390" t="e">
        <f>IF(#REF!="T", 0, IF(#REF!="C", 0, ""))</f>
        <v>#REF!</v>
      </c>
    </row>
    <row r="391" spans="1:2" x14ac:dyDescent="0.25">
      <c r="A391" s="1"/>
      <c r="B391" t="e">
        <f>IF(#REF!="T", 0, IF(#REF!="C", 0, ""))</f>
        <v>#REF!</v>
      </c>
    </row>
    <row r="392" spans="1:2" x14ac:dyDescent="0.25">
      <c r="A392" s="1"/>
      <c r="B392" t="e">
        <f>IF(#REF!="T", 0, IF(#REF!="C", 0, ""))</f>
        <v>#REF!</v>
      </c>
    </row>
    <row r="393" spans="1:2" x14ac:dyDescent="0.25">
      <c r="A393" s="1"/>
      <c r="B393" t="e">
        <f>IF(#REF!="T", 0, IF(#REF!="C", 0, ""))</f>
        <v>#REF!</v>
      </c>
    </row>
    <row r="394" spans="1:2" x14ac:dyDescent="0.25">
      <c r="A394" s="1"/>
      <c r="B394" t="e">
        <f>IF(#REF!="T", 0, IF(#REF!="C", 0, ""))</f>
        <v>#REF!</v>
      </c>
    </row>
    <row r="395" spans="1:2" x14ac:dyDescent="0.25">
      <c r="A395" s="1"/>
      <c r="B395" t="e">
        <f>IF(#REF!="T", 0, IF(#REF!="C", 0, ""))</f>
        <v>#REF!</v>
      </c>
    </row>
    <row r="396" spans="1:2" x14ac:dyDescent="0.25">
      <c r="A396" s="1"/>
      <c r="B396" t="e">
        <f>IF(#REF!="T", 0, IF(#REF!="C", 0, ""))</f>
        <v>#REF!</v>
      </c>
    </row>
    <row r="397" spans="1:2" x14ac:dyDescent="0.25">
      <c r="A397" s="1"/>
      <c r="B397" t="e">
        <f>IF(#REF!="T", 0, IF(#REF!="C", 0, ""))</f>
        <v>#REF!</v>
      </c>
    </row>
    <row r="398" spans="1:2" x14ac:dyDescent="0.25">
      <c r="A398" s="1"/>
      <c r="B398" t="e">
        <f>IF(#REF!="T", 0, IF(#REF!="C", 0, ""))</f>
        <v>#REF!</v>
      </c>
    </row>
    <row r="399" spans="1:2" x14ac:dyDescent="0.25">
      <c r="A399" s="1"/>
      <c r="B399" t="e">
        <f>IF(#REF!="T", 0, IF(#REF!="C", 0, ""))</f>
        <v>#REF!</v>
      </c>
    </row>
    <row r="400" spans="1:2" x14ac:dyDescent="0.25">
      <c r="A400" s="1"/>
      <c r="B400" t="e">
        <f>IF(#REF!="T", 0, IF(#REF!="C", 0, ""))</f>
        <v>#REF!</v>
      </c>
    </row>
    <row r="401" spans="1:2" x14ac:dyDescent="0.25">
      <c r="A401" s="1"/>
      <c r="B401" t="e">
        <f>IF(#REF!="T", 0, IF(#REF!="C", 0, ""))</f>
        <v>#REF!</v>
      </c>
    </row>
    <row r="402" spans="1:2" x14ac:dyDescent="0.25">
      <c r="A402" s="1"/>
      <c r="B402" t="e">
        <f>IF(#REF!="T", 0, IF(#REF!="C", 0, ""))</f>
        <v>#REF!</v>
      </c>
    </row>
    <row r="403" spans="1:2" x14ac:dyDescent="0.25">
      <c r="A403" s="1"/>
      <c r="B403" t="e">
        <f>IF(#REF!="T", 0, IF(#REF!="C", 0, ""))</f>
        <v>#REF!</v>
      </c>
    </row>
    <row r="404" spans="1:2" x14ac:dyDescent="0.25">
      <c r="A404" s="1"/>
      <c r="B404" t="e">
        <f>IF(#REF!="T", 0, IF(#REF!="C", 0, ""))</f>
        <v>#REF!</v>
      </c>
    </row>
    <row r="405" spans="1:2" x14ac:dyDescent="0.25">
      <c r="A405" s="1"/>
      <c r="B405" t="e">
        <f>IF(#REF!="T", 0, IF(#REF!="C", 0, ""))</f>
        <v>#REF!</v>
      </c>
    </row>
    <row r="406" spans="1:2" x14ac:dyDescent="0.25">
      <c r="A406" s="1"/>
      <c r="B406" t="e">
        <f>IF(#REF!="T", 0, IF(#REF!="C", 0, ""))</f>
        <v>#REF!</v>
      </c>
    </row>
    <row r="407" spans="1:2" x14ac:dyDescent="0.25">
      <c r="A407" s="1"/>
      <c r="B407" t="e">
        <f>IF(#REF!="T", 0, IF(#REF!="C", 0, ""))</f>
        <v>#REF!</v>
      </c>
    </row>
    <row r="408" spans="1:2" x14ac:dyDescent="0.25">
      <c r="A408" s="1"/>
      <c r="B408" t="e">
        <f>IF(#REF!="T", 0, IF(#REF!="C", 0, ""))</f>
        <v>#REF!</v>
      </c>
    </row>
    <row r="409" spans="1:2" x14ac:dyDescent="0.25">
      <c r="A409" s="1"/>
      <c r="B409" t="e">
        <f>IF(#REF!="T", 0, IF(#REF!="C", 0, ""))</f>
        <v>#REF!</v>
      </c>
    </row>
    <row r="410" spans="1:2" x14ac:dyDescent="0.25">
      <c r="A410" s="1"/>
      <c r="B410" t="e">
        <f>IF(#REF!="T", 0, IF(#REF!="C", 0, ""))</f>
        <v>#REF!</v>
      </c>
    </row>
    <row r="411" spans="1:2" x14ac:dyDescent="0.25">
      <c r="A411" s="1"/>
      <c r="B411" t="e">
        <f>IF(#REF!="T", 0, IF(#REF!="C", 0, ""))</f>
        <v>#REF!</v>
      </c>
    </row>
    <row r="412" spans="1:2" x14ac:dyDescent="0.25">
      <c r="A412" s="1"/>
      <c r="B412" t="e">
        <f>IF(#REF!="T", 0, IF(#REF!="C", 0, ""))</f>
        <v>#REF!</v>
      </c>
    </row>
    <row r="413" spans="1:2" x14ac:dyDescent="0.25">
      <c r="A413" s="1"/>
      <c r="B413" t="e">
        <f>IF(#REF!="T", 0, IF(#REF!="C", 0, ""))</f>
        <v>#REF!</v>
      </c>
    </row>
    <row r="414" spans="1:2" x14ac:dyDescent="0.25">
      <c r="A414" s="1"/>
      <c r="B414" t="e">
        <f>IF(#REF!="T", 0, IF(#REF!="C", 0, ""))</f>
        <v>#REF!</v>
      </c>
    </row>
    <row r="415" spans="1:2" x14ac:dyDescent="0.25">
      <c r="A415" s="1"/>
      <c r="B415" t="e">
        <f>IF(#REF!="T", 0, IF(#REF!="C", 0, ""))</f>
        <v>#REF!</v>
      </c>
    </row>
    <row r="416" spans="1:2" x14ac:dyDescent="0.25">
      <c r="A416" s="1"/>
      <c r="B416" t="e">
        <f>IF(#REF!="T", 0, IF(#REF!="C", 0, ""))</f>
        <v>#REF!</v>
      </c>
    </row>
    <row r="417" spans="1:2" x14ac:dyDescent="0.25">
      <c r="A417" s="1"/>
      <c r="B417" t="e">
        <f>IF(#REF!="T", 0, IF(#REF!="C", 0, ""))</f>
        <v>#REF!</v>
      </c>
    </row>
    <row r="418" spans="1:2" x14ac:dyDescent="0.25">
      <c r="A418" s="1"/>
      <c r="B418" t="e">
        <f>IF(#REF!="T", 0, IF(#REF!="C", 0, ""))</f>
        <v>#REF!</v>
      </c>
    </row>
    <row r="419" spans="1:2" x14ac:dyDescent="0.25">
      <c r="A419" s="1"/>
      <c r="B419" t="e">
        <f>IF(#REF!="T", 0, IF(#REF!="C", 0, ""))</f>
        <v>#REF!</v>
      </c>
    </row>
    <row r="420" spans="1:2" x14ac:dyDescent="0.25">
      <c r="A420" s="1"/>
      <c r="B420" t="e">
        <f>IF(#REF!="T", 0, IF(#REF!="C", 0, ""))</f>
        <v>#REF!</v>
      </c>
    </row>
    <row r="421" spans="1:2" x14ac:dyDescent="0.25">
      <c r="A421" s="1"/>
      <c r="B421" t="e">
        <f>IF(#REF!="T", 0, IF(#REF!="C", 0, ""))</f>
        <v>#REF!</v>
      </c>
    </row>
    <row r="422" spans="1:2" x14ac:dyDescent="0.25">
      <c r="A422" s="1"/>
      <c r="B422" t="e">
        <f>IF(#REF!="T", 0, IF(#REF!="C", 0, ""))</f>
        <v>#REF!</v>
      </c>
    </row>
    <row r="423" spans="1:2" x14ac:dyDescent="0.25">
      <c r="A423" s="1"/>
      <c r="B423" t="e">
        <f>IF(#REF!="T", 0, IF(#REF!="C", 0, ""))</f>
        <v>#REF!</v>
      </c>
    </row>
    <row r="424" spans="1:2" x14ac:dyDescent="0.25">
      <c r="A424" s="1"/>
      <c r="B424" t="e">
        <f>IF(#REF!="T", 0, IF(#REF!="C", 0, ""))</f>
        <v>#REF!</v>
      </c>
    </row>
    <row r="425" spans="1:2" x14ac:dyDescent="0.25">
      <c r="A425" s="1"/>
      <c r="B425" t="e">
        <f>IF(#REF!="T", 0, IF(#REF!="C", 0, ""))</f>
        <v>#REF!</v>
      </c>
    </row>
    <row r="426" spans="1:2" x14ac:dyDescent="0.25">
      <c r="A426" s="1"/>
      <c r="B426" t="e">
        <f>IF(#REF!="T", 0, IF(#REF!="C", 0, ""))</f>
        <v>#REF!</v>
      </c>
    </row>
    <row r="427" spans="1:2" x14ac:dyDescent="0.25">
      <c r="A427" s="1"/>
      <c r="B427" t="e">
        <f>IF(#REF!="T", 0, IF(#REF!="C", 0, ""))</f>
        <v>#REF!</v>
      </c>
    </row>
    <row r="428" spans="1:2" x14ac:dyDescent="0.25">
      <c r="A428" s="1"/>
      <c r="B428" t="e">
        <f>IF(#REF!="T", 0, IF(#REF!="C", 0, ""))</f>
        <v>#REF!</v>
      </c>
    </row>
    <row r="429" spans="1:2" x14ac:dyDescent="0.25">
      <c r="A429" s="1"/>
      <c r="B429" t="e">
        <f>IF(#REF!="T", 0, IF(#REF!="C", 0, ""))</f>
        <v>#REF!</v>
      </c>
    </row>
    <row r="430" spans="1:2" x14ac:dyDescent="0.25">
      <c r="A430" s="1"/>
      <c r="B430" t="e">
        <f>IF(#REF!="T", 0, IF(#REF!="C", 0, ""))</f>
        <v>#REF!</v>
      </c>
    </row>
    <row r="431" spans="1:2" x14ac:dyDescent="0.25">
      <c r="A431" s="1"/>
      <c r="B431" t="e">
        <f>IF(#REF!="T", 0, IF(#REF!="C", 0, ""))</f>
        <v>#REF!</v>
      </c>
    </row>
    <row r="432" spans="1:2" x14ac:dyDescent="0.25">
      <c r="A432" s="1"/>
      <c r="B432" t="e">
        <f>IF(#REF!="T", 0, IF(#REF!="C", 0, ""))</f>
        <v>#REF!</v>
      </c>
    </row>
    <row r="433" spans="1:2" x14ac:dyDescent="0.25">
      <c r="A433" s="1"/>
      <c r="B433" t="e">
        <f>IF(#REF!="T", 0, IF(#REF!="C", 0, ""))</f>
        <v>#REF!</v>
      </c>
    </row>
    <row r="434" spans="1:2" x14ac:dyDescent="0.25">
      <c r="A434" s="1"/>
      <c r="B434" t="e">
        <f>IF(#REF!="T", 0, IF(#REF!="C", 0, ""))</f>
        <v>#REF!</v>
      </c>
    </row>
    <row r="435" spans="1:2" x14ac:dyDescent="0.25">
      <c r="A435" s="1"/>
      <c r="B435" t="e">
        <f>IF(#REF!="T", 0, IF(#REF!="C", 0, ""))</f>
        <v>#REF!</v>
      </c>
    </row>
    <row r="436" spans="1:2" x14ac:dyDescent="0.25">
      <c r="A436" s="1"/>
      <c r="B436" t="e">
        <f>IF(#REF!="T", 0, IF(#REF!="C", 0, ""))</f>
        <v>#REF!</v>
      </c>
    </row>
    <row r="437" spans="1:2" x14ac:dyDescent="0.25">
      <c r="A437" s="1"/>
      <c r="B437" t="e">
        <f>IF(#REF!="T", 0, IF(#REF!="C", 0, ""))</f>
        <v>#REF!</v>
      </c>
    </row>
    <row r="438" spans="1:2" x14ac:dyDescent="0.25">
      <c r="A438" s="1"/>
      <c r="B438" t="e">
        <f>IF(#REF!="T", 0, IF(#REF!="C", 0, ""))</f>
        <v>#REF!</v>
      </c>
    </row>
    <row r="439" spans="1:2" x14ac:dyDescent="0.25">
      <c r="A439" s="1"/>
      <c r="B439" t="e">
        <f>IF(#REF!="T", 0, IF(#REF!="C", 0, ""))</f>
        <v>#REF!</v>
      </c>
    </row>
    <row r="440" spans="1:2" x14ac:dyDescent="0.25">
      <c r="A440" s="1"/>
      <c r="B440" t="e">
        <f>IF(#REF!="T", 0, IF(#REF!="C", 0, ""))</f>
        <v>#REF!</v>
      </c>
    </row>
    <row r="441" spans="1:2" x14ac:dyDescent="0.25">
      <c r="A441" s="1"/>
      <c r="B441" t="e">
        <f>IF(#REF!="T", 0, IF(#REF!="C", 0, ""))</f>
        <v>#REF!</v>
      </c>
    </row>
    <row r="442" spans="1:2" x14ac:dyDescent="0.25">
      <c r="A442" s="1"/>
      <c r="B442" t="e">
        <f>IF(#REF!="T", 0, IF(#REF!="C", 0, ""))</f>
        <v>#REF!</v>
      </c>
    </row>
    <row r="443" spans="1:2" x14ac:dyDescent="0.25">
      <c r="A443" s="1"/>
      <c r="B443" t="e">
        <f>IF(#REF!="T", 0, IF(#REF!="C", 0, ""))</f>
        <v>#REF!</v>
      </c>
    </row>
    <row r="444" spans="1:2" x14ac:dyDescent="0.25">
      <c r="A444" s="1"/>
      <c r="B444" t="e">
        <f>IF(#REF!="T", 0, IF(#REF!="C", 0, ""))</f>
        <v>#REF!</v>
      </c>
    </row>
    <row r="445" spans="1:2" x14ac:dyDescent="0.25">
      <c r="A445" s="1"/>
      <c r="B445" t="e">
        <f>IF(#REF!="T", 0, IF(#REF!="C", 0, ""))</f>
        <v>#REF!</v>
      </c>
    </row>
    <row r="446" spans="1:2" x14ac:dyDescent="0.25">
      <c r="A446" s="1"/>
      <c r="B446" t="e">
        <f>IF(#REF!="T", 0, IF(#REF!="C", 0, ""))</f>
        <v>#REF!</v>
      </c>
    </row>
    <row r="447" spans="1:2" x14ac:dyDescent="0.25">
      <c r="A447" s="1"/>
      <c r="B447" t="e">
        <f>IF(#REF!="T", 0, IF(#REF!="C", 0, ""))</f>
        <v>#REF!</v>
      </c>
    </row>
    <row r="448" spans="1:2" x14ac:dyDescent="0.25">
      <c r="A448" s="1"/>
      <c r="B448" t="e">
        <f>IF(#REF!="T", 0, IF(#REF!="C", 0, ""))</f>
        <v>#REF!</v>
      </c>
    </row>
    <row r="449" spans="1:2" x14ac:dyDescent="0.25">
      <c r="A449" s="1"/>
      <c r="B449" t="e">
        <f>IF(#REF!="T", 0, IF(#REF!="C", 0, ""))</f>
        <v>#REF!</v>
      </c>
    </row>
    <row r="450" spans="1:2" x14ac:dyDescent="0.25">
      <c r="A450" s="1"/>
      <c r="B450" t="e">
        <f>IF(#REF!="T", 0, IF(#REF!="C", 0, ""))</f>
        <v>#REF!</v>
      </c>
    </row>
    <row r="451" spans="1:2" x14ac:dyDescent="0.25">
      <c r="A451" s="1"/>
      <c r="B451" t="e">
        <f>IF(#REF!="T", 0, IF(#REF!="C", 0, ""))</f>
        <v>#REF!</v>
      </c>
    </row>
    <row r="452" spans="1:2" x14ac:dyDescent="0.25">
      <c r="A452" s="1"/>
      <c r="B452" t="e">
        <f>IF(#REF!="T", 0, IF(#REF!="C", 0, ""))</f>
        <v>#REF!</v>
      </c>
    </row>
    <row r="453" spans="1:2" x14ac:dyDescent="0.25">
      <c r="A453" s="1"/>
      <c r="B453" t="e">
        <f>IF(#REF!="T", 0, IF(#REF!="C", 0, ""))</f>
        <v>#REF!</v>
      </c>
    </row>
    <row r="454" spans="1:2" x14ac:dyDescent="0.25">
      <c r="A454" s="1"/>
      <c r="B454" t="e">
        <f>IF(#REF!="T", 0, IF(#REF!="C", 0, ""))</f>
        <v>#REF!</v>
      </c>
    </row>
    <row r="455" spans="1:2" x14ac:dyDescent="0.25">
      <c r="A455" s="1"/>
      <c r="B455" t="e">
        <f>IF(#REF!="T", 0, IF(#REF!="C", 0, ""))</f>
        <v>#REF!</v>
      </c>
    </row>
    <row r="456" spans="1:2" x14ac:dyDescent="0.25">
      <c r="A456" s="1"/>
      <c r="B456" t="e">
        <f>IF(#REF!="T", 0, IF(#REF!="C", 0, ""))</f>
        <v>#REF!</v>
      </c>
    </row>
    <row r="457" spans="1:2" x14ac:dyDescent="0.25">
      <c r="A457" s="1"/>
      <c r="B457" t="e">
        <f>IF(#REF!="T", 0, IF(#REF!="C", 0, ""))</f>
        <v>#REF!</v>
      </c>
    </row>
    <row r="458" spans="1:2" x14ac:dyDescent="0.25">
      <c r="A458" s="1"/>
      <c r="B458" t="e">
        <f>IF(#REF!="T", 0, IF(#REF!="C", 0, ""))</f>
        <v>#REF!</v>
      </c>
    </row>
    <row r="459" spans="1:2" x14ac:dyDescent="0.25">
      <c r="A459" s="1"/>
      <c r="B459" t="e">
        <f>IF(#REF!="T", 0, IF(#REF!="C", 0, ""))</f>
        <v>#REF!</v>
      </c>
    </row>
    <row r="460" spans="1:2" x14ac:dyDescent="0.25">
      <c r="A460" s="1"/>
      <c r="B460" t="e">
        <f>IF(#REF!="T", 0, IF(#REF!="C", 0, ""))</f>
        <v>#REF!</v>
      </c>
    </row>
    <row r="461" spans="1:2" x14ac:dyDescent="0.25">
      <c r="A461" s="1"/>
      <c r="B461" t="e">
        <f>IF(#REF!="T", 0, IF(#REF!="C", 0, ""))</f>
        <v>#REF!</v>
      </c>
    </row>
    <row r="462" spans="1:2" x14ac:dyDescent="0.25">
      <c r="A462" s="1"/>
      <c r="B462" t="e">
        <f>IF(#REF!="T", 0, IF(#REF!="C", 0, ""))</f>
        <v>#REF!</v>
      </c>
    </row>
    <row r="463" spans="1:2" x14ac:dyDescent="0.25">
      <c r="A463" s="1"/>
      <c r="B463" t="e">
        <f>IF(#REF!="T", 0, IF(#REF!="C", 0, ""))</f>
        <v>#REF!</v>
      </c>
    </row>
    <row r="464" spans="1:2" x14ac:dyDescent="0.25">
      <c r="A464" s="1"/>
      <c r="B464" t="e">
        <f>IF(#REF!="T", 0, IF(#REF!="C", 0, ""))</f>
        <v>#REF!</v>
      </c>
    </row>
    <row r="465" spans="1:2" x14ac:dyDescent="0.25">
      <c r="A465" s="1"/>
      <c r="B465" t="e">
        <f>IF(#REF!="T", 0, IF(#REF!="C", 0, ""))</f>
        <v>#REF!</v>
      </c>
    </row>
    <row r="466" spans="1:2" x14ac:dyDescent="0.25">
      <c r="A466" s="1"/>
      <c r="B466" t="e">
        <f>IF(#REF!="T", 0, IF(#REF!="C", 0, ""))</f>
        <v>#REF!</v>
      </c>
    </row>
    <row r="467" spans="1:2" x14ac:dyDescent="0.25">
      <c r="A467" s="1"/>
      <c r="B467" t="e">
        <f>IF(#REF!="T", 0, IF(#REF!="C", 0, ""))</f>
        <v>#REF!</v>
      </c>
    </row>
    <row r="468" spans="1:2" x14ac:dyDescent="0.25">
      <c r="A468" s="1"/>
      <c r="B468" t="e">
        <f>IF(#REF!="T", 0, IF(#REF!="C", 0, ""))</f>
        <v>#REF!</v>
      </c>
    </row>
    <row r="469" spans="1:2" x14ac:dyDescent="0.25">
      <c r="A469" s="1"/>
      <c r="B469" t="e">
        <f>IF(#REF!="T", 0, IF(#REF!="C", 0, ""))</f>
        <v>#REF!</v>
      </c>
    </row>
    <row r="470" spans="1:2" x14ac:dyDescent="0.25">
      <c r="A470" s="1"/>
      <c r="B470" t="e">
        <f>IF(#REF!="T", 0, IF(#REF!="C", 0, ""))</f>
        <v>#REF!</v>
      </c>
    </row>
    <row r="471" spans="1:2" x14ac:dyDescent="0.25">
      <c r="A471" s="1"/>
      <c r="B471" t="e">
        <f>IF(#REF!="T", 0, IF(#REF!="C", 0, ""))</f>
        <v>#REF!</v>
      </c>
    </row>
    <row r="472" spans="1:2" x14ac:dyDescent="0.25">
      <c r="A472" s="1"/>
      <c r="B472" t="e">
        <f>IF(#REF!="T", 0, IF(#REF!="C", 0, ""))</f>
        <v>#REF!</v>
      </c>
    </row>
    <row r="473" spans="1:2" x14ac:dyDescent="0.25">
      <c r="A473" s="1"/>
      <c r="B473" t="e">
        <f>IF(#REF!="T", 0, IF(#REF!="C", 0, ""))</f>
        <v>#REF!</v>
      </c>
    </row>
    <row r="474" spans="1:2" x14ac:dyDescent="0.25">
      <c r="A474" s="1"/>
      <c r="B474" t="e">
        <f>IF(#REF!="T", 0, IF(#REF!="C", 0, ""))</f>
        <v>#REF!</v>
      </c>
    </row>
    <row r="475" spans="1:2" x14ac:dyDescent="0.25">
      <c r="A475" s="1"/>
      <c r="B475" t="e">
        <f>IF(#REF!="T", 0, IF(#REF!="C", 0, ""))</f>
        <v>#REF!</v>
      </c>
    </row>
    <row r="476" spans="1:2" x14ac:dyDescent="0.25">
      <c r="A476" s="1"/>
      <c r="B476" t="e">
        <f>IF(#REF!="T", 0, IF(#REF!="C", 0, ""))</f>
        <v>#REF!</v>
      </c>
    </row>
    <row r="477" spans="1:2" x14ac:dyDescent="0.25">
      <c r="A477" s="1"/>
      <c r="B477" t="e">
        <f>IF(#REF!="T", 0, IF(#REF!="C", 0, ""))</f>
        <v>#REF!</v>
      </c>
    </row>
    <row r="478" spans="1:2" x14ac:dyDescent="0.25">
      <c r="A478" s="1"/>
      <c r="B478" t="e">
        <f>IF(#REF!="T", 0, IF(#REF!="C", 0, ""))</f>
        <v>#REF!</v>
      </c>
    </row>
    <row r="479" spans="1:2" x14ac:dyDescent="0.25">
      <c r="A479" s="1"/>
      <c r="B479" t="e">
        <f>IF(#REF!="T", 0, IF(#REF!="C", 0, ""))</f>
        <v>#REF!</v>
      </c>
    </row>
    <row r="480" spans="1:2" x14ac:dyDescent="0.25">
      <c r="A480" s="1"/>
      <c r="B480" t="e">
        <f>IF(#REF!="T", 0, IF(#REF!="C", 0, ""))</f>
        <v>#REF!</v>
      </c>
    </row>
    <row r="481" spans="1:2" x14ac:dyDescent="0.25">
      <c r="A481" s="1"/>
      <c r="B481" t="e">
        <f>IF(#REF!="T", 0, IF(#REF!="C", 0, ""))</f>
        <v>#REF!</v>
      </c>
    </row>
    <row r="482" spans="1:2" x14ac:dyDescent="0.25">
      <c r="A482" s="1"/>
      <c r="B482" t="e">
        <f>IF(#REF!="T", 0, IF(#REF!="C", 0, ""))</f>
        <v>#REF!</v>
      </c>
    </row>
    <row r="483" spans="1:2" x14ac:dyDescent="0.25">
      <c r="A483" s="1"/>
      <c r="B483" t="e">
        <f>IF(#REF!="T", 0, IF(#REF!="C", 0, ""))</f>
        <v>#REF!</v>
      </c>
    </row>
    <row r="484" spans="1:2" x14ac:dyDescent="0.25">
      <c r="A484" s="1"/>
      <c r="B484" t="e">
        <f>IF(#REF!="T", 0, IF(#REF!="C", 0, ""))</f>
        <v>#REF!</v>
      </c>
    </row>
    <row r="485" spans="1:2" x14ac:dyDescent="0.25">
      <c r="A485" s="1"/>
      <c r="B485" t="e">
        <f>IF(#REF!="T", 0, IF(#REF!="C", 0, ""))</f>
        <v>#REF!</v>
      </c>
    </row>
    <row r="486" spans="1:2" x14ac:dyDescent="0.25">
      <c r="A486" s="1"/>
      <c r="B486" t="e">
        <f>IF(#REF!="T", 0, IF(#REF!="C", 0, ""))</f>
        <v>#REF!</v>
      </c>
    </row>
    <row r="487" spans="1:2" x14ac:dyDescent="0.25">
      <c r="A487" s="1"/>
      <c r="B487" t="e">
        <f>IF(#REF!="T", 0, IF(#REF!="C", 0, ""))</f>
        <v>#REF!</v>
      </c>
    </row>
    <row r="488" spans="1:2" x14ac:dyDescent="0.25">
      <c r="A488" s="1"/>
      <c r="B488" t="e">
        <f>IF(#REF!="T", 0, IF(#REF!="C", 0, ""))</f>
        <v>#REF!</v>
      </c>
    </row>
    <row r="489" spans="1:2" x14ac:dyDescent="0.25">
      <c r="A489" s="1"/>
      <c r="B489" t="e">
        <f>IF(#REF!="T", 0, IF(#REF!="C", 0, ""))</f>
        <v>#REF!</v>
      </c>
    </row>
    <row r="490" spans="1:2" x14ac:dyDescent="0.25">
      <c r="A490" s="1"/>
      <c r="B490" t="e">
        <f>IF(#REF!="T", 0, IF(#REF!="C", 0, ""))</f>
        <v>#REF!</v>
      </c>
    </row>
    <row r="491" spans="1:2" x14ac:dyDescent="0.25">
      <c r="A491" s="1"/>
      <c r="B491" t="e">
        <f>IF(#REF!="T", 0, IF(#REF!="C", 0, ""))</f>
        <v>#REF!</v>
      </c>
    </row>
    <row r="492" spans="1:2" x14ac:dyDescent="0.25">
      <c r="A492" s="1"/>
      <c r="B492" t="e">
        <f>IF(#REF!="T", 0, IF(#REF!="C", 0, ""))</f>
        <v>#REF!</v>
      </c>
    </row>
    <row r="493" spans="1:2" x14ac:dyDescent="0.25">
      <c r="A493" s="1"/>
      <c r="B493" t="e">
        <f>IF(#REF!="T", 0, IF(#REF!="C", 0, ""))</f>
        <v>#REF!</v>
      </c>
    </row>
    <row r="494" spans="1:2" x14ac:dyDescent="0.25">
      <c r="A494" s="1"/>
      <c r="B494" t="e">
        <f>IF(#REF!="T", 0, IF(#REF!="C", 0, ""))</f>
        <v>#REF!</v>
      </c>
    </row>
    <row r="495" spans="1:2" x14ac:dyDescent="0.25">
      <c r="A495" s="1"/>
      <c r="B495" t="e">
        <f>IF(#REF!="T", 0, IF(#REF!="C", 0, ""))</f>
        <v>#REF!</v>
      </c>
    </row>
    <row r="496" spans="1:2" x14ac:dyDescent="0.25">
      <c r="A496" s="1"/>
      <c r="B496" t="e">
        <f>IF(#REF!="T", 0, IF(#REF!="C", 0, ""))</f>
        <v>#REF!</v>
      </c>
    </row>
    <row r="497" spans="1:2" x14ac:dyDescent="0.25">
      <c r="A497" s="1"/>
      <c r="B497" t="e">
        <f>IF(#REF!="T", 0, IF(#REF!="C", 0, ""))</f>
        <v>#REF!</v>
      </c>
    </row>
    <row r="498" spans="1:2" x14ac:dyDescent="0.25">
      <c r="A498" s="1"/>
      <c r="B498" t="e">
        <f>IF(#REF!="T", 0, IF(#REF!="C", 0, ""))</f>
        <v>#REF!</v>
      </c>
    </row>
    <row r="499" spans="1:2" x14ac:dyDescent="0.25">
      <c r="A499" s="1"/>
      <c r="B499" t="e">
        <f>IF(#REF!="T", 0, IF(#REF!="C", 0, ""))</f>
        <v>#REF!</v>
      </c>
    </row>
    <row r="500" spans="1:2" x14ac:dyDescent="0.25">
      <c r="A500" s="1"/>
      <c r="B500" t="e">
        <f>IF(#REF!="T", 0, IF(#REF!="C", 0, ""))</f>
        <v>#REF!</v>
      </c>
    </row>
    <row r="501" spans="1:2" x14ac:dyDescent="0.25">
      <c r="A501" s="1"/>
      <c r="B501" t="e">
        <f>IF(#REF!="T", 0, IF(#REF!="C", 0, ""))</f>
        <v>#REF!</v>
      </c>
    </row>
    <row r="502" spans="1:2" x14ac:dyDescent="0.25">
      <c r="A502" s="1"/>
      <c r="B502" t="e">
        <f>IF(#REF!="T", 0, IF(#REF!="C", 0, ""))</f>
        <v>#REF!</v>
      </c>
    </row>
    <row r="503" spans="1:2" x14ac:dyDescent="0.25">
      <c r="A503" s="1"/>
      <c r="B503" t="e">
        <f>IF(#REF!="T", 0, IF(#REF!="C", 0, ""))</f>
        <v>#REF!</v>
      </c>
    </row>
    <row r="504" spans="1:2" x14ac:dyDescent="0.25">
      <c r="A504" s="1"/>
      <c r="B504" t="e">
        <f>IF(#REF!="T", 0, IF(#REF!="C", 0, ""))</f>
        <v>#REF!</v>
      </c>
    </row>
    <row r="505" spans="1:2" x14ac:dyDescent="0.25">
      <c r="A505" s="1"/>
      <c r="B505" t="e">
        <f>IF(#REF!="T", 0, IF(#REF!="C", 0, ""))</f>
        <v>#REF!</v>
      </c>
    </row>
    <row r="506" spans="1:2" x14ac:dyDescent="0.25">
      <c r="A506" s="1"/>
      <c r="B506" t="e">
        <f>IF(#REF!="T", 0, IF(#REF!="C", 0, ""))</f>
        <v>#REF!</v>
      </c>
    </row>
    <row r="507" spans="1:2" x14ac:dyDescent="0.25">
      <c r="A507" s="1"/>
      <c r="B507" t="e">
        <f>IF(#REF!="T", 0, IF(#REF!="C", 0, ""))</f>
        <v>#REF!</v>
      </c>
    </row>
    <row r="508" spans="1:2" x14ac:dyDescent="0.25">
      <c r="A508" s="1"/>
      <c r="B508" t="e">
        <f>IF(#REF!="T", 0, IF(#REF!="C", 0, ""))</f>
        <v>#REF!</v>
      </c>
    </row>
    <row r="509" spans="1:2" x14ac:dyDescent="0.25">
      <c r="A509" s="1"/>
      <c r="B509" t="e">
        <f>IF(#REF!="T", 0, IF(#REF!="C", 0, ""))</f>
        <v>#REF!</v>
      </c>
    </row>
    <row r="510" spans="1:2" x14ac:dyDescent="0.25">
      <c r="A510" s="1"/>
      <c r="B510" t="e">
        <f>IF(#REF!="T", 0, IF(#REF!="C", 0, ""))</f>
        <v>#REF!</v>
      </c>
    </row>
    <row r="511" spans="1:2" x14ac:dyDescent="0.25">
      <c r="A511" s="1"/>
      <c r="B511" t="e">
        <f>IF(#REF!="T", 0, IF(#REF!="C", 0, ""))</f>
        <v>#REF!</v>
      </c>
    </row>
    <row r="512" spans="1:2" x14ac:dyDescent="0.25">
      <c r="A512" s="1"/>
      <c r="B512" t="e">
        <f>IF(#REF!="T", 0, IF(#REF!="C", 0, ""))</f>
        <v>#REF!</v>
      </c>
    </row>
    <row r="513" spans="1:2" x14ac:dyDescent="0.25">
      <c r="A513" s="1"/>
      <c r="B513" t="e">
        <f>IF(#REF!="T", 0, IF(#REF!="C", 0, ""))</f>
        <v>#REF!</v>
      </c>
    </row>
    <row r="514" spans="1:2" x14ac:dyDescent="0.25">
      <c r="A514" s="1"/>
      <c r="B514" t="e">
        <f>IF(#REF!="T", 0, IF(#REF!="C", 0, ""))</f>
        <v>#REF!</v>
      </c>
    </row>
    <row r="515" spans="1:2" x14ac:dyDescent="0.25">
      <c r="A515" s="1"/>
      <c r="B515" t="e">
        <f>IF(#REF!="T", 0, IF(#REF!="C", 0, ""))</f>
        <v>#REF!</v>
      </c>
    </row>
    <row r="516" spans="1:2" x14ac:dyDescent="0.25">
      <c r="A516" s="1"/>
      <c r="B516" t="e">
        <f>IF(#REF!="T", 0, IF(#REF!="C", 0, ""))</f>
        <v>#REF!</v>
      </c>
    </row>
    <row r="517" spans="1:2" x14ac:dyDescent="0.25">
      <c r="A517" s="1"/>
      <c r="B517" t="e">
        <f>IF(#REF!="T", 0, IF(#REF!="C", 0, ""))</f>
        <v>#REF!</v>
      </c>
    </row>
    <row r="518" spans="1:2" x14ac:dyDescent="0.25">
      <c r="A518" s="1"/>
      <c r="B518" t="e">
        <f>IF(#REF!="T", 0, IF(#REF!="C", 0, ""))</f>
        <v>#REF!</v>
      </c>
    </row>
    <row r="519" spans="1:2" x14ac:dyDescent="0.25">
      <c r="A519" s="1"/>
      <c r="B519" t="e">
        <f>IF(#REF!="T", 0, IF(#REF!="C", 0, ""))</f>
        <v>#REF!</v>
      </c>
    </row>
    <row r="520" spans="1:2" x14ac:dyDescent="0.25">
      <c r="A520" s="1"/>
      <c r="B520" t="e">
        <f>IF(#REF!="T", 0, IF(#REF!="C", 0, ""))</f>
        <v>#REF!</v>
      </c>
    </row>
    <row r="521" spans="1:2" x14ac:dyDescent="0.25">
      <c r="A521" s="1"/>
      <c r="B521" t="e">
        <f>IF(#REF!="T", 0, IF(#REF!="C", 0, ""))</f>
        <v>#REF!</v>
      </c>
    </row>
    <row r="522" spans="1:2" x14ac:dyDescent="0.25">
      <c r="A522" s="1"/>
      <c r="B522" t="e">
        <f>IF(#REF!="T", 0, IF(#REF!="C", 0, ""))</f>
        <v>#REF!</v>
      </c>
    </row>
    <row r="523" spans="1:2" x14ac:dyDescent="0.25">
      <c r="A523" s="1"/>
      <c r="B523" t="e">
        <f>IF(#REF!="T", 0, IF(#REF!="C", 0, ""))</f>
        <v>#REF!</v>
      </c>
    </row>
    <row r="524" spans="1:2" x14ac:dyDescent="0.25">
      <c r="A524" s="1"/>
      <c r="B524" t="e">
        <f>IF(#REF!="T", 0, IF(#REF!="C", 0, ""))</f>
        <v>#REF!</v>
      </c>
    </row>
    <row r="525" spans="1:2" x14ac:dyDescent="0.25">
      <c r="A525" s="1"/>
      <c r="B525" t="e">
        <f>IF(#REF!="T", 0, IF(#REF!="C", 0, ""))</f>
        <v>#REF!</v>
      </c>
    </row>
    <row r="526" spans="1:2" x14ac:dyDescent="0.25">
      <c r="A526" s="1"/>
      <c r="B526" t="e">
        <f>IF(#REF!="T", 0, IF(#REF!="C", 0, ""))</f>
        <v>#REF!</v>
      </c>
    </row>
    <row r="527" spans="1:2" x14ac:dyDescent="0.25">
      <c r="A527" s="1"/>
      <c r="B527" t="e">
        <f>IF(#REF!="T", 0, IF(#REF!="C", 0, ""))</f>
        <v>#REF!</v>
      </c>
    </row>
    <row r="528" spans="1:2" x14ac:dyDescent="0.25">
      <c r="A528" s="1"/>
      <c r="B528" t="e">
        <f>IF(#REF!="T", 0, IF(#REF!="C", 0, ""))</f>
        <v>#REF!</v>
      </c>
    </row>
    <row r="529" spans="1:2" x14ac:dyDescent="0.25">
      <c r="A529" s="1"/>
      <c r="B529" t="e">
        <f>IF(#REF!="T", 0, IF(#REF!="C", 0, ""))</f>
        <v>#REF!</v>
      </c>
    </row>
    <row r="530" spans="1:2" x14ac:dyDescent="0.25">
      <c r="A530" s="1"/>
      <c r="B530" t="e">
        <f>IF(#REF!="T", 0, IF(#REF!="C", 0, ""))</f>
        <v>#REF!</v>
      </c>
    </row>
    <row r="531" spans="1:2" x14ac:dyDescent="0.25">
      <c r="A531" s="1"/>
      <c r="B531" t="e">
        <f>IF(#REF!="T", 0, IF(#REF!="C", 0, ""))</f>
        <v>#REF!</v>
      </c>
    </row>
    <row r="532" spans="1:2" x14ac:dyDescent="0.25">
      <c r="A532" s="1"/>
      <c r="B532" t="e">
        <f>IF(#REF!="T", 0, IF(#REF!="C", 0, ""))</f>
        <v>#REF!</v>
      </c>
    </row>
    <row r="533" spans="1:2" x14ac:dyDescent="0.25">
      <c r="A533" s="1"/>
      <c r="B533" t="e">
        <f>IF(#REF!="T", 0, IF(#REF!="C", 0, ""))</f>
        <v>#REF!</v>
      </c>
    </row>
    <row r="534" spans="1:2" x14ac:dyDescent="0.25">
      <c r="A534" s="1"/>
      <c r="B534" t="e">
        <f>IF(#REF!="T", 0, IF(#REF!="C", 0, ""))</f>
        <v>#REF!</v>
      </c>
    </row>
    <row r="535" spans="1:2" x14ac:dyDescent="0.25">
      <c r="A535" s="1"/>
      <c r="B535" t="e">
        <f>IF(#REF!="T", 0, IF(#REF!="C", 0, ""))</f>
        <v>#REF!</v>
      </c>
    </row>
    <row r="536" spans="1:2" x14ac:dyDescent="0.25">
      <c r="A536" s="1"/>
      <c r="B536" t="e">
        <f>IF(#REF!="T", 0, IF(#REF!="C", 0, ""))</f>
        <v>#REF!</v>
      </c>
    </row>
    <row r="537" spans="1:2" x14ac:dyDescent="0.25">
      <c r="A537" s="1"/>
      <c r="B537" t="e">
        <f>IF(#REF!="T", 0, IF(#REF!="C", 0, ""))</f>
        <v>#REF!</v>
      </c>
    </row>
    <row r="538" spans="1:2" x14ac:dyDescent="0.25">
      <c r="A538" s="1"/>
      <c r="B538" t="e">
        <f>IF(#REF!="T", 0, IF(#REF!="C", 0, ""))</f>
        <v>#REF!</v>
      </c>
    </row>
    <row r="539" spans="1:2" x14ac:dyDescent="0.25">
      <c r="A539" s="1"/>
      <c r="B539" t="e">
        <f>IF(#REF!="T", 0, IF(#REF!="C", 0, ""))</f>
        <v>#REF!</v>
      </c>
    </row>
    <row r="540" spans="1:2" x14ac:dyDescent="0.25">
      <c r="A540" s="1"/>
      <c r="B540" t="e">
        <f>IF(#REF!="T", 0, IF(#REF!="C", 0, ""))</f>
        <v>#REF!</v>
      </c>
    </row>
    <row r="541" spans="1:2" x14ac:dyDescent="0.25">
      <c r="A541" s="1"/>
      <c r="B541" t="e">
        <f>IF(#REF!="T", 0, IF(#REF!="C", 0, ""))</f>
        <v>#REF!</v>
      </c>
    </row>
    <row r="542" spans="1:2" x14ac:dyDescent="0.25">
      <c r="A542" s="1"/>
      <c r="B542" t="e">
        <f>IF(#REF!="T", 0, IF(#REF!="C", 0, ""))</f>
        <v>#REF!</v>
      </c>
    </row>
    <row r="543" spans="1:2" x14ac:dyDescent="0.25">
      <c r="A543" s="1"/>
      <c r="B543" t="e">
        <f>IF(#REF!="T", 0, IF(#REF!="C", 0, ""))</f>
        <v>#REF!</v>
      </c>
    </row>
    <row r="544" spans="1:2" x14ac:dyDescent="0.25">
      <c r="A544" s="1"/>
      <c r="B544" t="e">
        <f>IF(#REF!="T", 0, IF(#REF!="C", 0, ""))</f>
        <v>#REF!</v>
      </c>
    </row>
    <row r="545" spans="1:2" x14ac:dyDescent="0.25">
      <c r="A545" s="1"/>
      <c r="B545" t="e">
        <f>IF(#REF!="T", 0, IF(#REF!="C", 0, ""))</f>
        <v>#REF!</v>
      </c>
    </row>
    <row r="546" spans="1:2" x14ac:dyDescent="0.25">
      <c r="A546" s="1"/>
      <c r="B546" t="e">
        <f>IF(#REF!="T", 0, IF(#REF!="C", 0, ""))</f>
        <v>#REF!</v>
      </c>
    </row>
    <row r="547" spans="1:2" x14ac:dyDescent="0.25">
      <c r="A547" s="1"/>
      <c r="B547" t="e">
        <f>IF(#REF!="T", 0, IF(#REF!="C", 0, ""))</f>
        <v>#REF!</v>
      </c>
    </row>
    <row r="548" spans="1:2" x14ac:dyDescent="0.25">
      <c r="A548" s="1"/>
      <c r="B548" t="e">
        <f>IF(#REF!="T", 0, IF(#REF!="C", 0, ""))</f>
        <v>#REF!</v>
      </c>
    </row>
    <row r="549" spans="1:2" x14ac:dyDescent="0.25">
      <c r="A549" s="1"/>
      <c r="B549" t="e">
        <f>IF(#REF!="T", 0, IF(#REF!="C", 0, ""))</f>
        <v>#REF!</v>
      </c>
    </row>
    <row r="550" spans="1:2" x14ac:dyDescent="0.25">
      <c r="A550" s="1"/>
      <c r="B550" t="e">
        <f>IF(#REF!="T", 0, IF(#REF!="C", 0, ""))</f>
        <v>#REF!</v>
      </c>
    </row>
    <row r="551" spans="1:2" x14ac:dyDescent="0.25">
      <c r="A551" s="1"/>
      <c r="B551" t="e">
        <f>IF(#REF!="T", 0, IF(#REF!="C", 0, ""))</f>
        <v>#REF!</v>
      </c>
    </row>
    <row r="552" spans="1:2" x14ac:dyDescent="0.25">
      <c r="A552" s="1"/>
      <c r="B552" t="e">
        <f>IF(#REF!="T", 0, IF(#REF!="C", 0, ""))</f>
        <v>#REF!</v>
      </c>
    </row>
    <row r="553" spans="1:2" x14ac:dyDescent="0.25">
      <c r="A553" s="1"/>
      <c r="B553" t="e">
        <f>IF(#REF!="T", 0, IF(#REF!="C", 0, ""))</f>
        <v>#REF!</v>
      </c>
    </row>
    <row r="554" spans="1:2" x14ac:dyDescent="0.25">
      <c r="A554" s="1"/>
      <c r="B554" t="e">
        <f>IF(#REF!="T", 0, IF(#REF!="C", 0, ""))</f>
        <v>#REF!</v>
      </c>
    </row>
    <row r="555" spans="1:2" x14ac:dyDescent="0.25">
      <c r="A555" s="1"/>
      <c r="B555" t="e">
        <f>IF(#REF!="T", 0, IF(#REF!="C", 0, ""))</f>
        <v>#REF!</v>
      </c>
    </row>
    <row r="556" spans="1:2" x14ac:dyDescent="0.25">
      <c r="A556" s="1"/>
      <c r="B556" t="e">
        <f>IF(#REF!="T", 0, IF(#REF!="C", 0, ""))</f>
        <v>#REF!</v>
      </c>
    </row>
    <row r="557" spans="1:2" x14ac:dyDescent="0.25">
      <c r="A557" s="1"/>
      <c r="B557" t="e">
        <f>IF(#REF!="T", 0, IF(#REF!="C", 0, ""))</f>
        <v>#REF!</v>
      </c>
    </row>
    <row r="558" spans="1:2" x14ac:dyDescent="0.25">
      <c r="A558" s="1"/>
      <c r="B558" t="e">
        <f>IF(#REF!="T", 0, IF(#REF!="C", 0, ""))</f>
        <v>#REF!</v>
      </c>
    </row>
    <row r="559" spans="1:2" x14ac:dyDescent="0.25">
      <c r="A559" s="1"/>
      <c r="B559" t="e">
        <f>IF(#REF!="T", 0, IF(#REF!="C", 0, ""))</f>
        <v>#REF!</v>
      </c>
    </row>
    <row r="560" spans="1:2" x14ac:dyDescent="0.25">
      <c r="A560" s="1"/>
      <c r="B560" t="e">
        <f>IF(#REF!="T", 0, IF(#REF!="C", 0, ""))</f>
        <v>#REF!</v>
      </c>
    </row>
    <row r="561" spans="1:2" x14ac:dyDescent="0.25">
      <c r="A561" s="1"/>
      <c r="B561" t="e">
        <f>IF(#REF!="T", 0, IF(#REF!="C", 0, ""))</f>
        <v>#REF!</v>
      </c>
    </row>
    <row r="562" spans="1:2" x14ac:dyDescent="0.25">
      <c r="A562" s="1"/>
      <c r="B562" t="e">
        <f>IF(#REF!="T", 0, IF(#REF!="C", 0, ""))</f>
        <v>#REF!</v>
      </c>
    </row>
    <row r="563" spans="1:2" x14ac:dyDescent="0.25">
      <c r="A563" s="1"/>
      <c r="B563" t="e">
        <f>IF(#REF!="T", 0, IF(#REF!="C", 0, ""))</f>
        <v>#REF!</v>
      </c>
    </row>
    <row r="564" spans="1:2" x14ac:dyDescent="0.25">
      <c r="A564" s="1"/>
      <c r="B564" t="e">
        <f>IF(#REF!="T", 0, IF(#REF!="C", 0, ""))</f>
        <v>#REF!</v>
      </c>
    </row>
    <row r="565" spans="1:2" x14ac:dyDescent="0.25">
      <c r="A565" s="1"/>
      <c r="B565" t="e">
        <f>IF(#REF!="T", 0, IF(#REF!="C", 0, ""))</f>
        <v>#REF!</v>
      </c>
    </row>
    <row r="566" spans="1:2" x14ac:dyDescent="0.25">
      <c r="A566" s="1"/>
      <c r="B566" t="e">
        <f>IF(#REF!="T", 0, IF(#REF!="C", 0, ""))</f>
        <v>#REF!</v>
      </c>
    </row>
    <row r="567" spans="1:2" x14ac:dyDescent="0.25">
      <c r="A567" s="1"/>
      <c r="B567" t="e">
        <f>IF(#REF!="T", 0, IF(#REF!="C", 0, ""))</f>
        <v>#REF!</v>
      </c>
    </row>
    <row r="568" spans="1:2" x14ac:dyDescent="0.25">
      <c r="A568" s="1"/>
      <c r="B568" t="e">
        <f>IF(#REF!="T", 0, IF(#REF!="C", 0, ""))</f>
        <v>#REF!</v>
      </c>
    </row>
    <row r="569" spans="1:2" x14ac:dyDescent="0.25">
      <c r="A569" s="1"/>
      <c r="B569" t="e">
        <f>IF(#REF!="T", 0, IF(#REF!="C", 0, ""))</f>
        <v>#REF!</v>
      </c>
    </row>
    <row r="570" spans="1:2" x14ac:dyDescent="0.25">
      <c r="A570" s="1"/>
      <c r="B570" t="e">
        <f>IF(#REF!="T", 0, IF(#REF!="C", 0, ""))</f>
        <v>#REF!</v>
      </c>
    </row>
    <row r="571" spans="1:2" x14ac:dyDescent="0.25">
      <c r="A571" s="1"/>
      <c r="B571" t="e">
        <f>IF(#REF!="T", 0, IF(#REF!="C", 0, ""))</f>
        <v>#REF!</v>
      </c>
    </row>
    <row r="572" spans="1:2" x14ac:dyDescent="0.25">
      <c r="A572" s="1"/>
      <c r="B572" t="e">
        <f>IF(#REF!="T", 0, IF(#REF!="C", 0, ""))</f>
        <v>#REF!</v>
      </c>
    </row>
    <row r="573" spans="1:2" x14ac:dyDescent="0.25">
      <c r="A573" s="1"/>
      <c r="B573" t="e">
        <f>IF(#REF!="T", 0, IF(#REF!="C", 0, ""))</f>
        <v>#REF!</v>
      </c>
    </row>
    <row r="574" spans="1:2" x14ac:dyDescent="0.25">
      <c r="A574" s="1"/>
      <c r="B574" t="e">
        <f>IF(#REF!="T", 0, IF(#REF!="C", 0, ""))</f>
        <v>#REF!</v>
      </c>
    </row>
    <row r="575" spans="1:2" x14ac:dyDescent="0.25">
      <c r="A575" s="1"/>
      <c r="B575" t="e">
        <f>IF(#REF!="T", 0, IF(#REF!="C", 0, ""))</f>
        <v>#REF!</v>
      </c>
    </row>
    <row r="576" spans="1:2" x14ac:dyDescent="0.25">
      <c r="A576" s="1"/>
      <c r="B576" t="e">
        <f>IF(#REF!="T", 0, IF(#REF!="C", 0, ""))</f>
        <v>#REF!</v>
      </c>
    </row>
    <row r="577" spans="1:2" x14ac:dyDescent="0.25">
      <c r="A577" s="1"/>
      <c r="B577" t="e">
        <f>IF(#REF!="T", 0, IF(#REF!="C", 0, ""))</f>
        <v>#REF!</v>
      </c>
    </row>
    <row r="578" spans="1:2" x14ac:dyDescent="0.25">
      <c r="A578" s="1"/>
      <c r="B578" t="e">
        <f>IF(#REF!="T", 0, IF(#REF!="C", 0, ""))</f>
        <v>#REF!</v>
      </c>
    </row>
    <row r="579" spans="1:2" x14ac:dyDescent="0.25">
      <c r="A579" s="1"/>
      <c r="B579" t="e">
        <f>IF(#REF!="T", 0, IF(#REF!="C", 0, ""))</f>
        <v>#REF!</v>
      </c>
    </row>
    <row r="580" spans="1:2" x14ac:dyDescent="0.25">
      <c r="A580" s="1"/>
      <c r="B580" t="e">
        <f>IF(#REF!="T", 0, IF(#REF!="C", 0, ""))</f>
        <v>#REF!</v>
      </c>
    </row>
    <row r="581" spans="1:2" x14ac:dyDescent="0.25">
      <c r="A581" s="1"/>
      <c r="B581" t="e">
        <f>IF(#REF!="T", 0, IF(#REF!="C", 0, ""))</f>
        <v>#REF!</v>
      </c>
    </row>
    <row r="582" spans="1:2" x14ac:dyDescent="0.25">
      <c r="A582" s="1"/>
      <c r="B582" t="e">
        <f>IF(#REF!="T", 0, IF(#REF!="C", 0, ""))</f>
        <v>#REF!</v>
      </c>
    </row>
    <row r="583" spans="1:2" x14ac:dyDescent="0.25">
      <c r="A583" s="1"/>
      <c r="B583" t="e">
        <f>IF(#REF!="T", 0, IF(#REF!="C", 0, ""))</f>
        <v>#REF!</v>
      </c>
    </row>
    <row r="584" spans="1:2" x14ac:dyDescent="0.25">
      <c r="A584" s="1"/>
      <c r="B584" t="e">
        <f>IF(#REF!="T", 0, IF(#REF!="C", 0, ""))</f>
        <v>#REF!</v>
      </c>
    </row>
    <row r="585" spans="1:2" x14ac:dyDescent="0.25">
      <c r="A585" s="1"/>
      <c r="B585" t="e">
        <f>IF(#REF!="T", 0, IF(#REF!="C", 0, ""))</f>
        <v>#REF!</v>
      </c>
    </row>
    <row r="586" spans="1:2" x14ac:dyDescent="0.25">
      <c r="A586" s="1"/>
      <c r="B586" t="e">
        <f>IF(#REF!="T", 0, IF(#REF!="C", 0, ""))</f>
        <v>#REF!</v>
      </c>
    </row>
    <row r="587" spans="1:2" x14ac:dyDescent="0.25">
      <c r="A587" s="1"/>
      <c r="B587" t="e">
        <f>IF(#REF!="T", 0, IF(#REF!="C", 0, ""))</f>
        <v>#REF!</v>
      </c>
    </row>
    <row r="588" spans="1:2" x14ac:dyDescent="0.25">
      <c r="A588" s="1"/>
      <c r="B588" t="e">
        <f>IF(#REF!="T", 0, IF(#REF!="C", 0, ""))</f>
        <v>#REF!</v>
      </c>
    </row>
    <row r="589" spans="1:2" x14ac:dyDescent="0.25">
      <c r="A589" s="1"/>
      <c r="B589" t="e">
        <f>IF(#REF!="T", 0, IF(#REF!="C", 0, ""))</f>
        <v>#REF!</v>
      </c>
    </row>
    <row r="590" spans="1:2" x14ac:dyDescent="0.25">
      <c r="A590" s="1"/>
      <c r="B590" t="e">
        <f>IF(#REF!="T", 0, IF(#REF!="C", 0, ""))</f>
        <v>#REF!</v>
      </c>
    </row>
    <row r="591" spans="1:2" x14ac:dyDescent="0.25">
      <c r="A591" s="1"/>
      <c r="B591" t="e">
        <f>IF(#REF!="T", 0, IF(#REF!="C", 0, ""))</f>
        <v>#REF!</v>
      </c>
    </row>
    <row r="592" spans="1:2" x14ac:dyDescent="0.25">
      <c r="A592" s="1"/>
      <c r="B592" t="e">
        <f>IF(#REF!="T", 0, IF(#REF!="C", 0, ""))</f>
        <v>#REF!</v>
      </c>
    </row>
    <row r="593" spans="1:2" x14ac:dyDescent="0.25">
      <c r="A593" s="1"/>
      <c r="B593" t="e">
        <f>IF(#REF!="T", 0, IF(#REF!="C", 0, ""))</f>
        <v>#REF!</v>
      </c>
    </row>
    <row r="594" spans="1:2" x14ac:dyDescent="0.25">
      <c r="A594" s="1"/>
      <c r="B594" t="e">
        <f>IF(#REF!="T", 0, IF(#REF!="C", 0, ""))</f>
        <v>#REF!</v>
      </c>
    </row>
    <row r="595" spans="1:2" x14ac:dyDescent="0.25">
      <c r="A595" s="1"/>
      <c r="B595" t="e">
        <f>IF(#REF!="T", 0, IF(#REF!="C", 0, ""))</f>
        <v>#REF!</v>
      </c>
    </row>
    <row r="596" spans="1:2" x14ac:dyDescent="0.25">
      <c r="A596" s="1"/>
      <c r="B596" t="e">
        <f>IF(#REF!="T", 0, IF(#REF!="C", 0, ""))</f>
        <v>#REF!</v>
      </c>
    </row>
    <row r="597" spans="1:2" x14ac:dyDescent="0.25">
      <c r="A597" s="1"/>
      <c r="B597" t="e">
        <f>IF(#REF!="T", 0, IF(#REF!="C", 0, ""))</f>
        <v>#REF!</v>
      </c>
    </row>
    <row r="598" spans="1:2" x14ac:dyDescent="0.25">
      <c r="A598" s="1"/>
      <c r="B598" t="e">
        <f>IF(#REF!="T", 0, IF(#REF!="C", 0, ""))</f>
        <v>#REF!</v>
      </c>
    </row>
    <row r="599" spans="1:2" x14ac:dyDescent="0.25">
      <c r="A599" s="1"/>
      <c r="B599" t="e">
        <f>IF(#REF!="T", 0, IF(#REF!="C", 0, ""))</f>
        <v>#REF!</v>
      </c>
    </row>
    <row r="600" spans="1:2" x14ac:dyDescent="0.25">
      <c r="A600" s="1"/>
      <c r="B600" t="e">
        <f>IF(#REF!="T", 0, IF(#REF!="C", 0, ""))</f>
        <v>#REF!</v>
      </c>
    </row>
    <row r="601" spans="1:2" x14ac:dyDescent="0.25">
      <c r="A601" s="1"/>
      <c r="B601" t="e">
        <f>IF(#REF!="T", 0, IF(#REF!="C", 0, ""))</f>
        <v>#REF!</v>
      </c>
    </row>
    <row r="602" spans="1:2" x14ac:dyDescent="0.25">
      <c r="A602" s="1"/>
      <c r="B602" t="e">
        <f>IF(#REF!="T", 0, IF(#REF!="C", 0, ""))</f>
        <v>#REF!</v>
      </c>
    </row>
    <row r="603" spans="1:2" x14ac:dyDescent="0.25">
      <c r="A603" s="1"/>
      <c r="B603" t="e">
        <f>IF(#REF!="T", 0, IF(#REF!="C", 0, ""))</f>
        <v>#REF!</v>
      </c>
    </row>
    <row r="604" spans="1:2" x14ac:dyDescent="0.25">
      <c r="A604" s="1"/>
      <c r="B604" t="e">
        <f>IF(#REF!="T", 0, IF(#REF!="C", 0, ""))</f>
        <v>#REF!</v>
      </c>
    </row>
    <row r="605" spans="1:2" x14ac:dyDescent="0.25">
      <c r="A605" s="1"/>
      <c r="B605" t="e">
        <f>IF(#REF!="T", 0, IF(#REF!="C", 0, ""))</f>
        <v>#REF!</v>
      </c>
    </row>
    <row r="606" spans="1:2" x14ac:dyDescent="0.25">
      <c r="A606" s="1"/>
      <c r="B606" t="e">
        <f>IF(#REF!="T", 0, IF(#REF!="C", 0, ""))</f>
        <v>#REF!</v>
      </c>
    </row>
    <row r="607" spans="1:2" x14ac:dyDescent="0.25">
      <c r="A607" s="1"/>
      <c r="B607" t="e">
        <f>IF(#REF!="T", 0, IF(#REF!="C", 0, ""))</f>
        <v>#REF!</v>
      </c>
    </row>
    <row r="608" spans="1:2" x14ac:dyDescent="0.25">
      <c r="A608" s="1"/>
      <c r="B608" t="e">
        <f>IF(#REF!="T", 0, IF(#REF!="C", 0, ""))</f>
        <v>#REF!</v>
      </c>
    </row>
    <row r="609" spans="1:2" x14ac:dyDescent="0.25">
      <c r="A609" s="1"/>
      <c r="B609" t="e">
        <f>IF(#REF!="T", 0, IF(#REF!="C", 0, ""))</f>
        <v>#REF!</v>
      </c>
    </row>
    <row r="610" spans="1:2" x14ac:dyDescent="0.25">
      <c r="A610" s="1"/>
      <c r="B610" t="e">
        <f>IF(#REF!="T", 0, IF(#REF!="C", 0, ""))</f>
        <v>#REF!</v>
      </c>
    </row>
    <row r="611" spans="1:2" x14ac:dyDescent="0.25">
      <c r="A611" s="1"/>
      <c r="B611" t="e">
        <f>IF(#REF!="T", 0, IF(#REF!="C", 0, ""))</f>
        <v>#REF!</v>
      </c>
    </row>
    <row r="612" spans="1:2" x14ac:dyDescent="0.25">
      <c r="A612" s="1"/>
      <c r="B612" t="e">
        <f>IF(#REF!="T", 0, IF(#REF!="C", 0, ""))</f>
        <v>#REF!</v>
      </c>
    </row>
    <row r="613" spans="1:2" x14ac:dyDescent="0.25">
      <c r="A613" s="1"/>
      <c r="B613" t="e">
        <f>IF(#REF!="T", 0, IF(#REF!="C", 0, ""))</f>
        <v>#REF!</v>
      </c>
    </row>
    <row r="614" spans="1:2" x14ac:dyDescent="0.25">
      <c r="A614" s="1"/>
      <c r="B614" t="e">
        <f>IF(#REF!="T", 0, IF(#REF!="C", 0, ""))</f>
        <v>#REF!</v>
      </c>
    </row>
    <row r="615" spans="1:2" x14ac:dyDescent="0.25">
      <c r="A615" s="1"/>
      <c r="B615" t="e">
        <f>IF(#REF!="T", 0, IF(#REF!="C", 0, ""))</f>
        <v>#REF!</v>
      </c>
    </row>
    <row r="616" spans="1:2" x14ac:dyDescent="0.25">
      <c r="A616" s="1"/>
      <c r="B616" t="e">
        <f>IF(#REF!="T", 0, IF(#REF!="C", 0, ""))</f>
        <v>#REF!</v>
      </c>
    </row>
    <row r="617" spans="1:2" x14ac:dyDescent="0.25">
      <c r="A617" s="1"/>
      <c r="B617" t="e">
        <f>IF(#REF!="T", 0, IF(#REF!="C", 0, ""))</f>
        <v>#REF!</v>
      </c>
    </row>
    <row r="618" spans="1:2" x14ac:dyDescent="0.25">
      <c r="A618" s="1"/>
      <c r="B618" t="e">
        <f>IF(#REF!="T", 0, IF(#REF!="C", 0, ""))</f>
        <v>#REF!</v>
      </c>
    </row>
    <row r="619" spans="1:2" x14ac:dyDescent="0.25">
      <c r="A619" s="1"/>
      <c r="B619" t="e">
        <f>IF(#REF!="T", 0, IF(#REF!="C", 0, ""))</f>
        <v>#REF!</v>
      </c>
    </row>
    <row r="620" spans="1:2" x14ac:dyDescent="0.25">
      <c r="A620" s="1"/>
      <c r="B620" t="e">
        <f>IF(#REF!="T", 0, IF(#REF!="C", 0, ""))</f>
        <v>#REF!</v>
      </c>
    </row>
    <row r="621" spans="1:2" x14ac:dyDescent="0.25">
      <c r="A621" s="1"/>
      <c r="B621" t="e">
        <f>IF(#REF!="T", 0, IF(#REF!="C", 0, ""))</f>
        <v>#REF!</v>
      </c>
    </row>
    <row r="622" spans="1:2" x14ac:dyDescent="0.25">
      <c r="A622" s="1"/>
      <c r="B622" t="e">
        <f>IF(#REF!="T", 0, IF(#REF!="C", 0, ""))</f>
        <v>#REF!</v>
      </c>
    </row>
    <row r="623" spans="1:2" x14ac:dyDescent="0.25">
      <c r="A623" s="1"/>
      <c r="B623" t="e">
        <f>IF(#REF!="T", 0, IF(#REF!="C", 0, ""))</f>
        <v>#REF!</v>
      </c>
    </row>
    <row r="624" spans="1:2" x14ac:dyDescent="0.25">
      <c r="A624" s="1"/>
      <c r="B624" t="e">
        <f>IF(#REF!="T", 0, IF(#REF!="C", 0, ""))</f>
        <v>#REF!</v>
      </c>
    </row>
    <row r="625" spans="1:2" x14ac:dyDescent="0.25">
      <c r="A625" s="1"/>
      <c r="B625" t="e">
        <f>IF(#REF!="T", 0, IF(#REF!="C", 0, ""))</f>
        <v>#REF!</v>
      </c>
    </row>
    <row r="626" spans="1:2" x14ac:dyDescent="0.25">
      <c r="A626" s="1"/>
      <c r="B626" t="e">
        <f>IF(#REF!="T", 0, IF(#REF!="C", 0, ""))</f>
        <v>#REF!</v>
      </c>
    </row>
    <row r="627" spans="1:2" x14ac:dyDescent="0.25">
      <c r="A627" s="1"/>
      <c r="B627" t="e">
        <f>IF(#REF!="T", 0, IF(#REF!="C", 0, ""))</f>
        <v>#REF!</v>
      </c>
    </row>
    <row r="628" spans="1:2" x14ac:dyDescent="0.25">
      <c r="A628" s="1"/>
      <c r="B628" t="e">
        <f>IF(#REF!="T", 0, IF(#REF!="C", 0, ""))</f>
        <v>#REF!</v>
      </c>
    </row>
    <row r="629" spans="1:2" x14ac:dyDescent="0.25">
      <c r="A629" s="1"/>
      <c r="B629" t="e">
        <f>IF(#REF!="T", 0, IF(#REF!="C", 0, ""))</f>
        <v>#REF!</v>
      </c>
    </row>
    <row r="630" spans="1:2" x14ac:dyDescent="0.25">
      <c r="A630" s="1"/>
      <c r="B630" t="e">
        <f>IF(#REF!="T", 0, IF(#REF!="C", 0, ""))</f>
        <v>#REF!</v>
      </c>
    </row>
    <row r="631" spans="1:2" x14ac:dyDescent="0.25">
      <c r="A631" s="1"/>
      <c r="B631" t="e">
        <f>IF(#REF!="T", 0, IF(#REF!="C", 0, ""))</f>
        <v>#REF!</v>
      </c>
    </row>
    <row r="632" spans="1:2" x14ac:dyDescent="0.25">
      <c r="A632" s="1"/>
      <c r="B632" t="e">
        <f>IF(#REF!="T", 0, IF(#REF!="C", 0, ""))</f>
        <v>#REF!</v>
      </c>
    </row>
    <row r="633" spans="1:2" x14ac:dyDescent="0.25">
      <c r="A633" s="1"/>
      <c r="B633" t="e">
        <f>IF(#REF!="T", 0, IF(#REF!="C", 0, ""))</f>
        <v>#REF!</v>
      </c>
    </row>
    <row r="634" spans="1:2" x14ac:dyDescent="0.25">
      <c r="A634" s="1"/>
      <c r="B634" t="e">
        <f>IF(#REF!="T", 0, IF(#REF!="C", 0, ""))</f>
        <v>#REF!</v>
      </c>
    </row>
    <row r="635" spans="1:2" x14ac:dyDescent="0.25">
      <c r="A635" s="1"/>
      <c r="B635" t="e">
        <f>IF(#REF!="T", 0, IF(#REF!="C", 0, ""))</f>
        <v>#REF!</v>
      </c>
    </row>
    <row r="636" spans="1:2" x14ac:dyDescent="0.25">
      <c r="A636" s="1"/>
      <c r="B636" t="e">
        <f>IF(#REF!="T", 0, IF(#REF!="C", 0, ""))</f>
        <v>#REF!</v>
      </c>
    </row>
    <row r="637" spans="1:2" x14ac:dyDescent="0.25">
      <c r="A637" s="1"/>
      <c r="B637" t="e">
        <f>IF(#REF!="T", 0, IF(#REF!="C", 0, ""))</f>
        <v>#REF!</v>
      </c>
    </row>
    <row r="638" spans="1:2" x14ac:dyDescent="0.25">
      <c r="A638" s="1"/>
      <c r="B638" t="e">
        <f>IF(#REF!="T", 0, IF(#REF!="C", 0, ""))</f>
        <v>#REF!</v>
      </c>
    </row>
    <row r="639" spans="1:2" x14ac:dyDescent="0.25">
      <c r="A639" s="1"/>
      <c r="B639" t="e">
        <f>IF(#REF!="T", 0, IF(#REF!="C", 0, ""))</f>
        <v>#REF!</v>
      </c>
    </row>
    <row r="640" spans="1:2" x14ac:dyDescent="0.25">
      <c r="A640" s="1"/>
      <c r="B640" t="e">
        <f>IF(#REF!="T", 0, IF(#REF!="C", 0, ""))</f>
        <v>#REF!</v>
      </c>
    </row>
    <row r="641" spans="1:2" x14ac:dyDescent="0.25">
      <c r="A641" s="1"/>
      <c r="B641" t="e">
        <f>IF(#REF!="T", 0, IF(#REF!="C", 0, ""))</f>
        <v>#REF!</v>
      </c>
    </row>
    <row r="642" spans="1:2" x14ac:dyDescent="0.25">
      <c r="A642" s="1"/>
      <c r="B642" t="e">
        <f>IF(#REF!="T", 0, IF(#REF!="C", 0, ""))</f>
        <v>#REF!</v>
      </c>
    </row>
    <row r="643" spans="1:2" x14ac:dyDescent="0.25">
      <c r="A643" s="1"/>
      <c r="B643" t="e">
        <f>IF(#REF!="T", 0, IF(#REF!="C", 0, ""))</f>
        <v>#REF!</v>
      </c>
    </row>
    <row r="644" spans="1:2" x14ac:dyDescent="0.25">
      <c r="A644" s="1"/>
      <c r="B644" t="e">
        <f>IF(#REF!="T", 0, IF(#REF!="C", 0, ""))</f>
        <v>#REF!</v>
      </c>
    </row>
    <row r="645" spans="1:2" x14ac:dyDescent="0.25">
      <c r="A645" s="1"/>
      <c r="B645" t="e">
        <f>IF(#REF!="T", 0, IF(#REF!="C", 0, ""))</f>
        <v>#REF!</v>
      </c>
    </row>
    <row r="646" spans="1:2" x14ac:dyDescent="0.25">
      <c r="A646" s="1"/>
      <c r="B646" t="e">
        <f>IF(#REF!="T", 0, IF(#REF!="C", 0, ""))</f>
        <v>#REF!</v>
      </c>
    </row>
    <row r="647" spans="1:2" x14ac:dyDescent="0.25">
      <c r="A647" s="1"/>
      <c r="B647" t="e">
        <f>IF(#REF!="T", 0, IF(#REF!="C", 0, ""))</f>
        <v>#REF!</v>
      </c>
    </row>
    <row r="648" spans="1:2" x14ac:dyDescent="0.25">
      <c r="A648" s="1"/>
      <c r="B648" t="e">
        <f>IF(#REF!="T", 0, IF(#REF!="C", 0, ""))</f>
        <v>#REF!</v>
      </c>
    </row>
    <row r="649" spans="1:2" x14ac:dyDescent="0.25">
      <c r="A649" s="1"/>
      <c r="B649" t="e">
        <f>IF(#REF!="T", 0, IF(#REF!="C", 0, ""))</f>
        <v>#REF!</v>
      </c>
    </row>
    <row r="650" spans="1:2" x14ac:dyDescent="0.25">
      <c r="A650" s="1"/>
      <c r="B650" t="e">
        <f>IF(#REF!="T", 0, IF(#REF!="C", 0, ""))</f>
        <v>#REF!</v>
      </c>
    </row>
    <row r="651" spans="1:2" x14ac:dyDescent="0.25">
      <c r="A651" s="1"/>
      <c r="B651" t="e">
        <f>IF(#REF!="T", 0, IF(#REF!="C", 0, ""))</f>
        <v>#REF!</v>
      </c>
    </row>
    <row r="652" spans="1:2" x14ac:dyDescent="0.25">
      <c r="A652" s="1"/>
      <c r="B652" t="e">
        <f>IF(#REF!="T", 0, IF(#REF!="C", 0, ""))</f>
        <v>#REF!</v>
      </c>
    </row>
    <row r="653" spans="1:2" x14ac:dyDescent="0.25">
      <c r="A653" s="1"/>
      <c r="B653" t="e">
        <f>IF(#REF!="T", 0, IF(#REF!="C", 0, ""))</f>
        <v>#REF!</v>
      </c>
    </row>
    <row r="654" spans="1:2" x14ac:dyDescent="0.25">
      <c r="A654" s="1"/>
      <c r="B654" t="e">
        <f>IF(#REF!="T", 0, IF(#REF!="C", 0, ""))</f>
        <v>#REF!</v>
      </c>
    </row>
    <row r="655" spans="1:2" x14ac:dyDescent="0.25">
      <c r="A655" s="1"/>
      <c r="B655" t="e">
        <f>IF(#REF!="T", 0, IF(#REF!="C", 0, ""))</f>
        <v>#REF!</v>
      </c>
    </row>
    <row r="656" spans="1:2" x14ac:dyDescent="0.25">
      <c r="A656" s="1"/>
      <c r="B656" t="e">
        <f>IF(#REF!="T", 0, IF(#REF!="C", 0, ""))</f>
        <v>#REF!</v>
      </c>
    </row>
    <row r="657" spans="1:2" x14ac:dyDescent="0.25">
      <c r="A657" s="1"/>
      <c r="B657" t="e">
        <f>IF(#REF!="T", 0, IF(#REF!="C", 0, ""))</f>
        <v>#REF!</v>
      </c>
    </row>
    <row r="658" spans="1:2" x14ac:dyDescent="0.25">
      <c r="A658" s="1"/>
      <c r="B658" t="e">
        <f>IF(#REF!="T", 0, IF(#REF!="C", 0, ""))</f>
        <v>#REF!</v>
      </c>
    </row>
    <row r="659" spans="1:2" x14ac:dyDescent="0.25">
      <c r="A659" s="1"/>
      <c r="B659" t="e">
        <f>IF(#REF!="T", 0, IF(#REF!="C", 0, ""))</f>
        <v>#REF!</v>
      </c>
    </row>
    <row r="660" spans="1:2" x14ac:dyDescent="0.25">
      <c r="A660" s="1"/>
      <c r="B660" t="e">
        <f>IF(#REF!="T", 0, IF(#REF!="C", 0, ""))</f>
        <v>#REF!</v>
      </c>
    </row>
    <row r="661" spans="1:2" x14ac:dyDescent="0.25">
      <c r="A661" s="1"/>
      <c r="B661" t="e">
        <f>IF(#REF!="T", 0, IF(#REF!="C", 0, ""))</f>
        <v>#REF!</v>
      </c>
    </row>
    <row r="662" spans="1:2" x14ac:dyDescent="0.25">
      <c r="A662" s="1"/>
      <c r="B662" t="e">
        <f>IF(#REF!="T", 0, IF(#REF!="C", 0, ""))</f>
        <v>#REF!</v>
      </c>
    </row>
    <row r="663" spans="1:2" x14ac:dyDescent="0.25">
      <c r="A663" s="1"/>
      <c r="B663" t="e">
        <f>IF(#REF!="T", 0, IF(#REF!="C", 0, ""))</f>
        <v>#REF!</v>
      </c>
    </row>
    <row r="664" spans="1:2" x14ac:dyDescent="0.25">
      <c r="A664" s="1"/>
      <c r="B664" t="e">
        <f>IF(#REF!="T", 0, IF(#REF!="C", 0, ""))</f>
        <v>#REF!</v>
      </c>
    </row>
    <row r="665" spans="1:2" x14ac:dyDescent="0.25">
      <c r="A665" s="1"/>
      <c r="B665" t="e">
        <f>IF(#REF!="T", 0, IF(#REF!="C", 0, ""))</f>
        <v>#REF!</v>
      </c>
    </row>
    <row r="666" spans="1:2" x14ac:dyDescent="0.25">
      <c r="A666" s="1"/>
      <c r="B666" t="e">
        <f>IF(#REF!="T", 0, IF(#REF!="C", 0, ""))</f>
        <v>#REF!</v>
      </c>
    </row>
    <row r="667" spans="1:2" x14ac:dyDescent="0.25">
      <c r="A667" s="1"/>
      <c r="B667" t="e">
        <f>IF(#REF!="T", 0, IF(#REF!="C", 0, ""))</f>
        <v>#REF!</v>
      </c>
    </row>
    <row r="668" spans="1:2" x14ac:dyDescent="0.25">
      <c r="A668" s="1"/>
      <c r="B668" t="e">
        <f>IF(#REF!="T", 0, IF(#REF!="C", 0, ""))</f>
        <v>#REF!</v>
      </c>
    </row>
    <row r="669" spans="1:2" x14ac:dyDescent="0.25">
      <c r="A669" s="1"/>
      <c r="B669" t="e">
        <f>IF(#REF!="T", 0, IF(#REF!="C", 0, ""))</f>
        <v>#REF!</v>
      </c>
    </row>
    <row r="670" spans="1:2" x14ac:dyDescent="0.25">
      <c r="A670" s="1"/>
      <c r="B670" t="e">
        <f>IF(#REF!="T", 0, IF(#REF!="C", 0, ""))</f>
        <v>#REF!</v>
      </c>
    </row>
    <row r="671" spans="1:2" x14ac:dyDescent="0.25">
      <c r="A671" s="1"/>
      <c r="B671" t="e">
        <f>IF(#REF!="T", 0, IF(#REF!="C", 0, ""))</f>
        <v>#REF!</v>
      </c>
    </row>
    <row r="672" spans="1:2" x14ac:dyDescent="0.25">
      <c r="A672" s="1"/>
      <c r="B672" t="e">
        <f>IF(#REF!="T", 0, IF(#REF!="C", 0, ""))</f>
        <v>#REF!</v>
      </c>
    </row>
    <row r="673" spans="1:2" x14ac:dyDescent="0.25">
      <c r="A673" s="1"/>
      <c r="B673" t="e">
        <f>IF(#REF!="T", 0, IF(#REF!="C", 0, ""))</f>
        <v>#REF!</v>
      </c>
    </row>
    <row r="674" spans="1:2" x14ac:dyDescent="0.25">
      <c r="A674" s="1"/>
      <c r="B674" t="e">
        <f>IF(#REF!="T", 0, IF(#REF!="C", 0, ""))</f>
        <v>#REF!</v>
      </c>
    </row>
    <row r="675" spans="1:2" x14ac:dyDescent="0.25">
      <c r="A675" s="1"/>
      <c r="B675" t="e">
        <f>IF(#REF!="T", 0, IF(#REF!="C", 0, ""))</f>
        <v>#REF!</v>
      </c>
    </row>
    <row r="676" spans="1:2" x14ac:dyDescent="0.25">
      <c r="A676" s="1"/>
      <c r="B676" t="e">
        <f>IF(#REF!="T", 0, IF(#REF!="C", 0, ""))</f>
        <v>#REF!</v>
      </c>
    </row>
    <row r="677" spans="1:2" x14ac:dyDescent="0.25">
      <c r="A677" s="1"/>
      <c r="B677" t="e">
        <f>IF(#REF!="T", 0, IF(#REF!="C", 0, ""))</f>
        <v>#REF!</v>
      </c>
    </row>
    <row r="678" spans="1:2" x14ac:dyDescent="0.25">
      <c r="A678" s="1"/>
      <c r="B678" t="e">
        <f>IF(#REF!="T", 0, IF(#REF!="C", 0, ""))</f>
        <v>#REF!</v>
      </c>
    </row>
    <row r="679" spans="1:2" x14ac:dyDescent="0.25">
      <c r="A679" s="1"/>
      <c r="B679" t="e">
        <f>IF(#REF!="T", 0, IF(#REF!="C", 0, ""))</f>
        <v>#REF!</v>
      </c>
    </row>
    <row r="680" spans="1:2" x14ac:dyDescent="0.25">
      <c r="A680" s="1"/>
      <c r="B680" t="e">
        <f>IF(#REF!="T", 0, IF(#REF!="C", 0, ""))</f>
        <v>#REF!</v>
      </c>
    </row>
    <row r="681" spans="1:2" x14ac:dyDescent="0.25">
      <c r="A681" s="1"/>
      <c r="B681" t="e">
        <f>IF(#REF!="T", 0, IF(#REF!="C", 0, ""))</f>
        <v>#REF!</v>
      </c>
    </row>
    <row r="682" spans="1:2" x14ac:dyDescent="0.25">
      <c r="A682" s="1"/>
      <c r="B682" t="e">
        <f>IF(#REF!="T", 0, IF(#REF!="C", 0, ""))</f>
        <v>#REF!</v>
      </c>
    </row>
    <row r="683" spans="1:2" x14ac:dyDescent="0.25">
      <c r="A683" s="1"/>
      <c r="B683" t="e">
        <f>IF(#REF!="T", 0, IF(#REF!="C", 0, ""))</f>
        <v>#REF!</v>
      </c>
    </row>
    <row r="684" spans="1:2" x14ac:dyDescent="0.25">
      <c r="A684" s="1"/>
      <c r="B684" t="e">
        <f>IF(#REF!="T", 0, IF(#REF!="C", 0, ""))</f>
        <v>#REF!</v>
      </c>
    </row>
    <row r="685" spans="1:2" x14ac:dyDescent="0.25">
      <c r="A685" s="1"/>
      <c r="B685" t="e">
        <f>IF(#REF!="T", 0, IF(#REF!="C", 0, ""))</f>
        <v>#REF!</v>
      </c>
    </row>
    <row r="686" spans="1:2" x14ac:dyDescent="0.25">
      <c r="A686" s="1"/>
      <c r="B686" t="e">
        <f>IF(#REF!="T", 0, IF(#REF!="C", 0, ""))</f>
        <v>#REF!</v>
      </c>
    </row>
    <row r="687" spans="1:2" x14ac:dyDescent="0.25">
      <c r="A687" s="1"/>
      <c r="B687" t="e">
        <f>IF(#REF!="T", 0, IF(#REF!="C", 0, ""))</f>
        <v>#REF!</v>
      </c>
    </row>
    <row r="688" spans="1:2" x14ac:dyDescent="0.25">
      <c r="A688" s="1"/>
      <c r="B688" t="e">
        <f>IF(#REF!="T", 0, IF(#REF!="C", 0, ""))</f>
        <v>#REF!</v>
      </c>
    </row>
    <row r="689" spans="1:2" x14ac:dyDescent="0.25">
      <c r="A689" s="1"/>
      <c r="B689" t="e">
        <f>IF(#REF!="T", 0, IF(#REF!="C", 0, ""))</f>
        <v>#REF!</v>
      </c>
    </row>
    <row r="690" spans="1:2" x14ac:dyDescent="0.25">
      <c r="A690" s="1"/>
      <c r="B690" t="e">
        <f>IF(#REF!="T", 0, IF(#REF!="C", 0, ""))</f>
        <v>#REF!</v>
      </c>
    </row>
    <row r="691" spans="1:2" x14ac:dyDescent="0.25">
      <c r="A691" s="1"/>
      <c r="B691" t="e">
        <f>IF(#REF!="T", 0, IF(#REF!="C", 0, ""))</f>
        <v>#REF!</v>
      </c>
    </row>
    <row r="692" spans="1:2" x14ac:dyDescent="0.25">
      <c r="A692" s="1"/>
      <c r="B692" t="e">
        <f>IF(#REF!="T", 0, IF(#REF!="C", 0, ""))</f>
        <v>#REF!</v>
      </c>
    </row>
    <row r="693" spans="1:2" x14ac:dyDescent="0.25">
      <c r="A693" s="1"/>
      <c r="B693" t="e">
        <f>IF(#REF!="T", 0, IF(#REF!="C", 0, ""))</f>
        <v>#REF!</v>
      </c>
    </row>
    <row r="694" spans="1:2" x14ac:dyDescent="0.25">
      <c r="A694" s="1"/>
      <c r="B694" t="e">
        <f>IF(#REF!="T", 0, IF(#REF!="C", 0, ""))</f>
        <v>#REF!</v>
      </c>
    </row>
    <row r="695" spans="1:2" x14ac:dyDescent="0.25">
      <c r="A695" s="1"/>
      <c r="B695" t="e">
        <f>IF(#REF!="T", 0, IF(#REF!="C", 0, ""))</f>
        <v>#REF!</v>
      </c>
    </row>
    <row r="696" spans="1:2" x14ac:dyDescent="0.25">
      <c r="A696" s="1"/>
      <c r="B696" t="e">
        <f>IF(#REF!="T", 0, IF(#REF!="C", 0, ""))</f>
        <v>#REF!</v>
      </c>
    </row>
    <row r="697" spans="1:2" x14ac:dyDescent="0.25">
      <c r="A697" s="1"/>
      <c r="B697" t="e">
        <f>IF(#REF!="T", 0, IF(#REF!="C", 0, ""))</f>
        <v>#REF!</v>
      </c>
    </row>
    <row r="698" spans="1:2" x14ac:dyDescent="0.25">
      <c r="A698" s="1"/>
      <c r="B698" t="e">
        <f>IF(#REF!="T", 0, IF(#REF!="C", 0, ""))</f>
        <v>#REF!</v>
      </c>
    </row>
    <row r="699" spans="1:2" x14ac:dyDescent="0.25">
      <c r="A699" s="1"/>
      <c r="B699" t="e">
        <f>IF(#REF!="T", 0, IF(#REF!="C", 0, ""))</f>
        <v>#REF!</v>
      </c>
    </row>
    <row r="700" spans="1:2" x14ac:dyDescent="0.25">
      <c r="A700" s="1"/>
      <c r="B700" t="e">
        <f>IF(#REF!="T", 0, IF(#REF!="C", 0, ""))</f>
        <v>#REF!</v>
      </c>
    </row>
    <row r="701" spans="1:2" x14ac:dyDescent="0.25">
      <c r="A701" s="1"/>
      <c r="B701" t="e">
        <f>IF(#REF!="T", 0, IF(#REF!="C", 0, ""))</f>
        <v>#REF!</v>
      </c>
    </row>
    <row r="702" spans="1:2" x14ac:dyDescent="0.25">
      <c r="A702" s="1"/>
      <c r="B702" t="e">
        <f>IF(#REF!="T", 0, IF(#REF!="C", 0, ""))</f>
        <v>#REF!</v>
      </c>
    </row>
    <row r="703" spans="1:2" x14ac:dyDescent="0.25">
      <c r="A703" s="1"/>
      <c r="B703" t="e">
        <f>IF(#REF!="T", 0, IF(#REF!="C", 0, ""))</f>
        <v>#REF!</v>
      </c>
    </row>
    <row r="704" spans="1:2" x14ac:dyDescent="0.25">
      <c r="A704" s="1"/>
      <c r="B704" t="e">
        <f>IF(#REF!="T", 0, IF(#REF!="C", 0, ""))</f>
        <v>#REF!</v>
      </c>
    </row>
    <row r="705" spans="1:2" x14ac:dyDescent="0.25">
      <c r="A705" s="1"/>
      <c r="B705" t="e">
        <f>IF(#REF!="T", 0, IF(#REF!="C", 0, ""))</f>
        <v>#REF!</v>
      </c>
    </row>
    <row r="706" spans="1:2" x14ac:dyDescent="0.25">
      <c r="A706" s="1"/>
      <c r="B706" t="e">
        <f>IF(#REF!="T", 0, IF(#REF!="C", 0, ""))</f>
        <v>#REF!</v>
      </c>
    </row>
    <row r="707" spans="1:2" x14ac:dyDescent="0.25">
      <c r="A707" s="1"/>
      <c r="B707" t="e">
        <f>IF(#REF!="T", 0, IF(#REF!="C", 0, ""))</f>
        <v>#REF!</v>
      </c>
    </row>
    <row r="708" spans="1:2" x14ac:dyDescent="0.25">
      <c r="A708" s="1"/>
      <c r="B708" t="e">
        <f>IF(#REF!="T", 0, IF(#REF!="C", 0, ""))</f>
        <v>#REF!</v>
      </c>
    </row>
    <row r="709" spans="1:2" x14ac:dyDescent="0.25">
      <c r="A709" s="1"/>
      <c r="B709" t="e">
        <f>IF(#REF!="T", 0, IF(#REF!="C", 0, ""))</f>
        <v>#REF!</v>
      </c>
    </row>
    <row r="710" spans="1:2" x14ac:dyDescent="0.25">
      <c r="A710" s="1"/>
      <c r="B710" t="e">
        <f>IF(#REF!="T", 0, IF(#REF!="C", 0, ""))</f>
        <v>#REF!</v>
      </c>
    </row>
    <row r="711" spans="1:2" x14ac:dyDescent="0.25">
      <c r="A711" s="1"/>
      <c r="B711" t="e">
        <f>IF(#REF!="T", 0, IF(#REF!="C", 0, ""))</f>
        <v>#REF!</v>
      </c>
    </row>
    <row r="712" spans="1:2" x14ac:dyDescent="0.25">
      <c r="A712" s="1"/>
      <c r="B712" t="e">
        <f>IF(#REF!="T", 0, IF(#REF!="C", 0, ""))</f>
        <v>#REF!</v>
      </c>
    </row>
    <row r="713" spans="1:2" x14ac:dyDescent="0.25">
      <c r="A713" s="1"/>
      <c r="B713" t="e">
        <f>IF(#REF!="T", 0, IF(#REF!="C", 0, ""))</f>
        <v>#REF!</v>
      </c>
    </row>
    <row r="714" spans="1:2" x14ac:dyDescent="0.25">
      <c r="A714" s="1"/>
      <c r="B714" t="e">
        <f>IF(#REF!="T", 0, IF(#REF!="C", 0, ""))</f>
        <v>#REF!</v>
      </c>
    </row>
    <row r="715" spans="1:2" x14ac:dyDescent="0.25">
      <c r="A715" s="1"/>
      <c r="B715" t="e">
        <f>IF(#REF!="T", 0, IF(#REF!="C", 0, ""))</f>
        <v>#REF!</v>
      </c>
    </row>
    <row r="716" spans="1:2" x14ac:dyDescent="0.25">
      <c r="A716" s="1"/>
      <c r="B716" t="e">
        <f>IF(#REF!="T", 0, IF(#REF!="C", 0, ""))</f>
        <v>#REF!</v>
      </c>
    </row>
    <row r="717" spans="1:2" x14ac:dyDescent="0.25">
      <c r="A717" s="1"/>
      <c r="B717" t="e">
        <f>IF(#REF!="T", 0, IF(#REF!="C", 0, ""))</f>
        <v>#REF!</v>
      </c>
    </row>
    <row r="718" spans="1:2" x14ac:dyDescent="0.25">
      <c r="A718" s="1"/>
      <c r="B718" t="e">
        <f>IF(#REF!="T", 0, IF(#REF!="C", 0, ""))</f>
        <v>#REF!</v>
      </c>
    </row>
    <row r="719" spans="1:2" x14ac:dyDescent="0.25">
      <c r="A719" s="1"/>
      <c r="B719" t="e">
        <f>IF(#REF!="T", 0, IF(#REF!="C", 0, ""))</f>
        <v>#REF!</v>
      </c>
    </row>
    <row r="720" spans="1:2" x14ac:dyDescent="0.25">
      <c r="A720" s="1"/>
      <c r="B720" t="e">
        <f>IF(#REF!="T", 0, IF(#REF!="C", 0, ""))</f>
        <v>#REF!</v>
      </c>
    </row>
    <row r="721" spans="1:2" x14ac:dyDescent="0.25">
      <c r="A721" s="1"/>
      <c r="B721" t="e">
        <f>IF(#REF!="T", 0, IF(#REF!="C", 0, ""))</f>
        <v>#REF!</v>
      </c>
    </row>
    <row r="722" spans="1:2" x14ac:dyDescent="0.25">
      <c r="A722" s="1"/>
      <c r="B722" t="e">
        <f>IF(#REF!="T", 0, IF(#REF!="C", 0, ""))</f>
        <v>#REF!</v>
      </c>
    </row>
    <row r="723" spans="1:2" x14ac:dyDescent="0.25">
      <c r="A723" s="1"/>
      <c r="B723" t="e">
        <f>IF(#REF!="T", 0, IF(#REF!="C", 0, ""))</f>
        <v>#REF!</v>
      </c>
    </row>
    <row r="724" spans="1:2" x14ac:dyDescent="0.25">
      <c r="A724" s="1"/>
      <c r="B724" t="e">
        <f>IF(#REF!="T", 0, IF(#REF!="C", 0, ""))</f>
        <v>#REF!</v>
      </c>
    </row>
    <row r="725" spans="1:2" x14ac:dyDescent="0.25">
      <c r="A725" s="1"/>
      <c r="B725" t="e">
        <f>IF(#REF!="T", 0, IF(#REF!="C", 0, ""))</f>
        <v>#REF!</v>
      </c>
    </row>
    <row r="726" spans="1:2" x14ac:dyDescent="0.25">
      <c r="A726" s="1"/>
      <c r="B726" t="e">
        <f>IF(#REF!="T", 0, IF(#REF!="C", 0, ""))</f>
        <v>#REF!</v>
      </c>
    </row>
    <row r="727" spans="1:2" x14ac:dyDescent="0.25">
      <c r="A727" s="1"/>
      <c r="B727" t="e">
        <f>IF(#REF!="T", 0, IF(#REF!="C", 0, ""))</f>
        <v>#REF!</v>
      </c>
    </row>
    <row r="728" spans="1:2" x14ac:dyDescent="0.25">
      <c r="A728" s="1"/>
      <c r="B728" t="e">
        <f>IF(#REF!="T", 0, IF(#REF!="C", 0, ""))</f>
        <v>#REF!</v>
      </c>
    </row>
    <row r="729" spans="1:2" x14ac:dyDescent="0.25">
      <c r="A729" s="1"/>
      <c r="B729" t="e">
        <f>IF(#REF!="T", 0, IF(#REF!="C", 0, ""))</f>
        <v>#REF!</v>
      </c>
    </row>
    <row r="730" spans="1:2" x14ac:dyDescent="0.25">
      <c r="A730" s="1"/>
      <c r="B730" t="e">
        <f>IF(#REF!="T", 0, IF(#REF!="C", 0, ""))</f>
        <v>#REF!</v>
      </c>
    </row>
    <row r="731" spans="1:2" x14ac:dyDescent="0.25">
      <c r="A731" s="1"/>
      <c r="B731" t="e">
        <f>IF(#REF!="T", 0, IF(#REF!="C", 0, ""))</f>
        <v>#REF!</v>
      </c>
    </row>
    <row r="732" spans="1:2" x14ac:dyDescent="0.25">
      <c r="A732" s="1"/>
      <c r="B732" t="e">
        <f>IF(#REF!="T", 0, IF(#REF!="C", 0, ""))</f>
        <v>#REF!</v>
      </c>
    </row>
    <row r="733" spans="1:2" x14ac:dyDescent="0.25">
      <c r="A733" s="1"/>
      <c r="B733" t="e">
        <f>IF(#REF!="T", 0, IF(#REF!="C", 0, ""))</f>
        <v>#REF!</v>
      </c>
    </row>
    <row r="734" spans="1:2" x14ac:dyDescent="0.25">
      <c r="A734" s="1"/>
      <c r="B734" t="e">
        <f>IF(#REF!="T", 0, IF(#REF!="C", 0, ""))</f>
        <v>#REF!</v>
      </c>
    </row>
    <row r="735" spans="1:2" x14ac:dyDescent="0.25">
      <c r="A735" s="1"/>
      <c r="B735" t="e">
        <f>IF(#REF!="T", 0, IF(#REF!="C", 0, ""))</f>
        <v>#REF!</v>
      </c>
    </row>
    <row r="736" spans="1:2" x14ac:dyDescent="0.25">
      <c r="A736" s="1"/>
      <c r="B736" t="e">
        <f>IF(#REF!="T", 0, IF(#REF!="C", 0, ""))</f>
        <v>#REF!</v>
      </c>
    </row>
    <row r="737" spans="1:2" x14ac:dyDescent="0.25">
      <c r="A737" s="1"/>
      <c r="B737" t="e">
        <f>IF(#REF!="T", 0, IF(#REF!="C", 0, ""))</f>
        <v>#REF!</v>
      </c>
    </row>
    <row r="738" spans="1:2" x14ac:dyDescent="0.25">
      <c r="A738" s="1"/>
      <c r="B738" t="e">
        <f>IF(#REF!="T", 0, IF(#REF!="C", 0, ""))</f>
        <v>#REF!</v>
      </c>
    </row>
    <row r="739" spans="1:2" x14ac:dyDescent="0.25">
      <c r="A739" s="1"/>
      <c r="B739" t="e">
        <f>IF(#REF!="T", 0, IF(#REF!="C", 0, ""))</f>
        <v>#REF!</v>
      </c>
    </row>
    <row r="740" spans="1:2" x14ac:dyDescent="0.25">
      <c r="A740" s="1"/>
      <c r="B740" t="e">
        <f>IF(#REF!="T", 0, IF(#REF!="C", 0, ""))</f>
        <v>#REF!</v>
      </c>
    </row>
    <row r="741" spans="1:2" x14ac:dyDescent="0.25">
      <c r="A741" s="1"/>
      <c r="B741" t="e">
        <f>IF(#REF!="T", 0, IF(#REF!="C", 0, ""))</f>
        <v>#REF!</v>
      </c>
    </row>
    <row r="742" spans="1:2" x14ac:dyDescent="0.25">
      <c r="A742" s="1"/>
      <c r="B742" t="e">
        <f>IF(#REF!="T", 0, IF(#REF!="C", 0, ""))</f>
        <v>#REF!</v>
      </c>
    </row>
    <row r="743" spans="1:2" x14ac:dyDescent="0.25">
      <c r="A743" s="1"/>
      <c r="B743" t="e">
        <f>IF(#REF!="T", 0, IF(#REF!="C", 0, ""))</f>
        <v>#REF!</v>
      </c>
    </row>
    <row r="744" spans="1:2" x14ac:dyDescent="0.25">
      <c r="A744" s="1"/>
      <c r="B744" t="e">
        <f>IF(#REF!="T", 0, IF(#REF!="C", 0, ""))</f>
        <v>#REF!</v>
      </c>
    </row>
    <row r="745" spans="1:2" x14ac:dyDescent="0.25">
      <c r="A745" s="1"/>
      <c r="B745" t="e">
        <f>IF(#REF!="T", 0, IF(#REF!="C", 0, ""))</f>
        <v>#REF!</v>
      </c>
    </row>
    <row r="746" spans="1:2" x14ac:dyDescent="0.25">
      <c r="A746" s="1"/>
      <c r="B746" t="e">
        <f>IF(#REF!="T", 0, IF(#REF!="C", 0, ""))</f>
        <v>#REF!</v>
      </c>
    </row>
    <row r="747" spans="1:2" x14ac:dyDescent="0.25">
      <c r="A747" s="1"/>
      <c r="B747" t="e">
        <f>IF(#REF!="T", 0, IF(#REF!="C", 0, ""))</f>
        <v>#REF!</v>
      </c>
    </row>
    <row r="748" spans="1:2" x14ac:dyDescent="0.25">
      <c r="A748" s="1"/>
      <c r="B748" t="e">
        <f>IF(#REF!="T", 0, IF(#REF!="C", 0, ""))</f>
        <v>#REF!</v>
      </c>
    </row>
    <row r="749" spans="1:2" x14ac:dyDescent="0.25">
      <c r="A749" s="1"/>
      <c r="B749" t="e">
        <f>IF(#REF!="T", 0, IF(#REF!="C", 0, ""))</f>
        <v>#REF!</v>
      </c>
    </row>
    <row r="750" spans="1:2" x14ac:dyDescent="0.25">
      <c r="A750" s="1"/>
      <c r="B750" t="e">
        <f>IF(#REF!="T", 0, IF(#REF!="C", 0, ""))</f>
        <v>#REF!</v>
      </c>
    </row>
    <row r="751" spans="1:2" x14ac:dyDescent="0.25">
      <c r="A751" s="1"/>
      <c r="B751" t="e">
        <f>IF(#REF!="T", 0, IF(#REF!="C", 0, ""))</f>
        <v>#REF!</v>
      </c>
    </row>
    <row r="752" spans="1:2" x14ac:dyDescent="0.25">
      <c r="A752" s="1"/>
      <c r="B752" t="e">
        <f>IF(#REF!="T", 0, IF(#REF!="C", 0, ""))</f>
        <v>#REF!</v>
      </c>
    </row>
    <row r="753" spans="1:2" x14ac:dyDescent="0.25">
      <c r="A753" s="1"/>
      <c r="B753" t="e">
        <f>IF(#REF!="T", 0, IF(#REF!="C", 0, ""))</f>
        <v>#REF!</v>
      </c>
    </row>
    <row r="754" spans="1:2" x14ac:dyDescent="0.25">
      <c r="A754" s="1"/>
      <c r="B754" t="e">
        <f>IF(#REF!="T", 0, IF(#REF!="C", 0, ""))</f>
        <v>#REF!</v>
      </c>
    </row>
    <row r="755" spans="1:2" x14ac:dyDescent="0.25">
      <c r="A755" s="1"/>
      <c r="B755" t="e">
        <f>IF(#REF!="T", 0, IF(#REF!="C", 0, ""))</f>
        <v>#REF!</v>
      </c>
    </row>
    <row r="756" spans="1:2" x14ac:dyDescent="0.25">
      <c r="A756" s="1"/>
      <c r="B756" t="e">
        <f>IF(#REF!="T", 0, IF(#REF!="C", 0, ""))</f>
        <v>#REF!</v>
      </c>
    </row>
    <row r="757" spans="1:2" x14ac:dyDescent="0.25">
      <c r="A757" s="1"/>
      <c r="B757" t="e">
        <f>IF(#REF!="T", 0, IF(#REF!="C", 0, ""))</f>
        <v>#REF!</v>
      </c>
    </row>
    <row r="758" spans="1:2" x14ac:dyDescent="0.25">
      <c r="A758" s="1"/>
      <c r="B758" t="e">
        <f>IF(#REF!="T", 0, IF(#REF!="C", 0, ""))</f>
        <v>#REF!</v>
      </c>
    </row>
    <row r="759" spans="1:2" x14ac:dyDescent="0.25">
      <c r="A759" s="1"/>
      <c r="B759" t="e">
        <f>IF(#REF!="T", 0, IF(#REF!="C", 0, ""))</f>
        <v>#REF!</v>
      </c>
    </row>
    <row r="760" spans="1:2" x14ac:dyDescent="0.25">
      <c r="A760" s="1"/>
      <c r="B760" t="e">
        <f>IF(#REF!="T", 0, IF(#REF!="C", 0, ""))</f>
        <v>#REF!</v>
      </c>
    </row>
    <row r="761" spans="1:2" x14ac:dyDescent="0.25">
      <c r="A761" s="1"/>
      <c r="B761" t="e">
        <f>IF(#REF!="T", 0, IF(#REF!="C", 0, ""))</f>
        <v>#REF!</v>
      </c>
    </row>
    <row r="762" spans="1:2" x14ac:dyDescent="0.25">
      <c r="A762" s="1"/>
      <c r="B762" t="e">
        <f>IF(#REF!="T", 0, IF(#REF!="C", 0, ""))</f>
        <v>#REF!</v>
      </c>
    </row>
    <row r="763" spans="1:2" x14ac:dyDescent="0.25">
      <c r="A763" s="1"/>
      <c r="B763" t="e">
        <f>IF(#REF!="T", 0, IF(#REF!="C", 0, ""))</f>
        <v>#REF!</v>
      </c>
    </row>
    <row r="764" spans="1:2" x14ac:dyDescent="0.25">
      <c r="A764" s="1"/>
      <c r="B764" t="e">
        <f>IF(#REF!="T", 0, IF(#REF!="C", 0, ""))</f>
        <v>#REF!</v>
      </c>
    </row>
    <row r="765" spans="1:2" x14ac:dyDescent="0.25">
      <c r="A765" s="1"/>
      <c r="B765" t="e">
        <f>IF(#REF!="T", 0, IF(#REF!="C", 0, ""))</f>
        <v>#REF!</v>
      </c>
    </row>
    <row r="766" spans="1:2" x14ac:dyDescent="0.25">
      <c r="A766" s="1"/>
      <c r="B766" t="e">
        <f>IF(#REF!="T", 0, IF(#REF!="C", 0, ""))</f>
        <v>#REF!</v>
      </c>
    </row>
    <row r="767" spans="1:2" x14ac:dyDescent="0.25">
      <c r="A767" s="1"/>
      <c r="B767" t="e">
        <f>IF(#REF!="T", 0, IF(#REF!="C", 0, ""))</f>
        <v>#REF!</v>
      </c>
    </row>
    <row r="768" spans="1:2" x14ac:dyDescent="0.25">
      <c r="A768" s="1"/>
      <c r="B768" t="e">
        <f>IF(#REF!="T", 0, IF(#REF!="C", 0, ""))</f>
        <v>#REF!</v>
      </c>
    </row>
    <row r="769" spans="1:2" x14ac:dyDescent="0.25">
      <c r="A769" s="1"/>
      <c r="B769" t="e">
        <f>IF(#REF!="T", 0, IF(#REF!="C", 0, ""))</f>
        <v>#REF!</v>
      </c>
    </row>
    <row r="770" spans="1:2" x14ac:dyDescent="0.25">
      <c r="A770" s="1"/>
      <c r="B770" t="e">
        <f>IF(#REF!="T", 0, IF(#REF!="C", 0, ""))</f>
        <v>#REF!</v>
      </c>
    </row>
    <row r="771" spans="1:2" x14ac:dyDescent="0.25">
      <c r="A771" s="1"/>
      <c r="B771" t="e">
        <f>IF(#REF!="T", 0, IF(#REF!="C", 0, ""))</f>
        <v>#REF!</v>
      </c>
    </row>
    <row r="772" spans="1:2" x14ac:dyDescent="0.25">
      <c r="A772" s="1"/>
      <c r="B772" t="e">
        <f>IF(#REF!="T", 0, IF(#REF!="C", 0, ""))</f>
        <v>#REF!</v>
      </c>
    </row>
    <row r="773" spans="1:2" x14ac:dyDescent="0.25">
      <c r="A773" s="1"/>
      <c r="B773" t="e">
        <f>IF(#REF!="T", 0, IF(#REF!="C", 0, ""))</f>
        <v>#REF!</v>
      </c>
    </row>
    <row r="774" spans="1:2" x14ac:dyDescent="0.25">
      <c r="A774" s="1"/>
      <c r="B774" t="e">
        <f>IF(#REF!="T", 0, IF(#REF!="C", 0, ""))</f>
        <v>#REF!</v>
      </c>
    </row>
    <row r="775" spans="1:2" x14ac:dyDescent="0.25">
      <c r="A775" s="1"/>
      <c r="B775" t="e">
        <f>IF(#REF!="T", 0, IF(#REF!="C", 0, ""))</f>
        <v>#REF!</v>
      </c>
    </row>
    <row r="776" spans="1:2" x14ac:dyDescent="0.25">
      <c r="A776" s="1"/>
      <c r="B776" t="e">
        <f>IF(#REF!="T", 0, IF(#REF!="C", 0, ""))</f>
        <v>#REF!</v>
      </c>
    </row>
    <row r="777" spans="1:2" x14ac:dyDescent="0.25">
      <c r="A777" s="1"/>
      <c r="B777" t="e">
        <f>IF(#REF!="T", 0, IF(#REF!="C", 0, ""))</f>
        <v>#REF!</v>
      </c>
    </row>
    <row r="778" spans="1:2" x14ac:dyDescent="0.25">
      <c r="A778" s="1"/>
      <c r="B778" t="e">
        <f>IF(#REF!="T", 0, IF(#REF!="C", 0, ""))</f>
        <v>#REF!</v>
      </c>
    </row>
    <row r="779" spans="1:2" x14ac:dyDescent="0.25">
      <c r="A779" s="1"/>
      <c r="B779" t="e">
        <f>IF(#REF!="T", 0, IF(#REF!="C", 0, ""))</f>
        <v>#REF!</v>
      </c>
    </row>
    <row r="780" spans="1:2" x14ac:dyDescent="0.25">
      <c r="A780" s="1"/>
      <c r="B780" t="e">
        <f>IF(#REF!="T", 0, IF(#REF!="C", 0, ""))</f>
        <v>#REF!</v>
      </c>
    </row>
    <row r="781" spans="1:2" x14ac:dyDescent="0.25">
      <c r="A781" s="1"/>
      <c r="B781" t="e">
        <f>IF(#REF!="T", 0, IF(#REF!="C", 0, ""))</f>
        <v>#REF!</v>
      </c>
    </row>
    <row r="782" spans="1:2" x14ac:dyDescent="0.25">
      <c r="A782" s="1"/>
      <c r="B782" t="e">
        <f>IF(#REF!="T", 0, IF(#REF!="C", 0, ""))</f>
        <v>#REF!</v>
      </c>
    </row>
    <row r="783" spans="1:2" x14ac:dyDescent="0.25">
      <c r="A783" s="1"/>
      <c r="B783" t="e">
        <f>IF(#REF!="T", 0, IF(#REF!="C", 0, ""))</f>
        <v>#REF!</v>
      </c>
    </row>
    <row r="784" spans="1:2" x14ac:dyDescent="0.25">
      <c r="A784" s="1"/>
      <c r="B784" t="e">
        <f>IF(#REF!="T", 0, IF(#REF!="C", 0, ""))</f>
        <v>#REF!</v>
      </c>
    </row>
    <row r="785" spans="1:2" x14ac:dyDescent="0.25">
      <c r="A785" s="1"/>
      <c r="B785" t="e">
        <f>IF(#REF!="T", 0, IF(#REF!="C", 0, ""))</f>
        <v>#REF!</v>
      </c>
    </row>
    <row r="786" spans="1:2" x14ac:dyDescent="0.25">
      <c r="A786" s="1"/>
      <c r="B786" t="e">
        <f>IF(#REF!="T", 0, IF(#REF!="C", 0, ""))</f>
        <v>#REF!</v>
      </c>
    </row>
    <row r="787" spans="1:2" x14ac:dyDescent="0.25">
      <c r="A787" s="1"/>
      <c r="B787" t="e">
        <f>IF(#REF!="T", 0, IF(#REF!="C", 0, ""))</f>
        <v>#REF!</v>
      </c>
    </row>
    <row r="788" spans="1:2" x14ac:dyDescent="0.25">
      <c r="A788" s="1"/>
      <c r="B788" t="e">
        <f>IF(#REF!="T", 0, IF(#REF!="C", 0, ""))</f>
        <v>#REF!</v>
      </c>
    </row>
    <row r="789" spans="1:2" x14ac:dyDescent="0.25">
      <c r="A789" s="1"/>
      <c r="B789" t="e">
        <f>IF(#REF!="T", 0, IF(#REF!="C", 0, ""))</f>
        <v>#REF!</v>
      </c>
    </row>
    <row r="790" spans="1:2" x14ac:dyDescent="0.25">
      <c r="A790" s="1"/>
      <c r="B790" t="e">
        <f>IF(#REF!="T", 0, IF(#REF!="C", 0, ""))</f>
        <v>#REF!</v>
      </c>
    </row>
    <row r="791" spans="1:2" x14ac:dyDescent="0.25">
      <c r="A791" s="1"/>
      <c r="B791" t="e">
        <f>IF(#REF!="T", 0, IF(#REF!="C", 0, ""))</f>
        <v>#REF!</v>
      </c>
    </row>
    <row r="792" spans="1:2" x14ac:dyDescent="0.25">
      <c r="A792" s="1"/>
      <c r="B792" t="e">
        <f>IF(#REF!="T", 0, IF(#REF!="C", 0, ""))</f>
        <v>#REF!</v>
      </c>
    </row>
    <row r="793" spans="1:2" x14ac:dyDescent="0.25">
      <c r="A793" s="1"/>
      <c r="B793" t="e">
        <f>IF(#REF!="T", 0, IF(#REF!="C", 0, ""))</f>
        <v>#REF!</v>
      </c>
    </row>
    <row r="794" spans="1:2" x14ac:dyDescent="0.25">
      <c r="A794" s="1"/>
      <c r="B794" t="e">
        <f>IF(#REF!="T", 0, IF(#REF!="C", 0, ""))</f>
        <v>#REF!</v>
      </c>
    </row>
    <row r="795" spans="1:2" x14ac:dyDescent="0.25">
      <c r="A795" s="1"/>
      <c r="B795" t="e">
        <f>IF(#REF!="T", 0, IF(#REF!="C", 0, ""))</f>
        <v>#REF!</v>
      </c>
    </row>
    <row r="796" spans="1:2" x14ac:dyDescent="0.25">
      <c r="A796" s="1"/>
      <c r="B796" t="e">
        <f>IF(#REF!="T", 0, IF(#REF!="C", 0, ""))</f>
        <v>#REF!</v>
      </c>
    </row>
    <row r="797" spans="1:2" x14ac:dyDescent="0.25">
      <c r="A797" s="1"/>
      <c r="B797" t="e">
        <f>IF(#REF!="T", 0, IF(#REF!="C", 0, ""))</f>
        <v>#REF!</v>
      </c>
    </row>
    <row r="798" spans="1:2" x14ac:dyDescent="0.25">
      <c r="A798" s="1"/>
      <c r="B798" t="e">
        <f>IF(#REF!="T", 0, IF(#REF!="C", 0, ""))</f>
        <v>#REF!</v>
      </c>
    </row>
    <row r="799" spans="1:2" x14ac:dyDescent="0.25">
      <c r="A799" s="1"/>
      <c r="B799" t="e">
        <f>IF(#REF!="T", 0, IF(#REF!="C", 0, ""))</f>
        <v>#REF!</v>
      </c>
    </row>
    <row r="800" spans="1:2" x14ac:dyDescent="0.25">
      <c r="A800" s="1"/>
      <c r="B800" t="e">
        <f>IF(#REF!="T", 0, IF(#REF!="C", 0, ""))</f>
        <v>#REF!</v>
      </c>
    </row>
    <row r="801" spans="1:2" x14ac:dyDescent="0.25">
      <c r="A801" s="1"/>
      <c r="B801" t="e">
        <f>IF(#REF!="T", 0, IF(#REF!="C", 0, ""))</f>
        <v>#REF!</v>
      </c>
    </row>
    <row r="802" spans="1:2" x14ac:dyDescent="0.25">
      <c r="A802" s="1"/>
      <c r="B802" t="e">
        <f>IF(#REF!="T", 0, IF(#REF!="C", 0, ""))</f>
        <v>#REF!</v>
      </c>
    </row>
    <row r="803" spans="1:2" x14ac:dyDescent="0.25">
      <c r="A803" s="1"/>
      <c r="B803" t="e">
        <f>IF(#REF!="T", 0, IF(#REF!="C", 0, ""))</f>
        <v>#REF!</v>
      </c>
    </row>
    <row r="804" spans="1:2" x14ac:dyDescent="0.25">
      <c r="A804" s="1"/>
      <c r="B804" t="e">
        <f>IF(#REF!="T", 0, IF(#REF!="C", 0, ""))</f>
        <v>#REF!</v>
      </c>
    </row>
    <row r="805" spans="1:2" x14ac:dyDescent="0.25">
      <c r="A805" s="1"/>
      <c r="B805" t="e">
        <f>IF(#REF!="T", 0, IF(#REF!="C", 0, ""))</f>
        <v>#REF!</v>
      </c>
    </row>
    <row r="806" spans="1:2" x14ac:dyDescent="0.25">
      <c r="A806" s="1"/>
      <c r="B806" t="e">
        <f>IF(#REF!="T", 0, IF(#REF!="C", 0, ""))</f>
        <v>#REF!</v>
      </c>
    </row>
    <row r="807" spans="1:2" x14ac:dyDescent="0.25">
      <c r="A807" s="1"/>
      <c r="B807" t="e">
        <f>IF(#REF!="T", 0, IF(#REF!="C", 0, ""))</f>
        <v>#REF!</v>
      </c>
    </row>
    <row r="808" spans="1:2" x14ac:dyDescent="0.25">
      <c r="A808" s="1"/>
      <c r="B808" t="e">
        <f>IF(#REF!="T", 0, IF(#REF!="C", 0, ""))</f>
        <v>#REF!</v>
      </c>
    </row>
    <row r="809" spans="1:2" x14ac:dyDescent="0.25">
      <c r="A809" s="1"/>
      <c r="B809" t="e">
        <f>IF(#REF!="T", 0, IF(#REF!="C", 0, ""))</f>
        <v>#REF!</v>
      </c>
    </row>
    <row r="810" spans="1:2" x14ac:dyDescent="0.25">
      <c r="A810" s="1"/>
      <c r="B810" t="e">
        <f>IF(#REF!="T", 0, IF(#REF!="C", 0, ""))</f>
        <v>#REF!</v>
      </c>
    </row>
    <row r="811" spans="1:2" x14ac:dyDescent="0.25">
      <c r="A811" s="1"/>
      <c r="B811" t="e">
        <f>IF(#REF!="T", 0, IF(#REF!="C", 0, ""))</f>
        <v>#REF!</v>
      </c>
    </row>
    <row r="812" spans="1:2" x14ac:dyDescent="0.25">
      <c r="A812" s="1"/>
      <c r="B812" t="e">
        <f>IF(#REF!="T", 0, IF(#REF!="C", 0, ""))</f>
        <v>#REF!</v>
      </c>
    </row>
    <row r="813" spans="1:2" x14ac:dyDescent="0.25">
      <c r="A813" s="1"/>
      <c r="B813" t="e">
        <f>IF(#REF!="T", 0, IF(#REF!="C", 0, ""))</f>
        <v>#REF!</v>
      </c>
    </row>
    <row r="814" spans="1:2" x14ac:dyDescent="0.25">
      <c r="A814" s="1"/>
      <c r="B814" t="e">
        <f>IF(#REF!="T", 0, IF(#REF!="C", 0, ""))</f>
        <v>#REF!</v>
      </c>
    </row>
    <row r="815" spans="1:2" x14ac:dyDescent="0.25">
      <c r="A815" s="1"/>
      <c r="B815" t="e">
        <f>IF(#REF!="T", 0, IF(#REF!="C", 0, ""))</f>
        <v>#REF!</v>
      </c>
    </row>
    <row r="816" spans="1:2" x14ac:dyDescent="0.25">
      <c r="A816" s="1"/>
      <c r="B816" t="e">
        <f>IF(#REF!="T", 0, IF(#REF!="C", 0, ""))</f>
        <v>#REF!</v>
      </c>
    </row>
    <row r="817" spans="1:2" x14ac:dyDescent="0.25">
      <c r="A817" s="1"/>
      <c r="B817" t="e">
        <f>IF(#REF!="T", 0, IF(#REF!="C", 0, ""))</f>
        <v>#REF!</v>
      </c>
    </row>
    <row r="818" spans="1:2" x14ac:dyDescent="0.25">
      <c r="A818" s="1"/>
      <c r="B818" t="e">
        <f>IF(#REF!="T", 0, IF(#REF!="C", 0, ""))</f>
        <v>#REF!</v>
      </c>
    </row>
    <row r="819" spans="1:2" x14ac:dyDescent="0.25">
      <c r="A819" s="1"/>
      <c r="B819" t="e">
        <f>IF(#REF!="T", 0, IF(#REF!="C", 0, ""))</f>
        <v>#REF!</v>
      </c>
    </row>
    <row r="820" spans="1:2" x14ac:dyDescent="0.25">
      <c r="A820" s="1"/>
      <c r="B820" t="e">
        <f>IF(#REF!="T", 0, IF(#REF!="C", 0, ""))</f>
        <v>#REF!</v>
      </c>
    </row>
    <row r="821" spans="1:2" x14ac:dyDescent="0.25">
      <c r="A821" s="1"/>
      <c r="B821" t="e">
        <f>IF(#REF!="T", 0, IF(#REF!="C", 0, ""))</f>
        <v>#REF!</v>
      </c>
    </row>
    <row r="822" spans="1:2" x14ac:dyDescent="0.25">
      <c r="A822" s="1"/>
      <c r="B822" t="e">
        <f>IF(#REF!="T", 0, IF(#REF!="C", 0, ""))</f>
        <v>#REF!</v>
      </c>
    </row>
    <row r="823" spans="1:2" x14ac:dyDescent="0.25">
      <c r="A823" s="1"/>
      <c r="B823" t="e">
        <f>IF(#REF!="T", 0, IF(#REF!="C", 0, ""))</f>
        <v>#REF!</v>
      </c>
    </row>
    <row r="824" spans="1:2" x14ac:dyDescent="0.25">
      <c r="A824" s="1"/>
      <c r="B824" t="e">
        <f>IF(#REF!="T", 0, IF(#REF!="C", 0, ""))</f>
        <v>#REF!</v>
      </c>
    </row>
    <row r="825" spans="1:2" x14ac:dyDescent="0.25">
      <c r="A825" s="1"/>
      <c r="B825" t="e">
        <f>IF(#REF!="T", 0, IF(#REF!="C", 0, ""))</f>
        <v>#REF!</v>
      </c>
    </row>
    <row r="826" spans="1:2" x14ac:dyDescent="0.25">
      <c r="A826" s="1"/>
      <c r="B826" t="e">
        <f>IF(#REF!="T", 0, IF(#REF!="C", 0, ""))</f>
        <v>#REF!</v>
      </c>
    </row>
    <row r="827" spans="1:2" x14ac:dyDescent="0.25">
      <c r="A827" s="1"/>
      <c r="B827" t="e">
        <f>IF(#REF!="T", 0, IF(#REF!="C", 0, ""))</f>
        <v>#REF!</v>
      </c>
    </row>
    <row r="828" spans="1:2" x14ac:dyDescent="0.25">
      <c r="A828" s="1"/>
      <c r="B828" t="e">
        <f>IF(#REF!="T", 0, IF(#REF!="C", 0, ""))</f>
        <v>#REF!</v>
      </c>
    </row>
    <row r="829" spans="1:2" x14ac:dyDescent="0.25">
      <c r="A829" s="1"/>
      <c r="B829" t="e">
        <f>IF(#REF!="T", 0, IF(#REF!="C", 0, ""))</f>
        <v>#REF!</v>
      </c>
    </row>
    <row r="830" spans="1:2" x14ac:dyDescent="0.25">
      <c r="A830" s="1"/>
      <c r="B830" t="e">
        <f>IF(#REF!="T", 0, IF(#REF!="C", 0, ""))</f>
        <v>#REF!</v>
      </c>
    </row>
    <row r="831" spans="1:2" x14ac:dyDescent="0.25">
      <c r="A831" s="1"/>
      <c r="B831" t="e">
        <f>IF(#REF!="T", 0, IF(#REF!="C", 0, ""))</f>
        <v>#REF!</v>
      </c>
    </row>
    <row r="832" spans="1:2" x14ac:dyDescent="0.25">
      <c r="A832" s="1"/>
      <c r="B832" t="e">
        <f>IF(#REF!="T", 0, IF(#REF!="C", 0, ""))</f>
        <v>#REF!</v>
      </c>
    </row>
    <row r="833" spans="1:2" x14ac:dyDescent="0.25">
      <c r="A833" s="1"/>
      <c r="B833" t="e">
        <f>IF(#REF!="T", 0, IF(#REF!="C", 0, ""))</f>
        <v>#REF!</v>
      </c>
    </row>
    <row r="834" spans="1:2" x14ac:dyDescent="0.25">
      <c r="A834" s="1"/>
      <c r="B834" t="e">
        <f>IF(#REF!="T", 0, IF(#REF!="C", 0, ""))</f>
        <v>#REF!</v>
      </c>
    </row>
    <row r="835" spans="1:2" x14ac:dyDescent="0.25">
      <c r="A835" s="1"/>
      <c r="B835" t="e">
        <f>IF(#REF!="T", 0, IF(#REF!="C", 0, ""))</f>
        <v>#REF!</v>
      </c>
    </row>
    <row r="836" spans="1:2" x14ac:dyDescent="0.25">
      <c r="A836" s="1"/>
      <c r="B836" t="e">
        <f>IF(#REF!="T", 0, IF(#REF!="C", 0, ""))</f>
        <v>#REF!</v>
      </c>
    </row>
    <row r="837" spans="1:2" x14ac:dyDescent="0.25">
      <c r="A837" s="1"/>
      <c r="B837" t="e">
        <f>IF(#REF!="T", 0, IF(#REF!="C", 0, ""))</f>
        <v>#REF!</v>
      </c>
    </row>
    <row r="838" spans="1:2" x14ac:dyDescent="0.25">
      <c r="A838" s="1"/>
      <c r="B838" t="e">
        <f>IF(#REF!="T", 0, IF(#REF!="C", 0, ""))</f>
        <v>#REF!</v>
      </c>
    </row>
    <row r="839" spans="1:2" x14ac:dyDescent="0.25">
      <c r="A839" s="1"/>
      <c r="B839" t="e">
        <f>IF(#REF!="T", 0, IF(#REF!="C", 0, ""))</f>
        <v>#REF!</v>
      </c>
    </row>
    <row r="840" spans="1:2" x14ac:dyDescent="0.25">
      <c r="A840" s="1"/>
      <c r="B840" t="e">
        <f>IF(#REF!="T", 0, IF(#REF!="C", 0, ""))</f>
        <v>#REF!</v>
      </c>
    </row>
    <row r="841" spans="1:2" x14ac:dyDescent="0.25">
      <c r="A841" s="1"/>
      <c r="B841" t="e">
        <f>IF(#REF!="T", 0, IF(#REF!="C", 0, ""))</f>
        <v>#REF!</v>
      </c>
    </row>
    <row r="842" spans="1:2" x14ac:dyDescent="0.25">
      <c r="A842" s="1"/>
      <c r="B842" t="e">
        <f>IF(#REF!="T", 0, IF(#REF!="C", 0, ""))</f>
        <v>#REF!</v>
      </c>
    </row>
    <row r="843" spans="1:2" x14ac:dyDescent="0.25">
      <c r="A843" s="1"/>
      <c r="B843" t="e">
        <f>IF(#REF!="T", 0, IF(#REF!="C", 0, ""))</f>
        <v>#REF!</v>
      </c>
    </row>
    <row r="844" spans="1:2" x14ac:dyDescent="0.25">
      <c r="A844" s="1"/>
      <c r="B844" t="e">
        <f>IF(#REF!="T", 0, IF(#REF!="C", 0, ""))</f>
        <v>#REF!</v>
      </c>
    </row>
    <row r="845" spans="1:2" x14ac:dyDescent="0.25">
      <c r="A845" s="1"/>
      <c r="B845" t="e">
        <f>IF(#REF!="T", 0, IF(#REF!="C", 0, ""))</f>
        <v>#REF!</v>
      </c>
    </row>
    <row r="846" spans="1:2" x14ac:dyDescent="0.25">
      <c r="A846" s="1"/>
      <c r="B846" t="e">
        <f>IF(#REF!="T", 0, IF(#REF!="C", 0, ""))</f>
        <v>#REF!</v>
      </c>
    </row>
    <row r="847" spans="1:2" x14ac:dyDescent="0.25">
      <c r="A847" s="1"/>
      <c r="B847" t="e">
        <f>IF(#REF!="T", 0, IF(#REF!="C", 0, ""))</f>
        <v>#REF!</v>
      </c>
    </row>
    <row r="848" spans="1:2" x14ac:dyDescent="0.25">
      <c r="A848" s="1"/>
      <c r="B848" t="e">
        <f>IF(#REF!="T", 0, IF(#REF!="C", 0, ""))</f>
        <v>#REF!</v>
      </c>
    </row>
    <row r="849" spans="1:2" x14ac:dyDescent="0.25">
      <c r="A849" s="1"/>
      <c r="B849" t="e">
        <f>IF(#REF!="T", 0, IF(#REF!="C", 0, ""))</f>
        <v>#REF!</v>
      </c>
    </row>
    <row r="850" spans="1:2" x14ac:dyDescent="0.25">
      <c r="A850" s="1"/>
      <c r="B850" t="e">
        <f>IF(#REF!="T", 0, IF(#REF!="C", 0, ""))</f>
        <v>#REF!</v>
      </c>
    </row>
    <row r="851" spans="1:2" x14ac:dyDescent="0.25">
      <c r="A851" s="1"/>
      <c r="B851" t="e">
        <f>IF(#REF!="T", 0, IF(#REF!="C", 0, ""))</f>
        <v>#REF!</v>
      </c>
    </row>
    <row r="852" spans="1:2" x14ac:dyDescent="0.25">
      <c r="A852" s="1"/>
      <c r="B852" t="e">
        <f>IF(#REF!="T", 0, IF(#REF!="C", 0, ""))</f>
        <v>#REF!</v>
      </c>
    </row>
    <row r="853" spans="1:2" x14ac:dyDescent="0.25">
      <c r="A853" s="1"/>
      <c r="B853" t="e">
        <f>IF(#REF!="T", 0, IF(#REF!="C", 0, ""))</f>
        <v>#REF!</v>
      </c>
    </row>
    <row r="854" spans="1:2" x14ac:dyDescent="0.25">
      <c r="A854" s="1"/>
      <c r="B854" t="e">
        <f>IF(#REF!="T", 0, IF(#REF!="C", 0, ""))</f>
        <v>#REF!</v>
      </c>
    </row>
    <row r="855" spans="1:2" x14ac:dyDescent="0.25">
      <c r="A855" s="1"/>
      <c r="B855" t="e">
        <f>IF(#REF!="T", 0, IF(#REF!="C", 0, ""))</f>
        <v>#REF!</v>
      </c>
    </row>
    <row r="856" spans="1:2" x14ac:dyDescent="0.25">
      <c r="A856" s="1"/>
      <c r="B856" t="e">
        <f>IF(#REF!="T", 0, IF(#REF!="C", 0, ""))</f>
        <v>#REF!</v>
      </c>
    </row>
    <row r="857" spans="1:2" x14ac:dyDescent="0.25">
      <c r="A857" s="1"/>
      <c r="B857" t="e">
        <f>IF(#REF!="T", 0, IF(#REF!="C", 0, ""))</f>
        <v>#REF!</v>
      </c>
    </row>
    <row r="858" spans="1:2" x14ac:dyDescent="0.25">
      <c r="A858" s="1"/>
      <c r="B858" t="e">
        <f>IF(#REF!="T", 0, IF(#REF!="C", 0, ""))</f>
        <v>#REF!</v>
      </c>
    </row>
    <row r="859" spans="1:2" x14ac:dyDescent="0.25">
      <c r="A859" s="1"/>
      <c r="B859" t="e">
        <f>IF(#REF!="T", 0, IF(#REF!="C", 0, ""))</f>
        <v>#REF!</v>
      </c>
    </row>
    <row r="860" spans="1:2" x14ac:dyDescent="0.25">
      <c r="A860" s="1"/>
      <c r="B860" t="e">
        <f>IF(#REF!="T", 0, IF(#REF!="C", 0, ""))</f>
        <v>#REF!</v>
      </c>
    </row>
    <row r="861" spans="1:2" x14ac:dyDescent="0.25">
      <c r="A861" s="1"/>
      <c r="B861" t="e">
        <f>IF(#REF!="T", 0, IF(#REF!="C", 0, ""))</f>
        <v>#REF!</v>
      </c>
    </row>
    <row r="862" spans="1:2" x14ac:dyDescent="0.25">
      <c r="A862" s="1"/>
      <c r="B862" t="e">
        <f>IF(#REF!="T", 0, IF(#REF!="C", 0, ""))</f>
        <v>#REF!</v>
      </c>
    </row>
    <row r="863" spans="1:2" x14ac:dyDescent="0.25">
      <c r="A863" s="1"/>
      <c r="B863" t="e">
        <f>IF(#REF!="T", 0, IF(#REF!="C", 0, ""))</f>
        <v>#REF!</v>
      </c>
    </row>
    <row r="864" spans="1:2" x14ac:dyDescent="0.25">
      <c r="A864" s="1"/>
      <c r="B864" t="e">
        <f>IF(#REF!="T", 0, IF(#REF!="C", 0, ""))</f>
        <v>#REF!</v>
      </c>
    </row>
    <row r="865" spans="1:2" x14ac:dyDescent="0.25">
      <c r="A865" s="1"/>
      <c r="B865" t="e">
        <f>IF(#REF!="T", 0, IF(#REF!="C", 0, ""))</f>
        <v>#REF!</v>
      </c>
    </row>
    <row r="866" spans="1:2" x14ac:dyDescent="0.25">
      <c r="A866" s="1"/>
      <c r="B866" t="e">
        <f>IF(#REF!="T", 0, IF(#REF!="C", 0, ""))</f>
        <v>#REF!</v>
      </c>
    </row>
    <row r="867" spans="1:2" x14ac:dyDescent="0.25">
      <c r="A867" s="1"/>
      <c r="B867" t="e">
        <f>IF(#REF!="T", 0, IF(#REF!="C", 0, ""))</f>
        <v>#REF!</v>
      </c>
    </row>
    <row r="868" spans="1:2" x14ac:dyDescent="0.25">
      <c r="A868" s="1"/>
      <c r="B868" t="e">
        <f>IF(#REF!="T", 0, IF(#REF!="C", 0, ""))</f>
        <v>#REF!</v>
      </c>
    </row>
    <row r="869" spans="1:2" x14ac:dyDescent="0.25">
      <c r="A869" s="1"/>
      <c r="B869" t="e">
        <f>IF(#REF!="T", 0, IF(#REF!="C", 0, ""))</f>
        <v>#REF!</v>
      </c>
    </row>
    <row r="870" spans="1:2" x14ac:dyDescent="0.25">
      <c r="A870" s="1"/>
      <c r="B870" t="e">
        <f>IF(#REF!="T", 0, IF(#REF!="C", 0, ""))</f>
        <v>#REF!</v>
      </c>
    </row>
    <row r="871" spans="1:2" x14ac:dyDescent="0.25">
      <c r="A871" s="1"/>
      <c r="B871" t="e">
        <f>IF(#REF!="T", 0, IF(#REF!="C", 0, ""))</f>
        <v>#REF!</v>
      </c>
    </row>
    <row r="872" spans="1:2" x14ac:dyDescent="0.25">
      <c r="A872" s="1"/>
      <c r="B872" t="e">
        <f>IF(#REF!="T", 0, IF(#REF!="C", 0, ""))</f>
        <v>#REF!</v>
      </c>
    </row>
    <row r="873" spans="1:2" x14ac:dyDescent="0.25">
      <c r="A873" s="1"/>
      <c r="B873" t="e">
        <f>IF(#REF!="T", 0, IF(#REF!="C", 0, ""))</f>
        <v>#REF!</v>
      </c>
    </row>
    <row r="874" spans="1:2" x14ac:dyDescent="0.25">
      <c r="A874" s="1"/>
      <c r="B874" t="e">
        <f>IF(#REF!="T", 0, IF(#REF!="C", 0, ""))</f>
        <v>#REF!</v>
      </c>
    </row>
    <row r="875" spans="1:2" x14ac:dyDescent="0.25">
      <c r="A875" s="1"/>
      <c r="B875" t="e">
        <f>IF(#REF!="T", 0, IF(#REF!="C", 0, ""))</f>
        <v>#REF!</v>
      </c>
    </row>
    <row r="876" spans="1:2" x14ac:dyDescent="0.25">
      <c r="A876" s="1"/>
      <c r="B876" t="e">
        <f>IF(#REF!="T", 0, IF(#REF!="C", 0, ""))</f>
        <v>#REF!</v>
      </c>
    </row>
    <row r="877" spans="1:2" x14ac:dyDescent="0.25">
      <c r="A877" s="1"/>
      <c r="B877" t="e">
        <f>IF(#REF!="T", 0, IF(#REF!="C", 0, ""))</f>
        <v>#REF!</v>
      </c>
    </row>
    <row r="878" spans="1:2" x14ac:dyDescent="0.25">
      <c r="A878" s="1"/>
      <c r="B878" t="e">
        <f>IF(#REF!="T", 0, IF(#REF!="C", 0, ""))</f>
        <v>#REF!</v>
      </c>
    </row>
    <row r="879" spans="1:2" x14ac:dyDescent="0.25">
      <c r="A879" s="1"/>
      <c r="B879" t="e">
        <f>IF(#REF!="T", 0, IF(#REF!="C", 0, ""))</f>
        <v>#REF!</v>
      </c>
    </row>
    <row r="880" spans="1:2" x14ac:dyDescent="0.25">
      <c r="A880" s="1"/>
      <c r="B880" t="e">
        <f>IF(#REF!="T", 0, IF(#REF!="C", 0, ""))</f>
        <v>#REF!</v>
      </c>
    </row>
    <row r="881" spans="1:2" x14ac:dyDescent="0.25">
      <c r="A881" s="1"/>
      <c r="B881" t="e">
        <f>IF(#REF!="T", 0, IF(#REF!="C", 0, ""))</f>
        <v>#REF!</v>
      </c>
    </row>
    <row r="882" spans="1:2" x14ac:dyDescent="0.25">
      <c r="A882" s="1"/>
      <c r="B882" t="e">
        <f>IF(#REF!="T", 0, IF(#REF!="C", 0, ""))</f>
        <v>#REF!</v>
      </c>
    </row>
    <row r="883" spans="1:2" x14ac:dyDescent="0.25">
      <c r="A883" s="1"/>
      <c r="B883" t="e">
        <f>IF(#REF!="T", 0, IF(#REF!="C", 0, ""))</f>
        <v>#REF!</v>
      </c>
    </row>
    <row r="884" spans="1:2" x14ac:dyDescent="0.25">
      <c r="A884" s="1"/>
      <c r="B884" t="e">
        <f>IF(#REF!="T", 0, IF(#REF!="C", 0, ""))</f>
        <v>#REF!</v>
      </c>
    </row>
    <row r="885" spans="1:2" x14ac:dyDescent="0.25">
      <c r="A885" s="1"/>
      <c r="B885" t="e">
        <f>IF(#REF!="T", 0, IF(#REF!="C", 0, ""))</f>
        <v>#REF!</v>
      </c>
    </row>
    <row r="886" spans="1:2" x14ac:dyDescent="0.25">
      <c r="A886" s="1"/>
      <c r="B886" t="e">
        <f>IF(#REF!="T", 0, IF(#REF!="C", 0, ""))</f>
        <v>#REF!</v>
      </c>
    </row>
    <row r="887" spans="1:2" x14ac:dyDescent="0.25">
      <c r="A887" s="1"/>
      <c r="B887" t="e">
        <f>IF(#REF!="T", 0, IF(#REF!="C", 0, ""))</f>
        <v>#REF!</v>
      </c>
    </row>
    <row r="888" spans="1:2" x14ac:dyDescent="0.25">
      <c r="A888" s="1"/>
      <c r="B888" t="e">
        <f>IF(#REF!="T", 0, IF(#REF!="C", 0, ""))</f>
        <v>#REF!</v>
      </c>
    </row>
    <row r="889" spans="1:2" x14ac:dyDescent="0.25">
      <c r="A889" s="1"/>
      <c r="B889" t="e">
        <f>IF(#REF!="T", 0, IF(#REF!="C", 0, ""))</f>
        <v>#REF!</v>
      </c>
    </row>
    <row r="890" spans="1:2" x14ac:dyDescent="0.25">
      <c r="A890" s="1"/>
      <c r="B890" t="e">
        <f>IF(#REF!="T", 0, IF(#REF!="C", 0, ""))</f>
        <v>#REF!</v>
      </c>
    </row>
    <row r="891" spans="1:2" x14ac:dyDescent="0.25">
      <c r="A891" s="1"/>
      <c r="B891" t="e">
        <f>IF(#REF!="T", 0, IF(#REF!="C", 0, ""))</f>
        <v>#REF!</v>
      </c>
    </row>
    <row r="892" spans="1:2" x14ac:dyDescent="0.25">
      <c r="A892" s="1"/>
      <c r="B892" t="e">
        <f>IF(#REF!="T", 0, IF(#REF!="C", 0, ""))</f>
        <v>#REF!</v>
      </c>
    </row>
    <row r="893" spans="1:2" x14ac:dyDescent="0.25">
      <c r="A893" s="1"/>
      <c r="B893" t="e">
        <f>IF(#REF!="T", 0, IF(#REF!="C", 0, ""))</f>
        <v>#REF!</v>
      </c>
    </row>
    <row r="894" spans="1:2" x14ac:dyDescent="0.25">
      <c r="A894" s="1"/>
      <c r="B894" t="e">
        <f>IF(#REF!="T", 0, IF(#REF!="C", 0, ""))</f>
        <v>#REF!</v>
      </c>
    </row>
    <row r="895" spans="1:2" x14ac:dyDescent="0.25">
      <c r="A895" s="1"/>
      <c r="B895" t="e">
        <f>IF(#REF!="T", 0, IF(#REF!="C", 0, ""))</f>
        <v>#REF!</v>
      </c>
    </row>
    <row r="896" spans="1:2" x14ac:dyDescent="0.25">
      <c r="A896" s="1"/>
      <c r="B896" t="e">
        <f>IF(#REF!="T", 0, IF(#REF!="C", 0, ""))</f>
        <v>#REF!</v>
      </c>
    </row>
    <row r="897" spans="1:2" x14ac:dyDescent="0.25">
      <c r="A897" s="1"/>
      <c r="B897" t="e">
        <f>IF(#REF!="T", 0, IF(#REF!="C", 0, ""))</f>
        <v>#REF!</v>
      </c>
    </row>
    <row r="898" spans="1:2" x14ac:dyDescent="0.25">
      <c r="A898" s="1"/>
      <c r="B898" t="e">
        <f>IF(#REF!="T", 0, IF(#REF!="C", 0, ""))</f>
        <v>#REF!</v>
      </c>
    </row>
    <row r="899" spans="1:2" x14ac:dyDescent="0.25">
      <c r="A899" s="1"/>
      <c r="B899" t="e">
        <f>IF(#REF!="T", 0, IF(#REF!="C", 0, ""))</f>
        <v>#REF!</v>
      </c>
    </row>
    <row r="900" spans="1:2" x14ac:dyDescent="0.25">
      <c r="A900" s="1"/>
      <c r="B900" t="e">
        <f>IF(#REF!="T", 0, IF(#REF!="C", 0, ""))</f>
        <v>#REF!</v>
      </c>
    </row>
    <row r="901" spans="1:2" x14ac:dyDescent="0.25">
      <c r="A901" s="1"/>
      <c r="B901" t="e">
        <f>IF(#REF!="T", 0, IF(#REF!="C", 0, ""))</f>
        <v>#REF!</v>
      </c>
    </row>
    <row r="902" spans="1:2" x14ac:dyDescent="0.25">
      <c r="A902" s="1"/>
      <c r="B902" t="e">
        <f>IF(#REF!="T", 0, IF(#REF!="C", 0, ""))</f>
        <v>#REF!</v>
      </c>
    </row>
    <row r="903" spans="1:2" x14ac:dyDescent="0.25">
      <c r="A903" s="1"/>
      <c r="B903" t="e">
        <f>IF(#REF!="T", 0, IF(#REF!="C", 0, ""))</f>
        <v>#REF!</v>
      </c>
    </row>
    <row r="904" spans="1:2" x14ac:dyDescent="0.25">
      <c r="A904" s="1"/>
      <c r="B904" t="e">
        <f>IF(#REF!="T", 0, IF(#REF!="C", 0, ""))</f>
        <v>#REF!</v>
      </c>
    </row>
    <row r="905" spans="1:2" x14ac:dyDescent="0.25">
      <c r="A905" s="1"/>
      <c r="B905" t="e">
        <f>IF(#REF!="T", 0, IF(#REF!="C", 0, ""))</f>
        <v>#REF!</v>
      </c>
    </row>
    <row r="906" spans="1:2" x14ac:dyDescent="0.25">
      <c r="A906" s="1"/>
      <c r="B906" t="e">
        <f>IF(#REF!="T", 0, IF(#REF!="C", 0, ""))</f>
        <v>#REF!</v>
      </c>
    </row>
    <row r="907" spans="1:2" x14ac:dyDescent="0.25">
      <c r="A907" s="1"/>
      <c r="B907" t="e">
        <f>IF(#REF!="T", 0, IF(#REF!="C", 0, ""))</f>
        <v>#REF!</v>
      </c>
    </row>
    <row r="908" spans="1:2" x14ac:dyDescent="0.25">
      <c r="A908" s="1"/>
      <c r="B908" t="e">
        <f>IF(#REF!="T", 0, IF(#REF!="C", 0, ""))</f>
        <v>#REF!</v>
      </c>
    </row>
    <row r="909" spans="1:2" x14ac:dyDescent="0.25">
      <c r="A909" s="1"/>
      <c r="B909" t="e">
        <f>IF(#REF!="T", 0, IF(#REF!="C", 0, ""))</f>
        <v>#REF!</v>
      </c>
    </row>
    <row r="910" spans="1:2" x14ac:dyDescent="0.25">
      <c r="A910" s="1"/>
      <c r="B910" t="e">
        <f>IF(#REF!="T", 0, IF(#REF!="C", 0, ""))</f>
        <v>#REF!</v>
      </c>
    </row>
    <row r="911" spans="1:2" x14ac:dyDescent="0.25">
      <c r="A911" s="1"/>
      <c r="B911" t="e">
        <f>IF(#REF!="T", 0, IF(#REF!="C", 0, ""))</f>
        <v>#REF!</v>
      </c>
    </row>
    <row r="912" spans="1:2" x14ac:dyDescent="0.25">
      <c r="A912" s="1"/>
      <c r="B912" t="e">
        <f>IF(#REF!="T", 0, IF(#REF!="C", 0, ""))</f>
        <v>#REF!</v>
      </c>
    </row>
    <row r="913" spans="1:2" x14ac:dyDescent="0.25">
      <c r="A913" s="1"/>
      <c r="B913" t="e">
        <f>IF(#REF!="T", 0, IF(#REF!="C", 0, ""))</f>
        <v>#REF!</v>
      </c>
    </row>
    <row r="914" spans="1:2" x14ac:dyDescent="0.25">
      <c r="A914" s="1"/>
      <c r="B914" t="e">
        <f>IF(#REF!="T", 0, IF(#REF!="C", 0, ""))</f>
        <v>#REF!</v>
      </c>
    </row>
    <row r="915" spans="1:2" x14ac:dyDescent="0.25">
      <c r="A915" s="1"/>
      <c r="B915" t="e">
        <f>IF(#REF!="T", 0, IF(#REF!="C", 0, ""))</f>
        <v>#REF!</v>
      </c>
    </row>
    <row r="916" spans="1:2" x14ac:dyDescent="0.25">
      <c r="A916" s="1"/>
      <c r="B916" t="e">
        <f>IF(#REF!="T", 0, IF(#REF!="C", 0, ""))</f>
        <v>#REF!</v>
      </c>
    </row>
    <row r="917" spans="1:2" x14ac:dyDescent="0.25">
      <c r="A917" s="1"/>
      <c r="B917" t="e">
        <f>IF(#REF!="T", 0, IF(#REF!="C", 0, ""))</f>
        <v>#REF!</v>
      </c>
    </row>
    <row r="918" spans="1:2" x14ac:dyDescent="0.25">
      <c r="A918" s="1"/>
      <c r="B918" t="e">
        <f>IF(#REF!="T", 0, IF(#REF!="C", 0, ""))</f>
        <v>#REF!</v>
      </c>
    </row>
    <row r="919" spans="1:2" x14ac:dyDescent="0.25">
      <c r="A919" s="1"/>
      <c r="B919" t="e">
        <f>IF(#REF!="T", 0, IF(#REF!="C", 0, ""))</f>
        <v>#REF!</v>
      </c>
    </row>
    <row r="920" spans="1:2" x14ac:dyDescent="0.25">
      <c r="A920" s="1"/>
      <c r="B920" t="e">
        <f>IF(#REF!="T", 0, IF(#REF!="C", 0, ""))</f>
        <v>#REF!</v>
      </c>
    </row>
    <row r="921" spans="1:2" x14ac:dyDescent="0.25">
      <c r="A921" s="1"/>
      <c r="B921" t="e">
        <f>IF(#REF!="T", 0, IF(#REF!="C", 0, ""))</f>
        <v>#REF!</v>
      </c>
    </row>
    <row r="922" spans="1:2" x14ac:dyDescent="0.25">
      <c r="A922" s="1"/>
      <c r="B922" t="e">
        <f>IF(#REF!="T", 0, IF(#REF!="C", 0, ""))</f>
        <v>#REF!</v>
      </c>
    </row>
    <row r="923" spans="1:2" x14ac:dyDescent="0.25">
      <c r="A923" s="1"/>
      <c r="B923" t="e">
        <f>IF(#REF!="T", 0, IF(#REF!="C", 0, ""))</f>
        <v>#REF!</v>
      </c>
    </row>
    <row r="924" spans="1:2" x14ac:dyDescent="0.25">
      <c r="A924" s="1"/>
      <c r="B924" t="e">
        <f>IF(#REF!="T", 0, IF(#REF!="C", 0, ""))</f>
        <v>#REF!</v>
      </c>
    </row>
    <row r="925" spans="1:2" x14ac:dyDescent="0.25">
      <c r="A925" s="1"/>
      <c r="B925" t="e">
        <f>IF(#REF!="T", 0, IF(#REF!="C", 0, ""))</f>
        <v>#REF!</v>
      </c>
    </row>
    <row r="926" spans="1:2" x14ac:dyDescent="0.25">
      <c r="A926" s="1"/>
      <c r="B926" t="e">
        <f>IF(#REF!="T", 0, IF(#REF!="C", 0, ""))</f>
        <v>#REF!</v>
      </c>
    </row>
    <row r="927" spans="1:2" x14ac:dyDescent="0.25">
      <c r="A927" s="1"/>
      <c r="B927" t="e">
        <f>IF(#REF!="T", 0, IF(#REF!="C", 0, ""))</f>
        <v>#REF!</v>
      </c>
    </row>
    <row r="928" spans="1:2" x14ac:dyDescent="0.25">
      <c r="A928" s="1"/>
      <c r="B928" t="e">
        <f>IF(#REF!="T", 0, IF(#REF!="C", 0, ""))</f>
        <v>#REF!</v>
      </c>
    </row>
    <row r="929" spans="1:2" x14ac:dyDescent="0.25">
      <c r="A929" s="1"/>
      <c r="B929" t="e">
        <f>IF(#REF!="T", 0, IF(#REF!="C", 0, ""))</f>
        <v>#REF!</v>
      </c>
    </row>
    <row r="930" spans="1:2" x14ac:dyDescent="0.25">
      <c r="A930" s="1"/>
      <c r="B930" t="e">
        <f>IF(#REF!="T", 0, IF(#REF!="C", 0, ""))</f>
        <v>#REF!</v>
      </c>
    </row>
    <row r="931" spans="1:2" x14ac:dyDescent="0.25">
      <c r="A931" s="1"/>
      <c r="B931" t="e">
        <f>IF(#REF!="T", 0, IF(#REF!="C", 0, ""))</f>
        <v>#REF!</v>
      </c>
    </row>
    <row r="932" spans="1:2" x14ac:dyDescent="0.25">
      <c r="A932" s="1"/>
      <c r="B932" t="e">
        <f>IF(#REF!="T", 0, IF(#REF!="C", 0, ""))</f>
        <v>#REF!</v>
      </c>
    </row>
    <row r="933" spans="1:2" x14ac:dyDescent="0.25">
      <c r="A933" s="1"/>
      <c r="B933" t="e">
        <f>IF(#REF!="T", 0, IF(#REF!="C", 0, ""))</f>
        <v>#REF!</v>
      </c>
    </row>
    <row r="934" spans="1:2" x14ac:dyDescent="0.25">
      <c r="A934" s="1"/>
      <c r="B934" t="e">
        <f>IF(#REF!="T", 0, IF(#REF!="C", 0, ""))</f>
        <v>#REF!</v>
      </c>
    </row>
    <row r="935" spans="1:2" x14ac:dyDescent="0.25">
      <c r="A935" s="1"/>
      <c r="B935" t="e">
        <f>IF(#REF!="T", 0, IF(#REF!="C", 0, ""))</f>
        <v>#REF!</v>
      </c>
    </row>
    <row r="936" spans="1:2" x14ac:dyDescent="0.25">
      <c r="A936" s="1"/>
      <c r="B936" t="e">
        <f>IF(#REF!="T", 0, IF(#REF!="C", 0, ""))</f>
        <v>#REF!</v>
      </c>
    </row>
    <row r="937" spans="1:2" x14ac:dyDescent="0.25">
      <c r="A937" s="1"/>
      <c r="B937" t="e">
        <f>IF(#REF!="T", 0, IF(#REF!="C", 0, ""))</f>
        <v>#REF!</v>
      </c>
    </row>
    <row r="938" spans="1:2" x14ac:dyDescent="0.25">
      <c r="A938" s="1"/>
      <c r="B938" t="e">
        <f>IF(#REF!="T", 0, IF(#REF!="C", 0, ""))</f>
        <v>#REF!</v>
      </c>
    </row>
    <row r="939" spans="1:2" x14ac:dyDescent="0.25">
      <c r="A939" s="1"/>
      <c r="B939" t="e">
        <f>IF(#REF!="T", 0, IF(#REF!="C", 0, ""))</f>
        <v>#REF!</v>
      </c>
    </row>
    <row r="940" spans="1:2" x14ac:dyDescent="0.25">
      <c r="A940" s="1"/>
      <c r="B940" t="e">
        <f>IF(#REF!="T", 0, IF(#REF!="C", 0, ""))</f>
        <v>#REF!</v>
      </c>
    </row>
    <row r="941" spans="1:2" x14ac:dyDescent="0.25">
      <c r="A941" s="1"/>
      <c r="B941" t="e">
        <f>IF(#REF!="T", 0, IF(#REF!="C", 0, ""))</f>
        <v>#REF!</v>
      </c>
    </row>
    <row r="942" spans="1:2" x14ac:dyDescent="0.25">
      <c r="A942" s="1"/>
      <c r="B942" t="e">
        <f>IF(#REF!="T", 0, IF(#REF!="C", 0, ""))</f>
        <v>#REF!</v>
      </c>
    </row>
    <row r="943" spans="1:2" x14ac:dyDescent="0.25">
      <c r="A943" s="1"/>
      <c r="B943" t="e">
        <f>IF(#REF!="T", 0, IF(#REF!="C", 0, ""))</f>
        <v>#REF!</v>
      </c>
    </row>
    <row r="944" spans="1:2" x14ac:dyDescent="0.25">
      <c r="A944" s="1"/>
      <c r="B944" t="e">
        <f>IF(#REF!="T", 0, IF(#REF!="C", 0, ""))</f>
        <v>#REF!</v>
      </c>
    </row>
    <row r="945" spans="1:2" x14ac:dyDescent="0.25">
      <c r="A945" s="1"/>
      <c r="B945" t="e">
        <f>IF(#REF!="T", 0, IF(#REF!="C", 0, ""))</f>
        <v>#REF!</v>
      </c>
    </row>
    <row r="946" spans="1:2" x14ac:dyDescent="0.25">
      <c r="A946" s="1"/>
      <c r="B946" t="e">
        <f>IF(#REF!="T", 0, IF(#REF!="C", 0, ""))</f>
        <v>#REF!</v>
      </c>
    </row>
    <row r="947" spans="1:2" x14ac:dyDescent="0.25">
      <c r="A947" s="1"/>
      <c r="B947" t="e">
        <f>IF(#REF!="T", 0, IF(#REF!="C", 0, ""))</f>
        <v>#REF!</v>
      </c>
    </row>
    <row r="948" spans="1:2" x14ac:dyDescent="0.25">
      <c r="A948" s="1"/>
      <c r="B948" t="e">
        <f>IF(#REF!="T", 0, IF(#REF!="C", 0, ""))</f>
        <v>#REF!</v>
      </c>
    </row>
    <row r="949" spans="1:2" x14ac:dyDescent="0.25">
      <c r="A949" s="1"/>
      <c r="B949" t="e">
        <f>IF(#REF!="T", 0, IF(#REF!="C", 0, ""))</f>
        <v>#REF!</v>
      </c>
    </row>
    <row r="950" spans="1:2" x14ac:dyDescent="0.25">
      <c r="A950" s="1"/>
      <c r="B950" t="e">
        <f>IF(#REF!="T", 0, IF(#REF!="C", 0, ""))</f>
        <v>#REF!</v>
      </c>
    </row>
    <row r="951" spans="1:2" x14ac:dyDescent="0.25">
      <c r="A951" s="1"/>
      <c r="B951" t="e">
        <f>IF(#REF!="T", 0, IF(#REF!="C", 0, ""))</f>
        <v>#REF!</v>
      </c>
    </row>
    <row r="952" spans="1:2" x14ac:dyDescent="0.25">
      <c r="A952" s="1"/>
      <c r="B952" t="e">
        <f>IF(#REF!="T", 0, IF(#REF!="C", 0, ""))</f>
        <v>#REF!</v>
      </c>
    </row>
    <row r="953" spans="1:2" x14ac:dyDescent="0.25">
      <c r="A953" s="1"/>
      <c r="B953" t="e">
        <f>IF(#REF!="T", 0, IF(#REF!="C", 0, ""))</f>
        <v>#REF!</v>
      </c>
    </row>
    <row r="954" spans="1:2" x14ac:dyDescent="0.25">
      <c r="A954" s="1"/>
      <c r="B954" t="e">
        <f>IF(#REF!="T", 0, IF(#REF!="C", 0, ""))</f>
        <v>#REF!</v>
      </c>
    </row>
    <row r="955" spans="1:2" x14ac:dyDescent="0.25">
      <c r="A955" s="1"/>
      <c r="B955" t="e">
        <f>IF(#REF!="T", 0, IF(#REF!="C", 0, ""))</f>
        <v>#REF!</v>
      </c>
    </row>
    <row r="956" spans="1:2" x14ac:dyDescent="0.25">
      <c r="A956" s="1"/>
      <c r="B956" t="e">
        <f>IF(#REF!="T", 0, IF(#REF!="C", 0, ""))</f>
        <v>#REF!</v>
      </c>
    </row>
    <row r="957" spans="1:2" x14ac:dyDescent="0.25">
      <c r="A957" s="1"/>
      <c r="B957" t="e">
        <f>IF(#REF!="T", 0, IF(#REF!="C", 0, ""))</f>
        <v>#REF!</v>
      </c>
    </row>
    <row r="958" spans="1:2" x14ac:dyDescent="0.25">
      <c r="A958" s="1"/>
      <c r="B958" t="e">
        <f>IF(#REF!="T", 0, IF(#REF!="C", 0, ""))</f>
        <v>#REF!</v>
      </c>
    </row>
    <row r="959" spans="1:2" x14ac:dyDescent="0.25">
      <c r="A959" s="1"/>
      <c r="B959" t="e">
        <f>IF(#REF!="T", 0, IF(#REF!="C", 0, ""))</f>
        <v>#REF!</v>
      </c>
    </row>
    <row r="960" spans="1:2" x14ac:dyDescent="0.25">
      <c r="A960" s="1"/>
      <c r="B960" t="e">
        <f>IF(#REF!="T", 0, IF(#REF!="C", 0, ""))</f>
        <v>#REF!</v>
      </c>
    </row>
    <row r="961" spans="1:2" x14ac:dyDescent="0.25">
      <c r="A961" s="1"/>
      <c r="B961" t="e">
        <f>IF(#REF!="T", 0, IF(#REF!="C", 0, ""))</f>
        <v>#REF!</v>
      </c>
    </row>
    <row r="962" spans="1:2" x14ac:dyDescent="0.25">
      <c r="A962" s="1"/>
      <c r="B962" t="e">
        <f>IF(#REF!="T", 0, IF(#REF!="C", 0, ""))</f>
        <v>#REF!</v>
      </c>
    </row>
    <row r="963" spans="1:2" x14ac:dyDescent="0.25">
      <c r="A963" s="1"/>
      <c r="B963" t="e">
        <f>IF(#REF!="T", 0, IF(#REF!="C", 0, ""))</f>
        <v>#REF!</v>
      </c>
    </row>
    <row r="964" spans="1:2" x14ac:dyDescent="0.25">
      <c r="A964" s="1"/>
      <c r="B964" t="e">
        <f>IF(#REF!="T", 0, IF(#REF!="C", 0, ""))</f>
        <v>#REF!</v>
      </c>
    </row>
    <row r="965" spans="1:2" x14ac:dyDescent="0.25">
      <c r="A965" s="1"/>
      <c r="B965" t="e">
        <f>IF(#REF!="T", 0, IF(#REF!="C", 0, ""))</f>
        <v>#REF!</v>
      </c>
    </row>
    <row r="966" spans="1:2" x14ac:dyDescent="0.25">
      <c r="A966" s="1"/>
      <c r="B966" t="e">
        <f>IF(#REF!="T", 0, IF(#REF!="C", 0, ""))</f>
        <v>#REF!</v>
      </c>
    </row>
    <row r="967" spans="1:2" x14ac:dyDescent="0.25">
      <c r="A967" s="1"/>
      <c r="B967" t="e">
        <f>IF(#REF!="T", 0, IF(#REF!="C", 0, ""))</f>
        <v>#REF!</v>
      </c>
    </row>
    <row r="968" spans="1:2" x14ac:dyDescent="0.25">
      <c r="A968" s="1"/>
      <c r="B968" t="e">
        <f>IF(#REF!="T", 0, IF(#REF!="C", 0, ""))</f>
        <v>#REF!</v>
      </c>
    </row>
    <row r="969" spans="1:2" x14ac:dyDescent="0.25">
      <c r="A969" s="1"/>
      <c r="B969" t="e">
        <f>IF(#REF!="T", 0, IF(#REF!="C", 0, ""))</f>
        <v>#REF!</v>
      </c>
    </row>
    <row r="970" spans="1:2" x14ac:dyDescent="0.25">
      <c r="A970" s="1"/>
      <c r="B970" t="e">
        <f>IF(#REF!="T", 0, IF(#REF!="C", 0, ""))</f>
        <v>#REF!</v>
      </c>
    </row>
    <row r="971" spans="1:2" x14ac:dyDescent="0.25">
      <c r="A971" s="1"/>
      <c r="B971" t="e">
        <f>IF(#REF!="T", 0, IF(#REF!="C", 0, ""))</f>
        <v>#REF!</v>
      </c>
    </row>
    <row r="972" spans="1:2" x14ac:dyDescent="0.25">
      <c r="A972" s="1"/>
      <c r="B972" t="e">
        <f>IF(#REF!="T", 0, IF(#REF!="C", 0, ""))</f>
        <v>#REF!</v>
      </c>
    </row>
    <row r="973" spans="1:2" x14ac:dyDescent="0.25">
      <c r="A973" s="1"/>
      <c r="B973" t="e">
        <f>IF(#REF!="T", 0, IF(#REF!="C", 0, ""))</f>
        <v>#REF!</v>
      </c>
    </row>
    <row r="974" spans="1:2" x14ac:dyDescent="0.25">
      <c r="A974" s="1"/>
      <c r="B974" t="e">
        <f>IF(#REF!="T", 0, IF(#REF!="C", 0, ""))</f>
        <v>#REF!</v>
      </c>
    </row>
    <row r="975" spans="1:2" x14ac:dyDescent="0.25">
      <c r="A975" s="1"/>
      <c r="B975" t="e">
        <f>IF(#REF!="T", 0, IF(#REF!="C", 0, ""))</f>
        <v>#REF!</v>
      </c>
    </row>
    <row r="976" spans="1:2" x14ac:dyDescent="0.25">
      <c r="A976" s="1"/>
      <c r="B976" t="e">
        <f>IF(#REF!="T", 0, IF(#REF!="C", 0, ""))</f>
        <v>#REF!</v>
      </c>
    </row>
    <row r="977" spans="1:2" x14ac:dyDescent="0.25">
      <c r="A977" s="1"/>
      <c r="B977" t="e">
        <f>IF(#REF!="T", 0, IF(#REF!="C", 0, ""))</f>
        <v>#REF!</v>
      </c>
    </row>
    <row r="978" spans="1:2" x14ac:dyDescent="0.25">
      <c r="A978" s="1"/>
      <c r="B978" t="e">
        <f>IF(#REF!="T", 0, IF(#REF!="C", 0, ""))</f>
        <v>#REF!</v>
      </c>
    </row>
    <row r="979" spans="1:2" x14ac:dyDescent="0.25">
      <c r="A979" s="1"/>
      <c r="B979" t="e">
        <f>IF(#REF!="T", 0, IF(#REF!="C", 0, ""))</f>
        <v>#REF!</v>
      </c>
    </row>
    <row r="980" spans="1:2" x14ac:dyDescent="0.25">
      <c r="A980" s="1"/>
      <c r="B980" t="e">
        <f>IF(#REF!="T", 0, IF(#REF!="C", 0, ""))</f>
        <v>#REF!</v>
      </c>
    </row>
    <row r="981" spans="1:2" x14ac:dyDescent="0.25">
      <c r="A981" s="1"/>
      <c r="B981" t="e">
        <f>IF(#REF!="T", 0, IF(#REF!="C", 0, ""))</f>
        <v>#REF!</v>
      </c>
    </row>
    <row r="982" spans="1:2" x14ac:dyDescent="0.25">
      <c r="A982" s="1"/>
      <c r="B982" t="e">
        <f>IF(#REF!="T", 0, IF(#REF!="C", 0, ""))</f>
        <v>#REF!</v>
      </c>
    </row>
    <row r="983" spans="1:2" x14ac:dyDescent="0.25">
      <c r="A983" s="1"/>
      <c r="B983" t="e">
        <f>IF(#REF!="T", 0, IF(#REF!="C", 0, ""))</f>
        <v>#REF!</v>
      </c>
    </row>
    <row r="984" spans="1:2" x14ac:dyDescent="0.25">
      <c r="A984" s="1"/>
      <c r="B984" t="e">
        <f>IF(#REF!="T", 0, IF(#REF!="C", 0, ""))</f>
        <v>#REF!</v>
      </c>
    </row>
    <row r="985" spans="1:2" x14ac:dyDescent="0.25">
      <c r="A985" s="1"/>
      <c r="B985" t="e">
        <f>IF(#REF!="T", 0, IF(#REF!="C", 0, ""))</f>
        <v>#REF!</v>
      </c>
    </row>
    <row r="986" spans="1:2" x14ac:dyDescent="0.25">
      <c r="A986" s="1"/>
      <c r="B986" t="e">
        <f>IF(#REF!="T", 0, IF(#REF!="C", 0, ""))</f>
        <v>#REF!</v>
      </c>
    </row>
    <row r="987" spans="1:2" x14ac:dyDescent="0.25">
      <c r="A987" s="1"/>
      <c r="B987" t="e">
        <f>IF(#REF!="T", 0, IF(#REF!="C", 0, ""))</f>
        <v>#REF!</v>
      </c>
    </row>
    <row r="988" spans="1:2" x14ac:dyDescent="0.25">
      <c r="A988" s="1"/>
      <c r="B988" t="e">
        <f>IF(#REF!="T", 0, IF(#REF!="C", 0, ""))</f>
        <v>#REF!</v>
      </c>
    </row>
    <row r="989" spans="1:2" x14ac:dyDescent="0.25">
      <c r="A989" s="1"/>
      <c r="B989" t="e">
        <f>IF(#REF!="T", 0, IF(#REF!="C", 0, ""))</f>
        <v>#REF!</v>
      </c>
    </row>
    <row r="990" spans="1:2" x14ac:dyDescent="0.25">
      <c r="A990" s="1"/>
      <c r="B990" t="e">
        <f>IF(#REF!="T", 0, IF(#REF!="C", 0, ""))</f>
        <v>#REF!</v>
      </c>
    </row>
    <row r="991" spans="1:2" x14ac:dyDescent="0.25">
      <c r="A991" s="1"/>
      <c r="B991" t="e">
        <f>IF(#REF!="T", 0, IF(#REF!="C", 0, ""))</f>
        <v>#REF!</v>
      </c>
    </row>
    <row r="992" spans="1:2" x14ac:dyDescent="0.25">
      <c r="A992" s="1"/>
      <c r="B992" t="e">
        <f>IF(#REF!="T", 0, IF(#REF!="C", 0, ""))</f>
        <v>#REF!</v>
      </c>
    </row>
    <row r="993" spans="1:2" x14ac:dyDescent="0.25">
      <c r="A993" s="1"/>
      <c r="B993" t="e">
        <f>IF(#REF!="T", 0, IF(#REF!="C", 0, ""))</f>
        <v>#REF!</v>
      </c>
    </row>
    <row r="994" spans="1:2" x14ac:dyDescent="0.25">
      <c r="A994" s="1"/>
      <c r="B994" t="e">
        <f>IF(#REF!="T", 0, IF(#REF!="C", 0, ""))</f>
        <v>#REF!</v>
      </c>
    </row>
    <row r="995" spans="1:2" x14ac:dyDescent="0.25">
      <c r="A995" s="1"/>
      <c r="B995" t="e">
        <f>IF(#REF!="T", 0, IF(#REF!="C", 0, ""))</f>
        <v>#REF!</v>
      </c>
    </row>
    <row r="996" spans="1:2" x14ac:dyDescent="0.25">
      <c r="A996" s="1"/>
      <c r="B996" t="e">
        <f>IF(#REF!="T", 0, IF(#REF!="C", 0, ""))</f>
        <v>#REF!</v>
      </c>
    </row>
    <row r="997" spans="1:2" x14ac:dyDescent="0.25">
      <c r="A997" s="1"/>
      <c r="B997" t="e">
        <f>IF(#REF!="T", 0, IF(#REF!="C", 0, ""))</f>
        <v>#REF!</v>
      </c>
    </row>
    <row r="998" spans="1:2" x14ac:dyDescent="0.25">
      <c r="A998" s="1"/>
      <c r="B998" t="e">
        <f>IF(#REF!="T", 0, IF(#REF!="C", 0, ""))</f>
        <v>#REF!</v>
      </c>
    </row>
    <row r="999" spans="1:2" x14ac:dyDescent="0.25">
      <c r="A999" s="1"/>
      <c r="B999" t="e">
        <f>IF(#REF!="T", 0, IF(#REF!="C", 0, ""))</f>
        <v>#REF!</v>
      </c>
    </row>
    <row r="1000" spans="1:2" x14ac:dyDescent="0.25">
      <c r="A1000" s="1"/>
      <c r="B1000" t="e">
        <f>IF(#REF!="T", 0, IF(#REF!="C", 0, ""))</f>
        <v>#REF!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47C9E-223D-454D-93D2-7DB9F46227E6}">
  <sheetPr codeName="Sheet17"/>
  <dimension ref="A1:G1000"/>
  <sheetViews>
    <sheetView workbookViewId="0">
      <selection activeCell="B13" sqref="B13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3.28515625" bestFit="1" customWidth="1"/>
    <col min="5" max="5" width="36.855468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132</v>
      </c>
      <c r="E1" s="3" t="s">
        <v>133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e" cm="1">
        <f t="array" aca="1" ref="D179" ca="1">IF(OR(COUNTIF(damper_names,_xlfn.CONCAT("D_S_",C179))=1, COUNTIF(damper_names,_xlfn.CONCAT("D_E_",C179))=1), "C", "")</f>
        <v>#VALUE!</v>
      </c>
      <c r="E179" t="e">
        <f t="shared" ref="E179:E242" ca="1" si="0">IF(D179="T", 0.05, IF(D179="C", -0.01, ""))</f>
        <v>#VALUE!</v>
      </c>
      <c r="F179" t="e">
        <f t="shared" ref="F179:F242" ca="1" si="1">IF(D179="T", 0.05, IF(D179="C", 0, ""))</f>
        <v>#VALUE!</v>
      </c>
      <c r="G179" t="e">
        <f t="shared" ref="G179:G242" ca="1" si="2">IF(D179="T", 0, IF(D179="C", 0, ""))</f>
        <v>#VALUE!</v>
      </c>
    </row>
    <row r="180" spans="1:7" x14ac:dyDescent="0.25">
      <c r="A180" s="1"/>
      <c r="D180" t="e" cm="1">
        <f t="array" aca="1" ref="D180" ca="1">IF(OR(COUNTIF(damper_names,_xlfn.CONCAT("D_S_",C180))=1, COUNTIF(damper_names,_xlfn.CONCAT("D_E_",C180))=1), "C", "")</f>
        <v>#VALUE!</v>
      </c>
      <c r="E180" t="e">
        <f t="shared" ca="1" si="0"/>
        <v>#VALUE!</v>
      </c>
      <c r="F180" t="e">
        <f t="shared" ca="1" si="1"/>
        <v>#VALUE!</v>
      </c>
      <c r="G180" t="e">
        <f t="shared" ca="1" si="2"/>
        <v>#VALUE!</v>
      </c>
    </row>
    <row r="181" spans="1:7" x14ac:dyDescent="0.25">
      <c r="A181" s="1"/>
      <c r="D181" t="e" cm="1">
        <f t="array" aca="1" ref="D181" ca="1">IF(OR(COUNTIF(damper_names,_xlfn.CONCAT("D_S_",C181))=1, COUNTIF(damper_names,_xlfn.CONCAT("D_E_",C181))=1), "C", "")</f>
        <v>#VALUE!</v>
      </c>
      <c r="E181" t="e">
        <f t="shared" ca="1" si="0"/>
        <v>#VALUE!</v>
      </c>
      <c r="F181" t="e">
        <f t="shared" ca="1" si="1"/>
        <v>#VALUE!</v>
      </c>
      <c r="G181" t="e">
        <f t="shared" ca="1" si="2"/>
        <v>#VALUE!</v>
      </c>
    </row>
    <row r="182" spans="1:7" x14ac:dyDescent="0.25">
      <c r="A182" s="1"/>
      <c r="D182" t="e" cm="1">
        <f t="array" aca="1" ref="D182" ca="1">IF(OR(COUNTIF(damper_names,_xlfn.CONCAT("D_S_",C182))=1, COUNTIF(damper_names,_xlfn.CONCAT("D_E_",C182))=1), "C", "")</f>
        <v>#VALUE!</v>
      </c>
      <c r="E182" t="e">
        <f t="shared" ca="1" si="0"/>
        <v>#VALUE!</v>
      </c>
      <c r="F182" t="e">
        <f t="shared" ca="1" si="1"/>
        <v>#VALUE!</v>
      </c>
      <c r="G182" t="e">
        <f t="shared" ca="1" si="2"/>
        <v>#VALUE!</v>
      </c>
    </row>
    <row r="183" spans="1:7" x14ac:dyDescent="0.25">
      <c r="A183" s="1"/>
      <c r="D183" t="e" cm="1">
        <f t="array" aca="1" ref="D183" ca="1">IF(OR(COUNTIF(damper_names,_xlfn.CONCAT("D_S_",C183))=1, COUNTIF(damper_names,_xlfn.CONCAT("D_E_",C183))=1), "C", "")</f>
        <v>#VALUE!</v>
      </c>
      <c r="E183" t="e">
        <f t="shared" ca="1" si="0"/>
        <v>#VALUE!</v>
      </c>
      <c r="F183" t="e">
        <f t="shared" ca="1" si="1"/>
        <v>#VALUE!</v>
      </c>
      <c r="G183" t="e">
        <f t="shared" ca="1" si="2"/>
        <v>#VALUE!</v>
      </c>
    </row>
    <row r="184" spans="1:7" x14ac:dyDescent="0.25">
      <c r="A184" s="1"/>
      <c r="D184" t="e" cm="1">
        <f t="array" aca="1" ref="D184" ca="1">IF(OR(COUNTIF(damper_names,_xlfn.CONCAT("D_S_",C184))=1, COUNTIF(damper_names,_xlfn.CONCAT("D_E_",C184))=1), "C", "")</f>
        <v>#VALUE!</v>
      </c>
      <c r="E184" t="e">
        <f t="shared" ca="1" si="0"/>
        <v>#VALUE!</v>
      </c>
      <c r="F184" t="e">
        <f t="shared" ca="1" si="1"/>
        <v>#VALUE!</v>
      </c>
      <c r="G184" t="e">
        <f t="shared" ca="1" si="2"/>
        <v>#VALUE!</v>
      </c>
    </row>
    <row r="185" spans="1:7" x14ac:dyDescent="0.25">
      <c r="A185" s="1"/>
      <c r="D185" t="e" cm="1">
        <f t="array" aca="1" ref="D185" ca="1">IF(OR(COUNTIF(damper_names,_xlfn.CONCAT("D_S_",C185))=1, COUNTIF(damper_names,_xlfn.CONCAT("D_E_",C185))=1), "C", "")</f>
        <v>#VALUE!</v>
      </c>
      <c r="E185" t="e">
        <f t="shared" ca="1" si="0"/>
        <v>#VALUE!</v>
      </c>
      <c r="F185" t="e">
        <f t="shared" ca="1" si="1"/>
        <v>#VALUE!</v>
      </c>
      <c r="G185" t="e">
        <f t="shared" ca="1" si="2"/>
        <v>#VALUE!</v>
      </c>
    </row>
    <row r="186" spans="1:7" x14ac:dyDescent="0.25">
      <c r="A186" s="1"/>
      <c r="D186" t="e" cm="1">
        <f t="array" aca="1" ref="D186" ca="1">IF(OR(COUNTIF(damper_names,_xlfn.CONCAT("D_S_",C186))=1, COUNTIF(damper_names,_xlfn.CONCAT("D_E_",C186))=1), "C", "")</f>
        <v>#VALUE!</v>
      </c>
      <c r="E186" t="e">
        <f t="shared" ca="1" si="0"/>
        <v>#VALUE!</v>
      </c>
      <c r="F186" t="e">
        <f t="shared" ca="1" si="1"/>
        <v>#VALUE!</v>
      </c>
      <c r="G186" t="e">
        <f t="shared" ca="1" si="2"/>
        <v>#VALUE!</v>
      </c>
    </row>
    <row r="187" spans="1:7" x14ac:dyDescent="0.25">
      <c r="A187" s="1"/>
      <c r="D187" t="e" cm="1">
        <f t="array" aca="1" ref="D187" ca="1">IF(OR(COUNTIF(damper_names,_xlfn.CONCAT("D_S_",C187))=1, COUNTIF(damper_names,_xlfn.CONCAT("D_E_",C187))=1), "C", "")</f>
        <v>#VALUE!</v>
      </c>
      <c r="E187" t="e">
        <f t="shared" ca="1" si="0"/>
        <v>#VALUE!</v>
      </c>
      <c r="F187" t="e">
        <f t="shared" ca="1" si="1"/>
        <v>#VALUE!</v>
      </c>
      <c r="G187" t="e">
        <f t="shared" ca="1" si="2"/>
        <v>#VALUE!</v>
      </c>
    </row>
    <row r="188" spans="1:7" x14ac:dyDescent="0.25">
      <c r="A188" s="1"/>
      <c r="D188" t="e" cm="1">
        <f t="array" aca="1" ref="D188" ca="1">IF(OR(COUNTIF(damper_names,_xlfn.CONCAT("D_S_",C188))=1, COUNTIF(damper_names,_xlfn.CONCAT("D_E_",C188))=1), "C", "")</f>
        <v>#VALUE!</v>
      </c>
      <c r="E188" t="e">
        <f t="shared" ca="1" si="0"/>
        <v>#VALUE!</v>
      </c>
      <c r="F188" t="e">
        <f t="shared" ca="1" si="1"/>
        <v>#VALUE!</v>
      </c>
      <c r="G188" t="e">
        <f t="shared" ca="1" si="2"/>
        <v>#VALUE!</v>
      </c>
    </row>
    <row r="189" spans="1:7" x14ac:dyDescent="0.25">
      <c r="A189" s="1"/>
      <c r="D189" t="e" cm="1">
        <f t="array" aca="1" ref="D189" ca="1">IF(OR(COUNTIF(damper_names,_xlfn.CONCAT("D_S_",C189))=1, COUNTIF(damper_names,_xlfn.CONCAT("D_E_",C189))=1), "C", "")</f>
        <v>#VALUE!</v>
      </c>
      <c r="E189" t="e">
        <f t="shared" ca="1" si="0"/>
        <v>#VALUE!</v>
      </c>
      <c r="F189" t="e">
        <f t="shared" ca="1" si="1"/>
        <v>#VALUE!</v>
      </c>
      <c r="G189" t="e">
        <f t="shared" ca="1" si="2"/>
        <v>#VALUE!</v>
      </c>
    </row>
    <row r="190" spans="1:7" x14ac:dyDescent="0.25">
      <c r="A190" s="1"/>
      <c r="D190" t="e" cm="1">
        <f t="array" aca="1" ref="D190" ca="1">IF(OR(COUNTIF(damper_names,_xlfn.CONCAT("D_S_",C190))=1, COUNTIF(damper_names,_xlfn.CONCAT("D_E_",C190))=1), "C", "")</f>
        <v>#VALUE!</v>
      </c>
      <c r="E190" t="e">
        <f t="shared" ca="1" si="0"/>
        <v>#VALUE!</v>
      </c>
      <c r="F190" t="e">
        <f t="shared" ca="1" si="1"/>
        <v>#VALUE!</v>
      </c>
      <c r="G190" t="e">
        <f t="shared" ca="1" si="2"/>
        <v>#VALUE!</v>
      </c>
    </row>
    <row r="191" spans="1:7" x14ac:dyDescent="0.25">
      <c r="A191" s="1"/>
      <c r="D191" t="e" cm="1">
        <f t="array" aca="1" ref="D191" ca="1">IF(OR(COUNTIF(damper_names,_xlfn.CONCAT("D_S_",C191))=1, COUNTIF(damper_names,_xlfn.CONCAT("D_E_",C191))=1), "C", "")</f>
        <v>#VALUE!</v>
      </c>
      <c r="E191" t="e">
        <f t="shared" ca="1" si="0"/>
        <v>#VALUE!</v>
      </c>
      <c r="F191" t="e">
        <f t="shared" ca="1" si="1"/>
        <v>#VALUE!</v>
      </c>
      <c r="G191" t="e">
        <f t="shared" ca="1" si="2"/>
        <v>#VALUE!</v>
      </c>
    </row>
    <row r="192" spans="1:7" x14ac:dyDescent="0.25">
      <c r="A192" s="1"/>
      <c r="D192" t="e" cm="1">
        <f t="array" aca="1" ref="D192" ca="1">IF(OR(COUNTIF(damper_names,_xlfn.CONCAT("D_S_",C192))=1, COUNTIF(damper_names,_xlfn.CONCAT("D_E_",C192))=1), "C", "")</f>
        <v>#VALUE!</v>
      </c>
      <c r="E192" t="e">
        <f t="shared" ca="1" si="0"/>
        <v>#VALUE!</v>
      </c>
      <c r="F192" t="e">
        <f t="shared" ca="1" si="1"/>
        <v>#VALUE!</v>
      </c>
      <c r="G192" t="e">
        <f t="shared" ca="1" si="2"/>
        <v>#VALUE!</v>
      </c>
    </row>
    <row r="193" spans="1:7" x14ac:dyDescent="0.25">
      <c r="A193" s="1"/>
      <c r="D193" t="e" cm="1">
        <f t="array" aca="1" ref="D193" ca="1">IF(OR(COUNTIF(damper_names,_xlfn.CONCAT("D_S_",C193))=1, COUNTIF(damper_names,_xlfn.CONCAT("D_E_",C193))=1), "C", "")</f>
        <v>#VALUE!</v>
      </c>
      <c r="E193" t="e">
        <f t="shared" ca="1" si="0"/>
        <v>#VALUE!</v>
      </c>
      <c r="F193" t="e">
        <f t="shared" ca="1" si="1"/>
        <v>#VALUE!</v>
      </c>
      <c r="G193" t="e">
        <f t="shared" ca="1" si="2"/>
        <v>#VALUE!</v>
      </c>
    </row>
    <row r="194" spans="1:7" x14ac:dyDescent="0.25">
      <c r="A194" s="1"/>
      <c r="D194" t="e" cm="1">
        <f t="array" aca="1" ref="D194" ca="1">IF(OR(COUNTIF(damper_names,_xlfn.CONCAT("D_S_",C194))=1, COUNTIF(damper_names,_xlfn.CONCAT("D_E_",C194))=1), "C", "")</f>
        <v>#VALUE!</v>
      </c>
      <c r="E194" t="e">
        <f t="shared" ca="1" si="0"/>
        <v>#VALUE!</v>
      </c>
      <c r="F194" t="e">
        <f t="shared" ca="1" si="1"/>
        <v>#VALUE!</v>
      </c>
      <c r="G194" t="e">
        <f t="shared" ca="1" si="2"/>
        <v>#VALUE!</v>
      </c>
    </row>
    <row r="195" spans="1:7" x14ac:dyDescent="0.25">
      <c r="A195" s="1"/>
      <c r="D195" t="e" cm="1">
        <f t="array" aca="1" ref="D195" ca="1">IF(OR(COUNTIF(damper_names,_xlfn.CONCAT("D_S_",C195))=1, COUNTIF(damper_names,_xlfn.CONCAT("D_E_",C195))=1), "C", "")</f>
        <v>#VALUE!</v>
      </c>
      <c r="E195" t="e">
        <f t="shared" ca="1" si="0"/>
        <v>#VALUE!</v>
      </c>
      <c r="F195" t="e">
        <f t="shared" ca="1" si="1"/>
        <v>#VALUE!</v>
      </c>
      <c r="G195" t="e">
        <f t="shared" ca="1" si="2"/>
        <v>#VALUE!</v>
      </c>
    </row>
    <row r="196" spans="1:7" x14ac:dyDescent="0.25">
      <c r="A196" s="1"/>
      <c r="D196" t="e" cm="1">
        <f t="array" aca="1" ref="D196" ca="1">IF(OR(COUNTIF(damper_names,_xlfn.CONCAT("D_S_",C196))=1, COUNTIF(damper_names,_xlfn.CONCAT("D_E_",C196))=1), "C", "")</f>
        <v>#VALUE!</v>
      </c>
      <c r="E196" t="e">
        <f t="shared" ca="1" si="0"/>
        <v>#VALUE!</v>
      </c>
      <c r="F196" t="e">
        <f t="shared" ca="1" si="1"/>
        <v>#VALUE!</v>
      </c>
      <c r="G196" t="e">
        <f t="shared" ca="1" si="2"/>
        <v>#VALUE!</v>
      </c>
    </row>
    <row r="197" spans="1:7" x14ac:dyDescent="0.25">
      <c r="A197" s="1"/>
      <c r="D197" t="e" cm="1">
        <f t="array" aca="1" ref="D197" ca="1">IF(OR(COUNTIF(damper_names,_xlfn.CONCAT("D_S_",C197))=1, COUNTIF(damper_names,_xlfn.CONCAT("D_E_",C197))=1), "C", "")</f>
        <v>#VALUE!</v>
      </c>
      <c r="E197" t="e">
        <f t="shared" ca="1" si="0"/>
        <v>#VALUE!</v>
      </c>
      <c r="F197" t="e">
        <f t="shared" ca="1" si="1"/>
        <v>#VALUE!</v>
      </c>
      <c r="G197" t="e">
        <f t="shared" ca="1" si="2"/>
        <v>#VALUE!</v>
      </c>
    </row>
    <row r="198" spans="1:7" x14ac:dyDescent="0.25">
      <c r="A198" s="1"/>
      <c r="D198" t="e" cm="1">
        <f t="array" aca="1" ref="D198" ca="1">IF(OR(COUNTIF(damper_names,_xlfn.CONCAT("D_S_",C198))=1, COUNTIF(damper_names,_xlfn.CONCAT("D_E_",C198))=1), "C", "")</f>
        <v>#VALUE!</v>
      </c>
      <c r="E198" t="e">
        <f t="shared" ca="1" si="0"/>
        <v>#VALUE!</v>
      </c>
      <c r="F198" t="e">
        <f t="shared" ca="1" si="1"/>
        <v>#VALUE!</v>
      </c>
      <c r="G198" t="e">
        <f t="shared" ca="1" si="2"/>
        <v>#VALUE!</v>
      </c>
    </row>
    <row r="199" spans="1:7" x14ac:dyDescent="0.25">
      <c r="A199" s="1"/>
      <c r="D199" t="e" cm="1">
        <f t="array" aca="1" ref="D199" ca="1">IF(OR(COUNTIF(damper_names,_xlfn.CONCAT("D_S_",C199))=1, COUNTIF(damper_names,_xlfn.CONCAT("D_E_",C199))=1), "C", "")</f>
        <v>#VALUE!</v>
      </c>
      <c r="E199" t="e">
        <f t="shared" ca="1" si="0"/>
        <v>#VALUE!</v>
      </c>
      <c r="F199" t="e">
        <f t="shared" ca="1" si="1"/>
        <v>#VALUE!</v>
      </c>
      <c r="G199" t="e">
        <f t="shared" ca="1" si="2"/>
        <v>#VALUE!</v>
      </c>
    </row>
    <row r="200" spans="1:7" x14ac:dyDescent="0.25">
      <c r="A200" s="1"/>
      <c r="D200" t="e" cm="1">
        <f t="array" aca="1" ref="D200" ca="1">IF(OR(COUNTIF(damper_names,_xlfn.CONCAT("D_S_",C200))=1, COUNTIF(damper_names,_xlfn.CONCAT("D_E_",C200))=1), "C", "")</f>
        <v>#VALUE!</v>
      </c>
      <c r="E200" t="e">
        <f t="shared" ca="1" si="0"/>
        <v>#VALUE!</v>
      </c>
      <c r="F200" t="e">
        <f t="shared" ca="1" si="1"/>
        <v>#VALUE!</v>
      </c>
      <c r="G200" t="e">
        <f t="shared" ca="1" si="2"/>
        <v>#VALUE!</v>
      </c>
    </row>
    <row r="201" spans="1:7" x14ac:dyDescent="0.25">
      <c r="A201" s="1"/>
      <c r="D201" t="e" cm="1">
        <f t="array" aca="1" ref="D201" ca="1">IF(OR(COUNTIF(damper_names,_xlfn.CONCAT("D_S_",C201))=1, COUNTIF(damper_names,_xlfn.CONCAT("D_E_",C201))=1), "C", "")</f>
        <v>#VALUE!</v>
      </c>
      <c r="E201" t="e">
        <f t="shared" ca="1" si="0"/>
        <v>#VALUE!</v>
      </c>
      <c r="F201" t="e">
        <f t="shared" ca="1" si="1"/>
        <v>#VALUE!</v>
      </c>
      <c r="G201" t="e">
        <f t="shared" ca="1" si="2"/>
        <v>#VALUE!</v>
      </c>
    </row>
    <row r="202" spans="1:7" x14ac:dyDescent="0.25">
      <c r="A202" s="1"/>
      <c r="D202" t="e" cm="1">
        <f t="array" aca="1" ref="D202" ca="1">IF(OR(COUNTIF(damper_names,_xlfn.CONCAT("D_S_",C202))=1, COUNTIF(damper_names,_xlfn.CONCAT("D_E_",C202))=1), "C", "")</f>
        <v>#VALUE!</v>
      </c>
      <c r="E202" t="e">
        <f t="shared" ca="1" si="0"/>
        <v>#VALUE!</v>
      </c>
      <c r="F202" t="e">
        <f t="shared" ca="1" si="1"/>
        <v>#VALUE!</v>
      </c>
      <c r="G202" t="e">
        <f t="shared" ca="1" si="2"/>
        <v>#VALUE!</v>
      </c>
    </row>
    <row r="203" spans="1:7" x14ac:dyDescent="0.25">
      <c r="A203" s="1"/>
      <c r="D203" t="e" cm="1">
        <f t="array" aca="1" ref="D203" ca="1">IF(OR(COUNTIF(damper_names,_xlfn.CONCAT("D_S_",C203))=1, COUNTIF(damper_names,_xlfn.CONCAT("D_E_",C203))=1), "C", "")</f>
        <v>#VALUE!</v>
      </c>
      <c r="E203" t="e">
        <f t="shared" ca="1" si="0"/>
        <v>#VALUE!</v>
      </c>
      <c r="F203" t="e">
        <f t="shared" ca="1" si="1"/>
        <v>#VALUE!</v>
      </c>
      <c r="G203" t="e">
        <f t="shared" ca="1" si="2"/>
        <v>#VALUE!</v>
      </c>
    </row>
    <row r="204" spans="1:7" x14ac:dyDescent="0.25">
      <c r="A204" s="1"/>
      <c r="D204" t="e" cm="1">
        <f t="array" aca="1" ref="D204" ca="1">IF(OR(COUNTIF(damper_names,_xlfn.CONCAT("D_S_",C204))=1, COUNTIF(damper_names,_xlfn.CONCAT("D_E_",C204))=1), "C", "")</f>
        <v>#VALUE!</v>
      </c>
      <c r="E204" t="e">
        <f t="shared" ca="1" si="0"/>
        <v>#VALUE!</v>
      </c>
      <c r="F204" t="e">
        <f t="shared" ca="1" si="1"/>
        <v>#VALUE!</v>
      </c>
      <c r="G204" t="e">
        <f t="shared" ca="1" si="2"/>
        <v>#VALUE!</v>
      </c>
    </row>
    <row r="205" spans="1:7" x14ac:dyDescent="0.25">
      <c r="A205" s="1"/>
      <c r="D205" t="e" cm="1">
        <f t="array" aca="1" ref="D205" ca="1">IF(OR(COUNTIF(damper_names,_xlfn.CONCAT("D_S_",C205))=1, COUNTIF(damper_names,_xlfn.CONCAT("D_E_",C205))=1), "C", "")</f>
        <v>#VALUE!</v>
      </c>
      <c r="E205" t="e">
        <f t="shared" ca="1" si="0"/>
        <v>#VALUE!</v>
      </c>
      <c r="F205" t="e">
        <f t="shared" ca="1" si="1"/>
        <v>#VALUE!</v>
      </c>
      <c r="G205" t="e">
        <f t="shared" ca="1" si="2"/>
        <v>#VALUE!</v>
      </c>
    </row>
    <row r="206" spans="1:7" x14ac:dyDescent="0.25">
      <c r="A206" s="1"/>
      <c r="D206" t="e" cm="1">
        <f t="array" aca="1" ref="D206" ca="1">IF(OR(COUNTIF(damper_names,_xlfn.CONCAT("D_S_",C206))=1, COUNTIF(damper_names,_xlfn.CONCAT("D_E_",C206))=1), "C", "")</f>
        <v>#VALUE!</v>
      </c>
      <c r="E206" t="e">
        <f t="shared" ca="1" si="0"/>
        <v>#VALUE!</v>
      </c>
      <c r="F206" t="e">
        <f t="shared" ca="1" si="1"/>
        <v>#VALUE!</v>
      </c>
      <c r="G206" t="e">
        <f t="shared" ca="1" si="2"/>
        <v>#VALUE!</v>
      </c>
    </row>
    <row r="207" spans="1:7" x14ac:dyDescent="0.25">
      <c r="A207" s="1"/>
      <c r="D207" t="e" cm="1">
        <f t="array" aca="1" ref="D207" ca="1">IF(OR(COUNTIF(damper_names,_xlfn.CONCAT("D_S_",C207))=1, COUNTIF(damper_names,_xlfn.CONCAT("D_E_",C207))=1), "C", "")</f>
        <v>#VALUE!</v>
      </c>
      <c r="E207" t="e">
        <f t="shared" ca="1" si="0"/>
        <v>#VALUE!</v>
      </c>
      <c r="F207" t="e">
        <f t="shared" ca="1" si="1"/>
        <v>#VALUE!</v>
      </c>
      <c r="G207" t="e">
        <f t="shared" ca="1" si="2"/>
        <v>#VALUE!</v>
      </c>
    </row>
    <row r="208" spans="1:7" x14ac:dyDescent="0.25">
      <c r="A208" s="1"/>
      <c r="D208" t="e" cm="1">
        <f t="array" aca="1" ref="D208" ca="1">IF(OR(COUNTIF(damper_names,_xlfn.CONCAT("D_S_",C208))=1, COUNTIF(damper_names,_xlfn.CONCAT("D_E_",C208))=1), "C", "")</f>
        <v>#VALUE!</v>
      </c>
      <c r="E208" t="e">
        <f t="shared" ca="1" si="0"/>
        <v>#VALUE!</v>
      </c>
      <c r="F208" t="e">
        <f t="shared" ca="1" si="1"/>
        <v>#VALUE!</v>
      </c>
      <c r="G208" t="e">
        <f t="shared" ca="1" si="2"/>
        <v>#VALUE!</v>
      </c>
    </row>
    <row r="209" spans="1:7" x14ac:dyDescent="0.25">
      <c r="A209" s="1"/>
      <c r="D209" t="e" cm="1">
        <f t="array" aca="1" ref="D209" ca="1">IF(OR(COUNTIF(damper_names,_xlfn.CONCAT("D_S_",C209))=1, COUNTIF(damper_names,_xlfn.CONCAT("D_E_",C209))=1), "C", "")</f>
        <v>#VALUE!</v>
      </c>
      <c r="E209" t="e">
        <f t="shared" ca="1" si="0"/>
        <v>#VALUE!</v>
      </c>
      <c r="F209" t="e">
        <f t="shared" ca="1" si="1"/>
        <v>#VALUE!</v>
      </c>
      <c r="G209" t="e">
        <f t="shared" ca="1" si="2"/>
        <v>#VALUE!</v>
      </c>
    </row>
    <row r="210" spans="1:7" x14ac:dyDescent="0.25">
      <c r="A210" s="1"/>
      <c r="D210" t="e" cm="1">
        <f t="array" aca="1" ref="D210" ca="1">IF(OR(COUNTIF(damper_names,_xlfn.CONCAT("D_S_",C210))=1, COUNTIF(damper_names,_xlfn.CONCAT("D_E_",C210))=1), "C", "")</f>
        <v>#VALUE!</v>
      </c>
      <c r="E210" t="e">
        <f t="shared" ca="1" si="0"/>
        <v>#VALUE!</v>
      </c>
      <c r="F210" t="e">
        <f t="shared" ca="1" si="1"/>
        <v>#VALUE!</v>
      </c>
      <c r="G210" t="e">
        <f t="shared" ca="1" si="2"/>
        <v>#VALUE!</v>
      </c>
    </row>
    <row r="211" spans="1:7" x14ac:dyDescent="0.25">
      <c r="A211" s="1"/>
      <c r="D211" t="e" cm="1">
        <f t="array" aca="1" ref="D211" ca="1">IF(OR(COUNTIF(damper_names,_xlfn.CONCAT("D_S_",C211))=1, COUNTIF(damper_names,_xlfn.CONCAT("D_E_",C211))=1), "C", "")</f>
        <v>#VALUE!</v>
      </c>
      <c r="E211" t="e">
        <f t="shared" ca="1" si="0"/>
        <v>#VALUE!</v>
      </c>
      <c r="F211" t="e">
        <f t="shared" ca="1" si="1"/>
        <v>#VALUE!</v>
      </c>
      <c r="G211" t="e">
        <f t="shared" ca="1" si="2"/>
        <v>#VALUE!</v>
      </c>
    </row>
    <row r="212" spans="1:7" x14ac:dyDescent="0.25">
      <c r="A212" s="1"/>
      <c r="D212" t="e" cm="1">
        <f t="array" aca="1" ref="D212" ca="1">IF(OR(COUNTIF(damper_names,_xlfn.CONCAT("D_S_",C212))=1, COUNTIF(damper_names,_xlfn.CONCAT("D_E_",C212))=1), "C", "")</f>
        <v>#VALUE!</v>
      </c>
      <c r="E212" t="e">
        <f t="shared" ca="1" si="0"/>
        <v>#VALUE!</v>
      </c>
      <c r="F212" t="e">
        <f t="shared" ca="1" si="1"/>
        <v>#VALUE!</v>
      </c>
      <c r="G212" t="e">
        <f t="shared" ca="1" si="2"/>
        <v>#VALUE!</v>
      </c>
    </row>
    <row r="213" spans="1:7" x14ac:dyDescent="0.25">
      <c r="A213" s="1"/>
      <c r="D213" t="e" cm="1">
        <f t="array" aca="1" ref="D213" ca="1">IF(OR(COUNTIF(damper_names,_xlfn.CONCAT("D_S_",C213))=1, COUNTIF(damper_names,_xlfn.CONCAT("D_E_",C213))=1), "C", "")</f>
        <v>#VALUE!</v>
      </c>
      <c r="E213" t="e">
        <f t="shared" ca="1" si="0"/>
        <v>#VALUE!</v>
      </c>
      <c r="F213" t="e">
        <f t="shared" ca="1" si="1"/>
        <v>#VALUE!</v>
      </c>
      <c r="G213" t="e">
        <f t="shared" ca="1" si="2"/>
        <v>#VALUE!</v>
      </c>
    </row>
    <row r="214" spans="1:7" x14ac:dyDescent="0.25">
      <c r="A214" s="1"/>
      <c r="D214" t="e" cm="1">
        <f t="array" aca="1" ref="D214" ca="1">IF(OR(COUNTIF(damper_names,_xlfn.CONCAT("D_S_",C214))=1, COUNTIF(damper_names,_xlfn.CONCAT("D_E_",C214))=1), "C", "")</f>
        <v>#VALUE!</v>
      </c>
      <c r="E214" t="e">
        <f t="shared" ca="1" si="0"/>
        <v>#VALUE!</v>
      </c>
      <c r="F214" t="e">
        <f t="shared" ca="1" si="1"/>
        <v>#VALUE!</v>
      </c>
      <c r="G214" t="e">
        <f t="shared" ca="1" si="2"/>
        <v>#VALUE!</v>
      </c>
    </row>
    <row r="215" spans="1:7" x14ac:dyDescent="0.25">
      <c r="A215" s="1"/>
      <c r="D215" t="e" cm="1">
        <f t="array" aca="1" ref="D215" ca="1">IF(OR(COUNTIF(damper_names,_xlfn.CONCAT("D_S_",C215))=1, COUNTIF(damper_names,_xlfn.CONCAT("D_E_",C215))=1), "C", "")</f>
        <v>#VALUE!</v>
      </c>
      <c r="E215" t="e">
        <f t="shared" ca="1" si="0"/>
        <v>#VALUE!</v>
      </c>
      <c r="F215" t="e">
        <f t="shared" ca="1" si="1"/>
        <v>#VALUE!</v>
      </c>
      <c r="G215" t="e">
        <f t="shared" ca="1" si="2"/>
        <v>#VALUE!</v>
      </c>
    </row>
    <row r="216" spans="1:7" x14ac:dyDescent="0.25">
      <c r="A216" s="1"/>
      <c r="D216" t="e" cm="1">
        <f t="array" aca="1" ref="D216" ca="1">IF(OR(COUNTIF(damper_names,_xlfn.CONCAT("D_S_",C216))=1, COUNTIF(damper_names,_xlfn.CONCAT("D_E_",C216))=1), "C", "")</f>
        <v>#VALUE!</v>
      </c>
      <c r="E216" t="e">
        <f t="shared" ca="1" si="0"/>
        <v>#VALUE!</v>
      </c>
      <c r="F216" t="e">
        <f t="shared" ca="1" si="1"/>
        <v>#VALUE!</v>
      </c>
      <c r="G216" t="e">
        <f t="shared" ca="1" si="2"/>
        <v>#VALUE!</v>
      </c>
    </row>
    <row r="217" spans="1:7" x14ac:dyDescent="0.25">
      <c r="A217" s="1"/>
      <c r="D217" t="e" cm="1">
        <f t="array" aca="1" ref="D217" ca="1">IF(OR(COUNTIF(damper_names,_xlfn.CONCAT("D_S_",C217))=1, COUNTIF(damper_names,_xlfn.CONCAT("D_E_",C217))=1), "C", "")</f>
        <v>#VALUE!</v>
      </c>
      <c r="E217" t="e">
        <f t="shared" ca="1" si="0"/>
        <v>#VALUE!</v>
      </c>
      <c r="F217" t="e">
        <f t="shared" ca="1" si="1"/>
        <v>#VALUE!</v>
      </c>
      <c r="G217" t="e">
        <f t="shared" ca="1" si="2"/>
        <v>#VALUE!</v>
      </c>
    </row>
    <row r="218" spans="1:7" x14ac:dyDescent="0.25">
      <c r="A218" s="1"/>
      <c r="D218" t="e" cm="1">
        <f t="array" aca="1" ref="D218" ca="1">IF(OR(COUNTIF(damper_names,_xlfn.CONCAT("D_S_",C218))=1, COUNTIF(damper_names,_xlfn.CONCAT("D_E_",C218))=1), "C", "")</f>
        <v>#VALUE!</v>
      </c>
      <c r="E218" t="e">
        <f t="shared" ca="1" si="0"/>
        <v>#VALUE!</v>
      </c>
      <c r="F218" t="e">
        <f t="shared" ca="1" si="1"/>
        <v>#VALUE!</v>
      </c>
      <c r="G218" t="e">
        <f t="shared" ca="1" si="2"/>
        <v>#VALUE!</v>
      </c>
    </row>
    <row r="219" spans="1:7" x14ac:dyDescent="0.25">
      <c r="A219" s="1"/>
      <c r="D219" t="e" cm="1">
        <f t="array" aca="1" ref="D219" ca="1">IF(OR(COUNTIF(damper_names,_xlfn.CONCAT("D_S_",C219))=1, COUNTIF(damper_names,_xlfn.CONCAT("D_E_",C219))=1), "C", "")</f>
        <v>#VALUE!</v>
      </c>
      <c r="E219" t="e">
        <f t="shared" ca="1" si="0"/>
        <v>#VALUE!</v>
      </c>
      <c r="F219" t="e">
        <f t="shared" ca="1" si="1"/>
        <v>#VALUE!</v>
      </c>
      <c r="G219" t="e">
        <f t="shared" ca="1" si="2"/>
        <v>#VALUE!</v>
      </c>
    </row>
    <row r="220" spans="1:7" x14ac:dyDescent="0.25">
      <c r="A220" s="1"/>
      <c r="D220" t="e" cm="1">
        <f t="array" aca="1" ref="D220" ca="1">IF(OR(COUNTIF(damper_names,_xlfn.CONCAT("D_S_",C220))=1, COUNTIF(damper_names,_xlfn.CONCAT("D_E_",C220))=1), "C", "")</f>
        <v>#VALUE!</v>
      </c>
      <c r="E220" t="e">
        <f t="shared" ca="1" si="0"/>
        <v>#VALUE!</v>
      </c>
      <c r="F220" t="e">
        <f t="shared" ca="1" si="1"/>
        <v>#VALUE!</v>
      </c>
      <c r="G220" t="e">
        <f t="shared" ca="1" si="2"/>
        <v>#VALUE!</v>
      </c>
    </row>
    <row r="221" spans="1:7" x14ac:dyDescent="0.25">
      <c r="A221" s="1"/>
      <c r="D221" t="e" cm="1">
        <f t="array" aca="1" ref="D221" ca="1">IF(OR(COUNTIF(damper_names,_xlfn.CONCAT("D_S_",C221))=1, COUNTIF(damper_names,_xlfn.CONCAT("D_E_",C221))=1), "C", "")</f>
        <v>#VALUE!</v>
      </c>
      <c r="E221" t="e">
        <f t="shared" ca="1" si="0"/>
        <v>#VALUE!</v>
      </c>
      <c r="F221" t="e">
        <f t="shared" ca="1" si="1"/>
        <v>#VALUE!</v>
      </c>
      <c r="G221" t="e">
        <f t="shared" ca="1" si="2"/>
        <v>#VALUE!</v>
      </c>
    </row>
    <row r="222" spans="1:7" x14ac:dyDescent="0.25">
      <c r="A222" s="1"/>
      <c r="D222" t="e" cm="1">
        <f t="array" aca="1" ref="D222" ca="1">IF(OR(COUNTIF(damper_names,_xlfn.CONCAT("D_S_",C222))=1, COUNTIF(damper_names,_xlfn.CONCAT("D_E_",C222))=1), "C", "")</f>
        <v>#VALUE!</v>
      </c>
      <c r="E222" t="e">
        <f t="shared" ca="1" si="0"/>
        <v>#VALUE!</v>
      </c>
      <c r="F222" t="e">
        <f t="shared" ca="1" si="1"/>
        <v>#VALUE!</v>
      </c>
      <c r="G222" t="e">
        <f t="shared" ca="1" si="2"/>
        <v>#VALUE!</v>
      </c>
    </row>
    <row r="223" spans="1:7" x14ac:dyDescent="0.25">
      <c r="A223" s="1"/>
      <c r="D223" t="e" cm="1">
        <f t="array" aca="1" ref="D223" ca="1">IF(OR(COUNTIF(damper_names,_xlfn.CONCAT("D_S_",C223))=1, COUNTIF(damper_names,_xlfn.CONCAT("D_E_",C223))=1), "C", "")</f>
        <v>#VALUE!</v>
      </c>
      <c r="E223" t="e">
        <f t="shared" ca="1" si="0"/>
        <v>#VALUE!</v>
      </c>
      <c r="F223" t="e">
        <f t="shared" ca="1" si="1"/>
        <v>#VALUE!</v>
      </c>
      <c r="G223" t="e">
        <f t="shared" ca="1" si="2"/>
        <v>#VALUE!</v>
      </c>
    </row>
    <row r="224" spans="1:7" x14ac:dyDescent="0.25">
      <c r="A224" s="1"/>
      <c r="D224" t="e" cm="1">
        <f t="array" aca="1" ref="D224" ca="1">IF(OR(COUNTIF(damper_names,_xlfn.CONCAT("D_S_",C224))=1, COUNTIF(damper_names,_xlfn.CONCAT("D_E_",C224))=1), "C", "")</f>
        <v>#VALUE!</v>
      </c>
      <c r="E224" t="e">
        <f t="shared" ca="1" si="0"/>
        <v>#VALUE!</v>
      </c>
      <c r="F224" t="e">
        <f t="shared" ca="1" si="1"/>
        <v>#VALUE!</v>
      </c>
      <c r="G224" t="e">
        <f t="shared" ca="1" si="2"/>
        <v>#VALUE!</v>
      </c>
    </row>
    <row r="225" spans="1:7" x14ac:dyDescent="0.25">
      <c r="A225" s="1"/>
      <c r="D225" t="e" cm="1">
        <f t="array" aca="1" ref="D225" ca="1">IF(OR(COUNTIF(damper_names,_xlfn.CONCAT("D_S_",C225))=1, COUNTIF(damper_names,_xlfn.CONCAT("D_E_",C225))=1), "C", "")</f>
        <v>#VALUE!</v>
      </c>
      <c r="E225" t="e">
        <f t="shared" ca="1" si="0"/>
        <v>#VALUE!</v>
      </c>
      <c r="F225" t="e">
        <f t="shared" ca="1" si="1"/>
        <v>#VALUE!</v>
      </c>
      <c r="G225" t="e">
        <f t="shared" ca="1" si="2"/>
        <v>#VALUE!</v>
      </c>
    </row>
    <row r="226" spans="1:7" x14ac:dyDescent="0.25">
      <c r="A226" s="1"/>
      <c r="D226" t="e" cm="1">
        <f t="array" aca="1" ref="D226" ca="1">IF(OR(COUNTIF(damper_names,_xlfn.CONCAT("D_S_",C226))=1, COUNTIF(damper_names,_xlfn.CONCAT("D_E_",C226))=1), "C", "")</f>
        <v>#VALUE!</v>
      </c>
      <c r="E226" t="e">
        <f t="shared" ca="1" si="0"/>
        <v>#VALUE!</v>
      </c>
      <c r="F226" t="e">
        <f t="shared" ca="1" si="1"/>
        <v>#VALUE!</v>
      </c>
      <c r="G226" t="e">
        <f t="shared" ca="1" si="2"/>
        <v>#VALUE!</v>
      </c>
    </row>
    <row r="227" spans="1:7" x14ac:dyDescent="0.25">
      <c r="A227" s="1"/>
      <c r="D227" t="e" cm="1">
        <f t="array" aca="1" ref="D227" ca="1">IF(OR(COUNTIF(damper_names,_xlfn.CONCAT("D_S_",C227))=1, COUNTIF(damper_names,_xlfn.CONCAT("D_E_",C227))=1), "C", "")</f>
        <v>#VALUE!</v>
      </c>
      <c r="E227" t="e">
        <f t="shared" ca="1" si="0"/>
        <v>#VALUE!</v>
      </c>
      <c r="F227" t="e">
        <f t="shared" ca="1" si="1"/>
        <v>#VALUE!</v>
      </c>
      <c r="G227" t="e">
        <f t="shared" ca="1" si="2"/>
        <v>#VALUE!</v>
      </c>
    </row>
    <row r="228" spans="1:7" x14ac:dyDescent="0.25">
      <c r="A228" s="1"/>
      <c r="D228" t="e" cm="1">
        <f t="array" aca="1" ref="D228" ca="1">IF(OR(COUNTIF(damper_names,_xlfn.CONCAT("D_S_",C228))=1, COUNTIF(damper_names,_xlfn.CONCAT("D_E_",C228))=1), "C", "")</f>
        <v>#VALUE!</v>
      </c>
      <c r="E228" t="e">
        <f t="shared" ca="1" si="0"/>
        <v>#VALUE!</v>
      </c>
      <c r="F228" t="e">
        <f t="shared" ca="1" si="1"/>
        <v>#VALUE!</v>
      </c>
      <c r="G228" t="e">
        <f t="shared" ca="1" si="2"/>
        <v>#VALUE!</v>
      </c>
    </row>
    <row r="229" spans="1:7" x14ac:dyDescent="0.25">
      <c r="A229" s="1"/>
      <c r="D229" t="e" cm="1">
        <f t="array" aca="1" ref="D229" ca="1">IF(OR(COUNTIF(damper_names,_xlfn.CONCAT("D_S_",C229))=1, COUNTIF(damper_names,_xlfn.CONCAT("D_E_",C229))=1), "C", "")</f>
        <v>#VALUE!</v>
      </c>
      <c r="E229" t="e">
        <f t="shared" ca="1" si="0"/>
        <v>#VALUE!</v>
      </c>
      <c r="F229" t="e">
        <f t="shared" ca="1" si="1"/>
        <v>#VALUE!</v>
      </c>
      <c r="G229" t="e">
        <f t="shared" ca="1" si="2"/>
        <v>#VALUE!</v>
      </c>
    </row>
    <row r="230" spans="1:7" x14ac:dyDescent="0.25">
      <c r="A230" s="1"/>
      <c r="D230" t="e" cm="1">
        <f t="array" aca="1" ref="D230" ca="1">IF(OR(COUNTIF(damper_names,_xlfn.CONCAT("D_S_",C230))=1, COUNTIF(damper_names,_xlfn.CONCAT("D_E_",C230))=1), "C", "")</f>
        <v>#VALUE!</v>
      </c>
      <c r="E230" t="e">
        <f t="shared" ca="1" si="0"/>
        <v>#VALUE!</v>
      </c>
      <c r="F230" t="e">
        <f t="shared" ca="1" si="1"/>
        <v>#VALUE!</v>
      </c>
      <c r="G230" t="e">
        <f t="shared" ca="1" si="2"/>
        <v>#VALUE!</v>
      </c>
    </row>
    <row r="231" spans="1:7" x14ac:dyDescent="0.25">
      <c r="A231" s="1"/>
      <c r="D231" t="e" cm="1">
        <f t="array" aca="1" ref="D231" ca="1">IF(OR(COUNTIF(damper_names,_xlfn.CONCAT("D_S_",C231))=1, COUNTIF(damper_names,_xlfn.CONCAT("D_E_",C231))=1), "C", "")</f>
        <v>#VALUE!</v>
      </c>
      <c r="E231" t="e">
        <f t="shared" ca="1" si="0"/>
        <v>#VALUE!</v>
      </c>
      <c r="F231" t="e">
        <f t="shared" ca="1" si="1"/>
        <v>#VALUE!</v>
      </c>
      <c r="G231" t="e">
        <f t="shared" ca="1" si="2"/>
        <v>#VALUE!</v>
      </c>
    </row>
    <row r="232" spans="1:7" x14ac:dyDescent="0.25">
      <c r="A232" s="1"/>
      <c r="D232" t="e" cm="1">
        <f t="array" aca="1" ref="D232" ca="1">IF(OR(COUNTIF(damper_names,_xlfn.CONCAT("D_S_",C232))=1, COUNTIF(damper_names,_xlfn.CONCAT("D_E_",C232))=1), "C", "")</f>
        <v>#VALUE!</v>
      </c>
      <c r="E232" t="e">
        <f t="shared" ca="1" si="0"/>
        <v>#VALUE!</v>
      </c>
      <c r="F232" t="e">
        <f t="shared" ca="1" si="1"/>
        <v>#VALUE!</v>
      </c>
      <c r="G232" t="e">
        <f t="shared" ca="1" si="2"/>
        <v>#VALUE!</v>
      </c>
    </row>
    <row r="233" spans="1:7" x14ac:dyDescent="0.25">
      <c r="A233" s="1"/>
      <c r="D233" t="e" cm="1">
        <f t="array" aca="1" ref="D233" ca="1">IF(OR(COUNTIF(damper_names,_xlfn.CONCAT("D_S_",C233))=1, COUNTIF(damper_names,_xlfn.CONCAT("D_E_",C233))=1), "C", "")</f>
        <v>#VALUE!</v>
      </c>
      <c r="E233" t="e">
        <f t="shared" ca="1" si="0"/>
        <v>#VALUE!</v>
      </c>
      <c r="F233" t="e">
        <f t="shared" ca="1" si="1"/>
        <v>#VALUE!</v>
      </c>
      <c r="G233" t="e">
        <f t="shared" ca="1" si="2"/>
        <v>#VALUE!</v>
      </c>
    </row>
    <row r="234" spans="1:7" x14ac:dyDescent="0.25">
      <c r="A234" s="1"/>
      <c r="D234" t="e" cm="1">
        <f t="array" aca="1" ref="D234" ca="1">IF(OR(COUNTIF(damper_names,_xlfn.CONCAT("D_S_",C234))=1, COUNTIF(damper_names,_xlfn.CONCAT("D_E_",C234))=1), "C", "")</f>
        <v>#VALUE!</v>
      </c>
      <c r="E234" t="e">
        <f t="shared" ca="1" si="0"/>
        <v>#VALUE!</v>
      </c>
      <c r="F234" t="e">
        <f t="shared" ca="1" si="1"/>
        <v>#VALUE!</v>
      </c>
      <c r="G234" t="e">
        <f t="shared" ca="1" si="2"/>
        <v>#VALUE!</v>
      </c>
    </row>
    <row r="235" spans="1:7" x14ac:dyDescent="0.25">
      <c r="A235" s="1"/>
      <c r="D235" t="e" cm="1">
        <f t="array" aca="1" ref="D235" ca="1">IF(OR(COUNTIF(damper_names,_xlfn.CONCAT("D_S_",C235))=1, COUNTIF(damper_names,_xlfn.CONCAT("D_E_",C235))=1), "C", "")</f>
        <v>#VALUE!</v>
      </c>
      <c r="E235" t="e">
        <f t="shared" ca="1" si="0"/>
        <v>#VALUE!</v>
      </c>
      <c r="F235" t="e">
        <f t="shared" ca="1" si="1"/>
        <v>#VALUE!</v>
      </c>
      <c r="G235" t="e">
        <f t="shared" ca="1" si="2"/>
        <v>#VALUE!</v>
      </c>
    </row>
    <row r="236" spans="1:7" x14ac:dyDescent="0.25">
      <c r="A236" s="1"/>
      <c r="D236" t="e" cm="1">
        <f t="array" aca="1" ref="D236" ca="1">IF(OR(COUNTIF(damper_names,_xlfn.CONCAT("D_S_",C236))=1, COUNTIF(damper_names,_xlfn.CONCAT("D_E_",C236))=1), "C", "")</f>
        <v>#VALUE!</v>
      </c>
      <c r="E236" t="e">
        <f t="shared" ca="1" si="0"/>
        <v>#VALUE!</v>
      </c>
      <c r="F236" t="e">
        <f t="shared" ca="1" si="1"/>
        <v>#VALUE!</v>
      </c>
      <c r="G236" t="e">
        <f t="shared" ca="1" si="2"/>
        <v>#VALUE!</v>
      </c>
    </row>
    <row r="237" spans="1:7" x14ac:dyDescent="0.25">
      <c r="A237" s="1"/>
      <c r="D237" t="e" cm="1">
        <f t="array" aca="1" ref="D237" ca="1">IF(OR(COUNTIF(damper_names,_xlfn.CONCAT("D_S_",C237))=1, COUNTIF(damper_names,_xlfn.CONCAT("D_E_",C237))=1), "C", "")</f>
        <v>#VALUE!</v>
      </c>
      <c r="E237" t="e">
        <f t="shared" ca="1" si="0"/>
        <v>#VALUE!</v>
      </c>
      <c r="F237" t="e">
        <f t="shared" ca="1" si="1"/>
        <v>#VALUE!</v>
      </c>
      <c r="G237" t="e">
        <f t="shared" ca="1" si="2"/>
        <v>#VALUE!</v>
      </c>
    </row>
    <row r="238" spans="1:7" x14ac:dyDescent="0.25">
      <c r="A238" s="1"/>
      <c r="D238" t="e" cm="1">
        <f t="array" aca="1" ref="D238" ca="1">IF(OR(COUNTIF(damper_names,_xlfn.CONCAT("D_S_",C238))=1, COUNTIF(damper_names,_xlfn.CONCAT("D_E_",C238))=1), "C", "")</f>
        <v>#VALUE!</v>
      </c>
      <c r="E238" t="e">
        <f t="shared" ca="1" si="0"/>
        <v>#VALUE!</v>
      </c>
      <c r="F238" t="e">
        <f t="shared" ca="1" si="1"/>
        <v>#VALUE!</v>
      </c>
      <c r="G238" t="e">
        <f t="shared" ca="1" si="2"/>
        <v>#VALUE!</v>
      </c>
    </row>
    <row r="239" spans="1:7" x14ac:dyDescent="0.25">
      <c r="A239" s="1"/>
      <c r="D239" t="e" cm="1">
        <f t="array" aca="1" ref="D239" ca="1">IF(OR(COUNTIF(damper_names,_xlfn.CONCAT("D_S_",C239))=1, COUNTIF(damper_names,_xlfn.CONCAT("D_E_",C239))=1), "C", "")</f>
        <v>#VALUE!</v>
      </c>
      <c r="E239" t="e">
        <f t="shared" ca="1" si="0"/>
        <v>#VALUE!</v>
      </c>
      <c r="F239" t="e">
        <f t="shared" ca="1" si="1"/>
        <v>#VALUE!</v>
      </c>
      <c r="G239" t="e">
        <f t="shared" ca="1" si="2"/>
        <v>#VALUE!</v>
      </c>
    </row>
    <row r="240" spans="1:7" x14ac:dyDescent="0.25">
      <c r="A240" s="1"/>
      <c r="D240" t="e" cm="1">
        <f t="array" aca="1" ref="D240" ca="1">IF(OR(COUNTIF(damper_names,_xlfn.CONCAT("D_S_",C240))=1, COUNTIF(damper_names,_xlfn.CONCAT("D_E_",C240))=1), "C", "")</f>
        <v>#VALUE!</v>
      </c>
      <c r="E240" t="e">
        <f t="shared" ca="1" si="0"/>
        <v>#VALUE!</v>
      </c>
      <c r="F240" t="e">
        <f t="shared" ca="1" si="1"/>
        <v>#VALUE!</v>
      </c>
      <c r="G240" t="e">
        <f t="shared" ca="1" si="2"/>
        <v>#VALUE!</v>
      </c>
    </row>
    <row r="241" spans="1:7" x14ac:dyDescent="0.25">
      <c r="A241" s="1"/>
      <c r="D241" t="e" cm="1">
        <f t="array" aca="1" ref="D241" ca="1">IF(OR(COUNTIF(damper_names,_xlfn.CONCAT("D_S_",C241))=1, COUNTIF(damper_names,_xlfn.CONCAT("D_E_",C241))=1), "C", "")</f>
        <v>#VALUE!</v>
      </c>
      <c r="E241" t="e">
        <f t="shared" ca="1" si="0"/>
        <v>#VALUE!</v>
      </c>
      <c r="F241" t="e">
        <f t="shared" ca="1" si="1"/>
        <v>#VALUE!</v>
      </c>
      <c r="G241" t="e">
        <f t="shared" ca="1" si="2"/>
        <v>#VALUE!</v>
      </c>
    </row>
    <row r="242" spans="1:7" x14ac:dyDescent="0.25">
      <c r="A242" s="1"/>
      <c r="D242" t="e" cm="1">
        <f t="array" aca="1" ref="D242" ca="1">IF(OR(COUNTIF(damper_names,_xlfn.CONCAT("D_S_",C242))=1, COUNTIF(damper_names,_xlfn.CONCAT("D_E_",C242))=1), "C", "")</f>
        <v>#VALUE!</v>
      </c>
      <c r="E242" t="e">
        <f t="shared" ca="1" si="0"/>
        <v>#VALUE!</v>
      </c>
      <c r="F242" t="e">
        <f t="shared" ca="1" si="1"/>
        <v>#VALUE!</v>
      </c>
      <c r="G242" t="e">
        <f t="shared" ca="1" si="2"/>
        <v>#VALUE!</v>
      </c>
    </row>
    <row r="243" spans="1:7" x14ac:dyDescent="0.25">
      <c r="A243" s="1"/>
      <c r="D243" t="e" cm="1">
        <f t="array" aca="1" ref="D243" ca="1">IF(OR(COUNTIF(damper_names,_xlfn.CONCAT("D_S_",C243))=1, COUNTIF(damper_names,_xlfn.CONCAT("D_E_",C243))=1), "C", "")</f>
        <v>#VALUE!</v>
      </c>
      <c r="E243" t="e">
        <f t="shared" ref="E243:E306" ca="1" si="3">IF(D243="T", 0.05, IF(D243="C", -0.01, ""))</f>
        <v>#VALUE!</v>
      </c>
      <c r="F243" t="e">
        <f t="shared" ref="F243:F306" ca="1" si="4">IF(D243="T", 0.05, IF(D243="C", 0, ""))</f>
        <v>#VALUE!</v>
      </c>
      <c r="G243" t="e">
        <f t="shared" ref="G243:G306" ca="1" si="5">IF(D243="T", 0, IF(D243="C", 0, ""))</f>
        <v>#VALUE!</v>
      </c>
    </row>
    <row r="244" spans="1:7" x14ac:dyDescent="0.25">
      <c r="A244" s="1"/>
      <c r="D244" t="e" cm="1">
        <f t="array" aca="1" ref="D244" ca="1">IF(OR(COUNTIF(damper_names,_xlfn.CONCAT("D_S_",C244))=1, COUNTIF(damper_names,_xlfn.CONCAT("D_E_",C244))=1), "C", "")</f>
        <v>#VALUE!</v>
      </c>
      <c r="E244" t="e">
        <f t="shared" ca="1" si="3"/>
        <v>#VALUE!</v>
      </c>
      <c r="F244" t="e">
        <f t="shared" ca="1" si="4"/>
        <v>#VALUE!</v>
      </c>
      <c r="G244" t="e">
        <f t="shared" ca="1" si="5"/>
        <v>#VALUE!</v>
      </c>
    </row>
    <row r="245" spans="1:7" x14ac:dyDescent="0.25">
      <c r="A245" s="1"/>
      <c r="D245" t="e" cm="1">
        <f t="array" aca="1" ref="D245" ca="1">IF(OR(COUNTIF(damper_names,_xlfn.CONCAT("D_S_",C245))=1, COUNTIF(damper_names,_xlfn.CONCAT("D_E_",C245))=1), "C", "")</f>
        <v>#VALUE!</v>
      </c>
      <c r="E245" t="e">
        <f t="shared" ca="1" si="3"/>
        <v>#VALUE!</v>
      </c>
      <c r="F245" t="e">
        <f t="shared" ca="1" si="4"/>
        <v>#VALUE!</v>
      </c>
      <c r="G245" t="e">
        <f t="shared" ca="1" si="5"/>
        <v>#VALUE!</v>
      </c>
    </row>
    <row r="246" spans="1:7" x14ac:dyDescent="0.25">
      <c r="A246" s="1"/>
      <c r="D246" t="e" cm="1">
        <f t="array" aca="1" ref="D246" ca="1">IF(OR(COUNTIF(damper_names,_xlfn.CONCAT("D_S_",C246))=1, COUNTIF(damper_names,_xlfn.CONCAT("D_E_",C246))=1), "C", "")</f>
        <v>#VALUE!</v>
      </c>
      <c r="E246" t="e">
        <f t="shared" ca="1" si="3"/>
        <v>#VALUE!</v>
      </c>
      <c r="F246" t="e">
        <f t="shared" ca="1" si="4"/>
        <v>#VALUE!</v>
      </c>
      <c r="G246" t="e">
        <f t="shared" ca="1" si="5"/>
        <v>#VALUE!</v>
      </c>
    </row>
    <row r="247" spans="1:7" x14ac:dyDescent="0.25">
      <c r="A247" s="1"/>
      <c r="D247" t="e" cm="1">
        <f t="array" aca="1" ref="D247" ca="1">IF(OR(COUNTIF(damper_names,_xlfn.CONCAT("D_S_",C247))=1, COUNTIF(damper_names,_xlfn.CONCAT("D_E_",C247))=1), "C", "")</f>
        <v>#VALUE!</v>
      </c>
      <c r="E247" t="e">
        <f t="shared" ca="1" si="3"/>
        <v>#VALUE!</v>
      </c>
      <c r="F247" t="e">
        <f t="shared" ca="1" si="4"/>
        <v>#VALUE!</v>
      </c>
      <c r="G247" t="e">
        <f t="shared" ca="1" si="5"/>
        <v>#VALUE!</v>
      </c>
    </row>
    <row r="248" spans="1:7" x14ac:dyDescent="0.25">
      <c r="A248" s="1"/>
      <c r="D248" t="e" cm="1">
        <f t="array" aca="1" ref="D248" ca="1">IF(OR(COUNTIF(damper_names,_xlfn.CONCAT("D_S_",C248))=1, COUNTIF(damper_names,_xlfn.CONCAT("D_E_",C248))=1), "C", "")</f>
        <v>#VALUE!</v>
      </c>
      <c r="E248" t="e">
        <f t="shared" ca="1" si="3"/>
        <v>#VALUE!</v>
      </c>
      <c r="F248" t="e">
        <f t="shared" ca="1" si="4"/>
        <v>#VALUE!</v>
      </c>
      <c r="G248" t="e">
        <f t="shared" ca="1" si="5"/>
        <v>#VALUE!</v>
      </c>
    </row>
    <row r="249" spans="1:7" x14ac:dyDescent="0.25">
      <c r="A249" s="1"/>
      <c r="D249" t="e" cm="1">
        <f t="array" aca="1" ref="D249" ca="1">IF(OR(COUNTIF(damper_names,_xlfn.CONCAT("D_S_",C249))=1, COUNTIF(damper_names,_xlfn.CONCAT("D_E_",C249))=1), "C", "")</f>
        <v>#VALUE!</v>
      </c>
      <c r="E249" t="e">
        <f t="shared" ca="1" si="3"/>
        <v>#VALUE!</v>
      </c>
      <c r="F249" t="e">
        <f t="shared" ca="1" si="4"/>
        <v>#VALUE!</v>
      </c>
      <c r="G249" t="e">
        <f t="shared" ca="1" si="5"/>
        <v>#VALUE!</v>
      </c>
    </row>
    <row r="250" spans="1:7" x14ac:dyDescent="0.25">
      <c r="A250" s="1"/>
      <c r="D250" t="e" cm="1">
        <f t="array" aca="1" ref="D250" ca="1">IF(OR(COUNTIF(damper_names,_xlfn.CONCAT("D_S_",C250))=1, COUNTIF(damper_names,_xlfn.CONCAT("D_E_",C250))=1), "C", "")</f>
        <v>#VALUE!</v>
      </c>
      <c r="E250" t="e">
        <f t="shared" ca="1" si="3"/>
        <v>#VALUE!</v>
      </c>
      <c r="F250" t="e">
        <f t="shared" ca="1" si="4"/>
        <v>#VALUE!</v>
      </c>
      <c r="G250" t="e">
        <f t="shared" ca="1" si="5"/>
        <v>#VALUE!</v>
      </c>
    </row>
    <row r="251" spans="1:7" x14ac:dyDescent="0.25">
      <c r="A251" s="1"/>
      <c r="D251" t="e" cm="1">
        <f t="array" aca="1" ref="D251" ca="1">IF(OR(COUNTIF(damper_names,_xlfn.CONCAT("D_S_",C251))=1, COUNTIF(damper_names,_xlfn.CONCAT("D_E_",C251))=1), "C", "")</f>
        <v>#VALUE!</v>
      </c>
      <c r="E251" t="e">
        <f t="shared" ca="1" si="3"/>
        <v>#VALUE!</v>
      </c>
      <c r="F251" t="e">
        <f t="shared" ca="1" si="4"/>
        <v>#VALUE!</v>
      </c>
      <c r="G251" t="e">
        <f t="shared" ca="1" si="5"/>
        <v>#VALUE!</v>
      </c>
    </row>
    <row r="252" spans="1:7" x14ac:dyDescent="0.25">
      <c r="A252" s="1"/>
      <c r="D252" t="e" cm="1">
        <f t="array" aca="1" ref="D252" ca="1">IF(OR(COUNTIF(damper_names,_xlfn.CONCAT("D_S_",C252))=1, COUNTIF(damper_names,_xlfn.CONCAT("D_E_",C252))=1), "C", "")</f>
        <v>#VALUE!</v>
      </c>
      <c r="E252" t="e">
        <f t="shared" ca="1" si="3"/>
        <v>#VALUE!</v>
      </c>
      <c r="F252" t="e">
        <f t="shared" ca="1" si="4"/>
        <v>#VALUE!</v>
      </c>
      <c r="G252" t="e">
        <f t="shared" ca="1" si="5"/>
        <v>#VALUE!</v>
      </c>
    </row>
    <row r="253" spans="1:7" x14ac:dyDescent="0.25">
      <c r="A253" s="1"/>
      <c r="D253" t="e" cm="1">
        <f t="array" aca="1" ref="D253" ca="1">IF(OR(COUNTIF(damper_names,_xlfn.CONCAT("D_S_",C253))=1, COUNTIF(damper_names,_xlfn.CONCAT("D_E_",C253))=1), "C", "")</f>
        <v>#VALUE!</v>
      </c>
      <c r="E253" t="e">
        <f t="shared" ca="1" si="3"/>
        <v>#VALUE!</v>
      </c>
      <c r="F253" t="e">
        <f t="shared" ca="1" si="4"/>
        <v>#VALUE!</v>
      </c>
      <c r="G253" t="e">
        <f t="shared" ca="1" si="5"/>
        <v>#VALUE!</v>
      </c>
    </row>
    <row r="254" spans="1:7" x14ac:dyDescent="0.25">
      <c r="A254" s="1"/>
      <c r="D254" t="e" cm="1">
        <f t="array" aca="1" ref="D254" ca="1">IF(OR(COUNTIF(damper_names,_xlfn.CONCAT("D_S_",C254))=1, COUNTIF(damper_names,_xlfn.CONCAT("D_E_",C254))=1), "C", "")</f>
        <v>#VALUE!</v>
      </c>
      <c r="E254" t="e">
        <f t="shared" ca="1" si="3"/>
        <v>#VALUE!</v>
      </c>
      <c r="F254" t="e">
        <f t="shared" ca="1" si="4"/>
        <v>#VALUE!</v>
      </c>
      <c r="G254" t="e">
        <f t="shared" ca="1" si="5"/>
        <v>#VALUE!</v>
      </c>
    </row>
    <row r="255" spans="1:7" x14ac:dyDescent="0.25">
      <c r="A255" s="1"/>
      <c r="D255" t="e" cm="1">
        <f t="array" aca="1" ref="D255" ca="1">IF(OR(COUNTIF(damper_names,_xlfn.CONCAT("D_S_",C255))=1, COUNTIF(damper_names,_xlfn.CONCAT("D_E_",C255))=1), "C", "")</f>
        <v>#VALUE!</v>
      </c>
      <c r="E255" t="e">
        <f t="shared" ca="1" si="3"/>
        <v>#VALUE!</v>
      </c>
      <c r="F255" t="e">
        <f t="shared" ca="1" si="4"/>
        <v>#VALUE!</v>
      </c>
      <c r="G255" t="e">
        <f t="shared" ca="1" si="5"/>
        <v>#VALUE!</v>
      </c>
    </row>
    <row r="256" spans="1:7" x14ac:dyDescent="0.25">
      <c r="A256" s="1"/>
      <c r="D256" t="e" cm="1">
        <f t="array" aca="1" ref="D256" ca="1">IF(OR(COUNTIF(damper_names,_xlfn.CONCAT("D_S_",C256))=1, COUNTIF(damper_names,_xlfn.CONCAT("D_E_",C256))=1), "C", "")</f>
        <v>#VALUE!</v>
      </c>
      <c r="E256" t="e">
        <f t="shared" ca="1" si="3"/>
        <v>#VALUE!</v>
      </c>
      <c r="F256" t="e">
        <f t="shared" ca="1" si="4"/>
        <v>#VALUE!</v>
      </c>
      <c r="G256" t="e">
        <f t="shared" ca="1" si="5"/>
        <v>#VALUE!</v>
      </c>
    </row>
    <row r="257" spans="1:7" x14ac:dyDescent="0.25">
      <c r="A257" s="1"/>
      <c r="D257" t="e" cm="1">
        <f t="array" aca="1" ref="D257" ca="1">IF(OR(COUNTIF(damper_names,_xlfn.CONCAT("D_S_",C257))=1, COUNTIF(damper_names,_xlfn.CONCAT("D_E_",C257))=1), "C", "")</f>
        <v>#VALUE!</v>
      </c>
      <c r="E257" t="e">
        <f t="shared" ca="1" si="3"/>
        <v>#VALUE!</v>
      </c>
      <c r="F257" t="e">
        <f t="shared" ca="1" si="4"/>
        <v>#VALUE!</v>
      </c>
      <c r="G257" t="e">
        <f t="shared" ca="1" si="5"/>
        <v>#VALUE!</v>
      </c>
    </row>
    <row r="258" spans="1:7" x14ac:dyDescent="0.25">
      <c r="A258" s="1"/>
      <c r="D258" t="e" cm="1">
        <f t="array" aca="1" ref="D258" ca="1">IF(OR(COUNTIF(damper_names,_xlfn.CONCAT("D_S_",C258))=1, COUNTIF(damper_names,_xlfn.CONCAT("D_E_",C258))=1), "C", "")</f>
        <v>#VALUE!</v>
      </c>
      <c r="E258" t="e">
        <f t="shared" ca="1" si="3"/>
        <v>#VALUE!</v>
      </c>
      <c r="F258" t="e">
        <f t="shared" ca="1" si="4"/>
        <v>#VALUE!</v>
      </c>
      <c r="G258" t="e">
        <f t="shared" ca="1" si="5"/>
        <v>#VALUE!</v>
      </c>
    </row>
    <row r="259" spans="1:7" x14ac:dyDescent="0.25">
      <c r="A259" s="1"/>
      <c r="D259" t="e" cm="1">
        <f t="array" aca="1" ref="D259" ca="1">IF(OR(COUNTIF(damper_names,_xlfn.CONCAT("D_S_",C259))=1, COUNTIF(damper_names,_xlfn.CONCAT("D_E_",C259))=1), "C", "")</f>
        <v>#VALUE!</v>
      </c>
      <c r="E259" t="e">
        <f t="shared" ca="1" si="3"/>
        <v>#VALUE!</v>
      </c>
      <c r="F259" t="e">
        <f t="shared" ca="1" si="4"/>
        <v>#VALUE!</v>
      </c>
      <c r="G259" t="e">
        <f t="shared" ca="1" si="5"/>
        <v>#VALUE!</v>
      </c>
    </row>
    <row r="260" spans="1:7" x14ac:dyDescent="0.25">
      <c r="A260" s="1"/>
      <c r="D260" t="e" cm="1">
        <f t="array" aca="1" ref="D260" ca="1">IF(OR(COUNTIF(damper_names,_xlfn.CONCAT("D_S_",C260))=1, COUNTIF(damper_names,_xlfn.CONCAT("D_E_",C260))=1), "C", "")</f>
        <v>#VALUE!</v>
      </c>
      <c r="E260" t="e">
        <f t="shared" ca="1" si="3"/>
        <v>#VALUE!</v>
      </c>
      <c r="F260" t="e">
        <f t="shared" ca="1" si="4"/>
        <v>#VALUE!</v>
      </c>
      <c r="G260" t="e">
        <f t="shared" ca="1" si="5"/>
        <v>#VALUE!</v>
      </c>
    </row>
    <row r="261" spans="1:7" x14ac:dyDescent="0.25">
      <c r="A261" s="1"/>
      <c r="D261" t="e" cm="1">
        <f t="array" aca="1" ref="D261" ca="1">IF(OR(COUNTIF(damper_names,_xlfn.CONCAT("D_S_",C261))=1, COUNTIF(damper_names,_xlfn.CONCAT("D_E_",C261))=1), "C", "")</f>
        <v>#VALUE!</v>
      </c>
      <c r="E261" t="e">
        <f t="shared" ca="1" si="3"/>
        <v>#VALUE!</v>
      </c>
      <c r="F261" t="e">
        <f t="shared" ca="1" si="4"/>
        <v>#VALUE!</v>
      </c>
      <c r="G261" t="e">
        <f t="shared" ca="1" si="5"/>
        <v>#VALUE!</v>
      </c>
    </row>
    <row r="262" spans="1:7" x14ac:dyDescent="0.25">
      <c r="A262" s="1"/>
      <c r="D262" t="e" cm="1">
        <f t="array" aca="1" ref="D262" ca="1">IF(OR(COUNTIF(damper_names,_xlfn.CONCAT("D_S_",C262))=1, COUNTIF(damper_names,_xlfn.CONCAT("D_E_",C262))=1), "C", "")</f>
        <v>#VALUE!</v>
      </c>
      <c r="E262" t="e">
        <f t="shared" ca="1" si="3"/>
        <v>#VALUE!</v>
      </c>
      <c r="F262" t="e">
        <f t="shared" ca="1" si="4"/>
        <v>#VALUE!</v>
      </c>
      <c r="G262" t="e">
        <f t="shared" ca="1" si="5"/>
        <v>#VALUE!</v>
      </c>
    </row>
    <row r="263" spans="1:7" x14ac:dyDescent="0.25">
      <c r="A263" s="1"/>
      <c r="D263" t="e" cm="1">
        <f t="array" aca="1" ref="D263" ca="1">IF(OR(COUNTIF(damper_names,_xlfn.CONCAT("D_S_",C263))=1, COUNTIF(damper_names,_xlfn.CONCAT("D_E_",C263))=1), "C", "")</f>
        <v>#VALUE!</v>
      </c>
      <c r="E263" t="e">
        <f t="shared" ca="1" si="3"/>
        <v>#VALUE!</v>
      </c>
      <c r="F263" t="e">
        <f t="shared" ca="1" si="4"/>
        <v>#VALUE!</v>
      </c>
      <c r="G263" t="e">
        <f t="shared" ca="1" si="5"/>
        <v>#VALUE!</v>
      </c>
    </row>
    <row r="264" spans="1:7" x14ac:dyDescent="0.25">
      <c r="A264" s="1"/>
      <c r="D264" t="e" cm="1">
        <f t="array" aca="1" ref="D264" ca="1">IF(OR(COUNTIF(damper_names,_xlfn.CONCAT("D_S_",C264))=1, COUNTIF(damper_names,_xlfn.CONCAT("D_E_",C264))=1), "C", "")</f>
        <v>#VALUE!</v>
      </c>
      <c r="E264" t="e">
        <f t="shared" ca="1" si="3"/>
        <v>#VALUE!</v>
      </c>
      <c r="F264" t="e">
        <f t="shared" ca="1" si="4"/>
        <v>#VALUE!</v>
      </c>
      <c r="G264" t="e">
        <f t="shared" ca="1" si="5"/>
        <v>#VALUE!</v>
      </c>
    </row>
    <row r="265" spans="1:7" x14ac:dyDescent="0.25">
      <c r="A265" s="1"/>
      <c r="D265" t="e" cm="1">
        <f t="array" aca="1" ref="D265" ca="1">IF(OR(COUNTIF(damper_names,_xlfn.CONCAT("D_S_",C265))=1, COUNTIF(damper_names,_xlfn.CONCAT("D_E_",C265))=1), "C", "")</f>
        <v>#VALUE!</v>
      </c>
      <c r="E265" t="e">
        <f t="shared" ca="1" si="3"/>
        <v>#VALUE!</v>
      </c>
      <c r="F265" t="e">
        <f t="shared" ca="1" si="4"/>
        <v>#VALUE!</v>
      </c>
      <c r="G265" t="e">
        <f t="shared" ca="1" si="5"/>
        <v>#VALUE!</v>
      </c>
    </row>
    <row r="266" spans="1:7" x14ac:dyDescent="0.25">
      <c r="A266" s="1"/>
      <c r="D266" t="e" cm="1">
        <f t="array" aca="1" ref="D266" ca="1">IF(OR(COUNTIF(damper_names,_xlfn.CONCAT("D_S_",C266))=1, COUNTIF(damper_names,_xlfn.CONCAT("D_E_",C266))=1), "C", "")</f>
        <v>#VALUE!</v>
      </c>
      <c r="E266" t="e">
        <f t="shared" ca="1" si="3"/>
        <v>#VALUE!</v>
      </c>
      <c r="F266" t="e">
        <f t="shared" ca="1" si="4"/>
        <v>#VALUE!</v>
      </c>
      <c r="G266" t="e">
        <f t="shared" ca="1" si="5"/>
        <v>#VALUE!</v>
      </c>
    </row>
    <row r="267" spans="1:7" x14ac:dyDescent="0.25">
      <c r="A267" s="1"/>
      <c r="D267" t="e" cm="1">
        <f t="array" aca="1" ref="D267" ca="1">IF(OR(COUNTIF(damper_names,_xlfn.CONCAT("D_S_",C267))=1, COUNTIF(damper_names,_xlfn.CONCAT("D_E_",C267))=1), "C", "")</f>
        <v>#VALUE!</v>
      </c>
      <c r="E267" t="e">
        <f t="shared" ca="1" si="3"/>
        <v>#VALUE!</v>
      </c>
      <c r="F267" t="e">
        <f t="shared" ca="1" si="4"/>
        <v>#VALUE!</v>
      </c>
      <c r="G267" t="e">
        <f t="shared" ca="1" si="5"/>
        <v>#VALUE!</v>
      </c>
    </row>
    <row r="268" spans="1:7" x14ac:dyDescent="0.25">
      <c r="A268" s="1"/>
      <c r="D268" t="e" cm="1">
        <f t="array" aca="1" ref="D268" ca="1">IF(OR(COUNTIF(damper_names,_xlfn.CONCAT("D_S_",C268))=1, COUNTIF(damper_names,_xlfn.CONCAT("D_E_",C268))=1), "C", "")</f>
        <v>#VALUE!</v>
      </c>
      <c r="E268" t="e">
        <f t="shared" ca="1" si="3"/>
        <v>#VALUE!</v>
      </c>
      <c r="F268" t="e">
        <f t="shared" ca="1" si="4"/>
        <v>#VALUE!</v>
      </c>
      <c r="G268" t="e">
        <f t="shared" ca="1" si="5"/>
        <v>#VALUE!</v>
      </c>
    </row>
    <row r="269" spans="1:7" x14ac:dyDescent="0.25">
      <c r="A269" s="1"/>
      <c r="D269" t="e" cm="1">
        <f t="array" aca="1" ref="D269" ca="1">IF(OR(COUNTIF(damper_names,_xlfn.CONCAT("D_S_",C269))=1, COUNTIF(damper_names,_xlfn.CONCAT("D_E_",C269))=1), "C", "")</f>
        <v>#VALUE!</v>
      </c>
      <c r="E269" t="e">
        <f t="shared" ca="1" si="3"/>
        <v>#VALUE!</v>
      </c>
      <c r="F269" t="e">
        <f t="shared" ca="1" si="4"/>
        <v>#VALUE!</v>
      </c>
      <c r="G269" t="e">
        <f t="shared" ca="1" si="5"/>
        <v>#VALUE!</v>
      </c>
    </row>
    <row r="270" spans="1:7" x14ac:dyDescent="0.25">
      <c r="A270" s="1"/>
      <c r="D270" t="e" cm="1">
        <f t="array" aca="1" ref="D270" ca="1">IF(OR(COUNTIF(damper_names,_xlfn.CONCAT("D_S_",C270))=1, COUNTIF(damper_names,_xlfn.CONCAT("D_E_",C270))=1), "C", "")</f>
        <v>#VALUE!</v>
      </c>
      <c r="E270" t="e">
        <f t="shared" ca="1" si="3"/>
        <v>#VALUE!</v>
      </c>
      <c r="F270" t="e">
        <f t="shared" ca="1" si="4"/>
        <v>#VALUE!</v>
      </c>
      <c r="G270" t="e">
        <f t="shared" ca="1" si="5"/>
        <v>#VALUE!</v>
      </c>
    </row>
    <row r="271" spans="1:7" x14ac:dyDescent="0.25">
      <c r="A271" s="1"/>
      <c r="D271" t="e" cm="1">
        <f t="array" aca="1" ref="D271" ca="1">IF(OR(COUNTIF(damper_names,_xlfn.CONCAT("D_S_",C271))=1, COUNTIF(damper_names,_xlfn.CONCAT("D_E_",C271))=1), "C", "")</f>
        <v>#VALUE!</v>
      </c>
      <c r="E271" t="e">
        <f t="shared" ca="1" si="3"/>
        <v>#VALUE!</v>
      </c>
      <c r="F271" t="e">
        <f t="shared" ca="1" si="4"/>
        <v>#VALUE!</v>
      </c>
      <c r="G271" t="e">
        <f t="shared" ca="1" si="5"/>
        <v>#VALUE!</v>
      </c>
    </row>
    <row r="272" spans="1:7" x14ac:dyDescent="0.25">
      <c r="A272" s="1"/>
      <c r="D272" t="e" cm="1">
        <f t="array" aca="1" ref="D272" ca="1">IF(OR(COUNTIF(damper_names,_xlfn.CONCAT("D_S_",C272))=1, COUNTIF(damper_names,_xlfn.CONCAT("D_E_",C272))=1), "C", "")</f>
        <v>#VALUE!</v>
      </c>
      <c r="E272" t="e">
        <f t="shared" ca="1" si="3"/>
        <v>#VALUE!</v>
      </c>
      <c r="F272" t="e">
        <f t="shared" ca="1" si="4"/>
        <v>#VALUE!</v>
      </c>
      <c r="G272" t="e">
        <f t="shared" ca="1" si="5"/>
        <v>#VALUE!</v>
      </c>
    </row>
    <row r="273" spans="1:7" x14ac:dyDescent="0.25">
      <c r="A273" s="1"/>
      <c r="D273" t="e" cm="1">
        <f t="array" aca="1" ref="D273" ca="1">IF(OR(COUNTIF(damper_names,_xlfn.CONCAT("D_S_",C273))=1, COUNTIF(damper_names,_xlfn.CONCAT("D_E_",C273))=1), "C", "")</f>
        <v>#VALUE!</v>
      </c>
      <c r="E273" t="e">
        <f t="shared" ca="1" si="3"/>
        <v>#VALUE!</v>
      </c>
      <c r="F273" t="e">
        <f t="shared" ca="1" si="4"/>
        <v>#VALUE!</v>
      </c>
      <c r="G273" t="e">
        <f t="shared" ca="1" si="5"/>
        <v>#VALUE!</v>
      </c>
    </row>
    <row r="274" spans="1:7" x14ac:dyDescent="0.25">
      <c r="A274" s="1"/>
      <c r="D274" t="e" cm="1">
        <f t="array" aca="1" ref="D274" ca="1">IF(OR(COUNTIF(damper_names,_xlfn.CONCAT("D_S_",C274))=1, COUNTIF(damper_names,_xlfn.CONCAT("D_E_",C274))=1), "C", "")</f>
        <v>#VALUE!</v>
      </c>
      <c r="E274" t="e">
        <f t="shared" ca="1" si="3"/>
        <v>#VALUE!</v>
      </c>
      <c r="F274" t="e">
        <f t="shared" ca="1" si="4"/>
        <v>#VALUE!</v>
      </c>
      <c r="G274" t="e">
        <f t="shared" ca="1" si="5"/>
        <v>#VALUE!</v>
      </c>
    </row>
    <row r="275" spans="1:7" x14ac:dyDescent="0.25">
      <c r="A275" s="1"/>
      <c r="D275" t="e" cm="1">
        <f t="array" aca="1" ref="D275" ca="1">IF(OR(COUNTIF(damper_names,_xlfn.CONCAT("D_S_",C275))=1, COUNTIF(damper_names,_xlfn.CONCAT("D_E_",C275))=1), "C", "")</f>
        <v>#VALUE!</v>
      </c>
      <c r="E275" t="e">
        <f t="shared" ca="1" si="3"/>
        <v>#VALUE!</v>
      </c>
      <c r="F275" t="e">
        <f t="shared" ca="1" si="4"/>
        <v>#VALUE!</v>
      </c>
      <c r="G275" t="e">
        <f t="shared" ca="1" si="5"/>
        <v>#VALUE!</v>
      </c>
    </row>
    <row r="276" spans="1:7" x14ac:dyDescent="0.25">
      <c r="A276" s="1"/>
      <c r="D276" t="e" cm="1">
        <f t="array" aca="1" ref="D276" ca="1">IF(OR(COUNTIF(damper_names,_xlfn.CONCAT("D_S_",C276))=1, COUNTIF(damper_names,_xlfn.CONCAT("D_E_",C276))=1), "C", "")</f>
        <v>#VALUE!</v>
      </c>
      <c r="E276" t="e">
        <f t="shared" ca="1" si="3"/>
        <v>#VALUE!</v>
      </c>
      <c r="F276" t="e">
        <f t="shared" ca="1" si="4"/>
        <v>#VALUE!</v>
      </c>
      <c r="G276" t="e">
        <f t="shared" ca="1" si="5"/>
        <v>#VALUE!</v>
      </c>
    </row>
    <row r="277" spans="1:7" x14ac:dyDescent="0.25">
      <c r="A277" s="1"/>
      <c r="D277" t="e" cm="1">
        <f t="array" aca="1" ref="D277" ca="1">IF(OR(COUNTIF(damper_names,_xlfn.CONCAT("D_S_",C277))=1, COUNTIF(damper_names,_xlfn.CONCAT("D_E_",C277))=1), "C", "")</f>
        <v>#VALUE!</v>
      </c>
      <c r="E277" t="e">
        <f t="shared" ca="1" si="3"/>
        <v>#VALUE!</v>
      </c>
      <c r="F277" t="e">
        <f t="shared" ca="1" si="4"/>
        <v>#VALUE!</v>
      </c>
      <c r="G277" t="e">
        <f t="shared" ca="1" si="5"/>
        <v>#VALUE!</v>
      </c>
    </row>
    <row r="278" spans="1:7" x14ac:dyDescent="0.25">
      <c r="A278" s="1"/>
      <c r="D278" t="e" cm="1">
        <f t="array" aca="1" ref="D278" ca="1">IF(OR(COUNTIF(damper_names,_xlfn.CONCAT("D_S_",C278))=1, COUNTIF(damper_names,_xlfn.CONCAT("D_E_",C278))=1), "C", "")</f>
        <v>#VALUE!</v>
      </c>
      <c r="E278" t="e">
        <f t="shared" ca="1" si="3"/>
        <v>#VALUE!</v>
      </c>
      <c r="F278" t="e">
        <f t="shared" ca="1" si="4"/>
        <v>#VALUE!</v>
      </c>
      <c r="G278" t="e">
        <f t="shared" ca="1" si="5"/>
        <v>#VALUE!</v>
      </c>
    </row>
    <row r="279" spans="1:7" x14ac:dyDescent="0.25">
      <c r="A279" s="1"/>
      <c r="D279" t="e" cm="1">
        <f t="array" aca="1" ref="D279" ca="1">IF(OR(COUNTIF(damper_names,_xlfn.CONCAT("D_S_",C279))=1, COUNTIF(damper_names,_xlfn.CONCAT("D_E_",C279))=1), "C", "")</f>
        <v>#VALUE!</v>
      </c>
      <c r="E279" t="e">
        <f t="shared" ca="1" si="3"/>
        <v>#VALUE!</v>
      </c>
      <c r="F279" t="e">
        <f t="shared" ca="1" si="4"/>
        <v>#VALUE!</v>
      </c>
      <c r="G279" t="e">
        <f t="shared" ca="1" si="5"/>
        <v>#VALUE!</v>
      </c>
    </row>
    <row r="280" spans="1:7" x14ac:dyDescent="0.25">
      <c r="A280" s="1"/>
      <c r="D280" t="e" cm="1">
        <f t="array" aca="1" ref="D280" ca="1">IF(OR(COUNTIF(damper_names,_xlfn.CONCAT("D_S_",C280))=1, COUNTIF(damper_names,_xlfn.CONCAT("D_E_",C280))=1), "C", "")</f>
        <v>#VALUE!</v>
      </c>
      <c r="E280" t="e">
        <f t="shared" ca="1" si="3"/>
        <v>#VALUE!</v>
      </c>
      <c r="F280" t="e">
        <f t="shared" ca="1" si="4"/>
        <v>#VALUE!</v>
      </c>
      <c r="G280" t="e">
        <f t="shared" ca="1" si="5"/>
        <v>#VALUE!</v>
      </c>
    </row>
    <row r="281" spans="1:7" x14ac:dyDescent="0.25">
      <c r="A281" s="1"/>
      <c r="D281" t="e" cm="1">
        <f t="array" aca="1" ref="D281" ca="1">IF(OR(COUNTIF(damper_names,_xlfn.CONCAT("D_S_",C281))=1, COUNTIF(damper_names,_xlfn.CONCAT("D_E_",C281))=1), "C", "")</f>
        <v>#VALUE!</v>
      </c>
      <c r="E281" t="e">
        <f t="shared" ca="1" si="3"/>
        <v>#VALUE!</v>
      </c>
      <c r="F281" t="e">
        <f t="shared" ca="1" si="4"/>
        <v>#VALUE!</v>
      </c>
      <c r="G281" t="e">
        <f t="shared" ca="1" si="5"/>
        <v>#VALUE!</v>
      </c>
    </row>
    <row r="282" spans="1:7" x14ac:dyDescent="0.25">
      <c r="A282" s="1"/>
      <c r="D282" t="e" cm="1">
        <f t="array" aca="1" ref="D282" ca="1">IF(OR(COUNTIF(damper_names,_xlfn.CONCAT("D_S_",C282))=1, COUNTIF(damper_names,_xlfn.CONCAT("D_E_",C282))=1), "C", "")</f>
        <v>#VALUE!</v>
      </c>
      <c r="E282" t="e">
        <f t="shared" ca="1" si="3"/>
        <v>#VALUE!</v>
      </c>
      <c r="F282" t="e">
        <f t="shared" ca="1" si="4"/>
        <v>#VALUE!</v>
      </c>
      <c r="G282" t="e">
        <f t="shared" ca="1" si="5"/>
        <v>#VALUE!</v>
      </c>
    </row>
    <row r="283" spans="1:7" x14ac:dyDescent="0.25">
      <c r="A283" s="1"/>
      <c r="D283" t="e" cm="1">
        <f t="array" aca="1" ref="D283" ca="1">IF(OR(COUNTIF(damper_names,_xlfn.CONCAT("D_S_",C283))=1, COUNTIF(damper_names,_xlfn.CONCAT("D_E_",C283))=1), "C", "")</f>
        <v>#VALUE!</v>
      </c>
      <c r="E283" t="e">
        <f t="shared" ca="1" si="3"/>
        <v>#VALUE!</v>
      </c>
      <c r="F283" t="e">
        <f t="shared" ca="1" si="4"/>
        <v>#VALUE!</v>
      </c>
      <c r="G283" t="e">
        <f t="shared" ca="1" si="5"/>
        <v>#VALUE!</v>
      </c>
    </row>
    <row r="284" spans="1:7" x14ac:dyDescent="0.25">
      <c r="A284" s="1"/>
      <c r="D284" t="e" cm="1">
        <f t="array" aca="1" ref="D284" ca="1">IF(OR(COUNTIF(damper_names,_xlfn.CONCAT("D_S_",C284))=1, COUNTIF(damper_names,_xlfn.CONCAT("D_E_",C284))=1), "C", "")</f>
        <v>#VALUE!</v>
      </c>
      <c r="E284" t="e">
        <f t="shared" ca="1" si="3"/>
        <v>#VALUE!</v>
      </c>
      <c r="F284" t="e">
        <f t="shared" ca="1" si="4"/>
        <v>#VALUE!</v>
      </c>
      <c r="G284" t="e">
        <f t="shared" ca="1" si="5"/>
        <v>#VALUE!</v>
      </c>
    </row>
    <row r="285" spans="1:7" x14ac:dyDescent="0.25">
      <c r="A285" s="1"/>
      <c r="D285" t="e" cm="1">
        <f t="array" aca="1" ref="D285" ca="1">IF(OR(COUNTIF(damper_names,_xlfn.CONCAT("D_S_",C285))=1, COUNTIF(damper_names,_xlfn.CONCAT("D_E_",C285))=1), "C", "")</f>
        <v>#VALUE!</v>
      </c>
      <c r="E285" t="e">
        <f t="shared" ca="1" si="3"/>
        <v>#VALUE!</v>
      </c>
      <c r="F285" t="e">
        <f t="shared" ca="1" si="4"/>
        <v>#VALUE!</v>
      </c>
      <c r="G285" t="e">
        <f t="shared" ca="1" si="5"/>
        <v>#VALUE!</v>
      </c>
    </row>
    <row r="286" spans="1:7" x14ac:dyDescent="0.25">
      <c r="A286" s="1"/>
      <c r="D286" t="e" cm="1">
        <f t="array" aca="1" ref="D286" ca="1">IF(OR(COUNTIF(damper_names,_xlfn.CONCAT("D_S_",C286))=1, COUNTIF(damper_names,_xlfn.CONCAT("D_E_",C286))=1), "C", "")</f>
        <v>#VALUE!</v>
      </c>
      <c r="E286" t="e">
        <f t="shared" ca="1" si="3"/>
        <v>#VALUE!</v>
      </c>
      <c r="F286" t="e">
        <f t="shared" ca="1" si="4"/>
        <v>#VALUE!</v>
      </c>
      <c r="G286" t="e">
        <f t="shared" ca="1" si="5"/>
        <v>#VALUE!</v>
      </c>
    </row>
    <row r="287" spans="1:7" x14ac:dyDescent="0.25">
      <c r="A287" s="1"/>
      <c r="D287" t="e" cm="1">
        <f t="array" aca="1" ref="D287" ca="1">IF(OR(COUNTIF(damper_names,_xlfn.CONCAT("D_S_",C287))=1, COUNTIF(damper_names,_xlfn.CONCAT("D_E_",C287))=1), "C", "")</f>
        <v>#VALUE!</v>
      </c>
      <c r="E287" t="e">
        <f t="shared" ca="1" si="3"/>
        <v>#VALUE!</v>
      </c>
      <c r="F287" t="e">
        <f t="shared" ca="1" si="4"/>
        <v>#VALUE!</v>
      </c>
      <c r="G287" t="e">
        <f t="shared" ca="1" si="5"/>
        <v>#VALUE!</v>
      </c>
    </row>
    <row r="288" spans="1:7" x14ac:dyDescent="0.25">
      <c r="A288" s="1"/>
      <c r="D288" t="e" cm="1">
        <f t="array" aca="1" ref="D288" ca="1">IF(OR(COUNTIF(damper_names,_xlfn.CONCAT("D_S_",C288))=1, COUNTIF(damper_names,_xlfn.CONCAT("D_E_",C288))=1), "C", "")</f>
        <v>#VALUE!</v>
      </c>
      <c r="E288" t="e">
        <f t="shared" ca="1" si="3"/>
        <v>#VALUE!</v>
      </c>
      <c r="F288" t="e">
        <f t="shared" ca="1" si="4"/>
        <v>#VALUE!</v>
      </c>
      <c r="G288" t="e">
        <f t="shared" ca="1" si="5"/>
        <v>#VALUE!</v>
      </c>
    </row>
    <row r="289" spans="1:7" x14ac:dyDescent="0.25">
      <c r="A289" s="1"/>
      <c r="D289" t="e" cm="1">
        <f t="array" aca="1" ref="D289" ca="1">IF(OR(COUNTIF(damper_names,_xlfn.CONCAT("D_S_",C289))=1, COUNTIF(damper_names,_xlfn.CONCAT("D_E_",C289))=1), "C", "")</f>
        <v>#VALUE!</v>
      </c>
      <c r="E289" t="e">
        <f t="shared" ca="1" si="3"/>
        <v>#VALUE!</v>
      </c>
      <c r="F289" t="e">
        <f t="shared" ca="1" si="4"/>
        <v>#VALUE!</v>
      </c>
      <c r="G289" t="e">
        <f t="shared" ca="1" si="5"/>
        <v>#VALUE!</v>
      </c>
    </row>
    <row r="290" spans="1:7" x14ac:dyDescent="0.25">
      <c r="A290" s="1"/>
      <c r="D290" t="e" cm="1">
        <f t="array" aca="1" ref="D290" ca="1">IF(OR(COUNTIF(damper_names,_xlfn.CONCAT("D_S_",C290))=1, COUNTIF(damper_names,_xlfn.CONCAT("D_E_",C290))=1), "C", "")</f>
        <v>#VALUE!</v>
      </c>
      <c r="E290" t="e">
        <f t="shared" ca="1" si="3"/>
        <v>#VALUE!</v>
      </c>
      <c r="F290" t="e">
        <f t="shared" ca="1" si="4"/>
        <v>#VALUE!</v>
      </c>
      <c r="G290" t="e">
        <f t="shared" ca="1" si="5"/>
        <v>#VALUE!</v>
      </c>
    </row>
    <row r="291" spans="1:7" x14ac:dyDescent="0.25">
      <c r="A291" s="1"/>
      <c r="D291" t="e" cm="1">
        <f t="array" aca="1" ref="D291" ca="1">IF(OR(COUNTIF(damper_names,_xlfn.CONCAT("D_S_",C291))=1, COUNTIF(damper_names,_xlfn.CONCAT("D_E_",C291))=1), "C", "")</f>
        <v>#VALUE!</v>
      </c>
      <c r="E291" t="e">
        <f t="shared" ca="1" si="3"/>
        <v>#VALUE!</v>
      </c>
      <c r="F291" t="e">
        <f t="shared" ca="1" si="4"/>
        <v>#VALUE!</v>
      </c>
      <c r="G291" t="e">
        <f t="shared" ca="1" si="5"/>
        <v>#VALUE!</v>
      </c>
    </row>
    <row r="292" spans="1:7" x14ac:dyDescent="0.25">
      <c r="A292" s="1"/>
      <c r="D292" t="e" cm="1">
        <f t="array" aca="1" ref="D292" ca="1">IF(OR(COUNTIF(damper_names,_xlfn.CONCAT("D_S_",C292))=1, COUNTIF(damper_names,_xlfn.CONCAT("D_E_",C292))=1), "C", "")</f>
        <v>#VALUE!</v>
      </c>
      <c r="E292" t="e">
        <f t="shared" ca="1" si="3"/>
        <v>#VALUE!</v>
      </c>
      <c r="F292" t="e">
        <f t="shared" ca="1" si="4"/>
        <v>#VALUE!</v>
      </c>
      <c r="G292" t="e">
        <f t="shared" ca="1" si="5"/>
        <v>#VALUE!</v>
      </c>
    </row>
    <row r="293" spans="1:7" x14ac:dyDescent="0.25">
      <c r="A293" s="1"/>
      <c r="D293" t="e" cm="1">
        <f t="array" aca="1" ref="D293" ca="1">IF(OR(COUNTIF(damper_names,_xlfn.CONCAT("D_S_",C293))=1, COUNTIF(damper_names,_xlfn.CONCAT("D_E_",C293))=1), "C", "")</f>
        <v>#VALUE!</v>
      </c>
      <c r="E293" t="e">
        <f t="shared" ca="1" si="3"/>
        <v>#VALUE!</v>
      </c>
      <c r="F293" t="e">
        <f t="shared" ca="1" si="4"/>
        <v>#VALUE!</v>
      </c>
      <c r="G293" t="e">
        <f t="shared" ca="1" si="5"/>
        <v>#VALUE!</v>
      </c>
    </row>
    <row r="294" spans="1:7" x14ac:dyDescent="0.25">
      <c r="A294" s="1"/>
      <c r="D294" t="e" cm="1">
        <f t="array" aca="1" ref="D294" ca="1">IF(OR(COUNTIF(damper_names,_xlfn.CONCAT("D_S_",C294))=1, COUNTIF(damper_names,_xlfn.CONCAT("D_E_",C294))=1), "C", "")</f>
        <v>#VALUE!</v>
      </c>
      <c r="E294" t="e">
        <f t="shared" ca="1" si="3"/>
        <v>#VALUE!</v>
      </c>
      <c r="F294" t="e">
        <f t="shared" ca="1" si="4"/>
        <v>#VALUE!</v>
      </c>
      <c r="G294" t="e">
        <f t="shared" ca="1" si="5"/>
        <v>#VALUE!</v>
      </c>
    </row>
    <row r="295" spans="1:7" x14ac:dyDescent="0.25">
      <c r="A295" s="1"/>
      <c r="D295" t="e" cm="1">
        <f t="array" aca="1" ref="D295" ca="1">IF(OR(COUNTIF(damper_names,_xlfn.CONCAT("D_S_",C295))=1, COUNTIF(damper_names,_xlfn.CONCAT("D_E_",C295))=1), "C", "")</f>
        <v>#VALUE!</v>
      </c>
      <c r="E295" t="e">
        <f t="shared" ca="1" si="3"/>
        <v>#VALUE!</v>
      </c>
      <c r="F295" t="e">
        <f t="shared" ca="1" si="4"/>
        <v>#VALUE!</v>
      </c>
      <c r="G295" t="e">
        <f t="shared" ca="1" si="5"/>
        <v>#VALUE!</v>
      </c>
    </row>
    <row r="296" spans="1:7" x14ac:dyDescent="0.25">
      <c r="A296" s="1"/>
      <c r="D296" t="e" cm="1">
        <f t="array" aca="1" ref="D296" ca="1">IF(OR(COUNTIF(damper_names,_xlfn.CONCAT("D_S_",C296))=1, COUNTIF(damper_names,_xlfn.CONCAT("D_E_",C296))=1), "C", "")</f>
        <v>#VALUE!</v>
      </c>
      <c r="E296" t="e">
        <f t="shared" ca="1" si="3"/>
        <v>#VALUE!</v>
      </c>
      <c r="F296" t="e">
        <f t="shared" ca="1" si="4"/>
        <v>#VALUE!</v>
      </c>
      <c r="G296" t="e">
        <f t="shared" ca="1" si="5"/>
        <v>#VALUE!</v>
      </c>
    </row>
    <row r="297" spans="1:7" x14ac:dyDescent="0.25">
      <c r="A297" s="1"/>
      <c r="D297" t="e" cm="1">
        <f t="array" aca="1" ref="D297" ca="1">IF(OR(COUNTIF(damper_names,_xlfn.CONCAT("D_S_",C297))=1, COUNTIF(damper_names,_xlfn.CONCAT("D_E_",C297))=1), "C", "")</f>
        <v>#VALUE!</v>
      </c>
      <c r="E297" t="e">
        <f t="shared" ca="1" si="3"/>
        <v>#VALUE!</v>
      </c>
      <c r="F297" t="e">
        <f t="shared" ca="1" si="4"/>
        <v>#VALUE!</v>
      </c>
      <c r="G297" t="e">
        <f t="shared" ca="1" si="5"/>
        <v>#VALUE!</v>
      </c>
    </row>
    <row r="298" spans="1:7" x14ac:dyDescent="0.25">
      <c r="A298" s="1"/>
      <c r="D298" t="e" cm="1">
        <f t="array" aca="1" ref="D298" ca="1">IF(OR(COUNTIF(damper_names,_xlfn.CONCAT("D_S_",C298))=1, COUNTIF(damper_names,_xlfn.CONCAT("D_E_",C298))=1), "C", "")</f>
        <v>#VALUE!</v>
      </c>
      <c r="E298" t="e">
        <f t="shared" ca="1" si="3"/>
        <v>#VALUE!</v>
      </c>
      <c r="F298" t="e">
        <f t="shared" ca="1" si="4"/>
        <v>#VALUE!</v>
      </c>
      <c r="G298" t="e">
        <f t="shared" ca="1" si="5"/>
        <v>#VALUE!</v>
      </c>
    </row>
    <row r="299" spans="1:7" x14ac:dyDescent="0.25">
      <c r="A299" s="1"/>
      <c r="D299" t="e" cm="1">
        <f t="array" aca="1" ref="D299" ca="1">IF(OR(COUNTIF(damper_names,_xlfn.CONCAT("D_S_",C299))=1, COUNTIF(damper_names,_xlfn.CONCAT("D_E_",C299))=1), "C", "")</f>
        <v>#VALUE!</v>
      </c>
      <c r="E299" t="e">
        <f t="shared" ca="1" si="3"/>
        <v>#VALUE!</v>
      </c>
      <c r="F299" t="e">
        <f t="shared" ca="1" si="4"/>
        <v>#VALUE!</v>
      </c>
      <c r="G299" t="e">
        <f t="shared" ca="1" si="5"/>
        <v>#VALUE!</v>
      </c>
    </row>
    <row r="300" spans="1:7" x14ac:dyDescent="0.25">
      <c r="A300" s="1"/>
      <c r="D300" t="e" cm="1">
        <f t="array" aca="1" ref="D300" ca="1">IF(OR(COUNTIF(damper_names,_xlfn.CONCAT("D_S_",C300))=1, COUNTIF(damper_names,_xlfn.CONCAT("D_E_",C300))=1), "C", "")</f>
        <v>#VALUE!</v>
      </c>
      <c r="E300" t="e">
        <f t="shared" ca="1" si="3"/>
        <v>#VALUE!</v>
      </c>
      <c r="F300" t="e">
        <f t="shared" ca="1" si="4"/>
        <v>#VALUE!</v>
      </c>
      <c r="G300" t="e">
        <f t="shared" ca="1" si="5"/>
        <v>#VALUE!</v>
      </c>
    </row>
    <row r="301" spans="1:7" x14ac:dyDescent="0.25">
      <c r="A301" s="1"/>
      <c r="D301" t="e" cm="1">
        <f t="array" aca="1" ref="D301" ca="1">IF(OR(COUNTIF(damper_names,_xlfn.CONCAT("D_S_",C301))=1, COUNTIF(damper_names,_xlfn.CONCAT("D_E_",C301))=1), "C", "")</f>
        <v>#VALUE!</v>
      </c>
      <c r="E301" t="e">
        <f t="shared" ca="1" si="3"/>
        <v>#VALUE!</v>
      </c>
      <c r="F301" t="e">
        <f t="shared" ca="1" si="4"/>
        <v>#VALUE!</v>
      </c>
      <c r="G301" t="e">
        <f t="shared" ca="1" si="5"/>
        <v>#VALUE!</v>
      </c>
    </row>
    <row r="302" spans="1:7" x14ac:dyDescent="0.25">
      <c r="A302" s="1"/>
      <c r="D302" t="e" cm="1">
        <f t="array" aca="1" ref="D302" ca="1">IF(OR(COUNTIF(damper_names,_xlfn.CONCAT("D_S_",C302))=1, COUNTIF(damper_names,_xlfn.CONCAT("D_E_",C302))=1), "C", "")</f>
        <v>#VALUE!</v>
      </c>
      <c r="E302" t="e">
        <f t="shared" ca="1" si="3"/>
        <v>#VALUE!</v>
      </c>
      <c r="F302" t="e">
        <f t="shared" ca="1" si="4"/>
        <v>#VALUE!</v>
      </c>
      <c r="G302" t="e">
        <f t="shared" ca="1" si="5"/>
        <v>#VALUE!</v>
      </c>
    </row>
    <row r="303" spans="1:7" x14ac:dyDescent="0.25">
      <c r="A303" s="1"/>
      <c r="D303" t="e" cm="1">
        <f t="array" aca="1" ref="D303" ca="1">IF(OR(COUNTIF(damper_names,_xlfn.CONCAT("D_S_",C303))=1, COUNTIF(damper_names,_xlfn.CONCAT("D_E_",C303))=1), "C", "")</f>
        <v>#VALUE!</v>
      </c>
      <c r="E303" t="e">
        <f t="shared" ca="1" si="3"/>
        <v>#VALUE!</v>
      </c>
      <c r="F303" t="e">
        <f t="shared" ca="1" si="4"/>
        <v>#VALUE!</v>
      </c>
      <c r="G303" t="e">
        <f t="shared" ca="1" si="5"/>
        <v>#VALUE!</v>
      </c>
    </row>
    <row r="304" spans="1:7" x14ac:dyDescent="0.25">
      <c r="A304" s="1"/>
      <c r="D304" t="e" cm="1">
        <f t="array" aca="1" ref="D304" ca="1">IF(OR(COUNTIF(damper_names,_xlfn.CONCAT("D_S_",C304))=1, COUNTIF(damper_names,_xlfn.CONCAT("D_E_",C304))=1), "C", "")</f>
        <v>#VALUE!</v>
      </c>
      <c r="E304" t="e">
        <f t="shared" ca="1" si="3"/>
        <v>#VALUE!</v>
      </c>
      <c r="F304" t="e">
        <f t="shared" ca="1" si="4"/>
        <v>#VALUE!</v>
      </c>
      <c r="G304" t="e">
        <f t="shared" ca="1" si="5"/>
        <v>#VALUE!</v>
      </c>
    </row>
    <row r="305" spans="1:7" x14ac:dyDescent="0.25">
      <c r="A305" s="1"/>
      <c r="D305" t="e" cm="1">
        <f t="array" aca="1" ref="D305" ca="1">IF(OR(COUNTIF(damper_names,_xlfn.CONCAT("D_S_",C305))=1, COUNTIF(damper_names,_xlfn.CONCAT("D_E_",C305))=1), "C", "")</f>
        <v>#VALUE!</v>
      </c>
      <c r="E305" t="e">
        <f t="shared" ca="1" si="3"/>
        <v>#VALUE!</v>
      </c>
      <c r="F305" t="e">
        <f t="shared" ca="1" si="4"/>
        <v>#VALUE!</v>
      </c>
      <c r="G305" t="e">
        <f t="shared" ca="1" si="5"/>
        <v>#VALUE!</v>
      </c>
    </row>
    <row r="306" spans="1:7" x14ac:dyDescent="0.25">
      <c r="A306" s="1"/>
      <c r="D306" t="e" cm="1">
        <f t="array" aca="1" ref="D306" ca="1">IF(OR(COUNTIF(damper_names,_xlfn.CONCAT("D_S_",C306))=1, COUNTIF(damper_names,_xlfn.CONCAT("D_E_",C306))=1), "C", "")</f>
        <v>#VALUE!</v>
      </c>
      <c r="E306" t="e">
        <f t="shared" ca="1" si="3"/>
        <v>#VALUE!</v>
      </c>
      <c r="F306" t="e">
        <f t="shared" ca="1" si="4"/>
        <v>#VALUE!</v>
      </c>
      <c r="G306" t="e">
        <f t="shared" ca="1" si="5"/>
        <v>#VALUE!</v>
      </c>
    </row>
    <row r="307" spans="1:7" x14ac:dyDescent="0.25">
      <c r="A307" s="1"/>
      <c r="D307" t="e" cm="1">
        <f t="array" aca="1" ref="D307" ca="1">IF(OR(COUNTIF(damper_names,_xlfn.CONCAT("D_S_",C307))=1, COUNTIF(damper_names,_xlfn.CONCAT("D_E_",C307))=1), "C", "")</f>
        <v>#VALUE!</v>
      </c>
      <c r="E307" t="e">
        <f t="shared" ref="E307:E370" ca="1" si="6">IF(D307="T", 0.05, IF(D307="C", -0.01, ""))</f>
        <v>#VALUE!</v>
      </c>
      <c r="F307" t="e">
        <f t="shared" ref="F307:F370" ca="1" si="7">IF(D307="T", 0.05, IF(D307="C", 0, ""))</f>
        <v>#VALUE!</v>
      </c>
      <c r="G307" t="e">
        <f t="shared" ref="G307:G370" ca="1" si="8">IF(D307="T", 0, IF(D307="C", 0, ""))</f>
        <v>#VALUE!</v>
      </c>
    </row>
    <row r="308" spans="1:7" x14ac:dyDescent="0.25">
      <c r="A308" s="1"/>
      <c r="D308" t="e" cm="1">
        <f t="array" aca="1" ref="D308" ca="1">IF(OR(COUNTIF(damper_names,_xlfn.CONCAT("D_S_",C308))=1, COUNTIF(damper_names,_xlfn.CONCAT("D_E_",C308))=1), "C", "")</f>
        <v>#VALUE!</v>
      </c>
      <c r="E308" t="e">
        <f t="shared" ca="1" si="6"/>
        <v>#VALUE!</v>
      </c>
      <c r="F308" t="e">
        <f t="shared" ca="1" si="7"/>
        <v>#VALUE!</v>
      </c>
      <c r="G308" t="e">
        <f t="shared" ca="1" si="8"/>
        <v>#VALUE!</v>
      </c>
    </row>
    <row r="309" spans="1:7" x14ac:dyDescent="0.25">
      <c r="A309" s="1"/>
      <c r="D309" t="e" cm="1">
        <f t="array" aca="1" ref="D309" ca="1">IF(OR(COUNTIF(damper_names,_xlfn.CONCAT("D_S_",C309))=1, COUNTIF(damper_names,_xlfn.CONCAT("D_E_",C309))=1), "C", "")</f>
        <v>#VALUE!</v>
      </c>
      <c r="E309" t="e">
        <f t="shared" ca="1" si="6"/>
        <v>#VALUE!</v>
      </c>
      <c r="F309" t="e">
        <f t="shared" ca="1" si="7"/>
        <v>#VALUE!</v>
      </c>
      <c r="G309" t="e">
        <f t="shared" ca="1" si="8"/>
        <v>#VALUE!</v>
      </c>
    </row>
    <row r="310" spans="1:7" x14ac:dyDescent="0.25">
      <c r="A310" s="1"/>
      <c r="D310" t="e" cm="1">
        <f t="array" aca="1" ref="D310" ca="1">IF(OR(COUNTIF(damper_names,_xlfn.CONCAT("D_S_",C310))=1, COUNTIF(damper_names,_xlfn.CONCAT("D_E_",C310))=1), "C", "")</f>
        <v>#VALUE!</v>
      </c>
      <c r="E310" t="e">
        <f t="shared" ca="1" si="6"/>
        <v>#VALUE!</v>
      </c>
      <c r="F310" t="e">
        <f t="shared" ca="1" si="7"/>
        <v>#VALUE!</v>
      </c>
      <c r="G310" t="e">
        <f t="shared" ca="1" si="8"/>
        <v>#VALUE!</v>
      </c>
    </row>
    <row r="311" spans="1:7" x14ac:dyDescent="0.25">
      <c r="A311" s="1"/>
      <c r="D311" t="e" cm="1">
        <f t="array" aca="1" ref="D311" ca="1">IF(OR(COUNTIF(damper_names,_xlfn.CONCAT("D_S_",C311))=1, COUNTIF(damper_names,_xlfn.CONCAT("D_E_",C311))=1), "C", "")</f>
        <v>#VALUE!</v>
      </c>
      <c r="E311" t="e">
        <f t="shared" ca="1" si="6"/>
        <v>#VALUE!</v>
      </c>
      <c r="F311" t="e">
        <f t="shared" ca="1" si="7"/>
        <v>#VALUE!</v>
      </c>
      <c r="G311" t="e">
        <f t="shared" ca="1" si="8"/>
        <v>#VALUE!</v>
      </c>
    </row>
    <row r="312" spans="1:7" x14ac:dyDescent="0.25">
      <c r="A312" s="1"/>
      <c r="D312" t="e" cm="1">
        <f t="array" aca="1" ref="D312" ca="1">IF(OR(COUNTIF(damper_names,_xlfn.CONCAT("D_S_",C312))=1, COUNTIF(damper_names,_xlfn.CONCAT("D_E_",C312))=1), "C", "")</f>
        <v>#VALUE!</v>
      </c>
      <c r="E312" t="e">
        <f t="shared" ca="1" si="6"/>
        <v>#VALUE!</v>
      </c>
      <c r="F312" t="e">
        <f t="shared" ca="1" si="7"/>
        <v>#VALUE!</v>
      </c>
      <c r="G312" t="e">
        <f t="shared" ca="1" si="8"/>
        <v>#VALUE!</v>
      </c>
    </row>
    <row r="313" spans="1:7" x14ac:dyDescent="0.25">
      <c r="A313" s="1"/>
      <c r="D313" t="e" cm="1">
        <f t="array" aca="1" ref="D313" ca="1">IF(OR(COUNTIF(damper_names,_xlfn.CONCAT("D_S_",C313))=1, COUNTIF(damper_names,_xlfn.CONCAT("D_E_",C313))=1), "C", "")</f>
        <v>#VALUE!</v>
      </c>
      <c r="E313" t="e">
        <f t="shared" ca="1" si="6"/>
        <v>#VALUE!</v>
      </c>
      <c r="F313" t="e">
        <f t="shared" ca="1" si="7"/>
        <v>#VALUE!</v>
      </c>
      <c r="G313" t="e">
        <f t="shared" ca="1" si="8"/>
        <v>#VALUE!</v>
      </c>
    </row>
    <row r="314" spans="1:7" x14ac:dyDescent="0.25">
      <c r="A314" s="1"/>
      <c r="D314" t="e" cm="1">
        <f t="array" aca="1" ref="D314" ca="1">IF(OR(COUNTIF(damper_names,_xlfn.CONCAT("D_S_",C314))=1, COUNTIF(damper_names,_xlfn.CONCAT("D_E_",C314))=1), "C", "")</f>
        <v>#VALUE!</v>
      </c>
      <c r="E314" t="e">
        <f t="shared" ca="1" si="6"/>
        <v>#VALUE!</v>
      </c>
      <c r="F314" t="e">
        <f t="shared" ca="1" si="7"/>
        <v>#VALUE!</v>
      </c>
      <c r="G314" t="e">
        <f t="shared" ca="1" si="8"/>
        <v>#VALUE!</v>
      </c>
    </row>
    <row r="315" spans="1:7" x14ac:dyDescent="0.25">
      <c r="A315" s="1"/>
      <c r="D315" t="e" cm="1">
        <f t="array" aca="1" ref="D315" ca="1">IF(OR(COUNTIF(damper_names,_xlfn.CONCAT("D_S_",C315))=1, COUNTIF(damper_names,_xlfn.CONCAT("D_E_",C315))=1), "C", "")</f>
        <v>#VALUE!</v>
      </c>
      <c r="E315" t="e">
        <f t="shared" ca="1" si="6"/>
        <v>#VALUE!</v>
      </c>
      <c r="F315" t="e">
        <f t="shared" ca="1" si="7"/>
        <v>#VALUE!</v>
      </c>
      <c r="G315" t="e">
        <f t="shared" ca="1" si="8"/>
        <v>#VALUE!</v>
      </c>
    </row>
    <row r="316" spans="1:7" x14ac:dyDescent="0.25">
      <c r="A316" s="1"/>
      <c r="D316" t="e" cm="1">
        <f t="array" aca="1" ref="D316" ca="1">IF(OR(COUNTIF(damper_names,_xlfn.CONCAT("D_S_",C316))=1, COUNTIF(damper_names,_xlfn.CONCAT("D_E_",C316))=1), "C", "")</f>
        <v>#VALUE!</v>
      </c>
      <c r="E316" t="e">
        <f t="shared" ca="1" si="6"/>
        <v>#VALUE!</v>
      </c>
      <c r="F316" t="e">
        <f t="shared" ca="1" si="7"/>
        <v>#VALUE!</v>
      </c>
      <c r="G316" t="e">
        <f t="shared" ca="1" si="8"/>
        <v>#VALUE!</v>
      </c>
    </row>
    <row r="317" spans="1:7" x14ac:dyDescent="0.25">
      <c r="A317" s="1"/>
      <c r="D317" t="e" cm="1">
        <f t="array" aca="1" ref="D317" ca="1">IF(OR(COUNTIF(damper_names,_xlfn.CONCAT("D_S_",C317))=1, COUNTIF(damper_names,_xlfn.CONCAT("D_E_",C317))=1), "C", "")</f>
        <v>#VALUE!</v>
      </c>
      <c r="E317" t="e">
        <f t="shared" ca="1" si="6"/>
        <v>#VALUE!</v>
      </c>
      <c r="F317" t="e">
        <f t="shared" ca="1" si="7"/>
        <v>#VALUE!</v>
      </c>
      <c r="G317" t="e">
        <f t="shared" ca="1" si="8"/>
        <v>#VALUE!</v>
      </c>
    </row>
    <row r="318" spans="1:7" x14ac:dyDescent="0.25">
      <c r="A318" s="1"/>
      <c r="D318" t="e" cm="1">
        <f t="array" aca="1" ref="D318" ca="1">IF(OR(COUNTIF(damper_names,_xlfn.CONCAT("D_S_",C318))=1, COUNTIF(damper_names,_xlfn.CONCAT("D_E_",C318))=1), "C", "")</f>
        <v>#VALUE!</v>
      </c>
      <c r="E318" t="e">
        <f t="shared" ca="1" si="6"/>
        <v>#VALUE!</v>
      </c>
      <c r="F318" t="e">
        <f t="shared" ca="1" si="7"/>
        <v>#VALUE!</v>
      </c>
      <c r="G318" t="e">
        <f t="shared" ca="1" si="8"/>
        <v>#VALUE!</v>
      </c>
    </row>
    <row r="319" spans="1:7" x14ac:dyDescent="0.25">
      <c r="A319" s="1"/>
      <c r="D319" t="e" cm="1">
        <f t="array" aca="1" ref="D319" ca="1">IF(OR(COUNTIF(damper_names,_xlfn.CONCAT("D_S_",C319))=1, COUNTIF(damper_names,_xlfn.CONCAT("D_E_",C319))=1), "C", "")</f>
        <v>#VALUE!</v>
      </c>
      <c r="E319" t="e">
        <f t="shared" ca="1" si="6"/>
        <v>#VALUE!</v>
      </c>
      <c r="F319" t="e">
        <f t="shared" ca="1" si="7"/>
        <v>#VALUE!</v>
      </c>
      <c r="G319" t="e">
        <f t="shared" ca="1" si="8"/>
        <v>#VALUE!</v>
      </c>
    </row>
    <row r="320" spans="1:7" x14ac:dyDescent="0.25">
      <c r="A320" s="1"/>
      <c r="D320" t="e" cm="1">
        <f t="array" aca="1" ref="D320" ca="1">IF(OR(COUNTIF(damper_names,_xlfn.CONCAT("D_S_",C320))=1, COUNTIF(damper_names,_xlfn.CONCAT("D_E_",C320))=1), "C", "")</f>
        <v>#VALUE!</v>
      </c>
      <c r="E320" t="e">
        <f t="shared" ca="1" si="6"/>
        <v>#VALUE!</v>
      </c>
      <c r="F320" t="e">
        <f t="shared" ca="1" si="7"/>
        <v>#VALUE!</v>
      </c>
      <c r="G320" t="e">
        <f t="shared" ca="1" si="8"/>
        <v>#VALUE!</v>
      </c>
    </row>
    <row r="321" spans="1:7" x14ac:dyDescent="0.25">
      <c r="A321" s="1"/>
      <c r="D321" t="e" cm="1">
        <f t="array" aca="1" ref="D321" ca="1">IF(OR(COUNTIF(damper_names,_xlfn.CONCAT("D_S_",C321))=1, COUNTIF(damper_names,_xlfn.CONCAT("D_E_",C321))=1), "C", "")</f>
        <v>#VALUE!</v>
      </c>
      <c r="E321" t="e">
        <f t="shared" ca="1" si="6"/>
        <v>#VALUE!</v>
      </c>
      <c r="F321" t="e">
        <f t="shared" ca="1" si="7"/>
        <v>#VALUE!</v>
      </c>
      <c r="G321" t="e">
        <f t="shared" ca="1" si="8"/>
        <v>#VALUE!</v>
      </c>
    </row>
    <row r="322" spans="1:7" x14ac:dyDescent="0.25">
      <c r="A322" s="1"/>
      <c r="D322" t="e" cm="1">
        <f t="array" aca="1" ref="D322" ca="1">IF(OR(COUNTIF(damper_names,_xlfn.CONCAT("D_S_",C322))=1, COUNTIF(damper_names,_xlfn.CONCAT("D_E_",C322))=1), "C", "")</f>
        <v>#VALUE!</v>
      </c>
      <c r="E322" t="e">
        <f t="shared" ca="1" si="6"/>
        <v>#VALUE!</v>
      </c>
      <c r="F322" t="e">
        <f t="shared" ca="1" si="7"/>
        <v>#VALUE!</v>
      </c>
      <c r="G322" t="e">
        <f t="shared" ca="1" si="8"/>
        <v>#VALUE!</v>
      </c>
    </row>
    <row r="323" spans="1:7" x14ac:dyDescent="0.25">
      <c r="A323" s="1"/>
      <c r="D323" t="e" cm="1">
        <f t="array" aca="1" ref="D323" ca="1">IF(OR(COUNTIF(damper_names,_xlfn.CONCAT("D_S_",C323))=1, COUNTIF(damper_names,_xlfn.CONCAT("D_E_",C323))=1), "C", "")</f>
        <v>#VALUE!</v>
      </c>
      <c r="E323" t="e">
        <f t="shared" ca="1" si="6"/>
        <v>#VALUE!</v>
      </c>
      <c r="F323" t="e">
        <f t="shared" ca="1" si="7"/>
        <v>#VALUE!</v>
      </c>
      <c r="G323" t="e">
        <f t="shared" ca="1" si="8"/>
        <v>#VALUE!</v>
      </c>
    </row>
    <row r="324" spans="1:7" x14ac:dyDescent="0.25">
      <c r="A324" s="1"/>
      <c r="D324" t="e" cm="1">
        <f t="array" aca="1" ref="D324" ca="1">IF(OR(COUNTIF(damper_names,_xlfn.CONCAT("D_S_",C324))=1, COUNTIF(damper_names,_xlfn.CONCAT("D_E_",C324))=1), "C", "")</f>
        <v>#VALUE!</v>
      </c>
      <c r="E324" t="e">
        <f t="shared" ca="1" si="6"/>
        <v>#VALUE!</v>
      </c>
      <c r="F324" t="e">
        <f t="shared" ca="1" si="7"/>
        <v>#VALUE!</v>
      </c>
      <c r="G324" t="e">
        <f t="shared" ca="1" si="8"/>
        <v>#VALUE!</v>
      </c>
    </row>
    <row r="325" spans="1:7" x14ac:dyDescent="0.25">
      <c r="A325" s="1"/>
      <c r="D325" t="e" cm="1">
        <f t="array" aca="1" ref="D325" ca="1">IF(OR(COUNTIF(damper_names,_xlfn.CONCAT("D_S_",C325))=1, COUNTIF(damper_names,_xlfn.CONCAT("D_E_",C325))=1), "C", "")</f>
        <v>#VALUE!</v>
      </c>
      <c r="E325" t="e">
        <f t="shared" ca="1" si="6"/>
        <v>#VALUE!</v>
      </c>
      <c r="F325" t="e">
        <f t="shared" ca="1" si="7"/>
        <v>#VALUE!</v>
      </c>
      <c r="G325" t="e">
        <f t="shared" ca="1" si="8"/>
        <v>#VALUE!</v>
      </c>
    </row>
    <row r="326" spans="1:7" x14ac:dyDescent="0.25">
      <c r="A326" s="1"/>
      <c r="D326" t="e" cm="1">
        <f t="array" aca="1" ref="D326" ca="1">IF(OR(COUNTIF(damper_names,_xlfn.CONCAT("D_S_",C326))=1, COUNTIF(damper_names,_xlfn.CONCAT("D_E_",C326))=1), "C", "")</f>
        <v>#VALUE!</v>
      </c>
      <c r="E326" t="e">
        <f t="shared" ca="1" si="6"/>
        <v>#VALUE!</v>
      </c>
      <c r="F326" t="e">
        <f t="shared" ca="1" si="7"/>
        <v>#VALUE!</v>
      </c>
      <c r="G326" t="e">
        <f t="shared" ca="1" si="8"/>
        <v>#VALUE!</v>
      </c>
    </row>
    <row r="327" spans="1:7" x14ac:dyDescent="0.25">
      <c r="A327" s="1"/>
      <c r="D327" t="e" cm="1">
        <f t="array" aca="1" ref="D327" ca="1">IF(OR(COUNTIF(damper_names,_xlfn.CONCAT("D_S_",C327))=1, COUNTIF(damper_names,_xlfn.CONCAT("D_E_",C327))=1), "C", "")</f>
        <v>#VALUE!</v>
      </c>
      <c r="E327" t="e">
        <f t="shared" ca="1" si="6"/>
        <v>#VALUE!</v>
      </c>
      <c r="F327" t="e">
        <f t="shared" ca="1" si="7"/>
        <v>#VALUE!</v>
      </c>
      <c r="G327" t="e">
        <f t="shared" ca="1" si="8"/>
        <v>#VALUE!</v>
      </c>
    </row>
    <row r="328" spans="1:7" x14ac:dyDescent="0.25">
      <c r="A328" s="1"/>
      <c r="D328" t="e" cm="1">
        <f t="array" aca="1" ref="D328" ca="1">IF(OR(COUNTIF(damper_names,_xlfn.CONCAT("D_S_",C328))=1, COUNTIF(damper_names,_xlfn.CONCAT("D_E_",C328))=1), "C", "")</f>
        <v>#VALUE!</v>
      </c>
      <c r="E328" t="e">
        <f t="shared" ca="1" si="6"/>
        <v>#VALUE!</v>
      </c>
      <c r="F328" t="e">
        <f t="shared" ca="1" si="7"/>
        <v>#VALUE!</v>
      </c>
      <c r="G328" t="e">
        <f t="shared" ca="1" si="8"/>
        <v>#VALUE!</v>
      </c>
    </row>
    <row r="329" spans="1:7" x14ac:dyDescent="0.25">
      <c r="A329" s="1"/>
      <c r="D329" t="e" cm="1">
        <f t="array" aca="1" ref="D329" ca="1">IF(OR(COUNTIF(damper_names,_xlfn.CONCAT("D_S_",C329))=1, COUNTIF(damper_names,_xlfn.CONCAT("D_E_",C329))=1), "C", "")</f>
        <v>#VALUE!</v>
      </c>
      <c r="E329" t="e">
        <f t="shared" ca="1" si="6"/>
        <v>#VALUE!</v>
      </c>
      <c r="F329" t="e">
        <f t="shared" ca="1" si="7"/>
        <v>#VALUE!</v>
      </c>
      <c r="G329" t="e">
        <f t="shared" ca="1" si="8"/>
        <v>#VALUE!</v>
      </c>
    </row>
    <row r="330" spans="1:7" x14ac:dyDescent="0.25">
      <c r="A330" s="1"/>
      <c r="D330" t="e" cm="1">
        <f t="array" aca="1" ref="D330" ca="1">IF(OR(COUNTIF(damper_names,_xlfn.CONCAT("D_S_",C330))=1, COUNTIF(damper_names,_xlfn.CONCAT("D_E_",C330))=1), "C", "")</f>
        <v>#VALUE!</v>
      </c>
      <c r="E330" t="e">
        <f t="shared" ca="1" si="6"/>
        <v>#VALUE!</v>
      </c>
      <c r="F330" t="e">
        <f t="shared" ca="1" si="7"/>
        <v>#VALUE!</v>
      </c>
      <c r="G330" t="e">
        <f t="shared" ca="1" si="8"/>
        <v>#VALUE!</v>
      </c>
    </row>
    <row r="331" spans="1:7" x14ac:dyDescent="0.25">
      <c r="A331" s="1"/>
      <c r="D331" t="e" cm="1">
        <f t="array" aca="1" ref="D331" ca="1">IF(OR(COUNTIF(damper_names,_xlfn.CONCAT("D_S_",C331))=1, COUNTIF(damper_names,_xlfn.CONCAT("D_E_",C331))=1), "C", "")</f>
        <v>#VALUE!</v>
      </c>
      <c r="E331" t="e">
        <f t="shared" ca="1" si="6"/>
        <v>#VALUE!</v>
      </c>
      <c r="F331" t="e">
        <f t="shared" ca="1" si="7"/>
        <v>#VALUE!</v>
      </c>
      <c r="G331" t="e">
        <f t="shared" ca="1" si="8"/>
        <v>#VALUE!</v>
      </c>
    </row>
    <row r="332" spans="1:7" x14ac:dyDescent="0.25">
      <c r="A332" s="1"/>
      <c r="D332" t="e" cm="1">
        <f t="array" aca="1" ref="D332" ca="1">IF(OR(COUNTIF(damper_names,_xlfn.CONCAT("D_S_",C332))=1, COUNTIF(damper_names,_xlfn.CONCAT("D_E_",C332))=1), "C", "")</f>
        <v>#VALUE!</v>
      </c>
      <c r="E332" t="e">
        <f t="shared" ca="1" si="6"/>
        <v>#VALUE!</v>
      </c>
      <c r="F332" t="e">
        <f t="shared" ca="1" si="7"/>
        <v>#VALUE!</v>
      </c>
      <c r="G332" t="e">
        <f t="shared" ca="1" si="8"/>
        <v>#VALUE!</v>
      </c>
    </row>
    <row r="333" spans="1:7" x14ac:dyDescent="0.25">
      <c r="A333" s="1"/>
      <c r="D333" t="e" cm="1">
        <f t="array" aca="1" ref="D333" ca="1">IF(OR(COUNTIF(damper_names,_xlfn.CONCAT("D_S_",C333))=1, COUNTIF(damper_names,_xlfn.CONCAT("D_E_",C333))=1), "C", "")</f>
        <v>#VALUE!</v>
      </c>
      <c r="E333" t="e">
        <f t="shared" ca="1" si="6"/>
        <v>#VALUE!</v>
      </c>
      <c r="F333" t="e">
        <f t="shared" ca="1" si="7"/>
        <v>#VALUE!</v>
      </c>
      <c r="G333" t="e">
        <f t="shared" ca="1" si="8"/>
        <v>#VALUE!</v>
      </c>
    </row>
    <row r="334" spans="1:7" x14ac:dyDescent="0.25">
      <c r="A334" s="1"/>
      <c r="D334" t="e" cm="1">
        <f t="array" aca="1" ref="D334" ca="1">IF(OR(COUNTIF(damper_names,_xlfn.CONCAT("D_S_",C334))=1, COUNTIF(damper_names,_xlfn.CONCAT("D_E_",C334))=1), "C", "")</f>
        <v>#VALUE!</v>
      </c>
      <c r="E334" t="e">
        <f t="shared" ca="1" si="6"/>
        <v>#VALUE!</v>
      </c>
      <c r="F334" t="e">
        <f t="shared" ca="1" si="7"/>
        <v>#VALUE!</v>
      </c>
      <c r="G334" t="e">
        <f t="shared" ca="1" si="8"/>
        <v>#VALUE!</v>
      </c>
    </row>
    <row r="335" spans="1:7" x14ac:dyDescent="0.25">
      <c r="A335" s="1"/>
      <c r="D335" t="e" cm="1">
        <f t="array" aca="1" ref="D335" ca="1">IF(OR(COUNTIF(damper_names,_xlfn.CONCAT("D_S_",C335))=1, COUNTIF(damper_names,_xlfn.CONCAT("D_E_",C335))=1), "C", "")</f>
        <v>#VALUE!</v>
      </c>
      <c r="E335" t="e">
        <f t="shared" ca="1" si="6"/>
        <v>#VALUE!</v>
      </c>
      <c r="F335" t="e">
        <f t="shared" ca="1" si="7"/>
        <v>#VALUE!</v>
      </c>
      <c r="G335" t="e">
        <f t="shared" ca="1" si="8"/>
        <v>#VALUE!</v>
      </c>
    </row>
    <row r="336" spans="1:7" x14ac:dyDescent="0.25">
      <c r="A336" s="1"/>
      <c r="D336" t="e" cm="1">
        <f t="array" aca="1" ref="D336" ca="1">IF(OR(COUNTIF(damper_names,_xlfn.CONCAT("D_S_",C336))=1, COUNTIF(damper_names,_xlfn.CONCAT("D_E_",C336))=1), "C", "")</f>
        <v>#VALUE!</v>
      </c>
      <c r="E336" t="e">
        <f t="shared" ca="1" si="6"/>
        <v>#VALUE!</v>
      </c>
      <c r="F336" t="e">
        <f t="shared" ca="1" si="7"/>
        <v>#VALUE!</v>
      </c>
      <c r="G336" t="e">
        <f t="shared" ca="1" si="8"/>
        <v>#VALUE!</v>
      </c>
    </row>
    <row r="337" spans="1:7" x14ac:dyDescent="0.25">
      <c r="A337" s="1"/>
      <c r="D337" t="e" cm="1">
        <f t="array" aca="1" ref="D337" ca="1">IF(OR(COUNTIF(damper_names,_xlfn.CONCAT("D_S_",C337))=1, COUNTIF(damper_names,_xlfn.CONCAT("D_E_",C337))=1), "C", "")</f>
        <v>#VALUE!</v>
      </c>
      <c r="E337" t="e">
        <f t="shared" ca="1" si="6"/>
        <v>#VALUE!</v>
      </c>
      <c r="F337" t="e">
        <f t="shared" ca="1" si="7"/>
        <v>#VALUE!</v>
      </c>
      <c r="G337" t="e">
        <f t="shared" ca="1" si="8"/>
        <v>#VALUE!</v>
      </c>
    </row>
    <row r="338" spans="1:7" x14ac:dyDescent="0.25">
      <c r="A338" s="1"/>
      <c r="D338" t="e" cm="1">
        <f t="array" aca="1" ref="D338" ca="1">IF(OR(COUNTIF(damper_names,_xlfn.CONCAT("D_S_",C338))=1, COUNTIF(damper_names,_xlfn.CONCAT("D_E_",C338))=1), "C", "")</f>
        <v>#VALUE!</v>
      </c>
      <c r="E338" t="e">
        <f t="shared" ca="1" si="6"/>
        <v>#VALUE!</v>
      </c>
      <c r="F338" t="e">
        <f t="shared" ca="1" si="7"/>
        <v>#VALUE!</v>
      </c>
      <c r="G338" t="e">
        <f t="shared" ca="1" si="8"/>
        <v>#VALUE!</v>
      </c>
    </row>
    <row r="339" spans="1:7" x14ac:dyDescent="0.25">
      <c r="A339" s="1"/>
      <c r="D339" t="e" cm="1">
        <f t="array" aca="1" ref="D339" ca="1">IF(OR(COUNTIF(damper_names,_xlfn.CONCAT("D_S_",C339))=1, COUNTIF(damper_names,_xlfn.CONCAT("D_E_",C339))=1), "C", "")</f>
        <v>#VALUE!</v>
      </c>
      <c r="E339" t="e">
        <f t="shared" ca="1" si="6"/>
        <v>#VALUE!</v>
      </c>
      <c r="F339" t="e">
        <f t="shared" ca="1" si="7"/>
        <v>#VALUE!</v>
      </c>
      <c r="G339" t="e">
        <f t="shared" ca="1" si="8"/>
        <v>#VALUE!</v>
      </c>
    </row>
    <row r="340" spans="1:7" x14ac:dyDescent="0.25">
      <c r="A340" s="1"/>
      <c r="D340" t="e" cm="1">
        <f t="array" aca="1" ref="D340" ca="1">IF(OR(COUNTIF(damper_names,_xlfn.CONCAT("D_S_",C340))=1, COUNTIF(damper_names,_xlfn.CONCAT("D_E_",C340))=1), "C", "")</f>
        <v>#VALUE!</v>
      </c>
      <c r="E340" t="e">
        <f t="shared" ca="1" si="6"/>
        <v>#VALUE!</v>
      </c>
      <c r="F340" t="e">
        <f t="shared" ca="1" si="7"/>
        <v>#VALUE!</v>
      </c>
      <c r="G340" t="e">
        <f t="shared" ca="1" si="8"/>
        <v>#VALUE!</v>
      </c>
    </row>
    <row r="341" spans="1:7" x14ac:dyDescent="0.25">
      <c r="A341" s="1"/>
      <c r="D341" t="e" cm="1">
        <f t="array" aca="1" ref="D341" ca="1">IF(OR(COUNTIF(damper_names,_xlfn.CONCAT("D_S_",C341))=1, COUNTIF(damper_names,_xlfn.CONCAT("D_E_",C341))=1), "C", "")</f>
        <v>#VALUE!</v>
      </c>
      <c r="E341" t="e">
        <f t="shared" ca="1" si="6"/>
        <v>#VALUE!</v>
      </c>
      <c r="F341" t="e">
        <f t="shared" ca="1" si="7"/>
        <v>#VALUE!</v>
      </c>
      <c r="G341" t="e">
        <f t="shared" ca="1" si="8"/>
        <v>#VALUE!</v>
      </c>
    </row>
    <row r="342" spans="1:7" x14ac:dyDescent="0.25">
      <c r="A342" s="1"/>
      <c r="D342" t="e" cm="1">
        <f t="array" aca="1" ref="D342" ca="1">IF(OR(COUNTIF(damper_names,_xlfn.CONCAT("D_S_",C342))=1, COUNTIF(damper_names,_xlfn.CONCAT("D_E_",C342))=1), "C", "")</f>
        <v>#VALUE!</v>
      </c>
      <c r="E342" t="e">
        <f t="shared" ca="1" si="6"/>
        <v>#VALUE!</v>
      </c>
      <c r="F342" t="e">
        <f t="shared" ca="1" si="7"/>
        <v>#VALUE!</v>
      </c>
      <c r="G342" t="e">
        <f t="shared" ca="1" si="8"/>
        <v>#VALUE!</v>
      </c>
    </row>
    <row r="343" spans="1:7" x14ac:dyDescent="0.25">
      <c r="A343" s="1"/>
      <c r="D343" t="e" cm="1">
        <f t="array" aca="1" ref="D343" ca="1">IF(OR(COUNTIF(damper_names,_xlfn.CONCAT("D_S_",C343))=1, COUNTIF(damper_names,_xlfn.CONCAT("D_E_",C343))=1), "C", "")</f>
        <v>#VALUE!</v>
      </c>
      <c r="E343" t="e">
        <f t="shared" ca="1" si="6"/>
        <v>#VALUE!</v>
      </c>
      <c r="F343" t="e">
        <f t="shared" ca="1" si="7"/>
        <v>#VALUE!</v>
      </c>
      <c r="G343" t="e">
        <f t="shared" ca="1" si="8"/>
        <v>#VALUE!</v>
      </c>
    </row>
    <row r="344" spans="1:7" x14ac:dyDescent="0.25">
      <c r="A344" s="1"/>
      <c r="D344" t="e" cm="1">
        <f t="array" aca="1" ref="D344" ca="1">IF(OR(COUNTIF(damper_names,_xlfn.CONCAT("D_S_",C344))=1, COUNTIF(damper_names,_xlfn.CONCAT("D_E_",C344))=1), "C", "")</f>
        <v>#VALUE!</v>
      </c>
      <c r="E344" t="e">
        <f t="shared" ca="1" si="6"/>
        <v>#VALUE!</v>
      </c>
      <c r="F344" t="e">
        <f t="shared" ca="1" si="7"/>
        <v>#VALUE!</v>
      </c>
      <c r="G344" t="e">
        <f t="shared" ca="1" si="8"/>
        <v>#VALUE!</v>
      </c>
    </row>
    <row r="345" spans="1:7" x14ac:dyDescent="0.25">
      <c r="A345" s="1"/>
      <c r="D345" t="e" cm="1">
        <f t="array" aca="1" ref="D345" ca="1">IF(OR(COUNTIF(damper_names,_xlfn.CONCAT("D_S_",C345))=1, COUNTIF(damper_names,_xlfn.CONCAT("D_E_",C345))=1), "C", "")</f>
        <v>#VALUE!</v>
      </c>
      <c r="E345" t="e">
        <f t="shared" ca="1" si="6"/>
        <v>#VALUE!</v>
      </c>
      <c r="F345" t="e">
        <f t="shared" ca="1" si="7"/>
        <v>#VALUE!</v>
      </c>
      <c r="G345" t="e">
        <f t="shared" ca="1" si="8"/>
        <v>#VALUE!</v>
      </c>
    </row>
    <row r="346" spans="1:7" x14ac:dyDescent="0.25">
      <c r="A346" s="1"/>
      <c r="D346" t="e" cm="1">
        <f t="array" aca="1" ref="D346" ca="1">IF(OR(COUNTIF(damper_names,_xlfn.CONCAT("D_S_",C346))=1, COUNTIF(damper_names,_xlfn.CONCAT("D_E_",C346))=1), "C", "")</f>
        <v>#VALUE!</v>
      </c>
      <c r="E346" t="e">
        <f t="shared" ca="1" si="6"/>
        <v>#VALUE!</v>
      </c>
      <c r="F346" t="e">
        <f t="shared" ca="1" si="7"/>
        <v>#VALUE!</v>
      </c>
      <c r="G346" t="e">
        <f t="shared" ca="1" si="8"/>
        <v>#VALUE!</v>
      </c>
    </row>
    <row r="347" spans="1:7" x14ac:dyDescent="0.25">
      <c r="A347" s="1"/>
      <c r="D347" t="e" cm="1">
        <f t="array" aca="1" ref="D347" ca="1">IF(OR(COUNTIF(damper_names,_xlfn.CONCAT("D_S_",C347))=1, COUNTIF(damper_names,_xlfn.CONCAT("D_E_",C347))=1), "C", "")</f>
        <v>#VALUE!</v>
      </c>
      <c r="E347" t="e">
        <f t="shared" ca="1" si="6"/>
        <v>#VALUE!</v>
      </c>
      <c r="F347" t="e">
        <f t="shared" ca="1" si="7"/>
        <v>#VALUE!</v>
      </c>
      <c r="G347" t="e">
        <f t="shared" ca="1" si="8"/>
        <v>#VALUE!</v>
      </c>
    </row>
    <row r="348" spans="1:7" x14ac:dyDescent="0.25">
      <c r="A348" s="1"/>
      <c r="D348" t="e" cm="1">
        <f t="array" aca="1" ref="D348" ca="1">IF(OR(COUNTIF(damper_names,_xlfn.CONCAT("D_S_",C348))=1, COUNTIF(damper_names,_xlfn.CONCAT("D_E_",C348))=1), "C", "")</f>
        <v>#VALUE!</v>
      </c>
      <c r="E348" t="e">
        <f t="shared" ca="1" si="6"/>
        <v>#VALUE!</v>
      </c>
      <c r="F348" t="e">
        <f t="shared" ca="1" si="7"/>
        <v>#VALUE!</v>
      </c>
      <c r="G348" t="e">
        <f t="shared" ca="1" si="8"/>
        <v>#VALUE!</v>
      </c>
    </row>
    <row r="349" spans="1:7" x14ac:dyDescent="0.25">
      <c r="A349" s="1"/>
      <c r="D349" t="e" cm="1">
        <f t="array" aca="1" ref="D349" ca="1">IF(OR(COUNTIF(damper_names,_xlfn.CONCAT("D_S_",C349))=1, COUNTIF(damper_names,_xlfn.CONCAT("D_E_",C349))=1), "C", "")</f>
        <v>#VALUE!</v>
      </c>
      <c r="E349" t="e">
        <f t="shared" ca="1" si="6"/>
        <v>#VALUE!</v>
      </c>
      <c r="F349" t="e">
        <f t="shared" ca="1" si="7"/>
        <v>#VALUE!</v>
      </c>
      <c r="G349" t="e">
        <f t="shared" ca="1" si="8"/>
        <v>#VALUE!</v>
      </c>
    </row>
    <row r="350" spans="1:7" x14ac:dyDescent="0.25">
      <c r="A350" s="1"/>
      <c r="D350" t="e" cm="1">
        <f t="array" aca="1" ref="D350" ca="1">IF(OR(COUNTIF(damper_names,_xlfn.CONCAT("D_S_",C350))=1, COUNTIF(damper_names,_xlfn.CONCAT("D_E_",C350))=1), "C", "")</f>
        <v>#VALUE!</v>
      </c>
      <c r="E350" t="e">
        <f t="shared" ca="1" si="6"/>
        <v>#VALUE!</v>
      </c>
      <c r="F350" t="e">
        <f t="shared" ca="1" si="7"/>
        <v>#VALUE!</v>
      </c>
      <c r="G350" t="e">
        <f t="shared" ca="1" si="8"/>
        <v>#VALUE!</v>
      </c>
    </row>
    <row r="351" spans="1:7" x14ac:dyDescent="0.25">
      <c r="A351" s="1"/>
      <c r="D351" t="e" cm="1">
        <f t="array" aca="1" ref="D351" ca="1">IF(OR(COUNTIF(damper_names,_xlfn.CONCAT("D_S_",C351))=1, COUNTIF(damper_names,_xlfn.CONCAT("D_E_",C351))=1), "C", "")</f>
        <v>#VALUE!</v>
      </c>
      <c r="E351" t="e">
        <f t="shared" ca="1" si="6"/>
        <v>#VALUE!</v>
      </c>
      <c r="F351" t="e">
        <f t="shared" ca="1" si="7"/>
        <v>#VALUE!</v>
      </c>
      <c r="G351" t="e">
        <f t="shared" ca="1" si="8"/>
        <v>#VALUE!</v>
      </c>
    </row>
    <row r="352" spans="1:7" x14ac:dyDescent="0.25">
      <c r="A352" s="1"/>
      <c r="D352" t="e" cm="1">
        <f t="array" aca="1" ref="D352" ca="1">IF(OR(COUNTIF(damper_names,_xlfn.CONCAT("D_S_",C352))=1, COUNTIF(damper_names,_xlfn.CONCAT("D_E_",C352))=1), "C", "")</f>
        <v>#VALUE!</v>
      </c>
      <c r="E352" t="e">
        <f t="shared" ca="1" si="6"/>
        <v>#VALUE!</v>
      </c>
      <c r="F352" t="e">
        <f t="shared" ca="1" si="7"/>
        <v>#VALUE!</v>
      </c>
      <c r="G352" t="e">
        <f t="shared" ca="1" si="8"/>
        <v>#VALUE!</v>
      </c>
    </row>
    <row r="353" spans="1:7" x14ac:dyDescent="0.25">
      <c r="A353" s="1"/>
      <c r="D353" t="e" cm="1">
        <f t="array" aca="1" ref="D353" ca="1">IF(OR(COUNTIF(damper_names,_xlfn.CONCAT("D_S_",C353))=1, COUNTIF(damper_names,_xlfn.CONCAT("D_E_",C353))=1), "C", "")</f>
        <v>#VALUE!</v>
      </c>
      <c r="E353" t="e">
        <f t="shared" ca="1" si="6"/>
        <v>#VALUE!</v>
      </c>
      <c r="F353" t="e">
        <f t="shared" ca="1" si="7"/>
        <v>#VALUE!</v>
      </c>
      <c r="G353" t="e">
        <f t="shared" ca="1" si="8"/>
        <v>#VALUE!</v>
      </c>
    </row>
    <row r="354" spans="1:7" x14ac:dyDescent="0.25">
      <c r="A354" s="1"/>
      <c r="D354" t="e" cm="1">
        <f t="array" aca="1" ref="D354" ca="1">IF(OR(COUNTIF(damper_names,_xlfn.CONCAT("D_S_",C354))=1, COUNTIF(damper_names,_xlfn.CONCAT("D_E_",C354))=1), "C", "")</f>
        <v>#VALUE!</v>
      </c>
      <c r="E354" t="e">
        <f t="shared" ca="1" si="6"/>
        <v>#VALUE!</v>
      </c>
      <c r="F354" t="e">
        <f t="shared" ca="1" si="7"/>
        <v>#VALUE!</v>
      </c>
      <c r="G354" t="e">
        <f t="shared" ca="1" si="8"/>
        <v>#VALUE!</v>
      </c>
    </row>
    <row r="355" spans="1:7" x14ac:dyDescent="0.25">
      <c r="A355" s="1"/>
      <c r="D355" t="e" cm="1">
        <f t="array" aca="1" ref="D355" ca="1">IF(OR(COUNTIF(damper_names,_xlfn.CONCAT("D_S_",C355))=1, COUNTIF(damper_names,_xlfn.CONCAT("D_E_",C355))=1), "C", "")</f>
        <v>#VALUE!</v>
      </c>
      <c r="E355" t="e">
        <f t="shared" ca="1" si="6"/>
        <v>#VALUE!</v>
      </c>
      <c r="F355" t="e">
        <f t="shared" ca="1" si="7"/>
        <v>#VALUE!</v>
      </c>
      <c r="G355" t="e">
        <f t="shared" ca="1" si="8"/>
        <v>#VALUE!</v>
      </c>
    </row>
    <row r="356" spans="1:7" x14ac:dyDescent="0.25">
      <c r="A356" s="1"/>
      <c r="D356" t="e" cm="1">
        <f t="array" aca="1" ref="D356" ca="1">IF(OR(COUNTIF(damper_names,_xlfn.CONCAT("D_S_",C356))=1, COUNTIF(damper_names,_xlfn.CONCAT("D_E_",C356))=1), "C", "")</f>
        <v>#VALUE!</v>
      </c>
      <c r="E356" t="e">
        <f t="shared" ca="1" si="6"/>
        <v>#VALUE!</v>
      </c>
      <c r="F356" t="e">
        <f t="shared" ca="1" si="7"/>
        <v>#VALUE!</v>
      </c>
      <c r="G356" t="e">
        <f t="shared" ca="1" si="8"/>
        <v>#VALUE!</v>
      </c>
    </row>
    <row r="357" spans="1:7" x14ac:dyDescent="0.25">
      <c r="A357" s="1"/>
      <c r="D357" t="e" cm="1">
        <f t="array" aca="1" ref="D357" ca="1">IF(OR(COUNTIF(damper_names,_xlfn.CONCAT("D_S_",C357))=1, COUNTIF(damper_names,_xlfn.CONCAT("D_E_",C357))=1), "C", "")</f>
        <v>#VALUE!</v>
      </c>
      <c r="E357" t="e">
        <f t="shared" ca="1" si="6"/>
        <v>#VALUE!</v>
      </c>
      <c r="F357" t="e">
        <f t="shared" ca="1" si="7"/>
        <v>#VALUE!</v>
      </c>
      <c r="G357" t="e">
        <f t="shared" ca="1" si="8"/>
        <v>#VALUE!</v>
      </c>
    </row>
    <row r="358" spans="1:7" x14ac:dyDescent="0.25">
      <c r="A358" s="1"/>
      <c r="D358" t="e" cm="1">
        <f t="array" aca="1" ref="D358" ca="1">IF(OR(COUNTIF(damper_names,_xlfn.CONCAT("D_S_",C358))=1, COUNTIF(damper_names,_xlfn.CONCAT("D_E_",C358))=1), "C", "")</f>
        <v>#VALUE!</v>
      </c>
      <c r="E358" t="e">
        <f t="shared" ca="1" si="6"/>
        <v>#VALUE!</v>
      </c>
      <c r="F358" t="e">
        <f t="shared" ca="1" si="7"/>
        <v>#VALUE!</v>
      </c>
      <c r="G358" t="e">
        <f t="shared" ca="1" si="8"/>
        <v>#VALUE!</v>
      </c>
    </row>
    <row r="359" spans="1:7" x14ac:dyDescent="0.25">
      <c r="A359" s="1"/>
      <c r="D359" t="e" cm="1">
        <f t="array" aca="1" ref="D359" ca="1">IF(OR(COUNTIF(damper_names,_xlfn.CONCAT("D_S_",C359))=1, COUNTIF(damper_names,_xlfn.CONCAT("D_E_",C359))=1), "C", "")</f>
        <v>#VALUE!</v>
      </c>
      <c r="E359" t="e">
        <f t="shared" ca="1" si="6"/>
        <v>#VALUE!</v>
      </c>
      <c r="F359" t="e">
        <f t="shared" ca="1" si="7"/>
        <v>#VALUE!</v>
      </c>
      <c r="G359" t="e">
        <f t="shared" ca="1" si="8"/>
        <v>#VALUE!</v>
      </c>
    </row>
    <row r="360" spans="1:7" x14ac:dyDescent="0.25">
      <c r="A360" s="1"/>
      <c r="D360" t="e" cm="1">
        <f t="array" aca="1" ref="D360" ca="1">IF(OR(COUNTIF(damper_names,_xlfn.CONCAT("D_S_",C360))=1, COUNTIF(damper_names,_xlfn.CONCAT("D_E_",C360))=1), "C", "")</f>
        <v>#VALUE!</v>
      </c>
      <c r="E360" t="e">
        <f t="shared" ca="1" si="6"/>
        <v>#VALUE!</v>
      </c>
      <c r="F360" t="e">
        <f t="shared" ca="1" si="7"/>
        <v>#VALUE!</v>
      </c>
      <c r="G360" t="e">
        <f t="shared" ca="1" si="8"/>
        <v>#VALUE!</v>
      </c>
    </row>
    <row r="361" spans="1:7" x14ac:dyDescent="0.25">
      <c r="A361" s="1"/>
      <c r="D361" t="e" cm="1">
        <f t="array" aca="1" ref="D361" ca="1">IF(OR(COUNTIF(damper_names,_xlfn.CONCAT("D_S_",C361))=1, COUNTIF(damper_names,_xlfn.CONCAT("D_E_",C361))=1), "C", "")</f>
        <v>#VALUE!</v>
      </c>
      <c r="E361" t="e">
        <f t="shared" ca="1" si="6"/>
        <v>#VALUE!</v>
      </c>
      <c r="F361" t="e">
        <f t="shared" ca="1" si="7"/>
        <v>#VALUE!</v>
      </c>
      <c r="G361" t="e">
        <f t="shared" ca="1" si="8"/>
        <v>#VALUE!</v>
      </c>
    </row>
    <row r="362" spans="1:7" x14ac:dyDescent="0.25">
      <c r="A362" s="1"/>
      <c r="D362" t="e" cm="1">
        <f t="array" aca="1" ref="D362" ca="1">IF(OR(COUNTIF(damper_names,_xlfn.CONCAT("D_S_",C362))=1, COUNTIF(damper_names,_xlfn.CONCAT("D_E_",C362))=1), "C", "")</f>
        <v>#VALUE!</v>
      </c>
      <c r="E362" t="e">
        <f t="shared" ca="1" si="6"/>
        <v>#VALUE!</v>
      </c>
      <c r="F362" t="e">
        <f t="shared" ca="1" si="7"/>
        <v>#VALUE!</v>
      </c>
      <c r="G362" t="e">
        <f t="shared" ca="1" si="8"/>
        <v>#VALUE!</v>
      </c>
    </row>
    <row r="363" spans="1:7" x14ac:dyDescent="0.25">
      <c r="A363" s="1"/>
      <c r="D363" t="e" cm="1">
        <f t="array" aca="1" ref="D363" ca="1">IF(OR(COUNTIF(damper_names,_xlfn.CONCAT("D_S_",C363))=1, COUNTIF(damper_names,_xlfn.CONCAT("D_E_",C363))=1), "C", "")</f>
        <v>#VALUE!</v>
      </c>
      <c r="E363" t="e">
        <f t="shared" ca="1" si="6"/>
        <v>#VALUE!</v>
      </c>
      <c r="F363" t="e">
        <f t="shared" ca="1" si="7"/>
        <v>#VALUE!</v>
      </c>
      <c r="G363" t="e">
        <f t="shared" ca="1" si="8"/>
        <v>#VALUE!</v>
      </c>
    </row>
    <row r="364" spans="1:7" x14ac:dyDescent="0.25">
      <c r="A364" s="1"/>
      <c r="D364" t="e" cm="1">
        <f t="array" aca="1" ref="D364" ca="1">IF(OR(COUNTIF(damper_names,_xlfn.CONCAT("D_S_",C364))=1, COUNTIF(damper_names,_xlfn.CONCAT("D_E_",C364))=1), "C", "")</f>
        <v>#VALUE!</v>
      </c>
      <c r="E364" t="e">
        <f t="shared" ca="1" si="6"/>
        <v>#VALUE!</v>
      </c>
      <c r="F364" t="e">
        <f t="shared" ca="1" si="7"/>
        <v>#VALUE!</v>
      </c>
      <c r="G364" t="e">
        <f t="shared" ca="1" si="8"/>
        <v>#VALUE!</v>
      </c>
    </row>
    <row r="365" spans="1:7" x14ac:dyDescent="0.25">
      <c r="A365" s="1"/>
      <c r="D365" t="e" cm="1">
        <f t="array" aca="1" ref="D365" ca="1">IF(OR(COUNTIF(damper_names,_xlfn.CONCAT("D_S_",C365))=1, COUNTIF(damper_names,_xlfn.CONCAT("D_E_",C365))=1), "C", "")</f>
        <v>#VALUE!</v>
      </c>
      <c r="E365" t="e">
        <f t="shared" ca="1" si="6"/>
        <v>#VALUE!</v>
      </c>
      <c r="F365" t="e">
        <f t="shared" ca="1" si="7"/>
        <v>#VALUE!</v>
      </c>
      <c r="G365" t="e">
        <f t="shared" ca="1" si="8"/>
        <v>#VALUE!</v>
      </c>
    </row>
    <row r="366" spans="1:7" x14ac:dyDescent="0.25">
      <c r="A366" s="1"/>
      <c r="D366" t="e" cm="1">
        <f t="array" aca="1" ref="D366" ca="1">IF(OR(COUNTIF(damper_names,_xlfn.CONCAT("D_S_",C366))=1, COUNTIF(damper_names,_xlfn.CONCAT("D_E_",C366))=1), "C", "")</f>
        <v>#VALUE!</v>
      </c>
      <c r="E366" t="e">
        <f t="shared" ca="1" si="6"/>
        <v>#VALUE!</v>
      </c>
      <c r="F366" t="e">
        <f t="shared" ca="1" si="7"/>
        <v>#VALUE!</v>
      </c>
      <c r="G366" t="e">
        <f t="shared" ca="1" si="8"/>
        <v>#VALUE!</v>
      </c>
    </row>
    <row r="367" spans="1:7" x14ac:dyDescent="0.25">
      <c r="A367" s="1"/>
      <c r="D367" t="e" cm="1">
        <f t="array" aca="1" ref="D367" ca="1">IF(OR(COUNTIF(damper_names,_xlfn.CONCAT("D_S_",C367))=1, COUNTIF(damper_names,_xlfn.CONCAT("D_E_",C367))=1), "C", "")</f>
        <v>#VALUE!</v>
      </c>
      <c r="E367" t="e">
        <f t="shared" ca="1" si="6"/>
        <v>#VALUE!</v>
      </c>
      <c r="F367" t="e">
        <f t="shared" ca="1" si="7"/>
        <v>#VALUE!</v>
      </c>
      <c r="G367" t="e">
        <f t="shared" ca="1" si="8"/>
        <v>#VALUE!</v>
      </c>
    </row>
    <row r="368" spans="1:7" x14ac:dyDescent="0.25">
      <c r="A368" s="1"/>
      <c r="D368" t="e" cm="1">
        <f t="array" aca="1" ref="D368" ca="1">IF(OR(COUNTIF(damper_names,_xlfn.CONCAT("D_S_",C368))=1, COUNTIF(damper_names,_xlfn.CONCAT("D_E_",C368))=1), "C", "")</f>
        <v>#VALUE!</v>
      </c>
      <c r="E368" t="e">
        <f t="shared" ca="1" si="6"/>
        <v>#VALUE!</v>
      </c>
      <c r="F368" t="e">
        <f t="shared" ca="1" si="7"/>
        <v>#VALUE!</v>
      </c>
      <c r="G368" t="e">
        <f t="shared" ca="1" si="8"/>
        <v>#VALUE!</v>
      </c>
    </row>
    <row r="369" spans="1:7" x14ac:dyDescent="0.25">
      <c r="A369" s="1"/>
      <c r="D369" t="e" cm="1">
        <f t="array" aca="1" ref="D369" ca="1">IF(OR(COUNTIF(damper_names,_xlfn.CONCAT("D_S_",C369))=1, COUNTIF(damper_names,_xlfn.CONCAT("D_E_",C369))=1), "C", "")</f>
        <v>#VALUE!</v>
      </c>
      <c r="E369" t="e">
        <f t="shared" ca="1" si="6"/>
        <v>#VALUE!</v>
      </c>
      <c r="F369" t="e">
        <f t="shared" ca="1" si="7"/>
        <v>#VALUE!</v>
      </c>
      <c r="G369" t="e">
        <f t="shared" ca="1" si="8"/>
        <v>#VALUE!</v>
      </c>
    </row>
    <row r="370" spans="1:7" x14ac:dyDescent="0.25">
      <c r="A370" s="1"/>
      <c r="D370" t="e" cm="1">
        <f t="array" aca="1" ref="D370" ca="1">IF(OR(COUNTIF(damper_names,_xlfn.CONCAT("D_S_",C370))=1, COUNTIF(damper_names,_xlfn.CONCAT("D_E_",C370))=1), "C", "")</f>
        <v>#VALUE!</v>
      </c>
      <c r="E370" t="e">
        <f t="shared" ca="1" si="6"/>
        <v>#VALUE!</v>
      </c>
      <c r="F370" t="e">
        <f t="shared" ca="1" si="7"/>
        <v>#VALUE!</v>
      </c>
      <c r="G370" t="e">
        <f t="shared" ca="1" si="8"/>
        <v>#VALUE!</v>
      </c>
    </row>
    <row r="371" spans="1:7" x14ac:dyDescent="0.25">
      <c r="A371" s="1"/>
      <c r="D371" t="e" cm="1">
        <f t="array" aca="1" ref="D371" ca="1">IF(OR(COUNTIF(damper_names,_xlfn.CONCAT("D_S_",C371))=1, COUNTIF(damper_names,_xlfn.CONCAT("D_E_",C371))=1), "C", "")</f>
        <v>#VALUE!</v>
      </c>
      <c r="E371" t="e">
        <f t="shared" ref="E371:E434" ca="1" si="9">IF(D371="T", 0.05, IF(D371="C", -0.01, ""))</f>
        <v>#VALUE!</v>
      </c>
      <c r="F371" t="e">
        <f t="shared" ref="F371:F434" ca="1" si="10">IF(D371="T", 0.05, IF(D371="C", 0, ""))</f>
        <v>#VALUE!</v>
      </c>
      <c r="G371" t="e">
        <f t="shared" ref="G371:G434" ca="1" si="11">IF(D371="T", 0, IF(D371="C", 0, ""))</f>
        <v>#VALUE!</v>
      </c>
    </row>
    <row r="372" spans="1:7" x14ac:dyDescent="0.25">
      <c r="A372" s="1"/>
      <c r="D372" t="e" cm="1">
        <f t="array" aca="1" ref="D372" ca="1">IF(OR(COUNTIF(damper_names,_xlfn.CONCAT("D_S_",C372))=1, COUNTIF(damper_names,_xlfn.CONCAT("D_E_",C372))=1), "C", "")</f>
        <v>#VALUE!</v>
      </c>
      <c r="E372" t="e">
        <f t="shared" ca="1" si="9"/>
        <v>#VALUE!</v>
      </c>
      <c r="F372" t="e">
        <f t="shared" ca="1" si="10"/>
        <v>#VALUE!</v>
      </c>
      <c r="G372" t="e">
        <f t="shared" ca="1" si="11"/>
        <v>#VALUE!</v>
      </c>
    </row>
    <row r="373" spans="1:7" x14ac:dyDescent="0.25">
      <c r="A373" s="1"/>
      <c r="D373" t="e" cm="1">
        <f t="array" aca="1" ref="D373" ca="1">IF(OR(COUNTIF(damper_names,_xlfn.CONCAT("D_S_",C373))=1, COUNTIF(damper_names,_xlfn.CONCAT("D_E_",C373))=1), "C", "")</f>
        <v>#VALUE!</v>
      </c>
      <c r="E373" t="e">
        <f t="shared" ca="1" si="9"/>
        <v>#VALUE!</v>
      </c>
      <c r="F373" t="e">
        <f t="shared" ca="1" si="10"/>
        <v>#VALUE!</v>
      </c>
      <c r="G373" t="e">
        <f t="shared" ca="1" si="11"/>
        <v>#VALUE!</v>
      </c>
    </row>
    <row r="374" spans="1:7" x14ac:dyDescent="0.25">
      <c r="A374" s="1"/>
      <c r="D374" t="e" cm="1">
        <f t="array" aca="1" ref="D374" ca="1">IF(OR(COUNTIF(damper_names,_xlfn.CONCAT("D_S_",C374))=1, COUNTIF(damper_names,_xlfn.CONCAT("D_E_",C374))=1), "C", "")</f>
        <v>#VALUE!</v>
      </c>
      <c r="E374" t="e">
        <f t="shared" ca="1" si="9"/>
        <v>#VALUE!</v>
      </c>
      <c r="F374" t="e">
        <f t="shared" ca="1" si="10"/>
        <v>#VALUE!</v>
      </c>
      <c r="G374" t="e">
        <f t="shared" ca="1" si="11"/>
        <v>#VALUE!</v>
      </c>
    </row>
    <row r="375" spans="1:7" x14ac:dyDescent="0.25">
      <c r="A375" s="1"/>
      <c r="D375" t="e" cm="1">
        <f t="array" aca="1" ref="D375" ca="1">IF(OR(COUNTIF(damper_names,_xlfn.CONCAT("D_S_",C375))=1, COUNTIF(damper_names,_xlfn.CONCAT("D_E_",C375))=1), "C", "")</f>
        <v>#VALUE!</v>
      </c>
      <c r="E375" t="e">
        <f t="shared" ca="1" si="9"/>
        <v>#VALUE!</v>
      </c>
      <c r="F375" t="e">
        <f t="shared" ca="1" si="10"/>
        <v>#VALUE!</v>
      </c>
      <c r="G375" t="e">
        <f t="shared" ca="1" si="11"/>
        <v>#VALUE!</v>
      </c>
    </row>
    <row r="376" spans="1:7" x14ac:dyDescent="0.25">
      <c r="A376" s="1"/>
      <c r="D376" t="e" cm="1">
        <f t="array" aca="1" ref="D376" ca="1">IF(OR(COUNTIF(damper_names,_xlfn.CONCAT("D_S_",C376))=1, COUNTIF(damper_names,_xlfn.CONCAT("D_E_",C376))=1), "C", "")</f>
        <v>#VALUE!</v>
      </c>
      <c r="E376" t="e">
        <f t="shared" ca="1" si="9"/>
        <v>#VALUE!</v>
      </c>
      <c r="F376" t="e">
        <f t="shared" ca="1" si="10"/>
        <v>#VALUE!</v>
      </c>
      <c r="G376" t="e">
        <f t="shared" ca="1" si="11"/>
        <v>#VALUE!</v>
      </c>
    </row>
    <row r="377" spans="1:7" x14ac:dyDescent="0.25">
      <c r="A377" s="1"/>
      <c r="D377" t="e" cm="1">
        <f t="array" aca="1" ref="D377" ca="1">IF(OR(COUNTIF(damper_names,_xlfn.CONCAT("D_S_",C377))=1, COUNTIF(damper_names,_xlfn.CONCAT("D_E_",C377))=1), "C", "")</f>
        <v>#VALUE!</v>
      </c>
      <c r="E377" t="e">
        <f t="shared" ca="1" si="9"/>
        <v>#VALUE!</v>
      </c>
      <c r="F377" t="e">
        <f t="shared" ca="1" si="10"/>
        <v>#VALUE!</v>
      </c>
      <c r="G377" t="e">
        <f t="shared" ca="1" si="11"/>
        <v>#VALUE!</v>
      </c>
    </row>
    <row r="378" spans="1:7" x14ac:dyDescent="0.25">
      <c r="A378" s="1"/>
      <c r="D378" t="e" cm="1">
        <f t="array" aca="1" ref="D378" ca="1">IF(OR(COUNTIF(damper_names,_xlfn.CONCAT("D_S_",C378))=1, COUNTIF(damper_names,_xlfn.CONCAT("D_E_",C378))=1), "C", "")</f>
        <v>#VALUE!</v>
      </c>
      <c r="E378" t="e">
        <f t="shared" ca="1" si="9"/>
        <v>#VALUE!</v>
      </c>
      <c r="F378" t="e">
        <f t="shared" ca="1" si="10"/>
        <v>#VALUE!</v>
      </c>
      <c r="G378" t="e">
        <f t="shared" ca="1" si="11"/>
        <v>#VALUE!</v>
      </c>
    </row>
    <row r="379" spans="1:7" x14ac:dyDescent="0.25">
      <c r="A379" s="1"/>
      <c r="D379" t="e" cm="1">
        <f t="array" aca="1" ref="D379" ca="1">IF(OR(COUNTIF(damper_names,_xlfn.CONCAT("D_S_",C379))=1, COUNTIF(damper_names,_xlfn.CONCAT("D_E_",C379))=1), "C", "")</f>
        <v>#VALUE!</v>
      </c>
      <c r="E379" t="e">
        <f t="shared" ca="1" si="9"/>
        <v>#VALUE!</v>
      </c>
      <c r="F379" t="e">
        <f t="shared" ca="1" si="10"/>
        <v>#VALUE!</v>
      </c>
      <c r="G379" t="e">
        <f t="shared" ca="1" si="11"/>
        <v>#VALUE!</v>
      </c>
    </row>
    <row r="380" spans="1:7" x14ac:dyDescent="0.25">
      <c r="A380" s="1"/>
      <c r="D380" t="e" cm="1">
        <f t="array" aca="1" ref="D380" ca="1">IF(OR(COUNTIF(damper_names,_xlfn.CONCAT("D_S_",C380))=1, COUNTIF(damper_names,_xlfn.CONCAT("D_E_",C380))=1), "C", "")</f>
        <v>#VALUE!</v>
      </c>
      <c r="E380" t="e">
        <f t="shared" ca="1" si="9"/>
        <v>#VALUE!</v>
      </c>
      <c r="F380" t="e">
        <f t="shared" ca="1" si="10"/>
        <v>#VALUE!</v>
      </c>
      <c r="G380" t="e">
        <f t="shared" ca="1" si="11"/>
        <v>#VALUE!</v>
      </c>
    </row>
    <row r="381" spans="1:7" x14ac:dyDescent="0.25">
      <c r="A381" s="1"/>
      <c r="D381" t="e" cm="1">
        <f t="array" aca="1" ref="D381" ca="1">IF(OR(COUNTIF(damper_names,_xlfn.CONCAT("D_S_",C381))=1, COUNTIF(damper_names,_xlfn.CONCAT("D_E_",C381))=1), "C", "")</f>
        <v>#VALUE!</v>
      </c>
      <c r="E381" t="e">
        <f t="shared" ca="1" si="9"/>
        <v>#VALUE!</v>
      </c>
      <c r="F381" t="e">
        <f t="shared" ca="1" si="10"/>
        <v>#VALUE!</v>
      </c>
      <c r="G381" t="e">
        <f t="shared" ca="1" si="11"/>
        <v>#VALUE!</v>
      </c>
    </row>
    <row r="382" spans="1:7" x14ac:dyDescent="0.25">
      <c r="A382" s="1"/>
      <c r="D382" t="e" cm="1">
        <f t="array" aca="1" ref="D382" ca="1">IF(OR(COUNTIF(damper_names,_xlfn.CONCAT("D_S_",C382))=1, COUNTIF(damper_names,_xlfn.CONCAT("D_E_",C382))=1), "C", "")</f>
        <v>#VALUE!</v>
      </c>
      <c r="E382" t="e">
        <f t="shared" ca="1" si="9"/>
        <v>#VALUE!</v>
      </c>
      <c r="F382" t="e">
        <f t="shared" ca="1" si="10"/>
        <v>#VALUE!</v>
      </c>
      <c r="G382" t="e">
        <f t="shared" ca="1" si="11"/>
        <v>#VALUE!</v>
      </c>
    </row>
    <row r="383" spans="1:7" x14ac:dyDescent="0.25">
      <c r="A383" s="1"/>
      <c r="D383" t="e" cm="1">
        <f t="array" aca="1" ref="D383" ca="1">IF(OR(COUNTIF(damper_names,_xlfn.CONCAT("D_S_",C383))=1, COUNTIF(damper_names,_xlfn.CONCAT("D_E_",C383))=1), "C", "")</f>
        <v>#VALUE!</v>
      </c>
      <c r="E383" t="e">
        <f t="shared" ca="1" si="9"/>
        <v>#VALUE!</v>
      </c>
      <c r="F383" t="e">
        <f t="shared" ca="1" si="10"/>
        <v>#VALUE!</v>
      </c>
      <c r="G383" t="e">
        <f t="shared" ca="1" si="11"/>
        <v>#VALUE!</v>
      </c>
    </row>
    <row r="384" spans="1:7" x14ac:dyDescent="0.25">
      <c r="A384" s="1"/>
      <c r="D384" t="e" cm="1">
        <f t="array" aca="1" ref="D384" ca="1">IF(OR(COUNTIF(damper_names,_xlfn.CONCAT("D_S_",C384))=1, COUNTIF(damper_names,_xlfn.CONCAT("D_E_",C384))=1), "C", "")</f>
        <v>#VALUE!</v>
      </c>
      <c r="E384" t="e">
        <f t="shared" ca="1" si="9"/>
        <v>#VALUE!</v>
      </c>
      <c r="F384" t="e">
        <f t="shared" ca="1" si="10"/>
        <v>#VALUE!</v>
      </c>
      <c r="G384" t="e">
        <f t="shared" ca="1" si="11"/>
        <v>#VALUE!</v>
      </c>
    </row>
    <row r="385" spans="1:7" x14ac:dyDescent="0.25">
      <c r="A385" s="1"/>
      <c r="D385" t="e" cm="1">
        <f t="array" aca="1" ref="D385" ca="1">IF(OR(COUNTIF(damper_names,_xlfn.CONCAT("D_S_",C385))=1, COUNTIF(damper_names,_xlfn.CONCAT("D_E_",C385))=1), "C", "")</f>
        <v>#VALUE!</v>
      </c>
      <c r="E385" t="e">
        <f t="shared" ca="1" si="9"/>
        <v>#VALUE!</v>
      </c>
      <c r="F385" t="e">
        <f t="shared" ca="1" si="10"/>
        <v>#VALUE!</v>
      </c>
      <c r="G385" t="e">
        <f t="shared" ca="1" si="11"/>
        <v>#VALUE!</v>
      </c>
    </row>
    <row r="386" spans="1:7" x14ac:dyDescent="0.25">
      <c r="A386" s="1"/>
      <c r="D386" t="e" cm="1">
        <f t="array" aca="1" ref="D386" ca="1">IF(OR(COUNTIF(damper_names,_xlfn.CONCAT("D_S_",C386))=1, COUNTIF(damper_names,_xlfn.CONCAT("D_E_",C386))=1), "C", "")</f>
        <v>#VALUE!</v>
      </c>
      <c r="E386" t="e">
        <f t="shared" ca="1" si="9"/>
        <v>#VALUE!</v>
      </c>
      <c r="F386" t="e">
        <f t="shared" ca="1" si="10"/>
        <v>#VALUE!</v>
      </c>
      <c r="G386" t="e">
        <f t="shared" ca="1" si="11"/>
        <v>#VALUE!</v>
      </c>
    </row>
    <row r="387" spans="1:7" x14ac:dyDescent="0.25">
      <c r="A387" s="1"/>
      <c r="D387" t="e" cm="1">
        <f t="array" aca="1" ref="D387" ca="1">IF(OR(COUNTIF(damper_names,_xlfn.CONCAT("D_S_",C387))=1, COUNTIF(damper_names,_xlfn.CONCAT("D_E_",C387))=1), "C", "")</f>
        <v>#VALUE!</v>
      </c>
      <c r="E387" t="e">
        <f t="shared" ca="1" si="9"/>
        <v>#VALUE!</v>
      </c>
      <c r="F387" t="e">
        <f t="shared" ca="1" si="10"/>
        <v>#VALUE!</v>
      </c>
      <c r="G387" t="e">
        <f t="shared" ca="1" si="11"/>
        <v>#VALUE!</v>
      </c>
    </row>
    <row r="388" spans="1:7" x14ac:dyDescent="0.25">
      <c r="A388" s="1"/>
      <c r="D388" t="e" cm="1">
        <f t="array" aca="1" ref="D388" ca="1">IF(OR(COUNTIF(damper_names,_xlfn.CONCAT("D_S_",C388))=1, COUNTIF(damper_names,_xlfn.CONCAT("D_E_",C388))=1), "C", "")</f>
        <v>#VALUE!</v>
      </c>
      <c r="E388" t="e">
        <f t="shared" ca="1" si="9"/>
        <v>#VALUE!</v>
      </c>
      <c r="F388" t="e">
        <f t="shared" ca="1" si="10"/>
        <v>#VALUE!</v>
      </c>
      <c r="G388" t="e">
        <f t="shared" ca="1" si="11"/>
        <v>#VALUE!</v>
      </c>
    </row>
    <row r="389" spans="1:7" x14ac:dyDescent="0.25">
      <c r="A389" s="1"/>
      <c r="D389" t="e" cm="1">
        <f t="array" aca="1" ref="D389" ca="1">IF(OR(COUNTIF(damper_names,_xlfn.CONCAT("D_S_",C389))=1, COUNTIF(damper_names,_xlfn.CONCAT("D_E_",C389))=1), "C", "")</f>
        <v>#VALUE!</v>
      </c>
      <c r="E389" t="e">
        <f t="shared" ca="1" si="9"/>
        <v>#VALUE!</v>
      </c>
      <c r="F389" t="e">
        <f t="shared" ca="1" si="10"/>
        <v>#VALUE!</v>
      </c>
      <c r="G389" t="e">
        <f t="shared" ca="1" si="11"/>
        <v>#VALUE!</v>
      </c>
    </row>
    <row r="390" spans="1:7" x14ac:dyDescent="0.25">
      <c r="A390" s="1"/>
      <c r="D390" t="e" cm="1">
        <f t="array" aca="1" ref="D390" ca="1">IF(OR(COUNTIF(damper_names,_xlfn.CONCAT("D_S_",C390))=1, COUNTIF(damper_names,_xlfn.CONCAT("D_E_",C390))=1), "C", "")</f>
        <v>#VALUE!</v>
      </c>
      <c r="E390" t="e">
        <f t="shared" ca="1" si="9"/>
        <v>#VALUE!</v>
      </c>
      <c r="F390" t="e">
        <f t="shared" ca="1" si="10"/>
        <v>#VALUE!</v>
      </c>
      <c r="G390" t="e">
        <f t="shared" ca="1" si="11"/>
        <v>#VALUE!</v>
      </c>
    </row>
    <row r="391" spans="1:7" x14ac:dyDescent="0.25">
      <c r="A391" s="1"/>
      <c r="D391" t="e" cm="1">
        <f t="array" aca="1" ref="D391" ca="1">IF(OR(COUNTIF(damper_names,_xlfn.CONCAT("D_S_",C391))=1, COUNTIF(damper_names,_xlfn.CONCAT("D_E_",C391))=1), "C", "")</f>
        <v>#VALUE!</v>
      </c>
      <c r="E391" t="e">
        <f t="shared" ca="1" si="9"/>
        <v>#VALUE!</v>
      </c>
      <c r="F391" t="e">
        <f t="shared" ca="1" si="10"/>
        <v>#VALUE!</v>
      </c>
      <c r="G391" t="e">
        <f t="shared" ca="1" si="11"/>
        <v>#VALUE!</v>
      </c>
    </row>
    <row r="392" spans="1:7" x14ac:dyDescent="0.25">
      <c r="A392" s="1"/>
      <c r="D392" t="e" cm="1">
        <f t="array" aca="1" ref="D392" ca="1">IF(OR(COUNTIF(damper_names,_xlfn.CONCAT("D_S_",C392))=1, COUNTIF(damper_names,_xlfn.CONCAT("D_E_",C392))=1), "C", "")</f>
        <v>#VALUE!</v>
      </c>
      <c r="E392" t="e">
        <f t="shared" ca="1" si="9"/>
        <v>#VALUE!</v>
      </c>
      <c r="F392" t="e">
        <f t="shared" ca="1" si="10"/>
        <v>#VALUE!</v>
      </c>
      <c r="G392" t="e">
        <f t="shared" ca="1" si="11"/>
        <v>#VALUE!</v>
      </c>
    </row>
    <row r="393" spans="1:7" x14ac:dyDescent="0.25">
      <c r="A393" s="1"/>
      <c r="D393" t="e" cm="1">
        <f t="array" aca="1" ref="D393" ca="1">IF(OR(COUNTIF(damper_names,_xlfn.CONCAT("D_S_",C393))=1, COUNTIF(damper_names,_xlfn.CONCAT("D_E_",C393))=1), "C", "")</f>
        <v>#VALUE!</v>
      </c>
      <c r="E393" t="e">
        <f t="shared" ca="1" si="9"/>
        <v>#VALUE!</v>
      </c>
      <c r="F393" t="e">
        <f t="shared" ca="1" si="10"/>
        <v>#VALUE!</v>
      </c>
      <c r="G393" t="e">
        <f t="shared" ca="1" si="11"/>
        <v>#VALUE!</v>
      </c>
    </row>
    <row r="394" spans="1:7" x14ac:dyDescent="0.25">
      <c r="A394" s="1"/>
      <c r="D394" t="e" cm="1">
        <f t="array" aca="1" ref="D394" ca="1">IF(OR(COUNTIF(damper_names,_xlfn.CONCAT("D_S_",C394))=1, COUNTIF(damper_names,_xlfn.CONCAT("D_E_",C394))=1), "C", "")</f>
        <v>#VALUE!</v>
      </c>
      <c r="E394" t="e">
        <f t="shared" ca="1" si="9"/>
        <v>#VALUE!</v>
      </c>
      <c r="F394" t="e">
        <f t="shared" ca="1" si="10"/>
        <v>#VALUE!</v>
      </c>
      <c r="G394" t="e">
        <f t="shared" ca="1" si="11"/>
        <v>#VALUE!</v>
      </c>
    </row>
    <row r="395" spans="1:7" x14ac:dyDescent="0.25">
      <c r="A395" s="1"/>
      <c r="D395" t="e" cm="1">
        <f t="array" aca="1" ref="D395" ca="1">IF(OR(COUNTIF(damper_names,_xlfn.CONCAT("D_S_",C395))=1, COUNTIF(damper_names,_xlfn.CONCAT("D_E_",C395))=1), "C", "")</f>
        <v>#VALUE!</v>
      </c>
      <c r="E395" t="e">
        <f t="shared" ca="1" si="9"/>
        <v>#VALUE!</v>
      </c>
      <c r="F395" t="e">
        <f t="shared" ca="1" si="10"/>
        <v>#VALUE!</v>
      </c>
      <c r="G395" t="e">
        <f t="shared" ca="1" si="11"/>
        <v>#VALUE!</v>
      </c>
    </row>
    <row r="396" spans="1:7" x14ac:dyDescent="0.25">
      <c r="A396" s="1"/>
      <c r="D396" t="e" cm="1">
        <f t="array" aca="1" ref="D396" ca="1">IF(OR(COUNTIF(damper_names,_xlfn.CONCAT("D_S_",C396))=1, COUNTIF(damper_names,_xlfn.CONCAT("D_E_",C396))=1), "C", "")</f>
        <v>#VALUE!</v>
      </c>
      <c r="E396" t="e">
        <f t="shared" ca="1" si="9"/>
        <v>#VALUE!</v>
      </c>
      <c r="F396" t="e">
        <f t="shared" ca="1" si="10"/>
        <v>#VALUE!</v>
      </c>
      <c r="G396" t="e">
        <f t="shared" ca="1" si="11"/>
        <v>#VALUE!</v>
      </c>
    </row>
    <row r="397" spans="1:7" x14ac:dyDescent="0.25">
      <c r="A397" s="1"/>
      <c r="D397" t="e" cm="1">
        <f t="array" aca="1" ref="D397" ca="1">IF(OR(COUNTIF(damper_names,_xlfn.CONCAT("D_S_",C397))=1, COUNTIF(damper_names,_xlfn.CONCAT("D_E_",C397))=1), "C", "")</f>
        <v>#VALUE!</v>
      </c>
      <c r="E397" t="e">
        <f t="shared" ca="1" si="9"/>
        <v>#VALUE!</v>
      </c>
      <c r="F397" t="e">
        <f t="shared" ca="1" si="10"/>
        <v>#VALUE!</v>
      </c>
      <c r="G397" t="e">
        <f t="shared" ca="1" si="11"/>
        <v>#VALUE!</v>
      </c>
    </row>
    <row r="398" spans="1:7" x14ac:dyDescent="0.25">
      <c r="A398" s="1"/>
      <c r="D398" t="e" cm="1">
        <f t="array" aca="1" ref="D398" ca="1">IF(OR(COUNTIF(damper_names,_xlfn.CONCAT("D_S_",C398))=1, COUNTIF(damper_names,_xlfn.CONCAT("D_E_",C398))=1), "C", "")</f>
        <v>#VALUE!</v>
      </c>
      <c r="E398" t="e">
        <f t="shared" ca="1" si="9"/>
        <v>#VALUE!</v>
      </c>
      <c r="F398" t="e">
        <f t="shared" ca="1" si="10"/>
        <v>#VALUE!</v>
      </c>
      <c r="G398" t="e">
        <f t="shared" ca="1" si="11"/>
        <v>#VALUE!</v>
      </c>
    </row>
    <row r="399" spans="1:7" x14ac:dyDescent="0.25">
      <c r="A399" s="1"/>
      <c r="D399" t="e" cm="1">
        <f t="array" aca="1" ref="D399" ca="1">IF(OR(COUNTIF(damper_names,_xlfn.CONCAT("D_S_",C399))=1, COUNTIF(damper_names,_xlfn.CONCAT("D_E_",C399))=1), "C", "")</f>
        <v>#VALUE!</v>
      </c>
      <c r="E399" t="e">
        <f t="shared" ca="1" si="9"/>
        <v>#VALUE!</v>
      </c>
      <c r="F399" t="e">
        <f t="shared" ca="1" si="10"/>
        <v>#VALUE!</v>
      </c>
      <c r="G399" t="e">
        <f t="shared" ca="1" si="11"/>
        <v>#VALUE!</v>
      </c>
    </row>
    <row r="400" spans="1:7" x14ac:dyDescent="0.25">
      <c r="A400" s="1"/>
      <c r="D400" t="e" cm="1">
        <f t="array" aca="1" ref="D400" ca="1">IF(OR(COUNTIF(damper_names,_xlfn.CONCAT("D_S_",C400))=1, COUNTIF(damper_names,_xlfn.CONCAT("D_E_",C400))=1), "C", "")</f>
        <v>#VALUE!</v>
      </c>
      <c r="E400" t="e">
        <f t="shared" ca="1" si="9"/>
        <v>#VALUE!</v>
      </c>
      <c r="F400" t="e">
        <f t="shared" ca="1" si="10"/>
        <v>#VALUE!</v>
      </c>
      <c r="G400" t="e">
        <f t="shared" ca="1" si="11"/>
        <v>#VALUE!</v>
      </c>
    </row>
    <row r="401" spans="1:7" x14ac:dyDescent="0.25">
      <c r="A401" s="1"/>
      <c r="D401" t="e" cm="1">
        <f t="array" aca="1" ref="D401" ca="1">IF(OR(COUNTIF(damper_names,_xlfn.CONCAT("D_S_",C401))=1, COUNTIF(damper_names,_xlfn.CONCAT("D_E_",C401))=1), "C", "")</f>
        <v>#VALUE!</v>
      </c>
      <c r="E401" t="e">
        <f t="shared" ca="1" si="9"/>
        <v>#VALUE!</v>
      </c>
      <c r="F401" t="e">
        <f t="shared" ca="1" si="10"/>
        <v>#VALUE!</v>
      </c>
      <c r="G401" t="e">
        <f t="shared" ca="1" si="11"/>
        <v>#VALUE!</v>
      </c>
    </row>
    <row r="402" spans="1:7" x14ac:dyDescent="0.25">
      <c r="A402" s="1"/>
      <c r="D402" t="e" cm="1">
        <f t="array" aca="1" ref="D402" ca="1">IF(OR(COUNTIF(damper_names,_xlfn.CONCAT("D_S_",C402))=1, COUNTIF(damper_names,_xlfn.CONCAT("D_E_",C402))=1), "C", "")</f>
        <v>#VALUE!</v>
      </c>
      <c r="E402" t="e">
        <f t="shared" ca="1" si="9"/>
        <v>#VALUE!</v>
      </c>
      <c r="F402" t="e">
        <f t="shared" ca="1" si="10"/>
        <v>#VALUE!</v>
      </c>
      <c r="G402" t="e">
        <f t="shared" ca="1" si="11"/>
        <v>#VALUE!</v>
      </c>
    </row>
    <row r="403" spans="1:7" x14ac:dyDescent="0.25">
      <c r="A403" s="1"/>
      <c r="D403" t="e" cm="1">
        <f t="array" aca="1" ref="D403" ca="1">IF(OR(COUNTIF(damper_names,_xlfn.CONCAT("D_S_",C403))=1, COUNTIF(damper_names,_xlfn.CONCAT("D_E_",C403))=1), "C", "")</f>
        <v>#VALUE!</v>
      </c>
      <c r="E403" t="e">
        <f t="shared" ca="1" si="9"/>
        <v>#VALUE!</v>
      </c>
      <c r="F403" t="e">
        <f t="shared" ca="1" si="10"/>
        <v>#VALUE!</v>
      </c>
      <c r="G403" t="e">
        <f t="shared" ca="1" si="11"/>
        <v>#VALUE!</v>
      </c>
    </row>
    <row r="404" spans="1:7" x14ac:dyDescent="0.25">
      <c r="A404" s="1"/>
      <c r="D404" t="e" cm="1">
        <f t="array" aca="1" ref="D404" ca="1">IF(OR(COUNTIF(damper_names,_xlfn.CONCAT("D_S_",C404))=1, COUNTIF(damper_names,_xlfn.CONCAT("D_E_",C404))=1), "C", "")</f>
        <v>#VALUE!</v>
      </c>
      <c r="E404" t="e">
        <f t="shared" ca="1" si="9"/>
        <v>#VALUE!</v>
      </c>
      <c r="F404" t="e">
        <f t="shared" ca="1" si="10"/>
        <v>#VALUE!</v>
      </c>
      <c r="G404" t="e">
        <f t="shared" ca="1" si="11"/>
        <v>#VALUE!</v>
      </c>
    </row>
    <row r="405" spans="1:7" x14ac:dyDescent="0.25">
      <c r="A405" s="1"/>
      <c r="D405" t="e" cm="1">
        <f t="array" aca="1" ref="D405" ca="1">IF(OR(COUNTIF(damper_names,_xlfn.CONCAT("D_S_",C405))=1, COUNTIF(damper_names,_xlfn.CONCAT("D_E_",C405))=1), "C", "")</f>
        <v>#VALUE!</v>
      </c>
      <c r="E405" t="e">
        <f t="shared" ca="1" si="9"/>
        <v>#VALUE!</v>
      </c>
      <c r="F405" t="e">
        <f t="shared" ca="1" si="10"/>
        <v>#VALUE!</v>
      </c>
      <c r="G405" t="e">
        <f t="shared" ca="1" si="11"/>
        <v>#VALUE!</v>
      </c>
    </row>
    <row r="406" spans="1:7" x14ac:dyDescent="0.25">
      <c r="A406" s="1"/>
      <c r="D406" t="e" cm="1">
        <f t="array" aca="1" ref="D406" ca="1">IF(OR(COUNTIF(damper_names,_xlfn.CONCAT("D_S_",C406))=1, COUNTIF(damper_names,_xlfn.CONCAT("D_E_",C406))=1), "C", "")</f>
        <v>#VALUE!</v>
      </c>
      <c r="E406" t="e">
        <f t="shared" ca="1" si="9"/>
        <v>#VALUE!</v>
      </c>
      <c r="F406" t="e">
        <f t="shared" ca="1" si="10"/>
        <v>#VALUE!</v>
      </c>
      <c r="G406" t="e">
        <f t="shared" ca="1" si="11"/>
        <v>#VALUE!</v>
      </c>
    </row>
    <row r="407" spans="1:7" x14ac:dyDescent="0.25">
      <c r="A407" s="1"/>
      <c r="D407" t="e" cm="1">
        <f t="array" aca="1" ref="D407" ca="1">IF(OR(COUNTIF(damper_names,_xlfn.CONCAT("D_S_",C407))=1, COUNTIF(damper_names,_xlfn.CONCAT("D_E_",C407))=1), "C", "")</f>
        <v>#VALUE!</v>
      </c>
      <c r="E407" t="e">
        <f t="shared" ca="1" si="9"/>
        <v>#VALUE!</v>
      </c>
      <c r="F407" t="e">
        <f t="shared" ca="1" si="10"/>
        <v>#VALUE!</v>
      </c>
      <c r="G407" t="e">
        <f t="shared" ca="1" si="11"/>
        <v>#VALUE!</v>
      </c>
    </row>
    <row r="408" spans="1:7" x14ac:dyDescent="0.25">
      <c r="A408" s="1"/>
      <c r="D408" t="e" cm="1">
        <f t="array" aca="1" ref="D408" ca="1">IF(OR(COUNTIF(damper_names,_xlfn.CONCAT("D_S_",C408))=1, COUNTIF(damper_names,_xlfn.CONCAT("D_E_",C408))=1), "C", "")</f>
        <v>#VALUE!</v>
      </c>
      <c r="E408" t="e">
        <f t="shared" ca="1" si="9"/>
        <v>#VALUE!</v>
      </c>
      <c r="F408" t="e">
        <f t="shared" ca="1" si="10"/>
        <v>#VALUE!</v>
      </c>
      <c r="G408" t="e">
        <f t="shared" ca="1" si="11"/>
        <v>#VALUE!</v>
      </c>
    </row>
    <row r="409" spans="1:7" x14ac:dyDescent="0.25">
      <c r="A409" s="1"/>
      <c r="D409" t="e" cm="1">
        <f t="array" aca="1" ref="D409" ca="1">IF(OR(COUNTIF(damper_names,_xlfn.CONCAT("D_S_",C409))=1, COUNTIF(damper_names,_xlfn.CONCAT("D_E_",C409))=1), "C", "")</f>
        <v>#VALUE!</v>
      </c>
      <c r="E409" t="e">
        <f t="shared" ca="1" si="9"/>
        <v>#VALUE!</v>
      </c>
      <c r="F409" t="e">
        <f t="shared" ca="1" si="10"/>
        <v>#VALUE!</v>
      </c>
      <c r="G409" t="e">
        <f t="shared" ca="1" si="11"/>
        <v>#VALUE!</v>
      </c>
    </row>
    <row r="410" spans="1:7" x14ac:dyDescent="0.25">
      <c r="A410" s="1"/>
      <c r="D410" t="e" cm="1">
        <f t="array" aca="1" ref="D410" ca="1">IF(OR(COUNTIF(damper_names,_xlfn.CONCAT("D_S_",C410))=1, COUNTIF(damper_names,_xlfn.CONCAT("D_E_",C410))=1), "C", "")</f>
        <v>#VALUE!</v>
      </c>
      <c r="E410" t="e">
        <f t="shared" ca="1" si="9"/>
        <v>#VALUE!</v>
      </c>
      <c r="F410" t="e">
        <f t="shared" ca="1" si="10"/>
        <v>#VALUE!</v>
      </c>
      <c r="G410" t="e">
        <f t="shared" ca="1" si="11"/>
        <v>#VALUE!</v>
      </c>
    </row>
    <row r="411" spans="1:7" x14ac:dyDescent="0.25">
      <c r="A411" s="1"/>
      <c r="D411" t="e" cm="1">
        <f t="array" aca="1" ref="D411" ca="1">IF(OR(COUNTIF(damper_names,_xlfn.CONCAT("D_S_",C411))=1, COUNTIF(damper_names,_xlfn.CONCAT("D_E_",C411))=1), "C", "")</f>
        <v>#VALUE!</v>
      </c>
      <c r="E411" t="e">
        <f t="shared" ca="1" si="9"/>
        <v>#VALUE!</v>
      </c>
      <c r="F411" t="e">
        <f t="shared" ca="1" si="10"/>
        <v>#VALUE!</v>
      </c>
      <c r="G411" t="e">
        <f t="shared" ca="1" si="11"/>
        <v>#VALUE!</v>
      </c>
    </row>
    <row r="412" spans="1:7" x14ac:dyDescent="0.25">
      <c r="A412" s="1"/>
      <c r="D412" t="e" cm="1">
        <f t="array" aca="1" ref="D412" ca="1">IF(OR(COUNTIF(damper_names,_xlfn.CONCAT("D_S_",C412))=1, COUNTIF(damper_names,_xlfn.CONCAT("D_E_",C412))=1), "C", "")</f>
        <v>#VALUE!</v>
      </c>
      <c r="E412" t="e">
        <f t="shared" ca="1" si="9"/>
        <v>#VALUE!</v>
      </c>
      <c r="F412" t="e">
        <f t="shared" ca="1" si="10"/>
        <v>#VALUE!</v>
      </c>
      <c r="G412" t="e">
        <f t="shared" ca="1" si="11"/>
        <v>#VALUE!</v>
      </c>
    </row>
    <row r="413" spans="1:7" x14ac:dyDescent="0.25">
      <c r="A413" s="1"/>
      <c r="D413" t="e" cm="1">
        <f t="array" aca="1" ref="D413" ca="1">IF(OR(COUNTIF(damper_names,_xlfn.CONCAT("D_S_",C413))=1, COUNTIF(damper_names,_xlfn.CONCAT("D_E_",C413))=1), "C", "")</f>
        <v>#VALUE!</v>
      </c>
      <c r="E413" t="e">
        <f t="shared" ca="1" si="9"/>
        <v>#VALUE!</v>
      </c>
      <c r="F413" t="e">
        <f t="shared" ca="1" si="10"/>
        <v>#VALUE!</v>
      </c>
      <c r="G413" t="e">
        <f t="shared" ca="1" si="11"/>
        <v>#VALUE!</v>
      </c>
    </row>
    <row r="414" spans="1:7" x14ac:dyDescent="0.25">
      <c r="A414" s="1"/>
      <c r="D414" t="e" cm="1">
        <f t="array" aca="1" ref="D414" ca="1">IF(OR(COUNTIF(damper_names,_xlfn.CONCAT("D_S_",C414))=1, COUNTIF(damper_names,_xlfn.CONCAT("D_E_",C414))=1), "C", "")</f>
        <v>#VALUE!</v>
      </c>
      <c r="E414" t="e">
        <f t="shared" ca="1" si="9"/>
        <v>#VALUE!</v>
      </c>
      <c r="F414" t="e">
        <f t="shared" ca="1" si="10"/>
        <v>#VALUE!</v>
      </c>
      <c r="G414" t="e">
        <f t="shared" ca="1" si="11"/>
        <v>#VALUE!</v>
      </c>
    </row>
    <row r="415" spans="1:7" x14ac:dyDescent="0.25">
      <c r="A415" s="1"/>
      <c r="D415" t="e" cm="1">
        <f t="array" aca="1" ref="D415" ca="1">IF(OR(COUNTIF(damper_names,_xlfn.CONCAT("D_S_",C415))=1, COUNTIF(damper_names,_xlfn.CONCAT("D_E_",C415))=1), "C", "")</f>
        <v>#VALUE!</v>
      </c>
      <c r="E415" t="e">
        <f t="shared" ca="1" si="9"/>
        <v>#VALUE!</v>
      </c>
      <c r="F415" t="e">
        <f t="shared" ca="1" si="10"/>
        <v>#VALUE!</v>
      </c>
      <c r="G415" t="e">
        <f t="shared" ca="1" si="11"/>
        <v>#VALUE!</v>
      </c>
    </row>
    <row r="416" spans="1:7" x14ac:dyDescent="0.25">
      <c r="A416" s="1"/>
      <c r="D416" t="e" cm="1">
        <f t="array" aca="1" ref="D416" ca="1">IF(OR(COUNTIF(damper_names,_xlfn.CONCAT("D_S_",C416))=1, COUNTIF(damper_names,_xlfn.CONCAT("D_E_",C416))=1), "C", "")</f>
        <v>#VALUE!</v>
      </c>
      <c r="E416" t="e">
        <f t="shared" ca="1" si="9"/>
        <v>#VALUE!</v>
      </c>
      <c r="F416" t="e">
        <f t="shared" ca="1" si="10"/>
        <v>#VALUE!</v>
      </c>
      <c r="G416" t="e">
        <f t="shared" ca="1" si="11"/>
        <v>#VALUE!</v>
      </c>
    </row>
    <row r="417" spans="1:7" x14ac:dyDescent="0.25">
      <c r="A417" s="1"/>
      <c r="D417" t="e" cm="1">
        <f t="array" aca="1" ref="D417" ca="1">IF(OR(COUNTIF(damper_names,_xlfn.CONCAT("D_S_",C417))=1, COUNTIF(damper_names,_xlfn.CONCAT("D_E_",C417))=1), "C", "")</f>
        <v>#VALUE!</v>
      </c>
      <c r="E417" t="e">
        <f t="shared" ca="1" si="9"/>
        <v>#VALUE!</v>
      </c>
      <c r="F417" t="e">
        <f t="shared" ca="1" si="10"/>
        <v>#VALUE!</v>
      </c>
      <c r="G417" t="e">
        <f t="shared" ca="1" si="11"/>
        <v>#VALUE!</v>
      </c>
    </row>
    <row r="418" spans="1:7" x14ac:dyDescent="0.25">
      <c r="A418" s="1"/>
      <c r="D418" t="e" cm="1">
        <f t="array" aca="1" ref="D418" ca="1">IF(OR(COUNTIF(damper_names,_xlfn.CONCAT("D_S_",C418))=1, COUNTIF(damper_names,_xlfn.CONCAT("D_E_",C418))=1), "C", "")</f>
        <v>#VALUE!</v>
      </c>
      <c r="E418" t="e">
        <f t="shared" ca="1" si="9"/>
        <v>#VALUE!</v>
      </c>
      <c r="F418" t="e">
        <f t="shared" ca="1" si="10"/>
        <v>#VALUE!</v>
      </c>
      <c r="G418" t="e">
        <f t="shared" ca="1" si="11"/>
        <v>#VALUE!</v>
      </c>
    </row>
    <row r="419" spans="1:7" x14ac:dyDescent="0.25">
      <c r="A419" s="1"/>
      <c r="D419" t="e" cm="1">
        <f t="array" aca="1" ref="D419" ca="1">IF(OR(COUNTIF(damper_names,_xlfn.CONCAT("D_S_",C419))=1, COUNTIF(damper_names,_xlfn.CONCAT("D_E_",C419))=1), "C", "")</f>
        <v>#VALUE!</v>
      </c>
      <c r="E419" t="e">
        <f t="shared" ca="1" si="9"/>
        <v>#VALUE!</v>
      </c>
      <c r="F419" t="e">
        <f t="shared" ca="1" si="10"/>
        <v>#VALUE!</v>
      </c>
      <c r="G419" t="e">
        <f t="shared" ca="1" si="11"/>
        <v>#VALUE!</v>
      </c>
    </row>
    <row r="420" spans="1:7" x14ac:dyDescent="0.25">
      <c r="A420" s="1"/>
      <c r="D420" t="e" cm="1">
        <f t="array" aca="1" ref="D420" ca="1">IF(OR(COUNTIF(damper_names,_xlfn.CONCAT("D_S_",C420))=1, COUNTIF(damper_names,_xlfn.CONCAT("D_E_",C420))=1), "C", "")</f>
        <v>#VALUE!</v>
      </c>
      <c r="E420" t="e">
        <f t="shared" ca="1" si="9"/>
        <v>#VALUE!</v>
      </c>
      <c r="F420" t="e">
        <f t="shared" ca="1" si="10"/>
        <v>#VALUE!</v>
      </c>
      <c r="G420" t="e">
        <f t="shared" ca="1" si="11"/>
        <v>#VALUE!</v>
      </c>
    </row>
    <row r="421" spans="1:7" x14ac:dyDescent="0.25">
      <c r="A421" s="1"/>
      <c r="D421" t="e" cm="1">
        <f t="array" aca="1" ref="D421" ca="1">IF(OR(COUNTIF(damper_names,_xlfn.CONCAT("D_S_",C421))=1, COUNTIF(damper_names,_xlfn.CONCAT("D_E_",C421))=1), "C", "")</f>
        <v>#VALUE!</v>
      </c>
      <c r="E421" t="e">
        <f t="shared" ca="1" si="9"/>
        <v>#VALUE!</v>
      </c>
      <c r="F421" t="e">
        <f t="shared" ca="1" si="10"/>
        <v>#VALUE!</v>
      </c>
      <c r="G421" t="e">
        <f t="shared" ca="1" si="11"/>
        <v>#VALUE!</v>
      </c>
    </row>
    <row r="422" spans="1:7" x14ac:dyDescent="0.25">
      <c r="A422" s="1"/>
      <c r="D422" t="e" cm="1">
        <f t="array" aca="1" ref="D422" ca="1">IF(OR(COUNTIF(damper_names,_xlfn.CONCAT("D_S_",C422))=1, COUNTIF(damper_names,_xlfn.CONCAT("D_E_",C422))=1), "C", "")</f>
        <v>#VALUE!</v>
      </c>
      <c r="E422" t="e">
        <f t="shared" ca="1" si="9"/>
        <v>#VALUE!</v>
      </c>
      <c r="F422" t="e">
        <f t="shared" ca="1" si="10"/>
        <v>#VALUE!</v>
      </c>
      <c r="G422" t="e">
        <f t="shared" ca="1" si="11"/>
        <v>#VALUE!</v>
      </c>
    </row>
    <row r="423" spans="1:7" x14ac:dyDescent="0.25">
      <c r="A423" s="1"/>
      <c r="D423" t="e" cm="1">
        <f t="array" aca="1" ref="D423" ca="1">IF(OR(COUNTIF(damper_names,_xlfn.CONCAT("D_S_",C423))=1, COUNTIF(damper_names,_xlfn.CONCAT("D_E_",C423))=1), "C", "")</f>
        <v>#VALUE!</v>
      </c>
      <c r="E423" t="e">
        <f t="shared" ca="1" si="9"/>
        <v>#VALUE!</v>
      </c>
      <c r="F423" t="e">
        <f t="shared" ca="1" si="10"/>
        <v>#VALUE!</v>
      </c>
      <c r="G423" t="e">
        <f t="shared" ca="1" si="11"/>
        <v>#VALUE!</v>
      </c>
    </row>
    <row r="424" spans="1:7" x14ac:dyDescent="0.25">
      <c r="A424" s="1"/>
      <c r="D424" t="e" cm="1">
        <f t="array" aca="1" ref="D424" ca="1">IF(OR(COUNTIF(damper_names,_xlfn.CONCAT("D_S_",C424))=1, COUNTIF(damper_names,_xlfn.CONCAT("D_E_",C424))=1), "C", "")</f>
        <v>#VALUE!</v>
      </c>
      <c r="E424" t="e">
        <f t="shared" ca="1" si="9"/>
        <v>#VALUE!</v>
      </c>
      <c r="F424" t="e">
        <f t="shared" ca="1" si="10"/>
        <v>#VALUE!</v>
      </c>
      <c r="G424" t="e">
        <f t="shared" ca="1" si="11"/>
        <v>#VALUE!</v>
      </c>
    </row>
    <row r="425" spans="1:7" x14ac:dyDescent="0.25">
      <c r="A425" s="1"/>
      <c r="D425" t="e" cm="1">
        <f t="array" aca="1" ref="D425" ca="1">IF(OR(COUNTIF(damper_names,_xlfn.CONCAT("D_S_",C425))=1, COUNTIF(damper_names,_xlfn.CONCAT("D_E_",C425))=1), "C", "")</f>
        <v>#VALUE!</v>
      </c>
      <c r="E425" t="e">
        <f t="shared" ca="1" si="9"/>
        <v>#VALUE!</v>
      </c>
      <c r="F425" t="e">
        <f t="shared" ca="1" si="10"/>
        <v>#VALUE!</v>
      </c>
      <c r="G425" t="e">
        <f t="shared" ca="1" si="11"/>
        <v>#VALUE!</v>
      </c>
    </row>
    <row r="426" spans="1:7" x14ac:dyDescent="0.25">
      <c r="A426" s="1"/>
      <c r="D426" t="e" cm="1">
        <f t="array" aca="1" ref="D426" ca="1">IF(OR(COUNTIF(damper_names,_xlfn.CONCAT("D_S_",C426))=1, COUNTIF(damper_names,_xlfn.CONCAT("D_E_",C426))=1), "C", "")</f>
        <v>#VALUE!</v>
      </c>
      <c r="E426" t="e">
        <f t="shared" ca="1" si="9"/>
        <v>#VALUE!</v>
      </c>
      <c r="F426" t="e">
        <f t="shared" ca="1" si="10"/>
        <v>#VALUE!</v>
      </c>
      <c r="G426" t="e">
        <f t="shared" ca="1" si="11"/>
        <v>#VALUE!</v>
      </c>
    </row>
    <row r="427" spans="1:7" x14ac:dyDescent="0.25">
      <c r="A427" s="1"/>
      <c r="D427" t="e" cm="1">
        <f t="array" aca="1" ref="D427" ca="1">IF(OR(COUNTIF(damper_names,_xlfn.CONCAT("D_S_",C427))=1, COUNTIF(damper_names,_xlfn.CONCAT("D_E_",C427))=1), "C", "")</f>
        <v>#VALUE!</v>
      </c>
      <c r="E427" t="e">
        <f t="shared" ca="1" si="9"/>
        <v>#VALUE!</v>
      </c>
      <c r="F427" t="e">
        <f t="shared" ca="1" si="10"/>
        <v>#VALUE!</v>
      </c>
      <c r="G427" t="e">
        <f t="shared" ca="1" si="11"/>
        <v>#VALUE!</v>
      </c>
    </row>
    <row r="428" spans="1:7" x14ac:dyDescent="0.25">
      <c r="A428" s="1"/>
      <c r="D428" t="e" cm="1">
        <f t="array" aca="1" ref="D428" ca="1">IF(OR(COUNTIF(damper_names,_xlfn.CONCAT("D_S_",C428))=1, COUNTIF(damper_names,_xlfn.CONCAT("D_E_",C428))=1), "C", "")</f>
        <v>#VALUE!</v>
      </c>
      <c r="E428" t="e">
        <f t="shared" ca="1" si="9"/>
        <v>#VALUE!</v>
      </c>
      <c r="F428" t="e">
        <f t="shared" ca="1" si="10"/>
        <v>#VALUE!</v>
      </c>
      <c r="G428" t="e">
        <f t="shared" ca="1" si="11"/>
        <v>#VALUE!</v>
      </c>
    </row>
    <row r="429" spans="1:7" x14ac:dyDescent="0.25">
      <c r="A429" s="1"/>
      <c r="D429" t="e" cm="1">
        <f t="array" aca="1" ref="D429" ca="1">IF(OR(COUNTIF(damper_names,_xlfn.CONCAT("D_S_",C429))=1, COUNTIF(damper_names,_xlfn.CONCAT("D_E_",C429))=1), "C", "")</f>
        <v>#VALUE!</v>
      </c>
      <c r="E429" t="e">
        <f t="shared" ca="1" si="9"/>
        <v>#VALUE!</v>
      </c>
      <c r="F429" t="e">
        <f t="shared" ca="1" si="10"/>
        <v>#VALUE!</v>
      </c>
      <c r="G429" t="e">
        <f t="shared" ca="1" si="11"/>
        <v>#VALUE!</v>
      </c>
    </row>
    <row r="430" spans="1:7" x14ac:dyDescent="0.25">
      <c r="A430" s="1"/>
      <c r="D430" t="e" cm="1">
        <f t="array" aca="1" ref="D430" ca="1">IF(OR(COUNTIF(damper_names,_xlfn.CONCAT("D_S_",C430))=1, COUNTIF(damper_names,_xlfn.CONCAT("D_E_",C430))=1), "C", "")</f>
        <v>#VALUE!</v>
      </c>
      <c r="E430" t="e">
        <f t="shared" ca="1" si="9"/>
        <v>#VALUE!</v>
      </c>
      <c r="F430" t="e">
        <f t="shared" ca="1" si="10"/>
        <v>#VALUE!</v>
      </c>
      <c r="G430" t="e">
        <f t="shared" ca="1" si="11"/>
        <v>#VALUE!</v>
      </c>
    </row>
    <row r="431" spans="1:7" x14ac:dyDescent="0.25">
      <c r="A431" s="1"/>
      <c r="D431" t="e" cm="1">
        <f t="array" aca="1" ref="D431" ca="1">IF(OR(COUNTIF(damper_names,_xlfn.CONCAT("D_S_",C431))=1, COUNTIF(damper_names,_xlfn.CONCAT("D_E_",C431))=1), "C", "")</f>
        <v>#VALUE!</v>
      </c>
      <c r="E431" t="e">
        <f t="shared" ca="1" si="9"/>
        <v>#VALUE!</v>
      </c>
      <c r="F431" t="e">
        <f t="shared" ca="1" si="10"/>
        <v>#VALUE!</v>
      </c>
      <c r="G431" t="e">
        <f t="shared" ca="1" si="11"/>
        <v>#VALUE!</v>
      </c>
    </row>
    <row r="432" spans="1:7" x14ac:dyDescent="0.25">
      <c r="A432" s="1"/>
      <c r="D432" t="e" cm="1">
        <f t="array" aca="1" ref="D432" ca="1">IF(OR(COUNTIF(damper_names,_xlfn.CONCAT("D_S_",C432))=1, COUNTIF(damper_names,_xlfn.CONCAT("D_E_",C432))=1), "C", "")</f>
        <v>#VALUE!</v>
      </c>
      <c r="E432" t="e">
        <f t="shared" ca="1" si="9"/>
        <v>#VALUE!</v>
      </c>
      <c r="F432" t="e">
        <f t="shared" ca="1" si="10"/>
        <v>#VALUE!</v>
      </c>
      <c r="G432" t="e">
        <f t="shared" ca="1" si="11"/>
        <v>#VALUE!</v>
      </c>
    </row>
    <row r="433" spans="1:7" x14ac:dyDescent="0.25">
      <c r="A433" s="1"/>
      <c r="D433" t="e" cm="1">
        <f t="array" aca="1" ref="D433" ca="1">IF(OR(COUNTIF(damper_names,_xlfn.CONCAT("D_S_",C433))=1, COUNTIF(damper_names,_xlfn.CONCAT("D_E_",C433))=1), "C", "")</f>
        <v>#VALUE!</v>
      </c>
      <c r="E433" t="e">
        <f t="shared" ca="1" si="9"/>
        <v>#VALUE!</v>
      </c>
      <c r="F433" t="e">
        <f t="shared" ca="1" si="10"/>
        <v>#VALUE!</v>
      </c>
      <c r="G433" t="e">
        <f t="shared" ca="1" si="11"/>
        <v>#VALUE!</v>
      </c>
    </row>
    <row r="434" spans="1:7" x14ac:dyDescent="0.25">
      <c r="A434" s="1"/>
      <c r="D434" t="e" cm="1">
        <f t="array" aca="1" ref="D434" ca="1">IF(OR(COUNTIF(damper_names,_xlfn.CONCAT("D_S_",C434))=1, COUNTIF(damper_names,_xlfn.CONCAT("D_E_",C434))=1), "C", "")</f>
        <v>#VALUE!</v>
      </c>
      <c r="E434" t="e">
        <f t="shared" ca="1" si="9"/>
        <v>#VALUE!</v>
      </c>
      <c r="F434" t="e">
        <f t="shared" ca="1" si="10"/>
        <v>#VALUE!</v>
      </c>
      <c r="G434" t="e">
        <f t="shared" ca="1" si="11"/>
        <v>#VALUE!</v>
      </c>
    </row>
    <row r="435" spans="1:7" x14ac:dyDescent="0.25">
      <c r="A435" s="1"/>
      <c r="D435" t="e" cm="1">
        <f t="array" aca="1" ref="D435" ca="1">IF(OR(COUNTIF(damper_names,_xlfn.CONCAT("D_S_",C435))=1, COUNTIF(damper_names,_xlfn.CONCAT("D_E_",C435))=1), "C", "")</f>
        <v>#VALUE!</v>
      </c>
      <c r="E435" t="e">
        <f t="shared" ref="E435:E498" ca="1" si="12">IF(D435="T", 0.05, IF(D435="C", -0.01, ""))</f>
        <v>#VALUE!</v>
      </c>
      <c r="F435" t="e">
        <f t="shared" ref="F435:F498" ca="1" si="13">IF(D435="T", 0.05, IF(D435="C", 0, ""))</f>
        <v>#VALUE!</v>
      </c>
      <c r="G435" t="e">
        <f t="shared" ref="G435:G498" ca="1" si="14">IF(D435="T", 0, IF(D435="C", 0, ""))</f>
        <v>#VALUE!</v>
      </c>
    </row>
    <row r="436" spans="1:7" x14ac:dyDescent="0.25">
      <c r="A436" s="1"/>
      <c r="D436" t="e" cm="1">
        <f t="array" aca="1" ref="D436" ca="1">IF(OR(COUNTIF(damper_names,_xlfn.CONCAT("D_S_",C436))=1, COUNTIF(damper_names,_xlfn.CONCAT("D_E_",C436))=1), "C", "")</f>
        <v>#VALUE!</v>
      </c>
      <c r="E436" t="e">
        <f t="shared" ca="1" si="12"/>
        <v>#VALUE!</v>
      </c>
      <c r="F436" t="e">
        <f t="shared" ca="1" si="13"/>
        <v>#VALUE!</v>
      </c>
      <c r="G436" t="e">
        <f t="shared" ca="1" si="14"/>
        <v>#VALUE!</v>
      </c>
    </row>
    <row r="437" spans="1:7" x14ac:dyDescent="0.25">
      <c r="A437" s="1"/>
      <c r="D437" t="e" cm="1">
        <f t="array" aca="1" ref="D437" ca="1">IF(OR(COUNTIF(damper_names,_xlfn.CONCAT("D_S_",C437))=1, COUNTIF(damper_names,_xlfn.CONCAT("D_E_",C437))=1), "C", "")</f>
        <v>#VALUE!</v>
      </c>
      <c r="E437" t="e">
        <f t="shared" ca="1" si="12"/>
        <v>#VALUE!</v>
      </c>
      <c r="F437" t="e">
        <f t="shared" ca="1" si="13"/>
        <v>#VALUE!</v>
      </c>
      <c r="G437" t="e">
        <f t="shared" ca="1" si="14"/>
        <v>#VALUE!</v>
      </c>
    </row>
    <row r="438" spans="1:7" x14ac:dyDescent="0.25">
      <c r="A438" s="1"/>
      <c r="D438" t="e" cm="1">
        <f t="array" aca="1" ref="D438" ca="1">IF(OR(COUNTIF(damper_names,_xlfn.CONCAT("D_S_",C438))=1, COUNTIF(damper_names,_xlfn.CONCAT("D_E_",C438))=1), "C", "")</f>
        <v>#VALUE!</v>
      </c>
      <c r="E438" t="e">
        <f t="shared" ca="1" si="12"/>
        <v>#VALUE!</v>
      </c>
      <c r="F438" t="e">
        <f t="shared" ca="1" si="13"/>
        <v>#VALUE!</v>
      </c>
      <c r="G438" t="e">
        <f t="shared" ca="1" si="14"/>
        <v>#VALUE!</v>
      </c>
    </row>
    <row r="439" spans="1:7" x14ac:dyDescent="0.25">
      <c r="A439" s="1"/>
      <c r="D439" t="e" cm="1">
        <f t="array" aca="1" ref="D439" ca="1">IF(OR(COUNTIF(damper_names,_xlfn.CONCAT("D_S_",C439))=1, COUNTIF(damper_names,_xlfn.CONCAT("D_E_",C439))=1), "C", "")</f>
        <v>#VALUE!</v>
      </c>
      <c r="E439" t="e">
        <f t="shared" ca="1" si="12"/>
        <v>#VALUE!</v>
      </c>
      <c r="F439" t="e">
        <f t="shared" ca="1" si="13"/>
        <v>#VALUE!</v>
      </c>
      <c r="G439" t="e">
        <f t="shared" ca="1" si="14"/>
        <v>#VALUE!</v>
      </c>
    </row>
    <row r="440" spans="1:7" x14ac:dyDescent="0.25">
      <c r="A440" s="1"/>
      <c r="D440" t="e" cm="1">
        <f t="array" aca="1" ref="D440" ca="1">IF(OR(COUNTIF(damper_names,_xlfn.CONCAT("D_S_",C440))=1, COUNTIF(damper_names,_xlfn.CONCAT("D_E_",C440))=1), "C", "")</f>
        <v>#VALUE!</v>
      </c>
      <c r="E440" t="e">
        <f t="shared" ca="1" si="12"/>
        <v>#VALUE!</v>
      </c>
      <c r="F440" t="e">
        <f t="shared" ca="1" si="13"/>
        <v>#VALUE!</v>
      </c>
      <c r="G440" t="e">
        <f t="shared" ca="1" si="14"/>
        <v>#VALUE!</v>
      </c>
    </row>
    <row r="441" spans="1:7" x14ac:dyDescent="0.25">
      <c r="A441" s="1"/>
      <c r="D441" t="e" cm="1">
        <f t="array" aca="1" ref="D441" ca="1">IF(OR(COUNTIF(damper_names,_xlfn.CONCAT("D_S_",C441))=1, COUNTIF(damper_names,_xlfn.CONCAT("D_E_",C441))=1), "C", "")</f>
        <v>#VALUE!</v>
      </c>
      <c r="E441" t="e">
        <f t="shared" ca="1" si="12"/>
        <v>#VALUE!</v>
      </c>
      <c r="F441" t="e">
        <f t="shared" ca="1" si="13"/>
        <v>#VALUE!</v>
      </c>
      <c r="G441" t="e">
        <f t="shared" ca="1" si="14"/>
        <v>#VALUE!</v>
      </c>
    </row>
    <row r="442" spans="1:7" x14ac:dyDescent="0.25">
      <c r="A442" s="1"/>
      <c r="D442" t="e" cm="1">
        <f t="array" aca="1" ref="D442" ca="1">IF(OR(COUNTIF(damper_names,_xlfn.CONCAT("D_S_",C442))=1, COUNTIF(damper_names,_xlfn.CONCAT("D_E_",C442))=1), "C", "")</f>
        <v>#VALUE!</v>
      </c>
      <c r="E442" t="e">
        <f t="shared" ca="1" si="12"/>
        <v>#VALUE!</v>
      </c>
      <c r="F442" t="e">
        <f t="shared" ca="1" si="13"/>
        <v>#VALUE!</v>
      </c>
      <c r="G442" t="e">
        <f t="shared" ca="1" si="14"/>
        <v>#VALUE!</v>
      </c>
    </row>
    <row r="443" spans="1:7" x14ac:dyDescent="0.25">
      <c r="A443" s="1"/>
      <c r="D443" t="e" cm="1">
        <f t="array" aca="1" ref="D443" ca="1">IF(OR(COUNTIF(damper_names,_xlfn.CONCAT("D_S_",C443))=1, COUNTIF(damper_names,_xlfn.CONCAT("D_E_",C443))=1), "C", "")</f>
        <v>#VALUE!</v>
      </c>
      <c r="E443" t="e">
        <f t="shared" ca="1" si="12"/>
        <v>#VALUE!</v>
      </c>
      <c r="F443" t="e">
        <f t="shared" ca="1" si="13"/>
        <v>#VALUE!</v>
      </c>
      <c r="G443" t="e">
        <f t="shared" ca="1" si="14"/>
        <v>#VALUE!</v>
      </c>
    </row>
    <row r="444" spans="1:7" x14ac:dyDescent="0.25">
      <c r="A444" s="1"/>
      <c r="D444" t="e" cm="1">
        <f t="array" aca="1" ref="D444" ca="1">IF(OR(COUNTIF(damper_names,_xlfn.CONCAT("D_S_",C444))=1, COUNTIF(damper_names,_xlfn.CONCAT("D_E_",C444))=1), "C", "")</f>
        <v>#VALUE!</v>
      </c>
      <c r="E444" t="e">
        <f t="shared" ca="1" si="12"/>
        <v>#VALUE!</v>
      </c>
      <c r="F444" t="e">
        <f t="shared" ca="1" si="13"/>
        <v>#VALUE!</v>
      </c>
      <c r="G444" t="e">
        <f t="shared" ca="1" si="14"/>
        <v>#VALUE!</v>
      </c>
    </row>
    <row r="445" spans="1:7" x14ac:dyDescent="0.25">
      <c r="A445" s="1"/>
      <c r="D445" t="e" cm="1">
        <f t="array" aca="1" ref="D445" ca="1">IF(OR(COUNTIF(damper_names,_xlfn.CONCAT("D_S_",C445))=1, COUNTIF(damper_names,_xlfn.CONCAT("D_E_",C445))=1), "C", "")</f>
        <v>#VALUE!</v>
      </c>
      <c r="E445" t="e">
        <f t="shared" ca="1" si="12"/>
        <v>#VALUE!</v>
      </c>
      <c r="F445" t="e">
        <f t="shared" ca="1" si="13"/>
        <v>#VALUE!</v>
      </c>
      <c r="G445" t="e">
        <f t="shared" ca="1" si="14"/>
        <v>#VALUE!</v>
      </c>
    </row>
    <row r="446" spans="1:7" x14ac:dyDescent="0.25">
      <c r="A446" s="1"/>
      <c r="D446" t="e" cm="1">
        <f t="array" aca="1" ref="D446" ca="1">IF(OR(COUNTIF(damper_names,_xlfn.CONCAT("D_S_",C446))=1, COUNTIF(damper_names,_xlfn.CONCAT("D_E_",C446))=1), "C", "")</f>
        <v>#VALUE!</v>
      </c>
      <c r="E446" t="e">
        <f t="shared" ca="1" si="12"/>
        <v>#VALUE!</v>
      </c>
      <c r="F446" t="e">
        <f t="shared" ca="1" si="13"/>
        <v>#VALUE!</v>
      </c>
      <c r="G446" t="e">
        <f t="shared" ca="1" si="14"/>
        <v>#VALUE!</v>
      </c>
    </row>
    <row r="447" spans="1:7" x14ac:dyDescent="0.25">
      <c r="A447" s="1"/>
      <c r="D447" t="e" cm="1">
        <f t="array" aca="1" ref="D447" ca="1">IF(OR(COUNTIF(damper_names,_xlfn.CONCAT("D_S_",C447))=1, COUNTIF(damper_names,_xlfn.CONCAT("D_E_",C447))=1), "C", "")</f>
        <v>#VALUE!</v>
      </c>
      <c r="E447" t="e">
        <f t="shared" ca="1" si="12"/>
        <v>#VALUE!</v>
      </c>
      <c r="F447" t="e">
        <f t="shared" ca="1" si="13"/>
        <v>#VALUE!</v>
      </c>
      <c r="G447" t="e">
        <f t="shared" ca="1" si="14"/>
        <v>#VALUE!</v>
      </c>
    </row>
    <row r="448" spans="1:7" x14ac:dyDescent="0.25">
      <c r="A448" s="1"/>
      <c r="D448" t="e" cm="1">
        <f t="array" aca="1" ref="D448" ca="1">IF(OR(COUNTIF(damper_names,_xlfn.CONCAT("D_S_",C448))=1, COUNTIF(damper_names,_xlfn.CONCAT("D_E_",C448))=1), "C", "")</f>
        <v>#VALUE!</v>
      </c>
      <c r="E448" t="e">
        <f t="shared" ca="1" si="12"/>
        <v>#VALUE!</v>
      </c>
      <c r="F448" t="e">
        <f t="shared" ca="1" si="13"/>
        <v>#VALUE!</v>
      </c>
      <c r="G448" t="e">
        <f t="shared" ca="1" si="14"/>
        <v>#VALUE!</v>
      </c>
    </row>
    <row r="449" spans="1:7" x14ac:dyDescent="0.25">
      <c r="A449" s="1"/>
      <c r="D449" t="e" cm="1">
        <f t="array" aca="1" ref="D449" ca="1">IF(OR(COUNTIF(damper_names,_xlfn.CONCAT("D_S_",C449))=1, COUNTIF(damper_names,_xlfn.CONCAT("D_E_",C449))=1), "C", "")</f>
        <v>#VALUE!</v>
      </c>
      <c r="E449" t="e">
        <f t="shared" ca="1" si="12"/>
        <v>#VALUE!</v>
      </c>
      <c r="F449" t="e">
        <f t="shared" ca="1" si="13"/>
        <v>#VALUE!</v>
      </c>
      <c r="G449" t="e">
        <f t="shared" ca="1" si="14"/>
        <v>#VALUE!</v>
      </c>
    </row>
    <row r="450" spans="1:7" x14ac:dyDescent="0.25">
      <c r="A450" s="1"/>
      <c r="D450" t="e" cm="1">
        <f t="array" aca="1" ref="D450" ca="1">IF(OR(COUNTIF(damper_names,_xlfn.CONCAT("D_S_",C450))=1, COUNTIF(damper_names,_xlfn.CONCAT("D_E_",C450))=1), "C", "")</f>
        <v>#VALUE!</v>
      </c>
      <c r="E450" t="e">
        <f t="shared" ca="1" si="12"/>
        <v>#VALUE!</v>
      </c>
      <c r="F450" t="e">
        <f t="shared" ca="1" si="13"/>
        <v>#VALUE!</v>
      </c>
      <c r="G450" t="e">
        <f t="shared" ca="1" si="14"/>
        <v>#VALUE!</v>
      </c>
    </row>
    <row r="451" spans="1:7" x14ac:dyDescent="0.25">
      <c r="A451" s="1"/>
      <c r="D451" t="e" cm="1">
        <f t="array" aca="1" ref="D451" ca="1">IF(OR(COUNTIF(damper_names,_xlfn.CONCAT("D_S_",C451))=1, COUNTIF(damper_names,_xlfn.CONCAT("D_E_",C451))=1), "C", "")</f>
        <v>#VALUE!</v>
      </c>
      <c r="E451" t="e">
        <f t="shared" ca="1" si="12"/>
        <v>#VALUE!</v>
      </c>
      <c r="F451" t="e">
        <f t="shared" ca="1" si="13"/>
        <v>#VALUE!</v>
      </c>
      <c r="G451" t="e">
        <f t="shared" ca="1" si="14"/>
        <v>#VALUE!</v>
      </c>
    </row>
    <row r="452" spans="1:7" x14ac:dyDescent="0.25">
      <c r="A452" s="1"/>
      <c r="D452" t="e" cm="1">
        <f t="array" aca="1" ref="D452" ca="1">IF(OR(COUNTIF(damper_names,_xlfn.CONCAT("D_S_",C452))=1, COUNTIF(damper_names,_xlfn.CONCAT("D_E_",C452))=1), "C", "")</f>
        <v>#VALUE!</v>
      </c>
      <c r="E452" t="e">
        <f t="shared" ca="1" si="12"/>
        <v>#VALUE!</v>
      </c>
      <c r="F452" t="e">
        <f t="shared" ca="1" si="13"/>
        <v>#VALUE!</v>
      </c>
      <c r="G452" t="e">
        <f t="shared" ca="1" si="14"/>
        <v>#VALUE!</v>
      </c>
    </row>
    <row r="453" spans="1:7" x14ac:dyDescent="0.25">
      <c r="A453" s="1"/>
      <c r="D453" t="e" cm="1">
        <f t="array" aca="1" ref="D453" ca="1">IF(OR(COUNTIF(damper_names,_xlfn.CONCAT("D_S_",C453))=1, COUNTIF(damper_names,_xlfn.CONCAT("D_E_",C453))=1), "C", "")</f>
        <v>#VALUE!</v>
      </c>
      <c r="E453" t="e">
        <f t="shared" ca="1" si="12"/>
        <v>#VALUE!</v>
      </c>
      <c r="F453" t="e">
        <f t="shared" ca="1" si="13"/>
        <v>#VALUE!</v>
      </c>
      <c r="G453" t="e">
        <f t="shared" ca="1" si="14"/>
        <v>#VALUE!</v>
      </c>
    </row>
    <row r="454" spans="1:7" x14ac:dyDescent="0.25">
      <c r="A454" s="1"/>
      <c r="D454" t="e" cm="1">
        <f t="array" aca="1" ref="D454" ca="1">IF(OR(COUNTIF(damper_names,_xlfn.CONCAT("D_S_",C454))=1, COUNTIF(damper_names,_xlfn.CONCAT("D_E_",C454))=1), "C", "")</f>
        <v>#VALUE!</v>
      </c>
      <c r="E454" t="e">
        <f t="shared" ca="1" si="12"/>
        <v>#VALUE!</v>
      </c>
      <c r="F454" t="e">
        <f t="shared" ca="1" si="13"/>
        <v>#VALUE!</v>
      </c>
      <c r="G454" t="e">
        <f t="shared" ca="1" si="14"/>
        <v>#VALUE!</v>
      </c>
    </row>
    <row r="455" spans="1:7" x14ac:dyDescent="0.25">
      <c r="A455" s="1"/>
      <c r="D455" t="e" cm="1">
        <f t="array" aca="1" ref="D455" ca="1">IF(OR(COUNTIF(damper_names,_xlfn.CONCAT("D_S_",C455))=1, COUNTIF(damper_names,_xlfn.CONCAT("D_E_",C455))=1), "C", "")</f>
        <v>#VALUE!</v>
      </c>
      <c r="E455" t="e">
        <f t="shared" ca="1" si="12"/>
        <v>#VALUE!</v>
      </c>
      <c r="F455" t="e">
        <f t="shared" ca="1" si="13"/>
        <v>#VALUE!</v>
      </c>
      <c r="G455" t="e">
        <f t="shared" ca="1" si="14"/>
        <v>#VALUE!</v>
      </c>
    </row>
    <row r="456" spans="1:7" x14ac:dyDescent="0.25">
      <c r="A456" s="1"/>
      <c r="D456" t="e" cm="1">
        <f t="array" aca="1" ref="D456" ca="1">IF(OR(COUNTIF(damper_names,_xlfn.CONCAT("D_S_",C456))=1, COUNTIF(damper_names,_xlfn.CONCAT("D_E_",C456))=1), "C", "")</f>
        <v>#VALUE!</v>
      </c>
      <c r="E456" t="e">
        <f t="shared" ca="1" si="12"/>
        <v>#VALUE!</v>
      </c>
      <c r="F456" t="e">
        <f t="shared" ca="1" si="13"/>
        <v>#VALUE!</v>
      </c>
      <c r="G456" t="e">
        <f t="shared" ca="1" si="14"/>
        <v>#VALUE!</v>
      </c>
    </row>
    <row r="457" spans="1:7" x14ac:dyDescent="0.25">
      <c r="A457" s="1"/>
      <c r="D457" t="e" cm="1">
        <f t="array" aca="1" ref="D457" ca="1">IF(OR(COUNTIF(damper_names,_xlfn.CONCAT("D_S_",C457))=1, COUNTIF(damper_names,_xlfn.CONCAT("D_E_",C457))=1), "C", "")</f>
        <v>#VALUE!</v>
      </c>
      <c r="E457" t="e">
        <f t="shared" ca="1" si="12"/>
        <v>#VALUE!</v>
      </c>
      <c r="F457" t="e">
        <f t="shared" ca="1" si="13"/>
        <v>#VALUE!</v>
      </c>
      <c r="G457" t="e">
        <f t="shared" ca="1" si="14"/>
        <v>#VALUE!</v>
      </c>
    </row>
    <row r="458" spans="1:7" x14ac:dyDescent="0.25">
      <c r="A458" s="1"/>
      <c r="D458" t="e" cm="1">
        <f t="array" aca="1" ref="D458" ca="1">IF(OR(COUNTIF(damper_names,_xlfn.CONCAT("D_S_",C458))=1, COUNTIF(damper_names,_xlfn.CONCAT("D_E_",C458))=1), "C", "")</f>
        <v>#VALUE!</v>
      </c>
      <c r="E458" t="e">
        <f t="shared" ca="1" si="12"/>
        <v>#VALUE!</v>
      </c>
      <c r="F458" t="e">
        <f t="shared" ca="1" si="13"/>
        <v>#VALUE!</v>
      </c>
      <c r="G458" t="e">
        <f t="shared" ca="1" si="14"/>
        <v>#VALUE!</v>
      </c>
    </row>
    <row r="459" spans="1:7" x14ac:dyDescent="0.25">
      <c r="A459" s="1"/>
      <c r="D459" t="e" cm="1">
        <f t="array" aca="1" ref="D459" ca="1">IF(OR(COUNTIF(damper_names,_xlfn.CONCAT("D_S_",C459))=1, COUNTIF(damper_names,_xlfn.CONCAT("D_E_",C459))=1), "C", "")</f>
        <v>#VALUE!</v>
      </c>
      <c r="E459" t="e">
        <f t="shared" ca="1" si="12"/>
        <v>#VALUE!</v>
      </c>
      <c r="F459" t="e">
        <f t="shared" ca="1" si="13"/>
        <v>#VALUE!</v>
      </c>
      <c r="G459" t="e">
        <f t="shared" ca="1" si="14"/>
        <v>#VALUE!</v>
      </c>
    </row>
    <row r="460" spans="1:7" x14ac:dyDescent="0.25">
      <c r="A460" s="1"/>
      <c r="D460" t="e" cm="1">
        <f t="array" aca="1" ref="D460" ca="1">IF(OR(COUNTIF(damper_names,_xlfn.CONCAT("D_S_",C460))=1, COUNTIF(damper_names,_xlfn.CONCAT("D_E_",C460))=1), "C", "")</f>
        <v>#VALUE!</v>
      </c>
      <c r="E460" t="e">
        <f t="shared" ca="1" si="12"/>
        <v>#VALUE!</v>
      </c>
      <c r="F460" t="e">
        <f t="shared" ca="1" si="13"/>
        <v>#VALUE!</v>
      </c>
      <c r="G460" t="e">
        <f t="shared" ca="1" si="14"/>
        <v>#VALUE!</v>
      </c>
    </row>
    <row r="461" spans="1:7" x14ac:dyDescent="0.25">
      <c r="A461" s="1"/>
      <c r="D461" t="e" cm="1">
        <f t="array" aca="1" ref="D461" ca="1">IF(OR(COUNTIF(damper_names,_xlfn.CONCAT("D_S_",C461))=1, COUNTIF(damper_names,_xlfn.CONCAT("D_E_",C461))=1), "C", "")</f>
        <v>#VALUE!</v>
      </c>
      <c r="E461" t="e">
        <f t="shared" ca="1" si="12"/>
        <v>#VALUE!</v>
      </c>
      <c r="F461" t="e">
        <f t="shared" ca="1" si="13"/>
        <v>#VALUE!</v>
      </c>
      <c r="G461" t="e">
        <f t="shared" ca="1" si="14"/>
        <v>#VALUE!</v>
      </c>
    </row>
    <row r="462" spans="1:7" x14ac:dyDescent="0.25">
      <c r="A462" s="1"/>
      <c r="D462" t="e" cm="1">
        <f t="array" aca="1" ref="D462" ca="1">IF(OR(COUNTIF(damper_names,_xlfn.CONCAT("D_S_",C462))=1, COUNTIF(damper_names,_xlfn.CONCAT("D_E_",C462))=1), "C", "")</f>
        <v>#VALUE!</v>
      </c>
      <c r="E462" t="e">
        <f t="shared" ca="1" si="12"/>
        <v>#VALUE!</v>
      </c>
      <c r="F462" t="e">
        <f t="shared" ca="1" si="13"/>
        <v>#VALUE!</v>
      </c>
      <c r="G462" t="e">
        <f t="shared" ca="1" si="14"/>
        <v>#VALUE!</v>
      </c>
    </row>
    <row r="463" spans="1:7" x14ac:dyDescent="0.25">
      <c r="A463" s="1"/>
      <c r="D463" t="e" cm="1">
        <f t="array" aca="1" ref="D463" ca="1">IF(OR(COUNTIF(damper_names,_xlfn.CONCAT("D_S_",C463))=1, COUNTIF(damper_names,_xlfn.CONCAT("D_E_",C463))=1), "C", "")</f>
        <v>#VALUE!</v>
      </c>
      <c r="E463" t="e">
        <f t="shared" ca="1" si="12"/>
        <v>#VALUE!</v>
      </c>
      <c r="F463" t="e">
        <f t="shared" ca="1" si="13"/>
        <v>#VALUE!</v>
      </c>
      <c r="G463" t="e">
        <f t="shared" ca="1" si="14"/>
        <v>#VALUE!</v>
      </c>
    </row>
    <row r="464" spans="1:7" x14ac:dyDescent="0.25">
      <c r="A464" s="1"/>
      <c r="D464" t="e" cm="1">
        <f t="array" aca="1" ref="D464" ca="1">IF(OR(COUNTIF(damper_names,_xlfn.CONCAT("D_S_",C464))=1, COUNTIF(damper_names,_xlfn.CONCAT("D_E_",C464))=1), "C", "")</f>
        <v>#VALUE!</v>
      </c>
      <c r="E464" t="e">
        <f t="shared" ca="1" si="12"/>
        <v>#VALUE!</v>
      </c>
      <c r="F464" t="e">
        <f t="shared" ca="1" si="13"/>
        <v>#VALUE!</v>
      </c>
      <c r="G464" t="e">
        <f t="shared" ca="1" si="14"/>
        <v>#VALUE!</v>
      </c>
    </row>
    <row r="465" spans="1:7" x14ac:dyDescent="0.25">
      <c r="A465" s="1"/>
      <c r="D465" t="e" cm="1">
        <f t="array" aca="1" ref="D465" ca="1">IF(OR(COUNTIF(damper_names,_xlfn.CONCAT("D_S_",C465))=1, COUNTIF(damper_names,_xlfn.CONCAT("D_E_",C465))=1), "C", "")</f>
        <v>#VALUE!</v>
      </c>
      <c r="E465" t="e">
        <f t="shared" ca="1" si="12"/>
        <v>#VALUE!</v>
      </c>
      <c r="F465" t="e">
        <f t="shared" ca="1" si="13"/>
        <v>#VALUE!</v>
      </c>
      <c r="G465" t="e">
        <f t="shared" ca="1" si="14"/>
        <v>#VALUE!</v>
      </c>
    </row>
    <row r="466" spans="1:7" x14ac:dyDescent="0.25">
      <c r="A466" s="1"/>
      <c r="D466" t="e" cm="1">
        <f t="array" aca="1" ref="D466" ca="1">IF(OR(COUNTIF(damper_names,_xlfn.CONCAT("D_S_",C466))=1, COUNTIF(damper_names,_xlfn.CONCAT("D_E_",C466))=1), "C", "")</f>
        <v>#VALUE!</v>
      </c>
      <c r="E466" t="e">
        <f t="shared" ca="1" si="12"/>
        <v>#VALUE!</v>
      </c>
      <c r="F466" t="e">
        <f t="shared" ca="1" si="13"/>
        <v>#VALUE!</v>
      </c>
      <c r="G466" t="e">
        <f t="shared" ca="1" si="14"/>
        <v>#VALUE!</v>
      </c>
    </row>
    <row r="467" spans="1:7" x14ac:dyDescent="0.25">
      <c r="A467" s="1"/>
      <c r="D467" t="e" cm="1">
        <f t="array" aca="1" ref="D467" ca="1">IF(OR(COUNTIF(damper_names,_xlfn.CONCAT("D_S_",C467))=1, COUNTIF(damper_names,_xlfn.CONCAT("D_E_",C467))=1), "C", "")</f>
        <v>#VALUE!</v>
      </c>
      <c r="E467" t="e">
        <f t="shared" ca="1" si="12"/>
        <v>#VALUE!</v>
      </c>
      <c r="F467" t="e">
        <f t="shared" ca="1" si="13"/>
        <v>#VALUE!</v>
      </c>
      <c r="G467" t="e">
        <f t="shared" ca="1" si="14"/>
        <v>#VALUE!</v>
      </c>
    </row>
    <row r="468" spans="1:7" x14ac:dyDescent="0.25">
      <c r="A468" s="1"/>
      <c r="D468" t="e" cm="1">
        <f t="array" aca="1" ref="D468" ca="1">IF(OR(COUNTIF(damper_names,_xlfn.CONCAT("D_S_",C468))=1, COUNTIF(damper_names,_xlfn.CONCAT("D_E_",C468))=1), "C", "")</f>
        <v>#VALUE!</v>
      </c>
      <c r="E468" t="e">
        <f t="shared" ca="1" si="12"/>
        <v>#VALUE!</v>
      </c>
      <c r="F468" t="e">
        <f t="shared" ca="1" si="13"/>
        <v>#VALUE!</v>
      </c>
      <c r="G468" t="e">
        <f t="shared" ca="1" si="14"/>
        <v>#VALUE!</v>
      </c>
    </row>
    <row r="469" spans="1:7" x14ac:dyDescent="0.25">
      <c r="A469" s="1"/>
      <c r="D469" t="e" cm="1">
        <f t="array" aca="1" ref="D469" ca="1">IF(OR(COUNTIF(damper_names,_xlfn.CONCAT("D_S_",C469))=1, COUNTIF(damper_names,_xlfn.CONCAT("D_E_",C469))=1), "C", "")</f>
        <v>#VALUE!</v>
      </c>
      <c r="E469" t="e">
        <f t="shared" ca="1" si="12"/>
        <v>#VALUE!</v>
      </c>
      <c r="F469" t="e">
        <f t="shared" ca="1" si="13"/>
        <v>#VALUE!</v>
      </c>
      <c r="G469" t="e">
        <f t="shared" ca="1" si="14"/>
        <v>#VALUE!</v>
      </c>
    </row>
    <row r="470" spans="1:7" x14ac:dyDescent="0.25">
      <c r="A470" s="1"/>
      <c r="D470" t="e" cm="1">
        <f t="array" aca="1" ref="D470" ca="1">IF(OR(COUNTIF(damper_names,_xlfn.CONCAT("D_S_",C470))=1, COUNTIF(damper_names,_xlfn.CONCAT("D_E_",C470))=1), "C", "")</f>
        <v>#VALUE!</v>
      </c>
      <c r="E470" t="e">
        <f t="shared" ca="1" si="12"/>
        <v>#VALUE!</v>
      </c>
      <c r="F470" t="e">
        <f t="shared" ca="1" si="13"/>
        <v>#VALUE!</v>
      </c>
      <c r="G470" t="e">
        <f t="shared" ca="1" si="14"/>
        <v>#VALUE!</v>
      </c>
    </row>
    <row r="471" spans="1:7" x14ac:dyDescent="0.25">
      <c r="A471" s="1"/>
      <c r="D471" t="e" cm="1">
        <f t="array" aca="1" ref="D471" ca="1">IF(OR(COUNTIF(damper_names,_xlfn.CONCAT("D_S_",C471))=1, COUNTIF(damper_names,_xlfn.CONCAT("D_E_",C471))=1), "C", "")</f>
        <v>#VALUE!</v>
      </c>
      <c r="E471" t="e">
        <f t="shared" ca="1" si="12"/>
        <v>#VALUE!</v>
      </c>
      <c r="F471" t="e">
        <f t="shared" ca="1" si="13"/>
        <v>#VALUE!</v>
      </c>
      <c r="G471" t="e">
        <f t="shared" ca="1" si="14"/>
        <v>#VALUE!</v>
      </c>
    </row>
    <row r="472" spans="1:7" x14ac:dyDescent="0.25">
      <c r="A472" s="1"/>
      <c r="D472" t="e" cm="1">
        <f t="array" aca="1" ref="D472" ca="1">IF(OR(COUNTIF(damper_names,_xlfn.CONCAT("D_S_",C472))=1, COUNTIF(damper_names,_xlfn.CONCAT("D_E_",C472))=1), "C", "")</f>
        <v>#VALUE!</v>
      </c>
      <c r="E472" t="e">
        <f t="shared" ca="1" si="12"/>
        <v>#VALUE!</v>
      </c>
      <c r="F472" t="e">
        <f t="shared" ca="1" si="13"/>
        <v>#VALUE!</v>
      </c>
      <c r="G472" t="e">
        <f t="shared" ca="1" si="14"/>
        <v>#VALUE!</v>
      </c>
    </row>
    <row r="473" spans="1:7" x14ac:dyDescent="0.25">
      <c r="A473" s="1"/>
      <c r="D473" t="e" cm="1">
        <f t="array" aca="1" ref="D473" ca="1">IF(OR(COUNTIF(damper_names,_xlfn.CONCAT("D_S_",C473))=1, COUNTIF(damper_names,_xlfn.CONCAT("D_E_",C473))=1), "C", "")</f>
        <v>#VALUE!</v>
      </c>
      <c r="E473" t="e">
        <f t="shared" ca="1" si="12"/>
        <v>#VALUE!</v>
      </c>
      <c r="F473" t="e">
        <f t="shared" ca="1" si="13"/>
        <v>#VALUE!</v>
      </c>
      <c r="G473" t="e">
        <f t="shared" ca="1" si="14"/>
        <v>#VALUE!</v>
      </c>
    </row>
    <row r="474" spans="1:7" x14ac:dyDescent="0.25">
      <c r="A474" s="1"/>
      <c r="D474" t="e" cm="1">
        <f t="array" aca="1" ref="D474" ca="1">IF(OR(COUNTIF(damper_names,_xlfn.CONCAT("D_S_",C474))=1, COUNTIF(damper_names,_xlfn.CONCAT("D_E_",C474))=1), "C", "")</f>
        <v>#VALUE!</v>
      </c>
      <c r="E474" t="e">
        <f t="shared" ca="1" si="12"/>
        <v>#VALUE!</v>
      </c>
      <c r="F474" t="e">
        <f t="shared" ca="1" si="13"/>
        <v>#VALUE!</v>
      </c>
      <c r="G474" t="e">
        <f t="shared" ca="1" si="14"/>
        <v>#VALUE!</v>
      </c>
    </row>
    <row r="475" spans="1:7" x14ac:dyDescent="0.25">
      <c r="A475" s="1"/>
      <c r="D475" t="e" cm="1">
        <f t="array" aca="1" ref="D475" ca="1">IF(OR(COUNTIF(damper_names,_xlfn.CONCAT("D_S_",C475))=1, COUNTIF(damper_names,_xlfn.CONCAT("D_E_",C475))=1), "C", "")</f>
        <v>#VALUE!</v>
      </c>
      <c r="E475" t="e">
        <f t="shared" ca="1" si="12"/>
        <v>#VALUE!</v>
      </c>
      <c r="F475" t="e">
        <f t="shared" ca="1" si="13"/>
        <v>#VALUE!</v>
      </c>
      <c r="G475" t="e">
        <f t="shared" ca="1" si="14"/>
        <v>#VALUE!</v>
      </c>
    </row>
    <row r="476" spans="1:7" x14ac:dyDescent="0.25">
      <c r="A476" s="1"/>
      <c r="D476" t="e" cm="1">
        <f t="array" aca="1" ref="D476" ca="1">IF(OR(COUNTIF(damper_names,_xlfn.CONCAT("D_S_",C476))=1, COUNTIF(damper_names,_xlfn.CONCAT("D_E_",C476))=1), "C", "")</f>
        <v>#VALUE!</v>
      </c>
      <c r="E476" t="e">
        <f t="shared" ca="1" si="12"/>
        <v>#VALUE!</v>
      </c>
      <c r="F476" t="e">
        <f t="shared" ca="1" si="13"/>
        <v>#VALUE!</v>
      </c>
      <c r="G476" t="e">
        <f t="shared" ca="1" si="14"/>
        <v>#VALUE!</v>
      </c>
    </row>
    <row r="477" spans="1:7" x14ac:dyDescent="0.25">
      <c r="A477" s="1"/>
      <c r="D477" t="e" cm="1">
        <f t="array" aca="1" ref="D477" ca="1">IF(OR(COUNTIF(damper_names,_xlfn.CONCAT("D_S_",C477))=1, COUNTIF(damper_names,_xlfn.CONCAT("D_E_",C477))=1), "C", "")</f>
        <v>#VALUE!</v>
      </c>
      <c r="E477" t="e">
        <f t="shared" ca="1" si="12"/>
        <v>#VALUE!</v>
      </c>
      <c r="F477" t="e">
        <f t="shared" ca="1" si="13"/>
        <v>#VALUE!</v>
      </c>
      <c r="G477" t="e">
        <f t="shared" ca="1" si="14"/>
        <v>#VALUE!</v>
      </c>
    </row>
    <row r="478" spans="1:7" x14ac:dyDescent="0.25">
      <c r="A478" s="1"/>
      <c r="D478" t="e" cm="1">
        <f t="array" aca="1" ref="D478" ca="1">IF(OR(COUNTIF(damper_names,_xlfn.CONCAT("D_S_",C478))=1, COUNTIF(damper_names,_xlfn.CONCAT("D_E_",C478))=1), "C", "")</f>
        <v>#VALUE!</v>
      </c>
      <c r="E478" t="e">
        <f t="shared" ca="1" si="12"/>
        <v>#VALUE!</v>
      </c>
      <c r="F478" t="e">
        <f t="shared" ca="1" si="13"/>
        <v>#VALUE!</v>
      </c>
      <c r="G478" t="e">
        <f t="shared" ca="1" si="14"/>
        <v>#VALUE!</v>
      </c>
    </row>
    <row r="479" spans="1:7" x14ac:dyDescent="0.25">
      <c r="A479" s="1"/>
      <c r="D479" t="e" cm="1">
        <f t="array" aca="1" ref="D479" ca="1">IF(OR(COUNTIF(damper_names,_xlfn.CONCAT("D_S_",C479))=1, COUNTIF(damper_names,_xlfn.CONCAT("D_E_",C479))=1), "C", "")</f>
        <v>#VALUE!</v>
      </c>
      <c r="E479" t="e">
        <f t="shared" ca="1" si="12"/>
        <v>#VALUE!</v>
      </c>
      <c r="F479" t="e">
        <f t="shared" ca="1" si="13"/>
        <v>#VALUE!</v>
      </c>
      <c r="G479" t="e">
        <f t="shared" ca="1" si="14"/>
        <v>#VALUE!</v>
      </c>
    </row>
    <row r="480" spans="1:7" x14ac:dyDescent="0.25">
      <c r="A480" s="1"/>
      <c r="D480" t="e" cm="1">
        <f t="array" aca="1" ref="D480" ca="1">IF(OR(COUNTIF(damper_names,_xlfn.CONCAT("D_S_",C480))=1, COUNTIF(damper_names,_xlfn.CONCAT("D_E_",C480))=1), "C", "")</f>
        <v>#VALUE!</v>
      </c>
      <c r="E480" t="e">
        <f t="shared" ca="1" si="12"/>
        <v>#VALUE!</v>
      </c>
      <c r="F480" t="e">
        <f t="shared" ca="1" si="13"/>
        <v>#VALUE!</v>
      </c>
      <c r="G480" t="e">
        <f t="shared" ca="1" si="14"/>
        <v>#VALUE!</v>
      </c>
    </row>
    <row r="481" spans="1:7" x14ac:dyDescent="0.25">
      <c r="A481" s="1"/>
      <c r="D481" t="e" cm="1">
        <f t="array" aca="1" ref="D481" ca="1">IF(OR(COUNTIF(damper_names,_xlfn.CONCAT("D_S_",C481))=1, COUNTIF(damper_names,_xlfn.CONCAT("D_E_",C481))=1), "C", "")</f>
        <v>#VALUE!</v>
      </c>
      <c r="E481" t="e">
        <f t="shared" ca="1" si="12"/>
        <v>#VALUE!</v>
      </c>
      <c r="F481" t="e">
        <f t="shared" ca="1" si="13"/>
        <v>#VALUE!</v>
      </c>
      <c r="G481" t="e">
        <f t="shared" ca="1" si="14"/>
        <v>#VALUE!</v>
      </c>
    </row>
    <row r="482" spans="1:7" x14ac:dyDescent="0.25">
      <c r="A482" s="1"/>
      <c r="D482" t="e" cm="1">
        <f t="array" aca="1" ref="D482" ca="1">IF(OR(COUNTIF(damper_names,_xlfn.CONCAT("D_S_",C482))=1, COUNTIF(damper_names,_xlfn.CONCAT("D_E_",C482))=1), "C", "")</f>
        <v>#VALUE!</v>
      </c>
      <c r="E482" t="e">
        <f t="shared" ca="1" si="12"/>
        <v>#VALUE!</v>
      </c>
      <c r="F482" t="e">
        <f t="shared" ca="1" si="13"/>
        <v>#VALUE!</v>
      </c>
      <c r="G482" t="e">
        <f t="shared" ca="1" si="14"/>
        <v>#VALUE!</v>
      </c>
    </row>
    <row r="483" spans="1:7" x14ac:dyDescent="0.25">
      <c r="A483" s="1"/>
      <c r="D483" t="e" cm="1">
        <f t="array" aca="1" ref="D483" ca="1">IF(OR(COUNTIF(damper_names,_xlfn.CONCAT("D_S_",C483))=1, COUNTIF(damper_names,_xlfn.CONCAT("D_E_",C483))=1), "C", "")</f>
        <v>#VALUE!</v>
      </c>
      <c r="E483" t="e">
        <f t="shared" ca="1" si="12"/>
        <v>#VALUE!</v>
      </c>
      <c r="F483" t="e">
        <f t="shared" ca="1" si="13"/>
        <v>#VALUE!</v>
      </c>
      <c r="G483" t="e">
        <f t="shared" ca="1" si="14"/>
        <v>#VALUE!</v>
      </c>
    </row>
    <row r="484" spans="1:7" x14ac:dyDescent="0.25">
      <c r="A484" s="1"/>
      <c r="D484" t="e" cm="1">
        <f t="array" aca="1" ref="D484" ca="1">IF(OR(COUNTIF(damper_names,_xlfn.CONCAT("D_S_",C484))=1, COUNTIF(damper_names,_xlfn.CONCAT("D_E_",C484))=1), "C", "")</f>
        <v>#VALUE!</v>
      </c>
      <c r="E484" t="e">
        <f t="shared" ca="1" si="12"/>
        <v>#VALUE!</v>
      </c>
      <c r="F484" t="e">
        <f t="shared" ca="1" si="13"/>
        <v>#VALUE!</v>
      </c>
      <c r="G484" t="e">
        <f t="shared" ca="1" si="14"/>
        <v>#VALUE!</v>
      </c>
    </row>
    <row r="485" spans="1:7" x14ac:dyDescent="0.25">
      <c r="A485" s="1"/>
      <c r="D485" t="e" cm="1">
        <f t="array" aca="1" ref="D485" ca="1">IF(OR(COUNTIF(damper_names,_xlfn.CONCAT("D_S_",C485))=1, COUNTIF(damper_names,_xlfn.CONCAT("D_E_",C485))=1), "C", "")</f>
        <v>#VALUE!</v>
      </c>
      <c r="E485" t="e">
        <f t="shared" ca="1" si="12"/>
        <v>#VALUE!</v>
      </c>
      <c r="F485" t="e">
        <f t="shared" ca="1" si="13"/>
        <v>#VALUE!</v>
      </c>
      <c r="G485" t="e">
        <f t="shared" ca="1" si="14"/>
        <v>#VALUE!</v>
      </c>
    </row>
    <row r="486" spans="1:7" x14ac:dyDescent="0.25">
      <c r="A486" s="1"/>
      <c r="D486" t="e" cm="1">
        <f t="array" aca="1" ref="D486" ca="1">IF(OR(COUNTIF(damper_names,_xlfn.CONCAT("D_S_",C486))=1, COUNTIF(damper_names,_xlfn.CONCAT("D_E_",C486))=1), "C", "")</f>
        <v>#VALUE!</v>
      </c>
      <c r="E486" t="e">
        <f t="shared" ca="1" si="12"/>
        <v>#VALUE!</v>
      </c>
      <c r="F486" t="e">
        <f t="shared" ca="1" si="13"/>
        <v>#VALUE!</v>
      </c>
      <c r="G486" t="e">
        <f t="shared" ca="1" si="14"/>
        <v>#VALUE!</v>
      </c>
    </row>
    <row r="487" spans="1:7" x14ac:dyDescent="0.25">
      <c r="A487" s="1"/>
      <c r="D487" t="e" cm="1">
        <f t="array" aca="1" ref="D487" ca="1">IF(OR(COUNTIF(damper_names,_xlfn.CONCAT("D_S_",C487))=1, COUNTIF(damper_names,_xlfn.CONCAT("D_E_",C487))=1), "C", "")</f>
        <v>#VALUE!</v>
      </c>
      <c r="E487" t="e">
        <f t="shared" ca="1" si="12"/>
        <v>#VALUE!</v>
      </c>
      <c r="F487" t="e">
        <f t="shared" ca="1" si="13"/>
        <v>#VALUE!</v>
      </c>
      <c r="G487" t="e">
        <f t="shared" ca="1" si="14"/>
        <v>#VALUE!</v>
      </c>
    </row>
    <row r="488" spans="1:7" x14ac:dyDescent="0.25">
      <c r="A488" s="1"/>
      <c r="D488" t="e" cm="1">
        <f t="array" aca="1" ref="D488" ca="1">IF(OR(COUNTIF(damper_names,_xlfn.CONCAT("D_S_",C488))=1, COUNTIF(damper_names,_xlfn.CONCAT("D_E_",C488))=1), "C", "")</f>
        <v>#VALUE!</v>
      </c>
      <c r="E488" t="e">
        <f t="shared" ca="1" si="12"/>
        <v>#VALUE!</v>
      </c>
      <c r="F488" t="e">
        <f t="shared" ca="1" si="13"/>
        <v>#VALUE!</v>
      </c>
      <c r="G488" t="e">
        <f t="shared" ca="1" si="14"/>
        <v>#VALUE!</v>
      </c>
    </row>
    <row r="489" spans="1:7" x14ac:dyDescent="0.25">
      <c r="A489" s="1"/>
      <c r="D489" t="e" cm="1">
        <f t="array" aca="1" ref="D489" ca="1">IF(OR(COUNTIF(damper_names,_xlfn.CONCAT("D_S_",C489))=1, COUNTIF(damper_names,_xlfn.CONCAT("D_E_",C489))=1), "C", "")</f>
        <v>#VALUE!</v>
      </c>
      <c r="E489" t="e">
        <f t="shared" ca="1" si="12"/>
        <v>#VALUE!</v>
      </c>
      <c r="F489" t="e">
        <f t="shared" ca="1" si="13"/>
        <v>#VALUE!</v>
      </c>
      <c r="G489" t="e">
        <f t="shared" ca="1" si="14"/>
        <v>#VALUE!</v>
      </c>
    </row>
    <row r="490" spans="1:7" x14ac:dyDescent="0.25">
      <c r="A490" s="1"/>
      <c r="D490" t="e" cm="1">
        <f t="array" aca="1" ref="D490" ca="1">IF(OR(COUNTIF(damper_names,_xlfn.CONCAT("D_S_",C490))=1, COUNTIF(damper_names,_xlfn.CONCAT("D_E_",C490))=1), "C", "")</f>
        <v>#VALUE!</v>
      </c>
      <c r="E490" t="e">
        <f t="shared" ca="1" si="12"/>
        <v>#VALUE!</v>
      </c>
      <c r="F490" t="e">
        <f t="shared" ca="1" si="13"/>
        <v>#VALUE!</v>
      </c>
      <c r="G490" t="e">
        <f t="shared" ca="1" si="14"/>
        <v>#VALUE!</v>
      </c>
    </row>
    <row r="491" spans="1:7" x14ac:dyDescent="0.25">
      <c r="A491" s="1"/>
      <c r="D491" t="e" cm="1">
        <f t="array" aca="1" ref="D491" ca="1">IF(OR(COUNTIF(damper_names,_xlfn.CONCAT("D_S_",C491))=1, COUNTIF(damper_names,_xlfn.CONCAT("D_E_",C491))=1), "C", "")</f>
        <v>#VALUE!</v>
      </c>
      <c r="E491" t="e">
        <f t="shared" ca="1" si="12"/>
        <v>#VALUE!</v>
      </c>
      <c r="F491" t="e">
        <f t="shared" ca="1" si="13"/>
        <v>#VALUE!</v>
      </c>
      <c r="G491" t="e">
        <f t="shared" ca="1" si="14"/>
        <v>#VALUE!</v>
      </c>
    </row>
    <row r="492" spans="1:7" x14ac:dyDescent="0.25">
      <c r="A492" s="1"/>
      <c r="D492" t="e" cm="1">
        <f t="array" aca="1" ref="D492" ca="1">IF(OR(COUNTIF(damper_names,_xlfn.CONCAT("D_S_",C492))=1, COUNTIF(damper_names,_xlfn.CONCAT("D_E_",C492))=1), "C", "")</f>
        <v>#VALUE!</v>
      </c>
      <c r="E492" t="e">
        <f t="shared" ca="1" si="12"/>
        <v>#VALUE!</v>
      </c>
      <c r="F492" t="e">
        <f t="shared" ca="1" si="13"/>
        <v>#VALUE!</v>
      </c>
      <c r="G492" t="e">
        <f t="shared" ca="1" si="14"/>
        <v>#VALUE!</v>
      </c>
    </row>
    <row r="493" spans="1:7" x14ac:dyDescent="0.25">
      <c r="A493" s="1"/>
      <c r="D493" t="e" cm="1">
        <f t="array" aca="1" ref="D493" ca="1">IF(OR(COUNTIF(damper_names,_xlfn.CONCAT("D_S_",C493))=1, COUNTIF(damper_names,_xlfn.CONCAT("D_E_",C493))=1), "C", "")</f>
        <v>#VALUE!</v>
      </c>
      <c r="E493" t="e">
        <f t="shared" ca="1" si="12"/>
        <v>#VALUE!</v>
      </c>
      <c r="F493" t="e">
        <f t="shared" ca="1" si="13"/>
        <v>#VALUE!</v>
      </c>
      <c r="G493" t="e">
        <f t="shared" ca="1" si="14"/>
        <v>#VALUE!</v>
      </c>
    </row>
    <row r="494" spans="1:7" x14ac:dyDescent="0.25">
      <c r="A494" s="1"/>
      <c r="D494" t="e" cm="1">
        <f t="array" aca="1" ref="D494" ca="1">IF(OR(COUNTIF(damper_names,_xlfn.CONCAT("D_S_",C494))=1, COUNTIF(damper_names,_xlfn.CONCAT("D_E_",C494))=1), "C", "")</f>
        <v>#VALUE!</v>
      </c>
      <c r="E494" t="e">
        <f t="shared" ca="1" si="12"/>
        <v>#VALUE!</v>
      </c>
      <c r="F494" t="e">
        <f t="shared" ca="1" si="13"/>
        <v>#VALUE!</v>
      </c>
      <c r="G494" t="e">
        <f t="shared" ca="1" si="14"/>
        <v>#VALUE!</v>
      </c>
    </row>
    <row r="495" spans="1:7" x14ac:dyDescent="0.25">
      <c r="A495" s="1"/>
      <c r="D495" t="e" cm="1">
        <f t="array" aca="1" ref="D495" ca="1">IF(OR(COUNTIF(damper_names,_xlfn.CONCAT("D_S_",C495))=1, COUNTIF(damper_names,_xlfn.CONCAT("D_E_",C495))=1), "C", "")</f>
        <v>#VALUE!</v>
      </c>
      <c r="E495" t="e">
        <f t="shared" ca="1" si="12"/>
        <v>#VALUE!</v>
      </c>
      <c r="F495" t="e">
        <f t="shared" ca="1" si="13"/>
        <v>#VALUE!</v>
      </c>
      <c r="G495" t="e">
        <f t="shared" ca="1" si="14"/>
        <v>#VALUE!</v>
      </c>
    </row>
    <row r="496" spans="1:7" x14ac:dyDescent="0.25">
      <c r="A496" s="1"/>
      <c r="D496" t="e" cm="1">
        <f t="array" aca="1" ref="D496" ca="1">IF(OR(COUNTIF(damper_names,_xlfn.CONCAT("D_S_",C496))=1, COUNTIF(damper_names,_xlfn.CONCAT("D_E_",C496))=1), "C", "")</f>
        <v>#VALUE!</v>
      </c>
      <c r="E496" t="e">
        <f t="shared" ca="1" si="12"/>
        <v>#VALUE!</v>
      </c>
      <c r="F496" t="e">
        <f t="shared" ca="1" si="13"/>
        <v>#VALUE!</v>
      </c>
      <c r="G496" t="e">
        <f t="shared" ca="1" si="14"/>
        <v>#VALUE!</v>
      </c>
    </row>
    <row r="497" spans="1:7" x14ac:dyDescent="0.25">
      <c r="A497" s="1"/>
      <c r="D497" t="e" cm="1">
        <f t="array" aca="1" ref="D497" ca="1">IF(OR(COUNTIF(damper_names,_xlfn.CONCAT("D_S_",C497))=1, COUNTIF(damper_names,_xlfn.CONCAT("D_E_",C497))=1), "C", "")</f>
        <v>#VALUE!</v>
      </c>
      <c r="E497" t="e">
        <f t="shared" ca="1" si="12"/>
        <v>#VALUE!</v>
      </c>
      <c r="F497" t="e">
        <f t="shared" ca="1" si="13"/>
        <v>#VALUE!</v>
      </c>
      <c r="G497" t="e">
        <f t="shared" ca="1" si="14"/>
        <v>#VALUE!</v>
      </c>
    </row>
    <row r="498" spans="1:7" x14ac:dyDescent="0.25">
      <c r="A498" s="1"/>
      <c r="D498" t="e" cm="1">
        <f t="array" aca="1" ref="D498" ca="1">IF(OR(COUNTIF(damper_names,_xlfn.CONCAT("D_S_",C498))=1, COUNTIF(damper_names,_xlfn.CONCAT("D_E_",C498))=1), "C", "")</f>
        <v>#VALUE!</v>
      </c>
      <c r="E498" t="e">
        <f t="shared" ca="1" si="12"/>
        <v>#VALUE!</v>
      </c>
      <c r="F498" t="e">
        <f t="shared" ca="1" si="13"/>
        <v>#VALUE!</v>
      </c>
      <c r="G498" t="e">
        <f t="shared" ca="1" si="14"/>
        <v>#VALUE!</v>
      </c>
    </row>
    <row r="499" spans="1:7" x14ac:dyDescent="0.25">
      <c r="A499" s="1"/>
      <c r="D499" t="e" cm="1">
        <f t="array" aca="1" ref="D499" ca="1">IF(OR(COUNTIF(damper_names,_xlfn.CONCAT("D_S_",C499))=1, COUNTIF(damper_names,_xlfn.CONCAT("D_E_",C499))=1), "C", "")</f>
        <v>#VALUE!</v>
      </c>
      <c r="E499" t="e">
        <f t="shared" ref="E499:E562" ca="1" si="15">IF(D499="T", 0.05, IF(D499="C", -0.01, ""))</f>
        <v>#VALUE!</v>
      </c>
      <c r="F499" t="e">
        <f t="shared" ref="F499:F562" ca="1" si="16">IF(D499="T", 0.05, IF(D499="C", 0, ""))</f>
        <v>#VALUE!</v>
      </c>
      <c r="G499" t="e">
        <f t="shared" ref="G499:G562" ca="1" si="17">IF(D499="T", 0, IF(D499="C", 0, ""))</f>
        <v>#VALUE!</v>
      </c>
    </row>
    <row r="500" spans="1:7" x14ac:dyDescent="0.25">
      <c r="A500" s="1"/>
      <c r="D500" t="e" cm="1">
        <f t="array" aca="1" ref="D500" ca="1">IF(OR(COUNTIF(damper_names,_xlfn.CONCAT("D_S_",C500))=1, COUNTIF(damper_names,_xlfn.CONCAT("D_E_",C500))=1), "C", "")</f>
        <v>#VALUE!</v>
      </c>
      <c r="E500" t="e">
        <f t="shared" ca="1" si="15"/>
        <v>#VALUE!</v>
      </c>
      <c r="F500" t="e">
        <f t="shared" ca="1" si="16"/>
        <v>#VALUE!</v>
      </c>
      <c r="G500" t="e">
        <f t="shared" ca="1" si="17"/>
        <v>#VALUE!</v>
      </c>
    </row>
    <row r="501" spans="1:7" x14ac:dyDescent="0.25">
      <c r="A501" s="1"/>
      <c r="D501" t="e" cm="1">
        <f t="array" aca="1" ref="D501" ca="1">IF(OR(COUNTIF(damper_names,_xlfn.CONCAT("D_S_",C501))=1, COUNTIF(damper_names,_xlfn.CONCAT("D_E_",C501))=1), "C", "")</f>
        <v>#VALUE!</v>
      </c>
      <c r="E501" t="e">
        <f t="shared" ca="1" si="15"/>
        <v>#VALUE!</v>
      </c>
      <c r="F501" t="e">
        <f t="shared" ca="1" si="16"/>
        <v>#VALUE!</v>
      </c>
      <c r="G501" t="e">
        <f t="shared" ca="1" si="17"/>
        <v>#VALUE!</v>
      </c>
    </row>
    <row r="502" spans="1:7" x14ac:dyDescent="0.25">
      <c r="A502" s="1"/>
      <c r="D502" t="e" cm="1">
        <f t="array" aca="1" ref="D502" ca="1">IF(OR(COUNTIF(damper_names,_xlfn.CONCAT("D_S_",C502))=1, COUNTIF(damper_names,_xlfn.CONCAT("D_E_",C502))=1), "C", "")</f>
        <v>#VALUE!</v>
      </c>
      <c r="E502" t="e">
        <f t="shared" ca="1" si="15"/>
        <v>#VALUE!</v>
      </c>
      <c r="F502" t="e">
        <f t="shared" ca="1" si="16"/>
        <v>#VALUE!</v>
      </c>
      <c r="G502" t="e">
        <f t="shared" ca="1" si="17"/>
        <v>#VALUE!</v>
      </c>
    </row>
    <row r="503" spans="1:7" x14ac:dyDescent="0.25">
      <c r="A503" s="1"/>
      <c r="D503" t="e" cm="1">
        <f t="array" aca="1" ref="D503" ca="1">IF(OR(COUNTIF(damper_names,_xlfn.CONCAT("D_S_",C503))=1, COUNTIF(damper_names,_xlfn.CONCAT("D_E_",C503))=1), "C", "")</f>
        <v>#VALUE!</v>
      </c>
      <c r="E503" t="e">
        <f t="shared" ca="1" si="15"/>
        <v>#VALUE!</v>
      </c>
      <c r="F503" t="e">
        <f t="shared" ca="1" si="16"/>
        <v>#VALUE!</v>
      </c>
      <c r="G503" t="e">
        <f t="shared" ca="1" si="17"/>
        <v>#VALUE!</v>
      </c>
    </row>
    <row r="504" spans="1:7" x14ac:dyDescent="0.25">
      <c r="A504" s="1"/>
      <c r="D504" t="e" cm="1">
        <f t="array" aca="1" ref="D504" ca="1">IF(OR(COUNTIF(damper_names,_xlfn.CONCAT("D_S_",C504))=1, COUNTIF(damper_names,_xlfn.CONCAT("D_E_",C504))=1), "C", "")</f>
        <v>#VALUE!</v>
      </c>
      <c r="E504" t="e">
        <f t="shared" ca="1" si="15"/>
        <v>#VALUE!</v>
      </c>
      <c r="F504" t="e">
        <f t="shared" ca="1" si="16"/>
        <v>#VALUE!</v>
      </c>
      <c r="G504" t="e">
        <f t="shared" ca="1" si="17"/>
        <v>#VALUE!</v>
      </c>
    </row>
    <row r="505" spans="1:7" x14ac:dyDescent="0.25">
      <c r="A505" s="1"/>
      <c r="D505" t="e" cm="1">
        <f t="array" aca="1" ref="D505" ca="1">IF(OR(COUNTIF(damper_names,_xlfn.CONCAT("D_S_",C505))=1, COUNTIF(damper_names,_xlfn.CONCAT("D_E_",C505))=1), "C", "")</f>
        <v>#VALUE!</v>
      </c>
      <c r="E505" t="e">
        <f t="shared" ca="1" si="15"/>
        <v>#VALUE!</v>
      </c>
      <c r="F505" t="e">
        <f t="shared" ca="1" si="16"/>
        <v>#VALUE!</v>
      </c>
      <c r="G505" t="e">
        <f t="shared" ca="1" si="17"/>
        <v>#VALUE!</v>
      </c>
    </row>
    <row r="506" spans="1:7" x14ac:dyDescent="0.25">
      <c r="A506" s="1"/>
      <c r="D506" t="e" cm="1">
        <f t="array" aca="1" ref="D506" ca="1">IF(OR(COUNTIF(damper_names,_xlfn.CONCAT("D_S_",C506))=1, COUNTIF(damper_names,_xlfn.CONCAT("D_E_",C506))=1), "C", "")</f>
        <v>#VALUE!</v>
      </c>
      <c r="E506" t="e">
        <f t="shared" ca="1" si="15"/>
        <v>#VALUE!</v>
      </c>
      <c r="F506" t="e">
        <f t="shared" ca="1" si="16"/>
        <v>#VALUE!</v>
      </c>
      <c r="G506" t="e">
        <f t="shared" ca="1" si="17"/>
        <v>#VALUE!</v>
      </c>
    </row>
    <row r="507" spans="1:7" x14ac:dyDescent="0.25">
      <c r="A507" s="1"/>
      <c r="D507" t="e" cm="1">
        <f t="array" aca="1" ref="D507" ca="1">IF(OR(COUNTIF(damper_names,_xlfn.CONCAT("D_S_",C507))=1, COUNTIF(damper_names,_xlfn.CONCAT("D_E_",C507))=1), "C", "")</f>
        <v>#VALUE!</v>
      </c>
      <c r="E507" t="e">
        <f t="shared" ca="1" si="15"/>
        <v>#VALUE!</v>
      </c>
      <c r="F507" t="e">
        <f t="shared" ca="1" si="16"/>
        <v>#VALUE!</v>
      </c>
      <c r="G507" t="e">
        <f t="shared" ca="1" si="17"/>
        <v>#VALUE!</v>
      </c>
    </row>
    <row r="508" spans="1:7" x14ac:dyDescent="0.25">
      <c r="A508" s="1"/>
      <c r="D508" t="e" cm="1">
        <f t="array" aca="1" ref="D508" ca="1">IF(OR(COUNTIF(damper_names,_xlfn.CONCAT("D_S_",C508))=1, COUNTIF(damper_names,_xlfn.CONCAT("D_E_",C508))=1), "C", "")</f>
        <v>#VALUE!</v>
      </c>
      <c r="E508" t="e">
        <f t="shared" ca="1" si="15"/>
        <v>#VALUE!</v>
      </c>
      <c r="F508" t="e">
        <f t="shared" ca="1" si="16"/>
        <v>#VALUE!</v>
      </c>
      <c r="G508" t="e">
        <f t="shared" ca="1" si="17"/>
        <v>#VALUE!</v>
      </c>
    </row>
    <row r="509" spans="1:7" x14ac:dyDescent="0.25">
      <c r="A509" s="1"/>
      <c r="D509" t="e" cm="1">
        <f t="array" aca="1" ref="D509" ca="1">IF(OR(COUNTIF(damper_names,_xlfn.CONCAT("D_S_",C509))=1, COUNTIF(damper_names,_xlfn.CONCAT("D_E_",C509))=1), "C", "")</f>
        <v>#VALUE!</v>
      </c>
      <c r="E509" t="e">
        <f t="shared" ca="1" si="15"/>
        <v>#VALUE!</v>
      </c>
      <c r="F509" t="e">
        <f t="shared" ca="1" si="16"/>
        <v>#VALUE!</v>
      </c>
      <c r="G509" t="e">
        <f t="shared" ca="1" si="17"/>
        <v>#VALUE!</v>
      </c>
    </row>
    <row r="510" spans="1:7" x14ac:dyDescent="0.25">
      <c r="A510" s="1"/>
      <c r="D510" t="e" cm="1">
        <f t="array" aca="1" ref="D510" ca="1">IF(OR(COUNTIF(damper_names,_xlfn.CONCAT("D_S_",C510))=1, COUNTIF(damper_names,_xlfn.CONCAT("D_E_",C510))=1), "C", "")</f>
        <v>#VALUE!</v>
      </c>
      <c r="E510" t="e">
        <f t="shared" ca="1" si="15"/>
        <v>#VALUE!</v>
      </c>
      <c r="F510" t="e">
        <f t="shared" ca="1" si="16"/>
        <v>#VALUE!</v>
      </c>
      <c r="G510" t="e">
        <f t="shared" ca="1" si="17"/>
        <v>#VALUE!</v>
      </c>
    </row>
    <row r="511" spans="1:7" x14ac:dyDescent="0.25">
      <c r="A511" s="1"/>
      <c r="D511" t="e" cm="1">
        <f t="array" aca="1" ref="D511" ca="1">IF(OR(COUNTIF(damper_names,_xlfn.CONCAT("D_S_",C511))=1, COUNTIF(damper_names,_xlfn.CONCAT("D_E_",C511))=1), "C", "")</f>
        <v>#VALUE!</v>
      </c>
      <c r="E511" t="e">
        <f t="shared" ca="1" si="15"/>
        <v>#VALUE!</v>
      </c>
      <c r="F511" t="e">
        <f t="shared" ca="1" si="16"/>
        <v>#VALUE!</v>
      </c>
      <c r="G511" t="e">
        <f t="shared" ca="1" si="17"/>
        <v>#VALUE!</v>
      </c>
    </row>
    <row r="512" spans="1:7" x14ac:dyDescent="0.25">
      <c r="A512" s="1"/>
      <c r="D512" t="e" cm="1">
        <f t="array" aca="1" ref="D512" ca="1">IF(OR(COUNTIF(damper_names,_xlfn.CONCAT("D_S_",C512))=1, COUNTIF(damper_names,_xlfn.CONCAT("D_E_",C512))=1), "C", "")</f>
        <v>#VALUE!</v>
      </c>
      <c r="E512" t="e">
        <f t="shared" ca="1" si="15"/>
        <v>#VALUE!</v>
      </c>
      <c r="F512" t="e">
        <f t="shared" ca="1" si="16"/>
        <v>#VALUE!</v>
      </c>
      <c r="G512" t="e">
        <f t="shared" ca="1" si="17"/>
        <v>#VALUE!</v>
      </c>
    </row>
    <row r="513" spans="1:7" x14ac:dyDescent="0.25">
      <c r="A513" s="1"/>
      <c r="D513" t="e" cm="1">
        <f t="array" aca="1" ref="D513" ca="1">IF(OR(COUNTIF(damper_names,_xlfn.CONCAT("D_S_",C513))=1, COUNTIF(damper_names,_xlfn.CONCAT("D_E_",C513))=1), "C", "")</f>
        <v>#VALUE!</v>
      </c>
      <c r="E513" t="e">
        <f t="shared" ca="1" si="15"/>
        <v>#VALUE!</v>
      </c>
      <c r="F513" t="e">
        <f t="shared" ca="1" si="16"/>
        <v>#VALUE!</v>
      </c>
      <c r="G513" t="e">
        <f t="shared" ca="1" si="17"/>
        <v>#VALUE!</v>
      </c>
    </row>
    <row r="514" spans="1:7" x14ac:dyDescent="0.25">
      <c r="A514" s="1"/>
      <c r="D514" t="e" cm="1">
        <f t="array" aca="1" ref="D514" ca="1">IF(OR(COUNTIF(damper_names,_xlfn.CONCAT("D_S_",C514))=1, COUNTIF(damper_names,_xlfn.CONCAT("D_E_",C514))=1), "C", "")</f>
        <v>#VALUE!</v>
      </c>
      <c r="E514" t="e">
        <f t="shared" ca="1" si="15"/>
        <v>#VALUE!</v>
      </c>
      <c r="F514" t="e">
        <f t="shared" ca="1" si="16"/>
        <v>#VALUE!</v>
      </c>
      <c r="G514" t="e">
        <f t="shared" ca="1" si="17"/>
        <v>#VALUE!</v>
      </c>
    </row>
    <row r="515" spans="1:7" x14ac:dyDescent="0.25">
      <c r="A515" s="1"/>
      <c r="D515" t="e" cm="1">
        <f t="array" aca="1" ref="D515" ca="1">IF(OR(COUNTIF(damper_names,_xlfn.CONCAT("D_S_",C515))=1, COUNTIF(damper_names,_xlfn.CONCAT("D_E_",C515))=1), "C", "")</f>
        <v>#VALUE!</v>
      </c>
      <c r="E515" t="e">
        <f t="shared" ca="1" si="15"/>
        <v>#VALUE!</v>
      </c>
      <c r="F515" t="e">
        <f t="shared" ca="1" si="16"/>
        <v>#VALUE!</v>
      </c>
      <c r="G515" t="e">
        <f t="shared" ca="1" si="17"/>
        <v>#VALUE!</v>
      </c>
    </row>
    <row r="516" spans="1:7" x14ac:dyDescent="0.25">
      <c r="A516" s="1"/>
      <c r="D516" t="e" cm="1">
        <f t="array" aca="1" ref="D516" ca="1">IF(OR(COUNTIF(damper_names,_xlfn.CONCAT("D_S_",C516))=1, COUNTIF(damper_names,_xlfn.CONCAT("D_E_",C516))=1), "C", "")</f>
        <v>#VALUE!</v>
      </c>
      <c r="E516" t="e">
        <f t="shared" ca="1" si="15"/>
        <v>#VALUE!</v>
      </c>
      <c r="F516" t="e">
        <f t="shared" ca="1" si="16"/>
        <v>#VALUE!</v>
      </c>
      <c r="G516" t="e">
        <f t="shared" ca="1" si="17"/>
        <v>#VALUE!</v>
      </c>
    </row>
    <row r="517" spans="1:7" x14ac:dyDescent="0.25">
      <c r="A517" s="1"/>
      <c r="D517" t="e" cm="1">
        <f t="array" aca="1" ref="D517" ca="1">IF(OR(COUNTIF(damper_names,_xlfn.CONCAT("D_S_",C517))=1, COUNTIF(damper_names,_xlfn.CONCAT("D_E_",C517))=1), "C", "")</f>
        <v>#VALUE!</v>
      </c>
      <c r="E517" t="e">
        <f t="shared" ca="1" si="15"/>
        <v>#VALUE!</v>
      </c>
      <c r="F517" t="e">
        <f t="shared" ca="1" si="16"/>
        <v>#VALUE!</v>
      </c>
      <c r="G517" t="e">
        <f t="shared" ca="1" si="17"/>
        <v>#VALUE!</v>
      </c>
    </row>
    <row r="518" spans="1:7" x14ac:dyDescent="0.25">
      <c r="A518" s="1"/>
      <c r="D518" t="e" cm="1">
        <f t="array" aca="1" ref="D518" ca="1">IF(OR(COUNTIF(damper_names,_xlfn.CONCAT("D_S_",C518))=1, COUNTIF(damper_names,_xlfn.CONCAT("D_E_",C518))=1), "C", "")</f>
        <v>#VALUE!</v>
      </c>
      <c r="E518" t="e">
        <f t="shared" ca="1" si="15"/>
        <v>#VALUE!</v>
      </c>
      <c r="F518" t="e">
        <f t="shared" ca="1" si="16"/>
        <v>#VALUE!</v>
      </c>
      <c r="G518" t="e">
        <f t="shared" ca="1" si="17"/>
        <v>#VALUE!</v>
      </c>
    </row>
    <row r="519" spans="1:7" x14ac:dyDescent="0.25">
      <c r="A519" s="1"/>
      <c r="D519" t="e" cm="1">
        <f t="array" aca="1" ref="D519" ca="1">IF(OR(COUNTIF(damper_names,_xlfn.CONCAT("D_S_",C519))=1, COUNTIF(damper_names,_xlfn.CONCAT("D_E_",C519))=1), "C", "")</f>
        <v>#VALUE!</v>
      </c>
      <c r="E519" t="e">
        <f t="shared" ca="1" si="15"/>
        <v>#VALUE!</v>
      </c>
      <c r="F519" t="e">
        <f t="shared" ca="1" si="16"/>
        <v>#VALUE!</v>
      </c>
      <c r="G519" t="e">
        <f t="shared" ca="1" si="17"/>
        <v>#VALUE!</v>
      </c>
    </row>
    <row r="520" spans="1:7" x14ac:dyDescent="0.25">
      <c r="A520" s="1"/>
      <c r="D520" t="e" cm="1">
        <f t="array" aca="1" ref="D520" ca="1">IF(OR(COUNTIF(damper_names,_xlfn.CONCAT("D_S_",C520))=1, COUNTIF(damper_names,_xlfn.CONCAT("D_E_",C520))=1), "C", "")</f>
        <v>#VALUE!</v>
      </c>
      <c r="E520" t="e">
        <f t="shared" ca="1" si="15"/>
        <v>#VALUE!</v>
      </c>
      <c r="F520" t="e">
        <f t="shared" ca="1" si="16"/>
        <v>#VALUE!</v>
      </c>
      <c r="G520" t="e">
        <f t="shared" ca="1" si="17"/>
        <v>#VALUE!</v>
      </c>
    </row>
    <row r="521" spans="1:7" x14ac:dyDescent="0.25">
      <c r="A521" s="1"/>
      <c r="D521" t="e" cm="1">
        <f t="array" aca="1" ref="D521" ca="1">IF(OR(COUNTIF(damper_names,_xlfn.CONCAT("D_S_",C521))=1, COUNTIF(damper_names,_xlfn.CONCAT("D_E_",C521))=1), "C", "")</f>
        <v>#VALUE!</v>
      </c>
      <c r="E521" t="e">
        <f t="shared" ca="1" si="15"/>
        <v>#VALUE!</v>
      </c>
      <c r="F521" t="e">
        <f t="shared" ca="1" si="16"/>
        <v>#VALUE!</v>
      </c>
      <c r="G521" t="e">
        <f t="shared" ca="1" si="17"/>
        <v>#VALUE!</v>
      </c>
    </row>
    <row r="522" spans="1:7" x14ac:dyDescent="0.25">
      <c r="A522" s="1"/>
      <c r="D522" t="e" cm="1">
        <f t="array" aca="1" ref="D522" ca="1">IF(OR(COUNTIF(damper_names,_xlfn.CONCAT("D_S_",C522))=1, COUNTIF(damper_names,_xlfn.CONCAT("D_E_",C522))=1), "C", "")</f>
        <v>#VALUE!</v>
      </c>
      <c r="E522" t="e">
        <f t="shared" ca="1" si="15"/>
        <v>#VALUE!</v>
      </c>
      <c r="F522" t="e">
        <f t="shared" ca="1" si="16"/>
        <v>#VALUE!</v>
      </c>
      <c r="G522" t="e">
        <f t="shared" ca="1" si="17"/>
        <v>#VALUE!</v>
      </c>
    </row>
    <row r="523" spans="1:7" x14ac:dyDescent="0.25">
      <c r="A523" s="1"/>
      <c r="D523" t="e" cm="1">
        <f t="array" aca="1" ref="D523" ca="1">IF(OR(COUNTIF(damper_names,_xlfn.CONCAT("D_S_",C523))=1, COUNTIF(damper_names,_xlfn.CONCAT("D_E_",C523))=1), "C", "")</f>
        <v>#VALUE!</v>
      </c>
      <c r="E523" t="e">
        <f t="shared" ca="1" si="15"/>
        <v>#VALUE!</v>
      </c>
      <c r="F523" t="e">
        <f t="shared" ca="1" si="16"/>
        <v>#VALUE!</v>
      </c>
      <c r="G523" t="e">
        <f t="shared" ca="1" si="17"/>
        <v>#VALUE!</v>
      </c>
    </row>
    <row r="524" spans="1:7" x14ac:dyDescent="0.25">
      <c r="A524" s="1"/>
      <c r="D524" t="e" cm="1">
        <f t="array" aca="1" ref="D524" ca="1">IF(OR(COUNTIF(damper_names,_xlfn.CONCAT("D_S_",C524))=1, COUNTIF(damper_names,_xlfn.CONCAT("D_E_",C524))=1), "C", "")</f>
        <v>#VALUE!</v>
      </c>
      <c r="E524" t="e">
        <f t="shared" ca="1" si="15"/>
        <v>#VALUE!</v>
      </c>
      <c r="F524" t="e">
        <f t="shared" ca="1" si="16"/>
        <v>#VALUE!</v>
      </c>
      <c r="G524" t="e">
        <f t="shared" ca="1" si="17"/>
        <v>#VALUE!</v>
      </c>
    </row>
    <row r="525" spans="1:7" x14ac:dyDescent="0.25">
      <c r="A525" s="1"/>
      <c r="D525" t="e" cm="1">
        <f t="array" aca="1" ref="D525" ca="1">IF(OR(COUNTIF(damper_names,_xlfn.CONCAT("D_S_",C525))=1, COUNTIF(damper_names,_xlfn.CONCAT("D_E_",C525))=1), "C", "")</f>
        <v>#VALUE!</v>
      </c>
      <c r="E525" t="e">
        <f t="shared" ca="1" si="15"/>
        <v>#VALUE!</v>
      </c>
      <c r="F525" t="e">
        <f t="shared" ca="1" si="16"/>
        <v>#VALUE!</v>
      </c>
      <c r="G525" t="e">
        <f t="shared" ca="1" si="17"/>
        <v>#VALUE!</v>
      </c>
    </row>
    <row r="526" spans="1:7" x14ac:dyDescent="0.25">
      <c r="A526" s="1"/>
      <c r="D526" t="e" cm="1">
        <f t="array" aca="1" ref="D526" ca="1">IF(OR(COUNTIF(damper_names,_xlfn.CONCAT("D_S_",C526))=1, COUNTIF(damper_names,_xlfn.CONCAT("D_E_",C526))=1), "C", "")</f>
        <v>#VALUE!</v>
      </c>
      <c r="E526" t="e">
        <f t="shared" ca="1" si="15"/>
        <v>#VALUE!</v>
      </c>
      <c r="F526" t="e">
        <f t="shared" ca="1" si="16"/>
        <v>#VALUE!</v>
      </c>
      <c r="G526" t="e">
        <f t="shared" ca="1" si="17"/>
        <v>#VALUE!</v>
      </c>
    </row>
    <row r="527" spans="1:7" x14ac:dyDescent="0.25">
      <c r="A527" s="1"/>
      <c r="D527" t="e" cm="1">
        <f t="array" aca="1" ref="D527" ca="1">IF(OR(COUNTIF(damper_names,_xlfn.CONCAT("D_S_",C527))=1, COUNTIF(damper_names,_xlfn.CONCAT("D_E_",C527))=1), "C", "")</f>
        <v>#VALUE!</v>
      </c>
      <c r="E527" t="e">
        <f t="shared" ca="1" si="15"/>
        <v>#VALUE!</v>
      </c>
      <c r="F527" t="e">
        <f t="shared" ca="1" si="16"/>
        <v>#VALUE!</v>
      </c>
      <c r="G527" t="e">
        <f t="shared" ca="1" si="17"/>
        <v>#VALUE!</v>
      </c>
    </row>
    <row r="528" spans="1:7" x14ac:dyDescent="0.25">
      <c r="A528" s="1"/>
      <c r="D528" t="e" cm="1">
        <f t="array" aca="1" ref="D528" ca="1">IF(OR(COUNTIF(damper_names,_xlfn.CONCAT("D_S_",C528))=1, COUNTIF(damper_names,_xlfn.CONCAT("D_E_",C528))=1), "C", "")</f>
        <v>#VALUE!</v>
      </c>
      <c r="E528" t="e">
        <f t="shared" ca="1" si="15"/>
        <v>#VALUE!</v>
      </c>
      <c r="F528" t="e">
        <f t="shared" ca="1" si="16"/>
        <v>#VALUE!</v>
      </c>
      <c r="G528" t="e">
        <f t="shared" ca="1" si="17"/>
        <v>#VALUE!</v>
      </c>
    </row>
    <row r="529" spans="1:7" x14ac:dyDescent="0.25">
      <c r="A529" s="1"/>
      <c r="D529" t="e" cm="1">
        <f t="array" aca="1" ref="D529" ca="1">IF(OR(COUNTIF(damper_names,_xlfn.CONCAT("D_S_",C529))=1, COUNTIF(damper_names,_xlfn.CONCAT("D_E_",C529))=1), "C", "")</f>
        <v>#VALUE!</v>
      </c>
      <c r="E529" t="e">
        <f t="shared" ca="1" si="15"/>
        <v>#VALUE!</v>
      </c>
      <c r="F529" t="e">
        <f t="shared" ca="1" si="16"/>
        <v>#VALUE!</v>
      </c>
      <c r="G529" t="e">
        <f t="shared" ca="1" si="17"/>
        <v>#VALUE!</v>
      </c>
    </row>
    <row r="530" spans="1:7" x14ac:dyDescent="0.25">
      <c r="A530" s="1"/>
      <c r="D530" t="e" cm="1">
        <f t="array" aca="1" ref="D530" ca="1">IF(OR(COUNTIF(damper_names,_xlfn.CONCAT("D_S_",C530))=1, COUNTIF(damper_names,_xlfn.CONCAT("D_E_",C530))=1), "C", "")</f>
        <v>#VALUE!</v>
      </c>
      <c r="E530" t="e">
        <f t="shared" ca="1" si="15"/>
        <v>#VALUE!</v>
      </c>
      <c r="F530" t="e">
        <f t="shared" ca="1" si="16"/>
        <v>#VALUE!</v>
      </c>
      <c r="G530" t="e">
        <f t="shared" ca="1" si="17"/>
        <v>#VALUE!</v>
      </c>
    </row>
    <row r="531" spans="1:7" x14ac:dyDescent="0.25">
      <c r="A531" s="1"/>
      <c r="D531" t="e" cm="1">
        <f t="array" aca="1" ref="D531" ca="1">IF(OR(COUNTIF(damper_names,_xlfn.CONCAT("D_S_",C531))=1, COUNTIF(damper_names,_xlfn.CONCAT("D_E_",C531))=1), "C", "")</f>
        <v>#VALUE!</v>
      </c>
      <c r="E531" t="e">
        <f t="shared" ca="1" si="15"/>
        <v>#VALUE!</v>
      </c>
      <c r="F531" t="e">
        <f t="shared" ca="1" si="16"/>
        <v>#VALUE!</v>
      </c>
      <c r="G531" t="e">
        <f t="shared" ca="1" si="17"/>
        <v>#VALUE!</v>
      </c>
    </row>
    <row r="532" spans="1:7" x14ac:dyDescent="0.25">
      <c r="A532" s="1"/>
      <c r="D532" t="e" cm="1">
        <f t="array" aca="1" ref="D532" ca="1">IF(OR(COUNTIF(damper_names,_xlfn.CONCAT("D_S_",C532))=1, COUNTIF(damper_names,_xlfn.CONCAT("D_E_",C532))=1), "C", "")</f>
        <v>#VALUE!</v>
      </c>
      <c r="E532" t="e">
        <f t="shared" ca="1" si="15"/>
        <v>#VALUE!</v>
      </c>
      <c r="F532" t="e">
        <f t="shared" ca="1" si="16"/>
        <v>#VALUE!</v>
      </c>
      <c r="G532" t="e">
        <f t="shared" ca="1" si="17"/>
        <v>#VALUE!</v>
      </c>
    </row>
    <row r="533" spans="1:7" x14ac:dyDescent="0.25">
      <c r="A533" s="1"/>
      <c r="D533" t="e" cm="1">
        <f t="array" aca="1" ref="D533" ca="1">IF(OR(COUNTIF(damper_names,_xlfn.CONCAT("D_S_",C533))=1, COUNTIF(damper_names,_xlfn.CONCAT("D_E_",C533))=1), "C", "")</f>
        <v>#VALUE!</v>
      </c>
      <c r="E533" t="e">
        <f t="shared" ca="1" si="15"/>
        <v>#VALUE!</v>
      </c>
      <c r="F533" t="e">
        <f t="shared" ca="1" si="16"/>
        <v>#VALUE!</v>
      </c>
      <c r="G533" t="e">
        <f t="shared" ca="1" si="17"/>
        <v>#VALUE!</v>
      </c>
    </row>
    <row r="534" spans="1:7" x14ac:dyDescent="0.25">
      <c r="A534" s="1"/>
      <c r="D534" t="e" cm="1">
        <f t="array" aca="1" ref="D534" ca="1">IF(OR(COUNTIF(damper_names,_xlfn.CONCAT("D_S_",C534))=1, COUNTIF(damper_names,_xlfn.CONCAT("D_E_",C534))=1), "C", "")</f>
        <v>#VALUE!</v>
      </c>
      <c r="E534" t="e">
        <f t="shared" ca="1" si="15"/>
        <v>#VALUE!</v>
      </c>
      <c r="F534" t="e">
        <f t="shared" ca="1" si="16"/>
        <v>#VALUE!</v>
      </c>
      <c r="G534" t="e">
        <f t="shared" ca="1" si="17"/>
        <v>#VALUE!</v>
      </c>
    </row>
    <row r="535" spans="1:7" x14ac:dyDescent="0.25">
      <c r="A535" s="1"/>
      <c r="D535" t="e" cm="1">
        <f t="array" aca="1" ref="D535" ca="1">IF(OR(COUNTIF(damper_names,_xlfn.CONCAT("D_S_",C535))=1, COUNTIF(damper_names,_xlfn.CONCAT("D_E_",C535))=1), "C", "")</f>
        <v>#VALUE!</v>
      </c>
      <c r="E535" t="e">
        <f t="shared" ca="1" si="15"/>
        <v>#VALUE!</v>
      </c>
      <c r="F535" t="e">
        <f t="shared" ca="1" si="16"/>
        <v>#VALUE!</v>
      </c>
      <c r="G535" t="e">
        <f t="shared" ca="1" si="17"/>
        <v>#VALUE!</v>
      </c>
    </row>
    <row r="536" spans="1:7" x14ac:dyDescent="0.25">
      <c r="A536" s="1"/>
      <c r="D536" t="e" cm="1">
        <f t="array" aca="1" ref="D536" ca="1">IF(OR(COUNTIF(damper_names,_xlfn.CONCAT("D_S_",C536))=1, COUNTIF(damper_names,_xlfn.CONCAT("D_E_",C536))=1), "C", "")</f>
        <v>#VALUE!</v>
      </c>
      <c r="E536" t="e">
        <f t="shared" ca="1" si="15"/>
        <v>#VALUE!</v>
      </c>
      <c r="F536" t="e">
        <f t="shared" ca="1" si="16"/>
        <v>#VALUE!</v>
      </c>
      <c r="G536" t="e">
        <f t="shared" ca="1" si="17"/>
        <v>#VALUE!</v>
      </c>
    </row>
    <row r="537" spans="1:7" x14ac:dyDescent="0.25">
      <c r="A537" s="1"/>
      <c r="D537" t="e" cm="1">
        <f t="array" aca="1" ref="D537" ca="1">IF(OR(COUNTIF(damper_names,_xlfn.CONCAT("D_S_",C537))=1, COUNTIF(damper_names,_xlfn.CONCAT("D_E_",C537))=1), "C", "")</f>
        <v>#VALUE!</v>
      </c>
      <c r="E537" t="e">
        <f t="shared" ca="1" si="15"/>
        <v>#VALUE!</v>
      </c>
      <c r="F537" t="e">
        <f t="shared" ca="1" si="16"/>
        <v>#VALUE!</v>
      </c>
      <c r="G537" t="e">
        <f t="shared" ca="1" si="17"/>
        <v>#VALUE!</v>
      </c>
    </row>
    <row r="538" spans="1:7" x14ac:dyDescent="0.25">
      <c r="A538" s="1"/>
      <c r="D538" t="e" cm="1">
        <f t="array" aca="1" ref="D538" ca="1">IF(OR(COUNTIF(damper_names,_xlfn.CONCAT("D_S_",C538))=1, COUNTIF(damper_names,_xlfn.CONCAT("D_E_",C538))=1), "C", "")</f>
        <v>#VALUE!</v>
      </c>
      <c r="E538" t="e">
        <f t="shared" ca="1" si="15"/>
        <v>#VALUE!</v>
      </c>
      <c r="F538" t="e">
        <f t="shared" ca="1" si="16"/>
        <v>#VALUE!</v>
      </c>
      <c r="G538" t="e">
        <f t="shared" ca="1" si="17"/>
        <v>#VALUE!</v>
      </c>
    </row>
    <row r="539" spans="1:7" x14ac:dyDescent="0.25">
      <c r="A539" s="1"/>
      <c r="D539" t="e" cm="1">
        <f t="array" aca="1" ref="D539" ca="1">IF(OR(COUNTIF(damper_names,_xlfn.CONCAT("D_S_",C539))=1, COUNTIF(damper_names,_xlfn.CONCAT("D_E_",C539))=1), "C", "")</f>
        <v>#VALUE!</v>
      </c>
      <c r="E539" t="e">
        <f t="shared" ca="1" si="15"/>
        <v>#VALUE!</v>
      </c>
      <c r="F539" t="e">
        <f t="shared" ca="1" si="16"/>
        <v>#VALUE!</v>
      </c>
      <c r="G539" t="e">
        <f t="shared" ca="1" si="17"/>
        <v>#VALUE!</v>
      </c>
    </row>
    <row r="540" spans="1:7" x14ac:dyDescent="0.25">
      <c r="A540" s="1"/>
      <c r="D540" t="e" cm="1">
        <f t="array" aca="1" ref="D540" ca="1">IF(OR(COUNTIF(damper_names,_xlfn.CONCAT("D_S_",C540))=1, COUNTIF(damper_names,_xlfn.CONCAT("D_E_",C540))=1), "C", "")</f>
        <v>#VALUE!</v>
      </c>
      <c r="E540" t="e">
        <f t="shared" ca="1" si="15"/>
        <v>#VALUE!</v>
      </c>
      <c r="F540" t="e">
        <f t="shared" ca="1" si="16"/>
        <v>#VALUE!</v>
      </c>
      <c r="G540" t="e">
        <f t="shared" ca="1" si="17"/>
        <v>#VALUE!</v>
      </c>
    </row>
    <row r="541" spans="1:7" x14ac:dyDescent="0.25">
      <c r="A541" s="1"/>
      <c r="D541" t="e" cm="1">
        <f t="array" aca="1" ref="D541" ca="1">IF(OR(COUNTIF(damper_names,_xlfn.CONCAT("D_S_",C541))=1, COUNTIF(damper_names,_xlfn.CONCAT("D_E_",C541))=1), "C", "")</f>
        <v>#VALUE!</v>
      </c>
      <c r="E541" t="e">
        <f t="shared" ca="1" si="15"/>
        <v>#VALUE!</v>
      </c>
      <c r="F541" t="e">
        <f t="shared" ca="1" si="16"/>
        <v>#VALUE!</v>
      </c>
      <c r="G541" t="e">
        <f t="shared" ca="1" si="17"/>
        <v>#VALUE!</v>
      </c>
    </row>
    <row r="542" spans="1:7" x14ac:dyDescent="0.25">
      <c r="A542" s="1"/>
      <c r="D542" t="e" cm="1">
        <f t="array" aca="1" ref="D542" ca="1">IF(OR(COUNTIF(damper_names,_xlfn.CONCAT("D_S_",C542))=1, COUNTIF(damper_names,_xlfn.CONCAT("D_E_",C542))=1), "C", "")</f>
        <v>#VALUE!</v>
      </c>
      <c r="E542" t="e">
        <f t="shared" ca="1" si="15"/>
        <v>#VALUE!</v>
      </c>
      <c r="F542" t="e">
        <f t="shared" ca="1" si="16"/>
        <v>#VALUE!</v>
      </c>
      <c r="G542" t="e">
        <f t="shared" ca="1" si="17"/>
        <v>#VALUE!</v>
      </c>
    </row>
    <row r="543" spans="1:7" x14ac:dyDescent="0.25">
      <c r="A543" s="1"/>
      <c r="D543" t="e" cm="1">
        <f t="array" aca="1" ref="D543" ca="1">IF(OR(COUNTIF(damper_names,_xlfn.CONCAT("D_S_",C543))=1, COUNTIF(damper_names,_xlfn.CONCAT("D_E_",C543))=1), "C", "")</f>
        <v>#VALUE!</v>
      </c>
      <c r="E543" t="e">
        <f t="shared" ca="1" si="15"/>
        <v>#VALUE!</v>
      </c>
      <c r="F543" t="e">
        <f t="shared" ca="1" si="16"/>
        <v>#VALUE!</v>
      </c>
      <c r="G543" t="e">
        <f t="shared" ca="1" si="17"/>
        <v>#VALUE!</v>
      </c>
    </row>
    <row r="544" spans="1:7" x14ac:dyDescent="0.25">
      <c r="A544" s="1"/>
      <c r="D544" t="e" cm="1">
        <f t="array" aca="1" ref="D544" ca="1">IF(OR(COUNTIF(damper_names,_xlfn.CONCAT("D_S_",C544))=1, COUNTIF(damper_names,_xlfn.CONCAT("D_E_",C544))=1), "C", "")</f>
        <v>#VALUE!</v>
      </c>
      <c r="E544" t="e">
        <f t="shared" ca="1" si="15"/>
        <v>#VALUE!</v>
      </c>
      <c r="F544" t="e">
        <f t="shared" ca="1" si="16"/>
        <v>#VALUE!</v>
      </c>
      <c r="G544" t="e">
        <f t="shared" ca="1" si="17"/>
        <v>#VALUE!</v>
      </c>
    </row>
    <row r="545" spans="1:7" x14ac:dyDescent="0.25">
      <c r="A545" s="1"/>
      <c r="D545" t="e" cm="1">
        <f t="array" aca="1" ref="D545" ca="1">IF(OR(COUNTIF(damper_names,_xlfn.CONCAT("D_S_",C545))=1, COUNTIF(damper_names,_xlfn.CONCAT("D_E_",C545))=1), "C", "")</f>
        <v>#VALUE!</v>
      </c>
      <c r="E545" t="e">
        <f t="shared" ca="1" si="15"/>
        <v>#VALUE!</v>
      </c>
      <c r="F545" t="e">
        <f t="shared" ca="1" si="16"/>
        <v>#VALUE!</v>
      </c>
      <c r="G545" t="e">
        <f t="shared" ca="1" si="17"/>
        <v>#VALUE!</v>
      </c>
    </row>
    <row r="546" spans="1:7" x14ac:dyDescent="0.25">
      <c r="A546" s="1"/>
      <c r="D546" t="e" cm="1">
        <f t="array" aca="1" ref="D546" ca="1">IF(OR(COUNTIF(damper_names,_xlfn.CONCAT("D_S_",C546))=1, COUNTIF(damper_names,_xlfn.CONCAT("D_E_",C546))=1), "C", "")</f>
        <v>#VALUE!</v>
      </c>
      <c r="E546" t="e">
        <f t="shared" ca="1" si="15"/>
        <v>#VALUE!</v>
      </c>
      <c r="F546" t="e">
        <f t="shared" ca="1" si="16"/>
        <v>#VALUE!</v>
      </c>
      <c r="G546" t="e">
        <f t="shared" ca="1" si="17"/>
        <v>#VALUE!</v>
      </c>
    </row>
    <row r="547" spans="1:7" x14ac:dyDescent="0.25">
      <c r="A547" s="1"/>
      <c r="D547" t="e" cm="1">
        <f t="array" aca="1" ref="D547" ca="1">IF(OR(COUNTIF(damper_names,_xlfn.CONCAT("D_S_",C547))=1, COUNTIF(damper_names,_xlfn.CONCAT("D_E_",C547))=1), "C", "")</f>
        <v>#VALUE!</v>
      </c>
      <c r="E547" t="e">
        <f t="shared" ca="1" si="15"/>
        <v>#VALUE!</v>
      </c>
      <c r="F547" t="e">
        <f t="shared" ca="1" si="16"/>
        <v>#VALUE!</v>
      </c>
      <c r="G547" t="e">
        <f t="shared" ca="1" si="17"/>
        <v>#VALUE!</v>
      </c>
    </row>
    <row r="548" spans="1:7" x14ac:dyDescent="0.25">
      <c r="A548" s="1"/>
      <c r="D548" t="e" cm="1">
        <f t="array" aca="1" ref="D548" ca="1">IF(OR(COUNTIF(damper_names,_xlfn.CONCAT("D_S_",C548))=1, COUNTIF(damper_names,_xlfn.CONCAT("D_E_",C548))=1), "C", "")</f>
        <v>#VALUE!</v>
      </c>
      <c r="E548" t="e">
        <f t="shared" ca="1" si="15"/>
        <v>#VALUE!</v>
      </c>
      <c r="F548" t="e">
        <f t="shared" ca="1" si="16"/>
        <v>#VALUE!</v>
      </c>
      <c r="G548" t="e">
        <f t="shared" ca="1" si="17"/>
        <v>#VALUE!</v>
      </c>
    </row>
    <row r="549" spans="1:7" x14ac:dyDescent="0.25">
      <c r="A549" s="1"/>
      <c r="D549" t="e" cm="1">
        <f t="array" aca="1" ref="D549" ca="1">IF(OR(COUNTIF(damper_names,_xlfn.CONCAT("D_S_",C549))=1, COUNTIF(damper_names,_xlfn.CONCAT("D_E_",C549))=1), "C", "")</f>
        <v>#VALUE!</v>
      </c>
      <c r="E549" t="e">
        <f t="shared" ca="1" si="15"/>
        <v>#VALUE!</v>
      </c>
      <c r="F549" t="e">
        <f t="shared" ca="1" si="16"/>
        <v>#VALUE!</v>
      </c>
      <c r="G549" t="e">
        <f t="shared" ca="1" si="17"/>
        <v>#VALUE!</v>
      </c>
    </row>
    <row r="550" spans="1:7" x14ac:dyDescent="0.25">
      <c r="A550" s="1"/>
      <c r="D550" t="e" cm="1">
        <f t="array" aca="1" ref="D550" ca="1">IF(OR(COUNTIF(damper_names,_xlfn.CONCAT("D_S_",C550))=1, COUNTIF(damper_names,_xlfn.CONCAT("D_E_",C550))=1), "C", "")</f>
        <v>#VALUE!</v>
      </c>
      <c r="E550" t="e">
        <f t="shared" ca="1" si="15"/>
        <v>#VALUE!</v>
      </c>
      <c r="F550" t="e">
        <f t="shared" ca="1" si="16"/>
        <v>#VALUE!</v>
      </c>
      <c r="G550" t="e">
        <f t="shared" ca="1" si="17"/>
        <v>#VALUE!</v>
      </c>
    </row>
    <row r="551" spans="1:7" x14ac:dyDescent="0.25">
      <c r="A551" s="1"/>
      <c r="D551" t="e" cm="1">
        <f t="array" aca="1" ref="D551" ca="1">IF(OR(COUNTIF(damper_names,_xlfn.CONCAT("D_S_",C551))=1, COUNTIF(damper_names,_xlfn.CONCAT("D_E_",C551))=1), "C", "")</f>
        <v>#VALUE!</v>
      </c>
      <c r="E551" t="e">
        <f t="shared" ca="1" si="15"/>
        <v>#VALUE!</v>
      </c>
      <c r="F551" t="e">
        <f t="shared" ca="1" si="16"/>
        <v>#VALUE!</v>
      </c>
      <c r="G551" t="e">
        <f t="shared" ca="1" si="17"/>
        <v>#VALUE!</v>
      </c>
    </row>
    <row r="552" spans="1:7" x14ac:dyDescent="0.25">
      <c r="A552" s="1"/>
      <c r="D552" t="e" cm="1">
        <f t="array" aca="1" ref="D552" ca="1">IF(OR(COUNTIF(damper_names,_xlfn.CONCAT("D_S_",C552))=1, COUNTIF(damper_names,_xlfn.CONCAT("D_E_",C552))=1), "C", "")</f>
        <v>#VALUE!</v>
      </c>
      <c r="E552" t="e">
        <f t="shared" ca="1" si="15"/>
        <v>#VALUE!</v>
      </c>
      <c r="F552" t="e">
        <f t="shared" ca="1" si="16"/>
        <v>#VALUE!</v>
      </c>
      <c r="G552" t="e">
        <f t="shared" ca="1" si="17"/>
        <v>#VALUE!</v>
      </c>
    </row>
    <row r="553" spans="1:7" x14ac:dyDescent="0.25">
      <c r="A553" s="1"/>
      <c r="D553" t="e" cm="1">
        <f t="array" aca="1" ref="D553" ca="1">IF(OR(COUNTIF(damper_names,_xlfn.CONCAT("D_S_",C553))=1, COUNTIF(damper_names,_xlfn.CONCAT("D_E_",C553))=1), "C", "")</f>
        <v>#VALUE!</v>
      </c>
      <c r="E553" t="e">
        <f t="shared" ca="1" si="15"/>
        <v>#VALUE!</v>
      </c>
      <c r="F553" t="e">
        <f t="shared" ca="1" si="16"/>
        <v>#VALUE!</v>
      </c>
      <c r="G553" t="e">
        <f t="shared" ca="1" si="17"/>
        <v>#VALUE!</v>
      </c>
    </row>
    <row r="554" spans="1:7" x14ac:dyDescent="0.25">
      <c r="A554" s="1"/>
      <c r="D554" t="e" cm="1">
        <f t="array" aca="1" ref="D554" ca="1">IF(OR(COUNTIF(damper_names,_xlfn.CONCAT("D_S_",C554))=1, COUNTIF(damper_names,_xlfn.CONCAT("D_E_",C554))=1), "C", "")</f>
        <v>#VALUE!</v>
      </c>
      <c r="E554" t="e">
        <f t="shared" ca="1" si="15"/>
        <v>#VALUE!</v>
      </c>
      <c r="F554" t="e">
        <f t="shared" ca="1" si="16"/>
        <v>#VALUE!</v>
      </c>
      <c r="G554" t="e">
        <f t="shared" ca="1" si="17"/>
        <v>#VALUE!</v>
      </c>
    </row>
    <row r="555" spans="1:7" x14ac:dyDescent="0.25">
      <c r="A555" s="1"/>
      <c r="D555" t="e" cm="1">
        <f t="array" aca="1" ref="D555" ca="1">IF(OR(COUNTIF(damper_names,_xlfn.CONCAT("D_S_",C555))=1, COUNTIF(damper_names,_xlfn.CONCAT("D_E_",C555))=1), "C", "")</f>
        <v>#VALUE!</v>
      </c>
      <c r="E555" t="e">
        <f t="shared" ca="1" si="15"/>
        <v>#VALUE!</v>
      </c>
      <c r="F555" t="e">
        <f t="shared" ca="1" si="16"/>
        <v>#VALUE!</v>
      </c>
      <c r="G555" t="e">
        <f t="shared" ca="1" si="17"/>
        <v>#VALUE!</v>
      </c>
    </row>
    <row r="556" spans="1:7" x14ac:dyDescent="0.25">
      <c r="A556" s="1"/>
      <c r="D556" t="e" cm="1">
        <f t="array" aca="1" ref="D556" ca="1">IF(OR(COUNTIF(damper_names,_xlfn.CONCAT("D_S_",C556))=1, COUNTIF(damper_names,_xlfn.CONCAT("D_E_",C556))=1), "C", "")</f>
        <v>#VALUE!</v>
      </c>
      <c r="E556" t="e">
        <f t="shared" ca="1" si="15"/>
        <v>#VALUE!</v>
      </c>
      <c r="F556" t="e">
        <f t="shared" ca="1" si="16"/>
        <v>#VALUE!</v>
      </c>
      <c r="G556" t="e">
        <f t="shared" ca="1" si="17"/>
        <v>#VALUE!</v>
      </c>
    </row>
    <row r="557" spans="1:7" x14ac:dyDescent="0.25">
      <c r="A557" s="1"/>
      <c r="D557" t="e" cm="1">
        <f t="array" aca="1" ref="D557" ca="1">IF(OR(COUNTIF(damper_names,_xlfn.CONCAT("D_S_",C557))=1, COUNTIF(damper_names,_xlfn.CONCAT("D_E_",C557))=1), "C", "")</f>
        <v>#VALUE!</v>
      </c>
      <c r="E557" t="e">
        <f t="shared" ca="1" si="15"/>
        <v>#VALUE!</v>
      </c>
      <c r="F557" t="e">
        <f t="shared" ca="1" si="16"/>
        <v>#VALUE!</v>
      </c>
      <c r="G557" t="e">
        <f t="shared" ca="1" si="17"/>
        <v>#VALUE!</v>
      </c>
    </row>
    <row r="558" spans="1:7" x14ac:dyDescent="0.25">
      <c r="A558" s="1"/>
      <c r="D558" t="e" cm="1">
        <f t="array" aca="1" ref="D558" ca="1">IF(OR(COUNTIF(damper_names,_xlfn.CONCAT("D_S_",C558))=1, COUNTIF(damper_names,_xlfn.CONCAT("D_E_",C558))=1), "C", "")</f>
        <v>#VALUE!</v>
      </c>
      <c r="E558" t="e">
        <f t="shared" ca="1" si="15"/>
        <v>#VALUE!</v>
      </c>
      <c r="F558" t="e">
        <f t="shared" ca="1" si="16"/>
        <v>#VALUE!</v>
      </c>
      <c r="G558" t="e">
        <f t="shared" ca="1" si="17"/>
        <v>#VALUE!</v>
      </c>
    </row>
    <row r="559" spans="1:7" x14ac:dyDescent="0.25">
      <c r="A559" s="1"/>
      <c r="D559" t="e" cm="1">
        <f t="array" aca="1" ref="D559" ca="1">IF(OR(COUNTIF(damper_names,_xlfn.CONCAT("D_S_",C559))=1, COUNTIF(damper_names,_xlfn.CONCAT("D_E_",C559))=1), "C", "")</f>
        <v>#VALUE!</v>
      </c>
      <c r="E559" t="e">
        <f t="shared" ca="1" si="15"/>
        <v>#VALUE!</v>
      </c>
      <c r="F559" t="e">
        <f t="shared" ca="1" si="16"/>
        <v>#VALUE!</v>
      </c>
      <c r="G559" t="e">
        <f t="shared" ca="1" si="17"/>
        <v>#VALUE!</v>
      </c>
    </row>
    <row r="560" spans="1:7" x14ac:dyDescent="0.25">
      <c r="A560" s="1"/>
      <c r="D560" t="e" cm="1">
        <f t="array" aca="1" ref="D560" ca="1">IF(OR(COUNTIF(damper_names,_xlfn.CONCAT("D_S_",C560))=1, COUNTIF(damper_names,_xlfn.CONCAT("D_E_",C560))=1), "C", "")</f>
        <v>#VALUE!</v>
      </c>
      <c r="E560" t="e">
        <f t="shared" ca="1" si="15"/>
        <v>#VALUE!</v>
      </c>
      <c r="F560" t="e">
        <f t="shared" ca="1" si="16"/>
        <v>#VALUE!</v>
      </c>
      <c r="G560" t="e">
        <f t="shared" ca="1" si="17"/>
        <v>#VALUE!</v>
      </c>
    </row>
    <row r="561" spans="1:7" x14ac:dyDescent="0.25">
      <c r="A561" s="1"/>
      <c r="D561" t="e" cm="1">
        <f t="array" aca="1" ref="D561" ca="1">IF(OR(COUNTIF(damper_names,_xlfn.CONCAT("D_S_",C561))=1, COUNTIF(damper_names,_xlfn.CONCAT("D_E_",C561))=1), "C", "")</f>
        <v>#VALUE!</v>
      </c>
      <c r="E561" t="e">
        <f t="shared" ca="1" si="15"/>
        <v>#VALUE!</v>
      </c>
      <c r="F561" t="e">
        <f t="shared" ca="1" si="16"/>
        <v>#VALUE!</v>
      </c>
      <c r="G561" t="e">
        <f t="shared" ca="1" si="17"/>
        <v>#VALUE!</v>
      </c>
    </row>
    <row r="562" spans="1:7" x14ac:dyDescent="0.25">
      <c r="A562" s="1"/>
      <c r="D562" t="e" cm="1">
        <f t="array" aca="1" ref="D562" ca="1">IF(OR(COUNTIF(damper_names,_xlfn.CONCAT("D_S_",C562))=1, COUNTIF(damper_names,_xlfn.CONCAT("D_E_",C562))=1), "C", "")</f>
        <v>#VALUE!</v>
      </c>
      <c r="E562" t="e">
        <f t="shared" ca="1" si="15"/>
        <v>#VALUE!</v>
      </c>
      <c r="F562" t="e">
        <f t="shared" ca="1" si="16"/>
        <v>#VALUE!</v>
      </c>
      <c r="G562" t="e">
        <f t="shared" ca="1" si="17"/>
        <v>#VALUE!</v>
      </c>
    </row>
    <row r="563" spans="1:7" x14ac:dyDescent="0.25">
      <c r="A563" s="1"/>
      <c r="D563" t="e" cm="1">
        <f t="array" aca="1" ref="D563" ca="1">IF(OR(COUNTIF(damper_names,_xlfn.CONCAT("D_S_",C563))=1, COUNTIF(damper_names,_xlfn.CONCAT("D_E_",C563))=1), "C", "")</f>
        <v>#VALUE!</v>
      </c>
      <c r="E563" t="e">
        <f t="shared" ref="E563:E626" ca="1" si="18">IF(D563="T", 0.05, IF(D563="C", -0.01, ""))</f>
        <v>#VALUE!</v>
      </c>
      <c r="F563" t="e">
        <f t="shared" ref="F563:F626" ca="1" si="19">IF(D563="T", 0.05, IF(D563="C", 0, ""))</f>
        <v>#VALUE!</v>
      </c>
      <c r="G563" t="e">
        <f t="shared" ref="G563:G626" ca="1" si="20">IF(D563="T", 0, IF(D563="C", 0, ""))</f>
        <v>#VALUE!</v>
      </c>
    </row>
    <row r="564" spans="1:7" x14ac:dyDescent="0.25">
      <c r="A564" s="1"/>
      <c r="D564" t="e" cm="1">
        <f t="array" aca="1" ref="D564" ca="1">IF(OR(COUNTIF(damper_names,_xlfn.CONCAT("D_S_",C564))=1, COUNTIF(damper_names,_xlfn.CONCAT("D_E_",C564))=1), "C", "")</f>
        <v>#VALUE!</v>
      </c>
      <c r="E564" t="e">
        <f t="shared" ca="1" si="18"/>
        <v>#VALUE!</v>
      </c>
      <c r="F564" t="e">
        <f t="shared" ca="1" si="19"/>
        <v>#VALUE!</v>
      </c>
      <c r="G564" t="e">
        <f t="shared" ca="1" si="20"/>
        <v>#VALUE!</v>
      </c>
    </row>
    <row r="565" spans="1:7" x14ac:dyDescent="0.25">
      <c r="A565" s="1"/>
      <c r="D565" t="e" cm="1">
        <f t="array" aca="1" ref="D565" ca="1">IF(OR(COUNTIF(damper_names,_xlfn.CONCAT("D_S_",C565))=1, COUNTIF(damper_names,_xlfn.CONCAT("D_E_",C565))=1), "C", "")</f>
        <v>#VALUE!</v>
      </c>
      <c r="E565" t="e">
        <f t="shared" ca="1" si="18"/>
        <v>#VALUE!</v>
      </c>
      <c r="F565" t="e">
        <f t="shared" ca="1" si="19"/>
        <v>#VALUE!</v>
      </c>
      <c r="G565" t="e">
        <f t="shared" ca="1" si="20"/>
        <v>#VALUE!</v>
      </c>
    </row>
    <row r="566" spans="1:7" x14ac:dyDescent="0.25">
      <c r="A566" s="1"/>
      <c r="D566" t="e" cm="1">
        <f t="array" aca="1" ref="D566" ca="1">IF(OR(COUNTIF(damper_names,_xlfn.CONCAT("D_S_",C566))=1, COUNTIF(damper_names,_xlfn.CONCAT("D_E_",C566))=1), "C", "")</f>
        <v>#VALUE!</v>
      </c>
      <c r="E566" t="e">
        <f t="shared" ca="1" si="18"/>
        <v>#VALUE!</v>
      </c>
      <c r="F566" t="e">
        <f t="shared" ca="1" si="19"/>
        <v>#VALUE!</v>
      </c>
      <c r="G566" t="e">
        <f t="shared" ca="1" si="20"/>
        <v>#VALUE!</v>
      </c>
    </row>
    <row r="567" spans="1:7" x14ac:dyDescent="0.25">
      <c r="A567" s="1"/>
      <c r="D567" t="e" cm="1">
        <f t="array" aca="1" ref="D567" ca="1">IF(OR(COUNTIF(damper_names,_xlfn.CONCAT("D_S_",C567))=1, COUNTIF(damper_names,_xlfn.CONCAT("D_E_",C567))=1), "C", "")</f>
        <v>#VALUE!</v>
      </c>
      <c r="E567" t="e">
        <f t="shared" ca="1" si="18"/>
        <v>#VALUE!</v>
      </c>
      <c r="F567" t="e">
        <f t="shared" ca="1" si="19"/>
        <v>#VALUE!</v>
      </c>
      <c r="G567" t="e">
        <f t="shared" ca="1" si="20"/>
        <v>#VALUE!</v>
      </c>
    </row>
    <row r="568" spans="1:7" x14ac:dyDescent="0.25">
      <c r="A568" s="1"/>
      <c r="D568" t="e" cm="1">
        <f t="array" aca="1" ref="D568" ca="1">IF(OR(COUNTIF(damper_names,_xlfn.CONCAT("D_S_",C568))=1, COUNTIF(damper_names,_xlfn.CONCAT("D_E_",C568))=1), "C", "")</f>
        <v>#VALUE!</v>
      </c>
      <c r="E568" t="e">
        <f t="shared" ca="1" si="18"/>
        <v>#VALUE!</v>
      </c>
      <c r="F568" t="e">
        <f t="shared" ca="1" si="19"/>
        <v>#VALUE!</v>
      </c>
      <c r="G568" t="e">
        <f t="shared" ca="1" si="20"/>
        <v>#VALUE!</v>
      </c>
    </row>
    <row r="569" spans="1:7" x14ac:dyDescent="0.25">
      <c r="A569" s="1"/>
      <c r="D569" t="e" cm="1">
        <f t="array" aca="1" ref="D569" ca="1">IF(OR(COUNTIF(damper_names,_xlfn.CONCAT("D_S_",C569))=1, COUNTIF(damper_names,_xlfn.CONCAT("D_E_",C569))=1), "C", "")</f>
        <v>#VALUE!</v>
      </c>
      <c r="E569" t="e">
        <f t="shared" ca="1" si="18"/>
        <v>#VALUE!</v>
      </c>
      <c r="F569" t="e">
        <f t="shared" ca="1" si="19"/>
        <v>#VALUE!</v>
      </c>
      <c r="G569" t="e">
        <f t="shared" ca="1" si="20"/>
        <v>#VALUE!</v>
      </c>
    </row>
    <row r="570" spans="1:7" x14ac:dyDescent="0.25">
      <c r="A570" s="1"/>
      <c r="D570" t="e" cm="1">
        <f t="array" aca="1" ref="D570" ca="1">IF(OR(COUNTIF(damper_names,_xlfn.CONCAT("D_S_",C570))=1, COUNTIF(damper_names,_xlfn.CONCAT("D_E_",C570))=1), "C", "")</f>
        <v>#VALUE!</v>
      </c>
      <c r="E570" t="e">
        <f t="shared" ca="1" si="18"/>
        <v>#VALUE!</v>
      </c>
      <c r="F570" t="e">
        <f t="shared" ca="1" si="19"/>
        <v>#VALUE!</v>
      </c>
      <c r="G570" t="e">
        <f t="shared" ca="1" si="20"/>
        <v>#VALUE!</v>
      </c>
    </row>
    <row r="571" spans="1:7" x14ac:dyDescent="0.25">
      <c r="A571" s="1"/>
      <c r="D571" t="e" cm="1">
        <f t="array" aca="1" ref="D571" ca="1">IF(OR(COUNTIF(damper_names,_xlfn.CONCAT("D_S_",C571))=1, COUNTIF(damper_names,_xlfn.CONCAT("D_E_",C571))=1), "C", "")</f>
        <v>#VALUE!</v>
      </c>
      <c r="E571" t="e">
        <f t="shared" ca="1" si="18"/>
        <v>#VALUE!</v>
      </c>
      <c r="F571" t="e">
        <f t="shared" ca="1" si="19"/>
        <v>#VALUE!</v>
      </c>
      <c r="G571" t="e">
        <f t="shared" ca="1" si="20"/>
        <v>#VALUE!</v>
      </c>
    </row>
    <row r="572" spans="1:7" x14ac:dyDescent="0.25">
      <c r="A572" s="1"/>
      <c r="D572" t="e" cm="1">
        <f t="array" aca="1" ref="D572" ca="1">IF(OR(COUNTIF(damper_names,_xlfn.CONCAT("D_S_",C572))=1, COUNTIF(damper_names,_xlfn.CONCAT("D_E_",C572))=1), "C", "")</f>
        <v>#VALUE!</v>
      </c>
      <c r="E572" t="e">
        <f t="shared" ca="1" si="18"/>
        <v>#VALUE!</v>
      </c>
      <c r="F572" t="e">
        <f t="shared" ca="1" si="19"/>
        <v>#VALUE!</v>
      </c>
      <c r="G572" t="e">
        <f t="shared" ca="1" si="20"/>
        <v>#VALUE!</v>
      </c>
    </row>
    <row r="573" spans="1:7" x14ac:dyDescent="0.25">
      <c r="A573" s="1"/>
      <c r="D573" t="e" cm="1">
        <f t="array" aca="1" ref="D573" ca="1">IF(OR(COUNTIF(damper_names,_xlfn.CONCAT("D_S_",C573))=1, COUNTIF(damper_names,_xlfn.CONCAT("D_E_",C573))=1), "C", "")</f>
        <v>#VALUE!</v>
      </c>
      <c r="E573" t="e">
        <f t="shared" ca="1" si="18"/>
        <v>#VALUE!</v>
      </c>
      <c r="F573" t="e">
        <f t="shared" ca="1" si="19"/>
        <v>#VALUE!</v>
      </c>
      <c r="G573" t="e">
        <f t="shared" ca="1" si="20"/>
        <v>#VALUE!</v>
      </c>
    </row>
    <row r="574" spans="1:7" x14ac:dyDescent="0.25">
      <c r="A574" s="1"/>
      <c r="D574" t="e" cm="1">
        <f t="array" aca="1" ref="D574" ca="1">IF(OR(COUNTIF(damper_names,_xlfn.CONCAT("D_S_",C574))=1, COUNTIF(damper_names,_xlfn.CONCAT("D_E_",C574))=1), "C", "")</f>
        <v>#VALUE!</v>
      </c>
      <c r="E574" t="e">
        <f t="shared" ca="1" si="18"/>
        <v>#VALUE!</v>
      </c>
      <c r="F574" t="e">
        <f t="shared" ca="1" si="19"/>
        <v>#VALUE!</v>
      </c>
      <c r="G574" t="e">
        <f t="shared" ca="1" si="20"/>
        <v>#VALUE!</v>
      </c>
    </row>
    <row r="575" spans="1:7" x14ac:dyDescent="0.25">
      <c r="A575" s="1"/>
      <c r="D575" t="e" cm="1">
        <f t="array" aca="1" ref="D575" ca="1">IF(OR(COUNTIF(damper_names,_xlfn.CONCAT("D_S_",C575))=1, COUNTIF(damper_names,_xlfn.CONCAT("D_E_",C575))=1), "C", "")</f>
        <v>#VALUE!</v>
      </c>
      <c r="E575" t="e">
        <f t="shared" ca="1" si="18"/>
        <v>#VALUE!</v>
      </c>
      <c r="F575" t="e">
        <f t="shared" ca="1" si="19"/>
        <v>#VALUE!</v>
      </c>
      <c r="G575" t="e">
        <f t="shared" ca="1" si="20"/>
        <v>#VALUE!</v>
      </c>
    </row>
    <row r="576" spans="1:7" x14ac:dyDescent="0.25">
      <c r="A576" s="1"/>
      <c r="D576" t="e" cm="1">
        <f t="array" aca="1" ref="D576" ca="1">IF(OR(COUNTIF(damper_names,_xlfn.CONCAT("D_S_",C576))=1, COUNTIF(damper_names,_xlfn.CONCAT("D_E_",C576))=1), "C", "")</f>
        <v>#VALUE!</v>
      </c>
      <c r="E576" t="e">
        <f t="shared" ca="1" si="18"/>
        <v>#VALUE!</v>
      </c>
      <c r="F576" t="e">
        <f t="shared" ca="1" si="19"/>
        <v>#VALUE!</v>
      </c>
      <c r="G576" t="e">
        <f t="shared" ca="1" si="20"/>
        <v>#VALUE!</v>
      </c>
    </row>
    <row r="577" spans="1:7" x14ac:dyDescent="0.25">
      <c r="A577" s="1"/>
      <c r="D577" t="e" cm="1">
        <f t="array" aca="1" ref="D577" ca="1">IF(OR(COUNTIF(damper_names,_xlfn.CONCAT("D_S_",C577))=1, COUNTIF(damper_names,_xlfn.CONCAT("D_E_",C577))=1), "C", "")</f>
        <v>#VALUE!</v>
      </c>
      <c r="E577" t="e">
        <f t="shared" ca="1" si="18"/>
        <v>#VALUE!</v>
      </c>
      <c r="F577" t="e">
        <f t="shared" ca="1" si="19"/>
        <v>#VALUE!</v>
      </c>
      <c r="G577" t="e">
        <f t="shared" ca="1" si="20"/>
        <v>#VALUE!</v>
      </c>
    </row>
    <row r="578" spans="1:7" x14ac:dyDescent="0.25">
      <c r="A578" s="1"/>
      <c r="D578" t="e" cm="1">
        <f t="array" aca="1" ref="D578" ca="1">IF(OR(COUNTIF(damper_names,_xlfn.CONCAT("D_S_",C578))=1, COUNTIF(damper_names,_xlfn.CONCAT("D_E_",C578))=1), "C", "")</f>
        <v>#VALUE!</v>
      </c>
      <c r="E578" t="e">
        <f t="shared" ca="1" si="18"/>
        <v>#VALUE!</v>
      </c>
      <c r="F578" t="e">
        <f t="shared" ca="1" si="19"/>
        <v>#VALUE!</v>
      </c>
      <c r="G578" t="e">
        <f t="shared" ca="1" si="20"/>
        <v>#VALUE!</v>
      </c>
    </row>
    <row r="579" spans="1:7" x14ac:dyDescent="0.25">
      <c r="A579" s="1"/>
      <c r="D579" t="e" cm="1">
        <f t="array" aca="1" ref="D579" ca="1">IF(OR(COUNTIF(damper_names,_xlfn.CONCAT("D_S_",C579))=1, COUNTIF(damper_names,_xlfn.CONCAT("D_E_",C579))=1), "C", "")</f>
        <v>#VALUE!</v>
      </c>
      <c r="E579" t="e">
        <f t="shared" ca="1" si="18"/>
        <v>#VALUE!</v>
      </c>
      <c r="F579" t="e">
        <f t="shared" ca="1" si="19"/>
        <v>#VALUE!</v>
      </c>
      <c r="G579" t="e">
        <f t="shared" ca="1" si="20"/>
        <v>#VALUE!</v>
      </c>
    </row>
    <row r="580" spans="1:7" x14ac:dyDescent="0.25">
      <c r="A580" s="1"/>
      <c r="D580" t="e" cm="1">
        <f t="array" aca="1" ref="D580" ca="1">IF(OR(COUNTIF(damper_names,_xlfn.CONCAT("D_S_",C580))=1, COUNTIF(damper_names,_xlfn.CONCAT("D_E_",C580))=1), "C", "")</f>
        <v>#VALUE!</v>
      </c>
      <c r="E580" t="e">
        <f t="shared" ca="1" si="18"/>
        <v>#VALUE!</v>
      </c>
      <c r="F580" t="e">
        <f t="shared" ca="1" si="19"/>
        <v>#VALUE!</v>
      </c>
      <c r="G580" t="e">
        <f t="shared" ca="1" si="20"/>
        <v>#VALUE!</v>
      </c>
    </row>
    <row r="581" spans="1:7" x14ac:dyDescent="0.25">
      <c r="A581" s="1"/>
      <c r="D581" t="e" cm="1">
        <f t="array" aca="1" ref="D581" ca="1">IF(OR(COUNTIF(damper_names,_xlfn.CONCAT("D_S_",C581))=1, COUNTIF(damper_names,_xlfn.CONCAT("D_E_",C581))=1), "C", "")</f>
        <v>#VALUE!</v>
      </c>
      <c r="E581" t="e">
        <f t="shared" ca="1" si="18"/>
        <v>#VALUE!</v>
      </c>
      <c r="F581" t="e">
        <f t="shared" ca="1" si="19"/>
        <v>#VALUE!</v>
      </c>
      <c r="G581" t="e">
        <f t="shared" ca="1" si="20"/>
        <v>#VALUE!</v>
      </c>
    </row>
    <row r="582" spans="1:7" x14ac:dyDescent="0.25">
      <c r="A582" s="1"/>
      <c r="D582" t="e" cm="1">
        <f t="array" aca="1" ref="D582" ca="1">IF(OR(COUNTIF(damper_names,_xlfn.CONCAT("D_S_",C582))=1, COUNTIF(damper_names,_xlfn.CONCAT("D_E_",C582))=1), "C", "")</f>
        <v>#VALUE!</v>
      </c>
      <c r="E582" t="e">
        <f t="shared" ca="1" si="18"/>
        <v>#VALUE!</v>
      </c>
      <c r="F582" t="e">
        <f t="shared" ca="1" si="19"/>
        <v>#VALUE!</v>
      </c>
      <c r="G582" t="e">
        <f t="shared" ca="1" si="20"/>
        <v>#VALUE!</v>
      </c>
    </row>
    <row r="583" spans="1:7" x14ac:dyDescent="0.25">
      <c r="A583" s="1"/>
      <c r="D583" t="e" cm="1">
        <f t="array" aca="1" ref="D583" ca="1">IF(OR(COUNTIF(damper_names,_xlfn.CONCAT("D_S_",C583))=1, COUNTIF(damper_names,_xlfn.CONCAT("D_E_",C583))=1), "C", "")</f>
        <v>#VALUE!</v>
      </c>
      <c r="E583" t="e">
        <f t="shared" ca="1" si="18"/>
        <v>#VALUE!</v>
      </c>
      <c r="F583" t="e">
        <f t="shared" ca="1" si="19"/>
        <v>#VALUE!</v>
      </c>
      <c r="G583" t="e">
        <f t="shared" ca="1" si="20"/>
        <v>#VALUE!</v>
      </c>
    </row>
    <row r="584" spans="1:7" x14ac:dyDescent="0.25">
      <c r="A584" s="1"/>
      <c r="D584" t="e" cm="1">
        <f t="array" aca="1" ref="D584" ca="1">IF(OR(COUNTIF(damper_names,_xlfn.CONCAT("D_S_",C584))=1, COUNTIF(damper_names,_xlfn.CONCAT("D_E_",C584))=1), "C", "")</f>
        <v>#VALUE!</v>
      </c>
      <c r="E584" t="e">
        <f t="shared" ca="1" si="18"/>
        <v>#VALUE!</v>
      </c>
      <c r="F584" t="e">
        <f t="shared" ca="1" si="19"/>
        <v>#VALUE!</v>
      </c>
      <c r="G584" t="e">
        <f t="shared" ca="1" si="20"/>
        <v>#VALUE!</v>
      </c>
    </row>
    <row r="585" spans="1:7" x14ac:dyDescent="0.25">
      <c r="A585" s="1"/>
      <c r="D585" t="e" cm="1">
        <f t="array" aca="1" ref="D585" ca="1">IF(OR(COUNTIF(damper_names,_xlfn.CONCAT("D_S_",C585))=1, COUNTIF(damper_names,_xlfn.CONCAT("D_E_",C585))=1), "C", "")</f>
        <v>#VALUE!</v>
      </c>
      <c r="E585" t="e">
        <f t="shared" ca="1" si="18"/>
        <v>#VALUE!</v>
      </c>
      <c r="F585" t="e">
        <f t="shared" ca="1" si="19"/>
        <v>#VALUE!</v>
      </c>
      <c r="G585" t="e">
        <f t="shared" ca="1" si="20"/>
        <v>#VALUE!</v>
      </c>
    </row>
    <row r="586" spans="1:7" x14ac:dyDescent="0.25">
      <c r="A586" s="1"/>
      <c r="D586" t="e" cm="1">
        <f t="array" aca="1" ref="D586" ca="1">IF(OR(COUNTIF(damper_names,_xlfn.CONCAT("D_S_",C586))=1, COUNTIF(damper_names,_xlfn.CONCAT("D_E_",C586))=1), "C", "")</f>
        <v>#VALUE!</v>
      </c>
      <c r="E586" t="e">
        <f t="shared" ca="1" si="18"/>
        <v>#VALUE!</v>
      </c>
      <c r="F586" t="e">
        <f t="shared" ca="1" si="19"/>
        <v>#VALUE!</v>
      </c>
      <c r="G586" t="e">
        <f t="shared" ca="1" si="20"/>
        <v>#VALUE!</v>
      </c>
    </row>
    <row r="587" spans="1:7" x14ac:dyDescent="0.25">
      <c r="A587" s="1"/>
      <c r="D587" t="e" cm="1">
        <f t="array" aca="1" ref="D587" ca="1">IF(OR(COUNTIF(damper_names,_xlfn.CONCAT("D_S_",C587))=1, COUNTIF(damper_names,_xlfn.CONCAT("D_E_",C587))=1), "C", "")</f>
        <v>#VALUE!</v>
      </c>
      <c r="E587" t="e">
        <f t="shared" ca="1" si="18"/>
        <v>#VALUE!</v>
      </c>
      <c r="F587" t="e">
        <f t="shared" ca="1" si="19"/>
        <v>#VALUE!</v>
      </c>
      <c r="G587" t="e">
        <f t="shared" ca="1" si="20"/>
        <v>#VALUE!</v>
      </c>
    </row>
    <row r="588" spans="1:7" x14ac:dyDescent="0.25">
      <c r="A588" s="1"/>
      <c r="D588" t="e" cm="1">
        <f t="array" aca="1" ref="D588" ca="1">IF(OR(COUNTIF(damper_names,_xlfn.CONCAT("D_S_",C588))=1, COUNTIF(damper_names,_xlfn.CONCAT("D_E_",C588))=1), "C", "")</f>
        <v>#VALUE!</v>
      </c>
      <c r="E588" t="e">
        <f t="shared" ca="1" si="18"/>
        <v>#VALUE!</v>
      </c>
      <c r="F588" t="e">
        <f t="shared" ca="1" si="19"/>
        <v>#VALUE!</v>
      </c>
      <c r="G588" t="e">
        <f t="shared" ca="1" si="20"/>
        <v>#VALUE!</v>
      </c>
    </row>
    <row r="589" spans="1:7" x14ac:dyDescent="0.25">
      <c r="A589" s="1"/>
      <c r="D589" t="e" cm="1">
        <f t="array" aca="1" ref="D589" ca="1">IF(OR(COUNTIF(damper_names,_xlfn.CONCAT("D_S_",C589))=1, COUNTIF(damper_names,_xlfn.CONCAT("D_E_",C589))=1), "C", "")</f>
        <v>#VALUE!</v>
      </c>
      <c r="E589" t="e">
        <f t="shared" ca="1" si="18"/>
        <v>#VALUE!</v>
      </c>
      <c r="F589" t="e">
        <f t="shared" ca="1" si="19"/>
        <v>#VALUE!</v>
      </c>
      <c r="G589" t="e">
        <f t="shared" ca="1" si="20"/>
        <v>#VALUE!</v>
      </c>
    </row>
    <row r="590" spans="1:7" x14ac:dyDescent="0.25">
      <c r="A590" s="1"/>
      <c r="D590" t="e" cm="1">
        <f t="array" aca="1" ref="D590" ca="1">IF(OR(COUNTIF(damper_names,_xlfn.CONCAT("D_S_",C590))=1, COUNTIF(damper_names,_xlfn.CONCAT("D_E_",C590))=1), "C", "")</f>
        <v>#VALUE!</v>
      </c>
      <c r="E590" t="e">
        <f t="shared" ca="1" si="18"/>
        <v>#VALUE!</v>
      </c>
      <c r="F590" t="e">
        <f t="shared" ca="1" si="19"/>
        <v>#VALUE!</v>
      </c>
      <c r="G590" t="e">
        <f t="shared" ca="1" si="20"/>
        <v>#VALUE!</v>
      </c>
    </row>
    <row r="591" spans="1:7" x14ac:dyDescent="0.25">
      <c r="A591" s="1"/>
      <c r="D591" t="e" cm="1">
        <f t="array" aca="1" ref="D591" ca="1">IF(OR(COUNTIF(damper_names,_xlfn.CONCAT("D_S_",C591))=1, COUNTIF(damper_names,_xlfn.CONCAT("D_E_",C591))=1), "C", "")</f>
        <v>#VALUE!</v>
      </c>
      <c r="E591" t="e">
        <f t="shared" ca="1" si="18"/>
        <v>#VALUE!</v>
      </c>
      <c r="F591" t="e">
        <f t="shared" ca="1" si="19"/>
        <v>#VALUE!</v>
      </c>
      <c r="G591" t="e">
        <f t="shared" ca="1" si="20"/>
        <v>#VALUE!</v>
      </c>
    </row>
    <row r="592" spans="1:7" x14ac:dyDescent="0.25">
      <c r="A592" s="1"/>
      <c r="D592" t="e" cm="1">
        <f t="array" aca="1" ref="D592" ca="1">IF(OR(COUNTIF(damper_names,_xlfn.CONCAT("D_S_",C592))=1, COUNTIF(damper_names,_xlfn.CONCAT("D_E_",C592))=1), "C", "")</f>
        <v>#VALUE!</v>
      </c>
      <c r="E592" t="e">
        <f t="shared" ca="1" si="18"/>
        <v>#VALUE!</v>
      </c>
      <c r="F592" t="e">
        <f t="shared" ca="1" si="19"/>
        <v>#VALUE!</v>
      </c>
      <c r="G592" t="e">
        <f t="shared" ca="1" si="20"/>
        <v>#VALUE!</v>
      </c>
    </row>
    <row r="593" spans="1:7" x14ac:dyDescent="0.25">
      <c r="A593" s="1"/>
      <c r="D593" t="e" cm="1">
        <f t="array" aca="1" ref="D593" ca="1">IF(OR(COUNTIF(damper_names,_xlfn.CONCAT("D_S_",C593))=1, COUNTIF(damper_names,_xlfn.CONCAT("D_E_",C593))=1), "C", "")</f>
        <v>#VALUE!</v>
      </c>
      <c r="E593" t="e">
        <f t="shared" ca="1" si="18"/>
        <v>#VALUE!</v>
      </c>
      <c r="F593" t="e">
        <f t="shared" ca="1" si="19"/>
        <v>#VALUE!</v>
      </c>
      <c r="G593" t="e">
        <f t="shared" ca="1" si="20"/>
        <v>#VALUE!</v>
      </c>
    </row>
    <row r="594" spans="1:7" x14ac:dyDescent="0.25">
      <c r="A594" s="1"/>
      <c r="D594" t="e" cm="1">
        <f t="array" aca="1" ref="D594" ca="1">IF(OR(COUNTIF(damper_names,_xlfn.CONCAT("D_S_",C594))=1, COUNTIF(damper_names,_xlfn.CONCAT("D_E_",C594))=1), "C", "")</f>
        <v>#VALUE!</v>
      </c>
      <c r="E594" t="e">
        <f t="shared" ca="1" si="18"/>
        <v>#VALUE!</v>
      </c>
      <c r="F594" t="e">
        <f t="shared" ca="1" si="19"/>
        <v>#VALUE!</v>
      </c>
      <c r="G594" t="e">
        <f t="shared" ca="1" si="20"/>
        <v>#VALUE!</v>
      </c>
    </row>
    <row r="595" spans="1:7" x14ac:dyDescent="0.25">
      <c r="A595" s="1"/>
      <c r="D595" t="e" cm="1">
        <f t="array" aca="1" ref="D595" ca="1">IF(OR(COUNTIF(damper_names,_xlfn.CONCAT("D_S_",C595))=1, COUNTIF(damper_names,_xlfn.CONCAT("D_E_",C595))=1), "C", "")</f>
        <v>#VALUE!</v>
      </c>
      <c r="E595" t="e">
        <f t="shared" ca="1" si="18"/>
        <v>#VALUE!</v>
      </c>
      <c r="F595" t="e">
        <f t="shared" ca="1" si="19"/>
        <v>#VALUE!</v>
      </c>
      <c r="G595" t="e">
        <f t="shared" ca="1" si="20"/>
        <v>#VALUE!</v>
      </c>
    </row>
    <row r="596" spans="1:7" x14ac:dyDescent="0.25">
      <c r="A596" s="1"/>
      <c r="D596" t="e" cm="1">
        <f t="array" aca="1" ref="D596" ca="1">IF(OR(COUNTIF(damper_names,_xlfn.CONCAT("D_S_",C596))=1, COUNTIF(damper_names,_xlfn.CONCAT("D_E_",C596))=1), "C", "")</f>
        <v>#VALUE!</v>
      </c>
      <c r="E596" t="e">
        <f t="shared" ca="1" si="18"/>
        <v>#VALUE!</v>
      </c>
      <c r="F596" t="e">
        <f t="shared" ca="1" si="19"/>
        <v>#VALUE!</v>
      </c>
      <c r="G596" t="e">
        <f t="shared" ca="1" si="20"/>
        <v>#VALUE!</v>
      </c>
    </row>
    <row r="597" spans="1:7" x14ac:dyDescent="0.25">
      <c r="A597" s="1"/>
      <c r="D597" t="e" cm="1">
        <f t="array" aca="1" ref="D597" ca="1">IF(OR(COUNTIF(damper_names,_xlfn.CONCAT("D_S_",C597))=1, COUNTIF(damper_names,_xlfn.CONCAT("D_E_",C597))=1), "C", "")</f>
        <v>#VALUE!</v>
      </c>
      <c r="E597" t="e">
        <f t="shared" ca="1" si="18"/>
        <v>#VALUE!</v>
      </c>
      <c r="F597" t="e">
        <f t="shared" ca="1" si="19"/>
        <v>#VALUE!</v>
      </c>
      <c r="G597" t="e">
        <f t="shared" ca="1" si="20"/>
        <v>#VALUE!</v>
      </c>
    </row>
    <row r="598" spans="1:7" x14ac:dyDescent="0.25">
      <c r="A598" s="1"/>
      <c r="D598" t="e" cm="1">
        <f t="array" aca="1" ref="D598" ca="1">IF(OR(COUNTIF(damper_names,_xlfn.CONCAT("D_S_",C598))=1, COUNTIF(damper_names,_xlfn.CONCAT("D_E_",C598))=1), "C", "")</f>
        <v>#VALUE!</v>
      </c>
      <c r="E598" t="e">
        <f t="shared" ca="1" si="18"/>
        <v>#VALUE!</v>
      </c>
      <c r="F598" t="e">
        <f t="shared" ca="1" si="19"/>
        <v>#VALUE!</v>
      </c>
      <c r="G598" t="e">
        <f t="shared" ca="1" si="20"/>
        <v>#VALUE!</v>
      </c>
    </row>
    <row r="599" spans="1:7" x14ac:dyDescent="0.25">
      <c r="A599" s="1"/>
      <c r="D599" t="e" cm="1">
        <f t="array" aca="1" ref="D599" ca="1">IF(OR(COUNTIF(damper_names,_xlfn.CONCAT("D_S_",C599))=1, COUNTIF(damper_names,_xlfn.CONCAT("D_E_",C599))=1), "C", "")</f>
        <v>#VALUE!</v>
      </c>
      <c r="E599" t="e">
        <f t="shared" ca="1" si="18"/>
        <v>#VALUE!</v>
      </c>
      <c r="F599" t="e">
        <f t="shared" ca="1" si="19"/>
        <v>#VALUE!</v>
      </c>
      <c r="G599" t="e">
        <f t="shared" ca="1" si="20"/>
        <v>#VALUE!</v>
      </c>
    </row>
    <row r="600" spans="1:7" x14ac:dyDescent="0.25">
      <c r="A600" s="1"/>
      <c r="D600" t="e" cm="1">
        <f t="array" aca="1" ref="D600" ca="1">IF(OR(COUNTIF(damper_names,_xlfn.CONCAT("D_S_",C600))=1, COUNTIF(damper_names,_xlfn.CONCAT("D_E_",C600))=1), "C", "")</f>
        <v>#VALUE!</v>
      </c>
      <c r="E600" t="e">
        <f t="shared" ca="1" si="18"/>
        <v>#VALUE!</v>
      </c>
      <c r="F600" t="e">
        <f t="shared" ca="1" si="19"/>
        <v>#VALUE!</v>
      </c>
      <c r="G600" t="e">
        <f t="shared" ca="1" si="20"/>
        <v>#VALUE!</v>
      </c>
    </row>
    <row r="601" spans="1:7" x14ac:dyDescent="0.25">
      <c r="A601" s="1"/>
      <c r="D601" t="e" cm="1">
        <f t="array" aca="1" ref="D601" ca="1">IF(OR(COUNTIF(damper_names,_xlfn.CONCAT("D_S_",C601))=1, COUNTIF(damper_names,_xlfn.CONCAT("D_E_",C601))=1), "C", "")</f>
        <v>#VALUE!</v>
      </c>
      <c r="E601" t="e">
        <f t="shared" ca="1" si="18"/>
        <v>#VALUE!</v>
      </c>
      <c r="F601" t="e">
        <f t="shared" ca="1" si="19"/>
        <v>#VALUE!</v>
      </c>
      <c r="G601" t="e">
        <f t="shared" ca="1" si="20"/>
        <v>#VALUE!</v>
      </c>
    </row>
    <row r="602" spans="1:7" x14ac:dyDescent="0.25">
      <c r="A602" s="1"/>
      <c r="D602" t="e" cm="1">
        <f t="array" aca="1" ref="D602" ca="1">IF(OR(COUNTIF(damper_names,_xlfn.CONCAT("D_S_",C602))=1, COUNTIF(damper_names,_xlfn.CONCAT("D_E_",C602))=1), "C", "")</f>
        <v>#VALUE!</v>
      </c>
      <c r="E602" t="e">
        <f t="shared" ca="1" si="18"/>
        <v>#VALUE!</v>
      </c>
      <c r="F602" t="e">
        <f t="shared" ca="1" si="19"/>
        <v>#VALUE!</v>
      </c>
      <c r="G602" t="e">
        <f t="shared" ca="1" si="20"/>
        <v>#VALUE!</v>
      </c>
    </row>
    <row r="603" spans="1:7" x14ac:dyDescent="0.25">
      <c r="A603" s="1"/>
      <c r="D603" t="e" cm="1">
        <f t="array" aca="1" ref="D603" ca="1">IF(OR(COUNTIF(damper_names,_xlfn.CONCAT("D_S_",C603))=1, COUNTIF(damper_names,_xlfn.CONCAT("D_E_",C603))=1), "C", "")</f>
        <v>#VALUE!</v>
      </c>
      <c r="E603" t="e">
        <f t="shared" ca="1" si="18"/>
        <v>#VALUE!</v>
      </c>
      <c r="F603" t="e">
        <f t="shared" ca="1" si="19"/>
        <v>#VALUE!</v>
      </c>
      <c r="G603" t="e">
        <f t="shared" ca="1" si="20"/>
        <v>#VALUE!</v>
      </c>
    </row>
    <row r="604" spans="1:7" x14ac:dyDescent="0.25">
      <c r="A604" s="1"/>
      <c r="D604" t="e" cm="1">
        <f t="array" aca="1" ref="D604" ca="1">IF(OR(COUNTIF(damper_names,_xlfn.CONCAT("D_S_",C604))=1, COUNTIF(damper_names,_xlfn.CONCAT("D_E_",C604))=1), "C", "")</f>
        <v>#VALUE!</v>
      </c>
      <c r="E604" t="e">
        <f t="shared" ca="1" si="18"/>
        <v>#VALUE!</v>
      </c>
      <c r="F604" t="e">
        <f t="shared" ca="1" si="19"/>
        <v>#VALUE!</v>
      </c>
      <c r="G604" t="e">
        <f t="shared" ca="1" si="20"/>
        <v>#VALUE!</v>
      </c>
    </row>
    <row r="605" spans="1:7" x14ac:dyDescent="0.25">
      <c r="A605" s="1"/>
      <c r="D605" t="e" cm="1">
        <f t="array" aca="1" ref="D605" ca="1">IF(OR(COUNTIF(damper_names,_xlfn.CONCAT("D_S_",C605))=1, COUNTIF(damper_names,_xlfn.CONCAT("D_E_",C605))=1), "C", "")</f>
        <v>#VALUE!</v>
      </c>
      <c r="E605" t="e">
        <f t="shared" ca="1" si="18"/>
        <v>#VALUE!</v>
      </c>
      <c r="F605" t="e">
        <f t="shared" ca="1" si="19"/>
        <v>#VALUE!</v>
      </c>
      <c r="G605" t="e">
        <f t="shared" ca="1" si="20"/>
        <v>#VALUE!</v>
      </c>
    </row>
    <row r="606" spans="1:7" x14ac:dyDescent="0.25">
      <c r="A606" s="1"/>
      <c r="D606" t="e" cm="1">
        <f t="array" aca="1" ref="D606" ca="1">IF(OR(COUNTIF(damper_names,_xlfn.CONCAT("D_S_",C606))=1, COUNTIF(damper_names,_xlfn.CONCAT("D_E_",C606))=1), "C", "")</f>
        <v>#VALUE!</v>
      </c>
      <c r="E606" t="e">
        <f t="shared" ca="1" si="18"/>
        <v>#VALUE!</v>
      </c>
      <c r="F606" t="e">
        <f t="shared" ca="1" si="19"/>
        <v>#VALUE!</v>
      </c>
      <c r="G606" t="e">
        <f t="shared" ca="1" si="20"/>
        <v>#VALUE!</v>
      </c>
    </row>
    <row r="607" spans="1:7" x14ac:dyDescent="0.25">
      <c r="A607" s="1"/>
      <c r="D607" t="e" cm="1">
        <f t="array" aca="1" ref="D607" ca="1">IF(OR(COUNTIF(damper_names,_xlfn.CONCAT("D_S_",C607))=1, COUNTIF(damper_names,_xlfn.CONCAT("D_E_",C607))=1), "C", "")</f>
        <v>#VALUE!</v>
      </c>
      <c r="E607" t="e">
        <f t="shared" ca="1" si="18"/>
        <v>#VALUE!</v>
      </c>
      <c r="F607" t="e">
        <f t="shared" ca="1" si="19"/>
        <v>#VALUE!</v>
      </c>
      <c r="G607" t="e">
        <f t="shared" ca="1" si="20"/>
        <v>#VALUE!</v>
      </c>
    </row>
    <row r="608" spans="1:7" x14ac:dyDescent="0.25">
      <c r="A608" s="1"/>
      <c r="D608" t="e" cm="1">
        <f t="array" aca="1" ref="D608" ca="1">IF(OR(COUNTIF(damper_names,_xlfn.CONCAT("D_S_",C608))=1, COUNTIF(damper_names,_xlfn.CONCAT("D_E_",C608))=1), "C", "")</f>
        <v>#VALUE!</v>
      </c>
      <c r="E608" t="e">
        <f t="shared" ca="1" si="18"/>
        <v>#VALUE!</v>
      </c>
      <c r="F608" t="e">
        <f t="shared" ca="1" si="19"/>
        <v>#VALUE!</v>
      </c>
      <c r="G608" t="e">
        <f t="shared" ca="1" si="20"/>
        <v>#VALUE!</v>
      </c>
    </row>
    <row r="609" spans="1:7" x14ac:dyDescent="0.25">
      <c r="A609" s="1"/>
      <c r="D609" t="e" cm="1">
        <f t="array" aca="1" ref="D609" ca="1">IF(OR(COUNTIF(damper_names,_xlfn.CONCAT("D_S_",C609))=1, COUNTIF(damper_names,_xlfn.CONCAT("D_E_",C609))=1), "C", "")</f>
        <v>#VALUE!</v>
      </c>
      <c r="E609" t="e">
        <f t="shared" ca="1" si="18"/>
        <v>#VALUE!</v>
      </c>
      <c r="F609" t="e">
        <f t="shared" ca="1" si="19"/>
        <v>#VALUE!</v>
      </c>
      <c r="G609" t="e">
        <f t="shared" ca="1" si="20"/>
        <v>#VALUE!</v>
      </c>
    </row>
    <row r="610" spans="1:7" x14ac:dyDescent="0.25">
      <c r="A610" s="1"/>
      <c r="D610" t="e" cm="1">
        <f t="array" aca="1" ref="D610" ca="1">IF(OR(COUNTIF(damper_names,_xlfn.CONCAT("D_S_",C610))=1, COUNTIF(damper_names,_xlfn.CONCAT("D_E_",C610))=1), "C", "")</f>
        <v>#VALUE!</v>
      </c>
      <c r="E610" t="e">
        <f t="shared" ca="1" si="18"/>
        <v>#VALUE!</v>
      </c>
      <c r="F610" t="e">
        <f t="shared" ca="1" si="19"/>
        <v>#VALUE!</v>
      </c>
      <c r="G610" t="e">
        <f t="shared" ca="1" si="20"/>
        <v>#VALUE!</v>
      </c>
    </row>
    <row r="611" spans="1:7" x14ac:dyDescent="0.25">
      <c r="A611" s="1"/>
      <c r="D611" t="e" cm="1">
        <f t="array" aca="1" ref="D611" ca="1">IF(OR(COUNTIF(damper_names,_xlfn.CONCAT("D_S_",C611))=1, COUNTIF(damper_names,_xlfn.CONCAT("D_E_",C611))=1), "C", "")</f>
        <v>#VALUE!</v>
      </c>
      <c r="E611" t="e">
        <f t="shared" ca="1" si="18"/>
        <v>#VALUE!</v>
      </c>
      <c r="F611" t="e">
        <f t="shared" ca="1" si="19"/>
        <v>#VALUE!</v>
      </c>
      <c r="G611" t="e">
        <f t="shared" ca="1" si="20"/>
        <v>#VALUE!</v>
      </c>
    </row>
    <row r="612" spans="1:7" x14ac:dyDescent="0.25">
      <c r="A612" s="1"/>
      <c r="D612" t="e" cm="1">
        <f t="array" aca="1" ref="D612" ca="1">IF(OR(COUNTIF(damper_names,_xlfn.CONCAT("D_S_",C612))=1, COUNTIF(damper_names,_xlfn.CONCAT("D_E_",C612))=1), "C", "")</f>
        <v>#VALUE!</v>
      </c>
      <c r="E612" t="e">
        <f t="shared" ca="1" si="18"/>
        <v>#VALUE!</v>
      </c>
      <c r="F612" t="e">
        <f t="shared" ca="1" si="19"/>
        <v>#VALUE!</v>
      </c>
      <c r="G612" t="e">
        <f t="shared" ca="1" si="20"/>
        <v>#VALUE!</v>
      </c>
    </row>
    <row r="613" spans="1:7" x14ac:dyDescent="0.25">
      <c r="A613" s="1"/>
      <c r="D613" t="e" cm="1">
        <f t="array" aca="1" ref="D613" ca="1">IF(OR(COUNTIF(damper_names,_xlfn.CONCAT("D_S_",C613))=1, COUNTIF(damper_names,_xlfn.CONCAT("D_E_",C613))=1), "C", "")</f>
        <v>#VALUE!</v>
      </c>
      <c r="E613" t="e">
        <f t="shared" ca="1" si="18"/>
        <v>#VALUE!</v>
      </c>
      <c r="F613" t="e">
        <f t="shared" ca="1" si="19"/>
        <v>#VALUE!</v>
      </c>
      <c r="G613" t="e">
        <f t="shared" ca="1" si="20"/>
        <v>#VALUE!</v>
      </c>
    </row>
    <row r="614" spans="1:7" x14ac:dyDescent="0.25">
      <c r="A614" s="1"/>
      <c r="D614" t="e" cm="1">
        <f t="array" aca="1" ref="D614" ca="1">IF(OR(COUNTIF(damper_names,_xlfn.CONCAT("D_S_",C614))=1, COUNTIF(damper_names,_xlfn.CONCAT("D_E_",C614))=1), "C", "")</f>
        <v>#VALUE!</v>
      </c>
      <c r="E614" t="e">
        <f t="shared" ca="1" si="18"/>
        <v>#VALUE!</v>
      </c>
      <c r="F614" t="e">
        <f t="shared" ca="1" si="19"/>
        <v>#VALUE!</v>
      </c>
      <c r="G614" t="e">
        <f t="shared" ca="1" si="20"/>
        <v>#VALUE!</v>
      </c>
    </row>
    <row r="615" spans="1:7" x14ac:dyDescent="0.25">
      <c r="A615" s="1"/>
      <c r="D615" t="e" cm="1">
        <f t="array" aca="1" ref="D615" ca="1">IF(OR(COUNTIF(damper_names,_xlfn.CONCAT("D_S_",C615))=1, COUNTIF(damper_names,_xlfn.CONCAT("D_E_",C615))=1), "C", "")</f>
        <v>#VALUE!</v>
      </c>
      <c r="E615" t="e">
        <f t="shared" ca="1" si="18"/>
        <v>#VALUE!</v>
      </c>
      <c r="F615" t="e">
        <f t="shared" ca="1" si="19"/>
        <v>#VALUE!</v>
      </c>
      <c r="G615" t="e">
        <f t="shared" ca="1" si="20"/>
        <v>#VALUE!</v>
      </c>
    </row>
    <row r="616" spans="1:7" x14ac:dyDescent="0.25">
      <c r="A616" s="1"/>
      <c r="D616" t="e" cm="1">
        <f t="array" aca="1" ref="D616" ca="1">IF(OR(COUNTIF(damper_names,_xlfn.CONCAT("D_S_",C616))=1, COUNTIF(damper_names,_xlfn.CONCAT("D_E_",C616))=1), "C", "")</f>
        <v>#VALUE!</v>
      </c>
      <c r="E616" t="e">
        <f t="shared" ca="1" si="18"/>
        <v>#VALUE!</v>
      </c>
      <c r="F616" t="e">
        <f t="shared" ca="1" si="19"/>
        <v>#VALUE!</v>
      </c>
      <c r="G616" t="e">
        <f t="shared" ca="1" si="20"/>
        <v>#VALUE!</v>
      </c>
    </row>
    <row r="617" spans="1:7" x14ac:dyDescent="0.25">
      <c r="A617" s="1"/>
      <c r="D617" t="e" cm="1">
        <f t="array" aca="1" ref="D617" ca="1">IF(OR(COUNTIF(damper_names,_xlfn.CONCAT("D_S_",C617))=1, COUNTIF(damper_names,_xlfn.CONCAT("D_E_",C617))=1), "C", "")</f>
        <v>#VALUE!</v>
      </c>
      <c r="E617" t="e">
        <f t="shared" ca="1" si="18"/>
        <v>#VALUE!</v>
      </c>
      <c r="F617" t="e">
        <f t="shared" ca="1" si="19"/>
        <v>#VALUE!</v>
      </c>
      <c r="G617" t="e">
        <f t="shared" ca="1" si="20"/>
        <v>#VALUE!</v>
      </c>
    </row>
    <row r="618" spans="1:7" x14ac:dyDescent="0.25">
      <c r="A618" s="1"/>
      <c r="D618" t="e" cm="1">
        <f t="array" aca="1" ref="D618" ca="1">IF(OR(COUNTIF(damper_names,_xlfn.CONCAT("D_S_",C618))=1, COUNTIF(damper_names,_xlfn.CONCAT("D_E_",C618))=1), "C", "")</f>
        <v>#VALUE!</v>
      </c>
      <c r="E618" t="e">
        <f t="shared" ca="1" si="18"/>
        <v>#VALUE!</v>
      </c>
      <c r="F618" t="e">
        <f t="shared" ca="1" si="19"/>
        <v>#VALUE!</v>
      </c>
      <c r="G618" t="e">
        <f t="shared" ca="1" si="20"/>
        <v>#VALUE!</v>
      </c>
    </row>
    <row r="619" spans="1:7" x14ac:dyDescent="0.25">
      <c r="A619" s="1"/>
      <c r="D619" t="e" cm="1">
        <f t="array" aca="1" ref="D619" ca="1">IF(OR(COUNTIF(damper_names,_xlfn.CONCAT("D_S_",C619))=1, COUNTIF(damper_names,_xlfn.CONCAT("D_E_",C619))=1), "C", "")</f>
        <v>#VALUE!</v>
      </c>
      <c r="E619" t="e">
        <f t="shared" ca="1" si="18"/>
        <v>#VALUE!</v>
      </c>
      <c r="F619" t="e">
        <f t="shared" ca="1" si="19"/>
        <v>#VALUE!</v>
      </c>
      <c r="G619" t="e">
        <f t="shared" ca="1" si="20"/>
        <v>#VALUE!</v>
      </c>
    </row>
    <row r="620" spans="1:7" x14ac:dyDescent="0.25">
      <c r="A620" s="1"/>
      <c r="D620" t="e" cm="1">
        <f t="array" aca="1" ref="D620" ca="1">IF(OR(COUNTIF(damper_names,_xlfn.CONCAT("D_S_",C620))=1, COUNTIF(damper_names,_xlfn.CONCAT("D_E_",C620))=1), "C", "")</f>
        <v>#VALUE!</v>
      </c>
      <c r="E620" t="e">
        <f t="shared" ca="1" si="18"/>
        <v>#VALUE!</v>
      </c>
      <c r="F620" t="e">
        <f t="shared" ca="1" si="19"/>
        <v>#VALUE!</v>
      </c>
      <c r="G620" t="e">
        <f t="shared" ca="1" si="20"/>
        <v>#VALUE!</v>
      </c>
    </row>
    <row r="621" spans="1:7" x14ac:dyDescent="0.25">
      <c r="A621" s="1"/>
      <c r="D621" t="e" cm="1">
        <f t="array" aca="1" ref="D621" ca="1">IF(OR(COUNTIF(damper_names,_xlfn.CONCAT("D_S_",C621))=1, COUNTIF(damper_names,_xlfn.CONCAT("D_E_",C621))=1), "C", "")</f>
        <v>#VALUE!</v>
      </c>
      <c r="E621" t="e">
        <f t="shared" ca="1" si="18"/>
        <v>#VALUE!</v>
      </c>
      <c r="F621" t="e">
        <f t="shared" ca="1" si="19"/>
        <v>#VALUE!</v>
      </c>
      <c r="G621" t="e">
        <f t="shared" ca="1" si="20"/>
        <v>#VALUE!</v>
      </c>
    </row>
    <row r="622" spans="1:7" x14ac:dyDescent="0.25">
      <c r="A622" s="1"/>
      <c r="D622" t="e" cm="1">
        <f t="array" aca="1" ref="D622" ca="1">IF(OR(COUNTIF(damper_names,_xlfn.CONCAT("D_S_",C622))=1, COUNTIF(damper_names,_xlfn.CONCAT("D_E_",C622))=1), "C", "")</f>
        <v>#VALUE!</v>
      </c>
      <c r="E622" t="e">
        <f t="shared" ca="1" si="18"/>
        <v>#VALUE!</v>
      </c>
      <c r="F622" t="e">
        <f t="shared" ca="1" si="19"/>
        <v>#VALUE!</v>
      </c>
      <c r="G622" t="e">
        <f t="shared" ca="1" si="20"/>
        <v>#VALUE!</v>
      </c>
    </row>
    <row r="623" spans="1:7" x14ac:dyDescent="0.25">
      <c r="A623" s="1"/>
      <c r="D623" t="e" cm="1">
        <f t="array" aca="1" ref="D623" ca="1">IF(OR(COUNTIF(damper_names,_xlfn.CONCAT("D_S_",C623))=1, COUNTIF(damper_names,_xlfn.CONCAT("D_E_",C623))=1), "C", "")</f>
        <v>#VALUE!</v>
      </c>
      <c r="E623" t="e">
        <f t="shared" ca="1" si="18"/>
        <v>#VALUE!</v>
      </c>
      <c r="F623" t="e">
        <f t="shared" ca="1" si="19"/>
        <v>#VALUE!</v>
      </c>
      <c r="G623" t="e">
        <f t="shared" ca="1" si="20"/>
        <v>#VALUE!</v>
      </c>
    </row>
    <row r="624" spans="1:7" x14ac:dyDescent="0.25">
      <c r="A624" s="1"/>
      <c r="D624" t="e" cm="1">
        <f t="array" aca="1" ref="D624" ca="1">IF(OR(COUNTIF(damper_names,_xlfn.CONCAT("D_S_",C624))=1, COUNTIF(damper_names,_xlfn.CONCAT("D_E_",C624))=1), "C", "")</f>
        <v>#VALUE!</v>
      </c>
      <c r="E624" t="e">
        <f t="shared" ca="1" si="18"/>
        <v>#VALUE!</v>
      </c>
      <c r="F624" t="e">
        <f t="shared" ca="1" si="19"/>
        <v>#VALUE!</v>
      </c>
      <c r="G624" t="e">
        <f t="shared" ca="1" si="20"/>
        <v>#VALUE!</v>
      </c>
    </row>
    <row r="625" spans="1:7" x14ac:dyDescent="0.25">
      <c r="A625" s="1"/>
      <c r="D625" t="e" cm="1">
        <f t="array" aca="1" ref="D625" ca="1">IF(OR(COUNTIF(damper_names,_xlfn.CONCAT("D_S_",C625))=1, COUNTIF(damper_names,_xlfn.CONCAT("D_E_",C625))=1), "C", "")</f>
        <v>#VALUE!</v>
      </c>
      <c r="E625" t="e">
        <f t="shared" ca="1" si="18"/>
        <v>#VALUE!</v>
      </c>
      <c r="F625" t="e">
        <f t="shared" ca="1" si="19"/>
        <v>#VALUE!</v>
      </c>
      <c r="G625" t="e">
        <f t="shared" ca="1" si="20"/>
        <v>#VALUE!</v>
      </c>
    </row>
    <row r="626" spans="1:7" x14ac:dyDescent="0.25">
      <c r="A626" s="1"/>
      <c r="D626" t="e" cm="1">
        <f t="array" aca="1" ref="D626" ca="1">IF(OR(COUNTIF(damper_names,_xlfn.CONCAT("D_S_",C626))=1, COUNTIF(damper_names,_xlfn.CONCAT("D_E_",C626))=1), "C", "")</f>
        <v>#VALUE!</v>
      </c>
      <c r="E626" t="e">
        <f t="shared" ca="1" si="18"/>
        <v>#VALUE!</v>
      </c>
      <c r="F626" t="e">
        <f t="shared" ca="1" si="19"/>
        <v>#VALUE!</v>
      </c>
      <c r="G626" t="e">
        <f t="shared" ca="1" si="20"/>
        <v>#VALUE!</v>
      </c>
    </row>
    <row r="627" spans="1:7" x14ac:dyDescent="0.25">
      <c r="A627" s="1"/>
      <c r="D627" t="e" cm="1">
        <f t="array" aca="1" ref="D627" ca="1">IF(OR(COUNTIF(damper_names,_xlfn.CONCAT("D_S_",C627))=1, COUNTIF(damper_names,_xlfn.CONCAT("D_E_",C627))=1), "C", "")</f>
        <v>#VALUE!</v>
      </c>
      <c r="E627" t="e">
        <f t="shared" ref="E627:E690" ca="1" si="21">IF(D627="T", 0.05, IF(D627="C", -0.01, ""))</f>
        <v>#VALUE!</v>
      </c>
      <c r="F627" t="e">
        <f t="shared" ref="F627:F690" ca="1" si="22">IF(D627="T", 0.05, IF(D627="C", 0, ""))</f>
        <v>#VALUE!</v>
      </c>
      <c r="G627" t="e">
        <f t="shared" ref="G627:G690" ca="1" si="23">IF(D627="T", 0, IF(D627="C", 0, ""))</f>
        <v>#VALUE!</v>
      </c>
    </row>
    <row r="628" spans="1:7" x14ac:dyDescent="0.25">
      <c r="A628" s="1"/>
      <c r="D628" t="e" cm="1">
        <f t="array" aca="1" ref="D628" ca="1">IF(OR(COUNTIF(damper_names,_xlfn.CONCAT("D_S_",C628))=1, COUNTIF(damper_names,_xlfn.CONCAT("D_E_",C628))=1), "C", "")</f>
        <v>#VALUE!</v>
      </c>
      <c r="E628" t="e">
        <f t="shared" ca="1" si="21"/>
        <v>#VALUE!</v>
      </c>
      <c r="F628" t="e">
        <f t="shared" ca="1" si="22"/>
        <v>#VALUE!</v>
      </c>
      <c r="G628" t="e">
        <f t="shared" ca="1" si="23"/>
        <v>#VALUE!</v>
      </c>
    </row>
    <row r="629" spans="1:7" x14ac:dyDescent="0.25">
      <c r="A629" s="1"/>
      <c r="D629" t="e" cm="1">
        <f t="array" aca="1" ref="D629" ca="1">IF(OR(COUNTIF(damper_names,_xlfn.CONCAT("D_S_",C629))=1, COUNTIF(damper_names,_xlfn.CONCAT("D_E_",C629))=1), "C", "")</f>
        <v>#VALUE!</v>
      </c>
      <c r="E629" t="e">
        <f t="shared" ca="1" si="21"/>
        <v>#VALUE!</v>
      </c>
      <c r="F629" t="e">
        <f t="shared" ca="1" si="22"/>
        <v>#VALUE!</v>
      </c>
      <c r="G629" t="e">
        <f t="shared" ca="1" si="23"/>
        <v>#VALUE!</v>
      </c>
    </row>
    <row r="630" spans="1:7" x14ac:dyDescent="0.25">
      <c r="A630" s="1"/>
      <c r="D630" t="e" cm="1">
        <f t="array" aca="1" ref="D630" ca="1">IF(OR(COUNTIF(damper_names,_xlfn.CONCAT("D_S_",C630))=1, COUNTIF(damper_names,_xlfn.CONCAT("D_E_",C630))=1), "C", "")</f>
        <v>#VALUE!</v>
      </c>
      <c r="E630" t="e">
        <f t="shared" ca="1" si="21"/>
        <v>#VALUE!</v>
      </c>
      <c r="F630" t="e">
        <f t="shared" ca="1" si="22"/>
        <v>#VALUE!</v>
      </c>
      <c r="G630" t="e">
        <f t="shared" ca="1" si="23"/>
        <v>#VALUE!</v>
      </c>
    </row>
    <row r="631" spans="1:7" x14ac:dyDescent="0.25">
      <c r="A631" s="1"/>
      <c r="D631" t="e" cm="1">
        <f t="array" aca="1" ref="D631" ca="1">IF(OR(COUNTIF(damper_names,_xlfn.CONCAT("D_S_",C631))=1, COUNTIF(damper_names,_xlfn.CONCAT("D_E_",C631))=1), "C", "")</f>
        <v>#VALUE!</v>
      </c>
      <c r="E631" t="e">
        <f t="shared" ca="1" si="21"/>
        <v>#VALUE!</v>
      </c>
      <c r="F631" t="e">
        <f t="shared" ca="1" si="22"/>
        <v>#VALUE!</v>
      </c>
      <c r="G631" t="e">
        <f t="shared" ca="1" si="23"/>
        <v>#VALUE!</v>
      </c>
    </row>
    <row r="632" spans="1:7" x14ac:dyDescent="0.25">
      <c r="A632" s="1"/>
      <c r="D632" t="e" cm="1">
        <f t="array" aca="1" ref="D632" ca="1">IF(OR(COUNTIF(damper_names,_xlfn.CONCAT("D_S_",C632))=1, COUNTIF(damper_names,_xlfn.CONCAT("D_E_",C632))=1), "C", "")</f>
        <v>#VALUE!</v>
      </c>
      <c r="E632" t="e">
        <f t="shared" ca="1" si="21"/>
        <v>#VALUE!</v>
      </c>
      <c r="F632" t="e">
        <f t="shared" ca="1" si="22"/>
        <v>#VALUE!</v>
      </c>
      <c r="G632" t="e">
        <f t="shared" ca="1" si="23"/>
        <v>#VALUE!</v>
      </c>
    </row>
    <row r="633" spans="1:7" x14ac:dyDescent="0.25">
      <c r="A633" s="1"/>
      <c r="D633" t="e" cm="1">
        <f t="array" aca="1" ref="D633" ca="1">IF(OR(COUNTIF(damper_names,_xlfn.CONCAT("D_S_",C633))=1, COUNTIF(damper_names,_xlfn.CONCAT("D_E_",C633))=1), "C", "")</f>
        <v>#VALUE!</v>
      </c>
      <c r="E633" t="e">
        <f t="shared" ca="1" si="21"/>
        <v>#VALUE!</v>
      </c>
      <c r="F633" t="e">
        <f t="shared" ca="1" si="22"/>
        <v>#VALUE!</v>
      </c>
      <c r="G633" t="e">
        <f t="shared" ca="1" si="23"/>
        <v>#VALUE!</v>
      </c>
    </row>
    <row r="634" spans="1:7" x14ac:dyDescent="0.25">
      <c r="A634" s="1"/>
      <c r="D634" t="e" cm="1">
        <f t="array" aca="1" ref="D634" ca="1">IF(OR(COUNTIF(damper_names,_xlfn.CONCAT("D_S_",C634))=1, COUNTIF(damper_names,_xlfn.CONCAT("D_E_",C634))=1), "C", "")</f>
        <v>#VALUE!</v>
      </c>
      <c r="E634" t="e">
        <f t="shared" ca="1" si="21"/>
        <v>#VALUE!</v>
      </c>
      <c r="F634" t="e">
        <f t="shared" ca="1" si="22"/>
        <v>#VALUE!</v>
      </c>
      <c r="G634" t="e">
        <f t="shared" ca="1" si="23"/>
        <v>#VALUE!</v>
      </c>
    </row>
    <row r="635" spans="1:7" x14ac:dyDescent="0.25">
      <c r="A635" s="1"/>
      <c r="D635" t="e" cm="1">
        <f t="array" aca="1" ref="D635" ca="1">IF(OR(COUNTIF(damper_names,_xlfn.CONCAT("D_S_",C635))=1, COUNTIF(damper_names,_xlfn.CONCAT("D_E_",C635))=1), "C", "")</f>
        <v>#VALUE!</v>
      </c>
      <c r="E635" t="e">
        <f t="shared" ca="1" si="21"/>
        <v>#VALUE!</v>
      </c>
      <c r="F635" t="e">
        <f t="shared" ca="1" si="22"/>
        <v>#VALUE!</v>
      </c>
      <c r="G635" t="e">
        <f t="shared" ca="1" si="23"/>
        <v>#VALUE!</v>
      </c>
    </row>
    <row r="636" spans="1:7" x14ac:dyDescent="0.25">
      <c r="A636" s="1"/>
      <c r="D636" t="e" cm="1">
        <f t="array" aca="1" ref="D636" ca="1">IF(OR(COUNTIF(damper_names,_xlfn.CONCAT("D_S_",C636))=1, COUNTIF(damper_names,_xlfn.CONCAT("D_E_",C636))=1), "C", "")</f>
        <v>#VALUE!</v>
      </c>
      <c r="E636" t="e">
        <f t="shared" ca="1" si="21"/>
        <v>#VALUE!</v>
      </c>
      <c r="F636" t="e">
        <f t="shared" ca="1" si="22"/>
        <v>#VALUE!</v>
      </c>
      <c r="G636" t="e">
        <f t="shared" ca="1" si="23"/>
        <v>#VALUE!</v>
      </c>
    </row>
    <row r="637" spans="1:7" x14ac:dyDescent="0.25">
      <c r="A637" s="1"/>
      <c r="D637" t="e" cm="1">
        <f t="array" aca="1" ref="D637" ca="1">IF(OR(COUNTIF(damper_names,_xlfn.CONCAT("D_S_",C637))=1, COUNTIF(damper_names,_xlfn.CONCAT("D_E_",C637))=1), "C", "")</f>
        <v>#VALUE!</v>
      </c>
      <c r="E637" t="e">
        <f t="shared" ca="1" si="21"/>
        <v>#VALUE!</v>
      </c>
      <c r="F637" t="e">
        <f t="shared" ca="1" si="22"/>
        <v>#VALUE!</v>
      </c>
      <c r="G637" t="e">
        <f t="shared" ca="1" si="23"/>
        <v>#VALUE!</v>
      </c>
    </row>
    <row r="638" spans="1:7" x14ac:dyDescent="0.25">
      <c r="A638" s="1"/>
      <c r="D638" t="e" cm="1">
        <f t="array" aca="1" ref="D638" ca="1">IF(OR(COUNTIF(damper_names,_xlfn.CONCAT("D_S_",C638))=1, COUNTIF(damper_names,_xlfn.CONCAT("D_E_",C638))=1), "C", "")</f>
        <v>#VALUE!</v>
      </c>
      <c r="E638" t="e">
        <f t="shared" ca="1" si="21"/>
        <v>#VALUE!</v>
      </c>
      <c r="F638" t="e">
        <f t="shared" ca="1" si="22"/>
        <v>#VALUE!</v>
      </c>
      <c r="G638" t="e">
        <f t="shared" ca="1" si="23"/>
        <v>#VALUE!</v>
      </c>
    </row>
    <row r="639" spans="1:7" x14ac:dyDescent="0.25">
      <c r="A639" s="1"/>
      <c r="D639" t="e" cm="1">
        <f t="array" aca="1" ref="D639" ca="1">IF(OR(COUNTIF(damper_names,_xlfn.CONCAT("D_S_",C639))=1, COUNTIF(damper_names,_xlfn.CONCAT("D_E_",C639))=1), "C", "")</f>
        <v>#VALUE!</v>
      </c>
      <c r="E639" t="e">
        <f t="shared" ca="1" si="21"/>
        <v>#VALUE!</v>
      </c>
      <c r="F639" t="e">
        <f t="shared" ca="1" si="22"/>
        <v>#VALUE!</v>
      </c>
      <c r="G639" t="e">
        <f t="shared" ca="1" si="23"/>
        <v>#VALUE!</v>
      </c>
    </row>
    <row r="640" spans="1:7" x14ac:dyDescent="0.25">
      <c r="A640" s="1"/>
      <c r="D640" t="e" cm="1">
        <f t="array" aca="1" ref="D640" ca="1">IF(OR(COUNTIF(damper_names,_xlfn.CONCAT("D_S_",C640))=1, COUNTIF(damper_names,_xlfn.CONCAT("D_E_",C640))=1), "C", "")</f>
        <v>#VALUE!</v>
      </c>
      <c r="E640" t="e">
        <f t="shared" ca="1" si="21"/>
        <v>#VALUE!</v>
      </c>
      <c r="F640" t="e">
        <f t="shared" ca="1" si="22"/>
        <v>#VALUE!</v>
      </c>
      <c r="G640" t="e">
        <f t="shared" ca="1" si="23"/>
        <v>#VALUE!</v>
      </c>
    </row>
    <row r="641" spans="1:7" x14ac:dyDescent="0.25">
      <c r="A641" s="1"/>
      <c r="D641" t="e" cm="1">
        <f t="array" aca="1" ref="D641" ca="1">IF(OR(COUNTIF(damper_names,_xlfn.CONCAT("D_S_",C641))=1, COUNTIF(damper_names,_xlfn.CONCAT("D_E_",C641))=1), "C", "")</f>
        <v>#VALUE!</v>
      </c>
      <c r="E641" t="e">
        <f t="shared" ca="1" si="21"/>
        <v>#VALUE!</v>
      </c>
      <c r="F641" t="e">
        <f t="shared" ca="1" si="22"/>
        <v>#VALUE!</v>
      </c>
      <c r="G641" t="e">
        <f t="shared" ca="1" si="23"/>
        <v>#VALUE!</v>
      </c>
    </row>
    <row r="642" spans="1:7" x14ac:dyDescent="0.25">
      <c r="A642" s="1"/>
      <c r="D642" t="e" cm="1">
        <f t="array" aca="1" ref="D642" ca="1">IF(OR(COUNTIF(damper_names,_xlfn.CONCAT("D_S_",C642))=1, COUNTIF(damper_names,_xlfn.CONCAT("D_E_",C642))=1), "C", "")</f>
        <v>#VALUE!</v>
      </c>
      <c r="E642" t="e">
        <f t="shared" ca="1" si="21"/>
        <v>#VALUE!</v>
      </c>
      <c r="F642" t="e">
        <f t="shared" ca="1" si="22"/>
        <v>#VALUE!</v>
      </c>
      <c r="G642" t="e">
        <f t="shared" ca="1" si="23"/>
        <v>#VALUE!</v>
      </c>
    </row>
    <row r="643" spans="1:7" x14ac:dyDescent="0.25">
      <c r="A643" s="1"/>
      <c r="D643" t="e" cm="1">
        <f t="array" aca="1" ref="D643" ca="1">IF(OR(COUNTIF(damper_names,_xlfn.CONCAT("D_S_",C643))=1, COUNTIF(damper_names,_xlfn.CONCAT("D_E_",C643))=1), "C", "")</f>
        <v>#VALUE!</v>
      </c>
      <c r="E643" t="e">
        <f t="shared" ca="1" si="21"/>
        <v>#VALUE!</v>
      </c>
      <c r="F643" t="e">
        <f t="shared" ca="1" si="22"/>
        <v>#VALUE!</v>
      </c>
      <c r="G643" t="e">
        <f t="shared" ca="1" si="23"/>
        <v>#VALUE!</v>
      </c>
    </row>
    <row r="644" spans="1:7" x14ac:dyDescent="0.25">
      <c r="A644" s="1"/>
      <c r="D644" t="e" cm="1">
        <f t="array" aca="1" ref="D644" ca="1">IF(OR(COUNTIF(damper_names,_xlfn.CONCAT("D_S_",C644))=1, COUNTIF(damper_names,_xlfn.CONCAT("D_E_",C644))=1), "C", "")</f>
        <v>#VALUE!</v>
      </c>
      <c r="E644" t="e">
        <f t="shared" ca="1" si="21"/>
        <v>#VALUE!</v>
      </c>
      <c r="F644" t="e">
        <f t="shared" ca="1" si="22"/>
        <v>#VALUE!</v>
      </c>
      <c r="G644" t="e">
        <f t="shared" ca="1" si="23"/>
        <v>#VALUE!</v>
      </c>
    </row>
    <row r="645" spans="1:7" x14ac:dyDescent="0.25">
      <c r="A645" s="1"/>
      <c r="D645" t="e" cm="1">
        <f t="array" aca="1" ref="D645" ca="1">IF(OR(COUNTIF(damper_names,_xlfn.CONCAT("D_S_",C645))=1, COUNTIF(damper_names,_xlfn.CONCAT("D_E_",C645))=1), "C", "")</f>
        <v>#VALUE!</v>
      </c>
      <c r="E645" t="e">
        <f t="shared" ca="1" si="21"/>
        <v>#VALUE!</v>
      </c>
      <c r="F645" t="e">
        <f t="shared" ca="1" si="22"/>
        <v>#VALUE!</v>
      </c>
      <c r="G645" t="e">
        <f t="shared" ca="1" si="23"/>
        <v>#VALUE!</v>
      </c>
    </row>
    <row r="646" spans="1:7" x14ac:dyDescent="0.25">
      <c r="A646" s="1"/>
      <c r="D646" t="e" cm="1">
        <f t="array" aca="1" ref="D646" ca="1">IF(OR(COUNTIF(damper_names,_xlfn.CONCAT("D_S_",C646))=1, COUNTIF(damper_names,_xlfn.CONCAT("D_E_",C646))=1), "C", "")</f>
        <v>#VALUE!</v>
      </c>
      <c r="E646" t="e">
        <f t="shared" ca="1" si="21"/>
        <v>#VALUE!</v>
      </c>
      <c r="F646" t="e">
        <f t="shared" ca="1" si="22"/>
        <v>#VALUE!</v>
      </c>
      <c r="G646" t="e">
        <f t="shared" ca="1" si="23"/>
        <v>#VALUE!</v>
      </c>
    </row>
    <row r="647" spans="1:7" x14ac:dyDescent="0.25">
      <c r="A647" s="1"/>
      <c r="D647" t="e" cm="1">
        <f t="array" aca="1" ref="D647" ca="1">IF(OR(COUNTIF(damper_names,_xlfn.CONCAT("D_S_",C647))=1, COUNTIF(damper_names,_xlfn.CONCAT("D_E_",C647))=1), "C", "")</f>
        <v>#VALUE!</v>
      </c>
      <c r="E647" t="e">
        <f t="shared" ca="1" si="21"/>
        <v>#VALUE!</v>
      </c>
      <c r="F647" t="e">
        <f t="shared" ca="1" si="22"/>
        <v>#VALUE!</v>
      </c>
      <c r="G647" t="e">
        <f t="shared" ca="1" si="23"/>
        <v>#VALUE!</v>
      </c>
    </row>
    <row r="648" spans="1:7" x14ac:dyDescent="0.25">
      <c r="A648" s="1"/>
      <c r="D648" t="e" cm="1">
        <f t="array" aca="1" ref="D648" ca="1">IF(OR(COUNTIF(damper_names,_xlfn.CONCAT("D_S_",C648))=1, COUNTIF(damper_names,_xlfn.CONCAT("D_E_",C648))=1), "C", "")</f>
        <v>#VALUE!</v>
      </c>
      <c r="E648" t="e">
        <f t="shared" ca="1" si="21"/>
        <v>#VALUE!</v>
      </c>
      <c r="F648" t="e">
        <f t="shared" ca="1" si="22"/>
        <v>#VALUE!</v>
      </c>
      <c r="G648" t="e">
        <f t="shared" ca="1" si="23"/>
        <v>#VALUE!</v>
      </c>
    </row>
    <row r="649" spans="1:7" x14ac:dyDescent="0.25">
      <c r="A649" s="1"/>
      <c r="D649" t="e" cm="1">
        <f t="array" aca="1" ref="D649" ca="1">IF(OR(COUNTIF(damper_names,_xlfn.CONCAT("D_S_",C649))=1, COUNTIF(damper_names,_xlfn.CONCAT("D_E_",C649))=1), "C", "")</f>
        <v>#VALUE!</v>
      </c>
      <c r="E649" t="e">
        <f t="shared" ca="1" si="21"/>
        <v>#VALUE!</v>
      </c>
      <c r="F649" t="e">
        <f t="shared" ca="1" si="22"/>
        <v>#VALUE!</v>
      </c>
      <c r="G649" t="e">
        <f t="shared" ca="1" si="23"/>
        <v>#VALUE!</v>
      </c>
    </row>
    <row r="650" spans="1:7" x14ac:dyDescent="0.25">
      <c r="A650" s="1"/>
      <c r="D650" t="e" cm="1">
        <f t="array" aca="1" ref="D650" ca="1">IF(OR(COUNTIF(damper_names,_xlfn.CONCAT("D_S_",C650))=1, COUNTIF(damper_names,_xlfn.CONCAT("D_E_",C650))=1), "C", "")</f>
        <v>#VALUE!</v>
      </c>
      <c r="E650" t="e">
        <f t="shared" ca="1" si="21"/>
        <v>#VALUE!</v>
      </c>
      <c r="F650" t="e">
        <f t="shared" ca="1" si="22"/>
        <v>#VALUE!</v>
      </c>
      <c r="G650" t="e">
        <f t="shared" ca="1" si="23"/>
        <v>#VALUE!</v>
      </c>
    </row>
    <row r="651" spans="1:7" x14ac:dyDescent="0.25">
      <c r="A651" s="1"/>
      <c r="D651" t="e" cm="1">
        <f t="array" aca="1" ref="D651" ca="1">IF(OR(COUNTIF(damper_names,_xlfn.CONCAT("D_S_",C651))=1, COUNTIF(damper_names,_xlfn.CONCAT("D_E_",C651))=1), "C", "")</f>
        <v>#VALUE!</v>
      </c>
      <c r="E651" t="e">
        <f t="shared" ca="1" si="21"/>
        <v>#VALUE!</v>
      </c>
      <c r="F651" t="e">
        <f t="shared" ca="1" si="22"/>
        <v>#VALUE!</v>
      </c>
      <c r="G651" t="e">
        <f t="shared" ca="1" si="23"/>
        <v>#VALUE!</v>
      </c>
    </row>
    <row r="652" spans="1:7" x14ac:dyDescent="0.25">
      <c r="A652" s="1"/>
      <c r="D652" t="e" cm="1">
        <f t="array" aca="1" ref="D652" ca="1">IF(OR(COUNTIF(damper_names,_xlfn.CONCAT("D_S_",C652))=1, COUNTIF(damper_names,_xlfn.CONCAT("D_E_",C652))=1), "C", "")</f>
        <v>#VALUE!</v>
      </c>
      <c r="E652" t="e">
        <f t="shared" ca="1" si="21"/>
        <v>#VALUE!</v>
      </c>
      <c r="F652" t="e">
        <f t="shared" ca="1" si="22"/>
        <v>#VALUE!</v>
      </c>
      <c r="G652" t="e">
        <f t="shared" ca="1" si="23"/>
        <v>#VALUE!</v>
      </c>
    </row>
    <row r="653" spans="1:7" x14ac:dyDescent="0.25">
      <c r="A653" s="1"/>
      <c r="D653" t="e" cm="1">
        <f t="array" aca="1" ref="D653" ca="1">IF(OR(COUNTIF(damper_names,_xlfn.CONCAT("D_S_",C653))=1, COUNTIF(damper_names,_xlfn.CONCAT("D_E_",C653))=1), "C", "")</f>
        <v>#VALUE!</v>
      </c>
      <c r="E653" t="e">
        <f t="shared" ca="1" si="21"/>
        <v>#VALUE!</v>
      </c>
      <c r="F653" t="e">
        <f t="shared" ca="1" si="22"/>
        <v>#VALUE!</v>
      </c>
      <c r="G653" t="e">
        <f t="shared" ca="1" si="23"/>
        <v>#VALUE!</v>
      </c>
    </row>
    <row r="654" spans="1:7" x14ac:dyDescent="0.25">
      <c r="A654" s="1"/>
      <c r="D654" t="e" cm="1">
        <f t="array" aca="1" ref="D654" ca="1">IF(OR(COUNTIF(damper_names,_xlfn.CONCAT("D_S_",C654))=1, COUNTIF(damper_names,_xlfn.CONCAT("D_E_",C654))=1), "C", "")</f>
        <v>#VALUE!</v>
      </c>
      <c r="E654" t="e">
        <f t="shared" ca="1" si="21"/>
        <v>#VALUE!</v>
      </c>
      <c r="F654" t="e">
        <f t="shared" ca="1" si="22"/>
        <v>#VALUE!</v>
      </c>
      <c r="G654" t="e">
        <f t="shared" ca="1" si="23"/>
        <v>#VALUE!</v>
      </c>
    </row>
    <row r="655" spans="1:7" x14ac:dyDescent="0.25">
      <c r="A655" s="1"/>
      <c r="D655" t="e" cm="1">
        <f t="array" aca="1" ref="D655" ca="1">IF(OR(COUNTIF(damper_names,_xlfn.CONCAT("D_S_",C655))=1, COUNTIF(damper_names,_xlfn.CONCAT("D_E_",C655))=1), "C", "")</f>
        <v>#VALUE!</v>
      </c>
      <c r="E655" t="e">
        <f t="shared" ca="1" si="21"/>
        <v>#VALUE!</v>
      </c>
      <c r="F655" t="e">
        <f t="shared" ca="1" si="22"/>
        <v>#VALUE!</v>
      </c>
      <c r="G655" t="e">
        <f t="shared" ca="1" si="23"/>
        <v>#VALUE!</v>
      </c>
    </row>
    <row r="656" spans="1:7" x14ac:dyDescent="0.25">
      <c r="A656" s="1"/>
      <c r="D656" t="e" cm="1">
        <f t="array" aca="1" ref="D656" ca="1">IF(OR(COUNTIF(damper_names,_xlfn.CONCAT("D_S_",C656))=1, COUNTIF(damper_names,_xlfn.CONCAT("D_E_",C656))=1), "C", "")</f>
        <v>#VALUE!</v>
      </c>
      <c r="E656" t="e">
        <f t="shared" ca="1" si="21"/>
        <v>#VALUE!</v>
      </c>
      <c r="F656" t="e">
        <f t="shared" ca="1" si="22"/>
        <v>#VALUE!</v>
      </c>
      <c r="G656" t="e">
        <f t="shared" ca="1" si="23"/>
        <v>#VALUE!</v>
      </c>
    </row>
    <row r="657" spans="1:7" x14ac:dyDescent="0.25">
      <c r="A657" s="1"/>
      <c r="D657" t="e" cm="1">
        <f t="array" aca="1" ref="D657" ca="1">IF(OR(COUNTIF(damper_names,_xlfn.CONCAT("D_S_",C657))=1, COUNTIF(damper_names,_xlfn.CONCAT("D_E_",C657))=1), "C", "")</f>
        <v>#VALUE!</v>
      </c>
      <c r="E657" t="e">
        <f t="shared" ca="1" si="21"/>
        <v>#VALUE!</v>
      </c>
      <c r="F657" t="e">
        <f t="shared" ca="1" si="22"/>
        <v>#VALUE!</v>
      </c>
      <c r="G657" t="e">
        <f t="shared" ca="1" si="23"/>
        <v>#VALUE!</v>
      </c>
    </row>
    <row r="658" spans="1:7" x14ac:dyDescent="0.25">
      <c r="A658" s="1"/>
      <c r="D658" t="e" cm="1">
        <f t="array" aca="1" ref="D658" ca="1">IF(OR(COUNTIF(damper_names,_xlfn.CONCAT("D_S_",C658))=1, COUNTIF(damper_names,_xlfn.CONCAT("D_E_",C658))=1), "C", "")</f>
        <v>#VALUE!</v>
      </c>
      <c r="E658" t="e">
        <f t="shared" ca="1" si="21"/>
        <v>#VALUE!</v>
      </c>
      <c r="F658" t="e">
        <f t="shared" ca="1" si="22"/>
        <v>#VALUE!</v>
      </c>
      <c r="G658" t="e">
        <f t="shared" ca="1" si="23"/>
        <v>#VALUE!</v>
      </c>
    </row>
    <row r="659" spans="1:7" x14ac:dyDescent="0.25">
      <c r="A659" s="1"/>
      <c r="D659" t="e" cm="1">
        <f t="array" aca="1" ref="D659" ca="1">IF(OR(COUNTIF(damper_names,_xlfn.CONCAT("D_S_",C659))=1, COUNTIF(damper_names,_xlfn.CONCAT("D_E_",C659))=1), "C", "")</f>
        <v>#VALUE!</v>
      </c>
      <c r="E659" t="e">
        <f t="shared" ca="1" si="21"/>
        <v>#VALUE!</v>
      </c>
      <c r="F659" t="e">
        <f t="shared" ca="1" si="22"/>
        <v>#VALUE!</v>
      </c>
      <c r="G659" t="e">
        <f t="shared" ca="1" si="23"/>
        <v>#VALUE!</v>
      </c>
    </row>
    <row r="660" spans="1:7" x14ac:dyDescent="0.25">
      <c r="A660" s="1"/>
      <c r="D660" t="e" cm="1">
        <f t="array" aca="1" ref="D660" ca="1">IF(OR(COUNTIF(damper_names,_xlfn.CONCAT("D_S_",C660))=1, COUNTIF(damper_names,_xlfn.CONCAT("D_E_",C660))=1), "C", "")</f>
        <v>#VALUE!</v>
      </c>
      <c r="E660" t="e">
        <f t="shared" ca="1" si="21"/>
        <v>#VALUE!</v>
      </c>
      <c r="F660" t="e">
        <f t="shared" ca="1" si="22"/>
        <v>#VALUE!</v>
      </c>
      <c r="G660" t="e">
        <f t="shared" ca="1" si="23"/>
        <v>#VALUE!</v>
      </c>
    </row>
    <row r="661" spans="1:7" x14ac:dyDescent="0.25">
      <c r="A661" s="1"/>
      <c r="D661" t="e" cm="1">
        <f t="array" aca="1" ref="D661" ca="1">IF(OR(COUNTIF(damper_names,_xlfn.CONCAT("D_S_",C661))=1, COUNTIF(damper_names,_xlfn.CONCAT("D_E_",C661))=1), "C", "")</f>
        <v>#VALUE!</v>
      </c>
      <c r="E661" t="e">
        <f t="shared" ca="1" si="21"/>
        <v>#VALUE!</v>
      </c>
      <c r="F661" t="e">
        <f t="shared" ca="1" si="22"/>
        <v>#VALUE!</v>
      </c>
      <c r="G661" t="e">
        <f t="shared" ca="1" si="23"/>
        <v>#VALUE!</v>
      </c>
    </row>
    <row r="662" spans="1:7" x14ac:dyDescent="0.25">
      <c r="A662" s="1"/>
      <c r="D662" t="e" cm="1">
        <f t="array" aca="1" ref="D662" ca="1">IF(OR(COUNTIF(damper_names,_xlfn.CONCAT("D_S_",C662))=1, COUNTIF(damper_names,_xlfn.CONCAT("D_E_",C662))=1), "C", "")</f>
        <v>#VALUE!</v>
      </c>
      <c r="E662" t="e">
        <f t="shared" ca="1" si="21"/>
        <v>#VALUE!</v>
      </c>
      <c r="F662" t="e">
        <f t="shared" ca="1" si="22"/>
        <v>#VALUE!</v>
      </c>
      <c r="G662" t="e">
        <f t="shared" ca="1" si="23"/>
        <v>#VALUE!</v>
      </c>
    </row>
    <row r="663" spans="1:7" x14ac:dyDescent="0.25">
      <c r="A663" s="1"/>
      <c r="D663" t="e" cm="1">
        <f t="array" aca="1" ref="D663" ca="1">IF(OR(COUNTIF(damper_names,_xlfn.CONCAT("D_S_",C663))=1, COUNTIF(damper_names,_xlfn.CONCAT("D_E_",C663))=1), "C", "")</f>
        <v>#VALUE!</v>
      </c>
      <c r="E663" t="e">
        <f t="shared" ca="1" si="21"/>
        <v>#VALUE!</v>
      </c>
      <c r="F663" t="e">
        <f t="shared" ca="1" si="22"/>
        <v>#VALUE!</v>
      </c>
      <c r="G663" t="e">
        <f t="shared" ca="1" si="23"/>
        <v>#VALUE!</v>
      </c>
    </row>
    <row r="664" spans="1:7" x14ac:dyDescent="0.25">
      <c r="A664" s="1"/>
      <c r="D664" t="e" cm="1">
        <f t="array" aca="1" ref="D664" ca="1">IF(OR(COUNTIF(damper_names,_xlfn.CONCAT("D_S_",C664))=1, COUNTIF(damper_names,_xlfn.CONCAT("D_E_",C664))=1), "C", "")</f>
        <v>#VALUE!</v>
      </c>
      <c r="E664" t="e">
        <f t="shared" ca="1" si="21"/>
        <v>#VALUE!</v>
      </c>
      <c r="F664" t="e">
        <f t="shared" ca="1" si="22"/>
        <v>#VALUE!</v>
      </c>
      <c r="G664" t="e">
        <f t="shared" ca="1" si="23"/>
        <v>#VALUE!</v>
      </c>
    </row>
    <row r="665" spans="1:7" x14ac:dyDescent="0.25">
      <c r="A665" s="1"/>
      <c r="D665" t="e" cm="1">
        <f t="array" aca="1" ref="D665" ca="1">IF(OR(COUNTIF(damper_names,_xlfn.CONCAT("D_S_",C665))=1, COUNTIF(damper_names,_xlfn.CONCAT("D_E_",C665))=1), "C", "")</f>
        <v>#VALUE!</v>
      </c>
      <c r="E665" t="e">
        <f t="shared" ca="1" si="21"/>
        <v>#VALUE!</v>
      </c>
      <c r="F665" t="e">
        <f t="shared" ca="1" si="22"/>
        <v>#VALUE!</v>
      </c>
      <c r="G665" t="e">
        <f t="shared" ca="1" si="23"/>
        <v>#VALUE!</v>
      </c>
    </row>
    <row r="666" spans="1:7" x14ac:dyDescent="0.25">
      <c r="A666" s="1"/>
      <c r="D666" t="e" cm="1">
        <f t="array" aca="1" ref="D666" ca="1">IF(OR(COUNTIF(damper_names,_xlfn.CONCAT("D_S_",C666))=1, COUNTIF(damper_names,_xlfn.CONCAT("D_E_",C666))=1), "C", "")</f>
        <v>#VALUE!</v>
      </c>
      <c r="E666" t="e">
        <f t="shared" ca="1" si="21"/>
        <v>#VALUE!</v>
      </c>
      <c r="F666" t="e">
        <f t="shared" ca="1" si="22"/>
        <v>#VALUE!</v>
      </c>
      <c r="G666" t="e">
        <f t="shared" ca="1" si="23"/>
        <v>#VALUE!</v>
      </c>
    </row>
    <row r="667" spans="1:7" x14ac:dyDescent="0.25">
      <c r="A667" s="1"/>
      <c r="D667" t="e" cm="1">
        <f t="array" aca="1" ref="D667" ca="1">IF(OR(COUNTIF(damper_names,_xlfn.CONCAT("D_S_",C667))=1, COUNTIF(damper_names,_xlfn.CONCAT("D_E_",C667))=1), "C", "")</f>
        <v>#VALUE!</v>
      </c>
      <c r="E667" t="e">
        <f t="shared" ca="1" si="21"/>
        <v>#VALUE!</v>
      </c>
      <c r="F667" t="e">
        <f t="shared" ca="1" si="22"/>
        <v>#VALUE!</v>
      </c>
      <c r="G667" t="e">
        <f t="shared" ca="1" si="23"/>
        <v>#VALUE!</v>
      </c>
    </row>
    <row r="668" spans="1:7" x14ac:dyDescent="0.25">
      <c r="A668" s="1"/>
      <c r="D668" t="e" cm="1">
        <f t="array" aca="1" ref="D668" ca="1">IF(OR(COUNTIF(damper_names,_xlfn.CONCAT("D_S_",C668))=1, COUNTIF(damper_names,_xlfn.CONCAT("D_E_",C668))=1), "C", "")</f>
        <v>#VALUE!</v>
      </c>
      <c r="E668" t="e">
        <f t="shared" ca="1" si="21"/>
        <v>#VALUE!</v>
      </c>
      <c r="F668" t="e">
        <f t="shared" ca="1" si="22"/>
        <v>#VALUE!</v>
      </c>
      <c r="G668" t="e">
        <f t="shared" ca="1" si="23"/>
        <v>#VALUE!</v>
      </c>
    </row>
    <row r="669" spans="1:7" x14ac:dyDescent="0.25">
      <c r="A669" s="1"/>
      <c r="D669" t="e" cm="1">
        <f t="array" aca="1" ref="D669" ca="1">IF(OR(COUNTIF(damper_names,_xlfn.CONCAT("D_S_",C669))=1, COUNTIF(damper_names,_xlfn.CONCAT("D_E_",C669))=1), "C", "")</f>
        <v>#VALUE!</v>
      </c>
      <c r="E669" t="e">
        <f t="shared" ca="1" si="21"/>
        <v>#VALUE!</v>
      </c>
      <c r="F669" t="e">
        <f t="shared" ca="1" si="22"/>
        <v>#VALUE!</v>
      </c>
      <c r="G669" t="e">
        <f t="shared" ca="1" si="23"/>
        <v>#VALUE!</v>
      </c>
    </row>
    <row r="670" spans="1:7" x14ac:dyDescent="0.25">
      <c r="A670" s="1"/>
      <c r="D670" t="e" cm="1">
        <f t="array" aca="1" ref="D670" ca="1">IF(OR(COUNTIF(damper_names,_xlfn.CONCAT("D_S_",C670))=1, COUNTIF(damper_names,_xlfn.CONCAT("D_E_",C670))=1), "C", "")</f>
        <v>#VALUE!</v>
      </c>
      <c r="E670" t="e">
        <f t="shared" ca="1" si="21"/>
        <v>#VALUE!</v>
      </c>
      <c r="F670" t="e">
        <f t="shared" ca="1" si="22"/>
        <v>#VALUE!</v>
      </c>
      <c r="G670" t="e">
        <f t="shared" ca="1" si="23"/>
        <v>#VALUE!</v>
      </c>
    </row>
    <row r="671" spans="1:7" x14ac:dyDescent="0.25">
      <c r="A671" s="1"/>
      <c r="D671" t="e" cm="1">
        <f t="array" aca="1" ref="D671" ca="1">IF(OR(COUNTIF(damper_names,_xlfn.CONCAT("D_S_",C671))=1, COUNTIF(damper_names,_xlfn.CONCAT("D_E_",C671))=1), "C", "")</f>
        <v>#VALUE!</v>
      </c>
      <c r="E671" t="e">
        <f t="shared" ca="1" si="21"/>
        <v>#VALUE!</v>
      </c>
      <c r="F671" t="e">
        <f t="shared" ca="1" si="22"/>
        <v>#VALUE!</v>
      </c>
      <c r="G671" t="e">
        <f t="shared" ca="1" si="23"/>
        <v>#VALUE!</v>
      </c>
    </row>
    <row r="672" spans="1:7" x14ac:dyDescent="0.25">
      <c r="A672" s="1"/>
      <c r="D672" t="e" cm="1">
        <f t="array" aca="1" ref="D672" ca="1">IF(OR(COUNTIF(damper_names,_xlfn.CONCAT("D_S_",C672))=1, COUNTIF(damper_names,_xlfn.CONCAT("D_E_",C672))=1), "C", "")</f>
        <v>#VALUE!</v>
      </c>
      <c r="E672" t="e">
        <f t="shared" ca="1" si="21"/>
        <v>#VALUE!</v>
      </c>
      <c r="F672" t="e">
        <f t="shared" ca="1" si="22"/>
        <v>#VALUE!</v>
      </c>
      <c r="G672" t="e">
        <f t="shared" ca="1" si="23"/>
        <v>#VALUE!</v>
      </c>
    </row>
    <row r="673" spans="1:7" x14ac:dyDescent="0.25">
      <c r="A673" s="1"/>
      <c r="D673" t="e" cm="1">
        <f t="array" aca="1" ref="D673" ca="1">IF(OR(COUNTIF(damper_names,_xlfn.CONCAT("D_S_",C673))=1, COUNTIF(damper_names,_xlfn.CONCAT("D_E_",C673))=1), "C", "")</f>
        <v>#VALUE!</v>
      </c>
      <c r="E673" t="e">
        <f t="shared" ca="1" si="21"/>
        <v>#VALUE!</v>
      </c>
      <c r="F673" t="e">
        <f t="shared" ca="1" si="22"/>
        <v>#VALUE!</v>
      </c>
      <c r="G673" t="e">
        <f t="shared" ca="1" si="23"/>
        <v>#VALUE!</v>
      </c>
    </row>
    <row r="674" spans="1:7" x14ac:dyDescent="0.25">
      <c r="A674" s="1"/>
      <c r="D674" t="e" cm="1">
        <f t="array" aca="1" ref="D674" ca="1">IF(OR(COUNTIF(damper_names,_xlfn.CONCAT("D_S_",C674))=1, COUNTIF(damper_names,_xlfn.CONCAT("D_E_",C674))=1), "C", "")</f>
        <v>#VALUE!</v>
      </c>
      <c r="E674" t="e">
        <f t="shared" ca="1" si="21"/>
        <v>#VALUE!</v>
      </c>
      <c r="F674" t="e">
        <f t="shared" ca="1" si="22"/>
        <v>#VALUE!</v>
      </c>
      <c r="G674" t="e">
        <f t="shared" ca="1" si="23"/>
        <v>#VALUE!</v>
      </c>
    </row>
    <row r="675" spans="1:7" x14ac:dyDescent="0.25">
      <c r="A675" s="1"/>
      <c r="D675" t="e" cm="1">
        <f t="array" aca="1" ref="D675" ca="1">IF(OR(COUNTIF(damper_names,_xlfn.CONCAT("D_S_",C675))=1, COUNTIF(damper_names,_xlfn.CONCAT("D_E_",C675))=1), "C", "")</f>
        <v>#VALUE!</v>
      </c>
      <c r="E675" t="e">
        <f t="shared" ca="1" si="21"/>
        <v>#VALUE!</v>
      </c>
      <c r="F675" t="e">
        <f t="shared" ca="1" si="22"/>
        <v>#VALUE!</v>
      </c>
      <c r="G675" t="e">
        <f t="shared" ca="1" si="23"/>
        <v>#VALUE!</v>
      </c>
    </row>
    <row r="676" spans="1:7" x14ac:dyDescent="0.25">
      <c r="A676" s="1"/>
      <c r="D676" t="e" cm="1">
        <f t="array" aca="1" ref="D676" ca="1">IF(OR(COUNTIF(damper_names,_xlfn.CONCAT("D_S_",C676))=1, COUNTIF(damper_names,_xlfn.CONCAT("D_E_",C676))=1), "C", "")</f>
        <v>#VALUE!</v>
      </c>
      <c r="E676" t="e">
        <f t="shared" ca="1" si="21"/>
        <v>#VALUE!</v>
      </c>
      <c r="F676" t="e">
        <f t="shared" ca="1" si="22"/>
        <v>#VALUE!</v>
      </c>
      <c r="G676" t="e">
        <f t="shared" ca="1" si="23"/>
        <v>#VALUE!</v>
      </c>
    </row>
    <row r="677" spans="1:7" x14ac:dyDescent="0.25">
      <c r="A677" s="1"/>
      <c r="D677" t="e" cm="1">
        <f t="array" aca="1" ref="D677" ca="1">IF(OR(COUNTIF(damper_names,_xlfn.CONCAT("D_S_",C677))=1, COUNTIF(damper_names,_xlfn.CONCAT("D_E_",C677))=1), "C", "")</f>
        <v>#VALUE!</v>
      </c>
      <c r="E677" t="e">
        <f t="shared" ca="1" si="21"/>
        <v>#VALUE!</v>
      </c>
      <c r="F677" t="e">
        <f t="shared" ca="1" si="22"/>
        <v>#VALUE!</v>
      </c>
      <c r="G677" t="e">
        <f t="shared" ca="1" si="23"/>
        <v>#VALUE!</v>
      </c>
    </row>
    <row r="678" spans="1:7" x14ac:dyDescent="0.25">
      <c r="A678" s="1"/>
      <c r="D678" t="e" cm="1">
        <f t="array" aca="1" ref="D678" ca="1">IF(OR(COUNTIF(damper_names,_xlfn.CONCAT("D_S_",C678))=1, COUNTIF(damper_names,_xlfn.CONCAT("D_E_",C678))=1), "C", "")</f>
        <v>#VALUE!</v>
      </c>
      <c r="E678" t="e">
        <f t="shared" ca="1" si="21"/>
        <v>#VALUE!</v>
      </c>
      <c r="F678" t="e">
        <f t="shared" ca="1" si="22"/>
        <v>#VALUE!</v>
      </c>
      <c r="G678" t="e">
        <f t="shared" ca="1" si="23"/>
        <v>#VALUE!</v>
      </c>
    </row>
    <row r="679" spans="1:7" x14ac:dyDescent="0.25">
      <c r="A679" s="1"/>
      <c r="D679" t="e" cm="1">
        <f t="array" aca="1" ref="D679" ca="1">IF(OR(COUNTIF(damper_names,_xlfn.CONCAT("D_S_",C679))=1, COUNTIF(damper_names,_xlfn.CONCAT("D_E_",C679))=1), "C", "")</f>
        <v>#VALUE!</v>
      </c>
      <c r="E679" t="e">
        <f t="shared" ca="1" si="21"/>
        <v>#VALUE!</v>
      </c>
      <c r="F679" t="e">
        <f t="shared" ca="1" si="22"/>
        <v>#VALUE!</v>
      </c>
      <c r="G679" t="e">
        <f t="shared" ca="1" si="23"/>
        <v>#VALUE!</v>
      </c>
    </row>
    <row r="680" spans="1:7" x14ac:dyDescent="0.25">
      <c r="A680" s="1"/>
      <c r="D680" t="e" cm="1">
        <f t="array" aca="1" ref="D680" ca="1">IF(OR(COUNTIF(damper_names,_xlfn.CONCAT("D_S_",C680))=1, COUNTIF(damper_names,_xlfn.CONCAT("D_E_",C680))=1), "C", "")</f>
        <v>#VALUE!</v>
      </c>
      <c r="E680" t="e">
        <f t="shared" ca="1" si="21"/>
        <v>#VALUE!</v>
      </c>
      <c r="F680" t="e">
        <f t="shared" ca="1" si="22"/>
        <v>#VALUE!</v>
      </c>
      <c r="G680" t="e">
        <f t="shared" ca="1" si="23"/>
        <v>#VALUE!</v>
      </c>
    </row>
    <row r="681" spans="1:7" x14ac:dyDescent="0.25">
      <c r="A681" s="1"/>
      <c r="D681" t="e" cm="1">
        <f t="array" aca="1" ref="D681" ca="1">IF(OR(COUNTIF(damper_names,_xlfn.CONCAT("D_S_",C681))=1, COUNTIF(damper_names,_xlfn.CONCAT("D_E_",C681))=1), "C", "")</f>
        <v>#VALUE!</v>
      </c>
      <c r="E681" t="e">
        <f t="shared" ca="1" si="21"/>
        <v>#VALUE!</v>
      </c>
      <c r="F681" t="e">
        <f t="shared" ca="1" si="22"/>
        <v>#VALUE!</v>
      </c>
      <c r="G681" t="e">
        <f t="shared" ca="1" si="23"/>
        <v>#VALUE!</v>
      </c>
    </row>
    <row r="682" spans="1:7" x14ac:dyDescent="0.25">
      <c r="A682" s="1"/>
      <c r="D682" t="e" cm="1">
        <f t="array" aca="1" ref="D682" ca="1">IF(OR(COUNTIF(damper_names,_xlfn.CONCAT("D_S_",C682))=1, COUNTIF(damper_names,_xlfn.CONCAT("D_E_",C682))=1), "C", "")</f>
        <v>#VALUE!</v>
      </c>
      <c r="E682" t="e">
        <f t="shared" ca="1" si="21"/>
        <v>#VALUE!</v>
      </c>
      <c r="F682" t="e">
        <f t="shared" ca="1" si="22"/>
        <v>#VALUE!</v>
      </c>
      <c r="G682" t="e">
        <f t="shared" ca="1" si="23"/>
        <v>#VALUE!</v>
      </c>
    </row>
    <row r="683" spans="1:7" x14ac:dyDescent="0.25">
      <c r="A683" s="1"/>
      <c r="D683" t="e" cm="1">
        <f t="array" aca="1" ref="D683" ca="1">IF(OR(COUNTIF(damper_names,_xlfn.CONCAT("D_S_",C683))=1, COUNTIF(damper_names,_xlfn.CONCAT("D_E_",C683))=1), "C", "")</f>
        <v>#VALUE!</v>
      </c>
      <c r="E683" t="e">
        <f t="shared" ca="1" si="21"/>
        <v>#VALUE!</v>
      </c>
      <c r="F683" t="e">
        <f t="shared" ca="1" si="22"/>
        <v>#VALUE!</v>
      </c>
      <c r="G683" t="e">
        <f t="shared" ca="1" si="23"/>
        <v>#VALUE!</v>
      </c>
    </row>
    <row r="684" spans="1:7" x14ac:dyDescent="0.25">
      <c r="A684" s="1"/>
      <c r="D684" t="e" cm="1">
        <f t="array" aca="1" ref="D684" ca="1">IF(OR(COUNTIF(damper_names,_xlfn.CONCAT("D_S_",C684))=1, COUNTIF(damper_names,_xlfn.CONCAT("D_E_",C684))=1), "C", "")</f>
        <v>#VALUE!</v>
      </c>
      <c r="E684" t="e">
        <f t="shared" ca="1" si="21"/>
        <v>#VALUE!</v>
      </c>
      <c r="F684" t="e">
        <f t="shared" ca="1" si="22"/>
        <v>#VALUE!</v>
      </c>
      <c r="G684" t="e">
        <f t="shared" ca="1" si="23"/>
        <v>#VALUE!</v>
      </c>
    </row>
    <row r="685" spans="1:7" x14ac:dyDescent="0.25">
      <c r="A685" s="1"/>
      <c r="D685" t="e" cm="1">
        <f t="array" aca="1" ref="D685" ca="1">IF(OR(COUNTIF(damper_names,_xlfn.CONCAT("D_S_",C685))=1, COUNTIF(damper_names,_xlfn.CONCAT("D_E_",C685))=1), "C", "")</f>
        <v>#VALUE!</v>
      </c>
      <c r="E685" t="e">
        <f t="shared" ca="1" si="21"/>
        <v>#VALUE!</v>
      </c>
      <c r="F685" t="e">
        <f t="shared" ca="1" si="22"/>
        <v>#VALUE!</v>
      </c>
      <c r="G685" t="e">
        <f t="shared" ca="1" si="23"/>
        <v>#VALUE!</v>
      </c>
    </row>
    <row r="686" spans="1:7" x14ac:dyDescent="0.25">
      <c r="A686" s="1"/>
      <c r="D686" t="e" cm="1">
        <f t="array" aca="1" ref="D686" ca="1">IF(OR(COUNTIF(damper_names,_xlfn.CONCAT("D_S_",C686))=1, COUNTIF(damper_names,_xlfn.CONCAT("D_E_",C686))=1), "C", "")</f>
        <v>#VALUE!</v>
      </c>
      <c r="E686" t="e">
        <f t="shared" ca="1" si="21"/>
        <v>#VALUE!</v>
      </c>
      <c r="F686" t="e">
        <f t="shared" ca="1" si="22"/>
        <v>#VALUE!</v>
      </c>
      <c r="G686" t="e">
        <f t="shared" ca="1" si="23"/>
        <v>#VALUE!</v>
      </c>
    </row>
    <row r="687" spans="1:7" x14ac:dyDescent="0.25">
      <c r="A687" s="1"/>
      <c r="D687" t="e" cm="1">
        <f t="array" aca="1" ref="D687" ca="1">IF(OR(COUNTIF(damper_names,_xlfn.CONCAT("D_S_",C687))=1, COUNTIF(damper_names,_xlfn.CONCAT("D_E_",C687))=1), "C", "")</f>
        <v>#VALUE!</v>
      </c>
      <c r="E687" t="e">
        <f t="shared" ca="1" si="21"/>
        <v>#VALUE!</v>
      </c>
      <c r="F687" t="e">
        <f t="shared" ca="1" si="22"/>
        <v>#VALUE!</v>
      </c>
      <c r="G687" t="e">
        <f t="shared" ca="1" si="23"/>
        <v>#VALUE!</v>
      </c>
    </row>
    <row r="688" spans="1:7" x14ac:dyDescent="0.25">
      <c r="A688" s="1"/>
      <c r="D688" t="e" cm="1">
        <f t="array" aca="1" ref="D688" ca="1">IF(OR(COUNTIF(damper_names,_xlfn.CONCAT("D_S_",C688))=1, COUNTIF(damper_names,_xlfn.CONCAT("D_E_",C688))=1), "C", "")</f>
        <v>#VALUE!</v>
      </c>
      <c r="E688" t="e">
        <f t="shared" ca="1" si="21"/>
        <v>#VALUE!</v>
      </c>
      <c r="F688" t="e">
        <f t="shared" ca="1" si="22"/>
        <v>#VALUE!</v>
      </c>
      <c r="G688" t="e">
        <f t="shared" ca="1" si="23"/>
        <v>#VALUE!</v>
      </c>
    </row>
    <row r="689" spans="1:7" x14ac:dyDescent="0.25">
      <c r="A689" s="1"/>
      <c r="D689" t="e" cm="1">
        <f t="array" aca="1" ref="D689" ca="1">IF(OR(COUNTIF(damper_names,_xlfn.CONCAT("D_S_",C689))=1, COUNTIF(damper_names,_xlfn.CONCAT("D_E_",C689))=1), "C", "")</f>
        <v>#VALUE!</v>
      </c>
      <c r="E689" t="e">
        <f t="shared" ca="1" si="21"/>
        <v>#VALUE!</v>
      </c>
      <c r="F689" t="e">
        <f t="shared" ca="1" si="22"/>
        <v>#VALUE!</v>
      </c>
      <c r="G689" t="e">
        <f t="shared" ca="1" si="23"/>
        <v>#VALUE!</v>
      </c>
    </row>
    <row r="690" spans="1:7" x14ac:dyDescent="0.25">
      <c r="A690" s="1"/>
      <c r="D690" t="e" cm="1">
        <f t="array" aca="1" ref="D690" ca="1">IF(OR(COUNTIF(damper_names,_xlfn.CONCAT("D_S_",C690))=1, COUNTIF(damper_names,_xlfn.CONCAT("D_E_",C690))=1), "C", "")</f>
        <v>#VALUE!</v>
      </c>
      <c r="E690" t="e">
        <f t="shared" ca="1" si="21"/>
        <v>#VALUE!</v>
      </c>
      <c r="F690" t="e">
        <f t="shared" ca="1" si="22"/>
        <v>#VALUE!</v>
      </c>
      <c r="G690" t="e">
        <f t="shared" ca="1" si="23"/>
        <v>#VALUE!</v>
      </c>
    </row>
    <row r="691" spans="1:7" x14ac:dyDescent="0.25">
      <c r="A691" s="1"/>
      <c r="D691" t="e" cm="1">
        <f t="array" aca="1" ref="D691" ca="1">IF(OR(COUNTIF(damper_names,_xlfn.CONCAT("D_S_",C691))=1, COUNTIF(damper_names,_xlfn.CONCAT("D_E_",C691))=1), "C", "")</f>
        <v>#VALUE!</v>
      </c>
      <c r="E691" t="e">
        <f t="shared" ref="E691:E754" ca="1" si="24">IF(D691="T", 0.05, IF(D691="C", -0.01, ""))</f>
        <v>#VALUE!</v>
      </c>
      <c r="F691" t="e">
        <f t="shared" ref="F691:F754" ca="1" si="25">IF(D691="T", 0.05, IF(D691="C", 0, ""))</f>
        <v>#VALUE!</v>
      </c>
      <c r="G691" t="e">
        <f t="shared" ref="G691:G754" ca="1" si="26">IF(D691="T", 0, IF(D691="C", 0, ""))</f>
        <v>#VALUE!</v>
      </c>
    </row>
    <row r="692" spans="1:7" x14ac:dyDescent="0.25">
      <c r="A692" s="1"/>
      <c r="D692" t="e" cm="1">
        <f t="array" aca="1" ref="D692" ca="1">IF(OR(COUNTIF(damper_names,_xlfn.CONCAT("D_S_",C692))=1, COUNTIF(damper_names,_xlfn.CONCAT("D_E_",C692))=1), "C", "")</f>
        <v>#VALUE!</v>
      </c>
      <c r="E692" t="e">
        <f t="shared" ca="1" si="24"/>
        <v>#VALUE!</v>
      </c>
      <c r="F692" t="e">
        <f t="shared" ca="1" si="25"/>
        <v>#VALUE!</v>
      </c>
      <c r="G692" t="e">
        <f t="shared" ca="1" si="26"/>
        <v>#VALUE!</v>
      </c>
    </row>
    <row r="693" spans="1:7" x14ac:dyDescent="0.25">
      <c r="A693" s="1"/>
      <c r="D693" t="e" cm="1">
        <f t="array" aca="1" ref="D693" ca="1">IF(OR(COUNTIF(damper_names,_xlfn.CONCAT("D_S_",C693))=1, COUNTIF(damper_names,_xlfn.CONCAT("D_E_",C693))=1), "C", "")</f>
        <v>#VALUE!</v>
      </c>
      <c r="E693" t="e">
        <f t="shared" ca="1" si="24"/>
        <v>#VALUE!</v>
      </c>
      <c r="F693" t="e">
        <f t="shared" ca="1" si="25"/>
        <v>#VALUE!</v>
      </c>
      <c r="G693" t="e">
        <f t="shared" ca="1" si="26"/>
        <v>#VALUE!</v>
      </c>
    </row>
    <row r="694" spans="1:7" x14ac:dyDescent="0.25">
      <c r="A694" s="1"/>
      <c r="D694" t="e" cm="1">
        <f t="array" aca="1" ref="D694" ca="1">IF(OR(COUNTIF(damper_names,_xlfn.CONCAT("D_S_",C694))=1, COUNTIF(damper_names,_xlfn.CONCAT("D_E_",C694))=1), "C", "")</f>
        <v>#VALUE!</v>
      </c>
      <c r="E694" t="e">
        <f t="shared" ca="1" si="24"/>
        <v>#VALUE!</v>
      </c>
      <c r="F694" t="e">
        <f t="shared" ca="1" si="25"/>
        <v>#VALUE!</v>
      </c>
      <c r="G694" t="e">
        <f t="shared" ca="1" si="26"/>
        <v>#VALUE!</v>
      </c>
    </row>
    <row r="695" spans="1:7" x14ac:dyDescent="0.25">
      <c r="A695" s="1"/>
      <c r="D695" t="e" cm="1">
        <f t="array" aca="1" ref="D695" ca="1">IF(OR(COUNTIF(damper_names,_xlfn.CONCAT("D_S_",C695))=1, COUNTIF(damper_names,_xlfn.CONCAT("D_E_",C695))=1), "C", "")</f>
        <v>#VALUE!</v>
      </c>
      <c r="E695" t="e">
        <f t="shared" ca="1" si="24"/>
        <v>#VALUE!</v>
      </c>
      <c r="F695" t="e">
        <f t="shared" ca="1" si="25"/>
        <v>#VALUE!</v>
      </c>
      <c r="G695" t="e">
        <f t="shared" ca="1" si="26"/>
        <v>#VALUE!</v>
      </c>
    </row>
    <row r="696" spans="1:7" x14ac:dyDescent="0.25">
      <c r="A696" s="1"/>
      <c r="D696" t="e" cm="1">
        <f t="array" aca="1" ref="D696" ca="1">IF(OR(COUNTIF(damper_names,_xlfn.CONCAT("D_S_",C696))=1, COUNTIF(damper_names,_xlfn.CONCAT("D_E_",C696))=1), "C", "")</f>
        <v>#VALUE!</v>
      </c>
      <c r="E696" t="e">
        <f t="shared" ca="1" si="24"/>
        <v>#VALUE!</v>
      </c>
      <c r="F696" t="e">
        <f t="shared" ca="1" si="25"/>
        <v>#VALUE!</v>
      </c>
      <c r="G696" t="e">
        <f t="shared" ca="1" si="26"/>
        <v>#VALUE!</v>
      </c>
    </row>
    <row r="697" spans="1:7" x14ac:dyDescent="0.25">
      <c r="A697" s="1"/>
      <c r="D697" t="e" cm="1">
        <f t="array" aca="1" ref="D697" ca="1">IF(OR(COUNTIF(damper_names,_xlfn.CONCAT("D_S_",C697))=1, COUNTIF(damper_names,_xlfn.CONCAT("D_E_",C697))=1), "C", "")</f>
        <v>#VALUE!</v>
      </c>
      <c r="E697" t="e">
        <f t="shared" ca="1" si="24"/>
        <v>#VALUE!</v>
      </c>
      <c r="F697" t="e">
        <f t="shared" ca="1" si="25"/>
        <v>#VALUE!</v>
      </c>
      <c r="G697" t="e">
        <f t="shared" ca="1" si="26"/>
        <v>#VALUE!</v>
      </c>
    </row>
    <row r="698" spans="1:7" x14ac:dyDescent="0.25">
      <c r="A698" s="1"/>
      <c r="D698" t="e" cm="1">
        <f t="array" aca="1" ref="D698" ca="1">IF(OR(COUNTIF(damper_names,_xlfn.CONCAT("D_S_",C698))=1, COUNTIF(damper_names,_xlfn.CONCAT("D_E_",C698))=1), "C", "")</f>
        <v>#VALUE!</v>
      </c>
      <c r="E698" t="e">
        <f t="shared" ca="1" si="24"/>
        <v>#VALUE!</v>
      </c>
      <c r="F698" t="e">
        <f t="shared" ca="1" si="25"/>
        <v>#VALUE!</v>
      </c>
      <c r="G698" t="e">
        <f t="shared" ca="1" si="26"/>
        <v>#VALUE!</v>
      </c>
    </row>
    <row r="699" spans="1:7" x14ac:dyDescent="0.25">
      <c r="A699" s="1"/>
      <c r="D699" t="e" cm="1">
        <f t="array" aca="1" ref="D699" ca="1">IF(OR(COUNTIF(damper_names,_xlfn.CONCAT("D_S_",C699))=1, COUNTIF(damper_names,_xlfn.CONCAT("D_E_",C699))=1), "C", "")</f>
        <v>#VALUE!</v>
      </c>
      <c r="E699" t="e">
        <f t="shared" ca="1" si="24"/>
        <v>#VALUE!</v>
      </c>
      <c r="F699" t="e">
        <f t="shared" ca="1" si="25"/>
        <v>#VALUE!</v>
      </c>
      <c r="G699" t="e">
        <f t="shared" ca="1" si="26"/>
        <v>#VALUE!</v>
      </c>
    </row>
    <row r="700" spans="1:7" x14ac:dyDescent="0.25">
      <c r="A700" s="1"/>
      <c r="D700" t="e" cm="1">
        <f t="array" aca="1" ref="D700" ca="1">IF(OR(COUNTIF(damper_names,_xlfn.CONCAT("D_S_",C700))=1, COUNTIF(damper_names,_xlfn.CONCAT("D_E_",C700))=1), "C", "")</f>
        <v>#VALUE!</v>
      </c>
      <c r="E700" t="e">
        <f t="shared" ca="1" si="24"/>
        <v>#VALUE!</v>
      </c>
      <c r="F700" t="e">
        <f t="shared" ca="1" si="25"/>
        <v>#VALUE!</v>
      </c>
      <c r="G700" t="e">
        <f t="shared" ca="1" si="26"/>
        <v>#VALUE!</v>
      </c>
    </row>
    <row r="701" spans="1:7" x14ac:dyDescent="0.25">
      <c r="A701" s="1"/>
      <c r="D701" t="e" cm="1">
        <f t="array" aca="1" ref="D701" ca="1">IF(OR(COUNTIF(damper_names,_xlfn.CONCAT("D_S_",C701))=1, COUNTIF(damper_names,_xlfn.CONCAT("D_E_",C701))=1), "C", "")</f>
        <v>#VALUE!</v>
      </c>
      <c r="E701" t="e">
        <f t="shared" ca="1" si="24"/>
        <v>#VALUE!</v>
      </c>
      <c r="F701" t="e">
        <f t="shared" ca="1" si="25"/>
        <v>#VALUE!</v>
      </c>
      <c r="G701" t="e">
        <f t="shared" ca="1" si="26"/>
        <v>#VALUE!</v>
      </c>
    </row>
    <row r="702" spans="1:7" x14ac:dyDescent="0.25">
      <c r="A702" s="1"/>
      <c r="D702" t="e" cm="1">
        <f t="array" aca="1" ref="D702" ca="1">IF(OR(COUNTIF(damper_names,_xlfn.CONCAT("D_S_",C702))=1, COUNTIF(damper_names,_xlfn.CONCAT("D_E_",C702))=1), "C", "")</f>
        <v>#VALUE!</v>
      </c>
      <c r="E702" t="e">
        <f t="shared" ca="1" si="24"/>
        <v>#VALUE!</v>
      </c>
      <c r="F702" t="e">
        <f t="shared" ca="1" si="25"/>
        <v>#VALUE!</v>
      </c>
      <c r="G702" t="e">
        <f t="shared" ca="1" si="26"/>
        <v>#VALUE!</v>
      </c>
    </row>
    <row r="703" spans="1:7" x14ac:dyDescent="0.25">
      <c r="A703" s="1"/>
      <c r="D703" t="e" cm="1">
        <f t="array" aca="1" ref="D703" ca="1">IF(OR(COUNTIF(damper_names,_xlfn.CONCAT("D_S_",C703))=1, COUNTIF(damper_names,_xlfn.CONCAT("D_E_",C703))=1), "C", "")</f>
        <v>#VALUE!</v>
      </c>
      <c r="E703" t="e">
        <f t="shared" ca="1" si="24"/>
        <v>#VALUE!</v>
      </c>
      <c r="F703" t="e">
        <f t="shared" ca="1" si="25"/>
        <v>#VALUE!</v>
      </c>
      <c r="G703" t="e">
        <f t="shared" ca="1" si="26"/>
        <v>#VALUE!</v>
      </c>
    </row>
    <row r="704" spans="1:7" x14ac:dyDescent="0.25">
      <c r="A704" s="1"/>
      <c r="D704" t="e" cm="1">
        <f t="array" aca="1" ref="D704" ca="1">IF(OR(COUNTIF(damper_names,_xlfn.CONCAT("D_S_",C704))=1, COUNTIF(damper_names,_xlfn.CONCAT("D_E_",C704))=1), "C", "")</f>
        <v>#VALUE!</v>
      </c>
      <c r="E704" t="e">
        <f t="shared" ca="1" si="24"/>
        <v>#VALUE!</v>
      </c>
      <c r="F704" t="e">
        <f t="shared" ca="1" si="25"/>
        <v>#VALUE!</v>
      </c>
      <c r="G704" t="e">
        <f t="shared" ca="1" si="26"/>
        <v>#VALUE!</v>
      </c>
    </row>
    <row r="705" spans="1:7" x14ac:dyDescent="0.25">
      <c r="A705" s="1"/>
      <c r="D705" t="e" cm="1">
        <f t="array" aca="1" ref="D705" ca="1">IF(OR(COUNTIF(damper_names,_xlfn.CONCAT("D_S_",C705))=1, COUNTIF(damper_names,_xlfn.CONCAT("D_E_",C705))=1), "C", "")</f>
        <v>#VALUE!</v>
      </c>
      <c r="E705" t="e">
        <f t="shared" ca="1" si="24"/>
        <v>#VALUE!</v>
      </c>
      <c r="F705" t="e">
        <f t="shared" ca="1" si="25"/>
        <v>#VALUE!</v>
      </c>
      <c r="G705" t="e">
        <f t="shared" ca="1" si="26"/>
        <v>#VALUE!</v>
      </c>
    </row>
    <row r="706" spans="1:7" x14ac:dyDescent="0.25">
      <c r="A706" s="1"/>
      <c r="D706" t="e" cm="1">
        <f t="array" aca="1" ref="D706" ca="1">IF(OR(COUNTIF(damper_names,_xlfn.CONCAT("D_S_",C706))=1, COUNTIF(damper_names,_xlfn.CONCAT("D_E_",C706))=1), "C", "")</f>
        <v>#VALUE!</v>
      </c>
      <c r="E706" t="e">
        <f t="shared" ca="1" si="24"/>
        <v>#VALUE!</v>
      </c>
      <c r="F706" t="e">
        <f t="shared" ca="1" si="25"/>
        <v>#VALUE!</v>
      </c>
      <c r="G706" t="e">
        <f t="shared" ca="1" si="26"/>
        <v>#VALUE!</v>
      </c>
    </row>
    <row r="707" spans="1:7" x14ac:dyDescent="0.25">
      <c r="A707" s="1"/>
      <c r="D707" t="e" cm="1">
        <f t="array" aca="1" ref="D707" ca="1">IF(OR(COUNTIF(damper_names,_xlfn.CONCAT("D_S_",C707))=1, COUNTIF(damper_names,_xlfn.CONCAT("D_E_",C707))=1), "C", "")</f>
        <v>#VALUE!</v>
      </c>
      <c r="E707" t="e">
        <f t="shared" ca="1" si="24"/>
        <v>#VALUE!</v>
      </c>
      <c r="F707" t="e">
        <f t="shared" ca="1" si="25"/>
        <v>#VALUE!</v>
      </c>
      <c r="G707" t="e">
        <f t="shared" ca="1" si="26"/>
        <v>#VALUE!</v>
      </c>
    </row>
    <row r="708" spans="1:7" x14ac:dyDescent="0.25">
      <c r="A708" s="1"/>
      <c r="D708" t="e" cm="1">
        <f t="array" aca="1" ref="D708" ca="1">IF(OR(COUNTIF(damper_names,_xlfn.CONCAT("D_S_",C708))=1, COUNTIF(damper_names,_xlfn.CONCAT("D_E_",C708))=1), "C", "")</f>
        <v>#VALUE!</v>
      </c>
      <c r="E708" t="e">
        <f t="shared" ca="1" si="24"/>
        <v>#VALUE!</v>
      </c>
      <c r="F708" t="e">
        <f t="shared" ca="1" si="25"/>
        <v>#VALUE!</v>
      </c>
      <c r="G708" t="e">
        <f t="shared" ca="1" si="26"/>
        <v>#VALUE!</v>
      </c>
    </row>
    <row r="709" spans="1:7" x14ac:dyDescent="0.25">
      <c r="A709" s="1"/>
      <c r="D709" t="e" cm="1">
        <f t="array" aca="1" ref="D709" ca="1">IF(OR(COUNTIF(damper_names,_xlfn.CONCAT("D_S_",C709))=1, COUNTIF(damper_names,_xlfn.CONCAT("D_E_",C709))=1), "C", "")</f>
        <v>#VALUE!</v>
      </c>
      <c r="E709" t="e">
        <f t="shared" ca="1" si="24"/>
        <v>#VALUE!</v>
      </c>
      <c r="F709" t="e">
        <f t="shared" ca="1" si="25"/>
        <v>#VALUE!</v>
      </c>
      <c r="G709" t="e">
        <f t="shared" ca="1" si="26"/>
        <v>#VALUE!</v>
      </c>
    </row>
    <row r="710" spans="1:7" x14ac:dyDescent="0.25">
      <c r="A710" s="1"/>
      <c r="D710" t="e" cm="1">
        <f t="array" aca="1" ref="D710" ca="1">IF(OR(COUNTIF(damper_names,_xlfn.CONCAT("D_S_",C710))=1, COUNTIF(damper_names,_xlfn.CONCAT("D_E_",C710))=1), "C", "")</f>
        <v>#VALUE!</v>
      </c>
      <c r="E710" t="e">
        <f t="shared" ca="1" si="24"/>
        <v>#VALUE!</v>
      </c>
      <c r="F710" t="e">
        <f t="shared" ca="1" si="25"/>
        <v>#VALUE!</v>
      </c>
      <c r="G710" t="e">
        <f t="shared" ca="1" si="26"/>
        <v>#VALUE!</v>
      </c>
    </row>
    <row r="711" spans="1:7" x14ac:dyDescent="0.25">
      <c r="A711" s="1"/>
      <c r="D711" t="e" cm="1">
        <f t="array" aca="1" ref="D711" ca="1">IF(OR(COUNTIF(damper_names,_xlfn.CONCAT("D_S_",C711))=1, COUNTIF(damper_names,_xlfn.CONCAT("D_E_",C711))=1), "C", "")</f>
        <v>#VALUE!</v>
      </c>
      <c r="E711" t="e">
        <f t="shared" ca="1" si="24"/>
        <v>#VALUE!</v>
      </c>
      <c r="F711" t="e">
        <f t="shared" ca="1" si="25"/>
        <v>#VALUE!</v>
      </c>
      <c r="G711" t="e">
        <f t="shared" ca="1" si="26"/>
        <v>#VALUE!</v>
      </c>
    </row>
    <row r="712" spans="1:7" x14ac:dyDescent="0.25">
      <c r="A712" s="1"/>
      <c r="D712" t="e" cm="1">
        <f t="array" aca="1" ref="D712" ca="1">IF(OR(COUNTIF(damper_names,_xlfn.CONCAT("D_S_",C712))=1, COUNTIF(damper_names,_xlfn.CONCAT("D_E_",C712))=1), "C", "")</f>
        <v>#VALUE!</v>
      </c>
      <c r="E712" t="e">
        <f t="shared" ca="1" si="24"/>
        <v>#VALUE!</v>
      </c>
      <c r="F712" t="e">
        <f t="shared" ca="1" si="25"/>
        <v>#VALUE!</v>
      </c>
      <c r="G712" t="e">
        <f t="shared" ca="1" si="26"/>
        <v>#VALUE!</v>
      </c>
    </row>
    <row r="713" spans="1:7" x14ac:dyDescent="0.25">
      <c r="A713" s="1"/>
      <c r="D713" t="e" cm="1">
        <f t="array" aca="1" ref="D713" ca="1">IF(OR(COUNTIF(damper_names,_xlfn.CONCAT("D_S_",C713))=1, COUNTIF(damper_names,_xlfn.CONCAT("D_E_",C713))=1), "C", "")</f>
        <v>#VALUE!</v>
      </c>
      <c r="E713" t="e">
        <f t="shared" ca="1" si="24"/>
        <v>#VALUE!</v>
      </c>
      <c r="F713" t="e">
        <f t="shared" ca="1" si="25"/>
        <v>#VALUE!</v>
      </c>
      <c r="G713" t="e">
        <f t="shared" ca="1" si="26"/>
        <v>#VALUE!</v>
      </c>
    </row>
    <row r="714" spans="1:7" x14ac:dyDescent="0.25">
      <c r="A714" s="1"/>
      <c r="D714" t="e" cm="1">
        <f t="array" aca="1" ref="D714" ca="1">IF(OR(COUNTIF(damper_names,_xlfn.CONCAT("D_S_",C714))=1, COUNTIF(damper_names,_xlfn.CONCAT("D_E_",C714))=1), "C", "")</f>
        <v>#VALUE!</v>
      </c>
      <c r="E714" t="e">
        <f t="shared" ca="1" si="24"/>
        <v>#VALUE!</v>
      </c>
      <c r="F714" t="e">
        <f t="shared" ca="1" si="25"/>
        <v>#VALUE!</v>
      </c>
      <c r="G714" t="e">
        <f t="shared" ca="1" si="26"/>
        <v>#VALUE!</v>
      </c>
    </row>
    <row r="715" spans="1:7" x14ac:dyDescent="0.25">
      <c r="A715" s="1"/>
      <c r="D715" t="e" cm="1">
        <f t="array" aca="1" ref="D715" ca="1">IF(OR(COUNTIF(damper_names,_xlfn.CONCAT("D_S_",C715))=1, COUNTIF(damper_names,_xlfn.CONCAT("D_E_",C715))=1), "C", "")</f>
        <v>#VALUE!</v>
      </c>
      <c r="E715" t="e">
        <f t="shared" ca="1" si="24"/>
        <v>#VALUE!</v>
      </c>
      <c r="F715" t="e">
        <f t="shared" ca="1" si="25"/>
        <v>#VALUE!</v>
      </c>
      <c r="G715" t="e">
        <f t="shared" ca="1" si="26"/>
        <v>#VALUE!</v>
      </c>
    </row>
    <row r="716" spans="1:7" x14ac:dyDescent="0.25">
      <c r="A716" s="1"/>
      <c r="D716" t="e" cm="1">
        <f t="array" aca="1" ref="D716" ca="1">IF(OR(COUNTIF(damper_names,_xlfn.CONCAT("D_S_",C716))=1, COUNTIF(damper_names,_xlfn.CONCAT("D_E_",C716))=1), "C", "")</f>
        <v>#VALUE!</v>
      </c>
      <c r="E716" t="e">
        <f t="shared" ca="1" si="24"/>
        <v>#VALUE!</v>
      </c>
      <c r="F716" t="e">
        <f t="shared" ca="1" si="25"/>
        <v>#VALUE!</v>
      </c>
      <c r="G716" t="e">
        <f t="shared" ca="1" si="26"/>
        <v>#VALUE!</v>
      </c>
    </row>
    <row r="717" spans="1:7" x14ac:dyDescent="0.25">
      <c r="A717" s="1"/>
      <c r="D717" t="e" cm="1">
        <f t="array" aca="1" ref="D717" ca="1">IF(OR(COUNTIF(damper_names,_xlfn.CONCAT("D_S_",C717))=1, COUNTIF(damper_names,_xlfn.CONCAT("D_E_",C717))=1), "C", "")</f>
        <v>#VALUE!</v>
      </c>
      <c r="E717" t="e">
        <f t="shared" ca="1" si="24"/>
        <v>#VALUE!</v>
      </c>
      <c r="F717" t="e">
        <f t="shared" ca="1" si="25"/>
        <v>#VALUE!</v>
      </c>
      <c r="G717" t="e">
        <f t="shared" ca="1" si="26"/>
        <v>#VALUE!</v>
      </c>
    </row>
    <row r="718" spans="1:7" x14ac:dyDescent="0.25">
      <c r="A718" s="1"/>
      <c r="D718" t="e" cm="1">
        <f t="array" aca="1" ref="D718" ca="1">IF(OR(COUNTIF(damper_names,_xlfn.CONCAT("D_S_",C718))=1, COUNTIF(damper_names,_xlfn.CONCAT("D_E_",C718))=1), "C", "")</f>
        <v>#VALUE!</v>
      </c>
      <c r="E718" t="e">
        <f t="shared" ca="1" si="24"/>
        <v>#VALUE!</v>
      </c>
      <c r="F718" t="e">
        <f t="shared" ca="1" si="25"/>
        <v>#VALUE!</v>
      </c>
      <c r="G718" t="e">
        <f t="shared" ca="1" si="26"/>
        <v>#VALUE!</v>
      </c>
    </row>
    <row r="719" spans="1:7" x14ac:dyDescent="0.25">
      <c r="A719" s="1"/>
      <c r="D719" t="e" cm="1">
        <f t="array" aca="1" ref="D719" ca="1">IF(OR(COUNTIF(damper_names,_xlfn.CONCAT("D_S_",C719))=1, COUNTIF(damper_names,_xlfn.CONCAT("D_E_",C719))=1), "C", "")</f>
        <v>#VALUE!</v>
      </c>
      <c r="E719" t="e">
        <f t="shared" ca="1" si="24"/>
        <v>#VALUE!</v>
      </c>
      <c r="F719" t="e">
        <f t="shared" ca="1" si="25"/>
        <v>#VALUE!</v>
      </c>
      <c r="G719" t="e">
        <f t="shared" ca="1" si="26"/>
        <v>#VALUE!</v>
      </c>
    </row>
    <row r="720" spans="1:7" x14ac:dyDescent="0.25">
      <c r="A720" s="1"/>
      <c r="D720" t="e" cm="1">
        <f t="array" aca="1" ref="D720" ca="1">IF(OR(COUNTIF(damper_names,_xlfn.CONCAT("D_S_",C720))=1, COUNTIF(damper_names,_xlfn.CONCAT("D_E_",C720))=1), "C", "")</f>
        <v>#VALUE!</v>
      </c>
      <c r="E720" t="e">
        <f t="shared" ca="1" si="24"/>
        <v>#VALUE!</v>
      </c>
      <c r="F720" t="e">
        <f t="shared" ca="1" si="25"/>
        <v>#VALUE!</v>
      </c>
      <c r="G720" t="e">
        <f t="shared" ca="1" si="26"/>
        <v>#VALUE!</v>
      </c>
    </row>
    <row r="721" spans="1:7" x14ac:dyDescent="0.25">
      <c r="A721" s="1"/>
      <c r="D721" t="e" cm="1">
        <f t="array" aca="1" ref="D721" ca="1">IF(OR(COUNTIF(damper_names,_xlfn.CONCAT("D_S_",C721))=1, COUNTIF(damper_names,_xlfn.CONCAT("D_E_",C721))=1), "C", "")</f>
        <v>#VALUE!</v>
      </c>
      <c r="E721" t="e">
        <f t="shared" ca="1" si="24"/>
        <v>#VALUE!</v>
      </c>
      <c r="F721" t="e">
        <f t="shared" ca="1" si="25"/>
        <v>#VALUE!</v>
      </c>
      <c r="G721" t="e">
        <f t="shared" ca="1" si="26"/>
        <v>#VALUE!</v>
      </c>
    </row>
    <row r="722" spans="1:7" x14ac:dyDescent="0.25">
      <c r="A722" s="1"/>
      <c r="D722" t="e" cm="1">
        <f t="array" aca="1" ref="D722" ca="1">IF(OR(COUNTIF(damper_names,_xlfn.CONCAT("D_S_",C722))=1, COUNTIF(damper_names,_xlfn.CONCAT("D_E_",C722))=1), "C", "")</f>
        <v>#VALUE!</v>
      </c>
      <c r="E722" t="e">
        <f t="shared" ca="1" si="24"/>
        <v>#VALUE!</v>
      </c>
      <c r="F722" t="e">
        <f t="shared" ca="1" si="25"/>
        <v>#VALUE!</v>
      </c>
      <c r="G722" t="e">
        <f t="shared" ca="1" si="26"/>
        <v>#VALUE!</v>
      </c>
    </row>
    <row r="723" spans="1:7" x14ac:dyDescent="0.25">
      <c r="A723" s="1"/>
      <c r="D723" t="e" cm="1">
        <f t="array" aca="1" ref="D723" ca="1">IF(OR(COUNTIF(damper_names,_xlfn.CONCAT("D_S_",C723))=1, COUNTIF(damper_names,_xlfn.CONCAT("D_E_",C723))=1), "C", "")</f>
        <v>#VALUE!</v>
      </c>
      <c r="E723" t="e">
        <f t="shared" ca="1" si="24"/>
        <v>#VALUE!</v>
      </c>
      <c r="F723" t="e">
        <f t="shared" ca="1" si="25"/>
        <v>#VALUE!</v>
      </c>
      <c r="G723" t="e">
        <f t="shared" ca="1" si="26"/>
        <v>#VALUE!</v>
      </c>
    </row>
    <row r="724" spans="1:7" x14ac:dyDescent="0.25">
      <c r="A724" s="1"/>
      <c r="D724" t="e" cm="1">
        <f t="array" aca="1" ref="D724" ca="1">IF(OR(COUNTIF(damper_names,_xlfn.CONCAT("D_S_",C724))=1, COUNTIF(damper_names,_xlfn.CONCAT("D_E_",C724))=1), "C", "")</f>
        <v>#VALUE!</v>
      </c>
      <c r="E724" t="e">
        <f t="shared" ca="1" si="24"/>
        <v>#VALUE!</v>
      </c>
      <c r="F724" t="e">
        <f t="shared" ca="1" si="25"/>
        <v>#VALUE!</v>
      </c>
      <c r="G724" t="e">
        <f t="shared" ca="1" si="26"/>
        <v>#VALUE!</v>
      </c>
    </row>
    <row r="725" spans="1:7" x14ac:dyDescent="0.25">
      <c r="A725" s="1"/>
      <c r="D725" t="e" cm="1">
        <f t="array" aca="1" ref="D725" ca="1">IF(OR(COUNTIF(damper_names,_xlfn.CONCAT("D_S_",C725))=1, COUNTIF(damper_names,_xlfn.CONCAT("D_E_",C725))=1), "C", "")</f>
        <v>#VALUE!</v>
      </c>
      <c r="E725" t="e">
        <f t="shared" ca="1" si="24"/>
        <v>#VALUE!</v>
      </c>
      <c r="F725" t="e">
        <f t="shared" ca="1" si="25"/>
        <v>#VALUE!</v>
      </c>
      <c r="G725" t="e">
        <f t="shared" ca="1" si="26"/>
        <v>#VALUE!</v>
      </c>
    </row>
    <row r="726" spans="1:7" x14ac:dyDescent="0.25">
      <c r="A726" s="1"/>
      <c r="D726" t="e" cm="1">
        <f t="array" aca="1" ref="D726" ca="1">IF(OR(COUNTIF(damper_names,_xlfn.CONCAT("D_S_",C726))=1, COUNTIF(damper_names,_xlfn.CONCAT("D_E_",C726))=1), "C", "")</f>
        <v>#VALUE!</v>
      </c>
      <c r="E726" t="e">
        <f t="shared" ca="1" si="24"/>
        <v>#VALUE!</v>
      </c>
      <c r="F726" t="e">
        <f t="shared" ca="1" si="25"/>
        <v>#VALUE!</v>
      </c>
      <c r="G726" t="e">
        <f t="shared" ca="1" si="26"/>
        <v>#VALUE!</v>
      </c>
    </row>
    <row r="727" spans="1:7" x14ac:dyDescent="0.25">
      <c r="A727" s="1"/>
      <c r="D727" t="e" cm="1">
        <f t="array" aca="1" ref="D727" ca="1">IF(OR(COUNTIF(damper_names,_xlfn.CONCAT("D_S_",C727))=1, COUNTIF(damper_names,_xlfn.CONCAT("D_E_",C727))=1), "C", "")</f>
        <v>#VALUE!</v>
      </c>
      <c r="E727" t="e">
        <f t="shared" ca="1" si="24"/>
        <v>#VALUE!</v>
      </c>
      <c r="F727" t="e">
        <f t="shared" ca="1" si="25"/>
        <v>#VALUE!</v>
      </c>
      <c r="G727" t="e">
        <f t="shared" ca="1" si="26"/>
        <v>#VALUE!</v>
      </c>
    </row>
    <row r="728" spans="1:7" x14ac:dyDescent="0.25">
      <c r="A728" s="1"/>
      <c r="D728" t="e" cm="1">
        <f t="array" aca="1" ref="D728" ca="1">IF(OR(COUNTIF(damper_names,_xlfn.CONCAT("D_S_",C728))=1, COUNTIF(damper_names,_xlfn.CONCAT("D_E_",C728))=1), "C", "")</f>
        <v>#VALUE!</v>
      </c>
      <c r="E728" t="e">
        <f t="shared" ca="1" si="24"/>
        <v>#VALUE!</v>
      </c>
      <c r="F728" t="e">
        <f t="shared" ca="1" si="25"/>
        <v>#VALUE!</v>
      </c>
      <c r="G728" t="e">
        <f t="shared" ca="1" si="26"/>
        <v>#VALUE!</v>
      </c>
    </row>
    <row r="729" spans="1:7" x14ac:dyDescent="0.25">
      <c r="A729" s="1"/>
      <c r="D729" t="e" cm="1">
        <f t="array" aca="1" ref="D729" ca="1">IF(OR(COUNTIF(damper_names,_xlfn.CONCAT("D_S_",C729))=1, COUNTIF(damper_names,_xlfn.CONCAT("D_E_",C729))=1), "C", "")</f>
        <v>#VALUE!</v>
      </c>
      <c r="E729" t="e">
        <f t="shared" ca="1" si="24"/>
        <v>#VALUE!</v>
      </c>
      <c r="F729" t="e">
        <f t="shared" ca="1" si="25"/>
        <v>#VALUE!</v>
      </c>
      <c r="G729" t="e">
        <f t="shared" ca="1" si="26"/>
        <v>#VALUE!</v>
      </c>
    </row>
    <row r="730" spans="1:7" x14ac:dyDescent="0.25">
      <c r="A730" s="1"/>
      <c r="D730" t="e" cm="1">
        <f t="array" aca="1" ref="D730" ca="1">IF(OR(COUNTIF(damper_names,_xlfn.CONCAT("D_S_",C730))=1, COUNTIF(damper_names,_xlfn.CONCAT("D_E_",C730))=1), "C", "")</f>
        <v>#VALUE!</v>
      </c>
      <c r="E730" t="e">
        <f t="shared" ca="1" si="24"/>
        <v>#VALUE!</v>
      </c>
      <c r="F730" t="e">
        <f t="shared" ca="1" si="25"/>
        <v>#VALUE!</v>
      </c>
      <c r="G730" t="e">
        <f t="shared" ca="1" si="26"/>
        <v>#VALUE!</v>
      </c>
    </row>
    <row r="731" spans="1:7" x14ac:dyDescent="0.25">
      <c r="A731" s="1"/>
      <c r="D731" t="e" cm="1">
        <f t="array" aca="1" ref="D731" ca="1">IF(OR(COUNTIF(damper_names,_xlfn.CONCAT("D_S_",C731))=1, COUNTIF(damper_names,_xlfn.CONCAT("D_E_",C731))=1), "C", "")</f>
        <v>#VALUE!</v>
      </c>
      <c r="E731" t="e">
        <f t="shared" ca="1" si="24"/>
        <v>#VALUE!</v>
      </c>
      <c r="F731" t="e">
        <f t="shared" ca="1" si="25"/>
        <v>#VALUE!</v>
      </c>
      <c r="G731" t="e">
        <f t="shared" ca="1" si="26"/>
        <v>#VALUE!</v>
      </c>
    </row>
    <row r="732" spans="1:7" x14ac:dyDescent="0.25">
      <c r="A732" s="1"/>
      <c r="D732" t="e" cm="1">
        <f t="array" aca="1" ref="D732" ca="1">IF(OR(COUNTIF(damper_names,_xlfn.CONCAT("D_S_",C732))=1, COUNTIF(damper_names,_xlfn.CONCAT("D_E_",C732))=1), "C", "")</f>
        <v>#VALUE!</v>
      </c>
      <c r="E732" t="e">
        <f t="shared" ca="1" si="24"/>
        <v>#VALUE!</v>
      </c>
      <c r="F732" t="e">
        <f t="shared" ca="1" si="25"/>
        <v>#VALUE!</v>
      </c>
      <c r="G732" t="e">
        <f t="shared" ca="1" si="26"/>
        <v>#VALUE!</v>
      </c>
    </row>
    <row r="733" spans="1:7" x14ac:dyDescent="0.25">
      <c r="A733" s="1"/>
      <c r="D733" t="e" cm="1">
        <f t="array" aca="1" ref="D733" ca="1">IF(OR(COUNTIF(damper_names,_xlfn.CONCAT("D_S_",C733))=1, COUNTIF(damper_names,_xlfn.CONCAT("D_E_",C733))=1), "C", "")</f>
        <v>#VALUE!</v>
      </c>
      <c r="E733" t="e">
        <f t="shared" ca="1" si="24"/>
        <v>#VALUE!</v>
      </c>
      <c r="F733" t="e">
        <f t="shared" ca="1" si="25"/>
        <v>#VALUE!</v>
      </c>
      <c r="G733" t="e">
        <f t="shared" ca="1" si="26"/>
        <v>#VALUE!</v>
      </c>
    </row>
    <row r="734" spans="1:7" x14ac:dyDescent="0.25">
      <c r="A734" s="1"/>
      <c r="D734" t="e" cm="1">
        <f t="array" aca="1" ref="D734" ca="1">IF(OR(COUNTIF(damper_names,_xlfn.CONCAT("D_S_",C734))=1, COUNTIF(damper_names,_xlfn.CONCAT("D_E_",C734))=1), "C", "")</f>
        <v>#VALUE!</v>
      </c>
      <c r="E734" t="e">
        <f t="shared" ca="1" si="24"/>
        <v>#VALUE!</v>
      </c>
      <c r="F734" t="e">
        <f t="shared" ca="1" si="25"/>
        <v>#VALUE!</v>
      </c>
      <c r="G734" t="e">
        <f t="shared" ca="1" si="26"/>
        <v>#VALUE!</v>
      </c>
    </row>
    <row r="735" spans="1:7" x14ac:dyDescent="0.25">
      <c r="A735" s="1"/>
      <c r="D735" t="e" cm="1">
        <f t="array" aca="1" ref="D735" ca="1">IF(OR(COUNTIF(damper_names,_xlfn.CONCAT("D_S_",C735))=1, COUNTIF(damper_names,_xlfn.CONCAT("D_E_",C735))=1), "C", "")</f>
        <v>#VALUE!</v>
      </c>
      <c r="E735" t="e">
        <f t="shared" ca="1" si="24"/>
        <v>#VALUE!</v>
      </c>
      <c r="F735" t="e">
        <f t="shared" ca="1" si="25"/>
        <v>#VALUE!</v>
      </c>
      <c r="G735" t="e">
        <f t="shared" ca="1" si="26"/>
        <v>#VALUE!</v>
      </c>
    </row>
    <row r="736" spans="1:7" x14ac:dyDescent="0.25">
      <c r="A736" s="1"/>
      <c r="D736" t="e" cm="1">
        <f t="array" aca="1" ref="D736" ca="1">IF(OR(COUNTIF(damper_names,_xlfn.CONCAT("D_S_",C736))=1, COUNTIF(damper_names,_xlfn.CONCAT("D_E_",C736))=1), "C", "")</f>
        <v>#VALUE!</v>
      </c>
      <c r="E736" t="e">
        <f t="shared" ca="1" si="24"/>
        <v>#VALUE!</v>
      </c>
      <c r="F736" t="e">
        <f t="shared" ca="1" si="25"/>
        <v>#VALUE!</v>
      </c>
      <c r="G736" t="e">
        <f t="shared" ca="1" si="26"/>
        <v>#VALUE!</v>
      </c>
    </row>
    <row r="737" spans="1:7" x14ac:dyDescent="0.25">
      <c r="A737" s="1"/>
      <c r="D737" t="e" cm="1">
        <f t="array" aca="1" ref="D737" ca="1">IF(OR(COUNTIF(damper_names,_xlfn.CONCAT("D_S_",C737))=1, COUNTIF(damper_names,_xlfn.CONCAT("D_E_",C737))=1), "C", "")</f>
        <v>#VALUE!</v>
      </c>
      <c r="E737" t="e">
        <f t="shared" ca="1" si="24"/>
        <v>#VALUE!</v>
      </c>
      <c r="F737" t="e">
        <f t="shared" ca="1" si="25"/>
        <v>#VALUE!</v>
      </c>
      <c r="G737" t="e">
        <f t="shared" ca="1" si="26"/>
        <v>#VALUE!</v>
      </c>
    </row>
    <row r="738" spans="1:7" x14ac:dyDescent="0.25">
      <c r="A738" s="1"/>
      <c r="D738" t="e" cm="1">
        <f t="array" aca="1" ref="D738" ca="1">IF(OR(COUNTIF(damper_names,_xlfn.CONCAT("D_S_",C738))=1, COUNTIF(damper_names,_xlfn.CONCAT("D_E_",C738))=1), "C", "")</f>
        <v>#VALUE!</v>
      </c>
      <c r="E738" t="e">
        <f t="shared" ca="1" si="24"/>
        <v>#VALUE!</v>
      </c>
      <c r="F738" t="e">
        <f t="shared" ca="1" si="25"/>
        <v>#VALUE!</v>
      </c>
      <c r="G738" t="e">
        <f t="shared" ca="1" si="26"/>
        <v>#VALUE!</v>
      </c>
    </row>
    <row r="739" spans="1:7" x14ac:dyDescent="0.25">
      <c r="A739" s="1"/>
      <c r="D739" t="e" cm="1">
        <f t="array" aca="1" ref="D739" ca="1">IF(OR(COUNTIF(damper_names,_xlfn.CONCAT("D_S_",C739))=1, COUNTIF(damper_names,_xlfn.CONCAT("D_E_",C739))=1), "C", "")</f>
        <v>#VALUE!</v>
      </c>
      <c r="E739" t="e">
        <f t="shared" ca="1" si="24"/>
        <v>#VALUE!</v>
      </c>
      <c r="F739" t="e">
        <f t="shared" ca="1" si="25"/>
        <v>#VALUE!</v>
      </c>
      <c r="G739" t="e">
        <f t="shared" ca="1" si="26"/>
        <v>#VALUE!</v>
      </c>
    </row>
    <row r="740" spans="1:7" x14ac:dyDescent="0.25">
      <c r="A740" s="1"/>
      <c r="D740" t="e" cm="1">
        <f t="array" aca="1" ref="D740" ca="1">IF(OR(COUNTIF(damper_names,_xlfn.CONCAT("D_S_",C740))=1, COUNTIF(damper_names,_xlfn.CONCAT("D_E_",C740))=1), "C", "")</f>
        <v>#VALUE!</v>
      </c>
      <c r="E740" t="e">
        <f t="shared" ca="1" si="24"/>
        <v>#VALUE!</v>
      </c>
      <c r="F740" t="e">
        <f t="shared" ca="1" si="25"/>
        <v>#VALUE!</v>
      </c>
      <c r="G740" t="e">
        <f t="shared" ca="1" si="26"/>
        <v>#VALUE!</v>
      </c>
    </row>
    <row r="741" spans="1:7" x14ac:dyDescent="0.25">
      <c r="A741" s="1"/>
      <c r="D741" t="e" cm="1">
        <f t="array" aca="1" ref="D741" ca="1">IF(OR(COUNTIF(damper_names,_xlfn.CONCAT("D_S_",C741))=1, COUNTIF(damper_names,_xlfn.CONCAT("D_E_",C741))=1), "C", "")</f>
        <v>#VALUE!</v>
      </c>
      <c r="E741" t="e">
        <f t="shared" ca="1" si="24"/>
        <v>#VALUE!</v>
      </c>
      <c r="F741" t="e">
        <f t="shared" ca="1" si="25"/>
        <v>#VALUE!</v>
      </c>
      <c r="G741" t="e">
        <f t="shared" ca="1" si="26"/>
        <v>#VALUE!</v>
      </c>
    </row>
    <row r="742" spans="1:7" x14ac:dyDescent="0.25">
      <c r="A742" s="1"/>
      <c r="D742" t="e" cm="1">
        <f t="array" aca="1" ref="D742" ca="1">IF(OR(COUNTIF(damper_names,_xlfn.CONCAT("D_S_",C742))=1, COUNTIF(damper_names,_xlfn.CONCAT("D_E_",C742))=1), "C", "")</f>
        <v>#VALUE!</v>
      </c>
      <c r="E742" t="e">
        <f t="shared" ca="1" si="24"/>
        <v>#VALUE!</v>
      </c>
      <c r="F742" t="e">
        <f t="shared" ca="1" si="25"/>
        <v>#VALUE!</v>
      </c>
      <c r="G742" t="e">
        <f t="shared" ca="1" si="26"/>
        <v>#VALUE!</v>
      </c>
    </row>
    <row r="743" spans="1:7" x14ac:dyDescent="0.25">
      <c r="A743" s="1"/>
      <c r="D743" t="e" cm="1">
        <f t="array" aca="1" ref="D743" ca="1">IF(OR(COUNTIF(damper_names,_xlfn.CONCAT("D_S_",C743))=1, COUNTIF(damper_names,_xlfn.CONCAT("D_E_",C743))=1), "C", "")</f>
        <v>#VALUE!</v>
      </c>
      <c r="E743" t="e">
        <f t="shared" ca="1" si="24"/>
        <v>#VALUE!</v>
      </c>
      <c r="F743" t="e">
        <f t="shared" ca="1" si="25"/>
        <v>#VALUE!</v>
      </c>
      <c r="G743" t="e">
        <f t="shared" ca="1" si="26"/>
        <v>#VALUE!</v>
      </c>
    </row>
    <row r="744" spans="1:7" x14ac:dyDescent="0.25">
      <c r="A744" s="1"/>
      <c r="D744" t="e" cm="1">
        <f t="array" aca="1" ref="D744" ca="1">IF(OR(COUNTIF(damper_names,_xlfn.CONCAT("D_S_",C744))=1, COUNTIF(damper_names,_xlfn.CONCAT("D_E_",C744))=1), "C", "")</f>
        <v>#VALUE!</v>
      </c>
      <c r="E744" t="e">
        <f t="shared" ca="1" si="24"/>
        <v>#VALUE!</v>
      </c>
      <c r="F744" t="e">
        <f t="shared" ca="1" si="25"/>
        <v>#VALUE!</v>
      </c>
      <c r="G744" t="e">
        <f t="shared" ca="1" si="26"/>
        <v>#VALUE!</v>
      </c>
    </row>
    <row r="745" spans="1:7" x14ac:dyDescent="0.25">
      <c r="A745" s="1"/>
      <c r="D745" t="e" cm="1">
        <f t="array" aca="1" ref="D745" ca="1">IF(OR(COUNTIF(damper_names,_xlfn.CONCAT("D_S_",C745))=1, COUNTIF(damper_names,_xlfn.CONCAT("D_E_",C745))=1), "C", "")</f>
        <v>#VALUE!</v>
      </c>
      <c r="E745" t="e">
        <f t="shared" ca="1" si="24"/>
        <v>#VALUE!</v>
      </c>
      <c r="F745" t="e">
        <f t="shared" ca="1" si="25"/>
        <v>#VALUE!</v>
      </c>
      <c r="G745" t="e">
        <f t="shared" ca="1" si="26"/>
        <v>#VALUE!</v>
      </c>
    </row>
    <row r="746" spans="1:7" x14ac:dyDescent="0.25">
      <c r="A746" s="1"/>
      <c r="D746" t="e" cm="1">
        <f t="array" aca="1" ref="D746" ca="1">IF(OR(COUNTIF(damper_names,_xlfn.CONCAT("D_S_",C746))=1, COUNTIF(damper_names,_xlfn.CONCAT("D_E_",C746))=1), "C", "")</f>
        <v>#VALUE!</v>
      </c>
      <c r="E746" t="e">
        <f t="shared" ca="1" si="24"/>
        <v>#VALUE!</v>
      </c>
      <c r="F746" t="e">
        <f t="shared" ca="1" si="25"/>
        <v>#VALUE!</v>
      </c>
      <c r="G746" t="e">
        <f t="shared" ca="1" si="26"/>
        <v>#VALUE!</v>
      </c>
    </row>
    <row r="747" spans="1:7" x14ac:dyDescent="0.25">
      <c r="A747" s="1"/>
      <c r="D747" t="e" cm="1">
        <f t="array" aca="1" ref="D747" ca="1">IF(OR(COUNTIF(damper_names,_xlfn.CONCAT("D_S_",C747))=1, COUNTIF(damper_names,_xlfn.CONCAT("D_E_",C747))=1), "C", "")</f>
        <v>#VALUE!</v>
      </c>
      <c r="E747" t="e">
        <f t="shared" ca="1" si="24"/>
        <v>#VALUE!</v>
      </c>
      <c r="F747" t="e">
        <f t="shared" ca="1" si="25"/>
        <v>#VALUE!</v>
      </c>
      <c r="G747" t="e">
        <f t="shared" ca="1" si="26"/>
        <v>#VALUE!</v>
      </c>
    </row>
    <row r="748" spans="1:7" x14ac:dyDescent="0.25">
      <c r="A748" s="1"/>
      <c r="D748" t="e" cm="1">
        <f t="array" aca="1" ref="D748" ca="1">IF(OR(COUNTIF(damper_names,_xlfn.CONCAT("D_S_",C748))=1, COUNTIF(damper_names,_xlfn.CONCAT("D_E_",C748))=1), "C", "")</f>
        <v>#VALUE!</v>
      </c>
      <c r="E748" t="e">
        <f t="shared" ca="1" si="24"/>
        <v>#VALUE!</v>
      </c>
      <c r="F748" t="e">
        <f t="shared" ca="1" si="25"/>
        <v>#VALUE!</v>
      </c>
      <c r="G748" t="e">
        <f t="shared" ca="1" si="26"/>
        <v>#VALUE!</v>
      </c>
    </row>
    <row r="749" spans="1:7" x14ac:dyDescent="0.25">
      <c r="A749" s="1"/>
      <c r="D749" t="e" cm="1">
        <f t="array" aca="1" ref="D749" ca="1">IF(OR(COUNTIF(damper_names,_xlfn.CONCAT("D_S_",C749))=1, COUNTIF(damper_names,_xlfn.CONCAT("D_E_",C749))=1), "C", "")</f>
        <v>#VALUE!</v>
      </c>
      <c r="E749" t="e">
        <f t="shared" ca="1" si="24"/>
        <v>#VALUE!</v>
      </c>
      <c r="F749" t="e">
        <f t="shared" ca="1" si="25"/>
        <v>#VALUE!</v>
      </c>
      <c r="G749" t="e">
        <f t="shared" ca="1" si="26"/>
        <v>#VALUE!</v>
      </c>
    </row>
    <row r="750" spans="1:7" x14ac:dyDescent="0.25">
      <c r="A750" s="1"/>
      <c r="D750" t="e" cm="1">
        <f t="array" aca="1" ref="D750" ca="1">IF(OR(COUNTIF(damper_names,_xlfn.CONCAT("D_S_",C750))=1, COUNTIF(damper_names,_xlfn.CONCAT("D_E_",C750))=1), "C", "")</f>
        <v>#VALUE!</v>
      </c>
      <c r="E750" t="e">
        <f t="shared" ca="1" si="24"/>
        <v>#VALUE!</v>
      </c>
      <c r="F750" t="e">
        <f t="shared" ca="1" si="25"/>
        <v>#VALUE!</v>
      </c>
      <c r="G750" t="e">
        <f t="shared" ca="1" si="26"/>
        <v>#VALUE!</v>
      </c>
    </row>
    <row r="751" spans="1:7" x14ac:dyDescent="0.25">
      <c r="A751" s="1"/>
      <c r="D751" t="e" cm="1">
        <f t="array" aca="1" ref="D751" ca="1">IF(OR(COUNTIF(damper_names,_xlfn.CONCAT("D_S_",C751))=1, COUNTIF(damper_names,_xlfn.CONCAT("D_E_",C751))=1), "C", "")</f>
        <v>#VALUE!</v>
      </c>
      <c r="E751" t="e">
        <f t="shared" ca="1" si="24"/>
        <v>#VALUE!</v>
      </c>
      <c r="F751" t="e">
        <f t="shared" ca="1" si="25"/>
        <v>#VALUE!</v>
      </c>
      <c r="G751" t="e">
        <f t="shared" ca="1" si="26"/>
        <v>#VALUE!</v>
      </c>
    </row>
    <row r="752" spans="1:7" x14ac:dyDescent="0.25">
      <c r="A752" s="1"/>
      <c r="D752" t="e" cm="1">
        <f t="array" aca="1" ref="D752" ca="1">IF(OR(COUNTIF(damper_names,_xlfn.CONCAT("D_S_",C752))=1, COUNTIF(damper_names,_xlfn.CONCAT("D_E_",C752))=1), "C", "")</f>
        <v>#VALUE!</v>
      </c>
      <c r="E752" t="e">
        <f t="shared" ca="1" si="24"/>
        <v>#VALUE!</v>
      </c>
      <c r="F752" t="e">
        <f t="shared" ca="1" si="25"/>
        <v>#VALUE!</v>
      </c>
      <c r="G752" t="e">
        <f t="shared" ca="1" si="26"/>
        <v>#VALUE!</v>
      </c>
    </row>
    <row r="753" spans="1:7" x14ac:dyDescent="0.25">
      <c r="A753" s="1"/>
      <c r="D753" t="e" cm="1">
        <f t="array" aca="1" ref="D753" ca="1">IF(OR(COUNTIF(damper_names,_xlfn.CONCAT("D_S_",C753))=1, COUNTIF(damper_names,_xlfn.CONCAT("D_E_",C753))=1), "C", "")</f>
        <v>#VALUE!</v>
      </c>
      <c r="E753" t="e">
        <f t="shared" ca="1" si="24"/>
        <v>#VALUE!</v>
      </c>
      <c r="F753" t="e">
        <f t="shared" ca="1" si="25"/>
        <v>#VALUE!</v>
      </c>
      <c r="G753" t="e">
        <f t="shared" ca="1" si="26"/>
        <v>#VALUE!</v>
      </c>
    </row>
    <row r="754" spans="1:7" x14ac:dyDescent="0.25">
      <c r="A754" s="1"/>
      <c r="D754" t="e" cm="1">
        <f t="array" aca="1" ref="D754" ca="1">IF(OR(COUNTIF(damper_names,_xlfn.CONCAT("D_S_",C754))=1, COUNTIF(damper_names,_xlfn.CONCAT("D_E_",C754))=1), "C", "")</f>
        <v>#VALUE!</v>
      </c>
      <c r="E754" t="e">
        <f t="shared" ca="1" si="24"/>
        <v>#VALUE!</v>
      </c>
      <c r="F754" t="e">
        <f t="shared" ca="1" si="25"/>
        <v>#VALUE!</v>
      </c>
      <c r="G754" t="e">
        <f t="shared" ca="1" si="26"/>
        <v>#VALUE!</v>
      </c>
    </row>
    <row r="755" spans="1:7" x14ac:dyDescent="0.25">
      <c r="A755" s="1"/>
      <c r="D755" t="e" cm="1">
        <f t="array" aca="1" ref="D755" ca="1">IF(OR(COUNTIF(damper_names,_xlfn.CONCAT("D_S_",C755))=1, COUNTIF(damper_names,_xlfn.CONCAT("D_E_",C755))=1), "C", "")</f>
        <v>#VALUE!</v>
      </c>
      <c r="E755" t="e">
        <f t="shared" ref="E755:E818" ca="1" si="27">IF(D755="T", 0.05, IF(D755="C", -0.01, ""))</f>
        <v>#VALUE!</v>
      </c>
      <c r="F755" t="e">
        <f t="shared" ref="F755:F818" ca="1" si="28">IF(D755="T", 0.05, IF(D755="C", 0, ""))</f>
        <v>#VALUE!</v>
      </c>
      <c r="G755" t="e">
        <f t="shared" ref="G755:G818" ca="1" si="29">IF(D755="T", 0, IF(D755="C", 0, ""))</f>
        <v>#VALUE!</v>
      </c>
    </row>
    <row r="756" spans="1:7" x14ac:dyDescent="0.25">
      <c r="A756" s="1"/>
      <c r="D756" t="e" cm="1">
        <f t="array" aca="1" ref="D756" ca="1">IF(OR(COUNTIF(damper_names,_xlfn.CONCAT("D_S_",C756))=1, COUNTIF(damper_names,_xlfn.CONCAT("D_E_",C756))=1), "C", "")</f>
        <v>#VALUE!</v>
      </c>
      <c r="E756" t="e">
        <f t="shared" ca="1" si="27"/>
        <v>#VALUE!</v>
      </c>
      <c r="F756" t="e">
        <f t="shared" ca="1" si="28"/>
        <v>#VALUE!</v>
      </c>
      <c r="G756" t="e">
        <f t="shared" ca="1" si="29"/>
        <v>#VALUE!</v>
      </c>
    </row>
    <row r="757" spans="1:7" x14ac:dyDescent="0.25">
      <c r="A757" s="1"/>
      <c r="D757" t="e" cm="1">
        <f t="array" aca="1" ref="D757" ca="1">IF(OR(COUNTIF(damper_names,_xlfn.CONCAT("D_S_",C757))=1, COUNTIF(damper_names,_xlfn.CONCAT("D_E_",C757))=1), "C", "")</f>
        <v>#VALUE!</v>
      </c>
      <c r="E757" t="e">
        <f t="shared" ca="1" si="27"/>
        <v>#VALUE!</v>
      </c>
      <c r="F757" t="e">
        <f t="shared" ca="1" si="28"/>
        <v>#VALUE!</v>
      </c>
      <c r="G757" t="e">
        <f t="shared" ca="1" si="29"/>
        <v>#VALUE!</v>
      </c>
    </row>
    <row r="758" spans="1:7" x14ac:dyDescent="0.25">
      <c r="A758" s="1"/>
      <c r="D758" t="e" cm="1">
        <f t="array" aca="1" ref="D758" ca="1">IF(OR(COUNTIF(damper_names,_xlfn.CONCAT("D_S_",C758))=1, COUNTIF(damper_names,_xlfn.CONCAT("D_E_",C758))=1), "C", "")</f>
        <v>#VALUE!</v>
      </c>
      <c r="E758" t="e">
        <f t="shared" ca="1" si="27"/>
        <v>#VALUE!</v>
      </c>
      <c r="F758" t="e">
        <f t="shared" ca="1" si="28"/>
        <v>#VALUE!</v>
      </c>
      <c r="G758" t="e">
        <f t="shared" ca="1" si="29"/>
        <v>#VALUE!</v>
      </c>
    </row>
    <row r="759" spans="1:7" x14ac:dyDescent="0.25">
      <c r="A759" s="1"/>
      <c r="D759" t="e" cm="1">
        <f t="array" aca="1" ref="D759" ca="1">IF(OR(COUNTIF(damper_names,_xlfn.CONCAT("D_S_",C759))=1, COUNTIF(damper_names,_xlfn.CONCAT("D_E_",C759))=1), "C", "")</f>
        <v>#VALUE!</v>
      </c>
      <c r="E759" t="e">
        <f t="shared" ca="1" si="27"/>
        <v>#VALUE!</v>
      </c>
      <c r="F759" t="e">
        <f t="shared" ca="1" si="28"/>
        <v>#VALUE!</v>
      </c>
      <c r="G759" t="e">
        <f t="shared" ca="1" si="29"/>
        <v>#VALUE!</v>
      </c>
    </row>
    <row r="760" spans="1:7" x14ac:dyDescent="0.25">
      <c r="A760" s="1"/>
      <c r="D760" t="e" cm="1">
        <f t="array" aca="1" ref="D760" ca="1">IF(OR(COUNTIF(damper_names,_xlfn.CONCAT("D_S_",C760))=1, COUNTIF(damper_names,_xlfn.CONCAT("D_E_",C760))=1), "C", "")</f>
        <v>#VALUE!</v>
      </c>
      <c r="E760" t="e">
        <f t="shared" ca="1" si="27"/>
        <v>#VALUE!</v>
      </c>
      <c r="F760" t="e">
        <f t="shared" ca="1" si="28"/>
        <v>#VALUE!</v>
      </c>
      <c r="G760" t="e">
        <f t="shared" ca="1" si="29"/>
        <v>#VALUE!</v>
      </c>
    </row>
    <row r="761" spans="1:7" x14ac:dyDescent="0.25">
      <c r="A761" s="1"/>
      <c r="D761" t="e" cm="1">
        <f t="array" aca="1" ref="D761" ca="1">IF(OR(COUNTIF(damper_names,_xlfn.CONCAT("D_S_",C761))=1, COUNTIF(damper_names,_xlfn.CONCAT("D_E_",C761))=1), "C", "")</f>
        <v>#VALUE!</v>
      </c>
      <c r="E761" t="e">
        <f t="shared" ca="1" si="27"/>
        <v>#VALUE!</v>
      </c>
      <c r="F761" t="e">
        <f t="shared" ca="1" si="28"/>
        <v>#VALUE!</v>
      </c>
      <c r="G761" t="e">
        <f t="shared" ca="1" si="29"/>
        <v>#VALUE!</v>
      </c>
    </row>
    <row r="762" spans="1:7" x14ac:dyDescent="0.25">
      <c r="A762" s="1"/>
      <c r="D762" t="e" cm="1">
        <f t="array" aca="1" ref="D762" ca="1">IF(OR(COUNTIF(damper_names,_xlfn.CONCAT("D_S_",C762))=1, COUNTIF(damper_names,_xlfn.CONCAT("D_E_",C762))=1), "C", "")</f>
        <v>#VALUE!</v>
      </c>
      <c r="E762" t="e">
        <f t="shared" ca="1" si="27"/>
        <v>#VALUE!</v>
      </c>
      <c r="F762" t="e">
        <f t="shared" ca="1" si="28"/>
        <v>#VALUE!</v>
      </c>
      <c r="G762" t="e">
        <f t="shared" ca="1" si="29"/>
        <v>#VALUE!</v>
      </c>
    </row>
    <row r="763" spans="1:7" x14ac:dyDescent="0.25">
      <c r="A763" s="1"/>
      <c r="D763" t="e" cm="1">
        <f t="array" aca="1" ref="D763" ca="1">IF(OR(COUNTIF(damper_names,_xlfn.CONCAT("D_S_",C763))=1, COUNTIF(damper_names,_xlfn.CONCAT("D_E_",C763))=1), "C", "")</f>
        <v>#VALUE!</v>
      </c>
      <c r="E763" t="e">
        <f t="shared" ca="1" si="27"/>
        <v>#VALUE!</v>
      </c>
      <c r="F763" t="e">
        <f t="shared" ca="1" si="28"/>
        <v>#VALUE!</v>
      </c>
      <c r="G763" t="e">
        <f t="shared" ca="1" si="29"/>
        <v>#VALUE!</v>
      </c>
    </row>
    <row r="764" spans="1:7" x14ac:dyDescent="0.25">
      <c r="A764" s="1"/>
      <c r="D764" t="e" cm="1">
        <f t="array" aca="1" ref="D764" ca="1">IF(OR(COUNTIF(damper_names,_xlfn.CONCAT("D_S_",C764))=1, COUNTIF(damper_names,_xlfn.CONCAT("D_E_",C764))=1), "C", "")</f>
        <v>#VALUE!</v>
      </c>
      <c r="E764" t="e">
        <f t="shared" ca="1" si="27"/>
        <v>#VALUE!</v>
      </c>
      <c r="F764" t="e">
        <f t="shared" ca="1" si="28"/>
        <v>#VALUE!</v>
      </c>
      <c r="G764" t="e">
        <f t="shared" ca="1" si="29"/>
        <v>#VALUE!</v>
      </c>
    </row>
    <row r="765" spans="1:7" x14ac:dyDescent="0.25">
      <c r="A765" s="1"/>
      <c r="D765" t="e" cm="1">
        <f t="array" aca="1" ref="D765" ca="1">IF(OR(COUNTIF(damper_names,_xlfn.CONCAT("D_S_",C765))=1, COUNTIF(damper_names,_xlfn.CONCAT("D_E_",C765))=1), "C", "")</f>
        <v>#VALUE!</v>
      </c>
      <c r="E765" t="e">
        <f t="shared" ca="1" si="27"/>
        <v>#VALUE!</v>
      </c>
      <c r="F765" t="e">
        <f t="shared" ca="1" si="28"/>
        <v>#VALUE!</v>
      </c>
      <c r="G765" t="e">
        <f t="shared" ca="1" si="29"/>
        <v>#VALUE!</v>
      </c>
    </row>
    <row r="766" spans="1:7" x14ac:dyDescent="0.25">
      <c r="A766" s="1"/>
      <c r="D766" t="e" cm="1">
        <f t="array" aca="1" ref="D766" ca="1">IF(OR(COUNTIF(damper_names,_xlfn.CONCAT("D_S_",C766))=1, COUNTIF(damper_names,_xlfn.CONCAT("D_E_",C766))=1), "C", "")</f>
        <v>#VALUE!</v>
      </c>
      <c r="E766" t="e">
        <f t="shared" ca="1" si="27"/>
        <v>#VALUE!</v>
      </c>
      <c r="F766" t="e">
        <f t="shared" ca="1" si="28"/>
        <v>#VALUE!</v>
      </c>
      <c r="G766" t="e">
        <f t="shared" ca="1" si="29"/>
        <v>#VALUE!</v>
      </c>
    </row>
    <row r="767" spans="1:7" x14ac:dyDescent="0.25">
      <c r="A767" s="1"/>
      <c r="D767" t="e" cm="1">
        <f t="array" aca="1" ref="D767" ca="1">IF(OR(COUNTIF(damper_names,_xlfn.CONCAT("D_S_",C767))=1, COUNTIF(damper_names,_xlfn.CONCAT("D_E_",C767))=1), "C", "")</f>
        <v>#VALUE!</v>
      </c>
      <c r="E767" t="e">
        <f t="shared" ca="1" si="27"/>
        <v>#VALUE!</v>
      </c>
      <c r="F767" t="e">
        <f t="shared" ca="1" si="28"/>
        <v>#VALUE!</v>
      </c>
      <c r="G767" t="e">
        <f t="shared" ca="1" si="29"/>
        <v>#VALUE!</v>
      </c>
    </row>
    <row r="768" spans="1:7" x14ac:dyDescent="0.25">
      <c r="A768" s="1"/>
      <c r="D768" t="e" cm="1">
        <f t="array" aca="1" ref="D768" ca="1">IF(OR(COUNTIF(damper_names,_xlfn.CONCAT("D_S_",C768))=1, COUNTIF(damper_names,_xlfn.CONCAT("D_E_",C768))=1), "C", "")</f>
        <v>#VALUE!</v>
      </c>
      <c r="E768" t="e">
        <f t="shared" ca="1" si="27"/>
        <v>#VALUE!</v>
      </c>
      <c r="F768" t="e">
        <f t="shared" ca="1" si="28"/>
        <v>#VALUE!</v>
      </c>
      <c r="G768" t="e">
        <f t="shared" ca="1" si="29"/>
        <v>#VALUE!</v>
      </c>
    </row>
    <row r="769" spans="1:7" x14ac:dyDescent="0.25">
      <c r="A769" s="1"/>
      <c r="D769" t="e" cm="1">
        <f t="array" aca="1" ref="D769" ca="1">IF(OR(COUNTIF(damper_names,_xlfn.CONCAT("D_S_",C769))=1, COUNTIF(damper_names,_xlfn.CONCAT("D_E_",C769))=1), "C", "")</f>
        <v>#VALUE!</v>
      </c>
      <c r="E769" t="e">
        <f t="shared" ca="1" si="27"/>
        <v>#VALUE!</v>
      </c>
      <c r="F769" t="e">
        <f t="shared" ca="1" si="28"/>
        <v>#VALUE!</v>
      </c>
      <c r="G769" t="e">
        <f t="shared" ca="1" si="29"/>
        <v>#VALUE!</v>
      </c>
    </row>
    <row r="770" spans="1:7" x14ac:dyDescent="0.25">
      <c r="A770" s="1"/>
      <c r="D770" t="e" cm="1">
        <f t="array" aca="1" ref="D770" ca="1">IF(OR(COUNTIF(damper_names,_xlfn.CONCAT("D_S_",C770))=1, COUNTIF(damper_names,_xlfn.CONCAT("D_E_",C770))=1), "C", "")</f>
        <v>#VALUE!</v>
      </c>
      <c r="E770" t="e">
        <f t="shared" ca="1" si="27"/>
        <v>#VALUE!</v>
      </c>
      <c r="F770" t="e">
        <f t="shared" ca="1" si="28"/>
        <v>#VALUE!</v>
      </c>
      <c r="G770" t="e">
        <f t="shared" ca="1" si="29"/>
        <v>#VALUE!</v>
      </c>
    </row>
    <row r="771" spans="1:7" x14ac:dyDescent="0.25">
      <c r="A771" s="1"/>
      <c r="D771" t="e" cm="1">
        <f t="array" aca="1" ref="D771" ca="1">IF(OR(COUNTIF(damper_names,_xlfn.CONCAT("D_S_",C771))=1, COUNTIF(damper_names,_xlfn.CONCAT("D_E_",C771))=1), "C", "")</f>
        <v>#VALUE!</v>
      </c>
      <c r="E771" t="e">
        <f t="shared" ca="1" si="27"/>
        <v>#VALUE!</v>
      </c>
      <c r="F771" t="e">
        <f t="shared" ca="1" si="28"/>
        <v>#VALUE!</v>
      </c>
      <c r="G771" t="e">
        <f t="shared" ca="1" si="29"/>
        <v>#VALUE!</v>
      </c>
    </row>
    <row r="772" spans="1:7" x14ac:dyDescent="0.25">
      <c r="A772" s="1"/>
      <c r="D772" t="e" cm="1">
        <f t="array" aca="1" ref="D772" ca="1">IF(OR(COUNTIF(damper_names,_xlfn.CONCAT("D_S_",C772))=1, COUNTIF(damper_names,_xlfn.CONCAT("D_E_",C772))=1), "C", "")</f>
        <v>#VALUE!</v>
      </c>
      <c r="E772" t="e">
        <f t="shared" ca="1" si="27"/>
        <v>#VALUE!</v>
      </c>
      <c r="F772" t="e">
        <f t="shared" ca="1" si="28"/>
        <v>#VALUE!</v>
      </c>
      <c r="G772" t="e">
        <f t="shared" ca="1" si="29"/>
        <v>#VALUE!</v>
      </c>
    </row>
    <row r="773" spans="1:7" x14ac:dyDescent="0.25">
      <c r="A773" s="1"/>
      <c r="D773" t="e" cm="1">
        <f t="array" aca="1" ref="D773" ca="1">IF(OR(COUNTIF(damper_names,_xlfn.CONCAT("D_S_",C773))=1, COUNTIF(damper_names,_xlfn.CONCAT("D_E_",C773))=1), "C", "")</f>
        <v>#VALUE!</v>
      </c>
      <c r="E773" t="e">
        <f t="shared" ca="1" si="27"/>
        <v>#VALUE!</v>
      </c>
      <c r="F773" t="e">
        <f t="shared" ca="1" si="28"/>
        <v>#VALUE!</v>
      </c>
      <c r="G773" t="e">
        <f t="shared" ca="1" si="29"/>
        <v>#VALUE!</v>
      </c>
    </row>
    <row r="774" spans="1:7" x14ac:dyDescent="0.25">
      <c r="A774" s="1"/>
      <c r="D774" t="e" cm="1">
        <f t="array" aca="1" ref="D774" ca="1">IF(OR(COUNTIF(damper_names,_xlfn.CONCAT("D_S_",C774))=1, COUNTIF(damper_names,_xlfn.CONCAT("D_E_",C774))=1), "C", "")</f>
        <v>#VALUE!</v>
      </c>
      <c r="E774" t="e">
        <f t="shared" ca="1" si="27"/>
        <v>#VALUE!</v>
      </c>
      <c r="F774" t="e">
        <f t="shared" ca="1" si="28"/>
        <v>#VALUE!</v>
      </c>
      <c r="G774" t="e">
        <f t="shared" ca="1" si="29"/>
        <v>#VALUE!</v>
      </c>
    </row>
    <row r="775" spans="1:7" x14ac:dyDescent="0.25">
      <c r="A775" s="1"/>
      <c r="D775" t="e" cm="1">
        <f t="array" aca="1" ref="D775" ca="1">IF(OR(COUNTIF(damper_names,_xlfn.CONCAT("D_S_",C775))=1, COUNTIF(damper_names,_xlfn.CONCAT("D_E_",C775))=1), "C", "")</f>
        <v>#VALUE!</v>
      </c>
      <c r="E775" t="e">
        <f t="shared" ca="1" si="27"/>
        <v>#VALUE!</v>
      </c>
      <c r="F775" t="e">
        <f t="shared" ca="1" si="28"/>
        <v>#VALUE!</v>
      </c>
      <c r="G775" t="e">
        <f t="shared" ca="1" si="29"/>
        <v>#VALUE!</v>
      </c>
    </row>
    <row r="776" spans="1:7" x14ac:dyDescent="0.25">
      <c r="A776" s="1"/>
      <c r="D776" t="e" cm="1">
        <f t="array" aca="1" ref="D776" ca="1">IF(OR(COUNTIF(damper_names,_xlfn.CONCAT("D_S_",C776))=1, COUNTIF(damper_names,_xlfn.CONCAT("D_E_",C776))=1), "C", "")</f>
        <v>#VALUE!</v>
      </c>
      <c r="E776" t="e">
        <f t="shared" ca="1" si="27"/>
        <v>#VALUE!</v>
      </c>
      <c r="F776" t="e">
        <f t="shared" ca="1" si="28"/>
        <v>#VALUE!</v>
      </c>
      <c r="G776" t="e">
        <f t="shared" ca="1" si="29"/>
        <v>#VALUE!</v>
      </c>
    </row>
    <row r="777" spans="1:7" x14ac:dyDescent="0.25">
      <c r="A777" s="1"/>
      <c r="D777" t="e" cm="1">
        <f t="array" aca="1" ref="D777" ca="1">IF(OR(COUNTIF(damper_names,_xlfn.CONCAT("D_S_",C777))=1, COUNTIF(damper_names,_xlfn.CONCAT("D_E_",C777))=1), "C", "")</f>
        <v>#VALUE!</v>
      </c>
      <c r="E777" t="e">
        <f t="shared" ca="1" si="27"/>
        <v>#VALUE!</v>
      </c>
      <c r="F777" t="e">
        <f t="shared" ca="1" si="28"/>
        <v>#VALUE!</v>
      </c>
      <c r="G777" t="e">
        <f t="shared" ca="1" si="29"/>
        <v>#VALUE!</v>
      </c>
    </row>
    <row r="778" spans="1:7" x14ac:dyDescent="0.25">
      <c r="A778" s="1"/>
      <c r="D778" t="e" cm="1">
        <f t="array" aca="1" ref="D778" ca="1">IF(OR(COUNTIF(damper_names,_xlfn.CONCAT("D_S_",C778))=1, COUNTIF(damper_names,_xlfn.CONCAT("D_E_",C778))=1), "C", "")</f>
        <v>#VALUE!</v>
      </c>
      <c r="E778" t="e">
        <f t="shared" ca="1" si="27"/>
        <v>#VALUE!</v>
      </c>
      <c r="F778" t="e">
        <f t="shared" ca="1" si="28"/>
        <v>#VALUE!</v>
      </c>
      <c r="G778" t="e">
        <f t="shared" ca="1" si="29"/>
        <v>#VALUE!</v>
      </c>
    </row>
    <row r="779" spans="1:7" x14ac:dyDescent="0.25">
      <c r="A779" s="1"/>
      <c r="D779" t="e" cm="1">
        <f t="array" aca="1" ref="D779" ca="1">IF(OR(COUNTIF(damper_names,_xlfn.CONCAT("D_S_",C779))=1, COUNTIF(damper_names,_xlfn.CONCAT("D_E_",C779))=1), "C", "")</f>
        <v>#VALUE!</v>
      </c>
      <c r="E779" t="e">
        <f t="shared" ca="1" si="27"/>
        <v>#VALUE!</v>
      </c>
      <c r="F779" t="e">
        <f t="shared" ca="1" si="28"/>
        <v>#VALUE!</v>
      </c>
      <c r="G779" t="e">
        <f t="shared" ca="1" si="29"/>
        <v>#VALUE!</v>
      </c>
    </row>
    <row r="780" spans="1:7" x14ac:dyDescent="0.25">
      <c r="A780" s="1"/>
      <c r="D780" t="e" cm="1">
        <f t="array" aca="1" ref="D780" ca="1">IF(OR(COUNTIF(damper_names,_xlfn.CONCAT("D_S_",C780))=1, COUNTIF(damper_names,_xlfn.CONCAT("D_E_",C780))=1), "C", "")</f>
        <v>#VALUE!</v>
      </c>
      <c r="E780" t="e">
        <f t="shared" ca="1" si="27"/>
        <v>#VALUE!</v>
      </c>
      <c r="F780" t="e">
        <f t="shared" ca="1" si="28"/>
        <v>#VALUE!</v>
      </c>
      <c r="G780" t="e">
        <f t="shared" ca="1" si="29"/>
        <v>#VALUE!</v>
      </c>
    </row>
    <row r="781" spans="1:7" x14ac:dyDescent="0.25">
      <c r="A781" s="1"/>
      <c r="D781" t="e" cm="1">
        <f t="array" aca="1" ref="D781" ca="1">IF(OR(COUNTIF(damper_names,_xlfn.CONCAT("D_S_",C781))=1, COUNTIF(damper_names,_xlfn.CONCAT("D_E_",C781))=1), "C", "")</f>
        <v>#VALUE!</v>
      </c>
      <c r="E781" t="e">
        <f t="shared" ca="1" si="27"/>
        <v>#VALUE!</v>
      </c>
      <c r="F781" t="e">
        <f t="shared" ca="1" si="28"/>
        <v>#VALUE!</v>
      </c>
      <c r="G781" t="e">
        <f t="shared" ca="1" si="29"/>
        <v>#VALUE!</v>
      </c>
    </row>
    <row r="782" spans="1:7" x14ac:dyDescent="0.25">
      <c r="A782" s="1"/>
      <c r="D782" t="e" cm="1">
        <f t="array" aca="1" ref="D782" ca="1">IF(OR(COUNTIF(damper_names,_xlfn.CONCAT("D_S_",C782))=1, COUNTIF(damper_names,_xlfn.CONCAT("D_E_",C782))=1), "C", "")</f>
        <v>#VALUE!</v>
      </c>
      <c r="E782" t="e">
        <f t="shared" ca="1" si="27"/>
        <v>#VALUE!</v>
      </c>
      <c r="F782" t="e">
        <f t="shared" ca="1" si="28"/>
        <v>#VALUE!</v>
      </c>
      <c r="G782" t="e">
        <f t="shared" ca="1" si="29"/>
        <v>#VALUE!</v>
      </c>
    </row>
    <row r="783" spans="1:7" x14ac:dyDescent="0.25">
      <c r="A783" s="1"/>
      <c r="D783" t="e" cm="1">
        <f t="array" aca="1" ref="D783" ca="1">IF(OR(COUNTIF(damper_names,_xlfn.CONCAT("D_S_",C783))=1, COUNTIF(damper_names,_xlfn.CONCAT("D_E_",C783))=1), "C", "")</f>
        <v>#VALUE!</v>
      </c>
      <c r="E783" t="e">
        <f t="shared" ca="1" si="27"/>
        <v>#VALUE!</v>
      </c>
      <c r="F783" t="e">
        <f t="shared" ca="1" si="28"/>
        <v>#VALUE!</v>
      </c>
      <c r="G783" t="e">
        <f t="shared" ca="1" si="29"/>
        <v>#VALUE!</v>
      </c>
    </row>
    <row r="784" spans="1:7" x14ac:dyDescent="0.25">
      <c r="A784" s="1"/>
      <c r="D784" t="e" cm="1">
        <f t="array" aca="1" ref="D784" ca="1">IF(OR(COUNTIF(damper_names,_xlfn.CONCAT("D_S_",C784))=1, COUNTIF(damper_names,_xlfn.CONCAT("D_E_",C784))=1), "C", "")</f>
        <v>#VALUE!</v>
      </c>
      <c r="E784" t="e">
        <f t="shared" ca="1" si="27"/>
        <v>#VALUE!</v>
      </c>
      <c r="F784" t="e">
        <f t="shared" ca="1" si="28"/>
        <v>#VALUE!</v>
      </c>
      <c r="G784" t="e">
        <f t="shared" ca="1" si="29"/>
        <v>#VALUE!</v>
      </c>
    </row>
    <row r="785" spans="1:7" x14ac:dyDescent="0.25">
      <c r="A785" s="1"/>
      <c r="D785" t="e" cm="1">
        <f t="array" aca="1" ref="D785" ca="1">IF(OR(COUNTIF(damper_names,_xlfn.CONCAT("D_S_",C785))=1, COUNTIF(damper_names,_xlfn.CONCAT("D_E_",C785))=1), "C", "")</f>
        <v>#VALUE!</v>
      </c>
      <c r="E785" t="e">
        <f t="shared" ca="1" si="27"/>
        <v>#VALUE!</v>
      </c>
      <c r="F785" t="e">
        <f t="shared" ca="1" si="28"/>
        <v>#VALUE!</v>
      </c>
      <c r="G785" t="e">
        <f t="shared" ca="1" si="29"/>
        <v>#VALUE!</v>
      </c>
    </row>
    <row r="786" spans="1:7" x14ac:dyDescent="0.25">
      <c r="A786" s="1"/>
      <c r="D786" t="e" cm="1">
        <f t="array" aca="1" ref="D786" ca="1">IF(OR(COUNTIF(damper_names,_xlfn.CONCAT("D_S_",C786))=1, COUNTIF(damper_names,_xlfn.CONCAT("D_E_",C786))=1), "C", "")</f>
        <v>#VALUE!</v>
      </c>
      <c r="E786" t="e">
        <f t="shared" ca="1" si="27"/>
        <v>#VALUE!</v>
      </c>
      <c r="F786" t="e">
        <f t="shared" ca="1" si="28"/>
        <v>#VALUE!</v>
      </c>
      <c r="G786" t="e">
        <f t="shared" ca="1" si="29"/>
        <v>#VALUE!</v>
      </c>
    </row>
    <row r="787" spans="1:7" x14ac:dyDescent="0.25">
      <c r="A787" s="1"/>
      <c r="D787" t="e" cm="1">
        <f t="array" aca="1" ref="D787" ca="1">IF(OR(COUNTIF(damper_names,_xlfn.CONCAT("D_S_",C787))=1, COUNTIF(damper_names,_xlfn.CONCAT("D_E_",C787))=1), "C", "")</f>
        <v>#VALUE!</v>
      </c>
      <c r="E787" t="e">
        <f t="shared" ca="1" si="27"/>
        <v>#VALUE!</v>
      </c>
      <c r="F787" t="e">
        <f t="shared" ca="1" si="28"/>
        <v>#VALUE!</v>
      </c>
      <c r="G787" t="e">
        <f t="shared" ca="1" si="29"/>
        <v>#VALUE!</v>
      </c>
    </row>
    <row r="788" spans="1:7" x14ac:dyDescent="0.25">
      <c r="A788" s="1"/>
      <c r="D788" t="e" cm="1">
        <f t="array" aca="1" ref="D788" ca="1">IF(OR(COUNTIF(damper_names,_xlfn.CONCAT("D_S_",C788))=1, COUNTIF(damper_names,_xlfn.CONCAT("D_E_",C788))=1), "C", "")</f>
        <v>#VALUE!</v>
      </c>
      <c r="E788" t="e">
        <f t="shared" ca="1" si="27"/>
        <v>#VALUE!</v>
      </c>
      <c r="F788" t="e">
        <f t="shared" ca="1" si="28"/>
        <v>#VALUE!</v>
      </c>
      <c r="G788" t="e">
        <f t="shared" ca="1" si="29"/>
        <v>#VALUE!</v>
      </c>
    </row>
    <row r="789" spans="1:7" x14ac:dyDescent="0.25">
      <c r="A789" s="1"/>
      <c r="D789" t="e" cm="1">
        <f t="array" aca="1" ref="D789" ca="1">IF(OR(COUNTIF(damper_names,_xlfn.CONCAT("D_S_",C789))=1, COUNTIF(damper_names,_xlfn.CONCAT("D_E_",C789))=1), "C", "")</f>
        <v>#VALUE!</v>
      </c>
      <c r="E789" t="e">
        <f t="shared" ca="1" si="27"/>
        <v>#VALUE!</v>
      </c>
      <c r="F789" t="e">
        <f t="shared" ca="1" si="28"/>
        <v>#VALUE!</v>
      </c>
      <c r="G789" t="e">
        <f t="shared" ca="1" si="29"/>
        <v>#VALUE!</v>
      </c>
    </row>
    <row r="790" spans="1:7" x14ac:dyDescent="0.25">
      <c r="A790" s="1"/>
      <c r="D790" t="e" cm="1">
        <f t="array" aca="1" ref="D790" ca="1">IF(OR(COUNTIF(damper_names,_xlfn.CONCAT("D_S_",C790))=1, COUNTIF(damper_names,_xlfn.CONCAT("D_E_",C790))=1), "C", "")</f>
        <v>#VALUE!</v>
      </c>
      <c r="E790" t="e">
        <f t="shared" ca="1" si="27"/>
        <v>#VALUE!</v>
      </c>
      <c r="F790" t="e">
        <f t="shared" ca="1" si="28"/>
        <v>#VALUE!</v>
      </c>
      <c r="G790" t="e">
        <f t="shared" ca="1" si="29"/>
        <v>#VALUE!</v>
      </c>
    </row>
    <row r="791" spans="1:7" x14ac:dyDescent="0.25">
      <c r="A791" s="1"/>
      <c r="D791" t="e" cm="1">
        <f t="array" aca="1" ref="D791" ca="1">IF(OR(COUNTIF(damper_names,_xlfn.CONCAT("D_S_",C791))=1, COUNTIF(damper_names,_xlfn.CONCAT("D_E_",C791))=1), "C", "")</f>
        <v>#VALUE!</v>
      </c>
      <c r="E791" t="e">
        <f t="shared" ca="1" si="27"/>
        <v>#VALUE!</v>
      </c>
      <c r="F791" t="e">
        <f t="shared" ca="1" si="28"/>
        <v>#VALUE!</v>
      </c>
      <c r="G791" t="e">
        <f t="shared" ca="1" si="29"/>
        <v>#VALUE!</v>
      </c>
    </row>
    <row r="792" spans="1:7" x14ac:dyDescent="0.25">
      <c r="A792" s="1"/>
      <c r="D792" t="e" cm="1">
        <f t="array" aca="1" ref="D792" ca="1">IF(OR(COUNTIF(damper_names,_xlfn.CONCAT("D_S_",C792))=1, COUNTIF(damper_names,_xlfn.CONCAT("D_E_",C792))=1), "C", "")</f>
        <v>#VALUE!</v>
      </c>
      <c r="E792" t="e">
        <f t="shared" ca="1" si="27"/>
        <v>#VALUE!</v>
      </c>
      <c r="F792" t="e">
        <f t="shared" ca="1" si="28"/>
        <v>#VALUE!</v>
      </c>
      <c r="G792" t="e">
        <f t="shared" ca="1" si="29"/>
        <v>#VALUE!</v>
      </c>
    </row>
    <row r="793" spans="1:7" x14ac:dyDescent="0.25">
      <c r="A793" s="1"/>
      <c r="D793" t="e" cm="1">
        <f t="array" aca="1" ref="D793" ca="1">IF(OR(COUNTIF(damper_names,_xlfn.CONCAT("D_S_",C793))=1, COUNTIF(damper_names,_xlfn.CONCAT("D_E_",C793))=1), "C", "")</f>
        <v>#VALUE!</v>
      </c>
      <c r="E793" t="e">
        <f t="shared" ca="1" si="27"/>
        <v>#VALUE!</v>
      </c>
      <c r="F793" t="e">
        <f t="shared" ca="1" si="28"/>
        <v>#VALUE!</v>
      </c>
      <c r="G793" t="e">
        <f t="shared" ca="1" si="29"/>
        <v>#VALUE!</v>
      </c>
    </row>
    <row r="794" spans="1:7" x14ac:dyDescent="0.25">
      <c r="A794" s="1"/>
      <c r="D794" t="e" cm="1">
        <f t="array" aca="1" ref="D794" ca="1">IF(OR(COUNTIF(damper_names,_xlfn.CONCAT("D_S_",C794))=1, COUNTIF(damper_names,_xlfn.CONCAT("D_E_",C794))=1), "C", "")</f>
        <v>#VALUE!</v>
      </c>
      <c r="E794" t="e">
        <f t="shared" ca="1" si="27"/>
        <v>#VALUE!</v>
      </c>
      <c r="F794" t="e">
        <f t="shared" ca="1" si="28"/>
        <v>#VALUE!</v>
      </c>
      <c r="G794" t="e">
        <f t="shared" ca="1" si="29"/>
        <v>#VALUE!</v>
      </c>
    </row>
    <row r="795" spans="1:7" x14ac:dyDescent="0.25">
      <c r="A795" s="1"/>
      <c r="D795" t="e" cm="1">
        <f t="array" aca="1" ref="D795" ca="1">IF(OR(COUNTIF(damper_names,_xlfn.CONCAT("D_S_",C795))=1, COUNTIF(damper_names,_xlfn.CONCAT("D_E_",C795))=1), "C", "")</f>
        <v>#VALUE!</v>
      </c>
      <c r="E795" t="e">
        <f t="shared" ca="1" si="27"/>
        <v>#VALUE!</v>
      </c>
      <c r="F795" t="e">
        <f t="shared" ca="1" si="28"/>
        <v>#VALUE!</v>
      </c>
      <c r="G795" t="e">
        <f t="shared" ca="1" si="29"/>
        <v>#VALUE!</v>
      </c>
    </row>
    <row r="796" spans="1:7" x14ac:dyDescent="0.25">
      <c r="A796" s="1"/>
      <c r="D796" t="e" cm="1">
        <f t="array" aca="1" ref="D796" ca="1">IF(OR(COUNTIF(damper_names,_xlfn.CONCAT("D_S_",C796))=1, COUNTIF(damper_names,_xlfn.CONCAT("D_E_",C796))=1), "C", "")</f>
        <v>#VALUE!</v>
      </c>
      <c r="E796" t="e">
        <f t="shared" ca="1" si="27"/>
        <v>#VALUE!</v>
      </c>
      <c r="F796" t="e">
        <f t="shared" ca="1" si="28"/>
        <v>#VALUE!</v>
      </c>
      <c r="G796" t="e">
        <f t="shared" ca="1" si="29"/>
        <v>#VALUE!</v>
      </c>
    </row>
    <row r="797" spans="1:7" x14ac:dyDescent="0.25">
      <c r="A797" s="1"/>
      <c r="D797" t="e" cm="1">
        <f t="array" aca="1" ref="D797" ca="1">IF(OR(COUNTIF(damper_names,_xlfn.CONCAT("D_S_",C797))=1, COUNTIF(damper_names,_xlfn.CONCAT("D_E_",C797))=1), "C", "")</f>
        <v>#VALUE!</v>
      </c>
      <c r="E797" t="e">
        <f t="shared" ca="1" si="27"/>
        <v>#VALUE!</v>
      </c>
      <c r="F797" t="e">
        <f t="shared" ca="1" si="28"/>
        <v>#VALUE!</v>
      </c>
      <c r="G797" t="e">
        <f t="shared" ca="1" si="29"/>
        <v>#VALUE!</v>
      </c>
    </row>
    <row r="798" spans="1:7" x14ac:dyDescent="0.25">
      <c r="A798" s="1"/>
      <c r="D798" t="e" cm="1">
        <f t="array" aca="1" ref="D798" ca="1">IF(OR(COUNTIF(damper_names,_xlfn.CONCAT("D_S_",C798))=1, COUNTIF(damper_names,_xlfn.CONCAT("D_E_",C798))=1), "C", "")</f>
        <v>#VALUE!</v>
      </c>
      <c r="E798" t="e">
        <f t="shared" ca="1" si="27"/>
        <v>#VALUE!</v>
      </c>
      <c r="F798" t="e">
        <f t="shared" ca="1" si="28"/>
        <v>#VALUE!</v>
      </c>
      <c r="G798" t="e">
        <f t="shared" ca="1" si="29"/>
        <v>#VALUE!</v>
      </c>
    </row>
    <row r="799" spans="1:7" x14ac:dyDescent="0.25">
      <c r="A799" s="1"/>
      <c r="D799" t="e" cm="1">
        <f t="array" aca="1" ref="D799" ca="1">IF(OR(COUNTIF(damper_names,_xlfn.CONCAT("D_S_",C799))=1, COUNTIF(damper_names,_xlfn.CONCAT("D_E_",C799))=1), "C", "")</f>
        <v>#VALUE!</v>
      </c>
      <c r="E799" t="e">
        <f t="shared" ca="1" si="27"/>
        <v>#VALUE!</v>
      </c>
      <c r="F799" t="e">
        <f t="shared" ca="1" si="28"/>
        <v>#VALUE!</v>
      </c>
      <c r="G799" t="e">
        <f t="shared" ca="1" si="29"/>
        <v>#VALUE!</v>
      </c>
    </row>
    <row r="800" spans="1:7" x14ac:dyDescent="0.25">
      <c r="A800" s="1"/>
      <c r="D800" t="e" cm="1">
        <f t="array" aca="1" ref="D800" ca="1">IF(OR(COUNTIF(damper_names,_xlfn.CONCAT("D_S_",C800))=1, COUNTIF(damper_names,_xlfn.CONCAT("D_E_",C800))=1), "C", "")</f>
        <v>#VALUE!</v>
      </c>
      <c r="E800" t="e">
        <f t="shared" ca="1" si="27"/>
        <v>#VALUE!</v>
      </c>
      <c r="F800" t="e">
        <f t="shared" ca="1" si="28"/>
        <v>#VALUE!</v>
      </c>
      <c r="G800" t="e">
        <f t="shared" ca="1" si="29"/>
        <v>#VALUE!</v>
      </c>
    </row>
    <row r="801" spans="1:7" x14ac:dyDescent="0.25">
      <c r="A801" s="1"/>
      <c r="D801" t="e" cm="1">
        <f t="array" aca="1" ref="D801" ca="1">IF(OR(COUNTIF(damper_names,_xlfn.CONCAT("D_S_",C801))=1, COUNTIF(damper_names,_xlfn.CONCAT("D_E_",C801))=1), "C", "")</f>
        <v>#VALUE!</v>
      </c>
      <c r="E801" t="e">
        <f t="shared" ca="1" si="27"/>
        <v>#VALUE!</v>
      </c>
      <c r="F801" t="e">
        <f t="shared" ca="1" si="28"/>
        <v>#VALUE!</v>
      </c>
      <c r="G801" t="e">
        <f t="shared" ca="1" si="29"/>
        <v>#VALUE!</v>
      </c>
    </row>
    <row r="802" spans="1:7" x14ac:dyDescent="0.25">
      <c r="A802" s="1"/>
      <c r="D802" t="e" cm="1">
        <f t="array" aca="1" ref="D802" ca="1">IF(OR(COUNTIF(damper_names,_xlfn.CONCAT("D_S_",C802))=1, COUNTIF(damper_names,_xlfn.CONCAT("D_E_",C802))=1), "C", "")</f>
        <v>#VALUE!</v>
      </c>
      <c r="E802" t="e">
        <f t="shared" ca="1" si="27"/>
        <v>#VALUE!</v>
      </c>
      <c r="F802" t="e">
        <f t="shared" ca="1" si="28"/>
        <v>#VALUE!</v>
      </c>
      <c r="G802" t="e">
        <f t="shared" ca="1" si="29"/>
        <v>#VALUE!</v>
      </c>
    </row>
    <row r="803" spans="1:7" x14ac:dyDescent="0.25">
      <c r="A803" s="1"/>
      <c r="D803" t="e" cm="1">
        <f t="array" aca="1" ref="D803" ca="1">IF(OR(COUNTIF(damper_names,_xlfn.CONCAT("D_S_",C803))=1, COUNTIF(damper_names,_xlfn.CONCAT("D_E_",C803))=1), "C", "")</f>
        <v>#VALUE!</v>
      </c>
      <c r="E803" t="e">
        <f t="shared" ca="1" si="27"/>
        <v>#VALUE!</v>
      </c>
      <c r="F803" t="e">
        <f t="shared" ca="1" si="28"/>
        <v>#VALUE!</v>
      </c>
      <c r="G803" t="e">
        <f t="shared" ca="1" si="29"/>
        <v>#VALUE!</v>
      </c>
    </row>
    <row r="804" spans="1:7" x14ac:dyDescent="0.25">
      <c r="A804" s="1"/>
      <c r="D804" t="e" cm="1">
        <f t="array" aca="1" ref="D804" ca="1">IF(OR(COUNTIF(damper_names,_xlfn.CONCAT("D_S_",C804))=1, COUNTIF(damper_names,_xlfn.CONCAT("D_E_",C804))=1), "C", "")</f>
        <v>#VALUE!</v>
      </c>
      <c r="E804" t="e">
        <f t="shared" ca="1" si="27"/>
        <v>#VALUE!</v>
      </c>
      <c r="F804" t="e">
        <f t="shared" ca="1" si="28"/>
        <v>#VALUE!</v>
      </c>
      <c r="G804" t="e">
        <f t="shared" ca="1" si="29"/>
        <v>#VALUE!</v>
      </c>
    </row>
    <row r="805" spans="1:7" x14ac:dyDescent="0.25">
      <c r="A805" s="1"/>
      <c r="D805" t="e" cm="1">
        <f t="array" aca="1" ref="D805" ca="1">IF(OR(COUNTIF(damper_names,_xlfn.CONCAT("D_S_",C805))=1, COUNTIF(damper_names,_xlfn.CONCAT("D_E_",C805))=1), "C", "")</f>
        <v>#VALUE!</v>
      </c>
      <c r="E805" t="e">
        <f t="shared" ca="1" si="27"/>
        <v>#VALUE!</v>
      </c>
      <c r="F805" t="e">
        <f t="shared" ca="1" si="28"/>
        <v>#VALUE!</v>
      </c>
      <c r="G805" t="e">
        <f t="shared" ca="1" si="29"/>
        <v>#VALUE!</v>
      </c>
    </row>
    <row r="806" spans="1:7" x14ac:dyDescent="0.25">
      <c r="A806" s="1"/>
      <c r="D806" t="e" cm="1">
        <f t="array" aca="1" ref="D806" ca="1">IF(OR(COUNTIF(damper_names,_xlfn.CONCAT("D_S_",C806))=1, COUNTIF(damper_names,_xlfn.CONCAT("D_E_",C806))=1), "C", "")</f>
        <v>#VALUE!</v>
      </c>
      <c r="E806" t="e">
        <f t="shared" ca="1" si="27"/>
        <v>#VALUE!</v>
      </c>
      <c r="F806" t="e">
        <f t="shared" ca="1" si="28"/>
        <v>#VALUE!</v>
      </c>
      <c r="G806" t="e">
        <f t="shared" ca="1" si="29"/>
        <v>#VALUE!</v>
      </c>
    </row>
    <row r="807" spans="1:7" x14ac:dyDescent="0.25">
      <c r="A807" s="1"/>
      <c r="D807" t="e" cm="1">
        <f t="array" aca="1" ref="D807" ca="1">IF(OR(COUNTIF(damper_names,_xlfn.CONCAT("D_S_",C807))=1, COUNTIF(damper_names,_xlfn.CONCAT("D_E_",C807))=1), "C", "")</f>
        <v>#VALUE!</v>
      </c>
      <c r="E807" t="e">
        <f t="shared" ca="1" si="27"/>
        <v>#VALUE!</v>
      </c>
      <c r="F807" t="e">
        <f t="shared" ca="1" si="28"/>
        <v>#VALUE!</v>
      </c>
      <c r="G807" t="e">
        <f t="shared" ca="1" si="29"/>
        <v>#VALUE!</v>
      </c>
    </row>
    <row r="808" spans="1:7" x14ac:dyDescent="0.25">
      <c r="A808" s="1"/>
      <c r="D808" t="e" cm="1">
        <f t="array" aca="1" ref="D808" ca="1">IF(OR(COUNTIF(damper_names,_xlfn.CONCAT("D_S_",C808))=1, COUNTIF(damper_names,_xlfn.CONCAT("D_E_",C808))=1), "C", "")</f>
        <v>#VALUE!</v>
      </c>
      <c r="E808" t="e">
        <f t="shared" ca="1" si="27"/>
        <v>#VALUE!</v>
      </c>
      <c r="F808" t="e">
        <f t="shared" ca="1" si="28"/>
        <v>#VALUE!</v>
      </c>
      <c r="G808" t="e">
        <f t="shared" ca="1" si="29"/>
        <v>#VALUE!</v>
      </c>
    </row>
    <row r="809" spans="1:7" x14ac:dyDescent="0.25">
      <c r="A809" s="1"/>
      <c r="D809" t="e" cm="1">
        <f t="array" aca="1" ref="D809" ca="1">IF(OR(COUNTIF(damper_names,_xlfn.CONCAT("D_S_",C809))=1, COUNTIF(damper_names,_xlfn.CONCAT("D_E_",C809))=1), "C", "")</f>
        <v>#VALUE!</v>
      </c>
      <c r="E809" t="e">
        <f t="shared" ca="1" si="27"/>
        <v>#VALUE!</v>
      </c>
      <c r="F809" t="e">
        <f t="shared" ca="1" si="28"/>
        <v>#VALUE!</v>
      </c>
      <c r="G809" t="e">
        <f t="shared" ca="1" si="29"/>
        <v>#VALUE!</v>
      </c>
    </row>
    <row r="810" spans="1:7" x14ac:dyDescent="0.25">
      <c r="A810" s="1"/>
      <c r="D810" t="e" cm="1">
        <f t="array" aca="1" ref="D810" ca="1">IF(OR(COUNTIF(damper_names,_xlfn.CONCAT("D_S_",C810))=1, COUNTIF(damper_names,_xlfn.CONCAT("D_E_",C810))=1), "C", "")</f>
        <v>#VALUE!</v>
      </c>
      <c r="E810" t="e">
        <f t="shared" ca="1" si="27"/>
        <v>#VALUE!</v>
      </c>
      <c r="F810" t="e">
        <f t="shared" ca="1" si="28"/>
        <v>#VALUE!</v>
      </c>
      <c r="G810" t="e">
        <f t="shared" ca="1" si="29"/>
        <v>#VALUE!</v>
      </c>
    </row>
    <row r="811" spans="1:7" x14ac:dyDescent="0.25">
      <c r="A811" s="1"/>
      <c r="D811" t="e" cm="1">
        <f t="array" aca="1" ref="D811" ca="1">IF(OR(COUNTIF(damper_names,_xlfn.CONCAT("D_S_",C811))=1, COUNTIF(damper_names,_xlfn.CONCAT("D_E_",C811))=1), "C", "")</f>
        <v>#VALUE!</v>
      </c>
      <c r="E811" t="e">
        <f t="shared" ca="1" si="27"/>
        <v>#VALUE!</v>
      </c>
      <c r="F811" t="e">
        <f t="shared" ca="1" si="28"/>
        <v>#VALUE!</v>
      </c>
      <c r="G811" t="e">
        <f t="shared" ca="1" si="29"/>
        <v>#VALUE!</v>
      </c>
    </row>
    <row r="812" spans="1:7" x14ac:dyDescent="0.25">
      <c r="A812" s="1"/>
      <c r="D812" t="e" cm="1">
        <f t="array" aca="1" ref="D812" ca="1">IF(OR(COUNTIF(damper_names,_xlfn.CONCAT("D_S_",C812))=1, COUNTIF(damper_names,_xlfn.CONCAT("D_E_",C812))=1), "C", "")</f>
        <v>#VALUE!</v>
      </c>
      <c r="E812" t="e">
        <f t="shared" ca="1" si="27"/>
        <v>#VALUE!</v>
      </c>
      <c r="F812" t="e">
        <f t="shared" ca="1" si="28"/>
        <v>#VALUE!</v>
      </c>
      <c r="G812" t="e">
        <f t="shared" ca="1" si="29"/>
        <v>#VALUE!</v>
      </c>
    </row>
    <row r="813" spans="1:7" x14ac:dyDescent="0.25">
      <c r="A813" s="1"/>
      <c r="D813" t="e" cm="1">
        <f t="array" aca="1" ref="D813" ca="1">IF(OR(COUNTIF(damper_names,_xlfn.CONCAT("D_S_",C813))=1, COUNTIF(damper_names,_xlfn.CONCAT("D_E_",C813))=1), "C", "")</f>
        <v>#VALUE!</v>
      </c>
      <c r="E813" t="e">
        <f t="shared" ca="1" si="27"/>
        <v>#VALUE!</v>
      </c>
      <c r="F813" t="e">
        <f t="shared" ca="1" si="28"/>
        <v>#VALUE!</v>
      </c>
      <c r="G813" t="e">
        <f t="shared" ca="1" si="29"/>
        <v>#VALUE!</v>
      </c>
    </row>
    <row r="814" spans="1:7" x14ac:dyDescent="0.25">
      <c r="A814" s="1"/>
      <c r="D814" t="e" cm="1">
        <f t="array" aca="1" ref="D814" ca="1">IF(OR(COUNTIF(damper_names,_xlfn.CONCAT("D_S_",C814))=1, COUNTIF(damper_names,_xlfn.CONCAT("D_E_",C814))=1), "C", "")</f>
        <v>#VALUE!</v>
      </c>
      <c r="E814" t="e">
        <f t="shared" ca="1" si="27"/>
        <v>#VALUE!</v>
      </c>
      <c r="F814" t="e">
        <f t="shared" ca="1" si="28"/>
        <v>#VALUE!</v>
      </c>
      <c r="G814" t="e">
        <f t="shared" ca="1" si="29"/>
        <v>#VALUE!</v>
      </c>
    </row>
    <row r="815" spans="1:7" x14ac:dyDescent="0.25">
      <c r="A815" s="1"/>
      <c r="D815" t="e" cm="1">
        <f t="array" aca="1" ref="D815" ca="1">IF(OR(COUNTIF(damper_names,_xlfn.CONCAT("D_S_",C815))=1, COUNTIF(damper_names,_xlfn.CONCAT("D_E_",C815))=1), "C", "")</f>
        <v>#VALUE!</v>
      </c>
      <c r="E815" t="e">
        <f t="shared" ca="1" si="27"/>
        <v>#VALUE!</v>
      </c>
      <c r="F815" t="e">
        <f t="shared" ca="1" si="28"/>
        <v>#VALUE!</v>
      </c>
      <c r="G815" t="e">
        <f t="shared" ca="1" si="29"/>
        <v>#VALUE!</v>
      </c>
    </row>
    <row r="816" spans="1:7" x14ac:dyDescent="0.25">
      <c r="A816" s="1"/>
      <c r="D816" t="e" cm="1">
        <f t="array" aca="1" ref="D816" ca="1">IF(OR(COUNTIF(damper_names,_xlfn.CONCAT("D_S_",C816))=1, COUNTIF(damper_names,_xlfn.CONCAT("D_E_",C816))=1), "C", "")</f>
        <v>#VALUE!</v>
      </c>
      <c r="E816" t="e">
        <f t="shared" ca="1" si="27"/>
        <v>#VALUE!</v>
      </c>
      <c r="F816" t="e">
        <f t="shared" ca="1" si="28"/>
        <v>#VALUE!</v>
      </c>
      <c r="G816" t="e">
        <f t="shared" ca="1" si="29"/>
        <v>#VALUE!</v>
      </c>
    </row>
    <row r="817" spans="1:7" x14ac:dyDescent="0.25">
      <c r="A817" s="1"/>
      <c r="D817" t="e" cm="1">
        <f t="array" aca="1" ref="D817" ca="1">IF(OR(COUNTIF(damper_names,_xlfn.CONCAT("D_S_",C817))=1, COUNTIF(damper_names,_xlfn.CONCAT("D_E_",C817))=1), "C", "")</f>
        <v>#VALUE!</v>
      </c>
      <c r="E817" t="e">
        <f t="shared" ca="1" si="27"/>
        <v>#VALUE!</v>
      </c>
      <c r="F817" t="e">
        <f t="shared" ca="1" si="28"/>
        <v>#VALUE!</v>
      </c>
      <c r="G817" t="e">
        <f t="shared" ca="1" si="29"/>
        <v>#VALUE!</v>
      </c>
    </row>
    <row r="818" spans="1:7" x14ac:dyDescent="0.25">
      <c r="A818" s="1"/>
      <c r="D818" t="e" cm="1">
        <f t="array" aca="1" ref="D818" ca="1">IF(OR(COUNTIF(damper_names,_xlfn.CONCAT("D_S_",C818))=1, COUNTIF(damper_names,_xlfn.CONCAT("D_E_",C818))=1), "C", "")</f>
        <v>#VALUE!</v>
      </c>
      <c r="E818" t="e">
        <f t="shared" ca="1" si="27"/>
        <v>#VALUE!</v>
      </c>
      <c r="F818" t="e">
        <f t="shared" ca="1" si="28"/>
        <v>#VALUE!</v>
      </c>
      <c r="G818" t="e">
        <f t="shared" ca="1" si="29"/>
        <v>#VALUE!</v>
      </c>
    </row>
    <row r="819" spans="1:7" x14ac:dyDescent="0.25">
      <c r="A819" s="1"/>
      <c r="D819" t="e" cm="1">
        <f t="array" aca="1" ref="D819" ca="1">IF(OR(COUNTIF(damper_names,_xlfn.CONCAT("D_S_",C819))=1, COUNTIF(damper_names,_xlfn.CONCAT("D_E_",C819))=1), "C", "")</f>
        <v>#VALUE!</v>
      </c>
      <c r="E819" t="e">
        <f t="shared" ref="E819:E882" ca="1" si="30">IF(D819="T", 0.05, IF(D819="C", -0.01, ""))</f>
        <v>#VALUE!</v>
      </c>
      <c r="F819" t="e">
        <f t="shared" ref="F819:F882" ca="1" si="31">IF(D819="T", 0.05, IF(D819="C", 0, ""))</f>
        <v>#VALUE!</v>
      </c>
      <c r="G819" t="e">
        <f t="shared" ref="G819:G882" ca="1" si="32">IF(D819="T", 0, IF(D819="C", 0, ""))</f>
        <v>#VALUE!</v>
      </c>
    </row>
    <row r="820" spans="1:7" x14ac:dyDescent="0.25">
      <c r="A820" s="1"/>
      <c r="D820" t="e" cm="1">
        <f t="array" aca="1" ref="D820" ca="1">IF(OR(COUNTIF(damper_names,_xlfn.CONCAT("D_S_",C820))=1, COUNTIF(damper_names,_xlfn.CONCAT("D_E_",C820))=1), "C", "")</f>
        <v>#VALUE!</v>
      </c>
      <c r="E820" t="e">
        <f t="shared" ca="1" si="30"/>
        <v>#VALUE!</v>
      </c>
      <c r="F820" t="e">
        <f t="shared" ca="1" si="31"/>
        <v>#VALUE!</v>
      </c>
      <c r="G820" t="e">
        <f t="shared" ca="1" si="32"/>
        <v>#VALUE!</v>
      </c>
    </row>
    <row r="821" spans="1:7" x14ac:dyDescent="0.25">
      <c r="A821" s="1"/>
      <c r="D821" t="e" cm="1">
        <f t="array" aca="1" ref="D821" ca="1">IF(OR(COUNTIF(damper_names,_xlfn.CONCAT("D_S_",C821))=1, COUNTIF(damper_names,_xlfn.CONCAT("D_E_",C821))=1), "C", "")</f>
        <v>#VALUE!</v>
      </c>
      <c r="E821" t="e">
        <f t="shared" ca="1" si="30"/>
        <v>#VALUE!</v>
      </c>
      <c r="F821" t="e">
        <f t="shared" ca="1" si="31"/>
        <v>#VALUE!</v>
      </c>
      <c r="G821" t="e">
        <f t="shared" ca="1" si="32"/>
        <v>#VALUE!</v>
      </c>
    </row>
    <row r="822" spans="1:7" x14ac:dyDescent="0.25">
      <c r="A822" s="1"/>
      <c r="D822" t="e" cm="1">
        <f t="array" aca="1" ref="D822" ca="1">IF(OR(COUNTIF(damper_names,_xlfn.CONCAT("D_S_",C822))=1, COUNTIF(damper_names,_xlfn.CONCAT("D_E_",C822))=1), "C", "")</f>
        <v>#VALUE!</v>
      </c>
      <c r="E822" t="e">
        <f t="shared" ca="1" si="30"/>
        <v>#VALUE!</v>
      </c>
      <c r="F822" t="e">
        <f t="shared" ca="1" si="31"/>
        <v>#VALUE!</v>
      </c>
      <c r="G822" t="e">
        <f t="shared" ca="1" si="32"/>
        <v>#VALUE!</v>
      </c>
    </row>
    <row r="823" spans="1:7" x14ac:dyDescent="0.25">
      <c r="A823" s="1"/>
      <c r="D823" t="e" cm="1">
        <f t="array" aca="1" ref="D823" ca="1">IF(OR(COUNTIF(damper_names,_xlfn.CONCAT("D_S_",C823))=1, COUNTIF(damper_names,_xlfn.CONCAT("D_E_",C823))=1), "C", "")</f>
        <v>#VALUE!</v>
      </c>
      <c r="E823" t="e">
        <f t="shared" ca="1" si="30"/>
        <v>#VALUE!</v>
      </c>
      <c r="F823" t="e">
        <f t="shared" ca="1" si="31"/>
        <v>#VALUE!</v>
      </c>
      <c r="G823" t="e">
        <f t="shared" ca="1" si="32"/>
        <v>#VALUE!</v>
      </c>
    </row>
    <row r="824" spans="1:7" x14ac:dyDescent="0.25">
      <c r="A824" s="1"/>
      <c r="D824" t="e" cm="1">
        <f t="array" aca="1" ref="D824" ca="1">IF(OR(COUNTIF(damper_names,_xlfn.CONCAT("D_S_",C824))=1, COUNTIF(damper_names,_xlfn.CONCAT("D_E_",C824))=1), "C", "")</f>
        <v>#VALUE!</v>
      </c>
      <c r="E824" t="e">
        <f t="shared" ca="1" si="30"/>
        <v>#VALUE!</v>
      </c>
      <c r="F824" t="e">
        <f t="shared" ca="1" si="31"/>
        <v>#VALUE!</v>
      </c>
      <c r="G824" t="e">
        <f t="shared" ca="1" si="32"/>
        <v>#VALUE!</v>
      </c>
    </row>
    <row r="825" spans="1:7" x14ac:dyDescent="0.25">
      <c r="A825" s="1"/>
      <c r="D825" t="e" cm="1">
        <f t="array" aca="1" ref="D825" ca="1">IF(OR(COUNTIF(damper_names,_xlfn.CONCAT("D_S_",C825))=1, COUNTIF(damper_names,_xlfn.CONCAT("D_E_",C825))=1), "C", "")</f>
        <v>#VALUE!</v>
      </c>
      <c r="E825" t="e">
        <f t="shared" ca="1" si="30"/>
        <v>#VALUE!</v>
      </c>
      <c r="F825" t="e">
        <f t="shared" ca="1" si="31"/>
        <v>#VALUE!</v>
      </c>
      <c r="G825" t="e">
        <f t="shared" ca="1" si="32"/>
        <v>#VALUE!</v>
      </c>
    </row>
    <row r="826" spans="1:7" x14ac:dyDescent="0.25">
      <c r="A826" s="1"/>
      <c r="D826" t="e" cm="1">
        <f t="array" aca="1" ref="D826" ca="1">IF(OR(COUNTIF(damper_names,_xlfn.CONCAT("D_S_",C826))=1, COUNTIF(damper_names,_xlfn.CONCAT("D_E_",C826))=1), "C", "")</f>
        <v>#VALUE!</v>
      </c>
      <c r="E826" t="e">
        <f t="shared" ca="1" si="30"/>
        <v>#VALUE!</v>
      </c>
      <c r="F826" t="e">
        <f t="shared" ca="1" si="31"/>
        <v>#VALUE!</v>
      </c>
      <c r="G826" t="e">
        <f t="shared" ca="1" si="32"/>
        <v>#VALUE!</v>
      </c>
    </row>
    <row r="827" spans="1:7" x14ac:dyDescent="0.25">
      <c r="A827" s="1"/>
      <c r="D827" t="e" cm="1">
        <f t="array" aca="1" ref="D827" ca="1">IF(OR(COUNTIF(damper_names,_xlfn.CONCAT("D_S_",C827))=1, COUNTIF(damper_names,_xlfn.CONCAT("D_E_",C827))=1), "C", "")</f>
        <v>#VALUE!</v>
      </c>
      <c r="E827" t="e">
        <f t="shared" ca="1" si="30"/>
        <v>#VALUE!</v>
      </c>
      <c r="F827" t="e">
        <f t="shared" ca="1" si="31"/>
        <v>#VALUE!</v>
      </c>
      <c r="G827" t="e">
        <f t="shared" ca="1" si="32"/>
        <v>#VALUE!</v>
      </c>
    </row>
    <row r="828" spans="1:7" x14ac:dyDescent="0.25">
      <c r="A828" s="1"/>
      <c r="D828" t="e" cm="1">
        <f t="array" aca="1" ref="D828" ca="1">IF(OR(COUNTIF(damper_names,_xlfn.CONCAT("D_S_",C828))=1, COUNTIF(damper_names,_xlfn.CONCAT("D_E_",C828))=1), "C", "")</f>
        <v>#VALUE!</v>
      </c>
      <c r="E828" t="e">
        <f t="shared" ca="1" si="30"/>
        <v>#VALUE!</v>
      </c>
      <c r="F828" t="e">
        <f t="shared" ca="1" si="31"/>
        <v>#VALUE!</v>
      </c>
      <c r="G828" t="e">
        <f t="shared" ca="1" si="32"/>
        <v>#VALUE!</v>
      </c>
    </row>
    <row r="829" spans="1:7" x14ac:dyDescent="0.25">
      <c r="A829" s="1"/>
      <c r="D829" t="e" cm="1">
        <f t="array" aca="1" ref="D829" ca="1">IF(OR(COUNTIF(damper_names,_xlfn.CONCAT("D_S_",C829))=1, COUNTIF(damper_names,_xlfn.CONCAT("D_E_",C829))=1), "C", "")</f>
        <v>#VALUE!</v>
      </c>
      <c r="E829" t="e">
        <f t="shared" ca="1" si="30"/>
        <v>#VALUE!</v>
      </c>
      <c r="F829" t="e">
        <f t="shared" ca="1" si="31"/>
        <v>#VALUE!</v>
      </c>
      <c r="G829" t="e">
        <f t="shared" ca="1" si="32"/>
        <v>#VALUE!</v>
      </c>
    </row>
    <row r="830" spans="1:7" x14ac:dyDescent="0.25">
      <c r="A830" s="1"/>
      <c r="D830" t="e" cm="1">
        <f t="array" aca="1" ref="D830" ca="1">IF(OR(COUNTIF(damper_names,_xlfn.CONCAT("D_S_",C830))=1, COUNTIF(damper_names,_xlfn.CONCAT("D_E_",C830))=1), "C", "")</f>
        <v>#VALUE!</v>
      </c>
      <c r="E830" t="e">
        <f t="shared" ca="1" si="30"/>
        <v>#VALUE!</v>
      </c>
      <c r="F830" t="e">
        <f t="shared" ca="1" si="31"/>
        <v>#VALUE!</v>
      </c>
      <c r="G830" t="e">
        <f t="shared" ca="1" si="32"/>
        <v>#VALUE!</v>
      </c>
    </row>
    <row r="831" spans="1:7" x14ac:dyDescent="0.25">
      <c r="A831" s="1"/>
      <c r="D831" t="e" cm="1">
        <f t="array" aca="1" ref="D831" ca="1">IF(OR(COUNTIF(damper_names,_xlfn.CONCAT("D_S_",C831))=1, COUNTIF(damper_names,_xlfn.CONCAT("D_E_",C831))=1), "C", "")</f>
        <v>#VALUE!</v>
      </c>
      <c r="E831" t="e">
        <f t="shared" ca="1" si="30"/>
        <v>#VALUE!</v>
      </c>
      <c r="F831" t="e">
        <f t="shared" ca="1" si="31"/>
        <v>#VALUE!</v>
      </c>
      <c r="G831" t="e">
        <f t="shared" ca="1" si="32"/>
        <v>#VALUE!</v>
      </c>
    </row>
    <row r="832" spans="1:7" x14ac:dyDescent="0.25">
      <c r="A832" s="1"/>
      <c r="D832" t="e" cm="1">
        <f t="array" aca="1" ref="D832" ca="1">IF(OR(COUNTIF(damper_names,_xlfn.CONCAT("D_S_",C832))=1, COUNTIF(damper_names,_xlfn.CONCAT("D_E_",C832))=1), "C", "")</f>
        <v>#VALUE!</v>
      </c>
      <c r="E832" t="e">
        <f t="shared" ca="1" si="30"/>
        <v>#VALUE!</v>
      </c>
      <c r="F832" t="e">
        <f t="shared" ca="1" si="31"/>
        <v>#VALUE!</v>
      </c>
      <c r="G832" t="e">
        <f t="shared" ca="1" si="32"/>
        <v>#VALUE!</v>
      </c>
    </row>
    <row r="833" spans="1:7" x14ac:dyDescent="0.25">
      <c r="A833" s="1"/>
      <c r="D833" t="e" cm="1">
        <f t="array" aca="1" ref="D833" ca="1">IF(OR(COUNTIF(damper_names,_xlfn.CONCAT("D_S_",C833))=1, COUNTIF(damper_names,_xlfn.CONCAT("D_E_",C833))=1), "C", "")</f>
        <v>#VALUE!</v>
      </c>
      <c r="E833" t="e">
        <f t="shared" ca="1" si="30"/>
        <v>#VALUE!</v>
      </c>
      <c r="F833" t="e">
        <f t="shared" ca="1" si="31"/>
        <v>#VALUE!</v>
      </c>
      <c r="G833" t="e">
        <f t="shared" ca="1" si="32"/>
        <v>#VALUE!</v>
      </c>
    </row>
    <row r="834" spans="1:7" x14ac:dyDescent="0.25">
      <c r="A834" s="1"/>
      <c r="D834" t="e" cm="1">
        <f t="array" aca="1" ref="D834" ca="1">IF(OR(COUNTIF(damper_names,_xlfn.CONCAT("D_S_",C834))=1, COUNTIF(damper_names,_xlfn.CONCAT("D_E_",C834))=1), "C", "")</f>
        <v>#VALUE!</v>
      </c>
      <c r="E834" t="e">
        <f t="shared" ca="1" si="30"/>
        <v>#VALUE!</v>
      </c>
      <c r="F834" t="e">
        <f t="shared" ca="1" si="31"/>
        <v>#VALUE!</v>
      </c>
      <c r="G834" t="e">
        <f t="shared" ca="1" si="32"/>
        <v>#VALUE!</v>
      </c>
    </row>
    <row r="835" spans="1:7" x14ac:dyDescent="0.25">
      <c r="A835" s="1"/>
      <c r="D835" t="e" cm="1">
        <f t="array" aca="1" ref="D835" ca="1">IF(OR(COUNTIF(damper_names,_xlfn.CONCAT("D_S_",C835))=1, COUNTIF(damper_names,_xlfn.CONCAT("D_E_",C835))=1), "C", "")</f>
        <v>#VALUE!</v>
      </c>
      <c r="E835" t="e">
        <f t="shared" ca="1" si="30"/>
        <v>#VALUE!</v>
      </c>
      <c r="F835" t="e">
        <f t="shared" ca="1" si="31"/>
        <v>#VALUE!</v>
      </c>
      <c r="G835" t="e">
        <f t="shared" ca="1" si="32"/>
        <v>#VALUE!</v>
      </c>
    </row>
    <row r="836" spans="1:7" x14ac:dyDescent="0.25">
      <c r="A836" s="1"/>
      <c r="D836" t="e" cm="1">
        <f t="array" aca="1" ref="D836" ca="1">IF(OR(COUNTIF(damper_names,_xlfn.CONCAT("D_S_",C836))=1, COUNTIF(damper_names,_xlfn.CONCAT("D_E_",C836))=1), "C", "")</f>
        <v>#VALUE!</v>
      </c>
      <c r="E836" t="e">
        <f t="shared" ca="1" si="30"/>
        <v>#VALUE!</v>
      </c>
      <c r="F836" t="e">
        <f t="shared" ca="1" si="31"/>
        <v>#VALUE!</v>
      </c>
      <c r="G836" t="e">
        <f t="shared" ca="1" si="32"/>
        <v>#VALUE!</v>
      </c>
    </row>
    <row r="837" spans="1:7" x14ac:dyDescent="0.25">
      <c r="A837" s="1"/>
      <c r="D837" t="e" cm="1">
        <f t="array" aca="1" ref="D837" ca="1">IF(OR(COUNTIF(damper_names,_xlfn.CONCAT("D_S_",C837))=1, COUNTIF(damper_names,_xlfn.CONCAT("D_E_",C837))=1), "C", "")</f>
        <v>#VALUE!</v>
      </c>
      <c r="E837" t="e">
        <f t="shared" ca="1" si="30"/>
        <v>#VALUE!</v>
      </c>
      <c r="F837" t="e">
        <f t="shared" ca="1" si="31"/>
        <v>#VALUE!</v>
      </c>
      <c r="G837" t="e">
        <f t="shared" ca="1" si="32"/>
        <v>#VALUE!</v>
      </c>
    </row>
    <row r="838" spans="1:7" x14ac:dyDescent="0.25">
      <c r="A838" s="1"/>
      <c r="D838" t="e" cm="1">
        <f t="array" aca="1" ref="D838" ca="1">IF(OR(COUNTIF(damper_names,_xlfn.CONCAT("D_S_",C838))=1, COUNTIF(damper_names,_xlfn.CONCAT("D_E_",C838))=1), "C", "")</f>
        <v>#VALUE!</v>
      </c>
      <c r="E838" t="e">
        <f t="shared" ca="1" si="30"/>
        <v>#VALUE!</v>
      </c>
      <c r="F838" t="e">
        <f t="shared" ca="1" si="31"/>
        <v>#VALUE!</v>
      </c>
      <c r="G838" t="e">
        <f t="shared" ca="1" si="32"/>
        <v>#VALUE!</v>
      </c>
    </row>
    <row r="839" spans="1:7" x14ac:dyDescent="0.25">
      <c r="A839" s="1"/>
      <c r="D839" t="e" cm="1">
        <f t="array" aca="1" ref="D839" ca="1">IF(OR(COUNTIF(damper_names,_xlfn.CONCAT("D_S_",C839))=1, COUNTIF(damper_names,_xlfn.CONCAT("D_E_",C839))=1), "C", "")</f>
        <v>#VALUE!</v>
      </c>
      <c r="E839" t="e">
        <f t="shared" ca="1" si="30"/>
        <v>#VALUE!</v>
      </c>
      <c r="F839" t="e">
        <f t="shared" ca="1" si="31"/>
        <v>#VALUE!</v>
      </c>
      <c r="G839" t="e">
        <f t="shared" ca="1" si="32"/>
        <v>#VALUE!</v>
      </c>
    </row>
    <row r="840" spans="1:7" x14ac:dyDescent="0.25">
      <c r="A840" s="1"/>
      <c r="D840" t="e" cm="1">
        <f t="array" aca="1" ref="D840" ca="1">IF(OR(COUNTIF(damper_names,_xlfn.CONCAT("D_S_",C840))=1, COUNTIF(damper_names,_xlfn.CONCAT("D_E_",C840))=1), "C", "")</f>
        <v>#VALUE!</v>
      </c>
      <c r="E840" t="e">
        <f t="shared" ca="1" si="30"/>
        <v>#VALUE!</v>
      </c>
      <c r="F840" t="e">
        <f t="shared" ca="1" si="31"/>
        <v>#VALUE!</v>
      </c>
      <c r="G840" t="e">
        <f t="shared" ca="1" si="32"/>
        <v>#VALUE!</v>
      </c>
    </row>
    <row r="841" spans="1:7" x14ac:dyDescent="0.25">
      <c r="A841" s="1"/>
      <c r="D841" t="e" cm="1">
        <f t="array" aca="1" ref="D841" ca="1">IF(OR(COUNTIF(damper_names,_xlfn.CONCAT("D_S_",C841))=1, COUNTIF(damper_names,_xlfn.CONCAT("D_E_",C841))=1), "C", "")</f>
        <v>#VALUE!</v>
      </c>
      <c r="E841" t="e">
        <f t="shared" ca="1" si="30"/>
        <v>#VALUE!</v>
      </c>
      <c r="F841" t="e">
        <f t="shared" ca="1" si="31"/>
        <v>#VALUE!</v>
      </c>
      <c r="G841" t="e">
        <f t="shared" ca="1" si="32"/>
        <v>#VALUE!</v>
      </c>
    </row>
    <row r="842" spans="1:7" x14ac:dyDescent="0.25">
      <c r="A842" s="1"/>
      <c r="D842" t="e" cm="1">
        <f t="array" aca="1" ref="D842" ca="1">IF(OR(COUNTIF(damper_names,_xlfn.CONCAT("D_S_",C842))=1, COUNTIF(damper_names,_xlfn.CONCAT("D_E_",C842))=1), "C", "")</f>
        <v>#VALUE!</v>
      </c>
      <c r="E842" t="e">
        <f t="shared" ca="1" si="30"/>
        <v>#VALUE!</v>
      </c>
      <c r="F842" t="e">
        <f t="shared" ca="1" si="31"/>
        <v>#VALUE!</v>
      </c>
      <c r="G842" t="e">
        <f t="shared" ca="1" si="32"/>
        <v>#VALUE!</v>
      </c>
    </row>
    <row r="843" spans="1:7" x14ac:dyDescent="0.25">
      <c r="A843" s="1"/>
      <c r="D843" t="e" cm="1">
        <f t="array" aca="1" ref="D843" ca="1">IF(OR(COUNTIF(damper_names,_xlfn.CONCAT("D_S_",C843))=1, COUNTIF(damper_names,_xlfn.CONCAT("D_E_",C843))=1), "C", "")</f>
        <v>#VALUE!</v>
      </c>
      <c r="E843" t="e">
        <f t="shared" ca="1" si="30"/>
        <v>#VALUE!</v>
      </c>
      <c r="F843" t="e">
        <f t="shared" ca="1" si="31"/>
        <v>#VALUE!</v>
      </c>
      <c r="G843" t="e">
        <f t="shared" ca="1" si="32"/>
        <v>#VALUE!</v>
      </c>
    </row>
    <row r="844" spans="1:7" x14ac:dyDescent="0.25">
      <c r="A844" s="1"/>
      <c r="D844" t="e" cm="1">
        <f t="array" aca="1" ref="D844" ca="1">IF(OR(COUNTIF(damper_names,_xlfn.CONCAT("D_S_",C844))=1, COUNTIF(damper_names,_xlfn.CONCAT("D_E_",C844))=1), "C", "")</f>
        <v>#VALUE!</v>
      </c>
      <c r="E844" t="e">
        <f t="shared" ca="1" si="30"/>
        <v>#VALUE!</v>
      </c>
      <c r="F844" t="e">
        <f t="shared" ca="1" si="31"/>
        <v>#VALUE!</v>
      </c>
      <c r="G844" t="e">
        <f t="shared" ca="1" si="32"/>
        <v>#VALUE!</v>
      </c>
    </row>
    <row r="845" spans="1:7" x14ac:dyDescent="0.25">
      <c r="A845" s="1"/>
      <c r="D845" t="e" cm="1">
        <f t="array" aca="1" ref="D845" ca="1">IF(OR(COUNTIF(damper_names,_xlfn.CONCAT("D_S_",C845))=1, COUNTIF(damper_names,_xlfn.CONCAT("D_E_",C845))=1), "C", "")</f>
        <v>#VALUE!</v>
      </c>
      <c r="E845" t="e">
        <f t="shared" ca="1" si="30"/>
        <v>#VALUE!</v>
      </c>
      <c r="F845" t="e">
        <f t="shared" ca="1" si="31"/>
        <v>#VALUE!</v>
      </c>
      <c r="G845" t="e">
        <f t="shared" ca="1" si="32"/>
        <v>#VALUE!</v>
      </c>
    </row>
    <row r="846" spans="1:7" x14ac:dyDescent="0.25">
      <c r="A846" s="1"/>
      <c r="D846" t="e" cm="1">
        <f t="array" aca="1" ref="D846" ca="1">IF(OR(COUNTIF(damper_names,_xlfn.CONCAT("D_S_",C846))=1, COUNTIF(damper_names,_xlfn.CONCAT("D_E_",C846))=1), "C", "")</f>
        <v>#VALUE!</v>
      </c>
      <c r="E846" t="e">
        <f t="shared" ca="1" si="30"/>
        <v>#VALUE!</v>
      </c>
      <c r="F846" t="e">
        <f t="shared" ca="1" si="31"/>
        <v>#VALUE!</v>
      </c>
      <c r="G846" t="e">
        <f t="shared" ca="1" si="32"/>
        <v>#VALUE!</v>
      </c>
    </row>
    <row r="847" spans="1:7" x14ac:dyDescent="0.25">
      <c r="A847" s="1"/>
      <c r="D847" t="e" cm="1">
        <f t="array" aca="1" ref="D847" ca="1">IF(OR(COUNTIF(damper_names,_xlfn.CONCAT("D_S_",C847))=1, COUNTIF(damper_names,_xlfn.CONCAT("D_E_",C847))=1), "C", "")</f>
        <v>#VALUE!</v>
      </c>
      <c r="E847" t="e">
        <f t="shared" ca="1" si="30"/>
        <v>#VALUE!</v>
      </c>
      <c r="F847" t="e">
        <f t="shared" ca="1" si="31"/>
        <v>#VALUE!</v>
      </c>
      <c r="G847" t="e">
        <f t="shared" ca="1" si="32"/>
        <v>#VALUE!</v>
      </c>
    </row>
    <row r="848" spans="1:7" x14ac:dyDescent="0.25">
      <c r="A848" s="1"/>
      <c r="D848" t="e" cm="1">
        <f t="array" aca="1" ref="D848" ca="1">IF(OR(COUNTIF(damper_names,_xlfn.CONCAT("D_S_",C848))=1, COUNTIF(damper_names,_xlfn.CONCAT("D_E_",C848))=1), "C", "")</f>
        <v>#VALUE!</v>
      </c>
      <c r="E848" t="e">
        <f t="shared" ca="1" si="30"/>
        <v>#VALUE!</v>
      </c>
      <c r="F848" t="e">
        <f t="shared" ca="1" si="31"/>
        <v>#VALUE!</v>
      </c>
      <c r="G848" t="e">
        <f t="shared" ca="1" si="32"/>
        <v>#VALUE!</v>
      </c>
    </row>
    <row r="849" spans="1:7" x14ac:dyDescent="0.25">
      <c r="A849" s="1"/>
      <c r="D849" t="e" cm="1">
        <f t="array" aca="1" ref="D849" ca="1">IF(OR(COUNTIF(damper_names,_xlfn.CONCAT("D_S_",C849))=1, COUNTIF(damper_names,_xlfn.CONCAT("D_E_",C849))=1), "C", "")</f>
        <v>#VALUE!</v>
      </c>
      <c r="E849" t="e">
        <f t="shared" ca="1" si="30"/>
        <v>#VALUE!</v>
      </c>
      <c r="F849" t="e">
        <f t="shared" ca="1" si="31"/>
        <v>#VALUE!</v>
      </c>
      <c r="G849" t="e">
        <f t="shared" ca="1" si="32"/>
        <v>#VALUE!</v>
      </c>
    </row>
    <row r="850" spans="1:7" x14ac:dyDescent="0.25">
      <c r="A850" s="1"/>
      <c r="D850" t="e" cm="1">
        <f t="array" aca="1" ref="D850" ca="1">IF(OR(COUNTIF(damper_names,_xlfn.CONCAT("D_S_",C850))=1, COUNTIF(damper_names,_xlfn.CONCAT("D_E_",C850))=1), "C", "")</f>
        <v>#VALUE!</v>
      </c>
      <c r="E850" t="e">
        <f t="shared" ca="1" si="30"/>
        <v>#VALUE!</v>
      </c>
      <c r="F850" t="e">
        <f t="shared" ca="1" si="31"/>
        <v>#VALUE!</v>
      </c>
      <c r="G850" t="e">
        <f t="shared" ca="1" si="32"/>
        <v>#VALUE!</v>
      </c>
    </row>
    <row r="851" spans="1:7" x14ac:dyDescent="0.25">
      <c r="A851" s="1"/>
      <c r="D851" t="e" cm="1">
        <f t="array" aca="1" ref="D851" ca="1">IF(OR(COUNTIF(damper_names,_xlfn.CONCAT("D_S_",C851))=1, COUNTIF(damper_names,_xlfn.CONCAT("D_E_",C851))=1), "C", "")</f>
        <v>#VALUE!</v>
      </c>
      <c r="E851" t="e">
        <f t="shared" ca="1" si="30"/>
        <v>#VALUE!</v>
      </c>
      <c r="F851" t="e">
        <f t="shared" ca="1" si="31"/>
        <v>#VALUE!</v>
      </c>
      <c r="G851" t="e">
        <f t="shared" ca="1" si="32"/>
        <v>#VALUE!</v>
      </c>
    </row>
    <row r="852" spans="1:7" x14ac:dyDescent="0.25">
      <c r="A852" s="1"/>
      <c r="D852" t="e" cm="1">
        <f t="array" aca="1" ref="D852" ca="1">IF(OR(COUNTIF(damper_names,_xlfn.CONCAT("D_S_",C852))=1, COUNTIF(damper_names,_xlfn.CONCAT("D_E_",C852))=1), "C", "")</f>
        <v>#VALUE!</v>
      </c>
      <c r="E852" t="e">
        <f t="shared" ca="1" si="30"/>
        <v>#VALUE!</v>
      </c>
      <c r="F852" t="e">
        <f t="shared" ca="1" si="31"/>
        <v>#VALUE!</v>
      </c>
      <c r="G852" t="e">
        <f t="shared" ca="1" si="32"/>
        <v>#VALUE!</v>
      </c>
    </row>
    <row r="853" spans="1:7" x14ac:dyDescent="0.25">
      <c r="A853" s="1"/>
      <c r="D853" t="e" cm="1">
        <f t="array" aca="1" ref="D853" ca="1">IF(OR(COUNTIF(damper_names,_xlfn.CONCAT("D_S_",C853))=1, COUNTIF(damper_names,_xlfn.CONCAT("D_E_",C853))=1), "C", "")</f>
        <v>#VALUE!</v>
      </c>
      <c r="E853" t="e">
        <f t="shared" ca="1" si="30"/>
        <v>#VALUE!</v>
      </c>
      <c r="F853" t="e">
        <f t="shared" ca="1" si="31"/>
        <v>#VALUE!</v>
      </c>
      <c r="G853" t="e">
        <f t="shared" ca="1" si="32"/>
        <v>#VALUE!</v>
      </c>
    </row>
    <row r="854" spans="1:7" x14ac:dyDescent="0.25">
      <c r="A854" s="1"/>
      <c r="D854" t="e" cm="1">
        <f t="array" aca="1" ref="D854" ca="1">IF(OR(COUNTIF(damper_names,_xlfn.CONCAT("D_S_",C854))=1, COUNTIF(damper_names,_xlfn.CONCAT("D_E_",C854))=1), "C", "")</f>
        <v>#VALUE!</v>
      </c>
      <c r="E854" t="e">
        <f t="shared" ca="1" si="30"/>
        <v>#VALUE!</v>
      </c>
      <c r="F854" t="e">
        <f t="shared" ca="1" si="31"/>
        <v>#VALUE!</v>
      </c>
      <c r="G854" t="e">
        <f t="shared" ca="1" si="32"/>
        <v>#VALUE!</v>
      </c>
    </row>
    <row r="855" spans="1:7" x14ac:dyDescent="0.25">
      <c r="A855" s="1"/>
      <c r="D855" t="e" cm="1">
        <f t="array" aca="1" ref="D855" ca="1">IF(OR(COUNTIF(damper_names,_xlfn.CONCAT("D_S_",C855))=1, COUNTIF(damper_names,_xlfn.CONCAT("D_E_",C855))=1), "C", "")</f>
        <v>#VALUE!</v>
      </c>
      <c r="E855" t="e">
        <f t="shared" ca="1" si="30"/>
        <v>#VALUE!</v>
      </c>
      <c r="F855" t="e">
        <f t="shared" ca="1" si="31"/>
        <v>#VALUE!</v>
      </c>
      <c r="G855" t="e">
        <f t="shared" ca="1" si="32"/>
        <v>#VALUE!</v>
      </c>
    </row>
    <row r="856" spans="1:7" x14ac:dyDescent="0.25">
      <c r="A856" s="1"/>
      <c r="D856" t="e" cm="1">
        <f t="array" aca="1" ref="D856" ca="1">IF(OR(COUNTIF(damper_names,_xlfn.CONCAT("D_S_",C856))=1, COUNTIF(damper_names,_xlfn.CONCAT("D_E_",C856))=1), "C", "")</f>
        <v>#VALUE!</v>
      </c>
      <c r="E856" t="e">
        <f t="shared" ca="1" si="30"/>
        <v>#VALUE!</v>
      </c>
      <c r="F856" t="e">
        <f t="shared" ca="1" si="31"/>
        <v>#VALUE!</v>
      </c>
      <c r="G856" t="e">
        <f t="shared" ca="1" si="32"/>
        <v>#VALUE!</v>
      </c>
    </row>
    <row r="857" spans="1:7" x14ac:dyDescent="0.25">
      <c r="A857" s="1"/>
      <c r="D857" t="e" cm="1">
        <f t="array" aca="1" ref="D857" ca="1">IF(OR(COUNTIF(damper_names,_xlfn.CONCAT("D_S_",C857))=1, COUNTIF(damper_names,_xlfn.CONCAT("D_E_",C857))=1), "C", "")</f>
        <v>#VALUE!</v>
      </c>
      <c r="E857" t="e">
        <f t="shared" ca="1" si="30"/>
        <v>#VALUE!</v>
      </c>
      <c r="F857" t="e">
        <f t="shared" ca="1" si="31"/>
        <v>#VALUE!</v>
      </c>
      <c r="G857" t="e">
        <f t="shared" ca="1" si="32"/>
        <v>#VALUE!</v>
      </c>
    </row>
    <row r="858" spans="1:7" x14ac:dyDescent="0.25">
      <c r="A858" s="1"/>
      <c r="D858" t="e" cm="1">
        <f t="array" aca="1" ref="D858" ca="1">IF(OR(COUNTIF(damper_names,_xlfn.CONCAT("D_S_",C858))=1, COUNTIF(damper_names,_xlfn.CONCAT("D_E_",C858))=1), "C", "")</f>
        <v>#VALUE!</v>
      </c>
      <c r="E858" t="e">
        <f t="shared" ca="1" si="30"/>
        <v>#VALUE!</v>
      </c>
      <c r="F858" t="e">
        <f t="shared" ca="1" si="31"/>
        <v>#VALUE!</v>
      </c>
      <c r="G858" t="e">
        <f t="shared" ca="1" si="32"/>
        <v>#VALUE!</v>
      </c>
    </row>
    <row r="859" spans="1:7" x14ac:dyDescent="0.25">
      <c r="A859" s="1"/>
      <c r="D859" t="e" cm="1">
        <f t="array" aca="1" ref="D859" ca="1">IF(OR(COUNTIF(damper_names,_xlfn.CONCAT("D_S_",C859))=1, COUNTIF(damper_names,_xlfn.CONCAT("D_E_",C859))=1), "C", "")</f>
        <v>#VALUE!</v>
      </c>
      <c r="E859" t="e">
        <f t="shared" ca="1" si="30"/>
        <v>#VALUE!</v>
      </c>
      <c r="F859" t="e">
        <f t="shared" ca="1" si="31"/>
        <v>#VALUE!</v>
      </c>
      <c r="G859" t="e">
        <f t="shared" ca="1" si="32"/>
        <v>#VALUE!</v>
      </c>
    </row>
    <row r="860" spans="1:7" x14ac:dyDescent="0.25">
      <c r="A860" s="1"/>
      <c r="D860" t="e" cm="1">
        <f t="array" aca="1" ref="D860" ca="1">IF(OR(COUNTIF(damper_names,_xlfn.CONCAT("D_S_",C860))=1, COUNTIF(damper_names,_xlfn.CONCAT("D_E_",C860))=1), "C", "")</f>
        <v>#VALUE!</v>
      </c>
      <c r="E860" t="e">
        <f t="shared" ca="1" si="30"/>
        <v>#VALUE!</v>
      </c>
      <c r="F860" t="e">
        <f t="shared" ca="1" si="31"/>
        <v>#VALUE!</v>
      </c>
      <c r="G860" t="e">
        <f t="shared" ca="1" si="32"/>
        <v>#VALUE!</v>
      </c>
    </row>
    <row r="861" spans="1:7" x14ac:dyDescent="0.25">
      <c r="A861" s="1"/>
      <c r="D861" t="e" cm="1">
        <f t="array" aca="1" ref="D861" ca="1">IF(OR(COUNTIF(damper_names,_xlfn.CONCAT("D_S_",C861))=1, COUNTIF(damper_names,_xlfn.CONCAT("D_E_",C861))=1), "C", "")</f>
        <v>#VALUE!</v>
      </c>
      <c r="E861" t="e">
        <f t="shared" ca="1" si="30"/>
        <v>#VALUE!</v>
      </c>
      <c r="F861" t="e">
        <f t="shared" ca="1" si="31"/>
        <v>#VALUE!</v>
      </c>
      <c r="G861" t="e">
        <f t="shared" ca="1" si="32"/>
        <v>#VALUE!</v>
      </c>
    </row>
    <row r="862" spans="1:7" x14ac:dyDescent="0.25">
      <c r="A862" s="1"/>
      <c r="D862" t="e" cm="1">
        <f t="array" aca="1" ref="D862" ca="1">IF(OR(COUNTIF(damper_names,_xlfn.CONCAT("D_S_",C862))=1, COUNTIF(damper_names,_xlfn.CONCAT("D_E_",C862))=1), "C", "")</f>
        <v>#VALUE!</v>
      </c>
      <c r="E862" t="e">
        <f t="shared" ca="1" si="30"/>
        <v>#VALUE!</v>
      </c>
      <c r="F862" t="e">
        <f t="shared" ca="1" si="31"/>
        <v>#VALUE!</v>
      </c>
      <c r="G862" t="e">
        <f t="shared" ca="1" si="32"/>
        <v>#VALUE!</v>
      </c>
    </row>
    <row r="863" spans="1:7" x14ac:dyDescent="0.25">
      <c r="A863" s="1"/>
      <c r="D863" t="e" cm="1">
        <f t="array" aca="1" ref="D863" ca="1">IF(OR(COUNTIF(damper_names,_xlfn.CONCAT("D_S_",C863))=1, COUNTIF(damper_names,_xlfn.CONCAT("D_E_",C863))=1), "C", "")</f>
        <v>#VALUE!</v>
      </c>
      <c r="E863" t="e">
        <f t="shared" ca="1" si="30"/>
        <v>#VALUE!</v>
      </c>
      <c r="F863" t="e">
        <f t="shared" ca="1" si="31"/>
        <v>#VALUE!</v>
      </c>
      <c r="G863" t="e">
        <f t="shared" ca="1" si="32"/>
        <v>#VALUE!</v>
      </c>
    </row>
    <row r="864" spans="1:7" x14ac:dyDescent="0.25">
      <c r="A864" s="1"/>
      <c r="D864" t="e" cm="1">
        <f t="array" aca="1" ref="D864" ca="1">IF(OR(COUNTIF(damper_names,_xlfn.CONCAT("D_S_",C864))=1, COUNTIF(damper_names,_xlfn.CONCAT("D_E_",C864))=1), "C", "")</f>
        <v>#VALUE!</v>
      </c>
      <c r="E864" t="e">
        <f t="shared" ca="1" si="30"/>
        <v>#VALUE!</v>
      </c>
      <c r="F864" t="e">
        <f t="shared" ca="1" si="31"/>
        <v>#VALUE!</v>
      </c>
      <c r="G864" t="e">
        <f t="shared" ca="1" si="32"/>
        <v>#VALUE!</v>
      </c>
    </row>
    <row r="865" spans="1:7" x14ac:dyDescent="0.25">
      <c r="A865" s="1"/>
      <c r="D865" t="e" cm="1">
        <f t="array" aca="1" ref="D865" ca="1">IF(OR(COUNTIF(damper_names,_xlfn.CONCAT("D_S_",C865))=1, COUNTIF(damper_names,_xlfn.CONCAT("D_E_",C865))=1), "C", "")</f>
        <v>#VALUE!</v>
      </c>
      <c r="E865" t="e">
        <f t="shared" ca="1" si="30"/>
        <v>#VALUE!</v>
      </c>
      <c r="F865" t="e">
        <f t="shared" ca="1" si="31"/>
        <v>#VALUE!</v>
      </c>
      <c r="G865" t="e">
        <f t="shared" ca="1" si="32"/>
        <v>#VALUE!</v>
      </c>
    </row>
    <row r="866" spans="1:7" x14ac:dyDescent="0.25">
      <c r="A866" s="1"/>
      <c r="D866" t="e" cm="1">
        <f t="array" aca="1" ref="D866" ca="1">IF(OR(COUNTIF(damper_names,_xlfn.CONCAT("D_S_",C866))=1, COUNTIF(damper_names,_xlfn.CONCAT("D_E_",C866))=1), "C", "")</f>
        <v>#VALUE!</v>
      </c>
      <c r="E866" t="e">
        <f t="shared" ca="1" si="30"/>
        <v>#VALUE!</v>
      </c>
      <c r="F866" t="e">
        <f t="shared" ca="1" si="31"/>
        <v>#VALUE!</v>
      </c>
      <c r="G866" t="e">
        <f t="shared" ca="1" si="32"/>
        <v>#VALUE!</v>
      </c>
    </row>
    <row r="867" spans="1:7" x14ac:dyDescent="0.25">
      <c r="A867" s="1"/>
      <c r="D867" t="e" cm="1">
        <f t="array" aca="1" ref="D867" ca="1">IF(OR(COUNTIF(damper_names,_xlfn.CONCAT("D_S_",C867))=1, COUNTIF(damper_names,_xlfn.CONCAT("D_E_",C867))=1), "C", "")</f>
        <v>#VALUE!</v>
      </c>
      <c r="E867" t="e">
        <f t="shared" ca="1" si="30"/>
        <v>#VALUE!</v>
      </c>
      <c r="F867" t="e">
        <f t="shared" ca="1" si="31"/>
        <v>#VALUE!</v>
      </c>
      <c r="G867" t="e">
        <f t="shared" ca="1" si="32"/>
        <v>#VALUE!</v>
      </c>
    </row>
    <row r="868" spans="1:7" x14ac:dyDescent="0.25">
      <c r="A868" s="1"/>
      <c r="D868" t="e" cm="1">
        <f t="array" aca="1" ref="D868" ca="1">IF(OR(COUNTIF(damper_names,_xlfn.CONCAT("D_S_",C868))=1, COUNTIF(damper_names,_xlfn.CONCAT("D_E_",C868))=1), "C", "")</f>
        <v>#VALUE!</v>
      </c>
      <c r="E868" t="e">
        <f t="shared" ca="1" si="30"/>
        <v>#VALUE!</v>
      </c>
      <c r="F868" t="e">
        <f t="shared" ca="1" si="31"/>
        <v>#VALUE!</v>
      </c>
      <c r="G868" t="e">
        <f t="shared" ca="1" si="32"/>
        <v>#VALUE!</v>
      </c>
    </row>
    <row r="869" spans="1:7" x14ac:dyDescent="0.25">
      <c r="A869" s="1"/>
      <c r="D869" t="e" cm="1">
        <f t="array" aca="1" ref="D869" ca="1">IF(OR(COUNTIF(damper_names,_xlfn.CONCAT("D_S_",C869))=1, COUNTIF(damper_names,_xlfn.CONCAT("D_E_",C869))=1), "C", "")</f>
        <v>#VALUE!</v>
      </c>
      <c r="E869" t="e">
        <f t="shared" ca="1" si="30"/>
        <v>#VALUE!</v>
      </c>
      <c r="F869" t="e">
        <f t="shared" ca="1" si="31"/>
        <v>#VALUE!</v>
      </c>
      <c r="G869" t="e">
        <f t="shared" ca="1" si="32"/>
        <v>#VALUE!</v>
      </c>
    </row>
    <row r="870" spans="1:7" x14ac:dyDescent="0.25">
      <c r="A870" s="1"/>
      <c r="D870" t="e" cm="1">
        <f t="array" aca="1" ref="D870" ca="1">IF(OR(COUNTIF(damper_names,_xlfn.CONCAT("D_S_",C870))=1, COUNTIF(damper_names,_xlfn.CONCAT("D_E_",C870))=1), "C", "")</f>
        <v>#VALUE!</v>
      </c>
      <c r="E870" t="e">
        <f t="shared" ca="1" si="30"/>
        <v>#VALUE!</v>
      </c>
      <c r="F870" t="e">
        <f t="shared" ca="1" si="31"/>
        <v>#VALUE!</v>
      </c>
      <c r="G870" t="e">
        <f t="shared" ca="1" si="32"/>
        <v>#VALUE!</v>
      </c>
    </row>
    <row r="871" spans="1:7" x14ac:dyDescent="0.25">
      <c r="A871" s="1"/>
      <c r="D871" t="e" cm="1">
        <f t="array" aca="1" ref="D871" ca="1">IF(OR(COUNTIF(damper_names,_xlfn.CONCAT("D_S_",C871))=1, COUNTIF(damper_names,_xlfn.CONCAT("D_E_",C871))=1), "C", "")</f>
        <v>#VALUE!</v>
      </c>
      <c r="E871" t="e">
        <f t="shared" ca="1" si="30"/>
        <v>#VALUE!</v>
      </c>
      <c r="F871" t="e">
        <f t="shared" ca="1" si="31"/>
        <v>#VALUE!</v>
      </c>
      <c r="G871" t="e">
        <f t="shared" ca="1" si="32"/>
        <v>#VALUE!</v>
      </c>
    </row>
    <row r="872" spans="1:7" x14ac:dyDescent="0.25">
      <c r="A872" s="1"/>
      <c r="D872" t="e" cm="1">
        <f t="array" aca="1" ref="D872" ca="1">IF(OR(COUNTIF(damper_names,_xlfn.CONCAT("D_S_",C872))=1, COUNTIF(damper_names,_xlfn.CONCAT("D_E_",C872))=1), "C", "")</f>
        <v>#VALUE!</v>
      </c>
      <c r="E872" t="e">
        <f t="shared" ca="1" si="30"/>
        <v>#VALUE!</v>
      </c>
      <c r="F872" t="e">
        <f t="shared" ca="1" si="31"/>
        <v>#VALUE!</v>
      </c>
      <c r="G872" t="e">
        <f t="shared" ca="1" si="32"/>
        <v>#VALUE!</v>
      </c>
    </row>
    <row r="873" spans="1:7" x14ac:dyDescent="0.25">
      <c r="A873" s="1"/>
      <c r="D873" t="e" cm="1">
        <f t="array" aca="1" ref="D873" ca="1">IF(OR(COUNTIF(damper_names,_xlfn.CONCAT("D_S_",C873))=1, COUNTIF(damper_names,_xlfn.CONCAT("D_E_",C873))=1), "C", "")</f>
        <v>#VALUE!</v>
      </c>
      <c r="E873" t="e">
        <f t="shared" ca="1" si="30"/>
        <v>#VALUE!</v>
      </c>
      <c r="F873" t="e">
        <f t="shared" ca="1" si="31"/>
        <v>#VALUE!</v>
      </c>
      <c r="G873" t="e">
        <f t="shared" ca="1" si="32"/>
        <v>#VALUE!</v>
      </c>
    </row>
    <row r="874" spans="1:7" x14ac:dyDescent="0.25">
      <c r="A874" s="1"/>
      <c r="D874" t="e" cm="1">
        <f t="array" aca="1" ref="D874" ca="1">IF(OR(COUNTIF(damper_names,_xlfn.CONCAT("D_S_",C874))=1, COUNTIF(damper_names,_xlfn.CONCAT("D_E_",C874))=1), "C", "")</f>
        <v>#VALUE!</v>
      </c>
      <c r="E874" t="e">
        <f t="shared" ca="1" si="30"/>
        <v>#VALUE!</v>
      </c>
      <c r="F874" t="e">
        <f t="shared" ca="1" si="31"/>
        <v>#VALUE!</v>
      </c>
      <c r="G874" t="e">
        <f t="shared" ca="1" si="32"/>
        <v>#VALUE!</v>
      </c>
    </row>
    <row r="875" spans="1:7" x14ac:dyDescent="0.25">
      <c r="A875" s="1"/>
      <c r="D875" t="e" cm="1">
        <f t="array" aca="1" ref="D875" ca="1">IF(OR(COUNTIF(damper_names,_xlfn.CONCAT("D_S_",C875))=1, COUNTIF(damper_names,_xlfn.CONCAT("D_E_",C875))=1), "C", "")</f>
        <v>#VALUE!</v>
      </c>
      <c r="E875" t="e">
        <f t="shared" ca="1" si="30"/>
        <v>#VALUE!</v>
      </c>
      <c r="F875" t="e">
        <f t="shared" ca="1" si="31"/>
        <v>#VALUE!</v>
      </c>
      <c r="G875" t="e">
        <f t="shared" ca="1" si="32"/>
        <v>#VALUE!</v>
      </c>
    </row>
    <row r="876" spans="1:7" x14ac:dyDescent="0.25">
      <c r="A876" s="1"/>
      <c r="D876" t="e" cm="1">
        <f t="array" aca="1" ref="D876" ca="1">IF(OR(COUNTIF(damper_names,_xlfn.CONCAT("D_S_",C876))=1, COUNTIF(damper_names,_xlfn.CONCAT("D_E_",C876))=1), "C", "")</f>
        <v>#VALUE!</v>
      </c>
      <c r="E876" t="e">
        <f t="shared" ca="1" si="30"/>
        <v>#VALUE!</v>
      </c>
      <c r="F876" t="e">
        <f t="shared" ca="1" si="31"/>
        <v>#VALUE!</v>
      </c>
      <c r="G876" t="e">
        <f t="shared" ca="1" si="32"/>
        <v>#VALUE!</v>
      </c>
    </row>
    <row r="877" spans="1:7" x14ac:dyDescent="0.25">
      <c r="A877" s="1"/>
      <c r="D877" t="e" cm="1">
        <f t="array" aca="1" ref="D877" ca="1">IF(OR(COUNTIF(damper_names,_xlfn.CONCAT("D_S_",C877))=1, COUNTIF(damper_names,_xlfn.CONCAT("D_E_",C877))=1), "C", "")</f>
        <v>#VALUE!</v>
      </c>
      <c r="E877" t="e">
        <f t="shared" ca="1" si="30"/>
        <v>#VALUE!</v>
      </c>
      <c r="F877" t="e">
        <f t="shared" ca="1" si="31"/>
        <v>#VALUE!</v>
      </c>
      <c r="G877" t="e">
        <f t="shared" ca="1" si="32"/>
        <v>#VALUE!</v>
      </c>
    </row>
    <row r="878" spans="1:7" x14ac:dyDescent="0.25">
      <c r="A878" s="1"/>
      <c r="D878" t="e" cm="1">
        <f t="array" aca="1" ref="D878" ca="1">IF(OR(COUNTIF(damper_names,_xlfn.CONCAT("D_S_",C878))=1, COUNTIF(damper_names,_xlfn.CONCAT("D_E_",C878))=1), "C", "")</f>
        <v>#VALUE!</v>
      </c>
      <c r="E878" t="e">
        <f t="shared" ca="1" si="30"/>
        <v>#VALUE!</v>
      </c>
      <c r="F878" t="e">
        <f t="shared" ca="1" si="31"/>
        <v>#VALUE!</v>
      </c>
      <c r="G878" t="e">
        <f t="shared" ca="1" si="32"/>
        <v>#VALUE!</v>
      </c>
    </row>
    <row r="879" spans="1:7" x14ac:dyDescent="0.25">
      <c r="A879" s="1"/>
      <c r="D879" t="e" cm="1">
        <f t="array" aca="1" ref="D879" ca="1">IF(OR(COUNTIF(damper_names,_xlfn.CONCAT("D_S_",C879))=1, COUNTIF(damper_names,_xlfn.CONCAT("D_E_",C879))=1), "C", "")</f>
        <v>#VALUE!</v>
      </c>
      <c r="E879" t="e">
        <f t="shared" ca="1" si="30"/>
        <v>#VALUE!</v>
      </c>
      <c r="F879" t="e">
        <f t="shared" ca="1" si="31"/>
        <v>#VALUE!</v>
      </c>
      <c r="G879" t="e">
        <f t="shared" ca="1" si="32"/>
        <v>#VALUE!</v>
      </c>
    </row>
    <row r="880" spans="1:7" x14ac:dyDescent="0.25">
      <c r="A880" s="1"/>
      <c r="D880" t="e" cm="1">
        <f t="array" aca="1" ref="D880" ca="1">IF(OR(COUNTIF(damper_names,_xlfn.CONCAT("D_S_",C880))=1, COUNTIF(damper_names,_xlfn.CONCAT("D_E_",C880))=1), "C", "")</f>
        <v>#VALUE!</v>
      </c>
      <c r="E880" t="e">
        <f t="shared" ca="1" si="30"/>
        <v>#VALUE!</v>
      </c>
      <c r="F880" t="e">
        <f t="shared" ca="1" si="31"/>
        <v>#VALUE!</v>
      </c>
      <c r="G880" t="e">
        <f t="shared" ca="1" si="32"/>
        <v>#VALUE!</v>
      </c>
    </row>
    <row r="881" spans="1:7" x14ac:dyDescent="0.25">
      <c r="A881" s="1"/>
      <c r="D881" t="e" cm="1">
        <f t="array" aca="1" ref="D881" ca="1">IF(OR(COUNTIF(damper_names,_xlfn.CONCAT("D_S_",C881))=1, COUNTIF(damper_names,_xlfn.CONCAT("D_E_",C881))=1), "C", "")</f>
        <v>#VALUE!</v>
      </c>
      <c r="E881" t="e">
        <f t="shared" ca="1" si="30"/>
        <v>#VALUE!</v>
      </c>
      <c r="F881" t="e">
        <f t="shared" ca="1" si="31"/>
        <v>#VALUE!</v>
      </c>
      <c r="G881" t="e">
        <f t="shared" ca="1" si="32"/>
        <v>#VALUE!</v>
      </c>
    </row>
    <row r="882" spans="1:7" x14ac:dyDescent="0.25">
      <c r="A882" s="1"/>
      <c r="D882" t="e" cm="1">
        <f t="array" aca="1" ref="D882" ca="1">IF(OR(COUNTIF(damper_names,_xlfn.CONCAT("D_S_",C882))=1, COUNTIF(damper_names,_xlfn.CONCAT("D_E_",C882))=1), "C", "")</f>
        <v>#VALUE!</v>
      </c>
      <c r="E882" t="e">
        <f t="shared" ca="1" si="30"/>
        <v>#VALUE!</v>
      </c>
      <c r="F882" t="e">
        <f t="shared" ca="1" si="31"/>
        <v>#VALUE!</v>
      </c>
      <c r="G882" t="e">
        <f t="shared" ca="1" si="32"/>
        <v>#VALUE!</v>
      </c>
    </row>
    <row r="883" spans="1:7" x14ac:dyDescent="0.25">
      <c r="A883" s="1"/>
      <c r="D883" t="e" cm="1">
        <f t="array" aca="1" ref="D883" ca="1">IF(OR(COUNTIF(damper_names,_xlfn.CONCAT("D_S_",C883))=1, COUNTIF(damper_names,_xlfn.CONCAT("D_E_",C883))=1), "C", "")</f>
        <v>#VALUE!</v>
      </c>
      <c r="E883" t="e">
        <f t="shared" ref="E883:E946" ca="1" si="33">IF(D883="T", 0.05, IF(D883="C", -0.01, ""))</f>
        <v>#VALUE!</v>
      </c>
      <c r="F883" t="e">
        <f t="shared" ref="F883:F946" ca="1" si="34">IF(D883="T", 0.05, IF(D883="C", 0, ""))</f>
        <v>#VALUE!</v>
      </c>
      <c r="G883" t="e">
        <f t="shared" ref="G883:G946" ca="1" si="35">IF(D883="T", 0, IF(D883="C", 0, ""))</f>
        <v>#VALUE!</v>
      </c>
    </row>
    <row r="884" spans="1:7" x14ac:dyDescent="0.25">
      <c r="A884" s="1"/>
      <c r="D884" t="e" cm="1">
        <f t="array" aca="1" ref="D884" ca="1">IF(OR(COUNTIF(damper_names,_xlfn.CONCAT("D_S_",C884))=1, COUNTIF(damper_names,_xlfn.CONCAT("D_E_",C884))=1), "C", "")</f>
        <v>#VALUE!</v>
      </c>
      <c r="E884" t="e">
        <f t="shared" ca="1" si="33"/>
        <v>#VALUE!</v>
      </c>
      <c r="F884" t="e">
        <f t="shared" ca="1" si="34"/>
        <v>#VALUE!</v>
      </c>
      <c r="G884" t="e">
        <f t="shared" ca="1" si="35"/>
        <v>#VALUE!</v>
      </c>
    </row>
    <row r="885" spans="1:7" x14ac:dyDescent="0.25">
      <c r="A885" s="1"/>
      <c r="D885" t="e" cm="1">
        <f t="array" aca="1" ref="D885" ca="1">IF(OR(COUNTIF(damper_names,_xlfn.CONCAT("D_S_",C885))=1, COUNTIF(damper_names,_xlfn.CONCAT("D_E_",C885))=1), "C", "")</f>
        <v>#VALUE!</v>
      </c>
      <c r="E885" t="e">
        <f t="shared" ca="1" si="33"/>
        <v>#VALUE!</v>
      </c>
      <c r="F885" t="e">
        <f t="shared" ca="1" si="34"/>
        <v>#VALUE!</v>
      </c>
      <c r="G885" t="e">
        <f t="shared" ca="1" si="35"/>
        <v>#VALUE!</v>
      </c>
    </row>
    <row r="886" spans="1:7" x14ac:dyDescent="0.25">
      <c r="A886" s="1"/>
      <c r="D886" t="e" cm="1">
        <f t="array" aca="1" ref="D886" ca="1">IF(OR(COUNTIF(damper_names,_xlfn.CONCAT("D_S_",C886))=1, COUNTIF(damper_names,_xlfn.CONCAT("D_E_",C886))=1), "C", "")</f>
        <v>#VALUE!</v>
      </c>
      <c r="E886" t="e">
        <f t="shared" ca="1" si="33"/>
        <v>#VALUE!</v>
      </c>
      <c r="F886" t="e">
        <f t="shared" ca="1" si="34"/>
        <v>#VALUE!</v>
      </c>
      <c r="G886" t="e">
        <f t="shared" ca="1" si="35"/>
        <v>#VALUE!</v>
      </c>
    </row>
    <row r="887" spans="1:7" x14ac:dyDescent="0.25">
      <c r="A887" s="1"/>
      <c r="D887" t="e" cm="1">
        <f t="array" aca="1" ref="D887" ca="1">IF(OR(COUNTIF(damper_names,_xlfn.CONCAT("D_S_",C887))=1, COUNTIF(damper_names,_xlfn.CONCAT("D_E_",C887))=1), "C", "")</f>
        <v>#VALUE!</v>
      </c>
      <c r="E887" t="e">
        <f t="shared" ca="1" si="33"/>
        <v>#VALUE!</v>
      </c>
      <c r="F887" t="e">
        <f t="shared" ca="1" si="34"/>
        <v>#VALUE!</v>
      </c>
      <c r="G887" t="e">
        <f t="shared" ca="1" si="35"/>
        <v>#VALUE!</v>
      </c>
    </row>
    <row r="888" spans="1:7" x14ac:dyDescent="0.25">
      <c r="A888" s="1"/>
      <c r="D888" t="e" cm="1">
        <f t="array" aca="1" ref="D888" ca="1">IF(OR(COUNTIF(damper_names,_xlfn.CONCAT("D_S_",C888))=1, COUNTIF(damper_names,_xlfn.CONCAT("D_E_",C888))=1), "C", "")</f>
        <v>#VALUE!</v>
      </c>
      <c r="E888" t="e">
        <f t="shared" ca="1" si="33"/>
        <v>#VALUE!</v>
      </c>
      <c r="F888" t="e">
        <f t="shared" ca="1" si="34"/>
        <v>#VALUE!</v>
      </c>
      <c r="G888" t="e">
        <f t="shared" ca="1" si="35"/>
        <v>#VALUE!</v>
      </c>
    </row>
    <row r="889" spans="1:7" x14ac:dyDescent="0.25">
      <c r="A889" s="1"/>
      <c r="D889" t="e" cm="1">
        <f t="array" aca="1" ref="D889" ca="1">IF(OR(COUNTIF(damper_names,_xlfn.CONCAT("D_S_",C889))=1, COUNTIF(damper_names,_xlfn.CONCAT("D_E_",C889))=1), "C", "")</f>
        <v>#VALUE!</v>
      </c>
      <c r="E889" t="e">
        <f t="shared" ca="1" si="33"/>
        <v>#VALUE!</v>
      </c>
      <c r="F889" t="e">
        <f t="shared" ca="1" si="34"/>
        <v>#VALUE!</v>
      </c>
      <c r="G889" t="e">
        <f t="shared" ca="1" si="35"/>
        <v>#VALUE!</v>
      </c>
    </row>
    <row r="890" spans="1:7" x14ac:dyDescent="0.25">
      <c r="A890" s="1"/>
      <c r="D890" t="e" cm="1">
        <f t="array" aca="1" ref="D890" ca="1">IF(OR(COUNTIF(damper_names,_xlfn.CONCAT("D_S_",C890))=1, COUNTIF(damper_names,_xlfn.CONCAT("D_E_",C890))=1), "C", "")</f>
        <v>#VALUE!</v>
      </c>
      <c r="E890" t="e">
        <f t="shared" ca="1" si="33"/>
        <v>#VALUE!</v>
      </c>
      <c r="F890" t="e">
        <f t="shared" ca="1" si="34"/>
        <v>#VALUE!</v>
      </c>
      <c r="G890" t="e">
        <f t="shared" ca="1" si="35"/>
        <v>#VALUE!</v>
      </c>
    </row>
    <row r="891" spans="1:7" x14ac:dyDescent="0.25">
      <c r="A891" s="1"/>
      <c r="D891" t="e" cm="1">
        <f t="array" aca="1" ref="D891" ca="1">IF(OR(COUNTIF(damper_names,_xlfn.CONCAT("D_S_",C891))=1, COUNTIF(damper_names,_xlfn.CONCAT("D_E_",C891))=1), "C", "")</f>
        <v>#VALUE!</v>
      </c>
      <c r="E891" t="e">
        <f t="shared" ca="1" si="33"/>
        <v>#VALUE!</v>
      </c>
      <c r="F891" t="e">
        <f t="shared" ca="1" si="34"/>
        <v>#VALUE!</v>
      </c>
      <c r="G891" t="e">
        <f t="shared" ca="1" si="35"/>
        <v>#VALUE!</v>
      </c>
    </row>
    <row r="892" spans="1:7" x14ac:dyDescent="0.25">
      <c r="A892" s="1"/>
      <c r="D892" t="e" cm="1">
        <f t="array" aca="1" ref="D892" ca="1">IF(OR(COUNTIF(damper_names,_xlfn.CONCAT("D_S_",C892))=1, COUNTIF(damper_names,_xlfn.CONCAT("D_E_",C892))=1), "C", "")</f>
        <v>#VALUE!</v>
      </c>
      <c r="E892" t="e">
        <f t="shared" ca="1" si="33"/>
        <v>#VALUE!</v>
      </c>
      <c r="F892" t="e">
        <f t="shared" ca="1" si="34"/>
        <v>#VALUE!</v>
      </c>
      <c r="G892" t="e">
        <f t="shared" ca="1" si="35"/>
        <v>#VALUE!</v>
      </c>
    </row>
    <row r="893" spans="1:7" x14ac:dyDescent="0.25">
      <c r="A893" s="1"/>
      <c r="D893" t="e" cm="1">
        <f t="array" aca="1" ref="D893" ca="1">IF(OR(COUNTIF(damper_names,_xlfn.CONCAT("D_S_",C893))=1, COUNTIF(damper_names,_xlfn.CONCAT("D_E_",C893))=1), "C", "")</f>
        <v>#VALUE!</v>
      </c>
      <c r="E893" t="e">
        <f t="shared" ca="1" si="33"/>
        <v>#VALUE!</v>
      </c>
      <c r="F893" t="e">
        <f t="shared" ca="1" si="34"/>
        <v>#VALUE!</v>
      </c>
      <c r="G893" t="e">
        <f t="shared" ca="1" si="35"/>
        <v>#VALUE!</v>
      </c>
    </row>
    <row r="894" spans="1:7" x14ac:dyDescent="0.25">
      <c r="A894" s="1"/>
      <c r="D894" t="e" cm="1">
        <f t="array" aca="1" ref="D894" ca="1">IF(OR(COUNTIF(damper_names,_xlfn.CONCAT("D_S_",C894))=1, COUNTIF(damper_names,_xlfn.CONCAT("D_E_",C894))=1), "C", "")</f>
        <v>#VALUE!</v>
      </c>
      <c r="E894" t="e">
        <f t="shared" ca="1" si="33"/>
        <v>#VALUE!</v>
      </c>
      <c r="F894" t="e">
        <f t="shared" ca="1" si="34"/>
        <v>#VALUE!</v>
      </c>
      <c r="G894" t="e">
        <f t="shared" ca="1" si="35"/>
        <v>#VALUE!</v>
      </c>
    </row>
    <row r="895" spans="1:7" x14ac:dyDescent="0.25">
      <c r="A895" s="1"/>
      <c r="D895" t="e" cm="1">
        <f t="array" aca="1" ref="D895" ca="1">IF(OR(COUNTIF(damper_names,_xlfn.CONCAT("D_S_",C895))=1, COUNTIF(damper_names,_xlfn.CONCAT("D_E_",C895))=1), "C", "")</f>
        <v>#VALUE!</v>
      </c>
      <c r="E895" t="e">
        <f t="shared" ca="1" si="33"/>
        <v>#VALUE!</v>
      </c>
      <c r="F895" t="e">
        <f t="shared" ca="1" si="34"/>
        <v>#VALUE!</v>
      </c>
      <c r="G895" t="e">
        <f t="shared" ca="1" si="35"/>
        <v>#VALUE!</v>
      </c>
    </row>
    <row r="896" spans="1:7" x14ac:dyDescent="0.25">
      <c r="A896" s="1"/>
      <c r="D896" t="e" cm="1">
        <f t="array" aca="1" ref="D896" ca="1">IF(OR(COUNTIF(damper_names,_xlfn.CONCAT("D_S_",C896))=1, COUNTIF(damper_names,_xlfn.CONCAT("D_E_",C896))=1), "C", "")</f>
        <v>#VALUE!</v>
      </c>
      <c r="E896" t="e">
        <f t="shared" ca="1" si="33"/>
        <v>#VALUE!</v>
      </c>
      <c r="F896" t="e">
        <f t="shared" ca="1" si="34"/>
        <v>#VALUE!</v>
      </c>
      <c r="G896" t="e">
        <f t="shared" ca="1" si="35"/>
        <v>#VALUE!</v>
      </c>
    </row>
    <row r="897" spans="1:7" x14ac:dyDescent="0.25">
      <c r="A897" s="1"/>
      <c r="D897" t="e" cm="1">
        <f t="array" aca="1" ref="D897" ca="1">IF(OR(COUNTIF(damper_names,_xlfn.CONCAT("D_S_",C897))=1, COUNTIF(damper_names,_xlfn.CONCAT("D_E_",C897))=1), "C", "")</f>
        <v>#VALUE!</v>
      </c>
      <c r="E897" t="e">
        <f t="shared" ca="1" si="33"/>
        <v>#VALUE!</v>
      </c>
      <c r="F897" t="e">
        <f t="shared" ca="1" si="34"/>
        <v>#VALUE!</v>
      </c>
      <c r="G897" t="e">
        <f t="shared" ca="1" si="35"/>
        <v>#VALUE!</v>
      </c>
    </row>
    <row r="898" spans="1:7" x14ac:dyDescent="0.25">
      <c r="A898" s="1"/>
      <c r="D898" t="e" cm="1">
        <f t="array" aca="1" ref="D898" ca="1">IF(OR(COUNTIF(damper_names,_xlfn.CONCAT("D_S_",C898))=1, COUNTIF(damper_names,_xlfn.CONCAT("D_E_",C898))=1), "C", "")</f>
        <v>#VALUE!</v>
      </c>
      <c r="E898" t="e">
        <f t="shared" ca="1" si="33"/>
        <v>#VALUE!</v>
      </c>
      <c r="F898" t="e">
        <f t="shared" ca="1" si="34"/>
        <v>#VALUE!</v>
      </c>
      <c r="G898" t="e">
        <f t="shared" ca="1" si="35"/>
        <v>#VALUE!</v>
      </c>
    </row>
    <row r="899" spans="1:7" x14ac:dyDescent="0.25">
      <c r="A899" s="1"/>
      <c r="D899" t="e" cm="1">
        <f t="array" aca="1" ref="D899" ca="1">IF(OR(COUNTIF(damper_names,_xlfn.CONCAT("D_S_",C899))=1, COUNTIF(damper_names,_xlfn.CONCAT("D_E_",C899))=1), "C", "")</f>
        <v>#VALUE!</v>
      </c>
      <c r="E899" t="e">
        <f t="shared" ca="1" si="33"/>
        <v>#VALUE!</v>
      </c>
      <c r="F899" t="e">
        <f t="shared" ca="1" si="34"/>
        <v>#VALUE!</v>
      </c>
      <c r="G899" t="e">
        <f t="shared" ca="1" si="35"/>
        <v>#VALUE!</v>
      </c>
    </row>
    <row r="900" spans="1:7" x14ac:dyDescent="0.25">
      <c r="A900" s="1"/>
      <c r="D900" t="e" cm="1">
        <f t="array" aca="1" ref="D900" ca="1">IF(OR(COUNTIF(damper_names,_xlfn.CONCAT("D_S_",C900))=1, COUNTIF(damper_names,_xlfn.CONCAT("D_E_",C900))=1), "C", "")</f>
        <v>#VALUE!</v>
      </c>
      <c r="E900" t="e">
        <f t="shared" ca="1" si="33"/>
        <v>#VALUE!</v>
      </c>
      <c r="F900" t="e">
        <f t="shared" ca="1" si="34"/>
        <v>#VALUE!</v>
      </c>
      <c r="G900" t="e">
        <f t="shared" ca="1" si="35"/>
        <v>#VALUE!</v>
      </c>
    </row>
    <row r="901" spans="1:7" x14ac:dyDescent="0.25">
      <c r="A901" s="1"/>
      <c r="D901" t="e" cm="1">
        <f t="array" aca="1" ref="D901" ca="1">IF(OR(COUNTIF(damper_names,_xlfn.CONCAT("D_S_",C901))=1, COUNTIF(damper_names,_xlfn.CONCAT("D_E_",C901))=1), "C", "")</f>
        <v>#VALUE!</v>
      </c>
      <c r="E901" t="e">
        <f t="shared" ca="1" si="33"/>
        <v>#VALUE!</v>
      </c>
      <c r="F901" t="e">
        <f t="shared" ca="1" si="34"/>
        <v>#VALUE!</v>
      </c>
      <c r="G901" t="e">
        <f t="shared" ca="1" si="35"/>
        <v>#VALUE!</v>
      </c>
    </row>
    <row r="902" spans="1:7" x14ac:dyDescent="0.25">
      <c r="A902" s="1"/>
      <c r="D902" t="e" cm="1">
        <f t="array" aca="1" ref="D902" ca="1">IF(OR(COUNTIF(damper_names,_xlfn.CONCAT("D_S_",C902))=1, COUNTIF(damper_names,_xlfn.CONCAT("D_E_",C902))=1), "C", "")</f>
        <v>#VALUE!</v>
      </c>
      <c r="E902" t="e">
        <f t="shared" ca="1" si="33"/>
        <v>#VALUE!</v>
      </c>
      <c r="F902" t="e">
        <f t="shared" ca="1" si="34"/>
        <v>#VALUE!</v>
      </c>
      <c r="G902" t="e">
        <f t="shared" ca="1" si="35"/>
        <v>#VALUE!</v>
      </c>
    </row>
    <row r="903" spans="1:7" x14ac:dyDescent="0.25">
      <c r="A903" s="1"/>
      <c r="D903" t="e" cm="1">
        <f t="array" aca="1" ref="D903" ca="1">IF(OR(COUNTIF(damper_names,_xlfn.CONCAT("D_S_",C903))=1, COUNTIF(damper_names,_xlfn.CONCAT("D_E_",C903))=1), "C", "")</f>
        <v>#VALUE!</v>
      </c>
      <c r="E903" t="e">
        <f t="shared" ca="1" si="33"/>
        <v>#VALUE!</v>
      </c>
      <c r="F903" t="e">
        <f t="shared" ca="1" si="34"/>
        <v>#VALUE!</v>
      </c>
      <c r="G903" t="e">
        <f t="shared" ca="1" si="35"/>
        <v>#VALUE!</v>
      </c>
    </row>
    <row r="904" spans="1:7" x14ac:dyDescent="0.25">
      <c r="A904" s="1"/>
      <c r="D904" t="e" cm="1">
        <f t="array" aca="1" ref="D904" ca="1">IF(OR(COUNTIF(damper_names,_xlfn.CONCAT("D_S_",C904))=1, COUNTIF(damper_names,_xlfn.CONCAT("D_E_",C904))=1), "C", "")</f>
        <v>#VALUE!</v>
      </c>
      <c r="E904" t="e">
        <f t="shared" ca="1" si="33"/>
        <v>#VALUE!</v>
      </c>
      <c r="F904" t="e">
        <f t="shared" ca="1" si="34"/>
        <v>#VALUE!</v>
      </c>
      <c r="G904" t="e">
        <f t="shared" ca="1" si="35"/>
        <v>#VALUE!</v>
      </c>
    </row>
    <row r="905" spans="1:7" x14ac:dyDescent="0.25">
      <c r="A905" s="1"/>
      <c r="D905" t="e" cm="1">
        <f t="array" aca="1" ref="D905" ca="1">IF(OR(COUNTIF(damper_names,_xlfn.CONCAT("D_S_",C905))=1, COUNTIF(damper_names,_xlfn.CONCAT("D_E_",C905))=1), "C", "")</f>
        <v>#VALUE!</v>
      </c>
      <c r="E905" t="e">
        <f t="shared" ca="1" si="33"/>
        <v>#VALUE!</v>
      </c>
      <c r="F905" t="e">
        <f t="shared" ca="1" si="34"/>
        <v>#VALUE!</v>
      </c>
      <c r="G905" t="e">
        <f t="shared" ca="1" si="35"/>
        <v>#VALUE!</v>
      </c>
    </row>
    <row r="906" spans="1:7" x14ac:dyDescent="0.25">
      <c r="A906" s="1"/>
      <c r="D906" t="e" cm="1">
        <f t="array" aca="1" ref="D906" ca="1">IF(OR(COUNTIF(damper_names,_xlfn.CONCAT("D_S_",C906))=1, COUNTIF(damper_names,_xlfn.CONCAT("D_E_",C906))=1), "C", "")</f>
        <v>#VALUE!</v>
      </c>
      <c r="E906" t="e">
        <f t="shared" ca="1" si="33"/>
        <v>#VALUE!</v>
      </c>
      <c r="F906" t="e">
        <f t="shared" ca="1" si="34"/>
        <v>#VALUE!</v>
      </c>
      <c r="G906" t="e">
        <f t="shared" ca="1" si="35"/>
        <v>#VALUE!</v>
      </c>
    </row>
    <row r="907" spans="1:7" x14ac:dyDescent="0.25">
      <c r="A907" s="1"/>
      <c r="D907" t="e" cm="1">
        <f t="array" aca="1" ref="D907" ca="1">IF(OR(COUNTIF(damper_names,_xlfn.CONCAT("D_S_",C907))=1, COUNTIF(damper_names,_xlfn.CONCAT("D_E_",C907))=1), "C", "")</f>
        <v>#VALUE!</v>
      </c>
      <c r="E907" t="e">
        <f t="shared" ca="1" si="33"/>
        <v>#VALUE!</v>
      </c>
      <c r="F907" t="e">
        <f t="shared" ca="1" si="34"/>
        <v>#VALUE!</v>
      </c>
      <c r="G907" t="e">
        <f t="shared" ca="1" si="35"/>
        <v>#VALUE!</v>
      </c>
    </row>
    <row r="908" spans="1:7" x14ac:dyDescent="0.25">
      <c r="A908" s="1"/>
      <c r="D908" t="e" cm="1">
        <f t="array" aca="1" ref="D908" ca="1">IF(OR(COUNTIF(damper_names,_xlfn.CONCAT("D_S_",C908))=1, COUNTIF(damper_names,_xlfn.CONCAT("D_E_",C908))=1), "C", "")</f>
        <v>#VALUE!</v>
      </c>
      <c r="E908" t="e">
        <f t="shared" ca="1" si="33"/>
        <v>#VALUE!</v>
      </c>
      <c r="F908" t="e">
        <f t="shared" ca="1" si="34"/>
        <v>#VALUE!</v>
      </c>
      <c r="G908" t="e">
        <f t="shared" ca="1" si="35"/>
        <v>#VALUE!</v>
      </c>
    </row>
    <row r="909" spans="1:7" x14ac:dyDescent="0.25">
      <c r="A909" s="1"/>
      <c r="D909" t="e" cm="1">
        <f t="array" aca="1" ref="D909" ca="1">IF(OR(COUNTIF(damper_names,_xlfn.CONCAT("D_S_",C909))=1, COUNTIF(damper_names,_xlfn.CONCAT("D_E_",C909))=1), "C", "")</f>
        <v>#VALUE!</v>
      </c>
      <c r="E909" t="e">
        <f t="shared" ca="1" si="33"/>
        <v>#VALUE!</v>
      </c>
      <c r="F909" t="e">
        <f t="shared" ca="1" si="34"/>
        <v>#VALUE!</v>
      </c>
      <c r="G909" t="e">
        <f t="shared" ca="1" si="35"/>
        <v>#VALUE!</v>
      </c>
    </row>
    <row r="910" spans="1:7" x14ac:dyDescent="0.25">
      <c r="A910" s="1"/>
      <c r="D910" t="e" cm="1">
        <f t="array" aca="1" ref="D910" ca="1">IF(OR(COUNTIF(damper_names,_xlfn.CONCAT("D_S_",C910))=1, COUNTIF(damper_names,_xlfn.CONCAT("D_E_",C910))=1), "C", "")</f>
        <v>#VALUE!</v>
      </c>
      <c r="E910" t="e">
        <f t="shared" ca="1" si="33"/>
        <v>#VALUE!</v>
      </c>
      <c r="F910" t="e">
        <f t="shared" ca="1" si="34"/>
        <v>#VALUE!</v>
      </c>
      <c r="G910" t="e">
        <f t="shared" ca="1" si="35"/>
        <v>#VALUE!</v>
      </c>
    </row>
    <row r="911" spans="1:7" x14ac:dyDescent="0.25">
      <c r="A911" s="1"/>
      <c r="D911" t="e" cm="1">
        <f t="array" aca="1" ref="D911" ca="1">IF(OR(COUNTIF(damper_names,_xlfn.CONCAT("D_S_",C911))=1, COUNTIF(damper_names,_xlfn.CONCAT("D_E_",C911))=1), "C", "")</f>
        <v>#VALUE!</v>
      </c>
      <c r="E911" t="e">
        <f t="shared" ca="1" si="33"/>
        <v>#VALUE!</v>
      </c>
      <c r="F911" t="e">
        <f t="shared" ca="1" si="34"/>
        <v>#VALUE!</v>
      </c>
      <c r="G911" t="e">
        <f t="shared" ca="1" si="35"/>
        <v>#VALUE!</v>
      </c>
    </row>
    <row r="912" spans="1:7" x14ac:dyDescent="0.25">
      <c r="A912" s="1"/>
      <c r="D912" t="e" cm="1">
        <f t="array" aca="1" ref="D912" ca="1">IF(OR(COUNTIF(damper_names,_xlfn.CONCAT("D_S_",C912))=1, COUNTIF(damper_names,_xlfn.CONCAT("D_E_",C912))=1), "C", "")</f>
        <v>#VALUE!</v>
      </c>
      <c r="E912" t="e">
        <f t="shared" ca="1" si="33"/>
        <v>#VALUE!</v>
      </c>
      <c r="F912" t="e">
        <f t="shared" ca="1" si="34"/>
        <v>#VALUE!</v>
      </c>
      <c r="G912" t="e">
        <f t="shared" ca="1" si="35"/>
        <v>#VALUE!</v>
      </c>
    </row>
    <row r="913" spans="1:7" x14ac:dyDescent="0.25">
      <c r="A913" s="1"/>
      <c r="D913" t="e" cm="1">
        <f t="array" aca="1" ref="D913" ca="1">IF(OR(COUNTIF(damper_names,_xlfn.CONCAT("D_S_",C913))=1, COUNTIF(damper_names,_xlfn.CONCAT("D_E_",C913))=1), "C", "")</f>
        <v>#VALUE!</v>
      </c>
      <c r="E913" t="e">
        <f t="shared" ca="1" si="33"/>
        <v>#VALUE!</v>
      </c>
      <c r="F913" t="e">
        <f t="shared" ca="1" si="34"/>
        <v>#VALUE!</v>
      </c>
      <c r="G913" t="e">
        <f t="shared" ca="1" si="35"/>
        <v>#VALUE!</v>
      </c>
    </row>
    <row r="914" spans="1:7" x14ac:dyDescent="0.25">
      <c r="A914" s="1"/>
      <c r="D914" t="e" cm="1">
        <f t="array" aca="1" ref="D914" ca="1">IF(OR(COUNTIF(damper_names,_xlfn.CONCAT("D_S_",C914))=1, COUNTIF(damper_names,_xlfn.CONCAT("D_E_",C914))=1), "C", "")</f>
        <v>#VALUE!</v>
      </c>
      <c r="E914" t="e">
        <f t="shared" ca="1" si="33"/>
        <v>#VALUE!</v>
      </c>
      <c r="F914" t="e">
        <f t="shared" ca="1" si="34"/>
        <v>#VALUE!</v>
      </c>
      <c r="G914" t="e">
        <f t="shared" ca="1" si="35"/>
        <v>#VALUE!</v>
      </c>
    </row>
    <row r="915" spans="1:7" x14ac:dyDescent="0.25">
      <c r="A915" s="1"/>
      <c r="D915" t="e" cm="1">
        <f t="array" aca="1" ref="D915" ca="1">IF(OR(COUNTIF(damper_names,_xlfn.CONCAT("D_S_",C915))=1, COUNTIF(damper_names,_xlfn.CONCAT("D_E_",C915))=1), "C", "")</f>
        <v>#VALUE!</v>
      </c>
      <c r="E915" t="e">
        <f t="shared" ca="1" si="33"/>
        <v>#VALUE!</v>
      </c>
      <c r="F915" t="e">
        <f t="shared" ca="1" si="34"/>
        <v>#VALUE!</v>
      </c>
      <c r="G915" t="e">
        <f t="shared" ca="1" si="35"/>
        <v>#VALUE!</v>
      </c>
    </row>
    <row r="916" spans="1:7" x14ac:dyDescent="0.25">
      <c r="A916" s="1"/>
      <c r="D916" t="e" cm="1">
        <f t="array" aca="1" ref="D916" ca="1">IF(OR(COUNTIF(damper_names,_xlfn.CONCAT("D_S_",C916))=1, COUNTIF(damper_names,_xlfn.CONCAT("D_E_",C916))=1), "C", "")</f>
        <v>#VALUE!</v>
      </c>
      <c r="E916" t="e">
        <f t="shared" ca="1" si="33"/>
        <v>#VALUE!</v>
      </c>
      <c r="F916" t="e">
        <f t="shared" ca="1" si="34"/>
        <v>#VALUE!</v>
      </c>
      <c r="G916" t="e">
        <f t="shared" ca="1" si="35"/>
        <v>#VALUE!</v>
      </c>
    </row>
    <row r="917" spans="1:7" x14ac:dyDescent="0.25">
      <c r="A917" s="1"/>
      <c r="D917" t="e" cm="1">
        <f t="array" aca="1" ref="D917" ca="1">IF(OR(COUNTIF(damper_names,_xlfn.CONCAT("D_S_",C917))=1, COUNTIF(damper_names,_xlfn.CONCAT("D_E_",C917))=1), "C", "")</f>
        <v>#VALUE!</v>
      </c>
      <c r="E917" t="e">
        <f t="shared" ca="1" si="33"/>
        <v>#VALUE!</v>
      </c>
      <c r="F917" t="e">
        <f t="shared" ca="1" si="34"/>
        <v>#VALUE!</v>
      </c>
      <c r="G917" t="e">
        <f t="shared" ca="1" si="35"/>
        <v>#VALUE!</v>
      </c>
    </row>
    <row r="918" spans="1:7" x14ac:dyDescent="0.25">
      <c r="A918" s="1"/>
      <c r="D918" t="e" cm="1">
        <f t="array" aca="1" ref="D918" ca="1">IF(OR(COUNTIF(damper_names,_xlfn.CONCAT("D_S_",C918))=1, COUNTIF(damper_names,_xlfn.CONCAT("D_E_",C918))=1), "C", "")</f>
        <v>#VALUE!</v>
      </c>
      <c r="E918" t="e">
        <f t="shared" ca="1" si="33"/>
        <v>#VALUE!</v>
      </c>
      <c r="F918" t="e">
        <f t="shared" ca="1" si="34"/>
        <v>#VALUE!</v>
      </c>
      <c r="G918" t="e">
        <f t="shared" ca="1" si="35"/>
        <v>#VALUE!</v>
      </c>
    </row>
    <row r="919" spans="1:7" x14ac:dyDescent="0.25">
      <c r="A919" s="1"/>
      <c r="D919" t="e" cm="1">
        <f t="array" aca="1" ref="D919" ca="1">IF(OR(COUNTIF(damper_names,_xlfn.CONCAT("D_S_",C919))=1, COUNTIF(damper_names,_xlfn.CONCAT("D_E_",C919))=1), "C", "")</f>
        <v>#VALUE!</v>
      </c>
      <c r="E919" t="e">
        <f t="shared" ca="1" si="33"/>
        <v>#VALUE!</v>
      </c>
      <c r="F919" t="e">
        <f t="shared" ca="1" si="34"/>
        <v>#VALUE!</v>
      </c>
      <c r="G919" t="e">
        <f t="shared" ca="1" si="35"/>
        <v>#VALUE!</v>
      </c>
    </row>
    <row r="920" spans="1:7" x14ac:dyDescent="0.25">
      <c r="A920" s="1"/>
      <c r="D920" t="e" cm="1">
        <f t="array" aca="1" ref="D920" ca="1">IF(OR(COUNTIF(damper_names,_xlfn.CONCAT("D_S_",C920))=1, COUNTIF(damper_names,_xlfn.CONCAT("D_E_",C920))=1), "C", "")</f>
        <v>#VALUE!</v>
      </c>
      <c r="E920" t="e">
        <f t="shared" ca="1" si="33"/>
        <v>#VALUE!</v>
      </c>
      <c r="F920" t="e">
        <f t="shared" ca="1" si="34"/>
        <v>#VALUE!</v>
      </c>
      <c r="G920" t="e">
        <f t="shared" ca="1" si="35"/>
        <v>#VALUE!</v>
      </c>
    </row>
    <row r="921" spans="1:7" x14ac:dyDescent="0.25">
      <c r="A921" s="1"/>
      <c r="D921" t="e" cm="1">
        <f t="array" aca="1" ref="D921" ca="1">IF(OR(COUNTIF(damper_names,_xlfn.CONCAT("D_S_",C921))=1, COUNTIF(damper_names,_xlfn.CONCAT("D_E_",C921))=1), "C", "")</f>
        <v>#VALUE!</v>
      </c>
      <c r="E921" t="e">
        <f t="shared" ca="1" si="33"/>
        <v>#VALUE!</v>
      </c>
      <c r="F921" t="e">
        <f t="shared" ca="1" si="34"/>
        <v>#VALUE!</v>
      </c>
      <c r="G921" t="e">
        <f t="shared" ca="1" si="35"/>
        <v>#VALUE!</v>
      </c>
    </row>
    <row r="922" spans="1:7" x14ac:dyDescent="0.25">
      <c r="A922" s="1"/>
      <c r="D922" t="e" cm="1">
        <f t="array" aca="1" ref="D922" ca="1">IF(OR(COUNTIF(damper_names,_xlfn.CONCAT("D_S_",C922))=1, COUNTIF(damper_names,_xlfn.CONCAT("D_E_",C922))=1), "C", "")</f>
        <v>#VALUE!</v>
      </c>
      <c r="E922" t="e">
        <f t="shared" ca="1" si="33"/>
        <v>#VALUE!</v>
      </c>
      <c r="F922" t="e">
        <f t="shared" ca="1" si="34"/>
        <v>#VALUE!</v>
      </c>
      <c r="G922" t="e">
        <f t="shared" ca="1" si="35"/>
        <v>#VALUE!</v>
      </c>
    </row>
    <row r="923" spans="1:7" x14ac:dyDescent="0.25">
      <c r="A923" s="1"/>
      <c r="D923" t="e" cm="1">
        <f t="array" aca="1" ref="D923" ca="1">IF(OR(COUNTIF(damper_names,_xlfn.CONCAT("D_S_",C923))=1, COUNTIF(damper_names,_xlfn.CONCAT("D_E_",C923))=1), "C", "")</f>
        <v>#VALUE!</v>
      </c>
      <c r="E923" t="e">
        <f t="shared" ca="1" si="33"/>
        <v>#VALUE!</v>
      </c>
      <c r="F923" t="e">
        <f t="shared" ca="1" si="34"/>
        <v>#VALUE!</v>
      </c>
      <c r="G923" t="e">
        <f t="shared" ca="1" si="35"/>
        <v>#VALUE!</v>
      </c>
    </row>
    <row r="924" spans="1:7" x14ac:dyDescent="0.25">
      <c r="A924" s="1"/>
      <c r="D924" t="e" cm="1">
        <f t="array" aca="1" ref="D924" ca="1">IF(OR(COUNTIF(damper_names,_xlfn.CONCAT("D_S_",C924))=1, COUNTIF(damper_names,_xlfn.CONCAT("D_E_",C924))=1), "C", "")</f>
        <v>#VALUE!</v>
      </c>
      <c r="E924" t="e">
        <f t="shared" ca="1" si="33"/>
        <v>#VALUE!</v>
      </c>
      <c r="F924" t="e">
        <f t="shared" ca="1" si="34"/>
        <v>#VALUE!</v>
      </c>
      <c r="G924" t="e">
        <f t="shared" ca="1" si="35"/>
        <v>#VALUE!</v>
      </c>
    </row>
    <row r="925" spans="1:7" x14ac:dyDescent="0.25">
      <c r="A925" s="1"/>
      <c r="D925" t="e" cm="1">
        <f t="array" aca="1" ref="D925" ca="1">IF(OR(COUNTIF(damper_names,_xlfn.CONCAT("D_S_",C925))=1, COUNTIF(damper_names,_xlfn.CONCAT("D_E_",C925))=1), "C", "")</f>
        <v>#VALUE!</v>
      </c>
      <c r="E925" t="e">
        <f t="shared" ca="1" si="33"/>
        <v>#VALUE!</v>
      </c>
      <c r="F925" t="e">
        <f t="shared" ca="1" si="34"/>
        <v>#VALUE!</v>
      </c>
      <c r="G925" t="e">
        <f t="shared" ca="1" si="35"/>
        <v>#VALUE!</v>
      </c>
    </row>
    <row r="926" spans="1:7" x14ac:dyDescent="0.25">
      <c r="A926" s="1"/>
      <c r="D926" t="e" cm="1">
        <f t="array" aca="1" ref="D926" ca="1">IF(OR(COUNTIF(damper_names,_xlfn.CONCAT("D_S_",C926))=1, COUNTIF(damper_names,_xlfn.CONCAT("D_E_",C926))=1), "C", "")</f>
        <v>#VALUE!</v>
      </c>
      <c r="E926" t="e">
        <f t="shared" ca="1" si="33"/>
        <v>#VALUE!</v>
      </c>
      <c r="F926" t="e">
        <f t="shared" ca="1" si="34"/>
        <v>#VALUE!</v>
      </c>
      <c r="G926" t="e">
        <f t="shared" ca="1" si="35"/>
        <v>#VALUE!</v>
      </c>
    </row>
    <row r="927" spans="1:7" x14ac:dyDescent="0.25">
      <c r="A927" s="1"/>
      <c r="D927" t="e" cm="1">
        <f t="array" aca="1" ref="D927" ca="1">IF(OR(COUNTIF(damper_names,_xlfn.CONCAT("D_S_",C927))=1, COUNTIF(damper_names,_xlfn.CONCAT("D_E_",C927))=1), "C", "")</f>
        <v>#VALUE!</v>
      </c>
      <c r="E927" t="e">
        <f t="shared" ca="1" si="33"/>
        <v>#VALUE!</v>
      </c>
      <c r="F927" t="e">
        <f t="shared" ca="1" si="34"/>
        <v>#VALUE!</v>
      </c>
      <c r="G927" t="e">
        <f t="shared" ca="1" si="35"/>
        <v>#VALUE!</v>
      </c>
    </row>
    <row r="928" spans="1:7" x14ac:dyDescent="0.25">
      <c r="A928" s="1"/>
      <c r="D928" t="e" cm="1">
        <f t="array" aca="1" ref="D928" ca="1">IF(OR(COUNTIF(damper_names,_xlfn.CONCAT("D_S_",C928))=1, COUNTIF(damper_names,_xlfn.CONCAT("D_E_",C928))=1), "C", "")</f>
        <v>#VALUE!</v>
      </c>
      <c r="E928" t="e">
        <f t="shared" ca="1" si="33"/>
        <v>#VALUE!</v>
      </c>
      <c r="F928" t="e">
        <f t="shared" ca="1" si="34"/>
        <v>#VALUE!</v>
      </c>
      <c r="G928" t="e">
        <f t="shared" ca="1" si="35"/>
        <v>#VALUE!</v>
      </c>
    </row>
    <row r="929" spans="1:7" x14ac:dyDescent="0.25">
      <c r="A929" s="1"/>
      <c r="D929" t="e" cm="1">
        <f t="array" aca="1" ref="D929" ca="1">IF(OR(COUNTIF(damper_names,_xlfn.CONCAT("D_S_",C929))=1, COUNTIF(damper_names,_xlfn.CONCAT("D_E_",C929))=1), "C", "")</f>
        <v>#VALUE!</v>
      </c>
      <c r="E929" t="e">
        <f t="shared" ca="1" si="33"/>
        <v>#VALUE!</v>
      </c>
      <c r="F929" t="e">
        <f t="shared" ca="1" si="34"/>
        <v>#VALUE!</v>
      </c>
      <c r="G929" t="e">
        <f t="shared" ca="1" si="35"/>
        <v>#VALUE!</v>
      </c>
    </row>
    <row r="930" spans="1:7" x14ac:dyDescent="0.25">
      <c r="A930" s="1"/>
      <c r="D930" t="e" cm="1">
        <f t="array" aca="1" ref="D930" ca="1">IF(OR(COUNTIF(damper_names,_xlfn.CONCAT("D_S_",C930))=1, COUNTIF(damper_names,_xlfn.CONCAT("D_E_",C930))=1), "C", "")</f>
        <v>#VALUE!</v>
      </c>
      <c r="E930" t="e">
        <f t="shared" ca="1" si="33"/>
        <v>#VALUE!</v>
      </c>
      <c r="F930" t="e">
        <f t="shared" ca="1" si="34"/>
        <v>#VALUE!</v>
      </c>
      <c r="G930" t="e">
        <f t="shared" ca="1" si="35"/>
        <v>#VALUE!</v>
      </c>
    </row>
    <row r="931" spans="1:7" x14ac:dyDescent="0.25">
      <c r="A931" s="1"/>
      <c r="D931" t="e" cm="1">
        <f t="array" aca="1" ref="D931" ca="1">IF(OR(COUNTIF(damper_names,_xlfn.CONCAT("D_S_",C931))=1, COUNTIF(damper_names,_xlfn.CONCAT("D_E_",C931))=1), "C", "")</f>
        <v>#VALUE!</v>
      </c>
      <c r="E931" t="e">
        <f t="shared" ca="1" si="33"/>
        <v>#VALUE!</v>
      </c>
      <c r="F931" t="e">
        <f t="shared" ca="1" si="34"/>
        <v>#VALUE!</v>
      </c>
      <c r="G931" t="e">
        <f t="shared" ca="1" si="35"/>
        <v>#VALUE!</v>
      </c>
    </row>
    <row r="932" spans="1:7" x14ac:dyDescent="0.25">
      <c r="A932" s="1"/>
      <c r="D932" t="e" cm="1">
        <f t="array" aca="1" ref="D932" ca="1">IF(OR(COUNTIF(damper_names,_xlfn.CONCAT("D_S_",C932))=1, COUNTIF(damper_names,_xlfn.CONCAT("D_E_",C932))=1), "C", "")</f>
        <v>#VALUE!</v>
      </c>
      <c r="E932" t="e">
        <f t="shared" ca="1" si="33"/>
        <v>#VALUE!</v>
      </c>
      <c r="F932" t="e">
        <f t="shared" ca="1" si="34"/>
        <v>#VALUE!</v>
      </c>
      <c r="G932" t="e">
        <f t="shared" ca="1" si="35"/>
        <v>#VALUE!</v>
      </c>
    </row>
    <row r="933" spans="1:7" x14ac:dyDescent="0.25">
      <c r="A933" s="1"/>
      <c r="D933" t="e" cm="1">
        <f t="array" aca="1" ref="D933" ca="1">IF(OR(COUNTIF(damper_names,_xlfn.CONCAT("D_S_",C933))=1, COUNTIF(damper_names,_xlfn.CONCAT("D_E_",C933))=1), "C", "")</f>
        <v>#VALUE!</v>
      </c>
      <c r="E933" t="e">
        <f t="shared" ca="1" si="33"/>
        <v>#VALUE!</v>
      </c>
      <c r="F933" t="e">
        <f t="shared" ca="1" si="34"/>
        <v>#VALUE!</v>
      </c>
      <c r="G933" t="e">
        <f t="shared" ca="1" si="35"/>
        <v>#VALUE!</v>
      </c>
    </row>
    <row r="934" spans="1:7" x14ac:dyDescent="0.25">
      <c r="A934" s="1"/>
      <c r="D934" t="e" cm="1">
        <f t="array" aca="1" ref="D934" ca="1">IF(OR(COUNTIF(damper_names,_xlfn.CONCAT("D_S_",C934))=1, COUNTIF(damper_names,_xlfn.CONCAT("D_E_",C934))=1), "C", "")</f>
        <v>#VALUE!</v>
      </c>
      <c r="E934" t="e">
        <f t="shared" ca="1" si="33"/>
        <v>#VALUE!</v>
      </c>
      <c r="F934" t="e">
        <f t="shared" ca="1" si="34"/>
        <v>#VALUE!</v>
      </c>
      <c r="G934" t="e">
        <f t="shared" ca="1" si="35"/>
        <v>#VALUE!</v>
      </c>
    </row>
    <row r="935" spans="1:7" x14ac:dyDescent="0.25">
      <c r="A935" s="1"/>
      <c r="D935" t="e" cm="1">
        <f t="array" aca="1" ref="D935" ca="1">IF(OR(COUNTIF(damper_names,_xlfn.CONCAT("D_S_",C935))=1, COUNTIF(damper_names,_xlfn.CONCAT("D_E_",C935))=1), "C", "")</f>
        <v>#VALUE!</v>
      </c>
      <c r="E935" t="e">
        <f t="shared" ca="1" si="33"/>
        <v>#VALUE!</v>
      </c>
      <c r="F935" t="e">
        <f t="shared" ca="1" si="34"/>
        <v>#VALUE!</v>
      </c>
      <c r="G935" t="e">
        <f t="shared" ca="1" si="35"/>
        <v>#VALUE!</v>
      </c>
    </row>
    <row r="936" spans="1:7" x14ac:dyDescent="0.25">
      <c r="A936" s="1"/>
      <c r="D936" t="e" cm="1">
        <f t="array" aca="1" ref="D936" ca="1">IF(OR(COUNTIF(damper_names,_xlfn.CONCAT("D_S_",C936))=1, COUNTIF(damper_names,_xlfn.CONCAT("D_E_",C936))=1), "C", "")</f>
        <v>#VALUE!</v>
      </c>
      <c r="E936" t="e">
        <f t="shared" ca="1" si="33"/>
        <v>#VALUE!</v>
      </c>
      <c r="F936" t="e">
        <f t="shared" ca="1" si="34"/>
        <v>#VALUE!</v>
      </c>
      <c r="G936" t="e">
        <f t="shared" ca="1" si="35"/>
        <v>#VALUE!</v>
      </c>
    </row>
    <row r="937" spans="1:7" x14ac:dyDescent="0.25">
      <c r="A937" s="1"/>
      <c r="D937" t="e" cm="1">
        <f t="array" aca="1" ref="D937" ca="1">IF(OR(COUNTIF(damper_names,_xlfn.CONCAT("D_S_",C937))=1, COUNTIF(damper_names,_xlfn.CONCAT("D_E_",C937))=1), "C", "")</f>
        <v>#VALUE!</v>
      </c>
      <c r="E937" t="e">
        <f t="shared" ca="1" si="33"/>
        <v>#VALUE!</v>
      </c>
      <c r="F937" t="e">
        <f t="shared" ca="1" si="34"/>
        <v>#VALUE!</v>
      </c>
      <c r="G937" t="e">
        <f t="shared" ca="1" si="35"/>
        <v>#VALUE!</v>
      </c>
    </row>
    <row r="938" spans="1:7" x14ac:dyDescent="0.25">
      <c r="A938" s="1"/>
      <c r="D938" t="e" cm="1">
        <f t="array" aca="1" ref="D938" ca="1">IF(OR(COUNTIF(damper_names,_xlfn.CONCAT("D_S_",C938))=1, COUNTIF(damper_names,_xlfn.CONCAT("D_E_",C938))=1), "C", "")</f>
        <v>#VALUE!</v>
      </c>
      <c r="E938" t="e">
        <f t="shared" ca="1" si="33"/>
        <v>#VALUE!</v>
      </c>
      <c r="F938" t="e">
        <f t="shared" ca="1" si="34"/>
        <v>#VALUE!</v>
      </c>
      <c r="G938" t="e">
        <f t="shared" ca="1" si="35"/>
        <v>#VALUE!</v>
      </c>
    </row>
    <row r="939" spans="1:7" x14ac:dyDescent="0.25">
      <c r="A939" s="1"/>
      <c r="D939" t="e" cm="1">
        <f t="array" aca="1" ref="D939" ca="1">IF(OR(COUNTIF(damper_names,_xlfn.CONCAT("D_S_",C939))=1, COUNTIF(damper_names,_xlfn.CONCAT("D_E_",C939))=1), "C", "")</f>
        <v>#VALUE!</v>
      </c>
      <c r="E939" t="e">
        <f t="shared" ca="1" si="33"/>
        <v>#VALUE!</v>
      </c>
      <c r="F939" t="e">
        <f t="shared" ca="1" si="34"/>
        <v>#VALUE!</v>
      </c>
      <c r="G939" t="e">
        <f t="shared" ca="1" si="35"/>
        <v>#VALUE!</v>
      </c>
    </row>
    <row r="940" spans="1:7" x14ac:dyDescent="0.25">
      <c r="A940" s="1"/>
      <c r="D940" t="e" cm="1">
        <f t="array" aca="1" ref="D940" ca="1">IF(OR(COUNTIF(damper_names,_xlfn.CONCAT("D_S_",C940))=1, COUNTIF(damper_names,_xlfn.CONCAT("D_E_",C940))=1), "C", "")</f>
        <v>#VALUE!</v>
      </c>
      <c r="E940" t="e">
        <f t="shared" ca="1" si="33"/>
        <v>#VALUE!</v>
      </c>
      <c r="F940" t="e">
        <f t="shared" ca="1" si="34"/>
        <v>#VALUE!</v>
      </c>
      <c r="G940" t="e">
        <f t="shared" ca="1" si="35"/>
        <v>#VALUE!</v>
      </c>
    </row>
    <row r="941" spans="1:7" x14ac:dyDescent="0.25">
      <c r="A941" s="1"/>
      <c r="D941" t="e" cm="1">
        <f t="array" aca="1" ref="D941" ca="1">IF(OR(COUNTIF(damper_names,_xlfn.CONCAT("D_S_",C941))=1, COUNTIF(damper_names,_xlfn.CONCAT("D_E_",C941))=1), "C", "")</f>
        <v>#VALUE!</v>
      </c>
      <c r="E941" t="e">
        <f t="shared" ca="1" si="33"/>
        <v>#VALUE!</v>
      </c>
      <c r="F941" t="e">
        <f t="shared" ca="1" si="34"/>
        <v>#VALUE!</v>
      </c>
      <c r="G941" t="e">
        <f t="shared" ca="1" si="35"/>
        <v>#VALUE!</v>
      </c>
    </row>
    <row r="942" spans="1:7" x14ac:dyDescent="0.25">
      <c r="A942" s="1"/>
      <c r="D942" t="e" cm="1">
        <f t="array" aca="1" ref="D942" ca="1">IF(OR(COUNTIF(damper_names,_xlfn.CONCAT("D_S_",C942))=1, COUNTIF(damper_names,_xlfn.CONCAT("D_E_",C942))=1), "C", "")</f>
        <v>#VALUE!</v>
      </c>
      <c r="E942" t="e">
        <f t="shared" ca="1" si="33"/>
        <v>#VALUE!</v>
      </c>
      <c r="F942" t="e">
        <f t="shared" ca="1" si="34"/>
        <v>#VALUE!</v>
      </c>
      <c r="G942" t="e">
        <f t="shared" ca="1" si="35"/>
        <v>#VALUE!</v>
      </c>
    </row>
    <row r="943" spans="1:7" x14ac:dyDescent="0.25">
      <c r="A943" s="1"/>
      <c r="D943" t="e" cm="1">
        <f t="array" aca="1" ref="D943" ca="1">IF(OR(COUNTIF(damper_names,_xlfn.CONCAT("D_S_",C943))=1, COUNTIF(damper_names,_xlfn.CONCAT("D_E_",C943))=1), "C", "")</f>
        <v>#VALUE!</v>
      </c>
      <c r="E943" t="e">
        <f t="shared" ca="1" si="33"/>
        <v>#VALUE!</v>
      </c>
      <c r="F943" t="e">
        <f t="shared" ca="1" si="34"/>
        <v>#VALUE!</v>
      </c>
      <c r="G943" t="e">
        <f t="shared" ca="1" si="35"/>
        <v>#VALUE!</v>
      </c>
    </row>
    <row r="944" spans="1:7" x14ac:dyDescent="0.25">
      <c r="A944" s="1"/>
      <c r="D944" t="e" cm="1">
        <f t="array" aca="1" ref="D944" ca="1">IF(OR(COUNTIF(damper_names,_xlfn.CONCAT("D_S_",C944))=1, COUNTIF(damper_names,_xlfn.CONCAT("D_E_",C944))=1), "C", "")</f>
        <v>#VALUE!</v>
      </c>
      <c r="E944" t="e">
        <f t="shared" ca="1" si="33"/>
        <v>#VALUE!</v>
      </c>
      <c r="F944" t="e">
        <f t="shared" ca="1" si="34"/>
        <v>#VALUE!</v>
      </c>
      <c r="G944" t="e">
        <f t="shared" ca="1" si="35"/>
        <v>#VALUE!</v>
      </c>
    </row>
    <row r="945" spans="1:7" x14ac:dyDescent="0.25">
      <c r="A945" s="1"/>
      <c r="D945" t="e" cm="1">
        <f t="array" aca="1" ref="D945" ca="1">IF(OR(COUNTIF(damper_names,_xlfn.CONCAT("D_S_",C945))=1, COUNTIF(damper_names,_xlfn.CONCAT("D_E_",C945))=1), "C", "")</f>
        <v>#VALUE!</v>
      </c>
      <c r="E945" t="e">
        <f t="shared" ca="1" si="33"/>
        <v>#VALUE!</v>
      </c>
      <c r="F945" t="e">
        <f t="shared" ca="1" si="34"/>
        <v>#VALUE!</v>
      </c>
      <c r="G945" t="e">
        <f t="shared" ca="1" si="35"/>
        <v>#VALUE!</v>
      </c>
    </row>
    <row r="946" spans="1:7" x14ac:dyDescent="0.25">
      <c r="A946" s="1"/>
      <c r="D946" t="e" cm="1">
        <f t="array" aca="1" ref="D946" ca="1">IF(OR(COUNTIF(damper_names,_xlfn.CONCAT("D_S_",C946))=1, COUNTIF(damper_names,_xlfn.CONCAT("D_E_",C946))=1), "C", "")</f>
        <v>#VALUE!</v>
      </c>
      <c r="E946" t="e">
        <f t="shared" ca="1" si="33"/>
        <v>#VALUE!</v>
      </c>
      <c r="F946" t="e">
        <f t="shared" ca="1" si="34"/>
        <v>#VALUE!</v>
      </c>
      <c r="G946" t="e">
        <f t="shared" ca="1" si="35"/>
        <v>#VALUE!</v>
      </c>
    </row>
    <row r="947" spans="1:7" x14ac:dyDescent="0.25">
      <c r="A947" s="1"/>
      <c r="D947" t="e" cm="1">
        <f t="array" aca="1" ref="D947" ca="1">IF(OR(COUNTIF(damper_names,_xlfn.CONCAT("D_S_",C947))=1, COUNTIF(damper_names,_xlfn.CONCAT("D_E_",C947))=1), "C", "")</f>
        <v>#VALUE!</v>
      </c>
      <c r="E947" t="e">
        <f t="shared" ref="E947:E1000" ca="1" si="36">IF(D947="T", 0.05, IF(D947="C", -0.01, ""))</f>
        <v>#VALUE!</v>
      </c>
      <c r="F947" t="e">
        <f t="shared" ref="F947:F1000" ca="1" si="37">IF(D947="T", 0.05, IF(D947="C", 0, ""))</f>
        <v>#VALUE!</v>
      </c>
      <c r="G947" t="e">
        <f t="shared" ref="G947:G1000" ca="1" si="38">IF(D947="T", 0, IF(D947="C", 0, ""))</f>
        <v>#VALUE!</v>
      </c>
    </row>
    <row r="948" spans="1:7" x14ac:dyDescent="0.25">
      <c r="A948" s="1"/>
      <c r="D948" t="e" cm="1">
        <f t="array" aca="1" ref="D948" ca="1">IF(OR(COUNTIF(damper_names,_xlfn.CONCAT("D_S_",C948))=1, COUNTIF(damper_names,_xlfn.CONCAT("D_E_",C948))=1), "C", "")</f>
        <v>#VALUE!</v>
      </c>
      <c r="E948" t="e">
        <f t="shared" ca="1" si="36"/>
        <v>#VALUE!</v>
      </c>
      <c r="F948" t="e">
        <f t="shared" ca="1" si="37"/>
        <v>#VALUE!</v>
      </c>
      <c r="G948" t="e">
        <f t="shared" ca="1" si="38"/>
        <v>#VALUE!</v>
      </c>
    </row>
    <row r="949" spans="1:7" x14ac:dyDescent="0.25">
      <c r="A949" s="1"/>
      <c r="D949" t="e" cm="1">
        <f t="array" aca="1" ref="D949" ca="1">IF(OR(COUNTIF(damper_names,_xlfn.CONCAT("D_S_",C949))=1, COUNTIF(damper_names,_xlfn.CONCAT("D_E_",C949))=1), "C", "")</f>
        <v>#VALUE!</v>
      </c>
      <c r="E949" t="e">
        <f t="shared" ca="1" si="36"/>
        <v>#VALUE!</v>
      </c>
      <c r="F949" t="e">
        <f t="shared" ca="1" si="37"/>
        <v>#VALUE!</v>
      </c>
      <c r="G949" t="e">
        <f t="shared" ca="1" si="38"/>
        <v>#VALUE!</v>
      </c>
    </row>
    <row r="950" spans="1:7" x14ac:dyDescent="0.25">
      <c r="A950" s="1"/>
      <c r="D950" t="e" cm="1">
        <f t="array" aca="1" ref="D950" ca="1">IF(OR(COUNTIF(damper_names,_xlfn.CONCAT("D_S_",C950))=1, COUNTIF(damper_names,_xlfn.CONCAT("D_E_",C950))=1), "C", "")</f>
        <v>#VALUE!</v>
      </c>
      <c r="E950" t="e">
        <f t="shared" ca="1" si="36"/>
        <v>#VALUE!</v>
      </c>
      <c r="F950" t="e">
        <f t="shared" ca="1" si="37"/>
        <v>#VALUE!</v>
      </c>
      <c r="G950" t="e">
        <f t="shared" ca="1" si="38"/>
        <v>#VALUE!</v>
      </c>
    </row>
    <row r="951" spans="1:7" x14ac:dyDescent="0.25">
      <c r="A951" s="1"/>
      <c r="D951" t="e" cm="1">
        <f t="array" aca="1" ref="D951" ca="1">IF(OR(COUNTIF(damper_names,_xlfn.CONCAT("D_S_",C951))=1, COUNTIF(damper_names,_xlfn.CONCAT("D_E_",C951))=1), "C", "")</f>
        <v>#VALUE!</v>
      </c>
      <c r="E951" t="e">
        <f t="shared" ca="1" si="36"/>
        <v>#VALUE!</v>
      </c>
      <c r="F951" t="e">
        <f t="shared" ca="1" si="37"/>
        <v>#VALUE!</v>
      </c>
      <c r="G951" t="e">
        <f t="shared" ca="1" si="38"/>
        <v>#VALUE!</v>
      </c>
    </row>
    <row r="952" spans="1:7" x14ac:dyDescent="0.25">
      <c r="A952" s="1"/>
      <c r="D952" t="e" cm="1">
        <f t="array" aca="1" ref="D952" ca="1">IF(OR(COUNTIF(damper_names,_xlfn.CONCAT("D_S_",C952))=1, COUNTIF(damper_names,_xlfn.CONCAT("D_E_",C952))=1), "C", "")</f>
        <v>#VALUE!</v>
      </c>
      <c r="E952" t="e">
        <f t="shared" ca="1" si="36"/>
        <v>#VALUE!</v>
      </c>
      <c r="F952" t="e">
        <f t="shared" ca="1" si="37"/>
        <v>#VALUE!</v>
      </c>
      <c r="G952" t="e">
        <f t="shared" ca="1" si="38"/>
        <v>#VALUE!</v>
      </c>
    </row>
    <row r="953" spans="1:7" x14ac:dyDescent="0.25">
      <c r="A953" s="1"/>
      <c r="D953" t="e" cm="1">
        <f t="array" aca="1" ref="D953" ca="1">IF(OR(COUNTIF(damper_names,_xlfn.CONCAT("D_S_",C953))=1, COUNTIF(damper_names,_xlfn.CONCAT("D_E_",C953))=1), "C", "")</f>
        <v>#VALUE!</v>
      </c>
      <c r="E953" t="e">
        <f t="shared" ca="1" si="36"/>
        <v>#VALUE!</v>
      </c>
      <c r="F953" t="e">
        <f t="shared" ca="1" si="37"/>
        <v>#VALUE!</v>
      </c>
      <c r="G953" t="e">
        <f t="shared" ca="1" si="38"/>
        <v>#VALUE!</v>
      </c>
    </row>
    <row r="954" spans="1:7" x14ac:dyDescent="0.25">
      <c r="A954" s="1"/>
      <c r="D954" t="e" cm="1">
        <f t="array" aca="1" ref="D954" ca="1">IF(OR(COUNTIF(damper_names,_xlfn.CONCAT("D_S_",C954))=1, COUNTIF(damper_names,_xlfn.CONCAT("D_E_",C954))=1), "C", "")</f>
        <v>#VALUE!</v>
      </c>
      <c r="E954" t="e">
        <f t="shared" ca="1" si="36"/>
        <v>#VALUE!</v>
      </c>
      <c r="F954" t="e">
        <f t="shared" ca="1" si="37"/>
        <v>#VALUE!</v>
      </c>
      <c r="G954" t="e">
        <f t="shared" ca="1" si="38"/>
        <v>#VALUE!</v>
      </c>
    </row>
    <row r="955" spans="1:7" x14ac:dyDescent="0.25">
      <c r="A955" s="1"/>
      <c r="D955" t="e" cm="1">
        <f t="array" aca="1" ref="D955" ca="1">IF(OR(COUNTIF(damper_names,_xlfn.CONCAT("D_S_",C955))=1, COUNTIF(damper_names,_xlfn.CONCAT("D_E_",C955))=1), "C", "")</f>
        <v>#VALUE!</v>
      </c>
      <c r="E955" t="e">
        <f t="shared" ca="1" si="36"/>
        <v>#VALUE!</v>
      </c>
      <c r="F955" t="e">
        <f t="shared" ca="1" si="37"/>
        <v>#VALUE!</v>
      </c>
      <c r="G955" t="e">
        <f t="shared" ca="1" si="38"/>
        <v>#VALUE!</v>
      </c>
    </row>
    <row r="956" spans="1:7" x14ac:dyDescent="0.25">
      <c r="A956" s="1"/>
      <c r="D956" t="e" cm="1">
        <f t="array" aca="1" ref="D956" ca="1">IF(OR(COUNTIF(damper_names,_xlfn.CONCAT("D_S_",C956))=1, COUNTIF(damper_names,_xlfn.CONCAT("D_E_",C956))=1), "C", "")</f>
        <v>#VALUE!</v>
      </c>
      <c r="E956" t="e">
        <f t="shared" ca="1" si="36"/>
        <v>#VALUE!</v>
      </c>
      <c r="F956" t="e">
        <f t="shared" ca="1" si="37"/>
        <v>#VALUE!</v>
      </c>
      <c r="G956" t="e">
        <f t="shared" ca="1" si="38"/>
        <v>#VALUE!</v>
      </c>
    </row>
    <row r="957" spans="1:7" x14ac:dyDescent="0.25">
      <c r="A957" s="1"/>
      <c r="D957" t="e" cm="1">
        <f t="array" aca="1" ref="D957" ca="1">IF(OR(COUNTIF(damper_names,_xlfn.CONCAT("D_S_",C957))=1, COUNTIF(damper_names,_xlfn.CONCAT("D_E_",C957))=1), "C", "")</f>
        <v>#VALUE!</v>
      </c>
      <c r="E957" t="e">
        <f t="shared" ca="1" si="36"/>
        <v>#VALUE!</v>
      </c>
      <c r="F957" t="e">
        <f t="shared" ca="1" si="37"/>
        <v>#VALUE!</v>
      </c>
      <c r="G957" t="e">
        <f t="shared" ca="1" si="38"/>
        <v>#VALUE!</v>
      </c>
    </row>
    <row r="958" spans="1:7" x14ac:dyDescent="0.25">
      <c r="A958" s="1"/>
      <c r="D958" t="e" cm="1">
        <f t="array" aca="1" ref="D958" ca="1">IF(OR(COUNTIF(damper_names,_xlfn.CONCAT("D_S_",C958))=1, COUNTIF(damper_names,_xlfn.CONCAT("D_E_",C958))=1), "C", "")</f>
        <v>#VALUE!</v>
      </c>
      <c r="E958" t="e">
        <f t="shared" ca="1" si="36"/>
        <v>#VALUE!</v>
      </c>
      <c r="F958" t="e">
        <f t="shared" ca="1" si="37"/>
        <v>#VALUE!</v>
      </c>
      <c r="G958" t="e">
        <f t="shared" ca="1" si="38"/>
        <v>#VALUE!</v>
      </c>
    </row>
    <row r="959" spans="1:7" x14ac:dyDescent="0.25">
      <c r="A959" s="1"/>
      <c r="D959" t="e" cm="1">
        <f t="array" aca="1" ref="D959" ca="1">IF(OR(COUNTIF(damper_names,_xlfn.CONCAT("D_S_",C959))=1, COUNTIF(damper_names,_xlfn.CONCAT("D_E_",C959))=1), "C", "")</f>
        <v>#VALUE!</v>
      </c>
      <c r="E959" t="e">
        <f t="shared" ca="1" si="36"/>
        <v>#VALUE!</v>
      </c>
      <c r="F959" t="e">
        <f t="shared" ca="1" si="37"/>
        <v>#VALUE!</v>
      </c>
      <c r="G959" t="e">
        <f t="shared" ca="1" si="38"/>
        <v>#VALUE!</v>
      </c>
    </row>
    <row r="960" spans="1:7" x14ac:dyDescent="0.25">
      <c r="A960" s="1"/>
      <c r="D960" t="e" cm="1">
        <f t="array" aca="1" ref="D960" ca="1">IF(OR(COUNTIF(damper_names,_xlfn.CONCAT("D_S_",C960))=1, COUNTIF(damper_names,_xlfn.CONCAT("D_E_",C960))=1), "C", "")</f>
        <v>#VALUE!</v>
      </c>
      <c r="E960" t="e">
        <f t="shared" ca="1" si="36"/>
        <v>#VALUE!</v>
      </c>
      <c r="F960" t="e">
        <f t="shared" ca="1" si="37"/>
        <v>#VALUE!</v>
      </c>
      <c r="G960" t="e">
        <f t="shared" ca="1" si="38"/>
        <v>#VALUE!</v>
      </c>
    </row>
    <row r="961" spans="1:7" x14ac:dyDescent="0.25">
      <c r="A961" s="1"/>
      <c r="D961" t="e" cm="1">
        <f t="array" aca="1" ref="D961" ca="1">IF(OR(COUNTIF(damper_names,_xlfn.CONCAT("D_S_",C961))=1, COUNTIF(damper_names,_xlfn.CONCAT("D_E_",C961))=1), "C", "")</f>
        <v>#VALUE!</v>
      </c>
      <c r="E961" t="e">
        <f t="shared" ca="1" si="36"/>
        <v>#VALUE!</v>
      </c>
      <c r="F961" t="e">
        <f t="shared" ca="1" si="37"/>
        <v>#VALUE!</v>
      </c>
      <c r="G961" t="e">
        <f t="shared" ca="1" si="38"/>
        <v>#VALUE!</v>
      </c>
    </row>
    <row r="962" spans="1:7" x14ac:dyDescent="0.25">
      <c r="A962" s="1"/>
      <c r="D962" t="e" cm="1">
        <f t="array" aca="1" ref="D962" ca="1">IF(OR(COUNTIF(damper_names,_xlfn.CONCAT("D_S_",C962))=1, COUNTIF(damper_names,_xlfn.CONCAT("D_E_",C962))=1), "C", "")</f>
        <v>#VALUE!</v>
      </c>
      <c r="E962" t="e">
        <f t="shared" ca="1" si="36"/>
        <v>#VALUE!</v>
      </c>
      <c r="F962" t="e">
        <f t="shared" ca="1" si="37"/>
        <v>#VALUE!</v>
      </c>
      <c r="G962" t="e">
        <f t="shared" ca="1" si="38"/>
        <v>#VALUE!</v>
      </c>
    </row>
    <row r="963" spans="1:7" x14ac:dyDescent="0.25">
      <c r="A963" s="1"/>
      <c r="D963" t="e" cm="1">
        <f t="array" aca="1" ref="D963" ca="1">IF(OR(COUNTIF(damper_names,_xlfn.CONCAT("D_S_",C963))=1, COUNTIF(damper_names,_xlfn.CONCAT("D_E_",C963))=1), "C", "")</f>
        <v>#VALUE!</v>
      </c>
      <c r="E963" t="e">
        <f t="shared" ca="1" si="36"/>
        <v>#VALUE!</v>
      </c>
      <c r="F963" t="e">
        <f t="shared" ca="1" si="37"/>
        <v>#VALUE!</v>
      </c>
      <c r="G963" t="e">
        <f t="shared" ca="1" si="38"/>
        <v>#VALUE!</v>
      </c>
    </row>
    <row r="964" spans="1:7" x14ac:dyDescent="0.25">
      <c r="A964" s="1"/>
      <c r="D964" t="e" cm="1">
        <f t="array" aca="1" ref="D964" ca="1">IF(OR(COUNTIF(damper_names,_xlfn.CONCAT("D_S_",C964))=1, COUNTIF(damper_names,_xlfn.CONCAT("D_E_",C964))=1), "C", "")</f>
        <v>#VALUE!</v>
      </c>
      <c r="E964" t="e">
        <f t="shared" ca="1" si="36"/>
        <v>#VALUE!</v>
      </c>
      <c r="F964" t="e">
        <f t="shared" ca="1" si="37"/>
        <v>#VALUE!</v>
      </c>
      <c r="G964" t="e">
        <f t="shared" ca="1" si="38"/>
        <v>#VALUE!</v>
      </c>
    </row>
    <row r="965" spans="1:7" x14ac:dyDescent="0.25">
      <c r="A965" s="1"/>
      <c r="D965" t="e" cm="1">
        <f t="array" aca="1" ref="D965" ca="1">IF(OR(COUNTIF(damper_names,_xlfn.CONCAT("D_S_",C965))=1, COUNTIF(damper_names,_xlfn.CONCAT("D_E_",C965))=1), "C", "")</f>
        <v>#VALUE!</v>
      </c>
      <c r="E965" t="e">
        <f t="shared" ca="1" si="36"/>
        <v>#VALUE!</v>
      </c>
      <c r="F965" t="e">
        <f t="shared" ca="1" si="37"/>
        <v>#VALUE!</v>
      </c>
      <c r="G965" t="e">
        <f t="shared" ca="1" si="38"/>
        <v>#VALUE!</v>
      </c>
    </row>
    <row r="966" spans="1:7" x14ac:dyDescent="0.25">
      <c r="A966" s="1"/>
      <c r="D966" t="e" cm="1">
        <f t="array" aca="1" ref="D966" ca="1">IF(OR(COUNTIF(damper_names,_xlfn.CONCAT("D_S_",C966))=1, COUNTIF(damper_names,_xlfn.CONCAT("D_E_",C966))=1), "C", "")</f>
        <v>#VALUE!</v>
      </c>
      <c r="E966" t="e">
        <f t="shared" ca="1" si="36"/>
        <v>#VALUE!</v>
      </c>
      <c r="F966" t="e">
        <f t="shared" ca="1" si="37"/>
        <v>#VALUE!</v>
      </c>
      <c r="G966" t="e">
        <f t="shared" ca="1" si="38"/>
        <v>#VALUE!</v>
      </c>
    </row>
    <row r="967" spans="1:7" x14ac:dyDescent="0.25">
      <c r="A967" s="1"/>
      <c r="D967" t="e" cm="1">
        <f t="array" aca="1" ref="D967" ca="1">IF(OR(COUNTIF(damper_names,_xlfn.CONCAT("D_S_",C967))=1, COUNTIF(damper_names,_xlfn.CONCAT("D_E_",C967))=1), "C", "")</f>
        <v>#VALUE!</v>
      </c>
      <c r="E967" t="e">
        <f t="shared" ca="1" si="36"/>
        <v>#VALUE!</v>
      </c>
      <c r="F967" t="e">
        <f t="shared" ca="1" si="37"/>
        <v>#VALUE!</v>
      </c>
      <c r="G967" t="e">
        <f t="shared" ca="1" si="38"/>
        <v>#VALUE!</v>
      </c>
    </row>
    <row r="968" spans="1:7" x14ac:dyDescent="0.25">
      <c r="A968" s="1"/>
      <c r="D968" t="e" cm="1">
        <f t="array" aca="1" ref="D968" ca="1">IF(OR(COUNTIF(damper_names,_xlfn.CONCAT("D_S_",C968))=1, COUNTIF(damper_names,_xlfn.CONCAT("D_E_",C968))=1), "C", "")</f>
        <v>#VALUE!</v>
      </c>
      <c r="E968" t="e">
        <f t="shared" ca="1" si="36"/>
        <v>#VALUE!</v>
      </c>
      <c r="F968" t="e">
        <f t="shared" ca="1" si="37"/>
        <v>#VALUE!</v>
      </c>
      <c r="G968" t="e">
        <f t="shared" ca="1" si="38"/>
        <v>#VALUE!</v>
      </c>
    </row>
    <row r="969" spans="1:7" x14ac:dyDescent="0.25">
      <c r="A969" s="1"/>
      <c r="D969" t="e" cm="1">
        <f t="array" aca="1" ref="D969" ca="1">IF(OR(COUNTIF(damper_names,_xlfn.CONCAT("D_S_",C969))=1, COUNTIF(damper_names,_xlfn.CONCAT("D_E_",C969))=1), "C", "")</f>
        <v>#VALUE!</v>
      </c>
      <c r="E969" t="e">
        <f t="shared" ca="1" si="36"/>
        <v>#VALUE!</v>
      </c>
      <c r="F969" t="e">
        <f t="shared" ca="1" si="37"/>
        <v>#VALUE!</v>
      </c>
      <c r="G969" t="e">
        <f t="shared" ca="1" si="38"/>
        <v>#VALUE!</v>
      </c>
    </row>
    <row r="970" spans="1:7" x14ac:dyDescent="0.25">
      <c r="A970" s="1"/>
      <c r="D970" t="e" cm="1">
        <f t="array" aca="1" ref="D970" ca="1">IF(OR(COUNTIF(damper_names,_xlfn.CONCAT("D_S_",C970))=1, COUNTIF(damper_names,_xlfn.CONCAT("D_E_",C970))=1), "C", "")</f>
        <v>#VALUE!</v>
      </c>
      <c r="E970" t="e">
        <f t="shared" ca="1" si="36"/>
        <v>#VALUE!</v>
      </c>
      <c r="F970" t="e">
        <f t="shared" ca="1" si="37"/>
        <v>#VALUE!</v>
      </c>
      <c r="G970" t="e">
        <f t="shared" ca="1" si="38"/>
        <v>#VALUE!</v>
      </c>
    </row>
    <row r="971" spans="1:7" x14ac:dyDescent="0.25">
      <c r="A971" s="1"/>
      <c r="D971" t="e" cm="1">
        <f t="array" aca="1" ref="D971" ca="1">IF(OR(COUNTIF(damper_names,_xlfn.CONCAT("D_S_",C971))=1, COUNTIF(damper_names,_xlfn.CONCAT("D_E_",C971))=1), "C", "")</f>
        <v>#VALUE!</v>
      </c>
      <c r="E971" t="e">
        <f t="shared" ca="1" si="36"/>
        <v>#VALUE!</v>
      </c>
      <c r="F971" t="e">
        <f t="shared" ca="1" si="37"/>
        <v>#VALUE!</v>
      </c>
      <c r="G971" t="e">
        <f t="shared" ca="1" si="38"/>
        <v>#VALUE!</v>
      </c>
    </row>
    <row r="972" spans="1:7" x14ac:dyDescent="0.25">
      <c r="A972" s="1"/>
      <c r="D972" t="e" cm="1">
        <f t="array" aca="1" ref="D972" ca="1">IF(OR(COUNTIF(damper_names,_xlfn.CONCAT("D_S_",C972))=1, COUNTIF(damper_names,_xlfn.CONCAT("D_E_",C972))=1), "C", "")</f>
        <v>#VALUE!</v>
      </c>
      <c r="E972" t="e">
        <f t="shared" ca="1" si="36"/>
        <v>#VALUE!</v>
      </c>
      <c r="F972" t="e">
        <f t="shared" ca="1" si="37"/>
        <v>#VALUE!</v>
      </c>
      <c r="G972" t="e">
        <f t="shared" ca="1" si="38"/>
        <v>#VALUE!</v>
      </c>
    </row>
    <row r="973" spans="1:7" x14ac:dyDescent="0.25">
      <c r="A973" s="1"/>
      <c r="D973" t="e" cm="1">
        <f t="array" aca="1" ref="D973" ca="1">IF(OR(COUNTIF(damper_names,_xlfn.CONCAT("D_S_",C973))=1, COUNTIF(damper_names,_xlfn.CONCAT("D_E_",C973))=1), "C", "")</f>
        <v>#VALUE!</v>
      </c>
      <c r="E973" t="e">
        <f t="shared" ca="1" si="36"/>
        <v>#VALUE!</v>
      </c>
      <c r="F973" t="e">
        <f t="shared" ca="1" si="37"/>
        <v>#VALUE!</v>
      </c>
      <c r="G973" t="e">
        <f t="shared" ca="1" si="38"/>
        <v>#VALUE!</v>
      </c>
    </row>
    <row r="974" spans="1:7" x14ac:dyDescent="0.25">
      <c r="A974" s="1"/>
      <c r="D974" t="e" cm="1">
        <f t="array" aca="1" ref="D974" ca="1">IF(OR(COUNTIF(damper_names,_xlfn.CONCAT("D_S_",C974))=1, COUNTIF(damper_names,_xlfn.CONCAT("D_E_",C974))=1), "C", "")</f>
        <v>#VALUE!</v>
      </c>
      <c r="E974" t="e">
        <f t="shared" ca="1" si="36"/>
        <v>#VALUE!</v>
      </c>
      <c r="F974" t="e">
        <f t="shared" ca="1" si="37"/>
        <v>#VALUE!</v>
      </c>
      <c r="G974" t="e">
        <f t="shared" ca="1" si="38"/>
        <v>#VALUE!</v>
      </c>
    </row>
    <row r="975" spans="1:7" x14ac:dyDescent="0.25">
      <c r="A975" s="1"/>
      <c r="D975" t="e" cm="1">
        <f t="array" aca="1" ref="D975" ca="1">IF(OR(COUNTIF(damper_names,_xlfn.CONCAT("D_S_",C975))=1, COUNTIF(damper_names,_xlfn.CONCAT("D_E_",C975))=1), "C", "")</f>
        <v>#VALUE!</v>
      </c>
      <c r="E975" t="e">
        <f t="shared" ca="1" si="36"/>
        <v>#VALUE!</v>
      </c>
      <c r="F975" t="e">
        <f t="shared" ca="1" si="37"/>
        <v>#VALUE!</v>
      </c>
      <c r="G975" t="e">
        <f t="shared" ca="1" si="38"/>
        <v>#VALUE!</v>
      </c>
    </row>
    <row r="976" spans="1:7" x14ac:dyDescent="0.25">
      <c r="A976" s="1"/>
      <c r="D976" t="e" cm="1">
        <f t="array" aca="1" ref="D976" ca="1">IF(OR(COUNTIF(damper_names,_xlfn.CONCAT("D_S_",C976))=1, COUNTIF(damper_names,_xlfn.CONCAT("D_E_",C976))=1), "C", "")</f>
        <v>#VALUE!</v>
      </c>
      <c r="E976" t="e">
        <f t="shared" ca="1" si="36"/>
        <v>#VALUE!</v>
      </c>
      <c r="F976" t="e">
        <f t="shared" ca="1" si="37"/>
        <v>#VALUE!</v>
      </c>
      <c r="G976" t="e">
        <f t="shared" ca="1" si="38"/>
        <v>#VALUE!</v>
      </c>
    </row>
    <row r="977" spans="1:7" x14ac:dyDescent="0.25">
      <c r="A977" s="1"/>
      <c r="D977" t="e" cm="1">
        <f t="array" aca="1" ref="D977" ca="1">IF(OR(COUNTIF(damper_names,_xlfn.CONCAT("D_S_",C977))=1, COUNTIF(damper_names,_xlfn.CONCAT("D_E_",C977))=1), "C", "")</f>
        <v>#VALUE!</v>
      </c>
      <c r="E977" t="e">
        <f t="shared" ca="1" si="36"/>
        <v>#VALUE!</v>
      </c>
      <c r="F977" t="e">
        <f t="shared" ca="1" si="37"/>
        <v>#VALUE!</v>
      </c>
      <c r="G977" t="e">
        <f t="shared" ca="1" si="38"/>
        <v>#VALUE!</v>
      </c>
    </row>
    <row r="978" spans="1:7" x14ac:dyDescent="0.25">
      <c r="A978" s="1"/>
      <c r="D978" t="e" cm="1">
        <f t="array" aca="1" ref="D978" ca="1">IF(OR(COUNTIF(damper_names,_xlfn.CONCAT("D_S_",C978))=1, COUNTIF(damper_names,_xlfn.CONCAT("D_E_",C978))=1), "C", "")</f>
        <v>#VALUE!</v>
      </c>
      <c r="E978" t="e">
        <f t="shared" ca="1" si="36"/>
        <v>#VALUE!</v>
      </c>
      <c r="F978" t="e">
        <f t="shared" ca="1" si="37"/>
        <v>#VALUE!</v>
      </c>
      <c r="G978" t="e">
        <f t="shared" ca="1" si="38"/>
        <v>#VALUE!</v>
      </c>
    </row>
    <row r="979" spans="1:7" x14ac:dyDescent="0.25">
      <c r="A979" s="1"/>
      <c r="D979" t="e" cm="1">
        <f t="array" aca="1" ref="D979" ca="1">IF(OR(COUNTIF(damper_names,_xlfn.CONCAT("D_S_",C979))=1, COUNTIF(damper_names,_xlfn.CONCAT("D_E_",C979))=1), "C", "")</f>
        <v>#VALUE!</v>
      </c>
      <c r="E979" t="e">
        <f t="shared" ca="1" si="36"/>
        <v>#VALUE!</v>
      </c>
      <c r="F979" t="e">
        <f t="shared" ca="1" si="37"/>
        <v>#VALUE!</v>
      </c>
      <c r="G979" t="e">
        <f t="shared" ca="1" si="38"/>
        <v>#VALUE!</v>
      </c>
    </row>
    <row r="980" spans="1:7" x14ac:dyDescent="0.25">
      <c r="A980" s="1"/>
      <c r="D980" t="e" cm="1">
        <f t="array" aca="1" ref="D980" ca="1">IF(OR(COUNTIF(damper_names,_xlfn.CONCAT("D_S_",C980))=1, COUNTIF(damper_names,_xlfn.CONCAT("D_E_",C980))=1), "C", "")</f>
        <v>#VALUE!</v>
      </c>
      <c r="E980" t="e">
        <f t="shared" ca="1" si="36"/>
        <v>#VALUE!</v>
      </c>
      <c r="F980" t="e">
        <f t="shared" ca="1" si="37"/>
        <v>#VALUE!</v>
      </c>
      <c r="G980" t="e">
        <f t="shared" ca="1" si="38"/>
        <v>#VALUE!</v>
      </c>
    </row>
    <row r="981" spans="1:7" x14ac:dyDescent="0.25">
      <c r="A981" s="1"/>
      <c r="D981" t="e" cm="1">
        <f t="array" aca="1" ref="D981" ca="1">IF(OR(COUNTIF(damper_names,_xlfn.CONCAT("D_S_",C981))=1, COUNTIF(damper_names,_xlfn.CONCAT("D_E_",C981))=1), "C", "")</f>
        <v>#VALUE!</v>
      </c>
      <c r="E981" t="e">
        <f t="shared" ca="1" si="36"/>
        <v>#VALUE!</v>
      </c>
      <c r="F981" t="e">
        <f t="shared" ca="1" si="37"/>
        <v>#VALUE!</v>
      </c>
      <c r="G981" t="e">
        <f t="shared" ca="1" si="38"/>
        <v>#VALUE!</v>
      </c>
    </row>
    <row r="982" spans="1:7" x14ac:dyDescent="0.25">
      <c r="A982" s="1"/>
      <c r="D982" t="e" cm="1">
        <f t="array" aca="1" ref="D982" ca="1">IF(OR(COUNTIF(damper_names,_xlfn.CONCAT("D_S_",C982))=1, COUNTIF(damper_names,_xlfn.CONCAT("D_E_",C982))=1), "C", "")</f>
        <v>#VALUE!</v>
      </c>
      <c r="E982" t="e">
        <f t="shared" ca="1" si="36"/>
        <v>#VALUE!</v>
      </c>
      <c r="F982" t="e">
        <f t="shared" ca="1" si="37"/>
        <v>#VALUE!</v>
      </c>
      <c r="G982" t="e">
        <f t="shared" ca="1" si="38"/>
        <v>#VALUE!</v>
      </c>
    </row>
    <row r="983" spans="1:7" x14ac:dyDescent="0.25">
      <c r="A983" s="1"/>
      <c r="D983" t="e" cm="1">
        <f t="array" aca="1" ref="D983" ca="1">IF(OR(COUNTIF(damper_names,_xlfn.CONCAT("D_S_",C983))=1, COUNTIF(damper_names,_xlfn.CONCAT("D_E_",C983))=1), "C", "")</f>
        <v>#VALUE!</v>
      </c>
      <c r="E983" t="e">
        <f t="shared" ca="1" si="36"/>
        <v>#VALUE!</v>
      </c>
      <c r="F983" t="e">
        <f t="shared" ca="1" si="37"/>
        <v>#VALUE!</v>
      </c>
      <c r="G983" t="e">
        <f t="shared" ca="1" si="38"/>
        <v>#VALUE!</v>
      </c>
    </row>
    <row r="984" spans="1:7" x14ac:dyDescent="0.25">
      <c r="A984" s="1"/>
      <c r="D984" t="e" cm="1">
        <f t="array" aca="1" ref="D984" ca="1">IF(OR(COUNTIF(damper_names,_xlfn.CONCAT("D_S_",C984))=1, COUNTIF(damper_names,_xlfn.CONCAT("D_E_",C984))=1), "C", "")</f>
        <v>#VALUE!</v>
      </c>
      <c r="E984" t="e">
        <f t="shared" ca="1" si="36"/>
        <v>#VALUE!</v>
      </c>
      <c r="F984" t="e">
        <f t="shared" ca="1" si="37"/>
        <v>#VALUE!</v>
      </c>
      <c r="G984" t="e">
        <f t="shared" ca="1" si="38"/>
        <v>#VALUE!</v>
      </c>
    </row>
    <row r="985" spans="1:7" x14ac:dyDescent="0.25">
      <c r="A985" s="1"/>
      <c r="D985" t="e" cm="1">
        <f t="array" aca="1" ref="D985" ca="1">IF(OR(COUNTIF(damper_names,_xlfn.CONCAT("D_S_",C985))=1, COUNTIF(damper_names,_xlfn.CONCAT("D_E_",C985))=1), "C", "")</f>
        <v>#VALUE!</v>
      </c>
      <c r="E985" t="e">
        <f t="shared" ca="1" si="36"/>
        <v>#VALUE!</v>
      </c>
      <c r="F985" t="e">
        <f t="shared" ca="1" si="37"/>
        <v>#VALUE!</v>
      </c>
      <c r="G985" t="e">
        <f t="shared" ca="1" si="38"/>
        <v>#VALUE!</v>
      </c>
    </row>
    <row r="986" spans="1:7" x14ac:dyDescent="0.25">
      <c r="A986" s="1"/>
      <c r="D986" t="e" cm="1">
        <f t="array" aca="1" ref="D986" ca="1">IF(OR(COUNTIF(damper_names,_xlfn.CONCAT("D_S_",C986))=1, COUNTIF(damper_names,_xlfn.CONCAT("D_E_",C986))=1), "C", "")</f>
        <v>#VALUE!</v>
      </c>
      <c r="E986" t="e">
        <f t="shared" ca="1" si="36"/>
        <v>#VALUE!</v>
      </c>
      <c r="F986" t="e">
        <f t="shared" ca="1" si="37"/>
        <v>#VALUE!</v>
      </c>
      <c r="G986" t="e">
        <f t="shared" ca="1" si="38"/>
        <v>#VALUE!</v>
      </c>
    </row>
    <row r="987" spans="1:7" x14ac:dyDescent="0.25">
      <c r="A987" s="1"/>
      <c r="D987" t="e" cm="1">
        <f t="array" aca="1" ref="D987" ca="1">IF(OR(COUNTIF(damper_names,_xlfn.CONCAT("D_S_",C987))=1, COUNTIF(damper_names,_xlfn.CONCAT("D_E_",C987))=1), "C", "")</f>
        <v>#VALUE!</v>
      </c>
      <c r="E987" t="e">
        <f t="shared" ca="1" si="36"/>
        <v>#VALUE!</v>
      </c>
      <c r="F987" t="e">
        <f t="shared" ca="1" si="37"/>
        <v>#VALUE!</v>
      </c>
      <c r="G987" t="e">
        <f t="shared" ca="1" si="38"/>
        <v>#VALUE!</v>
      </c>
    </row>
    <row r="988" spans="1:7" x14ac:dyDescent="0.25">
      <c r="A988" s="1"/>
      <c r="D988" t="e" cm="1">
        <f t="array" aca="1" ref="D988" ca="1">IF(OR(COUNTIF(damper_names,_xlfn.CONCAT("D_S_",C988))=1, COUNTIF(damper_names,_xlfn.CONCAT("D_E_",C988))=1), "C", "")</f>
        <v>#VALUE!</v>
      </c>
      <c r="E988" t="e">
        <f t="shared" ca="1" si="36"/>
        <v>#VALUE!</v>
      </c>
      <c r="F988" t="e">
        <f t="shared" ca="1" si="37"/>
        <v>#VALUE!</v>
      </c>
      <c r="G988" t="e">
        <f t="shared" ca="1" si="38"/>
        <v>#VALUE!</v>
      </c>
    </row>
    <row r="989" spans="1:7" x14ac:dyDescent="0.25">
      <c r="A989" s="1"/>
      <c r="D989" t="e" cm="1">
        <f t="array" aca="1" ref="D989" ca="1">IF(OR(COUNTIF(damper_names,_xlfn.CONCAT("D_S_",C989))=1, COUNTIF(damper_names,_xlfn.CONCAT("D_E_",C989))=1), "C", "")</f>
        <v>#VALUE!</v>
      </c>
      <c r="E989" t="e">
        <f t="shared" ca="1" si="36"/>
        <v>#VALUE!</v>
      </c>
      <c r="F989" t="e">
        <f t="shared" ca="1" si="37"/>
        <v>#VALUE!</v>
      </c>
      <c r="G989" t="e">
        <f t="shared" ca="1" si="38"/>
        <v>#VALUE!</v>
      </c>
    </row>
    <row r="990" spans="1:7" x14ac:dyDescent="0.25">
      <c r="A990" s="1"/>
      <c r="D990" t="e" cm="1">
        <f t="array" aca="1" ref="D990" ca="1">IF(OR(COUNTIF(damper_names,_xlfn.CONCAT("D_S_",C990))=1, COUNTIF(damper_names,_xlfn.CONCAT("D_E_",C990))=1), "C", "")</f>
        <v>#VALUE!</v>
      </c>
      <c r="E990" t="e">
        <f t="shared" ca="1" si="36"/>
        <v>#VALUE!</v>
      </c>
      <c r="F990" t="e">
        <f t="shared" ca="1" si="37"/>
        <v>#VALUE!</v>
      </c>
      <c r="G990" t="e">
        <f t="shared" ca="1" si="38"/>
        <v>#VALUE!</v>
      </c>
    </row>
    <row r="991" spans="1:7" x14ac:dyDescent="0.25">
      <c r="A991" s="1"/>
      <c r="D991" t="e" cm="1">
        <f t="array" aca="1" ref="D991" ca="1">IF(OR(COUNTIF(damper_names,_xlfn.CONCAT("D_S_",C991))=1, COUNTIF(damper_names,_xlfn.CONCAT("D_E_",C991))=1), "C", "")</f>
        <v>#VALUE!</v>
      </c>
      <c r="E991" t="e">
        <f t="shared" ca="1" si="36"/>
        <v>#VALUE!</v>
      </c>
      <c r="F991" t="e">
        <f t="shared" ca="1" si="37"/>
        <v>#VALUE!</v>
      </c>
      <c r="G991" t="e">
        <f t="shared" ca="1" si="38"/>
        <v>#VALUE!</v>
      </c>
    </row>
    <row r="992" spans="1:7" x14ac:dyDescent="0.25">
      <c r="A992" s="1"/>
      <c r="D992" t="e" cm="1">
        <f t="array" aca="1" ref="D992" ca="1">IF(OR(COUNTIF(damper_names,_xlfn.CONCAT("D_S_",C992))=1, COUNTIF(damper_names,_xlfn.CONCAT("D_E_",C992))=1), "C", "")</f>
        <v>#VALUE!</v>
      </c>
      <c r="E992" t="e">
        <f t="shared" ca="1" si="36"/>
        <v>#VALUE!</v>
      </c>
      <c r="F992" t="e">
        <f t="shared" ca="1" si="37"/>
        <v>#VALUE!</v>
      </c>
      <c r="G992" t="e">
        <f t="shared" ca="1" si="38"/>
        <v>#VALUE!</v>
      </c>
    </row>
    <row r="993" spans="1:7" x14ac:dyDescent="0.25">
      <c r="A993" s="1"/>
      <c r="D993" t="e" cm="1">
        <f t="array" aca="1" ref="D993" ca="1">IF(OR(COUNTIF(damper_names,_xlfn.CONCAT("D_S_",C993))=1, COUNTIF(damper_names,_xlfn.CONCAT("D_E_",C993))=1), "C", "")</f>
        <v>#VALUE!</v>
      </c>
      <c r="E993" t="e">
        <f t="shared" ca="1" si="36"/>
        <v>#VALUE!</v>
      </c>
      <c r="F993" t="e">
        <f t="shared" ca="1" si="37"/>
        <v>#VALUE!</v>
      </c>
      <c r="G993" t="e">
        <f t="shared" ca="1" si="38"/>
        <v>#VALUE!</v>
      </c>
    </row>
    <row r="994" spans="1:7" x14ac:dyDescent="0.25">
      <c r="A994" s="1"/>
      <c r="D994" t="e" cm="1">
        <f t="array" aca="1" ref="D994" ca="1">IF(OR(COUNTIF(damper_names,_xlfn.CONCAT("D_S_",C994))=1, COUNTIF(damper_names,_xlfn.CONCAT("D_E_",C994))=1), "C", "")</f>
        <v>#VALUE!</v>
      </c>
      <c r="E994" t="e">
        <f t="shared" ca="1" si="36"/>
        <v>#VALUE!</v>
      </c>
      <c r="F994" t="e">
        <f t="shared" ca="1" si="37"/>
        <v>#VALUE!</v>
      </c>
      <c r="G994" t="e">
        <f t="shared" ca="1" si="38"/>
        <v>#VALUE!</v>
      </c>
    </row>
    <row r="995" spans="1:7" x14ac:dyDescent="0.25">
      <c r="A995" s="1"/>
      <c r="D995" t="e" cm="1">
        <f t="array" aca="1" ref="D995" ca="1">IF(OR(COUNTIF(damper_names,_xlfn.CONCAT("D_S_",C995))=1, COUNTIF(damper_names,_xlfn.CONCAT("D_E_",C995))=1), "C", "")</f>
        <v>#VALUE!</v>
      </c>
      <c r="E995" t="e">
        <f t="shared" ca="1" si="36"/>
        <v>#VALUE!</v>
      </c>
      <c r="F995" t="e">
        <f t="shared" ca="1" si="37"/>
        <v>#VALUE!</v>
      </c>
      <c r="G995" t="e">
        <f t="shared" ca="1" si="38"/>
        <v>#VALUE!</v>
      </c>
    </row>
    <row r="996" spans="1:7" x14ac:dyDescent="0.25">
      <c r="A996" s="1"/>
      <c r="D996" t="e" cm="1">
        <f t="array" aca="1" ref="D996" ca="1">IF(OR(COUNTIF(damper_names,_xlfn.CONCAT("D_S_",C996))=1, COUNTIF(damper_names,_xlfn.CONCAT("D_E_",C996))=1), "C", "")</f>
        <v>#VALUE!</v>
      </c>
      <c r="E996" t="e">
        <f t="shared" ca="1" si="36"/>
        <v>#VALUE!</v>
      </c>
      <c r="F996" t="e">
        <f t="shared" ca="1" si="37"/>
        <v>#VALUE!</v>
      </c>
      <c r="G996" t="e">
        <f t="shared" ca="1" si="38"/>
        <v>#VALUE!</v>
      </c>
    </row>
    <row r="997" spans="1:7" x14ac:dyDescent="0.25">
      <c r="A997" s="1"/>
      <c r="D997" t="e" cm="1">
        <f t="array" aca="1" ref="D997" ca="1">IF(OR(COUNTIF(damper_names,_xlfn.CONCAT("D_S_",C997))=1, COUNTIF(damper_names,_xlfn.CONCAT("D_E_",C997))=1), "C", "")</f>
        <v>#VALUE!</v>
      </c>
      <c r="E997" t="e">
        <f t="shared" ca="1" si="36"/>
        <v>#VALUE!</v>
      </c>
      <c r="F997" t="e">
        <f t="shared" ca="1" si="37"/>
        <v>#VALUE!</v>
      </c>
      <c r="G997" t="e">
        <f t="shared" ca="1" si="38"/>
        <v>#VALUE!</v>
      </c>
    </row>
    <row r="998" spans="1:7" x14ac:dyDescent="0.25">
      <c r="A998" s="1"/>
      <c r="D998" t="e" cm="1">
        <f t="array" aca="1" ref="D998" ca="1">IF(OR(COUNTIF(damper_names,_xlfn.CONCAT("D_S_",C998))=1, COUNTIF(damper_names,_xlfn.CONCAT("D_E_",C998))=1), "C", "")</f>
        <v>#VALUE!</v>
      </c>
      <c r="E998" t="e">
        <f t="shared" ca="1" si="36"/>
        <v>#VALUE!</v>
      </c>
      <c r="F998" t="e">
        <f t="shared" ca="1" si="37"/>
        <v>#VALUE!</v>
      </c>
      <c r="G998" t="e">
        <f t="shared" ca="1" si="38"/>
        <v>#VALUE!</v>
      </c>
    </row>
    <row r="999" spans="1:7" x14ac:dyDescent="0.25">
      <c r="A999" s="1"/>
      <c r="D999" t="e" cm="1">
        <f t="array" aca="1" ref="D999" ca="1">IF(OR(COUNTIF(damper_names,_xlfn.CONCAT("D_S_",C999))=1, COUNTIF(damper_names,_xlfn.CONCAT("D_E_",C999))=1), "C", "")</f>
        <v>#VALUE!</v>
      </c>
      <c r="E999" t="e">
        <f t="shared" ca="1" si="36"/>
        <v>#VALUE!</v>
      </c>
      <c r="F999" t="e">
        <f t="shared" ca="1" si="37"/>
        <v>#VALUE!</v>
      </c>
      <c r="G999" t="e">
        <f t="shared" ca="1" si="38"/>
        <v>#VALUE!</v>
      </c>
    </row>
    <row r="1000" spans="1:7" x14ac:dyDescent="0.25">
      <c r="A1000" s="1"/>
      <c r="D1000" t="e" cm="1">
        <f t="array" aca="1" ref="D1000" ca="1">IF(OR(COUNTIF(damper_names,_xlfn.CONCAT("D_S_",C1000))=1, COUNTIF(damper_names,_xlfn.CONCAT("D_E_",C1000))=1), "C", "")</f>
        <v>#VALUE!</v>
      </c>
      <c r="E1000" t="e">
        <f t="shared" ca="1" si="36"/>
        <v>#VALUE!</v>
      </c>
      <c r="F1000" t="e">
        <f t="shared" ca="1" si="37"/>
        <v>#VALUE!</v>
      </c>
      <c r="G1000" t="e">
        <f t="shared" ca="1" si="38"/>
        <v>#VALUE!</v>
      </c>
    </row>
  </sheetData>
  <dataValidations count="5">
    <dataValidation type="list" allowBlank="1" showInputMessage="1" showErrorMessage="1" sqref="D2:D1000" xr:uid="{312A2FD7-92F3-43FC-9CE0-7D0D68627998}">
      <formula1>property_instance</formula1>
    </dataValidation>
    <dataValidation type="list" showInputMessage="1" showErrorMessage="1" sqref="E2:E1048576" xr:uid="{D339FD08-17E4-4065-B2CF-2E1C6349E696}">
      <formula1>property_instance</formula1>
    </dataValidation>
    <dataValidation type="list" showInputMessage="1" showErrorMessage="1" sqref="B2:B1048576" xr:uid="{A5DA087D-F1BA-41EE-8484-0388268363EC}">
      <formula1>system_names</formula1>
    </dataValidation>
    <dataValidation type="list" allowBlank="1" showInputMessage="1" showErrorMessage="1" sqref="C2:C1048576" xr:uid="{06A8181F-F76F-4A45-8AA4-B260702BBD76}">
      <formula1>space_names</formula1>
    </dataValidation>
    <dataValidation type="list" showInputMessage="1" showErrorMessage="1" sqref="D1001:D1048576" xr:uid="{B6373DE8-F41A-47BE-9EF2-0261DA167659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3" t="s">
        <v>79</v>
      </c>
      <c r="J1" s="2" t="s">
        <v>80</v>
      </c>
      <c r="K1" s="13" t="s">
        <v>81</v>
      </c>
      <c r="L1" s="2" t="s">
        <v>82</v>
      </c>
      <c r="M1" s="13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17"/>
  <sheetViews>
    <sheetView workbookViewId="0">
      <selection activeCell="A2" sqref="A2:XFD7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132</v>
      </c>
      <c r="C1" s="3" t="s">
        <v>58</v>
      </c>
      <c r="D1" s="12" t="s">
        <v>57</v>
      </c>
      <c r="E1" s="12" t="s">
        <v>140</v>
      </c>
      <c r="F1" s="12" t="s">
        <v>141</v>
      </c>
      <c r="G1" s="3" t="s">
        <v>101</v>
      </c>
    </row>
    <row r="2" spans="1:7" x14ac:dyDescent="0.25">
      <c r="A2" s="7" t="s">
        <v>110</v>
      </c>
      <c r="B2" t="s">
        <v>116</v>
      </c>
      <c r="D2" t="s">
        <v>106</v>
      </c>
    </row>
    <row r="3" spans="1:7" x14ac:dyDescent="0.25">
      <c r="A3" s="7" t="s">
        <v>124</v>
      </c>
      <c r="B3" t="s">
        <v>115</v>
      </c>
      <c r="D3" t="s">
        <v>106</v>
      </c>
      <c r="E3" t="s">
        <v>143</v>
      </c>
    </row>
    <row r="4" spans="1:7" x14ac:dyDescent="0.25">
      <c r="A4" s="7" t="s">
        <v>125</v>
      </c>
      <c r="B4" t="s">
        <v>114</v>
      </c>
      <c r="D4" t="s">
        <v>106</v>
      </c>
      <c r="E4" t="s">
        <v>109</v>
      </c>
    </row>
    <row r="5" spans="1:7" x14ac:dyDescent="0.25">
      <c r="A5" s="7" t="s">
        <v>126</v>
      </c>
      <c r="B5" t="s">
        <v>117</v>
      </c>
      <c r="D5" t="s">
        <v>107</v>
      </c>
    </row>
    <row r="6" spans="1:7" x14ac:dyDescent="0.25">
      <c r="A6" s="7" t="s">
        <v>127</v>
      </c>
      <c r="B6" t="s">
        <v>113</v>
      </c>
      <c r="D6" t="s">
        <v>107</v>
      </c>
      <c r="F6" t="s">
        <v>94</v>
      </c>
    </row>
    <row r="7" spans="1:7" x14ac:dyDescent="0.25">
      <c r="A7" s="7" t="s">
        <v>128</v>
      </c>
      <c r="B7" t="s">
        <v>129</v>
      </c>
      <c r="D7" t="s">
        <v>107</v>
      </c>
    </row>
    <row r="8" spans="1:7" x14ac:dyDescent="0.25">
      <c r="A8" s="7"/>
    </row>
    <row r="9" spans="1:7" x14ac:dyDescent="0.25">
      <c r="A9" s="7"/>
    </row>
    <row r="10" spans="1:7" x14ac:dyDescent="0.25">
      <c r="A10" s="7"/>
    </row>
    <row r="11" spans="1:7" x14ac:dyDescent="0.25">
      <c r="A11" s="7"/>
    </row>
    <row r="12" spans="1:7" x14ac:dyDescent="0.25">
      <c r="A12" s="7"/>
    </row>
    <row r="13" spans="1:7" x14ac:dyDescent="0.25">
      <c r="A13" s="7"/>
    </row>
    <row r="14" spans="1:7" x14ac:dyDescent="0.25">
      <c r="A14" s="7"/>
    </row>
    <row r="15" spans="1:7" x14ac:dyDescent="0.25">
      <c r="A15" s="7"/>
    </row>
    <row r="16" spans="1:7" x14ac:dyDescent="0.25">
      <c r="A16" s="7"/>
    </row>
    <row r="17" spans="1:1" x14ac:dyDescent="0.25">
      <c r="A17" s="7"/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  <dataValidation type="list" showInputMessage="1" showErrorMessage="1" sqref="E2:F1048576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A2" sqref="A2:XFD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29.8554687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132</v>
      </c>
      <c r="D1" s="12" t="s">
        <v>57</v>
      </c>
      <c r="E1" s="12" t="s">
        <v>140</v>
      </c>
      <c r="F1" s="12" t="s">
        <v>141</v>
      </c>
      <c r="G1" s="3" t="s">
        <v>101</v>
      </c>
    </row>
    <row r="2" spans="1:7" x14ac:dyDescent="0.25">
      <c r="A2" s="7" t="s">
        <v>122</v>
      </c>
      <c r="C2" t="s">
        <v>119</v>
      </c>
      <c r="D2" t="s">
        <v>106</v>
      </c>
      <c r="E2" t="s">
        <v>110</v>
      </c>
    </row>
    <row r="3" spans="1:7" x14ac:dyDescent="0.25">
      <c r="A3" s="10" t="s">
        <v>123</v>
      </c>
      <c r="C3" t="s">
        <v>120</v>
      </c>
      <c r="D3" t="s">
        <v>106</v>
      </c>
    </row>
    <row r="4" spans="1:7" x14ac:dyDescent="0.25">
      <c r="A4" s="7"/>
    </row>
    <row r="5" spans="1:7" x14ac:dyDescent="0.25">
      <c r="A5" s="7"/>
    </row>
    <row r="6" spans="1:7" x14ac:dyDescent="0.2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26"/>
  <sheetViews>
    <sheetView workbookViewId="0">
      <selection activeCell="A2" sqref="A2:XFD10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117</v>
      </c>
      <c r="B2" t="s">
        <v>61</v>
      </c>
    </row>
    <row r="3" spans="1:2" x14ac:dyDescent="0.25">
      <c r="A3" s="7" t="s">
        <v>115</v>
      </c>
      <c r="B3" s="7" t="s">
        <v>60</v>
      </c>
    </row>
    <row r="4" spans="1:2" x14ac:dyDescent="0.25">
      <c r="A4" s="7" t="s">
        <v>116</v>
      </c>
      <c r="B4" s="7" t="s">
        <v>60</v>
      </c>
    </row>
    <row r="5" spans="1:2" x14ac:dyDescent="0.25">
      <c r="A5" s="7" t="s">
        <v>113</v>
      </c>
      <c r="B5" s="7" t="s">
        <v>60</v>
      </c>
    </row>
    <row r="6" spans="1:2" x14ac:dyDescent="0.25">
      <c r="A6" s="7" t="s">
        <v>114</v>
      </c>
      <c r="B6" t="s">
        <v>60</v>
      </c>
    </row>
    <row r="7" spans="1:2" x14ac:dyDescent="0.25">
      <c r="A7" s="7" t="s">
        <v>118</v>
      </c>
      <c r="B7" t="s">
        <v>60</v>
      </c>
    </row>
    <row r="8" spans="1:2" x14ac:dyDescent="0.25">
      <c r="A8" s="7" t="s">
        <v>119</v>
      </c>
      <c r="B8" t="s">
        <v>121</v>
      </c>
    </row>
    <row r="9" spans="1:2" x14ac:dyDescent="0.25">
      <c r="A9" s="7" t="s">
        <v>120</v>
      </c>
      <c r="B9" t="s">
        <v>71</v>
      </c>
    </row>
    <row r="10" spans="1:2" x14ac:dyDescent="0.25">
      <c r="A10" s="7" t="s">
        <v>129</v>
      </c>
      <c r="B10" t="s">
        <v>60</v>
      </c>
    </row>
    <row r="11" spans="1:2" x14ac:dyDescent="0.25">
      <c r="A11" s="7"/>
    </row>
    <row r="12" spans="1:2" x14ac:dyDescent="0.25">
      <c r="A12" s="7"/>
    </row>
    <row r="13" spans="1:2" x14ac:dyDescent="0.25">
      <c r="A13" s="7"/>
    </row>
    <row r="14" spans="1:2" x14ac:dyDescent="0.25">
      <c r="A14" s="7"/>
    </row>
    <row r="15" spans="1:2" x14ac:dyDescent="0.25">
      <c r="A15" s="7"/>
      <c r="B15" s="7"/>
    </row>
    <row r="16" spans="1:2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</sheetData>
  <sortState xmlns:xlrd2="http://schemas.microsoft.com/office/spreadsheetml/2017/richdata2" ref="A2:B21">
    <sortCondition ref="B2:B21"/>
  </sortState>
  <dataValidations count="1"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G1" workbookViewId="0">
      <selection activeCell="N25" sqref="N25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34.4257812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7" max="37" width="10.7109375" bestFit="1" customWidth="1"/>
    <col min="38" max="38" width="27.85546875" bestFit="1" customWidth="1"/>
    <col min="39" max="39" width="34.42578125" bestFit="1" customWidth="1"/>
    <col min="40" max="40" width="16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4" t="s">
        <v>86</v>
      </c>
      <c r="C1" s="14" t="s">
        <v>87</v>
      </c>
      <c r="D1" s="14" t="s">
        <v>88</v>
      </c>
      <c r="E1" s="2" t="s">
        <v>85</v>
      </c>
      <c r="F1" s="2" t="s">
        <v>89</v>
      </c>
      <c r="G1" s="2" t="s">
        <v>90</v>
      </c>
      <c r="H1" s="11"/>
      <c r="I1" s="11"/>
      <c r="J1" s="11"/>
      <c r="K1" s="11"/>
      <c r="P1" s="15" t="s">
        <v>85</v>
      </c>
      <c r="Q1" s="16"/>
      <c r="R1" s="16"/>
      <c r="U1" s="15" t="s">
        <v>89</v>
      </c>
      <c r="V1" s="16"/>
      <c r="W1" s="16"/>
      <c r="Z1" s="15" t="s">
        <v>90</v>
      </c>
      <c r="AE1" s="18" t="s">
        <v>91</v>
      </c>
      <c r="AF1" s="18" t="s">
        <v>92</v>
      </c>
      <c r="AG1" s="18" t="s">
        <v>93</v>
      </c>
      <c r="AH1" s="18" t="s">
        <v>94</v>
      </c>
      <c r="AI1" s="18" t="s">
        <v>95</v>
      </c>
      <c r="AJ1" s="18" t="s">
        <v>96</v>
      </c>
      <c r="AK1" s="18" t="s">
        <v>97</v>
      </c>
      <c r="AL1" s="18" t="s">
        <v>98</v>
      </c>
      <c r="AM1" s="18" t="s">
        <v>99</v>
      </c>
      <c r="AN1" s="18" t="s">
        <v>100</v>
      </c>
      <c r="AO1" s="18" t="s">
        <v>109</v>
      </c>
      <c r="AP1" s="18" t="s">
        <v>136</v>
      </c>
      <c r="AQ1" s="18" t="s">
        <v>137</v>
      </c>
      <c r="AR1" s="18" t="s">
        <v>138</v>
      </c>
      <c r="AS1" s="18" t="s">
        <v>139</v>
      </c>
    </row>
    <row r="2" spans="1:45" x14ac:dyDescent="0.25">
      <c r="A2" t="s">
        <v>60</v>
      </c>
      <c r="B2" t="str" cm="1">
        <f t="array" aca="1" ref="B2" ca="1">ventilation_system_names</f>
        <v>VE02</v>
      </c>
      <c r="C2" t="str" cm="1">
        <f t="array" aca="1" ref="C2" ca="1">heating_system_names</f>
        <v>VA01</v>
      </c>
      <c r="D2" t="str" cm="1">
        <f t="array" aca="1" ref="D2" ca="1">cooling_system_names</f>
        <v/>
      </c>
      <c r="E2" t="str" cm="1">
        <f t="array" aca="1" ref="E2:E999" ca="1">IF(COUNTA($R:$R)&gt;1,OFFSET($R$2, 0, 0, COUNTA($R:$R)-1, 1),"")</f>
        <v>VE02</v>
      </c>
      <c r="F2" t="str" cm="1">
        <f t="array" aca="1" ref="F2:F999" ca="1">IF(COUNTA($W:$W)&gt;1,OFFSET($W$2, 0, 0, COUNTA($W:$W)-1, 1),"")</f>
        <v>VA01</v>
      </c>
      <c r="G2" t="str" cm="1">
        <f t="array" aca="1" ref="G2:G17" ca="1">_xlfn._xlws.FILTER(IF(COUNTA($AB:$AB)&gt;1,OFFSET($AB$2, 0, 0, COUNTA($AB:$AB)-1, 1),""), IF(COUNTA($AB:$AB)&gt;1,OFFSET($AB$2, 0, 0, COUNTA($AB:$AB)-1, 1),"") &lt;&gt;"")</f>
        <v>valve</v>
      </c>
      <c r="P2" t="str" cm="1">
        <f t="array" aca="1" ref="P2" ca="1">INDEX($B$2:$D$40,MOD(ROW()-ROW($B$2),ROWS($B$2:$D$40))+1,INT((ROW()-ROW($B$2))/ROWS($B$2:$D$40))+1)</f>
        <v>VE02</v>
      </c>
      <c r="Q2">
        <f ca="1">MATCH("*",P2:P40,0)+ROW()-1</f>
        <v>2</v>
      </c>
      <c r="R2" t="str" cm="1">
        <f t="array" aca="1" ref="R2" ca="1">IFERROR(INDIRECT("$P"&amp;Q2),"")</f>
        <v>VE02</v>
      </c>
      <c r="U2" t="str" cm="1">
        <f t="array" aca="1" ref="U2" ca="1">INDEX($C$2:$D$40,MOD(ROW()-ROW($C$2),ROWS($C$2:$D$40))+1,INT((ROW()-ROW($C$2))/ROWS($C$2:$D$40))+1)</f>
        <v>VA01</v>
      </c>
      <c r="V2">
        <f ca="1">MATCH("*",U2:U40,0)+ROW()-1</f>
        <v>2</v>
      </c>
      <c r="W2" t="str" cm="1">
        <f t="array" aca="1" ref="W2" ca="1">IFERROR(INDIRECT("$U"&amp;V2),"")</f>
        <v>VA01</v>
      </c>
      <c r="Z2" t="str" cm="1">
        <f t="array" aca="1" ref="Z2" ca="1">INDEX($AE$2:$AS$40,MOD(ROW()-ROW($AE$2),ROWS($AE$2:$AS$40))+1,INT((ROW()-ROW($AE$2))/ROWS($AE$2:$AS$40))+1)</f>
        <v/>
      </c>
      <c r="AA2">
        <f ca="1">MATCH("*",Z2:Z40,0)+ROW()-1</f>
        <v>2</v>
      </c>
      <c r="AB2" t="str" cm="1">
        <f t="array" aca="1" ref="AB2" ca="1">IFERROR(INDIRECT("$Z"&amp;AA2),"")</f>
        <v/>
      </c>
      <c r="AE2" t="str" cm="1">
        <f t="array" aca="1" ref="AE2" ca="1">space_names</f>
        <v/>
      </c>
      <c r="AF2" t="str" cm="1">
        <f t="array" aca="1" ref="AF2" ca="1">damper_names</f>
        <v/>
      </c>
      <c r="AG2" t="str" cm="1">
        <f t="array" aca="1" ref="AG2" ca="1">space_heater_names</f>
        <v/>
      </c>
      <c r="AH2" t="str" cm="1">
        <f t="array" aca="1" ref="AH2:AH3" ca="1">valve_names</f>
        <v>valve</v>
      </c>
      <c r="AI2" t="str" cm="1">
        <f t="array" aca="1" ref="AI2" ca="1">coil_names</f>
        <v>heating coil</v>
      </c>
      <c r="AJ2" t="str" cm="1">
        <f t="array" aca="1" ref="AJ2" ca="1">air_to_air_heat_recovery_names</f>
        <v/>
      </c>
      <c r="AK2" t="str" cm="1">
        <f t="array" aca="1" ref="AK2" ca="1">fan_names</f>
        <v>fan</v>
      </c>
      <c r="AL2" t="str" cm="1">
        <f t="array" aca="1" ref="AL2" ca="1">controller_names</f>
        <v>controller</v>
      </c>
      <c r="AM2" t="str" cm="1">
        <f t="array" aca="1" ref="AM2:AM7" ca="1">sensor_names</f>
        <v>fan inlet air temperature sensor</v>
      </c>
      <c r="AN2" t="str" cm="1">
        <f t="array" aca="1" ref="AN2:AN3" ca="1">meter_names</f>
        <v>fan flow meter</v>
      </c>
      <c r="AO2" t="str" cm="1">
        <f t="array" aca="1" ref="AO2" ca="1">pump_names</f>
        <v>pump</v>
      </c>
      <c r="AP2" t="str">
        <f ca="1">IF(AI2&lt;&gt;"", _xlfn.CONCAT(AI2, " (airside)"), "")</f>
        <v>heating coil (airside)</v>
      </c>
      <c r="AQ2" t="str">
        <f ca="1">IF(AI2&lt;&gt;"", _xlfn.CONCAT(AI2, " (waterside)"), "")</f>
        <v>heating coil (waterside)</v>
      </c>
      <c r="AR2" t="str">
        <f ca="1">IF(AJ2&lt;&gt;"", _xlfn.CONCAT(AJ2, " (supply)"), "")</f>
        <v/>
      </c>
      <c r="AS2" t="str">
        <f ca="1">IF(AJ2&lt;&gt;"", _xlfn.CONCAT(AJ2, " (exhaust)"), "")</f>
        <v/>
      </c>
    </row>
    <row r="3" spans="1:45" x14ac:dyDescent="0.25">
      <c r="A3" t="s">
        <v>69</v>
      </c>
      <c r="E3" t="str">
        <f ca="1"/>
        <v>VA01</v>
      </c>
      <c r="F3" t="str">
        <f ca="1"/>
        <v/>
      </c>
      <c r="G3" t="str">
        <f ca="1"/>
        <v>check valve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VA01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/>
      </c>
      <c r="Z3" cm="1">
        <f t="array" ref="Z3">INDEX($AE$2:$AS$40,MOD(ROW()-ROW($AE$2),ROWS($AE$2:$AS$40))+1,INT((ROW()-ROW($AE$2))/ROWS($AE$2:$AS$40))+1)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/>
      </c>
      <c r="AH3" t="str">
        <f ca="1"/>
        <v>check valve</v>
      </c>
      <c r="AM3" t="str">
        <f ca="1"/>
        <v>coil outlet air temperature sensor</v>
      </c>
      <c r="AN3" t="str">
        <f ca="1"/>
        <v>fan power meter</v>
      </c>
      <c r="AP3" t="str">
        <f t="shared" ref="AP3:AP66" si="0">IF(AI3&lt;&gt;"", _xlfn.CONCAT(AI3, " (airside)"), "")</f>
        <v/>
      </c>
    </row>
    <row r="4" spans="1:45" x14ac:dyDescent="0.25">
      <c r="A4" t="s">
        <v>68</v>
      </c>
      <c r="E4" t="str">
        <f ca="1"/>
        <v/>
      </c>
      <c r="F4" t="str">
        <f ca="1"/>
        <v/>
      </c>
      <c r="G4" t="str">
        <f ca="1"/>
        <v>heating coil</v>
      </c>
      <c r="P4" cm="1">
        <f t="array" ref="P4">INDEX($B$2:$D$40,MOD(ROW()-ROW($B$2),ROWS($B$2:$D$40))+1,INT((ROW()-ROW($B$2))/ROWS($B$2:$D$40))+1)</f>
        <v>0</v>
      </c>
      <c r="Q4">
        <f t="shared" ref="Q4:Q67" ca="1" si="1">MATCH("*",INDIRECT(ADDRESS(Q3+1,16,1)&amp;":$P$1000"),0)+Q3</f>
        <v>80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2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INDEX($AE$2:$AS$40,MOD(ROW()-ROW($AE$2),ROWS($AE$2:$AS$40))+1,INT((ROW()-ROW($AE$2))/ROWS($AE$2:$AS$40))+1)</f>
        <v>0</v>
      </c>
      <c r="AA4">
        <f t="shared" ref="AA4:AA67" ca="1" si="3">MATCH("*",INDIRECT(ADDRESS(AA3+1,26,1)&amp;":$Z$1000"),0)+AA3</f>
        <v>80</v>
      </c>
      <c r="AB4" t="str" cm="1">
        <f t="array" aca="1" ref="AB4" ca="1">IFERROR(INDIRECT("$Z"&amp;AA4),"")</f>
        <v/>
      </c>
      <c r="AM4" t="str">
        <f ca="1"/>
        <v>coil inlet water temperature sensor</v>
      </c>
      <c r="AP4" t="str">
        <f t="shared" si="0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fan</v>
      </c>
      <c r="P5" cm="1">
        <f t="array" ref="P5">INDEX($B$2:$D$40,MOD(ROW()-ROW($B$2),ROWS($B$2:$D$40))+1,INT((ROW()-ROW($B$2))/ROWS($B$2:$D$40))+1)</f>
        <v>0</v>
      </c>
      <c r="Q5" t="e">
        <f t="shared" ca="1" si="1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2"/>
        <v>#N/A</v>
      </c>
      <c r="W5" t="str" cm="1">
        <f t="array" aca="1" ref="W5" ca="1">IFERROR(INDIRECT("$U"&amp;V5),"")</f>
        <v/>
      </c>
      <c r="Z5" cm="1">
        <f t="array" ref="Z5">INDEX($AE$2:$AS$40,MOD(ROW()-ROW($AE$2),ROWS($AE$2:$AS$40))+1,INT((ROW()-ROW($AE$2))/ROWS($AE$2:$AS$40))+1)</f>
        <v>0</v>
      </c>
      <c r="AA5">
        <f t="shared" ca="1" si="3"/>
        <v>119</v>
      </c>
      <c r="AB5" t="str" cm="1">
        <f t="array" aca="1" ref="AB5" ca="1">IFERROR(INDIRECT("$Z"&amp;AA5),"")</f>
        <v>valve</v>
      </c>
      <c r="AM5" t="str">
        <f ca="1"/>
        <v>valve position sensor</v>
      </c>
      <c r="AP5" t="str">
        <f t="shared" si="0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controller</v>
      </c>
      <c r="P6" cm="1">
        <f t="array" ref="P6">INDEX($B$2:$D$40,MOD(ROW()-ROW($B$2),ROWS($B$2:$D$40))+1,INT((ROW()-ROW($B$2))/ROWS($B$2:$D$40))+1)</f>
        <v>0</v>
      </c>
      <c r="Q6" t="e">
        <f t="shared" ca="1" si="1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2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>
        <f t="shared" ca="1" si="3"/>
        <v>120</v>
      </c>
      <c r="AB6" t="str" cm="1">
        <f t="array" aca="1" ref="AB6" ca="1">IFERROR(INDIRECT("$Z"&amp;AA6),"")</f>
        <v>check valve</v>
      </c>
      <c r="AM6" t="str">
        <f ca="1"/>
        <v>coil outlet water temperature sensor</v>
      </c>
      <c r="AP6" t="str">
        <f t="shared" si="0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fan inlet air temperature sensor</v>
      </c>
      <c r="P7" cm="1">
        <f t="array" ref="P7">INDEX($B$2:$D$40,MOD(ROW()-ROW($B$2),ROWS($B$2:$D$40))+1,INT((ROW()-ROW($B$2))/ROWS($B$2:$D$40))+1)</f>
        <v>0</v>
      </c>
      <c r="Q7" t="e">
        <f t="shared" ca="1" si="1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2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3"/>
        <v>158</v>
      </c>
      <c r="AB7" t="str" cm="1">
        <f t="array" aca="1" ref="AB7" ca="1">IFERROR(INDIRECT("$Z"&amp;AA7),"")</f>
        <v>heating coil</v>
      </c>
      <c r="AM7" t="str">
        <f ca="1"/>
        <v>supply water temperature sensor</v>
      </c>
      <c r="AP7" t="str">
        <f t="shared" si="0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coil outlet air temperature sensor</v>
      </c>
      <c r="P8" cm="1">
        <f t="array" ref="P8">INDEX($B$2:$D$40,MOD(ROW()-ROW($B$2),ROWS($B$2:$D$40))+1,INT((ROW()-ROW($B$2))/ROWS($B$2:$D$40))+1)</f>
        <v>0</v>
      </c>
      <c r="Q8" t="e">
        <f t="shared" ca="1" si="1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2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3"/>
        <v>197</v>
      </c>
      <c r="AB8" t="str" cm="1">
        <f t="array" aca="1" ref="AB8" ca="1">IFERROR(INDIRECT("$Z"&amp;AA8),"")</f>
        <v/>
      </c>
      <c r="AP8" t="str">
        <f t="shared" si="0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coil inlet water temperature sensor</v>
      </c>
      <c r="P9" cm="1">
        <f t="array" ref="P9">INDEX($B$2:$D$40,MOD(ROW()-ROW($B$2),ROWS($B$2:$D$40))+1,INT((ROW()-ROW($B$2))/ROWS($B$2:$D$40))+1)</f>
        <v>0</v>
      </c>
      <c r="Q9" t="e">
        <f t="shared" ca="1" si="1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2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3"/>
        <v>236</v>
      </c>
      <c r="AB9" t="str" cm="1">
        <f t="array" aca="1" ref="AB9" ca="1">IFERROR(INDIRECT("$Z"&amp;AA9),"")</f>
        <v>fan</v>
      </c>
      <c r="AP9" t="str">
        <f t="shared" si="0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valve position sensor</v>
      </c>
      <c r="P10" cm="1">
        <f t="array" ref="P10">INDEX($B$2:$D$40,MOD(ROW()-ROW($B$2),ROWS($B$2:$D$40))+1,INT((ROW()-ROW($B$2))/ROWS($B$2:$D$40))+1)</f>
        <v>0</v>
      </c>
      <c r="Q10" t="e">
        <f t="shared" ca="1" si="1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2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3"/>
        <v>275</v>
      </c>
      <c r="AB10" t="str" cm="1">
        <f t="array" aca="1" ref="AB10" ca="1">IFERROR(INDIRECT("$Z"&amp;AA10),"")</f>
        <v>controller</v>
      </c>
      <c r="AP10" t="str">
        <f t="shared" si="0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coil outlet water temperature sensor</v>
      </c>
      <c r="P11" cm="1">
        <f t="array" ref="P11">INDEX($B$2:$D$40,MOD(ROW()-ROW($B$2),ROWS($B$2:$D$40))+1,INT((ROW()-ROW($B$2))/ROWS($B$2:$D$40))+1)</f>
        <v>0</v>
      </c>
      <c r="Q11" t="e">
        <f t="shared" ca="1" si="1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2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3"/>
        <v>314</v>
      </c>
      <c r="AB11" t="str" cm="1">
        <f t="array" aca="1" ref="AB11" ca="1">IFERROR(INDIRECT("$Z"&amp;AA11),"")</f>
        <v>fan inlet air temperature sensor</v>
      </c>
      <c r="AP11" t="str">
        <f t="shared" si="0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supply water temperature sensor</v>
      </c>
      <c r="P12" cm="1">
        <f t="array" ref="P12">INDEX($B$2:$D$40,MOD(ROW()-ROW($B$2),ROWS($B$2:$D$40))+1,INT((ROW()-ROW($B$2))/ROWS($B$2:$D$40))+1)</f>
        <v>0</v>
      </c>
      <c r="Q12" t="e">
        <f t="shared" ca="1" si="1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2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3"/>
        <v>315</v>
      </c>
      <c r="AB12" t="str" cm="1">
        <f t="array" aca="1" ref="AB12" ca="1">IFERROR(INDIRECT("$Z"&amp;AA12),"")</f>
        <v>coil outlet air temperature sensor</v>
      </c>
      <c r="AP12" t="str">
        <f t="shared" si="0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fan flow meter</v>
      </c>
      <c r="P13" cm="1">
        <f t="array" ref="P13">INDEX($B$2:$D$40,MOD(ROW()-ROW($B$2),ROWS($B$2:$D$40))+1,INT((ROW()-ROW($B$2))/ROWS($B$2:$D$40))+1)</f>
        <v>0</v>
      </c>
      <c r="Q13" t="e">
        <f t="shared" ca="1" si="1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2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3"/>
        <v>316</v>
      </c>
      <c r="AB13" t="str" cm="1">
        <f t="array" aca="1" ref="AB13" ca="1">IFERROR(INDIRECT("$Z"&amp;AA13),"")</f>
        <v>coil inlet water temperature sensor</v>
      </c>
      <c r="AP13" t="str">
        <f t="shared" si="0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fan power meter</v>
      </c>
      <c r="P14" cm="1">
        <f t="array" ref="P14">INDEX($B$2:$D$40,MOD(ROW()-ROW($B$2),ROWS($B$2:$D$40))+1,INT((ROW()-ROW($B$2))/ROWS($B$2:$D$40))+1)</f>
        <v>0</v>
      </c>
      <c r="Q14" t="e">
        <f t="shared" ca="1" si="1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2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3"/>
        <v>317</v>
      </c>
      <c r="AB14" t="str" cm="1">
        <f t="array" aca="1" ref="AB14" ca="1">IFERROR(INDIRECT("$Z"&amp;AA14),"")</f>
        <v>valve position sensor</v>
      </c>
      <c r="AP14" t="str">
        <f t="shared" si="0"/>
        <v/>
      </c>
    </row>
    <row r="15" spans="1:45" x14ac:dyDescent="0.25">
      <c r="A15" t="s">
        <v>121</v>
      </c>
      <c r="E15" t="str">
        <f ca="1"/>
        <v/>
      </c>
      <c r="F15" t="str">
        <f ca="1"/>
        <v/>
      </c>
      <c r="G15" t="str">
        <f ca="1"/>
        <v>pump</v>
      </c>
      <c r="P15" cm="1">
        <f t="array" ref="P15">INDEX($B$2:$D$40,MOD(ROW()-ROW($B$2),ROWS($B$2:$D$40))+1,INT((ROW()-ROW($B$2))/ROWS($B$2:$D$40))+1)</f>
        <v>0</v>
      </c>
      <c r="Q15" t="e">
        <f t="shared" ca="1" si="1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2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3"/>
        <v>318</v>
      </c>
      <c r="AB15" t="str" cm="1">
        <f t="array" aca="1" ref="AB15" ca="1">IFERROR(INDIRECT("$Z"&amp;AA15),"")</f>
        <v>coil outlet water temperature sensor</v>
      </c>
      <c r="AP15" t="str">
        <f t="shared" si="0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heating coil (airside)</v>
      </c>
      <c r="P16" cm="1">
        <f t="array" ref="P16">INDEX($B$2:$D$40,MOD(ROW()-ROW($B$2),ROWS($B$2:$D$40))+1,INT((ROW()-ROW($B$2))/ROWS($B$2:$D$40))+1)</f>
        <v>0</v>
      </c>
      <c r="Q16" t="e">
        <f t="shared" ca="1" si="1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2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3"/>
        <v>319</v>
      </c>
      <c r="AB16" t="str" cm="1">
        <f t="array" aca="1" ref="AB16" ca="1">IFERROR(INDIRECT("$Z"&amp;AA16),"")</f>
        <v>supply water temperature sensor</v>
      </c>
      <c r="AP16" t="str">
        <f t="shared" si="0"/>
        <v/>
      </c>
    </row>
    <row r="17" spans="5:42" x14ac:dyDescent="0.25">
      <c r="E17" t="str">
        <f ca="1"/>
        <v/>
      </c>
      <c r="F17" t="str">
        <f ca="1"/>
        <v/>
      </c>
      <c r="G17" t="str">
        <f ca="1"/>
        <v>heating coil (waterside)</v>
      </c>
      <c r="P17" cm="1">
        <f t="array" ref="P17">INDEX($B$2:$D$40,MOD(ROW()-ROW($B$2),ROWS($B$2:$D$40))+1,INT((ROW()-ROW($B$2))/ROWS($B$2:$D$40))+1)</f>
        <v>0</v>
      </c>
      <c r="Q17" t="e">
        <f t="shared" ca="1" si="1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2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3"/>
        <v>353</v>
      </c>
      <c r="AB17" t="str" cm="1">
        <f t="array" aca="1" ref="AB17" ca="1">IFERROR(INDIRECT("$Z"&amp;AA17),"")</f>
        <v>fan flow meter</v>
      </c>
      <c r="AP17" t="str">
        <f t="shared" si="0"/>
        <v/>
      </c>
    </row>
    <row r="18" spans="5:42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1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2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3"/>
        <v>354</v>
      </c>
      <c r="AB18" t="str" cm="1">
        <f t="array" aca="1" ref="AB18" ca="1">IFERROR(INDIRECT("$Z"&amp;AA18),"")</f>
        <v>fan power meter</v>
      </c>
      <c r="AP18" t="str">
        <f t="shared" si="0"/>
        <v/>
      </c>
    </row>
    <row r="19" spans="5:42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1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2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3"/>
        <v>392</v>
      </c>
      <c r="AB19" t="str" cm="1">
        <f t="array" aca="1" ref="AB19" ca="1">IFERROR(INDIRECT("$Z"&amp;AA19),"")</f>
        <v>pump</v>
      </c>
      <c r="AP19" t="str">
        <f t="shared" si="0"/>
        <v/>
      </c>
    </row>
    <row r="20" spans="5:42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1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2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3"/>
        <v>431</v>
      </c>
      <c r="AB20" t="str" cm="1">
        <f t="array" aca="1" ref="AB20" ca="1">IFERROR(INDIRECT("$Z"&amp;AA20),"")</f>
        <v>heating coil (airside)</v>
      </c>
      <c r="AP20" t="str">
        <f t="shared" si="0"/>
        <v/>
      </c>
    </row>
    <row r="21" spans="5:42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1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2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3"/>
        <v>432</v>
      </c>
      <c r="AB21" t="str" cm="1">
        <f t="array" aca="1" ref="AB21" ca="1">IFERROR(INDIRECT("$Z"&amp;AA21),"")</f>
        <v/>
      </c>
      <c r="AP21" t="str">
        <f t="shared" si="0"/>
        <v/>
      </c>
    </row>
    <row r="22" spans="5:42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1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2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3"/>
        <v>433</v>
      </c>
      <c r="AB22" t="str" cm="1">
        <f t="array" aca="1" ref="AB22" ca="1">IFERROR(INDIRECT("$Z"&amp;AA22),"")</f>
        <v/>
      </c>
      <c r="AP22" t="str">
        <f t="shared" si="0"/>
        <v/>
      </c>
    </row>
    <row r="23" spans="5:42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1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2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3"/>
        <v>434</v>
      </c>
      <c r="AB23" t="str" cm="1">
        <f t="array" aca="1" ref="AB23" ca="1">IFERROR(INDIRECT("$Z"&amp;AA23),"")</f>
        <v/>
      </c>
      <c r="AP23" t="str">
        <f t="shared" si="0"/>
        <v/>
      </c>
    </row>
    <row r="24" spans="5:42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1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2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3"/>
        <v>435</v>
      </c>
      <c r="AB24" t="str" cm="1">
        <f t="array" aca="1" ref="AB24" ca="1">IFERROR(INDIRECT("$Z"&amp;AA24),"")</f>
        <v/>
      </c>
      <c r="AP24" t="str">
        <f t="shared" si="0"/>
        <v/>
      </c>
    </row>
    <row r="25" spans="5:42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1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2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3"/>
        <v>436</v>
      </c>
      <c r="AB25" t="str" cm="1">
        <f t="array" aca="1" ref="AB25" ca="1">IFERROR(INDIRECT("$Z"&amp;AA25),"")</f>
        <v/>
      </c>
      <c r="AP25" t="str">
        <f t="shared" si="0"/>
        <v/>
      </c>
    </row>
    <row r="26" spans="5:42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1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2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3"/>
        <v>437</v>
      </c>
      <c r="AB26" t="str" cm="1">
        <f t="array" aca="1" ref="AB26" ca="1">IFERROR(INDIRECT("$Z"&amp;AA26),"")</f>
        <v/>
      </c>
      <c r="AP26" t="str">
        <f t="shared" si="0"/>
        <v/>
      </c>
    </row>
    <row r="27" spans="5:42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1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2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3"/>
        <v>438</v>
      </c>
      <c r="AB27" t="str" cm="1">
        <f t="array" aca="1" ref="AB27" ca="1">IFERROR(INDIRECT("$Z"&amp;AA27),"")</f>
        <v/>
      </c>
      <c r="AP27" t="str">
        <f t="shared" si="0"/>
        <v/>
      </c>
    </row>
    <row r="28" spans="5:42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1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2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3"/>
        <v>439</v>
      </c>
      <c r="AB28" t="str" cm="1">
        <f t="array" aca="1" ref="AB28" ca="1">IFERROR(INDIRECT("$Z"&amp;AA28),"")</f>
        <v/>
      </c>
      <c r="AP28" t="str">
        <f t="shared" si="0"/>
        <v/>
      </c>
    </row>
    <row r="29" spans="5:42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1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2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3"/>
        <v>440</v>
      </c>
      <c r="AB29" t="str" cm="1">
        <f t="array" aca="1" ref="AB29" ca="1">IFERROR(INDIRECT("$Z"&amp;AA29),"")</f>
        <v/>
      </c>
      <c r="AP29" t="str">
        <f t="shared" si="0"/>
        <v/>
      </c>
    </row>
    <row r="30" spans="5:42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1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2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3"/>
        <v>441</v>
      </c>
      <c r="AB30" t="str" cm="1">
        <f t="array" aca="1" ref="AB30" ca="1">IFERROR(INDIRECT("$Z"&amp;AA30),"")</f>
        <v/>
      </c>
      <c r="AP30" t="str">
        <f t="shared" si="0"/>
        <v/>
      </c>
    </row>
    <row r="31" spans="5:42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1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2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3"/>
        <v>442</v>
      </c>
      <c r="AB31" t="str" cm="1">
        <f t="array" aca="1" ref="AB31" ca="1">IFERROR(INDIRECT("$Z"&amp;AA31),"")</f>
        <v/>
      </c>
      <c r="AP31" t="str">
        <f t="shared" si="0"/>
        <v/>
      </c>
    </row>
    <row r="32" spans="5:42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1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2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3"/>
        <v>443</v>
      </c>
      <c r="AB32" t="str" cm="1">
        <f t="array" aca="1" ref="AB32" ca="1">IFERROR(INDIRECT("$Z"&amp;AA32),"")</f>
        <v/>
      </c>
      <c r="AP32" t="str">
        <f t="shared" si="0"/>
        <v/>
      </c>
    </row>
    <row r="33" spans="5:42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1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2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3"/>
        <v>444</v>
      </c>
      <c r="AB33" t="str" cm="1">
        <f t="array" aca="1" ref="AB33" ca="1">IFERROR(INDIRECT("$Z"&amp;AA33),"")</f>
        <v/>
      </c>
      <c r="AP33" t="str">
        <f t="shared" si="0"/>
        <v/>
      </c>
    </row>
    <row r="34" spans="5:42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1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2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3"/>
        <v>445</v>
      </c>
      <c r="AB34" t="str" cm="1">
        <f t="array" aca="1" ref="AB34" ca="1">IFERROR(INDIRECT("$Z"&amp;AA34),"")</f>
        <v/>
      </c>
      <c r="AP34" t="str">
        <f t="shared" si="0"/>
        <v/>
      </c>
    </row>
    <row r="35" spans="5:42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1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2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3"/>
        <v>446</v>
      </c>
      <c r="AB35" t="str" cm="1">
        <f t="array" aca="1" ref="AB35" ca="1">IFERROR(INDIRECT("$Z"&amp;AA35),"")</f>
        <v/>
      </c>
      <c r="AP35" t="str">
        <f t="shared" si="0"/>
        <v/>
      </c>
    </row>
    <row r="36" spans="5:42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1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2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3"/>
        <v>447</v>
      </c>
      <c r="AB36" t="str" cm="1">
        <f t="array" aca="1" ref="AB36" ca="1">IFERROR(INDIRECT("$Z"&amp;AA36),"")</f>
        <v/>
      </c>
      <c r="AP36" t="str">
        <f t="shared" si="0"/>
        <v/>
      </c>
    </row>
    <row r="37" spans="5:42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1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2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3"/>
        <v>448</v>
      </c>
      <c r="AB37" t="str" cm="1">
        <f t="array" aca="1" ref="AB37" ca="1">IFERROR(INDIRECT("$Z"&amp;AA37),"")</f>
        <v/>
      </c>
      <c r="AP37" t="str">
        <f t="shared" si="0"/>
        <v/>
      </c>
    </row>
    <row r="38" spans="5:42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1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2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3"/>
        <v>449</v>
      </c>
      <c r="AB38" t="str" cm="1">
        <f t="array" aca="1" ref="AB38" ca="1">IFERROR(INDIRECT("$Z"&amp;AA38),"")</f>
        <v/>
      </c>
      <c r="AP38" t="str">
        <f t="shared" si="0"/>
        <v/>
      </c>
    </row>
    <row r="39" spans="5:42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1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2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3"/>
        <v>450</v>
      </c>
      <c r="AB39" t="str" cm="1">
        <f t="array" aca="1" ref="AB39" ca="1">IFERROR(INDIRECT("$Z"&amp;AA39),"")</f>
        <v/>
      </c>
      <c r="AP39" t="str">
        <f t="shared" si="0"/>
        <v/>
      </c>
    </row>
    <row r="40" spans="5:42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1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2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3"/>
        <v>451</v>
      </c>
      <c r="AB40" t="str" cm="1">
        <f t="array" aca="1" ref="AB40" ca="1">IFERROR(INDIRECT("$Z"&amp;AA40),"")</f>
        <v/>
      </c>
      <c r="AP40" t="str">
        <f t="shared" si="0"/>
        <v/>
      </c>
    </row>
    <row r="41" spans="5:42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VA01</v>
      </c>
      <c r="Q41" t="e">
        <f t="shared" ca="1" si="1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/>
      </c>
      <c r="V41" t="e">
        <f t="shared" ca="1" si="2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/>
      </c>
      <c r="AA41">
        <f t="shared" ca="1" si="3"/>
        <v>452</v>
      </c>
      <c r="AB41" t="str" cm="1">
        <f t="array" aca="1" ref="AB41" ca="1">IFERROR(INDIRECT("$Z"&amp;AA41),"")</f>
        <v/>
      </c>
      <c r="AP41" t="str">
        <f t="shared" si="0"/>
        <v/>
      </c>
    </row>
    <row r="42" spans="5:42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1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2"/>
        <v>#N/A</v>
      </c>
      <c r="W42" t="str" cm="1">
        <f t="array" aca="1" ref="W42" ca="1">IFERROR(INDIRECT("$U"&amp;V42),"")</f>
        <v/>
      </c>
      <c r="Z42" cm="1">
        <f t="array" ref="Z42">INDEX($AE$2:$AS$40,MOD(ROW()-ROW($AE$2),ROWS($AE$2:$AS$40))+1,INT((ROW()-ROW($AE$2))/ROWS($AE$2:$AS$40))+1)</f>
        <v>0</v>
      </c>
      <c r="AA42">
        <f t="shared" ca="1" si="3"/>
        <v>453</v>
      </c>
      <c r="AB42" t="str" cm="1">
        <f t="array" aca="1" ref="AB42" ca="1">IFERROR(INDIRECT("$Z"&amp;AA42),"")</f>
        <v/>
      </c>
      <c r="AP42" t="str">
        <f t="shared" si="0"/>
        <v/>
      </c>
    </row>
    <row r="43" spans="5:42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1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2"/>
        <v>#N/A</v>
      </c>
      <c r="W43" t="str" cm="1">
        <f t="array" aca="1" ref="W43" ca="1">IFERROR(INDIRECT("$U"&amp;V43),"")</f>
        <v/>
      </c>
      <c r="Z43" cm="1">
        <f t="array" ref="Z43">INDEX($AE$2:$AS$40,MOD(ROW()-ROW($AE$2),ROWS($AE$2:$AS$40))+1,INT((ROW()-ROW($AE$2))/ROWS($AE$2:$AS$40))+1)</f>
        <v>0</v>
      </c>
      <c r="AA43">
        <f t="shared" ca="1" si="3"/>
        <v>454</v>
      </c>
      <c r="AB43" t="str" cm="1">
        <f t="array" aca="1" ref="AB43" ca="1">IFERROR(INDIRECT("$Z"&amp;AA43),"")</f>
        <v/>
      </c>
      <c r="AP43" t="str">
        <f t="shared" si="0"/>
        <v/>
      </c>
    </row>
    <row r="44" spans="5:42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1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2"/>
        <v>#N/A</v>
      </c>
      <c r="W44" t="str" cm="1">
        <f t="array" aca="1" ref="W44" ca="1">IFERROR(INDIRECT("$U"&amp;V44),"")</f>
        <v/>
      </c>
      <c r="Z44" cm="1">
        <f t="array" ref="Z44">INDEX($AE$2:$AS$40,MOD(ROW()-ROW($AE$2),ROWS($AE$2:$AS$40))+1,INT((ROW()-ROW($AE$2))/ROWS($AE$2:$AS$40))+1)</f>
        <v>0</v>
      </c>
      <c r="AA44">
        <f t="shared" ca="1" si="3"/>
        <v>455</v>
      </c>
      <c r="AB44" t="str" cm="1">
        <f t="array" aca="1" ref="AB44" ca="1">IFERROR(INDIRECT("$Z"&amp;AA44),"")</f>
        <v/>
      </c>
      <c r="AP44" t="str">
        <f t="shared" si="0"/>
        <v/>
      </c>
    </row>
    <row r="45" spans="5:42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1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2"/>
        <v>#N/A</v>
      </c>
      <c r="W45" t="str" cm="1">
        <f t="array" aca="1" ref="W45" ca="1">IFERROR(INDIRECT("$U"&amp;V45),"")</f>
        <v/>
      </c>
      <c r="Z45" cm="1">
        <f t="array" ref="Z45">INDEX($AE$2:$AS$40,MOD(ROW()-ROW($AE$2),ROWS($AE$2:$AS$40))+1,INT((ROW()-ROW($AE$2))/ROWS($AE$2:$AS$40))+1)</f>
        <v>0</v>
      </c>
      <c r="AA45">
        <f t="shared" ca="1" si="3"/>
        <v>456</v>
      </c>
      <c r="AB45" t="str" cm="1">
        <f t="array" aca="1" ref="AB45" ca="1">IFERROR(INDIRECT("$Z"&amp;AA45),"")</f>
        <v/>
      </c>
      <c r="AP45" t="str">
        <f t="shared" si="0"/>
        <v/>
      </c>
    </row>
    <row r="46" spans="5:42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1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2"/>
        <v>#N/A</v>
      </c>
      <c r="W46" t="str" cm="1">
        <f t="array" aca="1" ref="W46" ca="1">IFERROR(INDIRECT("$U"&amp;V46),"")</f>
        <v/>
      </c>
      <c r="Z46" cm="1">
        <f t="array" ref="Z46">INDEX($AE$2:$AS$40,MOD(ROW()-ROW($AE$2),ROWS($AE$2:$AS$40))+1,INT((ROW()-ROW($AE$2))/ROWS($AE$2:$AS$40))+1)</f>
        <v>0</v>
      </c>
      <c r="AA46">
        <f t="shared" ca="1" si="3"/>
        <v>457</v>
      </c>
      <c r="AB46" t="str" cm="1">
        <f t="array" aca="1" ref="AB46" ca="1">IFERROR(INDIRECT("$Z"&amp;AA46),"")</f>
        <v/>
      </c>
      <c r="AP46" t="str">
        <f t="shared" si="0"/>
        <v/>
      </c>
    </row>
    <row r="47" spans="5:42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1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2"/>
        <v>#N/A</v>
      </c>
      <c r="W47" t="str" cm="1">
        <f t="array" aca="1" ref="W47" ca="1">IFERROR(INDIRECT("$U"&amp;V47),"")</f>
        <v/>
      </c>
      <c r="Z47" cm="1">
        <f t="array" ref="Z47">INDEX($AE$2:$AS$40,MOD(ROW()-ROW($AE$2),ROWS($AE$2:$AS$40))+1,INT((ROW()-ROW($AE$2))/ROWS($AE$2:$AS$40))+1)</f>
        <v>0</v>
      </c>
      <c r="AA47">
        <f t="shared" ca="1" si="3"/>
        <v>458</v>
      </c>
      <c r="AB47" t="str" cm="1">
        <f t="array" aca="1" ref="AB47" ca="1">IFERROR(INDIRECT("$Z"&amp;AA47),"")</f>
        <v/>
      </c>
      <c r="AP47" t="str">
        <f t="shared" si="0"/>
        <v/>
      </c>
    </row>
    <row r="48" spans="5:42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1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2"/>
        <v>#N/A</v>
      </c>
      <c r="W48" t="str" cm="1">
        <f t="array" aca="1" ref="W48" ca="1">IFERROR(INDIRECT("$U"&amp;V48),"")</f>
        <v/>
      </c>
      <c r="Z48" cm="1">
        <f t="array" ref="Z48">INDEX($AE$2:$AS$40,MOD(ROW()-ROW($AE$2),ROWS($AE$2:$AS$40))+1,INT((ROW()-ROW($AE$2))/ROWS($AE$2:$AS$40))+1)</f>
        <v>0</v>
      </c>
      <c r="AA48">
        <f t="shared" ca="1" si="3"/>
        <v>459</v>
      </c>
      <c r="AB48" t="str" cm="1">
        <f t="array" aca="1" ref="AB48" ca="1">IFERROR(INDIRECT("$Z"&amp;AA48),"")</f>
        <v/>
      </c>
      <c r="AP48" t="str">
        <f t="shared" si="0"/>
        <v/>
      </c>
    </row>
    <row r="49" spans="5:42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1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2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3"/>
        <v>460</v>
      </c>
      <c r="AB49" t="str" cm="1">
        <f t="array" aca="1" ref="AB49" ca="1">IFERROR(INDIRECT("$Z"&amp;AA49),"")</f>
        <v/>
      </c>
      <c r="AP49" t="str">
        <f t="shared" si="0"/>
        <v/>
      </c>
    </row>
    <row r="50" spans="5:42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1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2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3"/>
        <v>461</v>
      </c>
      <c r="AB50" t="str" cm="1">
        <f t="array" aca="1" ref="AB50" ca="1">IFERROR(INDIRECT("$Z"&amp;AA50),"")</f>
        <v/>
      </c>
      <c r="AP50" t="str">
        <f t="shared" si="0"/>
        <v/>
      </c>
    </row>
    <row r="51" spans="5:42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1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2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3"/>
        <v>462</v>
      </c>
      <c r="AB51" t="str" cm="1">
        <f t="array" aca="1" ref="AB51" ca="1">IFERROR(INDIRECT("$Z"&amp;AA51),"")</f>
        <v/>
      </c>
      <c r="AP51" t="str">
        <f t="shared" si="0"/>
        <v/>
      </c>
    </row>
    <row r="52" spans="5:42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1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2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3"/>
        <v>463</v>
      </c>
      <c r="AB52" t="str" cm="1">
        <f t="array" aca="1" ref="AB52" ca="1">IFERROR(INDIRECT("$Z"&amp;AA52),"")</f>
        <v/>
      </c>
      <c r="AP52" t="str">
        <f t="shared" si="0"/>
        <v/>
      </c>
    </row>
    <row r="53" spans="5:42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1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2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3"/>
        <v>464</v>
      </c>
      <c r="AB53" t="str" cm="1">
        <f t="array" aca="1" ref="AB53" ca="1">IFERROR(INDIRECT("$Z"&amp;AA53),"")</f>
        <v/>
      </c>
      <c r="AP53" t="str">
        <f t="shared" si="0"/>
        <v/>
      </c>
    </row>
    <row r="54" spans="5:42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1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2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3"/>
        <v>465</v>
      </c>
      <c r="AB54" t="str" cm="1">
        <f t="array" aca="1" ref="AB54" ca="1">IFERROR(INDIRECT("$Z"&amp;AA54),"")</f>
        <v/>
      </c>
      <c r="AP54" t="str">
        <f t="shared" si="0"/>
        <v/>
      </c>
    </row>
    <row r="55" spans="5:42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1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2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3"/>
        <v>466</v>
      </c>
      <c r="AB55" t="str" cm="1">
        <f t="array" aca="1" ref="AB55" ca="1">IFERROR(INDIRECT("$Z"&amp;AA55),"")</f>
        <v/>
      </c>
      <c r="AP55" t="str">
        <f t="shared" si="0"/>
        <v/>
      </c>
    </row>
    <row r="56" spans="5:42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1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2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3"/>
        <v>467</v>
      </c>
      <c r="AB56" t="str" cm="1">
        <f t="array" aca="1" ref="AB56" ca="1">IFERROR(INDIRECT("$Z"&amp;AA56),"")</f>
        <v/>
      </c>
      <c r="AP56" t="str">
        <f t="shared" si="0"/>
        <v/>
      </c>
    </row>
    <row r="57" spans="5:42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1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2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3"/>
        <v>468</v>
      </c>
      <c r="AB57" t="str" cm="1">
        <f t="array" aca="1" ref="AB57" ca="1">IFERROR(INDIRECT("$Z"&amp;AA57),"")</f>
        <v/>
      </c>
      <c r="AP57" t="str">
        <f t="shared" si="0"/>
        <v/>
      </c>
    </row>
    <row r="58" spans="5:42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1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2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3"/>
        <v>469</v>
      </c>
      <c r="AB58" t="str" cm="1">
        <f t="array" aca="1" ref="AB58" ca="1">IFERROR(INDIRECT("$Z"&amp;AA58),"")</f>
        <v/>
      </c>
      <c r="AP58" t="str">
        <f t="shared" si="0"/>
        <v/>
      </c>
    </row>
    <row r="59" spans="5:42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1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2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3"/>
        <v>470</v>
      </c>
      <c r="AB59" t="str" cm="1">
        <f t="array" aca="1" ref="AB59" ca="1">IFERROR(INDIRECT("$Z"&amp;AA59),"")</f>
        <v>heating coil (waterside)</v>
      </c>
      <c r="AP59" t="str">
        <f t="shared" si="0"/>
        <v/>
      </c>
    </row>
    <row r="60" spans="5:42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1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2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3"/>
        <v>509</v>
      </c>
      <c r="AB60" t="str" cm="1">
        <f t="array" aca="1" ref="AB60" ca="1">IFERROR(INDIRECT("$Z"&amp;AA60),"")</f>
        <v/>
      </c>
      <c r="AP60" t="str">
        <f t="shared" si="0"/>
        <v/>
      </c>
    </row>
    <row r="61" spans="5:42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1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2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3"/>
        <v>548</v>
      </c>
      <c r="AB61" t="str" cm="1">
        <f t="array" aca="1" ref="AB61" ca="1">IFERROR(INDIRECT("$Z"&amp;AA61),"")</f>
        <v/>
      </c>
      <c r="AP61" t="str">
        <f t="shared" si="0"/>
        <v/>
      </c>
    </row>
    <row r="62" spans="5:42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1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2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 t="e">
        <f t="shared" ca="1" si="3"/>
        <v>#N/A</v>
      </c>
      <c r="AB62" t="str" cm="1">
        <f t="array" aca="1" ref="AB62" ca="1">IFERROR(INDIRECT("$Z"&amp;AA62),"")</f>
        <v/>
      </c>
      <c r="AP62" t="str">
        <f t="shared" si="0"/>
        <v/>
      </c>
    </row>
    <row r="63" spans="5:42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1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2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 t="e">
        <f t="shared" ca="1" si="3"/>
        <v>#N/A</v>
      </c>
      <c r="AB63" t="str" cm="1">
        <f t="array" aca="1" ref="AB63" ca="1">IFERROR(INDIRECT("$Z"&amp;AA63),"")</f>
        <v/>
      </c>
      <c r="AP63" t="str">
        <f t="shared" si="0"/>
        <v/>
      </c>
    </row>
    <row r="64" spans="5:42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1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2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 t="e">
        <f t="shared" ca="1" si="3"/>
        <v>#N/A</v>
      </c>
      <c r="AB64" t="str" cm="1">
        <f t="array" aca="1" ref="AB64" ca="1">IFERROR(INDIRECT("$Z"&amp;AA64),"")</f>
        <v/>
      </c>
      <c r="AP64" t="str">
        <f t="shared" si="0"/>
        <v/>
      </c>
    </row>
    <row r="65" spans="5:42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1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2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 t="e">
        <f t="shared" ca="1" si="3"/>
        <v>#N/A</v>
      </c>
      <c r="AB65" t="str" cm="1">
        <f t="array" aca="1" ref="AB65" ca="1">IFERROR(INDIRECT("$Z"&amp;AA65),"")</f>
        <v/>
      </c>
      <c r="AP65" t="str">
        <f t="shared" si="0"/>
        <v/>
      </c>
    </row>
    <row r="66" spans="5:42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1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2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 t="e">
        <f t="shared" ca="1" si="3"/>
        <v>#N/A</v>
      </c>
      <c r="AB66" t="str" cm="1">
        <f t="array" aca="1" ref="AB66" ca="1">IFERROR(INDIRECT("$Z"&amp;AA66),"")</f>
        <v/>
      </c>
      <c r="AP66" t="str">
        <f t="shared" si="0"/>
        <v/>
      </c>
    </row>
    <row r="67" spans="5:42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1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2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 t="e">
        <f t="shared" ca="1" si="3"/>
        <v>#N/A</v>
      </c>
      <c r="AB67" t="str" cm="1">
        <f t="array" aca="1" ref="AB67" ca="1">IFERROR(INDIRECT("$Z"&amp;AA67),"")</f>
        <v/>
      </c>
      <c r="AP67" t="str">
        <f t="shared" ref="AP67:AP130" si="4">IF(AI67&lt;&gt;"", _xlfn.CONCAT(AI67, " (airside)"), "")</f>
        <v/>
      </c>
    </row>
    <row r="68" spans="5:42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5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6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 t="e">
        <f t="shared" ref="AA68:AA131" ca="1" si="7">MATCH("*",INDIRECT(ADDRESS(AA67+1,26,1)&amp;":$Z$1000"),0)+AA67</f>
        <v>#N/A</v>
      </c>
      <c r="AB68" t="str" cm="1">
        <f t="array" aca="1" ref="AB68" ca="1">IFERROR(INDIRECT("$Z"&amp;AA68),"")</f>
        <v/>
      </c>
      <c r="AP68" t="str">
        <f t="shared" si="4"/>
        <v/>
      </c>
    </row>
    <row r="69" spans="5:42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5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6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 t="e">
        <f t="shared" ca="1" si="7"/>
        <v>#N/A</v>
      </c>
      <c r="AB69" t="str" cm="1">
        <f t="array" aca="1" ref="AB69" ca="1">IFERROR(INDIRECT("$Z"&amp;AA69),"")</f>
        <v/>
      </c>
      <c r="AP69" t="str">
        <f t="shared" si="4"/>
        <v/>
      </c>
    </row>
    <row r="70" spans="5:42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5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6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 t="e">
        <f t="shared" ca="1" si="7"/>
        <v>#N/A</v>
      </c>
      <c r="AB70" t="str" cm="1">
        <f t="array" aca="1" ref="AB70" ca="1">IFERROR(INDIRECT("$Z"&amp;AA70),"")</f>
        <v/>
      </c>
      <c r="AP70" t="str">
        <f t="shared" si="4"/>
        <v/>
      </c>
    </row>
    <row r="71" spans="5:42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5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6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 t="e">
        <f t="shared" ca="1" si="7"/>
        <v>#N/A</v>
      </c>
      <c r="AB71" t="str" cm="1">
        <f t="array" aca="1" ref="AB71" ca="1">IFERROR(INDIRECT("$Z"&amp;AA71),"")</f>
        <v/>
      </c>
      <c r="AP71" t="str">
        <f t="shared" si="4"/>
        <v/>
      </c>
    </row>
    <row r="72" spans="5:42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5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6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 t="e">
        <f t="shared" ca="1" si="7"/>
        <v>#N/A</v>
      </c>
      <c r="AB72" t="str" cm="1">
        <f t="array" aca="1" ref="AB72" ca="1">IFERROR(INDIRECT("$Z"&amp;AA72),"")</f>
        <v/>
      </c>
      <c r="AP72" t="str">
        <f t="shared" si="4"/>
        <v/>
      </c>
    </row>
    <row r="73" spans="5:42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5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6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 t="e">
        <f t="shared" ca="1" si="7"/>
        <v>#N/A</v>
      </c>
      <c r="AB73" t="str" cm="1">
        <f t="array" aca="1" ref="AB73" ca="1">IFERROR(INDIRECT("$Z"&amp;AA73),"")</f>
        <v/>
      </c>
      <c r="AP73" t="str">
        <f t="shared" si="4"/>
        <v/>
      </c>
    </row>
    <row r="74" spans="5:42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5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6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 t="e">
        <f t="shared" ca="1" si="7"/>
        <v>#N/A</v>
      </c>
      <c r="AB74" t="str" cm="1">
        <f t="array" aca="1" ref="AB74" ca="1">IFERROR(INDIRECT("$Z"&amp;AA74),"")</f>
        <v/>
      </c>
      <c r="AP74" t="str">
        <f t="shared" si="4"/>
        <v/>
      </c>
    </row>
    <row r="75" spans="5:42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5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6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 t="e">
        <f t="shared" ca="1" si="7"/>
        <v>#N/A</v>
      </c>
      <c r="AB75" t="str" cm="1">
        <f t="array" aca="1" ref="AB75" ca="1">IFERROR(INDIRECT("$Z"&amp;AA75),"")</f>
        <v/>
      </c>
      <c r="AP75" t="str">
        <f t="shared" si="4"/>
        <v/>
      </c>
    </row>
    <row r="76" spans="5:42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5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6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 t="e">
        <f t="shared" ca="1" si="7"/>
        <v>#N/A</v>
      </c>
      <c r="AB76" t="str" cm="1">
        <f t="array" aca="1" ref="AB76" ca="1">IFERROR(INDIRECT("$Z"&amp;AA76),"")</f>
        <v/>
      </c>
      <c r="AP76" t="str">
        <f t="shared" si="4"/>
        <v/>
      </c>
    </row>
    <row r="77" spans="5:42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5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6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 t="e">
        <f t="shared" ca="1" si="7"/>
        <v>#N/A</v>
      </c>
      <c r="AB77" t="str" cm="1">
        <f t="array" aca="1" ref="AB77" ca="1">IFERROR(INDIRECT("$Z"&amp;AA77),"")</f>
        <v/>
      </c>
      <c r="AP77" t="str">
        <f t="shared" si="4"/>
        <v/>
      </c>
    </row>
    <row r="78" spans="5:42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5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6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 t="e">
        <f t="shared" ca="1" si="7"/>
        <v>#N/A</v>
      </c>
      <c r="AB78" t="str" cm="1">
        <f t="array" aca="1" ref="AB78" ca="1">IFERROR(INDIRECT("$Z"&amp;AA78),"")</f>
        <v/>
      </c>
      <c r="AP78" t="str">
        <f t="shared" si="4"/>
        <v/>
      </c>
    </row>
    <row r="79" spans="5:42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5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6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 t="e">
        <f t="shared" ca="1" si="7"/>
        <v>#N/A</v>
      </c>
      <c r="AB79" t="str" cm="1">
        <f t="array" aca="1" ref="AB79" ca="1">IFERROR(INDIRECT("$Z"&amp;AA79),"")</f>
        <v/>
      </c>
      <c r="AP79" t="str">
        <f t="shared" si="4"/>
        <v/>
      </c>
    </row>
    <row r="80" spans="5:42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/>
      </c>
      <c r="Q80" t="e">
        <f t="shared" ca="1" si="5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6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 t="e">
        <f t="shared" ca="1" si="7"/>
        <v>#N/A</v>
      </c>
      <c r="AB80" t="str" cm="1">
        <f t="array" aca="1" ref="AB80" ca="1">IFERROR(INDIRECT("$Z"&amp;AA80),"")</f>
        <v/>
      </c>
      <c r="AP80" t="str">
        <f t="shared" si="4"/>
        <v/>
      </c>
    </row>
    <row r="81" spans="5:42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5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6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 t="e">
        <f t="shared" ca="1" si="7"/>
        <v>#N/A</v>
      </c>
      <c r="AB81" t="str" cm="1">
        <f t="array" aca="1" ref="AB81" ca="1">IFERROR(INDIRECT("$Z"&amp;AA81),"")</f>
        <v/>
      </c>
      <c r="AP81" t="str">
        <f t="shared" si="4"/>
        <v/>
      </c>
    </row>
    <row r="82" spans="5:42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5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6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 t="e">
        <f t="shared" ca="1" si="7"/>
        <v>#N/A</v>
      </c>
      <c r="AB82" t="str" cm="1">
        <f t="array" aca="1" ref="AB82" ca="1">IFERROR(INDIRECT("$Z"&amp;AA82),"")</f>
        <v/>
      </c>
      <c r="AP82" t="str">
        <f t="shared" si="4"/>
        <v/>
      </c>
    </row>
    <row r="83" spans="5:42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5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6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 t="e">
        <f t="shared" ca="1" si="7"/>
        <v>#N/A</v>
      </c>
      <c r="AB83" t="str" cm="1">
        <f t="array" aca="1" ref="AB83" ca="1">IFERROR(INDIRECT("$Z"&amp;AA83),"")</f>
        <v/>
      </c>
      <c r="AP83" t="str">
        <f t="shared" si="4"/>
        <v/>
      </c>
    </row>
    <row r="84" spans="5:42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5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6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 t="e">
        <f t="shared" ca="1" si="7"/>
        <v>#N/A</v>
      </c>
      <c r="AB84" t="str" cm="1">
        <f t="array" aca="1" ref="AB84" ca="1">IFERROR(INDIRECT("$Z"&amp;AA84),"")</f>
        <v/>
      </c>
      <c r="AP84" t="str">
        <f t="shared" si="4"/>
        <v/>
      </c>
    </row>
    <row r="85" spans="5:42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5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6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 t="e">
        <f t="shared" ca="1" si="7"/>
        <v>#N/A</v>
      </c>
      <c r="AB85" t="str" cm="1">
        <f t="array" aca="1" ref="AB85" ca="1">IFERROR(INDIRECT("$Z"&amp;AA85),"")</f>
        <v/>
      </c>
      <c r="AP85" t="str">
        <f t="shared" si="4"/>
        <v/>
      </c>
    </row>
    <row r="86" spans="5:42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5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6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 t="e">
        <f t="shared" ca="1" si="7"/>
        <v>#N/A</v>
      </c>
      <c r="AB86" t="str" cm="1">
        <f t="array" aca="1" ref="AB86" ca="1">IFERROR(INDIRECT("$Z"&amp;AA86),"")</f>
        <v/>
      </c>
      <c r="AP86" t="str">
        <f t="shared" si="4"/>
        <v/>
      </c>
    </row>
    <row r="87" spans="5:42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5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6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 t="e">
        <f t="shared" ca="1" si="7"/>
        <v>#N/A</v>
      </c>
      <c r="AB87" t="str" cm="1">
        <f t="array" aca="1" ref="AB87" ca="1">IFERROR(INDIRECT("$Z"&amp;AA87),"")</f>
        <v/>
      </c>
      <c r="AP87" t="str">
        <f t="shared" si="4"/>
        <v/>
      </c>
    </row>
    <row r="88" spans="5:42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5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6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 t="e">
        <f t="shared" ca="1" si="7"/>
        <v>#N/A</v>
      </c>
      <c r="AB88" t="str" cm="1">
        <f t="array" aca="1" ref="AB88" ca="1">IFERROR(INDIRECT("$Z"&amp;AA88),"")</f>
        <v/>
      </c>
      <c r="AP88" t="str">
        <f t="shared" si="4"/>
        <v/>
      </c>
    </row>
    <row r="89" spans="5:42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5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6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 t="e">
        <f t="shared" ca="1" si="7"/>
        <v>#N/A</v>
      </c>
      <c r="AB89" t="str" cm="1">
        <f t="array" aca="1" ref="AB89" ca="1">IFERROR(INDIRECT("$Z"&amp;AA89),"")</f>
        <v/>
      </c>
      <c r="AP89" t="str">
        <f t="shared" si="4"/>
        <v/>
      </c>
    </row>
    <row r="90" spans="5:42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5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6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 t="e">
        <f t="shared" ca="1" si="7"/>
        <v>#N/A</v>
      </c>
      <c r="AB90" t="str" cm="1">
        <f t="array" aca="1" ref="AB90" ca="1">IFERROR(INDIRECT("$Z"&amp;AA90),"")</f>
        <v/>
      </c>
      <c r="AP90" t="str">
        <f t="shared" si="4"/>
        <v/>
      </c>
    </row>
    <row r="91" spans="5:42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5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6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 t="e">
        <f t="shared" ca="1" si="7"/>
        <v>#N/A</v>
      </c>
      <c r="AB91" t="str" cm="1">
        <f t="array" aca="1" ref="AB91" ca="1">IFERROR(INDIRECT("$Z"&amp;AA91),"")</f>
        <v/>
      </c>
      <c r="AP91" t="str">
        <f t="shared" si="4"/>
        <v/>
      </c>
    </row>
    <row r="92" spans="5:42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5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6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 t="e">
        <f t="shared" ca="1" si="7"/>
        <v>#N/A</v>
      </c>
      <c r="AB92" t="str" cm="1">
        <f t="array" aca="1" ref="AB92" ca="1">IFERROR(INDIRECT("$Z"&amp;AA92),"")</f>
        <v/>
      </c>
      <c r="AP92" t="str">
        <f t="shared" si="4"/>
        <v/>
      </c>
    </row>
    <row r="93" spans="5:42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5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6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 t="e">
        <f t="shared" ca="1" si="7"/>
        <v>#N/A</v>
      </c>
      <c r="AB93" t="str" cm="1">
        <f t="array" aca="1" ref="AB93" ca="1">IFERROR(INDIRECT("$Z"&amp;AA93),"")</f>
        <v/>
      </c>
      <c r="AP93" t="str">
        <f t="shared" si="4"/>
        <v/>
      </c>
    </row>
    <row r="94" spans="5:42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5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6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 t="e">
        <f t="shared" ca="1" si="7"/>
        <v>#N/A</v>
      </c>
      <c r="AB94" t="str" cm="1">
        <f t="array" aca="1" ref="AB94" ca="1">IFERROR(INDIRECT("$Z"&amp;AA94),"")</f>
        <v/>
      </c>
      <c r="AP94" t="str">
        <f t="shared" si="4"/>
        <v/>
      </c>
    </row>
    <row r="95" spans="5:42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5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6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 t="e">
        <f t="shared" ca="1" si="7"/>
        <v>#N/A</v>
      </c>
      <c r="AB95" t="str" cm="1">
        <f t="array" aca="1" ref="AB95" ca="1">IFERROR(INDIRECT("$Z"&amp;AA95),"")</f>
        <v/>
      </c>
      <c r="AP95" t="str">
        <f t="shared" si="4"/>
        <v/>
      </c>
    </row>
    <row r="96" spans="5:42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5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6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 t="e">
        <f t="shared" ca="1" si="7"/>
        <v>#N/A</v>
      </c>
      <c r="AB96" t="str" cm="1">
        <f t="array" aca="1" ref="AB96" ca="1">IFERROR(INDIRECT("$Z"&amp;AA96),"")</f>
        <v/>
      </c>
      <c r="AP96" t="str">
        <f t="shared" si="4"/>
        <v/>
      </c>
    </row>
    <row r="97" spans="5:42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5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6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 t="e">
        <f t="shared" ca="1" si="7"/>
        <v>#N/A</v>
      </c>
      <c r="AB97" t="str" cm="1">
        <f t="array" aca="1" ref="AB97" ca="1">IFERROR(INDIRECT("$Z"&amp;AA97),"")</f>
        <v/>
      </c>
      <c r="AP97" t="str">
        <f t="shared" si="4"/>
        <v/>
      </c>
    </row>
    <row r="98" spans="5:42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5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6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 t="e">
        <f t="shared" ca="1" si="7"/>
        <v>#N/A</v>
      </c>
      <c r="AB98" t="str" cm="1">
        <f t="array" aca="1" ref="AB98" ca="1">IFERROR(INDIRECT("$Z"&amp;AA98),"")</f>
        <v/>
      </c>
      <c r="AP98" t="str">
        <f t="shared" si="4"/>
        <v/>
      </c>
    </row>
    <row r="99" spans="5:42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5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6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 t="e">
        <f t="shared" ca="1" si="7"/>
        <v>#N/A</v>
      </c>
      <c r="AB99" t="str" cm="1">
        <f t="array" aca="1" ref="AB99" ca="1">IFERROR(INDIRECT("$Z"&amp;AA99),"")</f>
        <v/>
      </c>
      <c r="AP99" t="str">
        <f t="shared" si="4"/>
        <v/>
      </c>
    </row>
    <row r="100" spans="5:42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5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6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 t="e">
        <f t="shared" ca="1" si="7"/>
        <v>#N/A</v>
      </c>
      <c r="AB100" t="str" cm="1">
        <f t="array" aca="1" ref="AB100" ca="1">IFERROR(INDIRECT("$Z"&amp;AA100),"")</f>
        <v/>
      </c>
      <c r="AP100" t="str">
        <f t="shared" si="4"/>
        <v/>
      </c>
    </row>
    <row r="101" spans="5:42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5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6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 t="e">
        <f t="shared" ca="1" si="7"/>
        <v>#N/A</v>
      </c>
      <c r="AB101" t="str" cm="1">
        <f t="array" aca="1" ref="AB101" ca="1">IFERROR(INDIRECT("$Z"&amp;AA101),"")</f>
        <v/>
      </c>
      <c r="AP101" t="str">
        <f t="shared" si="4"/>
        <v/>
      </c>
    </row>
    <row r="102" spans="5:42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5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6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 t="e">
        <f t="shared" ca="1" si="7"/>
        <v>#N/A</v>
      </c>
      <c r="AB102" t="str" cm="1">
        <f t="array" aca="1" ref="AB102" ca="1">IFERROR(INDIRECT("$Z"&amp;AA102),"")</f>
        <v/>
      </c>
      <c r="AP102" t="str">
        <f t="shared" si="4"/>
        <v/>
      </c>
    </row>
    <row r="103" spans="5:42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5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6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 t="e">
        <f t="shared" ca="1" si="7"/>
        <v>#N/A</v>
      </c>
      <c r="AB103" t="str" cm="1">
        <f t="array" aca="1" ref="AB103" ca="1">IFERROR(INDIRECT("$Z"&amp;AA103),"")</f>
        <v/>
      </c>
      <c r="AP103" t="str">
        <f t="shared" si="4"/>
        <v/>
      </c>
    </row>
    <row r="104" spans="5:42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5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6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 t="e">
        <f t="shared" ca="1" si="7"/>
        <v>#N/A</v>
      </c>
      <c r="AB104" t="str" cm="1">
        <f t="array" aca="1" ref="AB104" ca="1">IFERROR(INDIRECT("$Z"&amp;AA104),"")</f>
        <v/>
      </c>
      <c r="AP104" t="str">
        <f t="shared" si="4"/>
        <v/>
      </c>
    </row>
    <row r="105" spans="5:42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5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6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 t="e">
        <f t="shared" ca="1" si="7"/>
        <v>#N/A</v>
      </c>
      <c r="AB105" t="str" cm="1">
        <f t="array" aca="1" ref="AB105" ca="1">IFERROR(INDIRECT("$Z"&amp;AA105),"")</f>
        <v/>
      </c>
      <c r="AP105" t="str">
        <f t="shared" si="4"/>
        <v/>
      </c>
    </row>
    <row r="106" spans="5:42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5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6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 t="e">
        <f t="shared" ca="1" si="7"/>
        <v>#N/A</v>
      </c>
      <c r="AB106" t="str" cm="1">
        <f t="array" aca="1" ref="AB106" ca="1">IFERROR(INDIRECT("$Z"&amp;AA106),"")</f>
        <v/>
      </c>
      <c r="AP106" t="str">
        <f t="shared" si="4"/>
        <v/>
      </c>
    </row>
    <row r="107" spans="5:42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5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6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 t="e">
        <f t="shared" ca="1" si="7"/>
        <v>#N/A</v>
      </c>
      <c r="AB107" t="str" cm="1">
        <f t="array" aca="1" ref="AB107" ca="1">IFERROR(INDIRECT("$Z"&amp;AA107),"")</f>
        <v/>
      </c>
      <c r="AP107" t="str">
        <f t="shared" si="4"/>
        <v/>
      </c>
    </row>
    <row r="108" spans="5:42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5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6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 t="e">
        <f t="shared" ca="1" si="7"/>
        <v>#N/A</v>
      </c>
      <c r="AB108" t="str" cm="1">
        <f t="array" aca="1" ref="AB108" ca="1">IFERROR(INDIRECT("$Z"&amp;AA108),"")</f>
        <v/>
      </c>
      <c r="AP108" t="str">
        <f t="shared" si="4"/>
        <v/>
      </c>
    </row>
    <row r="109" spans="5:42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5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6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 t="e">
        <f t="shared" ca="1" si="7"/>
        <v>#N/A</v>
      </c>
      <c r="AB109" t="str" cm="1">
        <f t="array" aca="1" ref="AB109" ca="1">IFERROR(INDIRECT("$Z"&amp;AA109),"")</f>
        <v/>
      </c>
      <c r="AP109" t="str">
        <f t="shared" si="4"/>
        <v/>
      </c>
    </row>
    <row r="110" spans="5:42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5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6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 t="e">
        <f t="shared" ca="1" si="7"/>
        <v>#N/A</v>
      </c>
      <c r="AB110" t="str" cm="1">
        <f t="array" aca="1" ref="AB110" ca="1">IFERROR(INDIRECT("$Z"&amp;AA110),"")</f>
        <v/>
      </c>
      <c r="AP110" t="str">
        <f t="shared" si="4"/>
        <v/>
      </c>
    </row>
    <row r="111" spans="5:42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5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6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 t="e">
        <f t="shared" ca="1" si="7"/>
        <v>#N/A</v>
      </c>
      <c r="AB111" t="str" cm="1">
        <f t="array" aca="1" ref="AB111" ca="1">IFERROR(INDIRECT("$Z"&amp;AA111),"")</f>
        <v/>
      </c>
      <c r="AP111" t="str">
        <f t="shared" si="4"/>
        <v/>
      </c>
    </row>
    <row r="112" spans="5:42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5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6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 t="e">
        <f t="shared" ca="1" si="7"/>
        <v>#N/A</v>
      </c>
      <c r="AB112" t="str" cm="1">
        <f t="array" aca="1" ref="AB112" ca="1">IFERROR(INDIRECT("$Z"&amp;AA112),"")</f>
        <v/>
      </c>
      <c r="AP112" t="str">
        <f t="shared" si="4"/>
        <v/>
      </c>
    </row>
    <row r="113" spans="5:42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5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6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 t="e">
        <f t="shared" ca="1" si="7"/>
        <v>#N/A</v>
      </c>
      <c r="AB113" t="str" cm="1">
        <f t="array" aca="1" ref="AB113" ca="1">IFERROR(INDIRECT("$Z"&amp;AA113),"")</f>
        <v/>
      </c>
      <c r="AP113" t="str">
        <f t="shared" si="4"/>
        <v/>
      </c>
    </row>
    <row r="114" spans="5:42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5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6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 t="e">
        <f t="shared" ca="1" si="7"/>
        <v>#N/A</v>
      </c>
      <c r="AB114" t="str" cm="1">
        <f t="array" aca="1" ref="AB114" ca="1">IFERROR(INDIRECT("$Z"&amp;AA114),"")</f>
        <v/>
      </c>
      <c r="AP114" t="str">
        <f t="shared" si="4"/>
        <v/>
      </c>
    </row>
    <row r="115" spans="5:42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5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6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 t="e">
        <f t="shared" ca="1" si="7"/>
        <v>#N/A</v>
      </c>
      <c r="AB115" t="str" cm="1">
        <f t="array" aca="1" ref="AB115" ca="1">IFERROR(INDIRECT("$Z"&amp;AA115),"")</f>
        <v/>
      </c>
      <c r="AP115" t="str">
        <f t="shared" si="4"/>
        <v/>
      </c>
    </row>
    <row r="116" spans="5:42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5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6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 t="e">
        <f t="shared" ca="1" si="7"/>
        <v>#N/A</v>
      </c>
      <c r="AB116" t="str" cm="1">
        <f t="array" aca="1" ref="AB116" ca="1">IFERROR(INDIRECT("$Z"&amp;AA116),"")</f>
        <v/>
      </c>
      <c r="AP116" t="str">
        <f t="shared" si="4"/>
        <v/>
      </c>
    </row>
    <row r="117" spans="5:42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5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6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 t="e">
        <f t="shared" ca="1" si="7"/>
        <v>#N/A</v>
      </c>
      <c r="AB117" t="str" cm="1">
        <f t="array" aca="1" ref="AB117" ca="1">IFERROR(INDIRECT("$Z"&amp;AA117),"")</f>
        <v/>
      </c>
      <c r="AP117" t="str">
        <f t="shared" si="4"/>
        <v/>
      </c>
    </row>
    <row r="118" spans="5:42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5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6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 t="e">
        <f t="shared" ca="1" si="7"/>
        <v>#N/A</v>
      </c>
      <c r="AB118" t="str" cm="1">
        <f t="array" aca="1" ref="AB118" ca="1">IFERROR(INDIRECT("$Z"&amp;AA118),"")</f>
        <v/>
      </c>
      <c r="AP118" t="str">
        <f t="shared" si="4"/>
        <v/>
      </c>
    </row>
    <row r="119" spans="5:42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5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6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valve</v>
      </c>
      <c r="AA119" t="e">
        <f t="shared" ca="1" si="7"/>
        <v>#N/A</v>
      </c>
      <c r="AB119" t="str" cm="1">
        <f t="array" aca="1" ref="AB119" ca="1">IFERROR(INDIRECT("$Z"&amp;AA119),"")</f>
        <v/>
      </c>
      <c r="AP119" t="str">
        <f t="shared" si="4"/>
        <v/>
      </c>
    </row>
    <row r="120" spans="5:42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5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6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check valve</v>
      </c>
      <c r="AA120" t="e">
        <f t="shared" ca="1" si="7"/>
        <v>#N/A</v>
      </c>
      <c r="AB120" t="str" cm="1">
        <f t="array" aca="1" ref="AB120" ca="1">IFERROR(INDIRECT("$Z"&amp;AA120),"")</f>
        <v/>
      </c>
      <c r="AP120" t="str">
        <f t="shared" si="4"/>
        <v/>
      </c>
    </row>
    <row r="121" spans="5:42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5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6"/>
        <v>#N/A</v>
      </c>
      <c r="W121" t="str" cm="1">
        <f t="array" aca="1" ref="W121" ca="1">IFERROR(INDIRECT("$U"&amp;V121),"")</f>
        <v/>
      </c>
      <c r="Z121" cm="1">
        <f t="array" ref="Z121">INDEX($AE$2:$AS$40,MOD(ROW()-ROW($AE$2),ROWS($AE$2:$AS$40))+1,INT((ROW()-ROW($AE$2))/ROWS($AE$2:$AS$40))+1)</f>
        <v>0</v>
      </c>
      <c r="AA121" t="e">
        <f t="shared" ca="1" si="7"/>
        <v>#N/A</v>
      </c>
      <c r="AB121" t="str" cm="1">
        <f t="array" aca="1" ref="AB121" ca="1">IFERROR(INDIRECT("$Z"&amp;AA121),"")</f>
        <v/>
      </c>
      <c r="AP121" t="str">
        <f t="shared" si="4"/>
        <v/>
      </c>
    </row>
    <row r="122" spans="5:42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5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6"/>
        <v>#N/A</v>
      </c>
      <c r="W122" t="str" cm="1">
        <f t="array" aca="1" ref="W122" ca="1">IFERROR(INDIRECT("$U"&amp;V122),"")</f>
        <v/>
      </c>
      <c r="Z122" cm="1">
        <f t="array" ref="Z122">INDEX($AE$2:$AS$40,MOD(ROW()-ROW($AE$2),ROWS($AE$2:$AS$40))+1,INT((ROW()-ROW($AE$2))/ROWS($AE$2:$AS$40))+1)</f>
        <v>0</v>
      </c>
      <c r="AA122" t="e">
        <f t="shared" ca="1" si="7"/>
        <v>#N/A</v>
      </c>
      <c r="AB122" t="str" cm="1">
        <f t="array" aca="1" ref="AB122" ca="1">IFERROR(INDIRECT("$Z"&amp;AA122),"")</f>
        <v/>
      </c>
      <c r="AP122" t="str">
        <f t="shared" si="4"/>
        <v/>
      </c>
    </row>
    <row r="123" spans="5:42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5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6"/>
        <v>#N/A</v>
      </c>
      <c r="W123" t="str" cm="1">
        <f t="array" aca="1" ref="W123" ca="1">IFERROR(INDIRECT("$U"&amp;V123),"")</f>
        <v/>
      </c>
      <c r="Z123" cm="1">
        <f t="array" ref="Z123">INDEX($AE$2:$AS$40,MOD(ROW()-ROW($AE$2),ROWS($AE$2:$AS$40))+1,INT((ROW()-ROW($AE$2))/ROWS($AE$2:$AS$40))+1)</f>
        <v>0</v>
      </c>
      <c r="AA123" t="e">
        <f t="shared" ca="1" si="7"/>
        <v>#N/A</v>
      </c>
      <c r="AB123" t="str" cm="1">
        <f t="array" aca="1" ref="AB123" ca="1">IFERROR(INDIRECT("$Z"&amp;AA123),"")</f>
        <v/>
      </c>
      <c r="AP123" t="str">
        <f t="shared" si="4"/>
        <v/>
      </c>
    </row>
    <row r="124" spans="5:42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5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6"/>
        <v>#N/A</v>
      </c>
      <c r="W124" t="str" cm="1">
        <f t="array" aca="1" ref="W124" ca="1">IFERROR(INDIRECT("$U"&amp;V124),"")</f>
        <v/>
      </c>
      <c r="Z124" cm="1">
        <f t="array" ref="Z124">INDEX($AE$2:$AS$40,MOD(ROW()-ROW($AE$2),ROWS($AE$2:$AS$40))+1,INT((ROW()-ROW($AE$2))/ROWS($AE$2:$AS$40))+1)</f>
        <v>0</v>
      </c>
      <c r="AA124" t="e">
        <f t="shared" ca="1" si="7"/>
        <v>#N/A</v>
      </c>
      <c r="AB124" t="str" cm="1">
        <f t="array" aca="1" ref="AB124" ca="1">IFERROR(INDIRECT("$Z"&amp;AA124),"")</f>
        <v/>
      </c>
      <c r="AP124" t="str">
        <f t="shared" si="4"/>
        <v/>
      </c>
    </row>
    <row r="125" spans="5:42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5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6"/>
        <v>#N/A</v>
      </c>
      <c r="W125" t="str" cm="1">
        <f t="array" aca="1" ref="W125" ca="1">IFERROR(INDIRECT("$U"&amp;V125),"")</f>
        <v/>
      </c>
      <c r="Z125" cm="1">
        <f t="array" ref="Z125">INDEX($AE$2:$AS$40,MOD(ROW()-ROW($AE$2),ROWS($AE$2:$AS$40))+1,INT((ROW()-ROW($AE$2))/ROWS($AE$2:$AS$40))+1)</f>
        <v>0</v>
      </c>
      <c r="AA125" t="e">
        <f t="shared" ca="1" si="7"/>
        <v>#N/A</v>
      </c>
      <c r="AB125" t="str" cm="1">
        <f t="array" aca="1" ref="AB125" ca="1">IFERROR(INDIRECT("$Z"&amp;AA125),"")</f>
        <v/>
      </c>
      <c r="AP125" t="str">
        <f t="shared" si="4"/>
        <v/>
      </c>
    </row>
    <row r="126" spans="5:42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5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6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 t="e">
        <f t="shared" ca="1" si="7"/>
        <v>#N/A</v>
      </c>
      <c r="AB126" t="str" cm="1">
        <f t="array" aca="1" ref="AB126" ca="1">IFERROR(INDIRECT("$Z"&amp;AA126),"")</f>
        <v/>
      </c>
      <c r="AP126" t="str">
        <f t="shared" si="4"/>
        <v/>
      </c>
    </row>
    <row r="127" spans="5:42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5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6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 t="e">
        <f t="shared" ca="1" si="7"/>
        <v>#N/A</v>
      </c>
      <c r="AB127" t="str" cm="1">
        <f t="array" aca="1" ref="AB127" ca="1">IFERROR(INDIRECT("$Z"&amp;AA127),"")</f>
        <v/>
      </c>
      <c r="AP127" t="str">
        <f t="shared" si="4"/>
        <v/>
      </c>
    </row>
    <row r="128" spans="5:42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5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6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 t="e">
        <f t="shared" ca="1" si="7"/>
        <v>#N/A</v>
      </c>
      <c r="AB128" t="str" cm="1">
        <f t="array" aca="1" ref="AB128" ca="1">IFERROR(INDIRECT("$Z"&amp;AA128),"")</f>
        <v/>
      </c>
      <c r="AP128" t="str">
        <f t="shared" si="4"/>
        <v/>
      </c>
    </row>
    <row r="129" spans="5:42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5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6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 t="e">
        <f t="shared" ca="1" si="7"/>
        <v>#N/A</v>
      </c>
      <c r="AB129" t="str" cm="1">
        <f t="array" aca="1" ref="AB129" ca="1">IFERROR(INDIRECT("$Z"&amp;AA129),"")</f>
        <v/>
      </c>
      <c r="AP129" t="str">
        <f t="shared" si="4"/>
        <v/>
      </c>
    </row>
    <row r="130" spans="5:42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5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6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 t="e">
        <f t="shared" ca="1" si="7"/>
        <v>#N/A</v>
      </c>
      <c r="AB130" t="str" cm="1">
        <f t="array" aca="1" ref="AB130" ca="1">IFERROR(INDIRECT("$Z"&amp;AA130),"")</f>
        <v/>
      </c>
      <c r="AP130" t="str">
        <f t="shared" si="4"/>
        <v/>
      </c>
    </row>
    <row r="131" spans="5:42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5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6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 t="e">
        <f t="shared" ca="1" si="7"/>
        <v>#N/A</v>
      </c>
      <c r="AB131" t="str" cm="1">
        <f t="array" aca="1" ref="AB131" ca="1">IFERROR(INDIRECT("$Z"&amp;AA131),"")</f>
        <v/>
      </c>
      <c r="AP131" t="str">
        <f t="shared" ref="AP131:AP194" si="8">IF(AI131&lt;&gt;"", _xlfn.CONCAT(AI131, " (airside)"), "")</f>
        <v/>
      </c>
    </row>
    <row r="132" spans="5:42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9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0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 t="e">
        <f t="shared" ref="AA132:AA195" ca="1" si="11">MATCH("*",INDIRECT(ADDRESS(AA131+1,26,1)&amp;":$Z$1000"),0)+AA131</f>
        <v>#N/A</v>
      </c>
      <c r="AB132" t="str" cm="1">
        <f t="array" aca="1" ref="AB132" ca="1">IFERROR(INDIRECT("$Z"&amp;AA132),"")</f>
        <v/>
      </c>
      <c r="AP132" t="str">
        <f t="shared" si="8"/>
        <v/>
      </c>
    </row>
    <row r="133" spans="5:42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9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0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 t="e">
        <f t="shared" ca="1" si="11"/>
        <v>#N/A</v>
      </c>
      <c r="AB133" t="str" cm="1">
        <f t="array" aca="1" ref="AB133" ca="1">IFERROR(INDIRECT("$Z"&amp;AA133),"")</f>
        <v/>
      </c>
      <c r="AP133" t="str">
        <f t="shared" si="8"/>
        <v/>
      </c>
    </row>
    <row r="134" spans="5:42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9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0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 t="e">
        <f t="shared" ca="1" si="11"/>
        <v>#N/A</v>
      </c>
      <c r="AB134" t="str" cm="1">
        <f t="array" aca="1" ref="AB134" ca="1">IFERROR(INDIRECT("$Z"&amp;AA134),"")</f>
        <v/>
      </c>
      <c r="AP134" t="str">
        <f t="shared" si="8"/>
        <v/>
      </c>
    </row>
    <row r="135" spans="5:42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9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0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 t="e">
        <f t="shared" ca="1" si="11"/>
        <v>#N/A</v>
      </c>
      <c r="AB135" t="str" cm="1">
        <f t="array" aca="1" ref="AB135" ca="1">IFERROR(INDIRECT("$Z"&amp;AA135),"")</f>
        <v/>
      </c>
      <c r="AP135" t="str">
        <f t="shared" si="8"/>
        <v/>
      </c>
    </row>
    <row r="136" spans="5:42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9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0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 t="e">
        <f t="shared" ca="1" si="11"/>
        <v>#N/A</v>
      </c>
      <c r="AB136" t="str" cm="1">
        <f t="array" aca="1" ref="AB136" ca="1">IFERROR(INDIRECT("$Z"&amp;AA136),"")</f>
        <v/>
      </c>
      <c r="AP136" t="str">
        <f t="shared" si="8"/>
        <v/>
      </c>
    </row>
    <row r="137" spans="5:42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9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0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 t="e">
        <f t="shared" ca="1" si="11"/>
        <v>#N/A</v>
      </c>
      <c r="AB137" t="str" cm="1">
        <f t="array" aca="1" ref="AB137" ca="1">IFERROR(INDIRECT("$Z"&amp;AA137),"")</f>
        <v/>
      </c>
      <c r="AP137" t="str">
        <f t="shared" si="8"/>
        <v/>
      </c>
    </row>
    <row r="138" spans="5:42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9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0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 t="e">
        <f t="shared" ca="1" si="11"/>
        <v>#N/A</v>
      </c>
      <c r="AB138" t="str" cm="1">
        <f t="array" aca="1" ref="AB138" ca="1">IFERROR(INDIRECT("$Z"&amp;AA138),"")</f>
        <v/>
      </c>
      <c r="AP138" t="str">
        <f t="shared" si="8"/>
        <v/>
      </c>
    </row>
    <row r="139" spans="5:42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9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0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 t="e">
        <f t="shared" ca="1" si="11"/>
        <v>#N/A</v>
      </c>
      <c r="AB139" t="str" cm="1">
        <f t="array" aca="1" ref="AB139" ca="1">IFERROR(INDIRECT("$Z"&amp;AA139),"")</f>
        <v/>
      </c>
      <c r="AP139" t="str">
        <f t="shared" si="8"/>
        <v/>
      </c>
    </row>
    <row r="140" spans="5:42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9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0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 t="e">
        <f t="shared" ca="1" si="11"/>
        <v>#N/A</v>
      </c>
      <c r="AB140" t="str" cm="1">
        <f t="array" aca="1" ref="AB140" ca="1">IFERROR(INDIRECT("$Z"&amp;AA140),"")</f>
        <v/>
      </c>
      <c r="AP140" t="str">
        <f t="shared" si="8"/>
        <v/>
      </c>
    </row>
    <row r="141" spans="5:42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9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0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 t="e">
        <f t="shared" ca="1" si="11"/>
        <v>#N/A</v>
      </c>
      <c r="AB141" t="str" cm="1">
        <f t="array" aca="1" ref="AB141" ca="1">IFERROR(INDIRECT("$Z"&amp;AA141),"")</f>
        <v/>
      </c>
      <c r="AP141" t="str">
        <f t="shared" si="8"/>
        <v/>
      </c>
    </row>
    <row r="142" spans="5:42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9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0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 t="e">
        <f t="shared" ca="1" si="11"/>
        <v>#N/A</v>
      </c>
      <c r="AB142" t="str" cm="1">
        <f t="array" aca="1" ref="AB142" ca="1">IFERROR(INDIRECT("$Z"&amp;AA142),"")</f>
        <v/>
      </c>
      <c r="AP142" t="str">
        <f t="shared" si="8"/>
        <v/>
      </c>
    </row>
    <row r="143" spans="5:42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9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0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 t="e">
        <f t="shared" ca="1" si="11"/>
        <v>#N/A</v>
      </c>
      <c r="AB143" t="str" cm="1">
        <f t="array" aca="1" ref="AB143" ca="1">IFERROR(INDIRECT("$Z"&amp;AA143),"")</f>
        <v/>
      </c>
      <c r="AP143" t="str">
        <f t="shared" si="8"/>
        <v/>
      </c>
    </row>
    <row r="144" spans="5:42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9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0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 t="e">
        <f t="shared" ca="1" si="11"/>
        <v>#N/A</v>
      </c>
      <c r="AB144" t="str" cm="1">
        <f t="array" aca="1" ref="AB144" ca="1">IFERROR(INDIRECT("$Z"&amp;AA144),"")</f>
        <v/>
      </c>
      <c r="AP144" t="str">
        <f t="shared" si="8"/>
        <v/>
      </c>
    </row>
    <row r="145" spans="5:42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9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0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 t="e">
        <f t="shared" ca="1" si="11"/>
        <v>#N/A</v>
      </c>
      <c r="AB145" t="str" cm="1">
        <f t="array" aca="1" ref="AB145" ca="1">IFERROR(INDIRECT("$Z"&amp;AA145),"")</f>
        <v/>
      </c>
      <c r="AP145" t="str">
        <f t="shared" si="8"/>
        <v/>
      </c>
    </row>
    <row r="146" spans="5:42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9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0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 t="e">
        <f t="shared" ca="1" si="11"/>
        <v>#N/A</v>
      </c>
      <c r="AB146" t="str" cm="1">
        <f t="array" aca="1" ref="AB146" ca="1">IFERROR(INDIRECT("$Z"&amp;AA146),"")</f>
        <v/>
      </c>
      <c r="AP146" t="str">
        <f t="shared" si="8"/>
        <v/>
      </c>
    </row>
    <row r="147" spans="5:42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9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0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 t="e">
        <f t="shared" ca="1" si="11"/>
        <v>#N/A</v>
      </c>
      <c r="AB147" t="str" cm="1">
        <f t="array" aca="1" ref="AB147" ca="1">IFERROR(INDIRECT("$Z"&amp;AA147),"")</f>
        <v/>
      </c>
      <c r="AP147" t="str">
        <f t="shared" si="8"/>
        <v/>
      </c>
    </row>
    <row r="148" spans="5:42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9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0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 t="e">
        <f t="shared" ca="1" si="11"/>
        <v>#N/A</v>
      </c>
      <c r="AB148" t="str" cm="1">
        <f t="array" aca="1" ref="AB148" ca="1">IFERROR(INDIRECT("$Z"&amp;AA148),"")</f>
        <v/>
      </c>
      <c r="AP148" t="str">
        <f t="shared" si="8"/>
        <v/>
      </c>
    </row>
    <row r="149" spans="5:42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9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0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 t="e">
        <f t="shared" ca="1" si="11"/>
        <v>#N/A</v>
      </c>
      <c r="AB149" t="str" cm="1">
        <f t="array" aca="1" ref="AB149" ca="1">IFERROR(INDIRECT("$Z"&amp;AA149),"")</f>
        <v/>
      </c>
      <c r="AP149" t="str">
        <f t="shared" si="8"/>
        <v/>
      </c>
    </row>
    <row r="150" spans="5:42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9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0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 t="e">
        <f t="shared" ca="1" si="11"/>
        <v>#N/A</v>
      </c>
      <c r="AB150" t="str" cm="1">
        <f t="array" aca="1" ref="AB150" ca="1">IFERROR(INDIRECT("$Z"&amp;AA150),"")</f>
        <v/>
      </c>
      <c r="AP150" t="str">
        <f t="shared" si="8"/>
        <v/>
      </c>
    </row>
    <row r="151" spans="5:42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9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0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 t="e">
        <f t="shared" ca="1" si="11"/>
        <v>#N/A</v>
      </c>
      <c r="AB151" t="str" cm="1">
        <f t="array" aca="1" ref="AB151" ca="1">IFERROR(INDIRECT("$Z"&amp;AA151),"")</f>
        <v/>
      </c>
      <c r="AP151" t="str">
        <f t="shared" si="8"/>
        <v/>
      </c>
    </row>
    <row r="152" spans="5:42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9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0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 t="e">
        <f t="shared" ca="1" si="11"/>
        <v>#N/A</v>
      </c>
      <c r="AB152" t="str" cm="1">
        <f t="array" aca="1" ref="AB152" ca="1">IFERROR(INDIRECT("$Z"&amp;AA152),"")</f>
        <v/>
      </c>
      <c r="AP152" t="str">
        <f t="shared" si="8"/>
        <v/>
      </c>
    </row>
    <row r="153" spans="5:42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9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0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 t="e">
        <f t="shared" ca="1" si="11"/>
        <v>#N/A</v>
      </c>
      <c r="AB153" t="str" cm="1">
        <f t="array" aca="1" ref="AB153" ca="1">IFERROR(INDIRECT("$Z"&amp;AA153),"")</f>
        <v/>
      </c>
      <c r="AP153" t="str">
        <f t="shared" si="8"/>
        <v/>
      </c>
    </row>
    <row r="154" spans="5:42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9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0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 t="e">
        <f t="shared" ca="1" si="11"/>
        <v>#N/A</v>
      </c>
      <c r="AB154" t="str" cm="1">
        <f t="array" aca="1" ref="AB154" ca="1">IFERROR(INDIRECT("$Z"&amp;AA154),"")</f>
        <v/>
      </c>
      <c r="AP154" t="str">
        <f t="shared" si="8"/>
        <v/>
      </c>
    </row>
    <row r="155" spans="5:42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9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0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 t="e">
        <f t="shared" ca="1" si="11"/>
        <v>#N/A</v>
      </c>
      <c r="AB155" t="str" cm="1">
        <f t="array" aca="1" ref="AB155" ca="1">IFERROR(INDIRECT("$Z"&amp;AA155),"")</f>
        <v/>
      </c>
      <c r="AP155" t="str">
        <f t="shared" si="8"/>
        <v/>
      </c>
    </row>
    <row r="156" spans="5:42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9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0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 t="e">
        <f t="shared" ca="1" si="11"/>
        <v>#N/A</v>
      </c>
      <c r="AB156" t="str" cm="1">
        <f t="array" aca="1" ref="AB156" ca="1">IFERROR(INDIRECT("$Z"&amp;AA156),"")</f>
        <v/>
      </c>
      <c r="AP156" t="str">
        <f t="shared" si="8"/>
        <v/>
      </c>
    </row>
    <row r="157" spans="5:42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9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0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 t="e">
        <f t="shared" ca="1" si="11"/>
        <v>#N/A</v>
      </c>
      <c r="AB157" t="str" cm="1">
        <f t="array" aca="1" ref="AB157" ca="1">IFERROR(INDIRECT("$Z"&amp;AA157),"")</f>
        <v/>
      </c>
      <c r="AP157" t="str">
        <f t="shared" si="8"/>
        <v/>
      </c>
    </row>
    <row r="158" spans="5:42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9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0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heating coil</v>
      </c>
      <c r="AA158" t="e">
        <f t="shared" ca="1" si="11"/>
        <v>#N/A</v>
      </c>
      <c r="AB158" t="str" cm="1">
        <f t="array" aca="1" ref="AB158" ca="1">IFERROR(INDIRECT("$Z"&amp;AA158),"")</f>
        <v/>
      </c>
      <c r="AP158" t="str">
        <f t="shared" si="8"/>
        <v/>
      </c>
    </row>
    <row r="159" spans="5:42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9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0"/>
        <v>#N/A</v>
      </c>
      <c r="W159" t="str" cm="1">
        <f t="array" aca="1" ref="W159" ca="1">IFERROR(INDIRECT("$U"&amp;V159),"")</f>
        <v/>
      </c>
      <c r="Z159" cm="1">
        <f t="array" ref="Z159">INDEX($AE$2:$AS$40,MOD(ROW()-ROW($AE$2),ROWS($AE$2:$AS$40))+1,INT((ROW()-ROW($AE$2))/ROWS($AE$2:$AS$40))+1)</f>
        <v>0</v>
      </c>
      <c r="AA159" t="e">
        <f t="shared" ca="1" si="11"/>
        <v>#N/A</v>
      </c>
      <c r="AB159" t="str" cm="1">
        <f t="array" aca="1" ref="AB159" ca="1">IFERROR(INDIRECT("$Z"&amp;AA159),"")</f>
        <v/>
      </c>
      <c r="AP159" t="str">
        <f t="shared" si="8"/>
        <v/>
      </c>
    </row>
    <row r="160" spans="5:42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9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0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 t="e">
        <f t="shared" ca="1" si="11"/>
        <v>#N/A</v>
      </c>
      <c r="AB160" t="str" cm="1">
        <f t="array" aca="1" ref="AB160" ca="1">IFERROR(INDIRECT("$Z"&amp;AA160),"")</f>
        <v/>
      </c>
      <c r="AP160" t="str">
        <f t="shared" si="8"/>
        <v/>
      </c>
    </row>
    <row r="161" spans="5:42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9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0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 t="e">
        <f t="shared" ca="1" si="11"/>
        <v>#N/A</v>
      </c>
      <c r="AB161" t="str" cm="1">
        <f t="array" aca="1" ref="AB161" ca="1">IFERROR(INDIRECT("$Z"&amp;AA161),"")</f>
        <v/>
      </c>
      <c r="AP161" t="str">
        <f t="shared" si="8"/>
        <v/>
      </c>
    </row>
    <row r="162" spans="5:42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9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0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 t="e">
        <f t="shared" ca="1" si="11"/>
        <v>#N/A</v>
      </c>
      <c r="AB162" t="str" cm="1">
        <f t="array" aca="1" ref="AB162" ca="1">IFERROR(INDIRECT("$Z"&amp;AA162),"")</f>
        <v/>
      </c>
      <c r="AP162" t="str">
        <f t="shared" si="8"/>
        <v/>
      </c>
    </row>
    <row r="163" spans="5:42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9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0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 t="e">
        <f t="shared" ca="1" si="11"/>
        <v>#N/A</v>
      </c>
      <c r="AB163" t="str" cm="1">
        <f t="array" aca="1" ref="AB163" ca="1">IFERROR(INDIRECT("$Z"&amp;AA163),"")</f>
        <v/>
      </c>
      <c r="AP163" t="str">
        <f t="shared" si="8"/>
        <v/>
      </c>
    </row>
    <row r="164" spans="5:42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9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0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 t="e">
        <f t="shared" ca="1" si="11"/>
        <v>#N/A</v>
      </c>
      <c r="AB164" t="str" cm="1">
        <f t="array" aca="1" ref="AB164" ca="1">IFERROR(INDIRECT("$Z"&amp;AA164),"")</f>
        <v/>
      </c>
      <c r="AP164" t="str">
        <f t="shared" si="8"/>
        <v/>
      </c>
    </row>
    <row r="165" spans="5:42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9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0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 t="e">
        <f t="shared" ca="1" si="11"/>
        <v>#N/A</v>
      </c>
      <c r="AB165" t="str" cm="1">
        <f t="array" aca="1" ref="AB165" ca="1">IFERROR(INDIRECT("$Z"&amp;AA165),"")</f>
        <v/>
      </c>
      <c r="AP165" t="str">
        <f t="shared" si="8"/>
        <v/>
      </c>
    </row>
    <row r="166" spans="5:42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9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0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 t="e">
        <f t="shared" ca="1" si="11"/>
        <v>#N/A</v>
      </c>
      <c r="AB166" t="str" cm="1">
        <f t="array" aca="1" ref="AB166" ca="1">IFERROR(INDIRECT("$Z"&amp;AA166),"")</f>
        <v/>
      </c>
      <c r="AP166" t="str">
        <f t="shared" si="8"/>
        <v/>
      </c>
    </row>
    <row r="167" spans="5:42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9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0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 t="e">
        <f t="shared" ca="1" si="11"/>
        <v>#N/A</v>
      </c>
      <c r="AB167" t="str" cm="1">
        <f t="array" aca="1" ref="AB167" ca="1">IFERROR(INDIRECT("$Z"&amp;AA167),"")</f>
        <v/>
      </c>
      <c r="AP167" t="str">
        <f t="shared" si="8"/>
        <v/>
      </c>
    </row>
    <row r="168" spans="5:42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9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0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 t="e">
        <f t="shared" ca="1" si="11"/>
        <v>#N/A</v>
      </c>
      <c r="AB168" t="str" cm="1">
        <f t="array" aca="1" ref="AB168" ca="1">IFERROR(INDIRECT("$Z"&amp;AA168),"")</f>
        <v/>
      </c>
      <c r="AP168" t="str">
        <f t="shared" si="8"/>
        <v/>
      </c>
    </row>
    <row r="169" spans="5:42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9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0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 t="e">
        <f t="shared" ca="1" si="11"/>
        <v>#N/A</v>
      </c>
      <c r="AB169" t="str" cm="1">
        <f t="array" aca="1" ref="AB169" ca="1">IFERROR(INDIRECT("$Z"&amp;AA169),"")</f>
        <v/>
      </c>
      <c r="AP169" t="str">
        <f t="shared" si="8"/>
        <v/>
      </c>
    </row>
    <row r="170" spans="5:42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9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0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 t="e">
        <f t="shared" ca="1" si="11"/>
        <v>#N/A</v>
      </c>
      <c r="AB170" t="str" cm="1">
        <f t="array" aca="1" ref="AB170" ca="1">IFERROR(INDIRECT("$Z"&amp;AA170),"")</f>
        <v/>
      </c>
      <c r="AP170" t="str">
        <f t="shared" si="8"/>
        <v/>
      </c>
    </row>
    <row r="171" spans="5:42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9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0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 t="e">
        <f t="shared" ca="1" si="11"/>
        <v>#N/A</v>
      </c>
      <c r="AB171" t="str" cm="1">
        <f t="array" aca="1" ref="AB171" ca="1">IFERROR(INDIRECT("$Z"&amp;AA171),"")</f>
        <v/>
      </c>
      <c r="AP171" t="str">
        <f t="shared" si="8"/>
        <v/>
      </c>
    </row>
    <row r="172" spans="5:42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9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0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 t="e">
        <f t="shared" ca="1" si="11"/>
        <v>#N/A</v>
      </c>
      <c r="AB172" t="str" cm="1">
        <f t="array" aca="1" ref="AB172" ca="1">IFERROR(INDIRECT("$Z"&amp;AA172),"")</f>
        <v/>
      </c>
      <c r="AP172" t="str">
        <f t="shared" si="8"/>
        <v/>
      </c>
    </row>
    <row r="173" spans="5:42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9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0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 t="e">
        <f t="shared" ca="1" si="11"/>
        <v>#N/A</v>
      </c>
      <c r="AB173" t="str" cm="1">
        <f t="array" aca="1" ref="AB173" ca="1">IFERROR(INDIRECT("$Z"&amp;AA173),"")</f>
        <v/>
      </c>
      <c r="AP173" t="str">
        <f t="shared" si="8"/>
        <v/>
      </c>
    </row>
    <row r="174" spans="5:42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9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0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 t="e">
        <f t="shared" ca="1" si="11"/>
        <v>#N/A</v>
      </c>
      <c r="AB174" t="str" cm="1">
        <f t="array" aca="1" ref="AB174" ca="1">IFERROR(INDIRECT("$Z"&amp;AA174),"")</f>
        <v/>
      </c>
      <c r="AP174" t="str">
        <f t="shared" si="8"/>
        <v/>
      </c>
    </row>
    <row r="175" spans="5:42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9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0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 t="e">
        <f t="shared" ca="1" si="11"/>
        <v>#N/A</v>
      </c>
      <c r="AB175" t="str" cm="1">
        <f t="array" aca="1" ref="AB175" ca="1">IFERROR(INDIRECT("$Z"&amp;AA175),"")</f>
        <v/>
      </c>
      <c r="AP175" t="str">
        <f t="shared" si="8"/>
        <v/>
      </c>
    </row>
    <row r="176" spans="5:42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9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0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 t="e">
        <f t="shared" ca="1" si="11"/>
        <v>#N/A</v>
      </c>
      <c r="AB176" t="str" cm="1">
        <f t="array" aca="1" ref="AB176" ca="1">IFERROR(INDIRECT("$Z"&amp;AA176),"")</f>
        <v/>
      </c>
      <c r="AP176" t="str">
        <f t="shared" si="8"/>
        <v/>
      </c>
    </row>
    <row r="177" spans="5:42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9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0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 t="e">
        <f t="shared" ca="1" si="11"/>
        <v>#N/A</v>
      </c>
      <c r="AB177" t="str" cm="1">
        <f t="array" aca="1" ref="AB177" ca="1">IFERROR(INDIRECT("$Z"&amp;AA177),"")</f>
        <v/>
      </c>
      <c r="AP177" t="str">
        <f t="shared" si="8"/>
        <v/>
      </c>
    </row>
    <row r="178" spans="5:42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9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0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 t="e">
        <f t="shared" ca="1" si="11"/>
        <v>#N/A</v>
      </c>
      <c r="AB178" t="str" cm="1">
        <f t="array" aca="1" ref="AB178" ca="1">IFERROR(INDIRECT("$Z"&amp;AA178),"")</f>
        <v/>
      </c>
      <c r="AP178" t="str">
        <f t="shared" si="8"/>
        <v/>
      </c>
    </row>
    <row r="179" spans="5:42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9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0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 t="e">
        <f t="shared" ca="1" si="11"/>
        <v>#N/A</v>
      </c>
      <c r="AB179" t="str" cm="1">
        <f t="array" aca="1" ref="AB179" ca="1">IFERROR(INDIRECT("$Z"&amp;AA179),"")</f>
        <v/>
      </c>
      <c r="AP179" t="str">
        <f t="shared" si="8"/>
        <v/>
      </c>
    </row>
    <row r="180" spans="5:42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9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0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 t="e">
        <f t="shared" ca="1" si="11"/>
        <v>#N/A</v>
      </c>
      <c r="AB180" t="str" cm="1">
        <f t="array" aca="1" ref="AB180" ca="1">IFERROR(INDIRECT("$Z"&amp;AA180),"")</f>
        <v/>
      </c>
      <c r="AP180" t="str">
        <f t="shared" si="8"/>
        <v/>
      </c>
    </row>
    <row r="181" spans="5:42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9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0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 t="e">
        <f t="shared" ca="1" si="11"/>
        <v>#N/A</v>
      </c>
      <c r="AB181" t="str" cm="1">
        <f t="array" aca="1" ref="AB181" ca="1">IFERROR(INDIRECT("$Z"&amp;AA181),"")</f>
        <v/>
      </c>
      <c r="AP181" t="str">
        <f t="shared" si="8"/>
        <v/>
      </c>
    </row>
    <row r="182" spans="5:42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9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0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 t="e">
        <f t="shared" ca="1" si="11"/>
        <v>#N/A</v>
      </c>
      <c r="AB182" t="str" cm="1">
        <f t="array" aca="1" ref="AB182" ca="1">IFERROR(INDIRECT("$Z"&amp;AA182),"")</f>
        <v/>
      </c>
      <c r="AP182" t="str">
        <f t="shared" si="8"/>
        <v/>
      </c>
    </row>
    <row r="183" spans="5:42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9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0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 t="e">
        <f t="shared" ca="1" si="11"/>
        <v>#N/A</v>
      </c>
      <c r="AB183" t="str" cm="1">
        <f t="array" aca="1" ref="AB183" ca="1">IFERROR(INDIRECT("$Z"&amp;AA183),"")</f>
        <v/>
      </c>
      <c r="AP183" t="str">
        <f t="shared" si="8"/>
        <v/>
      </c>
    </row>
    <row r="184" spans="5:42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9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0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 t="e">
        <f t="shared" ca="1" si="11"/>
        <v>#N/A</v>
      </c>
      <c r="AB184" t="str" cm="1">
        <f t="array" aca="1" ref="AB184" ca="1">IFERROR(INDIRECT("$Z"&amp;AA184),"")</f>
        <v/>
      </c>
      <c r="AP184" t="str">
        <f t="shared" si="8"/>
        <v/>
      </c>
    </row>
    <row r="185" spans="5:42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9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0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 t="e">
        <f t="shared" ca="1" si="11"/>
        <v>#N/A</v>
      </c>
      <c r="AB185" t="str" cm="1">
        <f t="array" aca="1" ref="AB185" ca="1">IFERROR(INDIRECT("$Z"&amp;AA185),"")</f>
        <v/>
      </c>
      <c r="AP185" t="str">
        <f t="shared" si="8"/>
        <v/>
      </c>
    </row>
    <row r="186" spans="5:42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9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0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 t="e">
        <f t="shared" ca="1" si="11"/>
        <v>#N/A</v>
      </c>
      <c r="AB186" t="str" cm="1">
        <f t="array" aca="1" ref="AB186" ca="1">IFERROR(INDIRECT("$Z"&amp;AA186),"")</f>
        <v/>
      </c>
      <c r="AP186" t="str">
        <f t="shared" si="8"/>
        <v/>
      </c>
    </row>
    <row r="187" spans="5:42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9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0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 t="e">
        <f t="shared" ca="1" si="11"/>
        <v>#N/A</v>
      </c>
      <c r="AB187" t="str" cm="1">
        <f t="array" aca="1" ref="AB187" ca="1">IFERROR(INDIRECT("$Z"&amp;AA187),"")</f>
        <v/>
      </c>
      <c r="AP187" t="str">
        <f t="shared" si="8"/>
        <v/>
      </c>
    </row>
    <row r="188" spans="5:42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9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0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 t="e">
        <f t="shared" ca="1" si="11"/>
        <v>#N/A</v>
      </c>
      <c r="AB188" t="str" cm="1">
        <f t="array" aca="1" ref="AB188" ca="1">IFERROR(INDIRECT("$Z"&amp;AA188),"")</f>
        <v/>
      </c>
      <c r="AP188" t="str">
        <f t="shared" si="8"/>
        <v/>
      </c>
    </row>
    <row r="189" spans="5:42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9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0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 t="e">
        <f t="shared" ca="1" si="11"/>
        <v>#N/A</v>
      </c>
      <c r="AB189" t="str" cm="1">
        <f t="array" aca="1" ref="AB189" ca="1">IFERROR(INDIRECT("$Z"&amp;AA189),"")</f>
        <v/>
      </c>
      <c r="AP189" t="str">
        <f t="shared" si="8"/>
        <v/>
      </c>
    </row>
    <row r="190" spans="5:42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9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0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 t="e">
        <f t="shared" ca="1" si="11"/>
        <v>#N/A</v>
      </c>
      <c r="AB190" t="str" cm="1">
        <f t="array" aca="1" ref="AB190" ca="1">IFERROR(INDIRECT("$Z"&amp;AA190),"")</f>
        <v/>
      </c>
      <c r="AP190" t="str">
        <f t="shared" si="8"/>
        <v/>
      </c>
    </row>
    <row r="191" spans="5:42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9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0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 t="e">
        <f t="shared" ca="1" si="11"/>
        <v>#N/A</v>
      </c>
      <c r="AB191" t="str" cm="1">
        <f t="array" aca="1" ref="AB191" ca="1">IFERROR(INDIRECT("$Z"&amp;AA191),"")</f>
        <v/>
      </c>
      <c r="AP191" t="str">
        <f t="shared" si="8"/>
        <v/>
      </c>
    </row>
    <row r="192" spans="5:42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9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0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 t="e">
        <f t="shared" ca="1" si="11"/>
        <v>#N/A</v>
      </c>
      <c r="AB192" t="str" cm="1">
        <f t="array" aca="1" ref="AB192" ca="1">IFERROR(INDIRECT("$Z"&amp;AA192),"")</f>
        <v/>
      </c>
      <c r="AP192" t="str">
        <f t="shared" si="8"/>
        <v/>
      </c>
    </row>
    <row r="193" spans="5:42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9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0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 t="e">
        <f t="shared" ca="1" si="11"/>
        <v>#N/A</v>
      </c>
      <c r="AB193" t="str" cm="1">
        <f t="array" aca="1" ref="AB193" ca="1">IFERROR(INDIRECT("$Z"&amp;AA193),"")</f>
        <v/>
      </c>
      <c r="AP193" t="str">
        <f t="shared" si="8"/>
        <v/>
      </c>
    </row>
    <row r="194" spans="5:42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9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0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 t="e">
        <f t="shared" ca="1" si="11"/>
        <v>#N/A</v>
      </c>
      <c r="AB194" t="str" cm="1">
        <f t="array" aca="1" ref="AB194" ca="1">IFERROR(INDIRECT("$Z"&amp;AA194),"")</f>
        <v/>
      </c>
      <c r="AP194" t="str">
        <f t="shared" si="8"/>
        <v/>
      </c>
    </row>
    <row r="195" spans="5:42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9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0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 t="e">
        <f t="shared" ca="1" si="11"/>
        <v>#N/A</v>
      </c>
      <c r="AB195" t="str" cm="1">
        <f t="array" aca="1" ref="AB195" ca="1">IFERROR(INDIRECT("$Z"&amp;AA195),"")</f>
        <v/>
      </c>
      <c r="AP195" t="str">
        <f t="shared" ref="AP195:AP258" si="12">IF(AI195&lt;&gt;"", _xlfn.CONCAT(AI195, " (airside)"), "")</f>
        <v/>
      </c>
    </row>
    <row r="196" spans="5:42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13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14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 t="e">
        <f t="shared" ref="AA196:AA259" ca="1" si="15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12"/>
        <v/>
      </c>
    </row>
    <row r="197" spans="5:42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13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14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 t="e">
        <f t="shared" ca="1" si="15"/>
        <v>#N/A</v>
      </c>
      <c r="AB197" t="str" cm="1">
        <f t="array" aca="1" ref="AB197" ca="1">IFERROR(INDIRECT("$Z"&amp;AA197),"")</f>
        <v/>
      </c>
      <c r="AP197" t="str">
        <f t="shared" si="12"/>
        <v/>
      </c>
    </row>
    <row r="198" spans="5:42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13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14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 t="e">
        <f t="shared" ca="1" si="15"/>
        <v>#N/A</v>
      </c>
      <c r="AB198" t="str" cm="1">
        <f t="array" aca="1" ref="AB198" ca="1">IFERROR(INDIRECT("$Z"&amp;AA198),"")</f>
        <v/>
      </c>
      <c r="AP198" t="str">
        <f t="shared" si="12"/>
        <v/>
      </c>
    </row>
    <row r="199" spans="5:42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13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14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 t="e">
        <f t="shared" ca="1" si="15"/>
        <v>#N/A</v>
      </c>
      <c r="AB199" t="str" cm="1">
        <f t="array" aca="1" ref="AB199" ca="1">IFERROR(INDIRECT("$Z"&amp;AA199),"")</f>
        <v/>
      </c>
      <c r="AP199" t="str">
        <f t="shared" si="12"/>
        <v/>
      </c>
    </row>
    <row r="200" spans="5:42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13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14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 t="e">
        <f t="shared" ca="1" si="15"/>
        <v>#N/A</v>
      </c>
      <c r="AB200" t="str" cm="1">
        <f t="array" aca="1" ref="AB200" ca="1">IFERROR(INDIRECT("$Z"&amp;AA200),"")</f>
        <v/>
      </c>
      <c r="AP200" t="str">
        <f t="shared" si="12"/>
        <v/>
      </c>
    </row>
    <row r="201" spans="5:42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13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14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 t="e">
        <f t="shared" ca="1" si="15"/>
        <v>#N/A</v>
      </c>
      <c r="AB201" t="str" cm="1">
        <f t="array" aca="1" ref="AB201" ca="1">IFERROR(INDIRECT("$Z"&amp;AA201),"")</f>
        <v/>
      </c>
      <c r="AP201" t="str">
        <f t="shared" si="12"/>
        <v/>
      </c>
    </row>
    <row r="202" spans="5:42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13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14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 t="e">
        <f t="shared" ca="1" si="15"/>
        <v>#N/A</v>
      </c>
      <c r="AB202" t="str" cm="1">
        <f t="array" aca="1" ref="AB202" ca="1">IFERROR(INDIRECT("$Z"&amp;AA202),"")</f>
        <v/>
      </c>
      <c r="AP202" t="str">
        <f t="shared" si="12"/>
        <v/>
      </c>
    </row>
    <row r="203" spans="5:42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13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14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 t="e">
        <f t="shared" ca="1" si="15"/>
        <v>#N/A</v>
      </c>
      <c r="AB203" t="str" cm="1">
        <f t="array" aca="1" ref="AB203" ca="1">IFERROR(INDIRECT("$Z"&amp;AA203),"")</f>
        <v/>
      </c>
      <c r="AP203" t="str">
        <f t="shared" si="12"/>
        <v/>
      </c>
    </row>
    <row r="204" spans="5:42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13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14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 t="e">
        <f t="shared" ca="1" si="15"/>
        <v>#N/A</v>
      </c>
      <c r="AB204" t="str" cm="1">
        <f t="array" aca="1" ref="AB204" ca="1">IFERROR(INDIRECT("$Z"&amp;AA204),"")</f>
        <v/>
      </c>
      <c r="AP204" t="str">
        <f t="shared" si="12"/>
        <v/>
      </c>
    </row>
    <row r="205" spans="5:42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13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14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 t="e">
        <f t="shared" ca="1" si="15"/>
        <v>#N/A</v>
      </c>
      <c r="AB205" t="str" cm="1">
        <f t="array" aca="1" ref="AB205" ca="1">IFERROR(INDIRECT("$Z"&amp;AA205),"")</f>
        <v/>
      </c>
      <c r="AP205" t="str">
        <f t="shared" si="12"/>
        <v/>
      </c>
    </row>
    <row r="206" spans="5:42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13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14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 t="e">
        <f t="shared" ca="1" si="15"/>
        <v>#N/A</v>
      </c>
      <c r="AB206" t="str" cm="1">
        <f t="array" aca="1" ref="AB206" ca="1">IFERROR(INDIRECT("$Z"&amp;AA206),"")</f>
        <v/>
      </c>
      <c r="AP206" t="str">
        <f t="shared" si="12"/>
        <v/>
      </c>
    </row>
    <row r="207" spans="5:42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13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14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 t="e">
        <f t="shared" ca="1" si="15"/>
        <v>#N/A</v>
      </c>
      <c r="AB207" t="str" cm="1">
        <f t="array" aca="1" ref="AB207" ca="1">IFERROR(INDIRECT("$Z"&amp;AA207),"")</f>
        <v/>
      </c>
      <c r="AP207" t="str">
        <f t="shared" si="12"/>
        <v/>
      </c>
    </row>
    <row r="208" spans="5:42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13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14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 t="e">
        <f t="shared" ca="1" si="15"/>
        <v>#N/A</v>
      </c>
      <c r="AB208" t="str" cm="1">
        <f t="array" aca="1" ref="AB208" ca="1">IFERROR(INDIRECT("$Z"&amp;AA208),"")</f>
        <v/>
      </c>
      <c r="AP208" t="str">
        <f t="shared" si="12"/>
        <v/>
      </c>
    </row>
    <row r="209" spans="5:42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13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14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 t="e">
        <f t="shared" ca="1" si="15"/>
        <v>#N/A</v>
      </c>
      <c r="AB209" t="str" cm="1">
        <f t="array" aca="1" ref="AB209" ca="1">IFERROR(INDIRECT("$Z"&amp;AA209),"")</f>
        <v/>
      </c>
      <c r="AP209" t="str">
        <f t="shared" si="12"/>
        <v/>
      </c>
    </row>
    <row r="210" spans="5:42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13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14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 t="e">
        <f t="shared" ca="1" si="15"/>
        <v>#N/A</v>
      </c>
      <c r="AB210" t="str" cm="1">
        <f t="array" aca="1" ref="AB210" ca="1">IFERROR(INDIRECT("$Z"&amp;AA210),"")</f>
        <v/>
      </c>
      <c r="AP210" t="str">
        <f t="shared" si="12"/>
        <v/>
      </c>
    </row>
    <row r="211" spans="5:42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13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14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 t="e">
        <f t="shared" ca="1" si="15"/>
        <v>#N/A</v>
      </c>
      <c r="AB211" t="str" cm="1">
        <f t="array" aca="1" ref="AB211" ca="1">IFERROR(INDIRECT("$Z"&amp;AA211),"")</f>
        <v/>
      </c>
      <c r="AP211" t="str">
        <f t="shared" si="12"/>
        <v/>
      </c>
    </row>
    <row r="212" spans="5:42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13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14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 t="e">
        <f t="shared" ca="1" si="15"/>
        <v>#N/A</v>
      </c>
      <c r="AB212" t="str" cm="1">
        <f t="array" aca="1" ref="AB212" ca="1">IFERROR(INDIRECT("$Z"&amp;AA212),"")</f>
        <v/>
      </c>
      <c r="AP212" t="str">
        <f t="shared" si="12"/>
        <v/>
      </c>
    </row>
    <row r="213" spans="5:42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13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14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 t="e">
        <f t="shared" ca="1" si="15"/>
        <v>#N/A</v>
      </c>
      <c r="AB213" t="str" cm="1">
        <f t="array" aca="1" ref="AB213" ca="1">IFERROR(INDIRECT("$Z"&amp;AA213),"")</f>
        <v/>
      </c>
      <c r="AP213" t="str">
        <f t="shared" si="12"/>
        <v/>
      </c>
    </row>
    <row r="214" spans="5:42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13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14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 t="e">
        <f t="shared" ca="1" si="15"/>
        <v>#N/A</v>
      </c>
      <c r="AB214" t="str" cm="1">
        <f t="array" aca="1" ref="AB214" ca="1">IFERROR(INDIRECT("$Z"&amp;AA214),"")</f>
        <v/>
      </c>
      <c r="AP214" t="str">
        <f t="shared" si="12"/>
        <v/>
      </c>
    </row>
    <row r="215" spans="5:42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13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14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 t="e">
        <f t="shared" ca="1" si="15"/>
        <v>#N/A</v>
      </c>
      <c r="AB215" t="str" cm="1">
        <f t="array" aca="1" ref="AB215" ca="1">IFERROR(INDIRECT("$Z"&amp;AA215),"")</f>
        <v/>
      </c>
      <c r="AP215" t="str">
        <f t="shared" si="12"/>
        <v/>
      </c>
    </row>
    <row r="216" spans="5:42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13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14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 t="e">
        <f t="shared" ca="1" si="15"/>
        <v>#N/A</v>
      </c>
      <c r="AB216" t="str" cm="1">
        <f t="array" aca="1" ref="AB216" ca="1">IFERROR(INDIRECT("$Z"&amp;AA216),"")</f>
        <v/>
      </c>
      <c r="AP216" t="str">
        <f t="shared" si="12"/>
        <v/>
      </c>
    </row>
    <row r="217" spans="5:42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13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14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 t="e">
        <f t="shared" ca="1" si="15"/>
        <v>#N/A</v>
      </c>
      <c r="AB217" t="str" cm="1">
        <f t="array" aca="1" ref="AB217" ca="1">IFERROR(INDIRECT("$Z"&amp;AA217),"")</f>
        <v/>
      </c>
      <c r="AP217" t="str">
        <f t="shared" si="12"/>
        <v/>
      </c>
    </row>
    <row r="218" spans="5:42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13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14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 t="e">
        <f t="shared" ca="1" si="15"/>
        <v>#N/A</v>
      </c>
      <c r="AB218" t="str" cm="1">
        <f t="array" aca="1" ref="AB218" ca="1">IFERROR(INDIRECT("$Z"&amp;AA218),"")</f>
        <v/>
      </c>
      <c r="AP218" t="str">
        <f t="shared" si="12"/>
        <v/>
      </c>
    </row>
    <row r="219" spans="5:42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13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14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 t="e">
        <f t="shared" ca="1" si="15"/>
        <v>#N/A</v>
      </c>
      <c r="AB219" t="str" cm="1">
        <f t="array" aca="1" ref="AB219" ca="1">IFERROR(INDIRECT("$Z"&amp;AA219),"")</f>
        <v/>
      </c>
      <c r="AP219" t="str">
        <f t="shared" si="12"/>
        <v/>
      </c>
    </row>
    <row r="220" spans="5:42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13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14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 t="e">
        <f t="shared" ca="1" si="15"/>
        <v>#N/A</v>
      </c>
      <c r="AB220" t="str" cm="1">
        <f t="array" aca="1" ref="AB220" ca="1">IFERROR(INDIRECT("$Z"&amp;AA220),"")</f>
        <v/>
      </c>
      <c r="AP220" t="str">
        <f t="shared" si="12"/>
        <v/>
      </c>
    </row>
    <row r="221" spans="5:42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13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14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 t="e">
        <f t="shared" ca="1" si="15"/>
        <v>#N/A</v>
      </c>
      <c r="AB221" t="str" cm="1">
        <f t="array" aca="1" ref="AB221" ca="1">IFERROR(INDIRECT("$Z"&amp;AA221),"")</f>
        <v/>
      </c>
      <c r="AP221" t="str">
        <f t="shared" si="12"/>
        <v/>
      </c>
    </row>
    <row r="222" spans="5:42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13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14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 t="e">
        <f t="shared" ca="1" si="15"/>
        <v>#N/A</v>
      </c>
      <c r="AB222" t="str" cm="1">
        <f t="array" aca="1" ref="AB222" ca="1">IFERROR(INDIRECT("$Z"&amp;AA222),"")</f>
        <v/>
      </c>
      <c r="AP222" t="str">
        <f t="shared" si="12"/>
        <v/>
      </c>
    </row>
    <row r="223" spans="5:42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13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14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 t="e">
        <f t="shared" ca="1" si="15"/>
        <v>#N/A</v>
      </c>
      <c r="AB223" t="str" cm="1">
        <f t="array" aca="1" ref="AB223" ca="1">IFERROR(INDIRECT("$Z"&amp;AA223),"")</f>
        <v/>
      </c>
      <c r="AP223" t="str">
        <f t="shared" si="12"/>
        <v/>
      </c>
    </row>
    <row r="224" spans="5:42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13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14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15"/>
        <v>#N/A</v>
      </c>
      <c r="AB224" t="str" cm="1">
        <f t="array" aca="1" ref="AB224" ca="1">IFERROR(INDIRECT("$Z"&amp;AA224),"")</f>
        <v/>
      </c>
      <c r="AP224" t="str">
        <f t="shared" si="12"/>
        <v/>
      </c>
    </row>
    <row r="225" spans="5:42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13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14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15"/>
        <v>#N/A</v>
      </c>
      <c r="AB225" t="str" cm="1">
        <f t="array" aca="1" ref="AB225" ca="1">IFERROR(INDIRECT("$Z"&amp;AA225),"")</f>
        <v/>
      </c>
      <c r="AP225" t="str">
        <f t="shared" si="12"/>
        <v/>
      </c>
    </row>
    <row r="226" spans="5:42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13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14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15"/>
        <v>#N/A</v>
      </c>
      <c r="AB226" t="str" cm="1">
        <f t="array" aca="1" ref="AB226" ca="1">IFERROR(INDIRECT("$Z"&amp;AA226),"")</f>
        <v/>
      </c>
      <c r="AP226" t="str">
        <f t="shared" si="12"/>
        <v/>
      </c>
    </row>
    <row r="227" spans="5:42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13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14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15"/>
        <v>#N/A</v>
      </c>
      <c r="AB227" t="str" cm="1">
        <f t="array" aca="1" ref="AB227" ca="1">IFERROR(INDIRECT("$Z"&amp;AA227),"")</f>
        <v/>
      </c>
      <c r="AP227" t="str">
        <f t="shared" si="12"/>
        <v/>
      </c>
    </row>
    <row r="228" spans="5:42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13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14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15"/>
        <v>#N/A</v>
      </c>
      <c r="AB228" t="str" cm="1">
        <f t="array" aca="1" ref="AB228" ca="1">IFERROR(INDIRECT("$Z"&amp;AA228),"")</f>
        <v/>
      </c>
      <c r="AP228" t="str">
        <f t="shared" si="12"/>
        <v/>
      </c>
    </row>
    <row r="229" spans="5:42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13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14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15"/>
        <v>#N/A</v>
      </c>
      <c r="AB229" t="str" cm="1">
        <f t="array" aca="1" ref="AB229" ca="1">IFERROR(INDIRECT("$Z"&amp;AA229),"")</f>
        <v/>
      </c>
      <c r="AP229" t="str">
        <f t="shared" si="12"/>
        <v/>
      </c>
    </row>
    <row r="230" spans="5:42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13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14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15"/>
        <v>#N/A</v>
      </c>
      <c r="AB230" t="str" cm="1">
        <f t="array" aca="1" ref="AB230" ca="1">IFERROR(INDIRECT("$Z"&amp;AA230),"")</f>
        <v/>
      </c>
      <c r="AP230" t="str">
        <f t="shared" si="12"/>
        <v/>
      </c>
    </row>
    <row r="231" spans="5:42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13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14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15"/>
        <v>#N/A</v>
      </c>
      <c r="AB231" t="str" cm="1">
        <f t="array" aca="1" ref="AB231" ca="1">IFERROR(INDIRECT("$Z"&amp;AA231),"")</f>
        <v/>
      </c>
      <c r="AP231" t="str">
        <f t="shared" si="12"/>
        <v/>
      </c>
    </row>
    <row r="232" spans="5:42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13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14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15"/>
        <v>#N/A</v>
      </c>
      <c r="AB232" t="str" cm="1">
        <f t="array" aca="1" ref="AB232" ca="1">IFERROR(INDIRECT("$Z"&amp;AA232),"")</f>
        <v/>
      </c>
      <c r="AP232" t="str">
        <f t="shared" si="12"/>
        <v/>
      </c>
    </row>
    <row r="233" spans="5:42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13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14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15"/>
        <v>#N/A</v>
      </c>
      <c r="AB233" t="str" cm="1">
        <f t="array" aca="1" ref="AB233" ca="1">IFERROR(INDIRECT("$Z"&amp;AA233),"")</f>
        <v/>
      </c>
      <c r="AP233" t="str">
        <f t="shared" si="12"/>
        <v/>
      </c>
    </row>
    <row r="234" spans="5:42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13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14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15"/>
        <v>#N/A</v>
      </c>
      <c r="AB234" t="str" cm="1">
        <f t="array" aca="1" ref="AB234" ca="1">IFERROR(INDIRECT("$Z"&amp;AA234),"")</f>
        <v/>
      </c>
      <c r="AP234" t="str">
        <f t="shared" si="12"/>
        <v/>
      </c>
    </row>
    <row r="235" spans="5:42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13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14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15"/>
        <v>#N/A</v>
      </c>
      <c r="AB235" t="str" cm="1">
        <f t="array" aca="1" ref="AB235" ca="1">IFERROR(INDIRECT("$Z"&amp;AA235),"")</f>
        <v/>
      </c>
      <c r="AP235" t="str">
        <f t="shared" si="12"/>
        <v/>
      </c>
    </row>
    <row r="236" spans="5:42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13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14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fan</v>
      </c>
      <c r="AA236" t="e">
        <f t="shared" ca="1" si="15"/>
        <v>#N/A</v>
      </c>
      <c r="AB236" t="str" cm="1">
        <f t="array" aca="1" ref="AB236" ca="1">IFERROR(INDIRECT("$Z"&amp;AA236),"")</f>
        <v/>
      </c>
      <c r="AP236" t="str">
        <f t="shared" si="12"/>
        <v/>
      </c>
    </row>
    <row r="237" spans="5:42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13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14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15"/>
        <v>#N/A</v>
      </c>
      <c r="AB237" t="str" cm="1">
        <f t="array" aca="1" ref="AB237" ca="1">IFERROR(INDIRECT("$Z"&amp;AA237),"")</f>
        <v/>
      </c>
      <c r="AP237" t="str">
        <f t="shared" si="12"/>
        <v/>
      </c>
    </row>
    <row r="238" spans="5:42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13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14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15"/>
        <v>#N/A</v>
      </c>
      <c r="AB238" t="str" cm="1">
        <f t="array" aca="1" ref="AB238" ca="1">IFERROR(INDIRECT("$Z"&amp;AA238),"")</f>
        <v/>
      </c>
      <c r="AP238" t="str">
        <f t="shared" si="12"/>
        <v/>
      </c>
    </row>
    <row r="239" spans="5:42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13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14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15"/>
        <v>#N/A</v>
      </c>
      <c r="AB239" t="str" cm="1">
        <f t="array" aca="1" ref="AB239" ca="1">IFERROR(INDIRECT("$Z"&amp;AA239),"")</f>
        <v/>
      </c>
      <c r="AP239" t="str">
        <f t="shared" si="12"/>
        <v/>
      </c>
    </row>
    <row r="240" spans="5:42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13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14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15"/>
        <v>#N/A</v>
      </c>
      <c r="AB240" t="str" cm="1">
        <f t="array" aca="1" ref="AB240" ca="1">IFERROR(INDIRECT("$Z"&amp;AA240),"")</f>
        <v/>
      </c>
      <c r="AP240" t="str">
        <f t="shared" si="12"/>
        <v/>
      </c>
    </row>
    <row r="241" spans="5:42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13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14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15"/>
        <v>#N/A</v>
      </c>
      <c r="AB241" t="str" cm="1">
        <f t="array" aca="1" ref="AB241" ca="1">IFERROR(INDIRECT("$Z"&amp;AA241),"")</f>
        <v/>
      </c>
      <c r="AP241" t="str">
        <f t="shared" si="12"/>
        <v/>
      </c>
    </row>
    <row r="242" spans="5:42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13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14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15"/>
        <v>#N/A</v>
      </c>
      <c r="AB242" t="str" cm="1">
        <f t="array" aca="1" ref="AB242" ca="1">IFERROR(INDIRECT("$Z"&amp;AA242),"")</f>
        <v/>
      </c>
      <c r="AP242" t="str">
        <f t="shared" si="12"/>
        <v/>
      </c>
    </row>
    <row r="243" spans="5:42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13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14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15"/>
        <v>#N/A</v>
      </c>
      <c r="AB243" t="str" cm="1">
        <f t="array" aca="1" ref="AB243" ca="1">IFERROR(INDIRECT("$Z"&amp;AA243),"")</f>
        <v/>
      </c>
      <c r="AP243" t="str">
        <f t="shared" si="12"/>
        <v/>
      </c>
    </row>
    <row r="244" spans="5:42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13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14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15"/>
        <v>#N/A</v>
      </c>
      <c r="AB244" t="str" cm="1">
        <f t="array" aca="1" ref="AB244" ca="1">IFERROR(INDIRECT("$Z"&amp;AA244),"")</f>
        <v/>
      </c>
      <c r="AP244" t="str">
        <f t="shared" si="12"/>
        <v/>
      </c>
    </row>
    <row r="245" spans="5:42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13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14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15"/>
        <v>#N/A</v>
      </c>
      <c r="AB245" t="str" cm="1">
        <f t="array" aca="1" ref="AB245" ca="1">IFERROR(INDIRECT("$Z"&amp;AA245),"")</f>
        <v/>
      </c>
      <c r="AP245" t="str">
        <f t="shared" si="12"/>
        <v/>
      </c>
    </row>
    <row r="246" spans="5:42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13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14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15"/>
        <v>#N/A</v>
      </c>
      <c r="AB246" t="str" cm="1">
        <f t="array" aca="1" ref="AB246" ca="1">IFERROR(INDIRECT("$Z"&amp;AA246),"")</f>
        <v/>
      </c>
      <c r="AP246" t="str">
        <f t="shared" si="12"/>
        <v/>
      </c>
    </row>
    <row r="247" spans="5:42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13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14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15"/>
        <v>#N/A</v>
      </c>
      <c r="AB247" t="str" cm="1">
        <f t="array" aca="1" ref="AB247" ca="1">IFERROR(INDIRECT("$Z"&amp;AA247),"")</f>
        <v/>
      </c>
      <c r="AP247" t="str">
        <f t="shared" si="12"/>
        <v/>
      </c>
    </row>
    <row r="248" spans="5:42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13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14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15"/>
        <v>#N/A</v>
      </c>
      <c r="AB248" t="str" cm="1">
        <f t="array" aca="1" ref="AB248" ca="1">IFERROR(INDIRECT("$Z"&amp;AA248),"")</f>
        <v/>
      </c>
      <c r="AP248" t="str">
        <f t="shared" si="12"/>
        <v/>
      </c>
    </row>
    <row r="249" spans="5:42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13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14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15"/>
        <v>#N/A</v>
      </c>
      <c r="AB249" t="str" cm="1">
        <f t="array" aca="1" ref="AB249" ca="1">IFERROR(INDIRECT("$Z"&amp;AA249),"")</f>
        <v/>
      </c>
      <c r="AP249" t="str">
        <f t="shared" si="12"/>
        <v/>
      </c>
    </row>
    <row r="250" spans="5:42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13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14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15"/>
        <v>#N/A</v>
      </c>
      <c r="AB250" t="str" cm="1">
        <f t="array" aca="1" ref="AB250" ca="1">IFERROR(INDIRECT("$Z"&amp;AA250),"")</f>
        <v/>
      </c>
      <c r="AP250" t="str">
        <f t="shared" si="12"/>
        <v/>
      </c>
    </row>
    <row r="251" spans="5:42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13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14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15"/>
        <v>#N/A</v>
      </c>
      <c r="AB251" t="str" cm="1">
        <f t="array" aca="1" ref="AB251" ca="1">IFERROR(INDIRECT("$Z"&amp;AA251),"")</f>
        <v/>
      </c>
      <c r="AP251" t="str">
        <f t="shared" si="12"/>
        <v/>
      </c>
    </row>
    <row r="252" spans="5:42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13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14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15"/>
        <v>#N/A</v>
      </c>
      <c r="AB252" t="str" cm="1">
        <f t="array" aca="1" ref="AB252" ca="1">IFERROR(INDIRECT("$Z"&amp;AA252),"")</f>
        <v/>
      </c>
      <c r="AP252" t="str">
        <f t="shared" si="12"/>
        <v/>
      </c>
    </row>
    <row r="253" spans="5:42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13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14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15"/>
        <v>#N/A</v>
      </c>
      <c r="AB253" t="str" cm="1">
        <f t="array" aca="1" ref="AB253" ca="1">IFERROR(INDIRECT("$Z"&amp;AA253),"")</f>
        <v/>
      </c>
      <c r="AP253" t="str">
        <f t="shared" si="12"/>
        <v/>
      </c>
    </row>
    <row r="254" spans="5:42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13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14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15"/>
        <v>#N/A</v>
      </c>
      <c r="AB254" t="str" cm="1">
        <f t="array" aca="1" ref="AB254" ca="1">IFERROR(INDIRECT("$Z"&amp;AA254),"")</f>
        <v/>
      </c>
      <c r="AP254" t="str">
        <f t="shared" si="12"/>
        <v/>
      </c>
    </row>
    <row r="255" spans="5:42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13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14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15"/>
        <v>#N/A</v>
      </c>
      <c r="AB255" t="str" cm="1">
        <f t="array" aca="1" ref="AB255" ca="1">IFERROR(INDIRECT("$Z"&amp;AA255),"")</f>
        <v/>
      </c>
      <c r="AP255" t="str">
        <f t="shared" si="12"/>
        <v/>
      </c>
    </row>
    <row r="256" spans="5:42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13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14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15"/>
        <v>#N/A</v>
      </c>
      <c r="AB256" t="str" cm="1">
        <f t="array" aca="1" ref="AB256" ca="1">IFERROR(INDIRECT("$Z"&amp;AA256),"")</f>
        <v/>
      </c>
      <c r="AP256" t="str">
        <f t="shared" si="12"/>
        <v/>
      </c>
    </row>
    <row r="257" spans="5:42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13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14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15"/>
        <v>#N/A</v>
      </c>
      <c r="AB257" t="str" cm="1">
        <f t="array" aca="1" ref="AB257" ca="1">IFERROR(INDIRECT("$Z"&amp;AA257),"")</f>
        <v/>
      </c>
      <c r="AP257" t="str">
        <f t="shared" si="12"/>
        <v/>
      </c>
    </row>
    <row r="258" spans="5:42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13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14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15"/>
        <v>#N/A</v>
      </c>
      <c r="AB258" t="str" cm="1">
        <f t="array" aca="1" ref="AB258" ca="1">IFERROR(INDIRECT("$Z"&amp;AA258),"")</f>
        <v/>
      </c>
      <c r="AP258" t="str">
        <f t="shared" si="12"/>
        <v/>
      </c>
    </row>
    <row r="259" spans="5:42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13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14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15"/>
        <v>#N/A</v>
      </c>
      <c r="AB259" t="str" cm="1">
        <f t="array" aca="1" ref="AB259" ca="1">IFERROR(INDIRECT("$Z"&amp;AA259),"")</f>
        <v/>
      </c>
      <c r="AP259" t="str">
        <f t="shared" ref="AP259:AP322" si="16">IF(AI259&lt;&gt;"", _xlfn.CONCAT(AI259, " (airside)"), "")</f>
        <v/>
      </c>
    </row>
    <row r="260" spans="5:42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17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18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19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16"/>
        <v/>
      </c>
    </row>
    <row r="261" spans="5:42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17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18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19"/>
        <v>#N/A</v>
      </c>
      <c r="AB261" t="str" cm="1">
        <f t="array" aca="1" ref="AB261" ca="1">IFERROR(INDIRECT("$Z"&amp;AA261),"")</f>
        <v/>
      </c>
      <c r="AP261" t="str">
        <f t="shared" si="16"/>
        <v/>
      </c>
    </row>
    <row r="262" spans="5:42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17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18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19"/>
        <v>#N/A</v>
      </c>
      <c r="AB262" t="str" cm="1">
        <f t="array" aca="1" ref="AB262" ca="1">IFERROR(INDIRECT("$Z"&amp;AA262),"")</f>
        <v/>
      </c>
      <c r="AP262" t="str">
        <f t="shared" si="16"/>
        <v/>
      </c>
    </row>
    <row r="263" spans="5:42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17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18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19"/>
        <v>#N/A</v>
      </c>
      <c r="AB263" t="str" cm="1">
        <f t="array" aca="1" ref="AB263" ca="1">IFERROR(INDIRECT("$Z"&amp;AA263),"")</f>
        <v/>
      </c>
      <c r="AP263" t="str">
        <f t="shared" si="16"/>
        <v/>
      </c>
    </row>
    <row r="264" spans="5:42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17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18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19"/>
        <v>#N/A</v>
      </c>
      <c r="AB264" t="str" cm="1">
        <f t="array" aca="1" ref="AB264" ca="1">IFERROR(INDIRECT("$Z"&amp;AA264),"")</f>
        <v/>
      </c>
      <c r="AP264" t="str">
        <f t="shared" si="16"/>
        <v/>
      </c>
    </row>
    <row r="265" spans="5:42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17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18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19"/>
        <v>#N/A</v>
      </c>
      <c r="AB265" t="str" cm="1">
        <f t="array" aca="1" ref="AB265" ca="1">IFERROR(INDIRECT("$Z"&amp;AA265),"")</f>
        <v/>
      </c>
      <c r="AP265" t="str">
        <f t="shared" si="16"/>
        <v/>
      </c>
    </row>
    <row r="266" spans="5:42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17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18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19"/>
        <v>#N/A</v>
      </c>
      <c r="AB266" t="str" cm="1">
        <f t="array" aca="1" ref="AB266" ca="1">IFERROR(INDIRECT("$Z"&amp;AA266),"")</f>
        <v/>
      </c>
      <c r="AP266" t="str">
        <f t="shared" si="16"/>
        <v/>
      </c>
    </row>
    <row r="267" spans="5:42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17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18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19"/>
        <v>#N/A</v>
      </c>
      <c r="AB267" t="str" cm="1">
        <f t="array" aca="1" ref="AB267" ca="1">IFERROR(INDIRECT("$Z"&amp;AA267),"")</f>
        <v/>
      </c>
      <c r="AP267" t="str">
        <f t="shared" si="16"/>
        <v/>
      </c>
    </row>
    <row r="268" spans="5:42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17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18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19"/>
        <v>#N/A</v>
      </c>
      <c r="AB268" t="str" cm="1">
        <f t="array" aca="1" ref="AB268" ca="1">IFERROR(INDIRECT("$Z"&amp;AA268),"")</f>
        <v/>
      </c>
      <c r="AP268" t="str">
        <f t="shared" si="16"/>
        <v/>
      </c>
    </row>
    <row r="269" spans="5:42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17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18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19"/>
        <v>#N/A</v>
      </c>
      <c r="AB269" t="str" cm="1">
        <f t="array" aca="1" ref="AB269" ca="1">IFERROR(INDIRECT("$Z"&amp;AA269),"")</f>
        <v/>
      </c>
      <c r="AP269" t="str">
        <f t="shared" si="16"/>
        <v/>
      </c>
    </row>
    <row r="270" spans="5:42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17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18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19"/>
        <v>#N/A</v>
      </c>
      <c r="AB270" t="str" cm="1">
        <f t="array" aca="1" ref="AB270" ca="1">IFERROR(INDIRECT("$Z"&amp;AA270),"")</f>
        <v/>
      </c>
      <c r="AP270" t="str">
        <f t="shared" si="16"/>
        <v/>
      </c>
    </row>
    <row r="271" spans="5:42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17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18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19"/>
        <v>#N/A</v>
      </c>
      <c r="AB271" t="str" cm="1">
        <f t="array" aca="1" ref="AB271" ca="1">IFERROR(INDIRECT("$Z"&amp;AA271),"")</f>
        <v/>
      </c>
      <c r="AP271" t="str">
        <f t="shared" si="16"/>
        <v/>
      </c>
    </row>
    <row r="272" spans="5:42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17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18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19"/>
        <v>#N/A</v>
      </c>
      <c r="AB272" t="str" cm="1">
        <f t="array" aca="1" ref="AB272" ca="1">IFERROR(INDIRECT("$Z"&amp;AA272),"")</f>
        <v/>
      </c>
      <c r="AP272" t="str">
        <f t="shared" si="16"/>
        <v/>
      </c>
    </row>
    <row r="273" spans="5:42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17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18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19"/>
        <v>#N/A</v>
      </c>
      <c r="AB273" t="str" cm="1">
        <f t="array" aca="1" ref="AB273" ca="1">IFERROR(INDIRECT("$Z"&amp;AA273),"")</f>
        <v/>
      </c>
      <c r="AP273" t="str">
        <f t="shared" si="16"/>
        <v/>
      </c>
    </row>
    <row r="274" spans="5:42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17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18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19"/>
        <v>#N/A</v>
      </c>
      <c r="AB274" t="str" cm="1">
        <f t="array" aca="1" ref="AB274" ca="1">IFERROR(INDIRECT("$Z"&amp;AA274),"")</f>
        <v/>
      </c>
      <c r="AP274" t="str">
        <f t="shared" si="16"/>
        <v/>
      </c>
    </row>
    <row r="275" spans="5:42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17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18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controller</v>
      </c>
      <c r="AA275" t="e">
        <f t="shared" ca="1" si="19"/>
        <v>#N/A</v>
      </c>
      <c r="AB275" t="str" cm="1">
        <f t="array" aca="1" ref="AB275" ca="1">IFERROR(INDIRECT("$Z"&amp;AA275),"")</f>
        <v/>
      </c>
      <c r="AP275" t="str">
        <f t="shared" si="16"/>
        <v/>
      </c>
    </row>
    <row r="276" spans="5:42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17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18"/>
        <v>#N/A</v>
      </c>
      <c r="W276" t="str" cm="1">
        <f t="array" aca="1" ref="W276" ca="1">IFERROR(INDIRECT("$U"&amp;V276),"")</f>
        <v/>
      </c>
      <c r="Z276" cm="1">
        <f t="array" ref="Z276">INDEX($AE$2:$AS$40,MOD(ROW()-ROW($AE$2),ROWS($AE$2:$AS$40))+1,INT((ROW()-ROW($AE$2))/ROWS($AE$2:$AS$40))+1)</f>
        <v>0</v>
      </c>
      <c r="AA276" t="e">
        <f t="shared" ca="1" si="19"/>
        <v>#N/A</v>
      </c>
      <c r="AB276" t="str" cm="1">
        <f t="array" aca="1" ref="AB276" ca="1">IFERROR(INDIRECT("$Z"&amp;AA276),"")</f>
        <v/>
      </c>
      <c r="AP276" t="str">
        <f t="shared" si="16"/>
        <v/>
      </c>
    </row>
    <row r="277" spans="5:42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17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18"/>
        <v>#N/A</v>
      </c>
      <c r="W277" t="str" cm="1">
        <f t="array" aca="1" ref="W277" ca="1">IFERROR(INDIRECT("$U"&amp;V277),"")</f>
        <v/>
      </c>
      <c r="Z277" cm="1">
        <f t="array" ref="Z277">INDEX($AE$2:$AS$40,MOD(ROW()-ROW($AE$2),ROWS($AE$2:$AS$40))+1,INT((ROW()-ROW($AE$2))/ROWS($AE$2:$AS$40))+1)</f>
        <v>0</v>
      </c>
      <c r="AA277" t="e">
        <f t="shared" ca="1" si="19"/>
        <v>#N/A</v>
      </c>
      <c r="AB277" t="str" cm="1">
        <f t="array" aca="1" ref="AB277" ca="1">IFERROR(INDIRECT("$Z"&amp;AA277),"")</f>
        <v/>
      </c>
      <c r="AP277" t="str">
        <f t="shared" si="16"/>
        <v/>
      </c>
    </row>
    <row r="278" spans="5:42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17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18"/>
        <v>#N/A</v>
      </c>
      <c r="W278" t="str" cm="1">
        <f t="array" aca="1" ref="W278" ca="1">IFERROR(INDIRECT("$U"&amp;V278),"")</f>
        <v/>
      </c>
      <c r="Z278" cm="1">
        <f t="array" ref="Z278">INDEX($AE$2:$AS$40,MOD(ROW()-ROW($AE$2),ROWS($AE$2:$AS$40))+1,INT((ROW()-ROW($AE$2))/ROWS($AE$2:$AS$40))+1)</f>
        <v>0</v>
      </c>
      <c r="AA278" t="e">
        <f t="shared" ca="1" si="19"/>
        <v>#N/A</v>
      </c>
      <c r="AB278" t="str" cm="1">
        <f t="array" aca="1" ref="AB278" ca="1">IFERROR(INDIRECT("$Z"&amp;AA278),"")</f>
        <v/>
      </c>
      <c r="AP278" t="str">
        <f t="shared" si="16"/>
        <v/>
      </c>
    </row>
    <row r="279" spans="5:42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17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18"/>
        <v>#N/A</v>
      </c>
      <c r="W279" t="str" cm="1">
        <f t="array" aca="1" ref="W279" ca="1">IFERROR(INDIRECT("$U"&amp;V279),"")</f>
        <v/>
      </c>
      <c r="Z279" cm="1">
        <f t="array" ref="Z279">INDEX($AE$2:$AS$40,MOD(ROW()-ROW($AE$2),ROWS($AE$2:$AS$40))+1,INT((ROW()-ROW($AE$2))/ROWS($AE$2:$AS$40))+1)</f>
        <v>0</v>
      </c>
      <c r="AA279" t="e">
        <f t="shared" ca="1" si="19"/>
        <v>#N/A</v>
      </c>
      <c r="AB279" t="str" cm="1">
        <f t="array" aca="1" ref="AB279" ca="1">IFERROR(INDIRECT("$Z"&amp;AA279),"")</f>
        <v/>
      </c>
      <c r="AP279" t="str">
        <f t="shared" si="16"/>
        <v/>
      </c>
    </row>
    <row r="280" spans="5:42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17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18"/>
        <v>#N/A</v>
      </c>
      <c r="W280" t="str" cm="1">
        <f t="array" aca="1" ref="W280" ca="1">IFERROR(INDIRECT("$U"&amp;V280),"")</f>
        <v/>
      </c>
      <c r="Z280" cm="1">
        <f t="array" ref="Z280">INDEX($AE$2:$AS$40,MOD(ROW()-ROW($AE$2),ROWS($AE$2:$AS$40))+1,INT((ROW()-ROW($AE$2))/ROWS($AE$2:$AS$40))+1)</f>
        <v>0</v>
      </c>
      <c r="AA280" t="e">
        <f t="shared" ca="1" si="19"/>
        <v>#N/A</v>
      </c>
      <c r="AB280" t="str" cm="1">
        <f t="array" aca="1" ref="AB280" ca="1">IFERROR(INDIRECT("$Z"&amp;AA280),"")</f>
        <v/>
      </c>
      <c r="AP280" t="str">
        <f t="shared" si="16"/>
        <v/>
      </c>
    </row>
    <row r="281" spans="5:42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17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18"/>
        <v>#N/A</v>
      </c>
      <c r="W281" t="str" cm="1">
        <f t="array" aca="1" ref="W281" ca="1">IFERROR(INDIRECT("$U"&amp;V281),"")</f>
        <v/>
      </c>
      <c r="Z281" cm="1">
        <f t="array" ref="Z281">INDEX($AE$2:$AS$40,MOD(ROW()-ROW($AE$2),ROWS($AE$2:$AS$40))+1,INT((ROW()-ROW($AE$2))/ROWS($AE$2:$AS$40))+1)</f>
        <v>0</v>
      </c>
      <c r="AA281" t="e">
        <f t="shared" ca="1" si="19"/>
        <v>#N/A</v>
      </c>
      <c r="AB281" t="str" cm="1">
        <f t="array" aca="1" ref="AB281" ca="1">IFERROR(INDIRECT("$Z"&amp;AA281),"")</f>
        <v/>
      </c>
      <c r="AP281" t="str">
        <f t="shared" si="16"/>
        <v/>
      </c>
    </row>
    <row r="282" spans="5:42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17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18"/>
        <v>#N/A</v>
      </c>
      <c r="W282" t="str" cm="1">
        <f t="array" aca="1" ref="W282" ca="1">IFERROR(INDIRECT("$U"&amp;V282),"")</f>
        <v/>
      </c>
      <c r="Z282" cm="1">
        <f t="array" ref="Z282">INDEX($AE$2:$AS$40,MOD(ROW()-ROW($AE$2),ROWS($AE$2:$AS$40))+1,INT((ROW()-ROW($AE$2))/ROWS($AE$2:$AS$40))+1)</f>
        <v>0</v>
      </c>
      <c r="AA282" t="e">
        <f t="shared" ca="1" si="19"/>
        <v>#N/A</v>
      </c>
      <c r="AB282" t="str" cm="1">
        <f t="array" aca="1" ref="AB282" ca="1">IFERROR(INDIRECT("$Z"&amp;AA282),"")</f>
        <v/>
      </c>
      <c r="AP282" t="str">
        <f t="shared" si="16"/>
        <v/>
      </c>
    </row>
    <row r="283" spans="5:42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17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18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19"/>
        <v>#N/A</v>
      </c>
      <c r="AB283" t="str" cm="1">
        <f t="array" aca="1" ref="AB283" ca="1">IFERROR(INDIRECT("$Z"&amp;AA283),"")</f>
        <v/>
      </c>
      <c r="AP283" t="str">
        <f t="shared" si="16"/>
        <v/>
      </c>
    </row>
    <row r="284" spans="5:42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17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18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19"/>
        <v>#N/A</v>
      </c>
      <c r="AB284" t="str" cm="1">
        <f t="array" aca="1" ref="AB284" ca="1">IFERROR(INDIRECT("$Z"&amp;AA284),"")</f>
        <v/>
      </c>
      <c r="AP284" t="str">
        <f t="shared" si="16"/>
        <v/>
      </c>
    </row>
    <row r="285" spans="5:42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17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18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19"/>
        <v>#N/A</v>
      </c>
      <c r="AB285" t="str" cm="1">
        <f t="array" aca="1" ref="AB285" ca="1">IFERROR(INDIRECT("$Z"&amp;AA285),"")</f>
        <v/>
      </c>
      <c r="AP285" t="str">
        <f t="shared" si="16"/>
        <v/>
      </c>
    </row>
    <row r="286" spans="5:42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17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18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19"/>
        <v>#N/A</v>
      </c>
      <c r="AB286" t="str" cm="1">
        <f t="array" aca="1" ref="AB286" ca="1">IFERROR(INDIRECT("$Z"&amp;AA286),"")</f>
        <v/>
      </c>
      <c r="AP286" t="str">
        <f t="shared" si="16"/>
        <v/>
      </c>
    </row>
    <row r="287" spans="5:42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17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18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19"/>
        <v>#N/A</v>
      </c>
      <c r="AB287" t="str" cm="1">
        <f t="array" aca="1" ref="AB287" ca="1">IFERROR(INDIRECT("$Z"&amp;AA287),"")</f>
        <v/>
      </c>
      <c r="AP287" t="str">
        <f t="shared" si="16"/>
        <v/>
      </c>
    </row>
    <row r="288" spans="5:42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17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18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19"/>
        <v>#N/A</v>
      </c>
      <c r="AB288" t="str" cm="1">
        <f t="array" aca="1" ref="AB288" ca="1">IFERROR(INDIRECT("$Z"&amp;AA288),"")</f>
        <v/>
      </c>
      <c r="AP288" t="str">
        <f t="shared" si="16"/>
        <v/>
      </c>
    </row>
    <row r="289" spans="5:42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17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18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19"/>
        <v>#N/A</v>
      </c>
      <c r="AB289" t="str" cm="1">
        <f t="array" aca="1" ref="AB289" ca="1">IFERROR(INDIRECT("$Z"&amp;AA289),"")</f>
        <v/>
      </c>
      <c r="AP289" t="str">
        <f t="shared" si="16"/>
        <v/>
      </c>
    </row>
    <row r="290" spans="5:42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17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18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19"/>
        <v>#N/A</v>
      </c>
      <c r="AB290" t="str" cm="1">
        <f t="array" aca="1" ref="AB290" ca="1">IFERROR(INDIRECT("$Z"&amp;AA290),"")</f>
        <v/>
      </c>
      <c r="AP290" t="str">
        <f t="shared" si="16"/>
        <v/>
      </c>
    </row>
    <row r="291" spans="5:42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17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18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19"/>
        <v>#N/A</v>
      </c>
      <c r="AB291" t="str" cm="1">
        <f t="array" aca="1" ref="AB291" ca="1">IFERROR(INDIRECT("$Z"&amp;AA291),"")</f>
        <v/>
      </c>
      <c r="AP291" t="str">
        <f t="shared" si="16"/>
        <v/>
      </c>
    </row>
    <row r="292" spans="5:42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17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18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19"/>
        <v>#N/A</v>
      </c>
      <c r="AB292" t="str" cm="1">
        <f t="array" aca="1" ref="AB292" ca="1">IFERROR(INDIRECT("$Z"&amp;AA292),"")</f>
        <v/>
      </c>
      <c r="AP292" t="str">
        <f t="shared" si="16"/>
        <v/>
      </c>
    </row>
    <row r="293" spans="5:42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17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18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19"/>
        <v>#N/A</v>
      </c>
      <c r="AB293" t="str" cm="1">
        <f t="array" aca="1" ref="AB293" ca="1">IFERROR(INDIRECT("$Z"&amp;AA293),"")</f>
        <v/>
      </c>
      <c r="AP293" t="str">
        <f t="shared" si="16"/>
        <v/>
      </c>
    </row>
    <row r="294" spans="5:42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17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18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19"/>
        <v>#N/A</v>
      </c>
      <c r="AB294" t="str" cm="1">
        <f t="array" aca="1" ref="AB294" ca="1">IFERROR(INDIRECT("$Z"&amp;AA294),"")</f>
        <v/>
      </c>
      <c r="AP294" t="str">
        <f t="shared" si="16"/>
        <v/>
      </c>
    </row>
    <row r="295" spans="5:42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17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18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19"/>
        <v>#N/A</v>
      </c>
      <c r="AB295" t="str" cm="1">
        <f t="array" aca="1" ref="AB295" ca="1">IFERROR(INDIRECT("$Z"&amp;AA295),"")</f>
        <v/>
      </c>
      <c r="AP295" t="str">
        <f t="shared" si="16"/>
        <v/>
      </c>
    </row>
    <row r="296" spans="5:42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17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18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19"/>
        <v>#N/A</v>
      </c>
      <c r="AB296" t="str" cm="1">
        <f t="array" aca="1" ref="AB296" ca="1">IFERROR(INDIRECT("$Z"&amp;AA296),"")</f>
        <v/>
      </c>
      <c r="AP296" t="str">
        <f t="shared" si="16"/>
        <v/>
      </c>
    </row>
    <row r="297" spans="5:42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17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18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19"/>
        <v>#N/A</v>
      </c>
      <c r="AB297" t="str" cm="1">
        <f t="array" aca="1" ref="AB297" ca="1">IFERROR(INDIRECT("$Z"&amp;AA297),"")</f>
        <v/>
      </c>
      <c r="AP297" t="str">
        <f t="shared" si="16"/>
        <v/>
      </c>
    </row>
    <row r="298" spans="5:42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17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18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19"/>
        <v>#N/A</v>
      </c>
      <c r="AB298" t="str" cm="1">
        <f t="array" aca="1" ref="AB298" ca="1">IFERROR(INDIRECT("$Z"&amp;AA298),"")</f>
        <v/>
      </c>
      <c r="AP298" t="str">
        <f t="shared" si="16"/>
        <v/>
      </c>
    </row>
    <row r="299" spans="5:42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17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18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19"/>
        <v>#N/A</v>
      </c>
      <c r="AB299" t="str" cm="1">
        <f t="array" aca="1" ref="AB299" ca="1">IFERROR(INDIRECT("$Z"&amp;AA299),"")</f>
        <v/>
      </c>
      <c r="AP299" t="str">
        <f t="shared" si="16"/>
        <v/>
      </c>
    </row>
    <row r="300" spans="5:42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17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18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19"/>
        <v>#N/A</v>
      </c>
      <c r="AB300" t="str" cm="1">
        <f t="array" aca="1" ref="AB300" ca="1">IFERROR(INDIRECT("$Z"&amp;AA300),"")</f>
        <v/>
      </c>
      <c r="AP300" t="str">
        <f t="shared" si="16"/>
        <v/>
      </c>
    </row>
    <row r="301" spans="5:42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17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18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19"/>
        <v>#N/A</v>
      </c>
      <c r="AB301" t="str" cm="1">
        <f t="array" aca="1" ref="AB301" ca="1">IFERROR(INDIRECT("$Z"&amp;AA301),"")</f>
        <v/>
      </c>
      <c r="AP301" t="str">
        <f t="shared" si="16"/>
        <v/>
      </c>
    </row>
    <row r="302" spans="5:42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17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18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19"/>
        <v>#N/A</v>
      </c>
      <c r="AB302" t="str" cm="1">
        <f t="array" aca="1" ref="AB302" ca="1">IFERROR(INDIRECT("$Z"&amp;AA302),"")</f>
        <v/>
      </c>
      <c r="AP302" t="str">
        <f t="shared" si="16"/>
        <v/>
      </c>
    </row>
    <row r="303" spans="5:42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17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18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19"/>
        <v>#N/A</v>
      </c>
      <c r="AB303" t="str" cm="1">
        <f t="array" aca="1" ref="AB303" ca="1">IFERROR(INDIRECT("$Z"&amp;AA303),"")</f>
        <v/>
      </c>
      <c r="AP303" t="str">
        <f t="shared" si="16"/>
        <v/>
      </c>
    </row>
    <row r="304" spans="5:42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17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18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19"/>
        <v>#N/A</v>
      </c>
      <c r="AB304" t="str" cm="1">
        <f t="array" aca="1" ref="AB304" ca="1">IFERROR(INDIRECT("$Z"&amp;AA304),"")</f>
        <v/>
      </c>
      <c r="AP304" t="str">
        <f t="shared" si="16"/>
        <v/>
      </c>
    </row>
    <row r="305" spans="5:42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17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18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19"/>
        <v>#N/A</v>
      </c>
      <c r="AB305" t="str" cm="1">
        <f t="array" aca="1" ref="AB305" ca="1">IFERROR(INDIRECT("$Z"&amp;AA305),"")</f>
        <v/>
      </c>
      <c r="AP305" t="str">
        <f t="shared" si="16"/>
        <v/>
      </c>
    </row>
    <row r="306" spans="5:42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17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18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19"/>
        <v>#N/A</v>
      </c>
      <c r="AB306" t="str" cm="1">
        <f t="array" aca="1" ref="AB306" ca="1">IFERROR(INDIRECT("$Z"&amp;AA306),"")</f>
        <v/>
      </c>
      <c r="AP306" t="str">
        <f t="shared" si="16"/>
        <v/>
      </c>
    </row>
    <row r="307" spans="5:42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17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18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19"/>
        <v>#N/A</v>
      </c>
      <c r="AB307" t="str" cm="1">
        <f t="array" aca="1" ref="AB307" ca="1">IFERROR(INDIRECT("$Z"&amp;AA307),"")</f>
        <v/>
      </c>
      <c r="AP307" t="str">
        <f t="shared" si="16"/>
        <v/>
      </c>
    </row>
    <row r="308" spans="5:42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17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18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19"/>
        <v>#N/A</v>
      </c>
      <c r="AB308" t="str" cm="1">
        <f t="array" aca="1" ref="AB308" ca="1">IFERROR(INDIRECT("$Z"&amp;AA308),"")</f>
        <v/>
      </c>
      <c r="AP308" t="str">
        <f t="shared" si="16"/>
        <v/>
      </c>
    </row>
    <row r="309" spans="5:42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17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18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19"/>
        <v>#N/A</v>
      </c>
      <c r="AB309" t="str" cm="1">
        <f t="array" aca="1" ref="AB309" ca="1">IFERROR(INDIRECT("$Z"&amp;AA309),"")</f>
        <v/>
      </c>
      <c r="AP309" t="str">
        <f t="shared" si="16"/>
        <v/>
      </c>
    </row>
    <row r="310" spans="5:42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17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18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19"/>
        <v>#N/A</v>
      </c>
      <c r="AB310" t="str" cm="1">
        <f t="array" aca="1" ref="AB310" ca="1">IFERROR(INDIRECT("$Z"&amp;AA310),"")</f>
        <v/>
      </c>
      <c r="AP310" t="str">
        <f t="shared" si="16"/>
        <v/>
      </c>
    </row>
    <row r="311" spans="5:42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17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18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19"/>
        <v>#N/A</v>
      </c>
      <c r="AB311" t="str" cm="1">
        <f t="array" aca="1" ref="AB311" ca="1">IFERROR(INDIRECT("$Z"&amp;AA311),"")</f>
        <v/>
      </c>
      <c r="AP311" t="str">
        <f t="shared" si="16"/>
        <v/>
      </c>
    </row>
    <row r="312" spans="5:42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17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18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19"/>
        <v>#N/A</v>
      </c>
      <c r="AB312" t="str" cm="1">
        <f t="array" aca="1" ref="AB312" ca="1">IFERROR(INDIRECT("$Z"&amp;AA312),"")</f>
        <v/>
      </c>
      <c r="AP312" t="str">
        <f t="shared" si="16"/>
        <v/>
      </c>
    </row>
    <row r="313" spans="5:42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17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18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19"/>
        <v>#N/A</v>
      </c>
      <c r="AB313" t="str" cm="1">
        <f t="array" aca="1" ref="AB313" ca="1">IFERROR(INDIRECT("$Z"&amp;AA313),"")</f>
        <v/>
      </c>
      <c r="AP313" t="str">
        <f t="shared" si="16"/>
        <v/>
      </c>
    </row>
    <row r="314" spans="5:42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17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18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fan inlet air temperature sensor</v>
      </c>
      <c r="AA314" t="e">
        <f t="shared" ca="1" si="19"/>
        <v>#N/A</v>
      </c>
      <c r="AB314" t="str" cm="1">
        <f t="array" aca="1" ref="AB314" ca="1">IFERROR(INDIRECT("$Z"&amp;AA314),"")</f>
        <v/>
      </c>
      <c r="AP314" t="str">
        <f t="shared" si="16"/>
        <v/>
      </c>
    </row>
    <row r="315" spans="5:42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17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18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coil outlet air temperature sensor</v>
      </c>
      <c r="AA315" t="e">
        <f t="shared" ca="1" si="19"/>
        <v>#N/A</v>
      </c>
      <c r="AB315" t="str" cm="1">
        <f t="array" aca="1" ref="AB315" ca="1">IFERROR(INDIRECT("$Z"&amp;AA315),"")</f>
        <v/>
      </c>
      <c r="AP315" t="str">
        <f t="shared" si="16"/>
        <v/>
      </c>
    </row>
    <row r="316" spans="5:42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17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18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coil inlet water temperature sensor</v>
      </c>
      <c r="AA316" t="e">
        <f t="shared" ca="1" si="19"/>
        <v>#N/A</v>
      </c>
      <c r="AB316" t="str" cm="1">
        <f t="array" aca="1" ref="AB316" ca="1">IFERROR(INDIRECT("$Z"&amp;AA316),"")</f>
        <v/>
      </c>
      <c r="AP316" t="str">
        <f t="shared" si="16"/>
        <v/>
      </c>
    </row>
    <row r="317" spans="5:42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17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18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valve position sensor</v>
      </c>
      <c r="AA317" t="e">
        <f t="shared" ca="1" si="19"/>
        <v>#N/A</v>
      </c>
      <c r="AB317" t="str" cm="1">
        <f t="array" aca="1" ref="AB317" ca="1">IFERROR(INDIRECT("$Z"&amp;AA317),"")</f>
        <v/>
      </c>
      <c r="AP317" t="str">
        <f t="shared" si="16"/>
        <v/>
      </c>
    </row>
    <row r="318" spans="5:42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17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18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coil outlet water temperature sensor</v>
      </c>
      <c r="AA318" t="e">
        <f t="shared" ca="1" si="19"/>
        <v>#N/A</v>
      </c>
      <c r="AB318" t="str" cm="1">
        <f t="array" aca="1" ref="AB318" ca="1">IFERROR(INDIRECT("$Z"&amp;AA318),"")</f>
        <v/>
      </c>
      <c r="AP318" t="str">
        <f t="shared" si="16"/>
        <v/>
      </c>
    </row>
    <row r="319" spans="5:42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17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18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supply water temperature sensor</v>
      </c>
      <c r="AA319" t="e">
        <f t="shared" ca="1" si="19"/>
        <v>#N/A</v>
      </c>
      <c r="AB319" t="str" cm="1">
        <f t="array" aca="1" ref="AB319" ca="1">IFERROR(INDIRECT("$Z"&amp;AA319),"")</f>
        <v/>
      </c>
      <c r="AP319" t="str">
        <f t="shared" si="16"/>
        <v/>
      </c>
    </row>
    <row r="320" spans="5:42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17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18"/>
        <v>#N/A</v>
      </c>
      <c r="W320" t="str" cm="1">
        <f t="array" aca="1" ref="W320" ca="1">IFERROR(INDIRECT("$U"&amp;V320),"")</f>
        <v/>
      </c>
      <c r="Z320" cm="1">
        <f t="array" ref="Z320">INDEX($AE$2:$AS$40,MOD(ROW()-ROW($AE$2),ROWS($AE$2:$AS$40))+1,INT((ROW()-ROW($AE$2))/ROWS($AE$2:$AS$40))+1)</f>
        <v>0</v>
      </c>
      <c r="AA320" t="e">
        <f t="shared" ca="1" si="19"/>
        <v>#N/A</v>
      </c>
      <c r="AB320" t="str" cm="1">
        <f t="array" aca="1" ref="AB320" ca="1">IFERROR(INDIRECT("$Z"&amp;AA320),"")</f>
        <v/>
      </c>
      <c r="AP320" t="str">
        <f t="shared" si="16"/>
        <v/>
      </c>
    </row>
    <row r="321" spans="5:42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17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18"/>
        <v>#N/A</v>
      </c>
      <c r="W321" t="str" cm="1">
        <f t="array" aca="1" ref="W321" ca="1">IFERROR(INDIRECT("$U"&amp;V321),"")</f>
        <v/>
      </c>
      <c r="Z321" cm="1">
        <f t="array" ref="Z321">INDEX($AE$2:$AS$40,MOD(ROW()-ROW($AE$2),ROWS($AE$2:$AS$40))+1,INT((ROW()-ROW($AE$2))/ROWS($AE$2:$AS$40))+1)</f>
        <v>0</v>
      </c>
      <c r="AA321" t="e">
        <f t="shared" ca="1" si="19"/>
        <v>#N/A</v>
      </c>
      <c r="AB321" t="str" cm="1">
        <f t="array" aca="1" ref="AB321" ca="1">IFERROR(INDIRECT("$Z"&amp;AA321),"")</f>
        <v/>
      </c>
      <c r="AP321" t="str">
        <f t="shared" si="16"/>
        <v/>
      </c>
    </row>
    <row r="322" spans="5:42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17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18"/>
        <v>#N/A</v>
      </c>
      <c r="W322" t="str" cm="1">
        <f t="array" aca="1" ref="W322" ca="1">IFERROR(INDIRECT("$U"&amp;V322),"")</f>
        <v/>
      </c>
      <c r="Z322" cm="1">
        <f t="array" ref="Z322">INDEX($AE$2:$AS$40,MOD(ROW()-ROW($AE$2),ROWS($AE$2:$AS$40))+1,INT((ROW()-ROW($AE$2))/ROWS($AE$2:$AS$40))+1)</f>
        <v>0</v>
      </c>
      <c r="AA322" t="e">
        <f t="shared" ca="1" si="19"/>
        <v>#N/A</v>
      </c>
      <c r="AB322" t="str" cm="1">
        <f t="array" aca="1" ref="AB322" ca="1">IFERROR(INDIRECT("$Z"&amp;AA322),"")</f>
        <v/>
      </c>
      <c r="AP322" t="str">
        <f t="shared" si="16"/>
        <v/>
      </c>
    </row>
    <row r="323" spans="5:42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17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18"/>
        <v>#N/A</v>
      </c>
      <c r="W323" t="str" cm="1">
        <f t="array" aca="1" ref="W323" ca="1">IFERROR(INDIRECT("$U"&amp;V323),"")</f>
        <v/>
      </c>
      <c r="Z323" cm="1">
        <f t="array" ref="Z323">INDEX($AE$2:$AS$40,MOD(ROW()-ROW($AE$2),ROWS($AE$2:$AS$40))+1,INT((ROW()-ROW($AE$2))/ROWS($AE$2:$AS$40))+1)</f>
        <v>0</v>
      </c>
      <c r="AA323" t="e">
        <f t="shared" ca="1" si="19"/>
        <v>#N/A</v>
      </c>
      <c r="AB323" t="str" cm="1">
        <f t="array" aca="1" ref="AB323" ca="1">IFERROR(INDIRECT("$Z"&amp;AA323),"")</f>
        <v/>
      </c>
      <c r="AP323" t="str">
        <f t="shared" ref="AP323:AP386" si="20">IF(AI323&lt;&gt;"", _xlfn.CONCAT(AI323, " (airside)"), "")</f>
        <v/>
      </c>
    </row>
    <row r="324" spans="5:42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21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22">MATCH("*",INDIRECT(ADDRESS(V323+1,21,1)&amp;":$U$1000"),0)+V323</f>
        <v>#N/A</v>
      </c>
      <c r="W324" t="str" cm="1">
        <f t="array" aca="1" ref="W324" ca="1">IFERROR(INDIRECT("$U"&amp;V324),"")</f>
        <v/>
      </c>
      <c r="Z324" cm="1">
        <f t="array" ref="Z324">INDEX($AE$2:$AS$40,MOD(ROW()-ROW($AE$2),ROWS($AE$2:$AS$40))+1,INT((ROW()-ROW($AE$2))/ROWS($AE$2:$AS$40))+1)</f>
        <v>0</v>
      </c>
      <c r="AA324" t="e">
        <f t="shared" ref="AA324:AA387" ca="1" si="23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20"/>
        <v/>
      </c>
    </row>
    <row r="325" spans="5:42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21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22"/>
        <v>#N/A</v>
      </c>
      <c r="W325" t="str" cm="1">
        <f t="array" aca="1" ref="W325" ca="1">IFERROR(INDIRECT("$U"&amp;V325),"")</f>
        <v/>
      </c>
      <c r="Z325" cm="1">
        <f t="array" ref="Z325">INDEX($AE$2:$AS$40,MOD(ROW()-ROW($AE$2),ROWS($AE$2:$AS$40))+1,INT((ROW()-ROW($AE$2))/ROWS($AE$2:$AS$40))+1)</f>
        <v>0</v>
      </c>
      <c r="AA325" t="e">
        <f t="shared" ca="1" si="23"/>
        <v>#N/A</v>
      </c>
      <c r="AB325" t="str" cm="1">
        <f t="array" aca="1" ref="AB325" ca="1">IFERROR(INDIRECT("$Z"&amp;AA325),"")</f>
        <v/>
      </c>
      <c r="AP325" t="str">
        <f t="shared" si="20"/>
        <v/>
      </c>
    </row>
    <row r="326" spans="5:42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21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22"/>
        <v>#N/A</v>
      </c>
      <c r="W326" t="str" cm="1">
        <f t="array" aca="1" ref="W326" ca="1">IFERROR(INDIRECT("$U"&amp;V326),"")</f>
        <v/>
      </c>
      <c r="Z326" cm="1">
        <f t="array" ref="Z326">INDEX($AE$2:$AS$40,MOD(ROW()-ROW($AE$2),ROWS($AE$2:$AS$40))+1,INT((ROW()-ROW($AE$2))/ROWS($AE$2:$AS$40))+1)</f>
        <v>0</v>
      </c>
      <c r="AA326" t="e">
        <f t="shared" ca="1" si="23"/>
        <v>#N/A</v>
      </c>
      <c r="AB326" t="str" cm="1">
        <f t="array" aca="1" ref="AB326" ca="1">IFERROR(INDIRECT("$Z"&amp;AA326),"")</f>
        <v/>
      </c>
      <c r="AP326" t="str">
        <f t="shared" si="20"/>
        <v/>
      </c>
    </row>
    <row r="327" spans="5:42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21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22"/>
        <v>#N/A</v>
      </c>
      <c r="W327" t="str" cm="1">
        <f t="array" aca="1" ref="W327" ca="1">IFERROR(INDIRECT("$U"&amp;V327),"")</f>
        <v/>
      </c>
      <c r="Z327" cm="1">
        <f t="array" ref="Z327">INDEX($AE$2:$AS$40,MOD(ROW()-ROW($AE$2),ROWS($AE$2:$AS$40))+1,INT((ROW()-ROW($AE$2))/ROWS($AE$2:$AS$40))+1)</f>
        <v>0</v>
      </c>
      <c r="AA327" t="e">
        <f t="shared" ca="1" si="23"/>
        <v>#N/A</v>
      </c>
      <c r="AB327" t="str" cm="1">
        <f t="array" aca="1" ref="AB327" ca="1">IFERROR(INDIRECT("$Z"&amp;AA327),"")</f>
        <v/>
      </c>
      <c r="AP327" t="str">
        <f t="shared" si="20"/>
        <v/>
      </c>
    </row>
    <row r="328" spans="5:42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21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22"/>
        <v>#N/A</v>
      </c>
      <c r="W328" t="str" cm="1">
        <f t="array" aca="1" ref="W328" ca="1">IFERROR(INDIRECT("$U"&amp;V328),"")</f>
        <v/>
      </c>
      <c r="Z328" cm="1">
        <f t="array" ref="Z328">INDEX($AE$2:$AS$40,MOD(ROW()-ROW($AE$2),ROWS($AE$2:$AS$40))+1,INT((ROW()-ROW($AE$2))/ROWS($AE$2:$AS$40))+1)</f>
        <v>0</v>
      </c>
      <c r="AA328" t="e">
        <f t="shared" ca="1" si="23"/>
        <v>#N/A</v>
      </c>
      <c r="AB328" t="str" cm="1">
        <f t="array" aca="1" ref="AB328" ca="1">IFERROR(INDIRECT("$Z"&amp;AA328),"")</f>
        <v/>
      </c>
      <c r="AP328" t="str">
        <f t="shared" si="20"/>
        <v/>
      </c>
    </row>
    <row r="329" spans="5:42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21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22"/>
        <v>#N/A</v>
      </c>
      <c r="W329" t="str" cm="1">
        <f t="array" aca="1" ref="W329" ca="1">IFERROR(INDIRECT("$U"&amp;V329),"")</f>
        <v/>
      </c>
      <c r="Z329" cm="1">
        <f t="array" ref="Z329">INDEX($AE$2:$AS$40,MOD(ROW()-ROW($AE$2),ROWS($AE$2:$AS$40))+1,INT((ROW()-ROW($AE$2))/ROWS($AE$2:$AS$40))+1)</f>
        <v>0</v>
      </c>
      <c r="AA329" t="e">
        <f t="shared" ca="1" si="23"/>
        <v>#N/A</v>
      </c>
      <c r="AB329" t="str" cm="1">
        <f t="array" aca="1" ref="AB329" ca="1">IFERROR(INDIRECT("$Z"&amp;AA329),"")</f>
        <v/>
      </c>
      <c r="AP329" t="str">
        <f t="shared" si="20"/>
        <v/>
      </c>
    </row>
    <row r="330" spans="5:42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21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22"/>
        <v>#N/A</v>
      </c>
      <c r="W330" t="str" cm="1">
        <f t="array" aca="1" ref="W330" ca="1">IFERROR(INDIRECT("$U"&amp;V330),"")</f>
        <v/>
      </c>
      <c r="Z330" cm="1">
        <f t="array" ref="Z330">INDEX($AE$2:$AS$40,MOD(ROW()-ROW($AE$2),ROWS($AE$2:$AS$40))+1,INT((ROW()-ROW($AE$2))/ROWS($AE$2:$AS$40))+1)</f>
        <v>0</v>
      </c>
      <c r="AA330" t="e">
        <f t="shared" ca="1" si="23"/>
        <v>#N/A</v>
      </c>
      <c r="AB330" t="str" cm="1">
        <f t="array" aca="1" ref="AB330" ca="1">IFERROR(INDIRECT("$Z"&amp;AA330),"")</f>
        <v/>
      </c>
      <c r="AP330" t="str">
        <f t="shared" si="20"/>
        <v/>
      </c>
    </row>
    <row r="331" spans="5:42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21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22"/>
        <v>#N/A</v>
      </c>
      <c r="W331" t="str" cm="1">
        <f t="array" aca="1" ref="W331" ca="1">IFERROR(INDIRECT("$U"&amp;V331),"")</f>
        <v/>
      </c>
      <c r="Z331" cm="1">
        <f t="array" ref="Z331">INDEX($AE$2:$AS$40,MOD(ROW()-ROW($AE$2),ROWS($AE$2:$AS$40))+1,INT((ROW()-ROW($AE$2))/ROWS($AE$2:$AS$40))+1)</f>
        <v>0</v>
      </c>
      <c r="AA331" t="e">
        <f t="shared" ca="1" si="23"/>
        <v>#N/A</v>
      </c>
      <c r="AB331" t="str" cm="1">
        <f t="array" aca="1" ref="AB331" ca="1">IFERROR(INDIRECT("$Z"&amp;AA331),"")</f>
        <v/>
      </c>
      <c r="AP331" t="str">
        <f t="shared" si="20"/>
        <v/>
      </c>
    </row>
    <row r="332" spans="5:42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21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22"/>
        <v>#N/A</v>
      </c>
      <c r="W332" t="str" cm="1">
        <f t="array" aca="1" ref="W332" ca="1">IFERROR(INDIRECT("$U"&amp;V332),"")</f>
        <v/>
      </c>
      <c r="Z332" cm="1">
        <f t="array" ref="Z332">INDEX($AE$2:$AS$40,MOD(ROW()-ROW($AE$2),ROWS($AE$2:$AS$40))+1,INT((ROW()-ROW($AE$2))/ROWS($AE$2:$AS$40))+1)</f>
        <v>0</v>
      </c>
      <c r="AA332" t="e">
        <f t="shared" ca="1" si="23"/>
        <v>#N/A</v>
      </c>
      <c r="AB332" t="str" cm="1">
        <f t="array" aca="1" ref="AB332" ca="1">IFERROR(INDIRECT("$Z"&amp;AA332),"")</f>
        <v/>
      </c>
      <c r="AP332" t="str">
        <f t="shared" si="20"/>
        <v/>
      </c>
    </row>
    <row r="333" spans="5:42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21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22"/>
        <v>#N/A</v>
      </c>
      <c r="W333" t="str" cm="1">
        <f t="array" aca="1" ref="W333" ca="1">IFERROR(INDIRECT("$U"&amp;V333),"")</f>
        <v/>
      </c>
      <c r="Z333" cm="1">
        <f t="array" ref="Z333">INDEX($AE$2:$AS$40,MOD(ROW()-ROW($AE$2),ROWS($AE$2:$AS$40))+1,INT((ROW()-ROW($AE$2))/ROWS($AE$2:$AS$40))+1)</f>
        <v>0</v>
      </c>
      <c r="AA333" t="e">
        <f t="shared" ca="1" si="23"/>
        <v>#N/A</v>
      </c>
      <c r="AB333" t="str" cm="1">
        <f t="array" aca="1" ref="AB333" ca="1">IFERROR(INDIRECT("$Z"&amp;AA333),"")</f>
        <v/>
      </c>
      <c r="AP333" t="str">
        <f t="shared" si="20"/>
        <v/>
      </c>
    </row>
    <row r="334" spans="5:42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21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22"/>
        <v>#N/A</v>
      </c>
      <c r="W334" t="str" cm="1">
        <f t="array" aca="1" ref="W334" ca="1">IFERROR(INDIRECT("$U"&amp;V334),"")</f>
        <v/>
      </c>
      <c r="Z334" cm="1">
        <f t="array" ref="Z334">INDEX($AE$2:$AS$40,MOD(ROW()-ROW($AE$2),ROWS($AE$2:$AS$40))+1,INT((ROW()-ROW($AE$2))/ROWS($AE$2:$AS$40))+1)</f>
        <v>0</v>
      </c>
      <c r="AA334" t="e">
        <f t="shared" ca="1" si="23"/>
        <v>#N/A</v>
      </c>
      <c r="AB334" t="str" cm="1">
        <f t="array" aca="1" ref="AB334" ca="1">IFERROR(INDIRECT("$Z"&amp;AA334),"")</f>
        <v/>
      </c>
      <c r="AP334" t="str">
        <f t="shared" si="20"/>
        <v/>
      </c>
    </row>
    <row r="335" spans="5:42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21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22"/>
        <v>#N/A</v>
      </c>
      <c r="W335" t="str" cm="1">
        <f t="array" aca="1" ref="W335" ca="1">IFERROR(INDIRECT("$U"&amp;V335),"")</f>
        <v/>
      </c>
      <c r="Z335" cm="1">
        <f t="array" ref="Z335">INDEX($AE$2:$AS$40,MOD(ROW()-ROW($AE$2),ROWS($AE$2:$AS$40))+1,INT((ROW()-ROW($AE$2))/ROWS($AE$2:$AS$40))+1)</f>
        <v>0</v>
      </c>
      <c r="AA335" t="e">
        <f t="shared" ca="1" si="23"/>
        <v>#N/A</v>
      </c>
      <c r="AB335" t="str" cm="1">
        <f t="array" aca="1" ref="AB335" ca="1">IFERROR(INDIRECT("$Z"&amp;AA335),"")</f>
        <v/>
      </c>
      <c r="AP335" t="str">
        <f t="shared" si="20"/>
        <v/>
      </c>
    </row>
    <row r="336" spans="5:42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21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22"/>
        <v>#N/A</v>
      </c>
      <c r="W336" t="str" cm="1">
        <f t="array" aca="1" ref="W336" ca="1">IFERROR(INDIRECT("$U"&amp;V336),"")</f>
        <v/>
      </c>
      <c r="Z336" cm="1">
        <f t="array" ref="Z336">INDEX($AE$2:$AS$40,MOD(ROW()-ROW($AE$2),ROWS($AE$2:$AS$40))+1,INT((ROW()-ROW($AE$2))/ROWS($AE$2:$AS$40))+1)</f>
        <v>0</v>
      </c>
      <c r="AA336" t="e">
        <f t="shared" ca="1" si="23"/>
        <v>#N/A</v>
      </c>
      <c r="AB336" t="str" cm="1">
        <f t="array" aca="1" ref="AB336" ca="1">IFERROR(INDIRECT("$Z"&amp;AA336),"")</f>
        <v/>
      </c>
      <c r="AP336" t="str">
        <f t="shared" si="20"/>
        <v/>
      </c>
    </row>
    <row r="337" spans="5:42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21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22"/>
        <v>#N/A</v>
      </c>
      <c r="W337" t="str" cm="1">
        <f t="array" aca="1" ref="W337" ca="1">IFERROR(INDIRECT("$U"&amp;V337),"")</f>
        <v/>
      </c>
      <c r="Z337" cm="1">
        <f t="array" ref="Z337">INDEX($AE$2:$AS$40,MOD(ROW()-ROW($AE$2),ROWS($AE$2:$AS$40))+1,INT((ROW()-ROW($AE$2))/ROWS($AE$2:$AS$40))+1)</f>
        <v>0</v>
      </c>
      <c r="AA337" t="e">
        <f t="shared" ca="1" si="23"/>
        <v>#N/A</v>
      </c>
      <c r="AB337" t="str" cm="1">
        <f t="array" aca="1" ref="AB337" ca="1">IFERROR(INDIRECT("$Z"&amp;AA337),"")</f>
        <v/>
      </c>
      <c r="AP337" t="str">
        <f t="shared" si="20"/>
        <v/>
      </c>
    </row>
    <row r="338" spans="5:42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21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22"/>
        <v>#N/A</v>
      </c>
      <c r="W338" t="str" cm="1">
        <f t="array" aca="1" ref="W338" ca="1">IFERROR(INDIRECT("$U"&amp;V338),"")</f>
        <v/>
      </c>
      <c r="Z338" cm="1">
        <f t="array" ref="Z338">INDEX($AE$2:$AS$40,MOD(ROW()-ROW($AE$2),ROWS($AE$2:$AS$40))+1,INT((ROW()-ROW($AE$2))/ROWS($AE$2:$AS$40))+1)</f>
        <v>0</v>
      </c>
      <c r="AA338" t="e">
        <f t="shared" ca="1" si="23"/>
        <v>#N/A</v>
      </c>
      <c r="AB338" t="str" cm="1">
        <f t="array" aca="1" ref="AB338" ca="1">IFERROR(INDIRECT("$Z"&amp;AA338),"")</f>
        <v/>
      </c>
      <c r="AP338" t="str">
        <f t="shared" si="20"/>
        <v/>
      </c>
    </row>
    <row r="339" spans="5:42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21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22"/>
        <v>#N/A</v>
      </c>
      <c r="W339" t="str" cm="1">
        <f t="array" aca="1" ref="W339" ca="1">IFERROR(INDIRECT("$U"&amp;V339),"")</f>
        <v/>
      </c>
      <c r="Z339" cm="1">
        <f t="array" ref="Z339">INDEX($AE$2:$AS$40,MOD(ROW()-ROW($AE$2),ROWS($AE$2:$AS$40))+1,INT((ROW()-ROW($AE$2))/ROWS($AE$2:$AS$40))+1)</f>
        <v>0</v>
      </c>
      <c r="AA339" t="e">
        <f t="shared" ca="1" si="23"/>
        <v>#N/A</v>
      </c>
      <c r="AB339" t="str" cm="1">
        <f t="array" aca="1" ref="AB339" ca="1">IFERROR(INDIRECT("$Z"&amp;AA339),"")</f>
        <v/>
      </c>
      <c r="AP339" t="str">
        <f t="shared" si="20"/>
        <v/>
      </c>
    </row>
    <row r="340" spans="5:42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21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22"/>
        <v>#N/A</v>
      </c>
      <c r="W340" t="str" cm="1">
        <f t="array" aca="1" ref="W340" ca="1">IFERROR(INDIRECT("$U"&amp;V340),"")</f>
        <v/>
      </c>
      <c r="Z340" cm="1">
        <f t="array" ref="Z340">INDEX($AE$2:$AS$40,MOD(ROW()-ROW($AE$2),ROWS($AE$2:$AS$40))+1,INT((ROW()-ROW($AE$2))/ROWS($AE$2:$AS$40))+1)</f>
        <v>0</v>
      </c>
      <c r="AA340" t="e">
        <f t="shared" ca="1" si="23"/>
        <v>#N/A</v>
      </c>
      <c r="AB340" t="str" cm="1">
        <f t="array" aca="1" ref="AB340" ca="1">IFERROR(INDIRECT("$Z"&amp;AA340),"")</f>
        <v/>
      </c>
      <c r="AP340" t="str">
        <f t="shared" si="20"/>
        <v/>
      </c>
    </row>
    <row r="341" spans="5:42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21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22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23"/>
        <v>#N/A</v>
      </c>
      <c r="AB341" t="str" cm="1">
        <f t="array" aca="1" ref="AB341" ca="1">IFERROR(INDIRECT("$Z"&amp;AA341),"")</f>
        <v/>
      </c>
      <c r="AP341" t="str">
        <f t="shared" si="20"/>
        <v/>
      </c>
    </row>
    <row r="342" spans="5:42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21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22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23"/>
        <v>#N/A</v>
      </c>
      <c r="AB342" t="str" cm="1">
        <f t="array" aca="1" ref="AB342" ca="1">IFERROR(INDIRECT("$Z"&amp;AA342),"")</f>
        <v/>
      </c>
      <c r="AP342" t="str">
        <f t="shared" si="20"/>
        <v/>
      </c>
    </row>
    <row r="343" spans="5:42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21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22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23"/>
        <v>#N/A</v>
      </c>
      <c r="AB343" t="str" cm="1">
        <f t="array" aca="1" ref="AB343" ca="1">IFERROR(INDIRECT("$Z"&amp;AA343),"")</f>
        <v/>
      </c>
      <c r="AP343" t="str">
        <f t="shared" si="20"/>
        <v/>
      </c>
    </row>
    <row r="344" spans="5:42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21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22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23"/>
        <v>#N/A</v>
      </c>
      <c r="AB344" t="str" cm="1">
        <f t="array" aca="1" ref="AB344" ca="1">IFERROR(INDIRECT("$Z"&amp;AA344),"")</f>
        <v/>
      </c>
      <c r="AP344" t="str">
        <f t="shared" si="20"/>
        <v/>
      </c>
    </row>
    <row r="345" spans="5:42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21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22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23"/>
        <v>#N/A</v>
      </c>
      <c r="AB345" t="str" cm="1">
        <f t="array" aca="1" ref="AB345" ca="1">IFERROR(INDIRECT("$Z"&amp;AA345),"")</f>
        <v/>
      </c>
      <c r="AP345" t="str">
        <f t="shared" si="20"/>
        <v/>
      </c>
    </row>
    <row r="346" spans="5:42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21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22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23"/>
        <v>#N/A</v>
      </c>
      <c r="AB346" t="str" cm="1">
        <f t="array" aca="1" ref="AB346" ca="1">IFERROR(INDIRECT("$Z"&amp;AA346),"")</f>
        <v/>
      </c>
      <c r="AP346" t="str">
        <f t="shared" si="20"/>
        <v/>
      </c>
    </row>
    <row r="347" spans="5:42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21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22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23"/>
        <v>#N/A</v>
      </c>
      <c r="AB347" t="str" cm="1">
        <f t="array" aca="1" ref="AB347" ca="1">IFERROR(INDIRECT("$Z"&amp;AA347),"")</f>
        <v/>
      </c>
      <c r="AP347" t="str">
        <f t="shared" si="20"/>
        <v/>
      </c>
    </row>
    <row r="348" spans="5:42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21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22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23"/>
        <v>#N/A</v>
      </c>
      <c r="AB348" t="str" cm="1">
        <f t="array" aca="1" ref="AB348" ca="1">IFERROR(INDIRECT("$Z"&amp;AA348),"")</f>
        <v/>
      </c>
      <c r="AP348" t="str">
        <f t="shared" si="20"/>
        <v/>
      </c>
    </row>
    <row r="349" spans="5:42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21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22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23"/>
        <v>#N/A</v>
      </c>
      <c r="AB349" t="str" cm="1">
        <f t="array" aca="1" ref="AB349" ca="1">IFERROR(INDIRECT("$Z"&amp;AA349),"")</f>
        <v/>
      </c>
      <c r="AP349" t="str">
        <f t="shared" si="20"/>
        <v/>
      </c>
    </row>
    <row r="350" spans="5:42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21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22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23"/>
        <v>#N/A</v>
      </c>
      <c r="AB350" t="str" cm="1">
        <f t="array" aca="1" ref="AB350" ca="1">IFERROR(INDIRECT("$Z"&amp;AA350),"")</f>
        <v/>
      </c>
      <c r="AP350" t="str">
        <f t="shared" si="20"/>
        <v/>
      </c>
    </row>
    <row r="351" spans="5:42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21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22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23"/>
        <v>#N/A</v>
      </c>
      <c r="AB351" t="str" cm="1">
        <f t="array" aca="1" ref="AB351" ca="1">IFERROR(INDIRECT("$Z"&amp;AA351),"")</f>
        <v/>
      </c>
      <c r="AP351" t="str">
        <f t="shared" si="20"/>
        <v/>
      </c>
    </row>
    <row r="352" spans="5:42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21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22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23"/>
        <v>#N/A</v>
      </c>
      <c r="AB352" t="str" cm="1">
        <f t="array" aca="1" ref="AB352" ca="1">IFERROR(INDIRECT("$Z"&amp;AA352),"")</f>
        <v/>
      </c>
      <c r="AP352" t="str">
        <f t="shared" si="20"/>
        <v/>
      </c>
    </row>
    <row r="353" spans="5:42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21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22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fan flow meter</v>
      </c>
      <c r="AA353" t="e">
        <f t="shared" ca="1" si="23"/>
        <v>#N/A</v>
      </c>
      <c r="AB353" t="str" cm="1">
        <f t="array" aca="1" ref="AB353" ca="1">IFERROR(INDIRECT("$Z"&amp;AA353),"")</f>
        <v/>
      </c>
      <c r="AP353" t="str">
        <f t="shared" si="20"/>
        <v/>
      </c>
    </row>
    <row r="354" spans="5:42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21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22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fan power meter</v>
      </c>
      <c r="AA354" t="e">
        <f t="shared" ca="1" si="23"/>
        <v>#N/A</v>
      </c>
      <c r="AB354" t="str" cm="1">
        <f t="array" aca="1" ref="AB354" ca="1">IFERROR(INDIRECT("$Z"&amp;AA354),"")</f>
        <v/>
      </c>
      <c r="AP354" t="str">
        <f t="shared" si="20"/>
        <v/>
      </c>
    </row>
    <row r="355" spans="5:42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21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22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23"/>
        <v>#N/A</v>
      </c>
      <c r="AB355" t="str" cm="1">
        <f t="array" aca="1" ref="AB355" ca="1">IFERROR(INDIRECT("$Z"&amp;AA355),"")</f>
        <v/>
      </c>
      <c r="AP355" t="str">
        <f t="shared" si="20"/>
        <v/>
      </c>
    </row>
    <row r="356" spans="5:42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21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22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23"/>
        <v>#N/A</v>
      </c>
      <c r="AB356" t="str" cm="1">
        <f t="array" aca="1" ref="AB356" ca="1">IFERROR(INDIRECT("$Z"&amp;AA356),"")</f>
        <v/>
      </c>
      <c r="AP356" t="str">
        <f t="shared" si="20"/>
        <v/>
      </c>
    </row>
    <row r="357" spans="5:42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21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22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23"/>
        <v>#N/A</v>
      </c>
      <c r="AB357" t="str" cm="1">
        <f t="array" aca="1" ref="AB357" ca="1">IFERROR(INDIRECT("$Z"&amp;AA357),"")</f>
        <v/>
      </c>
      <c r="AP357" t="str">
        <f t="shared" si="20"/>
        <v/>
      </c>
    </row>
    <row r="358" spans="5:42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21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22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23"/>
        <v>#N/A</v>
      </c>
      <c r="AB358" t="str" cm="1">
        <f t="array" aca="1" ref="AB358" ca="1">IFERROR(INDIRECT("$Z"&amp;AA358),"")</f>
        <v/>
      </c>
      <c r="AP358" t="str">
        <f t="shared" si="20"/>
        <v/>
      </c>
    </row>
    <row r="359" spans="5:42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21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22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23"/>
        <v>#N/A</v>
      </c>
      <c r="AB359" t="str" cm="1">
        <f t="array" aca="1" ref="AB359" ca="1">IFERROR(INDIRECT("$Z"&amp;AA359),"")</f>
        <v/>
      </c>
      <c r="AP359" t="str">
        <f t="shared" si="20"/>
        <v/>
      </c>
    </row>
    <row r="360" spans="5:42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21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22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23"/>
        <v>#N/A</v>
      </c>
      <c r="AB360" t="str" cm="1">
        <f t="array" aca="1" ref="AB360" ca="1">IFERROR(INDIRECT("$Z"&amp;AA360),"")</f>
        <v/>
      </c>
      <c r="AP360" t="str">
        <f t="shared" si="20"/>
        <v/>
      </c>
    </row>
    <row r="361" spans="5:42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21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22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23"/>
        <v>#N/A</v>
      </c>
      <c r="AB361" t="str" cm="1">
        <f t="array" aca="1" ref="AB361" ca="1">IFERROR(INDIRECT("$Z"&amp;AA361),"")</f>
        <v/>
      </c>
      <c r="AP361" t="str">
        <f t="shared" si="20"/>
        <v/>
      </c>
    </row>
    <row r="362" spans="5:42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21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22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23"/>
        <v>#N/A</v>
      </c>
      <c r="AB362" t="str" cm="1">
        <f t="array" aca="1" ref="AB362" ca="1">IFERROR(INDIRECT("$Z"&amp;AA362),"")</f>
        <v/>
      </c>
      <c r="AP362" t="str">
        <f t="shared" si="20"/>
        <v/>
      </c>
    </row>
    <row r="363" spans="5:42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21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22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23"/>
        <v>#N/A</v>
      </c>
      <c r="AB363" t="str" cm="1">
        <f t="array" aca="1" ref="AB363" ca="1">IFERROR(INDIRECT("$Z"&amp;AA363),"")</f>
        <v/>
      </c>
      <c r="AP363" t="str">
        <f t="shared" si="20"/>
        <v/>
      </c>
    </row>
    <row r="364" spans="5:42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21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22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23"/>
        <v>#N/A</v>
      </c>
      <c r="AB364" t="str" cm="1">
        <f t="array" aca="1" ref="AB364" ca="1">IFERROR(INDIRECT("$Z"&amp;AA364),"")</f>
        <v/>
      </c>
      <c r="AP364" t="str">
        <f t="shared" si="20"/>
        <v/>
      </c>
    </row>
    <row r="365" spans="5:42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21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22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23"/>
        <v>#N/A</v>
      </c>
      <c r="AB365" t="str" cm="1">
        <f t="array" aca="1" ref="AB365" ca="1">IFERROR(INDIRECT("$Z"&amp;AA365),"")</f>
        <v/>
      </c>
      <c r="AP365" t="str">
        <f t="shared" si="20"/>
        <v/>
      </c>
    </row>
    <row r="366" spans="5:42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21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22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23"/>
        <v>#N/A</v>
      </c>
      <c r="AB366" t="str" cm="1">
        <f t="array" aca="1" ref="AB366" ca="1">IFERROR(INDIRECT("$Z"&amp;AA366),"")</f>
        <v/>
      </c>
      <c r="AP366" t="str">
        <f t="shared" si="20"/>
        <v/>
      </c>
    </row>
    <row r="367" spans="5:42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21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22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23"/>
        <v>#N/A</v>
      </c>
      <c r="AB367" t="str" cm="1">
        <f t="array" aca="1" ref="AB367" ca="1">IFERROR(INDIRECT("$Z"&amp;AA367),"")</f>
        <v/>
      </c>
      <c r="AP367" t="str">
        <f t="shared" si="20"/>
        <v/>
      </c>
    </row>
    <row r="368" spans="5:42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21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22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23"/>
        <v>#N/A</v>
      </c>
      <c r="AB368" t="str" cm="1">
        <f t="array" aca="1" ref="AB368" ca="1">IFERROR(INDIRECT("$Z"&amp;AA368),"")</f>
        <v/>
      </c>
      <c r="AP368" t="str">
        <f t="shared" si="20"/>
        <v/>
      </c>
    </row>
    <row r="369" spans="5:42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21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22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23"/>
        <v>#N/A</v>
      </c>
      <c r="AB369" t="str" cm="1">
        <f t="array" aca="1" ref="AB369" ca="1">IFERROR(INDIRECT("$Z"&amp;AA369),"")</f>
        <v/>
      </c>
      <c r="AP369" t="str">
        <f t="shared" si="20"/>
        <v/>
      </c>
    </row>
    <row r="370" spans="5:42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21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22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23"/>
        <v>#N/A</v>
      </c>
      <c r="AB370" t="str" cm="1">
        <f t="array" aca="1" ref="AB370" ca="1">IFERROR(INDIRECT("$Z"&amp;AA370),"")</f>
        <v/>
      </c>
      <c r="AP370" t="str">
        <f t="shared" si="20"/>
        <v/>
      </c>
    </row>
    <row r="371" spans="5:42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21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22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23"/>
        <v>#N/A</v>
      </c>
      <c r="AB371" t="str" cm="1">
        <f t="array" aca="1" ref="AB371" ca="1">IFERROR(INDIRECT("$Z"&amp;AA371),"")</f>
        <v/>
      </c>
      <c r="AP371" t="str">
        <f t="shared" si="20"/>
        <v/>
      </c>
    </row>
    <row r="372" spans="5:42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21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22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23"/>
        <v>#N/A</v>
      </c>
      <c r="AB372" t="str" cm="1">
        <f t="array" aca="1" ref="AB372" ca="1">IFERROR(INDIRECT("$Z"&amp;AA372),"")</f>
        <v/>
      </c>
      <c r="AP372" t="str">
        <f t="shared" si="20"/>
        <v/>
      </c>
    </row>
    <row r="373" spans="5:42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21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22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23"/>
        <v>#N/A</v>
      </c>
      <c r="AB373" t="str" cm="1">
        <f t="array" aca="1" ref="AB373" ca="1">IFERROR(INDIRECT("$Z"&amp;AA373),"")</f>
        <v/>
      </c>
      <c r="AP373" t="str">
        <f t="shared" si="20"/>
        <v/>
      </c>
    </row>
    <row r="374" spans="5:42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21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22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23"/>
        <v>#N/A</v>
      </c>
      <c r="AB374" t="str" cm="1">
        <f t="array" aca="1" ref="AB374" ca="1">IFERROR(INDIRECT("$Z"&amp;AA374),"")</f>
        <v/>
      </c>
      <c r="AP374" t="str">
        <f t="shared" si="20"/>
        <v/>
      </c>
    </row>
    <row r="375" spans="5:42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21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22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23"/>
        <v>#N/A</v>
      </c>
      <c r="AB375" t="str" cm="1">
        <f t="array" aca="1" ref="AB375" ca="1">IFERROR(INDIRECT("$Z"&amp;AA375),"")</f>
        <v/>
      </c>
      <c r="AP375" t="str">
        <f t="shared" si="20"/>
        <v/>
      </c>
    </row>
    <row r="376" spans="5:42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21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22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23"/>
        <v>#N/A</v>
      </c>
      <c r="AB376" t="str" cm="1">
        <f t="array" aca="1" ref="AB376" ca="1">IFERROR(INDIRECT("$Z"&amp;AA376),"")</f>
        <v/>
      </c>
      <c r="AP376" t="str">
        <f t="shared" si="20"/>
        <v/>
      </c>
    </row>
    <row r="377" spans="5:42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21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22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23"/>
        <v>#N/A</v>
      </c>
      <c r="AB377" t="str" cm="1">
        <f t="array" aca="1" ref="AB377" ca="1">IFERROR(INDIRECT("$Z"&amp;AA377),"")</f>
        <v/>
      </c>
      <c r="AP377" t="str">
        <f t="shared" si="20"/>
        <v/>
      </c>
    </row>
    <row r="378" spans="5:42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21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22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23"/>
        <v>#N/A</v>
      </c>
      <c r="AB378" t="str" cm="1">
        <f t="array" aca="1" ref="AB378" ca="1">IFERROR(INDIRECT("$Z"&amp;AA378),"")</f>
        <v/>
      </c>
      <c r="AP378" t="str">
        <f t="shared" si="20"/>
        <v/>
      </c>
    </row>
    <row r="379" spans="5:42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21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22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23"/>
        <v>#N/A</v>
      </c>
      <c r="AB379" t="str" cm="1">
        <f t="array" aca="1" ref="AB379" ca="1">IFERROR(INDIRECT("$Z"&amp;AA379),"")</f>
        <v/>
      </c>
      <c r="AP379" t="str">
        <f t="shared" si="20"/>
        <v/>
      </c>
    </row>
    <row r="380" spans="5:42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21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22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23"/>
        <v>#N/A</v>
      </c>
      <c r="AB380" t="str" cm="1">
        <f t="array" aca="1" ref="AB380" ca="1">IFERROR(INDIRECT("$Z"&amp;AA380),"")</f>
        <v/>
      </c>
      <c r="AP380" t="str">
        <f t="shared" si="20"/>
        <v/>
      </c>
    </row>
    <row r="381" spans="5:42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21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22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23"/>
        <v>#N/A</v>
      </c>
      <c r="AB381" t="str" cm="1">
        <f t="array" aca="1" ref="AB381" ca="1">IFERROR(INDIRECT("$Z"&amp;AA381),"")</f>
        <v/>
      </c>
      <c r="AP381" t="str">
        <f t="shared" si="20"/>
        <v/>
      </c>
    </row>
    <row r="382" spans="5:42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21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22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23"/>
        <v>#N/A</v>
      </c>
      <c r="AB382" t="str" cm="1">
        <f t="array" aca="1" ref="AB382" ca="1">IFERROR(INDIRECT("$Z"&amp;AA382),"")</f>
        <v/>
      </c>
      <c r="AP382" t="str">
        <f t="shared" si="20"/>
        <v/>
      </c>
    </row>
    <row r="383" spans="5:42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21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22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23"/>
        <v>#N/A</v>
      </c>
      <c r="AB383" t="str" cm="1">
        <f t="array" aca="1" ref="AB383" ca="1">IFERROR(INDIRECT("$Z"&amp;AA383),"")</f>
        <v/>
      </c>
      <c r="AP383" t="str">
        <f t="shared" si="20"/>
        <v/>
      </c>
    </row>
    <row r="384" spans="5:42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21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22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23"/>
        <v>#N/A</v>
      </c>
      <c r="AB384" t="str" cm="1">
        <f t="array" aca="1" ref="AB384" ca="1">IFERROR(INDIRECT("$Z"&amp;AA384),"")</f>
        <v/>
      </c>
      <c r="AP384" t="str">
        <f t="shared" si="20"/>
        <v/>
      </c>
    </row>
    <row r="385" spans="5:42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21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22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23"/>
        <v>#N/A</v>
      </c>
      <c r="AB385" t="str" cm="1">
        <f t="array" aca="1" ref="AB385" ca="1">IFERROR(INDIRECT("$Z"&amp;AA385),"")</f>
        <v/>
      </c>
      <c r="AP385" t="str">
        <f t="shared" si="20"/>
        <v/>
      </c>
    </row>
    <row r="386" spans="5:42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21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22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23"/>
        <v>#N/A</v>
      </c>
      <c r="AB386" t="str" cm="1">
        <f t="array" aca="1" ref="AB386" ca="1">IFERROR(INDIRECT("$Z"&amp;AA386),"")</f>
        <v/>
      </c>
      <c r="AP386" t="str">
        <f t="shared" si="20"/>
        <v/>
      </c>
    </row>
    <row r="387" spans="5:42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21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22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23"/>
        <v>#N/A</v>
      </c>
      <c r="AB387" t="str" cm="1">
        <f t="array" aca="1" ref="AB387" ca="1">IFERROR(INDIRECT("$Z"&amp;AA387),"")</f>
        <v/>
      </c>
      <c r="AP387" t="str">
        <f t="shared" ref="AP387:AP450" si="24">IF(AI387&lt;&gt;"", _xlfn.CONCAT(AI387, " (airside)"), "")</f>
        <v/>
      </c>
    </row>
    <row r="388" spans="5:42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25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26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27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24"/>
        <v/>
      </c>
    </row>
    <row r="389" spans="5:42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25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26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27"/>
        <v>#N/A</v>
      </c>
      <c r="AB389" t="str" cm="1">
        <f t="array" aca="1" ref="AB389" ca="1">IFERROR(INDIRECT("$Z"&amp;AA389),"")</f>
        <v/>
      </c>
      <c r="AP389" t="str">
        <f t="shared" si="24"/>
        <v/>
      </c>
    </row>
    <row r="390" spans="5:42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25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26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27"/>
        <v>#N/A</v>
      </c>
      <c r="AB390" t="str" cm="1">
        <f t="array" aca="1" ref="AB390" ca="1">IFERROR(INDIRECT("$Z"&amp;AA390),"")</f>
        <v/>
      </c>
      <c r="AP390" t="str">
        <f t="shared" si="24"/>
        <v/>
      </c>
    </row>
    <row r="391" spans="5:42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25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26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27"/>
        <v>#N/A</v>
      </c>
      <c r="AB391" t="str" cm="1">
        <f t="array" aca="1" ref="AB391" ca="1">IFERROR(INDIRECT("$Z"&amp;AA391),"")</f>
        <v/>
      </c>
      <c r="AP391" t="str">
        <f t="shared" si="24"/>
        <v/>
      </c>
    </row>
    <row r="392" spans="5:42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25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26"/>
        <v>#N/A</v>
      </c>
      <c r="W392" t="str" cm="1">
        <f t="array" aca="1" ref="W392" ca="1">IFERROR(INDIRECT("$U"&amp;V392),"")</f>
        <v/>
      </c>
      <c r="Z392" t="str" cm="1">
        <f t="array" aca="1" ref="Z392" ca="1">INDEX($AE$2:$AS$40,MOD(ROW()-ROW($AE$2),ROWS($AE$2:$AS$40))+1,INT((ROW()-ROW($AE$2))/ROWS($AE$2:$AS$40))+1)</f>
        <v>pump</v>
      </c>
      <c r="AA392" t="e">
        <f t="shared" ca="1" si="27"/>
        <v>#N/A</v>
      </c>
      <c r="AB392" t="str" cm="1">
        <f t="array" aca="1" ref="AB392" ca="1">IFERROR(INDIRECT("$Z"&amp;AA392),"")</f>
        <v/>
      </c>
      <c r="AP392" t="str">
        <f t="shared" si="24"/>
        <v/>
      </c>
    </row>
    <row r="393" spans="5:42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25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26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27"/>
        <v>#N/A</v>
      </c>
      <c r="AB393" t="str" cm="1">
        <f t="array" aca="1" ref="AB393" ca="1">IFERROR(INDIRECT("$Z"&amp;AA393),"")</f>
        <v/>
      </c>
      <c r="AP393" t="str">
        <f t="shared" si="24"/>
        <v/>
      </c>
    </row>
    <row r="394" spans="5:42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25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26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27"/>
        <v>#N/A</v>
      </c>
      <c r="AB394" t="str" cm="1">
        <f t="array" aca="1" ref="AB394" ca="1">IFERROR(INDIRECT("$Z"&amp;AA394),"")</f>
        <v/>
      </c>
      <c r="AP394" t="str">
        <f t="shared" si="24"/>
        <v/>
      </c>
    </row>
    <row r="395" spans="5:42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25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26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27"/>
        <v>#N/A</v>
      </c>
      <c r="AB395" t="str" cm="1">
        <f t="array" aca="1" ref="AB395" ca="1">IFERROR(INDIRECT("$Z"&amp;AA395),"")</f>
        <v/>
      </c>
      <c r="AP395" t="str">
        <f t="shared" si="24"/>
        <v/>
      </c>
    </row>
    <row r="396" spans="5:42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25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26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27"/>
        <v>#N/A</v>
      </c>
      <c r="AB396" t="str" cm="1">
        <f t="array" aca="1" ref="AB396" ca="1">IFERROR(INDIRECT("$Z"&amp;AA396),"")</f>
        <v/>
      </c>
      <c r="AP396" t="str">
        <f t="shared" si="24"/>
        <v/>
      </c>
    </row>
    <row r="397" spans="5:42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25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26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27"/>
        <v>#N/A</v>
      </c>
      <c r="AB397" t="str" cm="1">
        <f t="array" aca="1" ref="AB397" ca="1">IFERROR(INDIRECT("$Z"&amp;AA397),"")</f>
        <v/>
      </c>
      <c r="AP397" t="str">
        <f t="shared" si="24"/>
        <v/>
      </c>
    </row>
    <row r="398" spans="5:42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25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26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27"/>
        <v>#N/A</v>
      </c>
      <c r="AB398" t="str" cm="1">
        <f t="array" aca="1" ref="AB398" ca="1">IFERROR(INDIRECT("$Z"&amp;AA398),"")</f>
        <v/>
      </c>
      <c r="AP398" t="str">
        <f t="shared" si="24"/>
        <v/>
      </c>
    </row>
    <row r="399" spans="5:42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25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26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27"/>
        <v>#N/A</v>
      </c>
      <c r="AB399" t="str" cm="1">
        <f t="array" aca="1" ref="AB399" ca="1">IFERROR(INDIRECT("$Z"&amp;AA399),"")</f>
        <v/>
      </c>
      <c r="AP399" t="str">
        <f t="shared" si="24"/>
        <v/>
      </c>
    </row>
    <row r="400" spans="5:42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25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26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27"/>
        <v>#N/A</v>
      </c>
      <c r="AB400" t="str" cm="1">
        <f t="array" aca="1" ref="AB400" ca="1">IFERROR(INDIRECT("$Z"&amp;AA400),"")</f>
        <v/>
      </c>
      <c r="AP400" t="str">
        <f t="shared" si="24"/>
        <v/>
      </c>
    </row>
    <row r="401" spans="5:42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25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26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27"/>
        <v>#N/A</v>
      </c>
      <c r="AB401" t="str" cm="1">
        <f t="array" aca="1" ref="AB401" ca="1">IFERROR(INDIRECT("$Z"&amp;AA401),"")</f>
        <v/>
      </c>
      <c r="AP401" t="str">
        <f t="shared" si="24"/>
        <v/>
      </c>
    </row>
    <row r="402" spans="5:42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25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26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27"/>
        <v>#N/A</v>
      </c>
      <c r="AB402" t="str" cm="1">
        <f t="array" aca="1" ref="AB402" ca="1">IFERROR(INDIRECT("$Z"&amp;AA402),"")</f>
        <v/>
      </c>
      <c r="AP402" t="str">
        <f t="shared" si="24"/>
        <v/>
      </c>
    </row>
    <row r="403" spans="5:42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25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26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27"/>
        <v>#N/A</v>
      </c>
      <c r="AB403" t="str" cm="1">
        <f t="array" aca="1" ref="AB403" ca="1">IFERROR(INDIRECT("$Z"&amp;AA403),"")</f>
        <v/>
      </c>
      <c r="AP403" t="str">
        <f t="shared" si="24"/>
        <v/>
      </c>
    </row>
    <row r="404" spans="5:42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25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26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27"/>
        <v>#N/A</v>
      </c>
      <c r="AB404" t="str" cm="1">
        <f t="array" aca="1" ref="AB404" ca="1">IFERROR(INDIRECT("$Z"&amp;AA404),"")</f>
        <v/>
      </c>
      <c r="AP404" t="str">
        <f t="shared" si="24"/>
        <v/>
      </c>
    </row>
    <row r="405" spans="5:42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25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26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27"/>
        <v>#N/A</v>
      </c>
      <c r="AB405" t="str" cm="1">
        <f t="array" aca="1" ref="AB405" ca="1">IFERROR(INDIRECT("$Z"&amp;AA405),"")</f>
        <v/>
      </c>
      <c r="AP405" t="str">
        <f t="shared" si="24"/>
        <v/>
      </c>
    </row>
    <row r="406" spans="5:42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25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26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27"/>
        <v>#N/A</v>
      </c>
      <c r="AB406" t="str" cm="1">
        <f t="array" aca="1" ref="AB406" ca="1">IFERROR(INDIRECT("$Z"&amp;AA406),"")</f>
        <v/>
      </c>
      <c r="AP406" t="str">
        <f t="shared" si="24"/>
        <v/>
      </c>
    </row>
    <row r="407" spans="5:42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25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26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27"/>
        <v>#N/A</v>
      </c>
      <c r="AB407" t="str" cm="1">
        <f t="array" aca="1" ref="AB407" ca="1">IFERROR(INDIRECT("$Z"&amp;AA407),"")</f>
        <v/>
      </c>
      <c r="AP407" t="str">
        <f t="shared" si="24"/>
        <v/>
      </c>
    </row>
    <row r="408" spans="5:42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25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26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27"/>
        <v>#N/A</v>
      </c>
      <c r="AB408" t="str" cm="1">
        <f t="array" aca="1" ref="AB408" ca="1">IFERROR(INDIRECT("$Z"&amp;AA408),"")</f>
        <v/>
      </c>
      <c r="AP408" t="str">
        <f t="shared" si="24"/>
        <v/>
      </c>
    </row>
    <row r="409" spans="5:42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25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26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27"/>
        <v>#N/A</v>
      </c>
      <c r="AB409" t="str" cm="1">
        <f t="array" aca="1" ref="AB409" ca="1">IFERROR(INDIRECT("$Z"&amp;AA409),"")</f>
        <v/>
      </c>
      <c r="AP409" t="str">
        <f t="shared" si="24"/>
        <v/>
      </c>
    </row>
    <row r="410" spans="5:42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25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26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27"/>
        <v>#N/A</v>
      </c>
      <c r="AB410" t="str" cm="1">
        <f t="array" aca="1" ref="AB410" ca="1">IFERROR(INDIRECT("$Z"&amp;AA410),"")</f>
        <v/>
      </c>
      <c r="AP410" t="str">
        <f t="shared" si="24"/>
        <v/>
      </c>
    </row>
    <row r="411" spans="5:42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25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26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27"/>
        <v>#N/A</v>
      </c>
      <c r="AB411" t="str" cm="1">
        <f t="array" aca="1" ref="AB411" ca="1">IFERROR(INDIRECT("$Z"&amp;AA411),"")</f>
        <v/>
      </c>
      <c r="AP411" t="str">
        <f t="shared" si="24"/>
        <v/>
      </c>
    </row>
    <row r="412" spans="5:42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25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26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27"/>
        <v>#N/A</v>
      </c>
      <c r="AB412" t="str" cm="1">
        <f t="array" aca="1" ref="AB412" ca="1">IFERROR(INDIRECT("$Z"&amp;AA412),"")</f>
        <v/>
      </c>
      <c r="AP412" t="str">
        <f t="shared" si="24"/>
        <v/>
      </c>
    </row>
    <row r="413" spans="5:42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25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26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27"/>
        <v>#N/A</v>
      </c>
      <c r="AB413" t="str" cm="1">
        <f t="array" aca="1" ref="AB413" ca="1">IFERROR(INDIRECT("$Z"&amp;AA413),"")</f>
        <v/>
      </c>
      <c r="AP413" t="str">
        <f t="shared" si="24"/>
        <v/>
      </c>
    </row>
    <row r="414" spans="5:42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25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26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27"/>
        <v>#N/A</v>
      </c>
      <c r="AB414" t="str" cm="1">
        <f t="array" aca="1" ref="AB414" ca="1">IFERROR(INDIRECT("$Z"&amp;AA414),"")</f>
        <v/>
      </c>
      <c r="AP414" t="str">
        <f t="shared" si="24"/>
        <v/>
      </c>
    </row>
    <row r="415" spans="5:42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25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26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27"/>
        <v>#N/A</v>
      </c>
      <c r="AB415" t="str" cm="1">
        <f t="array" aca="1" ref="AB415" ca="1">IFERROR(INDIRECT("$Z"&amp;AA415),"")</f>
        <v/>
      </c>
      <c r="AP415" t="str">
        <f t="shared" si="24"/>
        <v/>
      </c>
    </row>
    <row r="416" spans="5:42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25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26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27"/>
        <v>#N/A</v>
      </c>
      <c r="AB416" t="str" cm="1">
        <f t="array" aca="1" ref="AB416" ca="1">IFERROR(INDIRECT("$Z"&amp;AA416),"")</f>
        <v/>
      </c>
      <c r="AP416" t="str">
        <f t="shared" si="24"/>
        <v/>
      </c>
    </row>
    <row r="417" spans="5:42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25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26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27"/>
        <v>#N/A</v>
      </c>
      <c r="AB417" t="str" cm="1">
        <f t="array" aca="1" ref="AB417" ca="1">IFERROR(INDIRECT("$Z"&amp;AA417),"")</f>
        <v/>
      </c>
      <c r="AP417" t="str">
        <f t="shared" si="24"/>
        <v/>
      </c>
    </row>
    <row r="418" spans="5:42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25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26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27"/>
        <v>#N/A</v>
      </c>
      <c r="AB418" t="str" cm="1">
        <f t="array" aca="1" ref="AB418" ca="1">IFERROR(INDIRECT("$Z"&amp;AA418),"")</f>
        <v/>
      </c>
      <c r="AP418" t="str">
        <f t="shared" si="24"/>
        <v/>
      </c>
    </row>
    <row r="419" spans="5:42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25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26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27"/>
        <v>#N/A</v>
      </c>
      <c r="AB419" t="str" cm="1">
        <f t="array" aca="1" ref="AB419" ca="1">IFERROR(INDIRECT("$Z"&amp;AA419),"")</f>
        <v/>
      </c>
      <c r="AP419" t="str">
        <f t="shared" si="24"/>
        <v/>
      </c>
    </row>
    <row r="420" spans="5:42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25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26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27"/>
        <v>#N/A</v>
      </c>
      <c r="AB420" t="str" cm="1">
        <f t="array" aca="1" ref="AB420" ca="1">IFERROR(INDIRECT("$Z"&amp;AA420),"")</f>
        <v/>
      </c>
      <c r="AP420" t="str">
        <f t="shared" si="24"/>
        <v/>
      </c>
    </row>
    <row r="421" spans="5:42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25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26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27"/>
        <v>#N/A</v>
      </c>
      <c r="AB421" t="str" cm="1">
        <f t="array" aca="1" ref="AB421" ca="1">IFERROR(INDIRECT("$Z"&amp;AA421),"")</f>
        <v/>
      </c>
      <c r="AP421" t="str">
        <f t="shared" si="24"/>
        <v/>
      </c>
    </row>
    <row r="422" spans="5:42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25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26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27"/>
        <v>#N/A</v>
      </c>
      <c r="AB422" t="str" cm="1">
        <f t="array" aca="1" ref="AB422" ca="1">IFERROR(INDIRECT("$Z"&amp;AA422),"")</f>
        <v/>
      </c>
      <c r="AP422" t="str">
        <f t="shared" si="24"/>
        <v/>
      </c>
    </row>
    <row r="423" spans="5:42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25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26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27"/>
        <v>#N/A</v>
      </c>
      <c r="AB423" t="str" cm="1">
        <f t="array" aca="1" ref="AB423" ca="1">IFERROR(INDIRECT("$Z"&amp;AA423),"")</f>
        <v/>
      </c>
      <c r="AP423" t="str">
        <f t="shared" si="24"/>
        <v/>
      </c>
    </row>
    <row r="424" spans="5:42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25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26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27"/>
        <v>#N/A</v>
      </c>
      <c r="AB424" t="str" cm="1">
        <f t="array" aca="1" ref="AB424" ca="1">IFERROR(INDIRECT("$Z"&amp;AA424),"")</f>
        <v/>
      </c>
      <c r="AP424" t="str">
        <f t="shared" si="24"/>
        <v/>
      </c>
    </row>
    <row r="425" spans="5:42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25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26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27"/>
        <v>#N/A</v>
      </c>
      <c r="AB425" t="str" cm="1">
        <f t="array" aca="1" ref="AB425" ca="1">IFERROR(INDIRECT("$Z"&amp;AA425),"")</f>
        <v/>
      </c>
      <c r="AP425" t="str">
        <f t="shared" si="24"/>
        <v/>
      </c>
    </row>
    <row r="426" spans="5:42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25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26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27"/>
        <v>#N/A</v>
      </c>
      <c r="AB426" t="str" cm="1">
        <f t="array" aca="1" ref="AB426" ca="1">IFERROR(INDIRECT("$Z"&amp;AA426),"")</f>
        <v/>
      </c>
      <c r="AP426" t="str">
        <f t="shared" si="24"/>
        <v/>
      </c>
    </row>
    <row r="427" spans="5:42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25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26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27"/>
        <v>#N/A</v>
      </c>
      <c r="AB427" t="str" cm="1">
        <f t="array" aca="1" ref="AB427" ca="1">IFERROR(INDIRECT("$Z"&amp;AA427),"")</f>
        <v/>
      </c>
      <c r="AP427" t="str">
        <f t="shared" si="24"/>
        <v/>
      </c>
    </row>
    <row r="428" spans="5:42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25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26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27"/>
        <v>#N/A</v>
      </c>
      <c r="AB428" t="str" cm="1">
        <f t="array" aca="1" ref="AB428" ca="1">IFERROR(INDIRECT("$Z"&amp;AA428),"")</f>
        <v/>
      </c>
      <c r="AP428" t="str">
        <f t="shared" si="24"/>
        <v/>
      </c>
    </row>
    <row r="429" spans="5:42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25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26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27"/>
        <v>#N/A</v>
      </c>
      <c r="AB429" t="str" cm="1">
        <f t="array" aca="1" ref="AB429" ca="1">IFERROR(INDIRECT("$Z"&amp;AA429),"")</f>
        <v/>
      </c>
      <c r="AP429" t="str">
        <f t="shared" si="24"/>
        <v/>
      </c>
    </row>
    <row r="430" spans="5:42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25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26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27"/>
        <v>#N/A</v>
      </c>
      <c r="AB430" t="str" cm="1">
        <f t="array" aca="1" ref="AB430" ca="1">IFERROR(INDIRECT("$Z"&amp;AA430),"")</f>
        <v/>
      </c>
      <c r="AP430" t="str">
        <f t="shared" si="24"/>
        <v/>
      </c>
    </row>
    <row r="431" spans="5:42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25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26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heating coil (airside)</v>
      </c>
      <c r="AA431" t="e">
        <f t="shared" ca="1" si="27"/>
        <v>#N/A</v>
      </c>
      <c r="AB431" t="str" cm="1">
        <f t="array" aca="1" ref="AB431" ca="1">IFERROR(INDIRECT("$Z"&amp;AA431),"")</f>
        <v/>
      </c>
      <c r="AP431" t="str">
        <f t="shared" si="24"/>
        <v/>
      </c>
    </row>
    <row r="432" spans="5:42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25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26"/>
        <v>#N/A</v>
      </c>
      <c r="W432" t="str" cm="1">
        <f t="array" aca="1" ref="W432" ca="1">IFERROR(INDIRECT("$U"&amp;V432),"")</f>
        <v/>
      </c>
      <c r="Z432" t="str" cm="1">
        <f t="array" ref="Z432">INDEX($AE$2:$AS$40,MOD(ROW()-ROW($AE$2),ROWS($AE$2:$AS$40))+1,INT((ROW()-ROW($AE$2))/ROWS($AE$2:$AS$40))+1)</f>
        <v/>
      </c>
      <c r="AA432" t="e">
        <f t="shared" ca="1" si="27"/>
        <v>#N/A</v>
      </c>
      <c r="AB432" t="str" cm="1">
        <f t="array" aca="1" ref="AB432" ca="1">IFERROR(INDIRECT("$Z"&amp;AA432),"")</f>
        <v/>
      </c>
      <c r="AP432" t="str">
        <f t="shared" si="24"/>
        <v/>
      </c>
    </row>
    <row r="433" spans="5:42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25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26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27"/>
        <v>#N/A</v>
      </c>
      <c r="AB433" t="str" cm="1">
        <f t="array" aca="1" ref="AB433" ca="1">IFERROR(INDIRECT("$Z"&amp;AA433),"")</f>
        <v/>
      </c>
      <c r="AP433" t="str">
        <f t="shared" si="24"/>
        <v/>
      </c>
    </row>
    <row r="434" spans="5:42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25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26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27"/>
        <v>#N/A</v>
      </c>
      <c r="AB434" t="str" cm="1">
        <f t="array" aca="1" ref="AB434" ca="1">IFERROR(INDIRECT("$Z"&amp;AA434),"")</f>
        <v/>
      </c>
      <c r="AP434" t="str">
        <f t="shared" si="24"/>
        <v/>
      </c>
    </row>
    <row r="435" spans="5:42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25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26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27"/>
        <v>#N/A</v>
      </c>
      <c r="AB435" t="str" cm="1">
        <f t="array" aca="1" ref="AB435" ca="1">IFERROR(INDIRECT("$Z"&amp;AA435),"")</f>
        <v/>
      </c>
      <c r="AP435" t="str">
        <f t="shared" si="24"/>
        <v/>
      </c>
    </row>
    <row r="436" spans="5:42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25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26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27"/>
        <v>#N/A</v>
      </c>
      <c r="AB436" t="str" cm="1">
        <f t="array" aca="1" ref="AB436" ca="1">IFERROR(INDIRECT("$Z"&amp;AA436),"")</f>
        <v/>
      </c>
      <c r="AP436" t="str">
        <f t="shared" si="24"/>
        <v/>
      </c>
    </row>
    <row r="437" spans="5:42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25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26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27"/>
        <v>#N/A</v>
      </c>
      <c r="AB437" t="str" cm="1">
        <f t="array" aca="1" ref="AB437" ca="1">IFERROR(INDIRECT("$Z"&amp;AA437),"")</f>
        <v/>
      </c>
      <c r="AP437" t="str">
        <f t="shared" si="24"/>
        <v/>
      </c>
    </row>
    <row r="438" spans="5:42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25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26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27"/>
        <v>#N/A</v>
      </c>
      <c r="AB438" t="str" cm="1">
        <f t="array" aca="1" ref="AB438" ca="1">IFERROR(INDIRECT("$Z"&amp;AA438),"")</f>
        <v/>
      </c>
      <c r="AP438" t="str">
        <f t="shared" si="24"/>
        <v/>
      </c>
    </row>
    <row r="439" spans="5:42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25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26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27"/>
        <v>#N/A</v>
      </c>
      <c r="AB439" t="str" cm="1">
        <f t="array" aca="1" ref="AB439" ca="1">IFERROR(INDIRECT("$Z"&amp;AA439),"")</f>
        <v/>
      </c>
      <c r="AP439" t="str">
        <f t="shared" si="24"/>
        <v/>
      </c>
    </row>
    <row r="440" spans="5:42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25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26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27"/>
        <v>#N/A</v>
      </c>
      <c r="AB440" t="str" cm="1">
        <f t="array" aca="1" ref="AB440" ca="1">IFERROR(INDIRECT("$Z"&amp;AA440),"")</f>
        <v/>
      </c>
      <c r="AP440" t="str">
        <f t="shared" si="24"/>
        <v/>
      </c>
    </row>
    <row r="441" spans="5:42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25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26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27"/>
        <v>#N/A</v>
      </c>
      <c r="AB441" t="str" cm="1">
        <f t="array" aca="1" ref="AB441" ca="1">IFERROR(INDIRECT("$Z"&amp;AA441),"")</f>
        <v/>
      </c>
      <c r="AP441" t="str">
        <f t="shared" si="24"/>
        <v/>
      </c>
    </row>
    <row r="442" spans="5:42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25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26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27"/>
        <v>#N/A</v>
      </c>
      <c r="AB442" t="str" cm="1">
        <f t="array" aca="1" ref="AB442" ca="1">IFERROR(INDIRECT("$Z"&amp;AA442),"")</f>
        <v/>
      </c>
      <c r="AP442" t="str">
        <f t="shared" si="24"/>
        <v/>
      </c>
    </row>
    <row r="443" spans="5:42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25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26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27"/>
        <v>#N/A</v>
      </c>
      <c r="AB443" t="str" cm="1">
        <f t="array" aca="1" ref="AB443" ca="1">IFERROR(INDIRECT("$Z"&amp;AA443),"")</f>
        <v/>
      </c>
      <c r="AP443" t="str">
        <f t="shared" si="24"/>
        <v/>
      </c>
    </row>
    <row r="444" spans="5:42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25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26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27"/>
        <v>#N/A</v>
      </c>
      <c r="AB444" t="str" cm="1">
        <f t="array" aca="1" ref="AB444" ca="1">IFERROR(INDIRECT("$Z"&amp;AA444),"")</f>
        <v/>
      </c>
      <c r="AP444" t="str">
        <f t="shared" si="24"/>
        <v/>
      </c>
    </row>
    <row r="445" spans="5:42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25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26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27"/>
        <v>#N/A</v>
      </c>
      <c r="AB445" t="str" cm="1">
        <f t="array" aca="1" ref="AB445" ca="1">IFERROR(INDIRECT("$Z"&amp;AA445),"")</f>
        <v/>
      </c>
      <c r="AP445" t="str">
        <f t="shared" si="24"/>
        <v/>
      </c>
    </row>
    <row r="446" spans="5:42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25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26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27"/>
        <v>#N/A</v>
      </c>
      <c r="AB446" t="str" cm="1">
        <f t="array" aca="1" ref="AB446" ca="1">IFERROR(INDIRECT("$Z"&amp;AA446),"")</f>
        <v/>
      </c>
      <c r="AP446" t="str">
        <f t="shared" si="24"/>
        <v/>
      </c>
    </row>
    <row r="447" spans="5:42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25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26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27"/>
        <v>#N/A</v>
      </c>
      <c r="AB447" t="str" cm="1">
        <f t="array" aca="1" ref="AB447" ca="1">IFERROR(INDIRECT("$Z"&amp;AA447),"")</f>
        <v/>
      </c>
      <c r="AP447" t="str">
        <f t="shared" si="24"/>
        <v/>
      </c>
    </row>
    <row r="448" spans="5:42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25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26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27"/>
        <v>#N/A</v>
      </c>
      <c r="AB448" t="str" cm="1">
        <f t="array" aca="1" ref="AB448" ca="1">IFERROR(INDIRECT("$Z"&amp;AA448),"")</f>
        <v/>
      </c>
      <c r="AP448" t="str">
        <f t="shared" si="24"/>
        <v/>
      </c>
    </row>
    <row r="449" spans="5:42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25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26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27"/>
        <v>#N/A</v>
      </c>
      <c r="AB449" t="str" cm="1">
        <f t="array" aca="1" ref="AB449" ca="1">IFERROR(INDIRECT("$Z"&amp;AA449),"")</f>
        <v/>
      </c>
      <c r="AP449" t="str">
        <f t="shared" si="24"/>
        <v/>
      </c>
    </row>
    <row r="450" spans="5:42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25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26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27"/>
        <v>#N/A</v>
      </c>
      <c r="AB450" t="str" cm="1">
        <f t="array" aca="1" ref="AB450" ca="1">IFERROR(INDIRECT("$Z"&amp;AA450),"")</f>
        <v/>
      </c>
      <c r="AP450" t="str">
        <f t="shared" si="24"/>
        <v/>
      </c>
    </row>
    <row r="451" spans="5:42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25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26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27"/>
        <v>#N/A</v>
      </c>
      <c r="AB451" t="str" cm="1">
        <f t="array" aca="1" ref="AB451" ca="1">IFERROR(INDIRECT("$Z"&amp;AA451),"")</f>
        <v/>
      </c>
      <c r="AP451" t="str">
        <f t="shared" ref="AP451:AP514" si="28">IF(AI451&lt;&gt;"", _xlfn.CONCAT(AI451, " (airside)"), "")</f>
        <v/>
      </c>
    </row>
    <row r="452" spans="5:42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29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30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31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28"/>
        <v/>
      </c>
    </row>
    <row r="453" spans="5:42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29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30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31"/>
        <v>#N/A</v>
      </c>
      <c r="AB453" t="str" cm="1">
        <f t="array" aca="1" ref="AB453" ca="1">IFERROR(INDIRECT("$Z"&amp;AA453),"")</f>
        <v/>
      </c>
      <c r="AP453" t="str">
        <f t="shared" si="28"/>
        <v/>
      </c>
    </row>
    <row r="454" spans="5:42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29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30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31"/>
        <v>#N/A</v>
      </c>
      <c r="AB454" t="str" cm="1">
        <f t="array" aca="1" ref="AB454" ca="1">IFERROR(INDIRECT("$Z"&amp;AA454),"")</f>
        <v/>
      </c>
      <c r="AP454" t="str">
        <f t="shared" si="28"/>
        <v/>
      </c>
    </row>
    <row r="455" spans="5:42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29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30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31"/>
        <v>#N/A</v>
      </c>
      <c r="AB455" t="str" cm="1">
        <f t="array" aca="1" ref="AB455" ca="1">IFERROR(INDIRECT("$Z"&amp;AA455),"")</f>
        <v/>
      </c>
      <c r="AP455" t="str">
        <f t="shared" si="28"/>
        <v/>
      </c>
    </row>
    <row r="456" spans="5:42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29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30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31"/>
        <v>#N/A</v>
      </c>
      <c r="AB456" t="str" cm="1">
        <f t="array" aca="1" ref="AB456" ca="1">IFERROR(INDIRECT("$Z"&amp;AA456),"")</f>
        <v/>
      </c>
      <c r="AP456" t="str">
        <f t="shared" si="28"/>
        <v/>
      </c>
    </row>
    <row r="457" spans="5:42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29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30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31"/>
        <v>#N/A</v>
      </c>
      <c r="AB457" t="str" cm="1">
        <f t="array" aca="1" ref="AB457" ca="1">IFERROR(INDIRECT("$Z"&amp;AA457),"")</f>
        <v/>
      </c>
      <c r="AP457" t="str">
        <f t="shared" si="28"/>
        <v/>
      </c>
    </row>
    <row r="458" spans="5:42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29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30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31"/>
        <v>#N/A</v>
      </c>
      <c r="AB458" t="str" cm="1">
        <f t="array" aca="1" ref="AB458" ca="1">IFERROR(INDIRECT("$Z"&amp;AA458),"")</f>
        <v/>
      </c>
      <c r="AP458" t="str">
        <f t="shared" si="28"/>
        <v/>
      </c>
    </row>
    <row r="459" spans="5:42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29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30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31"/>
        <v>#N/A</v>
      </c>
      <c r="AB459" t="str" cm="1">
        <f t="array" aca="1" ref="AB459" ca="1">IFERROR(INDIRECT("$Z"&amp;AA459),"")</f>
        <v/>
      </c>
      <c r="AP459" t="str">
        <f t="shared" si="28"/>
        <v/>
      </c>
    </row>
    <row r="460" spans="5:42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29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30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31"/>
        <v>#N/A</v>
      </c>
      <c r="AB460" t="str" cm="1">
        <f t="array" aca="1" ref="AB460" ca="1">IFERROR(INDIRECT("$Z"&amp;AA460),"")</f>
        <v/>
      </c>
      <c r="AP460" t="str">
        <f t="shared" si="28"/>
        <v/>
      </c>
    </row>
    <row r="461" spans="5:42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29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30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31"/>
        <v>#N/A</v>
      </c>
      <c r="AB461" t="str" cm="1">
        <f t="array" aca="1" ref="AB461" ca="1">IFERROR(INDIRECT("$Z"&amp;AA461),"")</f>
        <v/>
      </c>
      <c r="AP461" t="str">
        <f t="shared" si="28"/>
        <v/>
      </c>
    </row>
    <row r="462" spans="5:42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29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30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31"/>
        <v>#N/A</v>
      </c>
      <c r="AB462" t="str" cm="1">
        <f t="array" aca="1" ref="AB462" ca="1">IFERROR(INDIRECT("$Z"&amp;AA462),"")</f>
        <v/>
      </c>
      <c r="AP462" t="str">
        <f t="shared" si="28"/>
        <v/>
      </c>
    </row>
    <row r="463" spans="5:42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29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30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31"/>
        <v>#N/A</v>
      </c>
      <c r="AB463" t="str" cm="1">
        <f t="array" aca="1" ref="AB463" ca="1">IFERROR(INDIRECT("$Z"&amp;AA463),"")</f>
        <v/>
      </c>
      <c r="AP463" t="str">
        <f t="shared" si="28"/>
        <v/>
      </c>
    </row>
    <row r="464" spans="5:42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29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30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31"/>
        <v>#N/A</v>
      </c>
      <c r="AB464" t="str" cm="1">
        <f t="array" aca="1" ref="AB464" ca="1">IFERROR(INDIRECT("$Z"&amp;AA464),"")</f>
        <v/>
      </c>
      <c r="AP464" t="str">
        <f t="shared" si="28"/>
        <v/>
      </c>
    </row>
    <row r="465" spans="5:42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29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30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31"/>
        <v>#N/A</v>
      </c>
      <c r="AB465" t="str" cm="1">
        <f t="array" aca="1" ref="AB465" ca="1">IFERROR(INDIRECT("$Z"&amp;AA465),"")</f>
        <v/>
      </c>
      <c r="AP465" t="str">
        <f t="shared" si="28"/>
        <v/>
      </c>
    </row>
    <row r="466" spans="5:42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29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30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31"/>
        <v>#N/A</v>
      </c>
      <c r="AB466" t="str" cm="1">
        <f t="array" aca="1" ref="AB466" ca="1">IFERROR(INDIRECT("$Z"&amp;AA466),"")</f>
        <v/>
      </c>
      <c r="AP466" t="str">
        <f t="shared" si="28"/>
        <v/>
      </c>
    </row>
    <row r="467" spans="5:42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29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30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31"/>
        <v>#N/A</v>
      </c>
      <c r="AB467" t="str" cm="1">
        <f t="array" aca="1" ref="AB467" ca="1">IFERROR(INDIRECT("$Z"&amp;AA467),"")</f>
        <v/>
      </c>
      <c r="AP467" t="str">
        <f t="shared" si="28"/>
        <v/>
      </c>
    </row>
    <row r="468" spans="5:42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29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30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31"/>
        <v>#N/A</v>
      </c>
      <c r="AB468" t="str" cm="1">
        <f t="array" aca="1" ref="AB468" ca="1">IFERROR(INDIRECT("$Z"&amp;AA468),"")</f>
        <v/>
      </c>
      <c r="AP468" t="str">
        <f t="shared" si="28"/>
        <v/>
      </c>
    </row>
    <row r="469" spans="5:42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29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30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31"/>
        <v>#N/A</v>
      </c>
      <c r="AB469" t="str" cm="1">
        <f t="array" aca="1" ref="AB469" ca="1">IFERROR(INDIRECT("$Z"&amp;AA469),"")</f>
        <v/>
      </c>
      <c r="AP469" t="str">
        <f t="shared" si="28"/>
        <v/>
      </c>
    </row>
    <row r="470" spans="5:42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29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30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heating coil (waterside)</v>
      </c>
      <c r="AA470" t="e">
        <f t="shared" ca="1" si="31"/>
        <v>#N/A</v>
      </c>
      <c r="AB470" t="str" cm="1">
        <f t="array" aca="1" ref="AB470" ca="1">IFERROR(INDIRECT("$Z"&amp;AA470),"")</f>
        <v/>
      </c>
      <c r="AP470" t="str">
        <f t="shared" si="28"/>
        <v/>
      </c>
    </row>
    <row r="471" spans="5:42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29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30"/>
        <v>#N/A</v>
      </c>
      <c r="W471" t="str" cm="1">
        <f t="array" aca="1" ref="W471" ca="1">IFERROR(INDIRECT("$U"&amp;V471),"")</f>
        <v/>
      </c>
      <c r="Z471" cm="1">
        <f t="array" ref="Z471">INDEX($AE$2:$AS$40,MOD(ROW()-ROW($AE$2),ROWS($AE$2:$AS$40))+1,INT((ROW()-ROW($AE$2))/ROWS($AE$2:$AS$40))+1)</f>
        <v>0</v>
      </c>
      <c r="AA471" t="e">
        <f t="shared" ca="1" si="31"/>
        <v>#N/A</v>
      </c>
      <c r="AB471" t="str" cm="1">
        <f t="array" aca="1" ref="AB471" ca="1">IFERROR(INDIRECT("$Z"&amp;AA471),"")</f>
        <v/>
      </c>
      <c r="AP471" t="str">
        <f t="shared" si="28"/>
        <v/>
      </c>
    </row>
    <row r="472" spans="5:42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29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30"/>
        <v>#N/A</v>
      </c>
      <c r="W472" t="str" cm="1">
        <f t="array" aca="1" ref="W472" ca="1">IFERROR(INDIRECT("$U"&amp;V472),"")</f>
        <v/>
      </c>
      <c r="Z472" cm="1">
        <f t="array" ref="Z472">INDEX($AE$2:$AS$40,MOD(ROW()-ROW($AE$2),ROWS($AE$2:$AS$40))+1,INT((ROW()-ROW($AE$2))/ROWS($AE$2:$AS$40))+1)</f>
        <v>0</v>
      </c>
      <c r="AA472" t="e">
        <f t="shared" ca="1" si="31"/>
        <v>#N/A</v>
      </c>
      <c r="AB472" t="str" cm="1">
        <f t="array" aca="1" ref="AB472" ca="1">IFERROR(INDIRECT("$Z"&amp;AA472),"")</f>
        <v/>
      </c>
      <c r="AP472" t="str">
        <f t="shared" si="28"/>
        <v/>
      </c>
    </row>
    <row r="473" spans="5:42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29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30"/>
        <v>#N/A</v>
      </c>
      <c r="W473" t="str" cm="1">
        <f t="array" aca="1" ref="W473" ca="1">IFERROR(INDIRECT("$U"&amp;V473),"")</f>
        <v/>
      </c>
      <c r="Z473" cm="1">
        <f t="array" ref="Z473">INDEX($AE$2:$AS$40,MOD(ROW()-ROW($AE$2),ROWS($AE$2:$AS$40))+1,INT((ROW()-ROW($AE$2))/ROWS($AE$2:$AS$40))+1)</f>
        <v>0</v>
      </c>
      <c r="AA473" t="e">
        <f t="shared" ca="1" si="31"/>
        <v>#N/A</v>
      </c>
      <c r="AB473" t="str" cm="1">
        <f t="array" aca="1" ref="AB473" ca="1">IFERROR(INDIRECT("$Z"&amp;AA473),"")</f>
        <v/>
      </c>
      <c r="AP473" t="str">
        <f t="shared" si="28"/>
        <v/>
      </c>
    </row>
    <row r="474" spans="5:42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29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30"/>
        <v>#N/A</v>
      </c>
      <c r="W474" t="str" cm="1">
        <f t="array" aca="1" ref="W474" ca="1">IFERROR(INDIRECT("$U"&amp;V474),"")</f>
        <v/>
      </c>
      <c r="Z474" cm="1">
        <f t="array" ref="Z474">INDEX($AE$2:$AS$40,MOD(ROW()-ROW($AE$2),ROWS($AE$2:$AS$40))+1,INT((ROW()-ROW($AE$2))/ROWS($AE$2:$AS$40))+1)</f>
        <v>0</v>
      </c>
      <c r="AA474" t="e">
        <f t="shared" ca="1" si="31"/>
        <v>#N/A</v>
      </c>
      <c r="AB474" t="str" cm="1">
        <f t="array" aca="1" ref="AB474" ca="1">IFERROR(INDIRECT("$Z"&amp;AA474),"")</f>
        <v/>
      </c>
      <c r="AP474" t="str">
        <f t="shared" si="28"/>
        <v/>
      </c>
    </row>
    <row r="475" spans="5:42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29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30"/>
        <v>#N/A</v>
      </c>
      <c r="W475" t="str" cm="1">
        <f t="array" aca="1" ref="W475" ca="1">IFERROR(INDIRECT("$U"&amp;V475),"")</f>
        <v/>
      </c>
      <c r="Z475" cm="1">
        <f t="array" ref="Z475">INDEX($AE$2:$AS$40,MOD(ROW()-ROW($AE$2),ROWS($AE$2:$AS$40))+1,INT((ROW()-ROW($AE$2))/ROWS($AE$2:$AS$40))+1)</f>
        <v>0</v>
      </c>
      <c r="AA475" t="e">
        <f t="shared" ca="1" si="31"/>
        <v>#N/A</v>
      </c>
      <c r="AB475" t="str" cm="1">
        <f t="array" aca="1" ref="AB475" ca="1">IFERROR(INDIRECT("$Z"&amp;AA475),"")</f>
        <v/>
      </c>
      <c r="AP475" t="str">
        <f t="shared" si="28"/>
        <v/>
      </c>
    </row>
    <row r="476" spans="5:42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29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30"/>
        <v>#N/A</v>
      </c>
      <c r="W476" t="str" cm="1">
        <f t="array" aca="1" ref="W476" ca="1">IFERROR(INDIRECT("$U"&amp;V476),"")</f>
        <v/>
      </c>
      <c r="Z476" cm="1">
        <f t="array" ref="Z476">INDEX($AE$2:$AS$40,MOD(ROW()-ROW($AE$2),ROWS($AE$2:$AS$40))+1,INT((ROW()-ROW($AE$2))/ROWS($AE$2:$AS$40))+1)</f>
        <v>0</v>
      </c>
      <c r="AA476" t="e">
        <f t="shared" ca="1" si="31"/>
        <v>#N/A</v>
      </c>
      <c r="AB476" t="str" cm="1">
        <f t="array" aca="1" ref="AB476" ca="1">IFERROR(INDIRECT("$Z"&amp;AA476),"")</f>
        <v/>
      </c>
      <c r="AP476" t="str">
        <f t="shared" si="28"/>
        <v/>
      </c>
    </row>
    <row r="477" spans="5:42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29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30"/>
        <v>#N/A</v>
      </c>
      <c r="W477" t="str" cm="1">
        <f t="array" aca="1" ref="W477" ca="1">IFERROR(INDIRECT("$U"&amp;V477),"")</f>
        <v/>
      </c>
      <c r="Z477" cm="1">
        <f t="array" ref="Z477">INDEX($AE$2:$AS$40,MOD(ROW()-ROW($AE$2),ROWS($AE$2:$AS$40))+1,INT((ROW()-ROW($AE$2))/ROWS($AE$2:$AS$40))+1)</f>
        <v>0</v>
      </c>
      <c r="AA477" t="e">
        <f t="shared" ca="1" si="31"/>
        <v>#N/A</v>
      </c>
      <c r="AB477" t="str" cm="1">
        <f t="array" aca="1" ref="AB477" ca="1">IFERROR(INDIRECT("$Z"&amp;AA477),"")</f>
        <v/>
      </c>
      <c r="AP477" t="str">
        <f t="shared" si="28"/>
        <v/>
      </c>
    </row>
    <row r="478" spans="5:42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29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30"/>
        <v>#N/A</v>
      </c>
      <c r="W478" t="str" cm="1">
        <f t="array" aca="1" ref="W478" ca="1">IFERROR(INDIRECT("$U"&amp;V478),"")</f>
        <v/>
      </c>
      <c r="Z478" cm="1">
        <f t="array" ref="Z478">INDEX($AE$2:$AS$40,MOD(ROW()-ROW($AE$2),ROWS($AE$2:$AS$40))+1,INT((ROW()-ROW($AE$2))/ROWS($AE$2:$AS$40))+1)</f>
        <v>0</v>
      </c>
      <c r="AA478" t="e">
        <f t="shared" ca="1" si="31"/>
        <v>#N/A</v>
      </c>
      <c r="AB478" t="str" cm="1">
        <f t="array" aca="1" ref="AB478" ca="1">IFERROR(INDIRECT("$Z"&amp;AA478),"")</f>
        <v/>
      </c>
      <c r="AP478" t="str">
        <f t="shared" si="28"/>
        <v/>
      </c>
    </row>
    <row r="479" spans="5:42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29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30"/>
        <v>#N/A</v>
      </c>
      <c r="W479" t="str" cm="1">
        <f t="array" aca="1" ref="W479" ca="1">IFERROR(INDIRECT("$U"&amp;V479),"")</f>
        <v/>
      </c>
      <c r="Z479" cm="1">
        <f t="array" ref="Z479">INDEX($AE$2:$AS$40,MOD(ROW()-ROW($AE$2),ROWS($AE$2:$AS$40))+1,INT((ROW()-ROW($AE$2))/ROWS($AE$2:$AS$40))+1)</f>
        <v>0</v>
      </c>
      <c r="AA479" t="e">
        <f t="shared" ca="1" si="31"/>
        <v>#N/A</v>
      </c>
      <c r="AB479" t="str" cm="1">
        <f t="array" aca="1" ref="AB479" ca="1">IFERROR(INDIRECT("$Z"&amp;AA479),"")</f>
        <v/>
      </c>
      <c r="AP479" t="str">
        <f t="shared" si="28"/>
        <v/>
      </c>
    </row>
    <row r="480" spans="5:42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29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30"/>
        <v>#N/A</v>
      </c>
      <c r="W480" t="str" cm="1">
        <f t="array" aca="1" ref="W480" ca="1">IFERROR(INDIRECT("$U"&amp;V480),"")</f>
        <v/>
      </c>
      <c r="Z480" cm="1">
        <f t="array" ref="Z480">INDEX($AE$2:$AS$40,MOD(ROW()-ROW($AE$2),ROWS($AE$2:$AS$40))+1,INT((ROW()-ROW($AE$2))/ROWS($AE$2:$AS$40))+1)</f>
        <v>0</v>
      </c>
      <c r="AA480" t="e">
        <f t="shared" ca="1" si="31"/>
        <v>#N/A</v>
      </c>
      <c r="AB480" t="str" cm="1">
        <f t="array" aca="1" ref="AB480" ca="1">IFERROR(INDIRECT("$Z"&amp;AA480),"")</f>
        <v/>
      </c>
      <c r="AP480" t="str">
        <f t="shared" si="28"/>
        <v/>
      </c>
    </row>
    <row r="481" spans="5:42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29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30"/>
        <v>#N/A</v>
      </c>
      <c r="W481" t="str" cm="1">
        <f t="array" aca="1" ref="W481" ca="1">IFERROR(INDIRECT("$U"&amp;V481),"")</f>
        <v/>
      </c>
      <c r="Z481" cm="1">
        <f t="array" ref="Z481">INDEX($AE$2:$AS$40,MOD(ROW()-ROW($AE$2),ROWS($AE$2:$AS$40))+1,INT((ROW()-ROW($AE$2))/ROWS($AE$2:$AS$40))+1)</f>
        <v>0</v>
      </c>
      <c r="AA481" t="e">
        <f t="shared" ca="1" si="31"/>
        <v>#N/A</v>
      </c>
      <c r="AB481" t="str" cm="1">
        <f t="array" aca="1" ref="AB481" ca="1">IFERROR(INDIRECT("$Z"&amp;AA481),"")</f>
        <v/>
      </c>
      <c r="AP481" t="str">
        <f t="shared" si="28"/>
        <v/>
      </c>
    </row>
    <row r="482" spans="5:42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29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30"/>
        <v>#N/A</v>
      </c>
      <c r="W482" t="str" cm="1">
        <f t="array" aca="1" ref="W482" ca="1">IFERROR(INDIRECT("$U"&amp;V482),"")</f>
        <v/>
      </c>
      <c r="Z482" cm="1">
        <f t="array" ref="Z482">INDEX($AE$2:$AS$40,MOD(ROW()-ROW($AE$2),ROWS($AE$2:$AS$40))+1,INT((ROW()-ROW($AE$2))/ROWS($AE$2:$AS$40))+1)</f>
        <v>0</v>
      </c>
      <c r="AA482" t="e">
        <f t="shared" ca="1" si="31"/>
        <v>#N/A</v>
      </c>
      <c r="AB482" t="str" cm="1">
        <f t="array" aca="1" ref="AB482" ca="1">IFERROR(INDIRECT("$Z"&amp;AA482),"")</f>
        <v/>
      </c>
      <c r="AP482" t="str">
        <f t="shared" si="28"/>
        <v/>
      </c>
    </row>
    <row r="483" spans="5:42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29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30"/>
        <v>#N/A</v>
      </c>
      <c r="W483" t="str" cm="1">
        <f t="array" aca="1" ref="W483" ca="1">IFERROR(INDIRECT("$U"&amp;V483),"")</f>
        <v/>
      </c>
      <c r="Z483" cm="1">
        <f t="array" ref="Z483">INDEX($AE$2:$AS$40,MOD(ROW()-ROW($AE$2),ROWS($AE$2:$AS$40))+1,INT((ROW()-ROW($AE$2))/ROWS($AE$2:$AS$40))+1)</f>
        <v>0</v>
      </c>
      <c r="AA483" t="e">
        <f t="shared" ca="1" si="31"/>
        <v>#N/A</v>
      </c>
      <c r="AB483" t="str" cm="1">
        <f t="array" aca="1" ref="AB483" ca="1">IFERROR(INDIRECT("$Z"&amp;AA483),"")</f>
        <v/>
      </c>
      <c r="AP483" t="str">
        <f t="shared" si="28"/>
        <v/>
      </c>
    </row>
    <row r="484" spans="5:42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29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30"/>
        <v>#N/A</v>
      </c>
      <c r="W484" t="str" cm="1">
        <f t="array" aca="1" ref="W484" ca="1">IFERROR(INDIRECT("$U"&amp;V484),"")</f>
        <v/>
      </c>
      <c r="Z484" cm="1">
        <f t="array" ref="Z484">INDEX($AE$2:$AS$40,MOD(ROW()-ROW($AE$2),ROWS($AE$2:$AS$40))+1,INT((ROW()-ROW($AE$2))/ROWS($AE$2:$AS$40))+1)</f>
        <v>0</v>
      </c>
      <c r="AA484" t="e">
        <f t="shared" ca="1" si="31"/>
        <v>#N/A</v>
      </c>
      <c r="AB484" t="str" cm="1">
        <f t="array" aca="1" ref="AB484" ca="1">IFERROR(INDIRECT("$Z"&amp;AA484),"")</f>
        <v/>
      </c>
      <c r="AP484" t="str">
        <f t="shared" si="28"/>
        <v/>
      </c>
    </row>
    <row r="485" spans="5:42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29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30"/>
        <v>#N/A</v>
      </c>
      <c r="W485" t="str" cm="1">
        <f t="array" aca="1" ref="W485" ca="1">IFERROR(INDIRECT("$U"&amp;V485),"")</f>
        <v/>
      </c>
      <c r="Z485" cm="1">
        <f t="array" ref="Z485">INDEX($AE$2:$AS$40,MOD(ROW()-ROW($AE$2),ROWS($AE$2:$AS$40))+1,INT((ROW()-ROW($AE$2))/ROWS($AE$2:$AS$40))+1)</f>
        <v>0</v>
      </c>
      <c r="AA485" t="e">
        <f t="shared" ca="1" si="31"/>
        <v>#N/A</v>
      </c>
      <c r="AB485" t="str" cm="1">
        <f t="array" aca="1" ref="AB485" ca="1">IFERROR(INDIRECT("$Z"&amp;AA485),"")</f>
        <v/>
      </c>
      <c r="AP485" t="str">
        <f t="shared" si="28"/>
        <v/>
      </c>
    </row>
    <row r="486" spans="5:42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29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30"/>
        <v>#N/A</v>
      </c>
      <c r="W486" t="str" cm="1">
        <f t="array" aca="1" ref="W486" ca="1">IFERROR(INDIRECT("$U"&amp;V486),"")</f>
        <v/>
      </c>
      <c r="Z486" cm="1">
        <f t="array" ref="Z486">INDEX($AE$2:$AS$40,MOD(ROW()-ROW($AE$2),ROWS($AE$2:$AS$40))+1,INT((ROW()-ROW($AE$2))/ROWS($AE$2:$AS$40))+1)</f>
        <v>0</v>
      </c>
      <c r="AA486" t="e">
        <f t="shared" ca="1" si="31"/>
        <v>#N/A</v>
      </c>
      <c r="AB486" t="str" cm="1">
        <f t="array" aca="1" ref="AB486" ca="1">IFERROR(INDIRECT("$Z"&amp;AA486),"")</f>
        <v/>
      </c>
      <c r="AP486" t="str">
        <f t="shared" si="28"/>
        <v/>
      </c>
    </row>
    <row r="487" spans="5:42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29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30"/>
        <v>#N/A</v>
      </c>
      <c r="W487" t="str" cm="1">
        <f t="array" aca="1" ref="W487" ca="1">IFERROR(INDIRECT("$U"&amp;V487),"")</f>
        <v/>
      </c>
      <c r="Z487" cm="1">
        <f t="array" ref="Z487">INDEX($AE$2:$AS$40,MOD(ROW()-ROW($AE$2),ROWS($AE$2:$AS$40))+1,INT((ROW()-ROW($AE$2))/ROWS($AE$2:$AS$40))+1)</f>
        <v>0</v>
      </c>
      <c r="AA487" t="e">
        <f t="shared" ca="1" si="31"/>
        <v>#N/A</v>
      </c>
      <c r="AB487" t="str" cm="1">
        <f t="array" aca="1" ref="AB487" ca="1">IFERROR(INDIRECT("$Z"&amp;AA487),"")</f>
        <v/>
      </c>
      <c r="AP487" t="str">
        <f t="shared" si="28"/>
        <v/>
      </c>
    </row>
    <row r="488" spans="5:42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29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30"/>
        <v>#N/A</v>
      </c>
      <c r="W488" t="str" cm="1">
        <f t="array" aca="1" ref="W488" ca="1">IFERROR(INDIRECT("$U"&amp;V488),"")</f>
        <v/>
      </c>
      <c r="Z488" cm="1">
        <f t="array" ref="Z488">INDEX($AE$2:$AS$40,MOD(ROW()-ROW($AE$2),ROWS($AE$2:$AS$40))+1,INT((ROW()-ROW($AE$2))/ROWS($AE$2:$AS$40))+1)</f>
        <v>0</v>
      </c>
      <c r="AA488" t="e">
        <f t="shared" ca="1" si="31"/>
        <v>#N/A</v>
      </c>
      <c r="AB488" t="str" cm="1">
        <f t="array" aca="1" ref="AB488" ca="1">IFERROR(INDIRECT("$Z"&amp;AA488),"")</f>
        <v/>
      </c>
      <c r="AP488" t="str">
        <f t="shared" si="28"/>
        <v/>
      </c>
    </row>
    <row r="489" spans="5:42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29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30"/>
        <v>#N/A</v>
      </c>
      <c r="W489" t="str" cm="1">
        <f t="array" aca="1" ref="W489" ca="1">IFERROR(INDIRECT("$U"&amp;V489),"")</f>
        <v/>
      </c>
      <c r="Z489" cm="1">
        <f t="array" ref="Z489">INDEX($AE$2:$AS$40,MOD(ROW()-ROW($AE$2),ROWS($AE$2:$AS$40))+1,INT((ROW()-ROW($AE$2))/ROWS($AE$2:$AS$40))+1)</f>
        <v>0</v>
      </c>
      <c r="AA489" t="e">
        <f t="shared" ca="1" si="31"/>
        <v>#N/A</v>
      </c>
      <c r="AB489" t="str" cm="1">
        <f t="array" aca="1" ref="AB489" ca="1">IFERROR(INDIRECT("$Z"&amp;AA489),"")</f>
        <v/>
      </c>
      <c r="AP489" t="str">
        <f t="shared" si="28"/>
        <v/>
      </c>
    </row>
    <row r="490" spans="5:42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29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30"/>
        <v>#N/A</v>
      </c>
      <c r="W490" t="str" cm="1">
        <f t="array" aca="1" ref="W490" ca="1">IFERROR(INDIRECT("$U"&amp;V490),"")</f>
        <v/>
      </c>
      <c r="Z490" cm="1">
        <f t="array" ref="Z490">INDEX($AE$2:$AS$40,MOD(ROW()-ROW($AE$2),ROWS($AE$2:$AS$40))+1,INT((ROW()-ROW($AE$2))/ROWS($AE$2:$AS$40))+1)</f>
        <v>0</v>
      </c>
      <c r="AA490" t="e">
        <f t="shared" ca="1" si="31"/>
        <v>#N/A</v>
      </c>
      <c r="AB490" t="str" cm="1">
        <f t="array" aca="1" ref="AB490" ca="1">IFERROR(INDIRECT("$Z"&amp;AA490),"")</f>
        <v/>
      </c>
      <c r="AP490" t="str">
        <f t="shared" si="28"/>
        <v/>
      </c>
    </row>
    <row r="491" spans="5:42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29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30"/>
        <v>#N/A</v>
      </c>
      <c r="W491" t="str" cm="1">
        <f t="array" aca="1" ref="W491" ca="1">IFERROR(INDIRECT("$U"&amp;V491),"")</f>
        <v/>
      </c>
      <c r="Z491" cm="1">
        <f t="array" ref="Z491">INDEX($AE$2:$AS$40,MOD(ROW()-ROW($AE$2),ROWS($AE$2:$AS$40))+1,INT((ROW()-ROW($AE$2))/ROWS($AE$2:$AS$40))+1)</f>
        <v>0</v>
      </c>
      <c r="AA491" t="e">
        <f t="shared" ca="1" si="31"/>
        <v>#N/A</v>
      </c>
      <c r="AB491" t="str" cm="1">
        <f t="array" aca="1" ref="AB491" ca="1">IFERROR(INDIRECT("$Z"&amp;AA491),"")</f>
        <v/>
      </c>
      <c r="AP491" t="str">
        <f t="shared" si="28"/>
        <v/>
      </c>
    </row>
    <row r="492" spans="5:42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29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30"/>
        <v>#N/A</v>
      </c>
      <c r="W492" t="str" cm="1">
        <f t="array" aca="1" ref="W492" ca="1">IFERROR(INDIRECT("$U"&amp;V492),"")</f>
        <v/>
      </c>
      <c r="Z492" cm="1">
        <f t="array" ref="Z492">INDEX($AE$2:$AS$40,MOD(ROW()-ROW($AE$2),ROWS($AE$2:$AS$40))+1,INT((ROW()-ROW($AE$2))/ROWS($AE$2:$AS$40))+1)</f>
        <v>0</v>
      </c>
      <c r="AA492" t="e">
        <f t="shared" ca="1" si="31"/>
        <v>#N/A</v>
      </c>
      <c r="AB492" t="str" cm="1">
        <f t="array" aca="1" ref="AB492" ca="1">IFERROR(INDIRECT("$Z"&amp;AA492),"")</f>
        <v/>
      </c>
      <c r="AP492" t="str">
        <f t="shared" si="28"/>
        <v/>
      </c>
    </row>
    <row r="493" spans="5:42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29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30"/>
        <v>#N/A</v>
      </c>
      <c r="W493" t="str" cm="1">
        <f t="array" aca="1" ref="W493" ca="1">IFERROR(INDIRECT("$U"&amp;V493),"")</f>
        <v/>
      </c>
      <c r="Z493" cm="1">
        <f t="array" ref="Z493">INDEX($AE$2:$AS$40,MOD(ROW()-ROW($AE$2),ROWS($AE$2:$AS$40))+1,INT((ROW()-ROW($AE$2))/ROWS($AE$2:$AS$40))+1)</f>
        <v>0</v>
      </c>
      <c r="AA493" t="e">
        <f t="shared" ca="1" si="31"/>
        <v>#N/A</v>
      </c>
      <c r="AB493" t="str" cm="1">
        <f t="array" aca="1" ref="AB493" ca="1">IFERROR(INDIRECT("$Z"&amp;AA493),"")</f>
        <v/>
      </c>
      <c r="AP493" t="str">
        <f t="shared" si="28"/>
        <v/>
      </c>
    </row>
    <row r="494" spans="5:42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29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30"/>
        <v>#N/A</v>
      </c>
      <c r="W494" t="str" cm="1">
        <f t="array" aca="1" ref="W494" ca="1">IFERROR(INDIRECT("$U"&amp;V494),"")</f>
        <v/>
      </c>
      <c r="Z494" cm="1">
        <f t="array" ref="Z494">INDEX($AE$2:$AS$40,MOD(ROW()-ROW($AE$2),ROWS($AE$2:$AS$40))+1,INT((ROW()-ROW($AE$2))/ROWS($AE$2:$AS$40))+1)</f>
        <v>0</v>
      </c>
      <c r="AA494" t="e">
        <f t="shared" ca="1" si="31"/>
        <v>#N/A</v>
      </c>
      <c r="AB494" t="str" cm="1">
        <f t="array" aca="1" ref="AB494" ca="1">IFERROR(INDIRECT("$Z"&amp;AA494),"")</f>
        <v/>
      </c>
      <c r="AP494" t="str">
        <f t="shared" si="28"/>
        <v/>
      </c>
    </row>
    <row r="495" spans="5:42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29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30"/>
        <v>#N/A</v>
      </c>
      <c r="W495" t="str" cm="1">
        <f t="array" aca="1" ref="W495" ca="1">IFERROR(INDIRECT("$U"&amp;V495),"")</f>
        <v/>
      </c>
      <c r="Z495" cm="1">
        <f t="array" ref="Z495">INDEX($AE$2:$AS$40,MOD(ROW()-ROW($AE$2),ROWS($AE$2:$AS$40))+1,INT((ROW()-ROW($AE$2))/ROWS($AE$2:$AS$40))+1)</f>
        <v>0</v>
      </c>
      <c r="AA495" t="e">
        <f t="shared" ca="1" si="31"/>
        <v>#N/A</v>
      </c>
      <c r="AB495" t="str" cm="1">
        <f t="array" aca="1" ref="AB495" ca="1">IFERROR(INDIRECT("$Z"&amp;AA495),"")</f>
        <v/>
      </c>
      <c r="AP495" t="str">
        <f t="shared" si="28"/>
        <v/>
      </c>
    </row>
    <row r="496" spans="5:42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29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30"/>
        <v>#N/A</v>
      </c>
      <c r="W496" t="str" cm="1">
        <f t="array" aca="1" ref="W496" ca="1">IFERROR(INDIRECT("$U"&amp;V496),"")</f>
        <v/>
      </c>
      <c r="Z496" cm="1">
        <f t="array" ref="Z496">INDEX($AE$2:$AS$40,MOD(ROW()-ROW($AE$2),ROWS($AE$2:$AS$40))+1,INT((ROW()-ROW($AE$2))/ROWS($AE$2:$AS$40))+1)</f>
        <v>0</v>
      </c>
      <c r="AA496" t="e">
        <f t="shared" ca="1" si="31"/>
        <v>#N/A</v>
      </c>
      <c r="AB496" t="str" cm="1">
        <f t="array" aca="1" ref="AB496" ca="1">IFERROR(INDIRECT("$Z"&amp;AA496),"")</f>
        <v/>
      </c>
      <c r="AP496" t="str">
        <f t="shared" si="28"/>
        <v/>
      </c>
    </row>
    <row r="497" spans="5:42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29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30"/>
        <v>#N/A</v>
      </c>
      <c r="W497" t="str" cm="1">
        <f t="array" aca="1" ref="W497" ca="1">IFERROR(INDIRECT("$U"&amp;V497),"")</f>
        <v/>
      </c>
      <c r="Z497" cm="1">
        <f t="array" ref="Z497">INDEX($AE$2:$AS$40,MOD(ROW()-ROW($AE$2),ROWS($AE$2:$AS$40))+1,INT((ROW()-ROW($AE$2))/ROWS($AE$2:$AS$40))+1)</f>
        <v>0</v>
      </c>
      <c r="AA497" t="e">
        <f t="shared" ca="1" si="31"/>
        <v>#N/A</v>
      </c>
      <c r="AB497" t="str" cm="1">
        <f t="array" aca="1" ref="AB497" ca="1">IFERROR(INDIRECT("$Z"&amp;AA497),"")</f>
        <v/>
      </c>
      <c r="AP497" t="str">
        <f t="shared" si="28"/>
        <v/>
      </c>
    </row>
    <row r="498" spans="5:42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29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30"/>
        <v>#N/A</v>
      </c>
      <c r="W498" t="str" cm="1">
        <f t="array" aca="1" ref="W498" ca="1">IFERROR(INDIRECT("$U"&amp;V498),"")</f>
        <v/>
      </c>
      <c r="Z498" cm="1">
        <f t="array" ref="Z498">INDEX($AE$2:$AS$40,MOD(ROW()-ROW($AE$2),ROWS($AE$2:$AS$40))+1,INT((ROW()-ROW($AE$2))/ROWS($AE$2:$AS$40))+1)</f>
        <v>0</v>
      </c>
      <c r="AA498" t="e">
        <f t="shared" ca="1" si="31"/>
        <v>#N/A</v>
      </c>
      <c r="AB498" t="str" cm="1">
        <f t="array" aca="1" ref="AB498" ca="1">IFERROR(INDIRECT("$Z"&amp;AA498),"")</f>
        <v/>
      </c>
      <c r="AP498" t="str">
        <f t="shared" si="28"/>
        <v/>
      </c>
    </row>
    <row r="499" spans="5:42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29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30"/>
        <v>#N/A</v>
      </c>
      <c r="W499" t="str" cm="1">
        <f t="array" aca="1" ref="W499" ca="1">IFERROR(INDIRECT("$U"&amp;V499),"")</f>
        <v/>
      </c>
      <c r="Z499" cm="1">
        <f t="array" ref="Z499">INDEX($AE$2:$AS$40,MOD(ROW()-ROW($AE$2),ROWS($AE$2:$AS$40))+1,INT((ROW()-ROW($AE$2))/ROWS($AE$2:$AS$40))+1)</f>
        <v>0</v>
      </c>
      <c r="AA499" t="e">
        <f t="shared" ca="1" si="31"/>
        <v>#N/A</v>
      </c>
      <c r="AB499" t="str" cm="1">
        <f t="array" aca="1" ref="AB499" ca="1">IFERROR(INDIRECT("$Z"&amp;AA499),"")</f>
        <v/>
      </c>
      <c r="AP499" t="str">
        <f t="shared" si="28"/>
        <v/>
      </c>
    </row>
    <row r="500" spans="5:42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29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30"/>
        <v>#N/A</v>
      </c>
      <c r="W500" t="str" cm="1">
        <f t="array" aca="1" ref="W500" ca="1">IFERROR(INDIRECT("$U"&amp;V500),"")</f>
        <v/>
      </c>
      <c r="Z500" cm="1">
        <f t="array" ref="Z500">INDEX($AE$2:$AS$40,MOD(ROW()-ROW($AE$2),ROWS($AE$2:$AS$40))+1,INT((ROW()-ROW($AE$2))/ROWS($AE$2:$AS$40))+1)</f>
        <v>0</v>
      </c>
      <c r="AA500" t="e">
        <f t="shared" ca="1" si="31"/>
        <v>#N/A</v>
      </c>
      <c r="AB500" t="str" cm="1">
        <f t="array" aca="1" ref="AB500" ca="1">IFERROR(INDIRECT("$Z"&amp;AA500),"")</f>
        <v/>
      </c>
      <c r="AP500" t="str">
        <f t="shared" si="28"/>
        <v/>
      </c>
    </row>
    <row r="501" spans="5:42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29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30"/>
        <v>#N/A</v>
      </c>
      <c r="W501" t="str" cm="1">
        <f t="array" aca="1" ref="W501" ca="1">IFERROR(INDIRECT("$U"&amp;V501),"")</f>
        <v/>
      </c>
      <c r="Z501" cm="1">
        <f t="array" ref="Z501">INDEX($AE$2:$AS$40,MOD(ROW()-ROW($AE$2),ROWS($AE$2:$AS$40))+1,INT((ROW()-ROW($AE$2))/ROWS($AE$2:$AS$40))+1)</f>
        <v>0</v>
      </c>
      <c r="AA501" t="e">
        <f t="shared" ca="1" si="31"/>
        <v>#N/A</v>
      </c>
      <c r="AB501" t="str" cm="1">
        <f t="array" aca="1" ref="AB501" ca="1">IFERROR(INDIRECT("$Z"&amp;AA501),"")</f>
        <v/>
      </c>
      <c r="AP501" t="str">
        <f t="shared" si="28"/>
        <v/>
      </c>
    </row>
    <row r="502" spans="5:42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29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30"/>
        <v>#N/A</v>
      </c>
      <c r="W502" t="str" cm="1">
        <f t="array" aca="1" ref="W502" ca="1">IFERROR(INDIRECT("$U"&amp;V502),"")</f>
        <v/>
      </c>
      <c r="Z502" cm="1">
        <f t="array" ref="Z502">INDEX($AE$2:$AS$40,MOD(ROW()-ROW($AE$2),ROWS($AE$2:$AS$40))+1,INT((ROW()-ROW($AE$2))/ROWS($AE$2:$AS$40))+1)</f>
        <v>0</v>
      </c>
      <c r="AA502" t="e">
        <f t="shared" ca="1" si="31"/>
        <v>#N/A</v>
      </c>
      <c r="AB502" t="str" cm="1">
        <f t="array" aca="1" ref="AB502" ca="1">IFERROR(INDIRECT("$Z"&amp;AA502),"")</f>
        <v/>
      </c>
      <c r="AP502" t="str">
        <f t="shared" si="28"/>
        <v/>
      </c>
    </row>
    <row r="503" spans="5:42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29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30"/>
        <v>#N/A</v>
      </c>
      <c r="W503" t="str" cm="1">
        <f t="array" aca="1" ref="W503" ca="1">IFERROR(INDIRECT("$U"&amp;V503),"")</f>
        <v/>
      </c>
      <c r="Z503" cm="1">
        <f t="array" ref="Z503">INDEX($AE$2:$AS$40,MOD(ROW()-ROW($AE$2),ROWS($AE$2:$AS$40))+1,INT((ROW()-ROW($AE$2))/ROWS($AE$2:$AS$40))+1)</f>
        <v>0</v>
      </c>
      <c r="AA503" t="e">
        <f t="shared" ca="1" si="31"/>
        <v>#N/A</v>
      </c>
      <c r="AB503" t="str" cm="1">
        <f t="array" aca="1" ref="AB503" ca="1">IFERROR(INDIRECT("$Z"&amp;AA503),"")</f>
        <v/>
      </c>
      <c r="AP503" t="str">
        <f t="shared" si="28"/>
        <v/>
      </c>
    </row>
    <row r="504" spans="5:42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29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30"/>
        <v>#N/A</v>
      </c>
      <c r="W504" t="str" cm="1">
        <f t="array" aca="1" ref="W504" ca="1">IFERROR(INDIRECT("$U"&amp;V504),"")</f>
        <v/>
      </c>
      <c r="Z504" cm="1">
        <f t="array" ref="Z504">INDEX($AE$2:$AS$40,MOD(ROW()-ROW($AE$2),ROWS($AE$2:$AS$40))+1,INT((ROW()-ROW($AE$2))/ROWS($AE$2:$AS$40))+1)</f>
        <v>0</v>
      </c>
      <c r="AA504" t="e">
        <f t="shared" ca="1" si="31"/>
        <v>#N/A</v>
      </c>
      <c r="AB504" t="str" cm="1">
        <f t="array" aca="1" ref="AB504" ca="1">IFERROR(INDIRECT("$Z"&amp;AA504),"")</f>
        <v/>
      </c>
      <c r="AP504" t="str">
        <f t="shared" si="28"/>
        <v/>
      </c>
    </row>
    <row r="505" spans="5:42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29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30"/>
        <v>#N/A</v>
      </c>
      <c r="W505" t="str" cm="1">
        <f t="array" aca="1" ref="W505" ca="1">IFERROR(INDIRECT("$U"&amp;V505),"")</f>
        <v/>
      </c>
      <c r="Z505" cm="1">
        <f t="array" ref="Z505">INDEX($AE$2:$AS$40,MOD(ROW()-ROW($AE$2),ROWS($AE$2:$AS$40))+1,INT((ROW()-ROW($AE$2))/ROWS($AE$2:$AS$40))+1)</f>
        <v>0</v>
      </c>
      <c r="AA505" t="e">
        <f t="shared" ca="1" si="31"/>
        <v>#N/A</v>
      </c>
      <c r="AB505" t="str" cm="1">
        <f t="array" aca="1" ref="AB505" ca="1">IFERROR(INDIRECT("$Z"&amp;AA505),"")</f>
        <v/>
      </c>
      <c r="AP505" t="str">
        <f t="shared" si="28"/>
        <v/>
      </c>
    </row>
    <row r="506" spans="5:42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29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30"/>
        <v>#N/A</v>
      </c>
      <c r="W506" t="str" cm="1">
        <f t="array" aca="1" ref="W506" ca="1">IFERROR(INDIRECT("$U"&amp;V506),"")</f>
        <v/>
      </c>
      <c r="Z506" cm="1">
        <f t="array" ref="Z506">INDEX($AE$2:$AS$40,MOD(ROW()-ROW($AE$2),ROWS($AE$2:$AS$40))+1,INT((ROW()-ROW($AE$2))/ROWS($AE$2:$AS$40))+1)</f>
        <v>0</v>
      </c>
      <c r="AA506" t="e">
        <f t="shared" ca="1" si="31"/>
        <v>#N/A</v>
      </c>
      <c r="AB506" t="str" cm="1">
        <f t="array" aca="1" ref="AB506" ca="1">IFERROR(INDIRECT("$Z"&amp;AA506),"")</f>
        <v/>
      </c>
      <c r="AP506" t="str">
        <f t="shared" si="28"/>
        <v/>
      </c>
    </row>
    <row r="507" spans="5:42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29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30"/>
        <v>#N/A</v>
      </c>
      <c r="W507" t="str" cm="1">
        <f t="array" aca="1" ref="W507" ca="1">IFERROR(INDIRECT("$U"&amp;V507),"")</f>
        <v/>
      </c>
      <c r="Z507" cm="1">
        <f t="array" ref="Z507">INDEX($AE$2:$AS$40,MOD(ROW()-ROW($AE$2),ROWS($AE$2:$AS$40))+1,INT((ROW()-ROW($AE$2))/ROWS($AE$2:$AS$40))+1)</f>
        <v>0</v>
      </c>
      <c r="AA507" t="e">
        <f t="shared" ca="1" si="31"/>
        <v>#N/A</v>
      </c>
      <c r="AB507" t="str" cm="1">
        <f t="array" aca="1" ref="AB507" ca="1">IFERROR(INDIRECT("$Z"&amp;AA507),"")</f>
        <v/>
      </c>
      <c r="AP507" t="str">
        <f t="shared" si="28"/>
        <v/>
      </c>
    </row>
    <row r="508" spans="5:42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29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30"/>
        <v>#N/A</v>
      </c>
      <c r="W508" t="str" cm="1">
        <f t="array" aca="1" ref="W508" ca="1">IFERROR(INDIRECT("$U"&amp;V508),"")</f>
        <v/>
      </c>
      <c r="Z508" cm="1">
        <f t="array" ref="Z508">INDEX($AE$2:$AS$40,MOD(ROW()-ROW($AE$2),ROWS($AE$2:$AS$40))+1,INT((ROW()-ROW($AE$2))/ROWS($AE$2:$AS$40))+1)</f>
        <v>0</v>
      </c>
      <c r="AA508" t="e">
        <f t="shared" ca="1" si="31"/>
        <v>#N/A</v>
      </c>
      <c r="AB508" t="str" cm="1">
        <f t="array" aca="1" ref="AB508" ca="1">IFERROR(INDIRECT("$Z"&amp;AA508),"")</f>
        <v/>
      </c>
      <c r="AP508" t="str">
        <f t="shared" si="28"/>
        <v/>
      </c>
    </row>
    <row r="509" spans="5:42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29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30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31"/>
        <v>#N/A</v>
      </c>
      <c r="AB509" t="str" cm="1">
        <f t="array" aca="1" ref="AB509" ca="1">IFERROR(INDIRECT("$Z"&amp;AA509),"")</f>
        <v/>
      </c>
      <c r="AP509" t="str">
        <f t="shared" si="28"/>
        <v/>
      </c>
    </row>
    <row r="510" spans="5:42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29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30"/>
        <v>#N/A</v>
      </c>
      <c r="W510" t="str" cm="1">
        <f t="array" aca="1" ref="W510" ca="1">IFERROR(INDIRECT("$U"&amp;V510),"")</f>
        <v/>
      </c>
      <c r="Z510" cm="1">
        <f t="array" ref="Z510">INDEX($AE$2:$AS$40,MOD(ROW()-ROW($AE$2),ROWS($AE$2:$AS$40))+1,INT((ROW()-ROW($AE$2))/ROWS($AE$2:$AS$40))+1)</f>
        <v>0</v>
      </c>
      <c r="AA510" t="e">
        <f t="shared" ca="1" si="31"/>
        <v>#N/A</v>
      </c>
      <c r="AB510" t="str" cm="1">
        <f t="array" aca="1" ref="AB510" ca="1">IFERROR(INDIRECT("$Z"&amp;AA510),"")</f>
        <v/>
      </c>
      <c r="AP510" t="str">
        <f t="shared" si="28"/>
        <v/>
      </c>
    </row>
    <row r="511" spans="5:42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29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30"/>
        <v>#N/A</v>
      </c>
      <c r="W511" t="str" cm="1">
        <f t="array" aca="1" ref="W511" ca="1">IFERROR(INDIRECT("$U"&amp;V511),"")</f>
        <v/>
      </c>
      <c r="Z511" cm="1">
        <f t="array" ref="Z511">INDEX($AE$2:$AS$40,MOD(ROW()-ROW($AE$2),ROWS($AE$2:$AS$40))+1,INT((ROW()-ROW($AE$2))/ROWS($AE$2:$AS$40))+1)</f>
        <v>0</v>
      </c>
      <c r="AA511" t="e">
        <f t="shared" ca="1" si="31"/>
        <v>#N/A</v>
      </c>
      <c r="AB511" t="str" cm="1">
        <f t="array" aca="1" ref="AB511" ca="1">IFERROR(INDIRECT("$Z"&amp;AA511),"")</f>
        <v/>
      </c>
      <c r="AP511" t="str">
        <f t="shared" si="28"/>
        <v/>
      </c>
    </row>
    <row r="512" spans="5:42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29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30"/>
        <v>#N/A</v>
      </c>
      <c r="W512" t="str" cm="1">
        <f t="array" aca="1" ref="W512" ca="1">IFERROR(INDIRECT("$U"&amp;V512),"")</f>
        <v/>
      </c>
      <c r="Z512" cm="1">
        <f t="array" ref="Z512">INDEX($AE$2:$AS$40,MOD(ROW()-ROW($AE$2),ROWS($AE$2:$AS$40))+1,INT((ROW()-ROW($AE$2))/ROWS($AE$2:$AS$40))+1)</f>
        <v>0</v>
      </c>
      <c r="AA512" t="e">
        <f t="shared" ca="1" si="31"/>
        <v>#N/A</v>
      </c>
      <c r="AB512" t="str" cm="1">
        <f t="array" aca="1" ref="AB512" ca="1">IFERROR(INDIRECT("$Z"&amp;AA512),"")</f>
        <v/>
      </c>
      <c r="AP512" t="str">
        <f t="shared" si="28"/>
        <v/>
      </c>
    </row>
    <row r="513" spans="5:42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29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30"/>
        <v>#N/A</v>
      </c>
      <c r="W513" t="str" cm="1">
        <f t="array" aca="1" ref="W513" ca="1">IFERROR(INDIRECT("$U"&amp;V513),"")</f>
        <v/>
      </c>
      <c r="Z513" cm="1">
        <f t="array" ref="Z513">INDEX($AE$2:$AS$40,MOD(ROW()-ROW($AE$2),ROWS($AE$2:$AS$40))+1,INT((ROW()-ROW($AE$2))/ROWS($AE$2:$AS$40))+1)</f>
        <v>0</v>
      </c>
      <c r="AA513" t="e">
        <f t="shared" ca="1" si="31"/>
        <v>#N/A</v>
      </c>
      <c r="AB513" t="str" cm="1">
        <f t="array" aca="1" ref="AB513" ca="1">IFERROR(INDIRECT("$Z"&amp;AA513),"")</f>
        <v/>
      </c>
      <c r="AP513" t="str">
        <f t="shared" si="28"/>
        <v/>
      </c>
    </row>
    <row r="514" spans="5:42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29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30"/>
        <v>#N/A</v>
      </c>
      <c r="W514" t="str" cm="1">
        <f t="array" aca="1" ref="W514" ca="1">IFERROR(INDIRECT("$U"&amp;V514),"")</f>
        <v/>
      </c>
      <c r="Z514" cm="1">
        <f t="array" ref="Z514">INDEX($AE$2:$AS$40,MOD(ROW()-ROW($AE$2),ROWS($AE$2:$AS$40))+1,INT((ROW()-ROW($AE$2))/ROWS($AE$2:$AS$40))+1)</f>
        <v>0</v>
      </c>
      <c r="AA514" t="e">
        <f t="shared" ca="1" si="31"/>
        <v>#N/A</v>
      </c>
      <c r="AB514" t="str" cm="1">
        <f t="array" aca="1" ref="AB514" ca="1">IFERROR(INDIRECT("$Z"&amp;AA514),"")</f>
        <v/>
      </c>
      <c r="AP514" t="str">
        <f t="shared" si="28"/>
        <v/>
      </c>
    </row>
    <row r="515" spans="5:42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29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30"/>
        <v>#N/A</v>
      </c>
      <c r="W515" t="str" cm="1">
        <f t="array" aca="1" ref="W515" ca="1">IFERROR(INDIRECT("$U"&amp;V515),"")</f>
        <v/>
      </c>
      <c r="Z515" cm="1">
        <f t="array" ref="Z515">INDEX($AE$2:$AS$40,MOD(ROW()-ROW($AE$2),ROWS($AE$2:$AS$40))+1,INT((ROW()-ROW($AE$2))/ROWS($AE$2:$AS$40))+1)</f>
        <v>0</v>
      </c>
      <c r="AA515" t="e">
        <f t="shared" ca="1" si="31"/>
        <v>#N/A</v>
      </c>
      <c r="AB515" t="str" cm="1">
        <f t="array" aca="1" ref="AB515" ca="1">IFERROR(INDIRECT("$Z"&amp;AA515),"")</f>
        <v/>
      </c>
      <c r="AP515" t="str">
        <f t="shared" ref="AP515:AP578" si="32">IF(AI515&lt;&gt;"", _xlfn.CONCAT(AI515, " (airside)"), "")</f>
        <v/>
      </c>
    </row>
    <row r="516" spans="5:42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33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34">MATCH("*",INDIRECT(ADDRESS(V515+1,21,1)&amp;":$U$1000"),0)+V515</f>
        <v>#N/A</v>
      </c>
      <c r="W516" t="str" cm="1">
        <f t="array" aca="1" ref="W516" ca="1">IFERROR(INDIRECT("$U"&amp;V516),"")</f>
        <v/>
      </c>
      <c r="Z516" cm="1">
        <f t="array" ref="Z516">INDEX($AE$2:$AS$40,MOD(ROW()-ROW($AE$2),ROWS($AE$2:$AS$40))+1,INT((ROW()-ROW($AE$2))/ROWS($AE$2:$AS$40))+1)</f>
        <v>0</v>
      </c>
      <c r="AA516" t="e">
        <f t="shared" ref="AA516:AA579" ca="1" si="35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32"/>
        <v/>
      </c>
    </row>
    <row r="517" spans="5:42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33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34"/>
        <v>#N/A</v>
      </c>
      <c r="W517" t="str" cm="1">
        <f t="array" aca="1" ref="W517" ca="1">IFERROR(INDIRECT("$U"&amp;V517),"")</f>
        <v/>
      </c>
      <c r="Z517" cm="1">
        <f t="array" ref="Z517">INDEX($AE$2:$AS$40,MOD(ROW()-ROW($AE$2),ROWS($AE$2:$AS$40))+1,INT((ROW()-ROW($AE$2))/ROWS($AE$2:$AS$40))+1)</f>
        <v>0</v>
      </c>
      <c r="AA517" t="e">
        <f t="shared" ca="1" si="35"/>
        <v>#N/A</v>
      </c>
      <c r="AB517" t="str" cm="1">
        <f t="array" aca="1" ref="AB517" ca="1">IFERROR(INDIRECT("$Z"&amp;AA517),"")</f>
        <v/>
      </c>
      <c r="AP517" t="str">
        <f t="shared" si="32"/>
        <v/>
      </c>
    </row>
    <row r="518" spans="5:42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33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34"/>
        <v>#N/A</v>
      </c>
      <c r="W518" t="str" cm="1">
        <f t="array" aca="1" ref="W518" ca="1">IFERROR(INDIRECT("$U"&amp;V518),"")</f>
        <v/>
      </c>
      <c r="Z518" cm="1">
        <f t="array" ref="Z518">INDEX($AE$2:$AS$40,MOD(ROW()-ROW($AE$2),ROWS($AE$2:$AS$40))+1,INT((ROW()-ROW($AE$2))/ROWS($AE$2:$AS$40))+1)</f>
        <v>0</v>
      </c>
      <c r="AA518" t="e">
        <f t="shared" ca="1" si="35"/>
        <v>#N/A</v>
      </c>
      <c r="AB518" t="str" cm="1">
        <f t="array" aca="1" ref="AB518" ca="1">IFERROR(INDIRECT("$Z"&amp;AA518),"")</f>
        <v/>
      </c>
      <c r="AP518" t="str">
        <f t="shared" si="32"/>
        <v/>
      </c>
    </row>
    <row r="519" spans="5:42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33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34"/>
        <v>#N/A</v>
      </c>
      <c r="W519" t="str" cm="1">
        <f t="array" aca="1" ref="W519" ca="1">IFERROR(INDIRECT("$U"&amp;V519),"")</f>
        <v/>
      </c>
      <c r="Z519" cm="1">
        <f t="array" ref="Z519">INDEX($AE$2:$AS$40,MOD(ROW()-ROW($AE$2),ROWS($AE$2:$AS$40))+1,INT((ROW()-ROW($AE$2))/ROWS($AE$2:$AS$40))+1)</f>
        <v>0</v>
      </c>
      <c r="AA519" t="e">
        <f t="shared" ca="1" si="35"/>
        <v>#N/A</v>
      </c>
      <c r="AB519" t="str" cm="1">
        <f t="array" aca="1" ref="AB519" ca="1">IFERROR(INDIRECT("$Z"&amp;AA519),"")</f>
        <v/>
      </c>
      <c r="AP519" t="str">
        <f t="shared" si="32"/>
        <v/>
      </c>
    </row>
    <row r="520" spans="5:42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33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34"/>
        <v>#N/A</v>
      </c>
      <c r="W520" t="str" cm="1">
        <f t="array" aca="1" ref="W520" ca="1">IFERROR(INDIRECT("$U"&amp;V520),"")</f>
        <v/>
      </c>
      <c r="Z520" cm="1">
        <f t="array" ref="Z520">INDEX($AE$2:$AS$40,MOD(ROW()-ROW($AE$2),ROWS($AE$2:$AS$40))+1,INT((ROW()-ROW($AE$2))/ROWS($AE$2:$AS$40))+1)</f>
        <v>0</v>
      </c>
      <c r="AA520" t="e">
        <f t="shared" ca="1" si="35"/>
        <v>#N/A</v>
      </c>
      <c r="AB520" t="str" cm="1">
        <f t="array" aca="1" ref="AB520" ca="1">IFERROR(INDIRECT("$Z"&amp;AA520),"")</f>
        <v/>
      </c>
      <c r="AP520" t="str">
        <f t="shared" si="32"/>
        <v/>
      </c>
    </row>
    <row r="521" spans="5:42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33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34"/>
        <v>#N/A</v>
      </c>
      <c r="W521" t="str" cm="1">
        <f t="array" aca="1" ref="W521" ca="1">IFERROR(INDIRECT("$U"&amp;V521),"")</f>
        <v/>
      </c>
      <c r="Z521" cm="1">
        <f t="array" ref="Z521">INDEX($AE$2:$AS$40,MOD(ROW()-ROW($AE$2),ROWS($AE$2:$AS$40))+1,INT((ROW()-ROW($AE$2))/ROWS($AE$2:$AS$40))+1)</f>
        <v>0</v>
      </c>
      <c r="AA521" t="e">
        <f t="shared" ca="1" si="35"/>
        <v>#N/A</v>
      </c>
      <c r="AB521" t="str" cm="1">
        <f t="array" aca="1" ref="AB521" ca="1">IFERROR(INDIRECT("$Z"&amp;AA521),"")</f>
        <v/>
      </c>
      <c r="AP521" t="str">
        <f t="shared" si="32"/>
        <v/>
      </c>
    </row>
    <row r="522" spans="5:42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33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34"/>
        <v>#N/A</v>
      </c>
      <c r="W522" t="str" cm="1">
        <f t="array" aca="1" ref="W522" ca="1">IFERROR(INDIRECT("$U"&amp;V522),"")</f>
        <v/>
      </c>
      <c r="Z522" cm="1">
        <f t="array" ref="Z522">INDEX($AE$2:$AS$40,MOD(ROW()-ROW($AE$2),ROWS($AE$2:$AS$40))+1,INT((ROW()-ROW($AE$2))/ROWS($AE$2:$AS$40))+1)</f>
        <v>0</v>
      </c>
      <c r="AA522" t="e">
        <f t="shared" ca="1" si="35"/>
        <v>#N/A</v>
      </c>
      <c r="AB522" t="str" cm="1">
        <f t="array" aca="1" ref="AB522" ca="1">IFERROR(INDIRECT("$Z"&amp;AA522),"")</f>
        <v/>
      </c>
      <c r="AP522" t="str">
        <f t="shared" si="32"/>
        <v/>
      </c>
    </row>
    <row r="523" spans="5:42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33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34"/>
        <v>#N/A</v>
      </c>
      <c r="W523" t="str" cm="1">
        <f t="array" aca="1" ref="W523" ca="1">IFERROR(INDIRECT("$U"&amp;V523),"")</f>
        <v/>
      </c>
      <c r="Z523" cm="1">
        <f t="array" ref="Z523">INDEX($AE$2:$AS$40,MOD(ROW()-ROW($AE$2),ROWS($AE$2:$AS$40))+1,INT((ROW()-ROW($AE$2))/ROWS($AE$2:$AS$40))+1)</f>
        <v>0</v>
      </c>
      <c r="AA523" t="e">
        <f t="shared" ca="1" si="35"/>
        <v>#N/A</v>
      </c>
      <c r="AB523" t="str" cm="1">
        <f t="array" aca="1" ref="AB523" ca="1">IFERROR(INDIRECT("$Z"&amp;AA523),"")</f>
        <v/>
      </c>
      <c r="AP523" t="str">
        <f t="shared" si="32"/>
        <v/>
      </c>
    </row>
    <row r="524" spans="5:42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33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34"/>
        <v>#N/A</v>
      </c>
      <c r="W524" t="str" cm="1">
        <f t="array" aca="1" ref="W524" ca="1">IFERROR(INDIRECT("$U"&amp;V524),"")</f>
        <v/>
      </c>
      <c r="Z524" cm="1">
        <f t="array" ref="Z524">INDEX($AE$2:$AS$40,MOD(ROW()-ROW($AE$2),ROWS($AE$2:$AS$40))+1,INT((ROW()-ROW($AE$2))/ROWS($AE$2:$AS$40))+1)</f>
        <v>0</v>
      </c>
      <c r="AA524" t="e">
        <f t="shared" ca="1" si="35"/>
        <v>#N/A</v>
      </c>
      <c r="AB524" t="str" cm="1">
        <f t="array" aca="1" ref="AB524" ca="1">IFERROR(INDIRECT("$Z"&amp;AA524),"")</f>
        <v/>
      </c>
      <c r="AP524" t="str">
        <f t="shared" si="32"/>
        <v/>
      </c>
    </row>
    <row r="525" spans="5:42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33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34"/>
        <v>#N/A</v>
      </c>
      <c r="W525" t="str" cm="1">
        <f t="array" aca="1" ref="W525" ca="1">IFERROR(INDIRECT("$U"&amp;V525),"")</f>
        <v/>
      </c>
      <c r="Z525" cm="1">
        <f t="array" ref="Z525">INDEX($AE$2:$AS$40,MOD(ROW()-ROW($AE$2),ROWS($AE$2:$AS$40))+1,INT((ROW()-ROW($AE$2))/ROWS($AE$2:$AS$40))+1)</f>
        <v>0</v>
      </c>
      <c r="AA525" t="e">
        <f t="shared" ca="1" si="35"/>
        <v>#N/A</v>
      </c>
      <c r="AB525" t="str" cm="1">
        <f t="array" aca="1" ref="AB525" ca="1">IFERROR(INDIRECT("$Z"&amp;AA525),"")</f>
        <v/>
      </c>
      <c r="AP525" t="str">
        <f t="shared" si="32"/>
        <v/>
      </c>
    </row>
    <row r="526" spans="5:42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33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34"/>
        <v>#N/A</v>
      </c>
      <c r="W526" t="str" cm="1">
        <f t="array" aca="1" ref="W526" ca="1">IFERROR(INDIRECT("$U"&amp;V526),"")</f>
        <v/>
      </c>
      <c r="Z526" cm="1">
        <f t="array" ref="Z526">INDEX($AE$2:$AS$40,MOD(ROW()-ROW($AE$2),ROWS($AE$2:$AS$40))+1,INT((ROW()-ROW($AE$2))/ROWS($AE$2:$AS$40))+1)</f>
        <v>0</v>
      </c>
      <c r="AA526" t="e">
        <f t="shared" ca="1" si="35"/>
        <v>#N/A</v>
      </c>
      <c r="AB526" t="str" cm="1">
        <f t="array" aca="1" ref="AB526" ca="1">IFERROR(INDIRECT("$Z"&amp;AA526),"")</f>
        <v/>
      </c>
      <c r="AP526" t="str">
        <f t="shared" si="32"/>
        <v/>
      </c>
    </row>
    <row r="527" spans="5:42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33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34"/>
        <v>#N/A</v>
      </c>
      <c r="W527" t="str" cm="1">
        <f t="array" aca="1" ref="W527" ca="1">IFERROR(INDIRECT("$U"&amp;V527),"")</f>
        <v/>
      </c>
      <c r="Z527" cm="1">
        <f t="array" ref="Z527">INDEX($AE$2:$AS$40,MOD(ROW()-ROW($AE$2),ROWS($AE$2:$AS$40))+1,INT((ROW()-ROW($AE$2))/ROWS($AE$2:$AS$40))+1)</f>
        <v>0</v>
      </c>
      <c r="AA527" t="e">
        <f t="shared" ca="1" si="35"/>
        <v>#N/A</v>
      </c>
      <c r="AB527" t="str" cm="1">
        <f t="array" aca="1" ref="AB527" ca="1">IFERROR(INDIRECT("$Z"&amp;AA527),"")</f>
        <v/>
      </c>
      <c r="AP527" t="str">
        <f t="shared" si="32"/>
        <v/>
      </c>
    </row>
    <row r="528" spans="5:42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33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34"/>
        <v>#N/A</v>
      </c>
      <c r="W528" t="str" cm="1">
        <f t="array" aca="1" ref="W528" ca="1">IFERROR(INDIRECT("$U"&amp;V528),"")</f>
        <v/>
      </c>
      <c r="Z528" cm="1">
        <f t="array" ref="Z528">INDEX($AE$2:$AS$40,MOD(ROW()-ROW($AE$2),ROWS($AE$2:$AS$40))+1,INT((ROW()-ROW($AE$2))/ROWS($AE$2:$AS$40))+1)</f>
        <v>0</v>
      </c>
      <c r="AA528" t="e">
        <f t="shared" ca="1" si="35"/>
        <v>#N/A</v>
      </c>
      <c r="AB528" t="str" cm="1">
        <f t="array" aca="1" ref="AB528" ca="1">IFERROR(INDIRECT("$Z"&amp;AA528),"")</f>
        <v/>
      </c>
      <c r="AP528" t="str">
        <f t="shared" si="32"/>
        <v/>
      </c>
    </row>
    <row r="529" spans="5:42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33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34"/>
        <v>#N/A</v>
      </c>
      <c r="W529" t="str" cm="1">
        <f t="array" aca="1" ref="W529" ca="1">IFERROR(INDIRECT("$U"&amp;V529),"")</f>
        <v/>
      </c>
      <c r="Z529" cm="1">
        <f t="array" ref="Z529">INDEX($AE$2:$AS$40,MOD(ROW()-ROW($AE$2),ROWS($AE$2:$AS$40))+1,INT((ROW()-ROW($AE$2))/ROWS($AE$2:$AS$40))+1)</f>
        <v>0</v>
      </c>
      <c r="AA529" t="e">
        <f t="shared" ca="1" si="35"/>
        <v>#N/A</v>
      </c>
      <c r="AB529" t="str" cm="1">
        <f t="array" aca="1" ref="AB529" ca="1">IFERROR(INDIRECT("$Z"&amp;AA529),"")</f>
        <v/>
      </c>
      <c r="AP529" t="str">
        <f t="shared" si="32"/>
        <v/>
      </c>
    </row>
    <row r="530" spans="5:42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33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34"/>
        <v>#N/A</v>
      </c>
      <c r="W530" t="str" cm="1">
        <f t="array" aca="1" ref="W530" ca="1">IFERROR(INDIRECT("$U"&amp;V530),"")</f>
        <v/>
      </c>
      <c r="Z530" cm="1">
        <f t="array" ref="Z530">INDEX($AE$2:$AS$40,MOD(ROW()-ROW($AE$2),ROWS($AE$2:$AS$40))+1,INT((ROW()-ROW($AE$2))/ROWS($AE$2:$AS$40))+1)</f>
        <v>0</v>
      </c>
      <c r="AA530" t="e">
        <f t="shared" ca="1" si="35"/>
        <v>#N/A</v>
      </c>
      <c r="AB530" t="str" cm="1">
        <f t="array" aca="1" ref="AB530" ca="1">IFERROR(INDIRECT("$Z"&amp;AA530),"")</f>
        <v/>
      </c>
      <c r="AP530" t="str">
        <f t="shared" si="32"/>
        <v/>
      </c>
    </row>
    <row r="531" spans="5:42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33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34"/>
        <v>#N/A</v>
      </c>
      <c r="W531" t="str" cm="1">
        <f t="array" aca="1" ref="W531" ca="1">IFERROR(INDIRECT("$U"&amp;V531),"")</f>
        <v/>
      </c>
      <c r="Z531" cm="1">
        <f t="array" ref="Z531">INDEX($AE$2:$AS$40,MOD(ROW()-ROW($AE$2),ROWS($AE$2:$AS$40))+1,INT((ROW()-ROW($AE$2))/ROWS($AE$2:$AS$40))+1)</f>
        <v>0</v>
      </c>
      <c r="AA531" t="e">
        <f t="shared" ca="1" si="35"/>
        <v>#N/A</v>
      </c>
      <c r="AB531" t="str" cm="1">
        <f t="array" aca="1" ref="AB531" ca="1">IFERROR(INDIRECT("$Z"&amp;AA531),"")</f>
        <v/>
      </c>
      <c r="AP531" t="str">
        <f t="shared" si="32"/>
        <v/>
      </c>
    </row>
    <row r="532" spans="5:42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33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34"/>
        <v>#N/A</v>
      </c>
      <c r="W532" t="str" cm="1">
        <f t="array" aca="1" ref="W532" ca="1">IFERROR(INDIRECT("$U"&amp;V532),"")</f>
        <v/>
      </c>
      <c r="Z532" cm="1">
        <f t="array" ref="Z532">INDEX($AE$2:$AS$40,MOD(ROW()-ROW($AE$2),ROWS($AE$2:$AS$40))+1,INT((ROW()-ROW($AE$2))/ROWS($AE$2:$AS$40))+1)</f>
        <v>0</v>
      </c>
      <c r="AA532" t="e">
        <f t="shared" ca="1" si="35"/>
        <v>#N/A</v>
      </c>
      <c r="AB532" t="str" cm="1">
        <f t="array" aca="1" ref="AB532" ca="1">IFERROR(INDIRECT("$Z"&amp;AA532),"")</f>
        <v/>
      </c>
      <c r="AP532" t="str">
        <f t="shared" si="32"/>
        <v/>
      </c>
    </row>
    <row r="533" spans="5:42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33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34"/>
        <v>#N/A</v>
      </c>
      <c r="W533" t="str" cm="1">
        <f t="array" aca="1" ref="W533" ca="1">IFERROR(INDIRECT("$U"&amp;V533),"")</f>
        <v/>
      </c>
      <c r="Z533" cm="1">
        <f t="array" ref="Z533">INDEX($AE$2:$AS$40,MOD(ROW()-ROW($AE$2),ROWS($AE$2:$AS$40))+1,INT((ROW()-ROW($AE$2))/ROWS($AE$2:$AS$40))+1)</f>
        <v>0</v>
      </c>
      <c r="AA533" t="e">
        <f t="shared" ca="1" si="35"/>
        <v>#N/A</v>
      </c>
      <c r="AB533" t="str" cm="1">
        <f t="array" aca="1" ref="AB533" ca="1">IFERROR(INDIRECT("$Z"&amp;AA533),"")</f>
        <v/>
      </c>
      <c r="AP533" t="str">
        <f t="shared" si="32"/>
        <v/>
      </c>
    </row>
    <row r="534" spans="5:42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33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34"/>
        <v>#N/A</v>
      </c>
      <c r="W534" t="str" cm="1">
        <f t="array" aca="1" ref="W534" ca="1">IFERROR(INDIRECT("$U"&amp;V534),"")</f>
        <v/>
      </c>
      <c r="Z534" cm="1">
        <f t="array" ref="Z534">INDEX($AE$2:$AS$40,MOD(ROW()-ROW($AE$2),ROWS($AE$2:$AS$40))+1,INT((ROW()-ROW($AE$2))/ROWS($AE$2:$AS$40))+1)</f>
        <v>0</v>
      </c>
      <c r="AA534" t="e">
        <f t="shared" ca="1" si="35"/>
        <v>#N/A</v>
      </c>
      <c r="AB534" t="str" cm="1">
        <f t="array" aca="1" ref="AB534" ca="1">IFERROR(INDIRECT("$Z"&amp;AA534),"")</f>
        <v/>
      </c>
      <c r="AP534" t="str">
        <f t="shared" si="32"/>
        <v/>
      </c>
    </row>
    <row r="535" spans="5:42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33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34"/>
        <v>#N/A</v>
      </c>
      <c r="W535" t="str" cm="1">
        <f t="array" aca="1" ref="W535" ca="1">IFERROR(INDIRECT("$U"&amp;V535),"")</f>
        <v/>
      </c>
      <c r="Z535" cm="1">
        <f t="array" ref="Z535">INDEX($AE$2:$AS$40,MOD(ROW()-ROW($AE$2),ROWS($AE$2:$AS$40))+1,INT((ROW()-ROW($AE$2))/ROWS($AE$2:$AS$40))+1)</f>
        <v>0</v>
      </c>
      <c r="AA535" t="e">
        <f t="shared" ca="1" si="35"/>
        <v>#N/A</v>
      </c>
      <c r="AB535" t="str" cm="1">
        <f t="array" aca="1" ref="AB535" ca="1">IFERROR(INDIRECT("$Z"&amp;AA535),"")</f>
        <v/>
      </c>
      <c r="AP535" t="str">
        <f t="shared" si="32"/>
        <v/>
      </c>
    </row>
    <row r="536" spans="5:42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33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34"/>
        <v>#N/A</v>
      </c>
      <c r="W536" t="str" cm="1">
        <f t="array" aca="1" ref="W536" ca="1">IFERROR(INDIRECT("$U"&amp;V536),"")</f>
        <v/>
      </c>
      <c r="Z536" cm="1">
        <f t="array" ref="Z536">INDEX($AE$2:$AS$40,MOD(ROW()-ROW($AE$2),ROWS($AE$2:$AS$40))+1,INT((ROW()-ROW($AE$2))/ROWS($AE$2:$AS$40))+1)</f>
        <v>0</v>
      </c>
      <c r="AA536" t="e">
        <f t="shared" ca="1" si="35"/>
        <v>#N/A</v>
      </c>
      <c r="AB536" t="str" cm="1">
        <f t="array" aca="1" ref="AB536" ca="1">IFERROR(INDIRECT("$Z"&amp;AA536),"")</f>
        <v/>
      </c>
      <c r="AP536" t="str">
        <f t="shared" si="32"/>
        <v/>
      </c>
    </row>
    <row r="537" spans="5:42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33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34"/>
        <v>#N/A</v>
      </c>
      <c r="W537" t="str" cm="1">
        <f t="array" aca="1" ref="W537" ca="1">IFERROR(INDIRECT("$U"&amp;V537),"")</f>
        <v/>
      </c>
      <c r="Z537" cm="1">
        <f t="array" ref="Z537">INDEX($AE$2:$AS$40,MOD(ROW()-ROW($AE$2),ROWS($AE$2:$AS$40))+1,INT((ROW()-ROW($AE$2))/ROWS($AE$2:$AS$40))+1)</f>
        <v>0</v>
      </c>
      <c r="AA537" t="e">
        <f t="shared" ca="1" si="35"/>
        <v>#N/A</v>
      </c>
      <c r="AB537" t="str" cm="1">
        <f t="array" aca="1" ref="AB537" ca="1">IFERROR(INDIRECT("$Z"&amp;AA537),"")</f>
        <v/>
      </c>
      <c r="AP537" t="str">
        <f t="shared" si="32"/>
        <v/>
      </c>
    </row>
    <row r="538" spans="5:42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33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34"/>
        <v>#N/A</v>
      </c>
      <c r="W538" t="str" cm="1">
        <f t="array" aca="1" ref="W538" ca="1">IFERROR(INDIRECT("$U"&amp;V538),"")</f>
        <v/>
      </c>
      <c r="Z538" cm="1">
        <f t="array" ref="Z538">INDEX($AE$2:$AS$40,MOD(ROW()-ROW($AE$2),ROWS($AE$2:$AS$40))+1,INT((ROW()-ROW($AE$2))/ROWS($AE$2:$AS$40))+1)</f>
        <v>0</v>
      </c>
      <c r="AA538" t="e">
        <f t="shared" ca="1" si="35"/>
        <v>#N/A</v>
      </c>
      <c r="AB538" t="str" cm="1">
        <f t="array" aca="1" ref="AB538" ca="1">IFERROR(INDIRECT("$Z"&amp;AA538),"")</f>
        <v/>
      </c>
      <c r="AP538" t="str">
        <f t="shared" si="32"/>
        <v/>
      </c>
    </row>
    <row r="539" spans="5:42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33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34"/>
        <v>#N/A</v>
      </c>
      <c r="W539" t="str" cm="1">
        <f t="array" aca="1" ref="W539" ca="1">IFERROR(INDIRECT("$U"&amp;V539),"")</f>
        <v/>
      </c>
      <c r="Z539" cm="1">
        <f t="array" ref="Z539">INDEX($AE$2:$AS$40,MOD(ROW()-ROW($AE$2),ROWS($AE$2:$AS$40))+1,INT((ROW()-ROW($AE$2))/ROWS($AE$2:$AS$40))+1)</f>
        <v>0</v>
      </c>
      <c r="AA539" t="e">
        <f t="shared" ca="1" si="35"/>
        <v>#N/A</v>
      </c>
      <c r="AB539" t="str" cm="1">
        <f t="array" aca="1" ref="AB539" ca="1">IFERROR(INDIRECT("$Z"&amp;AA539),"")</f>
        <v/>
      </c>
      <c r="AP539" t="str">
        <f t="shared" si="32"/>
        <v/>
      </c>
    </row>
    <row r="540" spans="5:42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33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34"/>
        <v>#N/A</v>
      </c>
      <c r="W540" t="str" cm="1">
        <f t="array" aca="1" ref="W540" ca="1">IFERROR(INDIRECT("$U"&amp;V540),"")</f>
        <v/>
      </c>
      <c r="Z540" cm="1">
        <f t="array" ref="Z540">INDEX($AE$2:$AS$40,MOD(ROW()-ROW($AE$2),ROWS($AE$2:$AS$40))+1,INT((ROW()-ROW($AE$2))/ROWS($AE$2:$AS$40))+1)</f>
        <v>0</v>
      </c>
      <c r="AA540" t="e">
        <f t="shared" ca="1" si="35"/>
        <v>#N/A</v>
      </c>
      <c r="AB540" t="str" cm="1">
        <f t="array" aca="1" ref="AB540" ca="1">IFERROR(INDIRECT("$Z"&amp;AA540),"")</f>
        <v/>
      </c>
      <c r="AP540" t="str">
        <f t="shared" si="32"/>
        <v/>
      </c>
    </row>
    <row r="541" spans="5:42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33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34"/>
        <v>#N/A</v>
      </c>
      <c r="W541" t="str" cm="1">
        <f t="array" aca="1" ref="W541" ca="1">IFERROR(INDIRECT("$U"&amp;V541),"")</f>
        <v/>
      </c>
      <c r="Z541" cm="1">
        <f t="array" ref="Z541">INDEX($AE$2:$AS$40,MOD(ROW()-ROW($AE$2),ROWS($AE$2:$AS$40))+1,INT((ROW()-ROW($AE$2))/ROWS($AE$2:$AS$40))+1)</f>
        <v>0</v>
      </c>
      <c r="AA541" t="e">
        <f t="shared" ca="1" si="35"/>
        <v>#N/A</v>
      </c>
      <c r="AB541" t="str" cm="1">
        <f t="array" aca="1" ref="AB541" ca="1">IFERROR(INDIRECT("$Z"&amp;AA541),"")</f>
        <v/>
      </c>
      <c r="AP541" t="str">
        <f t="shared" si="32"/>
        <v/>
      </c>
    </row>
    <row r="542" spans="5:42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33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34"/>
        <v>#N/A</v>
      </c>
      <c r="W542" t="str" cm="1">
        <f t="array" aca="1" ref="W542" ca="1">IFERROR(INDIRECT("$U"&amp;V542),"")</f>
        <v/>
      </c>
      <c r="Z542" cm="1">
        <f t="array" ref="Z542">INDEX($AE$2:$AS$40,MOD(ROW()-ROW($AE$2),ROWS($AE$2:$AS$40))+1,INT((ROW()-ROW($AE$2))/ROWS($AE$2:$AS$40))+1)</f>
        <v>0</v>
      </c>
      <c r="AA542" t="e">
        <f t="shared" ca="1" si="35"/>
        <v>#N/A</v>
      </c>
      <c r="AB542" t="str" cm="1">
        <f t="array" aca="1" ref="AB542" ca="1">IFERROR(INDIRECT("$Z"&amp;AA542),"")</f>
        <v/>
      </c>
      <c r="AP542" t="str">
        <f t="shared" si="32"/>
        <v/>
      </c>
    </row>
    <row r="543" spans="5:42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33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34"/>
        <v>#N/A</v>
      </c>
      <c r="W543" t="str" cm="1">
        <f t="array" aca="1" ref="W543" ca="1">IFERROR(INDIRECT("$U"&amp;V543),"")</f>
        <v/>
      </c>
      <c r="Z543" cm="1">
        <f t="array" ref="Z543">INDEX($AE$2:$AS$40,MOD(ROW()-ROW($AE$2),ROWS($AE$2:$AS$40))+1,INT((ROW()-ROW($AE$2))/ROWS($AE$2:$AS$40))+1)</f>
        <v>0</v>
      </c>
      <c r="AA543" t="e">
        <f t="shared" ca="1" si="35"/>
        <v>#N/A</v>
      </c>
      <c r="AB543" t="str" cm="1">
        <f t="array" aca="1" ref="AB543" ca="1">IFERROR(INDIRECT("$Z"&amp;AA543),"")</f>
        <v/>
      </c>
      <c r="AP543" t="str">
        <f t="shared" si="32"/>
        <v/>
      </c>
    </row>
    <row r="544" spans="5:42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33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34"/>
        <v>#N/A</v>
      </c>
      <c r="W544" t="str" cm="1">
        <f t="array" aca="1" ref="W544" ca="1">IFERROR(INDIRECT("$U"&amp;V544),"")</f>
        <v/>
      </c>
      <c r="Z544" cm="1">
        <f t="array" ref="Z544">INDEX($AE$2:$AS$40,MOD(ROW()-ROW($AE$2),ROWS($AE$2:$AS$40))+1,INT((ROW()-ROW($AE$2))/ROWS($AE$2:$AS$40))+1)</f>
        <v>0</v>
      </c>
      <c r="AA544" t="e">
        <f t="shared" ca="1" si="35"/>
        <v>#N/A</v>
      </c>
      <c r="AB544" t="str" cm="1">
        <f t="array" aca="1" ref="AB544" ca="1">IFERROR(INDIRECT("$Z"&amp;AA544),"")</f>
        <v/>
      </c>
      <c r="AP544" t="str">
        <f t="shared" si="32"/>
        <v/>
      </c>
    </row>
    <row r="545" spans="5:42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33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34"/>
        <v>#N/A</v>
      </c>
      <c r="W545" t="str" cm="1">
        <f t="array" aca="1" ref="W545" ca="1">IFERROR(INDIRECT("$U"&amp;V545),"")</f>
        <v/>
      </c>
      <c r="Z545" cm="1">
        <f t="array" ref="Z545">INDEX($AE$2:$AS$40,MOD(ROW()-ROW($AE$2),ROWS($AE$2:$AS$40))+1,INT((ROW()-ROW($AE$2))/ROWS($AE$2:$AS$40))+1)</f>
        <v>0</v>
      </c>
      <c r="AA545" t="e">
        <f t="shared" ca="1" si="35"/>
        <v>#N/A</v>
      </c>
      <c r="AB545" t="str" cm="1">
        <f t="array" aca="1" ref="AB545" ca="1">IFERROR(INDIRECT("$Z"&amp;AA545),"")</f>
        <v/>
      </c>
      <c r="AP545" t="str">
        <f t="shared" si="32"/>
        <v/>
      </c>
    </row>
    <row r="546" spans="5:42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33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34"/>
        <v>#N/A</v>
      </c>
      <c r="W546" t="str" cm="1">
        <f t="array" aca="1" ref="W546" ca="1">IFERROR(INDIRECT("$U"&amp;V546),"")</f>
        <v/>
      </c>
      <c r="Z546" cm="1">
        <f t="array" ref="Z546">INDEX($AE$2:$AS$40,MOD(ROW()-ROW($AE$2),ROWS($AE$2:$AS$40))+1,INT((ROW()-ROW($AE$2))/ROWS($AE$2:$AS$40))+1)</f>
        <v>0</v>
      </c>
      <c r="AA546" t="e">
        <f t="shared" ca="1" si="35"/>
        <v>#N/A</v>
      </c>
      <c r="AB546" t="str" cm="1">
        <f t="array" aca="1" ref="AB546" ca="1">IFERROR(INDIRECT("$Z"&amp;AA546),"")</f>
        <v/>
      </c>
      <c r="AP546" t="str">
        <f t="shared" si="32"/>
        <v/>
      </c>
    </row>
    <row r="547" spans="5:42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33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34"/>
        <v>#N/A</v>
      </c>
      <c r="W547" t="str" cm="1">
        <f t="array" aca="1" ref="W547" ca="1">IFERROR(INDIRECT("$U"&amp;V547),"")</f>
        <v/>
      </c>
      <c r="Z547" cm="1">
        <f t="array" ref="Z547">INDEX($AE$2:$AS$40,MOD(ROW()-ROW($AE$2),ROWS($AE$2:$AS$40))+1,INT((ROW()-ROW($AE$2))/ROWS($AE$2:$AS$40))+1)</f>
        <v>0</v>
      </c>
      <c r="AA547" t="e">
        <f t="shared" ca="1" si="35"/>
        <v>#N/A</v>
      </c>
      <c r="AB547" t="str" cm="1">
        <f t="array" aca="1" ref="AB547" ca="1">IFERROR(INDIRECT("$Z"&amp;AA547),"")</f>
        <v/>
      </c>
      <c r="AP547" t="str">
        <f t="shared" si="32"/>
        <v/>
      </c>
    </row>
    <row r="548" spans="5:42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33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34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35"/>
        <v>#N/A</v>
      </c>
      <c r="AB548" t="str" cm="1">
        <f t="array" aca="1" ref="AB548" ca="1">IFERROR(INDIRECT("$Z"&amp;AA548),"")</f>
        <v/>
      </c>
      <c r="AP548" t="str">
        <f t="shared" si="32"/>
        <v/>
      </c>
    </row>
    <row r="549" spans="5:42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33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34"/>
        <v>#N/A</v>
      </c>
      <c r="W549" t="str" cm="1">
        <f t="array" aca="1" ref="W549" ca="1">IFERROR(INDIRECT("$U"&amp;V549),"")</f>
        <v/>
      </c>
      <c r="Z549" cm="1">
        <f t="array" ref="Z549">INDEX($AE$2:$AS$40,MOD(ROW()-ROW($AE$2),ROWS($AE$2:$AS$40))+1,INT((ROW()-ROW($AE$2))/ROWS($AE$2:$AS$40))+1)</f>
        <v>0</v>
      </c>
      <c r="AA549" t="e">
        <f t="shared" ca="1" si="35"/>
        <v>#N/A</v>
      </c>
      <c r="AB549" t="str" cm="1">
        <f t="array" aca="1" ref="AB549" ca="1">IFERROR(INDIRECT("$Z"&amp;AA549),"")</f>
        <v/>
      </c>
      <c r="AP549" t="str">
        <f t="shared" si="32"/>
        <v/>
      </c>
    </row>
    <row r="550" spans="5:42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33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34"/>
        <v>#N/A</v>
      </c>
      <c r="W550" t="str" cm="1">
        <f t="array" aca="1" ref="W550" ca="1">IFERROR(INDIRECT("$U"&amp;V550),"")</f>
        <v/>
      </c>
      <c r="Z550" cm="1">
        <f t="array" ref="Z550">INDEX($AE$2:$AS$40,MOD(ROW()-ROW($AE$2),ROWS($AE$2:$AS$40))+1,INT((ROW()-ROW($AE$2))/ROWS($AE$2:$AS$40))+1)</f>
        <v>0</v>
      </c>
      <c r="AA550" t="e">
        <f t="shared" ca="1" si="35"/>
        <v>#N/A</v>
      </c>
      <c r="AB550" t="str" cm="1">
        <f t="array" aca="1" ref="AB550" ca="1">IFERROR(INDIRECT("$Z"&amp;AA550),"")</f>
        <v/>
      </c>
      <c r="AP550" t="str">
        <f t="shared" si="32"/>
        <v/>
      </c>
    </row>
    <row r="551" spans="5:42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33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34"/>
        <v>#N/A</v>
      </c>
      <c r="W551" t="str" cm="1">
        <f t="array" aca="1" ref="W551" ca="1">IFERROR(INDIRECT("$U"&amp;V551),"")</f>
        <v/>
      </c>
      <c r="Z551" cm="1">
        <f t="array" ref="Z551">INDEX($AE$2:$AS$40,MOD(ROW()-ROW($AE$2),ROWS($AE$2:$AS$40))+1,INT((ROW()-ROW($AE$2))/ROWS($AE$2:$AS$40))+1)</f>
        <v>0</v>
      </c>
      <c r="AA551" t="e">
        <f t="shared" ca="1" si="35"/>
        <v>#N/A</v>
      </c>
      <c r="AB551" t="str" cm="1">
        <f t="array" aca="1" ref="AB551" ca="1">IFERROR(INDIRECT("$Z"&amp;AA551),"")</f>
        <v/>
      </c>
      <c r="AP551" t="str">
        <f t="shared" si="32"/>
        <v/>
      </c>
    </row>
    <row r="552" spans="5:42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33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34"/>
        <v>#N/A</v>
      </c>
      <c r="W552" t="str" cm="1">
        <f t="array" aca="1" ref="W552" ca="1">IFERROR(INDIRECT("$U"&amp;V552),"")</f>
        <v/>
      </c>
      <c r="Z552" cm="1">
        <f t="array" ref="Z552">INDEX($AE$2:$AS$40,MOD(ROW()-ROW($AE$2),ROWS($AE$2:$AS$40))+1,INT((ROW()-ROW($AE$2))/ROWS($AE$2:$AS$40))+1)</f>
        <v>0</v>
      </c>
      <c r="AA552" t="e">
        <f t="shared" ca="1" si="35"/>
        <v>#N/A</v>
      </c>
      <c r="AB552" t="str" cm="1">
        <f t="array" aca="1" ref="AB552" ca="1">IFERROR(INDIRECT("$Z"&amp;AA552),"")</f>
        <v/>
      </c>
      <c r="AP552" t="str">
        <f t="shared" si="32"/>
        <v/>
      </c>
    </row>
    <row r="553" spans="5:42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33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34"/>
        <v>#N/A</v>
      </c>
      <c r="W553" t="str" cm="1">
        <f t="array" aca="1" ref="W553" ca="1">IFERROR(INDIRECT("$U"&amp;V553),"")</f>
        <v/>
      </c>
      <c r="Z553" cm="1">
        <f t="array" ref="Z553">INDEX($AE$2:$AS$40,MOD(ROW()-ROW($AE$2),ROWS($AE$2:$AS$40))+1,INT((ROW()-ROW($AE$2))/ROWS($AE$2:$AS$40))+1)</f>
        <v>0</v>
      </c>
      <c r="AA553" t="e">
        <f t="shared" ca="1" si="35"/>
        <v>#N/A</v>
      </c>
      <c r="AB553" t="str" cm="1">
        <f t="array" aca="1" ref="AB553" ca="1">IFERROR(INDIRECT("$Z"&amp;AA553),"")</f>
        <v/>
      </c>
      <c r="AP553" t="str">
        <f t="shared" si="32"/>
        <v/>
      </c>
    </row>
    <row r="554" spans="5:42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33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34"/>
        <v>#N/A</v>
      </c>
      <c r="W554" t="str" cm="1">
        <f t="array" aca="1" ref="W554" ca="1">IFERROR(INDIRECT("$U"&amp;V554),"")</f>
        <v/>
      </c>
      <c r="Z554" cm="1">
        <f t="array" ref="Z554">INDEX($AE$2:$AS$40,MOD(ROW()-ROW($AE$2),ROWS($AE$2:$AS$40))+1,INT((ROW()-ROW($AE$2))/ROWS($AE$2:$AS$40))+1)</f>
        <v>0</v>
      </c>
      <c r="AA554" t="e">
        <f t="shared" ca="1" si="35"/>
        <v>#N/A</v>
      </c>
      <c r="AB554" t="str" cm="1">
        <f t="array" aca="1" ref="AB554" ca="1">IFERROR(INDIRECT("$Z"&amp;AA554),"")</f>
        <v/>
      </c>
      <c r="AP554" t="str">
        <f t="shared" si="32"/>
        <v/>
      </c>
    </row>
    <row r="555" spans="5:42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33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34"/>
        <v>#N/A</v>
      </c>
      <c r="W555" t="str" cm="1">
        <f t="array" aca="1" ref="W555" ca="1">IFERROR(INDIRECT("$U"&amp;V555),"")</f>
        <v/>
      </c>
      <c r="Z555" cm="1">
        <f t="array" ref="Z555">INDEX($AE$2:$AS$40,MOD(ROW()-ROW($AE$2),ROWS($AE$2:$AS$40))+1,INT((ROW()-ROW($AE$2))/ROWS($AE$2:$AS$40))+1)</f>
        <v>0</v>
      </c>
      <c r="AA555" t="e">
        <f t="shared" ca="1" si="35"/>
        <v>#N/A</v>
      </c>
      <c r="AB555" t="str" cm="1">
        <f t="array" aca="1" ref="AB555" ca="1">IFERROR(INDIRECT("$Z"&amp;AA555),"")</f>
        <v/>
      </c>
      <c r="AP555" t="str">
        <f t="shared" si="32"/>
        <v/>
      </c>
    </row>
    <row r="556" spans="5:42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33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34"/>
        <v>#N/A</v>
      </c>
      <c r="W556" t="str" cm="1">
        <f t="array" aca="1" ref="W556" ca="1">IFERROR(INDIRECT("$U"&amp;V556),"")</f>
        <v/>
      </c>
      <c r="Z556" cm="1">
        <f t="array" ref="Z556">INDEX($AE$2:$AS$40,MOD(ROW()-ROW($AE$2),ROWS($AE$2:$AS$40))+1,INT((ROW()-ROW($AE$2))/ROWS($AE$2:$AS$40))+1)</f>
        <v>0</v>
      </c>
      <c r="AA556" t="e">
        <f t="shared" ca="1" si="35"/>
        <v>#N/A</v>
      </c>
      <c r="AB556" t="str" cm="1">
        <f t="array" aca="1" ref="AB556" ca="1">IFERROR(INDIRECT("$Z"&amp;AA556),"")</f>
        <v/>
      </c>
      <c r="AP556" t="str">
        <f t="shared" si="32"/>
        <v/>
      </c>
    </row>
    <row r="557" spans="5:42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33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34"/>
        <v>#N/A</v>
      </c>
      <c r="W557" t="str" cm="1">
        <f t="array" aca="1" ref="W557" ca="1">IFERROR(INDIRECT("$U"&amp;V557),"")</f>
        <v/>
      </c>
      <c r="Z557" cm="1">
        <f t="array" ref="Z557">INDEX($AE$2:$AS$40,MOD(ROW()-ROW($AE$2),ROWS($AE$2:$AS$40))+1,INT((ROW()-ROW($AE$2))/ROWS($AE$2:$AS$40))+1)</f>
        <v>0</v>
      </c>
      <c r="AA557" t="e">
        <f t="shared" ca="1" si="35"/>
        <v>#N/A</v>
      </c>
      <c r="AB557" t="str" cm="1">
        <f t="array" aca="1" ref="AB557" ca="1">IFERROR(INDIRECT("$Z"&amp;AA557),"")</f>
        <v/>
      </c>
      <c r="AP557" t="str">
        <f t="shared" si="32"/>
        <v/>
      </c>
    </row>
    <row r="558" spans="5:42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33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34"/>
        <v>#N/A</v>
      </c>
      <c r="W558" t="str" cm="1">
        <f t="array" aca="1" ref="W558" ca="1">IFERROR(INDIRECT("$U"&amp;V558),"")</f>
        <v/>
      </c>
      <c r="Z558" cm="1">
        <f t="array" ref="Z558">INDEX($AE$2:$AS$40,MOD(ROW()-ROW($AE$2),ROWS($AE$2:$AS$40))+1,INT((ROW()-ROW($AE$2))/ROWS($AE$2:$AS$40))+1)</f>
        <v>0</v>
      </c>
      <c r="AA558" t="e">
        <f t="shared" ca="1" si="35"/>
        <v>#N/A</v>
      </c>
      <c r="AB558" t="str" cm="1">
        <f t="array" aca="1" ref="AB558" ca="1">IFERROR(INDIRECT("$Z"&amp;AA558),"")</f>
        <v/>
      </c>
      <c r="AP558" t="str">
        <f t="shared" si="32"/>
        <v/>
      </c>
    </row>
    <row r="559" spans="5:42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33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34"/>
        <v>#N/A</v>
      </c>
      <c r="W559" t="str" cm="1">
        <f t="array" aca="1" ref="W559" ca="1">IFERROR(INDIRECT("$U"&amp;V559),"")</f>
        <v/>
      </c>
      <c r="Z559" cm="1">
        <f t="array" ref="Z559">INDEX($AE$2:$AS$40,MOD(ROW()-ROW($AE$2),ROWS($AE$2:$AS$40))+1,INT((ROW()-ROW($AE$2))/ROWS($AE$2:$AS$40))+1)</f>
        <v>0</v>
      </c>
      <c r="AA559" t="e">
        <f t="shared" ca="1" si="35"/>
        <v>#N/A</v>
      </c>
      <c r="AB559" t="str" cm="1">
        <f t="array" aca="1" ref="AB559" ca="1">IFERROR(INDIRECT("$Z"&amp;AA559),"")</f>
        <v/>
      </c>
      <c r="AP559" t="str">
        <f t="shared" si="32"/>
        <v/>
      </c>
    </row>
    <row r="560" spans="5:42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33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34"/>
        <v>#N/A</v>
      </c>
      <c r="W560" t="str" cm="1">
        <f t="array" aca="1" ref="W560" ca="1">IFERROR(INDIRECT("$U"&amp;V560),"")</f>
        <v/>
      </c>
      <c r="Z560" cm="1">
        <f t="array" ref="Z560">INDEX($AE$2:$AS$40,MOD(ROW()-ROW($AE$2),ROWS($AE$2:$AS$40))+1,INT((ROW()-ROW($AE$2))/ROWS($AE$2:$AS$40))+1)</f>
        <v>0</v>
      </c>
      <c r="AA560" t="e">
        <f t="shared" ca="1" si="35"/>
        <v>#N/A</v>
      </c>
      <c r="AB560" t="str" cm="1">
        <f t="array" aca="1" ref="AB560" ca="1">IFERROR(INDIRECT("$Z"&amp;AA560),"")</f>
        <v/>
      </c>
      <c r="AP560" t="str">
        <f t="shared" si="32"/>
        <v/>
      </c>
    </row>
    <row r="561" spans="5:42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33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34"/>
        <v>#N/A</v>
      </c>
      <c r="W561" t="str" cm="1">
        <f t="array" aca="1" ref="W561" ca="1">IFERROR(INDIRECT("$U"&amp;V561),"")</f>
        <v/>
      </c>
      <c r="Z561" cm="1">
        <f t="array" ref="Z561">INDEX($AE$2:$AS$40,MOD(ROW()-ROW($AE$2),ROWS($AE$2:$AS$40))+1,INT((ROW()-ROW($AE$2))/ROWS($AE$2:$AS$40))+1)</f>
        <v>0</v>
      </c>
      <c r="AA561" t="e">
        <f t="shared" ca="1" si="35"/>
        <v>#N/A</v>
      </c>
      <c r="AB561" t="str" cm="1">
        <f t="array" aca="1" ref="AB561" ca="1">IFERROR(INDIRECT("$Z"&amp;AA561),"")</f>
        <v/>
      </c>
      <c r="AP561" t="str">
        <f t="shared" si="32"/>
        <v/>
      </c>
    </row>
    <row r="562" spans="5:42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33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34"/>
        <v>#N/A</v>
      </c>
      <c r="W562" t="str" cm="1">
        <f t="array" aca="1" ref="W562" ca="1">IFERROR(INDIRECT("$U"&amp;V562),"")</f>
        <v/>
      </c>
      <c r="Z562" cm="1">
        <f t="array" ref="Z562">INDEX($AE$2:$AS$40,MOD(ROW()-ROW($AE$2),ROWS($AE$2:$AS$40))+1,INT((ROW()-ROW($AE$2))/ROWS($AE$2:$AS$40))+1)</f>
        <v>0</v>
      </c>
      <c r="AA562" t="e">
        <f t="shared" ca="1" si="35"/>
        <v>#N/A</v>
      </c>
      <c r="AB562" t="str" cm="1">
        <f t="array" aca="1" ref="AB562" ca="1">IFERROR(INDIRECT("$Z"&amp;AA562),"")</f>
        <v/>
      </c>
      <c r="AP562" t="str">
        <f t="shared" si="32"/>
        <v/>
      </c>
    </row>
    <row r="563" spans="5:42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33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34"/>
        <v>#N/A</v>
      </c>
      <c r="W563" t="str" cm="1">
        <f t="array" aca="1" ref="W563" ca="1">IFERROR(INDIRECT("$U"&amp;V563),"")</f>
        <v/>
      </c>
      <c r="Z563" cm="1">
        <f t="array" ref="Z563">INDEX($AE$2:$AS$40,MOD(ROW()-ROW($AE$2),ROWS($AE$2:$AS$40))+1,INT((ROW()-ROW($AE$2))/ROWS($AE$2:$AS$40))+1)</f>
        <v>0</v>
      </c>
      <c r="AA563" t="e">
        <f t="shared" ca="1" si="35"/>
        <v>#N/A</v>
      </c>
      <c r="AB563" t="str" cm="1">
        <f t="array" aca="1" ref="AB563" ca="1">IFERROR(INDIRECT("$Z"&amp;AA563),"")</f>
        <v/>
      </c>
      <c r="AP563" t="str">
        <f t="shared" si="32"/>
        <v/>
      </c>
    </row>
    <row r="564" spans="5:42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33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34"/>
        <v>#N/A</v>
      </c>
      <c r="W564" t="str" cm="1">
        <f t="array" aca="1" ref="W564" ca="1">IFERROR(INDIRECT("$U"&amp;V564),"")</f>
        <v/>
      </c>
      <c r="Z564" cm="1">
        <f t="array" ref="Z564">INDEX($AE$2:$AS$40,MOD(ROW()-ROW($AE$2),ROWS($AE$2:$AS$40))+1,INT((ROW()-ROW($AE$2))/ROWS($AE$2:$AS$40))+1)</f>
        <v>0</v>
      </c>
      <c r="AA564" t="e">
        <f t="shared" ca="1" si="35"/>
        <v>#N/A</v>
      </c>
      <c r="AB564" t="str" cm="1">
        <f t="array" aca="1" ref="AB564" ca="1">IFERROR(INDIRECT("$Z"&amp;AA564),"")</f>
        <v/>
      </c>
      <c r="AP564" t="str">
        <f t="shared" si="32"/>
        <v/>
      </c>
    </row>
    <row r="565" spans="5:42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33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34"/>
        <v>#N/A</v>
      </c>
      <c r="W565" t="str" cm="1">
        <f t="array" aca="1" ref="W565" ca="1">IFERROR(INDIRECT("$U"&amp;V565),"")</f>
        <v/>
      </c>
      <c r="Z565" cm="1">
        <f t="array" ref="Z565">INDEX($AE$2:$AS$40,MOD(ROW()-ROW($AE$2),ROWS($AE$2:$AS$40))+1,INT((ROW()-ROW($AE$2))/ROWS($AE$2:$AS$40))+1)</f>
        <v>0</v>
      </c>
      <c r="AA565" t="e">
        <f t="shared" ca="1" si="35"/>
        <v>#N/A</v>
      </c>
      <c r="AB565" t="str" cm="1">
        <f t="array" aca="1" ref="AB565" ca="1">IFERROR(INDIRECT("$Z"&amp;AA565),"")</f>
        <v/>
      </c>
      <c r="AP565" t="str">
        <f t="shared" si="32"/>
        <v/>
      </c>
    </row>
    <row r="566" spans="5:42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33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34"/>
        <v>#N/A</v>
      </c>
      <c r="W566" t="str" cm="1">
        <f t="array" aca="1" ref="W566" ca="1">IFERROR(INDIRECT("$U"&amp;V566),"")</f>
        <v/>
      </c>
      <c r="Z566" cm="1">
        <f t="array" ref="Z566">INDEX($AE$2:$AS$40,MOD(ROW()-ROW($AE$2),ROWS($AE$2:$AS$40))+1,INT((ROW()-ROW($AE$2))/ROWS($AE$2:$AS$40))+1)</f>
        <v>0</v>
      </c>
      <c r="AA566" t="e">
        <f t="shared" ca="1" si="35"/>
        <v>#N/A</v>
      </c>
      <c r="AB566" t="str" cm="1">
        <f t="array" aca="1" ref="AB566" ca="1">IFERROR(INDIRECT("$Z"&amp;AA566),"")</f>
        <v/>
      </c>
      <c r="AP566" t="str">
        <f t="shared" si="32"/>
        <v/>
      </c>
    </row>
    <row r="567" spans="5:42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33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34"/>
        <v>#N/A</v>
      </c>
      <c r="W567" t="str" cm="1">
        <f t="array" aca="1" ref="W567" ca="1">IFERROR(INDIRECT("$U"&amp;V567),"")</f>
        <v/>
      </c>
      <c r="Z567" cm="1">
        <f t="array" ref="Z567">INDEX($AE$2:$AS$40,MOD(ROW()-ROW($AE$2),ROWS($AE$2:$AS$40))+1,INT((ROW()-ROW($AE$2))/ROWS($AE$2:$AS$40))+1)</f>
        <v>0</v>
      </c>
      <c r="AA567" t="e">
        <f t="shared" ca="1" si="35"/>
        <v>#N/A</v>
      </c>
      <c r="AB567" t="str" cm="1">
        <f t="array" aca="1" ref="AB567" ca="1">IFERROR(INDIRECT("$Z"&amp;AA567),"")</f>
        <v/>
      </c>
      <c r="AP567" t="str">
        <f t="shared" si="32"/>
        <v/>
      </c>
    </row>
    <row r="568" spans="5:42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33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34"/>
        <v>#N/A</v>
      </c>
      <c r="W568" t="str" cm="1">
        <f t="array" aca="1" ref="W568" ca="1">IFERROR(INDIRECT("$U"&amp;V568),"")</f>
        <v/>
      </c>
      <c r="Z568" cm="1">
        <f t="array" ref="Z568">INDEX($AE$2:$AS$40,MOD(ROW()-ROW($AE$2),ROWS($AE$2:$AS$40))+1,INT((ROW()-ROW($AE$2))/ROWS($AE$2:$AS$40))+1)</f>
        <v>0</v>
      </c>
      <c r="AA568" t="e">
        <f t="shared" ca="1" si="35"/>
        <v>#N/A</v>
      </c>
      <c r="AB568" t="str" cm="1">
        <f t="array" aca="1" ref="AB568" ca="1">IFERROR(INDIRECT("$Z"&amp;AA568),"")</f>
        <v/>
      </c>
      <c r="AP568" t="str">
        <f t="shared" si="32"/>
        <v/>
      </c>
    </row>
    <row r="569" spans="5:42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33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34"/>
        <v>#N/A</v>
      </c>
      <c r="W569" t="str" cm="1">
        <f t="array" aca="1" ref="W569" ca="1">IFERROR(INDIRECT("$U"&amp;V569),"")</f>
        <v/>
      </c>
      <c r="Z569" cm="1">
        <f t="array" ref="Z569">INDEX($AE$2:$AS$40,MOD(ROW()-ROW($AE$2),ROWS($AE$2:$AS$40))+1,INT((ROW()-ROW($AE$2))/ROWS($AE$2:$AS$40))+1)</f>
        <v>0</v>
      </c>
      <c r="AA569" t="e">
        <f t="shared" ca="1" si="35"/>
        <v>#N/A</v>
      </c>
      <c r="AB569" t="str" cm="1">
        <f t="array" aca="1" ref="AB569" ca="1">IFERROR(INDIRECT("$Z"&amp;AA569),"")</f>
        <v/>
      </c>
      <c r="AP569" t="str">
        <f t="shared" si="32"/>
        <v/>
      </c>
    </row>
    <row r="570" spans="5:42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33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34"/>
        <v>#N/A</v>
      </c>
      <c r="W570" t="str" cm="1">
        <f t="array" aca="1" ref="W570" ca="1">IFERROR(INDIRECT("$U"&amp;V570),"")</f>
        <v/>
      </c>
      <c r="Z570" cm="1">
        <f t="array" ref="Z570">INDEX($AE$2:$AS$40,MOD(ROW()-ROW($AE$2),ROWS($AE$2:$AS$40))+1,INT((ROW()-ROW($AE$2))/ROWS($AE$2:$AS$40))+1)</f>
        <v>0</v>
      </c>
      <c r="AA570" t="e">
        <f t="shared" ca="1" si="35"/>
        <v>#N/A</v>
      </c>
      <c r="AB570" t="str" cm="1">
        <f t="array" aca="1" ref="AB570" ca="1">IFERROR(INDIRECT("$Z"&amp;AA570),"")</f>
        <v/>
      </c>
      <c r="AP570" t="str">
        <f t="shared" si="32"/>
        <v/>
      </c>
    </row>
    <row r="571" spans="5:42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33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34"/>
        <v>#N/A</v>
      </c>
      <c r="W571" t="str" cm="1">
        <f t="array" aca="1" ref="W571" ca="1">IFERROR(INDIRECT("$U"&amp;V571),"")</f>
        <v/>
      </c>
      <c r="Z571" cm="1">
        <f t="array" ref="Z571">INDEX($AE$2:$AS$40,MOD(ROW()-ROW($AE$2),ROWS($AE$2:$AS$40))+1,INT((ROW()-ROW($AE$2))/ROWS($AE$2:$AS$40))+1)</f>
        <v>0</v>
      </c>
      <c r="AA571" t="e">
        <f t="shared" ca="1" si="35"/>
        <v>#N/A</v>
      </c>
      <c r="AB571" t="str" cm="1">
        <f t="array" aca="1" ref="AB571" ca="1">IFERROR(INDIRECT("$Z"&amp;AA571),"")</f>
        <v/>
      </c>
      <c r="AP571" t="str">
        <f t="shared" si="32"/>
        <v/>
      </c>
    </row>
    <row r="572" spans="5:42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33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34"/>
        <v>#N/A</v>
      </c>
      <c r="W572" t="str" cm="1">
        <f t="array" aca="1" ref="W572" ca="1">IFERROR(INDIRECT("$U"&amp;V572),"")</f>
        <v/>
      </c>
      <c r="Z572" cm="1">
        <f t="array" ref="Z572">INDEX($AE$2:$AS$40,MOD(ROW()-ROW($AE$2),ROWS($AE$2:$AS$40))+1,INT((ROW()-ROW($AE$2))/ROWS($AE$2:$AS$40))+1)</f>
        <v>0</v>
      </c>
      <c r="AA572" t="e">
        <f t="shared" ca="1" si="35"/>
        <v>#N/A</v>
      </c>
      <c r="AB572" t="str" cm="1">
        <f t="array" aca="1" ref="AB572" ca="1">IFERROR(INDIRECT("$Z"&amp;AA572),"")</f>
        <v/>
      </c>
      <c r="AP572" t="str">
        <f t="shared" si="32"/>
        <v/>
      </c>
    </row>
    <row r="573" spans="5:42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33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34"/>
        <v>#N/A</v>
      </c>
      <c r="W573" t="str" cm="1">
        <f t="array" aca="1" ref="W573" ca="1">IFERROR(INDIRECT("$U"&amp;V573),"")</f>
        <v/>
      </c>
      <c r="Z573" cm="1">
        <f t="array" ref="Z573">INDEX($AE$2:$AS$40,MOD(ROW()-ROW($AE$2),ROWS($AE$2:$AS$40))+1,INT((ROW()-ROW($AE$2))/ROWS($AE$2:$AS$40))+1)</f>
        <v>0</v>
      </c>
      <c r="AA573" t="e">
        <f t="shared" ca="1" si="35"/>
        <v>#N/A</v>
      </c>
      <c r="AB573" t="str" cm="1">
        <f t="array" aca="1" ref="AB573" ca="1">IFERROR(INDIRECT("$Z"&amp;AA573),"")</f>
        <v/>
      </c>
      <c r="AP573" t="str">
        <f t="shared" si="32"/>
        <v/>
      </c>
    </row>
    <row r="574" spans="5:42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33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34"/>
        <v>#N/A</v>
      </c>
      <c r="W574" t="str" cm="1">
        <f t="array" aca="1" ref="W574" ca="1">IFERROR(INDIRECT("$U"&amp;V574),"")</f>
        <v/>
      </c>
      <c r="Z574" cm="1">
        <f t="array" ref="Z574">INDEX($AE$2:$AS$40,MOD(ROW()-ROW($AE$2),ROWS($AE$2:$AS$40))+1,INT((ROW()-ROW($AE$2))/ROWS($AE$2:$AS$40))+1)</f>
        <v>0</v>
      </c>
      <c r="AA574" t="e">
        <f t="shared" ca="1" si="35"/>
        <v>#N/A</v>
      </c>
      <c r="AB574" t="str" cm="1">
        <f t="array" aca="1" ref="AB574" ca="1">IFERROR(INDIRECT("$Z"&amp;AA574),"")</f>
        <v/>
      </c>
      <c r="AP574" t="str">
        <f t="shared" si="32"/>
        <v/>
      </c>
    </row>
    <row r="575" spans="5:42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33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34"/>
        <v>#N/A</v>
      </c>
      <c r="W575" t="str" cm="1">
        <f t="array" aca="1" ref="W575" ca="1">IFERROR(INDIRECT("$U"&amp;V575),"")</f>
        <v/>
      </c>
      <c r="Z575" cm="1">
        <f t="array" ref="Z575">INDEX($AE$2:$AS$40,MOD(ROW()-ROW($AE$2),ROWS($AE$2:$AS$40))+1,INT((ROW()-ROW($AE$2))/ROWS($AE$2:$AS$40))+1)</f>
        <v>0</v>
      </c>
      <c r="AA575" t="e">
        <f t="shared" ca="1" si="35"/>
        <v>#N/A</v>
      </c>
      <c r="AB575" t="str" cm="1">
        <f t="array" aca="1" ref="AB575" ca="1">IFERROR(INDIRECT("$Z"&amp;AA575),"")</f>
        <v/>
      </c>
      <c r="AP575" t="str">
        <f t="shared" si="32"/>
        <v/>
      </c>
    </row>
    <row r="576" spans="5:42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33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34"/>
        <v>#N/A</v>
      </c>
      <c r="W576" t="str" cm="1">
        <f t="array" aca="1" ref="W576" ca="1">IFERROR(INDIRECT("$U"&amp;V576),"")</f>
        <v/>
      </c>
      <c r="Z576" cm="1">
        <f t="array" ref="Z576">INDEX($AE$2:$AS$40,MOD(ROW()-ROW($AE$2),ROWS($AE$2:$AS$40))+1,INT((ROW()-ROW($AE$2))/ROWS($AE$2:$AS$40))+1)</f>
        <v>0</v>
      </c>
      <c r="AA576" t="e">
        <f t="shared" ca="1" si="35"/>
        <v>#N/A</v>
      </c>
      <c r="AB576" t="str" cm="1">
        <f t="array" aca="1" ref="AB576" ca="1">IFERROR(INDIRECT("$Z"&amp;AA576),"")</f>
        <v/>
      </c>
      <c r="AP576" t="str">
        <f t="shared" si="32"/>
        <v/>
      </c>
    </row>
    <row r="577" spans="5:42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33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34"/>
        <v>#N/A</v>
      </c>
      <c r="W577" t="str" cm="1">
        <f t="array" aca="1" ref="W577" ca="1">IFERROR(INDIRECT("$U"&amp;V577),"")</f>
        <v/>
      </c>
      <c r="Z577" cm="1">
        <f t="array" ref="Z577">INDEX($AE$2:$AS$40,MOD(ROW()-ROW($AE$2),ROWS($AE$2:$AS$40))+1,INT((ROW()-ROW($AE$2))/ROWS($AE$2:$AS$40))+1)</f>
        <v>0</v>
      </c>
      <c r="AA577" t="e">
        <f t="shared" ca="1" si="35"/>
        <v>#N/A</v>
      </c>
      <c r="AB577" t="str" cm="1">
        <f t="array" aca="1" ref="AB577" ca="1">IFERROR(INDIRECT("$Z"&amp;AA577),"")</f>
        <v/>
      </c>
      <c r="AP577" t="str">
        <f t="shared" si="32"/>
        <v/>
      </c>
    </row>
    <row r="578" spans="5:42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33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34"/>
        <v>#N/A</v>
      </c>
      <c r="W578" t="str" cm="1">
        <f t="array" aca="1" ref="W578" ca="1">IFERROR(INDIRECT("$U"&amp;V578),"")</f>
        <v/>
      </c>
      <c r="Z578" cm="1">
        <f t="array" ref="Z578">INDEX($AE$2:$AS$40,MOD(ROW()-ROW($AE$2),ROWS($AE$2:$AS$40))+1,INT((ROW()-ROW($AE$2))/ROWS($AE$2:$AS$40))+1)</f>
        <v>0</v>
      </c>
      <c r="AA578" t="e">
        <f t="shared" ca="1" si="35"/>
        <v>#N/A</v>
      </c>
      <c r="AB578" t="str" cm="1">
        <f t="array" aca="1" ref="AB578" ca="1">IFERROR(INDIRECT("$Z"&amp;AA578),"")</f>
        <v/>
      </c>
      <c r="AP578" t="str">
        <f t="shared" si="32"/>
        <v/>
      </c>
    </row>
    <row r="579" spans="5:42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33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34"/>
        <v>#N/A</v>
      </c>
      <c r="W579" t="str" cm="1">
        <f t="array" aca="1" ref="W579" ca="1">IFERROR(INDIRECT("$U"&amp;V579),"")</f>
        <v/>
      </c>
      <c r="Z579" cm="1">
        <f t="array" ref="Z579">INDEX($AE$2:$AS$40,MOD(ROW()-ROW($AE$2),ROWS($AE$2:$AS$40))+1,INT((ROW()-ROW($AE$2))/ROWS($AE$2:$AS$40))+1)</f>
        <v>0</v>
      </c>
      <c r="AA579" t="e">
        <f t="shared" ca="1" si="35"/>
        <v>#N/A</v>
      </c>
      <c r="AB579" t="str" cm="1">
        <f t="array" aca="1" ref="AB579" ca="1">IFERROR(INDIRECT("$Z"&amp;AA579),"")</f>
        <v/>
      </c>
      <c r="AP579" t="str">
        <f t="shared" ref="AP579:AP642" si="36">IF(AI579&lt;&gt;"", _xlfn.CONCAT(AI579, " (airside)"), "")</f>
        <v/>
      </c>
    </row>
    <row r="580" spans="5:42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3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38">MATCH("*",INDIRECT(ADDRESS(V579+1,21,1)&amp;":$U$1000"),0)+V579</f>
        <v>#N/A</v>
      </c>
      <c r="W580" t="str" cm="1">
        <f t="array" aca="1" ref="W580" ca="1">IFERROR(INDIRECT("$U"&amp;V580),"")</f>
        <v/>
      </c>
      <c r="Z580" cm="1">
        <f t="array" ref="Z580">INDEX($AE$2:$AS$40,MOD(ROW()-ROW($AE$2),ROWS($AE$2:$AS$40))+1,INT((ROW()-ROW($AE$2))/ROWS($AE$2:$AS$40))+1)</f>
        <v>0</v>
      </c>
      <c r="AA580" t="e">
        <f t="shared" ref="AA580:AA643" ca="1" si="3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36"/>
        <v/>
      </c>
    </row>
    <row r="581" spans="5:42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3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38"/>
        <v>#N/A</v>
      </c>
      <c r="W581" t="str" cm="1">
        <f t="array" aca="1" ref="W581" ca="1">IFERROR(INDIRECT("$U"&amp;V581),"")</f>
        <v/>
      </c>
      <c r="Z581" cm="1">
        <f t="array" ref="Z581">INDEX($AE$2:$AS$40,MOD(ROW()-ROW($AE$2),ROWS($AE$2:$AS$40))+1,INT((ROW()-ROW($AE$2))/ROWS($AE$2:$AS$40))+1)</f>
        <v>0</v>
      </c>
      <c r="AA581" t="e">
        <f t="shared" ca="1" si="39"/>
        <v>#N/A</v>
      </c>
      <c r="AB581" t="str" cm="1">
        <f t="array" aca="1" ref="AB581" ca="1">IFERROR(INDIRECT("$Z"&amp;AA581),"")</f>
        <v/>
      </c>
      <c r="AP581" t="str">
        <f t="shared" si="36"/>
        <v/>
      </c>
    </row>
    <row r="582" spans="5:42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3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38"/>
        <v>#N/A</v>
      </c>
      <c r="W582" t="str" cm="1">
        <f t="array" aca="1" ref="W582" ca="1">IFERROR(INDIRECT("$U"&amp;V582),"")</f>
        <v/>
      </c>
      <c r="Z582" cm="1">
        <f t="array" ref="Z582">INDEX($AE$2:$AS$40,MOD(ROW()-ROW($AE$2),ROWS($AE$2:$AS$40))+1,INT((ROW()-ROW($AE$2))/ROWS($AE$2:$AS$40))+1)</f>
        <v>0</v>
      </c>
      <c r="AA582" t="e">
        <f t="shared" ca="1" si="39"/>
        <v>#N/A</v>
      </c>
      <c r="AB582" t="str" cm="1">
        <f t="array" aca="1" ref="AB582" ca="1">IFERROR(INDIRECT("$Z"&amp;AA582),"")</f>
        <v/>
      </c>
      <c r="AP582" t="str">
        <f t="shared" si="36"/>
        <v/>
      </c>
    </row>
    <row r="583" spans="5:42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3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38"/>
        <v>#N/A</v>
      </c>
      <c r="W583" t="str" cm="1">
        <f t="array" aca="1" ref="W583" ca="1">IFERROR(INDIRECT("$U"&amp;V583),"")</f>
        <v/>
      </c>
      <c r="Z583" cm="1">
        <f t="array" ref="Z583">INDEX($AE$2:$AS$40,MOD(ROW()-ROW($AE$2),ROWS($AE$2:$AS$40))+1,INT((ROW()-ROW($AE$2))/ROWS($AE$2:$AS$40))+1)</f>
        <v>0</v>
      </c>
      <c r="AA583" t="e">
        <f t="shared" ca="1" si="39"/>
        <v>#N/A</v>
      </c>
      <c r="AB583" t="str" cm="1">
        <f t="array" aca="1" ref="AB583" ca="1">IFERROR(INDIRECT("$Z"&amp;AA583),"")</f>
        <v/>
      </c>
      <c r="AP583" t="str">
        <f t="shared" si="36"/>
        <v/>
      </c>
    </row>
    <row r="584" spans="5:42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3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38"/>
        <v>#N/A</v>
      </c>
      <c r="W584" t="str" cm="1">
        <f t="array" aca="1" ref="W584" ca="1">IFERROR(INDIRECT("$U"&amp;V584),"")</f>
        <v/>
      </c>
      <c r="Z584" cm="1">
        <f t="array" ref="Z584">INDEX($AE$2:$AS$40,MOD(ROW()-ROW($AE$2),ROWS($AE$2:$AS$40))+1,INT((ROW()-ROW($AE$2))/ROWS($AE$2:$AS$40))+1)</f>
        <v>0</v>
      </c>
      <c r="AA584" t="e">
        <f t="shared" ca="1" si="39"/>
        <v>#N/A</v>
      </c>
      <c r="AB584" t="str" cm="1">
        <f t="array" aca="1" ref="AB584" ca="1">IFERROR(INDIRECT("$Z"&amp;AA584),"")</f>
        <v/>
      </c>
      <c r="AP584" t="str">
        <f t="shared" si="36"/>
        <v/>
      </c>
    </row>
    <row r="585" spans="5:42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3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38"/>
        <v>#N/A</v>
      </c>
      <c r="W585" t="str" cm="1">
        <f t="array" aca="1" ref="W585" ca="1">IFERROR(INDIRECT("$U"&amp;V585),"")</f>
        <v/>
      </c>
      <c r="Z585" cm="1">
        <f t="array" ref="Z585">INDEX($AE$2:$AS$40,MOD(ROW()-ROW($AE$2),ROWS($AE$2:$AS$40))+1,INT((ROW()-ROW($AE$2))/ROWS($AE$2:$AS$40))+1)</f>
        <v>0</v>
      </c>
      <c r="AA585" t="e">
        <f t="shared" ca="1" si="39"/>
        <v>#N/A</v>
      </c>
      <c r="AB585" t="str" cm="1">
        <f t="array" aca="1" ref="AB585" ca="1">IFERROR(INDIRECT("$Z"&amp;AA585),"")</f>
        <v/>
      </c>
      <c r="AP585" t="str">
        <f t="shared" si="36"/>
        <v/>
      </c>
    </row>
    <row r="586" spans="5:42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3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38"/>
        <v>#N/A</v>
      </c>
      <c r="W586" t="str" cm="1">
        <f t="array" aca="1" ref="W586" ca="1">IFERROR(INDIRECT("$U"&amp;V586),"")</f>
        <v/>
      </c>
      <c r="Z586" cm="1">
        <f t="array" ref="Z586">INDEX($AE$2:$AS$40,MOD(ROW()-ROW($AE$2),ROWS($AE$2:$AS$40))+1,INT((ROW()-ROW($AE$2))/ROWS($AE$2:$AS$40))+1)</f>
        <v>0</v>
      </c>
      <c r="AA586" t="e">
        <f t="shared" ca="1" si="39"/>
        <v>#N/A</v>
      </c>
      <c r="AB586" t="str" cm="1">
        <f t="array" aca="1" ref="AB586" ca="1">IFERROR(INDIRECT("$Z"&amp;AA586),"")</f>
        <v/>
      </c>
      <c r="AP586" t="str">
        <f t="shared" si="36"/>
        <v/>
      </c>
    </row>
    <row r="587" spans="5:42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3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3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39"/>
        <v>#N/A</v>
      </c>
      <c r="AB587" t="str" cm="1">
        <f t="array" aca="1" ref="AB587" ca="1">IFERROR(INDIRECT("$Z"&amp;AA587),"")</f>
        <v/>
      </c>
      <c r="AP587" t="str">
        <f t="shared" si="36"/>
        <v/>
      </c>
    </row>
    <row r="588" spans="5:42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3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3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39"/>
        <v>#N/A</v>
      </c>
      <c r="AB588" t="str" cm="1">
        <f t="array" aca="1" ref="AB588" ca="1">IFERROR(INDIRECT("$Z"&amp;AA588),"")</f>
        <v/>
      </c>
      <c r="AP588" t="str">
        <f t="shared" si="36"/>
        <v/>
      </c>
    </row>
    <row r="589" spans="5:42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3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3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39"/>
        <v>#N/A</v>
      </c>
      <c r="AB589" t="str" cm="1">
        <f t="array" aca="1" ref="AB589" ca="1">IFERROR(INDIRECT("$Z"&amp;AA589),"")</f>
        <v/>
      </c>
      <c r="AP589" t="str">
        <f t="shared" si="36"/>
        <v/>
      </c>
    </row>
    <row r="590" spans="5:42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3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3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39"/>
        <v>#N/A</v>
      </c>
      <c r="AB590" t="str" cm="1">
        <f t="array" aca="1" ref="AB590" ca="1">IFERROR(INDIRECT("$Z"&amp;AA590),"")</f>
        <v/>
      </c>
      <c r="AP590" t="str">
        <f t="shared" si="36"/>
        <v/>
      </c>
    </row>
    <row r="591" spans="5:42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3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3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39"/>
        <v>#N/A</v>
      </c>
      <c r="AB591" t="str" cm="1">
        <f t="array" aca="1" ref="AB591" ca="1">IFERROR(INDIRECT("$Z"&amp;AA591),"")</f>
        <v/>
      </c>
      <c r="AP591" t="str">
        <f t="shared" si="36"/>
        <v/>
      </c>
    </row>
    <row r="592" spans="5:42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3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3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39"/>
        <v>#N/A</v>
      </c>
      <c r="AB592" t="str" cm="1">
        <f t="array" aca="1" ref="AB592" ca="1">IFERROR(INDIRECT("$Z"&amp;AA592),"")</f>
        <v/>
      </c>
      <c r="AP592" t="str">
        <f t="shared" si="36"/>
        <v/>
      </c>
    </row>
    <row r="593" spans="5:42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3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3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39"/>
        <v>#N/A</v>
      </c>
      <c r="AB593" t="str" cm="1">
        <f t="array" aca="1" ref="AB593" ca="1">IFERROR(INDIRECT("$Z"&amp;AA593),"")</f>
        <v/>
      </c>
      <c r="AP593" t="str">
        <f t="shared" si="36"/>
        <v/>
      </c>
    </row>
    <row r="594" spans="5:42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3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3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39"/>
        <v>#N/A</v>
      </c>
      <c r="AB594" t="str" cm="1">
        <f t="array" aca="1" ref="AB594" ca="1">IFERROR(INDIRECT("$Z"&amp;AA594),"")</f>
        <v/>
      </c>
      <c r="AP594" t="str">
        <f t="shared" si="36"/>
        <v/>
      </c>
    </row>
    <row r="595" spans="5:42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3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3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39"/>
        <v>#N/A</v>
      </c>
      <c r="AB595" t="str" cm="1">
        <f t="array" aca="1" ref="AB595" ca="1">IFERROR(INDIRECT("$Z"&amp;AA595),"")</f>
        <v/>
      </c>
      <c r="AP595" t="str">
        <f t="shared" si="36"/>
        <v/>
      </c>
    </row>
    <row r="596" spans="5:42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3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3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39"/>
        <v>#N/A</v>
      </c>
      <c r="AB596" t="str" cm="1">
        <f t="array" aca="1" ref="AB596" ca="1">IFERROR(INDIRECT("$Z"&amp;AA596),"")</f>
        <v/>
      </c>
      <c r="AP596" t="str">
        <f t="shared" si="36"/>
        <v/>
      </c>
    </row>
    <row r="597" spans="5:42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3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3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39"/>
        <v>#N/A</v>
      </c>
      <c r="AB597" t="str" cm="1">
        <f t="array" aca="1" ref="AB597" ca="1">IFERROR(INDIRECT("$Z"&amp;AA597),"")</f>
        <v/>
      </c>
      <c r="AP597" t="str">
        <f t="shared" si="36"/>
        <v/>
      </c>
    </row>
    <row r="598" spans="5:42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3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3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39"/>
        <v>#N/A</v>
      </c>
      <c r="AB598" t="str" cm="1">
        <f t="array" aca="1" ref="AB598" ca="1">IFERROR(INDIRECT("$Z"&amp;AA598),"")</f>
        <v/>
      </c>
      <c r="AP598" t="str">
        <f t="shared" si="36"/>
        <v/>
      </c>
    </row>
    <row r="599" spans="5:42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3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3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39"/>
        <v>#N/A</v>
      </c>
      <c r="AB599" t="str" cm="1">
        <f t="array" aca="1" ref="AB599" ca="1">IFERROR(INDIRECT("$Z"&amp;AA599),"")</f>
        <v/>
      </c>
      <c r="AP599" t="str">
        <f t="shared" si="36"/>
        <v/>
      </c>
    </row>
    <row r="600" spans="5:42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3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3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39"/>
        <v>#N/A</v>
      </c>
      <c r="AB600" t="str" cm="1">
        <f t="array" aca="1" ref="AB600" ca="1">IFERROR(INDIRECT("$Z"&amp;AA600),"")</f>
        <v/>
      </c>
      <c r="AP600" t="str">
        <f t="shared" si="36"/>
        <v/>
      </c>
    </row>
    <row r="601" spans="5:42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3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3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39"/>
        <v>#N/A</v>
      </c>
      <c r="AB601" t="str" cm="1">
        <f t="array" aca="1" ref="AB601" ca="1">IFERROR(INDIRECT("$Z"&amp;AA601),"")</f>
        <v/>
      </c>
      <c r="AP601" t="str">
        <f t="shared" si="36"/>
        <v/>
      </c>
    </row>
    <row r="602" spans="5:42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3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3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39"/>
        <v>#N/A</v>
      </c>
      <c r="AB602" t="str" cm="1">
        <f t="array" aca="1" ref="AB602" ca="1">IFERROR(INDIRECT("$Z"&amp;AA602),"")</f>
        <v/>
      </c>
      <c r="AP602" t="str">
        <f t="shared" si="36"/>
        <v/>
      </c>
    </row>
    <row r="603" spans="5:42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3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3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39"/>
        <v>#N/A</v>
      </c>
      <c r="AB603" t="str" cm="1">
        <f t="array" aca="1" ref="AB603" ca="1">IFERROR(INDIRECT("$Z"&amp;AA603),"")</f>
        <v/>
      </c>
      <c r="AP603" t="str">
        <f t="shared" si="36"/>
        <v/>
      </c>
    </row>
    <row r="604" spans="5:42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3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3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39"/>
        <v>#N/A</v>
      </c>
      <c r="AB604" t="str" cm="1">
        <f t="array" aca="1" ref="AB604" ca="1">IFERROR(INDIRECT("$Z"&amp;AA604),"")</f>
        <v/>
      </c>
      <c r="AP604" t="str">
        <f t="shared" si="36"/>
        <v/>
      </c>
    </row>
    <row r="605" spans="5:42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3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3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39"/>
        <v>#N/A</v>
      </c>
      <c r="AB605" t="str" cm="1">
        <f t="array" aca="1" ref="AB605" ca="1">IFERROR(INDIRECT("$Z"&amp;AA605),"")</f>
        <v/>
      </c>
      <c r="AP605" t="str">
        <f t="shared" si="36"/>
        <v/>
      </c>
    </row>
    <row r="606" spans="5:42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3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3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39"/>
        <v>#N/A</v>
      </c>
      <c r="AB606" t="str" cm="1">
        <f t="array" aca="1" ref="AB606" ca="1">IFERROR(INDIRECT("$Z"&amp;AA606),"")</f>
        <v/>
      </c>
      <c r="AP606" t="str">
        <f t="shared" si="36"/>
        <v/>
      </c>
    </row>
    <row r="607" spans="5:42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3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3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39"/>
        <v>#N/A</v>
      </c>
      <c r="AB607" t="str" cm="1">
        <f t="array" aca="1" ref="AB607" ca="1">IFERROR(INDIRECT("$Z"&amp;AA607),"")</f>
        <v/>
      </c>
      <c r="AP607" t="str">
        <f t="shared" si="36"/>
        <v/>
      </c>
    </row>
    <row r="608" spans="5:42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3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3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39"/>
        <v>#N/A</v>
      </c>
      <c r="AB608" t="str" cm="1">
        <f t="array" aca="1" ref="AB608" ca="1">IFERROR(INDIRECT("$Z"&amp;AA608),"")</f>
        <v/>
      </c>
      <c r="AP608" t="str">
        <f t="shared" si="36"/>
        <v/>
      </c>
    </row>
    <row r="609" spans="5:42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3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3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39"/>
        <v>#N/A</v>
      </c>
      <c r="AB609" t="str" cm="1">
        <f t="array" aca="1" ref="AB609" ca="1">IFERROR(INDIRECT("$Z"&amp;AA609),"")</f>
        <v/>
      </c>
      <c r="AP609" t="str">
        <f t="shared" si="36"/>
        <v/>
      </c>
    </row>
    <row r="610" spans="5:42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3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3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39"/>
        <v>#N/A</v>
      </c>
      <c r="AB610" t="str" cm="1">
        <f t="array" aca="1" ref="AB610" ca="1">IFERROR(INDIRECT("$Z"&amp;AA610),"")</f>
        <v/>
      </c>
      <c r="AP610" t="str">
        <f t="shared" si="36"/>
        <v/>
      </c>
    </row>
    <row r="611" spans="5:42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3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3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39"/>
        <v>#N/A</v>
      </c>
      <c r="AB611" t="str" cm="1">
        <f t="array" aca="1" ref="AB611" ca="1">IFERROR(INDIRECT("$Z"&amp;AA611),"")</f>
        <v/>
      </c>
      <c r="AP611" t="str">
        <f t="shared" si="36"/>
        <v/>
      </c>
    </row>
    <row r="612" spans="5:42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3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3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39"/>
        <v>#N/A</v>
      </c>
      <c r="AB612" t="str" cm="1">
        <f t="array" aca="1" ref="AB612" ca="1">IFERROR(INDIRECT("$Z"&amp;AA612),"")</f>
        <v/>
      </c>
      <c r="AP612" t="str">
        <f t="shared" si="36"/>
        <v/>
      </c>
    </row>
    <row r="613" spans="5:42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3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3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39"/>
        <v>#N/A</v>
      </c>
      <c r="AB613" t="str" cm="1">
        <f t="array" aca="1" ref="AB613" ca="1">IFERROR(INDIRECT("$Z"&amp;AA613),"")</f>
        <v/>
      </c>
      <c r="AP613" t="str">
        <f t="shared" si="36"/>
        <v/>
      </c>
    </row>
    <row r="614" spans="5:42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3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3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39"/>
        <v>#N/A</v>
      </c>
      <c r="AB614" t="str" cm="1">
        <f t="array" aca="1" ref="AB614" ca="1">IFERROR(INDIRECT("$Z"&amp;AA614),"")</f>
        <v/>
      </c>
      <c r="AP614" t="str">
        <f t="shared" si="36"/>
        <v/>
      </c>
    </row>
    <row r="615" spans="5:42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3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3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39"/>
        <v>#N/A</v>
      </c>
      <c r="AB615" t="str" cm="1">
        <f t="array" aca="1" ref="AB615" ca="1">IFERROR(INDIRECT("$Z"&amp;AA615),"")</f>
        <v/>
      </c>
      <c r="AP615" t="str">
        <f t="shared" si="36"/>
        <v/>
      </c>
    </row>
    <row r="616" spans="5:42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3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3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39"/>
        <v>#N/A</v>
      </c>
      <c r="AB616" t="str" cm="1">
        <f t="array" aca="1" ref="AB616" ca="1">IFERROR(INDIRECT("$Z"&amp;AA616),"")</f>
        <v/>
      </c>
      <c r="AP616" t="str">
        <f t="shared" si="36"/>
        <v/>
      </c>
    </row>
    <row r="617" spans="5:42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3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3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39"/>
        <v>#N/A</v>
      </c>
      <c r="AB617" t="str" cm="1">
        <f t="array" aca="1" ref="AB617" ca="1">IFERROR(INDIRECT("$Z"&amp;AA617),"")</f>
        <v/>
      </c>
      <c r="AP617" t="str">
        <f t="shared" si="36"/>
        <v/>
      </c>
    </row>
    <row r="618" spans="5:42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3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3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39"/>
        <v>#N/A</v>
      </c>
      <c r="AB618" t="str" cm="1">
        <f t="array" aca="1" ref="AB618" ca="1">IFERROR(INDIRECT("$Z"&amp;AA618),"")</f>
        <v/>
      </c>
      <c r="AP618" t="str">
        <f t="shared" si="36"/>
        <v/>
      </c>
    </row>
    <row r="619" spans="5:42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3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3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39"/>
        <v>#N/A</v>
      </c>
      <c r="AB619" t="str" cm="1">
        <f t="array" aca="1" ref="AB619" ca="1">IFERROR(INDIRECT("$Z"&amp;AA619),"")</f>
        <v/>
      </c>
      <c r="AP619" t="str">
        <f t="shared" si="36"/>
        <v/>
      </c>
    </row>
    <row r="620" spans="5:42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3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3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39"/>
        <v>#N/A</v>
      </c>
      <c r="AB620" t="str" cm="1">
        <f t="array" aca="1" ref="AB620" ca="1">IFERROR(INDIRECT("$Z"&amp;AA620),"")</f>
        <v/>
      </c>
      <c r="AP620" t="str">
        <f t="shared" si="36"/>
        <v/>
      </c>
    </row>
    <row r="621" spans="5:42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3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3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39"/>
        <v>#N/A</v>
      </c>
      <c r="AB621" t="str" cm="1">
        <f t="array" aca="1" ref="AB621" ca="1">IFERROR(INDIRECT("$Z"&amp;AA621),"")</f>
        <v/>
      </c>
      <c r="AP621" t="str">
        <f t="shared" si="36"/>
        <v/>
      </c>
    </row>
    <row r="622" spans="5:42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3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3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39"/>
        <v>#N/A</v>
      </c>
      <c r="AB622" t="str" cm="1">
        <f t="array" aca="1" ref="AB622" ca="1">IFERROR(INDIRECT("$Z"&amp;AA622),"")</f>
        <v/>
      </c>
      <c r="AP622" t="str">
        <f t="shared" si="36"/>
        <v/>
      </c>
    </row>
    <row r="623" spans="5:42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3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3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39"/>
        <v>#N/A</v>
      </c>
      <c r="AB623" t="str" cm="1">
        <f t="array" aca="1" ref="AB623" ca="1">IFERROR(INDIRECT("$Z"&amp;AA623),"")</f>
        <v/>
      </c>
      <c r="AP623" t="str">
        <f t="shared" si="36"/>
        <v/>
      </c>
    </row>
    <row r="624" spans="5:42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3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3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39"/>
        <v>#N/A</v>
      </c>
      <c r="AB624" t="str" cm="1">
        <f t="array" aca="1" ref="AB624" ca="1">IFERROR(INDIRECT("$Z"&amp;AA624),"")</f>
        <v/>
      </c>
      <c r="AP624" t="str">
        <f t="shared" si="36"/>
        <v/>
      </c>
    </row>
    <row r="625" spans="5:42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3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3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39"/>
        <v>#N/A</v>
      </c>
      <c r="AB625" t="str" cm="1">
        <f t="array" aca="1" ref="AB625" ca="1">IFERROR(INDIRECT("$Z"&amp;AA625),"")</f>
        <v/>
      </c>
      <c r="AP625" t="str">
        <f t="shared" si="36"/>
        <v/>
      </c>
    </row>
    <row r="626" spans="5:42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3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3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39"/>
        <v>#N/A</v>
      </c>
      <c r="AB626" t="str" cm="1">
        <f t="array" aca="1" ref="AB626" ca="1">IFERROR(INDIRECT("$Z"&amp;AA626),"")</f>
        <v/>
      </c>
      <c r="AP626" t="str">
        <f t="shared" si="36"/>
        <v/>
      </c>
    </row>
    <row r="627" spans="5:42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3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3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39"/>
        <v>#N/A</v>
      </c>
      <c r="AB627" t="str" cm="1">
        <f t="array" aca="1" ref="AB627" ca="1">IFERROR(INDIRECT("$Z"&amp;AA627),"")</f>
        <v/>
      </c>
      <c r="AP627" t="str">
        <f t="shared" si="36"/>
        <v/>
      </c>
    </row>
    <row r="628" spans="5:42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3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3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39"/>
        <v>#N/A</v>
      </c>
      <c r="AB628" t="str" cm="1">
        <f t="array" aca="1" ref="AB628" ca="1">IFERROR(INDIRECT("$Z"&amp;AA628),"")</f>
        <v/>
      </c>
      <c r="AP628" t="str">
        <f t="shared" si="36"/>
        <v/>
      </c>
    </row>
    <row r="629" spans="5:42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3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3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39"/>
        <v>#N/A</v>
      </c>
      <c r="AB629" t="str" cm="1">
        <f t="array" aca="1" ref="AB629" ca="1">IFERROR(INDIRECT("$Z"&amp;AA629),"")</f>
        <v/>
      </c>
      <c r="AP629" t="str">
        <f t="shared" si="36"/>
        <v/>
      </c>
    </row>
    <row r="630" spans="5:42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3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3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39"/>
        <v>#N/A</v>
      </c>
      <c r="AB630" t="str" cm="1">
        <f t="array" aca="1" ref="AB630" ca="1">IFERROR(INDIRECT("$Z"&amp;AA630),"")</f>
        <v/>
      </c>
      <c r="AP630" t="str">
        <f t="shared" si="36"/>
        <v/>
      </c>
    </row>
    <row r="631" spans="5:42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3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3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39"/>
        <v>#N/A</v>
      </c>
      <c r="AB631" t="str" cm="1">
        <f t="array" aca="1" ref="AB631" ca="1">IFERROR(INDIRECT("$Z"&amp;AA631),"")</f>
        <v/>
      </c>
      <c r="AP631" t="str">
        <f t="shared" si="36"/>
        <v/>
      </c>
    </row>
    <row r="632" spans="5:42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3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3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39"/>
        <v>#N/A</v>
      </c>
      <c r="AB632" t="str" cm="1">
        <f t="array" aca="1" ref="AB632" ca="1">IFERROR(INDIRECT("$Z"&amp;AA632),"")</f>
        <v/>
      </c>
      <c r="AP632" t="str">
        <f t="shared" si="36"/>
        <v/>
      </c>
    </row>
    <row r="633" spans="5:42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3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3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39"/>
        <v>#N/A</v>
      </c>
      <c r="AB633" t="str" cm="1">
        <f t="array" aca="1" ref="AB633" ca="1">IFERROR(INDIRECT("$Z"&amp;AA633),"")</f>
        <v/>
      </c>
      <c r="AP633" t="str">
        <f t="shared" si="36"/>
        <v/>
      </c>
    </row>
    <row r="634" spans="5:42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3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3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39"/>
        <v>#N/A</v>
      </c>
      <c r="AB634" t="str" cm="1">
        <f t="array" aca="1" ref="AB634" ca="1">IFERROR(INDIRECT("$Z"&amp;AA634),"")</f>
        <v/>
      </c>
      <c r="AP634" t="str">
        <f t="shared" si="36"/>
        <v/>
      </c>
    </row>
    <row r="635" spans="5:42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3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3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39"/>
        <v>#N/A</v>
      </c>
      <c r="AB635" t="str" cm="1">
        <f t="array" aca="1" ref="AB635" ca="1">IFERROR(INDIRECT("$Z"&amp;AA635),"")</f>
        <v/>
      </c>
      <c r="AP635" t="str">
        <f t="shared" si="36"/>
        <v/>
      </c>
    </row>
    <row r="636" spans="5:42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3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3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39"/>
        <v>#N/A</v>
      </c>
      <c r="AB636" t="str" cm="1">
        <f t="array" aca="1" ref="AB636" ca="1">IFERROR(INDIRECT("$Z"&amp;AA636),"")</f>
        <v/>
      </c>
      <c r="AP636" t="str">
        <f t="shared" si="36"/>
        <v/>
      </c>
    </row>
    <row r="637" spans="5:42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3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3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39"/>
        <v>#N/A</v>
      </c>
      <c r="AB637" t="str" cm="1">
        <f t="array" aca="1" ref="AB637" ca="1">IFERROR(INDIRECT("$Z"&amp;AA637),"")</f>
        <v/>
      </c>
      <c r="AP637" t="str">
        <f t="shared" si="36"/>
        <v/>
      </c>
    </row>
    <row r="638" spans="5:42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3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3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39"/>
        <v>#N/A</v>
      </c>
      <c r="AB638" t="str" cm="1">
        <f t="array" aca="1" ref="AB638" ca="1">IFERROR(INDIRECT("$Z"&amp;AA638),"")</f>
        <v/>
      </c>
      <c r="AP638" t="str">
        <f t="shared" si="36"/>
        <v/>
      </c>
    </row>
    <row r="639" spans="5:42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3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3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39"/>
        <v>#N/A</v>
      </c>
      <c r="AB639" t="str" cm="1">
        <f t="array" aca="1" ref="AB639" ca="1">IFERROR(INDIRECT("$Z"&amp;AA639),"")</f>
        <v/>
      </c>
      <c r="AP639" t="str">
        <f t="shared" si="36"/>
        <v/>
      </c>
    </row>
    <row r="640" spans="5:42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3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3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39"/>
        <v>#N/A</v>
      </c>
      <c r="AB640" t="str" cm="1">
        <f t="array" aca="1" ref="AB640" ca="1">IFERROR(INDIRECT("$Z"&amp;AA640),"")</f>
        <v/>
      </c>
      <c r="AP640" t="str">
        <f t="shared" si="36"/>
        <v/>
      </c>
    </row>
    <row r="641" spans="5:42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3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3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39"/>
        <v>#N/A</v>
      </c>
      <c r="AB641" t="str" cm="1">
        <f t="array" aca="1" ref="AB641" ca="1">IFERROR(INDIRECT("$Z"&amp;AA641),"")</f>
        <v/>
      </c>
      <c r="AP641" t="str">
        <f t="shared" si="36"/>
        <v/>
      </c>
    </row>
    <row r="642" spans="5:42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3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3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39"/>
        <v>#N/A</v>
      </c>
      <c r="AB642" t="str" cm="1">
        <f t="array" aca="1" ref="AB642" ca="1">IFERROR(INDIRECT("$Z"&amp;AA642),"")</f>
        <v/>
      </c>
      <c r="AP642" t="str">
        <f t="shared" si="36"/>
        <v/>
      </c>
    </row>
    <row r="643" spans="5:42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3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3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39"/>
        <v>#N/A</v>
      </c>
      <c r="AB643" t="str" cm="1">
        <f t="array" aca="1" ref="AB643" ca="1">IFERROR(INDIRECT("$Z"&amp;AA643),"")</f>
        <v/>
      </c>
      <c r="AP643" t="str">
        <f t="shared" ref="AP643:AP706" si="40">IF(AI643&lt;&gt;"", _xlfn.CONCAT(AI643, " (airside)"), "")</f>
        <v/>
      </c>
    </row>
    <row r="644" spans="5:42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41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42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43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40"/>
        <v/>
      </c>
    </row>
    <row r="645" spans="5:42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41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42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43"/>
        <v>#N/A</v>
      </c>
      <c r="AB645" t="str" cm="1">
        <f t="array" aca="1" ref="AB645" ca="1">IFERROR(INDIRECT("$Z"&amp;AA645),"")</f>
        <v/>
      </c>
      <c r="AP645" t="str">
        <f t="shared" si="40"/>
        <v/>
      </c>
    </row>
    <row r="646" spans="5:42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41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42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43"/>
        <v>#N/A</v>
      </c>
      <c r="AB646" t="str" cm="1">
        <f t="array" aca="1" ref="AB646" ca="1">IFERROR(INDIRECT("$Z"&amp;AA646),"")</f>
        <v/>
      </c>
      <c r="AP646" t="str">
        <f t="shared" si="40"/>
        <v/>
      </c>
    </row>
    <row r="647" spans="5:42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41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42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43"/>
        <v>#N/A</v>
      </c>
      <c r="AB647" t="str" cm="1">
        <f t="array" aca="1" ref="AB647" ca="1">IFERROR(INDIRECT("$Z"&amp;AA647),"")</f>
        <v/>
      </c>
      <c r="AP647" t="str">
        <f t="shared" si="40"/>
        <v/>
      </c>
    </row>
    <row r="648" spans="5:42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41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42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43"/>
        <v>#N/A</v>
      </c>
      <c r="AB648" t="str" cm="1">
        <f t="array" aca="1" ref="AB648" ca="1">IFERROR(INDIRECT("$Z"&amp;AA648),"")</f>
        <v/>
      </c>
      <c r="AP648" t="str">
        <f t="shared" si="40"/>
        <v/>
      </c>
    </row>
    <row r="649" spans="5:42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41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42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43"/>
        <v>#N/A</v>
      </c>
      <c r="AB649" t="str" cm="1">
        <f t="array" aca="1" ref="AB649" ca="1">IFERROR(INDIRECT("$Z"&amp;AA649),"")</f>
        <v/>
      </c>
      <c r="AP649" t="str">
        <f t="shared" si="40"/>
        <v/>
      </c>
    </row>
    <row r="650" spans="5:42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41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42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43"/>
        <v>#N/A</v>
      </c>
      <c r="AB650" t="str" cm="1">
        <f t="array" aca="1" ref="AB650" ca="1">IFERROR(INDIRECT("$Z"&amp;AA650),"")</f>
        <v/>
      </c>
      <c r="AP650" t="str">
        <f t="shared" si="40"/>
        <v/>
      </c>
    </row>
    <row r="651" spans="5:42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41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42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43"/>
        <v>#N/A</v>
      </c>
      <c r="AB651" t="str" cm="1">
        <f t="array" aca="1" ref="AB651" ca="1">IFERROR(INDIRECT("$Z"&amp;AA651),"")</f>
        <v/>
      </c>
      <c r="AP651" t="str">
        <f t="shared" si="40"/>
        <v/>
      </c>
    </row>
    <row r="652" spans="5:42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41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42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43"/>
        <v>#N/A</v>
      </c>
      <c r="AB652" t="str" cm="1">
        <f t="array" aca="1" ref="AB652" ca="1">IFERROR(INDIRECT("$Z"&amp;AA652),"")</f>
        <v/>
      </c>
      <c r="AP652" t="str">
        <f t="shared" si="40"/>
        <v/>
      </c>
    </row>
    <row r="653" spans="5:42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41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42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43"/>
        <v>#N/A</v>
      </c>
      <c r="AB653" t="str" cm="1">
        <f t="array" aca="1" ref="AB653" ca="1">IFERROR(INDIRECT("$Z"&amp;AA653),"")</f>
        <v/>
      </c>
      <c r="AP653" t="str">
        <f t="shared" si="40"/>
        <v/>
      </c>
    </row>
    <row r="654" spans="5:42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41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42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43"/>
        <v>#N/A</v>
      </c>
      <c r="AB654" t="str" cm="1">
        <f t="array" aca="1" ref="AB654" ca="1">IFERROR(INDIRECT("$Z"&amp;AA654),"")</f>
        <v/>
      </c>
      <c r="AP654" t="str">
        <f t="shared" si="40"/>
        <v/>
      </c>
    </row>
    <row r="655" spans="5:42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41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42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43"/>
        <v>#N/A</v>
      </c>
      <c r="AB655" t="str" cm="1">
        <f t="array" aca="1" ref="AB655" ca="1">IFERROR(INDIRECT("$Z"&amp;AA655),"")</f>
        <v/>
      </c>
      <c r="AP655" t="str">
        <f t="shared" si="40"/>
        <v/>
      </c>
    </row>
    <row r="656" spans="5:42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41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42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43"/>
        <v>#N/A</v>
      </c>
      <c r="AB656" t="str" cm="1">
        <f t="array" aca="1" ref="AB656" ca="1">IFERROR(INDIRECT("$Z"&amp;AA656),"")</f>
        <v/>
      </c>
      <c r="AP656" t="str">
        <f t="shared" si="40"/>
        <v/>
      </c>
    </row>
    <row r="657" spans="5:42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41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42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43"/>
        <v>#N/A</v>
      </c>
      <c r="AB657" t="str" cm="1">
        <f t="array" aca="1" ref="AB657" ca="1">IFERROR(INDIRECT("$Z"&amp;AA657),"")</f>
        <v/>
      </c>
      <c r="AP657" t="str">
        <f t="shared" si="40"/>
        <v/>
      </c>
    </row>
    <row r="658" spans="5:42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41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42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43"/>
        <v>#N/A</v>
      </c>
      <c r="AB658" t="str" cm="1">
        <f t="array" aca="1" ref="AB658" ca="1">IFERROR(INDIRECT("$Z"&amp;AA658),"")</f>
        <v/>
      </c>
      <c r="AP658" t="str">
        <f t="shared" si="40"/>
        <v/>
      </c>
    </row>
    <row r="659" spans="5:42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41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42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43"/>
        <v>#N/A</v>
      </c>
      <c r="AB659" t="str" cm="1">
        <f t="array" aca="1" ref="AB659" ca="1">IFERROR(INDIRECT("$Z"&amp;AA659),"")</f>
        <v/>
      </c>
      <c r="AP659" t="str">
        <f t="shared" si="40"/>
        <v/>
      </c>
    </row>
    <row r="660" spans="5:42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41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42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43"/>
        <v>#N/A</v>
      </c>
      <c r="AB660" t="str" cm="1">
        <f t="array" aca="1" ref="AB660" ca="1">IFERROR(INDIRECT("$Z"&amp;AA660),"")</f>
        <v/>
      </c>
      <c r="AP660" t="str">
        <f t="shared" si="40"/>
        <v/>
      </c>
    </row>
    <row r="661" spans="5:42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41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42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43"/>
        <v>#N/A</v>
      </c>
      <c r="AB661" t="str" cm="1">
        <f t="array" aca="1" ref="AB661" ca="1">IFERROR(INDIRECT("$Z"&amp;AA661),"")</f>
        <v/>
      </c>
      <c r="AP661" t="str">
        <f t="shared" si="40"/>
        <v/>
      </c>
    </row>
    <row r="662" spans="5:42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41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42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43"/>
        <v>#N/A</v>
      </c>
      <c r="AB662" t="str" cm="1">
        <f t="array" aca="1" ref="AB662" ca="1">IFERROR(INDIRECT("$Z"&amp;AA662),"")</f>
        <v/>
      </c>
      <c r="AP662" t="str">
        <f t="shared" si="40"/>
        <v/>
      </c>
    </row>
    <row r="663" spans="5:42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41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42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43"/>
        <v>#N/A</v>
      </c>
      <c r="AB663" t="str" cm="1">
        <f t="array" aca="1" ref="AB663" ca="1">IFERROR(INDIRECT("$Z"&amp;AA663),"")</f>
        <v/>
      </c>
      <c r="AP663" t="str">
        <f t="shared" si="40"/>
        <v/>
      </c>
    </row>
    <row r="664" spans="5:42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41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42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43"/>
        <v>#N/A</v>
      </c>
      <c r="AB664" t="str" cm="1">
        <f t="array" aca="1" ref="AB664" ca="1">IFERROR(INDIRECT("$Z"&amp;AA664),"")</f>
        <v/>
      </c>
      <c r="AP664" t="str">
        <f t="shared" si="40"/>
        <v/>
      </c>
    </row>
    <row r="665" spans="5:42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41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42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43"/>
        <v>#N/A</v>
      </c>
      <c r="AB665" t="str" cm="1">
        <f t="array" aca="1" ref="AB665" ca="1">IFERROR(INDIRECT("$Z"&amp;AA665),"")</f>
        <v/>
      </c>
      <c r="AP665" t="str">
        <f t="shared" si="40"/>
        <v/>
      </c>
    </row>
    <row r="666" spans="5:42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41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42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43"/>
        <v>#N/A</v>
      </c>
      <c r="AB666" t="str" cm="1">
        <f t="array" aca="1" ref="AB666" ca="1">IFERROR(INDIRECT("$Z"&amp;AA666),"")</f>
        <v/>
      </c>
      <c r="AP666" t="str">
        <f t="shared" si="40"/>
        <v/>
      </c>
    </row>
    <row r="667" spans="5:42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41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42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43"/>
        <v>#N/A</v>
      </c>
      <c r="AB667" t="str" cm="1">
        <f t="array" aca="1" ref="AB667" ca="1">IFERROR(INDIRECT("$Z"&amp;AA667),"")</f>
        <v/>
      </c>
      <c r="AP667" t="str">
        <f t="shared" si="40"/>
        <v/>
      </c>
    </row>
    <row r="668" spans="5:42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41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42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43"/>
        <v>#N/A</v>
      </c>
      <c r="AB668" t="str" cm="1">
        <f t="array" aca="1" ref="AB668" ca="1">IFERROR(INDIRECT("$Z"&amp;AA668),"")</f>
        <v/>
      </c>
      <c r="AP668" t="str">
        <f t="shared" si="40"/>
        <v/>
      </c>
    </row>
    <row r="669" spans="5:42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41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42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43"/>
        <v>#N/A</v>
      </c>
      <c r="AB669" t="str" cm="1">
        <f t="array" aca="1" ref="AB669" ca="1">IFERROR(INDIRECT("$Z"&amp;AA669),"")</f>
        <v/>
      </c>
      <c r="AP669" t="str">
        <f t="shared" si="40"/>
        <v/>
      </c>
    </row>
    <row r="670" spans="5:42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41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42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43"/>
        <v>#N/A</v>
      </c>
      <c r="AB670" t="str" cm="1">
        <f t="array" aca="1" ref="AB670" ca="1">IFERROR(INDIRECT("$Z"&amp;AA670),"")</f>
        <v/>
      </c>
      <c r="AP670" t="str">
        <f t="shared" si="40"/>
        <v/>
      </c>
    </row>
    <row r="671" spans="5:42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41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42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43"/>
        <v>#N/A</v>
      </c>
      <c r="AB671" t="str" cm="1">
        <f t="array" aca="1" ref="AB671" ca="1">IFERROR(INDIRECT("$Z"&amp;AA671),"")</f>
        <v/>
      </c>
      <c r="AP671" t="str">
        <f t="shared" si="40"/>
        <v/>
      </c>
    </row>
    <row r="672" spans="5:42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41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42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43"/>
        <v>#N/A</v>
      </c>
      <c r="AB672" t="str" cm="1">
        <f t="array" aca="1" ref="AB672" ca="1">IFERROR(INDIRECT("$Z"&amp;AA672),"")</f>
        <v/>
      </c>
      <c r="AP672" t="str">
        <f t="shared" si="40"/>
        <v/>
      </c>
    </row>
    <row r="673" spans="5:42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41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42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43"/>
        <v>#N/A</v>
      </c>
      <c r="AB673" t="str" cm="1">
        <f t="array" aca="1" ref="AB673" ca="1">IFERROR(INDIRECT("$Z"&amp;AA673),"")</f>
        <v/>
      </c>
      <c r="AP673" t="str">
        <f t="shared" si="40"/>
        <v/>
      </c>
    </row>
    <row r="674" spans="5:42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41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42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43"/>
        <v>#N/A</v>
      </c>
      <c r="AB674" t="str" cm="1">
        <f t="array" aca="1" ref="AB674" ca="1">IFERROR(INDIRECT("$Z"&amp;AA674),"")</f>
        <v/>
      </c>
      <c r="AP674" t="str">
        <f t="shared" si="40"/>
        <v/>
      </c>
    </row>
    <row r="675" spans="5:42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41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42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43"/>
        <v>#N/A</v>
      </c>
      <c r="AB675" t="str" cm="1">
        <f t="array" aca="1" ref="AB675" ca="1">IFERROR(INDIRECT("$Z"&amp;AA675),"")</f>
        <v/>
      </c>
      <c r="AP675" t="str">
        <f t="shared" si="40"/>
        <v/>
      </c>
    </row>
    <row r="676" spans="5:42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41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42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43"/>
        <v>#N/A</v>
      </c>
      <c r="AB676" t="str" cm="1">
        <f t="array" aca="1" ref="AB676" ca="1">IFERROR(INDIRECT("$Z"&amp;AA676),"")</f>
        <v/>
      </c>
      <c r="AP676" t="str">
        <f t="shared" si="40"/>
        <v/>
      </c>
    </row>
    <row r="677" spans="5:42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41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42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43"/>
        <v>#N/A</v>
      </c>
      <c r="AB677" t="str" cm="1">
        <f t="array" aca="1" ref="AB677" ca="1">IFERROR(INDIRECT("$Z"&amp;AA677),"")</f>
        <v/>
      </c>
      <c r="AP677" t="str">
        <f t="shared" si="40"/>
        <v/>
      </c>
    </row>
    <row r="678" spans="5:42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41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42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43"/>
        <v>#N/A</v>
      </c>
      <c r="AB678" t="str" cm="1">
        <f t="array" aca="1" ref="AB678" ca="1">IFERROR(INDIRECT("$Z"&amp;AA678),"")</f>
        <v/>
      </c>
      <c r="AP678" t="str">
        <f t="shared" si="40"/>
        <v/>
      </c>
    </row>
    <row r="679" spans="5:42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41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42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43"/>
        <v>#N/A</v>
      </c>
      <c r="AB679" t="str" cm="1">
        <f t="array" aca="1" ref="AB679" ca="1">IFERROR(INDIRECT("$Z"&amp;AA679),"")</f>
        <v/>
      </c>
      <c r="AP679" t="str">
        <f t="shared" si="40"/>
        <v/>
      </c>
    </row>
    <row r="680" spans="5:42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41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42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43"/>
        <v>#N/A</v>
      </c>
      <c r="AB680" t="str" cm="1">
        <f t="array" aca="1" ref="AB680" ca="1">IFERROR(INDIRECT("$Z"&amp;AA680),"")</f>
        <v/>
      </c>
      <c r="AP680" t="str">
        <f t="shared" si="40"/>
        <v/>
      </c>
    </row>
    <row r="681" spans="5:42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41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42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43"/>
        <v>#N/A</v>
      </c>
      <c r="AB681" t="str" cm="1">
        <f t="array" aca="1" ref="AB681" ca="1">IFERROR(INDIRECT("$Z"&amp;AA681),"")</f>
        <v/>
      </c>
      <c r="AP681" t="str">
        <f t="shared" si="40"/>
        <v/>
      </c>
    </row>
    <row r="682" spans="5:42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41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42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43"/>
        <v>#N/A</v>
      </c>
      <c r="AB682" t="str" cm="1">
        <f t="array" aca="1" ref="AB682" ca="1">IFERROR(INDIRECT("$Z"&amp;AA682),"")</f>
        <v/>
      </c>
      <c r="AP682" t="str">
        <f t="shared" si="40"/>
        <v/>
      </c>
    </row>
    <row r="683" spans="5:42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41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42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43"/>
        <v>#N/A</v>
      </c>
      <c r="AB683" t="str" cm="1">
        <f t="array" aca="1" ref="AB683" ca="1">IFERROR(INDIRECT("$Z"&amp;AA683),"")</f>
        <v/>
      </c>
      <c r="AP683" t="str">
        <f t="shared" si="40"/>
        <v/>
      </c>
    </row>
    <row r="684" spans="5:42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41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42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43"/>
        <v>#N/A</v>
      </c>
      <c r="AB684" t="str" cm="1">
        <f t="array" aca="1" ref="AB684" ca="1">IFERROR(INDIRECT("$Z"&amp;AA684),"")</f>
        <v/>
      </c>
      <c r="AP684" t="str">
        <f t="shared" si="40"/>
        <v/>
      </c>
    </row>
    <row r="685" spans="5:42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41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42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43"/>
        <v>#N/A</v>
      </c>
      <c r="AB685" t="str" cm="1">
        <f t="array" aca="1" ref="AB685" ca="1">IFERROR(INDIRECT("$Z"&amp;AA685),"")</f>
        <v/>
      </c>
      <c r="AP685" t="str">
        <f t="shared" si="40"/>
        <v/>
      </c>
    </row>
    <row r="686" spans="5:42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41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42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43"/>
        <v>#N/A</v>
      </c>
      <c r="AB686" t="str" cm="1">
        <f t="array" aca="1" ref="AB686" ca="1">IFERROR(INDIRECT("$Z"&amp;AA686),"")</f>
        <v/>
      </c>
      <c r="AP686" t="str">
        <f t="shared" si="40"/>
        <v/>
      </c>
    </row>
    <row r="687" spans="5:42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41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42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43"/>
        <v>#N/A</v>
      </c>
      <c r="AB687" t="str" cm="1">
        <f t="array" aca="1" ref="AB687" ca="1">IFERROR(INDIRECT("$Z"&amp;AA687),"")</f>
        <v/>
      </c>
      <c r="AP687" t="str">
        <f t="shared" si="40"/>
        <v/>
      </c>
    </row>
    <row r="688" spans="5:42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41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42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43"/>
        <v>#N/A</v>
      </c>
      <c r="AB688" t="str" cm="1">
        <f t="array" aca="1" ref="AB688" ca="1">IFERROR(INDIRECT("$Z"&amp;AA688),"")</f>
        <v/>
      </c>
      <c r="AP688" t="str">
        <f t="shared" si="40"/>
        <v/>
      </c>
    </row>
    <row r="689" spans="5:42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41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42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43"/>
        <v>#N/A</v>
      </c>
      <c r="AB689" t="str" cm="1">
        <f t="array" aca="1" ref="AB689" ca="1">IFERROR(INDIRECT("$Z"&amp;AA689),"")</f>
        <v/>
      </c>
      <c r="AP689" t="str">
        <f t="shared" si="40"/>
        <v/>
      </c>
    </row>
    <row r="690" spans="5:42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41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42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43"/>
        <v>#N/A</v>
      </c>
      <c r="AB690" t="str" cm="1">
        <f t="array" aca="1" ref="AB690" ca="1">IFERROR(INDIRECT("$Z"&amp;AA690),"")</f>
        <v/>
      </c>
      <c r="AP690" t="str">
        <f t="shared" si="40"/>
        <v/>
      </c>
    </row>
    <row r="691" spans="5:42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41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42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43"/>
        <v>#N/A</v>
      </c>
      <c r="AB691" t="str" cm="1">
        <f t="array" aca="1" ref="AB691" ca="1">IFERROR(INDIRECT("$Z"&amp;AA691),"")</f>
        <v/>
      </c>
      <c r="AP691" t="str">
        <f t="shared" si="40"/>
        <v/>
      </c>
    </row>
    <row r="692" spans="5:42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41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42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43"/>
        <v>#N/A</v>
      </c>
      <c r="AB692" t="str" cm="1">
        <f t="array" aca="1" ref="AB692" ca="1">IFERROR(INDIRECT("$Z"&amp;AA692),"")</f>
        <v/>
      </c>
      <c r="AP692" t="str">
        <f t="shared" si="40"/>
        <v/>
      </c>
    </row>
    <row r="693" spans="5:42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41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42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43"/>
        <v>#N/A</v>
      </c>
      <c r="AB693" t="str" cm="1">
        <f t="array" aca="1" ref="AB693" ca="1">IFERROR(INDIRECT("$Z"&amp;AA693),"")</f>
        <v/>
      </c>
      <c r="AP693" t="str">
        <f t="shared" si="40"/>
        <v/>
      </c>
    </row>
    <row r="694" spans="5:42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41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42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43"/>
        <v>#N/A</v>
      </c>
      <c r="AB694" t="str" cm="1">
        <f t="array" aca="1" ref="AB694" ca="1">IFERROR(INDIRECT("$Z"&amp;AA694),"")</f>
        <v/>
      </c>
      <c r="AP694" t="str">
        <f t="shared" si="40"/>
        <v/>
      </c>
    </row>
    <row r="695" spans="5:42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41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42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43"/>
        <v>#N/A</v>
      </c>
      <c r="AB695" t="str" cm="1">
        <f t="array" aca="1" ref="AB695" ca="1">IFERROR(INDIRECT("$Z"&amp;AA695),"")</f>
        <v/>
      </c>
      <c r="AP695" t="str">
        <f t="shared" si="40"/>
        <v/>
      </c>
    </row>
    <row r="696" spans="5:42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41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42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43"/>
        <v>#N/A</v>
      </c>
      <c r="AB696" t="str" cm="1">
        <f t="array" aca="1" ref="AB696" ca="1">IFERROR(INDIRECT("$Z"&amp;AA696),"")</f>
        <v/>
      </c>
      <c r="AP696" t="str">
        <f t="shared" si="40"/>
        <v/>
      </c>
    </row>
    <row r="697" spans="5:42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41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42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43"/>
        <v>#N/A</v>
      </c>
      <c r="AB697" t="str" cm="1">
        <f t="array" aca="1" ref="AB697" ca="1">IFERROR(INDIRECT("$Z"&amp;AA697),"")</f>
        <v/>
      </c>
      <c r="AP697" t="str">
        <f t="shared" si="40"/>
        <v/>
      </c>
    </row>
    <row r="698" spans="5:42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41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42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43"/>
        <v>#N/A</v>
      </c>
      <c r="AB698" t="str" cm="1">
        <f t="array" aca="1" ref="AB698" ca="1">IFERROR(INDIRECT("$Z"&amp;AA698),"")</f>
        <v/>
      </c>
      <c r="AP698" t="str">
        <f t="shared" si="40"/>
        <v/>
      </c>
    </row>
    <row r="699" spans="5:42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41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42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43"/>
        <v>#N/A</v>
      </c>
      <c r="AB699" t="str" cm="1">
        <f t="array" aca="1" ref="AB699" ca="1">IFERROR(INDIRECT("$Z"&amp;AA699),"")</f>
        <v/>
      </c>
      <c r="AP699" t="str">
        <f t="shared" si="40"/>
        <v/>
      </c>
    </row>
    <row r="700" spans="5:42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41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42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43"/>
        <v>#N/A</v>
      </c>
      <c r="AB700" t="str" cm="1">
        <f t="array" aca="1" ref="AB700" ca="1">IFERROR(INDIRECT("$Z"&amp;AA700),"")</f>
        <v/>
      </c>
      <c r="AP700" t="str">
        <f t="shared" si="40"/>
        <v/>
      </c>
    </row>
    <row r="701" spans="5:42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41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42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43"/>
        <v>#N/A</v>
      </c>
      <c r="AB701" t="str" cm="1">
        <f t="array" aca="1" ref="AB701" ca="1">IFERROR(INDIRECT("$Z"&amp;AA701),"")</f>
        <v/>
      </c>
      <c r="AP701" t="str">
        <f t="shared" si="40"/>
        <v/>
      </c>
    </row>
    <row r="702" spans="5:42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41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42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43"/>
        <v>#N/A</v>
      </c>
      <c r="AB702" t="str" cm="1">
        <f t="array" aca="1" ref="AB702" ca="1">IFERROR(INDIRECT("$Z"&amp;AA702),"")</f>
        <v/>
      </c>
      <c r="AP702" t="str">
        <f t="shared" si="40"/>
        <v/>
      </c>
    </row>
    <row r="703" spans="5:42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41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42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43"/>
        <v>#N/A</v>
      </c>
      <c r="AB703" t="str" cm="1">
        <f t="array" aca="1" ref="AB703" ca="1">IFERROR(INDIRECT("$Z"&amp;AA703),"")</f>
        <v/>
      </c>
      <c r="AP703" t="str">
        <f t="shared" si="40"/>
        <v/>
      </c>
    </row>
    <row r="704" spans="5:42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41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42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43"/>
        <v>#N/A</v>
      </c>
      <c r="AB704" t="str" cm="1">
        <f t="array" aca="1" ref="AB704" ca="1">IFERROR(INDIRECT("$Z"&amp;AA704),"")</f>
        <v/>
      </c>
      <c r="AP704" t="str">
        <f t="shared" si="40"/>
        <v/>
      </c>
    </row>
    <row r="705" spans="5:42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41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42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43"/>
        <v>#N/A</v>
      </c>
      <c r="AB705" t="str" cm="1">
        <f t="array" aca="1" ref="AB705" ca="1">IFERROR(INDIRECT("$Z"&amp;AA705),"")</f>
        <v/>
      </c>
      <c r="AP705" t="str">
        <f t="shared" si="40"/>
        <v/>
      </c>
    </row>
    <row r="706" spans="5:42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41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42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43"/>
        <v>#N/A</v>
      </c>
      <c r="AB706" t="str" cm="1">
        <f t="array" aca="1" ref="AB706" ca="1">IFERROR(INDIRECT("$Z"&amp;AA706),"")</f>
        <v/>
      </c>
      <c r="AP706" t="str">
        <f t="shared" si="40"/>
        <v/>
      </c>
    </row>
    <row r="707" spans="5:42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41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42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43"/>
        <v>#N/A</v>
      </c>
      <c r="AB707" t="str" cm="1">
        <f t="array" aca="1" ref="AB707" ca="1">IFERROR(INDIRECT("$Z"&amp;AA707),"")</f>
        <v/>
      </c>
      <c r="AP707" t="str">
        <f t="shared" ref="AP707:AP770" si="44">IF(AI707&lt;&gt;"", _xlfn.CONCAT(AI707, " (airside)"), "")</f>
        <v/>
      </c>
    </row>
    <row r="708" spans="5:42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45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46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47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44"/>
        <v/>
      </c>
    </row>
    <row r="709" spans="5:42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45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46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47"/>
        <v>#N/A</v>
      </c>
      <c r="AB709" t="str" cm="1">
        <f t="array" aca="1" ref="AB709" ca="1">IFERROR(INDIRECT("$Z"&amp;AA709),"")</f>
        <v/>
      </c>
      <c r="AP709" t="str">
        <f t="shared" si="44"/>
        <v/>
      </c>
    </row>
    <row r="710" spans="5:42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45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46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47"/>
        <v>#N/A</v>
      </c>
      <c r="AB710" t="str" cm="1">
        <f t="array" aca="1" ref="AB710" ca="1">IFERROR(INDIRECT("$Z"&amp;AA710),"")</f>
        <v/>
      </c>
      <c r="AP710" t="str">
        <f t="shared" si="44"/>
        <v/>
      </c>
    </row>
    <row r="711" spans="5:42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45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46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47"/>
        <v>#N/A</v>
      </c>
      <c r="AB711" t="str" cm="1">
        <f t="array" aca="1" ref="AB711" ca="1">IFERROR(INDIRECT("$Z"&amp;AA711),"")</f>
        <v/>
      </c>
      <c r="AP711" t="str">
        <f t="shared" si="44"/>
        <v/>
      </c>
    </row>
    <row r="712" spans="5:42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45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46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47"/>
        <v>#N/A</v>
      </c>
      <c r="AB712" t="str" cm="1">
        <f t="array" aca="1" ref="AB712" ca="1">IFERROR(INDIRECT("$Z"&amp;AA712),"")</f>
        <v/>
      </c>
      <c r="AP712" t="str">
        <f t="shared" si="44"/>
        <v/>
      </c>
    </row>
    <row r="713" spans="5:42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45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46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47"/>
        <v>#N/A</v>
      </c>
      <c r="AB713" t="str" cm="1">
        <f t="array" aca="1" ref="AB713" ca="1">IFERROR(INDIRECT("$Z"&amp;AA713),"")</f>
        <v/>
      </c>
      <c r="AP713" t="str">
        <f t="shared" si="44"/>
        <v/>
      </c>
    </row>
    <row r="714" spans="5:42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45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46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47"/>
        <v>#N/A</v>
      </c>
      <c r="AB714" t="str" cm="1">
        <f t="array" aca="1" ref="AB714" ca="1">IFERROR(INDIRECT("$Z"&amp;AA714),"")</f>
        <v/>
      </c>
      <c r="AP714" t="str">
        <f t="shared" si="44"/>
        <v/>
      </c>
    </row>
    <row r="715" spans="5:42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45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46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47"/>
        <v>#N/A</v>
      </c>
      <c r="AB715" t="str" cm="1">
        <f t="array" aca="1" ref="AB715" ca="1">IFERROR(INDIRECT("$Z"&amp;AA715),"")</f>
        <v/>
      </c>
      <c r="AP715" t="str">
        <f t="shared" si="44"/>
        <v/>
      </c>
    </row>
    <row r="716" spans="5:42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45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46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47"/>
        <v>#N/A</v>
      </c>
      <c r="AB716" t="str" cm="1">
        <f t="array" aca="1" ref="AB716" ca="1">IFERROR(INDIRECT("$Z"&amp;AA716),"")</f>
        <v/>
      </c>
      <c r="AP716" t="str">
        <f t="shared" si="44"/>
        <v/>
      </c>
    </row>
    <row r="717" spans="5:42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45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46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47"/>
        <v>#N/A</v>
      </c>
      <c r="AB717" t="str" cm="1">
        <f t="array" aca="1" ref="AB717" ca="1">IFERROR(INDIRECT("$Z"&amp;AA717),"")</f>
        <v/>
      </c>
      <c r="AP717" t="str">
        <f t="shared" si="44"/>
        <v/>
      </c>
    </row>
    <row r="718" spans="5:42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45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46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47"/>
        <v>#N/A</v>
      </c>
      <c r="AB718" t="str" cm="1">
        <f t="array" aca="1" ref="AB718" ca="1">IFERROR(INDIRECT("$Z"&amp;AA718),"")</f>
        <v/>
      </c>
      <c r="AP718" t="str">
        <f t="shared" si="44"/>
        <v/>
      </c>
    </row>
    <row r="719" spans="5:42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45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46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47"/>
        <v>#N/A</v>
      </c>
      <c r="AB719" t="str" cm="1">
        <f t="array" aca="1" ref="AB719" ca="1">IFERROR(INDIRECT("$Z"&amp;AA719),"")</f>
        <v/>
      </c>
      <c r="AP719" t="str">
        <f t="shared" si="44"/>
        <v/>
      </c>
    </row>
    <row r="720" spans="5:42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45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46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47"/>
        <v>#N/A</v>
      </c>
      <c r="AB720" t="str" cm="1">
        <f t="array" aca="1" ref="AB720" ca="1">IFERROR(INDIRECT("$Z"&amp;AA720),"")</f>
        <v/>
      </c>
      <c r="AP720" t="str">
        <f t="shared" si="44"/>
        <v/>
      </c>
    </row>
    <row r="721" spans="5:42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45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46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47"/>
        <v>#N/A</v>
      </c>
      <c r="AB721" t="str" cm="1">
        <f t="array" aca="1" ref="AB721" ca="1">IFERROR(INDIRECT("$Z"&amp;AA721),"")</f>
        <v/>
      </c>
      <c r="AP721" t="str">
        <f t="shared" si="44"/>
        <v/>
      </c>
    </row>
    <row r="722" spans="5:42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45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46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47"/>
        <v>#N/A</v>
      </c>
      <c r="AB722" t="str" cm="1">
        <f t="array" aca="1" ref="AB722" ca="1">IFERROR(INDIRECT("$Z"&amp;AA722),"")</f>
        <v/>
      </c>
      <c r="AP722" t="str">
        <f t="shared" si="44"/>
        <v/>
      </c>
    </row>
    <row r="723" spans="5:42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45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46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47"/>
        <v>#N/A</v>
      </c>
      <c r="AB723" t="str" cm="1">
        <f t="array" aca="1" ref="AB723" ca="1">IFERROR(INDIRECT("$Z"&amp;AA723),"")</f>
        <v/>
      </c>
      <c r="AP723" t="str">
        <f t="shared" si="44"/>
        <v/>
      </c>
    </row>
    <row r="724" spans="5:42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45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46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47"/>
        <v>#N/A</v>
      </c>
      <c r="AB724" t="str" cm="1">
        <f t="array" aca="1" ref="AB724" ca="1">IFERROR(INDIRECT("$Z"&amp;AA724),"")</f>
        <v/>
      </c>
      <c r="AP724" t="str">
        <f t="shared" si="44"/>
        <v/>
      </c>
    </row>
    <row r="725" spans="5:42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45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46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47"/>
        <v>#N/A</v>
      </c>
      <c r="AB725" t="str" cm="1">
        <f t="array" aca="1" ref="AB725" ca="1">IFERROR(INDIRECT("$Z"&amp;AA725),"")</f>
        <v/>
      </c>
      <c r="AP725" t="str">
        <f t="shared" si="44"/>
        <v/>
      </c>
    </row>
    <row r="726" spans="5:42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45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46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47"/>
        <v>#N/A</v>
      </c>
      <c r="AB726" t="str" cm="1">
        <f t="array" aca="1" ref="AB726" ca="1">IFERROR(INDIRECT("$Z"&amp;AA726),"")</f>
        <v/>
      </c>
      <c r="AP726" t="str">
        <f t="shared" si="44"/>
        <v/>
      </c>
    </row>
    <row r="727" spans="5:42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45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46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47"/>
        <v>#N/A</v>
      </c>
      <c r="AB727" t="str" cm="1">
        <f t="array" aca="1" ref="AB727" ca="1">IFERROR(INDIRECT("$Z"&amp;AA727),"")</f>
        <v/>
      </c>
      <c r="AP727" t="str">
        <f t="shared" si="44"/>
        <v/>
      </c>
    </row>
    <row r="728" spans="5:42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45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46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47"/>
        <v>#N/A</v>
      </c>
      <c r="AB728" t="str" cm="1">
        <f t="array" aca="1" ref="AB728" ca="1">IFERROR(INDIRECT("$Z"&amp;AA728),"")</f>
        <v/>
      </c>
      <c r="AP728" t="str">
        <f t="shared" si="44"/>
        <v/>
      </c>
    </row>
    <row r="729" spans="5:42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45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46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47"/>
        <v>#N/A</v>
      </c>
      <c r="AB729" t="str" cm="1">
        <f t="array" aca="1" ref="AB729" ca="1">IFERROR(INDIRECT("$Z"&amp;AA729),"")</f>
        <v/>
      </c>
      <c r="AP729" t="str">
        <f t="shared" si="44"/>
        <v/>
      </c>
    </row>
    <row r="730" spans="5:42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45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46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47"/>
        <v>#N/A</v>
      </c>
      <c r="AB730" t="str" cm="1">
        <f t="array" aca="1" ref="AB730" ca="1">IFERROR(INDIRECT("$Z"&amp;AA730),"")</f>
        <v/>
      </c>
      <c r="AP730" t="str">
        <f t="shared" si="44"/>
        <v/>
      </c>
    </row>
    <row r="731" spans="5:42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45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46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47"/>
        <v>#N/A</v>
      </c>
      <c r="AB731" t="str" cm="1">
        <f t="array" aca="1" ref="AB731" ca="1">IFERROR(INDIRECT("$Z"&amp;AA731),"")</f>
        <v/>
      </c>
      <c r="AP731" t="str">
        <f t="shared" si="44"/>
        <v/>
      </c>
    </row>
    <row r="732" spans="5:42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45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46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47"/>
        <v>#N/A</v>
      </c>
      <c r="AB732" t="str" cm="1">
        <f t="array" aca="1" ref="AB732" ca="1">IFERROR(INDIRECT("$Z"&amp;AA732),"")</f>
        <v/>
      </c>
      <c r="AP732" t="str">
        <f t="shared" si="44"/>
        <v/>
      </c>
    </row>
    <row r="733" spans="5:42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45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46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47"/>
        <v>#N/A</v>
      </c>
      <c r="AB733" t="str" cm="1">
        <f t="array" aca="1" ref="AB733" ca="1">IFERROR(INDIRECT("$Z"&amp;AA733),"")</f>
        <v/>
      </c>
      <c r="AP733" t="str">
        <f t="shared" si="44"/>
        <v/>
      </c>
    </row>
    <row r="734" spans="5:42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45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46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47"/>
        <v>#N/A</v>
      </c>
      <c r="AB734" t="str" cm="1">
        <f t="array" aca="1" ref="AB734" ca="1">IFERROR(INDIRECT("$Z"&amp;AA734),"")</f>
        <v/>
      </c>
      <c r="AP734" t="str">
        <f t="shared" si="44"/>
        <v/>
      </c>
    </row>
    <row r="735" spans="5:42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45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46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47"/>
        <v>#N/A</v>
      </c>
      <c r="AB735" t="str" cm="1">
        <f t="array" aca="1" ref="AB735" ca="1">IFERROR(INDIRECT("$Z"&amp;AA735),"")</f>
        <v/>
      </c>
      <c r="AP735" t="str">
        <f t="shared" si="44"/>
        <v/>
      </c>
    </row>
    <row r="736" spans="5:42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45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46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47"/>
        <v>#N/A</v>
      </c>
      <c r="AB736" t="str" cm="1">
        <f t="array" aca="1" ref="AB736" ca="1">IFERROR(INDIRECT("$Z"&amp;AA736),"")</f>
        <v/>
      </c>
      <c r="AP736" t="str">
        <f t="shared" si="44"/>
        <v/>
      </c>
    </row>
    <row r="737" spans="5:42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45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46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47"/>
        <v>#N/A</v>
      </c>
      <c r="AB737" t="str" cm="1">
        <f t="array" aca="1" ref="AB737" ca="1">IFERROR(INDIRECT("$Z"&amp;AA737),"")</f>
        <v/>
      </c>
      <c r="AP737" t="str">
        <f t="shared" si="44"/>
        <v/>
      </c>
    </row>
    <row r="738" spans="5:42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45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46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47"/>
        <v>#N/A</v>
      </c>
      <c r="AB738" t="str" cm="1">
        <f t="array" aca="1" ref="AB738" ca="1">IFERROR(INDIRECT("$Z"&amp;AA738),"")</f>
        <v/>
      </c>
      <c r="AP738" t="str">
        <f t="shared" si="44"/>
        <v/>
      </c>
    </row>
    <row r="739" spans="5:42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45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46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47"/>
        <v>#N/A</v>
      </c>
      <c r="AB739" t="str" cm="1">
        <f t="array" aca="1" ref="AB739" ca="1">IFERROR(INDIRECT("$Z"&amp;AA739),"")</f>
        <v/>
      </c>
      <c r="AP739" t="str">
        <f t="shared" si="44"/>
        <v/>
      </c>
    </row>
    <row r="740" spans="5:42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45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46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47"/>
        <v>#N/A</v>
      </c>
      <c r="AB740" t="str" cm="1">
        <f t="array" aca="1" ref="AB740" ca="1">IFERROR(INDIRECT("$Z"&amp;AA740),"")</f>
        <v/>
      </c>
      <c r="AP740" t="str">
        <f t="shared" si="44"/>
        <v/>
      </c>
    </row>
    <row r="741" spans="5:42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45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46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47"/>
        <v>#N/A</v>
      </c>
      <c r="AB741" t="str" cm="1">
        <f t="array" aca="1" ref="AB741" ca="1">IFERROR(INDIRECT("$Z"&amp;AA741),"")</f>
        <v/>
      </c>
      <c r="AP741" t="str">
        <f t="shared" si="44"/>
        <v/>
      </c>
    </row>
    <row r="742" spans="5:42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45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46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47"/>
        <v>#N/A</v>
      </c>
      <c r="AB742" t="str" cm="1">
        <f t="array" aca="1" ref="AB742" ca="1">IFERROR(INDIRECT("$Z"&amp;AA742),"")</f>
        <v/>
      </c>
      <c r="AP742" t="str">
        <f t="shared" si="44"/>
        <v/>
      </c>
    </row>
    <row r="743" spans="5:42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45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46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47"/>
        <v>#N/A</v>
      </c>
      <c r="AB743" t="str" cm="1">
        <f t="array" aca="1" ref="AB743" ca="1">IFERROR(INDIRECT("$Z"&amp;AA743),"")</f>
        <v/>
      </c>
      <c r="AP743" t="str">
        <f t="shared" si="44"/>
        <v/>
      </c>
    </row>
    <row r="744" spans="5:42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45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46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47"/>
        <v>#N/A</v>
      </c>
      <c r="AB744" t="str" cm="1">
        <f t="array" aca="1" ref="AB744" ca="1">IFERROR(INDIRECT("$Z"&amp;AA744),"")</f>
        <v/>
      </c>
      <c r="AP744" t="str">
        <f t="shared" si="44"/>
        <v/>
      </c>
    </row>
    <row r="745" spans="5:42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45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46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47"/>
        <v>#N/A</v>
      </c>
      <c r="AB745" t="str" cm="1">
        <f t="array" aca="1" ref="AB745" ca="1">IFERROR(INDIRECT("$Z"&amp;AA745),"")</f>
        <v/>
      </c>
      <c r="AP745" t="str">
        <f t="shared" si="44"/>
        <v/>
      </c>
    </row>
    <row r="746" spans="5:42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45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46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47"/>
        <v>#N/A</v>
      </c>
      <c r="AB746" t="str" cm="1">
        <f t="array" aca="1" ref="AB746" ca="1">IFERROR(INDIRECT("$Z"&amp;AA746),"")</f>
        <v/>
      </c>
      <c r="AP746" t="str">
        <f t="shared" si="44"/>
        <v/>
      </c>
    </row>
    <row r="747" spans="5:42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45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46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47"/>
        <v>#N/A</v>
      </c>
      <c r="AB747" t="str" cm="1">
        <f t="array" aca="1" ref="AB747" ca="1">IFERROR(INDIRECT("$Z"&amp;AA747),"")</f>
        <v/>
      </c>
      <c r="AP747" t="str">
        <f t="shared" si="44"/>
        <v/>
      </c>
    </row>
    <row r="748" spans="5:42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45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46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47"/>
        <v>#N/A</v>
      </c>
      <c r="AB748" t="str" cm="1">
        <f t="array" aca="1" ref="AB748" ca="1">IFERROR(INDIRECT("$Z"&amp;AA748),"")</f>
        <v/>
      </c>
      <c r="AP748" t="str">
        <f t="shared" si="44"/>
        <v/>
      </c>
    </row>
    <row r="749" spans="5:42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45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46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47"/>
        <v>#N/A</v>
      </c>
      <c r="AB749" t="str" cm="1">
        <f t="array" aca="1" ref="AB749" ca="1">IFERROR(INDIRECT("$Z"&amp;AA749),"")</f>
        <v/>
      </c>
      <c r="AP749" t="str">
        <f t="shared" si="44"/>
        <v/>
      </c>
    </row>
    <row r="750" spans="5:42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45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46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47"/>
        <v>#N/A</v>
      </c>
      <c r="AB750" t="str" cm="1">
        <f t="array" aca="1" ref="AB750" ca="1">IFERROR(INDIRECT("$Z"&amp;AA750),"")</f>
        <v/>
      </c>
      <c r="AP750" t="str">
        <f t="shared" si="44"/>
        <v/>
      </c>
    </row>
    <row r="751" spans="5:42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45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46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47"/>
        <v>#N/A</v>
      </c>
      <c r="AB751" t="str" cm="1">
        <f t="array" aca="1" ref="AB751" ca="1">IFERROR(INDIRECT("$Z"&amp;AA751),"")</f>
        <v/>
      </c>
      <c r="AP751" t="str">
        <f t="shared" si="44"/>
        <v/>
      </c>
    </row>
    <row r="752" spans="5:42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45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46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47"/>
        <v>#N/A</v>
      </c>
      <c r="AB752" t="str" cm="1">
        <f t="array" aca="1" ref="AB752" ca="1">IFERROR(INDIRECT("$Z"&amp;AA752),"")</f>
        <v/>
      </c>
      <c r="AP752" t="str">
        <f t="shared" si="44"/>
        <v/>
      </c>
    </row>
    <row r="753" spans="5:42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45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46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47"/>
        <v>#N/A</v>
      </c>
      <c r="AB753" t="str" cm="1">
        <f t="array" aca="1" ref="AB753" ca="1">IFERROR(INDIRECT("$Z"&amp;AA753),"")</f>
        <v/>
      </c>
      <c r="AP753" t="str">
        <f t="shared" si="44"/>
        <v/>
      </c>
    </row>
    <row r="754" spans="5:42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45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46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47"/>
        <v>#N/A</v>
      </c>
      <c r="AB754" t="str" cm="1">
        <f t="array" aca="1" ref="AB754" ca="1">IFERROR(INDIRECT("$Z"&amp;AA754),"")</f>
        <v/>
      </c>
      <c r="AP754" t="str">
        <f t="shared" si="44"/>
        <v/>
      </c>
    </row>
    <row r="755" spans="5:42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45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46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47"/>
        <v>#N/A</v>
      </c>
      <c r="AB755" t="str" cm="1">
        <f t="array" aca="1" ref="AB755" ca="1">IFERROR(INDIRECT("$Z"&amp;AA755),"")</f>
        <v/>
      </c>
      <c r="AP755" t="str">
        <f t="shared" si="44"/>
        <v/>
      </c>
    </row>
    <row r="756" spans="5:42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45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46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47"/>
        <v>#N/A</v>
      </c>
      <c r="AB756" t="str" cm="1">
        <f t="array" aca="1" ref="AB756" ca="1">IFERROR(INDIRECT("$Z"&amp;AA756),"")</f>
        <v/>
      </c>
      <c r="AP756" t="str">
        <f t="shared" si="44"/>
        <v/>
      </c>
    </row>
    <row r="757" spans="5:42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45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46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47"/>
        <v>#N/A</v>
      </c>
      <c r="AB757" t="str" cm="1">
        <f t="array" aca="1" ref="AB757" ca="1">IFERROR(INDIRECT("$Z"&amp;AA757),"")</f>
        <v/>
      </c>
      <c r="AP757" t="str">
        <f t="shared" si="44"/>
        <v/>
      </c>
    </row>
    <row r="758" spans="5:42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45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46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47"/>
        <v>#N/A</v>
      </c>
      <c r="AB758" t="str" cm="1">
        <f t="array" aca="1" ref="AB758" ca="1">IFERROR(INDIRECT("$Z"&amp;AA758),"")</f>
        <v/>
      </c>
      <c r="AP758" t="str">
        <f t="shared" si="44"/>
        <v/>
      </c>
    </row>
    <row r="759" spans="5:42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45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46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47"/>
        <v>#N/A</v>
      </c>
      <c r="AB759" t="str" cm="1">
        <f t="array" aca="1" ref="AB759" ca="1">IFERROR(INDIRECT("$Z"&amp;AA759),"")</f>
        <v/>
      </c>
      <c r="AP759" t="str">
        <f t="shared" si="44"/>
        <v/>
      </c>
    </row>
    <row r="760" spans="5:42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45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46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47"/>
        <v>#N/A</v>
      </c>
      <c r="AB760" t="str" cm="1">
        <f t="array" aca="1" ref="AB760" ca="1">IFERROR(INDIRECT("$Z"&amp;AA760),"")</f>
        <v/>
      </c>
      <c r="AP760" t="str">
        <f t="shared" si="44"/>
        <v/>
      </c>
    </row>
    <row r="761" spans="5:42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45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46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47"/>
        <v>#N/A</v>
      </c>
      <c r="AB761" t="str" cm="1">
        <f t="array" aca="1" ref="AB761" ca="1">IFERROR(INDIRECT("$Z"&amp;AA761),"")</f>
        <v/>
      </c>
      <c r="AP761" t="str">
        <f t="shared" si="44"/>
        <v/>
      </c>
    </row>
    <row r="762" spans="5:42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45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46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47"/>
        <v>#N/A</v>
      </c>
      <c r="AB762" t="str" cm="1">
        <f t="array" aca="1" ref="AB762" ca="1">IFERROR(INDIRECT("$Z"&amp;AA762),"")</f>
        <v/>
      </c>
      <c r="AP762" t="str">
        <f t="shared" si="44"/>
        <v/>
      </c>
    </row>
    <row r="763" spans="5:42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45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46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47"/>
        <v>#N/A</v>
      </c>
      <c r="AB763" t="str" cm="1">
        <f t="array" aca="1" ref="AB763" ca="1">IFERROR(INDIRECT("$Z"&amp;AA763),"")</f>
        <v/>
      </c>
      <c r="AP763" t="str">
        <f t="shared" si="44"/>
        <v/>
      </c>
    </row>
    <row r="764" spans="5:42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45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46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47"/>
        <v>#N/A</v>
      </c>
      <c r="AB764" t="str" cm="1">
        <f t="array" aca="1" ref="AB764" ca="1">IFERROR(INDIRECT("$Z"&amp;AA764),"")</f>
        <v/>
      </c>
      <c r="AP764" t="str">
        <f t="shared" si="44"/>
        <v/>
      </c>
    </row>
    <row r="765" spans="5:42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45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46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47"/>
        <v>#N/A</v>
      </c>
      <c r="AB765" t="str" cm="1">
        <f t="array" aca="1" ref="AB765" ca="1">IFERROR(INDIRECT("$Z"&amp;AA765),"")</f>
        <v/>
      </c>
      <c r="AP765" t="str">
        <f t="shared" si="44"/>
        <v/>
      </c>
    </row>
    <row r="766" spans="5:42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45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46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47"/>
        <v>#N/A</v>
      </c>
      <c r="AB766" t="str" cm="1">
        <f t="array" aca="1" ref="AB766" ca="1">IFERROR(INDIRECT("$Z"&amp;AA766),"")</f>
        <v/>
      </c>
      <c r="AP766" t="str">
        <f t="shared" si="44"/>
        <v/>
      </c>
    </row>
    <row r="767" spans="5:42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45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46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47"/>
        <v>#N/A</v>
      </c>
      <c r="AB767" t="str" cm="1">
        <f t="array" aca="1" ref="AB767" ca="1">IFERROR(INDIRECT("$Z"&amp;AA767),"")</f>
        <v/>
      </c>
      <c r="AP767" t="str">
        <f t="shared" si="44"/>
        <v/>
      </c>
    </row>
    <row r="768" spans="5:42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45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46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47"/>
        <v>#N/A</v>
      </c>
      <c r="AB768" t="str" cm="1">
        <f t="array" aca="1" ref="AB768" ca="1">IFERROR(INDIRECT("$Z"&amp;AA768),"")</f>
        <v/>
      </c>
      <c r="AP768" t="str">
        <f t="shared" si="44"/>
        <v/>
      </c>
    </row>
    <row r="769" spans="5:42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45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46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47"/>
        <v>#N/A</v>
      </c>
      <c r="AB769" t="str" cm="1">
        <f t="array" aca="1" ref="AB769" ca="1">IFERROR(INDIRECT("$Z"&amp;AA769),"")</f>
        <v/>
      </c>
      <c r="AP769" t="str">
        <f t="shared" si="44"/>
        <v/>
      </c>
    </row>
    <row r="770" spans="5:42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45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46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47"/>
        <v>#N/A</v>
      </c>
      <c r="AB770" t="str" cm="1">
        <f t="array" aca="1" ref="AB770" ca="1">IFERROR(INDIRECT("$Z"&amp;AA770),"")</f>
        <v/>
      </c>
      <c r="AP770" t="str">
        <f t="shared" si="44"/>
        <v/>
      </c>
    </row>
    <row r="771" spans="5:42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45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46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47"/>
        <v>#N/A</v>
      </c>
      <c r="AB771" t="str" cm="1">
        <f t="array" aca="1" ref="AB771" ca="1">IFERROR(INDIRECT("$Z"&amp;AA771),"")</f>
        <v/>
      </c>
      <c r="AP771" t="str">
        <f t="shared" ref="AP771:AP834" si="48">IF(AI771&lt;&gt;"", _xlfn.CONCAT(AI771, " (airside)"), "")</f>
        <v/>
      </c>
    </row>
    <row r="772" spans="5:42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49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50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51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48"/>
        <v/>
      </c>
    </row>
    <row r="773" spans="5:42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49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50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51"/>
        <v>#N/A</v>
      </c>
      <c r="AB773" t="str" cm="1">
        <f t="array" aca="1" ref="AB773" ca="1">IFERROR(INDIRECT("$Z"&amp;AA773),"")</f>
        <v/>
      </c>
      <c r="AP773" t="str">
        <f t="shared" si="48"/>
        <v/>
      </c>
    </row>
    <row r="774" spans="5:42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49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50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51"/>
        <v>#N/A</v>
      </c>
      <c r="AB774" t="str" cm="1">
        <f t="array" aca="1" ref="AB774" ca="1">IFERROR(INDIRECT("$Z"&amp;AA774),"")</f>
        <v/>
      </c>
      <c r="AP774" t="str">
        <f t="shared" si="48"/>
        <v/>
      </c>
    </row>
    <row r="775" spans="5:42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49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50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51"/>
        <v>#N/A</v>
      </c>
      <c r="AB775" t="str" cm="1">
        <f t="array" aca="1" ref="AB775" ca="1">IFERROR(INDIRECT("$Z"&amp;AA775),"")</f>
        <v/>
      </c>
      <c r="AP775" t="str">
        <f t="shared" si="48"/>
        <v/>
      </c>
    </row>
    <row r="776" spans="5:42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49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50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51"/>
        <v>#N/A</v>
      </c>
      <c r="AB776" t="str" cm="1">
        <f t="array" aca="1" ref="AB776" ca="1">IFERROR(INDIRECT("$Z"&amp;AA776),"")</f>
        <v/>
      </c>
      <c r="AP776" t="str">
        <f t="shared" si="48"/>
        <v/>
      </c>
    </row>
    <row r="777" spans="5:42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49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50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51"/>
        <v>#N/A</v>
      </c>
      <c r="AB777" t="str" cm="1">
        <f t="array" aca="1" ref="AB777" ca="1">IFERROR(INDIRECT("$Z"&amp;AA777),"")</f>
        <v/>
      </c>
      <c r="AP777" t="str">
        <f t="shared" si="48"/>
        <v/>
      </c>
    </row>
    <row r="778" spans="5:42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49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50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51"/>
        <v>#N/A</v>
      </c>
      <c r="AB778" t="str" cm="1">
        <f t="array" aca="1" ref="AB778" ca="1">IFERROR(INDIRECT("$Z"&amp;AA778),"")</f>
        <v/>
      </c>
      <c r="AP778" t="str">
        <f t="shared" si="48"/>
        <v/>
      </c>
    </row>
    <row r="779" spans="5:42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49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50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51"/>
        <v>#N/A</v>
      </c>
      <c r="AB779" t="str" cm="1">
        <f t="array" aca="1" ref="AB779" ca="1">IFERROR(INDIRECT("$Z"&amp;AA779),"")</f>
        <v/>
      </c>
      <c r="AP779" t="str">
        <f t="shared" si="48"/>
        <v/>
      </c>
    </row>
    <row r="780" spans="5:42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49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50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51"/>
        <v>#N/A</v>
      </c>
      <c r="AB780" t="str" cm="1">
        <f t="array" aca="1" ref="AB780" ca="1">IFERROR(INDIRECT("$Z"&amp;AA780),"")</f>
        <v/>
      </c>
      <c r="AP780" t="str">
        <f t="shared" si="48"/>
        <v/>
      </c>
    </row>
    <row r="781" spans="5:42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49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50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51"/>
        <v>#N/A</v>
      </c>
      <c r="AB781" t="str" cm="1">
        <f t="array" aca="1" ref="AB781" ca="1">IFERROR(INDIRECT("$Z"&amp;AA781),"")</f>
        <v/>
      </c>
      <c r="AP781" t="str">
        <f t="shared" si="48"/>
        <v/>
      </c>
    </row>
    <row r="782" spans="5:42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49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50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51"/>
        <v>#N/A</v>
      </c>
      <c r="AB782" t="str" cm="1">
        <f t="array" aca="1" ref="AB782" ca="1">IFERROR(INDIRECT("$Z"&amp;AA782),"")</f>
        <v/>
      </c>
      <c r="AP782" t="str">
        <f t="shared" si="48"/>
        <v/>
      </c>
    </row>
    <row r="783" spans="5:42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49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50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51"/>
        <v>#N/A</v>
      </c>
      <c r="AB783" t="str" cm="1">
        <f t="array" aca="1" ref="AB783" ca="1">IFERROR(INDIRECT("$Z"&amp;AA783),"")</f>
        <v/>
      </c>
      <c r="AP783" t="str">
        <f t="shared" si="48"/>
        <v/>
      </c>
    </row>
    <row r="784" spans="5:42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49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50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51"/>
        <v>#N/A</v>
      </c>
      <c r="AB784" t="str" cm="1">
        <f t="array" aca="1" ref="AB784" ca="1">IFERROR(INDIRECT("$Z"&amp;AA784),"")</f>
        <v/>
      </c>
      <c r="AP784" t="str">
        <f t="shared" si="48"/>
        <v/>
      </c>
    </row>
    <row r="785" spans="5:42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49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50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51"/>
        <v>#N/A</v>
      </c>
      <c r="AB785" t="str" cm="1">
        <f t="array" aca="1" ref="AB785" ca="1">IFERROR(INDIRECT("$Z"&amp;AA785),"")</f>
        <v/>
      </c>
      <c r="AP785" t="str">
        <f t="shared" si="48"/>
        <v/>
      </c>
    </row>
    <row r="786" spans="5:42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49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50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51"/>
        <v>#N/A</v>
      </c>
      <c r="AB786" t="str" cm="1">
        <f t="array" aca="1" ref="AB786" ca="1">IFERROR(INDIRECT("$Z"&amp;AA786),"")</f>
        <v/>
      </c>
      <c r="AP786" t="str">
        <f t="shared" si="48"/>
        <v/>
      </c>
    </row>
    <row r="787" spans="5:42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49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50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51"/>
        <v>#N/A</v>
      </c>
      <c r="AB787" t="str" cm="1">
        <f t="array" aca="1" ref="AB787" ca="1">IFERROR(INDIRECT("$Z"&amp;AA787),"")</f>
        <v/>
      </c>
      <c r="AP787" t="str">
        <f t="shared" si="48"/>
        <v/>
      </c>
    </row>
    <row r="788" spans="5:42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49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50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51"/>
        <v>#N/A</v>
      </c>
      <c r="AB788" t="str" cm="1">
        <f t="array" aca="1" ref="AB788" ca="1">IFERROR(INDIRECT("$Z"&amp;AA788),"")</f>
        <v/>
      </c>
      <c r="AP788" t="str">
        <f t="shared" si="48"/>
        <v/>
      </c>
    </row>
    <row r="789" spans="5:42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49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50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51"/>
        <v>#N/A</v>
      </c>
      <c r="AB789" t="str" cm="1">
        <f t="array" aca="1" ref="AB789" ca="1">IFERROR(INDIRECT("$Z"&amp;AA789),"")</f>
        <v/>
      </c>
      <c r="AP789" t="str">
        <f t="shared" si="48"/>
        <v/>
      </c>
    </row>
    <row r="790" spans="5:42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49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50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51"/>
        <v>#N/A</v>
      </c>
      <c r="AB790" t="str" cm="1">
        <f t="array" aca="1" ref="AB790" ca="1">IFERROR(INDIRECT("$Z"&amp;AA790),"")</f>
        <v/>
      </c>
      <c r="AP790" t="str">
        <f t="shared" si="48"/>
        <v/>
      </c>
    </row>
    <row r="791" spans="5:42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49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50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51"/>
        <v>#N/A</v>
      </c>
      <c r="AB791" t="str" cm="1">
        <f t="array" aca="1" ref="AB791" ca="1">IFERROR(INDIRECT("$Z"&amp;AA791),"")</f>
        <v/>
      </c>
      <c r="AP791" t="str">
        <f t="shared" si="48"/>
        <v/>
      </c>
    </row>
    <row r="792" spans="5:42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49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50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51"/>
        <v>#N/A</v>
      </c>
      <c r="AB792" t="str" cm="1">
        <f t="array" aca="1" ref="AB792" ca="1">IFERROR(INDIRECT("$Z"&amp;AA792),"")</f>
        <v/>
      </c>
      <c r="AP792" t="str">
        <f t="shared" si="48"/>
        <v/>
      </c>
    </row>
    <row r="793" spans="5:42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49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50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51"/>
        <v>#N/A</v>
      </c>
      <c r="AB793" t="str" cm="1">
        <f t="array" aca="1" ref="AB793" ca="1">IFERROR(INDIRECT("$Z"&amp;AA793),"")</f>
        <v/>
      </c>
      <c r="AP793" t="str">
        <f t="shared" si="48"/>
        <v/>
      </c>
    </row>
    <row r="794" spans="5:42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49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50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51"/>
        <v>#N/A</v>
      </c>
      <c r="AB794" t="str" cm="1">
        <f t="array" aca="1" ref="AB794" ca="1">IFERROR(INDIRECT("$Z"&amp;AA794),"")</f>
        <v/>
      </c>
      <c r="AP794" t="str">
        <f t="shared" si="48"/>
        <v/>
      </c>
    </row>
    <row r="795" spans="5:42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49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50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51"/>
        <v>#N/A</v>
      </c>
      <c r="AB795" t="str" cm="1">
        <f t="array" aca="1" ref="AB795" ca="1">IFERROR(INDIRECT("$Z"&amp;AA795),"")</f>
        <v/>
      </c>
      <c r="AP795" t="str">
        <f t="shared" si="48"/>
        <v/>
      </c>
    </row>
    <row r="796" spans="5:42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49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50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51"/>
        <v>#N/A</v>
      </c>
      <c r="AB796" t="str" cm="1">
        <f t="array" aca="1" ref="AB796" ca="1">IFERROR(INDIRECT("$Z"&amp;AA796),"")</f>
        <v/>
      </c>
      <c r="AP796" t="str">
        <f t="shared" si="48"/>
        <v/>
      </c>
    </row>
    <row r="797" spans="5:42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49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50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51"/>
        <v>#N/A</v>
      </c>
      <c r="AB797" t="str" cm="1">
        <f t="array" aca="1" ref="AB797" ca="1">IFERROR(INDIRECT("$Z"&amp;AA797),"")</f>
        <v/>
      </c>
      <c r="AP797" t="str">
        <f t="shared" si="48"/>
        <v/>
      </c>
    </row>
    <row r="798" spans="5:42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49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50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51"/>
        <v>#N/A</v>
      </c>
      <c r="AB798" t="str" cm="1">
        <f t="array" aca="1" ref="AB798" ca="1">IFERROR(INDIRECT("$Z"&amp;AA798),"")</f>
        <v/>
      </c>
      <c r="AP798" t="str">
        <f t="shared" si="48"/>
        <v/>
      </c>
    </row>
    <row r="799" spans="5:42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49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50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51"/>
        <v>#N/A</v>
      </c>
      <c r="AB799" t="str" cm="1">
        <f t="array" aca="1" ref="AB799" ca="1">IFERROR(INDIRECT("$Z"&amp;AA799),"")</f>
        <v/>
      </c>
      <c r="AP799" t="str">
        <f t="shared" si="48"/>
        <v/>
      </c>
    </row>
    <row r="800" spans="5:42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49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50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51"/>
        <v>#N/A</v>
      </c>
      <c r="AB800" t="str" cm="1">
        <f t="array" aca="1" ref="AB800" ca="1">IFERROR(INDIRECT("$Z"&amp;AA800),"")</f>
        <v/>
      </c>
      <c r="AP800" t="str">
        <f t="shared" si="48"/>
        <v/>
      </c>
    </row>
    <row r="801" spans="5:42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49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50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51"/>
        <v>#N/A</v>
      </c>
      <c r="AB801" t="str" cm="1">
        <f t="array" aca="1" ref="AB801" ca="1">IFERROR(INDIRECT("$Z"&amp;AA801),"")</f>
        <v/>
      </c>
      <c r="AP801" t="str">
        <f t="shared" si="48"/>
        <v/>
      </c>
    </row>
    <row r="802" spans="5:42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49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50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51"/>
        <v>#N/A</v>
      </c>
      <c r="AB802" t="str" cm="1">
        <f t="array" aca="1" ref="AB802" ca="1">IFERROR(INDIRECT("$Z"&amp;AA802),"")</f>
        <v/>
      </c>
      <c r="AP802" t="str">
        <f t="shared" si="48"/>
        <v/>
      </c>
    </row>
    <row r="803" spans="5:42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49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50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51"/>
        <v>#N/A</v>
      </c>
      <c r="AB803" t="str" cm="1">
        <f t="array" aca="1" ref="AB803" ca="1">IFERROR(INDIRECT("$Z"&amp;AA803),"")</f>
        <v/>
      </c>
      <c r="AP803" t="str">
        <f t="shared" si="48"/>
        <v/>
      </c>
    </row>
    <row r="804" spans="5:42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49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50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51"/>
        <v>#N/A</v>
      </c>
      <c r="AB804" t="str" cm="1">
        <f t="array" aca="1" ref="AB804" ca="1">IFERROR(INDIRECT("$Z"&amp;AA804),"")</f>
        <v/>
      </c>
      <c r="AP804" t="str">
        <f t="shared" si="48"/>
        <v/>
      </c>
    </row>
    <row r="805" spans="5:42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49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50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51"/>
        <v>#N/A</v>
      </c>
      <c r="AB805" t="str" cm="1">
        <f t="array" aca="1" ref="AB805" ca="1">IFERROR(INDIRECT("$Z"&amp;AA805),"")</f>
        <v/>
      </c>
      <c r="AP805" t="str">
        <f t="shared" si="48"/>
        <v/>
      </c>
    </row>
    <row r="806" spans="5:42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49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50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51"/>
        <v>#N/A</v>
      </c>
      <c r="AB806" t="str" cm="1">
        <f t="array" aca="1" ref="AB806" ca="1">IFERROR(INDIRECT("$Z"&amp;AA806),"")</f>
        <v/>
      </c>
      <c r="AP806" t="str">
        <f t="shared" si="48"/>
        <v/>
      </c>
    </row>
    <row r="807" spans="5:42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49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50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51"/>
        <v>#N/A</v>
      </c>
      <c r="AB807" t="str" cm="1">
        <f t="array" aca="1" ref="AB807" ca="1">IFERROR(INDIRECT("$Z"&amp;AA807),"")</f>
        <v/>
      </c>
      <c r="AP807" t="str">
        <f t="shared" si="48"/>
        <v/>
      </c>
    </row>
    <row r="808" spans="5:42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49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50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51"/>
        <v>#N/A</v>
      </c>
      <c r="AB808" t="str" cm="1">
        <f t="array" aca="1" ref="AB808" ca="1">IFERROR(INDIRECT("$Z"&amp;AA808),"")</f>
        <v/>
      </c>
      <c r="AP808" t="str">
        <f t="shared" si="48"/>
        <v/>
      </c>
    </row>
    <row r="809" spans="5:42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49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50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51"/>
        <v>#N/A</v>
      </c>
      <c r="AB809" t="str" cm="1">
        <f t="array" aca="1" ref="AB809" ca="1">IFERROR(INDIRECT("$Z"&amp;AA809),"")</f>
        <v/>
      </c>
      <c r="AP809" t="str">
        <f t="shared" si="48"/>
        <v/>
      </c>
    </row>
    <row r="810" spans="5:42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49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50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51"/>
        <v>#N/A</v>
      </c>
      <c r="AB810" t="str" cm="1">
        <f t="array" aca="1" ref="AB810" ca="1">IFERROR(INDIRECT("$Z"&amp;AA810),"")</f>
        <v/>
      </c>
      <c r="AP810" t="str">
        <f t="shared" si="48"/>
        <v/>
      </c>
    </row>
    <row r="811" spans="5:42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49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50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51"/>
        <v>#N/A</v>
      </c>
      <c r="AB811" t="str" cm="1">
        <f t="array" aca="1" ref="AB811" ca="1">IFERROR(INDIRECT("$Z"&amp;AA811),"")</f>
        <v/>
      </c>
      <c r="AP811" t="str">
        <f t="shared" si="48"/>
        <v/>
      </c>
    </row>
    <row r="812" spans="5:42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49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50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51"/>
        <v>#N/A</v>
      </c>
      <c r="AB812" t="str" cm="1">
        <f t="array" aca="1" ref="AB812" ca="1">IFERROR(INDIRECT("$Z"&amp;AA812),"")</f>
        <v/>
      </c>
      <c r="AP812" t="str">
        <f t="shared" si="48"/>
        <v/>
      </c>
    </row>
    <row r="813" spans="5:42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49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50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51"/>
        <v>#N/A</v>
      </c>
      <c r="AB813" t="str" cm="1">
        <f t="array" aca="1" ref="AB813" ca="1">IFERROR(INDIRECT("$Z"&amp;AA813),"")</f>
        <v/>
      </c>
      <c r="AP813" t="str">
        <f t="shared" si="48"/>
        <v/>
      </c>
    </row>
    <row r="814" spans="5:42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49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50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51"/>
        <v>#N/A</v>
      </c>
      <c r="AB814" t="str" cm="1">
        <f t="array" aca="1" ref="AB814" ca="1">IFERROR(INDIRECT("$Z"&amp;AA814),"")</f>
        <v/>
      </c>
      <c r="AP814" t="str">
        <f t="shared" si="48"/>
        <v/>
      </c>
    </row>
    <row r="815" spans="5:42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49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50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51"/>
        <v>#N/A</v>
      </c>
      <c r="AB815" t="str" cm="1">
        <f t="array" aca="1" ref="AB815" ca="1">IFERROR(INDIRECT("$Z"&amp;AA815),"")</f>
        <v/>
      </c>
      <c r="AP815" t="str">
        <f t="shared" si="48"/>
        <v/>
      </c>
    </row>
    <row r="816" spans="5:42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49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50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51"/>
        <v>#N/A</v>
      </c>
      <c r="AB816" t="str" cm="1">
        <f t="array" aca="1" ref="AB816" ca="1">IFERROR(INDIRECT("$Z"&amp;AA816),"")</f>
        <v/>
      </c>
      <c r="AP816" t="str">
        <f t="shared" si="48"/>
        <v/>
      </c>
    </row>
    <row r="817" spans="5:42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49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50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51"/>
        <v>#N/A</v>
      </c>
      <c r="AB817" t="str" cm="1">
        <f t="array" aca="1" ref="AB817" ca="1">IFERROR(INDIRECT("$Z"&amp;AA817),"")</f>
        <v/>
      </c>
      <c r="AP817" t="str">
        <f t="shared" si="48"/>
        <v/>
      </c>
    </row>
    <row r="818" spans="5:42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49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50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51"/>
        <v>#N/A</v>
      </c>
      <c r="AB818" t="str" cm="1">
        <f t="array" aca="1" ref="AB818" ca="1">IFERROR(INDIRECT("$Z"&amp;AA818),"")</f>
        <v/>
      </c>
      <c r="AP818" t="str">
        <f t="shared" si="48"/>
        <v/>
      </c>
    </row>
    <row r="819" spans="5:42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49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50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51"/>
        <v>#N/A</v>
      </c>
      <c r="AB819" t="str" cm="1">
        <f t="array" aca="1" ref="AB819" ca="1">IFERROR(INDIRECT("$Z"&amp;AA819),"")</f>
        <v/>
      </c>
      <c r="AP819" t="str">
        <f t="shared" si="48"/>
        <v/>
      </c>
    </row>
    <row r="820" spans="5:42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49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50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51"/>
        <v>#N/A</v>
      </c>
      <c r="AB820" t="str" cm="1">
        <f t="array" aca="1" ref="AB820" ca="1">IFERROR(INDIRECT("$Z"&amp;AA820),"")</f>
        <v/>
      </c>
      <c r="AP820" t="str">
        <f t="shared" si="48"/>
        <v/>
      </c>
    </row>
    <row r="821" spans="5:42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49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50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51"/>
        <v>#N/A</v>
      </c>
      <c r="AB821" t="str" cm="1">
        <f t="array" aca="1" ref="AB821" ca="1">IFERROR(INDIRECT("$Z"&amp;AA821),"")</f>
        <v/>
      </c>
      <c r="AP821" t="str">
        <f t="shared" si="48"/>
        <v/>
      </c>
    </row>
    <row r="822" spans="5:42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49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50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51"/>
        <v>#N/A</v>
      </c>
      <c r="AB822" t="str" cm="1">
        <f t="array" aca="1" ref="AB822" ca="1">IFERROR(INDIRECT("$Z"&amp;AA822),"")</f>
        <v/>
      </c>
      <c r="AP822" t="str">
        <f t="shared" si="48"/>
        <v/>
      </c>
    </row>
    <row r="823" spans="5:42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49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50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51"/>
        <v>#N/A</v>
      </c>
      <c r="AB823" t="str" cm="1">
        <f t="array" aca="1" ref="AB823" ca="1">IFERROR(INDIRECT("$Z"&amp;AA823),"")</f>
        <v/>
      </c>
      <c r="AP823" t="str">
        <f t="shared" si="48"/>
        <v/>
      </c>
    </row>
    <row r="824" spans="5:42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49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50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51"/>
        <v>#N/A</v>
      </c>
      <c r="AB824" t="str" cm="1">
        <f t="array" aca="1" ref="AB824" ca="1">IFERROR(INDIRECT("$Z"&amp;AA824),"")</f>
        <v/>
      </c>
      <c r="AP824" t="str">
        <f t="shared" si="48"/>
        <v/>
      </c>
    </row>
    <row r="825" spans="5:42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49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50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51"/>
        <v>#N/A</v>
      </c>
      <c r="AB825" t="str" cm="1">
        <f t="array" aca="1" ref="AB825" ca="1">IFERROR(INDIRECT("$Z"&amp;AA825),"")</f>
        <v/>
      </c>
      <c r="AP825" t="str">
        <f t="shared" si="48"/>
        <v/>
      </c>
    </row>
    <row r="826" spans="5:42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49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50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51"/>
        <v>#N/A</v>
      </c>
      <c r="AB826" t="str" cm="1">
        <f t="array" aca="1" ref="AB826" ca="1">IFERROR(INDIRECT("$Z"&amp;AA826),"")</f>
        <v/>
      </c>
      <c r="AP826" t="str">
        <f t="shared" si="48"/>
        <v/>
      </c>
    </row>
    <row r="827" spans="5:42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49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50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51"/>
        <v>#N/A</v>
      </c>
      <c r="AB827" t="str" cm="1">
        <f t="array" aca="1" ref="AB827" ca="1">IFERROR(INDIRECT("$Z"&amp;AA827),"")</f>
        <v/>
      </c>
      <c r="AP827" t="str">
        <f t="shared" si="48"/>
        <v/>
      </c>
    </row>
    <row r="828" spans="5:42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49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50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51"/>
        <v>#N/A</v>
      </c>
      <c r="AB828" t="str" cm="1">
        <f t="array" aca="1" ref="AB828" ca="1">IFERROR(INDIRECT("$Z"&amp;AA828),"")</f>
        <v/>
      </c>
      <c r="AP828" t="str">
        <f t="shared" si="48"/>
        <v/>
      </c>
    </row>
    <row r="829" spans="5:42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49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50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51"/>
        <v>#N/A</v>
      </c>
      <c r="AB829" t="str" cm="1">
        <f t="array" aca="1" ref="AB829" ca="1">IFERROR(INDIRECT("$Z"&amp;AA829),"")</f>
        <v/>
      </c>
      <c r="AP829" t="str">
        <f t="shared" si="48"/>
        <v/>
      </c>
    </row>
    <row r="830" spans="5:42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49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50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51"/>
        <v>#N/A</v>
      </c>
      <c r="AB830" t="str" cm="1">
        <f t="array" aca="1" ref="AB830" ca="1">IFERROR(INDIRECT("$Z"&amp;AA830),"")</f>
        <v/>
      </c>
      <c r="AP830" t="str">
        <f t="shared" si="48"/>
        <v/>
      </c>
    </row>
    <row r="831" spans="5:42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49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50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51"/>
        <v>#N/A</v>
      </c>
      <c r="AB831" t="str" cm="1">
        <f t="array" aca="1" ref="AB831" ca="1">IFERROR(INDIRECT("$Z"&amp;AA831),"")</f>
        <v/>
      </c>
      <c r="AP831" t="str">
        <f t="shared" si="48"/>
        <v/>
      </c>
    </row>
    <row r="832" spans="5:42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49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50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51"/>
        <v>#N/A</v>
      </c>
      <c r="AB832" t="str" cm="1">
        <f t="array" aca="1" ref="AB832" ca="1">IFERROR(INDIRECT("$Z"&amp;AA832),"")</f>
        <v/>
      </c>
      <c r="AP832" t="str">
        <f t="shared" si="48"/>
        <v/>
      </c>
    </row>
    <row r="833" spans="5:42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49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50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51"/>
        <v>#N/A</v>
      </c>
      <c r="AB833" t="str" cm="1">
        <f t="array" aca="1" ref="AB833" ca="1">IFERROR(INDIRECT("$Z"&amp;AA833),"")</f>
        <v/>
      </c>
      <c r="AP833" t="str">
        <f t="shared" si="48"/>
        <v/>
      </c>
    </row>
    <row r="834" spans="5:42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49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50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51"/>
        <v>#N/A</v>
      </c>
      <c r="AB834" t="str" cm="1">
        <f t="array" aca="1" ref="AB834" ca="1">IFERROR(INDIRECT("$Z"&amp;AA834),"")</f>
        <v/>
      </c>
      <c r="AP834" t="str">
        <f t="shared" si="48"/>
        <v/>
      </c>
    </row>
    <row r="835" spans="5:42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49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50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51"/>
        <v>#N/A</v>
      </c>
      <c r="AB835" t="str" cm="1">
        <f t="array" aca="1" ref="AB835" ca="1">IFERROR(INDIRECT("$Z"&amp;AA835),"")</f>
        <v/>
      </c>
      <c r="AP835" t="str">
        <f t="shared" ref="AP835:AP898" si="52">IF(AI835&lt;&gt;"", _xlfn.CONCAT(AI835, " (airside)"), "")</f>
        <v/>
      </c>
    </row>
    <row r="836" spans="5:42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53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54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55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52"/>
        <v/>
      </c>
    </row>
    <row r="837" spans="5:42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53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54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55"/>
        <v>#N/A</v>
      </c>
      <c r="AB837" t="str" cm="1">
        <f t="array" aca="1" ref="AB837" ca="1">IFERROR(INDIRECT("$Z"&amp;AA837),"")</f>
        <v/>
      </c>
      <c r="AP837" t="str">
        <f t="shared" si="52"/>
        <v/>
      </c>
    </row>
    <row r="838" spans="5:42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53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54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55"/>
        <v>#N/A</v>
      </c>
      <c r="AB838" t="str" cm="1">
        <f t="array" aca="1" ref="AB838" ca="1">IFERROR(INDIRECT("$Z"&amp;AA838),"")</f>
        <v/>
      </c>
      <c r="AP838" t="str">
        <f t="shared" si="52"/>
        <v/>
      </c>
    </row>
    <row r="839" spans="5:42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53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54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55"/>
        <v>#N/A</v>
      </c>
      <c r="AB839" t="str" cm="1">
        <f t="array" aca="1" ref="AB839" ca="1">IFERROR(INDIRECT("$Z"&amp;AA839),"")</f>
        <v/>
      </c>
      <c r="AP839" t="str">
        <f t="shared" si="52"/>
        <v/>
      </c>
    </row>
    <row r="840" spans="5:42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53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54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55"/>
        <v>#N/A</v>
      </c>
      <c r="AB840" t="str" cm="1">
        <f t="array" aca="1" ref="AB840" ca="1">IFERROR(INDIRECT("$Z"&amp;AA840),"")</f>
        <v/>
      </c>
      <c r="AP840" t="str">
        <f t="shared" si="52"/>
        <v/>
      </c>
    </row>
    <row r="841" spans="5:42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53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54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55"/>
        <v>#N/A</v>
      </c>
      <c r="AB841" t="str" cm="1">
        <f t="array" aca="1" ref="AB841" ca="1">IFERROR(INDIRECT("$Z"&amp;AA841),"")</f>
        <v/>
      </c>
      <c r="AP841" t="str">
        <f t="shared" si="52"/>
        <v/>
      </c>
    </row>
    <row r="842" spans="5:42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53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54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55"/>
        <v>#N/A</v>
      </c>
      <c r="AB842" t="str" cm="1">
        <f t="array" aca="1" ref="AB842" ca="1">IFERROR(INDIRECT("$Z"&amp;AA842),"")</f>
        <v/>
      </c>
      <c r="AP842" t="str">
        <f t="shared" si="52"/>
        <v/>
      </c>
    </row>
    <row r="843" spans="5:42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53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54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55"/>
        <v>#N/A</v>
      </c>
      <c r="AB843" t="str" cm="1">
        <f t="array" aca="1" ref="AB843" ca="1">IFERROR(INDIRECT("$Z"&amp;AA843),"")</f>
        <v/>
      </c>
      <c r="AP843" t="str">
        <f t="shared" si="52"/>
        <v/>
      </c>
    </row>
    <row r="844" spans="5:42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53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54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55"/>
        <v>#N/A</v>
      </c>
      <c r="AB844" t="str" cm="1">
        <f t="array" aca="1" ref="AB844" ca="1">IFERROR(INDIRECT("$Z"&amp;AA844),"")</f>
        <v/>
      </c>
      <c r="AP844" t="str">
        <f t="shared" si="52"/>
        <v/>
      </c>
    </row>
    <row r="845" spans="5:42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53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54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55"/>
        <v>#N/A</v>
      </c>
      <c r="AB845" t="str" cm="1">
        <f t="array" aca="1" ref="AB845" ca="1">IFERROR(INDIRECT("$Z"&amp;AA845),"")</f>
        <v/>
      </c>
      <c r="AP845" t="str">
        <f t="shared" si="52"/>
        <v/>
      </c>
    </row>
    <row r="846" spans="5:42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53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54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55"/>
        <v>#N/A</v>
      </c>
      <c r="AB846" t="str" cm="1">
        <f t="array" aca="1" ref="AB846" ca="1">IFERROR(INDIRECT("$Z"&amp;AA846),"")</f>
        <v/>
      </c>
      <c r="AP846" t="str">
        <f t="shared" si="52"/>
        <v/>
      </c>
    </row>
    <row r="847" spans="5:42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53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54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55"/>
        <v>#N/A</v>
      </c>
      <c r="AB847" t="str" cm="1">
        <f t="array" aca="1" ref="AB847" ca="1">IFERROR(INDIRECT("$Z"&amp;AA847),"")</f>
        <v/>
      </c>
      <c r="AP847" t="str">
        <f t="shared" si="52"/>
        <v/>
      </c>
    </row>
    <row r="848" spans="5:42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53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54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55"/>
        <v>#N/A</v>
      </c>
      <c r="AB848" t="str" cm="1">
        <f t="array" aca="1" ref="AB848" ca="1">IFERROR(INDIRECT("$Z"&amp;AA848),"")</f>
        <v/>
      </c>
      <c r="AP848" t="str">
        <f t="shared" si="52"/>
        <v/>
      </c>
    </row>
    <row r="849" spans="5:42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53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54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55"/>
        <v>#N/A</v>
      </c>
      <c r="AB849" t="str" cm="1">
        <f t="array" aca="1" ref="AB849" ca="1">IFERROR(INDIRECT("$Z"&amp;AA849),"")</f>
        <v/>
      </c>
      <c r="AP849" t="str">
        <f t="shared" si="52"/>
        <v/>
      </c>
    </row>
    <row r="850" spans="5:42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53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54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55"/>
        <v>#N/A</v>
      </c>
      <c r="AB850" t="str" cm="1">
        <f t="array" aca="1" ref="AB850" ca="1">IFERROR(INDIRECT("$Z"&amp;AA850),"")</f>
        <v/>
      </c>
      <c r="AP850" t="str">
        <f t="shared" si="52"/>
        <v/>
      </c>
    </row>
    <row r="851" spans="5:42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53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54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55"/>
        <v>#N/A</v>
      </c>
      <c r="AB851" t="str" cm="1">
        <f t="array" aca="1" ref="AB851" ca="1">IFERROR(INDIRECT("$Z"&amp;AA851),"")</f>
        <v/>
      </c>
      <c r="AP851" t="str">
        <f t="shared" si="52"/>
        <v/>
      </c>
    </row>
    <row r="852" spans="5:42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53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54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55"/>
        <v>#N/A</v>
      </c>
      <c r="AB852" t="str" cm="1">
        <f t="array" aca="1" ref="AB852" ca="1">IFERROR(INDIRECT("$Z"&amp;AA852),"")</f>
        <v/>
      </c>
      <c r="AP852" t="str">
        <f t="shared" si="52"/>
        <v/>
      </c>
    </row>
    <row r="853" spans="5:42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53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54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55"/>
        <v>#N/A</v>
      </c>
      <c r="AB853" t="str" cm="1">
        <f t="array" aca="1" ref="AB853" ca="1">IFERROR(INDIRECT("$Z"&amp;AA853),"")</f>
        <v/>
      </c>
      <c r="AP853" t="str">
        <f t="shared" si="52"/>
        <v/>
      </c>
    </row>
    <row r="854" spans="5:42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53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54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55"/>
        <v>#N/A</v>
      </c>
      <c r="AB854" t="str" cm="1">
        <f t="array" aca="1" ref="AB854" ca="1">IFERROR(INDIRECT("$Z"&amp;AA854),"")</f>
        <v/>
      </c>
      <c r="AP854" t="str">
        <f t="shared" si="52"/>
        <v/>
      </c>
    </row>
    <row r="855" spans="5:42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53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54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55"/>
        <v>#N/A</v>
      </c>
      <c r="AB855" t="str" cm="1">
        <f t="array" aca="1" ref="AB855" ca="1">IFERROR(INDIRECT("$Z"&amp;AA855),"")</f>
        <v/>
      </c>
      <c r="AP855" t="str">
        <f t="shared" si="52"/>
        <v/>
      </c>
    </row>
    <row r="856" spans="5:42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53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54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55"/>
        <v>#N/A</v>
      </c>
      <c r="AB856" t="str" cm="1">
        <f t="array" aca="1" ref="AB856" ca="1">IFERROR(INDIRECT("$Z"&amp;AA856),"")</f>
        <v/>
      </c>
      <c r="AP856" t="str">
        <f t="shared" si="52"/>
        <v/>
      </c>
    </row>
    <row r="857" spans="5:42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53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54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55"/>
        <v>#N/A</v>
      </c>
      <c r="AB857" t="str" cm="1">
        <f t="array" aca="1" ref="AB857" ca="1">IFERROR(INDIRECT("$Z"&amp;AA857),"")</f>
        <v/>
      </c>
      <c r="AP857" t="str">
        <f t="shared" si="52"/>
        <v/>
      </c>
    </row>
    <row r="858" spans="5:42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53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54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55"/>
        <v>#N/A</v>
      </c>
      <c r="AB858" t="str" cm="1">
        <f t="array" aca="1" ref="AB858" ca="1">IFERROR(INDIRECT("$Z"&amp;AA858),"")</f>
        <v/>
      </c>
      <c r="AP858" t="str">
        <f t="shared" si="52"/>
        <v/>
      </c>
    </row>
    <row r="859" spans="5:42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53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54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55"/>
        <v>#N/A</v>
      </c>
      <c r="AB859" t="str" cm="1">
        <f t="array" aca="1" ref="AB859" ca="1">IFERROR(INDIRECT("$Z"&amp;AA859),"")</f>
        <v/>
      </c>
      <c r="AP859" t="str">
        <f t="shared" si="52"/>
        <v/>
      </c>
    </row>
    <row r="860" spans="5:42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53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54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55"/>
        <v>#N/A</v>
      </c>
      <c r="AB860" t="str" cm="1">
        <f t="array" aca="1" ref="AB860" ca="1">IFERROR(INDIRECT("$Z"&amp;AA860),"")</f>
        <v/>
      </c>
      <c r="AP860" t="str">
        <f t="shared" si="52"/>
        <v/>
      </c>
    </row>
    <row r="861" spans="5:42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53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54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55"/>
        <v>#N/A</v>
      </c>
      <c r="AB861" t="str" cm="1">
        <f t="array" aca="1" ref="AB861" ca="1">IFERROR(INDIRECT("$Z"&amp;AA861),"")</f>
        <v/>
      </c>
      <c r="AP861" t="str">
        <f t="shared" si="52"/>
        <v/>
      </c>
    </row>
    <row r="862" spans="5:42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53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54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55"/>
        <v>#N/A</v>
      </c>
      <c r="AB862" t="str" cm="1">
        <f t="array" aca="1" ref="AB862" ca="1">IFERROR(INDIRECT("$Z"&amp;AA862),"")</f>
        <v/>
      </c>
      <c r="AP862" t="str">
        <f t="shared" si="52"/>
        <v/>
      </c>
    </row>
    <row r="863" spans="5:42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53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54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55"/>
        <v>#N/A</v>
      </c>
      <c r="AB863" t="str" cm="1">
        <f t="array" aca="1" ref="AB863" ca="1">IFERROR(INDIRECT("$Z"&amp;AA863),"")</f>
        <v/>
      </c>
      <c r="AP863" t="str">
        <f t="shared" si="52"/>
        <v/>
      </c>
    </row>
    <row r="864" spans="5:42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53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54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55"/>
        <v>#N/A</v>
      </c>
      <c r="AB864" t="str" cm="1">
        <f t="array" aca="1" ref="AB864" ca="1">IFERROR(INDIRECT("$Z"&amp;AA864),"")</f>
        <v/>
      </c>
      <c r="AP864" t="str">
        <f t="shared" si="52"/>
        <v/>
      </c>
    </row>
    <row r="865" spans="5:42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53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54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55"/>
        <v>#N/A</v>
      </c>
      <c r="AB865" t="str" cm="1">
        <f t="array" aca="1" ref="AB865" ca="1">IFERROR(INDIRECT("$Z"&amp;AA865),"")</f>
        <v/>
      </c>
      <c r="AP865" t="str">
        <f t="shared" si="52"/>
        <v/>
      </c>
    </row>
    <row r="866" spans="5:42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53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54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55"/>
        <v>#N/A</v>
      </c>
      <c r="AB866" t="str" cm="1">
        <f t="array" aca="1" ref="AB866" ca="1">IFERROR(INDIRECT("$Z"&amp;AA866),"")</f>
        <v/>
      </c>
      <c r="AP866" t="str">
        <f t="shared" si="52"/>
        <v/>
      </c>
    </row>
    <row r="867" spans="5:42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53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54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55"/>
        <v>#N/A</v>
      </c>
      <c r="AB867" t="str" cm="1">
        <f t="array" aca="1" ref="AB867" ca="1">IFERROR(INDIRECT("$Z"&amp;AA867),"")</f>
        <v/>
      </c>
      <c r="AP867" t="str">
        <f t="shared" si="52"/>
        <v/>
      </c>
    </row>
    <row r="868" spans="5:42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53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54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55"/>
        <v>#N/A</v>
      </c>
      <c r="AB868" t="str" cm="1">
        <f t="array" aca="1" ref="AB868" ca="1">IFERROR(INDIRECT("$Z"&amp;AA868),"")</f>
        <v/>
      </c>
      <c r="AP868" t="str">
        <f t="shared" si="52"/>
        <v/>
      </c>
    </row>
    <row r="869" spans="5:42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53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54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55"/>
        <v>#N/A</v>
      </c>
      <c r="AB869" t="str" cm="1">
        <f t="array" aca="1" ref="AB869" ca="1">IFERROR(INDIRECT("$Z"&amp;AA869),"")</f>
        <v/>
      </c>
      <c r="AP869" t="str">
        <f t="shared" si="52"/>
        <v/>
      </c>
    </row>
    <row r="870" spans="5:42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53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54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55"/>
        <v>#N/A</v>
      </c>
      <c r="AB870" t="str" cm="1">
        <f t="array" aca="1" ref="AB870" ca="1">IFERROR(INDIRECT("$Z"&amp;AA870),"")</f>
        <v/>
      </c>
      <c r="AP870" t="str">
        <f t="shared" si="52"/>
        <v/>
      </c>
    </row>
    <row r="871" spans="5:42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53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54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55"/>
        <v>#N/A</v>
      </c>
      <c r="AB871" t="str" cm="1">
        <f t="array" aca="1" ref="AB871" ca="1">IFERROR(INDIRECT("$Z"&amp;AA871),"")</f>
        <v/>
      </c>
      <c r="AP871" t="str">
        <f t="shared" si="52"/>
        <v/>
      </c>
    </row>
    <row r="872" spans="5:42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53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54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55"/>
        <v>#N/A</v>
      </c>
      <c r="AB872" t="str" cm="1">
        <f t="array" aca="1" ref="AB872" ca="1">IFERROR(INDIRECT("$Z"&amp;AA872),"")</f>
        <v/>
      </c>
      <c r="AP872" t="str">
        <f t="shared" si="52"/>
        <v/>
      </c>
    </row>
    <row r="873" spans="5:42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53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54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55"/>
        <v>#N/A</v>
      </c>
      <c r="AB873" t="str" cm="1">
        <f t="array" aca="1" ref="AB873" ca="1">IFERROR(INDIRECT("$Z"&amp;AA873),"")</f>
        <v/>
      </c>
      <c r="AP873" t="str">
        <f t="shared" si="52"/>
        <v/>
      </c>
    </row>
    <row r="874" spans="5:42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53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54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55"/>
        <v>#N/A</v>
      </c>
      <c r="AB874" t="str" cm="1">
        <f t="array" aca="1" ref="AB874" ca="1">IFERROR(INDIRECT("$Z"&amp;AA874),"")</f>
        <v/>
      </c>
      <c r="AP874" t="str">
        <f t="shared" si="52"/>
        <v/>
      </c>
    </row>
    <row r="875" spans="5:42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53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54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55"/>
        <v>#N/A</v>
      </c>
      <c r="AB875" t="str" cm="1">
        <f t="array" aca="1" ref="AB875" ca="1">IFERROR(INDIRECT("$Z"&amp;AA875),"")</f>
        <v/>
      </c>
      <c r="AP875" t="str">
        <f t="shared" si="52"/>
        <v/>
      </c>
    </row>
    <row r="876" spans="5:42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53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54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55"/>
        <v>#N/A</v>
      </c>
      <c r="AB876" t="str" cm="1">
        <f t="array" aca="1" ref="AB876" ca="1">IFERROR(INDIRECT("$Z"&amp;AA876),"")</f>
        <v/>
      </c>
      <c r="AP876" t="str">
        <f t="shared" si="52"/>
        <v/>
      </c>
    </row>
    <row r="877" spans="5:42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53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54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55"/>
        <v>#N/A</v>
      </c>
      <c r="AB877" t="str" cm="1">
        <f t="array" aca="1" ref="AB877" ca="1">IFERROR(INDIRECT("$Z"&amp;AA877),"")</f>
        <v/>
      </c>
      <c r="AP877" t="str">
        <f t="shared" si="52"/>
        <v/>
      </c>
    </row>
    <row r="878" spans="5:42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53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54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55"/>
        <v>#N/A</v>
      </c>
      <c r="AB878" t="str" cm="1">
        <f t="array" aca="1" ref="AB878" ca="1">IFERROR(INDIRECT("$Z"&amp;AA878),"")</f>
        <v/>
      </c>
      <c r="AP878" t="str">
        <f t="shared" si="52"/>
        <v/>
      </c>
    </row>
    <row r="879" spans="5:42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53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54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55"/>
        <v>#N/A</v>
      </c>
      <c r="AB879" t="str" cm="1">
        <f t="array" aca="1" ref="AB879" ca="1">IFERROR(INDIRECT("$Z"&amp;AA879),"")</f>
        <v/>
      </c>
      <c r="AP879" t="str">
        <f t="shared" si="52"/>
        <v/>
      </c>
    </row>
    <row r="880" spans="5:42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53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54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55"/>
        <v>#N/A</v>
      </c>
      <c r="AB880" t="str" cm="1">
        <f t="array" aca="1" ref="AB880" ca="1">IFERROR(INDIRECT("$Z"&amp;AA880),"")</f>
        <v/>
      </c>
      <c r="AP880" t="str">
        <f t="shared" si="52"/>
        <v/>
      </c>
    </row>
    <row r="881" spans="5:42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53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54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55"/>
        <v>#N/A</v>
      </c>
      <c r="AB881" t="str" cm="1">
        <f t="array" aca="1" ref="AB881" ca="1">IFERROR(INDIRECT("$Z"&amp;AA881),"")</f>
        <v/>
      </c>
      <c r="AP881" t="str">
        <f t="shared" si="52"/>
        <v/>
      </c>
    </row>
    <row r="882" spans="5:42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53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54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55"/>
        <v>#N/A</v>
      </c>
      <c r="AB882" t="str" cm="1">
        <f t="array" aca="1" ref="AB882" ca="1">IFERROR(INDIRECT("$Z"&amp;AA882),"")</f>
        <v/>
      </c>
      <c r="AP882" t="str">
        <f t="shared" si="52"/>
        <v/>
      </c>
    </row>
    <row r="883" spans="5:42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53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54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55"/>
        <v>#N/A</v>
      </c>
      <c r="AB883" t="str" cm="1">
        <f t="array" aca="1" ref="AB883" ca="1">IFERROR(INDIRECT("$Z"&amp;AA883),"")</f>
        <v/>
      </c>
      <c r="AP883" t="str">
        <f t="shared" si="52"/>
        <v/>
      </c>
    </row>
    <row r="884" spans="5:42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53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54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55"/>
        <v>#N/A</v>
      </c>
      <c r="AB884" t="str" cm="1">
        <f t="array" aca="1" ref="AB884" ca="1">IFERROR(INDIRECT("$Z"&amp;AA884),"")</f>
        <v/>
      </c>
      <c r="AP884" t="str">
        <f t="shared" si="52"/>
        <v/>
      </c>
    </row>
    <row r="885" spans="5:42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53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54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55"/>
        <v>#N/A</v>
      </c>
      <c r="AB885" t="str" cm="1">
        <f t="array" aca="1" ref="AB885" ca="1">IFERROR(INDIRECT("$Z"&amp;AA885),"")</f>
        <v/>
      </c>
      <c r="AP885" t="str">
        <f t="shared" si="52"/>
        <v/>
      </c>
    </row>
    <row r="886" spans="5:42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53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54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55"/>
        <v>#N/A</v>
      </c>
      <c r="AB886" t="str" cm="1">
        <f t="array" aca="1" ref="AB886" ca="1">IFERROR(INDIRECT("$Z"&amp;AA886),"")</f>
        <v/>
      </c>
      <c r="AP886" t="str">
        <f t="shared" si="52"/>
        <v/>
      </c>
    </row>
    <row r="887" spans="5:42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53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54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55"/>
        <v>#N/A</v>
      </c>
      <c r="AB887" t="str" cm="1">
        <f t="array" aca="1" ref="AB887" ca="1">IFERROR(INDIRECT("$Z"&amp;AA887),"")</f>
        <v/>
      </c>
      <c r="AP887" t="str">
        <f t="shared" si="52"/>
        <v/>
      </c>
    </row>
    <row r="888" spans="5:42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53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54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55"/>
        <v>#N/A</v>
      </c>
      <c r="AB888" t="str" cm="1">
        <f t="array" aca="1" ref="AB888" ca="1">IFERROR(INDIRECT("$Z"&amp;AA888),"")</f>
        <v/>
      </c>
      <c r="AP888" t="str">
        <f t="shared" si="52"/>
        <v/>
      </c>
    </row>
    <row r="889" spans="5:42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53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54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55"/>
        <v>#N/A</v>
      </c>
      <c r="AB889" t="str" cm="1">
        <f t="array" aca="1" ref="AB889" ca="1">IFERROR(INDIRECT("$Z"&amp;AA889),"")</f>
        <v/>
      </c>
      <c r="AP889" t="str">
        <f t="shared" si="52"/>
        <v/>
      </c>
    </row>
    <row r="890" spans="5:42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53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54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55"/>
        <v>#N/A</v>
      </c>
      <c r="AB890" t="str" cm="1">
        <f t="array" aca="1" ref="AB890" ca="1">IFERROR(INDIRECT("$Z"&amp;AA890),"")</f>
        <v/>
      </c>
      <c r="AP890" t="str">
        <f t="shared" si="52"/>
        <v/>
      </c>
    </row>
    <row r="891" spans="5:42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53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54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55"/>
        <v>#N/A</v>
      </c>
      <c r="AB891" t="str" cm="1">
        <f t="array" aca="1" ref="AB891" ca="1">IFERROR(INDIRECT("$Z"&amp;AA891),"")</f>
        <v/>
      </c>
      <c r="AP891" t="str">
        <f t="shared" si="52"/>
        <v/>
      </c>
    </row>
    <row r="892" spans="5:42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53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54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55"/>
        <v>#N/A</v>
      </c>
      <c r="AB892" t="str" cm="1">
        <f t="array" aca="1" ref="AB892" ca="1">IFERROR(INDIRECT("$Z"&amp;AA892),"")</f>
        <v/>
      </c>
      <c r="AP892" t="str">
        <f t="shared" si="52"/>
        <v/>
      </c>
    </row>
    <row r="893" spans="5:42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53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54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55"/>
        <v>#N/A</v>
      </c>
      <c r="AB893" t="str" cm="1">
        <f t="array" aca="1" ref="AB893" ca="1">IFERROR(INDIRECT("$Z"&amp;AA893),"")</f>
        <v/>
      </c>
      <c r="AP893" t="str">
        <f t="shared" si="52"/>
        <v/>
      </c>
    </row>
    <row r="894" spans="5:42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53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54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55"/>
        <v>#N/A</v>
      </c>
      <c r="AB894" t="str" cm="1">
        <f t="array" aca="1" ref="AB894" ca="1">IFERROR(INDIRECT("$Z"&amp;AA894),"")</f>
        <v/>
      </c>
      <c r="AP894" t="str">
        <f t="shared" si="52"/>
        <v/>
      </c>
    </row>
    <row r="895" spans="5:42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53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54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55"/>
        <v>#N/A</v>
      </c>
      <c r="AB895" t="str" cm="1">
        <f t="array" aca="1" ref="AB895" ca="1">IFERROR(INDIRECT("$Z"&amp;AA895),"")</f>
        <v/>
      </c>
      <c r="AP895" t="str">
        <f t="shared" si="52"/>
        <v/>
      </c>
    </row>
    <row r="896" spans="5:42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53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54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55"/>
        <v>#N/A</v>
      </c>
      <c r="AB896" t="str" cm="1">
        <f t="array" aca="1" ref="AB896" ca="1">IFERROR(INDIRECT("$Z"&amp;AA896),"")</f>
        <v/>
      </c>
      <c r="AP896" t="str">
        <f t="shared" si="52"/>
        <v/>
      </c>
    </row>
    <row r="897" spans="5:42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53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54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55"/>
        <v>#N/A</v>
      </c>
      <c r="AB897" t="str" cm="1">
        <f t="array" aca="1" ref="AB897" ca="1">IFERROR(INDIRECT("$Z"&amp;AA897),"")</f>
        <v/>
      </c>
      <c r="AP897" t="str">
        <f t="shared" si="52"/>
        <v/>
      </c>
    </row>
    <row r="898" spans="5:42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53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54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55"/>
        <v>#N/A</v>
      </c>
      <c r="AB898" t="str" cm="1">
        <f t="array" aca="1" ref="AB898" ca="1">IFERROR(INDIRECT("$Z"&amp;AA898),"")</f>
        <v/>
      </c>
      <c r="AP898" t="str">
        <f t="shared" si="52"/>
        <v/>
      </c>
    </row>
    <row r="899" spans="5:42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53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54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55"/>
        <v>#N/A</v>
      </c>
      <c r="AB899" t="str" cm="1">
        <f t="array" aca="1" ref="AB899" ca="1">IFERROR(INDIRECT("$Z"&amp;AA899),"")</f>
        <v/>
      </c>
      <c r="AP899" t="str">
        <f t="shared" ref="AP899:AP962" si="56">IF(AI899&lt;&gt;"", _xlfn.CONCAT(AI899, " (airside)"), "")</f>
        <v/>
      </c>
    </row>
    <row r="900" spans="5:42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57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58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59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56"/>
        <v/>
      </c>
    </row>
    <row r="901" spans="5:42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57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58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59"/>
        <v>#N/A</v>
      </c>
      <c r="AB901" t="str" cm="1">
        <f t="array" aca="1" ref="AB901" ca="1">IFERROR(INDIRECT("$Z"&amp;AA901),"")</f>
        <v/>
      </c>
      <c r="AP901" t="str">
        <f t="shared" si="56"/>
        <v/>
      </c>
    </row>
    <row r="902" spans="5:42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57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58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59"/>
        <v>#N/A</v>
      </c>
      <c r="AB902" t="str" cm="1">
        <f t="array" aca="1" ref="AB902" ca="1">IFERROR(INDIRECT("$Z"&amp;AA902),"")</f>
        <v/>
      </c>
      <c r="AP902" t="str">
        <f t="shared" si="56"/>
        <v/>
      </c>
    </row>
    <row r="903" spans="5:42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57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58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59"/>
        <v>#N/A</v>
      </c>
      <c r="AB903" t="str" cm="1">
        <f t="array" aca="1" ref="AB903" ca="1">IFERROR(INDIRECT("$Z"&amp;AA903),"")</f>
        <v/>
      </c>
      <c r="AP903" t="str">
        <f t="shared" si="56"/>
        <v/>
      </c>
    </row>
    <row r="904" spans="5:42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57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58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59"/>
        <v>#N/A</v>
      </c>
      <c r="AB904" t="str" cm="1">
        <f t="array" aca="1" ref="AB904" ca="1">IFERROR(INDIRECT("$Z"&amp;AA904),"")</f>
        <v/>
      </c>
      <c r="AP904" t="str">
        <f t="shared" si="56"/>
        <v/>
      </c>
    </row>
    <row r="905" spans="5:42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57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58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59"/>
        <v>#N/A</v>
      </c>
      <c r="AB905" t="str" cm="1">
        <f t="array" aca="1" ref="AB905" ca="1">IFERROR(INDIRECT("$Z"&amp;AA905),"")</f>
        <v/>
      </c>
      <c r="AP905" t="str">
        <f t="shared" si="56"/>
        <v/>
      </c>
    </row>
    <row r="906" spans="5:42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57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58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59"/>
        <v>#N/A</v>
      </c>
      <c r="AB906" t="str" cm="1">
        <f t="array" aca="1" ref="AB906" ca="1">IFERROR(INDIRECT("$Z"&amp;AA906),"")</f>
        <v/>
      </c>
      <c r="AP906" t="str">
        <f t="shared" si="56"/>
        <v/>
      </c>
    </row>
    <row r="907" spans="5:42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57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58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59"/>
        <v>#N/A</v>
      </c>
      <c r="AB907" t="str" cm="1">
        <f t="array" aca="1" ref="AB907" ca="1">IFERROR(INDIRECT("$Z"&amp;AA907),"")</f>
        <v/>
      </c>
      <c r="AP907" t="str">
        <f t="shared" si="56"/>
        <v/>
      </c>
    </row>
    <row r="908" spans="5:42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57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58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59"/>
        <v>#N/A</v>
      </c>
      <c r="AB908" t="str" cm="1">
        <f t="array" aca="1" ref="AB908" ca="1">IFERROR(INDIRECT("$Z"&amp;AA908),"")</f>
        <v/>
      </c>
      <c r="AP908" t="str">
        <f t="shared" si="56"/>
        <v/>
      </c>
    </row>
    <row r="909" spans="5:42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57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58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59"/>
        <v>#N/A</v>
      </c>
      <c r="AB909" t="str" cm="1">
        <f t="array" aca="1" ref="AB909" ca="1">IFERROR(INDIRECT("$Z"&amp;AA909),"")</f>
        <v/>
      </c>
      <c r="AP909" t="str">
        <f t="shared" si="56"/>
        <v/>
      </c>
    </row>
    <row r="910" spans="5:42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57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58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59"/>
        <v>#N/A</v>
      </c>
      <c r="AB910" t="str" cm="1">
        <f t="array" aca="1" ref="AB910" ca="1">IFERROR(INDIRECT("$Z"&amp;AA910),"")</f>
        <v/>
      </c>
      <c r="AP910" t="str">
        <f t="shared" si="56"/>
        <v/>
      </c>
    </row>
    <row r="911" spans="5:42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57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58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59"/>
        <v>#N/A</v>
      </c>
      <c r="AB911" t="str" cm="1">
        <f t="array" aca="1" ref="AB911" ca="1">IFERROR(INDIRECT("$Z"&amp;AA911),"")</f>
        <v/>
      </c>
      <c r="AP911" t="str">
        <f t="shared" si="56"/>
        <v/>
      </c>
    </row>
    <row r="912" spans="5:42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57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58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59"/>
        <v>#N/A</v>
      </c>
      <c r="AB912" t="str" cm="1">
        <f t="array" aca="1" ref="AB912" ca="1">IFERROR(INDIRECT("$Z"&amp;AA912),"")</f>
        <v/>
      </c>
      <c r="AP912" t="str">
        <f t="shared" si="56"/>
        <v/>
      </c>
    </row>
    <row r="913" spans="5:42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57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58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59"/>
        <v>#N/A</v>
      </c>
      <c r="AB913" t="str" cm="1">
        <f t="array" aca="1" ref="AB913" ca="1">IFERROR(INDIRECT("$Z"&amp;AA913),"")</f>
        <v/>
      </c>
      <c r="AP913" t="str">
        <f t="shared" si="56"/>
        <v/>
      </c>
    </row>
    <row r="914" spans="5:42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57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58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59"/>
        <v>#N/A</v>
      </c>
      <c r="AB914" t="str" cm="1">
        <f t="array" aca="1" ref="AB914" ca="1">IFERROR(INDIRECT("$Z"&amp;AA914),"")</f>
        <v/>
      </c>
      <c r="AP914" t="str">
        <f t="shared" si="56"/>
        <v/>
      </c>
    </row>
    <row r="915" spans="5:42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57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58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59"/>
        <v>#N/A</v>
      </c>
      <c r="AB915" t="str" cm="1">
        <f t="array" aca="1" ref="AB915" ca="1">IFERROR(INDIRECT("$Z"&amp;AA915),"")</f>
        <v/>
      </c>
      <c r="AP915" t="str">
        <f t="shared" si="56"/>
        <v/>
      </c>
    </row>
    <row r="916" spans="5:42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57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58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59"/>
        <v>#N/A</v>
      </c>
      <c r="AB916" t="str" cm="1">
        <f t="array" aca="1" ref="AB916" ca="1">IFERROR(INDIRECT("$Z"&amp;AA916),"")</f>
        <v/>
      </c>
      <c r="AP916" t="str">
        <f t="shared" si="56"/>
        <v/>
      </c>
    </row>
    <row r="917" spans="5:42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57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58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59"/>
        <v>#N/A</v>
      </c>
      <c r="AB917" t="str" cm="1">
        <f t="array" aca="1" ref="AB917" ca="1">IFERROR(INDIRECT("$Z"&amp;AA917),"")</f>
        <v/>
      </c>
      <c r="AP917" t="str">
        <f t="shared" si="56"/>
        <v/>
      </c>
    </row>
    <row r="918" spans="5:42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57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58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59"/>
        <v>#N/A</v>
      </c>
      <c r="AB918" t="str" cm="1">
        <f t="array" aca="1" ref="AB918" ca="1">IFERROR(INDIRECT("$Z"&amp;AA918),"")</f>
        <v/>
      </c>
      <c r="AP918" t="str">
        <f t="shared" si="56"/>
        <v/>
      </c>
    </row>
    <row r="919" spans="5:42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57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58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59"/>
        <v>#N/A</v>
      </c>
      <c r="AB919" t="str" cm="1">
        <f t="array" aca="1" ref="AB919" ca="1">IFERROR(INDIRECT("$Z"&amp;AA919),"")</f>
        <v/>
      </c>
      <c r="AP919" t="str">
        <f t="shared" si="56"/>
        <v/>
      </c>
    </row>
    <row r="920" spans="5:42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57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58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59"/>
        <v>#N/A</v>
      </c>
      <c r="AB920" t="str" cm="1">
        <f t="array" aca="1" ref="AB920" ca="1">IFERROR(INDIRECT("$Z"&amp;AA920),"")</f>
        <v/>
      </c>
      <c r="AP920" t="str">
        <f t="shared" si="56"/>
        <v/>
      </c>
    </row>
    <row r="921" spans="5:42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57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58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59"/>
        <v>#N/A</v>
      </c>
      <c r="AB921" t="str" cm="1">
        <f t="array" aca="1" ref="AB921" ca="1">IFERROR(INDIRECT("$Z"&amp;AA921),"")</f>
        <v/>
      </c>
      <c r="AP921" t="str">
        <f t="shared" si="56"/>
        <v/>
      </c>
    </row>
    <row r="922" spans="5:42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57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58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59"/>
        <v>#N/A</v>
      </c>
      <c r="AB922" t="str" cm="1">
        <f t="array" aca="1" ref="AB922" ca="1">IFERROR(INDIRECT("$Z"&amp;AA922),"")</f>
        <v/>
      </c>
      <c r="AP922" t="str">
        <f t="shared" si="56"/>
        <v/>
      </c>
    </row>
    <row r="923" spans="5:42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57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58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59"/>
        <v>#N/A</v>
      </c>
      <c r="AB923" t="str" cm="1">
        <f t="array" aca="1" ref="AB923" ca="1">IFERROR(INDIRECT("$Z"&amp;AA923),"")</f>
        <v/>
      </c>
      <c r="AP923" t="str">
        <f t="shared" si="56"/>
        <v/>
      </c>
    </row>
    <row r="924" spans="5:42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57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58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59"/>
        <v>#N/A</v>
      </c>
      <c r="AB924" t="str" cm="1">
        <f t="array" aca="1" ref="AB924" ca="1">IFERROR(INDIRECT("$Z"&amp;AA924),"")</f>
        <v/>
      </c>
      <c r="AP924" t="str">
        <f t="shared" si="56"/>
        <v/>
      </c>
    </row>
    <row r="925" spans="5:42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57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58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59"/>
        <v>#N/A</v>
      </c>
      <c r="AB925" t="str" cm="1">
        <f t="array" aca="1" ref="AB925" ca="1">IFERROR(INDIRECT("$Z"&amp;AA925),"")</f>
        <v/>
      </c>
      <c r="AP925" t="str">
        <f t="shared" si="56"/>
        <v/>
      </c>
    </row>
    <row r="926" spans="5:42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57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58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59"/>
        <v>#N/A</v>
      </c>
      <c r="AB926" t="str" cm="1">
        <f t="array" aca="1" ref="AB926" ca="1">IFERROR(INDIRECT("$Z"&amp;AA926),"")</f>
        <v/>
      </c>
      <c r="AP926" t="str">
        <f t="shared" si="56"/>
        <v/>
      </c>
    </row>
    <row r="927" spans="5:42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57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58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59"/>
        <v>#N/A</v>
      </c>
      <c r="AB927" t="str" cm="1">
        <f t="array" aca="1" ref="AB927" ca="1">IFERROR(INDIRECT("$Z"&amp;AA927),"")</f>
        <v/>
      </c>
      <c r="AP927" t="str">
        <f t="shared" si="56"/>
        <v/>
      </c>
    </row>
    <row r="928" spans="5:42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57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58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59"/>
        <v>#N/A</v>
      </c>
      <c r="AB928" t="str" cm="1">
        <f t="array" aca="1" ref="AB928" ca="1">IFERROR(INDIRECT("$Z"&amp;AA928),"")</f>
        <v/>
      </c>
      <c r="AP928" t="str">
        <f t="shared" si="56"/>
        <v/>
      </c>
    </row>
    <row r="929" spans="5:42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57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58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59"/>
        <v>#N/A</v>
      </c>
      <c r="AB929" t="str" cm="1">
        <f t="array" aca="1" ref="AB929" ca="1">IFERROR(INDIRECT("$Z"&amp;AA929),"")</f>
        <v/>
      </c>
      <c r="AP929" t="str">
        <f t="shared" si="56"/>
        <v/>
      </c>
    </row>
    <row r="930" spans="5:42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57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58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59"/>
        <v>#N/A</v>
      </c>
      <c r="AB930" t="str" cm="1">
        <f t="array" aca="1" ref="AB930" ca="1">IFERROR(INDIRECT("$Z"&amp;AA930),"")</f>
        <v/>
      </c>
      <c r="AP930" t="str">
        <f t="shared" si="56"/>
        <v/>
      </c>
    </row>
    <row r="931" spans="5:42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57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58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59"/>
        <v>#N/A</v>
      </c>
      <c r="AB931" t="str" cm="1">
        <f t="array" aca="1" ref="AB931" ca="1">IFERROR(INDIRECT("$Z"&amp;AA931),"")</f>
        <v/>
      </c>
      <c r="AP931" t="str">
        <f t="shared" si="56"/>
        <v/>
      </c>
    </row>
    <row r="932" spans="5:42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57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58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59"/>
        <v>#N/A</v>
      </c>
      <c r="AB932" t="str" cm="1">
        <f t="array" aca="1" ref="AB932" ca="1">IFERROR(INDIRECT("$Z"&amp;AA932),"")</f>
        <v/>
      </c>
      <c r="AP932" t="str">
        <f t="shared" si="56"/>
        <v/>
      </c>
    </row>
    <row r="933" spans="5:42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57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58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59"/>
        <v>#N/A</v>
      </c>
      <c r="AB933" t="str" cm="1">
        <f t="array" aca="1" ref="AB933" ca="1">IFERROR(INDIRECT("$Z"&amp;AA933),"")</f>
        <v/>
      </c>
      <c r="AP933" t="str">
        <f t="shared" si="56"/>
        <v/>
      </c>
    </row>
    <row r="934" spans="5:42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57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58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59"/>
        <v>#N/A</v>
      </c>
      <c r="AB934" t="str" cm="1">
        <f t="array" aca="1" ref="AB934" ca="1">IFERROR(INDIRECT("$Z"&amp;AA934),"")</f>
        <v/>
      </c>
      <c r="AP934" t="str">
        <f t="shared" si="56"/>
        <v/>
      </c>
    </row>
    <row r="935" spans="5:42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57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58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59"/>
        <v>#N/A</v>
      </c>
      <c r="AB935" t="str" cm="1">
        <f t="array" aca="1" ref="AB935" ca="1">IFERROR(INDIRECT("$Z"&amp;AA935),"")</f>
        <v/>
      </c>
      <c r="AP935" t="str">
        <f t="shared" si="56"/>
        <v/>
      </c>
    </row>
    <row r="936" spans="5:42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57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58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59"/>
        <v>#N/A</v>
      </c>
      <c r="AB936" t="str" cm="1">
        <f t="array" aca="1" ref="AB936" ca="1">IFERROR(INDIRECT("$Z"&amp;AA936),"")</f>
        <v/>
      </c>
      <c r="AP936" t="str">
        <f t="shared" si="56"/>
        <v/>
      </c>
    </row>
    <row r="937" spans="5:42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57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58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59"/>
        <v>#N/A</v>
      </c>
      <c r="AB937" t="str" cm="1">
        <f t="array" aca="1" ref="AB937" ca="1">IFERROR(INDIRECT("$Z"&amp;AA937),"")</f>
        <v/>
      </c>
      <c r="AP937" t="str">
        <f t="shared" si="56"/>
        <v/>
      </c>
    </row>
    <row r="938" spans="5:42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57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58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59"/>
        <v>#N/A</v>
      </c>
      <c r="AB938" t="str" cm="1">
        <f t="array" aca="1" ref="AB938" ca="1">IFERROR(INDIRECT("$Z"&amp;AA938),"")</f>
        <v/>
      </c>
      <c r="AP938" t="str">
        <f t="shared" si="56"/>
        <v/>
      </c>
    </row>
    <row r="939" spans="5:42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57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58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59"/>
        <v>#N/A</v>
      </c>
      <c r="AB939" t="str" cm="1">
        <f t="array" aca="1" ref="AB939" ca="1">IFERROR(INDIRECT("$Z"&amp;AA939),"")</f>
        <v/>
      </c>
      <c r="AP939" t="str">
        <f t="shared" si="56"/>
        <v/>
      </c>
    </row>
    <row r="940" spans="5:42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57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58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59"/>
        <v>#N/A</v>
      </c>
      <c r="AB940" t="str" cm="1">
        <f t="array" aca="1" ref="AB940" ca="1">IFERROR(INDIRECT("$Z"&amp;AA940),"")</f>
        <v/>
      </c>
      <c r="AP940" t="str">
        <f t="shared" si="56"/>
        <v/>
      </c>
    </row>
    <row r="941" spans="5:42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57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58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59"/>
        <v>#N/A</v>
      </c>
      <c r="AB941" t="str" cm="1">
        <f t="array" aca="1" ref="AB941" ca="1">IFERROR(INDIRECT("$Z"&amp;AA941),"")</f>
        <v/>
      </c>
      <c r="AP941" t="str">
        <f t="shared" si="56"/>
        <v/>
      </c>
    </row>
    <row r="942" spans="5:42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57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58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59"/>
        <v>#N/A</v>
      </c>
      <c r="AB942" t="str" cm="1">
        <f t="array" aca="1" ref="AB942" ca="1">IFERROR(INDIRECT("$Z"&amp;AA942),"")</f>
        <v/>
      </c>
      <c r="AP942" t="str">
        <f t="shared" si="56"/>
        <v/>
      </c>
    </row>
    <row r="943" spans="5:42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57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58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59"/>
        <v>#N/A</v>
      </c>
      <c r="AB943" t="str" cm="1">
        <f t="array" aca="1" ref="AB943" ca="1">IFERROR(INDIRECT("$Z"&amp;AA943),"")</f>
        <v/>
      </c>
      <c r="AP943" t="str">
        <f t="shared" si="56"/>
        <v/>
      </c>
    </row>
    <row r="944" spans="5:42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57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58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59"/>
        <v>#N/A</v>
      </c>
      <c r="AB944" t="str" cm="1">
        <f t="array" aca="1" ref="AB944" ca="1">IFERROR(INDIRECT("$Z"&amp;AA944),"")</f>
        <v/>
      </c>
      <c r="AP944" t="str">
        <f t="shared" si="56"/>
        <v/>
      </c>
    </row>
    <row r="945" spans="5:42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57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58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59"/>
        <v>#N/A</v>
      </c>
      <c r="AB945" t="str" cm="1">
        <f t="array" aca="1" ref="AB945" ca="1">IFERROR(INDIRECT("$Z"&amp;AA945),"")</f>
        <v/>
      </c>
      <c r="AP945" t="str">
        <f t="shared" si="56"/>
        <v/>
      </c>
    </row>
    <row r="946" spans="5:42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57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58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59"/>
        <v>#N/A</v>
      </c>
      <c r="AB946" t="str" cm="1">
        <f t="array" aca="1" ref="AB946" ca="1">IFERROR(INDIRECT("$Z"&amp;AA946),"")</f>
        <v/>
      </c>
      <c r="AP946" t="str">
        <f t="shared" si="56"/>
        <v/>
      </c>
    </row>
    <row r="947" spans="5:42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57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58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59"/>
        <v>#N/A</v>
      </c>
      <c r="AB947" t="str" cm="1">
        <f t="array" aca="1" ref="AB947" ca="1">IFERROR(INDIRECT("$Z"&amp;AA947),"")</f>
        <v/>
      </c>
      <c r="AP947" t="str">
        <f t="shared" si="56"/>
        <v/>
      </c>
    </row>
    <row r="948" spans="5:42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57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58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59"/>
        <v>#N/A</v>
      </c>
      <c r="AB948" t="str" cm="1">
        <f t="array" aca="1" ref="AB948" ca="1">IFERROR(INDIRECT("$Z"&amp;AA948),"")</f>
        <v/>
      </c>
      <c r="AP948" t="str">
        <f t="shared" si="56"/>
        <v/>
      </c>
    </row>
    <row r="949" spans="5:42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57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58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59"/>
        <v>#N/A</v>
      </c>
      <c r="AB949" t="str" cm="1">
        <f t="array" aca="1" ref="AB949" ca="1">IFERROR(INDIRECT("$Z"&amp;AA949),"")</f>
        <v/>
      </c>
      <c r="AP949" t="str">
        <f t="shared" si="56"/>
        <v/>
      </c>
    </row>
    <row r="950" spans="5:42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57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58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59"/>
        <v>#N/A</v>
      </c>
      <c r="AB950" t="str" cm="1">
        <f t="array" aca="1" ref="AB950" ca="1">IFERROR(INDIRECT("$Z"&amp;AA950),"")</f>
        <v/>
      </c>
      <c r="AP950" t="str">
        <f t="shared" si="56"/>
        <v/>
      </c>
    </row>
    <row r="951" spans="5:42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57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58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59"/>
        <v>#N/A</v>
      </c>
      <c r="AB951" t="str" cm="1">
        <f t="array" aca="1" ref="AB951" ca="1">IFERROR(INDIRECT("$Z"&amp;AA951),"")</f>
        <v/>
      </c>
      <c r="AP951" t="str">
        <f t="shared" si="56"/>
        <v/>
      </c>
    </row>
    <row r="952" spans="5:42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57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58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59"/>
        <v>#N/A</v>
      </c>
      <c r="AB952" t="str" cm="1">
        <f t="array" aca="1" ref="AB952" ca="1">IFERROR(INDIRECT("$Z"&amp;AA952),"")</f>
        <v/>
      </c>
      <c r="AP952" t="str">
        <f t="shared" si="56"/>
        <v/>
      </c>
    </row>
    <row r="953" spans="5:42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57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58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59"/>
        <v>#N/A</v>
      </c>
      <c r="AB953" t="str" cm="1">
        <f t="array" aca="1" ref="AB953" ca="1">IFERROR(INDIRECT("$Z"&amp;AA953),"")</f>
        <v/>
      </c>
      <c r="AP953" t="str">
        <f t="shared" si="56"/>
        <v/>
      </c>
    </row>
    <row r="954" spans="5:42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57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58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59"/>
        <v>#N/A</v>
      </c>
      <c r="AB954" t="str" cm="1">
        <f t="array" aca="1" ref="AB954" ca="1">IFERROR(INDIRECT("$Z"&amp;AA954),"")</f>
        <v/>
      </c>
      <c r="AP954" t="str">
        <f t="shared" si="56"/>
        <v/>
      </c>
    </row>
    <row r="955" spans="5:42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57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58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59"/>
        <v>#N/A</v>
      </c>
      <c r="AB955" t="str" cm="1">
        <f t="array" aca="1" ref="AB955" ca="1">IFERROR(INDIRECT("$Z"&amp;AA955),"")</f>
        <v/>
      </c>
      <c r="AP955" t="str">
        <f t="shared" si="56"/>
        <v/>
      </c>
    </row>
    <row r="956" spans="5:42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57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58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59"/>
        <v>#N/A</v>
      </c>
      <c r="AB956" t="str" cm="1">
        <f t="array" aca="1" ref="AB956" ca="1">IFERROR(INDIRECT("$Z"&amp;AA956),"")</f>
        <v/>
      </c>
      <c r="AP956" t="str">
        <f t="shared" si="56"/>
        <v/>
      </c>
    </row>
    <row r="957" spans="5:42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57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58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59"/>
        <v>#N/A</v>
      </c>
      <c r="AB957" t="str" cm="1">
        <f t="array" aca="1" ref="AB957" ca="1">IFERROR(INDIRECT("$Z"&amp;AA957),"")</f>
        <v/>
      </c>
      <c r="AP957" t="str">
        <f t="shared" si="56"/>
        <v/>
      </c>
    </row>
    <row r="958" spans="5:42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57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58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59"/>
        <v>#N/A</v>
      </c>
      <c r="AB958" t="str" cm="1">
        <f t="array" aca="1" ref="AB958" ca="1">IFERROR(INDIRECT("$Z"&amp;AA958),"")</f>
        <v/>
      </c>
      <c r="AP958" t="str">
        <f t="shared" si="56"/>
        <v/>
      </c>
    </row>
    <row r="959" spans="5:42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57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58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59"/>
        <v>#N/A</v>
      </c>
      <c r="AB959" t="str" cm="1">
        <f t="array" aca="1" ref="AB959" ca="1">IFERROR(INDIRECT("$Z"&amp;AA959),"")</f>
        <v/>
      </c>
      <c r="AP959" t="str">
        <f t="shared" si="56"/>
        <v/>
      </c>
    </row>
    <row r="960" spans="5:42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57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58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59"/>
        <v>#N/A</v>
      </c>
      <c r="AB960" t="str" cm="1">
        <f t="array" aca="1" ref="AB960" ca="1">IFERROR(INDIRECT("$Z"&amp;AA960),"")</f>
        <v/>
      </c>
      <c r="AP960" t="str">
        <f t="shared" si="56"/>
        <v/>
      </c>
    </row>
    <row r="961" spans="5:42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57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58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59"/>
        <v>#N/A</v>
      </c>
      <c r="AB961" t="str" cm="1">
        <f t="array" aca="1" ref="AB961" ca="1">IFERROR(INDIRECT("$Z"&amp;AA961),"")</f>
        <v/>
      </c>
      <c r="AP961" t="str">
        <f t="shared" si="56"/>
        <v/>
      </c>
    </row>
    <row r="962" spans="5:42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57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58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59"/>
        <v>#N/A</v>
      </c>
      <c r="AB962" t="str" cm="1">
        <f t="array" aca="1" ref="AB962" ca="1">IFERROR(INDIRECT("$Z"&amp;AA962),"")</f>
        <v/>
      </c>
      <c r="AP962" t="str">
        <f t="shared" si="56"/>
        <v/>
      </c>
    </row>
    <row r="963" spans="5:42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57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58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59"/>
        <v>#N/A</v>
      </c>
      <c r="AB963" t="str" cm="1">
        <f t="array" aca="1" ref="AB963" ca="1">IFERROR(INDIRECT("$Z"&amp;AA963),"")</f>
        <v/>
      </c>
      <c r="AP963" t="str">
        <f t="shared" ref="AP963:AP1000" si="60">IF(AI963&lt;&gt;"", _xlfn.CONCAT(AI963, " (airside)"), "")</f>
        <v/>
      </c>
    </row>
    <row r="964" spans="5:42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61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62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63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60"/>
        <v/>
      </c>
    </row>
    <row r="965" spans="5:42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61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62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63"/>
        <v>#N/A</v>
      </c>
      <c r="AB965" t="str" cm="1">
        <f t="array" aca="1" ref="AB965" ca="1">IFERROR(INDIRECT("$Z"&amp;AA965),"")</f>
        <v/>
      </c>
      <c r="AP965" t="str">
        <f t="shared" si="60"/>
        <v/>
      </c>
    </row>
    <row r="966" spans="5:42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61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62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63"/>
        <v>#N/A</v>
      </c>
      <c r="AB966" t="str" cm="1">
        <f t="array" aca="1" ref="AB966" ca="1">IFERROR(INDIRECT("$Z"&amp;AA966),"")</f>
        <v/>
      </c>
      <c r="AP966" t="str">
        <f t="shared" si="60"/>
        <v/>
      </c>
    </row>
    <row r="967" spans="5:42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61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62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63"/>
        <v>#N/A</v>
      </c>
      <c r="AB967" t="str" cm="1">
        <f t="array" aca="1" ref="AB967" ca="1">IFERROR(INDIRECT("$Z"&amp;AA967),"")</f>
        <v/>
      </c>
      <c r="AP967" t="str">
        <f t="shared" si="60"/>
        <v/>
      </c>
    </row>
    <row r="968" spans="5:42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61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62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63"/>
        <v>#N/A</v>
      </c>
      <c r="AB968" t="str" cm="1">
        <f t="array" aca="1" ref="AB968" ca="1">IFERROR(INDIRECT("$Z"&amp;AA968),"")</f>
        <v/>
      </c>
      <c r="AP968" t="str">
        <f t="shared" si="60"/>
        <v/>
      </c>
    </row>
    <row r="969" spans="5:42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61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62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63"/>
        <v>#N/A</v>
      </c>
      <c r="AB969" t="str" cm="1">
        <f t="array" aca="1" ref="AB969" ca="1">IFERROR(INDIRECT("$Z"&amp;AA969),"")</f>
        <v/>
      </c>
      <c r="AP969" t="str">
        <f t="shared" si="60"/>
        <v/>
      </c>
    </row>
    <row r="970" spans="5:42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61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62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63"/>
        <v>#N/A</v>
      </c>
      <c r="AB970" t="str" cm="1">
        <f t="array" aca="1" ref="AB970" ca="1">IFERROR(INDIRECT("$Z"&amp;AA970),"")</f>
        <v/>
      </c>
      <c r="AP970" t="str">
        <f t="shared" si="60"/>
        <v/>
      </c>
    </row>
    <row r="971" spans="5:42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61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62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63"/>
        <v>#N/A</v>
      </c>
      <c r="AB971" t="str" cm="1">
        <f t="array" aca="1" ref="AB971" ca="1">IFERROR(INDIRECT("$Z"&amp;AA971),"")</f>
        <v/>
      </c>
      <c r="AP971" t="str">
        <f t="shared" si="60"/>
        <v/>
      </c>
    </row>
    <row r="972" spans="5:42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61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62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63"/>
        <v>#N/A</v>
      </c>
      <c r="AB972" t="str" cm="1">
        <f t="array" aca="1" ref="AB972" ca="1">IFERROR(INDIRECT("$Z"&amp;AA972),"")</f>
        <v/>
      </c>
      <c r="AP972" t="str">
        <f t="shared" si="60"/>
        <v/>
      </c>
    </row>
    <row r="973" spans="5:42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61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62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63"/>
        <v>#N/A</v>
      </c>
      <c r="AB973" t="str" cm="1">
        <f t="array" aca="1" ref="AB973" ca="1">IFERROR(INDIRECT("$Z"&amp;AA973),"")</f>
        <v/>
      </c>
      <c r="AP973" t="str">
        <f t="shared" si="60"/>
        <v/>
      </c>
    </row>
    <row r="974" spans="5:42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61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62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63"/>
        <v>#N/A</v>
      </c>
      <c r="AB974" t="str" cm="1">
        <f t="array" aca="1" ref="AB974" ca="1">IFERROR(INDIRECT("$Z"&amp;AA974),"")</f>
        <v/>
      </c>
      <c r="AP974" t="str">
        <f t="shared" si="60"/>
        <v/>
      </c>
    </row>
    <row r="975" spans="5:42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61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62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63"/>
        <v>#N/A</v>
      </c>
      <c r="AB975" t="str" cm="1">
        <f t="array" aca="1" ref="AB975" ca="1">IFERROR(INDIRECT("$Z"&amp;AA975),"")</f>
        <v/>
      </c>
      <c r="AP975" t="str">
        <f t="shared" si="60"/>
        <v/>
      </c>
    </row>
    <row r="976" spans="5:42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61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62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63"/>
        <v>#N/A</v>
      </c>
      <c r="AB976" t="str" cm="1">
        <f t="array" aca="1" ref="AB976" ca="1">IFERROR(INDIRECT("$Z"&amp;AA976),"")</f>
        <v/>
      </c>
      <c r="AP976" t="str">
        <f t="shared" si="60"/>
        <v/>
      </c>
    </row>
    <row r="977" spans="5:42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61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62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63"/>
        <v>#N/A</v>
      </c>
      <c r="AB977" t="str" cm="1">
        <f t="array" aca="1" ref="AB977" ca="1">IFERROR(INDIRECT("$Z"&amp;AA977),"")</f>
        <v/>
      </c>
      <c r="AP977" t="str">
        <f t="shared" si="60"/>
        <v/>
      </c>
    </row>
    <row r="978" spans="5:42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61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62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63"/>
        <v>#N/A</v>
      </c>
      <c r="AB978" t="str" cm="1">
        <f t="array" aca="1" ref="AB978" ca="1">IFERROR(INDIRECT("$Z"&amp;AA978),"")</f>
        <v/>
      </c>
      <c r="AP978" t="str">
        <f t="shared" si="60"/>
        <v/>
      </c>
    </row>
    <row r="979" spans="5:42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61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62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63"/>
        <v>#N/A</v>
      </c>
      <c r="AB979" t="str" cm="1">
        <f t="array" aca="1" ref="AB979" ca="1">IFERROR(INDIRECT("$Z"&amp;AA979),"")</f>
        <v/>
      </c>
      <c r="AP979" t="str">
        <f t="shared" si="60"/>
        <v/>
      </c>
    </row>
    <row r="980" spans="5:42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61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62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63"/>
        <v>#N/A</v>
      </c>
      <c r="AB980" t="str" cm="1">
        <f t="array" aca="1" ref="AB980" ca="1">IFERROR(INDIRECT("$Z"&amp;AA980),"")</f>
        <v/>
      </c>
      <c r="AP980" t="str">
        <f t="shared" si="60"/>
        <v/>
      </c>
    </row>
    <row r="981" spans="5:42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61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62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63"/>
        <v>#N/A</v>
      </c>
      <c r="AB981" t="str" cm="1">
        <f t="array" aca="1" ref="AB981" ca="1">IFERROR(INDIRECT("$Z"&amp;AA981),"")</f>
        <v/>
      </c>
      <c r="AP981" t="str">
        <f t="shared" si="60"/>
        <v/>
      </c>
    </row>
    <row r="982" spans="5:42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61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62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63"/>
        <v>#N/A</v>
      </c>
      <c r="AB982" t="str" cm="1">
        <f t="array" aca="1" ref="AB982" ca="1">IFERROR(INDIRECT("$Z"&amp;AA982),"")</f>
        <v/>
      </c>
      <c r="AP982" t="str">
        <f t="shared" si="60"/>
        <v/>
      </c>
    </row>
    <row r="983" spans="5:42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61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62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63"/>
        <v>#N/A</v>
      </c>
      <c r="AB983" t="str" cm="1">
        <f t="array" aca="1" ref="AB983" ca="1">IFERROR(INDIRECT("$Z"&amp;AA983),"")</f>
        <v/>
      </c>
      <c r="AP983" t="str">
        <f t="shared" si="60"/>
        <v/>
      </c>
    </row>
    <row r="984" spans="5:42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61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62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63"/>
        <v>#N/A</v>
      </c>
      <c r="AB984" t="str" cm="1">
        <f t="array" aca="1" ref="AB984" ca="1">IFERROR(INDIRECT("$Z"&amp;AA984),"")</f>
        <v/>
      </c>
      <c r="AP984" t="str">
        <f t="shared" si="60"/>
        <v/>
      </c>
    </row>
    <row r="985" spans="5:42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61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62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63"/>
        <v>#N/A</v>
      </c>
      <c r="AB985" t="str" cm="1">
        <f t="array" aca="1" ref="AB985" ca="1">IFERROR(INDIRECT("$Z"&amp;AA985),"")</f>
        <v/>
      </c>
      <c r="AP985" t="str">
        <f t="shared" si="60"/>
        <v/>
      </c>
    </row>
    <row r="986" spans="5:42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61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62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63"/>
        <v>#N/A</v>
      </c>
      <c r="AB986" t="str" cm="1">
        <f t="array" aca="1" ref="AB986" ca="1">IFERROR(INDIRECT("$Z"&amp;AA986),"")</f>
        <v/>
      </c>
      <c r="AP986" t="str">
        <f t="shared" si="60"/>
        <v/>
      </c>
    </row>
    <row r="987" spans="5:42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61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62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63"/>
        <v>#N/A</v>
      </c>
      <c r="AB987" t="str" cm="1">
        <f t="array" aca="1" ref="AB987" ca="1">IFERROR(INDIRECT("$Z"&amp;AA987),"")</f>
        <v/>
      </c>
      <c r="AP987" t="str">
        <f t="shared" si="60"/>
        <v/>
      </c>
    </row>
    <row r="988" spans="5:42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61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62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63"/>
        <v>#N/A</v>
      </c>
      <c r="AB988" t="str" cm="1">
        <f t="array" aca="1" ref="AB988" ca="1">IFERROR(INDIRECT("$Z"&amp;AA988),"")</f>
        <v/>
      </c>
      <c r="AP988" t="str">
        <f t="shared" si="60"/>
        <v/>
      </c>
    </row>
    <row r="989" spans="5:42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61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62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63"/>
        <v>#N/A</v>
      </c>
      <c r="AB989" t="str" cm="1">
        <f t="array" aca="1" ref="AB989" ca="1">IFERROR(INDIRECT("$Z"&amp;AA989),"")</f>
        <v/>
      </c>
      <c r="AP989" t="str">
        <f t="shared" si="60"/>
        <v/>
      </c>
    </row>
    <row r="990" spans="5:42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61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62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63"/>
        <v>#N/A</v>
      </c>
      <c r="AB990" t="str" cm="1">
        <f t="array" aca="1" ref="AB990" ca="1">IFERROR(INDIRECT("$Z"&amp;AA990),"")</f>
        <v/>
      </c>
      <c r="AP990" t="str">
        <f t="shared" si="60"/>
        <v/>
      </c>
    </row>
    <row r="991" spans="5:42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61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62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63"/>
        <v>#N/A</v>
      </c>
      <c r="AB991" t="str" cm="1">
        <f t="array" aca="1" ref="AB991" ca="1">IFERROR(INDIRECT("$Z"&amp;AA991),"")</f>
        <v/>
      </c>
      <c r="AP991" t="str">
        <f t="shared" si="60"/>
        <v/>
      </c>
    </row>
    <row r="992" spans="5:42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61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62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63"/>
        <v>#N/A</v>
      </c>
      <c r="AB992" t="str" cm="1">
        <f t="array" aca="1" ref="AB992" ca="1">IFERROR(INDIRECT("$Z"&amp;AA992),"")</f>
        <v/>
      </c>
      <c r="AP992" t="str">
        <f t="shared" si="60"/>
        <v/>
      </c>
    </row>
    <row r="993" spans="5:42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61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62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63"/>
        <v>#N/A</v>
      </c>
      <c r="AB993" t="str" cm="1">
        <f t="array" aca="1" ref="AB993" ca="1">IFERROR(INDIRECT("$Z"&amp;AA993),"")</f>
        <v/>
      </c>
      <c r="AP993" t="str">
        <f t="shared" si="60"/>
        <v/>
      </c>
    </row>
    <row r="994" spans="5:42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61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62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63"/>
        <v>#N/A</v>
      </c>
      <c r="AB994" t="str" cm="1">
        <f t="array" aca="1" ref="AB994" ca="1">IFERROR(INDIRECT("$Z"&amp;AA994),"")</f>
        <v/>
      </c>
      <c r="AP994" t="str">
        <f t="shared" si="60"/>
        <v/>
      </c>
    </row>
    <row r="995" spans="5:42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61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62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63"/>
        <v>#N/A</v>
      </c>
      <c r="AB995" t="str" cm="1">
        <f t="array" aca="1" ref="AB995" ca="1">IFERROR(INDIRECT("$Z"&amp;AA995),"")</f>
        <v/>
      </c>
      <c r="AP995" t="str">
        <f t="shared" si="60"/>
        <v/>
      </c>
    </row>
    <row r="996" spans="5:42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61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62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63"/>
        <v>#N/A</v>
      </c>
      <c r="AB996" t="str" cm="1">
        <f t="array" aca="1" ref="AB996" ca="1">IFERROR(INDIRECT("$Z"&amp;AA996),"")</f>
        <v/>
      </c>
      <c r="AP996" t="str">
        <f t="shared" si="60"/>
        <v/>
      </c>
    </row>
    <row r="997" spans="5:42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61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62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63"/>
        <v>#N/A</v>
      </c>
      <c r="AB997" t="str" cm="1">
        <f t="array" aca="1" ref="AB997" ca="1">IFERROR(INDIRECT("$Z"&amp;AA997),"")</f>
        <v/>
      </c>
      <c r="AP997" t="str">
        <f t="shared" si="60"/>
        <v/>
      </c>
    </row>
    <row r="998" spans="5:42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61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62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63"/>
        <v>#N/A</v>
      </c>
      <c r="AB998" t="str" cm="1">
        <f t="array" aca="1" ref="AB998" ca="1">IFERROR(INDIRECT("$Z"&amp;AA998),"")</f>
        <v/>
      </c>
      <c r="AP998" t="str">
        <f t="shared" si="60"/>
        <v/>
      </c>
    </row>
    <row r="999" spans="5:42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61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62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63"/>
        <v>#N/A</v>
      </c>
      <c r="AB999" t="str" cm="1">
        <f t="array" aca="1" ref="AB999" ca="1">IFERROR(INDIRECT("$Z"&amp;AA999),"")</f>
        <v/>
      </c>
      <c r="AP999" t="str">
        <f t="shared" si="60"/>
        <v/>
      </c>
    </row>
    <row r="1000" spans="5:42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61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62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63"/>
        <v>#N/A</v>
      </c>
      <c r="AB1000" t="str" cm="1">
        <f t="array" aca="1" ref="AB1000" ca="1">IFERROR(INDIRECT("$Z"&amp;AA1000),"")</f>
        <v/>
      </c>
      <c r="AP1000" t="str">
        <f t="shared" si="60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Schedule</vt:lpstr>
      <vt:lpstr>RulebasedController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2025-02-12T12:20:45Z</dcterms:modified>
</cp:coreProperties>
</file>