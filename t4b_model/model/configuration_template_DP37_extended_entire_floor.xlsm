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ugustthomsen/Desktop/UNI/SDU-mmmi/Twin4build-Case-Studies/DP37/model/"/>
    </mc:Choice>
  </mc:AlternateContent>
  <xr:revisionPtr revIDLastSave="0" documentId="13_ncr:1_{169A4A43-9BE8-814C-8AD6-828DFEB953C9}" xr6:coauthVersionLast="47" xr6:coauthVersionMax="47" xr10:uidLastSave="{00000000-0000-0000-0000-000000000000}"/>
  <bookViews>
    <workbookView xWindow="11460" yWindow="500" windowWidth="17340" windowHeight="17500" activeTab="2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Coil" sheetId="5" r:id="rId6"/>
    <sheet name="AirToAirHeatRecovery" sheetId="8" r:id="rId7"/>
    <sheet name="Fan" sheetId="9" r:id="rId8"/>
    <sheet name="Controller" sheetId="11" r:id="rId9"/>
    <sheet name="ShadingDevice" sheetId="17" r:id="rId10"/>
    <sheet name="Sensor" sheetId="13" r:id="rId11"/>
    <sheet name="Meter" sheetId="14" r:id="rId12"/>
    <sheet name="Property" sheetId="15" r:id="rId13"/>
    <sheet name="named_ranges" sheetId="16" r:id="rId14"/>
    <sheet name="Controller_options" sheetId="12" state="hidden" r:id="rId15"/>
  </sheets>
  <definedNames>
    <definedName name="_xlpm.cell_" hidden="1" xlm="1">#NAME?</definedName>
    <definedName name="air_to_air_heat_recovery_names">IF(COUNTA(AirToAirHeatRecovery!$A:$A)&gt;1,OFFSET(AirToAirHeatRecovery!$A$2,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>IF(COUNTA(Controller!$A:$A)&gt;1,OFFSET(Controller!$A$2, 0, 0, COUNTA(Controller!$A:$A)-1,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IF(COUNTA(Meter!$A:$A)&gt;1,OFFSET(Meter!#REF!, 0, 0, COUNTA(Meter!$A:$A)-1, 1),"")</definedName>
    <definedName name="property_class">named_ranges!$A$2:$A$1048576</definedName>
    <definedName name="property_instance">Property!$A$2:$A$1048576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IF(COUNTA(SpaceHeater!$A:$A)&gt;1,OFFSET(SpaceHeater!$A$2,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5" i="4" l="1"/>
  <c r="Q23" i="4"/>
  <c r="Q21" i="4"/>
  <c r="Q19" i="4"/>
  <c r="Q17" i="4"/>
  <c r="Q15" i="4"/>
  <c r="Q13" i="4"/>
  <c r="Q11" i="4"/>
  <c r="Q18" i="4"/>
  <c r="Q24" i="4"/>
  <c r="Q22" i="4"/>
  <c r="Q20" i="4"/>
  <c r="Q16" i="4"/>
  <c r="Q10" i="4"/>
  <c r="Q14" i="4"/>
  <c r="Q12" i="4"/>
  <c r="G13" i="7"/>
  <c r="P13" i="2"/>
  <c r="L13" i="2"/>
  <c r="G12" i="7"/>
  <c r="P12" i="2"/>
  <c r="L12" i="2"/>
  <c r="G11" i="7"/>
  <c r="P11" i="2"/>
  <c r="L11" i="2"/>
  <c r="G10" i="7" l="1"/>
  <c r="D10" i="1"/>
  <c r="G9" i="7"/>
  <c r="P10" i="2"/>
  <c r="L10" i="2"/>
  <c r="G8" i="7"/>
  <c r="P9" i="2"/>
  <c r="L9" i="2"/>
  <c r="G7" i="7"/>
  <c r="P8" i="2"/>
  <c r="L8" i="2"/>
  <c r="G6" i="7"/>
  <c r="P7" i="2"/>
  <c r="L7" i="2"/>
  <c r="L6" i="2" l="1"/>
  <c r="Q9" i="4" l="1"/>
  <c r="Q7" i="4"/>
  <c r="Q5" i="4"/>
  <c r="Q3" i="4"/>
  <c r="Q8" i="4"/>
  <c r="Q6" i="4"/>
  <c r="Q4" i="4"/>
  <c r="Q2" i="4"/>
  <c r="P5" i="2"/>
  <c r="L5" i="2"/>
  <c r="P4" i="2"/>
  <c r="L4" i="2"/>
  <c r="G5" i="7"/>
  <c r="G4" i="7"/>
  <c r="D3" i="1"/>
  <c r="P3" i="2"/>
  <c r="L3" i="2"/>
  <c r="G3" i="7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0" i="16" a="1"/>
  <c r="Z160" i="16" s="1"/>
  <c r="Z161" i="16" a="1"/>
  <c r="Z161" i="16" s="1"/>
  <c r="Z162" i="16" a="1"/>
  <c r="Z162" i="16" s="1"/>
  <c r="Z163" i="16" a="1"/>
  <c r="Z163" i="16" s="1"/>
  <c r="Z164" i="16" a="1"/>
  <c r="Z164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1" i="16" a="1"/>
  <c r="Z431" i="16" s="1"/>
  <c r="Z432" i="16" a="1"/>
  <c r="Z432" i="16" s="1"/>
  <c r="Z433" i="16" a="1"/>
  <c r="Z433" i="16" s="1"/>
  <c r="Z434" i="16" a="1"/>
  <c r="Z434" i="16" s="1"/>
  <c r="Z435" i="16" a="1"/>
  <c r="Z435" i="16" s="1"/>
  <c r="Z436" i="16" a="1"/>
  <c r="Z436" i="16" s="1"/>
  <c r="Z437" i="16" a="1"/>
  <c r="Z437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0" i="16" a="1"/>
  <c r="Z470" i="16" s="1"/>
  <c r="Z471" i="16" a="1"/>
  <c r="Z471" i="16" s="1"/>
  <c r="Z472" i="16" a="1"/>
  <c r="Z472" i="16" s="1"/>
  <c r="Z473" i="16" a="1"/>
  <c r="Z473" i="16" s="1"/>
  <c r="Z474" i="16" a="1"/>
  <c r="Z474" i="16" s="1"/>
  <c r="Z475" i="16" a="1"/>
  <c r="Z475" i="16" s="1"/>
  <c r="Z476" i="16" a="1"/>
  <c r="Z476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09" i="16" a="1"/>
  <c r="Z509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8" i="16" a="1"/>
  <c r="Z548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N2" i="16" a="1"/>
  <c r="AN2" i="16" s="1"/>
  <c r="Z353" i="16" s="1" a="1"/>
  <c r="Z353" i="16" s="1"/>
  <c r="AM2" i="16" a="1"/>
  <c r="Z319" i="16" s="1" a="1"/>
  <c r="Z319" i="16" s="1"/>
  <c r="AK2" i="16" a="1"/>
  <c r="AK2" i="16" s="1"/>
  <c r="Z236" i="16" s="1" a="1"/>
  <c r="Z236" i="16" s="1"/>
  <c r="AJ2" i="16" a="1"/>
  <c r="AJ2" i="16" s="1"/>
  <c r="Z197" i="16" s="1" a="1"/>
  <c r="Z197" i="16" s="1"/>
  <c r="AI2" i="16" a="1"/>
  <c r="AH2" i="16" a="1"/>
  <c r="AH2" i="16" s="1"/>
  <c r="Z119" i="16" s="1" a="1"/>
  <c r="Z119" i="16" s="1"/>
  <c r="AG2" i="16" a="1"/>
  <c r="AG2" i="16" s="1"/>
  <c r="Z80" i="16" s="1" a="1"/>
  <c r="Z80" i="16" s="1"/>
  <c r="AF2" i="16" a="1"/>
  <c r="Z43" i="16" s="1" a="1"/>
  <c r="Z43" i="16" s="1"/>
  <c r="AE2" i="16" a="1"/>
  <c r="AE2" i="16" s="1"/>
  <c r="Z2" i="16" s="1" a="1"/>
  <c r="Z2" i="16" s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130" i="16" l="1" a="1"/>
  <c r="Z130" i="16" s="1"/>
  <c r="Z91" i="16" a="1"/>
  <c r="Z91" i="16" s="1"/>
  <c r="Z64" i="16" a="1"/>
  <c r="Z64" i="16" s="1"/>
  <c r="Z63" i="16" a="1"/>
  <c r="Z63" i="16" s="1"/>
  <c r="Z13" i="16" a="1"/>
  <c r="Z13" i="16" s="1"/>
  <c r="Z129" i="16" a="1"/>
  <c r="Z129" i="16" s="1"/>
  <c r="Z90" i="16" a="1"/>
  <c r="Z90" i="16" s="1"/>
  <c r="Z61" i="16" a="1"/>
  <c r="Z61" i="16" s="1"/>
  <c r="Z62" i="16" a="1"/>
  <c r="Z62" i="16" s="1"/>
  <c r="Z12" i="16" a="1"/>
  <c r="Z12" i="16" s="1"/>
  <c r="Z60" i="16" a="1"/>
  <c r="Z60" i="16" s="1"/>
  <c r="Z128" i="16" a="1"/>
  <c r="Z128" i="16" s="1"/>
  <c r="Z89" i="16" a="1"/>
  <c r="Z89" i="16" s="1"/>
  <c r="Z59" i="16" a="1"/>
  <c r="Z59" i="16" s="1"/>
  <c r="Z58" i="16" a="1"/>
  <c r="Z58" i="16" s="1"/>
  <c r="Z11" i="16" a="1"/>
  <c r="Z11" i="16" s="1"/>
  <c r="Z127" i="16" a="1"/>
  <c r="Z127" i="16" s="1"/>
  <c r="Z88" i="16" a="1"/>
  <c r="Z88" i="16" s="1"/>
  <c r="Z57" i="16" a="1"/>
  <c r="Z57" i="16" s="1"/>
  <c r="Z56" i="16" a="1"/>
  <c r="Z56" i="16" s="1"/>
  <c r="Z10" i="16" a="1"/>
  <c r="Z10" i="16" s="1"/>
  <c r="Z126" i="16" a="1"/>
  <c r="Z126" i="16" s="1"/>
  <c r="Z87" i="16" a="1"/>
  <c r="Z87" i="16" s="1"/>
  <c r="Z54" i="16" a="1"/>
  <c r="Z54" i="16" s="1"/>
  <c r="Z55" i="16" a="1"/>
  <c r="Z55" i="16" s="1"/>
  <c r="Z9" i="16" a="1"/>
  <c r="Z9" i="16" s="1"/>
  <c r="Z350" i="16" a="1"/>
  <c r="Z350" i="16" s="1"/>
  <c r="Z352" i="16" a="1"/>
  <c r="Z352" i="16" s="1"/>
  <c r="Z351" i="16" a="1"/>
  <c r="Z351" i="16" s="1"/>
  <c r="Z125" i="16" a="1"/>
  <c r="Z125" i="16" s="1"/>
  <c r="Z86" i="16" a="1"/>
  <c r="Z86" i="16" s="1"/>
  <c r="Z53" i="16" a="1"/>
  <c r="Z53" i="16" s="1"/>
  <c r="Z52" i="16" a="1"/>
  <c r="Z52" i="16" s="1"/>
  <c r="Z8" i="16" a="1"/>
  <c r="Z8" i="16" s="1"/>
  <c r="Z347" i="16" a="1"/>
  <c r="Z347" i="16" s="1"/>
  <c r="Z346" i="16" a="1"/>
  <c r="Z346" i="16" s="1"/>
  <c r="Z349" i="16" a="1"/>
  <c r="Z349" i="16" s="1"/>
  <c r="Z348" i="16" a="1"/>
  <c r="Z348" i="16" s="1"/>
  <c r="Z124" i="16" a="1"/>
  <c r="Z124" i="16" s="1"/>
  <c r="Z85" i="16" a="1"/>
  <c r="Z85" i="16" s="1"/>
  <c r="Z51" i="16" a="1"/>
  <c r="Z51" i="16" s="1"/>
  <c r="Z7" i="16" a="1"/>
  <c r="Z7" i="16" s="1"/>
  <c r="Z342" i="16" a="1"/>
  <c r="Z342" i="16" s="1"/>
  <c r="Z345" i="16" a="1"/>
  <c r="Z345" i="16" s="1"/>
  <c r="Z344" i="16" a="1"/>
  <c r="Z344" i="16" s="1"/>
  <c r="Z343" i="16" a="1"/>
  <c r="Z343" i="16" s="1"/>
  <c r="Z341" i="16" a="1"/>
  <c r="Z341" i="16" s="1"/>
  <c r="Z340" i="16" a="1"/>
  <c r="Z340" i="16" s="1"/>
  <c r="Z339" i="16" a="1"/>
  <c r="Z339" i="16" s="1"/>
  <c r="Z338" i="16" a="1"/>
  <c r="Z338" i="16" s="1"/>
  <c r="Z337" i="16" a="1"/>
  <c r="Z337" i="16" s="1"/>
  <c r="Z336" i="16" a="1"/>
  <c r="Z336" i="16" s="1"/>
  <c r="Z335" i="16" a="1"/>
  <c r="Z335" i="16" s="1"/>
  <c r="Z334" i="16" a="1"/>
  <c r="Z334" i="16" s="1"/>
  <c r="Z333" i="16" a="1"/>
  <c r="Z333" i="16" s="1"/>
  <c r="Z332" i="16" a="1"/>
  <c r="Z332" i="16" s="1"/>
  <c r="Z331" i="16" a="1"/>
  <c r="Z331" i="16" s="1"/>
  <c r="Z330" i="16" a="1"/>
  <c r="Z330" i="16" s="1"/>
  <c r="Z84" i="16" a="1"/>
  <c r="Z84" i="16" s="1"/>
  <c r="Z123" i="16" a="1"/>
  <c r="Z123" i="16" s="1"/>
  <c r="Z122" i="16" a="1"/>
  <c r="Z122" i="16" s="1"/>
  <c r="Z83" i="16" a="1"/>
  <c r="Z83" i="16" s="1"/>
  <c r="Z49" i="16" a="1"/>
  <c r="Z49" i="16" s="1"/>
  <c r="Z50" i="16" a="1"/>
  <c r="Z50" i="16" s="1"/>
  <c r="Z6" i="16" a="1"/>
  <c r="Z6" i="16" s="1"/>
  <c r="Z121" i="16" a="1"/>
  <c r="Z121" i="16" s="1"/>
  <c r="Z82" i="16" a="1"/>
  <c r="Z82" i="16" s="1"/>
  <c r="Z48" i="16" a="1"/>
  <c r="Z48" i="16" s="1"/>
  <c r="Z47" i="16" a="1"/>
  <c r="Z47" i="16" s="1"/>
  <c r="Z5" i="16" a="1"/>
  <c r="Z5" i="16" s="1"/>
  <c r="Z46" i="16" a="1"/>
  <c r="Z46" i="16" s="1"/>
  <c r="Z45" i="16" a="1"/>
  <c r="Z45" i="16" s="1"/>
  <c r="Z4" i="16" a="1"/>
  <c r="Z4" i="16" s="1"/>
  <c r="Z81" i="16" a="1"/>
  <c r="Z81" i="16" s="1"/>
  <c r="Z120" i="16" a="1"/>
  <c r="Z120" i="16" s="1"/>
  <c r="Z3" i="16" a="1"/>
  <c r="Z3" i="16" s="1"/>
  <c r="Z329" i="16" a="1"/>
  <c r="Z329" i="16" s="1"/>
  <c r="Z328" i="16" a="1"/>
  <c r="Z328" i="16" s="1"/>
  <c r="Z44" i="16" a="1"/>
  <c r="Z44" i="16" s="1"/>
  <c r="Z327" i="16" a="1"/>
  <c r="Z327" i="16" s="1"/>
  <c r="Z326" i="16" a="1"/>
  <c r="Z326" i="16" s="1"/>
  <c r="Z356" i="16" a="1"/>
  <c r="Z356" i="16" s="1"/>
  <c r="Z355" i="16" a="1"/>
  <c r="Z355" i="16" s="1"/>
  <c r="Z354" i="16" a="1"/>
  <c r="Z354" i="16" s="1"/>
  <c r="Z237" i="16" a="1"/>
  <c r="Z237" i="16" s="1"/>
  <c r="Z325" i="16" a="1"/>
  <c r="Z325" i="16" s="1"/>
  <c r="Z324" i="16" a="1"/>
  <c r="Z324" i="16" s="1"/>
  <c r="Z323" i="16" a="1"/>
  <c r="Z323" i="16" s="1"/>
  <c r="Z322" i="16" a="1"/>
  <c r="Z322" i="16" s="1"/>
  <c r="Z321" i="16" a="1"/>
  <c r="Z321" i="16" s="1"/>
  <c r="Z320" i="16" a="1"/>
  <c r="Z320" i="16" s="1"/>
  <c r="AM2" i="16"/>
  <c r="Z314" i="16" s="1" a="1"/>
  <c r="Z314" i="16" s="1"/>
  <c r="Z317" i="16" a="1"/>
  <c r="Z317" i="16" s="1"/>
  <c r="Z318" i="16" a="1"/>
  <c r="Z318" i="16" s="1"/>
  <c r="Z315" i="16" a="1"/>
  <c r="Z315" i="16" s="1"/>
  <c r="Z316" i="16" a="1"/>
  <c r="Z316" i="16" s="1"/>
  <c r="AI2" i="16"/>
  <c r="Z158" i="16" s="1" a="1"/>
  <c r="Z158" i="16" s="1"/>
  <c r="Z159" i="16" a="1"/>
  <c r="Z159" i="16" s="1"/>
  <c r="AF2" i="16"/>
  <c r="Z41" i="16" s="1" a="1"/>
  <c r="Z41" i="16" s="1"/>
  <c r="Z42" i="16" a="1"/>
  <c r="Z42" i="16" s="1"/>
  <c r="D2" i="16" a="1"/>
  <c r="D2" i="16" s="1"/>
  <c r="C2" i="16" a="1"/>
  <c r="B2" i="16" a="1"/>
  <c r="L2" i="2"/>
  <c r="P2" i="2"/>
  <c r="U41" i="16" l="1" a="1"/>
  <c r="U41" i="16" s="1"/>
  <c r="P80" i="16" a="1"/>
  <c r="P80" i="16" s="1"/>
  <c r="C2" i="16"/>
  <c r="AA2" i="16" s="1"/>
  <c r="P42" i="16" a="1"/>
  <c r="P42" i="16" s="1"/>
  <c r="B2" i="16"/>
  <c r="G2" i="7"/>
  <c r="C80" i="7"/>
  <c r="C81" i="7"/>
  <c r="C82" i="7"/>
  <c r="C88" i="7"/>
  <c r="C89" i="7"/>
  <c r="C90" i="7"/>
  <c r="C91" i="7"/>
  <c r="C93" i="7"/>
  <c r="C96" i="7"/>
  <c r="C97" i="7"/>
  <c r="C98" i="7"/>
  <c r="C99" i="7"/>
  <c r="C101" i="7"/>
  <c r="C104" i="7"/>
  <c r="C105" i="7"/>
  <c r="C106" i="7"/>
  <c r="C107" i="7"/>
  <c r="C112" i="7"/>
  <c r="C113" i="7"/>
  <c r="C114" i="7"/>
  <c r="C115" i="7"/>
  <c r="A3" i="12"/>
  <c r="C998" i="7"/>
  <c r="C999" i="7"/>
  <c r="C1000" i="7"/>
  <c r="C78" i="7"/>
  <c r="C79" i="7"/>
  <c r="C83" i="7"/>
  <c r="C84" i="7"/>
  <c r="C85" i="7"/>
  <c r="C86" i="7"/>
  <c r="C87" i="7"/>
  <c r="C92" i="7"/>
  <c r="C94" i="7"/>
  <c r="C95" i="7"/>
  <c r="C100" i="7"/>
  <c r="C102" i="7"/>
  <c r="C103" i="7"/>
  <c r="C108" i="7"/>
  <c r="C109" i="7"/>
  <c r="C110" i="7"/>
  <c r="C111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AA3" i="16"/>
  <c r="U2" i="16" l="1" a="1"/>
  <c r="U2" i="16" s="1"/>
  <c r="V2" i="16" s="1"/>
  <c r="P2" i="16" a="1"/>
  <c r="P2" i="16" s="1"/>
  <c r="P41" i="16" a="1"/>
  <c r="P41" i="16" s="1"/>
  <c r="D185" i="11" a="1"/>
  <c r="D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D393" i="11" a="1"/>
  <c r="D393" i="11" s="1"/>
  <c r="E393" i="11" s="1"/>
  <c r="D401" i="11" a="1"/>
  <c r="D401" i="11" s="1"/>
  <c r="D409" i="11" a="1"/>
  <c r="D409" i="11" s="1"/>
  <c r="F409" i="11" s="1"/>
  <c r="D417" i="11" a="1"/>
  <c r="D417" i="11" s="1"/>
  <c r="E417" i="11" s="1"/>
  <c r="D425" i="11" a="1"/>
  <c r="D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D529" i="11" a="1"/>
  <c r="D529" i="11" s="1"/>
  <c r="G529" i="11" s="1"/>
  <c r="D537" i="11" a="1"/>
  <c r="D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D625" i="11" a="1"/>
  <c r="D625" i="11" s="1"/>
  <c r="D633" i="11" a="1"/>
  <c r="D633" i="11" s="1"/>
  <c r="D641" i="11" a="1"/>
  <c r="D641" i="11" s="1"/>
  <c r="D649" i="11" a="1"/>
  <c r="D649" i="11" s="1"/>
  <c r="E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D242" i="11" a="1"/>
  <c r="D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D314" i="11" a="1"/>
  <c r="D314" i="11" s="1"/>
  <c r="G314" i="11" s="1"/>
  <c r="D322" i="11" a="1"/>
  <c r="D322" i="11" s="1"/>
  <c r="F322" i="11" s="1"/>
  <c r="D330" i="11" a="1"/>
  <c r="D330" i="11" s="1"/>
  <c r="D338" i="11" a="1"/>
  <c r="D338" i="11" s="1"/>
  <c r="E338" i="11" s="1"/>
  <c r="D346" i="11" a="1"/>
  <c r="D346" i="11" s="1"/>
  <c r="D354" i="11" a="1"/>
  <c r="D354" i="11" s="1"/>
  <c r="D362" i="11" a="1"/>
  <c r="D362" i="11" s="1"/>
  <c r="D370" i="11" a="1"/>
  <c r="D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D586" i="11" a="1"/>
  <c r="D586" i="11" s="1"/>
  <c r="E586" i="11" s="1"/>
  <c r="D594" i="11" a="1"/>
  <c r="D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D754" i="11" a="1"/>
  <c r="D754" i="11" s="1"/>
  <c r="F754" i="11" s="1"/>
  <c r="D762" i="11" a="1"/>
  <c r="D762" i="11" s="1"/>
  <c r="D180" i="11" a="1"/>
  <c r="D180" i="11" s="1"/>
  <c r="G180" i="11" s="1"/>
  <c r="D188" i="11" a="1"/>
  <c r="D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D380" i="11" a="1"/>
  <c r="D380" i="11" s="1"/>
  <c r="D388" i="11" a="1"/>
  <c r="D388" i="11" s="1"/>
  <c r="D396" i="11" a="1"/>
  <c r="D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D452" i="11" a="1"/>
  <c r="D452" i="11" s="1"/>
  <c r="E452" i="11" s="1"/>
  <c r="D460" i="11" a="1"/>
  <c r="D460" i="11" s="1"/>
  <c r="F460" i="11" s="1"/>
  <c r="D468" i="11" a="1"/>
  <c r="D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D508" i="11" a="1"/>
  <c r="D508" i="11" s="1"/>
  <c r="D516" i="11" a="1"/>
  <c r="D516" i="11" s="1"/>
  <c r="G516" i="11" s="1"/>
  <c r="D524" i="11" a="1"/>
  <c r="D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D764" i="11" a="1"/>
  <c r="D764" i="11" s="1"/>
  <c r="F764" i="11" s="1"/>
  <c r="D181" i="11" a="1"/>
  <c r="D181" i="11" s="1"/>
  <c r="F181" i="11" s="1"/>
  <c r="D189" i="11" a="1"/>
  <c r="D189" i="11" s="1"/>
  <c r="D197" i="11" a="1"/>
  <c r="D197" i="11" s="1"/>
  <c r="E197" i="11" s="1"/>
  <c r="D205" i="11" a="1"/>
  <c r="D205" i="11" s="1"/>
  <c r="D213" i="11" a="1"/>
  <c r="D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D381" i="11" a="1"/>
  <c r="D381" i="11" s="1"/>
  <c r="G381" i="11" s="1"/>
  <c r="D389" i="11" a="1"/>
  <c r="D389" i="11" s="1"/>
  <c r="D397" i="11" a="1"/>
  <c r="D397" i="11" s="1"/>
  <c r="G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D469" i="11" a="1"/>
  <c r="D469" i="11" s="1"/>
  <c r="D477" i="11" a="1"/>
  <c r="D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D533" i="11" a="1"/>
  <c r="D533" i="11" s="1"/>
  <c r="F533" i="11" s="1"/>
  <c r="D541" i="11" a="1"/>
  <c r="D541" i="11" s="1"/>
  <c r="F541" i="11" s="1"/>
  <c r="D549" i="11" a="1"/>
  <c r="D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D327" i="11" a="1"/>
  <c r="D327" i="11" s="1"/>
  <c r="E327" i="11" s="1"/>
  <c r="D335" i="11" a="1"/>
  <c r="D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D375" i="11" a="1"/>
  <c r="D375" i="11" s="1"/>
  <c r="G375" i="11" s="1"/>
  <c r="D383" i="11" a="1"/>
  <c r="D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D431" i="11" a="1"/>
  <c r="D431" i="11" s="1"/>
  <c r="G431" i="11" s="1"/>
  <c r="D439" i="11" a="1"/>
  <c r="D439" i="11" s="1"/>
  <c r="D447" i="11" a="1"/>
  <c r="D447" i="11" s="1"/>
  <c r="D455" i="11" a="1"/>
  <c r="D455" i="11" s="1"/>
  <c r="D463" i="11" a="1"/>
  <c r="D463" i="11" s="1"/>
  <c r="F463" i="11" s="1"/>
  <c r="D471" i="11" a="1"/>
  <c r="D471" i="11" s="1"/>
  <c r="D479" i="11" a="1"/>
  <c r="D479" i="11" s="1"/>
  <c r="E479" i="11" s="1"/>
  <c r="D487" i="11" a="1"/>
  <c r="D487" i="11" s="1"/>
  <c r="D495" i="11" a="1"/>
  <c r="D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D543" i="11" a="1"/>
  <c r="D543" i="11" s="1"/>
  <c r="D551" i="11" a="1"/>
  <c r="D551" i="11" s="1"/>
  <c r="D559" i="11" a="1"/>
  <c r="D559" i="11" s="1"/>
  <c r="F559" i="11" s="1"/>
  <c r="D567" i="11" a="1"/>
  <c r="D567" i="11" s="1"/>
  <c r="D575" i="11" a="1"/>
  <c r="D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D615" i="11" a="1"/>
  <c r="D615" i="11" s="1"/>
  <c r="F615" i="11" s="1"/>
  <c r="D623" i="11" a="1"/>
  <c r="D623" i="11" s="1"/>
  <c r="E623" i="11" s="1"/>
  <c r="D631" i="11" a="1"/>
  <c r="D631" i="11" s="1"/>
  <c r="D639" i="11" a="1"/>
  <c r="D639" i="11" s="1"/>
  <c r="D647" i="11" a="1"/>
  <c r="D647" i="11" s="1"/>
  <c r="G647" i="11" s="1"/>
  <c r="D655" i="11" a="1"/>
  <c r="D655" i="11" s="1"/>
  <c r="E655" i="11" s="1"/>
  <c r="D663" i="11" a="1"/>
  <c r="D663" i="11" s="1"/>
  <c r="D671" i="11" a="1"/>
  <c r="D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D711" i="11" a="1"/>
  <c r="D711" i="11" s="1"/>
  <c r="D719" i="11" a="1"/>
  <c r="D719" i="11" s="1"/>
  <c r="F719" i="11" s="1"/>
  <c r="D727" i="11" a="1"/>
  <c r="D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D368" i="11" a="1"/>
  <c r="D368" i="11" s="1"/>
  <c r="D390" i="11" a="1"/>
  <c r="D390" i="11" s="1"/>
  <c r="F390" i="11" s="1"/>
  <c r="D411" i="11" a="1"/>
  <c r="D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D819" i="11" a="1"/>
  <c r="D819" i="11" s="1"/>
  <c r="E819" i="11" s="1"/>
  <c r="D827" i="11" a="1"/>
  <c r="D827" i="11" s="1"/>
  <c r="D835" i="11" a="1"/>
  <c r="D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D267" i="11" a="1"/>
  <c r="D267" i="11" s="1"/>
  <c r="D288" i="11" a="1"/>
  <c r="D288" i="11" s="1"/>
  <c r="D310" i="11" a="1"/>
  <c r="D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D480" i="11" a="1"/>
  <c r="D480" i="11" s="1"/>
  <c r="E480" i="11" s="1"/>
  <c r="D502" i="11" a="1"/>
  <c r="D502" i="11" s="1"/>
  <c r="D523" i="11" a="1"/>
  <c r="D523" i="11" s="1"/>
  <c r="D544" i="11" a="1"/>
  <c r="D544" i="11" s="1"/>
  <c r="E544" i="11" s="1"/>
  <c r="D566" i="11" a="1"/>
  <c r="D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D462" i="11" a="1"/>
  <c r="D462" i="11" s="1"/>
  <c r="E462" i="11" s="1"/>
  <c r="D483" i="11" a="1"/>
  <c r="D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D805" i="11" a="1"/>
  <c r="D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D315" i="11" a="1"/>
  <c r="D315" i="11" s="1"/>
  <c r="D336" i="11" a="1"/>
  <c r="D336" i="11" s="1"/>
  <c r="E336" i="11" s="1"/>
  <c r="D358" i="11" a="1"/>
  <c r="D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D528" i="11" a="1"/>
  <c r="D528" i="11" s="1"/>
  <c r="F528" i="11" s="1"/>
  <c r="D550" i="11" a="1"/>
  <c r="D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D656" i="11" a="1"/>
  <c r="D656" i="11" s="1"/>
  <c r="F656" i="11" s="1"/>
  <c r="D678" i="11" a="1"/>
  <c r="D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D318" i="11" a="1"/>
  <c r="D318" i="11" s="1"/>
  <c r="G318" i="11" s="1"/>
  <c r="D339" i="11" a="1"/>
  <c r="D339" i="11" s="1"/>
  <c r="D360" i="11" a="1"/>
  <c r="D360" i="11" s="1"/>
  <c r="E360" i="11" s="1"/>
  <c r="D382" i="11" a="1"/>
  <c r="D382" i="11" s="1"/>
  <c r="D403" i="11" a="1"/>
  <c r="D403" i="11" s="1"/>
  <c r="D424" i="11" a="1"/>
  <c r="D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D855" i="11" a="1"/>
  <c r="D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D927" i="11" a="1"/>
  <c r="D927" i="11" s="1"/>
  <c r="F927" i="11" s="1"/>
  <c r="D935" i="11" a="1"/>
  <c r="D935" i="11" s="1"/>
  <c r="F935" i="11" s="1"/>
  <c r="D943" i="11" a="1"/>
  <c r="D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D387" i="11" a="1"/>
  <c r="D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D881" i="11" a="1"/>
  <c r="D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D808" i="11" a="1"/>
  <c r="D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D427" i="11" a="1"/>
  <c r="D427" i="11" s="1"/>
  <c r="D598" i="11" a="1"/>
  <c r="D598" i="11" s="1"/>
  <c r="E598" i="11" s="1"/>
  <c r="D768" i="11" a="1"/>
  <c r="D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AB2" i="16" a="1"/>
  <c r="AA4" i="16"/>
  <c r="AB3" i="16" a="1"/>
  <c r="AB2" i="16" l="1"/>
  <c r="AB3" i="16"/>
  <c r="Q2" i="16"/>
  <c r="E281" i="11"/>
  <c r="E185" i="11"/>
  <c r="G548" i="11"/>
  <c r="F377" i="11"/>
  <c r="E210" i="11"/>
  <c r="G249" i="11"/>
  <c r="F210" i="11"/>
  <c r="E217" i="11"/>
  <c r="G498" i="11"/>
  <c r="G732" i="11"/>
  <c r="E409" i="11"/>
  <c r="E370" i="11"/>
  <c r="G612" i="11"/>
  <c r="F185" i="11"/>
  <c r="E505" i="11"/>
  <c r="G185" i="11"/>
  <c r="F612" i="11"/>
  <c r="F292" i="11"/>
  <c r="E189" i="11"/>
  <c r="F569" i="11"/>
  <c r="E402" i="11"/>
  <c r="E676" i="11"/>
  <c r="F253" i="11"/>
  <c r="F633" i="11"/>
  <c r="F402" i="11"/>
  <c r="G466" i="11"/>
  <c r="G505" i="11"/>
  <c r="F676" i="11"/>
  <c r="F317" i="11"/>
  <c r="F249" i="11"/>
  <c r="E466" i="11"/>
  <c r="G569" i="11"/>
  <c r="F658" i="11"/>
  <c r="G633" i="11"/>
  <c r="G761" i="11"/>
  <c r="E313" i="11"/>
  <c r="E722" i="11"/>
  <c r="G625" i="11"/>
  <c r="F433" i="11"/>
  <c r="F497" i="11"/>
  <c r="E714" i="11"/>
  <c r="E433" i="11"/>
  <c r="E522" i="11"/>
  <c r="G412" i="11"/>
  <c r="F266" i="11"/>
  <c r="G497" i="11"/>
  <c r="E369" i="11"/>
  <c r="G737" i="11"/>
  <c r="G409" i="11"/>
  <c r="E484" i="11"/>
  <c r="F594" i="11"/>
  <c r="G441" i="11"/>
  <c r="G189" i="11"/>
  <c r="G292" i="11"/>
  <c r="F761" i="11"/>
  <c r="F484" i="11"/>
  <c r="F441" i="11"/>
  <c r="F338" i="11"/>
  <c r="E658" i="11"/>
  <c r="G530" i="11"/>
  <c r="G313" i="11"/>
  <c r="G402" i="11"/>
  <c r="F697" i="11"/>
  <c r="E420" i="11"/>
  <c r="F274" i="11"/>
  <c r="E530" i="11"/>
  <c r="G410" i="11"/>
  <c r="E684" i="11"/>
  <c r="E513" i="11"/>
  <c r="G353" i="11"/>
  <c r="E186" i="11"/>
  <c r="G378" i="11"/>
  <c r="F186" i="11"/>
  <c r="G417" i="11"/>
  <c r="E353" i="11"/>
  <c r="G421" i="11"/>
  <c r="F250" i="11"/>
  <c r="F417" i="11"/>
  <c r="E453" i="11"/>
  <c r="G321" i="11"/>
  <c r="G581" i="11"/>
  <c r="F449" i="11"/>
  <c r="F537" i="11"/>
  <c r="E754" i="11"/>
  <c r="G242" i="11"/>
  <c r="E516" i="11"/>
  <c r="E260" i="11"/>
  <c r="E781" i="11"/>
  <c r="F234" i="11"/>
  <c r="G721" i="11"/>
  <c r="E213" i="11"/>
  <c r="G733" i="11"/>
  <c r="E473" i="11"/>
  <c r="F217" i="11"/>
  <c r="E644" i="11"/>
  <c r="G281" i="11"/>
  <c r="G217" i="11"/>
  <c r="E695" i="11"/>
  <c r="G644" i="11"/>
  <c r="E537" i="11"/>
  <c r="G306" i="11"/>
  <c r="G434" i="11"/>
  <c r="E601" i="11"/>
  <c r="F370" i="11"/>
  <c r="G538" i="11"/>
  <c r="F319" i="11"/>
  <c r="E257" i="11"/>
  <c r="E300" i="11"/>
  <c r="E511" i="11"/>
  <c r="F730" i="11"/>
  <c r="G666" i="11"/>
  <c r="G300" i="11"/>
  <c r="E261" i="11"/>
  <c r="G191" i="11"/>
  <c r="G575" i="11"/>
  <c r="E581" i="11"/>
  <c r="E449" i="11"/>
  <c r="G513" i="11"/>
  <c r="G325" i="11"/>
  <c r="F709" i="11"/>
  <c r="E645" i="11"/>
  <c r="G385" i="11"/>
  <c r="G709" i="11"/>
  <c r="F191" i="11"/>
  <c r="G209" i="11"/>
  <c r="E661" i="11"/>
  <c r="F682" i="11"/>
  <c r="F273" i="11"/>
  <c r="E401" i="11"/>
  <c r="G188" i="11"/>
  <c r="G424" i="11"/>
  <c r="G234" i="11"/>
  <c r="F891" i="11"/>
  <c r="E333" i="11"/>
  <c r="F298" i="11"/>
  <c r="G426" i="11"/>
  <c r="G373" i="11"/>
  <c r="E209" i="11"/>
  <c r="E405" i="11"/>
  <c r="F910" i="11"/>
  <c r="F337" i="11"/>
  <c r="G337" i="11"/>
  <c r="G657" i="11"/>
  <c r="F721" i="11"/>
  <c r="F209" i="11"/>
  <c r="E657" i="11"/>
  <c r="E234" i="11"/>
  <c r="G554" i="11"/>
  <c r="E316" i="11"/>
  <c r="F399" i="11"/>
  <c r="G700" i="11"/>
  <c r="G572" i="11"/>
  <c r="E508" i="11"/>
  <c r="E277" i="11"/>
  <c r="F401" i="11"/>
  <c r="F465" i="11"/>
  <c r="F593" i="11"/>
  <c r="G271" i="11"/>
  <c r="G401" i="11"/>
  <c r="G593" i="11"/>
  <c r="F636" i="11"/>
  <c r="G255" i="11"/>
  <c r="F454" i="11"/>
  <c r="E410" i="11"/>
  <c r="G218" i="11"/>
  <c r="G319" i="11"/>
  <c r="G641" i="11"/>
  <c r="F261" i="11"/>
  <c r="E575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G577" i="11"/>
  <c r="G602" i="11"/>
  <c r="G748" i="11"/>
  <c r="G261" i="11"/>
  <c r="F197" i="11"/>
  <c r="E319" i="11"/>
  <c r="G369" i="11"/>
  <c r="G241" i="11"/>
  <c r="E412" i="11"/>
  <c r="E305" i="11"/>
  <c r="G914" i="11"/>
  <c r="F304" i="11"/>
  <c r="E458" i="11"/>
  <c r="G458" i="11"/>
  <c r="G650" i="11"/>
  <c r="G461" i="11"/>
  <c r="G753" i="11"/>
  <c r="F668" i="11"/>
  <c r="E540" i="11"/>
  <c r="F305" i="11"/>
  <c r="E625" i="11"/>
  <c r="E650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G394" i="11"/>
  <c r="G522" i="11"/>
  <c r="E467" i="11"/>
  <c r="F309" i="11"/>
  <c r="F774" i="11"/>
  <c r="G774" i="11"/>
  <c r="E526" i="11"/>
  <c r="G836" i="11"/>
  <c r="F836" i="11"/>
  <c r="F995" i="11"/>
  <c r="E995" i="11"/>
  <c r="G350" i="11"/>
  <c r="F350" i="11"/>
  <c r="E350" i="11"/>
  <c r="E969" i="11"/>
  <c r="G969" i="11"/>
  <c r="E614" i="11"/>
  <c r="F614" i="11"/>
  <c r="E869" i="11"/>
  <c r="F869" i="11"/>
  <c r="F355" i="11"/>
  <c r="G355" i="11"/>
  <c r="E355" i="11"/>
  <c r="F772" i="11"/>
  <c r="G772" i="11"/>
  <c r="G931" i="11"/>
  <c r="F432" i="11"/>
  <c r="E432" i="11"/>
  <c r="G432" i="11"/>
  <c r="G439" i="11"/>
  <c r="F439" i="11"/>
  <c r="E439" i="11"/>
  <c r="E183" i="11"/>
  <c r="G183" i="11"/>
  <c r="G803" i="11"/>
  <c r="F803" i="11"/>
  <c r="E803" i="11"/>
  <c r="E777" i="11"/>
  <c r="F777" i="11"/>
  <c r="G702" i="11"/>
  <c r="F702" i="11"/>
  <c r="F902" i="11"/>
  <c r="E272" i="11"/>
  <c r="F272" i="11"/>
  <c r="G696" i="11"/>
  <c r="E696" i="11"/>
  <c r="F900" i="11"/>
  <c r="G900" i="11"/>
  <c r="E900" i="11"/>
  <c r="G691" i="11"/>
  <c r="F962" i="11"/>
  <c r="G962" i="11"/>
  <c r="E962" i="11"/>
  <c r="F603" i="11"/>
  <c r="G603" i="11"/>
  <c r="E603" i="11"/>
  <c r="F759" i="11"/>
  <c r="E759" i="11"/>
  <c r="G759" i="11"/>
  <c r="F567" i="11"/>
  <c r="E567" i="11"/>
  <c r="G567" i="11"/>
  <c r="E311" i="11"/>
  <c r="G311" i="11"/>
  <c r="E765" i="11"/>
  <c r="G765" i="11"/>
  <c r="G834" i="11"/>
  <c r="G869" i="11"/>
  <c r="F267" i="11"/>
  <c r="F931" i="11"/>
  <c r="F311" i="11"/>
  <c r="F360" i="11"/>
  <c r="G503" i="11"/>
  <c r="E438" i="11"/>
  <c r="G867" i="11"/>
  <c r="G995" i="11"/>
  <c r="G695" i="11"/>
  <c r="G614" i="11"/>
  <c r="E702" i="11"/>
  <c r="F784" i="11"/>
  <c r="E622" i="11"/>
  <c r="G622" i="11"/>
  <c r="F871" i="11"/>
  <c r="E871" i="11"/>
  <c r="E531" i="11"/>
  <c r="F531" i="11"/>
  <c r="F838" i="11"/>
  <c r="G838" i="11"/>
  <c r="E838" i="11"/>
  <c r="G997" i="11"/>
  <c r="E997" i="11"/>
  <c r="E184" i="11"/>
  <c r="F184" i="11"/>
  <c r="G184" i="11"/>
  <c r="E608" i="11"/>
  <c r="G608" i="11"/>
  <c r="F179" i="11"/>
  <c r="G179" i="11"/>
  <c r="F770" i="11"/>
  <c r="E770" i="11"/>
  <c r="F503" i="11"/>
  <c r="G898" i="11"/>
  <c r="G509" i="11"/>
  <c r="E836" i="11"/>
  <c r="F696" i="11"/>
  <c r="F969" i="11"/>
  <c r="E691" i="11"/>
  <c r="E509" i="11"/>
  <c r="F834" i="11"/>
  <c r="F691" i="11"/>
  <c r="F898" i="11"/>
  <c r="G267" i="11"/>
  <c r="G776" i="11"/>
  <c r="F867" i="11"/>
  <c r="F183" i="11"/>
  <c r="F573" i="11"/>
  <c r="G573" i="11"/>
  <c r="E573" i="11"/>
  <c r="E905" i="11"/>
  <c r="G905" i="11"/>
  <c r="F451" i="11"/>
  <c r="F807" i="11"/>
  <c r="E807" i="11"/>
  <c r="E443" i="11"/>
  <c r="F443" i="11"/>
  <c r="G805" i="11"/>
  <c r="F805" i="11"/>
  <c r="E805" i="11"/>
  <c r="E964" i="11"/>
  <c r="F964" i="11"/>
  <c r="F438" i="11"/>
  <c r="E520" i="11"/>
  <c r="G520" i="11"/>
  <c r="F262" i="11"/>
  <c r="G262" i="11"/>
  <c r="E262" i="11"/>
  <c r="E631" i="11"/>
  <c r="F631" i="11"/>
  <c r="G631" i="11"/>
  <c r="E375" i="11"/>
  <c r="F375" i="11"/>
  <c r="F247" i="11"/>
  <c r="E247" i="11"/>
  <c r="F701" i="11"/>
  <c r="E701" i="11"/>
  <c r="G701" i="11"/>
  <c r="F637" i="11"/>
  <c r="E637" i="11"/>
  <c r="E445" i="11"/>
  <c r="G445" i="11"/>
  <c r="E381" i="11"/>
  <c r="F381" i="11"/>
  <c r="F740" i="11"/>
  <c r="E740" i="11"/>
  <c r="G770" i="11"/>
  <c r="E267" i="11"/>
  <c r="E931" i="11"/>
  <c r="E772" i="11"/>
  <c r="F189" i="11"/>
  <c r="G356" i="11"/>
  <c r="F516" i="11"/>
  <c r="F473" i="11"/>
  <c r="E306" i="11"/>
  <c r="G594" i="11"/>
  <c r="G601" i="11"/>
  <c r="F446" i="11"/>
  <c r="F228" i="11"/>
  <c r="E356" i="11"/>
  <c r="E548" i="11"/>
  <c r="G473" i="11"/>
  <c r="G338" i="11"/>
  <c r="G253" i="11"/>
  <c r="E228" i="11"/>
  <c r="G274" i="11"/>
  <c r="G377" i="11"/>
  <c r="G722" i="11"/>
  <c r="G940" i="11"/>
  <c r="G317" i="11"/>
  <c r="G420" i="11"/>
  <c r="F221" i="11"/>
  <c r="E633" i="11"/>
  <c r="E594" i="11"/>
  <c r="G697" i="11"/>
  <c r="G678" i="11"/>
  <c r="E507" i="11"/>
  <c r="E957" i="11"/>
  <c r="F926" i="11"/>
  <c r="E895" i="11"/>
  <c r="G341" i="11"/>
  <c r="E502" i="11"/>
  <c r="G533" i="11"/>
  <c r="F752" i="11"/>
  <c r="G752" i="11"/>
  <c r="E437" i="11"/>
  <c r="F348" i="11"/>
  <c r="E348" i="11"/>
  <c r="G309" i="11"/>
  <c r="G437" i="11"/>
  <c r="G284" i="11"/>
  <c r="F634" i="11"/>
  <c r="E506" i="11"/>
  <c r="E609" i="11"/>
  <c r="G609" i="11"/>
  <c r="E545" i="11"/>
  <c r="E225" i="11"/>
  <c r="F225" i="11"/>
  <c r="E279" i="11"/>
  <c r="G279" i="11"/>
  <c r="G388" i="11"/>
  <c r="E388" i="11"/>
  <c r="F690" i="11"/>
  <c r="G690" i="11"/>
  <c r="E729" i="11"/>
  <c r="F729" i="11"/>
  <c r="G476" i="11"/>
  <c r="G198" i="11"/>
  <c r="F809" i="11"/>
  <c r="F347" i="11"/>
  <c r="E347" i="11"/>
  <c r="E708" i="11"/>
  <c r="E665" i="11"/>
  <c r="F665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F973" i="11"/>
  <c r="G973" i="11"/>
  <c r="G779" i="11"/>
  <c r="G863" i="11"/>
  <c r="E715" i="11"/>
  <c r="E732" i="11"/>
  <c r="E373" i="11"/>
  <c r="G501" i="11"/>
  <c r="G296" i="11"/>
  <c r="G348" i="11"/>
  <c r="E284" i="11"/>
  <c r="E989" i="11"/>
  <c r="F216" i="11"/>
  <c r="E795" i="11"/>
  <c r="G795" i="11"/>
  <c r="G547" i="11"/>
  <c r="E283" i="11"/>
  <c r="F517" i="11"/>
  <c r="G517" i="11"/>
  <c r="F428" i="11"/>
  <c r="G428" i="11"/>
  <c r="F474" i="11"/>
  <c r="G474" i="11"/>
  <c r="E346" i="11"/>
  <c r="F346" i="11"/>
  <c r="G346" i="11"/>
  <c r="E282" i="11"/>
  <c r="F282" i="11"/>
  <c r="F218" i="11"/>
  <c r="E321" i="11"/>
  <c r="E687" i="11"/>
  <c r="E200" i="11"/>
  <c r="E383" i="11"/>
  <c r="F383" i="11"/>
  <c r="F23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F280" i="11"/>
  <c r="E604" i="11"/>
  <c r="G604" i="11"/>
  <c r="F540" i="11"/>
  <c r="E689" i="11"/>
  <c r="G689" i="11"/>
  <c r="E551" i="11"/>
  <c r="E855" i="11"/>
  <c r="G952" i="11"/>
  <c r="F792" i="11"/>
  <c r="F952" i="11"/>
  <c r="F776" i="11"/>
  <c r="F975" i="11"/>
  <c r="G975" i="11"/>
  <c r="G627" i="11"/>
  <c r="G728" i="11"/>
  <c r="F945" i="11"/>
  <c r="G379" i="11"/>
  <c r="G810" i="11"/>
  <c r="F815" i="11"/>
  <c r="E815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F490" i="11"/>
  <c r="E490" i="11"/>
  <c r="F362" i="11"/>
  <c r="E362" i="11"/>
  <c r="E298" i="11"/>
  <c r="F529" i="11"/>
  <c r="E529" i="11"/>
  <c r="E387" i="11"/>
  <c r="F387" i="11"/>
  <c r="G363" i="11"/>
  <c r="G462" i="11"/>
  <c r="F467" i="11"/>
  <c r="F456" i="11"/>
  <c r="E994" i="11"/>
  <c r="E471" i="11"/>
  <c r="F471" i="11"/>
  <c r="G287" i="11"/>
  <c r="G407" i="11"/>
  <c r="G607" i="11"/>
  <c r="F779" i="11"/>
  <c r="F940" i="11"/>
  <c r="E720" i="11"/>
  <c r="E407" i="11"/>
  <c r="F296" i="11"/>
  <c r="E827" i="11"/>
  <c r="G469" i="11"/>
  <c r="E764" i="11"/>
  <c r="G764" i="11"/>
  <c r="F508" i="11"/>
  <c r="G508" i="11"/>
  <c r="F380" i="11"/>
  <c r="E380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E755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F622" i="11"/>
  <c r="F587" i="11"/>
  <c r="E933" i="11"/>
  <c r="F997" i="11"/>
  <c r="F880" i="11"/>
  <c r="E966" i="11"/>
  <c r="E999" i="11"/>
  <c r="E808" i="11"/>
  <c r="F987" i="11"/>
  <c r="G443" i="11"/>
  <c r="F763" i="11"/>
  <c r="F841" i="11"/>
  <c r="F923" i="11"/>
  <c r="F966" i="11"/>
  <c r="F808" i="11"/>
  <c r="G859" i="11"/>
  <c r="G792" i="11"/>
  <c r="G272" i="11"/>
  <c r="G451" i="11"/>
  <c r="G935" i="11"/>
  <c r="G800" i="11"/>
  <c r="G989" i="11"/>
  <c r="G190" i="11"/>
  <c r="F933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E797" i="11"/>
  <c r="E947" i="11"/>
  <c r="G947" i="11"/>
  <c r="E563" i="11"/>
  <c r="G563" i="11"/>
  <c r="F563" i="11"/>
  <c r="G786" i="11"/>
  <c r="E786" i="11"/>
  <c r="F263" i="11"/>
  <c r="E263" i="11"/>
  <c r="F205" i="11"/>
  <c r="E205" i="11"/>
  <c r="E628" i="11"/>
  <c r="F628" i="11"/>
  <c r="G628" i="11"/>
  <c r="E482" i="11"/>
  <c r="G482" i="11"/>
  <c r="F482" i="11"/>
  <c r="G589" i="11"/>
  <c r="E472" i="11"/>
  <c r="F472" i="11"/>
  <c r="G472" i="11"/>
  <c r="E974" i="11"/>
  <c r="G974" i="11"/>
  <c r="F635" i="11"/>
  <c r="G635" i="11"/>
  <c r="F949" i="11"/>
  <c r="G949" i="11"/>
  <c r="E949" i="11"/>
  <c r="F819" i="11"/>
  <c r="F455" i="11"/>
  <c r="E455" i="11"/>
  <c r="F308" i="11"/>
  <c r="E308" i="11"/>
  <c r="G308" i="11"/>
  <c r="E546" i="11"/>
  <c r="F546" i="11"/>
  <c r="G819" i="11"/>
  <c r="E211" i="11"/>
  <c r="G211" i="11"/>
  <c r="E464" i="11"/>
  <c r="F813" i="11"/>
  <c r="G813" i="11"/>
  <c r="E813" i="11"/>
  <c r="E972" i="11"/>
  <c r="G972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F839" i="11"/>
  <c r="G839" i="11"/>
  <c r="E839" i="11"/>
  <c r="F275" i="11"/>
  <c r="F934" i="11"/>
  <c r="G934" i="11"/>
  <c r="E934" i="11"/>
  <c r="E528" i="11"/>
  <c r="G528" i="11"/>
  <c r="G611" i="11"/>
  <c r="G270" i="11"/>
  <c r="E270" i="11"/>
  <c r="F270" i="11"/>
  <c r="G932" i="11"/>
  <c r="F932" i="11"/>
  <c r="E932" i="11"/>
  <c r="F804" i="11"/>
  <c r="E804" i="11"/>
  <c r="G804" i="11"/>
  <c r="F352" i="11"/>
  <c r="G352" i="11"/>
  <c r="E963" i="11"/>
  <c r="E835" i="11"/>
  <c r="G835" i="11"/>
  <c r="E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F903" i="11"/>
  <c r="E903" i="11"/>
  <c r="F775" i="11"/>
  <c r="E616" i="11"/>
  <c r="F616" i="11"/>
  <c r="F998" i="11"/>
  <c r="G998" i="11"/>
  <c r="E998" i="11"/>
  <c r="F870" i="11"/>
  <c r="E870" i="11"/>
  <c r="F806" i="11"/>
  <c r="E806" i="11"/>
  <c r="E358" i="11"/>
  <c r="F358" i="11"/>
  <c r="G358" i="11"/>
  <c r="E965" i="11"/>
  <c r="G965" i="11"/>
  <c r="E837" i="11"/>
  <c r="F837" i="11"/>
  <c r="E773" i="11"/>
  <c r="F773" i="11"/>
  <c r="F440" i="11"/>
  <c r="G440" i="11"/>
  <c r="E440" i="11"/>
  <c r="F868" i="11"/>
  <c r="G868" i="11"/>
  <c r="E868" i="11"/>
  <c r="F694" i="11"/>
  <c r="G694" i="11"/>
  <c r="E182" i="11"/>
  <c r="G182" i="11"/>
  <c r="F899" i="11"/>
  <c r="G899" i="11"/>
  <c r="E771" i="11"/>
  <c r="F771" i="11"/>
  <c r="F435" i="11"/>
  <c r="E435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F980" i="11"/>
  <c r="E980" i="11"/>
  <c r="F475" i="11"/>
  <c r="G475" i="11"/>
  <c r="E519" i="11"/>
  <c r="G519" i="11"/>
  <c r="E461" i="11"/>
  <c r="F461" i="11"/>
  <c r="F756" i="11"/>
  <c r="G756" i="11"/>
  <c r="G372" i="11"/>
  <c r="F372" i="11"/>
  <c r="F610" i="11"/>
  <c r="G610" i="11"/>
  <c r="E610" i="11"/>
  <c r="F226" i="11"/>
  <c r="E713" i="11"/>
  <c r="G713" i="11"/>
  <c r="E585" i="11"/>
  <c r="G585" i="11"/>
  <c r="F585" i="11"/>
  <c r="E521" i="11"/>
  <c r="F521" i="11"/>
  <c r="G521" i="11"/>
  <c r="F457" i="11"/>
  <c r="F393" i="11"/>
  <c r="G265" i="11"/>
  <c r="F265" i="11"/>
  <c r="F201" i="11"/>
  <c r="G201" i="11"/>
  <c r="E486" i="11"/>
  <c r="F486" i="11"/>
  <c r="F821" i="11"/>
  <c r="E310" i="11"/>
  <c r="F310" i="11"/>
  <c r="E646" i="11"/>
  <c r="F646" i="11"/>
  <c r="E647" i="11"/>
  <c r="F647" i="11"/>
  <c r="E199" i="11"/>
  <c r="F199" i="11"/>
  <c r="G199" i="11"/>
  <c r="E525" i="11"/>
  <c r="G525" i="11"/>
  <c r="F436" i="11"/>
  <c r="G436" i="11"/>
  <c r="E354" i="11"/>
  <c r="F354" i="11"/>
  <c r="F583" i="11"/>
  <c r="E226" i="11"/>
  <c r="F872" i="11"/>
  <c r="F856" i="11"/>
  <c r="G856" i="11"/>
  <c r="E849" i="11"/>
  <c r="G849" i="11"/>
  <c r="E552" i="11"/>
  <c r="G552" i="11"/>
  <c r="F552" i="11"/>
  <c r="G910" i="11"/>
  <c r="E910" i="11"/>
  <c r="E908" i="11"/>
  <c r="F908" i="11"/>
  <c r="E875" i="11"/>
  <c r="F875" i="11"/>
  <c r="E712" i="11"/>
  <c r="G712" i="11"/>
  <c r="E542" i="11"/>
  <c r="G542" i="11"/>
  <c r="E371" i="11"/>
  <c r="G371" i="11"/>
  <c r="G200" i="11"/>
  <c r="F200" i="11"/>
  <c r="E398" i="11"/>
  <c r="F651" i="11"/>
  <c r="E651" i="11"/>
  <c r="E850" i="11"/>
  <c r="G850" i="11"/>
  <c r="F711" i="11"/>
  <c r="E711" i="11"/>
  <c r="G711" i="11"/>
  <c r="G327" i="11"/>
  <c r="F327" i="11"/>
  <c r="G653" i="11"/>
  <c r="F653" i="11"/>
  <c r="G333" i="11"/>
  <c r="F333" i="11"/>
  <c r="F180" i="11"/>
  <c r="E180" i="11"/>
  <c r="F290" i="11"/>
  <c r="G290" i="11"/>
  <c r="G960" i="11"/>
  <c r="E960" i="11"/>
  <c r="F848" i="11"/>
  <c r="E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F376" i="11"/>
  <c r="E376" i="11"/>
  <c r="E288" i="11"/>
  <c r="G288" i="11"/>
  <c r="F811" i="11"/>
  <c r="G811" i="11"/>
  <c r="E811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F315" i="11"/>
  <c r="E568" i="11"/>
  <c r="G568" i="11"/>
  <c r="G788" i="11"/>
  <c r="F788" i="11"/>
  <c r="E883" i="11"/>
  <c r="G883" i="11"/>
  <c r="F883" i="11"/>
  <c r="E978" i="11"/>
  <c r="G978" i="11"/>
  <c r="F978" i="11"/>
  <c r="G391" i="11"/>
  <c r="F391" i="11"/>
  <c r="E717" i="11"/>
  <c r="F717" i="11"/>
  <c r="F244" i="11"/>
  <c r="G244" i="11"/>
  <c r="F418" i="11"/>
  <c r="E418" i="11"/>
  <c r="G738" i="11"/>
  <c r="G699" i="11"/>
  <c r="G916" i="11"/>
  <c r="G734" i="11"/>
  <c r="E913" i="11"/>
  <c r="G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F535" i="11"/>
  <c r="F727" i="11"/>
  <c r="E727" i="11"/>
  <c r="G727" i="11"/>
  <c r="E663" i="11"/>
  <c r="F663" i="11"/>
  <c r="E599" i="11"/>
  <c r="G599" i="11"/>
  <c r="G984" i="11"/>
  <c r="F283" i="11"/>
  <c r="G283" i="11"/>
  <c r="F767" i="11"/>
  <c r="F703" i="11"/>
  <c r="G703" i="11"/>
  <c r="E703" i="11"/>
  <c r="E639" i="11"/>
  <c r="G639" i="11"/>
  <c r="F624" i="11"/>
  <c r="E624" i="11"/>
  <c r="G663" i="11"/>
  <c r="E767" i="11"/>
  <c r="E454" i="11"/>
  <c r="F778" i="11"/>
  <c r="E842" i="11"/>
  <c r="E215" i="11"/>
  <c r="E747" i="11"/>
  <c r="G977" i="11"/>
  <c r="E491" i="11"/>
  <c r="E864" i="11"/>
  <c r="F259" i="11"/>
  <c r="F736" i="11"/>
  <c r="G991" i="11"/>
  <c r="G615" i="11"/>
  <c r="G799" i="11"/>
  <c r="G848" i="11"/>
  <c r="F849" i="11"/>
  <c r="F977" i="11"/>
  <c r="E799" i="11"/>
  <c r="E872" i="11"/>
  <c r="G853" i="11"/>
  <c r="G339" i="11"/>
  <c r="G927" i="11"/>
  <c r="E468" i="11"/>
  <c r="F579" i="11"/>
  <c r="E579" i="11"/>
  <c r="F981" i="11"/>
  <c r="E981" i="11"/>
  <c r="G981" i="11"/>
  <c r="G948" i="11"/>
  <c r="E948" i="11"/>
  <c r="E979" i="11"/>
  <c r="G979" i="11"/>
  <c r="F743" i="11"/>
  <c r="G743" i="11"/>
  <c r="E743" i="11"/>
  <c r="G295" i="11"/>
  <c r="E295" i="11"/>
  <c r="F660" i="11"/>
  <c r="G660" i="11"/>
  <c r="F553" i="11"/>
  <c r="F425" i="11"/>
  <c r="E425" i="11"/>
  <c r="F233" i="11"/>
  <c r="E233" i="11"/>
  <c r="E512" i="11"/>
  <c r="G512" i="11"/>
  <c r="F408" i="11"/>
  <c r="E408" i="11"/>
  <c r="E488" i="11"/>
  <c r="G488" i="11"/>
  <c r="F400" i="11"/>
  <c r="E400" i="11"/>
  <c r="E560" i="11"/>
  <c r="F560" i="11"/>
  <c r="F621" i="11"/>
  <c r="E621" i="11"/>
  <c r="G276" i="11"/>
  <c r="F276" i="11"/>
  <c r="E450" i="11"/>
  <c r="G450" i="11"/>
  <c r="F681" i="11"/>
  <c r="F489" i="11"/>
  <c r="E489" i="11"/>
  <c r="F297" i="11"/>
  <c r="E297" i="11"/>
  <c r="G297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F791" i="11"/>
  <c r="E791" i="11"/>
  <c r="G742" i="11"/>
  <c r="F742" i="11"/>
  <c r="F483" i="11"/>
  <c r="E483" i="11"/>
  <c r="E566" i="11"/>
  <c r="G566" i="11"/>
  <c r="F219" i="11"/>
  <c r="E219" i="11"/>
  <c r="G340" i="11"/>
  <c r="F340" i="11"/>
  <c r="G514" i="11"/>
  <c r="F514" i="11"/>
  <c r="E514" i="11"/>
  <c r="F361" i="11"/>
  <c r="E36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G192" i="11"/>
  <c r="E192" i="11"/>
  <c r="E825" i="11"/>
  <c r="F825" i="11"/>
  <c r="G825" i="11"/>
  <c r="F919" i="11"/>
  <c r="G919" i="11"/>
  <c r="F853" i="11"/>
  <c r="F820" i="11"/>
  <c r="E820" i="11"/>
  <c r="E787" i="11"/>
  <c r="G818" i="11"/>
  <c r="F818" i="11"/>
  <c r="E749" i="11"/>
  <c r="F301" i="11"/>
  <c r="E301" i="11"/>
  <c r="G532" i="11"/>
  <c r="F532" i="11"/>
  <c r="F642" i="11"/>
  <c r="E642" i="11"/>
  <c r="G642" i="11"/>
  <c r="E745" i="11"/>
  <c r="F745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E968" i="11"/>
  <c r="F968" i="11"/>
  <c r="E534" i="11"/>
  <c r="F534" i="11"/>
  <c r="F822" i="11"/>
  <c r="E822" i="11"/>
  <c r="E789" i="11"/>
  <c r="G789" i="11"/>
  <c r="E736" i="11"/>
  <c r="F648" i="11"/>
  <c r="G648" i="11"/>
  <c r="F487" i="11"/>
  <c r="E487" i="11"/>
  <c r="E237" i="11"/>
  <c r="G404" i="11"/>
  <c r="F404" i="11"/>
  <c r="F706" i="11"/>
  <c r="E706" i="11"/>
  <c r="G706" i="11"/>
  <c r="G258" i="11"/>
  <c r="E258" i="11"/>
  <c r="G820" i="11"/>
  <c r="G889" i="11"/>
  <c r="G560" i="11"/>
  <c r="F395" i="11"/>
  <c r="E857" i="11"/>
  <c r="G323" i="11"/>
  <c r="E323" i="11"/>
  <c r="F823" i="11"/>
  <c r="F448" i="11"/>
  <c r="E448" i="11"/>
  <c r="F983" i="11"/>
  <c r="G983" i="11"/>
  <c r="G950" i="11"/>
  <c r="G917" i="11"/>
  <c r="F917" i="11"/>
  <c r="F946" i="11"/>
  <c r="G946" i="11"/>
  <c r="E615" i="11"/>
  <c r="F231" i="11"/>
  <c r="E231" i="11"/>
  <c r="F429" i="11"/>
  <c r="G429" i="11"/>
  <c r="F596" i="11"/>
  <c r="G596" i="11"/>
  <c r="F212" i="11"/>
  <c r="E212" i="11"/>
  <c r="G731" i="11"/>
  <c r="G822" i="11"/>
  <c r="F512" i="11"/>
  <c r="E557" i="11"/>
  <c r="F566" i="11"/>
  <c r="F928" i="11"/>
  <c r="G928" i="11"/>
  <c r="G231" i="11"/>
  <c r="G487" i="11"/>
  <c r="G400" i="11"/>
  <c r="E427" i="11"/>
  <c r="E731" i="11"/>
  <c r="F787" i="11"/>
  <c r="E660" i="11"/>
  <c r="E493" i="11"/>
  <c r="E917" i="11"/>
  <c r="F258" i="11"/>
  <c r="E953" i="11"/>
  <c r="G953" i="11"/>
  <c r="F855" i="11"/>
  <c r="G855" i="11"/>
  <c r="E654" i="11"/>
  <c r="G654" i="11"/>
  <c r="E478" i="11"/>
  <c r="F478" i="11"/>
  <c r="G478" i="11"/>
  <c r="E390" i="11"/>
  <c r="G359" i="11"/>
  <c r="F359" i="11"/>
  <c r="E359" i="11"/>
  <c r="G557" i="11"/>
  <c r="F724" i="11"/>
  <c r="E724" i="11"/>
  <c r="G724" i="11"/>
  <c r="G194" i="11"/>
  <c r="E194" i="11"/>
  <c r="E793" i="11"/>
  <c r="F793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F230" i="11"/>
  <c r="E230" i="11"/>
  <c r="F312" i="11"/>
  <c r="G312" i="11"/>
  <c r="E312" i="11"/>
  <c r="G224" i="11"/>
  <c r="E679" i="11"/>
  <c r="F679" i="11"/>
  <c r="F365" i="11"/>
  <c r="E365" i="11"/>
  <c r="G365" i="11"/>
  <c r="G468" i="11"/>
  <c r="F468" i="11"/>
  <c r="F578" i="11"/>
  <c r="E578" i="11"/>
  <c r="G578" i="11"/>
  <c r="G322" i="11"/>
  <c r="E322" i="11"/>
  <c r="G491" i="11"/>
  <c r="G390" i="11"/>
  <c r="E318" i="11"/>
  <c r="F750" i="11"/>
  <c r="F295" i="11"/>
  <c r="F617" i="11"/>
  <c r="G936" i="11"/>
  <c r="F936" i="11"/>
  <c r="E936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F896" i="11"/>
  <c r="F755" i="11"/>
  <c r="E344" i="11"/>
  <c r="F796" i="11"/>
  <c r="E335" i="11"/>
  <c r="E591" i="11"/>
  <c r="E904" i="11"/>
  <c r="G227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G766" i="11"/>
  <c r="F827" i="11"/>
  <c r="E893" i="11"/>
  <c r="F957" i="11"/>
  <c r="E976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G507" i="11"/>
  <c r="G922" i="11"/>
  <c r="G686" i="11"/>
  <c r="F496" i="11"/>
  <c r="G248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G988" i="11"/>
  <c r="G929" i="11"/>
  <c r="G496" i="11"/>
  <c r="F414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G597" i="11"/>
  <c r="G993" i="11"/>
  <c r="G985" i="11"/>
  <c r="G384" i="11"/>
  <c r="F590" i="11"/>
  <c r="E222" i="11"/>
  <c r="F925" i="11"/>
  <c r="E704" i="11"/>
  <c r="E888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E675" i="11"/>
  <c r="F861" i="11"/>
  <c r="F989" i="11"/>
  <c r="F888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G251" i="11"/>
  <c r="F797" i="11"/>
  <c r="E758" i="11"/>
  <c r="G619" i="11"/>
  <c r="G797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G670" i="11"/>
  <c r="G576" i="11"/>
  <c r="G861" i="11"/>
  <c r="E683" i="11"/>
  <c r="F828" i="11"/>
  <c r="E894" i="11"/>
  <c r="E592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G259" i="11"/>
  <c r="G411" i="11"/>
  <c r="G675" i="11"/>
  <c r="G833" i="11"/>
  <c r="G587" i="11"/>
  <c r="G680" i="11"/>
  <c r="G416" i="11"/>
  <c r="G430" i="11"/>
  <c r="G592" i="11"/>
  <c r="F504" i="11"/>
  <c r="R2" i="16" a="1"/>
  <c r="Q3" i="16"/>
  <c r="AB4" i="16" a="1"/>
  <c r="AA5" i="16"/>
  <c r="AB4" i="16" l="1"/>
  <c r="AL2" i="16" a="1"/>
  <c r="R2" i="16"/>
  <c r="R3" i="16" a="1"/>
  <c r="Q4" i="16"/>
  <c r="W2" i="16" a="1"/>
  <c r="AA6" i="16"/>
  <c r="AB5" i="16" a="1"/>
  <c r="Z290" i="16" l="1" a="1"/>
  <c r="Z290" i="16" s="1"/>
  <c r="Z289" i="16" a="1"/>
  <c r="Z289" i="16" s="1"/>
  <c r="Z287" i="16" a="1"/>
  <c r="Z287" i="16" s="1"/>
  <c r="Z288" i="16" a="1"/>
  <c r="Z288" i="16" s="1"/>
  <c r="Z286" i="16" a="1"/>
  <c r="Z286" i="16" s="1"/>
  <c r="Z285" i="16" a="1"/>
  <c r="Z285" i="16" s="1"/>
  <c r="Z283" i="16" a="1"/>
  <c r="Z283" i="16" s="1"/>
  <c r="Z284" i="16" a="1"/>
  <c r="Z284" i="16" s="1"/>
  <c r="Z281" i="16" a="1"/>
  <c r="Z281" i="16" s="1"/>
  <c r="Z282" i="16" a="1"/>
  <c r="Z282" i="16" s="1"/>
  <c r="Z279" i="16" a="1"/>
  <c r="Z279" i="16" s="1"/>
  <c r="Z280" i="16" a="1"/>
  <c r="Z280" i="16" s="1"/>
  <c r="Z277" i="16" a="1"/>
  <c r="Z277" i="16" s="1"/>
  <c r="Z278" i="16" a="1"/>
  <c r="Z278" i="16" s="1"/>
  <c r="AB5" i="16"/>
  <c r="AL2" i="16"/>
  <c r="Z275" i="16" s="1" a="1"/>
  <c r="Z275" i="16" s="1"/>
  <c r="Z276" i="16" a="1"/>
  <c r="Z276" i="16" s="1"/>
  <c r="W2" i="16"/>
  <c r="R3" i="16"/>
  <c r="Q5" i="16"/>
  <c r="AA7" i="16"/>
  <c r="AB6" i="16" a="1"/>
  <c r="R4" i="16" a="1"/>
  <c r="AB6" i="16" l="1"/>
  <c r="R4" i="16"/>
  <c r="Q6" i="16"/>
  <c r="R5" i="16" a="1"/>
  <c r="AA8" i="16"/>
  <c r="AB7" i="16" a="1"/>
  <c r="AB7" i="16" l="1"/>
  <c r="R5" i="16"/>
  <c r="R6" i="16" a="1"/>
  <c r="AA9" i="16"/>
  <c r="AB8" i="16" a="1"/>
  <c r="Q7" i="16"/>
  <c r="AB8" i="16" l="1"/>
  <c r="R6" i="16"/>
  <c r="R7" i="16" a="1"/>
  <c r="Q8" i="16"/>
  <c r="AB9" i="16" a="1"/>
  <c r="AA10" i="16"/>
  <c r="AB9" i="16" l="1"/>
  <c r="R7" i="16"/>
  <c r="R8" i="16" a="1"/>
  <c r="AB10" i="16" a="1"/>
  <c r="AA11" i="16"/>
  <c r="Q9" i="16"/>
  <c r="AB10" i="16" l="1"/>
  <c r="R8" i="16"/>
  <c r="R9" i="16" a="1"/>
  <c r="AA12" i="16"/>
  <c r="AB11" i="16" a="1"/>
  <c r="Q10" i="16"/>
  <c r="AB11" i="16" l="1"/>
  <c r="R9" i="16"/>
  <c r="R10" i="16" a="1"/>
  <c r="AB12" i="16" a="1"/>
  <c r="Q11" i="16"/>
  <c r="AA13" i="16"/>
  <c r="AB12" i="16" l="1"/>
  <c r="R10" i="16"/>
  <c r="R11" i="16" a="1"/>
  <c r="AA14" i="16"/>
  <c r="AB13" i="16" a="1"/>
  <c r="Q12" i="16"/>
  <c r="AB13" i="16" l="1"/>
  <c r="R11" i="16"/>
  <c r="AB14" i="16" a="1"/>
  <c r="Q13" i="16"/>
  <c r="R12" i="16" a="1"/>
  <c r="AA15" i="16"/>
  <c r="AB14" i="16" l="1"/>
  <c r="R12" i="16"/>
  <c r="AA16" i="16"/>
  <c r="Q14" i="16"/>
  <c r="AB15" i="16" a="1"/>
  <c r="R13" i="16" a="1"/>
  <c r="AB15" i="16" l="1"/>
  <c r="R13" i="16"/>
  <c r="AB16" i="16" a="1"/>
  <c r="R14" i="16" a="1"/>
  <c r="AA17" i="16"/>
  <c r="Q15" i="16"/>
  <c r="AB16" i="16" l="1"/>
  <c r="R14" i="16"/>
  <c r="AA18" i="16"/>
  <c r="R15" i="16" a="1"/>
  <c r="Q16" i="16"/>
  <c r="AB17" i="16" a="1"/>
  <c r="AB17" i="16" l="1"/>
  <c r="R15" i="16"/>
  <c r="AA19" i="16"/>
  <c r="R16" i="16" a="1"/>
  <c r="AB18" i="16" a="1"/>
  <c r="Q17" i="16"/>
  <c r="AB18" i="16" l="1"/>
  <c r="R16" i="16"/>
  <c r="AB19" i="16" a="1"/>
  <c r="Q18" i="16"/>
  <c r="R17" i="16" a="1"/>
  <c r="AA20" i="16"/>
  <c r="AB19" i="16" l="1"/>
  <c r="R17" i="16"/>
  <c r="Q19" i="16"/>
  <c r="AB20" i="16" a="1"/>
  <c r="AA21" i="16"/>
  <c r="R18" i="16" a="1"/>
  <c r="AB20" i="16" l="1"/>
  <c r="R18" i="16"/>
  <c r="R19" i="16" a="1"/>
  <c r="Q20" i="16"/>
  <c r="AB21" i="16" a="1"/>
  <c r="AA22" i="16"/>
  <c r="AB21" i="16" l="1"/>
  <c r="R19" i="16"/>
  <c r="AB22" i="16" a="1"/>
  <c r="Q21" i="16"/>
  <c r="AA23" i="16"/>
  <c r="R20" i="16" a="1"/>
  <c r="AB22" i="16" l="1"/>
  <c r="R20" i="16"/>
  <c r="AB23" i="16" a="1"/>
  <c r="Q22" i="16"/>
  <c r="AA24" i="16"/>
  <c r="R21" i="16" a="1"/>
  <c r="AB23" i="16" l="1"/>
  <c r="R21" i="16"/>
  <c r="R22" i="16" a="1"/>
  <c r="AA25" i="16"/>
  <c r="AB24" i="16" a="1"/>
  <c r="Q23" i="16"/>
  <c r="AB24" i="16" l="1"/>
  <c r="R22" i="16"/>
  <c r="Q24" i="16"/>
  <c r="R23" i="16" a="1"/>
  <c r="AB25" i="16" a="1"/>
  <c r="AA26" i="16"/>
  <c r="AB25" i="16" l="1"/>
  <c r="R23" i="16"/>
  <c r="AA27" i="16"/>
  <c r="R24" i="16" a="1"/>
  <c r="AB26" i="16" a="1"/>
  <c r="Q25" i="16"/>
  <c r="AB26" i="16" l="1"/>
  <c r="R24" i="16"/>
  <c r="R25" i="16" a="1"/>
  <c r="AA28" i="16"/>
  <c r="Q26" i="16"/>
  <c r="AB27" i="16" a="1"/>
  <c r="AB27" i="16" l="1"/>
  <c r="R25" i="16"/>
  <c r="AB28" i="16" a="1"/>
  <c r="AA29" i="16"/>
  <c r="R26" i="16" a="1"/>
  <c r="Q27" i="16"/>
  <c r="AB28" i="16" l="1"/>
  <c r="R26" i="16"/>
  <c r="AB29" i="16" a="1"/>
  <c r="R27" i="16" a="1"/>
  <c r="Q28" i="16"/>
  <c r="AA30" i="16"/>
  <c r="AB29" i="16" l="1"/>
  <c r="R27" i="16"/>
  <c r="AB30" i="16" a="1"/>
  <c r="R28" i="16" a="1"/>
  <c r="Q29" i="16"/>
  <c r="AA31" i="16"/>
  <c r="AB30" i="16" l="1"/>
  <c r="R28" i="16"/>
  <c r="AB31" i="16" a="1"/>
  <c r="Q30" i="16"/>
  <c r="R29" i="16" a="1"/>
  <c r="AA32" i="16"/>
  <c r="AB31" i="16" l="1"/>
  <c r="R29" i="16"/>
  <c r="R30" i="16" a="1"/>
  <c r="Q31" i="16"/>
  <c r="AA33" i="16"/>
  <c r="AB32" i="16" a="1"/>
  <c r="AB32" i="16" l="1"/>
  <c r="R30" i="16"/>
  <c r="Q32" i="16"/>
  <c r="AA34" i="16"/>
  <c r="AB33" i="16" a="1"/>
  <c r="R31" i="16" a="1"/>
  <c r="AB33" i="16" l="1"/>
  <c r="R31" i="16"/>
  <c r="R32" i="16" a="1"/>
  <c r="Q33" i="16"/>
  <c r="AB34" i="16" a="1"/>
  <c r="AA35" i="16"/>
  <c r="AB34" i="16" l="1"/>
  <c r="R32" i="16"/>
  <c r="R33" i="16" a="1"/>
  <c r="Q34" i="16"/>
  <c r="AA36" i="16"/>
  <c r="AB35" i="16" a="1"/>
  <c r="AB35" i="16" l="1"/>
  <c r="R33" i="16"/>
  <c r="R34" i="16" a="1"/>
  <c r="Q35" i="16"/>
  <c r="AA37" i="16"/>
  <c r="AB36" i="16" a="1"/>
  <c r="AB36" i="16" l="1"/>
  <c r="R34" i="16"/>
  <c r="AB37" i="16" a="1"/>
  <c r="AA38" i="16"/>
  <c r="R35" i="16" a="1"/>
  <c r="Q36" i="16"/>
  <c r="AB37" i="16" l="1"/>
  <c r="R35" i="16"/>
  <c r="AA39" i="16"/>
  <c r="R36" i="16" a="1"/>
  <c r="Q37" i="16"/>
  <c r="AB38" i="16" a="1"/>
  <c r="AB38" i="16" l="1"/>
  <c r="R36" i="16"/>
  <c r="AB39" i="16" a="1"/>
  <c r="AA40" i="16"/>
  <c r="Q38" i="16"/>
  <c r="R37" i="16" a="1"/>
  <c r="AB39" i="16" l="1"/>
  <c r="R37" i="16"/>
  <c r="Q39" i="16"/>
  <c r="R38" i="16" a="1"/>
  <c r="AB40" i="16" a="1"/>
  <c r="AA41" i="16"/>
  <c r="AB40" i="16" l="1"/>
  <c r="R38" i="16"/>
  <c r="AB41" i="16" a="1"/>
  <c r="R39" i="16" a="1"/>
  <c r="AA42" i="16"/>
  <c r="Q40" i="16"/>
  <c r="AB41" i="16" l="1"/>
  <c r="R39" i="16"/>
  <c r="AA43" i="16"/>
  <c r="R40" i="16" a="1"/>
  <c r="Q41" i="16"/>
  <c r="AB42" i="16" a="1"/>
  <c r="AB42" i="16" l="1"/>
  <c r="R40" i="16"/>
  <c r="Q42" i="16"/>
  <c r="R41" i="16" a="1"/>
  <c r="AA44" i="16"/>
  <c r="AB43" i="16" a="1"/>
  <c r="AB43" i="16" l="1"/>
  <c r="R41" i="16"/>
  <c r="R42" i="16" a="1"/>
  <c r="Q43" i="16"/>
  <c r="AB44" i="16" a="1"/>
  <c r="AA45" i="16"/>
  <c r="AB44" i="16" l="1"/>
  <c r="R42" i="16"/>
  <c r="AB45" i="16" a="1"/>
  <c r="AA46" i="16"/>
  <c r="Q44" i="16"/>
  <c r="R43" i="16" a="1"/>
  <c r="AB45" i="16" l="1"/>
  <c r="R43" i="16"/>
  <c r="AA47" i="16"/>
  <c r="AB46" i="16" a="1"/>
  <c r="Q45" i="16"/>
  <c r="R44" i="16" a="1"/>
  <c r="AB46" i="16" l="1"/>
  <c r="R44" i="16"/>
  <c r="Q46" i="16"/>
  <c r="AB47" i="16" a="1"/>
  <c r="R45" i="16" a="1"/>
  <c r="AA48" i="16"/>
  <c r="AB47" i="16" l="1"/>
  <c r="R45" i="16"/>
  <c r="AB48" i="16" a="1"/>
  <c r="R46" i="16" a="1"/>
  <c r="Q47" i="16"/>
  <c r="AA49" i="16"/>
  <c r="AB48" i="16" l="1"/>
  <c r="R46" i="16"/>
  <c r="R47" i="16" a="1"/>
  <c r="AB49" i="16" a="1"/>
  <c r="AA50" i="16"/>
  <c r="Q48" i="16"/>
  <c r="AB49" i="16" l="1"/>
  <c r="R47" i="16"/>
  <c r="Q49" i="16"/>
  <c r="AA51" i="16"/>
  <c r="AB50" i="16" a="1"/>
  <c r="R48" i="16" a="1"/>
  <c r="AB50" i="16" l="1"/>
  <c r="R48" i="16"/>
  <c r="AB51" i="16" a="1"/>
  <c r="R49" i="16" a="1"/>
  <c r="Q50" i="16"/>
  <c r="AA52" i="16"/>
  <c r="AB51" i="16" l="1"/>
  <c r="R49" i="16"/>
  <c r="AA53" i="16"/>
  <c r="Q51" i="16"/>
  <c r="R50" i="16" a="1"/>
  <c r="AB52" i="16" a="1"/>
  <c r="AB52" i="16" l="1"/>
  <c r="R50" i="16"/>
  <c r="Q52" i="16"/>
  <c r="AA54" i="16"/>
  <c r="AB53" i="16" a="1"/>
  <c r="R51" i="16" a="1"/>
  <c r="AB53" i="16" l="1"/>
  <c r="R51" i="16"/>
  <c r="AB54" i="16" a="1"/>
  <c r="Q53" i="16"/>
  <c r="AA55" i="16"/>
  <c r="R52" i="16" a="1"/>
  <c r="AB54" i="16" l="1"/>
  <c r="R52" i="16"/>
  <c r="R53" i="16" a="1"/>
  <c r="AB55" i="16" a="1"/>
  <c r="AA56" i="16"/>
  <c r="Q54" i="16"/>
  <c r="AB55" i="16" l="1"/>
  <c r="R53" i="16"/>
  <c r="AB56" i="16" a="1"/>
  <c r="Q55" i="16"/>
  <c r="AA57" i="16"/>
  <c r="R54" i="16" a="1"/>
  <c r="AB56" i="16" l="1"/>
  <c r="R54" i="16"/>
  <c r="AA58" i="16"/>
  <c r="AB57" i="16" a="1"/>
  <c r="Q56" i="16"/>
  <c r="R55" i="16" a="1"/>
  <c r="AB57" i="16" l="1"/>
  <c r="R55" i="16"/>
  <c r="AB58" i="16" a="1"/>
  <c r="AA59" i="16"/>
  <c r="Q57" i="16"/>
  <c r="R56" i="16" a="1"/>
  <c r="AB58" i="16" l="1"/>
  <c r="R56" i="16"/>
  <c r="R57" i="16" a="1"/>
  <c r="AA60" i="16"/>
  <c r="AB59" i="16" a="1"/>
  <c r="Q58" i="16"/>
  <c r="AB59" i="16" l="1"/>
  <c r="R57" i="16"/>
  <c r="AB60" i="16" a="1"/>
  <c r="Q59" i="16"/>
  <c r="R58" i="16" a="1"/>
  <c r="AA61" i="16"/>
  <c r="AB60" i="16" l="1"/>
  <c r="R58" i="16"/>
  <c r="R59" i="16" a="1"/>
  <c r="AB61" i="16" a="1"/>
  <c r="AA62" i="16"/>
  <c r="Q60" i="16"/>
  <c r="AB61" i="16" l="1"/>
  <c r="R59" i="16"/>
  <c r="R60" i="16" a="1"/>
  <c r="AB62" i="16" a="1"/>
  <c r="AA63" i="16"/>
  <c r="Q61" i="16"/>
  <c r="AB62" i="16" l="1"/>
  <c r="R60" i="16"/>
  <c r="Q62" i="16"/>
  <c r="R61" i="16" a="1"/>
  <c r="AA64" i="16"/>
  <c r="AB63" i="16" a="1"/>
  <c r="AB63" i="16" l="1"/>
  <c r="R61" i="16"/>
  <c r="AB64" i="16" a="1"/>
  <c r="AA65" i="16"/>
  <c r="R62" i="16" a="1"/>
  <c r="Q63" i="16"/>
  <c r="AB64" i="16" l="1"/>
  <c r="R62" i="16"/>
  <c r="R63" i="16" a="1"/>
  <c r="AA66" i="16"/>
  <c r="Q64" i="16"/>
  <c r="AB65" i="16" a="1"/>
  <c r="AB65" i="16" l="1"/>
  <c r="R63" i="16"/>
  <c r="AA67" i="16"/>
  <c r="Q65" i="16"/>
  <c r="R64" i="16" a="1"/>
  <c r="AB66" i="16" a="1"/>
  <c r="AB66" i="16" l="1"/>
  <c r="R64" i="16"/>
  <c r="Q66" i="16"/>
  <c r="AB67" i="16" a="1"/>
  <c r="R65" i="16" a="1"/>
  <c r="AA68" i="16"/>
  <c r="AB67" i="16" l="1"/>
  <c r="R65" i="16"/>
  <c r="AA69" i="16"/>
  <c r="AB68" i="16" a="1"/>
  <c r="Q67" i="16"/>
  <c r="R66" i="16" a="1"/>
  <c r="AB68" i="16" l="1"/>
  <c r="R66" i="16"/>
  <c r="AA70" i="16"/>
  <c r="AB69" i="16" a="1"/>
  <c r="R67" i="16" a="1"/>
  <c r="Q68" i="16"/>
  <c r="AB69" i="16" l="1"/>
  <c r="R67" i="16"/>
  <c r="R68" i="16" a="1"/>
  <c r="AB70" i="16" a="1"/>
  <c r="Q69" i="16"/>
  <c r="AA71" i="16"/>
  <c r="AB70" i="16" l="1"/>
  <c r="R68" i="16"/>
  <c r="AB71" i="16" a="1"/>
  <c r="R69" i="16" a="1"/>
  <c r="AA72" i="16"/>
  <c r="Q70" i="16"/>
  <c r="AB71" i="16" l="1"/>
  <c r="R69" i="16"/>
  <c r="R70" i="16" a="1"/>
  <c r="AB72" i="16" a="1"/>
  <c r="AA73" i="16"/>
  <c r="Q71" i="16"/>
  <c r="AB72" i="16" l="1"/>
  <c r="R70" i="16"/>
  <c r="Q72" i="16"/>
  <c r="R71" i="16" a="1"/>
  <c r="AB73" i="16" a="1"/>
  <c r="AA74" i="16"/>
  <c r="AB73" i="16" l="1"/>
  <c r="R71" i="16"/>
  <c r="AB74" i="16" a="1"/>
  <c r="AA75" i="16"/>
  <c r="Q73" i="16"/>
  <c r="R72" i="16" a="1"/>
  <c r="AB74" i="16" l="1"/>
  <c r="R72" i="16"/>
  <c r="AA76" i="16"/>
  <c r="R73" i="16" a="1"/>
  <c r="Q74" i="16"/>
  <c r="AB75" i="16" a="1"/>
  <c r="AB75" i="16" l="1"/>
  <c r="R73" i="16"/>
  <c r="AB76" i="16" a="1"/>
  <c r="R74" i="16" a="1"/>
  <c r="Q75" i="16"/>
  <c r="AA77" i="16"/>
  <c r="AB76" i="16" l="1"/>
  <c r="R74" i="16"/>
  <c r="AB77" i="16" a="1"/>
  <c r="R75" i="16" a="1"/>
  <c r="AA78" i="16"/>
  <c r="Q76" i="16"/>
  <c r="AB77" i="16" l="1"/>
  <c r="R75" i="16"/>
  <c r="R76" i="16" a="1"/>
  <c r="Q77" i="16"/>
  <c r="AB78" i="16" a="1"/>
  <c r="AA79" i="16"/>
  <c r="AB78" i="16" l="1"/>
  <c r="R76" i="16"/>
  <c r="R77" i="16" a="1"/>
  <c r="Q78" i="16"/>
  <c r="AB79" i="16" a="1"/>
  <c r="AA80" i="16"/>
  <c r="AB79" i="16" l="1"/>
  <c r="R77" i="16"/>
  <c r="AA81" i="16"/>
  <c r="AB80" i="16" a="1"/>
  <c r="Q79" i="16"/>
  <c r="R78" i="16" a="1"/>
  <c r="AB80" i="16" l="1"/>
  <c r="R78" i="16"/>
  <c r="AA82" i="16"/>
  <c r="Q80" i="16"/>
  <c r="R79" i="16" a="1"/>
  <c r="AB81" i="16" a="1"/>
  <c r="AB81" i="16" l="1"/>
  <c r="R79" i="16"/>
  <c r="Q81" i="16"/>
  <c r="R80" i="16" a="1"/>
  <c r="AB82" i="16" a="1"/>
  <c r="AA83" i="16"/>
  <c r="AB82" i="16" l="1"/>
  <c r="R80" i="16"/>
  <c r="AB83" i="16" a="1"/>
  <c r="AA84" i="16"/>
  <c r="Q82" i="16"/>
  <c r="R81" i="16" a="1"/>
  <c r="AB83" i="16" l="1"/>
  <c r="R81" i="16"/>
  <c r="AB84" i="16" a="1"/>
  <c r="R82" i="16" a="1"/>
  <c r="Q83" i="16"/>
  <c r="AA85" i="16"/>
  <c r="AB84" i="16" l="1"/>
  <c r="R82" i="16"/>
  <c r="AA86" i="16"/>
  <c r="R83" i="16" a="1"/>
  <c r="Q84" i="16"/>
  <c r="AB85" i="16" a="1"/>
  <c r="AB85" i="16" l="1"/>
  <c r="R83" i="16"/>
  <c r="R84" i="16" a="1"/>
  <c r="AB86" i="16" a="1"/>
  <c r="Q85" i="16"/>
  <c r="AA87" i="16"/>
  <c r="AB86" i="16" l="1"/>
  <c r="R84" i="16"/>
  <c r="R85" i="16" a="1"/>
  <c r="AA88" i="16"/>
  <c r="AB87" i="16" a="1"/>
  <c r="Q86" i="16"/>
  <c r="AB87" i="16" l="1"/>
  <c r="R85" i="16"/>
  <c r="Q87" i="16"/>
  <c r="AB88" i="16" a="1"/>
  <c r="R86" i="16" a="1"/>
  <c r="AA89" i="16"/>
  <c r="AB88" i="16" l="1"/>
  <c r="R86" i="16"/>
  <c r="R87" i="16" a="1"/>
  <c r="AA90" i="16"/>
  <c r="AB89" i="16" a="1"/>
  <c r="Q88" i="16"/>
  <c r="AB89" i="16" l="1"/>
  <c r="R87" i="16"/>
  <c r="Q89" i="16"/>
  <c r="AB90" i="16" a="1"/>
  <c r="AA91" i="16"/>
  <c r="R88" i="16" a="1"/>
  <c r="AB90" i="16" l="1"/>
  <c r="R88" i="16"/>
  <c r="R89" i="16" a="1"/>
  <c r="Q90" i="16"/>
  <c r="AB91" i="16" a="1"/>
  <c r="AA92" i="16"/>
  <c r="AB91" i="16" l="1"/>
  <c r="R89" i="16"/>
  <c r="AB92" i="16" a="1"/>
  <c r="AA93" i="16"/>
  <c r="R90" i="16" a="1"/>
  <c r="Q91" i="16"/>
  <c r="AB92" i="16" l="1"/>
  <c r="R90" i="16"/>
  <c r="Q92" i="16"/>
  <c r="AA94" i="16"/>
  <c r="AB93" i="16" a="1"/>
  <c r="R91" i="16" a="1"/>
  <c r="AB93" i="16" l="1"/>
  <c r="R91" i="16"/>
  <c r="R92" i="16" a="1"/>
  <c r="AA95" i="16"/>
  <c r="Q93" i="16"/>
  <c r="AB94" i="16" a="1"/>
  <c r="AB94" i="16" l="1"/>
  <c r="R92" i="16"/>
  <c r="AA96" i="16"/>
  <c r="AB95" i="16" a="1"/>
  <c r="R93" i="16" a="1"/>
  <c r="Q94" i="16"/>
  <c r="AB95" i="16" l="1"/>
  <c r="R93" i="16"/>
  <c r="Q95" i="16"/>
  <c r="AA97" i="16"/>
  <c r="AB96" i="16" a="1"/>
  <c r="R94" i="16" a="1"/>
  <c r="AB96" i="16" l="1"/>
  <c r="R94" i="16"/>
  <c r="Q96" i="16"/>
  <c r="R95" i="16" a="1"/>
  <c r="AB97" i="16" a="1"/>
  <c r="AA98" i="16"/>
  <c r="AB97" i="16" l="1"/>
  <c r="R95" i="16"/>
  <c r="R96" i="16" a="1"/>
  <c r="AA99" i="16"/>
  <c r="AB98" i="16" a="1"/>
  <c r="Q97" i="16"/>
  <c r="AB98" i="16" l="1"/>
  <c r="R96" i="16"/>
  <c r="Q98" i="16"/>
  <c r="R97" i="16" a="1"/>
  <c r="AA100" i="16"/>
  <c r="AB99" i="16" a="1"/>
  <c r="AB99" i="16" l="1"/>
  <c r="R97" i="16"/>
  <c r="R98" i="16" a="1"/>
  <c r="Q99" i="16"/>
  <c r="AB100" i="16" a="1"/>
  <c r="AA101" i="16"/>
  <c r="AB100" i="16" l="1"/>
  <c r="R98" i="16"/>
  <c r="AA102" i="16"/>
  <c r="R99" i="16" a="1"/>
  <c r="AB101" i="16" a="1"/>
  <c r="Q100" i="16"/>
  <c r="AB101" i="16" l="1"/>
  <c r="R99" i="16"/>
  <c r="Q101" i="16"/>
  <c r="AB102" i="16" a="1"/>
  <c r="R100" i="16" a="1"/>
  <c r="AA103" i="16"/>
  <c r="AB102" i="16" l="1"/>
  <c r="R100" i="16"/>
  <c r="R101" i="16" a="1"/>
  <c r="AB103" i="16" a="1"/>
  <c r="AA104" i="16"/>
  <c r="Q102" i="16"/>
  <c r="AB103" i="16" l="1"/>
  <c r="R101" i="16"/>
  <c r="Q103" i="16"/>
  <c r="AB104" i="16" a="1"/>
  <c r="R102" i="16" a="1"/>
  <c r="AA105" i="16"/>
  <c r="AB104" i="16" l="1"/>
  <c r="R102" i="16"/>
  <c r="R103" i="16" a="1"/>
  <c r="AA106" i="16"/>
  <c r="AB105" i="16" a="1"/>
  <c r="Q104" i="16"/>
  <c r="AB105" i="16" l="1"/>
  <c r="R103" i="16"/>
  <c r="Q105" i="16"/>
  <c r="AA107" i="16"/>
  <c r="R104" i="16" a="1"/>
  <c r="AB106" i="16" a="1"/>
  <c r="AB106" i="16" l="1"/>
  <c r="R104" i="16"/>
  <c r="AB107" i="16" a="1"/>
  <c r="R105" i="16" a="1"/>
  <c r="Q106" i="16"/>
  <c r="AA108" i="16"/>
  <c r="AB107" i="16" l="1"/>
  <c r="R105" i="16"/>
  <c r="Q107" i="16"/>
  <c r="R106" i="16" a="1"/>
  <c r="AA109" i="16"/>
  <c r="AB108" i="16" a="1"/>
  <c r="AB108" i="16" l="1"/>
  <c r="R106" i="16"/>
  <c r="Q108" i="16"/>
  <c r="AA110" i="16"/>
  <c r="R107" i="16" a="1"/>
  <c r="AB109" i="16" a="1"/>
  <c r="AB109" i="16" l="1"/>
  <c r="R107" i="16"/>
  <c r="AB110" i="16" a="1"/>
  <c r="AA111" i="16"/>
  <c r="R108" i="16" a="1"/>
  <c r="Q109" i="16"/>
  <c r="AB110" i="16" l="1"/>
  <c r="R108" i="16"/>
  <c r="AA112" i="16"/>
  <c r="R109" i="16" a="1"/>
  <c r="Q110" i="16"/>
  <c r="AB111" i="16" a="1"/>
  <c r="AB111" i="16" l="1"/>
  <c r="R109" i="16"/>
  <c r="AA113" i="16"/>
  <c r="Q111" i="16"/>
  <c r="AB112" i="16" a="1"/>
  <c r="R110" i="16" a="1"/>
  <c r="AB112" i="16" l="1"/>
  <c r="R110" i="16"/>
  <c r="Q112" i="16"/>
  <c r="R111" i="16" a="1"/>
  <c r="AB113" i="16" a="1"/>
  <c r="AA114" i="16"/>
  <c r="AB113" i="16" l="1"/>
  <c r="R111" i="16"/>
  <c r="Q113" i="16"/>
  <c r="AB114" i="16" a="1"/>
  <c r="AA115" i="16"/>
  <c r="R112" i="16" a="1"/>
  <c r="AB114" i="16" l="1"/>
  <c r="R112" i="16"/>
  <c r="Q114" i="16"/>
  <c r="AA116" i="16"/>
  <c r="R113" i="16" a="1"/>
  <c r="AB115" i="16" a="1"/>
  <c r="AB115" i="16" l="1"/>
  <c r="R113" i="16"/>
  <c r="R114" i="16" a="1"/>
  <c r="AB116" i="16" a="1"/>
  <c r="AA117" i="16"/>
  <c r="Q115" i="16"/>
  <c r="AB116" i="16" l="1"/>
  <c r="R114" i="16"/>
  <c r="R115" i="16" a="1"/>
  <c r="AB117" i="16" a="1"/>
  <c r="AA118" i="16"/>
  <c r="Q116" i="16"/>
  <c r="AB117" i="16" l="1"/>
  <c r="R115" i="16"/>
  <c r="AB118" i="16" a="1"/>
  <c r="AA119" i="16"/>
  <c r="R116" i="16" a="1"/>
  <c r="Q117" i="16"/>
  <c r="AB118" i="16" l="1"/>
  <c r="R116" i="16"/>
  <c r="AB119" i="16" a="1"/>
  <c r="AA120" i="16"/>
  <c r="R117" i="16" a="1"/>
  <c r="Q118" i="16"/>
  <c r="AB119" i="16" l="1"/>
  <c r="R117" i="16"/>
  <c r="AA121" i="16"/>
  <c r="Q119" i="16"/>
  <c r="AB120" i="16" a="1"/>
  <c r="R118" i="16" a="1"/>
  <c r="AB120" i="16" l="1"/>
  <c r="R118" i="16"/>
  <c r="AA122" i="16"/>
  <c r="AB121" i="16" a="1"/>
  <c r="Q120" i="16"/>
  <c r="R119" i="16" a="1"/>
  <c r="AB121" i="16" l="1"/>
  <c r="R119" i="16"/>
  <c r="AB122" i="16" a="1"/>
  <c r="R120" i="16" a="1"/>
  <c r="AA123" i="16"/>
  <c r="Q121" i="16"/>
  <c r="AB122" i="16" l="1"/>
  <c r="R120" i="16"/>
  <c r="AB123" i="16" a="1"/>
  <c r="Q122" i="16"/>
  <c r="AA124" i="16"/>
  <c r="R121" i="16" a="1"/>
  <c r="AB123" i="16" l="1"/>
  <c r="R121" i="16"/>
  <c r="AB124" i="16" a="1"/>
  <c r="Q123" i="16"/>
  <c r="R122" i="16" a="1"/>
  <c r="AA125" i="16"/>
  <c r="AB124" i="16" l="1"/>
  <c r="R122" i="16"/>
  <c r="AA126" i="16"/>
  <c r="AB125" i="16" a="1"/>
  <c r="R123" i="16" a="1"/>
  <c r="Q124" i="16"/>
  <c r="AB125" i="16" l="1"/>
  <c r="R123" i="16"/>
  <c r="AA127" i="16"/>
  <c r="AB126" i="16" a="1"/>
  <c r="R124" i="16" a="1"/>
  <c r="Q125" i="16"/>
  <c r="AB126" i="16" l="1"/>
  <c r="R124" i="16"/>
  <c r="AA128" i="16"/>
  <c r="Q126" i="16"/>
  <c r="R125" i="16" a="1"/>
  <c r="AB127" i="16" a="1"/>
  <c r="AB127" i="16" l="1"/>
  <c r="R125" i="16"/>
  <c r="AA129" i="16"/>
  <c r="R126" i="16" a="1"/>
  <c r="AB128" i="16" a="1"/>
  <c r="Q127" i="16"/>
  <c r="AB128" i="16" l="1"/>
  <c r="R126" i="16"/>
  <c r="Q128" i="16"/>
  <c r="R127" i="16" a="1"/>
  <c r="AA130" i="16"/>
  <c r="AB129" i="16" a="1"/>
  <c r="AB129" i="16" l="1"/>
  <c r="R127" i="16"/>
  <c r="AA131" i="16"/>
  <c r="R128" i="16" a="1"/>
  <c r="AB130" i="16" a="1"/>
  <c r="Q129" i="16"/>
  <c r="AB130" i="16" l="1"/>
  <c r="R128" i="16"/>
  <c r="R129" i="16" a="1"/>
  <c r="AA132" i="16"/>
  <c r="Q130" i="16"/>
  <c r="AB131" i="16" a="1"/>
  <c r="AB131" i="16" l="1"/>
  <c r="R129" i="16"/>
  <c r="AB132" i="16" a="1"/>
  <c r="AA133" i="16"/>
  <c r="Q131" i="16"/>
  <c r="R130" i="16" a="1"/>
  <c r="AB132" i="16" l="1"/>
  <c r="R130" i="16"/>
  <c r="R131" i="16" a="1"/>
  <c r="AA134" i="16"/>
  <c r="AB133" i="16" a="1"/>
  <c r="Q132" i="16"/>
  <c r="AB133" i="16" l="1"/>
  <c r="R131" i="16"/>
  <c r="R132" i="16" a="1"/>
  <c r="AB134" i="16" a="1"/>
  <c r="AA135" i="16"/>
  <c r="Q133" i="16"/>
  <c r="AB134" i="16" l="1"/>
  <c r="R132" i="16"/>
  <c r="R133" i="16" a="1"/>
  <c r="AA136" i="16"/>
  <c r="AB135" i="16" a="1"/>
  <c r="Q134" i="16"/>
  <c r="AB135" i="16" l="1"/>
  <c r="R133" i="16"/>
  <c r="AA137" i="16"/>
  <c r="R134" i="16" a="1"/>
  <c r="Q135" i="16"/>
  <c r="AB136" i="16" a="1"/>
  <c r="AB136" i="16" l="1"/>
  <c r="R134" i="16"/>
  <c r="AB137" i="16" a="1"/>
  <c r="Q136" i="16"/>
  <c r="R135" i="16" a="1"/>
  <c r="AA138" i="16"/>
  <c r="AB137" i="16" l="1"/>
  <c r="R135" i="16"/>
  <c r="R136" i="16" a="1"/>
  <c r="AA139" i="16"/>
  <c r="Q137" i="16"/>
  <c r="AB138" i="16" a="1"/>
  <c r="AB138" i="16" l="1"/>
  <c r="R136" i="16"/>
  <c r="R137" i="16" a="1"/>
  <c r="Q138" i="16"/>
  <c r="AB139" i="16" a="1"/>
  <c r="AA140" i="16"/>
  <c r="AB139" i="16" l="1"/>
  <c r="R137" i="16"/>
  <c r="Q139" i="16"/>
  <c r="AB140" i="16" a="1"/>
  <c r="R138" i="16" a="1"/>
  <c r="AA141" i="16"/>
  <c r="AB140" i="16" l="1"/>
  <c r="R138" i="16"/>
  <c r="R139" i="16" a="1"/>
  <c r="AB141" i="16" a="1"/>
  <c r="AA142" i="16"/>
  <c r="Q140" i="16"/>
  <c r="AB141" i="16" l="1"/>
  <c r="R139" i="16"/>
  <c r="AA143" i="16"/>
  <c r="Q141" i="16"/>
  <c r="AB142" i="16" a="1"/>
  <c r="R140" i="16" a="1"/>
  <c r="AB142" i="16" l="1"/>
  <c r="R140" i="16"/>
  <c r="AA144" i="16"/>
  <c r="AB143" i="16" a="1"/>
  <c r="Q142" i="16"/>
  <c r="R141" i="16" a="1"/>
  <c r="AB143" i="16" l="1"/>
  <c r="R141" i="16"/>
  <c r="AA145" i="16"/>
  <c r="AB144" i="16" a="1"/>
  <c r="R142" i="16" a="1"/>
  <c r="Q143" i="16"/>
  <c r="AB144" i="16" l="1"/>
  <c r="R142" i="16"/>
  <c r="Q144" i="16"/>
  <c r="AB145" i="16" a="1"/>
  <c r="AA146" i="16"/>
  <c r="R143" i="16" a="1"/>
  <c r="AB145" i="16" l="1"/>
  <c r="R143" i="16"/>
  <c r="Q145" i="16"/>
  <c r="AA147" i="16"/>
  <c r="R144" i="16" a="1"/>
  <c r="AB146" i="16" a="1"/>
  <c r="AB146" i="16" l="1"/>
  <c r="R144" i="16"/>
  <c r="AA148" i="16"/>
  <c r="AB147" i="16" a="1"/>
  <c r="R145" i="16" a="1"/>
  <c r="Q146" i="16"/>
  <c r="AB147" i="16" l="1"/>
  <c r="R145" i="16"/>
  <c r="R146" i="16" a="1"/>
  <c r="Q147" i="16"/>
  <c r="AA149" i="16"/>
  <c r="AB148" i="16" a="1"/>
  <c r="AB148" i="16" l="1"/>
  <c r="R146" i="16"/>
  <c r="R147" i="16" a="1"/>
  <c r="AA150" i="16"/>
  <c r="Q148" i="16"/>
  <c r="AB149" i="16" a="1"/>
  <c r="AB149" i="16" l="1"/>
  <c r="R147" i="16"/>
  <c r="AB150" i="16" a="1"/>
  <c r="Q149" i="16"/>
  <c r="AA151" i="16"/>
  <c r="R148" i="16" a="1"/>
  <c r="AB150" i="16" l="1"/>
  <c r="R148" i="16"/>
  <c r="Q150" i="16"/>
  <c r="R149" i="16" a="1"/>
  <c r="AB151" i="16" a="1"/>
  <c r="AA152" i="16"/>
  <c r="AB151" i="16" l="1"/>
  <c r="R149" i="16"/>
  <c r="AB152" i="16" a="1"/>
  <c r="Q151" i="16"/>
  <c r="R150" i="16" a="1"/>
  <c r="AA153" i="16"/>
  <c r="AB152" i="16" l="1"/>
  <c r="R150" i="16"/>
  <c r="AA154" i="16"/>
  <c r="Q152" i="16"/>
  <c r="AB153" i="16" a="1"/>
  <c r="R151" i="16" a="1"/>
  <c r="AB153" i="16" l="1"/>
  <c r="R151" i="16"/>
  <c r="AA155" i="16"/>
  <c r="AB154" i="16" a="1"/>
  <c r="R152" i="16" a="1"/>
  <c r="Q153" i="16"/>
  <c r="AB154" i="16" l="1"/>
  <c r="R152" i="16"/>
  <c r="AB155" i="16" a="1"/>
  <c r="R153" i="16" a="1"/>
  <c r="Q154" i="16"/>
  <c r="AA156" i="16"/>
  <c r="AB155" i="16" l="1"/>
  <c r="R153" i="16"/>
  <c r="AA157" i="16"/>
  <c r="Q155" i="16"/>
  <c r="AB156" i="16" a="1"/>
  <c r="R154" i="16" a="1"/>
  <c r="AB156" i="16" l="1"/>
  <c r="R154" i="16"/>
  <c r="Q156" i="16"/>
  <c r="AA158" i="16"/>
  <c r="R155" i="16" a="1"/>
  <c r="AB157" i="16" a="1"/>
  <c r="AB157" i="16" l="1"/>
  <c r="R155" i="16"/>
  <c r="AB158" i="16" a="1"/>
  <c r="Q157" i="16"/>
  <c r="AA159" i="16"/>
  <c r="R156" i="16" a="1"/>
  <c r="AB158" i="16" l="1"/>
  <c r="R156" i="16"/>
  <c r="Q158" i="16"/>
  <c r="AA160" i="16"/>
  <c r="AB159" i="16" a="1"/>
  <c r="R157" i="16" a="1"/>
  <c r="AB159" i="16" l="1"/>
  <c r="R157" i="16"/>
  <c r="AA161" i="16"/>
  <c r="AB160" i="16" a="1"/>
  <c r="R158" i="16" a="1"/>
  <c r="Q159" i="16"/>
  <c r="AB160" i="16" l="1"/>
  <c r="R158" i="16"/>
  <c r="AA162" i="16"/>
  <c r="R159" i="16" a="1"/>
  <c r="AB161" i="16" a="1"/>
  <c r="Q160" i="16"/>
  <c r="AB161" i="16" l="1"/>
  <c r="R159" i="16"/>
  <c r="Q161" i="16"/>
  <c r="R160" i="16" a="1"/>
  <c r="AA163" i="16"/>
  <c r="AB162" i="16" a="1"/>
  <c r="AB162" i="16" l="1"/>
  <c r="R160" i="16"/>
  <c r="AB163" i="16" a="1"/>
  <c r="AA164" i="16"/>
  <c r="R161" i="16" a="1"/>
  <c r="Q162" i="16"/>
  <c r="AB163" i="16" l="1"/>
  <c r="R161" i="16"/>
  <c r="AB164" i="16" a="1"/>
  <c r="R162" i="16" a="1"/>
  <c r="Q163" i="16"/>
  <c r="AA165" i="16"/>
  <c r="AB164" i="16" l="1"/>
  <c r="R162" i="16"/>
  <c r="AA166" i="16"/>
  <c r="Q164" i="16"/>
  <c r="R163" i="16" a="1"/>
  <c r="AB165" i="16" a="1"/>
  <c r="AB165" i="16" l="1"/>
  <c r="R163" i="16"/>
  <c r="R164" i="16" a="1"/>
  <c r="Q165" i="16"/>
  <c r="AA167" i="16"/>
  <c r="AB166" i="16" a="1"/>
  <c r="AB166" i="16" l="1"/>
  <c r="R164" i="16"/>
  <c r="R165" i="16" a="1"/>
  <c r="AA168" i="16"/>
  <c r="Q166" i="16"/>
  <c r="AB167" i="16" a="1"/>
  <c r="AB167" i="16" l="1"/>
  <c r="R165" i="16"/>
  <c r="AA169" i="16"/>
  <c r="Q167" i="16"/>
  <c r="R166" i="16" a="1"/>
  <c r="AB168" i="16" a="1"/>
  <c r="AB168" i="16" l="1"/>
  <c r="R166" i="16"/>
  <c r="R167" i="16" a="1"/>
  <c r="AB169" i="16" a="1"/>
  <c r="AA170" i="16"/>
  <c r="Q168" i="16"/>
  <c r="AB169" i="16" l="1"/>
  <c r="R167" i="16"/>
  <c r="AB170" i="16" a="1"/>
  <c r="Q169" i="16"/>
  <c r="R168" i="16" a="1"/>
  <c r="AA171" i="16"/>
  <c r="AB170" i="16" l="1"/>
  <c r="R168" i="16"/>
  <c r="Q170" i="16"/>
  <c r="AB171" i="16" a="1"/>
  <c r="AA172" i="16"/>
  <c r="R169" i="16" a="1"/>
  <c r="AB171" i="16" l="1"/>
  <c r="R169" i="16"/>
  <c r="Q171" i="16"/>
  <c r="AA173" i="16"/>
  <c r="AB172" i="16" a="1"/>
  <c r="R170" i="16" a="1"/>
  <c r="AB172" i="16" l="1"/>
  <c r="R170" i="16"/>
  <c r="Q172" i="16"/>
  <c r="AA174" i="16"/>
  <c r="AB173" i="16" a="1"/>
  <c r="R171" i="16" a="1"/>
  <c r="AB173" i="16" l="1"/>
  <c r="R171" i="16"/>
  <c r="AA175" i="16"/>
  <c r="Q173" i="16"/>
  <c r="AB174" i="16" a="1"/>
  <c r="R172" i="16" a="1"/>
  <c r="AB174" i="16" l="1"/>
  <c r="R172" i="16"/>
  <c r="AB175" i="16" a="1"/>
  <c r="AA176" i="16"/>
  <c r="Q174" i="16"/>
  <c r="R173" i="16" a="1"/>
  <c r="AB175" i="16" l="1"/>
  <c r="R173" i="16"/>
  <c r="Q175" i="16"/>
  <c r="R174" i="16" a="1"/>
  <c r="AA177" i="16"/>
  <c r="AB176" i="16" a="1"/>
  <c r="AB176" i="16" l="1"/>
  <c r="R174" i="16"/>
  <c r="R175" i="16" a="1"/>
  <c r="AB177" i="16" a="1"/>
  <c r="Q176" i="16"/>
  <c r="AA178" i="16"/>
  <c r="AB177" i="16" l="1"/>
  <c r="R175" i="16"/>
  <c r="AB178" i="16" a="1"/>
  <c r="R176" i="16" a="1"/>
  <c r="AA179" i="16"/>
  <c r="Q177" i="16"/>
  <c r="AB178" i="16" l="1"/>
  <c r="R176" i="16"/>
  <c r="AA180" i="16"/>
  <c r="R177" i="16" a="1"/>
  <c r="Q178" i="16"/>
  <c r="AB179" i="16" a="1"/>
  <c r="AB179" i="16" l="1"/>
  <c r="R177" i="16"/>
  <c r="AB180" i="16" a="1"/>
  <c r="Q179" i="16"/>
  <c r="R178" i="16" a="1"/>
  <c r="AA181" i="16"/>
  <c r="AB180" i="16" l="1"/>
  <c r="R178" i="16"/>
  <c r="Q180" i="16"/>
  <c r="AA182" i="16"/>
  <c r="AB181" i="16" a="1"/>
  <c r="R179" i="16" a="1"/>
  <c r="AB181" i="16" l="1"/>
  <c r="R179" i="16"/>
  <c r="Q181" i="16"/>
  <c r="AA183" i="16"/>
  <c r="R180" i="16" a="1"/>
  <c r="AB182" i="16" a="1"/>
  <c r="AB182" i="16" l="1"/>
  <c r="R180" i="16"/>
  <c r="Q182" i="16"/>
  <c r="R181" i="16" a="1"/>
  <c r="AB183" i="16" a="1"/>
  <c r="AA184" i="16"/>
  <c r="AB183" i="16" l="1"/>
  <c r="R181" i="16"/>
  <c r="Q183" i="16"/>
  <c r="R182" i="16" a="1"/>
  <c r="AB184" i="16" a="1"/>
  <c r="AA185" i="16"/>
  <c r="AB184" i="16" l="1"/>
  <c r="R182" i="16"/>
  <c r="R183" i="16" a="1"/>
  <c r="Q184" i="16"/>
  <c r="AB185" i="16" a="1"/>
  <c r="AA186" i="16"/>
  <c r="AB185" i="16" l="1"/>
  <c r="R183" i="16"/>
  <c r="AB186" i="16" a="1"/>
  <c r="AA187" i="16"/>
  <c r="Q185" i="16"/>
  <c r="R184" i="16" a="1"/>
  <c r="AB186" i="16" l="1"/>
  <c r="R184" i="16"/>
  <c r="AA188" i="16"/>
  <c r="AB187" i="16" a="1"/>
  <c r="Q186" i="16"/>
  <c r="R185" i="16" a="1"/>
  <c r="AB187" i="16" l="1"/>
  <c r="R185" i="16"/>
  <c r="AB188" i="16" a="1"/>
  <c r="Q187" i="16"/>
  <c r="AA189" i="16"/>
  <c r="R186" i="16" a="1"/>
  <c r="AB188" i="16" l="1"/>
  <c r="R186" i="16"/>
  <c r="R187" i="16" a="1"/>
  <c r="AA190" i="16"/>
  <c r="Q188" i="16"/>
  <c r="AB189" i="16" a="1"/>
  <c r="AB189" i="16" l="1"/>
  <c r="R187" i="16"/>
  <c r="AB190" i="16" a="1"/>
  <c r="Q189" i="16"/>
  <c r="AA191" i="16"/>
  <c r="R188" i="16" a="1"/>
  <c r="AB190" i="16" l="1"/>
  <c r="R188" i="16"/>
  <c r="R189" i="16" a="1"/>
  <c r="AA192" i="16"/>
  <c r="Q190" i="16"/>
  <c r="AB191" i="16" a="1"/>
  <c r="AB191" i="16" l="1"/>
  <c r="R189" i="16"/>
  <c r="AB192" i="16" a="1"/>
  <c r="AA193" i="16"/>
  <c r="R190" i="16" a="1"/>
  <c r="Q191" i="16"/>
  <c r="AB192" i="16" l="1"/>
  <c r="R190" i="16"/>
  <c r="R191" i="16" a="1"/>
  <c r="AB193" i="16" a="1"/>
  <c r="AA194" i="16"/>
  <c r="Q192" i="16"/>
  <c r="AB193" i="16" l="1"/>
  <c r="R191" i="16"/>
  <c r="R192" i="16" a="1"/>
  <c r="AA195" i="16"/>
  <c r="AB194" i="16" a="1"/>
  <c r="Q193" i="16"/>
  <c r="AB194" i="16" l="1"/>
  <c r="R192" i="16"/>
  <c r="AB195" i="16" a="1"/>
  <c r="AA196" i="16"/>
  <c r="R193" i="16" a="1"/>
  <c r="Q194" i="16"/>
  <c r="AB195" i="16" l="1"/>
  <c r="R193" i="16"/>
  <c r="AB196" i="16" a="1"/>
  <c r="AA197" i="16"/>
  <c r="R194" i="16" a="1"/>
  <c r="Q195" i="16"/>
  <c r="AB196" i="16" l="1"/>
  <c r="R194" i="16"/>
  <c r="AA198" i="16"/>
  <c r="AB197" i="16" a="1"/>
  <c r="R195" i="16" a="1"/>
  <c r="Q196" i="16"/>
  <c r="AB197" i="16" l="1"/>
  <c r="R195" i="16"/>
  <c r="AA199" i="16"/>
  <c r="R196" i="16" a="1"/>
  <c r="Q197" i="16"/>
  <c r="AB198" i="16" a="1"/>
  <c r="AB198" i="16" l="1"/>
  <c r="R196" i="16"/>
  <c r="AA200" i="16"/>
  <c r="R197" i="16" a="1"/>
  <c r="Q198" i="16"/>
  <c r="AB199" i="16" a="1"/>
  <c r="AB199" i="16" l="1"/>
  <c r="R197" i="16"/>
  <c r="AB200" i="16" a="1"/>
  <c r="R198" i="16" a="1"/>
  <c r="AA201" i="16"/>
  <c r="Q199" i="16"/>
  <c r="AB200" i="16" l="1"/>
  <c r="R198" i="16"/>
  <c r="AB201" i="16" a="1"/>
  <c r="Q200" i="16"/>
  <c r="AA202" i="16"/>
  <c r="R199" i="16" a="1"/>
  <c r="AB201" i="16" l="1"/>
  <c r="R199" i="16"/>
  <c r="Q201" i="16"/>
  <c r="AA203" i="16"/>
  <c r="R200" i="16" a="1"/>
  <c r="AB202" i="16" a="1"/>
  <c r="AB202" i="16" l="1"/>
  <c r="R200" i="16"/>
  <c r="AA204" i="16"/>
  <c r="R201" i="16" a="1"/>
  <c r="AB203" i="16" a="1"/>
  <c r="Q202" i="16"/>
  <c r="AB203" i="16" l="1"/>
  <c r="R201" i="16"/>
  <c r="Q203" i="16"/>
  <c r="AB204" i="16" a="1"/>
  <c r="R202" i="16" a="1"/>
  <c r="AA205" i="16"/>
  <c r="AB204" i="16" l="1"/>
  <c r="R202" i="16"/>
  <c r="AB205" i="16" a="1"/>
  <c r="AA206" i="16"/>
  <c r="R203" i="16" a="1"/>
  <c r="Q204" i="16"/>
  <c r="AB205" i="16" l="1"/>
  <c r="R203" i="16"/>
  <c r="AB206" i="16" a="1"/>
  <c r="AA207" i="16"/>
  <c r="Q205" i="16"/>
  <c r="R204" i="16" a="1"/>
  <c r="AB206" i="16" l="1"/>
  <c r="R204" i="16"/>
  <c r="Q206" i="16"/>
  <c r="R205" i="16" a="1"/>
  <c r="AA208" i="16"/>
  <c r="AB207" i="16" a="1"/>
  <c r="AB207" i="16" l="1"/>
  <c r="R205" i="16"/>
  <c r="AA209" i="16"/>
  <c r="AB208" i="16" a="1"/>
  <c r="Q207" i="16"/>
  <c r="R206" i="16" a="1"/>
  <c r="AB208" i="16" l="1"/>
  <c r="R206" i="16"/>
  <c r="Q208" i="16"/>
  <c r="R207" i="16" a="1"/>
  <c r="AB209" i="16" a="1"/>
  <c r="AA210" i="16"/>
  <c r="AB209" i="16" l="1"/>
  <c r="R207" i="16"/>
  <c r="AB210" i="16" a="1"/>
  <c r="AA211" i="16"/>
  <c r="R208" i="16" a="1"/>
  <c r="Q209" i="16"/>
  <c r="AB210" i="16" l="1"/>
  <c r="R208" i="16"/>
  <c r="AB211" i="16" a="1"/>
  <c r="R209" i="16" a="1"/>
  <c r="Q210" i="16"/>
  <c r="AA212" i="16"/>
  <c r="AB211" i="16" l="1"/>
  <c r="R209" i="16"/>
  <c r="Q211" i="16"/>
  <c r="R210" i="16" a="1"/>
  <c r="AB212" i="16" a="1"/>
  <c r="AA213" i="16"/>
  <c r="AB212" i="16" l="1"/>
  <c r="R210" i="16"/>
  <c r="AA214" i="16"/>
  <c r="AB213" i="16" a="1"/>
  <c r="R211" i="16" a="1"/>
  <c r="Q212" i="16"/>
  <c r="AB213" i="16" l="1"/>
  <c r="R211" i="16"/>
  <c r="Q213" i="16"/>
  <c r="AA215" i="16"/>
  <c r="AB214" i="16" a="1"/>
  <c r="R212" i="16" a="1"/>
  <c r="AB214" i="16" l="1"/>
  <c r="R212" i="16"/>
  <c r="Q214" i="16"/>
  <c r="AB215" i="16" a="1"/>
  <c r="AA216" i="16"/>
  <c r="R213" i="16" a="1"/>
  <c r="AB215" i="16" l="1"/>
  <c r="R213" i="16"/>
  <c r="AA217" i="16"/>
  <c r="Q215" i="16"/>
  <c r="AB216" i="16" a="1"/>
  <c r="R214" i="16" a="1"/>
  <c r="AB216" i="16" l="1"/>
  <c r="R214" i="16"/>
  <c r="AA218" i="16"/>
  <c r="R215" i="16" a="1"/>
  <c r="Q216" i="16"/>
  <c r="AB217" i="16" a="1"/>
  <c r="AB217" i="16" l="1"/>
  <c r="R215" i="16"/>
  <c r="AB218" i="16" a="1"/>
  <c r="AA219" i="16"/>
  <c r="Q217" i="16"/>
  <c r="R216" i="16" a="1"/>
  <c r="AB218" i="16" l="1"/>
  <c r="R216" i="16"/>
  <c r="Q218" i="16"/>
  <c r="AA220" i="16"/>
  <c r="R217" i="16" a="1"/>
  <c r="AB219" i="16" a="1"/>
  <c r="AB219" i="16" l="1"/>
  <c r="R217" i="16"/>
  <c r="Q219" i="16"/>
  <c r="AB220" i="16" a="1"/>
  <c r="AA221" i="16"/>
  <c r="R218" i="16" a="1"/>
  <c r="AB220" i="16" l="1"/>
  <c r="R218" i="16"/>
  <c r="R219" i="16" a="1"/>
  <c r="Q220" i="16"/>
  <c r="AB221" i="16" a="1"/>
  <c r="AA222" i="16"/>
  <c r="AB221" i="16" l="1"/>
  <c r="R219" i="16"/>
  <c r="Q221" i="16"/>
  <c r="AA223" i="16"/>
  <c r="AB222" i="16" a="1"/>
  <c r="R220" i="16" a="1"/>
  <c r="AB222" i="16" l="1"/>
  <c r="R220" i="16"/>
  <c r="AB223" i="16" a="1"/>
  <c r="Q222" i="16"/>
  <c r="AA224" i="16"/>
  <c r="R221" i="16" a="1"/>
  <c r="AB223" i="16" l="1"/>
  <c r="R221" i="16"/>
  <c r="R222" i="16" a="1"/>
  <c r="AB224" i="16" a="1"/>
  <c r="Q223" i="16"/>
  <c r="AA225" i="16"/>
  <c r="AB224" i="16" l="1"/>
  <c r="R222" i="16"/>
  <c r="AB225" i="16" a="1"/>
  <c r="Q224" i="16"/>
  <c r="R223" i="16" a="1"/>
  <c r="AA226" i="16"/>
  <c r="AB225" i="16" l="1"/>
  <c r="R223" i="16"/>
  <c r="R224" i="16" a="1"/>
  <c r="Q225" i="16"/>
  <c r="AA227" i="16"/>
  <c r="AB226" i="16" a="1"/>
  <c r="AB226" i="16" l="1"/>
  <c r="R224" i="16"/>
  <c r="Q226" i="16"/>
  <c r="AB227" i="16" a="1"/>
  <c r="AA228" i="16"/>
  <c r="R225" i="16" a="1"/>
  <c r="AB227" i="16" l="1"/>
  <c r="R225" i="16"/>
  <c r="AB228" i="16" a="1"/>
  <c r="Q227" i="16"/>
  <c r="R226" i="16" a="1"/>
  <c r="AA229" i="16"/>
  <c r="AB228" i="16" l="1"/>
  <c r="R226" i="16"/>
  <c r="R227" i="16" a="1"/>
  <c r="AB229" i="16" a="1"/>
  <c r="Q228" i="16"/>
  <c r="AA230" i="16"/>
  <c r="AB229" i="16" l="1"/>
  <c r="R227" i="16"/>
  <c r="R228" i="16" a="1"/>
  <c r="AA231" i="16"/>
  <c r="Q229" i="16"/>
  <c r="AB230" i="16" a="1"/>
  <c r="AB230" i="16" l="1"/>
  <c r="R228" i="16"/>
  <c r="Q230" i="16"/>
  <c r="AA232" i="16"/>
  <c r="R229" i="16" a="1"/>
  <c r="AB231" i="16" a="1"/>
  <c r="AB231" i="16" l="1"/>
  <c r="R229" i="16"/>
  <c r="R230" i="16" a="1"/>
  <c r="Q231" i="16"/>
  <c r="AA233" i="16"/>
  <c r="AB232" i="16" a="1"/>
  <c r="AB232" i="16" l="1"/>
  <c r="R230" i="16"/>
  <c r="AB233" i="16" a="1"/>
  <c r="AA234" i="16"/>
  <c r="R231" i="16" a="1"/>
  <c r="Q232" i="16"/>
  <c r="AB233" i="16" l="1"/>
  <c r="R231" i="16"/>
  <c r="R232" i="16" a="1"/>
  <c r="Q233" i="16"/>
  <c r="AA235" i="16"/>
  <c r="AB234" i="16" a="1"/>
  <c r="AB234" i="16" l="1"/>
  <c r="R232" i="16"/>
  <c r="AA236" i="16"/>
  <c r="Q234" i="16"/>
  <c r="R233" i="16" a="1"/>
  <c r="AB235" i="16" a="1"/>
  <c r="AB235" i="16" l="1"/>
  <c r="R233" i="16"/>
  <c r="AB236" i="16" a="1"/>
  <c r="AA237" i="16"/>
  <c r="Q235" i="16"/>
  <c r="R234" i="16" a="1"/>
  <c r="AB236" i="16" l="1"/>
  <c r="R234" i="16"/>
  <c r="AA238" i="16"/>
  <c r="AB237" i="16" a="1"/>
  <c r="R235" i="16" a="1"/>
  <c r="Q236" i="16"/>
  <c r="AB237" i="16" l="1"/>
  <c r="R235" i="16"/>
  <c r="Q237" i="16"/>
  <c r="AB238" i="16" a="1"/>
  <c r="AA239" i="16"/>
  <c r="R236" i="16" a="1"/>
  <c r="AB238" i="16" l="1"/>
  <c r="R236" i="16"/>
  <c r="AB239" i="16" a="1"/>
  <c r="Q238" i="16"/>
  <c r="AA240" i="16"/>
  <c r="R237" i="16" a="1"/>
  <c r="AB239" i="16" l="1"/>
  <c r="R237" i="16"/>
  <c r="AA241" i="16"/>
  <c r="AB240" i="16" a="1"/>
  <c r="R238" i="16" a="1"/>
  <c r="Q239" i="16"/>
  <c r="AB240" i="16" l="1"/>
  <c r="R238" i="16"/>
  <c r="R239" i="16" a="1"/>
  <c r="AB241" i="16" a="1"/>
  <c r="Q240" i="16"/>
  <c r="AA242" i="16"/>
  <c r="AB241" i="16" l="1"/>
  <c r="R239" i="16"/>
  <c r="Q241" i="16"/>
  <c r="R240" i="16" a="1"/>
  <c r="AA243" i="16"/>
  <c r="AB242" i="16" a="1"/>
  <c r="AB242" i="16" l="1"/>
  <c r="R240" i="16"/>
  <c r="R241" i="16" a="1"/>
  <c r="AA244" i="16"/>
  <c r="AB243" i="16" a="1"/>
  <c r="Q242" i="16"/>
  <c r="AB243" i="16" l="1"/>
  <c r="R241" i="16"/>
  <c r="AA245" i="16"/>
  <c r="R242" i="16" a="1"/>
  <c r="AB244" i="16" a="1"/>
  <c r="Q243" i="16"/>
  <c r="AB244" i="16" l="1"/>
  <c r="R242" i="16"/>
  <c r="AA246" i="16"/>
  <c r="AB245" i="16" a="1"/>
  <c r="Q244" i="16"/>
  <c r="R243" i="16" a="1"/>
  <c r="AB245" i="16" l="1"/>
  <c r="R243" i="16"/>
  <c r="AB246" i="16" a="1"/>
  <c r="Q245" i="16"/>
  <c r="R244" i="16" a="1"/>
  <c r="AA247" i="16"/>
  <c r="AB246" i="16" l="1"/>
  <c r="R244" i="16"/>
  <c r="Q246" i="16"/>
  <c r="AB247" i="16" a="1"/>
  <c r="R245" i="16" a="1"/>
  <c r="AA248" i="16"/>
  <c r="AB247" i="16" l="1"/>
  <c r="R245" i="16"/>
  <c r="Q247" i="16"/>
  <c r="AB248" i="16" a="1"/>
  <c r="AA249" i="16"/>
  <c r="R246" i="16" a="1"/>
  <c r="AB248" i="16" l="1"/>
  <c r="R246" i="16"/>
  <c r="AA250" i="16"/>
  <c r="Q248" i="16"/>
  <c r="R247" i="16" a="1"/>
  <c r="AB249" i="16" a="1"/>
  <c r="AB249" i="16" l="1"/>
  <c r="R247" i="16"/>
  <c r="AB250" i="16" a="1"/>
  <c r="Q249" i="16"/>
  <c r="R248" i="16" a="1"/>
  <c r="AA251" i="16"/>
  <c r="AB250" i="16" l="1"/>
  <c r="R248" i="16"/>
  <c r="Q250" i="16"/>
  <c r="R249" i="16" a="1"/>
  <c r="AA252" i="16"/>
  <c r="AB251" i="16" a="1"/>
  <c r="AB251" i="16" l="1"/>
  <c r="R249" i="16"/>
  <c r="AB252" i="16" a="1"/>
  <c r="Q251" i="16"/>
  <c r="R250" i="16" a="1"/>
  <c r="AA253" i="16"/>
  <c r="AB252" i="16" l="1"/>
  <c r="R250" i="16"/>
  <c r="R251" i="16" a="1"/>
  <c r="Q252" i="16"/>
  <c r="AA254" i="16"/>
  <c r="AB253" i="16" a="1"/>
  <c r="AB253" i="16" l="1"/>
  <c r="R251" i="16"/>
  <c r="AA255" i="16"/>
  <c r="R252" i="16" a="1"/>
  <c r="AB254" i="16" a="1"/>
  <c r="Q253" i="16"/>
  <c r="AB254" i="16" l="1"/>
  <c r="R252" i="16"/>
  <c r="Q254" i="16"/>
  <c r="AB255" i="16" a="1"/>
  <c r="AA256" i="16"/>
  <c r="R253" i="16" a="1"/>
  <c r="AB255" i="16" l="1"/>
  <c r="R253" i="16"/>
  <c r="AB256" i="16" a="1"/>
  <c r="Q255" i="16"/>
  <c r="R254" i="16" a="1"/>
  <c r="AA257" i="16"/>
  <c r="AB256" i="16" l="1"/>
  <c r="R254" i="16"/>
  <c r="AB257" i="16" a="1"/>
  <c r="AA258" i="16"/>
  <c r="Q256" i="16"/>
  <c r="R255" i="16" a="1"/>
  <c r="AB257" i="16" l="1"/>
  <c r="R255" i="16"/>
  <c r="AB258" i="16" a="1"/>
  <c r="AA259" i="16"/>
  <c r="R256" i="16" a="1"/>
  <c r="Q257" i="16"/>
  <c r="AB258" i="16" l="1"/>
  <c r="R256" i="16"/>
  <c r="AB259" i="16" a="1"/>
  <c r="AA260" i="16"/>
  <c r="R257" i="16" a="1"/>
  <c r="Q258" i="16"/>
  <c r="AB259" i="16" l="1"/>
  <c r="R257" i="16"/>
  <c r="Q259" i="16"/>
  <c r="AA261" i="16"/>
  <c r="R258" i="16" a="1"/>
  <c r="AB260" i="16" a="1"/>
  <c r="AB260" i="16" l="1"/>
  <c r="R258" i="16"/>
  <c r="AB261" i="16" a="1"/>
  <c r="R259" i="16" a="1"/>
  <c r="Q260" i="16"/>
  <c r="AA262" i="16"/>
  <c r="AB261" i="16" l="1"/>
  <c r="R259" i="16"/>
  <c r="AB262" i="16" a="1"/>
  <c r="AA263" i="16"/>
  <c r="R260" i="16" a="1"/>
  <c r="Q261" i="16"/>
  <c r="AB262" i="16" l="1"/>
  <c r="R260" i="16"/>
  <c r="Q262" i="16"/>
  <c r="R261" i="16" a="1"/>
  <c r="AA264" i="16"/>
  <c r="AB263" i="16" a="1"/>
  <c r="AB263" i="16" l="1"/>
  <c r="R261" i="16"/>
  <c r="Q263" i="16"/>
  <c r="AB264" i="16" a="1"/>
  <c r="AA265" i="16"/>
  <c r="R262" i="16" a="1"/>
  <c r="AB264" i="16" l="1"/>
  <c r="R262" i="16"/>
  <c r="AA266" i="16"/>
  <c r="Q264" i="16"/>
  <c r="R263" i="16" a="1"/>
  <c r="AB265" i="16" a="1"/>
  <c r="AB265" i="16" l="1"/>
  <c r="R263" i="16"/>
  <c r="AB266" i="16" a="1"/>
  <c r="AA267" i="16"/>
  <c r="Q265" i="16"/>
  <c r="R264" i="16" a="1"/>
  <c r="AB266" i="16" l="1"/>
  <c r="R264" i="16"/>
  <c r="Q266" i="16"/>
  <c r="AB267" i="16" a="1"/>
  <c r="AA268" i="16"/>
  <c r="R265" i="16" a="1"/>
  <c r="AB267" i="16" l="1"/>
  <c r="R265" i="16"/>
  <c r="Q267" i="16"/>
  <c r="AB268" i="16" a="1"/>
  <c r="AA269" i="16"/>
  <c r="R266" i="16" a="1"/>
  <c r="AB268" i="16" l="1"/>
  <c r="R266" i="16"/>
  <c r="Q268" i="16"/>
  <c r="AB269" i="16" a="1"/>
  <c r="AA270" i="16"/>
  <c r="R267" i="16" a="1"/>
  <c r="AB269" i="16" l="1"/>
  <c r="R267" i="16"/>
  <c r="R268" i="16" a="1"/>
  <c r="Q269" i="16"/>
  <c r="AB270" i="16" a="1"/>
  <c r="AA271" i="16"/>
  <c r="AB270" i="16" l="1"/>
  <c r="R268" i="16"/>
  <c r="R269" i="16" a="1"/>
  <c r="AA272" i="16"/>
  <c r="Q270" i="16"/>
  <c r="AB271" i="16" a="1"/>
  <c r="AB271" i="16" l="1"/>
  <c r="R269" i="16"/>
  <c r="AB272" i="16" a="1"/>
  <c r="R270" i="16" a="1"/>
  <c r="AA273" i="16"/>
  <c r="Q271" i="16"/>
  <c r="AB272" i="16" l="1"/>
  <c r="R270" i="16"/>
  <c r="AB273" i="16" a="1"/>
  <c r="Q272" i="16"/>
  <c r="AA274" i="16"/>
  <c r="R271" i="16" a="1"/>
  <c r="AB273" i="16" l="1"/>
  <c r="R271" i="16"/>
  <c r="AB274" i="16" a="1"/>
  <c r="AA275" i="16"/>
  <c r="Q273" i="16"/>
  <c r="R272" i="16" a="1"/>
  <c r="AB274" i="16" l="1"/>
  <c r="R272" i="16"/>
  <c r="Q274" i="16"/>
  <c r="AB275" i="16" a="1"/>
  <c r="AA276" i="16"/>
  <c r="R273" i="16" a="1"/>
  <c r="AB275" i="16" l="1"/>
  <c r="R273" i="16"/>
  <c r="AB276" i="16" a="1"/>
  <c r="Q275" i="16"/>
  <c r="AA277" i="16"/>
  <c r="R274" i="16" a="1"/>
  <c r="AB276" i="16" l="1"/>
  <c r="R274" i="16"/>
  <c r="AB277" i="16" a="1"/>
  <c r="AA278" i="16"/>
  <c r="Q276" i="16"/>
  <c r="R275" i="16" a="1"/>
  <c r="AB277" i="16" l="1"/>
  <c r="R275" i="16"/>
  <c r="AA279" i="16"/>
  <c r="Q277" i="16"/>
  <c r="AB278" i="16" a="1"/>
  <c r="R276" i="16" a="1"/>
  <c r="AB278" i="16" l="1"/>
  <c r="R276" i="16"/>
  <c r="Q278" i="16"/>
  <c r="R277" i="16" a="1"/>
  <c r="AB279" i="16" a="1"/>
  <c r="AA280" i="16"/>
  <c r="AB279" i="16" l="1"/>
  <c r="R277" i="16"/>
  <c r="AB280" i="16" a="1"/>
  <c r="R278" i="16" a="1"/>
  <c r="AA281" i="16"/>
  <c r="Q279" i="16"/>
  <c r="AB280" i="16" l="1"/>
  <c r="R278" i="16"/>
  <c r="Q280" i="16"/>
  <c r="AB281" i="16" a="1"/>
  <c r="AA282" i="16"/>
  <c r="R279" i="16" a="1"/>
  <c r="AB281" i="16" l="1"/>
  <c r="R279" i="16"/>
  <c r="AA283" i="16"/>
  <c r="R280" i="16" a="1"/>
  <c r="Q281" i="16"/>
  <c r="AB282" i="16" a="1"/>
  <c r="AB282" i="16" l="1"/>
  <c r="R280" i="16"/>
  <c r="AA284" i="16"/>
  <c r="AB283" i="16" a="1"/>
  <c r="Q282" i="16"/>
  <c r="R281" i="16" a="1"/>
  <c r="AB283" i="16" l="1"/>
  <c r="R281" i="16"/>
  <c r="AA285" i="16"/>
  <c r="AB284" i="16" a="1"/>
  <c r="R282" i="16" a="1"/>
  <c r="Q283" i="16"/>
  <c r="AB284" i="16" l="1"/>
  <c r="R282" i="16"/>
  <c r="Q284" i="16"/>
  <c r="AB285" i="16" a="1"/>
  <c r="AA286" i="16"/>
  <c r="R283" i="16" a="1"/>
  <c r="AB285" i="16" l="1"/>
  <c r="R283" i="16"/>
  <c r="AB286" i="16" a="1"/>
  <c r="AA287" i="16"/>
  <c r="R284" i="16" a="1"/>
  <c r="Q285" i="16"/>
  <c r="AB286" i="16" l="1"/>
  <c r="R284" i="16"/>
  <c r="Q286" i="16"/>
  <c r="AB287" i="16" a="1"/>
  <c r="R285" i="16" a="1"/>
  <c r="AA288" i="16"/>
  <c r="AB287" i="16" l="1"/>
  <c r="R285" i="16"/>
  <c r="AB288" i="16" a="1"/>
  <c r="R286" i="16" a="1"/>
  <c r="Q287" i="16"/>
  <c r="AA289" i="16"/>
  <c r="AB288" i="16" l="1"/>
  <c r="R286" i="16"/>
  <c r="R287" i="16" a="1"/>
  <c r="Q288" i="16"/>
  <c r="AA290" i="16"/>
  <c r="AB289" i="16" a="1"/>
  <c r="AB289" i="16" l="1"/>
  <c r="R287" i="16"/>
  <c r="AB290" i="16" a="1"/>
  <c r="Q289" i="16"/>
  <c r="R288" i="16" a="1"/>
  <c r="AA291" i="16"/>
  <c r="AB290" i="16" l="1"/>
  <c r="R288" i="16"/>
  <c r="AB291" i="16" a="1"/>
  <c r="AA292" i="16"/>
  <c r="Q290" i="16"/>
  <c r="R289" i="16" a="1"/>
  <c r="AB291" i="16" l="1"/>
  <c r="R289" i="16"/>
  <c r="AB292" i="16" a="1"/>
  <c r="R290" i="16" a="1"/>
  <c r="Q291" i="16"/>
  <c r="AA293" i="16"/>
  <c r="AB292" i="16" l="1"/>
  <c r="R290" i="16"/>
  <c r="AB293" i="16" a="1"/>
  <c r="Q292" i="16"/>
  <c r="AA294" i="16"/>
  <c r="R291" i="16" a="1"/>
  <c r="AB293" i="16" l="1"/>
  <c r="R291" i="16"/>
  <c r="R292" i="16" a="1"/>
  <c r="AA295" i="16"/>
  <c r="AB294" i="16" a="1"/>
  <c r="Q293" i="16"/>
  <c r="AB294" i="16" l="1"/>
  <c r="R292" i="16"/>
  <c r="R293" i="16" a="1"/>
  <c r="AB295" i="16" a="1"/>
  <c r="Q294" i="16"/>
  <c r="AA296" i="16"/>
  <c r="AB295" i="16" l="1"/>
  <c r="R293" i="16"/>
  <c r="AA297" i="16"/>
  <c r="AB296" i="16" a="1"/>
  <c r="Q295" i="16"/>
  <c r="R294" i="16" a="1"/>
  <c r="AB296" i="16" l="1"/>
  <c r="R294" i="16"/>
  <c r="AB297" i="16" a="1"/>
  <c r="R295" i="16" a="1"/>
  <c r="AA298" i="16"/>
  <c r="Q296" i="16"/>
  <c r="AB297" i="16" l="1"/>
  <c r="R295" i="16"/>
  <c r="Q297" i="16"/>
  <c r="AB298" i="16" a="1"/>
  <c r="AA299" i="16"/>
  <c r="R296" i="16" a="1"/>
  <c r="AB298" i="16" l="1"/>
  <c r="R296" i="16"/>
  <c r="R297" i="16" a="1"/>
  <c r="Q298" i="16"/>
  <c r="AB299" i="16" a="1"/>
  <c r="AA300" i="16"/>
  <c r="AB299" i="16" l="1"/>
  <c r="R297" i="16"/>
  <c r="Q299" i="16"/>
  <c r="AB300" i="16" a="1"/>
  <c r="R298" i="16" a="1"/>
  <c r="AA301" i="16"/>
  <c r="AB300" i="16" l="1"/>
  <c r="R298" i="16"/>
  <c r="AB301" i="16" a="1"/>
  <c r="R299" i="16" a="1"/>
  <c r="Q300" i="16"/>
  <c r="AA302" i="16"/>
  <c r="AB301" i="16" l="1"/>
  <c r="R299" i="16"/>
  <c r="Q301" i="16"/>
  <c r="AB302" i="16" a="1"/>
  <c r="R300" i="16" a="1"/>
  <c r="AA303" i="16"/>
  <c r="AB302" i="16" l="1"/>
  <c r="R300" i="16"/>
  <c r="R301" i="16" a="1"/>
  <c r="AA304" i="16"/>
  <c r="Q302" i="16"/>
  <c r="AB303" i="16" a="1"/>
  <c r="AB303" i="16" l="1"/>
  <c r="R301" i="16"/>
  <c r="Q303" i="16"/>
  <c r="R302" i="16" a="1"/>
  <c r="AA305" i="16"/>
  <c r="AB304" i="16" a="1"/>
  <c r="AB304" i="16" l="1"/>
  <c r="R302" i="16"/>
  <c r="Q304" i="16"/>
  <c r="R303" i="16" a="1"/>
  <c r="AB305" i="16" a="1"/>
  <c r="AA306" i="16"/>
  <c r="AB305" i="16" l="1"/>
  <c r="R303" i="16"/>
  <c r="AB306" i="16" a="1"/>
  <c r="R304" i="16" a="1"/>
  <c r="Q305" i="16"/>
  <c r="AA307" i="16"/>
  <c r="AB306" i="16" l="1"/>
  <c r="R304" i="16"/>
  <c r="R305" i="16" a="1"/>
  <c r="Q306" i="16"/>
  <c r="AA308" i="16"/>
  <c r="AB307" i="16" a="1"/>
  <c r="AB307" i="16" l="1"/>
  <c r="R305" i="16"/>
  <c r="Q307" i="16"/>
  <c r="R306" i="16" a="1"/>
  <c r="AA309" i="16"/>
  <c r="AB308" i="16" a="1"/>
  <c r="AB308" i="16" l="1"/>
  <c r="R306" i="16"/>
  <c r="AA310" i="16"/>
  <c r="AB309" i="16" a="1"/>
  <c r="R307" i="16" a="1"/>
  <c r="Q308" i="16"/>
  <c r="AB309" i="16" l="1"/>
  <c r="R307" i="16"/>
  <c r="AB310" i="16" a="1"/>
  <c r="AA311" i="16"/>
  <c r="R308" i="16" a="1"/>
  <c r="Q309" i="16"/>
  <c r="AB310" i="16" l="1"/>
  <c r="R308" i="16"/>
  <c r="AA312" i="16"/>
  <c r="Q310" i="16"/>
  <c r="AB311" i="16" a="1"/>
  <c r="R309" i="16" a="1"/>
  <c r="AB311" i="16" l="1"/>
  <c r="R309" i="16"/>
  <c r="AA313" i="16"/>
  <c r="Q311" i="16"/>
  <c r="AB312" i="16" a="1"/>
  <c r="R310" i="16" a="1"/>
  <c r="AB312" i="16" l="1"/>
  <c r="R310" i="16"/>
  <c r="R311" i="16" a="1"/>
  <c r="AB313" i="16" a="1"/>
  <c r="Q312" i="16"/>
  <c r="AA314" i="16"/>
  <c r="AB313" i="16" l="1"/>
  <c r="R311" i="16"/>
  <c r="AB314" i="16" a="1"/>
  <c r="AA315" i="16"/>
  <c r="R312" i="16" a="1"/>
  <c r="Q313" i="16"/>
  <c r="AB314" i="16" l="1"/>
  <c r="R312" i="16"/>
  <c r="AA316" i="16"/>
  <c r="R313" i="16" a="1"/>
  <c r="AB315" i="16" a="1"/>
  <c r="Q314" i="16"/>
  <c r="AB315" i="16" l="1"/>
  <c r="R313" i="16"/>
  <c r="R314" i="16" a="1"/>
  <c r="AA317" i="16"/>
  <c r="AB316" i="16" a="1"/>
  <c r="Q315" i="16"/>
  <c r="AB316" i="16" l="1"/>
  <c r="R314" i="16"/>
  <c r="AB317" i="16" a="1"/>
  <c r="R315" i="16" a="1"/>
  <c r="Q316" i="16"/>
  <c r="AA318" i="16"/>
  <c r="AB317" i="16" l="1"/>
  <c r="R315" i="16"/>
  <c r="R316" i="16" a="1"/>
  <c r="Q317" i="16"/>
  <c r="AB318" i="16" a="1"/>
  <c r="AA319" i="16"/>
  <c r="AB318" i="16" l="1"/>
  <c r="R316" i="16"/>
  <c r="AB319" i="16" a="1"/>
  <c r="AA320" i="16"/>
  <c r="R317" i="16" a="1"/>
  <c r="Q318" i="16"/>
  <c r="AB319" i="16" l="1"/>
  <c r="R317" i="16"/>
  <c r="R318" i="16" a="1"/>
  <c r="Q319" i="16"/>
  <c r="AB320" i="16" a="1"/>
  <c r="AA321" i="16"/>
  <c r="AB320" i="16" l="1"/>
  <c r="R318" i="16"/>
  <c r="AA322" i="16"/>
  <c r="R319" i="16" a="1"/>
  <c r="Q320" i="16"/>
  <c r="AB321" i="16" a="1"/>
  <c r="AB321" i="16" l="1"/>
  <c r="R319" i="16"/>
  <c r="AA323" i="16"/>
  <c r="R320" i="16" a="1"/>
  <c r="Q321" i="16"/>
  <c r="AB322" i="16" a="1"/>
  <c r="AB322" i="16" l="1"/>
  <c r="R320" i="16"/>
  <c r="Q322" i="16"/>
  <c r="AA324" i="16"/>
  <c r="AB323" i="16" a="1"/>
  <c r="R321" i="16" a="1"/>
  <c r="AB323" i="16" l="1"/>
  <c r="R321" i="16"/>
  <c r="AA325" i="16"/>
  <c r="R322" i="16" a="1"/>
  <c r="AB324" i="16" a="1"/>
  <c r="Q323" i="16"/>
  <c r="AB324" i="16" l="1"/>
  <c r="R322" i="16"/>
  <c r="AB325" i="16" a="1"/>
  <c r="AA326" i="16"/>
  <c r="R323" i="16" a="1"/>
  <c r="Q324" i="16"/>
  <c r="AB325" i="16" l="1"/>
  <c r="R323" i="16"/>
  <c r="AB326" i="16" a="1"/>
  <c r="AA327" i="16"/>
  <c r="Q325" i="16"/>
  <c r="R324" i="16" a="1"/>
  <c r="AB326" i="16" l="1"/>
  <c r="R324" i="16"/>
  <c r="AA328" i="16"/>
  <c r="AB327" i="16" a="1"/>
  <c r="R325" i="16" a="1"/>
  <c r="Q326" i="16"/>
  <c r="AB327" i="16" l="1"/>
  <c r="R325" i="16"/>
  <c r="Q327" i="16"/>
  <c r="AB328" i="16" a="1"/>
  <c r="AA329" i="16"/>
  <c r="R326" i="16" a="1"/>
  <c r="AB328" i="16" l="1"/>
  <c r="R326" i="16"/>
  <c r="R327" i="16" a="1"/>
  <c r="AB329" i="16" a="1"/>
  <c r="AA330" i="16"/>
  <c r="Q328" i="16"/>
  <c r="AB329" i="16" l="1"/>
  <c r="R327" i="16"/>
  <c r="AA331" i="16"/>
  <c r="Q329" i="16"/>
  <c r="AB330" i="16" a="1"/>
  <c r="R328" i="16" a="1"/>
  <c r="AB330" i="16" l="1"/>
  <c r="R328" i="16"/>
  <c r="Q330" i="16"/>
  <c r="AB331" i="16" a="1"/>
  <c r="R329" i="16" a="1"/>
  <c r="AA332" i="16"/>
  <c r="AB331" i="16" l="1"/>
  <c r="R329" i="16"/>
  <c r="AA333" i="16"/>
  <c r="R330" i="16" a="1"/>
  <c r="AB332" i="16" a="1"/>
  <c r="Q331" i="16"/>
  <c r="AB332" i="16" l="1"/>
  <c r="R330" i="16"/>
  <c r="Q332" i="16"/>
  <c r="AA334" i="16"/>
  <c r="AB333" i="16" a="1"/>
  <c r="R331" i="16" a="1"/>
  <c r="AB333" i="16" l="1"/>
  <c r="R331" i="16"/>
  <c r="AA335" i="16"/>
  <c r="AB334" i="16" a="1"/>
  <c r="Q333" i="16"/>
  <c r="R332" i="16" a="1"/>
  <c r="AB334" i="16" l="1"/>
  <c r="R332" i="16"/>
  <c r="AA336" i="16"/>
  <c r="R333" i="16" a="1"/>
  <c r="Q334" i="16"/>
  <c r="AB335" i="16" a="1"/>
  <c r="AB335" i="16" l="1"/>
  <c r="R333" i="16"/>
  <c r="AB336" i="16" a="1"/>
  <c r="Q335" i="16"/>
  <c r="AA337" i="16"/>
  <c r="R334" i="16" a="1"/>
  <c r="AB336" i="16" l="1"/>
  <c r="R334" i="16"/>
  <c r="Q336" i="16"/>
  <c r="AB337" i="16" a="1"/>
  <c r="R335" i="16" a="1"/>
  <c r="AA338" i="16"/>
  <c r="AB337" i="16" l="1"/>
  <c r="R335" i="16"/>
  <c r="R336" i="16" a="1"/>
  <c r="AA339" i="16"/>
  <c r="AB338" i="16" a="1"/>
  <c r="Q337" i="16"/>
  <c r="AB338" i="16" l="1"/>
  <c r="R336" i="16"/>
  <c r="AA340" i="16"/>
  <c r="Q338" i="16"/>
  <c r="R337" i="16" a="1"/>
  <c r="AB339" i="16" a="1"/>
  <c r="AB339" i="16" l="1"/>
  <c r="R337" i="16"/>
  <c r="AB340" i="16" a="1"/>
  <c r="R338" i="16" a="1"/>
  <c r="AA341" i="16"/>
  <c r="Q339" i="16"/>
  <c r="AB340" i="16" l="1"/>
  <c r="R338" i="16"/>
  <c r="R339" i="16" a="1"/>
  <c r="AB341" i="16" a="1"/>
  <c r="Q340" i="16"/>
  <c r="AA342" i="16"/>
  <c r="AB341" i="16" l="1"/>
  <c r="R339" i="16"/>
  <c r="AB342" i="16" a="1"/>
  <c r="R340" i="16" a="1"/>
  <c r="Q341" i="16"/>
  <c r="AA343" i="16"/>
  <c r="AB342" i="16" l="1"/>
  <c r="R340" i="16"/>
  <c r="Q342" i="16"/>
  <c r="AB343" i="16" a="1"/>
  <c r="AA344" i="16"/>
  <c r="R341" i="16" a="1"/>
  <c r="AB343" i="16" l="1"/>
  <c r="R341" i="16"/>
  <c r="Q343" i="16"/>
  <c r="AA345" i="16"/>
  <c r="AB344" i="16" a="1"/>
  <c r="R342" i="16" a="1"/>
  <c r="AB344" i="16" l="1"/>
  <c r="R342" i="16"/>
  <c r="AA346" i="16"/>
  <c r="R343" i="16" a="1"/>
  <c r="Q344" i="16"/>
  <c r="AB345" i="16" a="1"/>
  <c r="AB345" i="16" l="1"/>
  <c r="R343" i="16"/>
  <c r="AA347" i="16"/>
  <c r="R344" i="16" a="1"/>
  <c r="AB346" i="16" a="1"/>
  <c r="Q345" i="16"/>
  <c r="AB346" i="16" l="1"/>
  <c r="R344" i="16"/>
  <c r="AB347" i="16" a="1"/>
  <c r="R345" i="16" a="1"/>
  <c r="Q346" i="16"/>
  <c r="AA348" i="16"/>
  <c r="AB347" i="16" l="1"/>
  <c r="R345" i="16"/>
  <c r="Q347" i="16"/>
  <c r="AA349" i="16"/>
  <c r="AB348" i="16" a="1"/>
  <c r="R346" i="16" a="1"/>
  <c r="AB348" i="16" l="1"/>
  <c r="R346" i="16"/>
  <c r="R347" i="16" a="1"/>
  <c r="Q348" i="16"/>
  <c r="AA350" i="16"/>
  <c r="AB349" i="16" a="1"/>
  <c r="AB349" i="16" l="1"/>
  <c r="R347" i="16"/>
  <c r="AA351" i="16"/>
  <c r="R348" i="16" a="1"/>
  <c r="Q349" i="16"/>
  <c r="AB350" i="16" a="1"/>
  <c r="AB350" i="16" l="1"/>
  <c r="R348" i="16"/>
  <c r="Q350" i="16"/>
  <c r="AB351" i="16" a="1"/>
  <c r="R349" i="16" a="1"/>
  <c r="AA352" i="16"/>
  <c r="AB351" i="16" l="1"/>
  <c r="R349" i="16"/>
  <c r="Q351" i="16"/>
  <c r="AB352" i="16" a="1"/>
  <c r="R350" i="16" a="1"/>
  <c r="AA353" i="16"/>
  <c r="AB352" i="16" l="1"/>
  <c r="R350" i="16"/>
  <c r="Q352" i="16"/>
  <c r="R351" i="16" a="1"/>
  <c r="AA354" i="16"/>
  <c r="AB353" i="16" a="1"/>
  <c r="AB353" i="16" l="1"/>
  <c r="R351" i="16"/>
  <c r="Q353" i="16"/>
  <c r="AA355" i="16"/>
  <c r="R352" i="16" a="1"/>
  <c r="AB354" i="16" a="1"/>
  <c r="AB354" i="16" l="1"/>
  <c r="R352" i="16"/>
  <c r="Q354" i="16"/>
  <c r="AB355" i="16" a="1"/>
  <c r="R353" i="16" a="1"/>
  <c r="AA356" i="16"/>
  <c r="AB355" i="16" l="1"/>
  <c r="R353" i="16"/>
  <c r="AA357" i="16"/>
  <c r="Q355" i="16"/>
  <c r="R354" i="16" a="1"/>
  <c r="AB356" i="16" a="1"/>
  <c r="AB356" i="16" l="1"/>
  <c r="R354" i="16"/>
  <c r="AB357" i="16" a="1"/>
  <c r="R355" i="16" a="1"/>
  <c r="AA358" i="16"/>
  <c r="Q356" i="16"/>
  <c r="AB357" i="16" l="1"/>
  <c r="R355" i="16"/>
  <c r="AA359" i="16"/>
  <c r="AB358" i="16" a="1"/>
  <c r="Q357" i="16"/>
  <c r="R356" i="16" a="1"/>
  <c r="AB358" i="16" l="1"/>
  <c r="R356" i="16"/>
  <c r="AA360" i="16"/>
  <c r="AB359" i="16" a="1"/>
  <c r="Q358" i="16"/>
  <c r="R357" i="16" a="1"/>
  <c r="AB359" i="16" l="1"/>
  <c r="R357" i="16"/>
  <c r="AA361" i="16"/>
  <c r="R358" i="16" a="1"/>
  <c r="AB360" i="16" a="1"/>
  <c r="Q359" i="16"/>
  <c r="AB360" i="16" l="1"/>
  <c r="R358" i="16"/>
  <c r="R359" i="16" a="1"/>
  <c r="AB361" i="16" a="1"/>
  <c r="AA362" i="16"/>
  <c r="Q360" i="16"/>
  <c r="AB361" i="16" l="1"/>
  <c r="R359" i="16"/>
  <c r="AA363" i="16"/>
  <c r="R360" i="16" a="1"/>
  <c r="Q361" i="16"/>
  <c r="AB362" i="16" a="1"/>
  <c r="AB362" i="16" l="1"/>
  <c r="R360" i="16"/>
  <c r="R361" i="16" a="1"/>
  <c r="Q362" i="16"/>
  <c r="AA364" i="16"/>
  <c r="AB363" i="16" a="1"/>
  <c r="AB363" i="16" l="1"/>
  <c r="R361" i="16"/>
  <c r="Q363" i="16"/>
  <c r="R362" i="16" a="1"/>
  <c r="AB364" i="16" a="1"/>
  <c r="AA365" i="16"/>
  <c r="AB364" i="16" l="1"/>
  <c r="R362" i="16"/>
  <c r="AB365" i="16" a="1"/>
  <c r="Q364" i="16"/>
  <c r="R363" i="16" a="1"/>
  <c r="AA366" i="16"/>
  <c r="AB365" i="16" l="1"/>
  <c r="R363" i="16"/>
  <c r="AB366" i="16" a="1"/>
  <c r="AA367" i="16"/>
  <c r="R364" i="16" a="1"/>
  <c r="Q365" i="16"/>
  <c r="AB366" i="16" l="1"/>
  <c r="R364" i="16"/>
  <c r="R365" i="16" a="1"/>
  <c r="Q366" i="16"/>
  <c r="AB367" i="16" a="1"/>
  <c r="AA368" i="16"/>
  <c r="AB367" i="16" l="1"/>
  <c r="R365" i="16"/>
  <c r="Q367" i="16"/>
  <c r="AA369" i="16"/>
  <c r="R366" i="16" a="1"/>
  <c r="AB368" i="16" a="1"/>
  <c r="AB368" i="16" l="1"/>
  <c r="R366" i="16"/>
  <c r="AB369" i="16" a="1"/>
  <c r="Q368" i="16"/>
  <c r="R367" i="16" a="1"/>
  <c r="AA370" i="16"/>
  <c r="AB369" i="16" l="1"/>
  <c r="R367" i="16"/>
  <c r="R368" i="16" a="1"/>
  <c r="AB370" i="16" a="1"/>
  <c r="Q369" i="16"/>
  <c r="AA371" i="16"/>
  <c r="AB370" i="16" l="1"/>
  <c r="R368" i="16"/>
  <c r="R369" i="16" a="1"/>
  <c r="AB371" i="16" a="1"/>
  <c r="AA372" i="16"/>
  <c r="Q370" i="16"/>
  <c r="AB371" i="16" l="1"/>
  <c r="R369" i="16"/>
  <c r="R370" i="16" a="1"/>
  <c r="AB372" i="16" a="1"/>
  <c r="AA373" i="16"/>
  <c r="Q371" i="16"/>
  <c r="AB372" i="16" l="1"/>
  <c r="R370" i="16"/>
  <c r="R371" i="16" a="1"/>
  <c r="AA374" i="16"/>
  <c r="Q372" i="16"/>
  <c r="AB373" i="16" a="1"/>
  <c r="AB373" i="16" l="1"/>
  <c r="R371" i="16"/>
  <c r="AB374" i="16" a="1"/>
  <c r="Q373" i="16"/>
  <c r="R372" i="16" a="1"/>
  <c r="AA375" i="16"/>
  <c r="AB374" i="16" l="1"/>
  <c r="R372" i="16"/>
  <c r="AB375" i="16" a="1"/>
  <c r="Q374" i="16"/>
  <c r="R373" i="16" a="1"/>
  <c r="AA376" i="16"/>
  <c r="AB375" i="16" l="1"/>
  <c r="R373" i="16"/>
  <c r="R374" i="16" a="1"/>
  <c r="Q375" i="16"/>
  <c r="AB376" i="16" a="1"/>
  <c r="AA377" i="16"/>
  <c r="AB376" i="16" l="1"/>
  <c r="R374" i="16"/>
  <c r="R375" i="16" a="1"/>
  <c r="AA378" i="16"/>
  <c r="Q376" i="16"/>
  <c r="AB377" i="16" a="1"/>
  <c r="AB377" i="16" l="1"/>
  <c r="R375" i="16"/>
  <c r="Q377" i="16"/>
  <c r="AA379" i="16"/>
  <c r="AB378" i="16" a="1"/>
  <c r="R376" i="16" a="1"/>
  <c r="AB378" i="16" l="1"/>
  <c r="R376" i="16"/>
  <c r="AA380" i="16"/>
  <c r="AB379" i="16" a="1"/>
  <c r="Q378" i="16"/>
  <c r="R377" i="16" a="1"/>
  <c r="AB379" i="16" l="1"/>
  <c r="R377" i="16"/>
  <c r="AA381" i="16"/>
  <c r="AB380" i="16" a="1"/>
  <c r="R378" i="16" a="1"/>
  <c r="Q379" i="16"/>
  <c r="AB380" i="16" l="1"/>
  <c r="R378" i="16"/>
  <c r="Q380" i="16"/>
  <c r="R379" i="16" a="1"/>
  <c r="AA382" i="16"/>
  <c r="AB381" i="16" a="1"/>
  <c r="AB381" i="16" l="1"/>
  <c r="R379" i="16"/>
  <c r="Q381" i="16"/>
  <c r="AB382" i="16" a="1"/>
  <c r="R380" i="16" a="1"/>
  <c r="AA383" i="16"/>
  <c r="AB382" i="16" l="1"/>
  <c r="R380" i="16"/>
  <c r="R381" i="16" a="1"/>
  <c r="Q382" i="16"/>
  <c r="AB383" i="16" a="1"/>
  <c r="AA384" i="16"/>
  <c r="AB383" i="16" l="1"/>
  <c r="R381" i="16"/>
  <c r="AB384" i="16" a="1"/>
  <c r="Q383" i="16"/>
  <c r="R382" i="16" a="1"/>
  <c r="AA385" i="16"/>
  <c r="AB384" i="16" l="1"/>
  <c r="R382" i="16"/>
  <c r="AB385" i="16" a="1"/>
  <c r="R383" i="16" a="1"/>
  <c r="AA386" i="16"/>
  <c r="Q384" i="16"/>
  <c r="AB385" i="16" l="1"/>
  <c r="R383" i="16"/>
  <c r="AA387" i="16"/>
  <c r="AB386" i="16" a="1"/>
  <c r="R384" i="16" a="1"/>
  <c r="Q385" i="16"/>
  <c r="AB386" i="16" l="1"/>
  <c r="R384" i="16"/>
  <c r="AA388" i="16"/>
  <c r="Q386" i="16"/>
  <c r="R385" i="16" a="1"/>
  <c r="AB387" i="16" a="1"/>
  <c r="AB387" i="16" l="1"/>
  <c r="R385" i="16"/>
  <c r="AA389" i="16"/>
  <c r="R386" i="16" a="1"/>
  <c r="Q387" i="16"/>
  <c r="AB388" i="16" a="1"/>
  <c r="AB388" i="16" l="1"/>
  <c r="R386" i="16"/>
  <c r="AA390" i="16"/>
  <c r="AB389" i="16" a="1"/>
  <c r="R387" i="16" a="1"/>
  <c r="Q388" i="16"/>
  <c r="AB389" i="16" l="1"/>
  <c r="R387" i="16"/>
  <c r="Q389" i="16"/>
  <c r="R388" i="16" a="1"/>
  <c r="AA391" i="16"/>
  <c r="AB390" i="16" a="1"/>
  <c r="AB390" i="16" l="1"/>
  <c r="R388" i="16"/>
  <c r="Q390" i="16"/>
  <c r="AB391" i="16" a="1"/>
  <c r="AA392" i="16"/>
  <c r="R389" i="16" a="1"/>
  <c r="AB391" i="16" l="1"/>
  <c r="R389" i="16"/>
  <c r="AB392" i="16" a="1"/>
  <c r="Q391" i="16"/>
  <c r="R390" i="16" a="1"/>
  <c r="AA393" i="16"/>
  <c r="AB392" i="16" l="1"/>
  <c r="R390" i="16"/>
  <c r="AA394" i="16"/>
  <c r="R391" i="16" a="1"/>
  <c r="Q392" i="16"/>
  <c r="AB393" i="16" a="1"/>
  <c r="AB393" i="16" l="1"/>
  <c r="R391" i="16"/>
  <c r="AB394" i="16" a="1"/>
  <c r="AA395" i="16"/>
  <c r="R392" i="16" a="1"/>
  <c r="Q393" i="16"/>
  <c r="AB394" i="16" l="1"/>
  <c r="R392" i="16"/>
  <c r="R393" i="16" a="1"/>
  <c r="Q394" i="16"/>
  <c r="AB395" i="16" a="1"/>
  <c r="AA396" i="16"/>
  <c r="AB395" i="16" l="1"/>
  <c r="R393" i="16"/>
  <c r="Q395" i="16"/>
  <c r="AA397" i="16"/>
  <c r="R394" i="16" a="1"/>
  <c r="AB396" i="16" a="1"/>
  <c r="AB396" i="16" l="1"/>
  <c r="R394" i="16"/>
  <c r="Q396" i="16"/>
  <c r="AB397" i="16" a="1"/>
  <c r="AA398" i="16"/>
  <c r="R395" i="16" a="1"/>
  <c r="AB397" i="16" l="1"/>
  <c r="R395" i="16"/>
  <c r="AA399" i="16"/>
  <c r="Q397" i="16"/>
  <c r="AB398" i="16" a="1"/>
  <c r="R396" i="16" a="1"/>
  <c r="AB398" i="16" l="1"/>
  <c r="R396" i="16"/>
  <c r="AB399" i="16" a="1"/>
  <c r="AA400" i="16"/>
  <c r="R397" i="16" a="1"/>
  <c r="Q398" i="16"/>
  <c r="AB399" i="16" l="1"/>
  <c r="R397" i="16"/>
  <c r="R398" i="16" a="1"/>
  <c r="Q399" i="16"/>
  <c r="AB400" i="16" a="1"/>
  <c r="AA401" i="16"/>
  <c r="AB400" i="16" l="1"/>
  <c r="R398" i="16"/>
  <c r="R399" i="16" a="1"/>
  <c r="AA402" i="16"/>
  <c r="Q400" i="16"/>
  <c r="AB401" i="16" a="1"/>
  <c r="AB401" i="16" l="1"/>
  <c r="R399" i="16"/>
  <c r="AA403" i="16"/>
  <c r="AB402" i="16" a="1"/>
  <c r="R400" i="16" a="1"/>
  <c r="Q401" i="16"/>
  <c r="AB402" i="16" l="1"/>
  <c r="R400" i="16"/>
  <c r="AB403" i="16" a="1"/>
  <c r="AA404" i="16"/>
  <c r="R401" i="16" a="1"/>
  <c r="Q402" i="16"/>
  <c r="AB403" i="16" l="1"/>
  <c r="R401" i="16"/>
  <c r="Q403" i="16"/>
  <c r="AB404" i="16" a="1"/>
  <c r="R402" i="16" a="1"/>
  <c r="AA405" i="16"/>
  <c r="AB404" i="16" l="1"/>
  <c r="R402" i="16"/>
  <c r="AA406" i="16"/>
  <c r="AB405" i="16" a="1"/>
  <c r="Q404" i="16"/>
  <c r="R403" i="16" a="1"/>
  <c r="AB405" i="16" l="1"/>
  <c r="R403" i="16"/>
  <c r="AB406" i="16" a="1"/>
  <c r="Q405" i="16"/>
  <c r="AA407" i="16"/>
  <c r="R404" i="16" a="1"/>
  <c r="AB406" i="16" l="1"/>
  <c r="R404" i="16"/>
  <c r="R405" i="16" a="1"/>
  <c r="Q406" i="16"/>
  <c r="AB407" i="16" a="1"/>
  <c r="AA408" i="16"/>
  <c r="AB407" i="16" l="1"/>
  <c r="R405" i="16"/>
  <c r="AB408" i="16" a="1"/>
  <c r="R406" i="16" a="1"/>
  <c r="Q407" i="16"/>
  <c r="AA409" i="16"/>
  <c r="AB408" i="16" l="1"/>
  <c r="R406" i="16"/>
  <c r="AB409" i="16" a="1"/>
  <c r="AA410" i="16"/>
  <c r="Q408" i="16"/>
  <c r="R407" i="16" a="1"/>
  <c r="AB409" i="16" l="1"/>
  <c r="R407" i="16"/>
  <c r="AA411" i="16"/>
  <c r="AB410" i="16" a="1"/>
  <c r="R408" i="16" a="1"/>
  <c r="Q409" i="16"/>
  <c r="AB410" i="16" l="1"/>
  <c r="R408" i="16"/>
  <c r="Q410" i="16"/>
  <c r="AA412" i="16"/>
  <c r="AB411" i="16" a="1"/>
  <c r="R409" i="16" a="1"/>
  <c r="AB411" i="16" l="1"/>
  <c r="R409" i="16"/>
  <c r="Q411" i="16"/>
  <c r="AA413" i="16"/>
  <c r="AB412" i="16" a="1"/>
  <c r="R410" i="16" a="1"/>
  <c r="AB412" i="16" l="1"/>
  <c r="R410" i="16"/>
  <c r="AB413" i="16" a="1"/>
  <c r="R411" i="16" a="1"/>
  <c r="Q412" i="16"/>
  <c r="AA414" i="16"/>
  <c r="AB413" i="16" l="1"/>
  <c r="R411" i="16"/>
  <c r="Q413" i="16"/>
  <c r="R412" i="16" a="1"/>
  <c r="AB414" i="16" a="1"/>
  <c r="AA415" i="16"/>
  <c r="AB414" i="16" l="1"/>
  <c r="R412" i="16"/>
  <c r="R413" i="16" a="1"/>
  <c r="AB415" i="16" a="1"/>
  <c r="Q414" i="16"/>
  <c r="AA416" i="16"/>
  <c r="AB415" i="16" l="1"/>
  <c r="R413" i="16"/>
  <c r="R414" i="16" a="1"/>
  <c r="AB416" i="16" a="1"/>
  <c r="Q415" i="16"/>
  <c r="AA417" i="16"/>
  <c r="AB416" i="16" l="1"/>
  <c r="R414" i="16"/>
  <c r="R415" i="16" a="1"/>
  <c r="Q416" i="16"/>
  <c r="AA418" i="16"/>
  <c r="AB417" i="16" a="1"/>
  <c r="AB417" i="16" l="1"/>
  <c r="R415" i="16"/>
  <c r="R416" i="16" a="1"/>
  <c r="Q417" i="16"/>
  <c r="AA419" i="16"/>
  <c r="AB418" i="16" a="1"/>
  <c r="AB418" i="16" l="1"/>
  <c r="R416" i="16"/>
  <c r="Q418" i="16"/>
  <c r="AB419" i="16" a="1"/>
  <c r="AA420" i="16"/>
  <c r="R417" i="16" a="1"/>
  <c r="AB419" i="16" l="1"/>
  <c r="R417" i="16"/>
  <c r="R418" i="16" a="1"/>
  <c r="AA421" i="16"/>
  <c r="Q419" i="16"/>
  <c r="AB420" i="16" a="1"/>
  <c r="AB420" i="16" l="1"/>
  <c r="R418" i="16"/>
  <c r="AA422" i="16"/>
  <c r="R419" i="16" a="1"/>
  <c r="AB421" i="16" a="1"/>
  <c r="Q420" i="16"/>
  <c r="AB421" i="16" l="1"/>
  <c r="R419" i="16"/>
  <c r="AB422" i="16" a="1"/>
  <c r="AA423" i="16"/>
  <c r="R420" i="16" a="1"/>
  <c r="Q421" i="16"/>
  <c r="AB422" i="16" l="1"/>
  <c r="R420" i="16"/>
  <c r="AB423" i="16" a="1"/>
  <c r="AA424" i="16"/>
  <c r="Q422" i="16"/>
  <c r="R421" i="16" a="1"/>
  <c r="AB423" i="16" l="1"/>
  <c r="R421" i="16"/>
  <c r="Q423" i="16"/>
  <c r="AB424" i="16" a="1"/>
  <c r="AA425" i="16"/>
  <c r="R422" i="16" a="1"/>
  <c r="AB424" i="16" l="1"/>
  <c r="R422" i="16"/>
  <c r="AA426" i="16"/>
  <c r="Q424" i="16"/>
  <c r="R423" i="16" a="1"/>
  <c r="AB425" i="16" a="1"/>
  <c r="AB425" i="16" l="1"/>
  <c r="R423" i="16"/>
  <c r="AA427" i="16"/>
  <c r="R424" i="16" a="1"/>
  <c r="AB426" i="16" a="1"/>
  <c r="Q425" i="16"/>
  <c r="AB426" i="16" l="1"/>
  <c r="R424" i="16"/>
  <c r="Q426" i="16"/>
  <c r="AA428" i="16"/>
  <c r="AB427" i="16" a="1"/>
  <c r="R425" i="16" a="1"/>
  <c r="AB427" i="16" l="1"/>
  <c r="R425" i="16"/>
  <c r="AA429" i="16"/>
  <c r="AB428" i="16" a="1"/>
  <c r="Q427" i="16"/>
  <c r="R426" i="16" a="1"/>
  <c r="AB428" i="16" l="1"/>
  <c r="R426" i="16"/>
  <c r="R427" i="16" a="1"/>
  <c r="Q428" i="16"/>
  <c r="AB429" i="16" a="1"/>
  <c r="AA430" i="16"/>
  <c r="AB429" i="16" l="1"/>
  <c r="R427" i="16"/>
  <c r="R428" i="16" a="1"/>
  <c r="Q429" i="16"/>
  <c r="AB430" i="16" a="1"/>
  <c r="AA431" i="16"/>
  <c r="AB430" i="16" l="1"/>
  <c r="R428" i="16"/>
  <c r="AB431" i="16" a="1"/>
  <c r="Q430" i="16"/>
  <c r="AA432" i="16"/>
  <c r="R429" i="16" a="1"/>
  <c r="AB431" i="16" l="1"/>
  <c r="R429" i="16"/>
  <c r="Q431" i="16"/>
  <c r="AB432" i="16" a="1"/>
  <c r="AA433" i="16"/>
  <c r="R430" i="16" a="1"/>
  <c r="AB432" i="16" l="1"/>
  <c r="R430" i="16"/>
  <c r="AA434" i="16"/>
  <c r="R431" i="16" a="1"/>
  <c r="Q432" i="16"/>
  <c r="AB433" i="16" a="1"/>
  <c r="AB433" i="16" l="1"/>
  <c r="R431" i="16"/>
  <c r="AA435" i="16"/>
  <c r="R432" i="16" a="1"/>
  <c r="AB434" i="16" a="1"/>
  <c r="Q433" i="16"/>
  <c r="AB434" i="16" l="1"/>
  <c r="R432" i="16"/>
  <c r="R433" i="16" a="1"/>
  <c r="AB435" i="16" a="1"/>
  <c r="Q434" i="16"/>
  <c r="AA436" i="16"/>
  <c r="AB435" i="16" l="1"/>
  <c r="R433" i="16"/>
  <c r="AA437" i="16"/>
  <c r="Q435" i="16"/>
  <c r="AB436" i="16" a="1"/>
  <c r="R434" i="16" a="1"/>
  <c r="AB436" i="16" l="1"/>
  <c r="R434" i="16"/>
  <c r="AA438" i="16"/>
  <c r="Q436" i="16"/>
  <c r="R435" i="16" a="1"/>
  <c r="AB437" i="16" a="1"/>
  <c r="AB437" i="16" l="1"/>
  <c r="R435" i="16"/>
  <c r="AA439" i="16"/>
  <c r="Q437" i="16"/>
  <c r="R436" i="16" a="1"/>
  <c r="AB438" i="16" a="1"/>
  <c r="AB438" i="16" l="1"/>
  <c r="R436" i="16"/>
  <c r="AB439" i="16" a="1"/>
  <c r="AA440" i="16"/>
  <c r="R437" i="16" a="1"/>
  <c r="Q438" i="16"/>
  <c r="AB439" i="16" l="1"/>
  <c r="R437" i="16"/>
  <c r="AA441" i="16"/>
  <c r="R438" i="16" a="1"/>
  <c r="AB440" i="16" a="1"/>
  <c r="Q439" i="16"/>
  <c r="AB440" i="16" l="1"/>
  <c r="R438" i="16"/>
  <c r="AA442" i="16"/>
  <c r="R439" i="16" a="1"/>
  <c r="Q440" i="16"/>
  <c r="AB441" i="16" a="1"/>
  <c r="AB441" i="16" l="1"/>
  <c r="R439" i="16"/>
  <c r="AB442" i="16" a="1"/>
  <c r="Q441" i="16"/>
  <c r="R440" i="16" a="1"/>
  <c r="AA443" i="16"/>
  <c r="AB442" i="16" l="1"/>
  <c r="R440" i="16"/>
  <c r="AA444" i="16"/>
  <c r="R441" i="16" a="1"/>
  <c r="AB443" i="16" a="1"/>
  <c r="Q442" i="16"/>
  <c r="AB443" i="16" l="1"/>
  <c r="R441" i="16"/>
  <c r="AA445" i="16"/>
  <c r="R442" i="16" a="1"/>
  <c r="AB444" i="16" a="1"/>
  <c r="Q443" i="16"/>
  <c r="AB444" i="16" l="1"/>
  <c r="R442" i="16"/>
  <c r="R443" i="16" a="1"/>
  <c r="AA446" i="16"/>
  <c r="Q444" i="16"/>
  <c r="AB445" i="16" a="1"/>
  <c r="AB445" i="16" l="1"/>
  <c r="R443" i="16"/>
  <c r="Q445" i="16"/>
  <c r="R444" i="16" a="1"/>
  <c r="AA447" i="16"/>
  <c r="AB446" i="16" a="1"/>
  <c r="AB446" i="16" l="1"/>
  <c r="R444" i="16"/>
  <c r="R445" i="16" a="1"/>
  <c r="AA448" i="16"/>
  <c r="AB447" i="16" a="1"/>
  <c r="Q446" i="16"/>
  <c r="AB447" i="16" l="1"/>
  <c r="R445" i="16"/>
  <c r="AA449" i="16"/>
  <c r="Q447" i="16"/>
  <c r="AB448" i="16" a="1"/>
  <c r="R446" i="16" a="1"/>
  <c r="AB448" i="16" l="1"/>
  <c r="R446" i="16"/>
  <c r="R447" i="16" a="1"/>
  <c r="Q448" i="16"/>
  <c r="AA450" i="16"/>
  <c r="AB449" i="16" a="1"/>
  <c r="AB449" i="16" l="1"/>
  <c r="R447" i="16"/>
  <c r="AA451" i="16"/>
  <c r="R448" i="16" a="1"/>
  <c r="AB450" i="16" a="1"/>
  <c r="Q449" i="16"/>
  <c r="AB450" i="16" l="1"/>
  <c r="R448" i="16"/>
  <c r="Q450" i="16"/>
  <c r="AB451" i="16" a="1"/>
  <c r="AA452" i="16"/>
  <c r="R449" i="16" a="1"/>
  <c r="AB451" i="16" l="1"/>
  <c r="R449" i="16"/>
  <c r="Q451" i="16"/>
  <c r="AA453" i="16"/>
  <c r="R450" i="16" a="1"/>
  <c r="AB452" i="16" a="1"/>
  <c r="AB452" i="16" l="1"/>
  <c r="R450" i="16"/>
  <c r="AA454" i="16"/>
  <c r="R451" i="16" a="1"/>
  <c r="AB453" i="16" a="1"/>
  <c r="Q452" i="16"/>
  <c r="AB453" i="16" l="1"/>
  <c r="R451" i="16"/>
  <c r="AA455" i="16"/>
  <c r="Q453" i="16"/>
  <c r="AB454" i="16" a="1"/>
  <c r="R452" i="16" a="1"/>
  <c r="AB454" i="16" l="1"/>
  <c r="R452" i="16"/>
  <c r="Q454" i="16"/>
  <c r="R453" i="16" a="1"/>
  <c r="AA456" i="16"/>
  <c r="AB455" i="16" a="1"/>
  <c r="AB455" i="16" l="1"/>
  <c r="R453" i="16"/>
  <c r="Q455" i="16"/>
  <c r="AA457" i="16"/>
  <c r="R454" i="16" a="1"/>
  <c r="AB456" i="16" a="1"/>
  <c r="AB456" i="16" l="1"/>
  <c r="R454" i="16"/>
  <c r="R455" i="16" a="1"/>
  <c r="AB457" i="16" a="1"/>
  <c r="AA458" i="16"/>
  <c r="Q456" i="16"/>
  <c r="AB457" i="16" l="1"/>
  <c r="R455" i="16"/>
  <c r="AB458" i="16" a="1"/>
  <c r="R456" i="16" a="1"/>
  <c r="Q457" i="16"/>
  <c r="AA459" i="16"/>
  <c r="AB458" i="16" l="1"/>
  <c r="R456" i="16"/>
  <c r="Q458" i="16"/>
  <c r="AB459" i="16" a="1"/>
  <c r="R457" i="16" a="1"/>
  <c r="AA460" i="16"/>
  <c r="AB459" i="16" l="1"/>
  <c r="R457" i="16"/>
  <c r="Q459" i="16"/>
  <c r="R458" i="16" a="1"/>
  <c r="AA461" i="16"/>
  <c r="AB460" i="16" a="1"/>
  <c r="AB460" i="16" l="1"/>
  <c r="R458" i="16"/>
  <c r="R459" i="16" a="1"/>
  <c r="Q460" i="16"/>
  <c r="AB461" i="16" a="1"/>
  <c r="AA462" i="16"/>
  <c r="AB461" i="16" l="1"/>
  <c r="R459" i="16"/>
  <c r="R460" i="16" a="1"/>
  <c r="AB462" i="16" a="1"/>
  <c r="Q461" i="16"/>
  <c r="AA463" i="16"/>
  <c r="AB462" i="16" l="1"/>
  <c r="R460" i="16"/>
  <c r="R461" i="16" a="1"/>
  <c r="AA464" i="16"/>
  <c r="Q462" i="16"/>
  <c r="AB463" i="16" a="1"/>
  <c r="AB463" i="16" l="1"/>
  <c r="R461" i="16"/>
  <c r="Q463" i="16"/>
  <c r="AB464" i="16" a="1"/>
  <c r="R462" i="16" a="1"/>
  <c r="AA465" i="16"/>
  <c r="AB464" i="16" l="1"/>
  <c r="R462" i="16"/>
  <c r="AB465" i="16" a="1"/>
  <c r="R463" i="16" a="1"/>
  <c r="AA466" i="16"/>
  <c r="Q464" i="16"/>
  <c r="AB465" i="16" l="1"/>
  <c r="R463" i="16"/>
  <c r="AA467" i="16"/>
  <c r="R464" i="16" a="1"/>
  <c r="AB466" i="16" a="1"/>
  <c r="Q465" i="16"/>
  <c r="AB466" i="16" l="1"/>
  <c r="R464" i="16"/>
  <c r="AA468" i="16"/>
  <c r="AB467" i="16" a="1"/>
  <c r="Q466" i="16"/>
  <c r="R465" i="16" a="1"/>
  <c r="AB467" i="16" l="1"/>
  <c r="R465" i="16"/>
  <c r="Q467" i="16"/>
  <c r="AB468" i="16" a="1"/>
  <c r="AA469" i="16"/>
  <c r="R466" i="16" a="1"/>
  <c r="AB468" i="16" l="1"/>
  <c r="R466" i="16"/>
  <c r="AA470" i="16"/>
  <c r="Q468" i="16"/>
  <c r="AB469" i="16" a="1"/>
  <c r="R467" i="16" a="1"/>
  <c r="AB469" i="16" l="1"/>
  <c r="R467" i="16"/>
  <c r="R468" i="16" a="1"/>
  <c r="AB470" i="16" a="1"/>
  <c r="Q469" i="16"/>
  <c r="AA471" i="16"/>
  <c r="AB470" i="16" l="1"/>
  <c r="R468" i="16"/>
  <c r="Q470" i="16"/>
  <c r="R469" i="16" a="1"/>
  <c r="AA472" i="16"/>
  <c r="AB471" i="16" a="1"/>
  <c r="AB471" i="16" l="1"/>
  <c r="R469" i="16"/>
  <c r="AB472" i="16" a="1"/>
  <c r="Q471" i="16"/>
  <c r="R470" i="16" a="1"/>
  <c r="AA473" i="16"/>
  <c r="AB472" i="16" l="1"/>
  <c r="R470" i="16"/>
  <c r="R471" i="16" a="1"/>
  <c r="AA474" i="16"/>
  <c r="Q472" i="16"/>
  <c r="AB473" i="16" a="1"/>
  <c r="AB473" i="16" l="1"/>
  <c r="R471" i="16"/>
  <c r="AB474" i="16" a="1"/>
  <c r="R472" i="16" a="1"/>
  <c r="AA475" i="16"/>
  <c r="Q473" i="16"/>
  <c r="AB474" i="16" l="1"/>
  <c r="R472" i="16"/>
  <c r="AB475" i="16" a="1"/>
  <c r="Q474" i="16"/>
  <c r="AA476" i="16"/>
  <c r="R473" i="16" a="1"/>
  <c r="AB475" i="16" l="1"/>
  <c r="R473" i="16"/>
  <c r="AA477" i="16"/>
  <c r="R474" i="16" a="1"/>
  <c r="AB476" i="16" a="1"/>
  <c r="Q475" i="16"/>
  <c r="AB476" i="16" l="1"/>
  <c r="R474" i="16"/>
  <c r="AB477" i="16" a="1"/>
  <c r="Q476" i="16"/>
  <c r="R475" i="16" a="1"/>
  <c r="AA478" i="16"/>
  <c r="AB477" i="16" l="1"/>
  <c r="R475" i="16"/>
  <c r="R476" i="16" a="1"/>
  <c r="AA479" i="16"/>
  <c r="AB478" i="16" a="1"/>
  <c r="Q477" i="16"/>
  <c r="AB478" i="16" l="1"/>
  <c r="R476" i="16"/>
  <c r="R477" i="16" a="1"/>
  <c r="AA480" i="16"/>
  <c r="AB479" i="16" a="1"/>
  <c r="Q478" i="16"/>
  <c r="AB479" i="16" l="1"/>
  <c r="R477" i="16"/>
  <c r="AB480" i="16" a="1"/>
  <c r="Q479" i="16"/>
  <c r="AA481" i="16"/>
  <c r="R478" i="16" a="1"/>
  <c r="AB480" i="16" l="1"/>
  <c r="R478" i="16"/>
  <c r="AB481" i="16" a="1"/>
  <c r="AA482" i="16"/>
  <c r="Q480" i="16"/>
  <c r="R479" i="16" a="1"/>
  <c r="AB481" i="16" l="1"/>
  <c r="R479" i="16"/>
  <c r="R480" i="16" a="1"/>
  <c r="AA483" i="16"/>
  <c r="Q481" i="16"/>
  <c r="AB482" i="16" a="1"/>
  <c r="AB482" i="16" l="1"/>
  <c r="R480" i="16"/>
  <c r="Q482" i="16"/>
  <c r="AA484" i="16"/>
  <c r="R481" i="16" a="1"/>
  <c r="AB483" i="16" a="1"/>
  <c r="AB483" i="16" l="1"/>
  <c r="R481" i="16"/>
  <c r="Q483" i="16"/>
  <c r="AA485" i="16"/>
  <c r="R482" i="16" a="1"/>
  <c r="AB484" i="16" a="1"/>
  <c r="AB484" i="16" l="1"/>
  <c r="R482" i="16"/>
  <c r="Q484" i="16"/>
  <c r="AA486" i="16"/>
  <c r="AB485" i="16" a="1"/>
  <c r="R483" i="16" a="1"/>
  <c r="AB485" i="16" l="1"/>
  <c r="R483" i="16"/>
  <c r="AB486" i="16" a="1"/>
  <c r="R484" i="16" a="1"/>
  <c r="AA487" i="16"/>
  <c r="Q485" i="16"/>
  <c r="AB486" i="16" l="1"/>
  <c r="R484" i="16"/>
  <c r="AA488" i="16"/>
  <c r="AB487" i="16" a="1"/>
  <c r="R485" i="16" a="1"/>
  <c r="Q486" i="16"/>
  <c r="AB487" i="16" l="1"/>
  <c r="R485" i="16"/>
  <c r="AB488" i="16" a="1"/>
  <c r="R486" i="16" a="1"/>
  <c r="Q487" i="16"/>
  <c r="AA489" i="16"/>
  <c r="AB488" i="16" l="1"/>
  <c r="R486" i="16"/>
  <c r="AA490" i="16"/>
  <c r="Q488" i="16"/>
  <c r="R487" i="16" a="1"/>
  <c r="AB489" i="16" a="1"/>
  <c r="AB489" i="16" l="1"/>
  <c r="R487" i="16"/>
  <c r="AA491" i="16"/>
  <c r="Q489" i="16"/>
  <c r="R488" i="16" a="1"/>
  <c r="AB490" i="16" a="1"/>
  <c r="AB490" i="16" l="1"/>
  <c r="R488" i="16"/>
  <c r="Q490" i="16"/>
  <c r="R489" i="16" a="1"/>
  <c r="AB491" i="16" a="1"/>
  <c r="AA492" i="16"/>
  <c r="AB491" i="16" l="1"/>
  <c r="R489" i="16"/>
  <c r="R490" i="16" a="1"/>
  <c r="AB492" i="16" a="1"/>
  <c r="AA493" i="16"/>
  <c r="Q491" i="16"/>
  <c r="AB492" i="16" l="1"/>
  <c r="R490" i="16"/>
  <c r="AB493" i="16" a="1"/>
  <c r="Q492" i="16"/>
  <c r="AA494" i="16"/>
  <c r="R491" i="16" a="1"/>
  <c r="AB493" i="16" l="1"/>
  <c r="R491" i="16"/>
  <c r="AB494" i="16" a="1"/>
  <c r="R492" i="16" a="1"/>
  <c r="Q493" i="16"/>
  <c r="AA495" i="16"/>
  <c r="AB494" i="16" l="1"/>
  <c r="R492" i="16"/>
  <c r="AB495" i="16" a="1"/>
  <c r="Q494" i="16"/>
  <c r="AA496" i="16"/>
  <c r="R493" i="16" a="1"/>
  <c r="AB495" i="16" l="1"/>
  <c r="R493" i="16"/>
  <c r="AA497" i="16"/>
  <c r="AB496" i="16" a="1"/>
  <c r="Q495" i="16"/>
  <c r="R494" i="16" a="1"/>
  <c r="AB496" i="16" l="1"/>
  <c r="R494" i="16"/>
  <c r="R495" i="16" a="1"/>
  <c r="AA498" i="16"/>
  <c r="AB497" i="16" a="1"/>
  <c r="Q496" i="16"/>
  <c r="AB497" i="16" l="1"/>
  <c r="R495" i="16"/>
  <c r="AA499" i="16"/>
  <c r="Q497" i="16"/>
  <c r="AB498" i="16" a="1"/>
  <c r="R496" i="16" a="1"/>
  <c r="AB498" i="16" l="1"/>
  <c r="R496" i="16"/>
  <c r="AB499" i="16" a="1"/>
  <c r="R497" i="16" a="1"/>
  <c r="AA500" i="16"/>
  <c r="Q498" i="16"/>
  <c r="AB499" i="16" l="1"/>
  <c r="R497" i="16"/>
  <c r="Q499" i="16"/>
  <c r="AA501" i="16"/>
  <c r="R498" i="16" a="1"/>
  <c r="AB500" i="16" a="1"/>
  <c r="AB500" i="16" l="1"/>
  <c r="R498" i="16"/>
  <c r="AA502" i="16"/>
  <c r="AB501" i="16" a="1"/>
  <c r="R499" i="16" a="1"/>
  <c r="Q500" i="16"/>
  <c r="AB501" i="16" l="1"/>
  <c r="R499" i="16"/>
  <c r="AB502" i="16" a="1"/>
  <c r="Q501" i="16"/>
  <c r="R500" i="16" a="1"/>
  <c r="AA503" i="16"/>
  <c r="AB502" i="16" l="1"/>
  <c r="R500" i="16"/>
  <c r="AB503" i="16" a="1"/>
  <c r="Q502" i="16"/>
  <c r="R501" i="16" a="1"/>
  <c r="AA504" i="16"/>
  <c r="AB503" i="16" l="1"/>
  <c r="R501" i="16"/>
  <c r="R502" i="16" a="1"/>
  <c r="Q503" i="16"/>
  <c r="AA505" i="16"/>
  <c r="AB504" i="16" a="1"/>
  <c r="AB504" i="16" l="1"/>
  <c r="R502" i="16"/>
  <c r="R503" i="16" a="1"/>
  <c r="AA506" i="16"/>
  <c r="AB505" i="16" a="1"/>
  <c r="Q504" i="16"/>
  <c r="AB505" i="16" l="1"/>
  <c r="R503" i="16"/>
  <c r="R504" i="16" a="1"/>
  <c r="AB506" i="16" a="1"/>
  <c r="AA507" i="16"/>
  <c r="Q505" i="16"/>
  <c r="AB506" i="16" l="1"/>
  <c r="R504" i="16"/>
  <c r="AB507" i="16" a="1"/>
  <c r="Q506" i="16"/>
  <c r="R505" i="16" a="1"/>
  <c r="AA508" i="16"/>
  <c r="AB507" i="16" l="1"/>
  <c r="R505" i="16"/>
  <c r="AB508" i="16" a="1"/>
  <c r="Q507" i="16"/>
  <c r="AA509" i="16"/>
  <c r="R506" i="16" a="1"/>
  <c r="AB508" i="16" l="1"/>
  <c r="R506" i="16"/>
  <c r="AB509" i="16" a="1"/>
  <c r="Q508" i="16"/>
  <c r="R507" i="16" a="1"/>
  <c r="AA510" i="16"/>
  <c r="AB509" i="16" l="1"/>
  <c r="R507" i="16"/>
  <c r="AA511" i="16"/>
  <c r="AB510" i="16" a="1"/>
  <c r="Q509" i="16"/>
  <c r="R508" i="16" a="1"/>
  <c r="AB510" i="16" l="1"/>
  <c r="R508" i="16"/>
  <c r="AA512" i="16"/>
  <c r="Q510" i="16"/>
  <c r="AB511" i="16" a="1"/>
  <c r="R509" i="16" a="1"/>
  <c r="AB511" i="16" l="1"/>
  <c r="R509" i="16"/>
  <c r="AA513" i="16"/>
  <c r="AB512" i="16" a="1"/>
  <c r="R510" i="16" a="1"/>
  <c r="Q511" i="16"/>
  <c r="AB512" i="16" l="1"/>
  <c r="R510" i="16"/>
  <c r="AB513" i="16" a="1"/>
  <c r="R511" i="16" a="1"/>
  <c r="Q512" i="16"/>
  <c r="AA514" i="16"/>
  <c r="AB513" i="16" l="1"/>
  <c r="R511" i="16"/>
  <c r="AB514" i="16" a="1"/>
  <c r="R512" i="16" a="1"/>
  <c r="Q513" i="16"/>
  <c r="AA515" i="16"/>
  <c r="AB514" i="16" l="1"/>
  <c r="R512" i="16"/>
  <c r="R513" i="16" a="1"/>
  <c r="AB515" i="16" a="1"/>
  <c r="AA516" i="16"/>
  <c r="Q514" i="16"/>
  <c r="AB515" i="16" l="1"/>
  <c r="R513" i="16"/>
  <c r="AB516" i="16" a="1"/>
  <c r="Q515" i="16"/>
  <c r="R514" i="16" a="1"/>
  <c r="AA517" i="16"/>
  <c r="AB516" i="16" l="1"/>
  <c r="R514" i="16"/>
  <c r="Q516" i="16"/>
  <c r="R515" i="16" a="1"/>
  <c r="AB517" i="16" a="1"/>
  <c r="AA518" i="16"/>
  <c r="AB517" i="16" l="1"/>
  <c r="R515" i="16"/>
  <c r="R516" i="16" a="1"/>
  <c r="AA519" i="16"/>
  <c r="AB518" i="16" a="1"/>
  <c r="Q517" i="16"/>
  <c r="AB518" i="16" l="1"/>
  <c r="R516" i="16"/>
  <c r="R517" i="16" a="1"/>
  <c r="Q518" i="16"/>
  <c r="AA520" i="16"/>
  <c r="AB519" i="16" a="1"/>
  <c r="AB519" i="16" l="1"/>
  <c r="R517" i="16"/>
  <c r="AA521" i="16"/>
  <c r="AB520" i="16" a="1"/>
  <c r="R518" i="16" a="1"/>
  <c r="Q519" i="16"/>
  <c r="AB520" i="16" l="1"/>
  <c r="R518" i="16"/>
  <c r="R519" i="16" a="1"/>
  <c r="AA522" i="16"/>
  <c r="AB521" i="16" a="1"/>
  <c r="Q520" i="16"/>
  <c r="AB521" i="16" l="1"/>
  <c r="R519" i="16"/>
  <c r="AA523" i="16"/>
  <c r="AB522" i="16" a="1"/>
  <c r="Q521" i="16"/>
  <c r="R520" i="16" a="1"/>
  <c r="AB522" i="16" l="1"/>
  <c r="R520" i="16"/>
  <c r="AA524" i="16"/>
  <c r="R521" i="16" a="1"/>
  <c r="Q522" i="16"/>
  <c r="AB523" i="16" a="1"/>
  <c r="AB523" i="16" l="1"/>
  <c r="R521" i="16"/>
  <c r="R522" i="16" a="1"/>
  <c r="AB524" i="16" a="1"/>
  <c r="Q523" i="16"/>
  <c r="AA525" i="16"/>
  <c r="AB524" i="16" l="1"/>
  <c r="R522" i="16"/>
  <c r="R523" i="16" a="1"/>
  <c r="Q524" i="16"/>
  <c r="AA526" i="16"/>
  <c r="AB525" i="16" a="1"/>
  <c r="AB525" i="16" l="1"/>
  <c r="R523" i="16"/>
  <c r="R524" i="16" a="1"/>
  <c r="AB526" i="16" a="1"/>
  <c r="AA527" i="16"/>
  <c r="Q525" i="16"/>
  <c r="AB526" i="16" l="1"/>
  <c r="R524" i="16"/>
  <c r="AA528" i="16"/>
  <c r="AB527" i="16" a="1"/>
  <c r="Q526" i="16"/>
  <c r="R525" i="16" a="1"/>
  <c r="AB527" i="16" l="1"/>
  <c r="R525" i="16"/>
  <c r="Q527" i="16"/>
  <c r="AB528" i="16" a="1"/>
  <c r="AA529" i="16"/>
  <c r="R526" i="16" a="1"/>
  <c r="AB528" i="16" l="1"/>
  <c r="R526" i="16"/>
  <c r="AA530" i="16"/>
  <c r="R527" i="16" a="1"/>
  <c r="AB529" i="16" a="1"/>
  <c r="Q528" i="16"/>
  <c r="AB529" i="16" l="1"/>
  <c r="R527" i="16"/>
  <c r="AA531" i="16"/>
  <c r="Q529" i="16"/>
  <c r="R528" i="16" a="1"/>
  <c r="AB530" i="16" a="1"/>
  <c r="AB530" i="16" l="1"/>
  <c r="R528" i="16"/>
  <c r="AA532" i="16"/>
  <c r="Q530" i="16"/>
  <c r="R529" i="16" a="1"/>
  <c r="AB531" i="16" a="1"/>
  <c r="AB531" i="16" l="1"/>
  <c r="R529" i="16"/>
  <c r="AA533" i="16"/>
  <c r="Q531" i="16"/>
  <c r="R530" i="16" a="1"/>
  <c r="AB532" i="16" a="1"/>
  <c r="AB532" i="16" l="1"/>
  <c r="R530" i="16"/>
  <c r="AA534" i="16"/>
  <c r="Q532" i="16"/>
  <c r="AB533" i="16" a="1"/>
  <c r="R531" i="16" a="1"/>
  <c r="AB533" i="16" l="1"/>
  <c r="R531" i="16"/>
  <c r="AA535" i="16"/>
  <c r="R532" i="16" a="1"/>
  <c r="AB534" i="16" a="1"/>
  <c r="Q533" i="16"/>
  <c r="AB534" i="16" l="1"/>
  <c r="R532" i="16"/>
  <c r="Q534" i="16"/>
  <c r="R533" i="16" a="1"/>
  <c r="AA536" i="16"/>
  <c r="AB535" i="16" a="1"/>
  <c r="AB535" i="16" l="1"/>
  <c r="R533" i="16"/>
  <c r="AB536" i="16" a="1"/>
  <c r="R534" i="16" a="1"/>
  <c r="Q535" i="16"/>
  <c r="AA537" i="16"/>
  <c r="AB536" i="16" l="1"/>
  <c r="R534" i="16"/>
  <c r="R535" i="16" a="1"/>
  <c r="AA538" i="16"/>
  <c r="Q536" i="16"/>
  <c r="AB537" i="16" a="1"/>
  <c r="AB537" i="16" l="1"/>
  <c r="R535" i="16"/>
  <c r="R536" i="16" a="1"/>
  <c r="AA539" i="16"/>
  <c r="Q537" i="16"/>
  <c r="AB538" i="16" a="1"/>
  <c r="AB538" i="16" l="1"/>
  <c r="R536" i="16"/>
  <c r="AB539" i="16" a="1"/>
  <c r="Q538" i="16"/>
  <c r="AA540" i="16"/>
  <c r="R537" i="16" a="1"/>
  <c r="AB539" i="16" l="1"/>
  <c r="R537" i="16"/>
  <c r="R538" i="16" a="1"/>
  <c r="AA541" i="16"/>
  <c r="Q539" i="16"/>
  <c r="AB540" i="16" a="1"/>
  <c r="AB540" i="16" l="1"/>
  <c r="R538" i="16"/>
  <c r="R539" i="16" a="1"/>
  <c r="Q540" i="16"/>
  <c r="AA542" i="16"/>
  <c r="AB541" i="16" a="1"/>
  <c r="AB541" i="16" l="1"/>
  <c r="R539" i="16"/>
  <c r="Q541" i="16"/>
  <c r="AA543" i="16"/>
  <c r="R540" i="16" a="1"/>
  <c r="AB542" i="16" a="1"/>
  <c r="AB542" i="16" l="1"/>
  <c r="R540" i="16"/>
  <c r="AB543" i="16" a="1"/>
  <c r="AA544" i="16"/>
  <c r="Q542" i="16"/>
  <c r="R541" i="16" a="1"/>
  <c r="AB543" i="16" l="1"/>
  <c r="R541" i="16"/>
  <c r="AA545" i="16"/>
  <c r="Q543" i="16"/>
  <c r="AB544" i="16" a="1"/>
  <c r="R542" i="16" a="1"/>
  <c r="AB544" i="16" l="1"/>
  <c r="R542" i="16"/>
  <c r="Q544" i="16"/>
  <c r="AB545" i="16" a="1"/>
  <c r="R543" i="16" a="1"/>
  <c r="AA546" i="16"/>
  <c r="AB545" i="16" l="1"/>
  <c r="R543" i="16"/>
  <c r="AB546" i="16" a="1"/>
  <c r="R544" i="16" a="1"/>
  <c r="AA547" i="16"/>
  <c r="Q545" i="16"/>
  <c r="AB546" i="16" l="1"/>
  <c r="R544" i="16"/>
  <c r="AB547" i="16" a="1"/>
  <c r="AA548" i="16"/>
  <c r="R545" i="16" a="1"/>
  <c r="Q546" i="16"/>
  <c r="AB547" i="16" l="1"/>
  <c r="R545" i="16"/>
  <c r="Q547" i="16"/>
  <c r="AB548" i="16" a="1"/>
  <c r="AA549" i="16"/>
  <c r="R546" i="16" a="1"/>
  <c r="AB548" i="16" l="1"/>
  <c r="R546" i="16"/>
  <c r="AA550" i="16"/>
  <c r="Q548" i="16"/>
  <c r="AB549" i="16" a="1"/>
  <c r="R547" i="16" a="1"/>
  <c r="AB549" i="16" l="1"/>
  <c r="R547" i="16"/>
  <c r="AA551" i="16"/>
  <c r="AB550" i="16" a="1"/>
  <c r="Q549" i="16"/>
  <c r="R548" i="16" a="1"/>
  <c r="AB550" i="16" l="1"/>
  <c r="R548" i="16"/>
  <c r="AB551" i="16" a="1"/>
  <c r="R549" i="16" a="1"/>
  <c r="AA552" i="16"/>
  <c r="Q550" i="16"/>
  <c r="AB551" i="16" l="1"/>
  <c r="R549" i="16"/>
  <c r="Q551" i="16"/>
  <c r="AA553" i="16"/>
  <c r="R550" i="16" a="1"/>
  <c r="AB552" i="16" a="1"/>
  <c r="AB552" i="16" l="1"/>
  <c r="R550" i="16"/>
  <c r="R551" i="16" a="1"/>
  <c r="AA554" i="16"/>
  <c r="AB553" i="16" a="1"/>
  <c r="Q552" i="16"/>
  <c r="AB553" i="16" l="1"/>
  <c r="R551" i="16"/>
  <c r="R552" i="16" a="1"/>
  <c r="AA555" i="16"/>
  <c r="Q553" i="16"/>
  <c r="AB554" i="16" a="1"/>
  <c r="AB554" i="16" l="1"/>
  <c r="R552" i="16"/>
  <c r="R553" i="16" a="1"/>
  <c r="AB555" i="16" a="1"/>
  <c r="AA556" i="16"/>
  <c r="Q554" i="16"/>
  <c r="AB555" i="16" l="1"/>
  <c r="R553" i="16"/>
  <c r="R554" i="16" a="1"/>
  <c r="AB556" i="16" a="1"/>
  <c r="Q555" i="16"/>
  <c r="AA557" i="16"/>
  <c r="AB556" i="16" l="1"/>
  <c r="R554" i="16"/>
  <c r="AB557" i="16" a="1"/>
  <c r="R555" i="16" a="1"/>
  <c r="AA558" i="16"/>
  <c r="Q556" i="16"/>
  <c r="AB557" i="16" l="1"/>
  <c r="R555" i="16"/>
  <c r="AA559" i="16"/>
  <c r="AB558" i="16" a="1"/>
  <c r="R556" i="16" a="1"/>
  <c r="Q557" i="16"/>
  <c r="AB558" i="16" l="1"/>
  <c r="R556" i="16"/>
  <c r="Q558" i="16"/>
  <c r="AB559" i="16" a="1"/>
  <c r="R557" i="16" a="1"/>
  <c r="AA560" i="16"/>
  <c r="AB559" i="16" l="1"/>
  <c r="R557" i="16"/>
  <c r="Q559" i="16"/>
  <c r="AB560" i="16" a="1"/>
  <c r="R558" i="16" a="1"/>
  <c r="AA561" i="16"/>
  <c r="AB560" i="16" l="1"/>
  <c r="R558" i="16"/>
  <c r="R559" i="16" a="1"/>
  <c r="AA562" i="16"/>
  <c r="AB561" i="16" a="1"/>
  <c r="Q560" i="16"/>
  <c r="AB561" i="16" l="1"/>
  <c r="R559" i="16"/>
  <c r="Q561" i="16"/>
  <c r="AB562" i="16" a="1"/>
  <c r="AA563" i="16"/>
  <c r="R560" i="16" a="1"/>
  <c r="AB562" i="16" l="1"/>
  <c r="R560" i="16"/>
  <c r="Q562" i="16"/>
  <c r="R561" i="16" a="1"/>
  <c r="AB563" i="16" a="1"/>
  <c r="AA564" i="16"/>
  <c r="AB563" i="16" l="1"/>
  <c r="R561" i="16"/>
  <c r="R562" i="16" a="1"/>
  <c r="AA565" i="16"/>
  <c r="AB564" i="16" a="1"/>
  <c r="Q563" i="16"/>
  <c r="AB564" i="16" l="1"/>
  <c r="R562" i="16"/>
  <c r="R563" i="16" a="1"/>
  <c r="Q564" i="16"/>
  <c r="AB565" i="16" a="1"/>
  <c r="AA566" i="16"/>
  <c r="AB565" i="16" l="1"/>
  <c r="R563" i="16"/>
  <c r="Q565" i="16"/>
  <c r="R564" i="16" a="1"/>
  <c r="AB566" i="16" a="1"/>
  <c r="AA567" i="16"/>
  <c r="AB566" i="16" l="1"/>
  <c r="R564" i="16"/>
  <c r="Q566" i="16"/>
  <c r="AA568" i="16"/>
  <c r="AB567" i="16" a="1"/>
  <c r="R565" i="16" a="1"/>
  <c r="AB567" i="16" l="1"/>
  <c r="R565" i="16"/>
  <c r="Q567" i="16"/>
  <c r="AA569" i="16"/>
  <c r="R566" i="16" a="1"/>
  <c r="AB568" i="16" a="1"/>
  <c r="AB568" i="16" l="1"/>
  <c r="R566" i="16"/>
  <c r="R567" i="16" a="1"/>
  <c r="AB569" i="16" a="1"/>
  <c r="AA570" i="16"/>
  <c r="Q568" i="16"/>
  <c r="AB569" i="16" l="1"/>
  <c r="R567" i="16"/>
  <c r="R568" i="16" a="1"/>
  <c r="Q569" i="16"/>
  <c r="AB570" i="16" a="1"/>
  <c r="AA571" i="16"/>
  <c r="AB570" i="16" l="1"/>
  <c r="R568" i="16"/>
  <c r="AA572" i="16"/>
  <c r="R569" i="16" a="1"/>
  <c r="Q570" i="16"/>
  <c r="AB571" i="16" a="1"/>
  <c r="AB571" i="16" l="1"/>
  <c r="R569" i="16"/>
  <c r="AA573" i="16"/>
  <c r="R570" i="16" a="1"/>
  <c r="Q571" i="16"/>
  <c r="AB572" i="16" a="1"/>
  <c r="AB572" i="16" l="1"/>
  <c r="R570" i="16"/>
  <c r="R571" i="16" a="1"/>
  <c r="Q572" i="16"/>
  <c r="AA574" i="16"/>
  <c r="AB573" i="16" a="1"/>
  <c r="AB573" i="16" l="1"/>
  <c r="R571" i="16"/>
  <c r="AB574" i="16" a="1"/>
  <c r="R572" i="16" a="1"/>
  <c r="AA575" i="16"/>
  <c r="Q573" i="16"/>
  <c r="AB574" i="16" l="1"/>
  <c r="R572" i="16"/>
  <c r="AB575" i="16" a="1"/>
  <c r="R573" i="16" a="1"/>
  <c r="Q574" i="16"/>
  <c r="AA576" i="16"/>
  <c r="AB575" i="16" l="1"/>
  <c r="R573" i="16"/>
  <c r="AA577" i="16"/>
  <c r="R574" i="16" a="1"/>
  <c r="Q575" i="16"/>
  <c r="AB576" i="16" a="1"/>
  <c r="AB576" i="16" l="1"/>
  <c r="R574" i="16"/>
  <c r="Q576" i="16"/>
  <c r="R575" i="16" a="1"/>
  <c r="AB577" i="16" a="1"/>
  <c r="AA578" i="16"/>
  <c r="AB577" i="16" l="1"/>
  <c r="R575" i="16"/>
  <c r="Q577" i="16"/>
  <c r="R576" i="16" a="1"/>
  <c r="AB578" i="16" a="1"/>
  <c r="AA579" i="16"/>
  <c r="AB578" i="16" l="1"/>
  <c r="R576" i="16"/>
  <c r="AA580" i="16"/>
  <c r="AB579" i="16" a="1"/>
  <c r="Q578" i="16"/>
  <c r="R577" i="16" a="1"/>
  <c r="AB579" i="16" l="1"/>
  <c r="R577" i="16"/>
  <c r="AB580" i="16" a="1"/>
  <c r="R578" i="16" a="1"/>
  <c r="AA581" i="16"/>
  <c r="Q579" i="16"/>
  <c r="AB580" i="16" l="1"/>
  <c r="R578" i="16"/>
  <c r="R579" i="16" a="1"/>
  <c r="AB581" i="16" a="1"/>
  <c r="Q580" i="16"/>
  <c r="AA582" i="16"/>
  <c r="AB581" i="16" l="1"/>
  <c r="R579" i="16"/>
  <c r="AA583" i="16"/>
  <c r="R580" i="16" a="1"/>
  <c r="AB582" i="16" a="1"/>
  <c r="Q581" i="16"/>
  <c r="AB582" i="16" l="1"/>
  <c r="R580" i="16"/>
  <c r="R581" i="16" a="1"/>
  <c r="AB583" i="16" a="1"/>
  <c r="AA584" i="16"/>
  <c r="Q582" i="16"/>
  <c r="AB583" i="16" l="1"/>
  <c r="R581" i="16"/>
  <c r="AA585" i="16"/>
  <c r="R582" i="16" a="1"/>
  <c r="Q583" i="16"/>
  <c r="AB584" i="16" a="1"/>
  <c r="AB584" i="16" l="1"/>
  <c r="R582" i="16"/>
  <c r="Q584" i="16"/>
  <c r="AB585" i="16" a="1"/>
  <c r="AA586" i="16"/>
  <c r="R583" i="16" a="1"/>
  <c r="AB585" i="16" l="1"/>
  <c r="R583" i="16"/>
  <c r="Q585" i="16"/>
  <c r="AA587" i="16"/>
  <c r="R584" i="16" a="1"/>
  <c r="AB586" i="16" a="1"/>
  <c r="AB586" i="16" l="1"/>
  <c r="R584" i="16"/>
  <c r="AA588" i="16"/>
  <c r="AB587" i="16" a="1"/>
  <c r="Q586" i="16"/>
  <c r="R585" i="16" a="1"/>
  <c r="AB587" i="16" l="1"/>
  <c r="R585" i="16"/>
  <c r="AB588" i="16" a="1"/>
  <c r="R586" i="16" a="1"/>
  <c r="AA589" i="16"/>
  <c r="Q587" i="16"/>
  <c r="AB588" i="16" l="1"/>
  <c r="R586" i="16"/>
  <c r="Q588" i="16"/>
  <c r="R587" i="16" a="1"/>
  <c r="AA590" i="16"/>
  <c r="AB589" i="16" a="1"/>
  <c r="AB589" i="16" l="1"/>
  <c r="R587" i="16"/>
  <c r="AA591" i="16"/>
  <c r="Q589" i="16"/>
  <c r="AB590" i="16" a="1"/>
  <c r="R588" i="16" a="1"/>
  <c r="AB590" i="16" l="1"/>
  <c r="R588" i="16"/>
  <c r="AB591" i="16" a="1"/>
  <c r="R589" i="16" a="1"/>
  <c r="AA592" i="16"/>
  <c r="Q590" i="16"/>
  <c r="AB591" i="16" l="1"/>
  <c r="R589" i="16"/>
  <c r="AB592" i="16" a="1"/>
  <c r="AA593" i="16"/>
  <c r="R590" i="16" a="1"/>
  <c r="Q591" i="16"/>
  <c r="AB592" i="16" l="1"/>
  <c r="R590" i="16"/>
  <c r="R591" i="16" a="1"/>
  <c r="AB593" i="16" a="1"/>
  <c r="AA594" i="16"/>
  <c r="Q592" i="16"/>
  <c r="AB593" i="16" l="1"/>
  <c r="R591" i="16"/>
  <c r="AA595" i="16"/>
  <c r="AB594" i="16" a="1"/>
  <c r="R592" i="16" a="1"/>
  <c r="Q593" i="16"/>
  <c r="AB594" i="16" l="1"/>
  <c r="R592" i="16"/>
  <c r="AB595" i="16" a="1"/>
  <c r="AA596" i="16"/>
  <c r="Q594" i="16"/>
  <c r="R593" i="16" a="1"/>
  <c r="AB595" i="16" l="1"/>
  <c r="R593" i="16"/>
  <c r="R594" i="16" a="1"/>
  <c r="AA597" i="16"/>
  <c r="Q595" i="16"/>
  <c r="AB596" i="16" a="1"/>
  <c r="AB596" i="16" l="1"/>
  <c r="R594" i="16"/>
  <c r="AB597" i="16" a="1"/>
  <c r="Q596" i="16"/>
  <c r="AA598" i="16"/>
  <c r="R595" i="16" a="1"/>
  <c r="AB597" i="16" l="1"/>
  <c r="R595" i="16"/>
  <c r="Q597" i="16"/>
  <c r="R596" i="16" a="1"/>
  <c r="AA599" i="16"/>
  <c r="AB598" i="16" a="1"/>
  <c r="AB598" i="16" l="1"/>
  <c r="R596" i="16"/>
  <c r="R597" i="16" a="1"/>
  <c r="AA600" i="16"/>
  <c r="AB599" i="16" a="1"/>
  <c r="Q598" i="16"/>
  <c r="AB599" i="16" l="1"/>
  <c r="R597" i="16"/>
  <c r="AB600" i="16" a="1"/>
  <c r="R598" i="16" a="1"/>
  <c r="AA601" i="16"/>
  <c r="Q599" i="16"/>
  <c r="AB600" i="16" l="1"/>
  <c r="R598" i="16"/>
  <c r="R599" i="16" a="1"/>
  <c r="AA602" i="16"/>
  <c r="Q600" i="16"/>
  <c r="AB601" i="16" a="1"/>
  <c r="AB601" i="16" l="1"/>
  <c r="R599" i="16"/>
  <c r="AB602" i="16" a="1"/>
  <c r="Q601" i="16"/>
  <c r="R600" i="16" a="1"/>
  <c r="AA603" i="16"/>
  <c r="AB602" i="16" l="1"/>
  <c r="R600" i="16"/>
  <c r="R601" i="16" a="1"/>
  <c r="AA604" i="16"/>
  <c r="AB603" i="16" a="1"/>
  <c r="Q602" i="16"/>
  <c r="AB603" i="16" l="1"/>
  <c r="R601" i="16"/>
  <c r="Q603" i="16"/>
  <c r="AB604" i="16" a="1"/>
  <c r="AA605" i="16"/>
  <c r="R602" i="16" a="1"/>
  <c r="AB604" i="16" l="1"/>
  <c r="R602" i="16"/>
  <c r="AA606" i="16"/>
  <c r="Q604" i="16"/>
  <c r="AB605" i="16" a="1"/>
  <c r="R603" i="16" a="1"/>
  <c r="AB605" i="16" l="1"/>
  <c r="R603" i="16"/>
  <c r="Q605" i="16"/>
  <c r="AB606" i="16" a="1"/>
  <c r="R604" i="16" a="1"/>
  <c r="AA607" i="16"/>
  <c r="AB606" i="16" l="1"/>
  <c r="R604" i="16"/>
  <c r="AA608" i="16"/>
  <c r="R605" i="16" a="1"/>
  <c r="AB607" i="16" a="1"/>
  <c r="Q606" i="16"/>
  <c r="AB607" i="16" l="1"/>
  <c r="R605" i="16"/>
  <c r="AB608" i="16" a="1"/>
  <c r="AA609" i="16"/>
  <c r="R606" i="16" a="1"/>
  <c r="Q607" i="16"/>
  <c r="AB608" i="16" l="1"/>
  <c r="R606" i="16"/>
  <c r="Q608" i="16"/>
  <c r="R607" i="16" a="1"/>
  <c r="AA610" i="16"/>
  <c r="AB609" i="16" a="1"/>
  <c r="AB609" i="16" l="1"/>
  <c r="R607" i="16"/>
  <c r="AB610" i="16" a="1"/>
  <c r="R608" i="16" a="1"/>
  <c r="Q609" i="16"/>
  <c r="AA611" i="16"/>
  <c r="AB610" i="16" l="1"/>
  <c r="R608" i="16"/>
  <c r="R609" i="16" a="1"/>
  <c r="AA612" i="16"/>
  <c r="AB611" i="16" a="1"/>
  <c r="Q610" i="16"/>
  <c r="AB611" i="16" l="1"/>
  <c r="R609" i="16"/>
  <c r="AA613" i="16"/>
  <c r="Q611" i="16"/>
  <c r="R610" i="16" a="1"/>
  <c r="AB612" i="16" a="1"/>
  <c r="AB612" i="16" l="1"/>
  <c r="R610" i="16"/>
  <c r="AA614" i="16"/>
  <c r="R611" i="16" a="1"/>
  <c r="Q612" i="16"/>
  <c r="AB613" i="16" a="1"/>
  <c r="AB613" i="16" l="1"/>
  <c r="R611" i="16"/>
  <c r="AB614" i="16" a="1"/>
  <c r="Q613" i="16"/>
  <c r="AA615" i="16"/>
  <c r="R612" i="16" a="1"/>
  <c r="AB614" i="16" l="1"/>
  <c r="R612" i="16"/>
  <c r="AA616" i="16"/>
  <c r="Q614" i="16"/>
  <c r="R613" i="16" a="1"/>
  <c r="AB615" i="16" a="1"/>
  <c r="AB615" i="16" l="1"/>
  <c r="R613" i="16"/>
  <c r="AB616" i="16" a="1"/>
  <c r="R614" i="16" a="1"/>
  <c r="Q615" i="16"/>
  <c r="AA617" i="16"/>
  <c r="AB616" i="16" l="1"/>
  <c r="R614" i="16"/>
  <c r="R615" i="16" a="1"/>
  <c r="Q616" i="16"/>
  <c r="AA618" i="16"/>
  <c r="AB617" i="16" a="1"/>
  <c r="AB617" i="16" l="1"/>
  <c r="R615" i="16"/>
  <c r="AA619" i="16"/>
  <c r="R616" i="16" a="1"/>
  <c r="Q617" i="16"/>
  <c r="AB618" i="16" a="1"/>
  <c r="AB618" i="16" l="1"/>
  <c r="R616" i="16"/>
  <c r="Q618" i="16"/>
  <c r="R617" i="16" a="1"/>
  <c r="AA620" i="16"/>
  <c r="AB619" i="16" a="1"/>
  <c r="AB619" i="16" l="1"/>
  <c r="R617" i="16"/>
  <c r="AB620" i="16" a="1"/>
  <c r="R618" i="16" a="1"/>
  <c r="AA621" i="16"/>
  <c r="Q619" i="16"/>
  <c r="AB620" i="16" l="1"/>
  <c r="R618" i="16"/>
  <c r="AA622" i="16"/>
  <c r="R619" i="16" a="1"/>
  <c r="Q620" i="16"/>
  <c r="AB621" i="16" a="1"/>
  <c r="AB621" i="16" l="1"/>
  <c r="R619" i="16"/>
  <c r="AB622" i="16" a="1"/>
  <c r="R620" i="16" a="1"/>
  <c r="AA623" i="16"/>
  <c r="Q621" i="16"/>
  <c r="AB622" i="16" l="1"/>
  <c r="R620" i="16"/>
  <c r="AB623" i="16" a="1"/>
  <c r="Q622" i="16"/>
  <c r="AA624" i="16"/>
  <c r="R621" i="16" a="1"/>
  <c r="AB623" i="16" l="1"/>
  <c r="R621" i="16"/>
  <c r="R622" i="16" a="1"/>
  <c r="AA625" i="16"/>
  <c r="Q623" i="16"/>
  <c r="AB624" i="16" a="1"/>
  <c r="AB624" i="16" l="1"/>
  <c r="R622" i="16"/>
  <c r="AB625" i="16" a="1"/>
  <c r="R623" i="16" a="1"/>
  <c r="Q624" i="16"/>
  <c r="AA626" i="16"/>
  <c r="AB625" i="16" l="1"/>
  <c r="R623" i="16"/>
  <c r="AA627" i="16"/>
  <c r="R624" i="16" a="1"/>
  <c r="Q625" i="16"/>
  <c r="AB626" i="16" a="1"/>
  <c r="AB626" i="16" l="1"/>
  <c r="R624" i="16"/>
  <c r="AB627" i="16" a="1"/>
  <c r="Q626" i="16"/>
  <c r="R625" i="16" a="1"/>
  <c r="AA628" i="16"/>
  <c r="AB627" i="16" l="1"/>
  <c r="R625" i="16"/>
  <c r="AB628" i="16" a="1"/>
  <c r="R626" i="16" a="1"/>
  <c r="Q627" i="16"/>
  <c r="AA629" i="16"/>
  <c r="AB628" i="16" l="1"/>
  <c r="R626" i="16"/>
  <c r="Q628" i="16"/>
  <c r="R627" i="16" a="1"/>
  <c r="AB629" i="16" a="1"/>
  <c r="AA630" i="16"/>
  <c r="AB629" i="16" l="1"/>
  <c r="R627" i="16"/>
  <c r="Q629" i="16"/>
  <c r="AB630" i="16" a="1"/>
  <c r="R628" i="16" a="1"/>
  <c r="AA631" i="16"/>
  <c r="AB630" i="16" l="1"/>
  <c r="R628" i="16"/>
  <c r="R629" i="16" a="1"/>
  <c r="Q630" i="16"/>
  <c r="AA632" i="16"/>
  <c r="AB631" i="16" a="1"/>
  <c r="AB631" i="16" l="1"/>
  <c r="R629" i="16"/>
  <c r="R630" i="16" a="1"/>
  <c r="AA633" i="16"/>
  <c r="Q631" i="16"/>
  <c r="AB632" i="16" a="1"/>
  <c r="AB632" i="16" l="1"/>
  <c r="R630" i="16"/>
  <c r="R631" i="16" a="1"/>
  <c r="AA634" i="16"/>
  <c r="Q632" i="16"/>
  <c r="AB633" i="16" a="1"/>
  <c r="AB633" i="16" l="1"/>
  <c r="R631" i="16"/>
  <c r="R632" i="16" a="1"/>
  <c r="Q633" i="16"/>
  <c r="AA635" i="16"/>
  <c r="AB634" i="16" a="1"/>
  <c r="AB634" i="16" l="1"/>
  <c r="R632" i="16"/>
  <c r="R633" i="16" a="1"/>
  <c r="AA636" i="16"/>
  <c r="Q634" i="16"/>
  <c r="AB635" i="16" a="1"/>
  <c r="AB635" i="16" l="1"/>
  <c r="R633" i="16"/>
  <c r="R634" i="16" a="1"/>
  <c r="AA637" i="16"/>
  <c r="Q635" i="16"/>
  <c r="AB636" i="16" a="1"/>
  <c r="AB636" i="16" l="1"/>
  <c r="R634" i="16"/>
  <c r="Q636" i="16"/>
  <c r="AA638" i="16"/>
  <c r="AB637" i="16" a="1"/>
  <c r="R635" i="16" a="1"/>
  <c r="AB637" i="16" l="1"/>
  <c r="R635" i="16"/>
  <c r="Q637" i="16"/>
  <c r="AB638" i="16" a="1"/>
  <c r="R636" i="16" a="1"/>
  <c r="AA639" i="16"/>
  <c r="AB638" i="16" l="1"/>
  <c r="R636" i="16"/>
  <c r="Q638" i="16"/>
  <c r="R637" i="16" a="1"/>
  <c r="AB639" i="16" a="1"/>
  <c r="AA640" i="16"/>
  <c r="AB639" i="16" l="1"/>
  <c r="R637" i="16"/>
  <c r="Q639" i="16"/>
  <c r="R638" i="16" a="1"/>
  <c r="AB640" i="16" a="1"/>
  <c r="AA641" i="16"/>
  <c r="AB640" i="16" l="1"/>
  <c r="R638" i="16"/>
  <c r="R639" i="16" a="1"/>
  <c r="AA642" i="16"/>
  <c r="AB641" i="16" a="1"/>
  <c r="Q640" i="16"/>
  <c r="AB641" i="16" l="1"/>
  <c r="R639" i="16"/>
  <c r="Q641" i="16"/>
  <c r="R640" i="16" a="1"/>
  <c r="AA643" i="16"/>
  <c r="AB642" i="16" a="1"/>
  <c r="AB642" i="16" l="1"/>
  <c r="R640" i="16"/>
  <c r="Q642" i="16"/>
  <c r="AA644" i="16"/>
  <c r="R641" i="16" a="1"/>
  <c r="AB643" i="16" a="1"/>
  <c r="AB643" i="16" l="1"/>
  <c r="R641" i="16"/>
  <c r="R642" i="16" a="1"/>
  <c r="Q643" i="16"/>
  <c r="AA645" i="16"/>
  <c r="AB644" i="16" a="1"/>
  <c r="AB644" i="16" l="1"/>
  <c r="R642" i="16"/>
  <c r="AA646" i="16"/>
  <c r="R643" i="16" a="1"/>
  <c r="AB645" i="16" a="1"/>
  <c r="Q644" i="16"/>
  <c r="AB645" i="16" l="1"/>
  <c r="R643" i="16"/>
  <c r="Q645" i="16"/>
  <c r="AB646" i="16" a="1"/>
  <c r="AA647" i="16"/>
  <c r="R644" i="16" a="1"/>
  <c r="AB646" i="16" l="1"/>
  <c r="R644" i="16"/>
  <c r="AB647" i="16" a="1"/>
  <c r="AA648" i="16"/>
  <c r="Q646" i="16"/>
  <c r="R645" i="16" a="1"/>
  <c r="AB647" i="16" l="1"/>
  <c r="R645" i="16"/>
  <c r="AA649" i="16"/>
  <c r="R646" i="16" a="1"/>
  <c r="Q647" i="16"/>
  <c r="AB648" i="16" a="1"/>
  <c r="AB648" i="16" l="1"/>
  <c r="R646" i="16"/>
  <c r="R647" i="16" a="1"/>
  <c r="Q648" i="16"/>
  <c r="AA650" i="16"/>
  <c r="AB649" i="16" a="1"/>
  <c r="AB649" i="16" l="1"/>
  <c r="R647" i="16"/>
  <c r="AA651" i="16"/>
  <c r="R648" i="16" a="1"/>
  <c r="Q649" i="16"/>
  <c r="AB650" i="16" a="1"/>
  <c r="AB650" i="16" l="1"/>
  <c r="R648" i="16"/>
  <c r="R649" i="16" a="1"/>
  <c r="AA652" i="16"/>
  <c r="Q650" i="16"/>
  <c r="AB651" i="16" a="1"/>
  <c r="AB651" i="16" l="1"/>
  <c r="R649" i="16"/>
  <c r="AA653" i="16"/>
  <c r="R650" i="16" a="1"/>
  <c r="Q651" i="16"/>
  <c r="AB652" i="16" a="1"/>
  <c r="AB652" i="16" l="1"/>
  <c r="R650" i="16"/>
  <c r="AB653" i="16" a="1"/>
  <c r="R651" i="16" a="1"/>
  <c r="Q652" i="16"/>
  <c r="AA654" i="16"/>
  <c r="AB653" i="16" l="1"/>
  <c r="R651" i="16"/>
  <c r="AA655" i="16"/>
  <c r="AB654" i="16" a="1"/>
  <c r="R652" i="16" a="1"/>
  <c r="Q653" i="16"/>
  <c r="AB654" i="16" l="1"/>
  <c r="R652" i="16"/>
  <c r="AB655" i="16" a="1"/>
  <c r="Q654" i="16"/>
  <c r="AA656" i="16"/>
  <c r="R653" i="16" a="1"/>
  <c r="AB655" i="16" l="1"/>
  <c r="R653" i="16"/>
  <c r="AB656" i="16" a="1"/>
  <c r="AA657" i="16"/>
  <c r="R654" i="16" a="1"/>
  <c r="Q655" i="16"/>
  <c r="AB656" i="16" l="1"/>
  <c r="R654" i="16"/>
  <c r="R655" i="16" a="1"/>
  <c r="Q656" i="16"/>
  <c r="AA658" i="16"/>
  <c r="AB657" i="16" a="1"/>
  <c r="AB657" i="16" l="1"/>
  <c r="R655" i="16"/>
  <c r="AB658" i="16" a="1"/>
  <c r="AA659" i="16"/>
  <c r="Q657" i="16"/>
  <c r="R656" i="16" a="1"/>
  <c r="AB658" i="16" l="1"/>
  <c r="R656" i="16"/>
  <c r="R657" i="16" a="1"/>
  <c r="AB659" i="16" a="1"/>
  <c r="AA660" i="16"/>
  <c r="Q658" i="16"/>
  <c r="AB659" i="16" l="1"/>
  <c r="R657" i="16"/>
  <c r="AA661" i="16"/>
  <c r="Q659" i="16"/>
  <c r="AB660" i="16" a="1"/>
  <c r="R658" i="16" a="1"/>
  <c r="AB660" i="16" l="1"/>
  <c r="R658" i="16"/>
  <c r="AA662" i="16"/>
  <c r="R659" i="16" a="1"/>
  <c r="AB661" i="16" a="1"/>
  <c r="Q660" i="16"/>
  <c r="AB661" i="16" l="1"/>
  <c r="R659" i="16"/>
  <c r="AB662" i="16" a="1"/>
  <c r="AA663" i="16"/>
  <c r="R660" i="16" a="1"/>
  <c r="Q661" i="16"/>
  <c r="AB662" i="16" l="1"/>
  <c r="R660" i="16"/>
  <c r="AA664" i="16"/>
  <c r="Q662" i="16"/>
  <c r="R661" i="16" a="1"/>
  <c r="AB663" i="16" a="1"/>
  <c r="AB663" i="16" l="1"/>
  <c r="R661" i="16"/>
  <c r="Q663" i="16"/>
  <c r="R662" i="16" a="1"/>
  <c r="AB664" i="16" a="1"/>
  <c r="AA665" i="16"/>
  <c r="AB664" i="16" l="1"/>
  <c r="R662" i="16"/>
  <c r="AA666" i="16"/>
  <c r="AB665" i="16" a="1"/>
  <c r="R663" i="16" a="1"/>
  <c r="Q664" i="16"/>
  <c r="AB665" i="16" l="1"/>
  <c r="R663" i="16"/>
  <c r="AA667" i="16"/>
  <c r="Q665" i="16"/>
  <c r="R664" i="16" a="1"/>
  <c r="AB666" i="16" a="1"/>
  <c r="AB666" i="16" l="1"/>
  <c r="R664" i="16"/>
  <c r="Q666" i="16"/>
  <c r="AB667" i="16" a="1"/>
  <c r="AA668" i="16"/>
  <c r="R665" i="16" a="1"/>
  <c r="AB667" i="16" l="1"/>
  <c r="R665" i="16"/>
  <c r="AB668" i="16" a="1"/>
  <c r="Q667" i="16"/>
  <c r="AA669" i="16"/>
  <c r="R666" i="16" a="1"/>
  <c r="AB668" i="16" l="1"/>
  <c r="R666" i="16"/>
  <c r="AB669" i="16" a="1"/>
  <c r="R667" i="16" a="1"/>
  <c r="AA670" i="16"/>
  <c r="Q668" i="16"/>
  <c r="AB669" i="16" l="1"/>
  <c r="R667" i="16"/>
  <c r="Q669" i="16"/>
  <c r="R668" i="16" a="1"/>
  <c r="AB670" i="16" a="1"/>
  <c r="AA671" i="16"/>
  <c r="AB670" i="16" l="1"/>
  <c r="R668" i="16"/>
  <c r="R669" i="16" a="1"/>
  <c r="AB671" i="16" a="1"/>
  <c r="Q670" i="16"/>
  <c r="AA672" i="16"/>
  <c r="AB671" i="16" l="1"/>
  <c r="R669" i="16"/>
  <c r="AB672" i="16" a="1"/>
  <c r="R670" i="16" a="1"/>
  <c r="Q671" i="16"/>
  <c r="AA673" i="16"/>
  <c r="AB672" i="16" l="1"/>
  <c r="R670" i="16"/>
  <c r="AA674" i="16"/>
  <c r="R671" i="16" a="1"/>
  <c r="Q672" i="16"/>
  <c r="AB673" i="16" a="1"/>
  <c r="AB673" i="16" l="1"/>
  <c r="R671" i="16"/>
  <c r="Q673" i="16"/>
  <c r="R672" i="16" a="1"/>
  <c r="AA675" i="16"/>
  <c r="AB674" i="16" a="1"/>
  <c r="AB674" i="16" l="1"/>
  <c r="R672" i="16"/>
  <c r="AB675" i="16" a="1"/>
  <c r="Q674" i="16"/>
  <c r="AA676" i="16"/>
  <c r="R673" i="16" a="1"/>
  <c r="AB675" i="16" l="1"/>
  <c r="R673" i="16"/>
  <c r="R674" i="16" a="1"/>
  <c r="AB676" i="16" a="1"/>
  <c r="AA677" i="16"/>
  <c r="Q675" i="16"/>
  <c r="AB676" i="16" l="1"/>
  <c r="R674" i="16"/>
  <c r="AB677" i="16" a="1"/>
  <c r="AA678" i="16"/>
  <c r="R675" i="16" a="1"/>
  <c r="Q676" i="16"/>
  <c r="AB677" i="16" l="1"/>
  <c r="R675" i="16"/>
  <c r="AA679" i="16"/>
  <c r="AB678" i="16" a="1"/>
  <c r="Q677" i="16"/>
  <c r="R676" i="16" a="1"/>
  <c r="AB678" i="16" l="1"/>
  <c r="R676" i="16"/>
  <c r="AA680" i="16"/>
  <c r="R677" i="16" a="1"/>
  <c r="AB679" i="16" a="1"/>
  <c r="Q678" i="16"/>
  <c r="AB679" i="16" l="1"/>
  <c r="R677" i="16"/>
  <c r="AB680" i="16" a="1"/>
  <c r="Q679" i="16"/>
  <c r="R678" i="16" a="1"/>
  <c r="AA681" i="16"/>
  <c r="AB680" i="16" l="1"/>
  <c r="R678" i="16"/>
  <c r="AA682" i="16"/>
  <c r="AB681" i="16" a="1"/>
  <c r="R679" i="16" a="1"/>
  <c r="Q680" i="16"/>
  <c r="AB681" i="16" l="1"/>
  <c r="R679" i="16"/>
  <c r="R680" i="16" a="1"/>
  <c r="AA683" i="16"/>
  <c r="AB682" i="16" a="1"/>
  <c r="Q681" i="16"/>
  <c r="AB682" i="16" l="1"/>
  <c r="R680" i="16"/>
  <c r="AB683" i="16" a="1"/>
  <c r="Q682" i="16"/>
  <c r="R681" i="16" a="1"/>
  <c r="AA684" i="16"/>
  <c r="AB683" i="16" l="1"/>
  <c r="R681" i="16"/>
  <c r="R682" i="16" a="1"/>
  <c r="AA685" i="16"/>
  <c r="AB684" i="16" a="1"/>
  <c r="Q683" i="16"/>
  <c r="AB684" i="16" l="1"/>
  <c r="R682" i="16"/>
  <c r="AB685" i="16" a="1"/>
  <c r="R683" i="16" a="1"/>
  <c r="AA686" i="16"/>
  <c r="Q684" i="16"/>
  <c r="AB685" i="16" l="1"/>
  <c r="R683" i="16"/>
  <c r="AB686" i="16" a="1"/>
  <c r="AA687" i="16"/>
  <c r="Q685" i="16"/>
  <c r="R684" i="16" a="1"/>
  <c r="AB686" i="16" l="1"/>
  <c r="R684" i="16"/>
  <c r="AB687" i="16" a="1"/>
  <c r="R685" i="16" a="1"/>
  <c r="Q686" i="16"/>
  <c r="AA688" i="16"/>
  <c r="AB687" i="16" l="1"/>
  <c r="R685" i="16"/>
  <c r="Q687" i="16"/>
  <c r="R686" i="16" a="1"/>
  <c r="AB688" i="16" a="1"/>
  <c r="AA689" i="16"/>
  <c r="AB688" i="16" l="1"/>
  <c r="R686" i="16"/>
  <c r="Q688" i="16"/>
  <c r="R687" i="16" a="1"/>
  <c r="AB689" i="16" a="1"/>
  <c r="AA690" i="16"/>
  <c r="AB689" i="16" l="1"/>
  <c r="R687" i="16"/>
  <c r="Q689" i="16"/>
  <c r="AB690" i="16" a="1"/>
  <c r="R688" i="16" a="1"/>
  <c r="AA691" i="16"/>
  <c r="AB690" i="16" l="1"/>
  <c r="R688" i="16"/>
  <c r="Q690" i="16"/>
  <c r="AB691" i="16" a="1"/>
  <c r="AA692" i="16"/>
  <c r="R689" i="16" a="1"/>
  <c r="AB691" i="16" l="1"/>
  <c r="R689" i="16"/>
  <c r="AB692" i="16" a="1"/>
  <c r="R690" i="16" a="1"/>
  <c r="Q691" i="16"/>
  <c r="AA693" i="16"/>
  <c r="AB692" i="16" l="1"/>
  <c r="R690" i="16"/>
  <c r="R691" i="16" a="1"/>
  <c r="AA694" i="16"/>
  <c r="Q692" i="16"/>
  <c r="AB693" i="16" a="1"/>
  <c r="AB693" i="16" l="1"/>
  <c r="R691" i="16"/>
  <c r="AA695" i="16"/>
  <c r="R692" i="16" a="1"/>
  <c r="AB694" i="16" a="1"/>
  <c r="Q693" i="16"/>
  <c r="AB694" i="16" l="1"/>
  <c r="R692" i="16"/>
  <c r="Q694" i="16"/>
  <c r="AA696" i="16"/>
  <c r="AB695" i="16" a="1"/>
  <c r="R693" i="16" a="1"/>
  <c r="AB695" i="16" l="1"/>
  <c r="R693" i="16"/>
  <c r="R694" i="16" a="1"/>
  <c r="AB696" i="16" a="1"/>
  <c r="AA697" i="16"/>
  <c r="Q695" i="16"/>
  <c r="AB696" i="16" l="1"/>
  <c r="R694" i="16"/>
  <c r="R695" i="16" a="1"/>
  <c r="AB697" i="16" a="1"/>
  <c r="AA698" i="16"/>
  <c r="Q696" i="16"/>
  <c r="AB697" i="16" l="1"/>
  <c r="R695" i="16"/>
  <c r="AB698" i="16" a="1"/>
  <c r="R696" i="16" a="1"/>
  <c r="AA699" i="16"/>
  <c r="Q697" i="16"/>
  <c r="AB698" i="16" l="1"/>
  <c r="R696" i="16"/>
  <c r="Q698" i="16"/>
  <c r="AB699" i="16" a="1"/>
  <c r="R697" i="16" a="1"/>
  <c r="AA700" i="16"/>
  <c r="AB699" i="16" l="1"/>
  <c r="R697" i="16"/>
  <c r="Q699" i="16"/>
  <c r="AA701" i="16"/>
  <c r="R698" i="16" a="1"/>
  <c r="AB700" i="16" a="1"/>
  <c r="AB700" i="16" l="1"/>
  <c r="R698" i="16"/>
  <c r="AB701" i="16" a="1"/>
  <c r="R699" i="16" a="1"/>
  <c r="AA702" i="16"/>
  <c r="Q700" i="16"/>
  <c r="AB701" i="16" l="1"/>
  <c r="R699" i="16"/>
  <c r="Q701" i="16"/>
  <c r="AB702" i="16" a="1"/>
  <c r="AA703" i="16"/>
  <c r="R700" i="16" a="1"/>
  <c r="AB702" i="16" l="1"/>
  <c r="R700" i="16"/>
  <c r="Q702" i="16"/>
  <c r="R701" i="16" a="1"/>
  <c r="AB703" i="16" a="1"/>
  <c r="AA704" i="16"/>
  <c r="AB703" i="16" l="1"/>
  <c r="R701" i="16"/>
  <c r="Q703" i="16"/>
  <c r="R702" i="16" a="1"/>
  <c r="AB704" i="16" a="1"/>
  <c r="AA705" i="16"/>
  <c r="AB704" i="16" l="1"/>
  <c r="R702" i="16"/>
  <c r="Q704" i="16"/>
  <c r="R703" i="16" a="1"/>
  <c r="AB705" i="16" a="1"/>
  <c r="AA706" i="16"/>
  <c r="AB705" i="16" l="1"/>
  <c r="R703" i="16"/>
  <c r="AA707" i="16"/>
  <c r="AB706" i="16" a="1"/>
  <c r="R704" i="16" a="1"/>
  <c r="Q705" i="16"/>
  <c r="AB706" i="16" l="1"/>
  <c r="R704" i="16"/>
  <c r="AB707" i="16" a="1"/>
  <c r="R705" i="16" a="1"/>
  <c r="AA708" i="16"/>
  <c r="Q706" i="16"/>
  <c r="AB707" i="16" l="1"/>
  <c r="R705" i="16"/>
  <c r="R706" i="16" a="1"/>
  <c r="AB708" i="16" a="1"/>
  <c r="Q707" i="16"/>
  <c r="AA709" i="16"/>
  <c r="AB708" i="16" l="1"/>
  <c r="R706" i="16"/>
  <c r="AA710" i="16"/>
  <c r="AB709" i="16" a="1"/>
  <c r="Q708" i="16"/>
  <c r="R707" i="16" a="1"/>
  <c r="AB709" i="16" l="1"/>
  <c r="R707" i="16"/>
  <c r="Q709" i="16"/>
  <c r="AA711" i="16"/>
  <c r="R708" i="16" a="1"/>
  <c r="AB710" i="16" a="1"/>
  <c r="AB710" i="16" l="1"/>
  <c r="R708" i="16"/>
  <c r="Q710" i="16"/>
  <c r="AA712" i="16"/>
  <c r="R709" i="16" a="1"/>
  <c r="AB711" i="16" a="1"/>
  <c r="AB711" i="16" l="1"/>
  <c r="R709" i="16"/>
  <c r="Q711" i="16"/>
  <c r="AB712" i="16" a="1"/>
  <c r="R710" i="16" a="1"/>
  <c r="AA713" i="16"/>
  <c r="AB712" i="16" l="1"/>
  <c r="R710" i="16"/>
  <c r="AB713" i="16" a="1"/>
  <c r="R711" i="16" a="1"/>
  <c r="Q712" i="16"/>
  <c r="AA714" i="16"/>
  <c r="AB713" i="16" l="1"/>
  <c r="R711" i="16"/>
  <c r="AA715" i="16"/>
  <c r="Q713" i="16"/>
  <c r="AB714" i="16" a="1"/>
  <c r="R712" i="16" a="1"/>
  <c r="AB714" i="16" l="1"/>
  <c r="R712" i="16"/>
  <c r="AA716" i="16"/>
  <c r="AB715" i="16" a="1"/>
  <c r="Q714" i="16"/>
  <c r="R713" i="16" a="1"/>
  <c r="AB715" i="16" l="1"/>
  <c r="R713" i="16"/>
  <c r="AB716" i="16" a="1"/>
  <c r="R714" i="16" a="1"/>
  <c r="Q715" i="16"/>
  <c r="AA717" i="16"/>
  <c r="AB716" i="16" l="1"/>
  <c r="R714" i="16"/>
  <c r="AA718" i="16"/>
  <c r="R715" i="16" a="1"/>
  <c r="Q716" i="16"/>
  <c r="AB717" i="16" a="1"/>
  <c r="AB717" i="16" l="1"/>
  <c r="R715" i="16"/>
  <c r="R716" i="16" a="1"/>
  <c r="Q717" i="16"/>
  <c r="AB718" i="16" a="1"/>
  <c r="AA719" i="16"/>
  <c r="AB718" i="16" l="1"/>
  <c r="R716" i="16"/>
  <c r="R717" i="16" a="1"/>
  <c r="AB719" i="16" a="1"/>
  <c r="Q718" i="16"/>
  <c r="AA720" i="16"/>
  <c r="AB719" i="16" l="1"/>
  <c r="R717" i="16"/>
  <c r="Q719" i="16"/>
  <c r="R718" i="16" a="1"/>
  <c r="AB720" i="16" a="1"/>
  <c r="AA721" i="16"/>
  <c r="AB720" i="16" l="1"/>
  <c r="R718" i="16"/>
  <c r="AA722" i="16"/>
  <c r="Q720" i="16"/>
  <c r="R719" i="16" a="1"/>
  <c r="AB721" i="16" a="1"/>
  <c r="AB721" i="16" l="1"/>
  <c r="R719" i="16"/>
  <c r="AB722" i="16" a="1"/>
  <c r="R720" i="16" a="1"/>
  <c r="AA723" i="16"/>
  <c r="Q721" i="16"/>
  <c r="AB722" i="16" l="1"/>
  <c r="R720" i="16"/>
  <c r="R721" i="16" a="1"/>
  <c r="Q722" i="16"/>
  <c r="AB723" i="16" a="1"/>
  <c r="AA724" i="16"/>
  <c r="AB723" i="16" l="1"/>
  <c r="R721" i="16"/>
  <c r="Q723" i="16"/>
  <c r="AB724" i="16" a="1"/>
  <c r="R722" i="16" a="1"/>
  <c r="AA725" i="16"/>
  <c r="AB724" i="16" l="1"/>
  <c r="R722" i="16"/>
  <c r="Q724" i="16"/>
  <c r="R723" i="16" a="1"/>
  <c r="AA726" i="16"/>
  <c r="AB725" i="16" a="1"/>
  <c r="AB725" i="16" l="1"/>
  <c r="R723" i="16"/>
  <c r="R724" i="16" a="1"/>
  <c r="Q725" i="16"/>
  <c r="AB726" i="16" a="1"/>
  <c r="AA727" i="16"/>
  <c r="AB726" i="16" l="1"/>
  <c r="R724" i="16"/>
  <c r="AB727" i="16" a="1"/>
  <c r="AA728" i="16"/>
  <c r="R725" i="16" a="1"/>
  <c r="Q726" i="16"/>
  <c r="AB727" i="16" l="1"/>
  <c r="R725" i="16"/>
  <c r="Q727" i="16"/>
  <c r="AB728" i="16" a="1"/>
  <c r="R726" i="16" a="1"/>
  <c r="AA729" i="16"/>
  <c r="AB728" i="16" l="1"/>
  <c r="R726" i="16"/>
  <c r="Q728" i="16"/>
  <c r="R727" i="16" a="1"/>
  <c r="AA730" i="16"/>
  <c r="AB729" i="16" a="1"/>
  <c r="AB729" i="16" l="1"/>
  <c r="R727" i="16"/>
  <c r="Q729" i="16"/>
  <c r="AA731" i="16"/>
  <c r="R728" i="16" a="1"/>
  <c r="AB730" i="16" a="1"/>
  <c r="AB730" i="16" l="1"/>
  <c r="R728" i="16"/>
  <c r="Q730" i="16"/>
  <c r="AB731" i="16" a="1"/>
  <c r="R729" i="16" a="1"/>
  <c r="AA732" i="16"/>
  <c r="AB731" i="16" l="1"/>
  <c r="R729" i="16"/>
  <c r="R730" i="16" a="1"/>
  <c r="Q731" i="16"/>
  <c r="AB732" i="16" a="1"/>
  <c r="AA733" i="16"/>
  <c r="AB732" i="16" l="1"/>
  <c r="R730" i="16"/>
  <c r="AB733" i="16" a="1"/>
  <c r="AA734" i="16"/>
  <c r="R731" i="16" a="1"/>
  <c r="Q732" i="16"/>
  <c r="AB733" i="16" l="1"/>
  <c r="R731" i="16"/>
  <c r="Q733" i="16"/>
  <c r="R732" i="16" a="1"/>
  <c r="AB734" i="16" a="1"/>
  <c r="AA735" i="16"/>
  <c r="AB734" i="16" l="1"/>
  <c r="R732" i="16"/>
  <c r="R733" i="16" a="1"/>
  <c r="AA736" i="16"/>
  <c r="Q734" i="16"/>
  <c r="AB735" i="16" a="1"/>
  <c r="AB735" i="16" l="1"/>
  <c r="R733" i="16"/>
  <c r="R734" i="16" a="1"/>
  <c r="AB736" i="16" a="1"/>
  <c r="Q735" i="16"/>
  <c r="AA737" i="16"/>
  <c r="AB736" i="16" l="1"/>
  <c r="R734" i="16"/>
  <c r="Q736" i="16"/>
  <c r="AA738" i="16"/>
  <c r="AB737" i="16" a="1"/>
  <c r="R735" i="16" a="1"/>
  <c r="AB737" i="16" l="1"/>
  <c r="R735" i="16"/>
  <c r="R736" i="16" a="1"/>
  <c r="AB738" i="16" a="1"/>
  <c r="Q737" i="16"/>
  <c r="AA739" i="16"/>
  <c r="AB738" i="16" l="1"/>
  <c r="R736" i="16"/>
  <c r="Q738" i="16"/>
  <c r="AA740" i="16"/>
  <c r="R737" i="16" a="1"/>
  <c r="AB739" i="16" a="1"/>
  <c r="AB739" i="16" l="1"/>
  <c r="R737" i="16"/>
  <c r="AB740" i="16" a="1"/>
  <c r="AA741" i="16"/>
  <c r="Q739" i="16"/>
  <c r="R738" i="16" a="1"/>
  <c r="AB740" i="16" l="1"/>
  <c r="R738" i="16"/>
  <c r="R739" i="16" a="1"/>
  <c r="AA742" i="16"/>
  <c r="AB741" i="16" a="1"/>
  <c r="Q740" i="16"/>
  <c r="AB741" i="16" l="1"/>
  <c r="R739" i="16"/>
  <c r="AA743" i="16"/>
  <c r="R740" i="16" a="1"/>
  <c r="Q741" i="16"/>
  <c r="AB742" i="16" a="1"/>
  <c r="AB742" i="16" l="1"/>
  <c r="R740" i="16"/>
  <c r="R741" i="16" a="1"/>
  <c r="AB743" i="16" a="1"/>
  <c r="Q742" i="16"/>
  <c r="AA744" i="16"/>
  <c r="AB743" i="16" l="1"/>
  <c r="R741" i="16"/>
  <c r="AA745" i="16"/>
  <c r="AB744" i="16" a="1"/>
  <c r="R742" i="16" a="1"/>
  <c r="Q743" i="16"/>
  <c r="AB744" i="16" l="1"/>
  <c r="R742" i="16"/>
  <c r="AB745" i="16" a="1"/>
  <c r="R743" i="16" a="1"/>
  <c r="AA746" i="16"/>
  <c r="Q744" i="16"/>
  <c r="AB745" i="16" l="1"/>
  <c r="R743" i="16"/>
  <c r="R744" i="16" a="1"/>
  <c r="AA747" i="16"/>
  <c r="AB746" i="16" a="1"/>
  <c r="Q745" i="16"/>
  <c r="AB746" i="16" l="1"/>
  <c r="R744" i="16"/>
  <c r="Q746" i="16"/>
  <c r="AA748" i="16"/>
  <c r="AB747" i="16" a="1"/>
  <c r="R745" i="16" a="1"/>
  <c r="AB747" i="16" l="1"/>
  <c r="R745" i="16"/>
  <c r="Q747" i="16"/>
  <c r="R746" i="16" a="1"/>
  <c r="AB748" i="16" a="1"/>
  <c r="AA749" i="16"/>
  <c r="AB748" i="16" l="1"/>
  <c r="R746" i="16"/>
  <c r="AB749" i="16" a="1"/>
  <c r="AA750" i="16"/>
  <c r="Q748" i="16"/>
  <c r="R747" i="16" a="1"/>
  <c r="AB749" i="16" l="1"/>
  <c r="R747" i="16"/>
  <c r="AB750" i="16" a="1"/>
  <c r="Q749" i="16"/>
  <c r="R748" i="16" a="1"/>
  <c r="AA751" i="16"/>
  <c r="AB750" i="16" l="1"/>
  <c r="R748" i="16"/>
  <c r="AA752" i="16"/>
  <c r="Q750" i="16"/>
  <c r="R749" i="16" a="1"/>
  <c r="AB751" i="16" a="1"/>
  <c r="AB751" i="16" l="1"/>
  <c r="R749" i="16"/>
  <c r="R750" i="16" a="1"/>
  <c r="AB752" i="16" a="1"/>
  <c r="AA753" i="16"/>
  <c r="Q751" i="16"/>
  <c r="AB752" i="16" l="1"/>
  <c r="R750" i="16"/>
  <c r="R751" i="16" a="1"/>
  <c r="AA754" i="16"/>
  <c r="Q752" i="16"/>
  <c r="AB753" i="16" a="1"/>
  <c r="AB753" i="16" l="1"/>
  <c r="R751" i="16"/>
  <c r="Q753" i="16"/>
  <c r="AB754" i="16" a="1"/>
  <c r="R752" i="16" a="1"/>
  <c r="AA755" i="16"/>
  <c r="AB754" i="16" l="1"/>
  <c r="R752" i="16"/>
  <c r="R753" i="16" a="1"/>
  <c r="AA756" i="16"/>
  <c r="Q754" i="16"/>
  <c r="AB755" i="16" a="1"/>
  <c r="AB755" i="16" l="1"/>
  <c r="R753" i="16"/>
  <c r="R754" i="16" a="1"/>
  <c r="AB756" i="16" a="1"/>
  <c r="Q755" i="16"/>
  <c r="AA757" i="16"/>
  <c r="AB756" i="16" l="1"/>
  <c r="R754" i="16"/>
  <c r="AA758" i="16"/>
  <c r="AB757" i="16" a="1"/>
  <c r="R755" i="16" a="1"/>
  <c r="Q756" i="16"/>
  <c r="AB757" i="16" l="1"/>
  <c r="R755" i="16"/>
  <c r="R756" i="16" a="1"/>
  <c r="AB758" i="16" a="1"/>
  <c r="Q757" i="16"/>
  <c r="AA759" i="16"/>
  <c r="AB758" i="16" l="1"/>
  <c r="R756" i="16"/>
  <c r="R757" i="16" a="1"/>
  <c r="AA760" i="16"/>
  <c r="AB759" i="16" a="1"/>
  <c r="Q758" i="16"/>
  <c r="AB759" i="16" l="1"/>
  <c r="R757" i="16"/>
  <c r="Q759" i="16"/>
  <c r="AA761" i="16"/>
  <c r="R758" i="16" a="1"/>
  <c r="AB760" i="16" a="1"/>
  <c r="AB760" i="16" l="1"/>
  <c r="R758" i="16"/>
  <c r="AB761" i="16" a="1"/>
  <c r="AA762" i="16"/>
  <c r="Q760" i="16"/>
  <c r="R759" i="16" a="1"/>
  <c r="AB761" i="16" l="1"/>
  <c r="R759" i="16"/>
  <c r="R760" i="16" a="1"/>
  <c r="AA763" i="16"/>
  <c r="Q761" i="16"/>
  <c r="AB762" i="16" a="1"/>
  <c r="AB762" i="16" l="1"/>
  <c r="R760" i="16"/>
  <c r="AB763" i="16" a="1"/>
  <c r="R761" i="16" a="1"/>
  <c r="AA764" i="16"/>
  <c r="Q762" i="16"/>
  <c r="AB763" i="16" l="1"/>
  <c r="R761" i="16"/>
  <c r="R762" i="16" a="1"/>
  <c r="AB764" i="16" a="1"/>
  <c r="AA765" i="16"/>
  <c r="Q763" i="16"/>
  <c r="AB764" i="16" l="1"/>
  <c r="R762" i="16"/>
  <c r="AB765" i="16" a="1"/>
  <c r="Q764" i="16"/>
  <c r="R763" i="16" a="1"/>
  <c r="AA766" i="16"/>
  <c r="AB765" i="16" l="1"/>
  <c r="R763" i="16"/>
  <c r="AB766" i="16" a="1"/>
  <c r="AA767" i="16"/>
  <c r="R764" i="16" a="1"/>
  <c r="Q765" i="16"/>
  <c r="AB766" i="16" l="1"/>
  <c r="R764" i="16"/>
  <c r="Q766" i="16"/>
  <c r="AA768" i="16"/>
  <c r="R765" i="16" a="1"/>
  <c r="AB767" i="16" a="1"/>
  <c r="AB767" i="16" l="1"/>
  <c r="R765" i="16"/>
  <c r="R766" i="16" a="1"/>
  <c r="AA769" i="16"/>
  <c r="AB768" i="16" a="1"/>
  <c r="Q767" i="16"/>
  <c r="AB768" i="16" l="1"/>
  <c r="R766" i="16"/>
  <c r="AA770" i="16"/>
  <c r="R767" i="16" a="1"/>
  <c r="AB769" i="16" a="1"/>
  <c r="Q768" i="16"/>
  <c r="AB769" i="16" l="1"/>
  <c r="R767" i="16"/>
  <c r="AA771" i="16"/>
  <c r="Q769" i="16"/>
  <c r="AB770" i="16" a="1"/>
  <c r="R768" i="16" a="1"/>
  <c r="AB770" i="16" l="1"/>
  <c r="R768" i="16"/>
  <c r="AB771" i="16" a="1"/>
  <c r="Q770" i="16"/>
  <c r="AA772" i="16"/>
  <c r="R769" i="16" a="1"/>
  <c r="AB771" i="16" l="1"/>
  <c r="R769" i="16"/>
  <c r="AB772" i="16" a="1"/>
  <c r="R770" i="16" a="1"/>
  <c r="Q771" i="16"/>
  <c r="AA773" i="16"/>
  <c r="AB772" i="16" l="1"/>
  <c r="R770" i="16"/>
  <c r="AB773" i="16" a="1"/>
  <c r="Q772" i="16"/>
  <c r="R771" i="16" a="1"/>
  <c r="AA774" i="16"/>
  <c r="AB773" i="16" l="1"/>
  <c r="R771" i="16"/>
  <c r="R772" i="16" a="1"/>
  <c r="AB774" i="16" a="1"/>
  <c r="Q773" i="16"/>
  <c r="AA775" i="16"/>
  <c r="AB774" i="16" l="1"/>
  <c r="R772" i="16"/>
  <c r="R773" i="16" a="1"/>
  <c r="Q774" i="16"/>
  <c r="AB775" i="16" a="1"/>
  <c r="AA776" i="16"/>
  <c r="AB775" i="16" l="1"/>
  <c r="R773" i="16"/>
  <c r="AA777" i="16"/>
  <c r="Q775" i="16"/>
  <c r="R774" i="16" a="1"/>
  <c r="AB776" i="16" a="1"/>
  <c r="AB776" i="16" l="1"/>
  <c r="R774" i="16"/>
  <c r="AA778" i="16"/>
  <c r="Q776" i="16"/>
  <c r="R775" i="16" a="1"/>
  <c r="AB777" i="16" a="1"/>
  <c r="AB777" i="16" l="1"/>
  <c r="R775" i="16"/>
  <c r="R776" i="16" a="1"/>
  <c r="Q777" i="16"/>
  <c r="AA779" i="16"/>
  <c r="AB778" i="16" a="1"/>
  <c r="AB778" i="16" l="1"/>
  <c r="R776" i="16"/>
  <c r="R777" i="16" a="1"/>
  <c r="AB779" i="16" a="1"/>
  <c r="Q778" i="16"/>
  <c r="AA780" i="16"/>
  <c r="AB779" i="16" l="1"/>
  <c r="R777" i="16"/>
  <c r="R778" i="16" a="1"/>
  <c r="AB780" i="16" a="1"/>
  <c r="AA781" i="16"/>
  <c r="Q779" i="16"/>
  <c r="AB780" i="16" l="1"/>
  <c r="R778" i="16"/>
  <c r="AA782" i="16"/>
  <c r="AB781" i="16" a="1"/>
  <c r="Q780" i="16"/>
  <c r="R779" i="16" a="1"/>
  <c r="AB781" i="16" l="1"/>
  <c r="R779" i="16"/>
  <c r="AA783" i="16"/>
  <c r="Q781" i="16"/>
  <c r="R780" i="16" a="1"/>
  <c r="AB782" i="16" a="1"/>
  <c r="AB782" i="16" l="1"/>
  <c r="R780" i="16"/>
  <c r="AA784" i="16"/>
  <c r="AB783" i="16" a="1"/>
  <c r="Q782" i="16"/>
  <c r="R781" i="16" a="1"/>
  <c r="AB783" i="16" l="1"/>
  <c r="R781" i="16"/>
  <c r="Q783" i="16"/>
  <c r="R782" i="16" a="1"/>
  <c r="AB784" i="16" a="1"/>
  <c r="AA785" i="16"/>
  <c r="AB784" i="16" l="1"/>
  <c r="R782" i="16"/>
  <c r="AA786" i="16"/>
  <c r="AB785" i="16" a="1"/>
  <c r="R783" i="16" a="1"/>
  <c r="Q784" i="16"/>
  <c r="AB785" i="16" l="1"/>
  <c r="R783" i="16"/>
  <c r="R784" i="16" a="1"/>
  <c r="AA787" i="16"/>
  <c r="Q785" i="16"/>
  <c r="AB786" i="16" a="1"/>
  <c r="AB786" i="16" l="1"/>
  <c r="R784" i="16"/>
  <c r="R785" i="16" a="1"/>
  <c r="AB787" i="16" a="1"/>
  <c r="AA788" i="16"/>
  <c r="Q786" i="16"/>
  <c r="AB787" i="16" l="1"/>
  <c r="R785" i="16"/>
  <c r="Q787" i="16"/>
  <c r="AA789" i="16"/>
  <c r="AB788" i="16" a="1"/>
  <c r="R786" i="16" a="1"/>
  <c r="AB788" i="16" l="1"/>
  <c r="R786" i="16"/>
  <c r="R787" i="16" a="1"/>
  <c r="AB789" i="16" a="1"/>
  <c r="Q788" i="16"/>
  <c r="AA790" i="16"/>
  <c r="AB789" i="16" l="1"/>
  <c r="R787" i="16"/>
  <c r="AA791" i="16"/>
  <c r="R788" i="16" a="1"/>
  <c r="Q789" i="16"/>
  <c r="AB790" i="16" a="1"/>
  <c r="AB790" i="16" l="1"/>
  <c r="R788" i="16"/>
  <c r="AA792" i="16"/>
  <c r="R789" i="16" a="1"/>
  <c r="AB791" i="16" a="1"/>
  <c r="Q790" i="16"/>
  <c r="AB791" i="16" l="1"/>
  <c r="R789" i="16"/>
  <c r="AB792" i="16" a="1"/>
  <c r="AA793" i="16"/>
  <c r="Q791" i="16"/>
  <c r="R790" i="16" a="1"/>
  <c r="AB792" i="16" l="1"/>
  <c r="R790" i="16"/>
  <c r="Q792" i="16"/>
  <c r="AB793" i="16" a="1"/>
  <c r="AA794" i="16"/>
  <c r="R791" i="16" a="1"/>
  <c r="AB793" i="16" l="1"/>
  <c r="R791" i="16"/>
  <c r="AA795" i="16"/>
  <c r="Q793" i="16"/>
  <c r="R792" i="16" a="1"/>
  <c r="AB794" i="16" a="1"/>
  <c r="AB794" i="16" l="1"/>
  <c r="R792" i="16"/>
  <c r="AB795" i="16" a="1"/>
  <c r="R793" i="16" a="1"/>
  <c r="AA796" i="16"/>
  <c r="Q794" i="16"/>
  <c r="AB795" i="16" l="1"/>
  <c r="R793" i="16"/>
  <c r="Q795" i="16"/>
  <c r="R794" i="16" a="1"/>
  <c r="AA797" i="16"/>
  <c r="AB796" i="16" a="1"/>
  <c r="AB796" i="16" l="1"/>
  <c r="R794" i="16"/>
  <c r="Q796" i="16"/>
  <c r="AA798" i="16"/>
  <c r="R795" i="16" a="1"/>
  <c r="AB797" i="16" a="1"/>
  <c r="AB797" i="16" l="1"/>
  <c r="R795" i="16"/>
  <c r="AB798" i="16" a="1"/>
  <c r="AA799" i="16"/>
  <c r="R796" i="16" a="1"/>
  <c r="Q797" i="16"/>
  <c r="AB798" i="16" l="1"/>
  <c r="R796" i="16"/>
  <c r="Q798" i="16"/>
  <c r="AA800" i="16"/>
  <c r="R797" i="16" a="1"/>
  <c r="AB799" i="16" a="1"/>
  <c r="AB799" i="16" l="1"/>
  <c r="R797" i="16"/>
  <c r="AB800" i="16" a="1"/>
  <c r="AA801" i="16"/>
  <c r="Q799" i="16"/>
  <c r="R798" i="16" a="1"/>
  <c r="AB800" i="16" l="1"/>
  <c r="R798" i="16"/>
  <c r="Q800" i="16"/>
  <c r="R799" i="16" a="1"/>
  <c r="AB801" i="16" a="1"/>
  <c r="AA802" i="16"/>
  <c r="AB801" i="16" l="1"/>
  <c r="R799" i="16"/>
  <c r="AB802" i="16" a="1"/>
  <c r="AA803" i="16"/>
  <c r="Q801" i="16"/>
  <c r="R800" i="16" a="1"/>
  <c r="AB802" i="16" l="1"/>
  <c r="R800" i="16"/>
  <c r="R801" i="16" a="1"/>
  <c r="AB803" i="16" a="1"/>
  <c r="Q802" i="16"/>
  <c r="AA804" i="16"/>
  <c r="AB803" i="16" l="1"/>
  <c r="R801" i="16"/>
  <c r="AA805" i="16"/>
  <c r="R802" i="16" a="1"/>
  <c r="AB804" i="16" a="1"/>
  <c r="Q803" i="16"/>
  <c r="AB804" i="16" l="1"/>
  <c r="R802" i="16"/>
  <c r="AB805" i="16" a="1"/>
  <c r="Q804" i="16"/>
  <c r="R803" i="16" a="1"/>
  <c r="AA806" i="16"/>
  <c r="AB805" i="16" l="1"/>
  <c r="R803" i="16"/>
  <c r="AB806" i="16" a="1"/>
  <c r="R804" i="16" a="1"/>
  <c r="Q805" i="16"/>
  <c r="AA807" i="16"/>
  <c r="AB806" i="16" l="1"/>
  <c r="R804" i="16"/>
  <c r="R805" i="16" a="1"/>
  <c r="AB807" i="16" a="1"/>
  <c r="Q806" i="16"/>
  <c r="AA808" i="16"/>
  <c r="AB807" i="16" l="1"/>
  <c r="R805" i="16"/>
  <c r="AB808" i="16" a="1"/>
  <c r="Q807" i="16"/>
  <c r="R806" i="16" a="1"/>
  <c r="AA809" i="16"/>
  <c r="AB808" i="16" l="1"/>
  <c r="R806" i="16"/>
  <c r="AA810" i="16"/>
  <c r="AB809" i="16" a="1"/>
  <c r="R807" i="16" a="1"/>
  <c r="Q808" i="16"/>
  <c r="AB809" i="16" l="1"/>
  <c r="R807" i="16"/>
  <c r="Q809" i="16"/>
  <c r="R808" i="16" a="1"/>
  <c r="AB810" i="16" a="1"/>
  <c r="AA811" i="16"/>
  <c r="AB810" i="16" l="1"/>
  <c r="R808" i="16"/>
  <c r="AA812" i="16"/>
  <c r="AB811" i="16" a="1"/>
  <c r="R809" i="16" a="1"/>
  <c r="Q810" i="16"/>
  <c r="AB811" i="16" l="1"/>
  <c r="R809" i="16"/>
  <c r="AA813" i="16"/>
  <c r="Q811" i="16"/>
  <c r="AB812" i="16" a="1"/>
  <c r="R810" i="16" a="1"/>
  <c r="AB812" i="16" l="1"/>
  <c r="R810" i="16"/>
  <c r="AA814" i="16"/>
  <c r="R811" i="16" a="1"/>
  <c r="Q812" i="16"/>
  <c r="AB813" i="16" a="1"/>
  <c r="AB813" i="16" l="1"/>
  <c r="R811" i="16"/>
  <c r="AA815" i="16"/>
  <c r="AB814" i="16" a="1"/>
  <c r="Q813" i="16"/>
  <c r="R812" i="16" a="1"/>
  <c r="AB814" i="16" l="1"/>
  <c r="R812" i="16"/>
  <c r="R813" i="16" a="1"/>
  <c r="AB815" i="16" a="1"/>
  <c r="Q814" i="16"/>
  <c r="AA816" i="16"/>
  <c r="AB815" i="16" l="1"/>
  <c r="R813" i="16"/>
  <c r="AA817" i="16"/>
  <c r="AB816" i="16" a="1"/>
  <c r="R814" i="16" a="1"/>
  <c r="Q815" i="16"/>
  <c r="AB816" i="16" l="1"/>
  <c r="R814" i="16"/>
  <c r="R815" i="16" a="1"/>
  <c r="AB817" i="16" a="1"/>
  <c r="Q816" i="16"/>
  <c r="AA818" i="16"/>
  <c r="AB817" i="16" l="1"/>
  <c r="R815" i="16"/>
  <c r="Q817" i="16"/>
  <c r="AA819" i="16"/>
  <c r="R816" i="16" a="1"/>
  <c r="AB818" i="16" a="1"/>
  <c r="AB818" i="16" l="1"/>
  <c r="R816" i="16"/>
  <c r="R817" i="16" a="1"/>
  <c r="AB819" i="16" a="1"/>
  <c r="AA820" i="16"/>
  <c r="Q818" i="16"/>
  <c r="AB819" i="16" l="1"/>
  <c r="R817" i="16"/>
  <c r="R818" i="16" a="1"/>
  <c r="Q819" i="16"/>
  <c r="AA821" i="16"/>
  <c r="AB820" i="16" a="1"/>
  <c r="AB820" i="16" l="1"/>
  <c r="R818" i="16"/>
  <c r="R819" i="16" a="1"/>
  <c r="AB821" i="16" a="1"/>
  <c r="AA822" i="16"/>
  <c r="Q820" i="16"/>
  <c r="AB821" i="16" l="1"/>
  <c r="R819" i="16"/>
  <c r="AB822" i="16" a="1"/>
  <c r="R820" i="16" a="1"/>
  <c r="Q821" i="16"/>
  <c r="AA823" i="16"/>
  <c r="AB822" i="16" l="1"/>
  <c r="R820" i="16"/>
  <c r="R821" i="16" a="1"/>
  <c r="AB823" i="16" a="1"/>
  <c r="AA824" i="16"/>
  <c r="Q822" i="16"/>
  <c r="AB823" i="16" l="1"/>
  <c r="R821" i="16"/>
  <c r="AA825" i="16"/>
  <c r="R822" i="16" a="1"/>
  <c r="Q823" i="16"/>
  <c r="AB824" i="16" a="1"/>
  <c r="AB824" i="16" l="1"/>
  <c r="R822" i="16"/>
  <c r="R823" i="16" a="1"/>
  <c r="AB825" i="16" a="1"/>
  <c r="AA826" i="16"/>
  <c r="Q824" i="16"/>
  <c r="AB825" i="16" l="1"/>
  <c r="R823" i="16"/>
  <c r="Q825" i="16"/>
  <c r="R824" i="16" a="1"/>
  <c r="AA827" i="16"/>
  <c r="AB826" i="16" a="1"/>
  <c r="AB826" i="16" l="1"/>
  <c r="R824" i="16"/>
  <c r="R825" i="16" a="1"/>
  <c r="Q826" i="16"/>
  <c r="AB827" i="16" a="1"/>
  <c r="AA828" i="16"/>
  <c r="AB827" i="16" l="1"/>
  <c r="R825" i="16"/>
  <c r="R826" i="16" a="1"/>
  <c r="AB828" i="16" a="1"/>
  <c r="Q827" i="16"/>
  <c r="AA829" i="16"/>
  <c r="AB828" i="16" l="1"/>
  <c r="R826" i="16"/>
  <c r="AB829" i="16" a="1"/>
  <c r="AA830" i="16"/>
  <c r="R827" i="16" a="1"/>
  <c r="Q828" i="16"/>
  <c r="AB829" i="16" l="1"/>
  <c r="R827" i="16"/>
  <c r="R828" i="16" a="1"/>
  <c r="AA831" i="16"/>
  <c r="AB830" i="16" a="1"/>
  <c r="Q829" i="16"/>
  <c r="AB830" i="16" l="1"/>
  <c r="R828" i="16"/>
  <c r="AB831" i="16" a="1"/>
  <c r="AA832" i="16"/>
  <c r="Q830" i="16"/>
  <c r="R829" i="16" a="1"/>
  <c r="AB831" i="16" l="1"/>
  <c r="R829" i="16"/>
  <c r="Q831" i="16"/>
  <c r="AA833" i="16"/>
  <c r="AB832" i="16" a="1"/>
  <c r="R830" i="16" a="1"/>
  <c r="AB832" i="16" l="1"/>
  <c r="R830" i="16"/>
  <c r="AB833" i="16" a="1"/>
  <c r="AA834" i="16"/>
  <c r="R831" i="16" a="1"/>
  <c r="Q832" i="16"/>
  <c r="AB833" i="16" l="1"/>
  <c r="R831" i="16"/>
  <c r="R832" i="16" a="1"/>
  <c r="AA835" i="16"/>
  <c r="Q833" i="16"/>
  <c r="AB834" i="16" a="1"/>
  <c r="AB834" i="16" l="1"/>
  <c r="R832" i="16"/>
  <c r="Q834" i="16"/>
  <c r="AB835" i="16" a="1"/>
  <c r="AA836" i="16"/>
  <c r="R833" i="16" a="1"/>
  <c r="AB835" i="16" l="1"/>
  <c r="R833" i="16"/>
  <c r="R834" i="16" a="1"/>
  <c r="AA837" i="16"/>
  <c r="Q835" i="16"/>
  <c r="AB836" i="16" a="1"/>
  <c r="AB836" i="16" l="1"/>
  <c r="R834" i="16"/>
  <c r="R835" i="16" a="1"/>
  <c r="AA838" i="16"/>
  <c r="Q836" i="16"/>
  <c r="AB837" i="16" a="1"/>
  <c r="AB837" i="16" l="1"/>
  <c r="R835" i="16"/>
  <c r="AA839" i="16"/>
  <c r="Q837" i="16"/>
  <c r="R836" i="16" a="1"/>
  <c r="AB838" i="16" a="1"/>
  <c r="AB838" i="16" l="1"/>
  <c r="R836" i="16"/>
  <c r="AB839" i="16" a="1"/>
  <c r="AA840" i="16"/>
  <c r="Q838" i="16"/>
  <c r="R837" i="16" a="1"/>
  <c r="AB839" i="16" l="1"/>
  <c r="R837" i="16"/>
  <c r="AB840" i="16" a="1"/>
  <c r="R838" i="16" a="1"/>
  <c r="Q839" i="16"/>
  <c r="AA841" i="16"/>
  <c r="AB840" i="16" l="1"/>
  <c r="R838" i="16"/>
  <c r="Q840" i="16"/>
  <c r="AB841" i="16" a="1"/>
  <c r="R839" i="16" a="1"/>
  <c r="AA842" i="16"/>
  <c r="AB841" i="16" l="1"/>
  <c r="R839" i="16"/>
  <c r="Q841" i="16"/>
  <c r="AA843" i="16"/>
  <c r="R840" i="16" a="1"/>
  <c r="AB842" i="16" a="1"/>
  <c r="AB842" i="16" l="1"/>
  <c r="R840" i="16"/>
  <c r="R841" i="16" a="1"/>
  <c r="AB843" i="16" a="1"/>
  <c r="Q842" i="16"/>
  <c r="AA844" i="16"/>
  <c r="AB843" i="16" l="1"/>
  <c r="R841" i="16"/>
  <c r="AB844" i="16" a="1"/>
  <c r="Q843" i="16"/>
  <c r="R842" i="16" a="1"/>
  <c r="AA845" i="16"/>
  <c r="AB844" i="16" l="1"/>
  <c r="R842" i="16"/>
  <c r="AA846" i="16"/>
  <c r="R843" i="16" a="1"/>
  <c r="Q844" i="16"/>
  <c r="AB845" i="16" a="1"/>
  <c r="AB845" i="16" l="1"/>
  <c r="R843" i="16"/>
  <c r="AB846" i="16" a="1"/>
  <c r="Q845" i="16"/>
  <c r="R844" i="16" a="1"/>
  <c r="AA847" i="16"/>
  <c r="AB846" i="16" l="1"/>
  <c r="R844" i="16"/>
  <c r="Q846" i="16"/>
  <c r="AB847" i="16" a="1"/>
  <c r="R845" i="16" a="1"/>
  <c r="AA848" i="16"/>
  <c r="AB847" i="16" l="1"/>
  <c r="R845" i="16"/>
  <c r="AA849" i="16"/>
  <c r="Q847" i="16"/>
  <c r="R846" i="16" a="1"/>
  <c r="AB848" i="16" a="1"/>
  <c r="AB848" i="16" l="1"/>
  <c r="R846" i="16"/>
  <c r="Q848" i="16"/>
  <c r="R847" i="16" a="1"/>
  <c r="AA850" i="16"/>
  <c r="AB849" i="16" a="1"/>
  <c r="AB849" i="16" l="1"/>
  <c r="R847" i="16"/>
  <c r="R848" i="16" a="1"/>
  <c r="AA851" i="16"/>
  <c r="Q849" i="16"/>
  <c r="AB850" i="16" a="1"/>
  <c r="AB850" i="16" l="1"/>
  <c r="R848" i="16"/>
  <c r="AA852" i="16"/>
  <c r="AB851" i="16" a="1"/>
  <c r="R849" i="16" a="1"/>
  <c r="Q850" i="16"/>
  <c r="AB851" i="16" l="1"/>
  <c r="R849" i="16"/>
  <c r="R850" i="16" a="1"/>
  <c r="AA853" i="16"/>
  <c r="AB852" i="16" a="1"/>
  <c r="Q851" i="16"/>
  <c r="AB852" i="16" l="1"/>
  <c r="R850" i="16"/>
  <c r="Q852" i="16"/>
  <c r="AB853" i="16" a="1"/>
  <c r="R851" i="16" a="1"/>
  <c r="AA854" i="16"/>
  <c r="AB853" i="16" l="1"/>
  <c r="R851" i="16"/>
  <c r="R852" i="16" a="1"/>
  <c r="AA855" i="16"/>
  <c r="AB854" i="16" a="1"/>
  <c r="Q853" i="16"/>
  <c r="AB854" i="16" l="1"/>
  <c r="R852" i="16"/>
  <c r="AB855" i="16" a="1"/>
  <c r="R853" i="16" a="1"/>
  <c r="AA856" i="16"/>
  <c r="Q854" i="16"/>
  <c r="AB855" i="16" l="1"/>
  <c r="R853" i="16"/>
  <c r="AB856" i="16" a="1"/>
  <c r="AA857" i="16"/>
  <c r="R854" i="16" a="1"/>
  <c r="Q855" i="16"/>
  <c r="AB856" i="16" l="1"/>
  <c r="R854" i="16"/>
  <c r="Q856" i="16"/>
  <c r="AB857" i="16" a="1"/>
  <c r="R855" i="16" a="1"/>
  <c r="AA858" i="16"/>
  <c r="AB857" i="16" l="1"/>
  <c r="R855" i="16"/>
  <c r="R856" i="16" a="1"/>
  <c r="AB858" i="16" a="1"/>
  <c r="AA859" i="16"/>
  <c r="Q857" i="16"/>
  <c r="AB858" i="16" l="1"/>
  <c r="R856" i="16"/>
  <c r="R857" i="16" a="1"/>
  <c r="AA860" i="16"/>
  <c r="AB859" i="16" a="1"/>
  <c r="Q858" i="16"/>
  <c r="AB859" i="16" l="1"/>
  <c r="R857" i="16"/>
  <c r="AA861" i="16"/>
  <c r="Q859" i="16"/>
  <c r="R858" i="16" a="1"/>
  <c r="AB860" i="16" a="1"/>
  <c r="AB860" i="16" l="1"/>
  <c r="R858" i="16"/>
  <c r="AB861" i="16" a="1"/>
  <c r="R859" i="16" a="1"/>
  <c r="Q860" i="16"/>
  <c r="AA862" i="16"/>
  <c r="AB861" i="16" l="1"/>
  <c r="R859" i="16"/>
  <c r="AA863" i="16"/>
  <c r="R860" i="16" a="1"/>
  <c r="AB862" i="16" a="1"/>
  <c r="Q861" i="16"/>
  <c r="AB862" i="16" l="1"/>
  <c r="R860" i="16"/>
  <c r="AB863" i="16" a="1"/>
  <c r="Q862" i="16"/>
  <c r="AA864" i="16"/>
  <c r="R861" i="16" a="1"/>
  <c r="AB863" i="16" l="1"/>
  <c r="R861" i="16"/>
  <c r="AA865" i="16"/>
  <c r="R862" i="16" a="1"/>
  <c r="Q863" i="16"/>
  <c r="AB864" i="16" a="1"/>
  <c r="AB864" i="16" l="1"/>
  <c r="R862" i="16"/>
  <c r="R863" i="16" a="1"/>
  <c r="Q864" i="16"/>
  <c r="AB865" i="16" a="1"/>
  <c r="AA866" i="16"/>
  <c r="AB865" i="16" l="1"/>
  <c r="R863" i="16"/>
  <c r="AB866" i="16" a="1"/>
  <c r="AA867" i="16"/>
  <c r="R864" i="16" a="1"/>
  <c r="Q865" i="16"/>
  <c r="AB866" i="16" l="1"/>
  <c r="R864" i="16"/>
  <c r="Q866" i="16"/>
  <c r="AA868" i="16"/>
  <c r="AB867" i="16" a="1"/>
  <c r="R865" i="16" a="1"/>
  <c r="AB867" i="16" l="1"/>
  <c r="R865" i="16"/>
  <c r="AB868" i="16" a="1"/>
  <c r="AA869" i="16"/>
  <c r="R866" i="16" a="1"/>
  <c r="Q867" i="16"/>
  <c r="AB868" i="16" l="1"/>
  <c r="R866" i="16"/>
  <c r="Q868" i="16"/>
  <c r="R867" i="16" a="1"/>
  <c r="AB869" i="16" a="1"/>
  <c r="AA870" i="16"/>
  <c r="AB869" i="16" l="1"/>
  <c r="R867" i="16"/>
  <c r="AB870" i="16" a="1"/>
  <c r="R868" i="16" a="1"/>
  <c r="AA871" i="16"/>
  <c r="Q869" i="16"/>
  <c r="AB870" i="16" l="1"/>
  <c r="R868" i="16"/>
  <c r="Q870" i="16"/>
  <c r="AA872" i="16"/>
  <c r="R869" i="16" a="1"/>
  <c r="AB871" i="16" a="1"/>
  <c r="AB871" i="16" l="1"/>
  <c r="R869" i="16"/>
  <c r="Q871" i="16"/>
  <c r="AB872" i="16" a="1"/>
  <c r="AA873" i="16"/>
  <c r="R870" i="16" a="1"/>
  <c r="AB872" i="16" l="1"/>
  <c r="R870" i="16"/>
  <c r="Q872" i="16"/>
  <c r="R871" i="16" a="1"/>
  <c r="AB873" i="16" a="1"/>
  <c r="AA874" i="16"/>
  <c r="AB873" i="16" l="1"/>
  <c r="R871" i="16"/>
  <c r="AA875" i="16"/>
  <c r="AB874" i="16" a="1"/>
  <c r="Q873" i="16"/>
  <c r="R872" i="16" a="1"/>
  <c r="AB874" i="16" l="1"/>
  <c r="R872" i="16"/>
  <c r="R873" i="16" a="1"/>
  <c r="Q874" i="16"/>
  <c r="AB875" i="16" a="1"/>
  <c r="AA876" i="16"/>
  <c r="AB875" i="16" l="1"/>
  <c r="R873" i="16"/>
  <c r="R874" i="16" a="1"/>
  <c r="AB876" i="16" a="1"/>
  <c r="AA877" i="16"/>
  <c r="Q875" i="16"/>
  <c r="AB876" i="16" l="1"/>
  <c r="R874" i="16"/>
  <c r="Q876" i="16"/>
  <c r="R875" i="16" a="1"/>
  <c r="AB877" i="16" a="1"/>
  <c r="AA878" i="16"/>
  <c r="AB877" i="16" l="1"/>
  <c r="R875" i="16"/>
  <c r="Q877" i="16"/>
  <c r="R876" i="16" a="1"/>
  <c r="AB878" i="16" a="1"/>
  <c r="AA879" i="16"/>
  <c r="AB878" i="16" l="1"/>
  <c r="R876" i="16"/>
  <c r="R877" i="16" a="1"/>
  <c r="AB879" i="16" a="1"/>
  <c r="AA880" i="16"/>
  <c r="Q878" i="16"/>
  <c r="AB879" i="16" l="1"/>
  <c r="R877" i="16"/>
  <c r="Q879" i="16"/>
  <c r="AB880" i="16" a="1"/>
  <c r="AA881" i="16"/>
  <c r="R878" i="16" a="1"/>
  <c r="AB880" i="16" l="1"/>
  <c r="R878" i="16"/>
  <c r="R879" i="16" a="1"/>
  <c r="AA882" i="16"/>
  <c r="AB881" i="16" a="1"/>
  <c r="Q880" i="16"/>
  <c r="AB881" i="16" l="1"/>
  <c r="R879" i="16"/>
  <c r="AA883" i="16"/>
  <c r="AB882" i="16" a="1"/>
  <c r="Q881" i="16"/>
  <c r="R880" i="16" a="1"/>
  <c r="AB882" i="16" l="1"/>
  <c r="R880" i="16"/>
  <c r="AB883" i="16" a="1"/>
  <c r="AA884" i="16"/>
  <c r="R881" i="16" a="1"/>
  <c r="Q882" i="16"/>
  <c r="AB883" i="16" l="1"/>
  <c r="R881" i="16"/>
  <c r="Q883" i="16"/>
  <c r="R882" i="16" a="1"/>
  <c r="AB884" i="16" a="1"/>
  <c r="AA885" i="16"/>
  <c r="AB884" i="16" l="1"/>
  <c r="R882" i="16"/>
  <c r="Q884" i="16"/>
  <c r="AA886" i="16"/>
  <c r="AB885" i="16" a="1"/>
  <c r="R883" i="16" a="1"/>
  <c r="AB885" i="16" l="1"/>
  <c r="R883" i="16"/>
  <c r="Q885" i="16"/>
  <c r="AB886" i="16" a="1"/>
  <c r="R884" i="16" a="1"/>
  <c r="AA887" i="16"/>
  <c r="AB886" i="16" l="1"/>
  <c r="R884" i="16"/>
  <c r="AA888" i="16"/>
  <c r="R885" i="16" a="1"/>
  <c r="Q886" i="16"/>
  <c r="AB887" i="16" a="1"/>
  <c r="AB887" i="16" l="1"/>
  <c r="R885" i="16"/>
  <c r="AA889" i="16"/>
  <c r="R886" i="16" a="1"/>
  <c r="Q887" i="16"/>
  <c r="AB888" i="16" a="1"/>
  <c r="AB888" i="16" l="1"/>
  <c r="R886" i="16"/>
  <c r="AA890" i="16"/>
  <c r="R887" i="16" a="1"/>
  <c r="Q888" i="16"/>
  <c r="AB889" i="16" a="1"/>
  <c r="AB889" i="16" l="1"/>
  <c r="R887" i="16"/>
  <c r="Q889" i="16"/>
  <c r="AA891" i="16"/>
  <c r="R888" i="16" a="1"/>
  <c r="AB890" i="16" a="1"/>
  <c r="AB890" i="16" l="1"/>
  <c r="R888" i="16"/>
  <c r="Q890" i="16"/>
  <c r="AB891" i="16" a="1"/>
  <c r="AA892" i="16"/>
  <c r="R889" i="16" a="1"/>
  <c r="AB891" i="16" l="1"/>
  <c r="R889" i="16"/>
  <c r="Q891" i="16"/>
  <c r="R890" i="16" a="1"/>
  <c r="AB892" i="16" a="1"/>
  <c r="AA893" i="16"/>
  <c r="AB892" i="16" l="1"/>
  <c r="R890" i="16"/>
  <c r="AB893" i="16" a="1"/>
  <c r="R891" i="16" a="1"/>
  <c r="Q892" i="16"/>
  <c r="AA894" i="16"/>
  <c r="AB893" i="16" l="1"/>
  <c r="R891" i="16"/>
  <c r="R892" i="16" a="1"/>
  <c r="AA895" i="16"/>
  <c r="Q893" i="16"/>
  <c r="AB894" i="16" a="1"/>
  <c r="AB894" i="16" l="1"/>
  <c r="R892" i="16"/>
  <c r="AB895" i="16" a="1"/>
  <c r="AA896" i="16"/>
  <c r="Q894" i="16"/>
  <c r="R893" i="16" a="1"/>
  <c r="AB895" i="16" l="1"/>
  <c r="R893" i="16"/>
  <c r="AA897" i="16"/>
  <c r="R894" i="16" a="1"/>
  <c r="Q895" i="16"/>
  <c r="AB896" i="16" a="1"/>
  <c r="AB896" i="16" l="1"/>
  <c r="R894" i="16"/>
  <c r="AA898" i="16"/>
  <c r="Q896" i="16"/>
  <c r="AB897" i="16" a="1"/>
  <c r="R895" i="16" a="1"/>
  <c r="AB897" i="16" l="1"/>
  <c r="R895" i="16"/>
  <c r="AB898" i="16" a="1"/>
  <c r="R896" i="16" a="1"/>
  <c r="AA899" i="16"/>
  <c r="Q897" i="16"/>
  <c r="AB898" i="16" l="1"/>
  <c r="R896" i="16"/>
  <c r="AA900" i="16"/>
  <c r="Q898" i="16"/>
  <c r="AB899" i="16" a="1"/>
  <c r="R897" i="16" a="1"/>
  <c r="AB899" i="16" l="1"/>
  <c r="R897" i="16"/>
  <c r="R898" i="16" a="1"/>
  <c r="AB900" i="16" a="1"/>
  <c r="Q899" i="16"/>
  <c r="AA901" i="16"/>
  <c r="AB900" i="16" l="1"/>
  <c r="R898" i="16"/>
  <c r="R899" i="16" a="1"/>
  <c r="AA902" i="16"/>
  <c r="AB901" i="16" a="1"/>
  <c r="Q900" i="16"/>
  <c r="AB901" i="16" l="1"/>
  <c r="R899" i="16"/>
  <c r="Q901" i="16"/>
  <c r="R900" i="16" a="1"/>
  <c r="AB902" i="16" a="1"/>
  <c r="AA903" i="16"/>
  <c r="AB902" i="16" l="1"/>
  <c r="R900" i="16"/>
  <c r="AB903" i="16" a="1"/>
  <c r="R901" i="16" a="1"/>
  <c r="AA904" i="16"/>
  <c r="Q902" i="16"/>
  <c r="AB903" i="16" l="1"/>
  <c r="R901" i="16"/>
  <c r="AB904" i="16" a="1"/>
  <c r="R902" i="16" a="1"/>
  <c r="Q903" i="16"/>
  <c r="AA905" i="16"/>
  <c r="AB904" i="16" l="1"/>
  <c r="R902" i="16"/>
  <c r="R903" i="16" a="1"/>
  <c r="Q904" i="16"/>
  <c r="AA906" i="16"/>
  <c r="AB905" i="16" a="1"/>
  <c r="AB905" i="16" l="1"/>
  <c r="R903" i="16"/>
  <c r="Q905" i="16"/>
  <c r="AA907" i="16"/>
  <c r="R904" i="16" a="1"/>
  <c r="AB906" i="16" a="1"/>
  <c r="AB906" i="16" l="1"/>
  <c r="R904" i="16"/>
  <c r="AB907" i="16" a="1"/>
  <c r="AA908" i="16"/>
  <c r="Q906" i="16"/>
  <c r="R905" i="16" a="1"/>
  <c r="AB907" i="16" l="1"/>
  <c r="R905" i="16"/>
  <c r="Q907" i="16"/>
  <c r="AA909" i="16"/>
  <c r="R906" i="16" a="1"/>
  <c r="AB908" i="16" a="1"/>
  <c r="AB908" i="16" l="1"/>
  <c r="R906" i="16"/>
  <c r="AA910" i="16"/>
  <c r="Q908" i="16"/>
  <c r="R907" i="16" a="1"/>
  <c r="AB909" i="16" a="1"/>
  <c r="AB909" i="16" l="1"/>
  <c r="R907" i="16"/>
  <c r="Q909" i="16"/>
  <c r="AA911" i="16"/>
  <c r="AB910" i="16" a="1"/>
  <c r="R908" i="16" a="1"/>
  <c r="AB910" i="16" l="1"/>
  <c r="R908" i="16"/>
  <c r="R909" i="16" a="1"/>
  <c r="AA912" i="16"/>
  <c r="AB911" i="16" a="1"/>
  <c r="Q910" i="16"/>
  <c r="AB911" i="16" l="1"/>
  <c r="R909" i="16"/>
  <c r="R910" i="16" a="1"/>
  <c r="Q911" i="16"/>
  <c r="AA913" i="16"/>
  <c r="AB912" i="16" a="1"/>
  <c r="AB912" i="16" l="1"/>
  <c r="R910" i="16"/>
  <c r="Q912" i="16"/>
  <c r="AA914" i="16"/>
  <c r="R911" i="16" a="1"/>
  <c r="AB913" i="16" a="1"/>
  <c r="AB913" i="16" l="1"/>
  <c r="R911" i="16"/>
  <c r="R912" i="16" a="1"/>
  <c r="AB914" i="16" a="1"/>
  <c r="Q913" i="16"/>
  <c r="AA915" i="16"/>
  <c r="AB914" i="16" l="1"/>
  <c r="R912" i="16"/>
  <c r="AB915" i="16" a="1"/>
  <c r="Q914" i="16"/>
  <c r="AA916" i="16"/>
  <c r="R913" i="16" a="1"/>
  <c r="AB915" i="16" l="1"/>
  <c r="R913" i="16"/>
  <c r="AA917" i="16"/>
  <c r="AB916" i="16" a="1"/>
  <c r="R914" i="16" a="1"/>
  <c r="Q915" i="16"/>
  <c r="AB916" i="16" l="1"/>
  <c r="R914" i="16"/>
  <c r="R915" i="16" a="1"/>
  <c r="AB917" i="16" a="1"/>
  <c r="Q916" i="16"/>
  <c r="AA918" i="16"/>
  <c r="AB917" i="16" l="1"/>
  <c r="R915" i="16"/>
  <c r="AA919" i="16"/>
  <c r="R916" i="16" a="1"/>
  <c r="AB918" i="16" a="1"/>
  <c r="Q917" i="16"/>
  <c r="AB918" i="16" l="1"/>
  <c r="R916" i="16"/>
  <c r="AA920" i="16"/>
  <c r="Q918" i="16"/>
  <c r="AB919" i="16" a="1"/>
  <c r="R917" i="16" a="1"/>
  <c r="AB919" i="16" l="1"/>
  <c r="R917" i="16"/>
  <c r="AA921" i="16"/>
  <c r="Q919" i="16"/>
  <c r="AB920" i="16" a="1"/>
  <c r="R918" i="16" a="1"/>
  <c r="AB920" i="16" l="1"/>
  <c r="R918" i="16"/>
  <c r="Q920" i="16"/>
  <c r="R919" i="16" a="1"/>
  <c r="AA922" i="16"/>
  <c r="AB921" i="16" a="1"/>
  <c r="AB921" i="16" l="1"/>
  <c r="R919" i="16"/>
  <c r="R920" i="16" a="1"/>
  <c r="AA923" i="16"/>
  <c r="Q921" i="16"/>
  <c r="AB922" i="16" a="1"/>
  <c r="AB922" i="16" l="1"/>
  <c r="R920" i="16"/>
  <c r="R921" i="16" a="1"/>
  <c r="AB923" i="16" a="1"/>
  <c r="AA924" i="16"/>
  <c r="Q922" i="16"/>
  <c r="AB923" i="16" l="1"/>
  <c r="R921" i="16"/>
  <c r="Q923" i="16"/>
  <c r="AB924" i="16" a="1"/>
  <c r="AA925" i="16"/>
  <c r="R922" i="16" a="1"/>
  <c r="AB924" i="16" l="1"/>
  <c r="R922" i="16"/>
  <c r="AA926" i="16"/>
  <c r="AB925" i="16" a="1"/>
  <c r="R923" i="16" a="1"/>
  <c r="Q924" i="16"/>
  <c r="AB925" i="16" l="1"/>
  <c r="R923" i="16"/>
  <c r="Q925" i="16"/>
  <c r="AB926" i="16" a="1"/>
  <c r="AA927" i="16"/>
  <c r="R924" i="16" a="1"/>
  <c r="AB926" i="16" l="1"/>
  <c r="R924" i="16"/>
  <c r="R925" i="16" a="1"/>
  <c r="Q926" i="16"/>
  <c r="AB927" i="16" a="1"/>
  <c r="AA928" i="16"/>
  <c r="AB927" i="16" l="1"/>
  <c r="R925" i="16"/>
  <c r="R926" i="16" a="1"/>
  <c r="AA929" i="16"/>
  <c r="Q927" i="16"/>
  <c r="AB928" i="16" a="1"/>
  <c r="AB928" i="16" l="1"/>
  <c r="R926" i="16"/>
  <c r="R927" i="16" a="1"/>
  <c r="AA930" i="16"/>
  <c r="Q928" i="16"/>
  <c r="AB929" i="16" a="1"/>
  <c r="AB929" i="16" l="1"/>
  <c r="R927" i="16"/>
  <c r="Q929" i="16"/>
  <c r="AA931" i="16"/>
  <c r="AB930" i="16" a="1"/>
  <c r="R928" i="16" a="1"/>
  <c r="AB930" i="16" l="1"/>
  <c r="R928" i="16"/>
  <c r="AA932" i="16"/>
  <c r="AB931" i="16" a="1"/>
  <c r="Q930" i="16"/>
  <c r="R929" i="16" a="1"/>
  <c r="AB931" i="16" l="1"/>
  <c r="R929" i="16"/>
  <c r="R930" i="16" a="1"/>
  <c r="AB932" i="16" a="1"/>
  <c r="Q931" i="16"/>
  <c r="AA933" i="16"/>
  <c r="AB932" i="16" l="1"/>
  <c r="R930" i="16"/>
  <c r="AA934" i="16"/>
  <c r="Q932" i="16"/>
  <c r="AB933" i="16" a="1"/>
  <c r="R931" i="16" a="1"/>
  <c r="AB933" i="16" l="1"/>
  <c r="R931" i="16"/>
  <c r="AB934" i="16" a="1"/>
  <c r="Q933" i="16"/>
  <c r="AA935" i="16"/>
  <c r="R932" i="16" a="1"/>
  <c r="AB934" i="16" l="1"/>
  <c r="R932" i="16"/>
  <c r="R933" i="16" a="1"/>
  <c r="AB935" i="16" a="1"/>
  <c r="AA936" i="16"/>
  <c r="Q934" i="16"/>
  <c r="AB935" i="16" l="1"/>
  <c r="R933" i="16"/>
  <c r="AB936" i="16" a="1"/>
  <c r="Q935" i="16"/>
  <c r="AA937" i="16"/>
  <c r="R934" i="16" a="1"/>
  <c r="AB936" i="16" l="1"/>
  <c r="R934" i="16"/>
  <c r="Q936" i="16"/>
  <c r="R935" i="16" a="1"/>
  <c r="AB937" i="16" a="1"/>
  <c r="AA938" i="16"/>
  <c r="AB937" i="16" l="1"/>
  <c r="R935" i="16"/>
  <c r="R936" i="16" a="1"/>
  <c r="AB938" i="16" a="1"/>
  <c r="AA939" i="16"/>
  <c r="Q937" i="16"/>
  <c r="AB938" i="16" l="1"/>
  <c r="R936" i="16"/>
  <c r="AA940" i="16"/>
  <c r="AB939" i="16" a="1"/>
  <c r="Q938" i="16"/>
  <c r="R937" i="16" a="1"/>
  <c r="AB939" i="16" l="1"/>
  <c r="R937" i="16"/>
  <c r="AA941" i="16"/>
  <c r="R938" i="16" a="1"/>
  <c r="AB940" i="16" a="1"/>
  <c r="Q939" i="16"/>
  <c r="AB940" i="16" l="1"/>
  <c r="R938" i="16"/>
  <c r="AB941" i="16" a="1"/>
  <c r="R939" i="16" a="1"/>
  <c r="Q940" i="16"/>
  <c r="AA942" i="16"/>
  <c r="AB941" i="16" l="1"/>
  <c r="R939" i="16"/>
  <c r="AB942" i="16" a="1"/>
  <c r="R940" i="16" a="1"/>
  <c r="Q941" i="16"/>
  <c r="AA943" i="16"/>
  <c r="AB942" i="16" l="1"/>
  <c r="R940" i="16"/>
  <c r="Q942" i="16"/>
  <c r="AA944" i="16"/>
  <c r="AB943" i="16" a="1"/>
  <c r="R941" i="16" a="1"/>
  <c r="AB943" i="16" l="1"/>
  <c r="R941" i="16"/>
  <c r="AB944" i="16" a="1"/>
  <c r="Q943" i="16"/>
  <c r="AA945" i="16"/>
  <c r="R942" i="16" a="1"/>
  <c r="AB944" i="16" l="1"/>
  <c r="R942" i="16"/>
  <c r="AB945" i="16" a="1"/>
  <c r="AA946" i="16"/>
  <c r="Q944" i="16"/>
  <c r="R943" i="16" a="1"/>
  <c r="AB945" i="16" l="1"/>
  <c r="R943" i="16"/>
  <c r="AA947" i="16"/>
  <c r="R944" i="16" a="1"/>
  <c r="Q945" i="16"/>
  <c r="AB946" i="16" a="1"/>
  <c r="AB946" i="16" l="1"/>
  <c r="R944" i="16"/>
  <c r="AA948" i="16"/>
  <c r="R945" i="16" a="1"/>
  <c r="AB947" i="16" a="1"/>
  <c r="Q946" i="16"/>
  <c r="AB947" i="16" l="1"/>
  <c r="R945" i="16"/>
  <c r="Q947" i="16"/>
  <c r="AA949" i="16"/>
  <c r="AB948" i="16" a="1"/>
  <c r="R946" i="16" a="1"/>
  <c r="AB948" i="16" l="1"/>
  <c r="R946" i="16"/>
  <c r="Q948" i="16"/>
  <c r="AB949" i="16" a="1"/>
  <c r="AA950" i="16"/>
  <c r="R947" i="16" a="1"/>
  <c r="AB949" i="16" l="1"/>
  <c r="R947" i="16"/>
  <c r="AA951" i="16"/>
  <c r="AB950" i="16" a="1"/>
  <c r="R948" i="16" a="1"/>
  <c r="Q949" i="16"/>
  <c r="AB950" i="16" l="1"/>
  <c r="R948" i="16"/>
  <c r="R949" i="16" a="1"/>
  <c r="Q950" i="16"/>
  <c r="AB951" i="16" a="1"/>
  <c r="AA952" i="16"/>
  <c r="AB951" i="16" l="1"/>
  <c r="R949" i="16"/>
  <c r="AB952" i="16" a="1"/>
  <c r="R950" i="16" a="1"/>
  <c r="AA953" i="16"/>
  <c r="Q951" i="16"/>
  <c r="AB952" i="16" l="1"/>
  <c r="R950" i="16"/>
  <c r="Q952" i="16"/>
  <c r="AA954" i="16"/>
  <c r="AB953" i="16" a="1"/>
  <c r="R951" i="16" a="1"/>
  <c r="AB953" i="16" l="1"/>
  <c r="R951" i="16"/>
  <c r="AB954" i="16" a="1"/>
  <c r="R952" i="16" a="1"/>
  <c r="Q953" i="16"/>
  <c r="AA955" i="16"/>
  <c r="AB954" i="16" l="1"/>
  <c r="R952" i="16"/>
  <c r="AA956" i="16"/>
  <c r="Q954" i="16"/>
  <c r="R953" i="16" a="1"/>
  <c r="AB955" i="16" a="1"/>
  <c r="AB955" i="16" l="1"/>
  <c r="R953" i="16"/>
  <c r="AB956" i="16" a="1"/>
  <c r="R954" i="16" a="1"/>
  <c r="AA957" i="16"/>
  <c r="Q955" i="16"/>
  <c r="AB956" i="16" l="1"/>
  <c r="R954" i="16"/>
  <c r="R955" i="16" a="1"/>
  <c r="Q956" i="16"/>
  <c r="AA958" i="16"/>
  <c r="AB957" i="16" a="1"/>
  <c r="AB957" i="16" l="1"/>
  <c r="R955" i="16"/>
  <c r="Q957" i="16"/>
  <c r="AB958" i="16" a="1"/>
  <c r="R956" i="16" a="1"/>
  <c r="AA959" i="16"/>
  <c r="AB958" i="16" l="1"/>
  <c r="R956" i="16"/>
  <c r="AB959" i="16" a="1"/>
  <c r="AA960" i="16"/>
  <c r="R957" i="16" a="1"/>
  <c r="Q958" i="16"/>
  <c r="AB959" i="16" l="1"/>
  <c r="R957" i="16"/>
  <c r="AB960" i="16" a="1"/>
  <c r="Q959" i="16"/>
  <c r="R958" i="16" a="1"/>
  <c r="AA961" i="16"/>
  <c r="AB960" i="16" l="1"/>
  <c r="R958" i="16"/>
  <c r="Q960" i="16"/>
  <c r="R959" i="16" a="1"/>
  <c r="AB961" i="16" a="1"/>
  <c r="AA962" i="16"/>
  <c r="AB961" i="16" l="1"/>
  <c r="R959" i="16"/>
  <c r="AA963" i="16"/>
  <c r="R960" i="16" a="1"/>
  <c r="Q961" i="16"/>
  <c r="AB962" i="16" a="1"/>
  <c r="AB962" i="16" l="1"/>
  <c r="R960" i="16"/>
  <c r="AA964" i="16"/>
  <c r="AB963" i="16" a="1"/>
  <c r="Q962" i="16"/>
  <c r="R961" i="16" a="1"/>
  <c r="AB963" i="16" l="1"/>
  <c r="R961" i="16"/>
  <c r="R962" i="16" a="1"/>
  <c r="Q963" i="16"/>
  <c r="AB964" i="16" a="1"/>
  <c r="AA965" i="16"/>
  <c r="AB964" i="16" l="1"/>
  <c r="R962" i="16"/>
  <c r="Q964" i="16"/>
  <c r="AB965" i="16" a="1"/>
  <c r="AA966" i="16"/>
  <c r="R963" i="16" a="1"/>
  <c r="AB965" i="16" l="1"/>
  <c r="R963" i="16"/>
  <c r="AA967" i="16"/>
  <c r="AB966" i="16" a="1"/>
  <c r="Q965" i="16"/>
  <c r="R964" i="16" a="1"/>
  <c r="AB966" i="16" l="1"/>
  <c r="R964" i="16"/>
  <c r="AA968" i="16"/>
  <c r="Q966" i="16"/>
  <c r="R965" i="16" a="1"/>
  <c r="AB967" i="16" a="1"/>
  <c r="AB967" i="16" l="1"/>
  <c r="R965" i="16"/>
  <c r="Q967" i="16"/>
  <c r="R966" i="16" a="1"/>
  <c r="AB968" i="16" a="1"/>
  <c r="AA969" i="16"/>
  <c r="AB968" i="16" l="1"/>
  <c r="R966" i="16"/>
  <c r="R967" i="16" a="1"/>
  <c r="AA970" i="16"/>
  <c r="AB969" i="16" a="1"/>
  <c r="Q968" i="16"/>
  <c r="AB969" i="16" l="1"/>
  <c r="R967" i="16"/>
  <c r="Q969" i="16"/>
  <c r="AB970" i="16" a="1"/>
  <c r="R968" i="16" a="1"/>
  <c r="AA971" i="16"/>
  <c r="AB970" i="16" l="1"/>
  <c r="R968" i="16"/>
  <c r="AB971" i="16" a="1"/>
  <c r="R969" i="16" a="1"/>
  <c r="AA972" i="16"/>
  <c r="Q970" i="16"/>
  <c r="AB971" i="16" l="1"/>
  <c r="R969" i="16"/>
  <c r="AA973" i="16"/>
  <c r="Q971" i="16"/>
  <c r="AB972" i="16" a="1"/>
  <c r="R970" i="16" a="1"/>
  <c r="AB972" i="16" l="1"/>
  <c r="R970" i="16"/>
  <c r="AA974" i="16"/>
  <c r="AB973" i="16" a="1"/>
  <c r="Q972" i="16"/>
  <c r="R971" i="16" a="1"/>
  <c r="AB973" i="16" l="1"/>
  <c r="R971" i="16"/>
  <c r="AA975" i="16"/>
  <c r="Q973" i="16"/>
  <c r="AB974" i="16" a="1"/>
  <c r="R972" i="16" a="1"/>
  <c r="AB974" i="16" l="1"/>
  <c r="R972" i="16"/>
  <c r="AB975" i="16" a="1"/>
  <c r="R973" i="16" a="1"/>
  <c r="Q974" i="16"/>
  <c r="AA976" i="16"/>
  <c r="AB975" i="16" l="1"/>
  <c r="R973" i="16"/>
  <c r="Q975" i="16"/>
  <c r="AB976" i="16" a="1"/>
  <c r="R974" i="16" a="1"/>
  <c r="AA977" i="16"/>
  <c r="AB976" i="16" l="1"/>
  <c r="R974" i="16"/>
  <c r="R975" i="16" a="1"/>
  <c r="AB977" i="16" a="1"/>
  <c r="AA978" i="16"/>
  <c r="Q976" i="16"/>
  <c r="AB977" i="16" l="1"/>
  <c r="R975" i="16"/>
  <c r="AB978" i="16" a="1"/>
  <c r="R976" i="16" a="1"/>
  <c r="Q977" i="16"/>
  <c r="AA979" i="16"/>
  <c r="AB978" i="16" l="1"/>
  <c r="R976" i="16"/>
  <c r="Q978" i="16"/>
  <c r="AB979" i="16" a="1"/>
  <c r="R977" i="16" a="1"/>
  <c r="AA980" i="16"/>
  <c r="AB979" i="16" l="1"/>
  <c r="R977" i="16"/>
  <c r="AB980" i="16" a="1"/>
  <c r="AA981" i="16"/>
  <c r="R978" i="16" a="1"/>
  <c r="Q979" i="16"/>
  <c r="AB980" i="16" l="1"/>
  <c r="R978" i="16"/>
  <c r="Q980" i="16"/>
  <c r="AB981" i="16" a="1"/>
  <c r="R979" i="16" a="1"/>
  <c r="AA982" i="16"/>
  <c r="AB981" i="16" l="1"/>
  <c r="R979" i="16"/>
  <c r="AB982" i="16" a="1"/>
  <c r="AA983" i="16"/>
  <c r="R980" i="16" a="1"/>
  <c r="Q981" i="16"/>
  <c r="AB982" i="16" l="1"/>
  <c r="R980" i="16"/>
  <c r="AA984" i="16"/>
  <c r="R981" i="16" a="1"/>
  <c r="Q982" i="16"/>
  <c r="AB983" i="16" a="1"/>
  <c r="AB983" i="16" l="1"/>
  <c r="R981" i="16"/>
  <c r="Q983" i="16"/>
  <c r="AB984" i="16" a="1"/>
  <c r="R982" i="16" a="1"/>
  <c r="AA985" i="16"/>
  <c r="AB984" i="16" l="1"/>
  <c r="R982" i="16"/>
  <c r="AA986" i="16"/>
  <c r="Q984" i="16"/>
  <c r="R983" i="16" a="1"/>
  <c r="AB985" i="16" a="1"/>
  <c r="AB985" i="16" l="1"/>
  <c r="R983" i="16"/>
  <c r="R984" i="16" a="1"/>
  <c r="AB986" i="16" a="1"/>
  <c r="AA987" i="16"/>
  <c r="Q985" i="16"/>
  <c r="AB986" i="16" l="1"/>
  <c r="R984" i="16"/>
  <c r="Q986" i="16"/>
  <c r="R985" i="16" a="1"/>
  <c r="AB987" i="16" a="1"/>
  <c r="AA988" i="16"/>
  <c r="AB987" i="16" l="1"/>
  <c r="R985" i="16"/>
  <c r="AA989" i="16"/>
  <c r="R986" i="16" a="1"/>
  <c r="Q987" i="16"/>
  <c r="AB988" i="16" a="1"/>
  <c r="AB988" i="16" l="1"/>
  <c r="R986" i="16"/>
  <c r="R987" i="16" a="1"/>
  <c r="Q988" i="16"/>
  <c r="AA990" i="16"/>
  <c r="AB989" i="16" a="1"/>
  <c r="AB989" i="16" l="1"/>
  <c r="R987" i="16"/>
  <c r="AA991" i="16"/>
  <c r="R988" i="16" a="1"/>
  <c r="Q989" i="16"/>
  <c r="AB990" i="16" a="1"/>
  <c r="AB990" i="16" l="1"/>
  <c r="R988" i="16"/>
  <c r="AA992" i="16"/>
  <c r="R989" i="16" a="1"/>
  <c r="AB991" i="16" a="1"/>
  <c r="Q990" i="16"/>
  <c r="AB991" i="16" l="1"/>
  <c r="R989" i="16"/>
  <c r="AA993" i="16"/>
  <c r="AB992" i="16" a="1"/>
  <c r="R990" i="16" a="1"/>
  <c r="Q991" i="16"/>
  <c r="AB992" i="16" l="1"/>
  <c r="R990" i="16"/>
  <c r="AB993" i="16" a="1"/>
  <c r="Q992" i="16"/>
  <c r="AA994" i="16"/>
  <c r="R991" i="16" a="1"/>
  <c r="AB993" i="16" l="1"/>
  <c r="R991" i="16"/>
  <c r="Q993" i="16"/>
  <c r="AA995" i="16"/>
  <c r="R992" i="16" a="1"/>
  <c r="AB994" i="16" a="1"/>
  <c r="AB994" i="16" l="1"/>
  <c r="R992" i="16"/>
  <c r="AB995" i="16" a="1"/>
  <c r="Q994" i="16"/>
  <c r="AA996" i="16"/>
  <c r="R993" i="16" a="1"/>
  <c r="AB995" i="16" l="1"/>
  <c r="R993" i="16"/>
  <c r="AA997" i="16"/>
  <c r="R994" i="16" a="1"/>
  <c r="Q995" i="16"/>
  <c r="AB996" i="16" a="1"/>
  <c r="AB996" i="16" l="1"/>
  <c r="R994" i="16"/>
  <c r="R995" i="16" a="1"/>
  <c r="AA998" i="16"/>
  <c r="AB997" i="16" a="1"/>
  <c r="Q996" i="16"/>
  <c r="AB997" i="16" l="1"/>
  <c r="R995" i="16"/>
  <c r="Q997" i="16"/>
  <c r="R996" i="16" a="1"/>
  <c r="AA999" i="16"/>
  <c r="AB998" i="16" a="1"/>
  <c r="AB998" i="16" l="1"/>
  <c r="R996" i="16"/>
  <c r="AB999" i="16" a="1"/>
  <c r="R997" i="16" a="1"/>
  <c r="Q998" i="16"/>
  <c r="AA1000" i="16"/>
  <c r="AB999" i="16" l="1"/>
  <c r="R997" i="16"/>
  <c r="Q999" i="16"/>
  <c r="AB1000" i="16" a="1"/>
  <c r="R998" i="16" a="1"/>
  <c r="AB1000" i="16" l="1"/>
  <c r="G2" i="16" s="1" a="1"/>
  <c r="G2" i="16" s="1"/>
  <c r="R998" i="16"/>
  <c r="R999" i="16" a="1"/>
  <c r="V3" i="16"/>
  <c r="Q1000" i="16"/>
  <c r="R999" i="16" l="1"/>
  <c r="V4" i="16"/>
  <c r="W3" i="16" a="1"/>
  <c r="R1000" i="16" a="1"/>
  <c r="W3" i="16" l="1"/>
  <c r="R1000" i="16"/>
  <c r="V5" i="16"/>
  <c r="W4" i="16" a="1"/>
  <c r="W4" i="16" l="1"/>
  <c r="E2" i="16" a="1"/>
  <c r="E2" i="16" s="1"/>
  <c r="V6" i="16"/>
  <c r="W5" i="16" a="1"/>
  <c r="W5" i="16" l="1"/>
  <c r="W6" i="16" a="1"/>
  <c r="V7" i="16"/>
  <c r="W6" i="16" l="1"/>
  <c r="W7" i="16" a="1"/>
  <c r="V8" i="16"/>
  <c r="W7" i="16" l="1"/>
  <c r="W8" i="16" a="1"/>
  <c r="V9" i="16"/>
  <c r="W8" i="16" l="1"/>
  <c r="W9" i="16" a="1"/>
  <c r="V10" i="16"/>
  <c r="W9" i="16" l="1"/>
  <c r="V11" i="16"/>
  <c r="W10" i="16" a="1"/>
  <c r="W10" i="16" l="1"/>
  <c r="W11" i="16" a="1"/>
  <c r="V12" i="16"/>
  <c r="W11" i="16" l="1"/>
  <c r="W12" i="16" a="1"/>
  <c r="V13" i="16"/>
  <c r="W12" i="16" l="1"/>
  <c r="W13" i="16" a="1"/>
  <c r="V14" i="16"/>
  <c r="W13" i="16" l="1"/>
  <c r="W14" i="16" a="1"/>
  <c r="V15" i="16"/>
  <c r="W14" i="16" l="1"/>
  <c r="W15" i="16" a="1"/>
  <c r="V16" i="16"/>
  <c r="W15" i="16" l="1"/>
  <c r="V17" i="16"/>
  <c r="W16" i="16" a="1"/>
  <c r="W16" i="16" l="1"/>
  <c r="W17" i="16" a="1"/>
  <c r="V18" i="16"/>
  <c r="W17" i="16" l="1"/>
  <c r="W18" i="16" a="1"/>
  <c r="V19" i="16"/>
  <c r="W18" i="16" l="1"/>
  <c r="W19" i="16" a="1"/>
  <c r="V20" i="16"/>
  <c r="W19" i="16" l="1"/>
  <c r="W20" i="16" a="1"/>
  <c r="V21" i="16"/>
  <c r="W20" i="16" l="1"/>
  <c r="V22" i="16"/>
  <c r="W21" i="16" a="1"/>
  <c r="W21" i="16" l="1"/>
  <c r="W22" i="16" a="1"/>
  <c r="V23" i="16"/>
  <c r="W22" i="16" l="1"/>
  <c r="W23" i="16" a="1"/>
  <c r="V24" i="16"/>
  <c r="W23" i="16" l="1"/>
  <c r="W24" i="16" a="1"/>
  <c r="V25" i="16"/>
  <c r="W24" i="16" l="1"/>
  <c r="W25" i="16" a="1"/>
  <c r="V26" i="16"/>
  <c r="W25" i="16" l="1"/>
  <c r="W26" i="16" a="1"/>
  <c r="V27" i="16"/>
  <c r="W26" i="16" l="1"/>
  <c r="W27" i="16" a="1"/>
  <c r="V28" i="16"/>
  <c r="W27" i="16" l="1"/>
  <c r="W28" i="16" a="1"/>
  <c r="V29" i="16"/>
  <c r="W28" i="16" l="1"/>
  <c r="W29" i="16" a="1"/>
  <c r="V30" i="16"/>
  <c r="W29" i="16" l="1"/>
  <c r="W30" i="16" a="1"/>
  <c r="V31" i="16"/>
  <c r="W30" i="16" l="1"/>
  <c r="W31" i="16" a="1"/>
  <c r="V32" i="16"/>
  <c r="W31" i="16" l="1"/>
  <c r="W32" i="16" a="1"/>
  <c r="V33" i="16"/>
  <c r="W32" i="16" l="1"/>
  <c r="W33" i="16" a="1"/>
  <c r="V34" i="16"/>
  <c r="W33" i="16" l="1"/>
  <c r="V35" i="16"/>
  <c r="W34" i="16" a="1"/>
  <c r="W34" i="16" l="1"/>
  <c r="W35" i="16" a="1"/>
  <c r="V36" i="16"/>
  <c r="W35" i="16" l="1"/>
  <c r="V37" i="16"/>
  <c r="W36" i="16" a="1"/>
  <c r="W36" i="16" l="1"/>
  <c r="V38" i="16"/>
  <c r="W37" i="16" a="1"/>
  <c r="W37" i="16" l="1"/>
  <c r="V39" i="16"/>
  <c r="W38" i="16" a="1"/>
  <c r="W38" i="16" l="1"/>
  <c r="V40" i="16"/>
  <c r="W39" i="16" a="1"/>
  <c r="W39" i="16" l="1"/>
  <c r="V41" i="16"/>
  <c r="W40" i="16" a="1"/>
  <c r="W40" i="16" l="1"/>
  <c r="W41" i="16" a="1"/>
  <c r="V42" i="16"/>
  <c r="W41" i="16" l="1"/>
  <c r="V43" i="16"/>
  <c r="W42" i="16" a="1"/>
  <c r="W42" i="16" l="1"/>
  <c r="W43" i="16" a="1"/>
  <c r="V44" i="16"/>
  <c r="W43" i="16" l="1"/>
  <c r="W44" i="16" a="1"/>
  <c r="V45" i="16"/>
  <c r="W44" i="16" l="1"/>
  <c r="V46" i="16"/>
  <c r="W45" i="16" a="1"/>
  <c r="W45" i="16" l="1"/>
  <c r="W46" i="16" a="1"/>
  <c r="V47" i="16"/>
  <c r="W46" i="16" l="1"/>
  <c r="W47" i="16" a="1"/>
  <c r="V48" i="16"/>
  <c r="W47" i="16" l="1"/>
  <c r="V49" i="16"/>
  <c r="W48" i="16" a="1"/>
  <c r="W48" i="16" l="1"/>
  <c r="W49" i="16" a="1"/>
  <c r="V50" i="16"/>
  <c r="W49" i="16" l="1"/>
  <c r="V51" i="16"/>
  <c r="W50" i="16" a="1"/>
  <c r="W50" i="16" l="1"/>
  <c r="W51" i="16" a="1"/>
  <c r="V52" i="16"/>
  <c r="W51" i="16" l="1"/>
  <c r="W52" i="16" a="1"/>
  <c r="V53" i="16"/>
  <c r="W52" i="16" l="1"/>
  <c r="V54" i="16"/>
  <c r="W53" i="16" a="1"/>
  <c r="W53" i="16" l="1"/>
  <c r="W54" i="16" a="1"/>
  <c r="V55" i="16"/>
  <c r="W54" i="16" l="1"/>
  <c r="W55" i="16" a="1"/>
  <c r="V56" i="16"/>
  <c r="W55" i="16" l="1"/>
  <c r="V57" i="16"/>
  <c r="W56" i="16" a="1"/>
  <c r="W56" i="16" l="1"/>
  <c r="W57" i="16" a="1"/>
  <c r="V58" i="16"/>
  <c r="W57" i="16" l="1"/>
  <c r="W58" i="16" a="1"/>
  <c r="V59" i="16"/>
  <c r="W58" i="16" l="1"/>
  <c r="V60" i="16"/>
  <c r="W59" i="16" a="1"/>
  <c r="W59" i="16" l="1"/>
  <c r="V61" i="16"/>
  <c r="W60" i="16" a="1"/>
  <c r="W60" i="16" l="1"/>
  <c r="V62" i="16"/>
  <c r="W61" i="16" a="1"/>
  <c r="W61" i="16" l="1"/>
  <c r="V63" i="16"/>
  <c r="W62" i="16" a="1"/>
  <c r="W62" i="16" l="1"/>
  <c r="W63" i="16" a="1"/>
  <c r="V64" i="16"/>
  <c r="W63" i="16" l="1"/>
  <c r="W64" i="16" a="1"/>
  <c r="V65" i="16"/>
  <c r="W64" i="16" l="1"/>
  <c r="V66" i="16"/>
  <c r="W65" i="16" a="1"/>
  <c r="W65" i="16" l="1"/>
  <c r="V67" i="16"/>
  <c r="W66" i="16" a="1"/>
  <c r="W66" i="16" l="1"/>
  <c r="W67" i="16" a="1"/>
  <c r="V68" i="16"/>
  <c r="W67" i="16" l="1"/>
  <c r="V69" i="16"/>
  <c r="W68" i="16" a="1"/>
  <c r="W68" i="16" l="1"/>
  <c r="W69" i="16" a="1"/>
  <c r="V70" i="16"/>
  <c r="W69" i="16" l="1"/>
  <c r="V71" i="16"/>
  <c r="W70" i="16" a="1"/>
  <c r="W70" i="16" l="1"/>
  <c r="V72" i="16"/>
  <c r="W71" i="16" a="1"/>
  <c r="W71" i="16" l="1"/>
  <c r="W72" i="16" a="1"/>
  <c r="V73" i="16"/>
  <c r="W72" i="16" l="1"/>
  <c r="W73" i="16" a="1"/>
  <c r="V74" i="16"/>
  <c r="W73" i="16" l="1"/>
  <c r="V75" i="16"/>
  <c r="W74" i="16" a="1"/>
  <c r="W74" i="16" l="1"/>
  <c r="V76" i="16"/>
  <c r="W75" i="16" a="1"/>
  <c r="W75" i="16" l="1"/>
  <c r="V77" i="16"/>
  <c r="W76" i="16" a="1"/>
  <c r="W76" i="16" l="1"/>
  <c r="W77" i="16" a="1"/>
  <c r="V78" i="16"/>
  <c r="W77" i="16" l="1"/>
  <c r="W78" i="16" a="1"/>
  <c r="V79" i="16"/>
  <c r="W78" i="16" l="1"/>
  <c r="W79" i="16" a="1"/>
  <c r="V80" i="16"/>
  <c r="W79" i="16" l="1"/>
  <c r="W80" i="16" a="1"/>
  <c r="V81" i="16"/>
  <c r="W80" i="16" l="1"/>
  <c r="V82" i="16"/>
  <c r="W81" i="16" a="1"/>
  <c r="W81" i="16" l="1"/>
  <c r="W82" i="16" a="1"/>
  <c r="V83" i="16"/>
  <c r="W82" i="16" l="1"/>
  <c r="W83" i="16" a="1"/>
  <c r="V84" i="16"/>
  <c r="W83" i="16" l="1"/>
  <c r="V85" i="16"/>
  <c r="W84" i="16" a="1"/>
  <c r="W84" i="16" l="1"/>
  <c r="W85" i="16" a="1"/>
  <c r="V86" i="16"/>
  <c r="W85" i="16" l="1"/>
  <c r="V87" i="16"/>
  <c r="W86" i="16" a="1"/>
  <c r="W86" i="16" l="1"/>
  <c r="V88" i="16"/>
  <c r="W87" i="16" a="1"/>
  <c r="W87" i="16" l="1"/>
  <c r="V89" i="16"/>
  <c r="W88" i="16" a="1"/>
  <c r="W88" i="16" l="1"/>
  <c r="W89" i="16" a="1"/>
  <c r="V90" i="16"/>
  <c r="W89" i="16" l="1"/>
  <c r="W90" i="16" a="1"/>
  <c r="V91" i="16"/>
  <c r="W90" i="16" l="1"/>
  <c r="V92" i="16"/>
  <c r="W91" i="16" a="1"/>
  <c r="W91" i="16" l="1"/>
  <c r="W92" i="16" a="1"/>
  <c r="V93" i="16"/>
  <c r="W92" i="16" l="1"/>
  <c r="W93" i="16" a="1"/>
  <c r="V94" i="16"/>
  <c r="W93" i="16" l="1"/>
  <c r="V95" i="16"/>
  <c r="W94" i="16" a="1"/>
  <c r="W94" i="16" l="1"/>
  <c r="V96" i="16"/>
  <c r="W95" i="16" a="1"/>
  <c r="W95" i="16" l="1"/>
  <c r="V97" i="16"/>
  <c r="W96" i="16" a="1"/>
  <c r="W96" i="16" l="1"/>
  <c r="W97" i="16" a="1"/>
  <c r="V98" i="16"/>
  <c r="W97" i="16" l="1"/>
  <c r="W98" i="16" a="1"/>
  <c r="V99" i="16"/>
  <c r="W98" i="16" l="1"/>
  <c r="W99" i="16" a="1"/>
  <c r="V100" i="16"/>
  <c r="W99" i="16" l="1"/>
  <c r="W100" i="16" a="1"/>
  <c r="V101" i="16"/>
  <c r="W100" i="16" l="1"/>
  <c r="V102" i="16"/>
  <c r="W101" i="16" a="1"/>
  <c r="W101" i="16" l="1"/>
  <c r="W102" i="16" a="1"/>
  <c r="V103" i="16"/>
  <c r="W102" i="16" l="1"/>
  <c r="W103" i="16" a="1"/>
  <c r="V104" i="16"/>
  <c r="W103" i="16" l="1"/>
  <c r="W104" i="16" a="1"/>
  <c r="V105" i="16"/>
  <c r="W104" i="16" l="1"/>
  <c r="W105" i="16" a="1"/>
  <c r="V106" i="16"/>
  <c r="W105" i="16" l="1"/>
  <c r="W106" i="16" a="1"/>
  <c r="V107" i="16"/>
  <c r="W106" i="16" l="1"/>
  <c r="W107" i="16" a="1"/>
  <c r="V108" i="16"/>
  <c r="W107" i="16" l="1"/>
  <c r="W108" i="16" a="1"/>
  <c r="V109" i="16"/>
  <c r="W108" i="16" l="1"/>
  <c r="W109" i="16" a="1"/>
  <c r="V110" i="16"/>
  <c r="W109" i="16" l="1"/>
  <c r="V111" i="16"/>
  <c r="W110" i="16" a="1"/>
  <c r="W110" i="16" l="1"/>
  <c r="V112" i="16"/>
  <c r="W111" i="16" a="1"/>
  <c r="W111" i="16" l="1"/>
  <c r="W112" i="16" a="1"/>
  <c r="V113" i="16"/>
  <c r="W112" i="16" l="1"/>
  <c r="V114" i="16"/>
  <c r="W113" i="16" a="1"/>
  <c r="W113" i="16" l="1"/>
  <c r="W114" i="16" a="1"/>
  <c r="V115" i="16"/>
  <c r="W114" i="16" l="1"/>
  <c r="V116" i="16"/>
  <c r="W115" i="16" a="1"/>
  <c r="W115" i="16" l="1"/>
  <c r="V117" i="16"/>
  <c r="W116" i="16" a="1"/>
  <c r="W116" i="16" l="1"/>
  <c r="W117" i="16" a="1"/>
  <c r="V118" i="16"/>
  <c r="W117" i="16" l="1"/>
  <c r="W118" i="16" a="1"/>
  <c r="V119" i="16"/>
  <c r="W118" i="16" l="1"/>
  <c r="W119" i="16" a="1"/>
  <c r="V120" i="16"/>
  <c r="W119" i="16" l="1"/>
  <c r="W120" i="16" a="1"/>
  <c r="V121" i="16"/>
  <c r="W120" i="16" l="1"/>
  <c r="W121" i="16" a="1"/>
  <c r="V122" i="16"/>
  <c r="W121" i="16" l="1"/>
  <c r="V123" i="16"/>
  <c r="W122" i="16" a="1"/>
  <c r="W122" i="16" l="1"/>
  <c r="V124" i="16"/>
  <c r="W123" i="16" a="1"/>
  <c r="W123" i="16" l="1"/>
  <c r="W124" i="16" a="1"/>
  <c r="V125" i="16"/>
  <c r="W124" i="16" l="1"/>
  <c r="V126" i="16"/>
  <c r="W125" i="16" a="1"/>
  <c r="W125" i="16" l="1"/>
  <c r="W126" i="16" a="1"/>
  <c r="V127" i="16"/>
  <c r="W126" i="16" l="1"/>
  <c r="V128" i="16"/>
  <c r="W127" i="16" a="1"/>
  <c r="W127" i="16" l="1"/>
  <c r="V129" i="16"/>
  <c r="W128" i="16" a="1"/>
  <c r="W128" i="16" l="1"/>
  <c r="W129" i="16" a="1"/>
  <c r="V130" i="16"/>
  <c r="W129" i="16" l="1"/>
  <c r="V131" i="16"/>
  <c r="W130" i="16" a="1"/>
  <c r="W130" i="16" l="1"/>
  <c r="W131" i="16" a="1"/>
  <c r="V132" i="16"/>
  <c r="W131" i="16" l="1"/>
  <c r="W132" i="16" a="1"/>
  <c r="V133" i="16"/>
  <c r="W132" i="16" l="1"/>
  <c r="V134" i="16"/>
  <c r="W133" i="16" a="1"/>
  <c r="W133" i="16" l="1"/>
  <c r="W134" i="16" a="1"/>
  <c r="V135" i="16"/>
  <c r="W134" i="16" l="1"/>
  <c r="V136" i="16"/>
  <c r="W135" i="16" a="1"/>
  <c r="W135" i="16" l="1"/>
  <c r="W136" i="16" a="1"/>
  <c r="V137" i="16"/>
  <c r="W136" i="16" l="1"/>
  <c r="W137" i="16" a="1"/>
  <c r="V138" i="16"/>
  <c r="W137" i="16" l="1"/>
  <c r="V139" i="16"/>
  <c r="W138" i="16" a="1"/>
  <c r="W138" i="16" l="1"/>
  <c r="V140" i="16"/>
  <c r="W139" i="16" a="1"/>
  <c r="W139" i="16" l="1"/>
  <c r="W140" i="16" a="1"/>
  <c r="V141" i="16"/>
  <c r="W140" i="16" l="1"/>
  <c r="W141" i="16" a="1"/>
  <c r="V142" i="16"/>
  <c r="W141" i="16" l="1"/>
  <c r="W142" i="16" a="1"/>
  <c r="V143" i="16"/>
  <c r="W142" i="16" l="1"/>
  <c r="V144" i="16"/>
  <c r="W143" i="16" a="1"/>
  <c r="W143" i="16" l="1"/>
  <c r="V145" i="16"/>
  <c r="W144" i="16" a="1"/>
  <c r="W144" i="16" l="1"/>
  <c r="W145" i="16" a="1"/>
  <c r="V146" i="16"/>
  <c r="W145" i="16" l="1"/>
  <c r="W146" i="16" a="1"/>
  <c r="V147" i="16"/>
  <c r="W146" i="16" l="1"/>
  <c r="W147" i="16" a="1"/>
  <c r="V148" i="16"/>
  <c r="W147" i="16" l="1"/>
  <c r="W148" i="16" a="1"/>
  <c r="V149" i="16"/>
  <c r="W148" i="16" l="1"/>
  <c r="V150" i="16"/>
  <c r="W149" i="16" a="1"/>
  <c r="W149" i="16" l="1"/>
  <c r="W150" i="16" a="1"/>
  <c r="V151" i="16"/>
  <c r="W150" i="16" l="1"/>
  <c r="W151" i="16" a="1"/>
  <c r="V152" i="16"/>
  <c r="W151" i="16" l="1"/>
  <c r="W152" i="16" a="1"/>
  <c r="V153" i="16"/>
  <c r="W152" i="16" l="1"/>
  <c r="W153" i="16" a="1"/>
  <c r="V154" i="16"/>
  <c r="W153" i="16" l="1"/>
  <c r="V155" i="16"/>
  <c r="W154" i="16" a="1"/>
  <c r="W154" i="16" l="1"/>
  <c r="V156" i="16"/>
  <c r="W155" i="16" a="1"/>
  <c r="W155" i="16" l="1"/>
  <c r="W156" i="16" a="1"/>
  <c r="V157" i="16"/>
  <c r="W156" i="16" l="1"/>
  <c r="V158" i="16"/>
  <c r="W157" i="16" a="1"/>
  <c r="W157" i="16" l="1"/>
  <c r="V159" i="16"/>
  <c r="W158" i="16" a="1"/>
  <c r="W158" i="16" l="1"/>
  <c r="W159" i="16" a="1"/>
  <c r="V160" i="16"/>
  <c r="W159" i="16" l="1"/>
  <c r="W160" i="16" a="1"/>
  <c r="V161" i="16"/>
  <c r="W160" i="16" l="1"/>
  <c r="V162" i="16"/>
  <c r="W161" i="16" a="1"/>
  <c r="W161" i="16" l="1"/>
  <c r="V163" i="16"/>
  <c r="W162" i="16" a="1"/>
  <c r="W162" i="16" l="1"/>
  <c r="V164" i="16"/>
  <c r="W163" i="16" a="1"/>
  <c r="W163" i="16" l="1"/>
  <c r="W164" i="16" a="1"/>
  <c r="V165" i="16"/>
  <c r="W164" i="16" l="1"/>
  <c r="W165" i="16" a="1"/>
  <c r="V166" i="16"/>
  <c r="W165" i="16" l="1"/>
  <c r="W166" i="16" a="1"/>
  <c r="V167" i="16"/>
  <c r="W166" i="16" l="1"/>
  <c r="V168" i="16"/>
  <c r="W167" i="16" a="1"/>
  <c r="W167" i="16" l="1"/>
  <c r="W168" i="16" a="1"/>
  <c r="V169" i="16"/>
  <c r="W168" i="16" l="1"/>
  <c r="W169" i="16" a="1"/>
  <c r="V170" i="16"/>
  <c r="W169" i="16" l="1"/>
  <c r="W170" i="16" a="1"/>
  <c r="V171" i="16"/>
  <c r="W170" i="16" l="1"/>
  <c r="W171" i="16" a="1"/>
  <c r="V172" i="16"/>
  <c r="W171" i="16" l="1"/>
  <c r="W172" i="16" a="1"/>
  <c r="V173" i="16"/>
  <c r="W172" i="16" l="1"/>
  <c r="W173" i="16" a="1"/>
  <c r="V174" i="16"/>
  <c r="W173" i="16" l="1"/>
  <c r="W174" i="16" a="1"/>
  <c r="V175" i="16"/>
  <c r="W174" i="16" l="1"/>
  <c r="V176" i="16"/>
  <c r="W175" i="16" a="1"/>
  <c r="W175" i="16" l="1"/>
  <c r="W176" i="16" a="1"/>
  <c r="V177" i="16"/>
  <c r="W176" i="16" l="1"/>
  <c r="V178" i="16"/>
  <c r="W177" i="16" a="1"/>
  <c r="W177" i="16" l="1"/>
  <c r="V179" i="16"/>
  <c r="W178" i="16" a="1"/>
  <c r="W178" i="16" l="1"/>
  <c r="W179" i="16" a="1"/>
  <c r="V180" i="16"/>
  <c r="W179" i="16" l="1"/>
  <c r="W180" i="16" a="1"/>
  <c r="V181" i="16"/>
  <c r="W180" i="16" l="1"/>
  <c r="W181" i="16" a="1"/>
  <c r="V182" i="16"/>
  <c r="W181" i="16" l="1"/>
  <c r="W182" i="16" a="1"/>
  <c r="V183" i="16"/>
  <c r="W182" i="16" l="1"/>
  <c r="V184" i="16"/>
  <c r="W183" i="16" a="1"/>
  <c r="W183" i="16" l="1"/>
  <c r="V185" i="16"/>
  <c r="W184" i="16" a="1"/>
  <c r="W184" i="16" l="1"/>
  <c r="V186" i="16"/>
  <c r="W185" i="16" a="1"/>
  <c r="W185" i="16" l="1"/>
  <c r="W186" i="16" a="1"/>
  <c r="V187" i="16"/>
  <c r="W186" i="16" l="1"/>
  <c r="V188" i="16"/>
  <c r="W187" i="16" a="1"/>
  <c r="W187" i="16" l="1"/>
  <c r="W188" i="16" a="1"/>
  <c r="V189" i="16"/>
  <c r="W188" i="16" l="1"/>
  <c r="W189" i="16" a="1"/>
  <c r="V190" i="16"/>
  <c r="W189" i="16" l="1"/>
  <c r="V191" i="16"/>
  <c r="W190" i="16" a="1"/>
  <c r="W190" i="16" l="1"/>
  <c r="V192" i="16"/>
  <c r="W191" i="16" a="1"/>
  <c r="W191" i="16" l="1"/>
  <c r="W192" i="16" a="1"/>
  <c r="V193" i="16"/>
  <c r="W192" i="16" l="1"/>
  <c r="W193" i="16" a="1"/>
  <c r="V194" i="16"/>
  <c r="W193" i="16" l="1"/>
  <c r="W194" i="16" a="1"/>
  <c r="V195" i="16"/>
  <c r="W194" i="16" l="1"/>
  <c r="W195" i="16" a="1"/>
  <c r="V196" i="16"/>
  <c r="W195" i="16" l="1"/>
  <c r="W196" i="16" a="1"/>
  <c r="V197" i="16"/>
  <c r="W196" i="16" l="1"/>
  <c r="W197" i="16" a="1"/>
  <c r="V198" i="16"/>
  <c r="W197" i="16" l="1"/>
  <c r="W198" i="16" a="1"/>
  <c r="V199" i="16"/>
  <c r="W198" i="16" l="1"/>
  <c r="V200" i="16"/>
  <c r="W199" i="16" a="1"/>
  <c r="W199" i="16" l="1"/>
  <c r="W200" i="16" a="1"/>
  <c r="V201" i="16"/>
  <c r="W200" i="16" l="1"/>
  <c r="W201" i="16" a="1"/>
  <c r="V202" i="16"/>
  <c r="W201" i="16" l="1"/>
  <c r="W202" i="16" a="1"/>
  <c r="V203" i="16"/>
  <c r="W202" i="16" l="1"/>
  <c r="W203" i="16" a="1"/>
  <c r="V204" i="16"/>
  <c r="W203" i="16" l="1"/>
  <c r="W204" i="16" a="1"/>
  <c r="V205" i="16"/>
  <c r="W204" i="16" l="1"/>
  <c r="W205" i="16" a="1"/>
  <c r="V206" i="16"/>
  <c r="W205" i="16" l="1"/>
  <c r="V207" i="16"/>
  <c r="W206" i="16" a="1"/>
  <c r="W206" i="16" l="1"/>
  <c r="W207" i="16" a="1"/>
  <c r="V208" i="16"/>
  <c r="W207" i="16" l="1"/>
  <c r="W208" i="16" a="1"/>
  <c r="V209" i="16"/>
  <c r="W208" i="16" l="1"/>
  <c r="W209" i="16" a="1"/>
  <c r="V210" i="16"/>
  <c r="W209" i="16" l="1"/>
  <c r="W210" i="16" a="1"/>
  <c r="V211" i="16"/>
  <c r="W210" i="16" l="1"/>
  <c r="V212" i="16"/>
  <c r="W211" i="16" a="1"/>
  <c r="W211" i="16" l="1"/>
  <c r="W212" i="16" a="1"/>
  <c r="V213" i="16"/>
  <c r="W212" i="16" l="1"/>
  <c r="W213" i="16" a="1"/>
  <c r="V214" i="16"/>
  <c r="W213" i="16" l="1"/>
  <c r="V215" i="16"/>
  <c r="W214" i="16" a="1"/>
  <c r="W214" i="16" l="1"/>
  <c r="V216" i="16"/>
  <c r="W215" i="16" a="1"/>
  <c r="W215" i="16" l="1"/>
  <c r="V217" i="16"/>
  <c r="W216" i="16" a="1"/>
  <c r="W216" i="16" l="1"/>
  <c r="W217" i="16" a="1"/>
  <c r="V218" i="16"/>
  <c r="W217" i="16" l="1"/>
  <c r="V219" i="16"/>
  <c r="W218" i="16" a="1"/>
  <c r="W218" i="16" l="1"/>
  <c r="W219" i="16" a="1"/>
  <c r="V220" i="16"/>
  <c r="W219" i="16" l="1"/>
  <c r="W220" i="16" a="1"/>
  <c r="V221" i="16"/>
  <c r="W220" i="16" l="1"/>
  <c r="W221" i="16" a="1"/>
  <c r="V222" i="16"/>
  <c r="W221" i="16" l="1"/>
  <c r="W222" i="16" a="1"/>
  <c r="V223" i="16"/>
  <c r="W222" i="16" l="1"/>
  <c r="W223" i="16" a="1"/>
  <c r="V224" i="16"/>
  <c r="W223" i="16" l="1"/>
  <c r="V225" i="16"/>
  <c r="W224" i="16" a="1"/>
  <c r="W224" i="16" l="1"/>
  <c r="W225" i="16" a="1"/>
  <c r="V226" i="16"/>
  <c r="W225" i="16" l="1"/>
  <c r="W226" i="16" a="1"/>
  <c r="V227" i="16"/>
  <c r="W226" i="16" l="1"/>
  <c r="V228" i="16"/>
  <c r="W227" i="16" a="1"/>
  <c r="W227" i="16" l="1"/>
  <c r="W228" i="16" a="1"/>
  <c r="V229" i="16"/>
  <c r="W228" i="16" l="1"/>
  <c r="W229" i="16" a="1"/>
  <c r="V230" i="16"/>
  <c r="W229" i="16" l="1"/>
  <c r="W230" i="16" a="1"/>
  <c r="V231" i="16"/>
  <c r="W230" i="16" l="1"/>
  <c r="W231" i="16" a="1"/>
  <c r="V232" i="16"/>
  <c r="W231" i="16" l="1"/>
  <c r="W232" i="16" a="1"/>
  <c r="V233" i="16"/>
  <c r="W232" i="16" l="1"/>
  <c r="V234" i="16"/>
  <c r="W233" i="16" a="1"/>
  <c r="W233" i="16" l="1"/>
  <c r="W234" i="16" a="1"/>
  <c r="V235" i="16"/>
  <c r="W234" i="16" l="1"/>
  <c r="W235" i="16" a="1"/>
  <c r="V236" i="16"/>
  <c r="W235" i="16" l="1"/>
  <c r="W236" i="16" a="1"/>
  <c r="V237" i="16"/>
  <c r="W236" i="16" l="1"/>
  <c r="W237" i="16" a="1"/>
  <c r="V238" i="16"/>
  <c r="W237" i="16" l="1"/>
  <c r="W238" i="16" a="1"/>
  <c r="V239" i="16"/>
  <c r="W238" i="16" l="1"/>
  <c r="W239" i="16" a="1"/>
  <c r="V240" i="16"/>
  <c r="W239" i="16" l="1"/>
  <c r="W240" i="16" a="1"/>
  <c r="V241" i="16"/>
  <c r="W240" i="16" l="1"/>
  <c r="V242" i="16"/>
  <c r="W241" i="16" a="1"/>
  <c r="W241" i="16" l="1"/>
  <c r="W242" i="16" a="1"/>
  <c r="V243" i="16"/>
  <c r="W242" i="16" l="1"/>
  <c r="V244" i="16"/>
  <c r="W243" i="16" a="1"/>
  <c r="W243" i="16" l="1"/>
  <c r="W244" i="16" a="1"/>
  <c r="V245" i="16"/>
  <c r="W244" i="16" l="1"/>
  <c r="W245" i="16" a="1"/>
  <c r="V246" i="16"/>
  <c r="W245" i="16" l="1"/>
  <c r="W246" i="16" a="1"/>
  <c r="V247" i="16"/>
  <c r="W246" i="16" l="1"/>
  <c r="W247" i="16" a="1"/>
  <c r="V248" i="16"/>
  <c r="W247" i="16" l="1"/>
  <c r="W248" i="16" a="1"/>
  <c r="V249" i="16"/>
  <c r="W248" i="16" l="1"/>
  <c r="V250" i="16"/>
  <c r="W249" i="16" a="1"/>
  <c r="W249" i="16" l="1"/>
  <c r="W250" i="16" a="1"/>
  <c r="V251" i="16"/>
  <c r="W250" i="16" l="1"/>
  <c r="V252" i="16"/>
  <c r="W251" i="16" a="1"/>
  <c r="W251" i="16" l="1"/>
  <c r="V253" i="16"/>
  <c r="W252" i="16" a="1"/>
  <c r="W252" i="16" l="1"/>
  <c r="W253" i="16" a="1"/>
  <c r="V254" i="16"/>
  <c r="W253" i="16" l="1"/>
  <c r="W254" i="16" a="1"/>
  <c r="V255" i="16"/>
  <c r="W254" i="16" l="1"/>
  <c r="W255" i="16" a="1"/>
  <c r="V256" i="16"/>
  <c r="W255" i="16" l="1"/>
  <c r="V257" i="16"/>
  <c r="W256" i="16" a="1"/>
  <c r="W256" i="16" l="1"/>
  <c r="W257" i="16" a="1"/>
  <c r="V258" i="16"/>
  <c r="W257" i="16" l="1"/>
  <c r="W258" i="16" a="1"/>
  <c r="V259" i="16"/>
  <c r="W258" i="16" l="1"/>
  <c r="V260" i="16"/>
  <c r="W259" i="16" a="1"/>
  <c r="W259" i="16" l="1"/>
  <c r="W260" i="16" a="1"/>
  <c r="V261" i="16"/>
  <c r="W260" i="16" l="1"/>
  <c r="V262" i="16"/>
  <c r="W261" i="16" a="1"/>
  <c r="W261" i="16" l="1"/>
  <c r="W262" i="16" a="1"/>
  <c r="V263" i="16"/>
  <c r="W262" i="16" l="1"/>
  <c r="W263" i="16" a="1"/>
  <c r="V264" i="16"/>
  <c r="W263" i="16" l="1"/>
  <c r="V265" i="16"/>
  <c r="W264" i="16" a="1"/>
  <c r="W264" i="16" l="1"/>
  <c r="W265" i="16" a="1"/>
  <c r="V266" i="16"/>
  <c r="W265" i="16" l="1"/>
  <c r="V267" i="16"/>
  <c r="W266" i="16" a="1"/>
  <c r="W266" i="16" l="1"/>
  <c r="V268" i="16"/>
  <c r="W267" i="16" a="1"/>
  <c r="W267" i="16" l="1"/>
  <c r="W268" i="16" a="1"/>
  <c r="V269" i="16"/>
  <c r="W268" i="16" l="1"/>
  <c r="W269" i="16" a="1"/>
  <c r="V270" i="16"/>
  <c r="W269" i="16" l="1"/>
  <c r="W270" i="16" a="1"/>
  <c r="V271" i="16"/>
  <c r="W270" i="16" l="1"/>
  <c r="V272" i="16"/>
  <c r="W271" i="16" a="1"/>
  <c r="W271" i="16" l="1"/>
  <c r="W272" i="16" a="1"/>
  <c r="V273" i="16"/>
  <c r="W272" i="16" l="1"/>
  <c r="W273" i="16" a="1"/>
  <c r="V274" i="16"/>
  <c r="W273" i="16" l="1"/>
  <c r="W274" i="16" a="1"/>
  <c r="V275" i="16"/>
  <c r="W274" i="16" l="1"/>
  <c r="W275" i="16" a="1"/>
  <c r="V276" i="16"/>
  <c r="W275" i="16" l="1"/>
  <c r="W276" i="16" a="1"/>
  <c r="V277" i="16"/>
  <c r="W276" i="16" l="1"/>
  <c r="W277" i="16" a="1"/>
  <c r="V278" i="16"/>
  <c r="W277" i="16" l="1"/>
  <c r="V279" i="16"/>
  <c r="W278" i="16" a="1"/>
  <c r="W278" i="16" l="1"/>
  <c r="V280" i="16"/>
  <c r="W279" i="16" a="1"/>
  <c r="W279" i="16" l="1"/>
  <c r="W280" i="16" a="1"/>
  <c r="V281" i="16"/>
  <c r="W280" i="16" l="1"/>
  <c r="V282" i="16"/>
  <c r="W281" i="16" a="1"/>
  <c r="W281" i="16" l="1"/>
  <c r="W282" i="16" a="1"/>
  <c r="V283" i="16"/>
  <c r="W282" i="16" l="1"/>
  <c r="V284" i="16"/>
  <c r="W283" i="16" a="1"/>
  <c r="W283" i="16" l="1"/>
  <c r="V285" i="16"/>
  <c r="W284" i="16" a="1"/>
  <c r="W284" i="16" l="1"/>
  <c r="V286" i="16"/>
  <c r="W285" i="16" a="1"/>
  <c r="W285" i="16" l="1"/>
  <c r="V287" i="16"/>
  <c r="W286" i="16" a="1"/>
  <c r="W286" i="16" l="1"/>
  <c r="W287" i="16" a="1"/>
  <c r="V288" i="16"/>
  <c r="W287" i="16" l="1"/>
  <c r="W288" i="16" a="1"/>
  <c r="V289" i="16"/>
  <c r="W288" i="16" l="1"/>
  <c r="V290" i="16"/>
  <c r="W289" i="16" a="1"/>
  <c r="W289" i="16" l="1"/>
  <c r="W290" i="16" a="1"/>
  <c r="V291" i="16"/>
  <c r="W290" i="16" l="1"/>
  <c r="W291" i="16" a="1"/>
  <c r="V292" i="16"/>
  <c r="W291" i="16" l="1"/>
  <c r="W292" i="16" a="1"/>
  <c r="V293" i="16"/>
  <c r="W292" i="16" l="1"/>
  <c r="W293" i="16" a="1"/>
  <c r="V294" i="16"/>
  <c r="W293" i="16" l="1"/>
  <c r="V295" i="16"/>
  <c r="W294" i="16" a="1"/>
  <c r="W294" i="16" l="1"/>
  <c r="V296" i="16"/>
  <c r="W295" i="16" a="1"/>
  <c r="W295" i="16" l="1"/>
  <c r="V297" i="16"/>
  <c r="W296" i="16" a="1"/>
  <c r="W296" i="16" l="1"/>
  <c r="W297" i="16" a="1"/>
  <c r="V298" i="16"/>
  <c r="W297" i="16" l="1"/>
  <c r="W298" i="16" a="1"/>
  <c r="V299" i="16"/>
  <c r="W298" i="16" l="1"/>
  <c r="V300" i="16"/>
  <c r="W299" i="16" a="1"/>
  <c r="W299" i="16" l="1"/>
  <c r="W300" i="16" a="1"/>
  <c r="V301" i="16"/>
  <c r="W300" i="16" l="1"/>
  <c r="W301" i="16" a="1"/>
  <c r="V302" i="16"/>
  <c r="W301" i="16" l="1"/>
  <c r="W302" i="16" a="1"/>
  <c r="V303" i="16"/>
  <c r="W302" i="16" l="1"/>
  <c r="W303" i="16" a="1"/>
  <c r="V304" i="16"/>
  <c r="W303" i="16" l="1"/>
  <c r="V305" i="16"/>
  <c r="W304" i="16" a="1"/>
  <c r="W304" i="16" l="1"/>
  <c r="W305" i="16" a="1"/>
  <c r="V306" i="16"/>
  <c r="W305" i="16" l="1"/>
  <c r="V307" i="16"/>
  <c r="W306" i="16" a="1"/>
  <c r="W306" i="16" l="1"/>
  <c r="W307" i="16" a="1"/>
  <c r="V308" i="16"/>
  <c r="W307" i="16" l="1"/>
  <c r="W308" i="16" a="1"/>
  <c r="V309" i="16"/>
  <c r="W308" i="16" l="1"/>
  <c r="W309" i="16" a="1"/>
  <c r="V310" i="16"/>
  <c r="W309" i="16" l="1"/>
  <c r="V311" i="16"/>
  <c r="W310" i="16" a="1"/>
  <c r="W310" i="16" l="1"/>
  <c r="W311" i="16" a="1"/>
  <c r="V312" i="16"/>
  <c r="W311" i="16" l="1"/>
  <c r="V313" i="16"/>
  <c r="W312" i="16" a="1"/>
  <c r="W312" i="16" l="1"/>
  <c r="W313" i="16" a="1"/>
  <c r="V314" i="16"/>
  <c r="W313" i="16" l="1"/>
  <c r="V315" i="16"/>
  <c r="W314" i="16" a="1"/>
  <c r="W314" i="16" l="1"/>
  <c r="W315" i="16" a="1"/>
  <c r="V316" i="16"/>
  <c r="W315" i="16" l="1"/>
  <c r="W316" i="16" a="1"/>
  <c r="V317" i="16"/>
  <c r="W316" i="16" l="1"/>
  <c r="W317" i="16" a="1"/>
  <c r="V318" i="16"/>
  <c r="W317" i="16" l="1"/>
  <c r="V319" i="16"/>
  <c r="W318" i="16" a="1"/>
  <c r="W318" i="16" l="1"/>
  <c r="W319" i="16" a="1"/>
  <c r="V320" i="16"/>
  <c r="W319" i="16" l="1"/>
  <c r="W320" i="16" a="1"/>
  <c r="V321" i="16"/>
  <c r="W320" i="16" l="1"/>
  <c r="W321" i="16" a="1"/>
  <c r="V322" i="16"/>
  <c r="W321" i="16" l="1"/>
  <c r="W322" i="16" a="1"/>
  <c r="V323" i="16"/>
  <c r="W322" i="16" l="1"/>
  <c r="V324" i="16"/>
  <c r="W323" i="16" a="1"/>
  <c r="W323" i="16" l="1"/>
  <c r="W324" i="16" a="1"/>
  <c r="V325" i="16"/>
  <c r="W324" i="16" l="1"/>
  <c r="V326" i="16"/>
  <c r="W325" i="16" a="1"/>
  <c r="W325" i="16" l="1"/>
  <c r="W326" i="16" a="1"/>
  <c r="V327" i="16"/>
  <c r="W326" i="16" l="1"/>
  <c r="V328" i="16"/>
  <c r="W327" i="16" a="1"/>
  <c r="W327" i="16" l="1"/>
  <c r="V329" i="16"/>
  <c r="W328" i="16" a="1"/>
  <c r="W328" i="16" l="1"/>
  <c r="W329" i="16" a="1"/>
  <c r="V330" i="16"/>
  <c r="W329" i="16" l="1"/>
  <c r="V331" i="16"/>
  <c r="W330" i="16" a="1"/>
  <c r="W330" i="16" l="1"/>
  <c r="W331" i="16" a="1"/>
  <c r="V332" i="16"/>
  <c r="W331" i="16" l="1"/>
  <c r="W332" i="16" a="1"/>
  <c r="V333" i="16"/>
  <c r="W332" i="16" l="1"/>
  <c r="V334" i="16"/>
  <c r="W333" i="16" a="1"/>
  <c r="W333" i="16" l="1"/>
  <c r="W334" i="16" a="1"/>
  <c r="V335" i="16"/>
  <c r="W334" i="16" l="1"/>
  <c r="V336" i="16"/>
  <c r="W335" i="16" a="1"/>
  <c r="W335" i="16" l="1"/>
  <c r="W336" i="16" a="1"/>
  <c r="V337" i="16"/>
  <c r="W336" i="16" l="1"/>
  <c r="W337" i="16" a="1"/>
  <c r="V338" i="16"/>
  <c r="W337" i="16" l="1"/>
  <c r="W338" i="16" a="1"/>
  <c r="V339" i="16"/>
  <c r="W338" i="16" l="1"/>
  <c r="W339" i="16" a="1"/>
  <c r="V340" i="16"/>
  <c r="W339" i="16" l="1"/>
  <c r="W340" i="16" a="1"/>
  <c r="V341" i="16"/>
  <c r="W340" i="16" l="1"/>
  <c r="W341" i="16" a="1"/>
  <c r="V342" i="16"/>
  <c r="W341" i="16" l="1"/>
  <c r="W342" i="16" a="1"/>
  <c r="V343" i="16"/>
  <c r="W342" i="16" l="1"/>
  <c r="W343" i="16" a="1"/>
  <c r="V344" i="16"/>
  <c r="W343" i="16" l="1"/>
  <c r="W344" i="16" a="1"/>
  <c r="V345" i="16"/>
  <c r="W344" i="16" l="1"/>
  <c r="W345" i="16" a="1"/>
  <c r="V346" i="16"/>
  <c r="W345" i="16" l="1"/>
  <c r="W346" i="16" a="1"/>
  <c r="V347" i="16"/>
  <c r="W346" i="16" l="1"/>
  <c r="W347" i="16" a="1"/>
  <c r="V348" i="16"/>
  <c r="W347" i="16" l="1"/>
  <c r="W348" i="16" a="1"/>
  <c r="V349" i="16"/>
  <c r="W348" i="16" l="1"/>
  <c r="V350" i="16"/>
  <c r="W349" i="16" a="1"/>
  <c r="W349" i="16" l="1"/>
  <c r="W350" i="16" a="1"/>
  <c r="V351" i="16"/>
  <c r="W350" i="16" l="1"/>
  <c r="W351" i="16" a="1"/>
  <c r="V352" i="16"/>
  <c r="W351" i="16" l="1"/>
  <c r="W352" i="16" a="1"/>
  <c r="V353" i="16"/>
  <c r="W352" i="16" l="1"/>
  <c r="V354" i="16"/>
  <c r="W353" i="16" a="1"/>
  <c r="W353" i="16" l="1"/>
  <c r="W354" i="16" a="1"/>
  <c r="V355" i="16"/>
  <c r="W354" i="16" l="1"/>
  <c r="V356" i="16"/>
  <c r="W355" i="16" a="1"/>
  <c r="W355" i="16" l="1"/>
  <c r="V357" i="16"/>
  <c r="W356" i="16" a="1"/>
  <c r="W356" i="16" l="1"/>
  <c r="W357" i="16" a="1"/>
  <c r="V358" i="16"/>
  <c r="W357" i="16" l="1"/>
  <c r="W358" i="16" a="1"/>
  <c r="V359" i="16"/>
  <c r="W358" i="16" l="1"/>
  <c r="V360" i="16"/>
  <c r="W359" i="16" a="1"/>
  <c r="W359" i="16" l="1"/>
  <c r="W360" i="16" a="1"/>
  <c r="V361" i="16"/>
  <c r="W360" i="16" l="1"/>
  <c r="W361" i="16" a="1"/>
  <c r="V362" i="16"/>
  <c r="W361" i="16" l="1"/>
  <c r="W362" i="16" a="1"/>
  <c r="V363" i="16"/>
  <c r="W362" i="16" l="1"/>
  <c r="W363" i="16" a="1"/>
  <c r="V364" i="16"/>
  <c r="W363" i="16" l="1"/>
  <c r="W364" i="16" a="1"/>
  <c r="V365" i="16"/>
  <c r="W364" i="16" l="1"/>
  <c r="W365" i="16" a="1"/>
  <c r="V366" i="16"/>
  <c r="W365" i="16" l="1"/>
  <c r="V367" i="16"/>
  <c r="W366" i="16" a="1"/>
  <c r="W366" i="16" l="1"/>
  <c r="W367" i="16" a="1"/>
  <c r="V368" i="16"/>
  <c r="W367" i="16" l="1"/>
  <c r="W368" i="16" a="1"/>
  <c r="V369" i="16"/>
  <c r="W368" i="16" l="1"/>
  <c r="V370" i="16"/>
  <c r="W369" i="16" a="1"/>
  <c r="W369" i="16" l="1"/>
  <c r="W370" i="16" a="1"/>
  <c r="V371" i="16"/>
  <c r="W370" i="16" l="1"/>
  <c r="W371" i="16" a="1"/>
  <c r="V372" i="16"/>
  <c r="W371" i="16" l="1"/>
  <c r="V373" i="16"/>
  <c r="W372" i="16" a="1"/>
  <c r="W372" i="16" l="1"/>
  <c r="V374" i="16"/>
  <c r="W373" i="16" a="1"/>
  <c r="W373" i="16" l="1"/>
  <c r="W374" i="16" a="1"/>
  <c r="V375" i="16"/>
  <c r="W374" i="16" l="1"/>
  <c r="W375" i="16" a="1"/>
  <c r="V376" i="16"/>
  <c r="W375" i="16" l="1"/>
  <c r="V377" i="16"/>
  <c r="W376" i="16" a="1"/>
  <c r="W376" i="16" l="1"/>
  <c r="V378" i="16"/>
  <c r="W377" i="16" a="1"/>
  <c r="W377" i="16" l="1"/>
  <c r="V379" i="16"/>
  <c r="W378" i="16" a="1"/>
  <c r="W378" i="16" l="1"/>
  <c r="V380" i="16"/>
  <c r="W379" i="16" a="1"/>
  <c r="W379" i="16" l="1"/>
  <c r="V381" i="16"/>
  <c r="W380" i="16" a="1"/>
  <c r="W380" i="16" l="1"/>
  <c r="V382" i="16"/>
  <c r="W381" i="16" a="1"/>
  <c r="W381" i="16" l="1"/>
  <c r="W382" i="16" a="1"/>
  <c r="V383" i="16"/>
  <c r="W382" i="16" l="1"/>
  <c r="W383" i="16" a="1"/>
  <c r="V384" i="16"/>
  <c r="W383" i="16" l="1"/>
  <c r="V385" i="16"/>
  <c r="W384" i="16" a="1"/>
  <c r="W384" i="16" l="1"/>
  <c r="W385" i="16" a="1"/>
  <c r="V386" i="16"/>
  <c r="W385" i="16" l="1"/>
  <c r="V387" i="16"/>
  <c r="W386" i="16" a="1"/>
  <c r="W386" i="16" l="1"/>
  <c r="W387" i="16" a="1"/>
  <c r="V388" i="16"/>
  <c r="W387" i="16" l="1"/>
  <c r="V389" i="16"/>
  <c r="W388" i="16" a="1"/>
  <c r="W388" i="16" l="1"/>
  <c r="W389" i="16" a="1"/>
  <c r="V390" i="16"/>
  <c r="W389" i="16" l="1"/>
  <c r="V391" i="16"/>
  <c r="W390" i="16" a="1"/>
  <c r="W390" i="16" l="1"/>
  <c r="W391" i="16" a="1"/>
  <c r="V392" i="16"/>
  <c r="W391" i="16" l="1"/>
  <c r="W392" i="16" a="1"/>
  <c r="V393" i="16"/>
  <c r="W392" i="16" l="1"/>
  <c r="V394" i="16"/>
  <c r="W393" i="16" a="1"/>
  <c r="W393" i="16" l="1"/>
  <c r="V395" i="16"/>
  <c r="W394" i="16" a="1"/>
  <c r="W394" i="16" l="1"/>
  <c r="V396" i="16"/>
  <c r="W395" i="16" a="1"/>
  <c r="W395" i="16" l="1"/>
  <c r="V397" i="16"/>
  <c r="W396" i="16" a="1"/>
  <c r="W396" i="16" l="1"/>
  <c r="V398" i="16"/>
  <c r="W397" i="16" a="1"/>
  <c r="W397" i="16" l="1"/>
  <c r="V399" i="16"/>
  <c r="W398" i="16" a="1"/>
  <c r="W398" i="16" l="1"/>
  <c r="V400" i="16"/>
  <c r="W399" i="16" a="1"/>
  <c r="W399" i="16" l="1"/>
  <c r="V401" i="16"/>
  <c r="W400" i="16" a="1"/>
  <c r="W400" i="16" l="1"/>
  <c r="W401" i="16" a="1"/>
  <c r="V402" i="16"/>
  <c r="W401" i="16" l="1"/>
  <c r="V403" i="16"/>
  <c r="W402" i="16" a="1"/>
  <c r="W402" i="16" l="1"/>
  <c r="V404" i="16"/>
  <c r="W403" i="16" a="1"/>
  <c r="W403" i="16" l="1"/>
  <c r="W404" i="16" a="1"/>
  <c r="V405" i="16"/>
  <c r="W404" i="16" l="1"/>
  <c r="W405" i="16" a="1"/>
  <c r="V406" i="16"/>
  <c r="W405" i="16" l="1"/>
  <c r="V407" i="16"/>
  <c r="W406" i="16" a="1"/>
  <c r="W406" i="16" l="1"/>
  <c r="W407" i="16" a="1"/>
  <c r="V408" i="16"/>
  <c r="W407" i="16" l="1"/>
  <c r="V409" i="16"/>
  <c r="W408" i="16" a="1"/>
  <c r="W408" i="16" l="1"/>
  <c r="W409" i="16" a="1"/>
  <c r="V410" i="16"/>
  <c r="W409" i="16" l="1"/>
  <c r="W410" i="16" a="1"/>
  <c r="V411" i="16"/>
  <c r="W410" i="16" l="1"/>
  <c r="W411" i="16" a="1"/>
  <c r="V412" i="16"/>
  <c r="W411" i="16" l="1"/>
  <c r="V413" i="16"/>
  <c r="W412" i="16" a="1"/>
  <c r="W412" i="16" l="1"/>
  <c r="W413" i="16" a="1"/>
  <c r="V414" i="16"/>
  <c r="W413" i="16" l="1"/>
  <c r="V415" i="16"/>
  <c r="W414" i="16" a="1"/>
  <c r="W414" i="16" l="1"/>
  <c r="W415" i="16" a="1"/>
  <c r="V416" i="16"/>
  <c r="W415" i="16" l="1"/>
  <c r="W416" i="16" a="1"/>
  <c r="V417" i="16"/>
  <c r="W416" i="16" l="1"/>
  <c r="V418" i="16"/>
  <c r="W417" i="16" a="1"/>
  <c r="W417" i="16" l="1"/>
  <c r="W418" i="16" a="1"/>
  <c r="V419" i="16"/>
  <c r="W418" i="16" l="1"/>
  <c r="W419" i="16" a="1"/>
  <c r="V420" i="16"/>
  <c r="W419" i="16" l="1"/>
  <c r="V421" i="16"/>
  <c r="W420" i="16" a="1"/>
  <c r="W420" i="16" l="1"/>
  <c r="V422" i="16"/>
  <c r="W421" i="16" a="1"/>
  <c r="W421" i="16" l="1"/>
  <c r="V423" i="16"/>
  <c r="W422" i="16" a="1"/>
  <c r="W422" i="16" l="1"/>
  <c r="V424" i="16"/>
  <c r="W423" i="16" a="1"/>
  <c r="W423" i="16" l="1"/>
  <c r="W424" i="16" a="1"/>
  <c r="V425" i="16"/>
  <c r="W424" i="16" l="1"/>
  <c r="W425" i="16" a="1"/>
  <c r="V426" i="16"/>
  <c r="W425" i="16" l="1"/>
  <c r="W426" i="16" a="1"/>
  <c r="V427" i="16"/>
  <c r="W426" i="16" l="1"/>
  <c r="V428" i="16"/>
  <c r="W427" i="16" a="1"/>
  <c r="W427" i="16" l="1"/>
  <c r="W428" i="16" a="1"/>
  <c r="V429" i="16"/>
  <c r="W428" i="16" l="1"/>
  <c r="W429" i="16" a="1"/>
  <c r="V430" i="16"/>
  <c r="W429" i="16" l="1"/>
  <c r="W430" i="16" a="1"/>
  <c r="V431" i="16"/>
  <c r="W430" i="16" l="1"/>
  <c r="V432" i="16"/>
  <c r="W431" i="16" a="1"/>
  <c r="W431" i="16" l="1"/>
  <c r="W432" i="16" a="1"/>
  <c r="V433" i="16"/>
  <c r="W432" i="16" l="1"/>
  <c r="W433" i="16" a="1"/>
  <c r="V434" i="16"/>
  <c r="W433" i="16" l="1"/>
  <c r="V435" i="16"/>
  <c r="W434" i="16" a="1"/>
  <c r="W434" i="16" l="1"/>
  <c r="V436" i="16"/>
  <c r="W435" i="16" a="1"/>
  <c r="W435" i="16" l="1"/>
  <c r="W436" i="16" a="1"/>
  <c r="V437" i="16"/>
  <c r="W436" i="16" l="1"/>
  <c r="V438" i="16"/>
  <c r="W437" i="16" a="1"/>
  <c r="W437" i="16" l="1"/>
  <c r="W438" i="16" a="1"/>
  <c r="V439" i="16"/>
  <c r="W438" i="16" l="1"/>
  <c r="W439" i="16" a="1"/>
  <c r="V440" i="16"/>
  <c r="W439" i="16" l="1"/>
  <c r="W440" i="16" a="1"/>
  <c r="V441" i="16"/>
  <c r="W440" i="16" l="1"/>
  <c r="W441" i="16" a="1"/>
  <c r="V442" i="16"/>
  <c r="W441" i="16" l="1"/>
  <c r="W442" i="16" a="1"/>
  <c r="V443" i="16"/>
  <c r="W442" i="16" l="1"/>
  <c r="W443" i="16" a="1"/>
  <c r="V444" i="16"/>
  <c r="W443" i="16" l="1"/>
  <c r="W444" i="16" a="1"/>
  <c r="V445" i="16"/>
  <c r="W444" i="16" l="1"/>
  <c r="W445" i="16" a="1"/>
  <c r="V446" i="16"/>
  <c r="W445" i="16" l="1"/>
  <c r="W446" i="16" a="1"/>
  <c r="V447" i="16"/>
  <c r="W446" i="16" l="1"/>
  <c r="W447" i="16" a="1"/>
  <c r="V448" i="16"/>
  <c r="W447" i="16" l="1"/>
  <c r="W448" i="16" a="1"/>
  <c r="V449" i="16"/>
  <c r="W448" i="16" l="1"/>
  <c r="V450" i="16"/>
  <c r="W449" i="16" a="1"/>
  <c r="W449" i="16" l="1"/>
  <c r="W450" i="16" a="1"/>
  <c r="V451" i="16"/>
  <c r="W450" i="16" l="1"/>
  <c r="W451" i="16" a="1"/>
  <c r="V452" i="16"/>
  <c r="W451" i="16" l="1"/>
  <c r="W452" i="16" a="1"/>
  <c r="V453" i="16"/>
  <c r="W452" i="16" l="1"/>
  <c r="W453" i="16" a="1"/>
  <c r="V454" i="16"/>
  <c r="W453" i="16" l="1"/>
  <c r="W454" i="16" a="1"/>
  <c r="V455" i="16"/>
  <c r="W454" i="16" l="1"/>
  <c r="V456" i="16"/>
  <c r="W455" i="16" a="1"/>
  <c r="W455" i="16" l="1"/>
  <c r="W456" i="16" a="1"/>
  <c r="V457" i="16"/>
  <c r="W456" i="16" l="1"/>
  <c r="W457" i="16" a="1"/>
  <c r="V458" i="16"/>
  <c r="W457" i="16" l="1"/>
  <c r="W458" i="16" a="1"/>
  <c r="V459" i="16"/>
  <c r="W458" i="16" l="1"/>
  <c r="W459" i="16" a="1"/>
  <c r="V460" i="16"/>
  <c r="W459" i="16" l="1"/>
  <c r="W460" i="16" a="1"/>
  <c r="V461" i="16"/>
  <c r="W460" i="16" l="1"/>
  <c r="V462" i="16"/>
  <c r="W461" i="16" a="1"/>
  <c r="W461" i="16" l="1"/>
  <c r="V463" i="16"/>
  <c r="W462" i="16" a="1"/>
  <c r="W462" i="16" l="1"/>
  <c r="W463" i="16" a="1"/>
  <c r="V464" i="16"/>
  <c r="W463" i="16" l="1"/>
  <c r="V465" i="16"/>
  <c r="W464" i="16" a="1"/>
  <c r="W464" i="16" l="1"/>
  <c r="W465" i="16" a="1"/>
  <c r="V466" i="16"/>
  <c r="W465" i="16" l="1"/>
  <c r="W466" i="16" a="1"/>
  <c r="V467" i="16"/>
  <c r="W466" i="16" l="1"/>
  <c r="V468" i="16"/>
  <c r="W467" i="16" a="1"/>
  <c r="W467" i="16" l="1"/>
  <c r="W468" i="16" a="1"/>
  <c r="V469" i="16"/>
  <c r="W468" i="16" l="1"/>
  <c r="W469" i="16" a="1"/>
  <c r="V470" i="16"/>
  <c r="W469" i="16" l="1"/>
  <c r="W470" i="16" a="1"/>
  <c r="V471" i="16"/>
  <c r="W470" i="16" l="1"/>
  <c r="W471" i="16" a="1"/>
  <c r="V472" i="16"/>
  <c r="W471" i="16" l="1"/>
  <c r="V473" i="16"/>
  <c r="W472" i="16" a="1"/>
  <c r="W472" i="16" l="1"/>
  <c r="W473" i="16" a="1"/>
  <c r="V474" i="16"/>
  <c r="W473" i="16" l="1"/>
  <c r="V475" i="16"/>
  <c r="W474" i="16" a="1"/>
  <c r="W474" i="16" l="1"/>
  <c r="W475" i="16" a="1"/>
  <c r="V476" i="16"/>
  <c r="W475" i="16" l="1"/>
  <c r="W476" i="16" a="1"/>
  <c r="V477" i="16"/>
  <c r="W476" i="16" l="1"/>
  <c r="V478" i="16"/>
  <c r="W477" i="16" a="1"/>
  <c r="W477" i="16" l="1"/>
  <c r="V479" i="16"/>
  <c r="W478" i="16" a="1"/>
  <c r="W478" i="16" l="1"/>
  <c r="W479" i="16" a="1"/>
  <c r="V480" i="16"/>
  <c r="W479" i="16" l="1"/>
  <c r="W480" i="16" a="1"/>
  <c r="V481" i="16"/>
  <c r="W480" i="16" l="1"/>
  <c r="V482" i="16"/>
  <c r="W481" i="16" a="1"/>
  <c r="W481" i="16" l="1"/>
  <c r="W482" i="16" a="1"/>
  <c r="V483" i="16"/>
  <c r="W482" i="16" l="1"/>
  <c r="V484" i="16"/>
  <c r="W483" i="16" a="1"/>
  <c r="W483" i="16" l="1"/>
  <c r="W484" i="16" a="1"/>
  <c r="V485" i="16"/>
  <c r="W484" i="16" l="1"/>
  <c r="W485" i="16" a="1"/>
  <c r="V486" i="16"/>
  <c r="W485" i="16" l="1"/>
  <c r="W486" i="16" a="1"/>
  <c r="V487" i="16"/>
  <c r="W486" i="16" l="1"/>
  <c r="W487" i="16" a="1"/>
  <c r="V488" i="16"/>
  <c r="W487" i="16" l="1"/>
  <c r="V489" i="16"/>
  <c r="W488" i="16" a="1"/>
  <c r="W488" i="16" l="1"/>
  <c r="W489" i="16" a="1"/>
  <c r="V490" i="16"/>
  <c r="W489" i="16" l="1"/>
  <c r="V491" i="16"/>
  <c r="W490" i="16" a="1"/>
  <c r="W490" i="16" l="1"/>
  <c r="V492" i="16"/>
  <c r="W491" i="16" a="1"/>
  <c r="W491" i="16" l="1"/>
  <c r="V493" i="16"/>
  <c r="W492" i="16" a="1"/>
  <c r="W492" i="16" l="1"/>
  <c r="V494" i="16"/>
  <c r="W493" i="16" a="1"/>
  <c r="W493" i="16" l="1"/>
  <c r="W494" i="16" a="1"/>
  <c r="V495" i="16"/>
  <c r="W494" i="16" l="1"/>
  <c r="V496" i="16"/>
  <c r="W495" i="16" a="1"/>
  <c r="W495" i="16" l="1"/>
  <c r="W496" i="16" a="1"/>
  <c r="V497" i="16"/>
  <c r="W496" i="16" l="1"/>
  <c r="W497" i="16" a="1"/>
  <c r="V498" i="16"/>
  <c r="W497" i="16" l="1"/>
  <c r="W498" i="16" a="1"/>
  <c r="V499" i="16"/>
  <c r="W498" i="16" l="1"/>
  <c r="W499" i="16" a="1"/>
  <c r="V500" i="16"/>
  <c r="W499" i="16" l="1"/>
  <c r="W500" i="16" a="1"/>
  <c r="V501" i="16"/>
  <c r="W500" i="16" l="1"/>
  <c r="W501" i="16" a="1"/>
  <c r="V502" i="16"/>
  <c r="W501" i="16" l="1"/>
  <c r="V503" i="16"/>
  <c r="W502" i="16" a="1"/>
  <c r="W502" i="16" l="1"/>
  <c r="W503" i="16" a="1"/>
  <c r="V504" i="16"/>
  <c r="W503" i="16" l="1"/>
  <c r="V505" i="16"/>
  <c r="W504" i="16" a="1"/>
  <c r="W504" i="16" l="1"/>
  <c r="W505" i="16" a="1"/>
  <c r="V506" i="16"/>
  <c r="W505" i="16" l="1"/>
  <c r="W506" i="16" a="1"/>
  <c r="V507" i="16"/>
  <c r="W506" i="16" l="1"/>
  <c r="W507" i="16" a="1"/>
  <c r="V508" i="16"/>
  <c r="W507" i="16" l="1"/>
  <c r="V509" i="16"/>
  <c r="W508" i="16" a="1"/>
  <c r="W508" i="16" l="1"/>
  <c r="W509" i="16" a="1"/>
  <c r="V510" i="16"/>
  <c r="W509" i="16" l="1"/>
  <c r="W510" i="16" a="1"/>
  <c r="V511" i="16"/>
  <c r="W510" i="16" l="1"/>
  <c r="W511" i="16" a="1"/>
  <c r="V512" i="16"/>
  <c r="W511" i="16" l="1"/>
  <c r="W512" i="16" a="1"/>
  <c r="V513" i="16"/>
  <c r="W512" i="16" l="1"/>
  <c r="W513" i="16" a="1"/>
  <c r="V514" i="16"/>
  <c r="W513" i="16" l="1"/>
  <c r="W514" i="16" a="1"/>
  <c r="V515" i="16"/>
  <c r="W514" i="16" l="1"/>
  <c r="W515" i="16" a="1"/>
  <c r="V516" i="16"/>
  <c r="W515" i="16" l="1"/>
  <c r="W516" i="16" a="1"/>
  <c r="V517" i="16"/>
  <c r="W516" i="16" l="1"/>
  <c r="W517" i="16" a="1"/>
  <c r="V518" i="16"/>
  <c r="W517" i="16" l="1"/>
  <c r="W518" i="16" a="1"/>
  <c r="V519" i="16"/>
  <c r="W518" i="16" l="1"/>
  <c r="W519" i="16" a="1"/>
  <c r="V520" i="16"/>
  <c r="W519" i="16" l="1"/>
  <c r="W520" i="16" a="1"/>
  <c r="V521" i="16"/>
  <c r="W520" i="16" l="1"/>
  <c r="W521" i="16" a="1"/>
  <c r="V522" i="16"/>
  <c r="W521" i="16" l="1"/>
  <c r="W522" i="16" a="1"/>
  <c r="V523" i="16"/>
  <c r="W522" i="16" l="1"/>
  <c r="W523" i="16" a="1"/>
  <c r="V524" i="16"/>
  <c r="W523" i="16" l="1"/>
  <c r="W524" i="16" a="1"/>
  <c r="V525" i="16"/>
  <c r="W524" i="16" l="1"/>
  <c r="W525" i="16" a="1"/>
  <c r="V526" i="16"/>
  <c r="W525" i="16" l="1"/>
  <c r="V527" i="16"/>
  <c r="W526" i="16" a="1"/>
  <c r="W526" i="16" l="1"/>
  <c r="W527" i="16" a="1"/>
  <c r="V528" i="16"/>
  <c r="W527" i="16" l="1"/>
  <c r="W528" i="16" a="1"/>
  <c r="V529" i="16"/>
  <c r="W528" i="16" l="1"/>
  <c r="V530" i="16"/>
  <c r="W529" i="16" a="1"/>
  <c r="W529" i="16" l="1"/>
  <c r="V531" i="16"/>
  <c r="W530" i="16" a="1"/>
  <c r="W530" i="16" l="1"/>
  <c r="V532" i="16"/>
  <c r="W531" i="16" a="1"/>
  <c r="W531" i="16" l="1"/>
  <c r="V533" i="16"/>
  <c r="W532" i="16" a="1"/>
  <c r="W532" i="16" l="1"/>
  <c r="W533" i="16" a="1"/>
  <c r="V534" i="16"/>
  <c r="W533" i="16" l="1"/>
  <c r="W534" i="16" a="1"/>
  <c r="V535" i="16"/>
  <c r="W534" i="16" l="1"/>
  <c r="W535" i="16" a="1"/>
  <c r="V536" i="16"/>
  <c r="W535" i="16" l="1"/>
  <c r="W536" i="16" a="1"/>
  <c r="V537" i="16"/>
  <c r="W536" i="16" l="1"/>
  <c r="V538" i="16"/>
  <c r="W537" i="16" a="1"/>
  <c r="W537" i="16" l="1"/>
  <c r="W538" i="16" a="1"/>
  <c r="V539" i="16"/>
  <c r="W538" i="16" l="1"/>
  <c r="W539" i="16" a="1"/>
  <c r="V540" i="16"/>
  <c r="W539" i="16" l="1"/>
  <c r="V541" i="16"/>
  <c r="W540" i="16" a="1"/>
  <c r="W540" i="16" l="1"/>
  <c r="W541" i="16" a="1"/>
  <c r="V542" i="16"/>
  <c r="W541" i="16" l="1"/>
  <c r="W542" i="16" a="1"/>
  <c r="V543" i="16"/>
  <c r="W542" i="16" l="1"/>
  <c r="W543" i="16" a="1"/>
  <c r="V544" i="16"/>
  <c r="W543" i="16" l="1"/>
  <c r="W544" i="16" a="1"/>
  <c r="V545" i="16"/>
  <c r="W544" i="16" l="1"/>
  <c r="V546" i="16"/>
  <c r="W545" i="16" a="1"/>
  <c r="W545" i="16" l="1"/>
  <c r="V547" i="16"/>
  <c r="W546" i="16" a="1"/>
  <c r="W546" i="16" l="1"/>
  <c r="V548" i="16"/>
  <c r="W547" i="16" a="1"/>
  <c r="W547" i="16" l="1"/>
  <c r="W548" i="16" a="1"/>
  <c r="V549" i="16"/>
  <c r="W548" i="16" l="1"/>
  <c r="W549" i="16" a="1"/>
  <c r="V550" i="16"/>
  <c r="W549" i="16" l="1"/>
  <c r="W550" i="16" a="1"/>
  <c r="V551" i="16"/>
  <c r="W550" i="16" l="1"/>
  <c r="W551" i="16" a="1"/>
  <c r="V552" i="16"/>
  <c r="W551" i="16" l="1"/>
  <c r="W552" i="16" a="1"/>
  <c r="V553" i="16"/>
  <c r="W552" i="16" l="1"/>
  <c r="W553" i="16" a="1"/>
  <c r="V554" i="16"/>
  <c r="W553" i="16" l="1"/>
  <c r="W554" i="16" a="1"/>
  <c r="V555" i="16"/>
  <c r="W554" i="16" l="1"/>
  <c r="W555" i="16" a="1"/>
  <c r="V556" i="16"/>
  <c r="W555" i="16" l="1"/>
  <c r="W556" i="16" a="1"/>
  <c r="V557" i="16"/>
  <c r="W556" i="16" l="1"/>
  <c r="W557" i="16" a="1"/>
  <c r="V558" i="16"/>
  <c r="W557" i="16" l="1"/>
  <c r="W558" i="16" a="1"/>
  <c r="V559" i="16"/>
  <c r="W558" i="16" l="1"/>
  <c r="V560" i="16"/>
  <c r="W559" i="16" a="1"/>
  <c r="W559" i="16" l="1"/>
  <c r="W560" i="16" a="1"/>
  <c r="V561" i="16"/>
  <c r="W560" i="16" l="1"/>
  <c r="V562" i="16"/>
  <c r="W561" i="16" a="1"/>
  <c r="W561" i="16" l="1"/>
  <c r="W562" i="16" a="1"/>
  <c r="V563" i="16"/>
  <c r="W562" i="16" l="1"/>
  <c r="V564" i="16"/>
  <c r="W563" i="16" a="1"/>
  <c r="W563" i="16" l="1"/>
  <c r="W564" i="16" a="1"/>
  <c r="V565" i="16"/>
  <c r="W564" i="16" l="1"/>
  <c r="W565" i="16" a="1"/>
  <c r="V566" i="16"/>
  <c r="W565" i="16" l="1"/>
  <c r="V567" i="16"/>
  <c r="W566" i="16" a="1"/>
  <c r="W566" i="16" l="1"/>
  <c r="V568" i="16"/>
  <c r="W567" i="16" a="1"/>
  <c r="W567" i="16" l="1"/>
  <c r="W568" i="16" a="1"/>
  <c r="V569" i="16"/>
  <c r="W568" i="16" l="1"/>
  <c r="W569" i="16" a="1"/>
  <c r="V570" i="16"/>
  <c r="W569" i="16" l="1"/>
  <c r="W570" i="16" a="1"/>
  <c r="V571" i="16"/>
  <c r="W570" i="16" l="1"/>
  <c r="V572" i="16"/>
  <c r="W571" i="16" a="1"/>
  <c r="W571" i="16" l="1"/>
  <c r="W572" i="16" a="1"/>
  <c r="V573" i="16"/>
  <c r="W572" i="16" l="1"/>
  <c r="W573" i="16" a="1"/>
  <c r="V574" i="16"/>
  <c r="W573" i="16" l="1"/>
  <c r="W574" i="16" a="1"/>
  <c r="V575" i="16"/>
  <c r="W574" i="16" l="1"/>
  <c r="W575" i="16" a="1"/>
  <c r="V576" i="16"/>
  <c r="W575" i="16" l="1"/>
  <c r="W576" i="16" a="1"/>
  <c r="V577" i="16"/>
  <c r="W576" i="16" l="1"/>
  <c r="W577" i="16" a="1"/>
  <c r="V578" i="16"/>
  <c r="W577" i="16" l="1"/>
  <c r="V579" i="16"/>
  <c r="W578" i="16" a="1"/>
  <c r="W578" i="16" l="1"/>
  <c r="W579" i="16" a="1"/>
  <c r="V580" i="16"/>
  <c r="W579" i="16" l="1"/>
  <c r="W580" i="16" a="1"/>
  <c r="V581" i="16"/>
  <c r="W580" i="16" l="1"/>
  <c r="W581" i="16" a="1"/>
  <c r="V582" i="16"/>
  <c r="W581" i="16" l="1"/>
  <c r="W582" i="16" a="1"/>
  <c r="V583" i="16"/>
  <c r="W582" i="16" l="1"/>
  <c r="W583" i="16" a="1"/>
  <c r="V584" i="16"/>
  <c r="W583" i="16" l="1"/>
  <c r="V585" i="16"/>
  <c r="W584" i="16" a="1"/>
  <c r="W584" i="16" l="1"/>
  <c r="W585" i="16" a="1"/>
  <c r="V586" i="16"/>
  <c r="W585" i="16" l="1"/>
  <c r="W586" i="16" a="1"/>
  <c r="V587" i="16"/>
  <c r="W586" i="16" l="1"/>
  <c r="W587" i="16" a="1"/>
  <c r="V588" i="16"/>
  <c r="W587" i="16" l="1"/>
  <c r="V589" i="16"/>
  <c r="W588" i="16" a="1"/>
  <c r="W588" i="16" l="1"/>
  <c r="W589" i="16" a="1"/>
  <c r="V590" i="16"/>
  <c r="W589" i="16" l="1"/>
  <c r="W590" i="16" a="1"/>
  <c r="V591" i="16"/>
  <c r="W590" i="16" l="1"/>
  <c r="V592" i="16"/>
  <c r="W591" i="16" a="1"/>
  <c r="W591" i="16" l="1"/>
  <c r="V593" i="16"/>
  <c r="W592" i="16" a="1"/>
  <c r="W592" i="16" l="1"/>
  <c r="W593" i="16" a="1"/>
  <c r="V594" i="16"/>
  <c r="W593" i="16" l="1"/>
  <c r="W594" i="16" a="1"/>
  <c r="V595" i="16"/>
  <c r="W594" i="16" l="1"/>
  <c r="W595" i="16" a="1"/>
  <c r="V596" i="16"/>
  <c r="W595" i="16" l="1"/>
  <c r="V597" i="16"/>
  <c r="W596" i="16" a="1"/>
  <c r="W596" i="16" l="1"/>
  <c r="W597" i="16" a="1"/>
  <c r="V598" i="16"/>
  <c r="W597" i="16" l="1"/>
  <c r="V599" i="16"/>
  <c r="W598" i="16" a="1"/>
  <c r="W598" i="16" l="1"/>
  <c r="W599" i="16" a="1"/>
  <c r="V600" i="16"/>
  <c r="W599" i="16" l="1"/>
  <c r="V601" i="16"/>
  <c r="W600" i="16" a="1"/>
  <c r="W600" i="16" l="1"/>
  <c r="W601" i="16" a="1"/>
  <c r="V602" i="16"/>
  <c r="W601" i="16" l="1"/>
  <c r="W602" i="16" a="1"/>
  <c r="V603" i="16"/>
  <c r="W602" i="16" l="1"/>
  <c r="W603" i="16" a="1"/>
  <c r="V604" i="16"/>
  <c r="W603" i="16" l="1"/>
  <c r="W604" i="16" a="1"/>
  <c r="V605" i="16"/>
  <c r="W604" i="16" l="1"/>
  <c r="W605" i="16" a="1"/>
  <c r="V606" i="16"/>
  <c r="W605" i="16" l="1"/>
  <c r="V607" i="16"/>
  <c r="W606" i="16" a="1"/>
  <c r="W606" i="16" l="1"/>
  <c r="W607" i="16" a="1"/>
  <c r="V608" i="16"/>
  <c r="W607" i="16" l="1"/>
  <c r="W608" i="16" a="1"/>
  <c r="V609" i="16"/>
  <c r="W608" i="16" l="1"/>
  <c r="V610" i="16"/>
  <c r="W609" i="16" a="1"/>
  <c r="W609" i="16" l="1"/>
  <c r="W610" i="16" a="1"/>
  <c r="V611" i="16"/>
  <c r="W610" i="16" l="1"/>
  <c r="W611" i="16" a="1"/>
  <c r="V612" i="16"/>
  <c r="W611" i="16" l="1"/>
  <c r="W612" i="16" a="1"/>
  <c r="V613" i="16"/>
  <c r="W612" i="16" l="1"/>
  <c r="V614" i="16"/>
  <c r="W613" i="16" a="1"/>
  <c r="W613" i="16" l="1"/>
  <c r="V615" i="16"/>
  <c r="W614" i="16" a="1"/>
  <c r="W614" i="16" l="1"/>
  <c r="W615" i="16" a="1"/>
  <c r="V616" i="16"/>
  <c r="W615" i="16" l="1"/>
  <c r="W616" i="16" a="1"/>
  <c r="V617" i="16"/>
  <c r="W616" i="16" l="1"/>
  <c r="V618" i="16"/>
  <c r="W617" i="16" a="1"/>
  <c r="W617" i="16" l="1"/>
  <c r="W618" i="16" a="1"/>
  <c r="V619" i="16"/>
  <c r="W618" i="16" l="1"/>
  <c r="V620" i="16"/>
  <c r="W619" i="16" a="1"/>
  <c r="W619" i="16" l="1"/>
  <c r="W620" i="16" a="1"/>
  <c r="V621" i="16"/>
  <c r="W620" i="16" l="1"/>
  <c r="W621" i="16" a="1"/>
  <c r="V622" i="16"/>
  <c r="W621" i="16" l="1"/>
  <c r="V623" i="16"/>
  <c r="W622" i="16" a="1"/>
  <c r="W622" i="16" l="1"/>
  <c r="V624" i="16"/>
  <c r="W623" i="16" a="1"/>
  <c r="W623" i="16" l="1"/>
  <c r="V625" i="16"/>
  <c r="W624" i="16" a="1"/>
  <c r="W624" i="16" l="1"/>
  <c r="W625" i="16" a="1"/>
  <c r="V626" i="16"/>
  <c r="W625" i="16" l="1"/>
  <c r="W626" i="16" a="1"/>
  <c r="V627" i="16"/>
  <c r="W626" i="16" l="1"/>
  <c r="W627" i="16" a="1"/>
  <c r="V628" i="16"/>
  <c r="W627" i="16" l="1"/>
  <c r="W628" i="16" a="1"/>
  <c r="V629" i="16"/>
  <c r="W628" i="16" l="1"/>
  <c r="V630" i="16"/>
  <c r="W629" i="16" a="1"/>
  <c r="W629" i="16" l="1"/>
  <c r="V631" i="16"/>
  <c r="W630" i="16" a="1"/>
  <c r="W630" i="16" l="1"/>
  <c r="W631" i="16" a="1"/>
  <c r="V632" i="16"/>
  <c r="W631" i="16" l="1"/>
  <c r="W632" i="16" a="1"/>
  <c r="V633" i="16"/>
  <c r="W632" i="16" l="1"/>
  <c r="W633" i="16" a="1"/>
  <c r="V634" i="16"/>
  <c r="W633" i="16" l="1"/>
  <c r="W634" i="16" a="1"/>
  <c r="V635" i="16"/>
  <c r="W634" i="16" l="1"/>
  <c r="V636" i="16"/>
  <c r="W635" i="16" a="1"/>
  <c r="W635" i="16" l="1"/>
  <c r="W636" i="16" a="1"/>
  <c r="V637" i="16"/>
  <c r="W636" i="16" l="1"/>
  <c r="W637" i="16" a="1"/>
  <c r="V638" i="16"/>
  <c r="W637" i="16" l="1"/>
  <c r="W638" i="16" a="1"/>
  <c r="V639" i="16"/>
  <c r="W638" i="16" l="1"/>
  <c r="W639" i="16" a="1"/>
  <c r="V640" i="16"/>
  <c r="W639" i="16" l="1"/>
  <c r="W640" i="16" a="1"/>
  <c r="V641" i="16"/>
  <c r="W640" i="16" l="1"/>
  <c r="V642" i="16"/>
  <c r="W641" i="16" a="1"/>
  <c r="W641" i="16" l="1"/>
  <c r="W642" i="16" a="1"/>
  <c r="V643" i="16"/>
  <c r="W642" i="16" l="1"/>
  <c r="W643" i="16" a="1"/>
  <c r="V644" i="16"/>
  <c r="W643" i="16" l="1"/>
  <c r="W644" i="16" a="1"/>
  <c r="V645" i="16"/>
  <c r="W644" i="16" l="1"/>
  <c r="V646" i="16"/>
  <c r="W645" i="16" a="1"/>
  <c r="W645" i="16" l="1"/>
  <c r="V647" i="16"/>
  <c r="W646" i="16" a="1"/>
  <c r="W646" i="16" l="1"/>
  <c r="W647" i="16" a="1"/>
  <c r="V648" i="16"/>
  <c r="W647" i="16" l="1"/>
  <c r="W648" i="16" a="1"/>
  <c r="V649" i="16"/>
  <c r="W648" i="16" l="1"/>
  <c r="W649" i="16" a="1"/>
  <c r="V650" i="16"/>
  <c r="W649" i="16" l="1"/>
  <c r="V651" i="16"/>
  <c r="W650" i="16" a="1"/>
  <c r="W650" i="16" l="1"/>
  <c r="W651" i="16" a="1"/>
  <c r="V652" i="16"/>
  <c r="W651" i="16" l="1"/>
  <c r="V653" i="16"/>
  <c r="W652" i="16" a="1"/>
  <c r="W652" i="16" l="1"/>
  <c r="V654" i="16"/>
  <c r="W653" i="16" a="1"/>
  <c r="W653" i="16" l="1"/>
  <c r="V655" i="16"/>
  <c r="W654" i="16" a="1"/>
  <c r="W654" i="16" l="1"/>
  <c r="V656" i="16"/>
  <c r="W655" i="16" a="1"/>
  <c r="W655" i="16" l="1"/>
  <c r="V657" i="16"/>
  <c r="W656" i="16" a="1"/>
  <c r="W656" i="16" l="1"/>
  <c r="W657" i="16" a="1"/>
  <c r="V658" i="16"/>
  <c r="W657" i="16" l="1"/>
  <c r="V659" i="16"/>
  <c r="W658" i="16" a="1"/>
  <c r="W658" i="16" l="1"/>
  <c r="V660" i="16"/>
  <c r="W659" i="16" a="1"/>
  <c r="W659" i="16" l="1"/>
  <c r="W660" i="16" a="1"/>
  <c r="V661" i="16"/>
  <c r="W660" i="16" l="1"/>
  <c r="V662" i="16"/>
  <c r="W661" i="16" a="1"/>
  <c r="W661" i="16" l="1"/>
  <c r="W662" i="16" a="1"/>
  <c r="V663" i="16"/>
  <c r="W662" i="16" l="1"/>
  <c r="V664" i="16"/>
  <c r="W663" i="16" a="1"/>
  <c r="W663" i="16" l="1"/>
  <c r="W664" i="16" a="1"/>
  <c r="V665" i="16"/>
  <c r="W664" i="16" l="1"/>
  <c r="W665" i="16" a="1"/>
  <c r="V666" i="16"/>
  <c r="W665" i="16" l="1"/>
  <c r="V667" i="16"/>
  <c r="W666" i="16" a="1"/>
  <c r="W666" i="16" l="1"/>
  <c r="W667" i="16" a="1"/>
  <c r="V668" i="16"/>
  <c r="W667" i="16" l="1"/>
  <c r="W668" i="16" a="1"/>
  <c r="V669" i="16"/>
  <c r="W668" i="16" l="1"/>
  <c r="W669" i="16" a="1"/>
  <c r="V670" i="16"/>
  <c r="W669" i="16" l="1"/>
  <c r="W670" i="16" a="1"/>
  <c r="V671" i="16"/>
  <c r="W670" i="16" l="1"/>
  <c r="W671" i="16" a="1"/>
  <c r="V672" i="16"/>
  <c r="W671" i="16" l="1"/>
  <c r="W672" i="16" a="1"/>
  <c r="V673" i="16"/>
  <c r="W672" i="16" l="1"/>
  <c r="V674" i="16"/>
  <c r="W673" i="16" a="1"/>
  <c r="W673" i="16" l="1"/>
  <c r="W674" i="16" a="1"/>
  <c r="V675" i="16"/>
  <c r="W674" i="16" l="1"/>
  <c r="V676" i="16"/>
  <c r="W675" i="16" a="1"/>
  <c r="W675" i="16" l="1"/>
  <c r="V677" i="16"/>
  <c r="W676" i="16" a="1"/>
  <c r="W676" i="16" l="1"/>
  <c r="W677" i="16" a="1"/>
  <c r="V678" i="16"/>
  <c r="W677" i="16" l="1"/>
  <c r="W678" i="16" a="1"/>
  <c r="V679" i="16"/>
  <c r="W678" i="16" l="1"/>
  <c r="V680" i="16"/>
  <c r="W679" i="16" a="1"/>
  <c r="W679" i="16" l="1"/>
  <c r="W680" i="16" a="1"/>
  <c r="V681" i="16"/>
  <c r="W680" i="16" l="1"/>
  <c r="V682" i="16"/>
  <c r="W681" i="16" a="1"/>
  <c r="W681" i="16" l="1"/>
  <c r="W682" i="16" a="1"/>
  <c r="V683" i="16"/>
  <c r="W682" i="16" l="1"/>
  <c r="W683" i="16" a="1"/>
  <c r="V684" i="16"/>
  <c r="W683" i="16" l="1"/>
  <c r="W684" i="16" a="1"/>
  <c r="V685" i="16"/>
  <c r="W684" i="16" l="1"/>
  <c r="W685" i="16" a="1"/>
  <c r="V686" i="16"/>
  <c r="W685" i="16" l="1"/>
  <c r="W686" i="16" a="1"/>
  <c r="V687" i="16"/>
  <c r="W686" i="16" l="1"/>
  <c r="W687" i="16" a="1"/>
  <c r="V688" i="16"/>
  <c r="W687" i="16" l="1"/>
  <c r="V689" i="16"/>
  <c r="W688" i="16" a="1"/>
  <c r="W688" i="16" l="1"/>
  <c r="V690" i="16"/>
  <c r="W689" i="16" a="1"/>
  <c r="W689" i="16" l="1"/>
  <c r="V691" i="16"/>
  <c r="W690" i="16" a="1"/>
  <c r="W690" i="16" l="1"/>
  <c r="V692" i="16"/>
  <c r="W691" i="16" a="1"/>
  <c r="W691" i="16" l="1"/>
  <c r="W692" i="16" a="1"/>
  <c r="V693" i="16"/>
  <c r="W692" i="16" l="1"/>
  <c r="W693" i="16" a="1"/>
  <c r="V694" i="16"/>
  <c r="W693" i="16" l="1"/>
  <c r="V695" i="16"/>
  <c r="W694" i="16" a="1"/>
  <c r="W694" i="16" l="1"/>
  <c r="W695" i="16" a="1"/>
  <c r="V696" i="16"/>
  <c r="W695" i="16" l="1"/>
  <c r="W696" i="16" a="1"/>
  <c r="V697" i="16"/>
  <c r="W696" i="16" l="1"/>
  <c r="W697" i="16" a="1"/>
  <c r="V698" i="16"/>
  <c r="W697" i="16" l="1"/>
  <c r="W698" i="16" a="1"/>
  <c r="V699" i="16"/>
  <c r="W698" i="16" l="1"/>
  <c r="V700" i="16"/>
  <c r="W699" i="16" a="1"/>
  <c r="W699" i="16" l="1"/>
  <c r="W700" i="16" a="1"/>
  <c r="V701" i="16"/>
  <c r="W700" i="16" l="1"/>
  <c r="W701" i="16" a="1"/>
  <c r="V702" i="16"/>
  <c r="W701" i="16" l="1"/>
  <c r="W702" i="16" a="1"/>
  <c r="V703" i="16"/>
  <c r="W702" i="16" l="1"/>
  <c r="W703" i="16" a="1"/>
  <c r="V704" i="16"/>
  <c r="W703" i="16" l="1"/>
  <c r="V705" i="16"/>
  <c r="W704" i="16" a="1"/>
  <c r="W704" i="16" l="1"/>
  <c r="W705" i="16" a="1"/>
  <c r="V706" i="16"/>
  <c r="W705" i="16" l="1"/>
  <c r="W706" i="16" a="1"/>
  <c r="V707" i="16"/>
  <c r="W706" i="16" l="1"/>
  <c r="W707" i="16" a="1"/>
  <c r="V708" i="16"/>
  <c r="W707" i="16" l="1"/>
  <c r="W708" i="16" a="1"/>
  <c r="V709" i="16"/>
  <c r="W708" i="16" l="1"/>
  <c r="W709" i="16" a="1"/>
  <c r="V710" i="16"/>
  <c r="W709" i="16" l="1"/>
  <c r="W710" i="16" a="1"/>
  <c r="V711" i="16"/>
  <c r="W710" i="16" l="1"/>
  <c r="W711" i="16" a="1"/>
  <c r="V712" i="16"/>
  <c r="W711" i="16" l="1"/>
  <c r="W712" i="16" a="1"/>
  <c r="V713" i="16"/>
  <c r="W712" i="16" l="1"/>
  <c r="W713" i="16" a="1"/>
  <c r="V714" i="16"/>
  <c r="W713" i="16" l="1"/>
  <c r="W714" i="16" a="1"/>
  <c r="V715" i="16"/>
  <c r="W714" i="16" l="1"/>
  <c r="W715" i="16" a="1"/>
  <c r="V716" i="16"/>
  <c r="W715" i="16" l="1"/>
  <c r="W716" i="16" a="1"/>
  <c r="V717" i="16"/>
  <c r="W716" i="16" l="1"/>
  <c r="W717" i="16" a="1"/>
  <c r="V718" i="16"/>
  <c r="W717" i="16" l="1"/>
  <c r="W718" i="16" a="1"/>
  <c r="V719" i="16"/>
  <c r="W718" i="16" l="1"/>
  <c r="W719" i="16" a="1"/>
  <c r="V720" i="16"/>
  <c r="W719" i="16" l="1"/>
  <c r="V721" i="16"/>
  <c r="W720" i="16" a="1"/>
  <c r="W720" i="16" l="1"/>
  <c r="V722" i="16"/>
  <c r="W721" i="16" a="1"/>
  <c r="W721" i="16" l="1"/>
  <c r="W722" i="16" a="1"/>
  <c r="V723" i="16"/>
  <c r="W722" i="16" l="1"/>
  <c r="V724" i="16"/>
  <c r="W723" i="16" a="1"/>
  <c r="W723" i="16" l="1"/>
  <c r="W724" i="16" a="1"/>
  <c r="V725" i="16"/>
  <c r="W724" i="16" l="1"/>
  <c r="W725" i="16" a="1"/>
  <c r="V726" i="16"/>
  <c r="W725" i="16" l="1"/>
  <c r="W726" i="16" a="1"/>
  <c r="V727" i="16"/>
  <c r="W726" i="16" l="1"/>
  <c r="W727" i="16" a="1"/>
  <c r="V728" i="16"/>
  <c r="W727" i="16" l="1"/>
  <c r="V729" i="16"/>
  <c r="W728" i="16" a="1"/>
  <c r="W728" i="16" l="1"/>
  <c r="W729" i="16" a="1"/>
  <c r="V730" i="16"/>
  <c r="W729" i="16" l="1"/>
  <c r="W730" i="16" a="1"/>
  <c r="V731" i="16"/>
  <c r="W730" i="16" l="1"/>
  <c r="W731" i="16" a="1"/>
  <c r="V732" i="16"/>
  <c r="W731" i="16" l="1"/>
  <c r="V733" i="16"/>
  <c r="W732" i="16" a="1"/>
  <c r="W732" i="16" l="1"/>
  <c r="V734" i="16"/>
  <c r="W733" i="16" a="1"/>
  <c r="W733" i="16" l="1"/>
  <c r="V735" i="16"/>
  <c r="W734" i="16" a="1"/>
  <c r="W734" i="16" l="1"/>
  <c r="W735" i="16" a="1"/>
  <c r="V736" i="16"/>
  <c r="W735" i="16" l="1"/>
  <c r="W736" i="16" a="1"/>
  <c r="V737" i="16"/>
  <c r="W736" i="16" l="1"/>
  <c r="V738" i="16"/>
  <c r="W737" i="16" a="1"/>
  <c r="W737" i="16" l="1"/>
  <c r="W738" i="16" a="1"/>
  <c r="V739" i="16"/>
  <c r="W738" i="16" l="1"/>
  <c r="V740" i="16"/>
  <c r="W739" i="16" a="1"/>
  <c r="W739" i="16" l="1"/>
  <c r="W740" i="16" a="1"/>
  <c r="V741" i="16"/>
  <c r="W740" i="16" l="1"/>
  <c r="W741" i="16" a="1"/>
  <c r="V742" i="16"/>
  <c r="W741" i="16" l="1"/>
  <c r="W742" i="16" a="1"/>
  <c r="V743" i="16"/>
  <c r="W742" i="16" l="1"/>
  <c r="V744" i="16"/>
  <c r="W743" i="16" a="1"/>
  <c r="W743" i="16" l="1"/>
  <c r="W744" i="16" a="1"/>
  <c r="V745" i="16"/>
  <c r="W744" i="16" l="1"/>
  <c r="W745" i="16" a="1"/>
  <c r="V746" i="16"/>
  <c r="W745" i="16" l="1"/>
  <c r="W746" i="16" a="1"/>
  <c r="V747" i="16"/>
  <c r="W746" i="16" l="1"/>
  <c r="V748" i="16"/>
  <c r="W747" i="16" a="1"/>
  <c r="W747" i="16" l="1"/>
  <c r="W748" i="16" a="1"/>
  <c r="V749" i="16"/>
  <c r="W748" i="16" l="1"/>
  <c r="V750" i="16"/>
  <c r="W749" i="16" a="1"/>
  <c r="W749" i="16" l="1"/>
  <c r="W750" i="16" a="1"/>
  <c r="V751" i="16"/>
  <c r="W750" i="16" l="1"/>
  <c r="V752" i="16"/>
  <c r="W751" i="16" a="1"/>
  <c r="W751" i="16" l="1"/>
  <c r="V753" i="16"/>
  <c r="W752" i="16" a="1"/>
  <c r="W752" i="16" l="1"/>
  <c r="V754" i="16"/>
  <c r="W753" i="16" a="1"/>
  <c r="W753" i="16" l="1"/>
  <c r="W754" i="16" a="1"/>
  <c r="V755" i="16"/>
  <c r="W754" i="16" l="1"/>
  <c r="V756" i="16"/>
  <c r="W755" i="16" a="1"/>
  <c r="W755" i="16" l="1"/>
  <c r="W756" i="16" a="1"/>
  <c r="V757" i="16"/>
  <c r="W756" i="16" l="1"/>
  <c r="V758" i="16"/>
  <c r="W757" i="16" a="1"/>
  <c r="W757" i="16" l="1"/>
  <c r="V759" i="16"/>
  <c r="W758" i="16" a="1"/>
  <c r="W758" i="16" l="1"/>
  <c r="W759" i="16" a="1"/>
  <c r="V760" i="16"/>
  <c r="W759" i="16" l="1"/>
  <c r="W760" i="16" a="1"/>
  <c r="V761" i="16"/>
  <c r="W760" i="16" l="1"/>
  <c r="W761" i="16" a="1"/>
  <c r="V762" i="16"/>
  <c r="W761" i="16" l="1"/>
  <c r="V763" i="16"/>
  <c r="W762" i="16" a="1"/>
  <c r="W762" i="16" l="1"/>
  <c r="V764" i="16"/>
  <c r="W763" i="16" a="1"/>
  <c r="W763" i="16" l="1"/>
  <c r="W764" i="16" a="1"/>
  <c r="V765" i="16"/>
  <c r="W764" i="16" l="1"/>
  <c r="W765" i="16" a="1"/>
  <c r="V766" i="16"/>
  <c r="W765" i="16" l="1"/>
  <c r="V767" i="16"/>
  <c r="W766" i="16" a="1"/>
  <c r="W766" i="16" l="1"/>
  <c r="W767" i="16" a="1"/>
  <c r="V768" i="16"/>
  <c r="W767" i="16" l="1"/>
  <c r="W768" i="16" a="1"/>
  <c r="V769" i="16"/>
  <c r="W768" i="16" l="1"/>
  <c r="W769" i="16" a="1"/>
  <c r="V770" i="16"/>
  <c r="W769" i="16" l="1"/>
  <c r="W770" i="16" a="1"/>
  <c r="V771" i="16"/>
  <c r="W770" i="16" l="1"/>
  <c r="W771" i="16" a="1"/>
  <c r="V772" i="16"/>
  <c r="W771" i="16" l="1"/>
  <c r="W772" i="16" a="1"/>
  <c r="V773" i="16"/>
  <c r="W772" i="16" l="1"/>
  <c r="W773" i="16" a="1"/>
  <c r="V774" i="16"/>
  <c r="W773" i="16" l="1"/>
  <c r="W774" i="16" a="1"/>
  <c r="V775" i="16"/>
  <c r="W774" i="16" l="1"/>
  <c r="W775" i="16" a="1"/>
  <c r="V776" i="16"/>
  <c r="W775" i="16" l="1"/>
  <c r="W776" i="16" a="1"/>
  <c r="V777" i="16"/>
  <c r="W776" i="16" l="1"/>
  <c r="W777" i="16" a="1"/>
  <c r="V778" i="16"/>
  <c r="W777" i="16" l="1"/>
  <c r="V779" i="16"/>
  <c r="W778" i="16" a="1"/>
  <c r="W778" i="16" l="1"/>
  <c r="W779" i="16" a="1"/>
  <c r="V780" i="16"/>
  <c r="W779" i="16" l="1"/>
  <c r="W780" i="16" a="1"/>
  <c r="V781" i="16"/>
  <c r="W780" i="16" l="1"/>
  <c r="V782" i="16"/>
  <c r="W781" i="16" a="1"/>
  <c r="W781" i="16" l="1"/>
  <c r="W782" i="16" a="1"/>
  <c r="V783" i="16"/>
  <c r="W782" i="16" l="1"/>
  <c r="W783" i="16" a="1"/>
  <c r="V784" i="16"/>
  <c r="W783" i="16" l="1"/>
  <c r="W784" i="16" a="1"/>
  <c r="V785" i="16"/>
  <c r="W784" i="16" l="1"/>
  <c r="W785" i="16" a="1"/>
  <c r="V786" i="16"/>
  <c r="W785" i="16" l="1"/>
  <c r="W786" i="16" a="1"/>
  <c r="V787" i="16"/>
  <c r="W786" i="16" l="1"/>
  <c r="V788" i="16"/>
  <c r="W787" i="16" a="1"/>
  <c r="W787" i="16" l="1"/>
  <c r="V789" i="16"/>
  <c r="W788" i="16" a="1"/>
  <c r="W788" i="16" l="1"/>
  <c r="W789" i="16" a="1"/>
  <c r="V790" i="16"/>
  <c r="W789" i="16" l="1"/>
  <c r="V791" i="16"/>
  <c r="W790" i="16" a="1"/>
  <c r="W790" i="16" l="1"/>
  <c r="V792" i="16"/>
  <c r="W791" i="16" a="1"/>
  <c r="W791" i="16" l="1"/>
  <c r="W792" i="16" a="1"/>
  <c r="V793" i="16"/>
  <c r="W792" i="16" l="1"/>
  <c r="W793" i="16" a="1"/>
  <c r="V794" i="16"/>
  <c r="W793" i="16" l="1"/>
  <c r="W794" i="16" a="1"/>
  <c r="V795" i="16"/>
  <c r="W794" i="16" l="1"/>
  <c r="V796" i="16"/>
  <c r="W795" i="16" a="1"/>
  <c r="W795" i="16" l="1"/>
  <c r="V797" i="16"/>
  <c r="W796" i="16" a="1"/>
  <c r="W796" i="16" l="1"/>
  <c r="V798" i="16"/>
  <c r="W797" i="16" a="1"/>
  <c r="W797" i="16" l="1"/>
  <c r="V799" i="16"/>
  <c r="W798" i="16" a="1"/>
  <c r="W798" i="16" l="1"/>
  <c r="V800" i="16"/>
  <c r="W799" i="16" a="1"/>
  <c r="W799" i="16" l="1"/>
  <c r="V801" i="16"/>
  <c r="W800" i="16" a="1"/>
  <c r="W800" i="16" l="1"/>
  <c r="V802" i="16"/>
  <c r="W801" i="16" a="1"/>
  <c r="W801" i="16" l="1"/>
  <c r="V803" i="16"/>
  <c r="W802" i="16" a="1"/>
  <c r="W802" i="16" l="1"/>
  <c r="W803" i="16" a="1"/>
  <c r="V804" i="16"/>
  <c r="W803" i="16" l="1"/>
  <c r="V805" i="16"/>
  <c r="W804" i="16" a="1"/>
  <c r="W804" i="16" l="1"/>
  <c r="W805" i="16" a="1"/>
  <c r="V806" i="16"/>
  <c r="W805" i="16" l="1"/>
  <c r="W806" i="16" a="1"/>
  <c r="V807" i="16"/>
  <c r="W806" i="16" l="1"/>
  <c r="W807" i="16" a="1"/>
  <c r="V808" i="16"/>
  <c r="W807" i="16" l="1"/>
  <c r="V809" i="16"/>
  <c r="W808" i="16" a="1"/>
  <c r="W808" i="16" l="1"/>
  <c r="V810" i="16"/>
  <c r="W809" i="16" a="1"/>
  <c r="W809" i="16" l="1"/>
  <c r="V811" i="16"/>
  <c r="W810" i="16" a="1"/>
  <c r="W810" i="16" l="1"/>
  <c r="V812" i="16"/>
  <c r="W811" i="16" a="1"/>
  <c r="W811" i="16" l="1"/>
  <c r="W812" i="16" a="1"/>
  <c r="V813" i="16"/>
  <c r="W812" i="16" l="1"/>
  <c r="W813" i="16" a="1"/>
  <c r="V814" i="16"/>
  <c r="W813" i="16" l="1"/>
  <c r="W814" i="16" a="1"/>
  <c r="V815" i="16"/>
  <c r="W814" i="16" l="1"/>
  <c r="W815" i="16" a="1"/>
  <c r="V816" i="16"/>
  <c r="W815" i="16" l="1"/>
  <c r="W816" i="16" a="1"/>
  <c r="V817" i="16"/>
  <c r="W816" i="16" l="1"/>
  <c r="W817" i="16" a="1"/>
  <c r="V818" i="16"/>
  <c r="W817" i="16" l="1"/>
  <c r="W818" i="16" a="1"/>
  <c r="V819" i="16"/>
  <c r="W818" i="16" l="1"/>
  <c r="W819" i="16" a="1"/>
  <c r="V820" i="16"/>
  <c r="W819" i="16" l="1"/>
  <c r="V821" i="16"/>
  <c r="W820" i="16" a="1"/>
  <c r="W820" i="16" l="1"/>
  <c r="V822" i="16"/>
  <c r="W821" i="16" a="1"/>
  <c r="W821" i="16" l="1"/>
  <c r="W822" i="16" a="1"/>
  <c r="V823" i="16"/>
  <c r="W822" i="16" l="1"/>
  <c r="W823" i="16" a="1"/>
  <c r="V824" i="16"/>
  <c r="W823" i="16" l="1"/>
  <c r="W824" i="16" a="1"/>
  <c r="V825" i="16"/>
  <c r="W824" i="16" l="1"/>
  <c r="W825" i="16" a="1"/>
  <c r="V826" i="16"/>
  <c r="W825" i="16" l="1"/>
  <c r="W826" i="16" a="1"/>
  <c r="V827" i="16"/>
  <c r="W826" i="16" l="1"/>
  <c r="W827" i="16" a="1"/>
  <c r="V828" i="16"/>
  <c r="W827" i="16" l="1"/>
  <c r="W828" i="16" a="1"/>
  <c r="V829" i="16"/>
  <c r="W828" i="16" l="1"/>
  <c r="W829" i="16" a="1"/>
  <c r="V830" i="16"/>
  <c r="W829" i="16" l="1"/>
  <c r="W830" i="16" a="1"/>
  <c r="V831" i="16"/>
  <c r="W830" i="16" l="1"/>
  <c r="W831" i="16" a="1"/>
  <c r="V832" i="16"/>
  <c r="W831" i="16" l="1"/>
  <c r="W832" i="16" a="1"/>
  <c r="V833" i="16"/>
  <c r="W832" i="16" l="1"/>
  <c r="W833" i="16" a="1"/>
  <c r="V834" i="16"/>
  <c r="W833" i="16" l="1"/>
  <c r="W834" i="16" a="1"/>
  <c r="V835" i="16"/>
  <c r="W834" i="16" l="1"/>
  <c r="V836" i="16"/>
  <c r="W835" i="16" a="1"/>
  <c r="W835" i="16" l="1"/>
  <c r="W836" i="16" a="1"/>
  <c r="V837" i="16"/>
  <c r="W836" i="16" l="1"/>
  <c r="V838" i="16"/>
  <c r="W837" i="16" a="1"/>
  <c r="W837" i="16" l="1"/>
  <c r="W838" i="16" a="1"/>
  <c r="V839" i="16"/>
  <c r="W838" i="16" l="1"/>
  <c r="W839" i="16" a="1"/>
  <c r="V840" i="16"/>
  <c r="W839" i="16" l="1"/>
  <c r="V841" i="16"/>
  <c r="W840" i="16" a="1"/>
  <c r="W840" i="16" l="1"/>
  <c r="V842" i="16"/>
  <c r="W841" i="16" a="1"/>
  <c r="W841" i="16" l="1"/>
  <c r="V843" i="16"/>
  <c r="W842" i="16" a="1"/>
  <c r="W842" i="16" l="1"/>
  <c r="W843" i="16" a="1"/>
  <c r="V844" i="16"/>
  <c r="W843" i="16" l="1"/>
  <c r="W844" i="16" a="1"/>
  <c r="V845" i="16"/>
  <c r="W844" i="16" l="1"/>
  <c r="W845" i="16" a="1"/>
  <c r="V846" i="16"/>
  <c r="W845" i="16" l="1"/>
  <c r="W846" i="16" a="1"/>
  <c r="V847" i="16"/>
  <c r="W846" i="16" l="1"/>
  <c r="W847" i="16" a="1"/>
  <c r="V848" i="16"/>
  <c r="W847" i="16" l="1"/>
  <c r="V849" i="16"/>
  <c r="W848" i="16" a="1"/>
  <c r="W848" i="16" l="1"/>
  <c r="W849" i="16" a="1"/>
  <c r="V850" i="16"/>
  <c r="W849" i="16" l="1"/>
  <c r="W850" i="16" a="1"/>
  <c r="V851" i="16"/>
  <c r="W850" i="16" l="1"/>
  <c r="V852" i="16"/>
  <c r="W851" i="16" a="1"/>
  <c r="W851" i="16" l="1"/>
  <c r="V853" i="16"/>
  <c r="W852" i="16" a="1"/>
  <c r="W852" i="16" l="1"/>
  <c r="V854" i="16"/>
  <c r="W853" i="16" a="1"/>
  <c r="W853" i="16" l="1"/>
  <c r="W854" i="16" a="1"/>
  <c r="V855" i="16"/>
  <c r="W854" i="16" l="1"/>
  <c r="V856" i="16"/>
  <c r="W855" i="16" a="1"/>
  <c r="W855" i="16" l="1"/>
  <c r="W856" i="16" a="1"/>
  <c r="V857" i="16"/>
  <c r="W856" i="16" l="1"/>
  <c r="V858" i="16"/>
  <c r="W857" i="16" a="1"/>
  <c r="W857" i="16" l="1"/>
  <c r="V859" i="16"/>
  <c r="W858" i="16" a="1"/>
  <c r="W858" i="16" l="1"/>
  <c r="W859" i="16" a="1"/>
  <c r="V860" i="16"/>
  <c r="W859" i="16" l="1"/>
  <c r="W860" i="16" a="1"/>
  <c r="V861" i="16"/>
  <c r="W860" i="16" l="1"/>
  <c r="V862" i="16"/>
  <c r="W861" i="16" a="1"/>
  <c r="W861" i="16" l="1"/>
  <c r="W862" i="16" a="1"/>
  <c r="V863" i="16"/>
  <c r="W862" i="16" l="1"/>
  <c r="V864" i="16"/>
  <c r="W863" i="16" a="1"/>
  <c r="W863" i="16" l="1"/>
  <c r="V865" i="16"/>
  <c r="W864" i="16" a="1"/>
  <c r="W864" i="16" l="1"/>
  <c r="W865" i="16" a="1"/>
  <c r="V866" i="16"/>
  <c r="W865" i="16" l="1"/>
  <c r="W866" i="16" a="1"/>
  <c r="V867" i="16"/>
  <c r="W866" i="16" l="1"/>
  <c r="V868" i="16"/>
  <c r="W867" i="16" a="1"/>
  <c r="W867" i="16" l="1"/>
  <c r="W868" i="16" a="1"/>
  <c r="V869" i="16"/>
  <c r="W868" i="16" l="1"/>
  <c r="W869" i="16" a="1"/>
  <c r="V870" i="16"/>
  <c r="W869" i="16" l="1"/>
  <c r="W870" i="16" a="1"/>
  <c r="V871" i="16"/>
  <c r="W870" i="16" l="1"/>
  <c r="W871" i="16" a="1"/>
  <c r="V872" i="16"/>
  <c r="W871" i="16" l="1"/>
  <c r="V873" i="16"/>
  <c r="W872" i="16" a="1"/>
  <c r="W872" i="16" l="1"/>
  <c r="W873" i="16" a="1"/>
  <c r="V874" i="16"/>
  <c r="W873" i="16" l="1"/>
  <c r="W874" i="16" a="1"/>
  <c r="V875" i="16"/>
  <c r="W874" i="16" l="1"/>
  <c r="W875" i="16" a="1"/>
  <c r="V876" i="16"/>
  <c r="W875" i="16" l="1"/>
  <c r="W876" i="16" a="1"/>
  <c r="V877" i="16"/>
  <c r="W876" i="16" l="1"/>
  <c r="W877" i="16" a="1"/>
  <c r="V878" i="16"/>
  <c r="W877" i="16" l="1"/>
  <c r="W878" i="16" a="1"/>
  <c r="V879" i="16"/>
  <c r="W878" i="16" l="1"/>
  <c r="W879" i="16" a="1"/>
  <c r="V880" i="16"/>
  <c r="W879" i="16" l="1"/>
  <c r="W880" i="16" a="1"/>
  <c r="V881" i="16"/>
  <c r="W880" i="16" l="1"/>
  <c r="W881" i="16" a="1"/>
  <c r="V882" i="16"/>
  <c r="W881" i="16" l="1"/>
  <c r="W882" i="16" a="1"/>
  <c r="V883" i="16"/>
  <c r="W882" i="16" l="1"/>
  <c r="W883" i="16" a="1"/>
  <c r="V884" i="16"/>
  <c r="W883" i="16" l="1"/>
  <c r="W884" i="16" a="1"/>
  <c r="V885" i="16"/>
  <c r="W884" i="16" l="1"/>
  <c r="W885" i="16" a="1"/>
  <c r="V886" i="16"/>
  <c r="W885" i="16" l="1"/>
  <c r="W886" i="16" a="1"/>
  <c r="V887" i="16"/>
  <c r="W886" i="16" l="1"/>
  <c r="W887" i="16" a="1"/>
  <c r="V888" i="16"/>
  <c r="W887" i="16" l="1"/>
  <c r="V889" i="16"/>
  <c r="W888" i="16" a="1"/>
  <c r="W888" i="16" l="1"/>
  <c r="W889" i="16" a="1"/>
  <c r="V890" i="16"/>
  <c r="W889" i="16" l="1"/>
  <c r="W890" i="16" a="1"/>
  <c r="V891" i="16"/>
  <c r="W890" i="16" l="1"/>
  <c r="W891" i="16" a="1"/>
  <c r="V892" i="16"/>
  <c r="W891" i="16" l="1"/>
  <c r="V893" i="16"/>
  <c r="W892" i="16" a="1"/>
  <c r="W892" i="16" l="1"/>
  <c r="W893" i="16" a="1"/>
  <c r="V894" i="16"/>
  <c r="W893" i="16" l="1"/>
  <c r="W894" i="16" a="1"/>
  <c r="V895" i="16"/>
  <c r="W894" i="16" l="1"/>
  <c r="W895" i="16" a="1"/>
  <c r="V896" i="16"/>
  <c r="W895" i="16" l="1"/>
  <c r="W896" i="16" a="1"/>
  <c r="V897" i="16"/>
  <c r="W896" i="16" l="1"/>
  <c r="W897" i="16" a="1"/>
  <c r="V898" i="16"/>
  <c r="W897" i="16" l="1"/>
  <c r="V899" i="16"/>
  <c r="W898" i="16" a="1"/>
  <c r="W898" i="16" l="1"/>
  <c r="V900" i="16"/>
  <c r="W899" i="16" a="1"/>
  <c r="W899" i="16" l="1"/>
  <c r="V901" i="16"/>
  <c r="W900" i="16" a="1"/>
  <c r="W900" i="16" l="1"/>
  <c r="V902" i="16"/>
  <c r="W901" i="16" a="1"/>
  <c r="W901" i="16" l="1"/>
  <c r="W902" i="16" a="1"/>
  <c r="V903" i="16"/>
  <c r="W902" i="16" l="1"/>
  <c r="W903" i="16" a="1"/>
  <c r="V904" i="16"/>
  <c r="W903" i="16" l="1"/>
  <c r="W904" i="16" a="1"/>
  <c r="V905" i="16"/>
  <c r="W904" i="16" l="1"/>
  <c r="W905" i="16" a="1"/>
  <c r="V906" i="16"/>
  <c r="W905" i="16" l="1"/>
  <c r="W906" i="16" a="1"/>
  <c r="V907" i="16"/>
  <c r="W906" i="16" l="1"/>
  <c r="W907" i="16" a="1"/>
  <c r="V908" i="16"/>
  <c r="W907" i="16" l="1"/>
  <c r="W908" i="16" a="1"/>
  <c r="V909" i="16"/>
  <c r="W908" i="16" l="1"/>
  <c r="W909" i="16" a="1"/>
  <c r="V910" i="16"/>
  <c r="W909" i="16" l="1"/>
  <c r="V911" i="16"/>
  <c r="W910" i="16" a="1"/>
  <c r="W910" i="16" l="1"/>
  <c r="W911" i="16" a="1"/>
  <c r="V912" i="16"/>
  <c r="W911" i="16" l="1"/>
  <c r="W912" i="16" a="1"/>
  <c r="V913" i="16"/>
  <c r="W912" i="16" l="1"/>
  <c r="W913" i="16" a="1"/>
  <c r="V914" i="16"/>
  <c r="W913" i="16" l="1"/>
  <c r="W914" i="16" a="1"/>
  <c r="V915" i="16"/>
  <c r="W914" i="16" l="1"/>
  <c r="V916" i="16"/>
  <c r="W915" i="16" a="1"/>
  <c r="W915" i="16" l="1"/>
  <c r="V917" i="16"/>
  <c r="W916" i="16" a="1"/>
  <c r="W916" i="16" l="1"/>
  <c r="W917" i="16" a="1"/>
  <c r="V918" i="16"/>
  <c r="W917" i="16" l="1"/>
  <c r="W918" i="16" a="1"/>
  <c r="V919" i="16"/>
  <c r="W918" i="16" l="1"/>
  <c r="W919" i="16" a="1"/>
  <c r="V920" i="16"/>
  <c r="W919" i="16" l="1"/>
  <c r="W920" i="16" a="1"/>
  <c r="V921" i="16"/>
  <c r="W920" i="16" l="1"/>
  <c r="V922" i="16"/>
  <c r="W921" i="16" a="1"/>
  <c r="W921" i="16" l="1"/>
  <c r="V923" i="16"/>
  <c r="W922" i="16" a="1"/>
  <c r="W922" i="16" l="1"/>
  <c r="V924" i="16"/>
  <c r="W923" i="16" a="1"/>
  <c r="W923" i="16" l="1"/>
  <c r="W924" i="16" a="1"/>
  <c r="V925" i="16"/>
  <c r="W924" i="16" l="1"/>
  <c r="W925" i="16" a="1"/>
  <c r="V926" i="16"/>
  <c r="W925" i="16" l="1"/>
  <c r="W926" i="16" a="1"/>
  <c r="V927" i="16"/>
  <c r="W926" i="16" l="1"/>
  <c r="V928" i="16"/>
  <c r="W927" i="16" a="1"/>
  <c r="W927" i="16" l="1"/>
  <c r="W928" i="16" a="1"/>
  <c r="V929" i="16"/>
  <c r="W928" i="16" l="1"/>
  <c r="W929" i="16" a="1"/>
  <c r="V930" i="16"/>
  <c r="W929" i="16" l="1"/>
  <c r="W930" i="16" a="1"/>
  <c r="V931" i="16"/>
  <c r="W930" i="16" l="1"/>
  <c r="V932" i="16"/>
  <c r="W931" i="16" a="1"/>
  <c r="W931" i="16" l="1"/>
  <c r="V933" i="16"/>
  <c r="W932" i="16" a="1"/>
  <c r="W932" i="16" l="1"/>
  <c r="V934" i="16"/>
  <c r="W933" i="16" a="1"/>
  <c r="W933" i="16" l="1"/>
  <c r="W934" i="16" a="1"/>
  <c r="V935" i="16"/>
  <c r="W934" i="16" l="1"/>
  <c r="V936" i="16"/>
  <c r="W935" i="16" a="1"/>
  <c r="W935" i="16" l="1"/>
  <c r="W936" i="16" a="1"/>
  <c r="V937" i="16"/>
  <c r="W936" i="16" l="1"/>
  <c r="W937" i="16" a="1"/>
  <c r="V938" i="16"/>
  <c r="W937" i="16" l="1"/>
  <c r="V939" i="16"/>
  <c r="W938" i="16" a="1"/>
  <c r="W938" i="16" l="1"/>
  <c r="W939" i="16" a="1"/>
  <c r="V940" i="16"/>
  <c r="W939" i="16" l="1"/>
  <c r="W940" i="16" a="1"/>
  <c r="V941" i="16"/>
  <c r="W940" i="16" l="1"/>
  <c r="W941" i="16" a="1"/>
  <c r="V942" i="16"/>
  <c r="W941" i="16" l="1"/>
  <c r="W942" i="16" a="1"/>
  <c r="V943" i="16"/>
  <c r="W942" i="16" l="1"/>
  <c r="W943" i="16" a="1"/>
  <c r="V944" i="16"/>
  <c r="W943" i="16" l="1"/>
  <c r="W944" i="16" a="1"/>
  <c r="V945" i="16"/>
  <c r="W944" i="16" l="1"/>
  <c r="W945" i="16" a="1"/>
  <c r="V946" i="16"/>
  <c r="W945" i="16" l="1"/>
  <c r="V947" i="16"/>
  <c r="W946" i="16" a="1"/>
  <c r="W946" i="16" l="1"/>
  <c r="W947" i="16" a="1"/>
  <c r="V948" i="16"/>
  <c r="W947" i="16" l="1"/>
  <c r="W948" i="16" a="1"/>
  <c r="V949" i="16"/>
  <c r="W948" i="16" l="1"/>
  <c r="W949" i="16" a="1"/>
  <c r="V950" i="16"/>
  <c r="W949" i="16" l="1"/>
  <c r="V951" i="16"/>
  <c r="W950" i="16" a="1"/>
  <c r="W950" i="16" l="1"/>
  <c r="W951" i="16" a="1"/>
  <c r="V952" i="16"/>
  <c r="W951" i="16" l="1"/>
  <c r="W952" i="16" a="1"/>
  <c r="V953" i="16"/>
  <c r="W952" i="16" l="1"/>
  <c r="W953" i="16" a="1"/>
  <c r="V954" i="16"/>
  <c r="W953" i="16" l="1"/>
  <c r="W954" i="16" a="1"/>
  <c r="V955" i="16"/>
  <c r="W954" i="16" l="1"/>
  <c r="V956" i="16"/>
  <c r="W955" i="16" a="1"/>
  <c r="W955" i="16" l="1"/>
  <c r="W956" i="16" a="1"/>
  <c r="V957" i="16"/>
  <c r="W956" i="16" l="1"/>
  <c r="V958" i="16"/>
  <c r="W957" i="16" a="1"/>
  <c r="W957" i="16" l="1"/>
  <c r="W958" i="16" a="1"/>
  <c r="V959" i="16"/>
  <c r="W958" i="16" l="1"/>
  <c r="W959" i="16" a="1"/>
  <c r="V960" i="16"/>
  <c r="W959" i="16" l="1"/>
  <c r="V961" i="16"/>
  <c r="W960" i="16" a="1"/>
  <c r="W960" i="16" l="1"/>
  <c r="W961" i="16" a="1"/>
  <c r="V962" i="16"/>
  <c r="W961" i="16" l="1"/>
  <c r="W962" i="16" a="1"/>
  <c r="V963" i="16"/>
  <c r="W962" i="16" l="1"/>
  <c r="W963" i="16" a="1"/>
  <c r="V964" i="16"/>
  <c r="W963" i="16" l="1"/>
  <c r="W964" i="16" a="1"/>
  <c r="V965" i="16"/>
  <c r="W964" i="16" l="1"/>
  <c r="V966" i="16"/>
  <c r="W965" i="16" a="1"/>
  <c r="W965" i="16" l="1"/>
  <c r="W966" i="16" a="1"/>
  <c r="V967" i="16"/>
  <c r="W966" i="16" l="1"/>
  <c r="W967" i="16" a="1"/>
  <c r="V968" i="16"/>
  <c r="W967" i="16" l="1"/>
  <c r="W968" i="16" a="1"/>
  <c r="V969" i="16"/>
  <c r="W968" i="16" l="1"/>
  <c r="W969" i="16" a="1"/>
  <c r="V970" i="16"/>
  <c r="W969" i="16" l="1"/>
  <c r="W970" i="16" a="1"/>
  <c r="V971" i="16"/>
  <c r="W970" i="16" l="1"/>
  <c r="W971" i="16" a="1"/>
  <c r="V972" i="16"/>
  <c r="W971" i="16" l="1"/>
  <c r="W972" i="16" a="1"/>
  <c r="V973" i="16"/>
  <c r="W972" i="16" l="1"/>
  <c r="W973" i="16" a="1"/>
  <c r="V974" i="16"/>
  <c r="W973" i="16" l="1"/>
  <c r="V975" i="16"/>
  <c r="W974" i="16" a="1"/>
  <c r="W974" i="16" l="1"/>
  <c r="W975" i="16" a="1"/>
  <c r="V976" i="16"/>
  <c r="W975" i="16" l="1"/>
  <c r="W976" i="16" a="1"/>
  <c r="V977" i="16"/>
  <c r="W976" i="16" l="1"/>
  <c r="W977" i="16" a="1"/>
  <c r="V978" i="16"/>
  <c r="W977" i="16" l="1"/>
  <c r="W978" i="16" a="1"/>
  <c r="V979" i="16"/>
  <c r="W978" i="16" l="1"/>
  <c r="W979" i="16" a="1"/>
  <c r="V980" i="16"/>
  <c r="W979" i="16" l="1"/>
  <c r="W980" i="16" a="1"/>
  <c r="V981" i="16"/>
  <c r="W980" i="16" l="1"/>
  <c r="V982" i="16"/>
  <c r="W981" i="16" a="1"/>
  <c r="W981" i="16" l="1"/>
  <c r="V983" i="16"/>
  <c r="W982" i="16" a="1"/>
  <c r="W982" i="16" l="1"/>
  <c r="V984" i="16"/>
  <c r="W983" i="16" a="1"/>
  <c r="W983" i="16" l="1"/>
  <c r="W984" i="16" a="1"/>
  <c r="V985" i="16"/>
  <c r="W984" i="16" l="1"/>
  <c r="W985" i="16" a="1"/>
  <c r="V986" i="16"/>
  <c r="W985" i="16" l="1"/>
  <c r="W986" i="16" a="1"/>
  <c r="V987" i="16"/>
  <c r="W986" i="16" l="1"/>
  <c r="W987" i="16" a="1"/>
  <c r="V988" i="16"/>
  <c r="W987" i="16" l="1"/>
  <c r="W988" i="16" a="1"/>
  <c r="V989" i="16"/>
  <c r="W988" i="16" l="1"/>
  <c r="W989" i="16" a="1"/>
  <c r="V990" i="16"/>
  <c r="W989" i="16" l="1"/>
  <c r="V991" i="16"/>
  <c r="W990" i="16" a="1"/>
  <c r="W990" i="16" l="1"/>
  <c r="V992" i="16"/>
  <c r="W991" i="16" a="1"/>
  <c r="W991" i="16" l="1"/>
  <c r="V993" i="16"/>
  <c r="W992" i="16" a="1"/>
  <c r="W992" i="16" l="1"/>
  <c r="W993" i="16" a="1"/>
  <c r="V994" i="16"/>
  <c r="W993" i="16" l="1"/>
  <c r="W994" i="16" a="1"/>
  <c r="V995" i="16"/>
  <c r="W994" i="16" l="1"/>
  <c r="W995" i="16" a="1"/>
  <c r="V996" i="16"/>
  <c r="W995" i="16" l="1"/>
  <c r="W996" i="16" a="1"/>
  <c r="V997" i="16"/>
  <c r="W996" i="16" l="1"/>
  <c r="W997" i="16" a="1"/>
  <c r="V998" i="16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<sst xmlns="http://schemas.openxmlformats.org/spreadsheetml/2006/main" count="969" uniqueCount="383">
  <si>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</si>
  <si>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</si>
  <si>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</si>
  <si>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</si>
  <si>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</si>
  <si>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</si>
  <si>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</si>
  <si>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</si>
  <si>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</si>
  <si>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</si>
  <si>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</si>
  <si>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</si>
  <si>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</si>
  <si>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</si>
  <si>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</si>
  <si>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</si>
  <si>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</si>
  <si>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</si>
  <si>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</si>
  <si>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</si>
  <si>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</si>
  <si>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</si>
  <si>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45/30-21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</si>
  <si>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</si>
  <si>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</si>
  <si>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</si>
  <si>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</si>
  <si>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</si>
  <si>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</si>
  <si>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</si>
  <si>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</si>
  <si>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</si>
  <si>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</si>
  <si>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</si>
  <si>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</si>
  <si>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</si>
  <si>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</si>
  <si>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</si>
  <si>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</si>
  <si>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</si>
  <si>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</si>
  <si>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</si>
  <si>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</si>
  <si>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</si>
  <si>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</si>
  <si>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</si>
  <si>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</si>
  <si>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</si>
  <si>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</si>
  <si>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</si>
  <si>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</si>
  <si>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</si>
  <si>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</si>
  <si>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</si>
  <si>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</si>
  <si>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</si>
  <si>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</si>
  <si>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</si>
  <si>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</si>
  <si>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</si>
  <si>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</si>
  <si>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measuresProperty</t>
  </si>
  <si>
    <t>controlsProperty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</si>
  <si>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</si>
  <si>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</si>
  <si>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</si>
  <si>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</si>
  <si>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</si>
  <si>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</si>
  <si>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</si>
  <si>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</si>
  <si>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</si>
  <si>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</si>
  <si>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</si>
  <si>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</si>
  <si>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</si>
  <si>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</si>
  <si>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</si>
  <si>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</si>
  <si>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</si>
  <si>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</si>
  <si>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</si>
  <si>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</si>
  <si>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</si>
  <si>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</si>
  <si>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</si>
  <si>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</si>
  <si>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</si>
  <si>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033A</t>
  </si>
  <si>
    <t>033A_damper_position_property</t>
  </si>
  <si>
    <t>HF04</t>
  </si>
  <si>
    <t>033A_temperature_property;033A_co2_property</t>
  </si>
  <si>
    <t>connectedAfter</t>
  </si>
  <si>
    <t>system_names</t>
  </si>
  <si>
    <t>ventilation_system_names</t>
  </si>
  <si>
    <t>heating_system_names</t>
  </si>
  <si>
    <t>cooling_system_names</t>
  </si>
  <si>
    <t>033A_valve_position_sensor</t>
  </si>
  <si>
    <t>033A_damper_position_sensor</t>
  </si>
  <si>
    <t>033A_co2_sensor</t>
  </si>
  <si>
    <t>heating_cooling_system_names</t>
  </si>
  <si>
    <t>033A_temperature_controller</t>
  </si>
  <si>
    <t>033A_co2_controller</t>
  </si>
  <si>
    <t>033A_space_heater</t>
  </si>
  <si>
    <t>033A_space_heater_valve</t>
  </si>
  <si>
    <t>033A_radiator_valve_position_property</t>
  </si>
  <si>
    <t>033A_temperature_property</t>
  </si>
  <si>
    <t>033A_radiator_heat_property</t>
  </si>
  <si>
    <t>033A_co2_property</t>
  </si>
  <si>
    <t>HD01</t>
  </si>
  <si>
    <t>cooling_coil</t>
  </si>
  <si>
    <t>033A_temperature_sensor</t>
  </si>
  <si>
    <t>heating_coil</t>
  </si>
  <si>
    <t>Cooling</t>
  </si>
  <si>
    <t>Cooling;HF04</t>
  </si>
  <si>
    <t>HF04;HD01</t>
  </si>
  <si>
    <t>BTA004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</si>
  <si>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</si>
  <si>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</si>
  <si>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</si>
  <si>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</si>
  <si>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</si>
  <si>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</si>
  <si>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</si>
  <si>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</si>
  <si>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</si>
  <si>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</si>
  <si>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</si>
  <si>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HF04_heat_exchanger</t>
  </si>
  <si>
    <t>fan_supply_pressure</t>
  </si>
  <si>
    <t>supply_fan</t>
  </si>
  <si>
    <t>BTA001</t>
  </si>
  <si>
    <t>heat_exchanger_power</t>
  </si>
  <si>
    <t>BTA002</t>
  </si>
  <si>
    <t>fan_power</t>
  </si>
  <si>
    <t>BTA003</t>
  </si>
  <si>
    <t>cooling_coil_power</t>
  </si>
  <si>
    <t>heating_coil_power</t>
  </si>
  <si>
    <t>supply_pressure</t>
  </si>
  <si>
    <t>BTA005</t>
  </si>
  <si>
    <t>exhaust_pressure</t>
  </si>
  <si>
    <t>BTA006</t>
  </si>
  <si>
    <t>exhaust_fan</t>
  </si>
  <si>
    <t>exhaust_fan_power</t>
  </si>
  <si>
    <t>exhaust_fan_pressure</t>
  </si>
  <si>
    <t>HF04_reheated_air_temperature</t>
  </si>
  <si>
    <t>HF04_heated_air_temperature</t>
  </si>
  <si>
    <t>HF04_exhaust_temperature</t>
  </si>
  <si>
    <t>HF04_exhaust_temperature_after_reheater</t>
  </si>
  <si>
    <t>HF04_supply_air_temperature</t>
  </si>
  <si>
    <t>HF04_intake_air_temperature</t>
  </si>
  <si>
    <t>033A_room_supply_damper</t>
  </si>
  <si>
    <t>033A_room_exhaust_damper</t>
  </si>
  <si>
    <t>BPA001</t>
  </si>
  <si>
    <t>intake_pressure</t>
  </si>
  <si>
    <t>BPA002</t>
  </si>
  <si>
    <t>BPA004_exhaust</t>
  </si>
  <si>
    <t>BPA003_supply</t>
  </si>
  <si>
    <t>BPA003_exhaust</t>
  </si>
  <si>
    <t>BPA004_exhaust_fan</t>
  </si>
  <si>
    <t>csv filename</t>
  </si>
  <si>
    <t>airFlowRateMin</t>
  </si>
  <si>
    <t>nominalLatentCapacity</t>
  </si>
  <si>
    <t>nominalSensibleCapacity</t>
  </si>
  <si>
    <t>nominalUa</t>
  </si>
  <si>
    <t>/Twin4build-Case-Studies/DP37/data/Time series/HF04/OD095_01_032A_J95_HF04_BPA001_S1.plc_SENSOR_VALUE.csv</t>
  </si>
  <si>
    <t>/Twin4build-Case-Studies/DP37/data/Time series/HF04/OD095_01_032A_J95_HF04_BPA002_S1.plc_SENSOR_VALUE.csv</t>
  </si>
  <si>
    <t>/Twin4build-Case-Studies/DP37/data/Time series/HF04/OD095_01_032A_J95_HF04_BPA003_S1.plc_SENSOR_VALUE.csv</t>
  </si>
  <si>
    <t>/Twin4build-Case-Studies/DP37/data/Time series/HF04/OD095_01_032A_J95_HF04_BPA004_S1.plc_SENSOR_VALUE.csv</t>
  </si>
  <si>
    <t>/Twin4build-Case-Studies/DP37/data/Time series/HF04/OD095_01_032A_J95_HF04_BPA005_S1.plc_SENSOR_VALUE.csv</t>
  </si>
  <si>
    <t>/Twin4build-Case-Studies/DP37/data/Time series/HF04/OD095_01_032A_J95_HF04_BPA006_S1.plc_SENSOR_VALUE.csv</t>
  </si>
  <si>
    <t>/Twin4build-Case-Studies/DP37/data/Time series/HF04/OD095_01_032A_J95_HF04_BTA001_S1.plc_SENSOR_VALUE.csv</t>
  </si>
  <si>
    <t>/Twin4build-Case-Studies/DP37/data/Time series/HF04/OD095_01_032A_J95_HF04_BTA002_S1.plc_SENSOR_VALUE.csv</t>
  </si>
  <si>
    <t>/Twin4build-Case-Studies/DP37/data/Time series/HF04/OD095_01_032A_J95_HF04_BTA003_S1.plc_SENSOR_VALUE.csv</t>
  </si>
  <si>
    <t>/Twin4build-Case-Studies/DP37/data/Time series/HF04/OD095_01_032A_J95_HF04_BTA004_S1.plc_SENSOR_VALUE.csv</t>
  </si>
  <si>
    <t>/Twin4build-Case-Studies/DP37/data/Time series/HF04/OD095_01_032A_J95_HF04_BTA005_S1.plc_SENSOR_VALUE.csv</t>
  </si>
  <si>
    <t>/Twin4build-Case-Studies/DP37/data/Time series/HF04/OD095_01_032A_J95_HF04_BTA006_S1.plc_SENSOR_VALUE.csv</t>
  </si>
  <si>
    <t>supply_fan_flow</t>
  </si>
  <si>
    <t>exhaust_fan_flow</t>
  </si>
  <si>
    <t>fan_supply_pressure;fan_power;supply_fan_flow</t>
  </si>
  <si>
    <t>exhaust_fan_pressure;exhaust_fan_power;exhaust_fan_flow</t>
  </si>
  <si>
    <t>exhaust_filter_pressure</t>
  </si>
  <si>
    <t>supply_filter_pressure</t>
  </si>
  <si>
    <t>BTA001;BPA003_exhaust</t>
  </si>
  <si>
    <t>HF04_intake_air_temperature;HF04_reheated_air_temperature;HF04_exhaust_temperature;HF04_exhaust_temperature_after_reheater</t>
  </si>
  <si>
    <t>/Twin4build-Case-Studies/DP37/data/Time series/Rooms/OD095_01_033A/OD095_01_033A_L95_LC02_BQA004_S2.plc_SENSOR_VALUE.csv</t>
  </si>
  <si>
    <t>031A</t>
  </si>
  <si>
    <t>031A_co2_property</t>
  </si>
  <si>
    <t>031A_radiator_heat_property</t>
  </si>
  <si>
    <t>031A_radiator_valve_position_property</t>
  </si>
  <si>
    <t>031A_damper_position_property</t>
  </si>
  <si>
    <t>031A_temperature_property</t>
  </si>
  <si>
    <t>031A_co2_property;031A_temperature_property</t>
  </si>
  <si>
    <t>031A_space_heater_valve</t>
  </si>
  <si>
    <t>031A_space_heater</t>
  </si>
  <si>
    <t>031A_room_supply_damper</t>
  </si>
  <si>
    <t>031A_room_exhaust_damper</t>
  </si>
  <si>
    <t>/Twin4build-Case-Studies/DP37/data/Time series/Rooms/OD095_01_033A/OD095_01_033A_L95_LC02_BQA004_S1.plc_SENSOR_VALUE.csv</t>
  </si>
  <si>
    <t>/Twin4build-Case-Studies/DP37/data/Time series/Rooms/OD095_01_033A/OD095_01_033A_L95_LC02_QNB008_C1.plc_ACTUATOR_VALUE.csv</t>
  </si>
  <si>
    <t>035A_co2_property</t>
  </si>
  <si>
    <t>035A_radiator_heat_property</t>
  </si>
  <si>
    <t>035A_radiator_valve_position_property</t>
  </si>
  <si>
    <t>035A_damper_position_property</t>
  </si>
  <si>
    <t>035A_temperature_property</t>
  </si>
  <si>
    <t>029A_co2_property</t>
  </si>
  <si>
    <t>029A_radiator_heat_property</t>
  </si>
  <si>
    <t>029A_radiator_valve_position_property</t>
  </si>
  <si>
    <t>029A_damper_position_property</t>
  </si>
  <si>
    <t>029A_temperature_property</t>
  </si>
  <si>
    <t>021A_co2_property</t>
  </si>
  <si>
    <t>021A_radiator_heat_property</t>
  </si>
  <si>
    <t>021A_radiator_valve_position_property</t>
  </si>
  <si>
    <t>021A_damper_position_property</t>
  </si>
  <si>
    <t>021A_temperature_property</t>
  </si>
  <si>
    <t>020B_co2_property</t>
  </si>
  <si>
    <t>020B_radiator_heat_property</t>
  </si>
  <si>
    <t>020B_radiator_valve_position_property</t>
  </si>
  <si>
    <t>020B_damper_position_property</t>
  </si>
  <si>
    <t>020B_temperature_property</t>
  </si>
  <si>
    <t>020A_co2_property</t>
  </si>
  <si>
    <t>020A_radiator_heat_property</t>
  </si>
  <si>
    <t>020A_radiator_valve_position_property</t>
  </si>
  <si>
    <t>020A_damper_position_property</t>
  </si>
  <si>
    <t>020A_temperature_property</t>
  </si>
  <si>
    <t>015A_co2_property</t>
  </si>
  <si>
    <t>015A_radiator_heat_property</t>
  </si>
  <si>
    <t>015A_radiator_valve_position_property</t>
  </si>
  <si>
    <t>015A_damper_position_property</t>
  </si>
  <si>
    <t>015A_temperature_property</t>
  </si>
  <si>
    <t>013A_co2_property</t>
  </si>
  <si>
    <t>013A_radiator_heat_property</t>
  </si>
  <si>
    <t>013A_radiator_valve_position_property</t>
  </si>
  <si>
    <t>013A_damper_position_property</t>
  </si>
  <si>
    <t>013A_temperature_property</t>
  </si>
  <si>
    <t>012A_co2_property</t>
  </si>
  <si>
    <t>012A_radiator_heat_property</t>
  </si>
  <si>
    <t>012A_radiator_valve_position_property</t>
  </si>
  <si>
    <t>012A_damper_position_property</t>
  </si>
  <si>
    <t>012A_temperature_property</t>
  </si>
  <si>
    <t>011A_co2_property</t>
  </si>
  <si>
    <t>011A_radiator_heat_property</t>
  </si>
  <si>
    <t>011A_radiator_valve_position_property</t>
  </si>
  <si>
    <t>011A_damper_position_property</t>
  </si>
  <si>
    <t>011A_temperature_property</t>
  </si>
  <si>
    <t>008A_co2_property</t>
  </si>
  <si>
    <t>008A_radiator_heat_property</t>
  </si>
  <si>
    <t>008A_radiator_valve_position_property</t>
  </si>
  <si>
    <t>008A_damper_position_property</t>
  </si>
  <si>
    <t>008A_temperature_property</t>
  </si>
  <si>
    <t>007A_co2_property</t>
  </si>
  <si>
    <t>007A_radiator_heat_property</t>
  </si>
  <si>
    <t>007A_radiator_valve_position_property</t>
  </si>
  <si>
    <t>007A_damper_position_property</t>
  </si>
  <si>
    <t>007A_temperature_property</t>
  </si>
  <si>
    <t>035A</t>
  </si>
  <si>
    <t>035A_co2_property;035A_temperature_property</t>
  </si>
  <si>
    <t>035A_room_supply_damper</t>
  </si>
  <si>
    <t>035A_room_exhaust_damper</t>
  </si>
  <si>
    <t>029A</t>
  </si>
  <si>
    <t>029A_co2_property;029A_temperature_property</t>
  </si>
  <si>
    <t>029A_room_supply_damper</t>
  </si>
  <si>
    <t>029A_room_exhaust_damper</t>
  </si>
  <si>
    <t>035A_space_heater</t>
  </si>
  <si>
    <t>035A_space_heater_valve</t>
  </si>
  <si>
    <t>029A_space_heater</t>
  </si>
  <si>
    <t>029A_space_heater_valve</t>
  </si>
  <si>
    <t>031A_co2_sensor</t>
  </si>
  <si>
    <t>031A_damper_position_sensor</t>
  </si>
  <si>
    <t>031A_temperature_sensor</t>
  </si>
  <si>
    <t>031A_valve_position_sensor</t>
  </si>
  <si>
    <t>029A_co2_sensor</t>
  </si>
  <si>
    <t>029A_damper_position_sensor</t>
  </si>
  <si>
    <t>029A_temperature_sensor</t>
  </si>
  <si>
    <t>029A_valve_position_sensor</t>
  </si>
  <si>
    <t>035A_co2_sensor</t>
  </si>
  <si>
    <t>035A_damper_position_sensor</t>
  </si>
  <si>
    <t>035A_temperature_sensor</t>
  </si>
  <si>
    <t>035A_valve_position_sensor</t>
  </si>
  <si>
    <t>/Twin4build-Case-Studies/DP37/model/HF04_exhaust_fan_flow.csv</t>
  </si>
  <si>
    <t>/Twin4build-Case-Studies/DP37/model/HF04_supply_fan_flow.csv</t>
  </si>
  <si>
    <t>031A_temperature_controller</t>
  </si>
  <si>
    <t>031A_co2_controller</t>
  </si>
  <si>
    <t>035A_temperature_controller</t>
  </si>
  <si>
    <t>035A_co2_controller</t>
  </si>
  <si>
    <t>029A_temperature_controller</t>
  </si>
  <si>
    <t>029A_co2_controller</t>
  </si>
  <si>
    <t>/Twin4build-Case-Studies/DP37/data/Time series/Rooms/OD095_01_031A/OD095_01_031A_L95_LC02_BQA011_S2.plc_SENSOR_VALUE.csv</t>
  </si>
  <si>
    <t>/Twin4build-Case-Studies/DP37/data/Time series/Rooms/OD095_01_031A/OD095_01_031A_L95_LC02_BQA011_S1.plc_SENSOR_VALUE.csv</t>
  </si>
  <si>
    <t>/Twin4build-Case-Studies/DP37/data/Time series/Rooms/OD095_01_031A/OD095_01_031A_L95_LC02_QNB025_C1.plc_ACTUATOR_VALUE.csv</t>
  </si>
  <si>
    <t>/Twin4build-Case-Studies/DP37/data/Time series/Rooms/OD095_01_029A/OD095_01_029A_L95_LC02_BQA003_S2.plc_SENSOR_VALUE.csv</t>
  </si>
  <si>
    <t>/Twin4build-Case-Studies/DP37/data/Time series/Rooms/OD095_01_029A/OD095_01_029A_L95_LC02_QNB006_C1.plc_ACTUATOR_VALUE.csv</t>
  </si>
  <si>
    <t>/Twin4build-Case-Studies/DP37/data/Time series/Rooms/OD095_01_029A/OD095_01_029A_L95_LC02_BQA003_S1.plc_SENSOR_VALUE.csv</t>
  </si>
  <si>
    <t>/Twin4build-Case-Studies/DP37/data/Time series/Rooms/OD095_01_035A/OD095_01_035A_L95_LC02_BQA002_S2.plc_SENSOR_VALUE.csv</t>
  </si>
  <si>
    <t>/Twin4build-Case-Studies/DP37/data/Time series/Rooms/OD095_01_035A/OD095_01_035A_L95_LC02_BQA002_S1.plc_SENSOR_VALUE.csv</t>
  </si>
  <si>
    <t>/Twin4build-Case-Studies/DP37/data/Time series/Rooms/OD095_01_035A/OD095_01_035A_L95_LC02_QNB004_C1.plc_ACTUATOR_VALUE.csv</t>
  </si>
  <si>
    <t>020A</t>
  </si>
  <si>
    <t>020A_temperature_property;020A_co2_property</t>
  </si>
  <si>
    <t>020A_room_supply_damper</t>
  </si>
  <si>
    <t>020A_room_exhaust_damper</t>
  </si>
  <si>
    <t>020A_space_heater</t>
  </si>
  <si>
    <t>020A_space_heater_valve</t>
  </si>
  <si>
    <t>020A_temperature_controller</t>
  </si>
  <si>
    <t>020A_co2_controller</t>
  </si>
  <si>
    <t>020A_co2_sensor</t>
  </si>
  <si>
    <t>020A_damper_position_sensor</t>
  </si>
  <si>
    <t>020A_temperature_sensor</t>
  </si>
  <si>
    <t>020A_valve_position_sensor</t>
  </si>
  <si>
    <t>015A</t>
  </si>
  <si>
    <t>015A_temperature_property;015A_co2_property</t>
  </si>
  <si>
    <t>015A_room_supply_damper</t>
  </si>
  <si>
    <t>015A_room_exhaust_damper</t>
  </si>
  <si>
    <t>015A_space_heater</t>
  </si>
  <si>
    <t>015A_space_heater_valve</t>
  </si>
  <si>
    <t>015A_co2_sensor</t>
  </si>
  <si>
    <t>015A_damper_position_sensor</t>
  </si>
  <si>
    <t>015A_temperature_sensor</t>
  </si>
  <si>
    <t>015A_valve_position_sensor</t>
  </si>
  <si>
    <t>020B</t>
  </si>
  <si>
    <t>020B_temperature_property;020B_co2_property</t>
  </si>
  <si>
    <t>020B_room_supply_damper</t>
  </si>
  <si>
    <t>020B_room_exhaust_damper</t>
  </si>
  <si>
    <t>020B_space_heater</t>
  </si>
  <si>
    <t>020B_space_heater_valve</t>
  </si>
  <si>
    <t>020B_co2_sensor</t>
  </si>
  <si>
    <t>020B_damper_position_sensor</t>
  </si>
  <si>
    <t>020B_temperature_sensor</t>
  </si>
  <si>
    <t>020B_valve_position_sensor</t>
  </si>
  <si>
    <t>011A</t>
  </si>
  <si>
    <t>011A_temperature_property;011A_co2_property</t>
  </si>
  <si>
    <t>011A_room_supply_damper</t>
  </si>
  <si>
    <t>011A_room_exhaust_damper</t>
  </si>
  <si>
    <t>011A_space_heater</t>
  </si>
  <si>
    <t>011A_space_heater_valve</t>
  </si>
  <si>
    <t>011A_co2_sensor</t>
  </si>
  <si>
    <t>011A_damper_position_sensor</t>
  </si>
  <si>
    <t>011A_temperature_sensor</t>
  </si>
  <si>
    <t>011A_valve_position_sensor</t>
  </si>
  <si>
    <t>013A</t>
  </si>
  <si>
    <t>013A_temperature_property;013A_co2_property</t>
  </si>
  <si>
    <t>013A_room_supply_damper</t>
  </si>
  <si>
    <t>013A_room_exhaust_damper</t>
  </si>
  <si>
    <t>013A_space_heater</t>
  </si>
  <si>
    <t>013A_space_heater_valve</t>
  </si>
  <si>
    <t>013A_co2_sensor</t>
  </si>
  <si>
    <t>013A_damper_position_sensor</t>
  </si>
  <si>
    <t>013A_temperature_sensor</t>
  </si>
  <si>
    <t>013A_valve_position_sensor</t>
  </si>
  <si>
    <t>012A</t>
  </si>
  <si>
    <t>012A_temperature_property;012A_co2_property</t>
  </si>
  <si>
    <t>012A_room_supply_damper</t>
  </si>
  <si>
    <t>012A_room_exhaust_damper</t>
  </si>
  <si>
    <t>012A_space_heater</t>
  </si>
  <si>
    <t>012A_space_heater_valve</t>
  </si>
  <si>
    <t>012A_temperature_controller</t>
  </si>
  <si>
    <t>012A_co2_controller</t>
  </si>
  <si>
    <t>012A_co2_sensor</t>
  </si>
  <si>
    <t>012A_damper_position_sensor</t>
  </si>
  <si>
    <t>012A_temperature_sensor</t>
  </si>
  <si>
    <t>012A_valve_position_sensor</t>
  </si>
  <si>
    <t>008A</t>
  </si>
  <si>
    <t>008A_temperature_property;008A_co2_property</t>
  </si>
  <si>
    <t>008A_room_supply_damper</t>
  </si>
  <si>
    <t>008A_room_exhaust_damper</t>
  </si>
  <si>
    <t>008A_space_heater</t>
  </si>
  <si>
    <t>008A_space_heater_valve</t>
  </si>
  <si>
    <t>008A_temperature_controller</t>
  </si>
  <si>
    <t>008A_co2_controller</t>
  </si>
  <si>
    <t>008A_co2_sensor</t>
  </si>
  <si>
    <t>008A_damper_position_sensor</t>
  </si>
  <si>
    <t>008A_temperature_sensor</t>
  </si>
  <si>
    <t>008A_valve_position_sensor</t>
  </si>
  <si>
    <t>007A</t>
  </si>
  <si>
    <t>007A_temperature_property;007A_co2_property</t>
  </si>
  <si>
    <t>007A_room_supply_damper</t>
  </si>
  <si>
    <t>007A_room_exhaust_damper</t>
  </si>
  <si>
    <t>007A_space_heater</t>
  </si>
  <si>
    <t>007A_space_heater_valve</t>
  </si>
  <si>
    <t>007A_temperature_controller</t>
  </si>
  <si>
    <t>007A_co2_controller</t>
  </si>
  <si>
    <t>007A_co2_sensor</t>
  </si>
  <si>
    <t>007A_damper_position_sensor</t>
  </si>
  <si>
    <t>007A_temperature_sensor</t>
  </si>
  <si>
    <t>007A_valve_position_sensor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</si>
</sst>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charset val="238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1" fillId="4" borderId="3" xfId="0" applyFont="1" applyFill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  <xf numFmtId="0" fontId="6" fillId="0" borderId="0" xfId="0" applyFont="1"/>
    <xf numFmtId="0" fontId="7" fillId="0" borderId="0" xfId="0" applyFont="1"/>
    <xf numFmtId="0" fontId="0" fillId="0" borderId="0" xfId="0" quotePrefix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C2" sqref="C2"/>
    </sheetView>
  </sheetViews>
  <sheetFormatPr baseColWidth="10" defaultColWidth="8.83203125" defaultRowHeight="15" x14ac:dyDescent="0.2"/>
  <cols>
    <col min="1" max="1" width="23.5" bestFit="1" customWidth="1"/>
    <col min="2" max="2" width="20.33203125" bestFit="1" customWidth="1"/>
    <col min="3" max="3" width="20.1640625" bestFit="1" customWidth="1"/>
  </cols>
  <sheetData>
    <row r="1" spans="1:3" ht="16" thickBot="1" x14ac:dyDescent="0.25">
      <c r="A1" s="2" t="s">
        <v>0</v>
      </c>
      <c r="B1" s="2" t="s">
        <v>1</v>
      </c>
      <c r="C1" s="2" t="s">
        <v>2</v>
      </c>
    </row>
    <row r="2" spans="1:3" x14ac:dyDescent="0.2">
      <c r="A2" t="s">
        <v>90</v>
      </c>
      <c r="B2" t="s">
        <v>109</v>
      </c>
      <c r="C2" t="s">
        <v>113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D14"/>
  <sheetViews>
    <sheetView workbookViewId="0">
      <selection activeCell="D9" sqref="D9"/>
    </sheetView>
  </sheetViews>
  <sheetFormatPr baseColWidth="10" defaultColWidth="8.83203125" defaultRowHeight="15" x14ac:dyDescent="0.2"/>
  <cols>
    <col min="1" max="1" width="17.5" style="1" customWidth="1"/>
    <col min="2" max="2" width="65.6640625" bestFit="1" customWidth="1"/>
    <col min="3" max="3" width="65.6640625" customWidth="1"/>
    <col min="4" max="4" width="26.33203125" bestFit="1" customWidth="1"/>
    <col min="5" max="5" width="13.1640625" bestFit="1" customWidth="1"/>
  </cols>
  <sheetData>
    <row r="1" spans="1:4" ht="16" thickBot="1" x14ac:dyDescent="0.25">
      <c r="A1" s="6" t="s">
        <v>60</v>
      </c>
      <c r="B1" s="3" t="s">
        <v>77</v>
      </c>
      <c r="C1" s="16" t="s">
        <v>92</v>
      </c>
      <c r="D1" s="5" t="s">
        <v>57</v>
      </c>
    </row>
    <row r="2" spans="1:4" x14ac:dyDescent="0.2">
      <c r="A2" s="1" t="s">
        <v>88</v>
      </c>
      <c r="B2" s="7" t="s">
        <v>91</v>
      </c>
      <c r="C2" t="s">
        <v>151</v>
      </c>
      <c r="D2">
        <v>47.25</v>
      </c>
    </row>
    <row r="3" spans="1:4" x14ac:dyDescent="0.2">
      <c r="A3" s="1" t="s">
        <v>186</v>
      </c>
      <c r="B3" s="7" t="s">
        <v>192</v>
      </c>
      <c r="C3" s="7" t="s">
        <v>195</v>
      </c>
      <c r="D3">
        <f>19.3*2.7</f>
        <v>52.110000000000007</v>
      </c>
    </row>
    <row r="4" spans="1:4" x14ac:dyDescent="0.2">
      <c r="A4" s="1" t="s">
        <v>254</v>
      </c>
      <c r="B4" s="7" t="s">
        <v>255</v>
      </c>
      <c r="C4" s="7" t="s">
        <v>256</v>
      </c>
      <c r="D4">
        <v>82.89</v>
      </c>
    </row>
    <row r="5" spans="1:4" x14ac:dyDescent="0.2">
      <c r="A5" s="1" t="s">
        <v>258</v>
      </c>
      <c r="B5" s="7" t="s">
        <v>259</v>
      </c>
      <c r="C5" s="7" t="s">
        <v>260</v>
      </c>
      <c r="D5">
        <v>52.11</v>
      </c>
    </row>
    <row r="6" spans="1:4" x14ac:dyDescent="0.2">
      <c r="A6" s="1" t="s">
        <v>295</v>
      </c>
      <c r="B6" s="7" t="s">
        <v>296</v>
      </c>
      <c r="C6" t="s">
        <v>297</v>
      </c>
      <c r="D6">
        <v>125.82</v>
      </c>
    </row>
    <row r="7" spans="1:4" x14ac:dyDescent="0.2">
      <c r="A7" s="1" t="s">
        <v>307</v>
      </c>
      <c r="B7" s="7" t="s">
        <v>308</v>
      </c>
      <c r="C7" t="s">
        <v>309</v>
      </c>
      <c r="D7">
        <v>147.15</v>
      </c>
    </row>
    <row r="8" spans="1:4" x14ac:dyDescent="0.2">
      <c r="A8" s="1" t="s">
        <v>317</v>
      </c>
      <c r="B8" s="7" t="s">
        <v>318</v>
      </c>
      <c r="C8" t="s">
        <v>319</v>
      </c>
      <c r="D8">
        <v>125.82</v>
      </c>
    </row>
    <row r="9" spans="1:4" x14ac:dyDescent="0.2">
      <c r="A9" s="1" t="s">
        <v>327</v>
      </c>
      <c r="B9" s="7" t="s">
        <v>328</v>
      </c>
      <c r="C9" t="s">
        <v>329</v>
      </c>
      <c r="D9">
        <v>62.1</v>
      </c>
    </row>
    <row r="10" spans="1:4" x14ac:dyDescent="0.2">
      <c r="A10" s="1" t="s">
        <v>337</v>
      </c>
      <c r="B10" s="7" t="s">
        <v>338</v>
      </c>
      <c r="C10" t="s">
        <v>339</v>
      </c>
      <c r="D10">
        <f>19.3*2.7</f>
        <v>52.110000000000007</v>
      </c>
    </row>
    <row r="11" spans="1:4" x14ac:dyDescent="0.2">
      <c r="A11" s="1" t="s">
        <v>347</v>
      </c>
      <c r="B11" s="7" t="s">
        <v>348</v>
      </c>
      <c r="C11" t="s">
        <v>349</v>
      </c>
      <c r="D11">
        <v>79.22</v>
      </c>
    </row>
    <row r="12" spans="1:4" x14ac:dyDescent="0.2">
      <c r="A12" s="1" t="s">
        <v>359</v>
      </c>
      <c r="B12" s="7" t="s">
        <v>360</v>
      </c>
      <c r="C12" t="s">
        <v>361</v>
      </c>
      <c r="D12">
        <v>42.12</v>
      </c>
    </row>
    <row r="13" spans="1:4" x14ac:dyDescent="0.2">
      <c r="A13" s="1" t="s">
        <v>371</v>
      </c>
      <c r="B13" s="7" t="s">
        <v>372</v>
      </c>
      <c r="C13" t="s">
        <v>373</v>
      </c>
      <c r="D13">
        <v>221.94</v>
      </c>
    </row>
    <row r="14" spans="1:4" x14ac:dyDescent="0.2">
      <c r="B14" s="7"/>
      <c r="C14" s="7"/>
    </row>
  </sheetData>
  <phoneticPr fontId="2" type="noConversion"/>
  <dataValidations count="4">
    <dataValidation type="custom" showInputMessage="1" showErrorMessage="1" sqref="D51 D54" xr:uid="{ACBC5361-640C-4BD8-BD59-5A9DDF1C4769}">
      <formula1>count_name_occurences(D51)&lt;=1</formula1>
    </dataValidation>
    <dataValidation type="custom" allowBlank="1" showInputMessage="1" showErrorMessage="1" sqref="A2:A1048576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C1048576" xr:uid="{69A2CEA9-C890-4759-80A4-B7743DB492DC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Y25"/>
  <sheetViews>
    <sheetView tabSelected="1" zoomScaleNormal="100" workbookViewId="0">
      <selection activeCell="Q26" sqref="Q26"/>
    </sheetView>
  </sheetViews>
  <sheetFormatPr baseColWidth="10" defaultColWidth="8.83203125" defaultRowHeight="15" x14ac:dyDescent="0.2"/>
  <cols>
    <col min="1" max="1" width="26.33203125" style="1" bestFit="1" customWidth="1"/>
    <col min="2" max="2" width="23.5" bestFit="1" customWidth="1"/>
    <col min="3" max="3" width="15.1640625" bestFit="1" customWidth="1"/>
    <col min="4" max="4" width="45.33203125" bestFit="1" customWidth="1"/>
    <col min="5" max="5" width="35.5" bestFit="1" customWidth="1"/>
    <col min="6" max="6" width="15.5" bestFit="1" customWidth="1"/>
    <col min="7" max="7" width="11.6640625" bestFit="1" customWidth="1"/>
    <col min="8" max="8" width="14.1640625" customWidth="1"/>
    <col min="9" max="9" width="11.5" bestFit="1" customWidth="1"/>
    <col min="10" max="10" width="14.6640625" bestFit="1" customWidth="1"/>
    <col min="11" max="11" width="14.1640625" bestFit="1" customWidth="1"/>
    <col min="14" max="14" width="15" bestFit="1" customWidth="1"/>
    <col min="15" max="15" width="10.5" bestFit="1" customWidth="1"/>
    <col min="16" max="16" width="18.5" bestFit="1" customWidth="1"/>
    <col min="17" max="18" width="19.5" bestFit="1" customWidth="1"/>
    <col min="19" max="20" width="17.83203125" bestFit="1" customWidth="1"/>
    <col min="21" max="22" width="25.5" bestFit="1" customWidth="1"/>
    <col min="23" max="23" width="11" bestFit="1" customWidth="1"/>
    <col min="24" max="24" width="18.1640625" bestFit="1" customWidth="1"/>
    <col min="25" max="25" width="19.83203125" bestFit="1" customWidth="1"/>
  </cols>
  <sheetData>
    <row r="1" spans="1:25" ht="16" thickBot="1" x14ac:dyDescent="0.25">
      <c r="A1" s="6" t="s">
        <v>60</v>
      </c>
      <c r="B1" s="3" t="s">
        <v>58</v>
      </c>
      <c r="C1" s="3" t="s">
        <v>59</v>
      </c>
      <c r="D1" s="11" t="s">
        <v>92</v>
      </c>
      <c r="E1" s="11" t="s">
        <v>77</v>
      </c>
      <c r="F1" s="2" t="s">
        <v>23</v>
      </c>
      <c r="G1" s="2" t="s">
        <v>24</v>
      </c>
      <c r="H1" s="2" t="s">
        <v>25</v>
      </c>
      <c r="I1" s="2" t="s">
        <v>26</v>
      </c>
      <c r="J1" s="2" t="s">
        <v>27</v>
      </c>
      <c r="K1" s="2" t="s">
        <v>14</v>
      </c>
      <c r="L1" s="2" t="s">
        <v>28</v>
      </c>
      <c r="M1" s="2" t="s">
        <v>29</v>
      </c>
      <c r="N1" s="2" t="s">
        <v>30</v>
      </c>
      <c r="O1" s="2" t="s">
        <v>31</v>
      </c>
      <c r="P1" s="2" t="s">
        <v>32</v>
      </c>
      <c r="Q1" s="3" t="s">
        <v>33</v>
      </c>
      <c r="R1" s="2" t="s">
        <v>34</v>
      </c>
      <c r="S1" s="2" t="s">
        <v>35</v>
      </c>
      <c r="T1" s="2" t="s">
        <v>36</v>
      </c>
      <c r="U1" s="2" t="s">
        <v>37</v>
      </c>
      <c r="V1" s="2" t="s">
        <v>38</v>
      </c>
      <c r="W1" s="2" t="s">
        <v>39</v>
      </c>
      <c r="X1" s="2" t="s">
        <v>40</v>
      </c>
      <c r="Y1" s="2" t="s">
        <v>41</v>
      </c>
    </row>
    <row r="2" spans="1:25" x14ac:dyDescent="0.2">
      <c r="A2" s="1" t="s">
        <v>151</v>
      </c>
      <c r="B2" t="s">
        <v>90</v>
      </c>
      <c r="C2" t="s">
        <v>88</v>
      </c>
      <c r="D2" t="s">
        <v>157</v>
      </c>
      <c r="E2" t="s">
        <v>89</v>
      </c>
      <c r="Q2">
        <f>271/3600*1.225</f>
        <v>9.2215277777777785E-2</v>
      </c>
    </row>
    <row r="3" spans="1:25" x14ac:dyDescent="0.2">
      <c r="A3" s="1" t="s">
        <v>152</v>
      </c>
      <c r="B3" t="s">
        <v>90</v>
      </c>
      <c r="C3" t="s">
        <v>88</v>
      </c>
      <c r="D3" t="s">
        <v>88</v>
      </c>
      <c r="E3" t="s">
        <v>89</v>
      </c>
      <c r="Q3">
        <f>273/3600*1.225</f>
        <v>9.2895833333333344E-2</v>
      </c>
    </row>
    <row r="4" spans="1:25" x14ac:dyDescent="0.2">
      <c r="A4" s="1" t="s">
        <v>195</v>
      </c>
      <c r="B4" t="s">
        <v>90</v>
      </c>
      <c r="C4" t="s">
        <v>186</v>
      </c>
      <c r="D4" t="s">
        <v>157</v>
      </c>
      <c r="E4" s="7" t="s">
        <v>190</v>
      </c>
      <c r="Q4">
        <f>308/3600*1.225</f>
        <v>0.10480555555555555</v>
      </c>
    </row>
    <row r="5" spans="1:25" x14ac:dyDescent="0.2">
      <c r="A5" s="1" t="s">
        <v>196</v>
      </c>
      <c r="B5" t="s">
        <v>90</v>
      </c>
      <c r="C5" t="s">
        <v>186</v>
      </c>
      <c r="D5" t="s">
        <v>186</v>
      </c>
      <c r="E5" s="7" t="s">
        <v>190</v>
      </c>
      <c r="Q5">
        <f>299/3600*1.225</f>
        <v>0.10174305555555556</v>
      </c>
    </row>
    <row r="6" spans="1:25" x14ac:dyDescent="0.2">
      <c r="A6" s="1" t="s">
        <v>256</v>
      </c>
      <c r="B6" t="s">
        <v>90</v>
      </c>
      <c r="C6" t="s">
        <v>254</v>
      </c>
      <c r="D6" t="s">
        <v>157</v>
      </c>
      <c r="E6" t="s">
        <v>202</v>
      </c>
      <c r="Q6">
        <f>294/3600*1.225</f>
        <v>0.10004166666666667</v>
      </c>
    </row>
    <row r="7" spans="1:25" x14ac:dyDescent="0.2">
      <c r="A7" s="1" t="s">
        <v>257</v>
      </c>
      <c r="B7" t="s">
        <v>90</v>
      </c>
      <c r="C7" t="s">
        <v>254</v>
      </c>
      <c r="D7" t="s">
        <v>254</v>
      </c>
      <c r="E7" t="s">
        <v>202</v>
      </c>
      <c r="Q7">
        <f>476/3600*1.225</f>
        <v>0.16197222222222221</v>
      </c>
    </row>
    <row r="8" spans="1:25" x14ac:dyDescent="0.2">
      <c r="A8" s="1" t="s">
        <v>260</v>
      </c>
      <c r="B8" t="s">
        <v>90</v>
      </c>
      <c r="C8" t="s">
        <v>258</v>
      </c>
      <c r="D8" t="s">
        <v>157</v>
      </c>
      <c r="E8" t="s">
        <v>207</v>
      </c>
      <c r="Q8">
        <f>304/3600*1.225</f>
        <v>0.10344444444444445</v>
      </c>
    </row>
    <row r="9" spans="1:25" x14ac:dyDescent="0.2">
      <c r="A9" s="1" t="s">
        <v>261</v>
      </c>
      <c r="B9" t="s">
        <v>90</v>
      </c>
      <c r="C9" t="s">
        <v>258</v>
      </c>
      <c r="D9" t="s">
        <v>258</v>
      </c>
      <c r="E9" t="s">
        <v>207</v>
      </c>
      <c r="Q9">
        <f>301/3600*1.225</f>
        <v>0.10242361111111112</v>
      </c>
    </row>
    <row r="10" spans="1:25" x14ac:dyDescent="0.2">
      <c r="A10" s="1" t="s">
        <v>297</v>
      </c>
      <c r="B10" t="s">
        <v>90</v>
      </c>
      <c r="C10" t="s">
        <v>295</v>
      </c>
      <c r="D10" t="s">
        <v>157</v>
      </c>
      <c r="E10" t="s">
        <v>222</v>
      </c>
      <c r="Q10" s="19">
        <f>501/3600*1.225</f>
        <v>0.17047916666666668</v>
      </c>
    </row>
    <row r="11" spans="1:25" x14ac:dyDescent="0.2">
      <c r="A11" s="1" t="s">
        <v>298</v>
      </c>
      <c r="B11" t="s">
        <v>90</v>
      </c>
      <c r="C11" t="s">
        <v>295</v>
      </c>
      <c r="D11" t="s">
        <v>295</v>
      </c>
      <c r="E11" t="s">
        <v>222</v>
      </c>
      <c r="Q11">
        <f>470/3600*1.225</f>
        <v>0.15993055555555558</v>
      </c>
    </row>
    <row r="12" spans="1:25" x14ac:dyDescent="0.2">
      <c r="A12" s="1" t="s">
        <v>309</v>
      </c>
      <c r="B12" t="s">
        <v>90</v>
      </c>
      <c r="C12" t="s">
        <v>307</v>
      </c>
      <c r="D12" t="s">
        <v>157</v>
      </c>
      <c r="E12" t="s">
        <v>227</v>
      </c>
      <c r="Q12">
        <f>962/3600*1.225</f>
        <v>0.32734722222222229</v>
      </c>
    </row>
    <row r="13" spans="1:25" x14ac:dyDescent="0.2">
      <c r="A13" s="1" t="s">
        <v>310</v>
      </c>
      <c r="B13" t="s">
        <v>90</v>
      </c>
      <c r="C13" t="s">
        <v>307</v>
      </c>
      <c r="D13" t="s">
        <v>307</v>
      </c>
      <c r="E13" t="s">
        <v>227</v>
      </c>
      <c r="Q13">
        <f>457/3600*1.225</f>
        <v>0.15550694444444446</v>
      </c>
    </row>
    <row r="14" spans="1:25" x14ac:dyDescent="0.2">
      <c r="A14" s="1" t="s">
        <v>319</v>
      </c>
      <c r="B14" t="s">
        <v>90</v>
      </c>
      <c r="C14" t="s">
        <v>317</v>
      </c>
      <c r="D14" t="s">
        <v>157</v>
      </c>
      <c r="E14" t="s">
        <v>217</v>
      </c>
      <c r="Q14">
        <f>499/3600*1.225</f>
        <v>0.16979861111111111</v>
      </c>
    </row>
    <row r="15" spans="1:25" x14ac:dyDescent="0.2">
      <c r="A15" s="1" t="s">
        <v>320</v>
      </c>
      <c r="B15" t="s">
        <v>90</v>
      </c>
      <c r="C15" t="s">
        <v>317</v>
      </c>
      <c r="D15" t="s">
        <v>317</v>
      </c>
      <c r="E15" t="s">
        <v>217</v>
      </c>
      <c r="Q15">
        <f>469/3600*1.225</f>
        <v>0.15959027777777779</v>
      </c>
    </row>
    <row r="16" spans="1:25" x14ac:dyDescent="0.2">
      <c r="A16" s="1" t="s">
        <v>329</v>
      </c>
      <c r="B16" t="s">
        <v>90</v>
      </c>
      <c r="C16" t="s">
        <v>327</v>
      </c>
      <c r="D16" t="s">
        <v>157</v>
      </c>
      <c r="E16" t="s">
        <v>242</v>
      </c>
      <c r="Q16">
        <f>380/3600*1.225</f>
        <v>0.12930555555555556</v>
      </c>
    </row>
    <row r="17" spans="1:17" x14ac:dyDescent="0.2">
      <c r="A17" s="1" t="s">
        <v>330</v>
      </c>
      <c r="B17" t="s">
        <v>90</v>
      </c>
      <c r="C17" t="s">
        <v>327</v>
      </c>
      <c r="D17" t="s">
        <v>327</v>
      </c>
      <c r="E17" t="s">
        <v>242</v>
      </c>
      <c r="Q17">
        <f>354/3600*1.225</f>
        <v>0.12045833333333333</v>
      </c>
    </row>
    <row r="18" spans="1:17" x14ac:dyDescent="0.2">
      <c r="A18" s="1" t="s">
        <v>339</v>
      </c>
      <c r="B18" t="s">
        <v>90</v>
      </c>
      <c r="C18" t="s">
        <v>337</v>
      </c>
      <c r="D18" t="s">
        <v>157</v>
      </c>
      <c r="E18" t="s">
        <v>232</v>
      </c>
      <c r="Q18">
        <f>332/3600*1.225</f>
        <v>0.11297222222222222</v>
      </c>
    </row>
    <row r="19" spans="1:17" x14ac:dyDescent="0.2">
      <c r="A19" s="1" t="s">
        <v>340</v>
      </c>
      <c r="B19" t="s">
        <v>90</v>
      </c>
      <c r="C19" t="s">
        <v>337</v>
      </c>
      <c r="D19" t="s">
        <v>337</v>
      </c>
      <c r="E19" t="s">
        <v>232</v>
      </c>
      <c r="Q19">
        <f>299/3600*1.225</f>
        <v>0.10174305555555556</v>
      </c>
    </row>
    <row r="20" spans="1:17" x14ac:dyDescent="0.2">
      <c r="A20" s="1" t="s">
        <v>349</v>
      </c>
      <c r="B20" t="s">
        <v>90</v>
      </c>
      <c r="C20" t="s">
        <v>347</v>
      </c>
      <c r="D20" t="s">
        <v>157</v>
      </c>
      <c r="E20" t="s">
        <v>237</v>
      </c>
      <c r="Q20">
        <f>888/3600*1.225</f>
        <v>0.30216666666666669</v>
      </c>
    </row>
    <row r="21" spans="1:17" x14ac:dyDescent="0.2">
      <c r="A21" s="1" t="s">
        <v>350</v>
      </c>
      <c r="B21" t="s">
        <v>90</v>
      </c>
      <c r="C21" t="s">
        <v>347</v>
      </c>
      <c r="D21" t="s">
        <v>347</v>
      </c>
      <c r="E21" t="s">
        <v>237</v>
      </c>
      <c r="Q21">
        <f>686/3600*1.225</f>
        <v>0.23343055555555559</v>
      </c>
    </row>
    <row r="22" spans="1:17" x14ac:dyDescent="0.2">
      <c r="A22" s="1" t="s">
        <v>361</v>
      </c>
      <c r="B22" t="s">
        <v>90</v>
      </c>
      <c r="C22" t="s">
        <v>359</v>
      </c>
      <c r="D22" t="s">
        <v>157</v>
      </c>
      <c r="E22" t="s">
        <v>247</v>
      </c>
      <c r="Q22">
        <f>157/3600*1.225</f>
        <v>5.3423611111111116E-2</v>
      </c>
    </row>
    <row r="23" spans="1:17" x14ac:dyDescent="0.2">
      <c r="A23" s="1" t="s">
        <v>362</v>
      </c>
      <c r="B23" t="s">
        <v>90</v>
      </c>
      <c r="C23" t="s">
        <v>359</v>
      </c>
      <c r="D23" t="s">
        <v>359</v>
      </c>
      <c r="E23" t="s">
        <v>247</v>
      </c>
      <c r="Q23">
        <f>144/3600*1.225</f>
        <v>4.9000000000000002E-2</v>
      </c>
    </row>
    <row r="24" spans="1:17" x14ac:dyDescent="0.2">
      <c r="A24" s="1" t="s">
        <v>373</v>
      </c>
      <c r="B24" t="s">
        <v>90</v>
      </c>
      <c r="C24" t="s">
        <v>371</v>
      </c>
      <c r="D24" t="s">
        <v>157</v>
      </c>
      <c r="E24" t="s">
        <v>252</v>
      </c>
      <c r="Q24">
        <f>2656/3600*1.225</f>
        <v>0.90377777777777779</v>
      </c>
    </row>
    <row r="25" spans="1:17" x14ac:dyDescent="0.2">
      <c r="A25" s="1" t="s">
        <v>374</v>
      </c>
      <c r="B25" t="s">
        <v>90</v>
      </c>
      <c r="C25" t="s">
        <v>371</v>
      </c>
      <c r="D25" t="s">
        <v>371</v>
      </c>
      <c r="E25" t="s">
        <v>252</v>
      </c>
      <c r="Q25">
        <f>2763/3600*1.225</f>
        <v>0.94018750000000006</v>
      </c>
    </row>
  </sheetData>
  <phoneticPr fontId="2" type="noConversion"/>
  <dataValidations count="4">
    <dataValidation type="list" showInputMessage="1" showErrorMessage="1" sqref="B2:B3 B6:B1048576" xr:uid="{822F429E-761E-40DF-83F8-557B76A92FBC}">
      <formula1>ventilation_system_names</formula1>
    </dataValidation>
    <dataValidation type="list" allowBlank="1" showInputMessage="1" showErrorMessage="1" sqref="C2:C3 C6:C1048576" xr:uid="{89B57641-DFAD-4729-8A4B-61C914339752}">
      <formula1>space_names</formula1>
    </dataValidation>
    <dataValidation type="list" showInputMessage="1" showErrorMessage="1" sqref="E2:E3 E6:E1048576" xr:uid="{7358227A-5FC0-425B-BAE0-1F0BF0553776}">
      <formula1>property_instance</formula1>
    </dataValidation>
    <dataValidation type="list" showInputMessage="1" showErrorMessage="1" sqref="D2:D3 D6:D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3"/>
  <sheetViews>
    <sheetView zoomScaleNormal="100" workbookViewId="0">
      <selection activeCell="A13" sqref="A13:P13"/>
    </sheetView>
  </sheetViews>
  <sheetFormatPr baseColWidth="10" defaultColWidth="8.83203125" defaultRowHeight="15" x14ac:dyDescent="0.2"/>
  <cols>
    <col min="1" max="1" width="18.1640625" style="1" bestFit="1" customWidth="1"/>
    <col min="2" max="2" width="20.33203125" bestFit="1" customWidth="1"/>
    <col min="3" max="3" width="20.33203125" customWidth="1"/>
    <col min="4" max="4" width="24.33203125" bestFit="1" customWidth="1"/>
    <col min="5" max="5" width="31.6640625" bestFit="1" customWidth="1"/>
    <col min="6" max="6" width="24.5" bestFit="1" customWidth="1"/>
    <col min="7" max="7" width="14.5" bestFit="1" customWidth="1"/>
    <col min="8" max="8" width="22.33203125" bestFit="1" customWidth="1"/>
    <col min="9" max="9" width="20" bestFit="1" customWidth="1"/>
    <col min="10" max="10" width="16.1640625" bestFit="1" customWidth="1"/>
    <col min="11" max="11" width="17.83203125" bestFit="1" customWidth="1"/>
    <col min="12" max="12" width="14.5" bestFit="1" customWidth="1"/>
    <col min="13" max="13" width="14.83203125" bestFit="1" customWidth="1"/>
    <col min="14" max="14" width="24.5" bestFit="1" customWidth="1"/>
    <col min="15" max="15" width="16.6640625" bestFit="1" customWidth="1"/>
    <col min="16" max="16" width="24.5" bestFit="1" customWidth="1"/>
  </cols>
  <sheetData>
    <row r="1" spans="1:16" ht="16" thickBot="1" x14ac:dyDescent="0.25">
      <c r="A1" s="6" t="s">
        <v>60</v>
      </c>
      <c r="B1" s="3" t="s">
        <v>58</v>
      </c>
      <c r="C1" s="3" t="s">
        <v>59</v>
      </c>
      <c r="D1" s="11" t="s">
        <v>92</v>
      </c>
      <c r="E1" s="11" t="s">
        <v>77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">
      <c r="A2" s="1" t="s">
        <v>103</v>
      </c>
      <c r="B2" t="s">
        <v>109</v>
      </c>
      <c r="C2" t="s">
        <v>88</v>
      </c>
      <c r="D2" t="s">
        <v>104</v>
      </c>
      <c r="E2" t="s">
        <v>107</v>
      </c>
      <c r="L2">
        <f t="shared" ref="L2:L7" si="0">(3*515+2*572)</f>
        <v>2689</v>
      </c>
      <c r="N2" s="23" t="s">
        <v>22</v>
      </c>
      <c r="P2">
        <f>125000</f>
        <v>125000</v>
      </c>
    </row>
    <row r="3" spans="1:16" x14ac:dyDescent="0.2">
      <c r="A3" s="1" t="s">
        <v>194</v>
      </c>
      <c r="B3" t="s">
        <v>109</v>
      </c>
      <c r="C3" t="s">
        <v>186</v>
      </c>
      <c r="D3" t="s">
        <v>193</v>
      </c>
      <c r="E3" t="s">
        <v>188</v>
      </c>
      <c r="L3">
        <f t="shared" si="0"/>
        <v>2689</v>
      </c>
      <c r="N3" s="23" t="s">
        <v>22</v>
      </c>
      <c r="P3">
        <f>125000</f>
        <v>125000</v>
      </c>
    </row>
    <row r="4" spans="1:16" x14ac:dyDescent="0.2">
      <c r="A4" s="1" t="s">
        <v>262</v>
      </c>
      <c r="B4" t="s">
        <v>109</v>
      </c>
      <c r="C4" t="s">
        <v>254</v>
      </c>
      <c r="D4" t="s">
        <v>263</v>
      </c>
      <c r="E4" t="s">
        <v>200</v>
      </c>
      <c r="L4">
        <f t="shared" si="0"/>
        <v>2689</v>
      </c>
      <c r="N4" s="23" t="s">
        <v>22</v>
      </c>
      <c r="P4">
        <f>125000</f>
        <v>125000</v>
      </c>
    </row>
    <row r="5" spans="1:16" x14ac:dyDescent="0.2">
      <c r="A5" s="1" t="s">
        <v>264</v>
      </c>
      <c r="B5" t="s">
        <v>109</v>
      </c>
      <c r="C5" t="s">
        <v>258</v>
      </c>
      <c r="D5" t="s">
        <v>265</v>
      </c>
      <c r="E5" t="s">
        <v>205</v>
      </c>
      <c r="L5">
        <f t="shared" si="0"/>
        <v>2689</v>
      </c>
      <c r="N5" s="23" t="s">
        <v>22</v>
      </c>
      <c r="P5">
        <f>125000</f>
        <v>125000</v>
      </c>
    </row>
    <row r="6" spans="1:16" x14ac:dyDescent="0.2">
      <c r="A6" s="1" t="s">
        <v>299</v>
      </c>
      <c r="B6" t="s">
        <v>109</v>
      </c>
      <c r="C6" t="s">
        <v>295</v>
      </c>
      <c r="D6" t="s">
        <v>300</v>
      </c>
      <c r="E6" t="s">
        <v>220</v>
      </c>
      <c r="L6">
        <f t="shared" si="0"/>
        <v>2689</v>
      </c>
      <c r="N6" s="23" t="s">
        <v>22</v>
      </c>
    </row>
    <row r="7" spans="1:16" x14ac:dyDescent="0.2">
      <c r="A7" s="1" t="s">
        <v>311</v>
      </c>
      <c r="B7" t="s">
        <v>109</v>
      </c>
      <c r="C7" t="s">
        <v>307</v>
      </c>
      <c r="D7" t="s">
        <v>312</v>
      </c>
      <c r="E7" t="s">
        <v>225</v>
      </c>
      <c r="L7">
        <f t="shared" si="0"/>
        <v>2689</v>
      </c>
      <c r="N7" t="s">
        <v>22</v>
      </c>
      <c r="P7">
        <f t="shared" ref="P7:P13" si="1">125000</f>
        <v>125000</v>
      </c>
    </row>
    <row r="8" spans="1:16" x14ac:dyDescent="0.2">
      <c r="A8" s="1" t="s">
        <v>321</v>
      </c>
      <c r="B8" t="s">
        <v>109</v>
      </c>
      <c r="C8" t="s">
        <v>317</v>
      </c>
      <c r="D8" t="s">
        <v>322</v>
      </c>
      <c r="E8" t="s">
        <v>215</v>
      </c>
      <c r="L8">
        <f t="shared" ref="L8:L13" si="2">(3*515+2*572)</f>
        <v>2689</v>
      </c>
      <c r="N8" t="s">
        <v>22</v>
      </c>
      <c r="P8">
        <f t="shared" si="1"/>
        <v>125000</v>
      </c>
    </row>
    <row r="9" spans="1:16" x14ac:dyDescent="0.2">
      <c r="A9" s="1" t="s">
        <v>331</v>
      </c>
      <c r="B9" t="s">
        <v>109</v>
      </c>
      <c r="C9" t="s">
        <v>327</v>
      </c>
      <c r="D9" t="s">
        <v>332</v>
      </c>
      <c r="E9" t="s">
        <v>240</v>
      </c>
      <c r="L9">
        <f t="shared" si="2"/>
        <v>2689</v>
      </c>
      <c r="N9" t="s">
        <v>22</v>
      </c>
      <c r="P9">
        <f t="shared" si="1"/>
        <v>125000</v>
      </c>
    </row>
    <row r="10" spans="1:16" x14ac:dyDescent="0.2">
      <c r="A10" s="1" t="s">
        <v>341</v>
      </c>
      <c r="B10" t="s">
        <v>109</v>
      </c>
      <c r="C10" t="s">
        <v>337</v>
      </c>
      <c r="D10" t="s">
        <v>342</v>
      </c>
      <c r="E10" t="s">
        <v>230</v>
      </c>
      <c r="L10">
        <f t="shared" si="2"/>
        <v>2689</v>
      </c>
      <c r="N10" t="s">
        <v>22</v>
      </c>
      <c r="P10">
        <f t="shared" si="1"/>
        <v>125000</v>
      </c>
    </row>
    <row r="11" spans="1:16" x14ac:dyDescent="0.2">
      <c r="A11" s="1" t="s">
        <v>351</v>
      </c>
      <c r="B11" t="s">
        <v>109</v>
      </c>
      <c r="C11" t="s">
        <v>347</v>
      </c>
      <c r="D11" t="s">
        <v>352</v>
      </c>
      <c r="E11" t="s">
        <v>235</v>
      </c>
      <c r="L11">
        <f t="shared" si="2"/>
        <v>2689</v>
      </c>
      <c r="N11" t="s">
        <v>22</v>
      </c>
      <c r="P11">
        <f t="shared" si="1"/>
        <v>125000</v>
      </c>
    </row>
    <row r="12" spans="1:16" x14ac:dyDescent="0.2">
      <c r="A12" s="1" t="s">
        <v>363</v>
      </c>
      <c r="B12" t="s">
        <v>109</v>
      </c>
      <c r="C12" t="s">
        <v>359</v>
      </c>
      <c r="D12" t="s">
        <v>364</v>
      </c>
      <c r="E12" t="s">
        <v>245</v>
      </c>
      <c r="L12">
        <f t="shared" si="2"/>
        <v>2689</v>
      </c>
      <c r="N12" t="s">
        <v>22</v>
      </c>
      <c r="P12">
        <f t="shared" si="1"/>
        <v>125000</v>
      </c>
    </row>
    <row r="13" spans="1:16" x14ac:dyDescent="0.2">
      <c r="A13" s="1" t="s">
        <v>375</v>
      </c>
      <c r="B13" t="s">
        <v>109</v>
      </c>
      <c r="C13" t="s">
        <v>371</v>
      </c>
      <c r="D13" t="s">
        <v>376</v>
      </c>
      <c r="E13" t="s">
        <v>250</v>
      </c>
      <c r="L13">
        <f t="shared" si="2"/>
        <v>2689</v>
      </c>
      <c r="N13" t="s">
        <v>22</v>
      </c>
      <c r="P13">
        <f t="shared" si="1"/>
        <v>125000</v>
      </c>
    </row>
  </sheetData>
  <phoneticPr fontId="2" type="noConversion"/>
  <dataValidations count="4">
    <dataValidation type="list" showInputMessage="1" showErrorMessage="1" sqref="B48:B1048576 B2:B46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M1000"/>
  <sheetViews>
    <sheetView workbookViewId="0">
      <selection activeCell="A13" sqref="A13:I13"/>
    </sheetView>
  </sheetViews>
  <sheetFormatPr baseColWidth="10" defaultColWidth="8.83203125" defaultRowHeight="15" x14ac:dyDescent="0.2"/>
  <cols>
    <col min="1" max="1" width="24.33203125" style="1" bestFit="1" customWidth="1"/>
    <col min="2" max="2" width="14.6640625" bestFit="1" customWidth="1"/>
    <col min="3" max="3" width="15.83203125" bestFit="1" customWidth="1"/>
    <col min="4" max="4" width="75.33203125" bestFit="1" customWidth="1"/>
    <col min="5" max="5" width="40.5" bestFit="1" customWidth="1"/>
    <col min="6" max="6" width="14.1640625" bestFit="1" customWidth="1"/>
    <col min="7" max="7" width="15" bestFit="1" customWidth="1"/>
    <col min="9" max="9" width="12.1640625" bestFit="1" customWidth="1"/>
    <col min="10" max="10" width="16" bestFit="1" customWidth="1"/>
    <col min="11" max="11" width="14.83203125" bestFit="1" customWidth="1"/>
    <col min="12" max="12" width="12.33203125" bestFit="1" customWidth="1"/>
    <col min="13" max="13" width="16" bestFit="1" customWidth="1"/>
  </cols>
  <sheetData>
    <row r="1" spans="1:13" ht="16" thickBot="1" x14ac:dyDescent="0.25">
      <c r="A1" s="6" t="s">
        <v>60</v>
      </c>
      <c r="B1" s="3" t="s">
        <v>58</v>
      </c>
      <c r="C1" s="3" t="s">
        <v>59</v>
      </c>
      <c r="D1" s="11" t="s">
        <v>92</v>
      </c>
      <c r="E1" s="11" t="s">
        <v>77</v>
      </c>
      <c r="F1" s="2" t="s">
        <v>14</v>
      </c>
      <c r="G1" s="3" t="s">
        <v>15</v>
      </c>
      <c r="H1" s="2" t="s">
        <v>16</v>
      </c>
      <c r="I1" s="3" t="s">
        <v>17</v>
      </c>
      <c r="J1" s="2" t="s">
        <v>18</v>
      </c>
      <c r="K1" s="2" t="s">
        <v>19</v>
      </c>
      <c r="L1" s="2" t="s">
        <v>20</v>
      </c>
      <c r="M1" s="2" t="s">
        <v>21</v>
      </c>
    </row>
    <row r="2" spans="1:13" x14ac:dyDescent="0.2">
      <c r="A2" s="1" t="s">
        <v>104</v>
      </c>
      <c r="B2" t="s">
        <v>109</v>
      </c>
      <c r="C2" t="s">
        <v>88</v>
      </c>
      <c r="E2" s="7" t="s">
        <v>105</v>
      </c>
      <c r="G2">
        <f t="shared" ref="G2:G6" si="0">5*0.468</f>
        <v>2.3400000000000003</v>
      </c>
      <c r="I2">
        <v>0.1</v>
      </c>
    </row>
    <row r="3" spans="1:13" x14ac:dyDescent="0.2">
      <c r="A3" s="1" t="s">
        <v>193</v>
      </c>
      <c r="B3" t="s">
        <v>109</v>
      </c>
      <c r="C3" t="s">
        <v>186</v>
      </c>
      <c r="E3" t="s">
        <v>189</v>
      </c>
      <c r="G3">
        <f t="shared" si="0"/>
        <v>2.3400000000000003</v>
      </c>
      <c r="I3">
        <v>0.1</v>
      </c>
    </row>
    <row r="4" spans="1:13" x14ac:dyDescent="0.2">
      <c r="A4" s="1" t="s">
        <v>263</v>
      </c>
      <c r="B4" t="s">
        <v>109</v>
      </c>
      <c r="C4" t="s">
        <v>254</v>
      </c>
      <c r="E4" t="s">
        <v>201</v>
      </c>
      <c r="G4">
        <f t="shared" si="0"/>
        <v>2.3400000000000003</v>
      </c>
      <c r="I4">
        <v>0.1</v>
      </c>
    </row>
    <row r="5" spans="1:13" x14ac:dyDescent="0.2">
      <c r="A5" s="1" t="s">
        <v>265</v>
      </c>
      <c r="B5" t="s">
        <v>109</v>
      </c>
      <c r="C5" t="s">
        <v>258</v>
      </c>
      <c r="E5" t="s">
        <v>206</v>
      </c>
      <c r="G5">
        <f t="shared" si="0"/>
        <v>2.3400000000000003</v>
      </c>
      <c r="I5">
        <v>0.1</v>
      </c>
    </row>
    <row r="6" spans="1:13" x14ac:dyDescent="0.2">
      <c r="A6" s="1" t="s">
        <v>300</v>
      </c>
      <c r="B6" t="s">
        <v>109</v>
      </c>
      <c r="C6" t="s">
        <v>295</v>
      </c>
      <c r="E6" s="7" t="s">
        <v>221</v>
      </c>
      <c r="G6">
        <f t="shared" si="0"/>
        <v>2.3400000000000003</v>
      </c>
      <c r="I6">
        <v>0.1</v>
      </c>
    </row>
    <row r="7" spans="1:13" x14ac:dyDescent="0.2">
      <c r="A7" s="1" t="s">
        <v>312</v>
      </c>
      <c r="B7" t="s">
        <v>109</v>
      </c>
      <c r="C7" t="s">
        <v>307</v>
      </c>
      <c r="E7" s="7" t="s">
        <v>226</v>
      </c>
      <c r="G7">
        <f t="shared" ref="G7:G13" si="1">5*0.468</f>
        <v>2.3400000000000003</v>
      </c>
      <c r="I7">
        <v>0.1</v>
      </c>
    </row>
    <row r="8" spans="1:13" x14ac:dyDescent="0.2">
      <c r="A8" s="1" t="s">
        <v>322</v>
      </c>
      <c r="B8" t="s">
        <v>109</v>
      </c>
      <c r="C8" t="s">
        <v>317</v>
      </c>
      <c r="E8" s="7" t="s">
        <v>216</v>
      </c>
      <c r="G8">
        <f t="shared" si="1"/>
        <v>2.3400000000000003</v>
      </c>
      <c r="I8">
        <v>0.1</v>
      </c>
    </row>
    <row r="9" spans="1:13" x14ac:dyDescent="0.2">
      <c r="A9" s="1" t="s">
        <v>332</v>
      </c>
      <c r="B9" t="s">
        <v>109</v>
      </c>
      <c r="C9" t="s">
        <v>327</v>
      </c>
      <c r="E9" s="7" t="s">
        <v>241</v>
      </c>
      <c r="G9">
        <f t="shared" si="1"/>
        <v>2.3400000000000003</v>
      </c>
      <c r="I9">
        <v>0.1</v>
      </c>
    </row>
    <row r="10" spans="1:13" x14ac:dyDescent="0.2">
      <c r="A10" s="1" t="s">
        <v>342</v>
      </c>
      <c r="B10" t="s">
        <v>109</v>
      </c>
      <c r="C10" t="s">
        <v>337</v>
      </c>
      <c r="E10" s="7" t="s">
        <v>231</v>
      </c>
      <c r="G10">
        <f t="shared" si="1"/>
        <v>2.3400000000000003</v>
      </c>
      <c r="I10">
        <v>0.1</v>
      </c>
    </row>
    <row r="11" spans="1:13" x14ac:dyDescent="0.2">
      <c r="A11" s="1" t="s">
        <v>352</v>
      </c>
      <c r="B11" t="s">
        <v>109</v>
      </c>
      <c r="C11" t="s">
        <v>347</v>
      </c>
      <c r="E11" s="7" t="s">
        <v>236</v>
      </c>
      <c r="G11">
        <f t="shared" si="1"/>
        <v>2.3400000000000003</v>
      </c>
      <c r="I11">
        <v>0.1</v>
      </c>
    </row>
    <row r="12" spans="1:13" x14ac:dyDescent="0.2">
      <c r="A12" s="1" t="s">
        <v>364</v>
      </c>
      <c r="B12" t="s">
        <v>109</v>
      </c>
      <c r="C12" t="s">
        <v>359</v>
      </c>
      <c r="E12" s="7" t="s">
        <v>246</v>
      </c>
      <c r="G12">
        <f t="shared" si="1"/>
        <v>2.3400000000000003</v>
      </c>
      <c r="I12">
        <v>0.1</v>
      </c>
    </row>
    <row r="13" spans="1:13" x14ac:dyDescent="0.2">
      <c r="A13" s="1" t="s">
        <v>376</v>
      </c>
      <c r="B13" t="s">
        <v>109</v>
      </c>
      <c r="C13" t="s">
        <v>371</v>
      </c>
      <c r="E13" s="7" t="s">
        <v>251</v>
      </c>
      <c r="G13">
        <f t="shared" si="1"/>
        <v>2.3400000000000003</v>
      </c>
      <c r="I13">
        <v>0.1</v>
      </c>
    </row>
    <row r="78" spans="3:3" x14ac:dyDescent="0.2">
      <c r="C78" t="str">
        <f>IF(SpaceHeater!A78&lt;&gt;"",SpaceHeater!A78,"")</f>
        <v/>
      </c>
    </row>
    <row r="79" spans="3:3" x14ac:dyDescent="0.2">
      <c r="C79" t="str">
        <f>IF(SpaceHeater!A79&lt;&gt;"",SpaceHeater!A79,"")</f>
        <v/>
      </c>
    </row>
    <row r="80" spans="3:3" x14ac:dyDescent="0.2">
      <c r="C80" t="str">
        <f>IF(SpaceHeater!A80&lt;&gt;"",SpaceHeater!A80,"")</f>
        <v/>
      </c>
    </row>
    <row r="81" spans="3:3" x14ac:dyDescent="0.2">
      <c r="C81" t="str">
        <f>IF(SpaceHeater!A81&lt;&gt;"",SpaceHeater!A81,"")</f>
        <v/>
      </c>
    </row>
    <row r="82" spans="3:3" x14ac:dyDescent="0.2">
      <c r="C82" t="str">
        <f>IF(SpaceHeater!A82&lt;&gt;"",SpaceHeater!A82,"")</f>
        <v/>
      </c>
    </row>
    <row r="83" spans="3:3" x14ac:dyDescent="0.2">
      <c r="C83" t="str">
        <f>IF(SpaceHeater!A83&lt;&gt;"",SpaceHeater!A83,"")</f>
        <v/>
      </c>
    </row>
    <row r="84" spans="3:3" x14ac:dyDescent="0.2">
      <c r="C84" t="str">
        <f>IF(SpaceHeater!A84&lt;&gt;"",SpaceHeater!A84,"")</f>
        <v/>
      </c>
    </row>
    <row r="85" spans="3:3" x14ac:dyDescent="0.2">
      <c r="C85" t="str">
        <f>IF(SpaceHeater!A85&lt;&gt;"",SpaceHeater!A85,"")</f>
        <v/>
      </c>
    </row>
    <row r="86" spans="3:3" x14ac:dyDescent="0.2">
      <c r="C86" t="str">
        <f>IF(SpaceHeater!A86&lt;&gt;"",SpaceHeater!A86,"")</f>
        <v/>
      </c>
    </row>
    <row r="87" spans="3:3" x14ac:dyDescent="0.2">
      <c r="C87" t="str">
        <f>IF(SpaceHeater!A87&lt;&gt;"",SpaceHeater!A87,"")</f>
        <v/>
      </c>
    </row>
    <row r="88" spans="3:3" x14ac:dyDescent="0.2">
      <c r="C88" t="str">
        <f>IF(SpaceHeater!A88&lt;&gt;"",SpaceHeater!A88,"")</f>
        <v/>
      </c>
    </row>
    <row r="89" spans="3:3" x14ac:dyDescent="0.2">
      <c r="C89" t="str">
        <f>IF(SpaceHeater!A89&lt;&gt;"",SpaceHeater!A89,"")</f>
        <v/>
      </c>
    </row>
    <row r="90" spans="3:3" x14ac:dyDescent="0.2">
      <c r="C90" t="str">
        <f>IF(SpaceHeater!A90&lt;&gt;"",SpaceHeater!A90,"")</f>
        <v/>
      </c>
    </row>
    <row r="91" spans="3:3" x14ac:dyDescent="0.2">
      <c r="C91" t="str">
        <f>IF(SpaceHeater!A91&lt;&gt;"",SpaceHeater!A91,"")</f>
        <v/>
      </c>
    </row>
    <row r="92" spans="3:3" x14ac:dyDescent="0.2">
      <c r="C92" t="str">
        <f>IF(SpaceHeater!A92&lt;&gt;"",SpaceHeater!A92,"")</f>
        <v/>
      </c>
    </row>
    <row r="93" spans="3:3" x14ac:dyDescent="0.2">
      <c r="C93" t="str">
        <f>IF(SpaceHeater!A93&lt;&gt;"",SpaceHeater!A93,"")</f>
        <v/>
      </c>
    </row>
    <row r="94" spans="3:3" x14ac:dyDescent="0.2">
      <c r="C94" t="str">
        <f>IF(SpaceHeater!A94&lt;&gt;"",SpaceHeater!A94,"")</f>
        <v/>
      </c>
    </row>
    <row r="95" spans="3:3" x14ac:dyDescent="0.2">
      <c r="C95" t="str">
        <f>IF(SpaceHeater!A95&lt;&gt;"",SpaceHeater!A95,"")</f>
        <v/>
      </c>
    </row>
    <row r="96" spans="3:3" x14ac:dyDescent="0.2">
      <c r="C96" t="str">
        <f>IF(SpaceHeater!A96&lt;&gt;"",SpaceHeater!A96,"")</f>
        <v/>
      </c>
    </row>
    <row r="97" spans="3:3" x14ac:dyDescent="0.2">
      <c r="C97" t="str">
        <f>IF(SpaceHeater!A97&lt;&gt;"",SpaceHeater!A97,"")</f>
        <v/>
      </c>
    </row>
    <row r="98" spans="3:3" x14ac:dyDescent="0.2">
      <c r="C98" t="str">
        <f>IF(SpaceHeater!A98&lt;&gt;"",SpaceHeater!A98,"")</f>
        <v/>
      </c>
    </row>
    <row r="99" spans="3:3" x14ac:dyDescent="0.2">
      <c r="C99" t="str">
        <f>IF(SpaceHeater!A99&lt;&gt;"",SpaceHeater!A99,"")</f>
        <v/>
      </c>
    </row>
    <row r="100" spans="3:3" x14ac:dyDescent="0.2">
      <c r="C100" t="str">
        <f>IF(SpaceHeater!A100&lt;&gt;"",SpaceHeater!A100,"")</f>
        <v/>
      </c>
    </row>
    <row r="101" spans="3:3" x14ac:dyDescent="0.2">
      <c r="C101" t="str">
        <f>IF(SpaceHeater!A101&lt;&gt;"",SpaceHeater!A101,"")</f>
        <v/>
      </c>
    </row>
    <row r="102" spans="3:3" x14ac:dyDescent="0.2">
      <c r="C102" t="str">
        <f>IF(SpaceHeater!A102&lt;&gt;"",SpaceHeater!A102,"")</f>
        <v/>
      </c>
    </row>
    <row r="103" spans="3:3" x14ac:dyDescent="0.2">
      <c r="C103" t="str">
        <f>IF(SpaceHeater!A103&lt;&gt;"",SpaceHeater!A103,"")</f>
        <v/>
      </c>
    </row>
    <row r="104" spans="3:3" x14ac:dyDescent="0.2">
      <c r="C104" t="str">
        <f>IF(SpaceHeater!A104&lt;&gt;"",SpaceHeater!A104,"")</f>
        <v/>
      </c>
    </row>
    <row r="105" spans="3:3" x14ac:dyDescent="0.2">
      <c r="C105" t="str">
        <f>IF(SpaceHeater!A105&lt;&gt;"",SpaceHeater!A105,"")</f>
        <v/>
      </c>
    </row>
    <row r="106" spans="3:3" x14ac:dyDescent="0.2">
      <c r="C106" t="str">
        <f>IF(SpaceHeater!A106&lt;&gt;"",SpaceHeater!A106,"")</f>
        <v/>
      </c>
    </row>
    <row r="107" spans="3:3" x14ac:dyDescent="0.2">
      <c r="C107" t="str">
        <f>IF(SpaceHeater!A107&lt;&gt;"",SpaceHeater!A107,"")</f>
        <v/>
      </c>
    </row>
    <row r="108" spans="3:3" x14ac:dyDescent="0.2">
      <c r="C108" t="str">
        <f>IF(SpaceHeater!A108&lt;&gt;"",SpaceHeater!A108,"")</f>
        <v/>
      </c>
    </row>
    <row r="109" spans="3:3" x14ac:dyDescent="0.2">
      <c r="C109" t="str">
        <f>IF(SpaceHeater!A109&lt;&gt;"",SpaceHeater!A109,"")</f>
        <v/>
      </c>
    </row>
    <row r="110" spans="3:3" x14ac:dyDescent="0.2">
      <c r="C110" t="str">
        <f>IF(SpaceHeater!A110&lt;&gt;"",SpaceHeater!A110,"")</f>
        <v/>
      </c>
    </row>
    <row r="111" spans="3:3" x14ac:dyDescent="0.2">
      <c r="C111" t="str">
        <f>IF(SpaceHeater!A111&lt;&gt;"",SpaceHeater!A111,"")</f>
        <v/>
      </c>
    </row>
    <row r="112" spans="3:3" x14ac:dyDescent="0.2">
      <c r="C112" t="str">
        <f>IF(SpaceHeater!A112&lt;&gt;"",SpaceHeater!A112,"")</f>
        <v/>
      </c>
    </row>
    <row r="113" spans="3:3" x14ac:dyDescent="0.2">
      <c r="C113" t="str">
        <f>IF(SpaceHeater!A113&lt;&gt;"",SpaceHeater!A113,"")</f>
        <v/>
      </c>
    </row>
    <row r="114" spans="3:3" x14ac:dyDescent="0.2">
      <c r="C114" t="str">
        <f>IF(SpaceHeater!A114&lt;&gt;"",SpaceHeater!A114,"")</f>
        <v/>
      </c>
    </row>
    <row r="115" spans="3:3" x14ac:dyDescent="0.2">
      <c r="C115" t="str">
        <f>IF(SpaceHeater!A115&lt;&gt;"",SpaceHeater!A115,"")</f>
        <v/>
      </c>
    </row>
    <row r="116" spans="3:3" x14ac:dyDescent="0.2">
      <c r="C116" t="str">
        <f>IF(SpaceHeater!A116&lt;&gt;"",SpaceHeater!A116,"")</f>
        <v/>
      </c>
    </row>
    <row r="117" spans="3:3" x14ac:dyDescent="0.2">
      <c r="C117" t="str">
        <f>IF(SpaceHeater!A117&lt;&gt;"",SpaceHeater!A117,"")</f>
        <v/>
      </c>
    </row>
    <row r="118" spans="3:3" x14ac:dyDescent="0.2">
      <c r="C118" t="str">
        <f>IF(SpaceHeater!A118&lt;&gt;"",SpaceHeater!A118,"")</f>
        <v/>
      </c>
    </row>
    <row r="119" spans="3:3" x14ac:dyDescent="0.2">
      <c r="C119" t="str">
        <f>IF(SpaceHeater!A119&lt;&gt;"",SpaceHeater!A119,"")</f>
        <v/>
      </c>
    </row>
    <row r="120" spans="3:3" x14ac:dyDescent="0.2">
      <c r="C120" t="str">
        <f>IF(SpaceHeater!A120&lt;&gt;"",SpaceHeater!A120,"")</f>
        <v/>
      </c>
    </row>
    <row r="121" spans="3:3" x14ac:dyDescent="0.2">
      <c r="C121" t="str">
        <f>IF(SpaceHeater!A121&lt;&gt;"",SpaceHeater!A121,"")</f>
        <v/>
      </c>
    </row>
    <row r="122" spans="3:3" x14ac:dyDescent="0.2">
      <c r="C122" t="str">
        <f>IF(SpaceHeater!A122&lt;&gt;"",SpaceHeater!A122,"")</f>
        <v/>
      </c>
    </row>
    <row r="123" spans="3:3" x14ac:dyDescent="0.2">
      <c r="C123" t="str">
        <f>IF(SpaceHeater!A123&lt;&gt;"",SpaceHeater!A123,"")</f>
        <v/>
      </c>
    </row>
    <row r="124" spans="3:3" x14ac:dyDescent="0.2">
      <c r="C124" t="str">
        <f>IF(SpaceHeater!A124&lt;&gt;"",SpaceHeater!A124,"")</f>
        <v/>
      </c>
    </row>
    <row r="125" spans="3:3" x14ac:dyDescent="0.2">
      <c r="C125" t="str">
        <f>IF(SpaceHeater!A125&lt;&gt;"",SpaceHeater!A125,"")</f>
        <v/>
      </c>
    </row>
    <row r="126" spans="3:3" x14ac:dyDescent="0.2">
      <c r="C126" t="str">
        <f>IF(SpaceHeater!A126&lt;&gt;"",SpaceHeater!A126,"")</f>
        <v/>
      </c>
    </row>
    <row r="127" spans="3:3" x14ac:dyDescent="0.2">
      <c r="C127" t="str">
        <f>IF(SpaceHeater!A127&lt;&gt;"",SpaceHeater!A127,"")</f>
        <v/>
      </c>
    </row>
    <row r="128" spans="3:3" x14ac:dyDescent="0.2">
      <c r="C128" t="str">
        <f>IF(SpaceHeater!A128&lt;&gt;"",SpaceHeater!A128,"")</f>
        <v/>
      </c>
    </row>
    <row r="129" spans="3:3" x14ac:dyDescent="0.2">
      <c r="C129" t="str">
        <f>IF(SpaceHeater!A129&lt;&gt;"",SpaceHeater!A129,"")</f>
        <v/>
      </c>
    </row>
    <row r="130" spans="3:3" x14ac:dyDescent="0.2">
      <c r="C130" t="str">
        <f>IF(SpaceHeater!A130&lt;&gt;"",SpaceHeater!A130,"")</f>
        <v/>
      </c>
    </row>
    <row r="131" spans="3:3" x14ac:dyDescent="0.2">
      <c r="C131" t="str">
        <f>IF(SpaceHeater!A131&lt;&gt;"",SpaceHeater!A131,"")</f>
        <v/>
      </c>
    </row>
    <row r="132" spans="3:3" x14ac:dyDescent="0.2">
      <c r="C132" t="str">
        <f>IF(SpaceHeater!A132&lt;&gt;"",SpaceHeater!A132,"")</f>
        <v/>
      </c>
    </row>
    <row r="133" spans="3:3" x14ac:dyDescent="0.2">
      <c r="C133" t="str">
        <f>IF(SpaceHeater!A133&lt;&gt;"",SpaceHeater!A133,"")</f>
        <v/>
      </c>
    </row>
    <row r="134" spans="3:3" x14ac:dyDescent="0.2">
      <c r="C134" t="str">
        <f>IF(SpaceHeater!A134&lt;&gt;"",SpaceHeater!A134,"")</f>
        <v/>
      </c>
    </row>
    <row r="135" spans="3:3" x14ac:dyDescent="0.2">
      <c r="C135" t="str">
        <f>IF(SpaceHeater!A135&lt;&gt;"",SpaceHeater!A135,"")</f>
        <v/>
      </c>
    </row>
    <row r="136" spans="3:3" x14ac:dyDescent="0.2">
      <c r="C136" t="str">
        <f>IF(SpaceHeater!A136&lt;&gt;"",SpaceHeater!A136,"")</f>
        <v/>
      </c>
    </row>
    <row r="137" spans="3:3" x14ac:dyDescent="0.2">
      <c r="C137" t="str">
        <f>IF(SpaceHeater!A137&lt;&gt;"",SpaceHeater!A137,"")</f>
        <v/>
      </c>
    </row>
    <row r="138" spans="3:3" x14ac:dyDescent="0.2">
      <c r="C138" t="str">
        <f>IF(SpaceHeater!A138&lt;&gt;"",SpaceHeater!A138,"")</f>
        <v/>
      </c>
    </row>
    <row r="139" spans="3:3" x14ac:dyDescent="0.2">
      <c r="C139" t="str">
        <f>IF(SpaceHeater!A139&lt;&gt;"",SpaceHeater!A139,"")</f>
        <v/>
      </c>
    </row>
    <row r="140" spans="3:3" x14ac:dyDescent="0.2">
      <c r="C140" t="str">
        <f>IF(SpaceHeater!A140&lt;&gt;"",SpaceHeater!A140,"")</f>
        <v/>
      </c>
    </row>
    <row r="141" spans="3:3" x14ac:dyDescent="0.2">
      <c r="C141" t="str">
        <f>IF(SpaceHeater!A141&lt;&gt;"",SpaceHeater!A141,"")</f>
        <v/>
      </c>
    </row>
    <row r="142" spans="3:3" x14ac:dyDescent="0.2">
      <c r="C142" t="str">
        <f>IF(SpaceHeater!A142&lt;&gt;"",SpaceHeater!A142,"")</f>
        <v/>
      </c>
    </row>
    <row r="143" spans="3:3" x14ac:dyDescent="0.2">
      <c r="C143" t="str">
        <f>IF(SpaceHeater!A143&lt;&gt;"",SpaceHeater!A143,"")</f>
        <v/>
      </c>
    </row>
    <row r="144" spans="3:3" x14ac:dyDescent="0.2">
      <c r="C144" t="str">
        <f>IF(SpaceHeater!A144&lt;&gt;"",SpaceHeater!A144,"")</f>
        <v/>
      </c>
    </row>
    <row r="145" spans="3:3" x14ac:dyDescent="0.2">
      <c r="C145" t="str">
        <f>IF(SpaceHeater!A145&lt;&gt;"",SpaceHeater!A145,"")</f>
        <v/>
      </c>
    </row>
    <row r="146" spans="3:3" x14ac:dyDescent="0.2">
      <c r="C146" t="str">
        <f>IF(SpaceHeater!A146&lt;&gt;"",SpaceHeater!A146,"")</f>
        <v/>
      </c>
    </row>
    <row r="147" spans="3:3" x14ac:dyDescent="0.2">
      <c r="C147" t="str">
        <f>IF(SpaceHeater!A147&lt;&gt;"",SpaceHeater!A147,"")</f>
        <v/>
      </c>
    </row>
    <row r="148" spans="3:3" x14ac:dyDescent="0.2">
      <c r="C148" t="str">
        <f>IF(SpaceHeater!A148&lt;&gt;"",SpaceHeater!A148,"")</f>
        <v/>
      </c>
    </row>
    <row r="149" spans="3:3" x14ac:dyDescent="0.2">
      <c r="C149" t="str">
        <f>IF(SpaceHeater!A149&lt;&gt;"",SpaceHeater!A149,"")</f>
        <v/>
      </c>
    </row>
    <row r="150" spans="3:3" x14ac:dyDescent="0.2">
      <c r="C150" t="str">
        <f>IF(SpaceHeater!A150&lt;&gt;"",SpaceHeater!A150,"")</f>
        <v/>
      </c>
    </row>
    <row r="151" spans="3:3" x14ac:dyDescent="0.2">
      <c r="C151" t="str">
        <f>IF(SpaceHeater!A151&lt;&gt;"",SpaceHeater!A151,"")</f>
        <v/>
      </c>
    </row>
    <row r="152" spans="3:3" x14ac:dyDescent="0.2">
      <c r="C152" t="str">
        <f>IF(SpaceHeater!A152&lt;&gt;"",SpaceHeater!A152,"")</f>
        <v/>
      </c>
    </row>
    <row r="153" spans="3:3" x14ac:dyDescent="0.2">
      <c r="C153" t="str">
        <f>IF(SpaceHeater!A153&lt;&gt;"",SpaceHeater!A153,"")</f>
        <v/>
      </c>
    </row>
    <row r="154" spans="3:3" x14ac:dyDescent="0.2">
      <c r="C154" t="str">
        <f>IF(SpaceHeater!A154&lt;&gt;"",SpaceHeater!A154,"")</f>
        <v/>
      </c>
    </row>
    <row r="155" spans="3:3" x14ac:dyDescent="0.2">
      <c r="C155" t="str">
        <f>IF(SpaceHeater!A155&lt;&gt;"",SpaceHeater!A155,"")</f>
        <v/>
      </c>
    </row>
    <row r="156" spans="3:3" x14ac:dyDescent="0.2">
      <c r="C156" t="str">
        <f>IF(SpaceHeater!A156&lt;&gt;"",SpaceHeater!A156,"")</f>
        <v/>
      </c>
    </row>
    <row r="157" spans="3:3" x14ac:dyDescent="0.2">
      <c r="C157" t="str">
        <f>IF(SpaceHeater!A157&lt;&gt;"",SpaceHeater!A157,"")</f>
        <v/>
      </c>
    </row>
    <row r="158" spans="3:3" x14ac:dyDescent="0.2">
      <c r="C158" t="str">
        <f>IF(SpaceHeater!A158&lt;&gt;"",SpaceHeater!A158,"")</f>
        <v/>
      </c>
    </row>
    <row r="159" spans="3:3" x14ac:dyDescent="0.2">
      <c r="C159" t="str">
        <f>IF(SpaceHeater!A159&lt;&gt;"",SpaceHeater!A159,"")</f>
        <v/>
      </c>
    </row>
    <row r="160" spans="3:3" x14ac:dyDescent="0.2">
      <c r="C160" t="str">
        <f>IF(SpaceHeater!A160&lt;&gt;"",SpaceHeater!A160,"")</f>
        <v/>
      </c>
    </row>
    <row r="161" spans="3:3" x14ac:dyDescent="0.2">
      <c r="C161" t="str">
        <f>IF(SpaceHeater!A161&lt;&gt;"",SpaceHeater!A161,"")</f>
        <v/>
      </c>
    </row>
    <row r="162" spans="3:3" x14ac:dyDescent="0.2">
      <c r="C162" t="str">
        <f>IF(SpaceHeater!A162&lt;&gt;"",SpaceHeater!A162,"")</f>
        <v/>
      </c>
    </row>
    <row r="163" spans="3:3" x14ac:dyDescent="0.2">
      <c r="C163" t="str">
        <f>IF(SpaceHeater!A163&lt;&gt;"",SpaceHeater!A163,"")</f>
        <v/>
      </c>
    </row>
    <row r="164" spans="3:3" x14ac:dyDescent="0.2">
      <c r="C164" t="str">
        <f>IF(SpaceHeater!A164&lt;&gt;"",SpaceHeater!A164,"")</f>
        <v/>
      </c>
    </row>
    <row r="165" spans="3:3" x14ac:dyDescent="0.2">
      <c r="C165" t="str">
        <f>IF(SpaceHeater!A165&lt;&gt;"",SpaceHeater!A165,"")</f>
        <v/>
      </c>
    </row>
    <row r="166" spans="3:3" x14ac:dyDescent="0.2">
      <c r="C166" t="str">
        <f>IF(SpaceHeater!A166&lt;&gt;"",SpaceHeater!A166,"")</f>
        <v/>
      </c>
    </row>
    <row r="167" spans="3:3" x14ac:dyDescent="0.2">
      <c r="C167" t="str">
        <f>IF(SpaceHeater!A167&lt;&gt;"",SpaceHeater!A167,"")</f>
        <v/>
      </c>
    </row>
    <row r="168" spans="3:3" x14ac:dyDescent="0.2">
      <c r="C168" t="str">
        <f>IF(SpaceHeater!A168&lt;&gt;"",SpaceHeater!A168,"")</f>
        <v/>
      </c>
    </row>
    <row r="169" spans="3:3" x14ac:dyDescent="0.2">
      <c r="C169" t="str">
        <f>IF(SpaceHeater!A169&lt;&gt;"",SpaceHeater!A169,"")</f>
        <v/>
      </c>
    </row>
    <row r="170" spans="3:3" x14ac:dyDescent="0.2">
      <c r="C170" t="str">
        <f>IF(SpaceHeater!A170&lt;&gt;"",SpaceHeater!A170,"")</f>
        <v/>
      </c>
    </row>
    <row r="171" spans="3:3" x14ac:dyDescent="0.2">
      <c r="C171" t="str">
        <f>IF(SpaceHeater!A171&lt;&gt;"",SpaceHeater!A171,"")</f>
        <v/>
      </c>
    </row>
    <row r="172" spans="3:3" x14ac:dyDescent="0.2">
      <c r="C172" t="str">
        <f>IF(SpaceHeater!A172&lt;&gt;"",SpaceHeater!A172,"")</f>
        <v/>
      </c>
    </row>
    <row r="173" spans="3:3" x14ac:dyDescent="0.2">
      <c r="C173" t="str">
        <f>IF(SpaceHeater!A173&lt;&gt;"",SpaceHeater!A173,"")</f>
        <v/>
      </c>
    </row>
    <row r="174" spans="3:3" x14ac:dyDescent="0.2">
      <c r="C174" t="str">
        <f>IF(SpaceHeater!A174&lt;&gt;"",SpaceHeater!A174,"")</f>
        <v/>
      </c>
    </row>
    <row r="175" spans="3:3" x14ac:dyDescent="0.2">
      <c r="C175" t="str">
        <f>IF(SpaceHeater!A175&lt;&gt;"",SpaceHeater!A175,"")</f>
        <v/>
      </c>
    </row>
    <row r="176" spans="3:3" x14ac:dyDescent="0.2">
      <c r="C176" t="str">
        <f>IF(SpaceHeater!A176&lt;&gt;"",SpaceHeater!A176,"")</f>
        <v/>
      </c>
    </row>
    <row r="177" spans="3:3" x14ac:dyDescent="0.2">
      <c r="C177" t="str">
        <f>IF(SpaceHeater!A177&lt;&gt;"",SpaceHeater!A177,"")</f>
        <v/>
      </c>
    </row>
    <row r="178" spans="3:3" x14ac:dyDescent="0.2">
      <c r="C178" t="str">
        <f>IF(SpaceHeater!A178&lt;&gt;"",SpaceHeater!A178,"")</f>
        <v/>
      </c>
    </row>
    <row r="179" spans="3:3" x14ac:dyDescent="0.2">
      <c r="C179" t="str">
        <f>IF(SpaceHeater!A179&lt;&gt;"",SpaceHeater!A179,"")</f>
        <v/>
      </c>
    </row>
    <row r="180" spans="3:3" x14ac:dyDescent="0.2">
      <c r="C180" t="str">
        <f>IF(SpaceHeater!A180&lt;&gt;"",SpaceHeater!A180,"")</f>
        <v/>
      </c>
    </row>
    <row r="181" spans="3:3" x14ac:dyDescent="0.2">
      <c r="C181" t="str">
        <f>IF(SpaceHeater!A181&lt;&gt;"",SpaceHeater!A181,"")</f>
        <v/>
      </c>
    </row>
    <row r="182" spans="3:3" x14ac:dyDescent="0.2">
      <c r="C182" t="str">
        <f>IF(SpaceHeater!A182&lt;&gt;"",SpaceHeater!A182,"")</f>
        <v/>
      </c>
    </row>
    <row r="183" spans="3:3" x14ac:dyDescent="0.2">
      <c r="C183" t="str">
        <f>IF(SpaceHeater!A183&lt;&gt;"",SpaceHeater!A183,"")</f>
        <v/>
      </c>
    </row>
    <row r="184" spans="3:3" x14ac:dyDescent="0.2">
      <c r="C184" t="str">
        <f>IF(SpaceHeater!A184&lt;&gt;"",SpaceHeater!A184,"")</f>
        <v/>
      </c>
    </row>
    <row r="185" spans="3:3" x14ac:dyDescent="0.2">
      <c r="C185" t="str">
        <f>IF(SpaceHeater!A185&lt;&gt;"",SpaceHeater!A185,"")</f>
        <v/>
      </c>
    </row>
    <row r="186" spans="3:3" x14ac:dyDescent="0.2">
      <c r="C186" t="str">
        <f>IF(SpaceHeater!A186&lt;&gt;"",SpaceHeater!A186,"")</f>
        <v/>
      </c>
    </row>
    <row r="187" spans="3:3" x14ac:dyDescent="0.2">
      <c r="C187" t="str">
        <f>IF(SpaceHeater!A187&lt;&gt;"",SpaceHeater!A187,"")</f>
        <v/>
      </c>
    </row>
    <row r="188" spans="3:3" x14ac:dyDescent="0.2">
      <c r="C188" t="str">
        <f>IF(SpaceHeater!A188&lt;&gt;"",SpaceHeater!A188,"")</f>
        <v/>
      </c>
    </row>
    <row r="189" spans="3:3" x14ac:dyDescent="0.2">
      <c r="C189" t="str">
        <f>IF(SpaceHeater!A189&lt;&gt;"",SpaceHeater!A189,"")</f>
        <v/>
      </c>
    </row>
    <row r="190" spans="3:3" x14ac:dyDescent="0.2">
      <c r="C190" t="str">
        <f>IF(SpaceHeater!A190&lt;&gt;"",SpaceHeater!A190,"")</f>
        <v/>
      </c>
    </row>
    <row r="191" spans="3:3" x14ac:dyDescent="0.2">
      <c r="C191" t="str">
        <f>IF(SpaceHeater!A191&lt;&gt;"",SpaceHeater!A191,"")</f>
        <v/>
      </c>
    </row>
    <row r="192" spans="3:3" x14ac:dyDescent="0.2">
      <c r="C192" t="str">
        <f>IF(SpaceHeater!A192&lt;&gt;"",SpaceHeater!A192,"")</f>
        <v/>
      </c>
    </row>
    <row r="193" spans="3:3" x14ac:dyDescent="0.2">
      <c r="C193" t="str">
        <f>IF(SpaceHeater!A193&lt;&gt;"",SpaceHeater!A193,"")</f>
        <v/>
      </c>
    </row>
    <row r="194" spans="3:3" x14ac:dyDescent="0.2">
      <c r="C194" t="str">
        <f>IF(SpaceHeater!A194&lt;&gt;"",SpaceHeater!A194,"")</f>
        <v/>
      </c>
    </row>
    <row r="195" spans="3:3" x14ac:dyDescent="0.2">
      <c r="C195" t="str">
        <f>IF(SpaceHeater!A195&lt;&gt;"",SpaceHeater!A195,"")</f>
        <v/>
      </c>
    </row>
    <row r="196" spans="3:3" x14ac:dyDescent="0.2">
      <c r="C196" t="str">
        <f>IF(SpaceHeater!A196&lt;&gt;"",SpaceHeater!A196,"")</f>
        <v/>
      </c>
    </row>
    <row r="197" spans="3:3" x14ac:dyDescent="0.2">
      <c r="C197" t="str">
        <f>IF(SpaceHeater!A197&lt;&gt;"",SpaceHeater!A197,"")</f>
        <v/>
      </c>
    </row>
    <row r="198" spans="3:3" x14ac:dyDescent="0.2">
      <c r="C198" t="str">
        <f>IF(SpaceHeater!A198&lt;&gt;"",SpaceHeater!A198,"")</f>
        <v/>
      </c>
    </row>
    <row r="199" spans="3:3" x14ac:dyDescent="0.2">
      <c r="C199" t="str">
        <f>IF(SpaceHeater!A199&lt;&gt;"",SpaceHeater!A199,"")</f>
        <v/>
      </c>
    </row>
    <row r="200" spans="3:3" x14ac:dyDescent="0.2">
      <c r="C200" t="str">
        <f>IF(SpaceHeater!A200&lt;&gt;"",SpaceHeater!A200,"")</f>
        <v/>
      </c>
    </row>
    <row r="201" spans="3:3" x14ac:dyDescent="0.2">
      <c r="C201" t="str">
        <f>IF(SpaceHeater!A201&lt;&gt;"",SpaceHeater!A201,"")</f>
        <v/>
      </c>
    </row>
    <row r="202" spans="3:3" x14ac:dyDescent="0.2">
      <c r="C202" t="str">
        <f>IF(SpaceHeater!A202&lt;&gt;"",SpaceHeater!A202,"")</f>
        <v/>
      </c>
    </row>
    <row r="203" spans="3:3" x14ac:dyDescent="0.2">
      <c r="C203" t="str">
        <f>IF(SpaceHeater!A203&lt;&gt;"",SpaceHeater!A203,"")</f>
        <v/>
      </c>
    </row>
    <row r="204" spans="3:3" x14ac:dyDescent="0.2">
      <c r="C204" t="str">
        <f>IF(SpaceHeater!A204&lt;&gt;"",SpaceHeater!A204,"")</f>
        <v/>
      </c>
    </row>
    <row r="205" spans="3:3" x14ac:dyDescent="0.2">
      <c r="C205" t="str">
        <f>IF(SpaceHeater!A205&lt;&gt;"",SpaceHeater!A205,"")</f>
        <v/>
      </c>
    </row>
    <row r="206" spans="3:3" x14ac:dyDescent="0.2">
      <c r="C206" t="str">
        <f>IF(SpaceHeater!A206&lt;&gt;"",SpaceHeater!A206,"")</f>
        <v/>
      </c>
    </row>
    <row r="207" spans="3:3" x14ac:dyDescent="0.2">
      <c r="C207" t="str">
        <f>IF(SpaceHeater!A207&lt;&gt;"",SpaceHeater!A207,"")</f>
        <v/>
      </c>
    </row>
    <row r="208" spans="3:3" x14ac:dyDescent="0.2">
      <c r="C208" t="str">
        <f>IF(SpaceHeater!A208&lt;&gt;"",SpaceHeater!A208,"")</f>
        <v/>
      </c>
    </row>
    <row r="209" spans="3:3" x14ac:dyDescent="0.2">
      <c r="C209" t="str">
        <f>IF(SpaceHeater!A209&lt;&gt;"",SpaceHeater!A209,"")</f>
        <v/>
      </c>
    </row>
    <row r="210" spans="3:3" x14ac:dyDescent="0.2">
      <c r="C210" t="str">
        <f>IF(SpaceHeater!A210&lt;&gt;"",SpaceHeater!A210,"")</f>
        <v/>
      </c>
    </row>
    <row r="211" spans="3:3" x14ac:dyDescent="0.2">
      <c r="C211" t="str">
        <f>IF(SpaceHeater!A211&lt;&gt;"",SpaceHeater!A211,"")</f>
        <v/>
      </c>
    </row>
    <row r="212" spans="3:3" x14ac:dyDescent="0.2">
      <c r="C212" t="str">
        <f>IF(SpaceHeater!A212&lt;&gt;"",SpaceHeater!A212,"")</f>
        <v/>
      </c>
    </row>
    <row r="213" spans="3:3" x14ac:dyDescent="0.2">
      <c r="C213" t="str">
        <f>IF(SpaceHeater!A213&lt;&gt;"",SpaceHeater!A213,"")</f>
        <v/>
      </c>
    </row>
    <row r="214" spans="3:3" x14ac:dyDescent="0.2">
      <c r="C214" t="str">
        <f>IF(SpaceHeater!A214&lt;&gt;"",SpaceHeater!A214,"")</f>
        <v/>
      </c>
    </row>
    <row r="215" spans="3:3" x14ac:dyDescent="0.2">
      <c r="C215" t="str">
        <f>IF(SpaceHeater!A215&lt;&gt;"",SpaceHeater!A215,"")</f>
        <v/>
      </c>
    </row>
    <row r="216" spans="3:3" x14ac:dyDescent="0.2">
      <c r="C216" t="str">
        <f>IF(SpaceHeater!A216&lt;&gt;"",SpaceHeater!A216,"")</f>
        <v/>
      </c>
    </row>
    <row r="217" spans="3:3" x14ac:dyDescent="0.2">
      <c r="C217" t="str">
        <f>IF(SpaceHeater!A217&lt;&gt;"",SpaceHeater!A217,"")</f>
        <v/>
      </c>
    </row>
    <row r="218" spans="3:3" x14ac:dyDescent="0.2">
      <c r="C218" t="str">
        <f>IF(SpaceHeater!A218&lt;&gt;"",SpaceHeater!A218,"")</f>
        <v/>
      </c>
    </row>
    <row r="219" spans="3:3" x14ac:dyDescent="0.2">
      <c r="C219" t="str">
        <f>IF(SpaceHeater!A219&lt;&gt;"",SpaceHeater!A219,"")</f>
        <v/>
      </c>
    </row>
    <row r="220" spans="3:3" x14ac:dyDescent="0.2">
      <c r="C220" t="str">
        <f>IF(SpaceHeater!A220&lt;&gt;"",SpaceHeater!A220,"")</f>
        <v/>
      </c>
    </row>
    <row r="221" spans="3:3" x14ac:dyDescent="0.2">
      <c r="C221" t="str">
        <f>IF(SpaceHeater!A221&lt;&gt;"",SpaceHeater!A221,"")</f>
        <v/>
      </c>
    </row>
    <row r="222" spans="3:3" x14ac:dyDescent="0.2">
      <c r="C222" t="str">
        <f>IF(SpaceHeater!A222&lt;&gt;"",SpaceHeater!A222,"")</f>
        <v/>
      </c>
    </row>
    <row r="223" spans="3:3" x14ac:dyDescent="0.2">
      <c r="C223" t="str">
        <f>IF(SpaceHeater!A223&lt;&gt;"",SpaceHeater!A223,"")</f>
        <v/>
      </c>
    </row>
    <row r="224" spans="3:3" x14ac:dyDescent="0.2">
      <c r="C224" t="str">
        <f>IF(SpaceHeater!A224&lt;&gt;"",SpaceHeater!A224,"")</f>
        <v/>
      </c>
    </row>
    <row r="225" spans="3:3" x14ac:dyDescent="0.2">
      <c r="C225" t="str">
        <f>IF(SpaceHeater!A225&lt;&gt;"",SpaceHeater!A225,"")</f>
        <v/>
      </c>
    </row>
    <row r="226" spans="3:3" x14ac:dyDescent="0.2">
      <c r="C226" t="str">
        <f>IF(SpaceHeater!A226&lt;&gt;"",SpaceHeater!A226,"")</f>
        <v/>
      </c>
    </row>
    <row r="227" spans="3:3" x14ac:dyDescent="0.2">
      <c r="C227" t="str">
        <f>IF(SpaceHeater!A227&lt;&gt;"",SpaceHeater!A227,"")</f>
        <v/>
      </c>
    </row>
    <row r="228" spans="3:3" x14ac:dyDescent="0.2">
      <c r="C228" t="str">
        <f>IF(SpaceHeater!A228&lt;&gt;"",SpaceHeater!A228,"")</f>
        <v/>
      </c>
    </row>
    <row r="229" spans="3:3" x14ac:dyDescent="0.2">
      <c r="C229" t="str">
        <f>IF(SpaceHeater!A229&lt;&gt;"",SpaceHeater!A229,"")</f>
        <v/>
      </c>
    </row>
    <row r="230" spans="3:3" x14ac:dyDescent="0.2">
      <c r="C230" t="str">
        <f>IF(SpaceHeater!A230&lt;&gt;"",SpaceHeater!A230,"")</f>
        <v/>
      </c>
    </row>
    <row r="231" spans="3:3" x14ac:dyDescent="0.2">
      <c r="C231" t="str">
        <f>IF(SpaceHeater!A231&lt;&gt;"",SpaceHeater!A231,"")</f>
        <v/>
      </c>
    </row>
    <row r="232" spans="3:3" x14ac:dyDescent="0.2">
      <c r="C232" t="str">
        <f>IF(SpaceHeater!A232&lt;&gt;"",SpaceHeater!A232,"")</f>
        <v/>
      </c>
    </row>
    <row r="233" spans="3:3" x14ac:dyDescent="0.2">
      <c r="C233" t="str">
        <f>IF(SpaceHeater!A233&lt;&gt;"",SpaceHeater!A233,"")</f>
        <v/>
      </c>
    </row>
    <row r="234" spans="3:3" x14ac:dyDescent="0.2">
      <c r="C234" t="str">
        <f>IF(SpaceHeater!A234&lt;&gt;"",SpaceHeater!A234,"")</f>
        <v/>
      </c>
    </row>
    <row r="235" spans="3:3" x14ac:dyDescent="0.2">
      <c r="C235" t="str">
        <f>IF(SpaceHeater!A235&lt;&gt;"",SpaceHeater!A235,"")</f>
        <v/>
      </c>
    </row>
    <row r="236" spans="3:3" x14ac:dyDescent="0.2">
      <c r="C236" t="str">
        <f>IF(SpaceHeater!A236&lt;&gt;"",SpaceHeater!A236,"")</f>
        <v/>
      </c>
    </row>
    <row r="237" spans="3:3" x14ac:dyDescent="0.2">
      <c r="C237" t="str">
        <f>IF(SpaceHeater!A237&lt;&gt;"",SpaceHeater!A237,"")</f>
        <v/>
      </c>
    </row>
    <row r="238" spans="3:3" x14ac:dyDescent="0.2">
      <c r="C238" t="str">
        <f>IF(SpaceHeater!A238&lt;&gt;"",SpaceHeater!A238,"")</f>
        <v/>
      </c>
    </row>
    <row r="239" spans="3:3" x14ac:dyDescent="0.2">
      <c r="C239" t="str">
        <f>IF(SpaceHeater!A239&lt;&gt;"",SpaceHeater!A239,"")</f>
        <v/>
      </c>
    </row>
    <row r="240" spans="3:3" x14ac:dyDescent="0.2">
      <c r="C240" t="str">
        <f>IF(SpaceHeater!A240&lt;&gt;"",SpaceHeater!A240,"")</f>
        <v/>
      </c>
    </row>
    <row r="241" spans="3:3" x14ac:dyDescent="0.2">
      <c r="C241" t="str">
        <f>IF(SpaceHeater!A241&lt;&gt;"",SpaceHeater!A241,"")</f>
        <v/>
      </c>
    </row>
    <row r="242" spans="3:3" x14ac:dyDescent="0.2">
      <c r="C242" t="str">
        <f>IF(SpaceHeater!A242&lt;&gt;"",SpaceHeater!A242,"")</f>
        <v/>
      </c>
    </row>
    <row r="243" spans="3:3" x14ac:dyDescent="0.2">
      <c r="C243" t="str">
        <f>IF(SpaceHeater!A243&lt;&gt;"",SpaceHeater!A243,"")</f>
        <v/>
      </c>
    </row>
    <row r="244" spans="3:3" x14ac:dyDescent="0.2">
      <c r="C244" t="str">
        <f>IF(SpaceHeater!A244&lt;&gt;"",SpaceHeater!A244,"")</f>
        <v/>
      </c>
    </row>
    <row r="245" spans="3:3" x14ac:dyDescent="0.2">
      <c r="C245" t="str">
        <f>IF(SpaceHeater!A245&lt;&gt;"",SpaceHeater!A245,"")</f>
        <v/>
      </c>
    </row>
    <row r="246" spans="3:3" x14ac:dyDescent="0.2">
      <c r="C246" t="str">
        <f>IF(SpaceHeater!A246&lt;&gt;"",SpaceHeater!A246,"")</f>
        <v/>
      </c>
    </row>
    <row r="247" spans="3:3" x14ac:dyDescent="0.2">
      <c r="C247" t="str">
        <f>IF(SpaceHeater!A247&lt;&gt;"",SpaceHeater!A247,"")</f>
        <v/>
      </c>
    </row>
    <row r="248" spans="3:3" x14ac:dyDescent="0.2">
      <c r="C248" t="str">
        <f>IF(SpaceHeater!A248&lt;&gt;"",SpaceHeater!A248,"")</f>
        <v/>
      </c>
    </row>
    <row r="249" spans="3:3" x14ac:dyDescent="0.2">
      <c r="C249" t="str">
        <f>IF(SpaceHeater!A249&lt;&gt;"",SpaceHeater!A249,"")</f>
        <v/>
      </c>
    </row>
    <row r="250" spans="3:3" x14ac:dyDescent="0.2">
      <c r="C250" t="str">
        <f>IF(SpaceHeater!A250&lt;&gt;"",SpaceHeater!A250,"")</f>
        <v/>
      </c>
    </row>
    <row r="251" spans="3:3" x14ac:dyDescent="0.2">
      <c r="C251" t="str">
        <f>IF(SpaceHeater!A251&lt;&gt;"",SpaceHeater!A251,"")</f>
        <v/>
      </c>
    </row>
    <row r="252" spans="3:3" x14ac:dyDescent="0.2">
      <c r="C252" t="str">
        <f>IF(SpaceHeater!A252&lt;&gt;"",SpaceHeater!A252,"")</f>
        <v/>
      </c>
    </row>
    <row r="253" spans="3:3" x14ac:dyDescent="0.2">
      <c r="C253" t="str">
        <f>IF(SpaceHeater!A253&lt;&gt;"",SpaceHeater!A253,"")</f>
        <v/>
      </c>
    </row>
    <row r="254" spans="3:3" x14ac:dyDescent="0.2">
      <c r="C254" t="str">
        <f>IF(SpaceHeater!A254&lt;&gt;"",SpaceHeater!A254,"")</f>
        <v/>
      </c>
    </row>
    <row r="255" spans="3:3" x14ac:dyDescent="0.2">
      <c r="C255" t="str">
        <f>IF(SpaceHeater!A255&lt;&gt;"",SpaceHeater!A255,"")</f>
        <v/>
      </c>
    </row>
    <row r="256" spans="3:3" x14ac:dyDescent="0.2">
      <c r="C256" t="str">
        <f>IF(SpaceHeater!A256&lt;&gt;"",SpaceHeater!A256,"")</f>
        <v/>
      </c>
    </row>
    <row r="257" spans="3:3" x14ac:dyDescent="0.2">
      <c r="C257" t="str">
        <f>IF(SpaceHeater!A257&lt;&gt;"",SpaceHeater!A257,"")</f>
        <v/>
      </c>
    </row>
    <row r="258" spans="3:3" x14ac:dyDescent="0.2">
      <c r="C258" t="str">
        <f>IF(SpaceHeater!A258&lt;&gt;"",SpaceHeater!A258,"")</f>
        <v/>
      </c>
    </row>
    <row r="259" spans="3:3" x14ac:dyDescent="0.2">
      <c r="C259" t="str">
        <f>IF(SpaceHeater!A259&lt;&gt;"",SpaceHeater!A259,"")</f>
        <v/>
      </c>
    </row>
    <row r="260" spans="3:3" x14ac:dyDescent="0.2">
      <c r="C260" t="str">
        <f>IF(SpaceHeater!A260&lt;&gt;"",SpaceHeater!A260,"")</f>
        <v/>
      </c>
    </row>
    <row r="261" spans="3:3" x14ac:dyDescent="0.2">
      <c r="C261" t="str">
        <f>IF(SpaceHeater!A261&lt;&gt;"",SpaceHeater!A261,"")</f>
        <v/>
      </c>
    </row>
    <row r="262" spans="3:3" x14ac:dyDescent="0.2">
      <c r="C262" t="str">
        <f>IF(SpaceHeater!A262&lt;&gt;"",SpaceHeater!A262,"")</f>
        <v/>
      </c>
    </row>
    <row r="263" spans="3:3" x14ac:dyDescent="0.2">
      <c r="C263" t="str">
        <f>IF(SpaceHeater!A263&lt;&gt;"",SpaceHeater!A263,"")</f>
        <v/>
      </c>
    </row>
    <row r="264" spans="3:3" x14ac:dyDescent="0.2">
      <c r="C264" t="str">
        <f>IF(SpaceHeater!A264&lt;&gt;"",SpaceHeater!A264,"")</f>
        <v/>
      </c>
    </row>
    <row r="265" spans="3:3" x14ac:dyDescent="0.2">
      <c r="C265" t="str">
        <f>IF(SpaceHeater!A265&lt;&gt;"",SpaceHeater!A265,"")</f>
        <v/>
      </c>
    </row>
    <row r="266" spans="3:3" x14ac:dyDescent="0.2">
      <c r="C266" t="str">
        <f>IF(SpaceHeater!A266&lt;&gt;"",SpaceHeater!A266,"")</f>
        <v/>
      </c>
    </row>
    <row r="267" spans="3:3" x14ac:dyDescent="0.2">
      <c r="C267" t="str">
        <f>IF(SpaceHeater!A267&lt;&gt;"",SpaceHeater!A267,"")</f>
        <v/>
      </c>
    </row>
    <row r="268" spans="3:3" x14ac:dyDescent="0.2">
      <c r="C268" t="str">
        <f>IF(SpaceHeater!A268&lt;&gt;"",SpaceHeater!A268,"")</f>
        <v/>
      </c>
    </row>
    <row r="269" spans="3:3" x14ac:dyDescent="0.2">
      <c r="C269" t="str">
        <f>IF(SpaceHeater!A269&lt;&gt;"",SpaceHeater!A269,"")</f>
        <v/>
      </c>
    </row>
    <row r="270" spans="3:3" x14ac:dyDescent="0.2">
      <c r="C270" t="str">
        <f>IF(SpaceHeater!A270&lt;&gt;"",SpaceHeater!A270,"")</f>
        <v/>
      </c>
    </row>
    <row r="271" spans="3:3" x14ac:dyDescent="0.2">
      <c r="C271" t="str">
        <f>IF(SpaceHeater!A271&lt;&gt;"",SpaceHeater!A271,"")</f>
        <v/>
      </c>
    </row>
    <row r="272" spans="3:3" x14ac:dyDescent="0.2">
      <c r="C272" t="str">
        <f>IF(SpaceHeater!A272&lt;&gt;"",SpaceHeater!A272,"")</f>
        <v/>
      </c>
    </row>
    <row r="273" spans="3:3" x14ac:dyDescent="0.2">
      <c r="C273" t="str">
        <f>IF(SpaceHeater!A273&lt;&gt;"",SpaceHeater!A273,"")</f>
        <v/>
      </c>
    </row>
    <row r="274" spans="3:3" x14ac:dyDescent="0.2">
      <c r="C274" t="str">
        <f>IF(SpaceHeater!A274&lt;&gt;"",SpaceHeater!A274,"")</f>
        <v/>
      </c>
    </row>
    <row r="275" spans="3:3" x14ac:dyDescent="0.2">
      <c r="C275" t="str">
        <f>IF(SpaceHeater!A275&lt;&gt;"",SpaceHeater!A275,"")</f>
        <v/>
      </c>
    </row>
    <row r="276" spans="3:3" x14ac:dyDescent="0.2">
      <c r="C276" t="str">
        <f>IF(SpaceHeater!A276&lt;&gt;"",SpaceHeater!A276,"")</f>
        <v/>
      </c>
    </row>
    <row r="277" spans="3:3" x14ac:dyDescent="0.2">
      <c r="C277" t="str">
        <f>IF(SpaceHeater!A277&lt;&gt;"",SpaceHeater!A277,"")</f>
        <v/>
      </c>
    </row>
    <row r="278" spans="3:3" x14ac:dyDescent="0.2">
      <c r="C278" t="str">
        <f>IF(SpaceHeater!A278&lt;&gt;"",SpaceHeater!A278,"")</f>
        <v/>
      </c>
    </row>
    <row r="279" spans="3:3" x14ac:dyDescent="0.2">
      <c r="C279" t="str">
        <f>IF(SpaceHeater!A279&lt;&gt;"",SpaceHeater!A279,"")</f>
        <v/>
      </c>
    </row>
    <row r="280" spans="3:3" x14ac:dyDescent="0.2">
      <c r="C280" t="str">
        <f>IF(SpaceHeater!A280&lt;&gt;"",SpaceHeater!A280,"")</f>
        <v/>
      </c>
    </row>
    <row r="281" spans="3:3" x14ac:dyDescent="0.2">
      <c r="C281" t="str">
        <f>IF(SpaceHeater!A281&lt;&gt;"",SpaceHeater!A281,"")</f>
        <v/>
      </c>
    </row>
    <row r="282" spans="3:3" x14ac:dyDescent="0.2">
      <c r="C282" t="str">
        <f>IF(SpaceHeater!A282&lt;&gt;"",SpaceHeater!A282,"")</f>
        <v/>
      </c>
    </row>
    <row r="283" spans="3:3" x14ac:dyDescent="0.2">
      <c r="C283" t="str">
        <f>IF(SpaceHeater!A283&lt;&gt;"",SpaceHeater!A283,"")</f>
        <v/>
      </c>
    </row>
    <row r="284" spans="3:3" x14ac:dyDescent="0.2">
      <c r="C284" t="str">
        <f>IF(SpaceHeater!A284&lt;&gt;"",SpaceHeater!A284,"")</f>
        <v/>
      </c>
    </row>
    <row r="285" spans="3:3" x14ac:dyDescent="0.2">
      <c r="C285" t="str">
        <f>IF(SpaceHeater!A285&lt;&gt;"",SpaceHeater!A285,"")</f>
        <v/>
      </c>
    </row>
    <row r="286" spans="3:3" x14ac:dyDescent="0.2">
      <c r="C286" t="str">
        <f>IF(SpaceHeater!A286&lt;&gt;"",SpaceHeater!A286,"")</f>
        <v/>
      </c>
    </row>
    <row r="287" spans="3:3" x14ac:dyDescent="0.2">
      <c r="C287" t="str">
        <f>IF(SpaceHeater!A287&lt;&gt;"",SpaceHeater!A287,"")</f>
        <v/>
      </c>
    </row>
    <row r="288" spans="3:3" x14ac:dyDescent="0.2">
      <c r="C288" t="str">
        <f>IF(SpaceHeater!A288&lt;&gt;"",SpaceHeater!A288,"")</f>
        <v/>
      </c>
    </row>
    <row r="289" spans="3:3" x14ac:dyDescent="0.2">
      <c r="C289" t="str">
        <f>IF(SpaceHeater!A289&lt;&gt;"",SpaceHeater!A289,"")</f>
        <v/>
      </c>
    </row>
    <row r="290" spans="3:3" x14ac:dyDescent="0.2">
      <c r="C290" t="str">
        <f>IF(SpaceHeater!A290&lt;&gt;"",SpaceHeater!A290,"")</f>
        <v/>
      </c>
    </row>
    <row r="291" spans="3:3" x14ac:dyDescent="0.2">
      <c r="C291" t="str">
        <f>IF(SpaceHeater!A291&lt;&gt;"",SpaceHeater!A291,"")</f>
        <v/>
      </c>
    </row>
    <row r="292" spans="3:3" x14ac:dyDescent="0.2">
      <c r="C292" t="str">
        <f>IF(SpaceHeater!A292&lt;&gt;"",SpaceHeater!A292,"")</f>
        <v/>
      </c>
    </row>
    <row r="293" spans="3:3" x14ac:dyDescent="0.2">
      <c r="C293" t="str">
        <f>IF(SpaceHeater!A293&lt;&gt;"",SpaceHeater!A293,"")</f>
        <v/>
      </c>
    </row>
    <row r="294" spans="3:3" x14ac:dyDescent="0.2">
      <c r="C294" t="str">
        <f>IF(SpaceHeater!A294&lt;&gt;"",SpaceHeater!A294,"")</f>
        <v/>
      </c>
    </row>
    <row r="295" spans="3:3" x14ac:dyDescent="0.2">
      <c r="C295" t="str">
        <f>IF(SpaceHeater!A295&lt;&gt;"",SpaceHeater!A295,"")</f>
        <v/>
      </c>
    </row>
    <row r="296" spans="3:3" x14ac:dyDescent="0.2">
      <c r="C296" t="str">
        <f>IF(SpaceHeater!A296&lt;&gt;"",SpaceHeater!A296,"")</f>
        <v/>
      </c>
    </row>
    <row r="297" spans="3:3" x14ac:dyDescent="0.2">
      <c r="C297" t="str">
        <f>IF(SpaceHeater!A297&lt;&gt;"",SpaceHeater!A297,"")</f>
        <v/>
      </c>
    </row>
    <row r="298" spans="3:3" x14ac:dyDescent="0.2">
      <c r="C298" t="str">
        <f>IF(SpaceHeater!A298&lt;&gt;"",SpaceHeater!A298,"")</f>
        <v/>
      </c>
    </row>
    <row r="299" spans="3:3" x14ac:dyDescent="0.2">
      <c r="C299" t="str">
        <f>IF(SpaceHeater!A299&lt;&gt;"",SpaceHeater!A299,"")</f>
        <v/>
      </c>
    </row>
    <row r="300" spans="3:3" x14ac:dyDescent="0.2">
      <c r="C300" t="str">
        <f>IF(SpaceHeater!A300&lt;&gt;"",SpaceHeater!A300,"")</f>
        <v/>
      </c>
    </row>
    <row r="301" spans="3:3" x14ac:dyDescent="0.2">
      <c r="C301" t="str">
        <f>IF(SpaceHeater!A301&lt;&gt;"",SpaceHeater!A301,"")</f>
        <v/>
      </c>
    </row>
    <row r="302" spans="3:3" x14ac:dyDescent="0.2">
      <c r="C302" t="str">
        <f>IF(SpaceHeater!A302&lt;&gt;"",SpaceHeater!A302,"")</f>
        <v/>
      </c>
    </row>
    <row r="303" spans="3:3" x14ac:dyDescent="0.2">
      <c r="C303" t="str">
        <f>IF(SpaceHeater!A303&lt;&gt;"",SpaceHeater!A303,"")</f>
        <v/>
      </c>
    </row>
    <row r="304" spans="3:3" x14ac:dyDescent="0.2">
      <c r="C304" t="str">
        <f>IF(SpaceHeater!A304&lt;&gt;"",SpaceHeater!A304,"")</f>
        <v/>
      </c>
    </row>
    <row r="305" spans="3:3" x14ac:dyDescent="0.2">
      <c r="C305" t="str">
        <f>IF(SpaceHeater!A305&lt;&gt;"",SpaceHeater!A305,"")</f>
        <v/>
      </c>
    </row>
    <row r="306" spans="3:3" x14ac:dyDescent="0.2">
      <c r="C306" t="str">
        <f>IF(SpaceHeater!A306&lt;&gt;"",SpaceHeater!A306,"")</f>
        <v/>
      </c>
    </row>
    <row r="307" spans="3:3" x14ac:dyDescent="0.2">
      <c r="C307" t="str">
        <f>IF(SpaceHeater!A307&lt;&gt;"",SpaceHeater!A307,"")</f>
        <v/>
      </c>
    </row>
    <row r="308" spans="3:3" x14ac:dyDescent="0.2">
      <c r="C308" t="str">
        <f>IF(SpaceHeater!A308&lt;&gt;"",SpaceHeater!A308,"")</f>
        <v/>
      </c>
    </row>
    <row r="309" spans="3:3" x14ac:dyDescent="0.2">
      <c r="C309" t="str">
        <f>IF(SpaceHeater!A309&lt;&gt;"",SpaceHeater!A309,"")</f>
        <v/>
      </c>
    </row>
    <row r="310" spans="3:3" x14ac:dyDescent="0.2">
      <c r="C310" t="str">
        <f>IF(SpaceHeater!A310&lt;&gt;"",SpaceHeater!A310,"")</f>
        <v/>
      </c>
    </row>
    <row r="311" spans="3:3" x14ac:dyDescent="0.2">
      <c r="C311" t="str">
        <f>IF(SpaceHeater!A311&lt;&gt;"",SpaceHeater!A311,"")</f>
        <v/>
      </c>
    </row>
    <row r="312" spans="3:3" x14ac:dyDescent="0.2">
      <c r="C312" t="str">
        <f>IF(SpaceHeater!A312&lt;&gt;"",SpaceHeater!A312,"")</f>
        <v/>
      </c>
    </row>
    <row r="313" spans="3:3" x14ac:dyDescent="0.2">
      <c r="C313" t="str">
        <f>IF(SpaceHeater!A313&lt;&gt;"",SpaceHeater!A313,"")</f>
        <v/>
      </c>
    </row>
    <row r="314" spans="3:3" x14ac:dyDescent="0.2">
      <c r="C314" t="str">
        <f>IF(SpaceHeater!A314&lt;&gt;"",SpaceHeater!A314,"")</f>
        <v/>
      </c>
    </row>
    <row r="315" spans="3:3" x14ac:dyDescent="0.2">
      <c r="C315" t="str">
        <f>IF(SpaceHeater!A315&lt;&gt;"",SpaceHeater!A315,"")</f>
        <v/>
      </c>
    </row>
    <row r="316" spans="3:3" x14ac:dyDescent="0.2">
      <c r="C316" t="str">
        <f>IF(SpaceHeater!A316&lt;&gt;"",SpaceHeater!A316,"")</f>
        <v/>
      </c>
    </row>
    <row r="317" spans="3:3" x14ac:dyDescent="0.2">
      <c r="C317" t="str">
        <f>IF(SpaceHeater!A317&lt;&gt;"",SpaceHeater!A317,"")</f>
        <v/>
      </c>
    </row>
    <row r="318" spans="3:3" x14ac:dyDescent="0.2">
      <c r="C318" t="str">
        <f>IF(SpaceHeater!A318&lt;&gt;"",SpaceHeater!A318,"")</f>
        <v/>
      </c>
    </row>
    <row r="319" spans="3:3" x14ac:dyDescent="0.2">
      <c r="C319" t="str">
        <f>IF(SpaceHeater!A319&lt;&gt;"",SpaceHeater!A319,"")</f>
        <v/>
      </c>
    </row>
    <row r="320" spans="3:3" x14ac:dyDescent="0.2">
      <c r="C320" t="str">
        <f>IF(SpaceHeater!A320&lt;&gt;"",SpaceHeater!A320,"")</f>
        <v/>
      </c>
    </row>
    <row r="321" spans="3:3" x14ac:dyDescent="0.2">
      <c r="C321" t="str">
        <f>IF(SpaceHeater!A321&lt;&gt;"",SpaceHeater!A321,"")</f>
        <v/>
      </c>
    </row>
    <row r="322" spans="3:3" x14ac:dyDescent="0.2">
      <c r="C322" t="str">
        <f>IF(SpaceHeater!A322&lt;&gt;"",SpaceHeater!A322,"")</f>
        <v/>
      </c>
    </row>
    <row r="323" spans="3:3" x14ac:dyDescent="0.2">
      <c r="C323" t="str">
        <f>IF(SpaceHeater!A323&lt;&gt;"",SpaceHeater!A323,"")</f>
        <v/>
      </c>
    </row>
    <row r="324" spans="3:3" x14ac:dyDescent="0.2">
      <c r="C324" t="str">
        <f>IF(SpaceHeater!A324&lt;&gt;"",SpaceHeater!A324,"")</f>
        <v/>
      </c>
    </row>
    <row r="325" spans="3:3" x14ac:dyDescent="0.2">
      <c r="C325" t="str">
        <f>IF(SpaceHeater!A325&lt;&gt;"",SpaceHeater!A325,"")</f>
        <v/>
      </c>
    </row>
    <row r="326" spans="3:3" x14ac:dyDescent="0.2">
      <c r="C326" t="str">
        <f>IF(SpaceHeater!A326&lt;&gt;"",SpaceHeater!A326,"")</f>
        <v/>
      </c>
    </row>
    <row r="327" spans="3:3" x14ac:dyDescent="0.2">
      <c r="C327" t="str">
        <f>IF(SpaceHeater!A327&lt;&gt;"",SpaceHeater!A327,"")</f>
        <v/>
      </c>
    </row>
    <row r="328" spans="3:3" x14ac:dyDescent="0.2">
      <c r="C328" t="str">
        <f>IF(SpaceHeater!A328&lt;&gt;"",SpaceHeater!A328,"")</f>
        <v/>
      </c>
    </row>
    <row r="329" spans="3:3" x14ac:dyDescent="0.2">
      <c r="C329" t="str">
        <f>IF(SpaceHeater!A329&lt;&gt;"",SpaceHeater!A329,"")</f>
        <v/>
      </c>
    </row>
    <row r="330" spans="3:3" x14ac:dyDescent="0.2">
      <c r="C330" t="str">
        <f>IF(SpaceHeater!A330&lt;&gt;"",SpaceHeater!A330,"")</f>
        <v/>
      </c>
    </row>
    <row r="331" spans="3:3" x14ac:dyDescent="0.2">
      <c r="C331" t="str">
        <f>IF(SpaceHeater!A331&lt;&gt;"",SpaceHeater!A331,"")</f>
        <v/>
      </c>
    </row>
    <row r="332" spans="3:3" x14ac:dyDescent="0.2">
      <c r="C332" t="str">
        <f>IF(SpaceHeater!A332&lt;&gt;"",SpaceHeater!A332,"")</f>
        <v/>
      </c>
    </row>
    <row r="333" spans="3:3" x14ac:dyDescent="0.2">
      <c r="C333" t="str">
        <f>IF(SpaceHeater!A333&lt;&gt;"",SpaceHeater!A333,"")</f>
        <v/>
      </c>
    </row>
    <row r="334" spans="3:3" x14ac:dyDescent="0.2">
      <c r="C334" t="str">
        <f>IF(SpaceHeater!A334&lt;&gt;"",SpaceHeater!A334,"")</f>
        <v/>
      </c>
    </row>
    <row r="335" spans="3:3" x14ac:dyDescent="0.2">
      <c r="C335" t="str">
        <f>IF(SpaceHeater!A335&lt;&gt;"",SpaceHeater!A335,"")</f>
        <v/>
      </c>
    </row>
    <row r="336" spans="3:3" x14ac:dyDescent="0.2">
      <c r="C336" t="str">
        <f>IF(SpaceHeater!A336&lt;&gt;"",SpaceHeater!A336,"")</f>
        <v/>
      </c>
    </row>
    <row r="337" spans="3:3" x14ac:dyDescent="0.2">
      <c r="C337" t="str">
        <f>IF(SpaceHeater!A337&lt;&gt;"",SpaceHeater!A337,"")</f>
        <v/>
      </c>
    </row>
    <row r="338" spans="3:3" x14ac:dyDescent="0.2">
      <c r="C338" t="str">
        <f>IF(SpaceHeater!A338&lt;&gt;"",SpaceHeater!A338,"")</f>
        <v/>
      </c>
    </row>
    <row r="339" spans="3:3" x14ac:dyDescent="0.2">
      <c r="C339" t="str">
        <f>IF(SpaceHeater!A339&lt;&gt;"",SpaceHeater!A339,"")</f>
        <v/>
      </c>
    </row>
    <row r="340" spans="3:3" x14ac:dyDescent="0.2">
      <c r="C340" t="str">
        <f>IF(SpaceHeater!A340&lt;&gt;"",SpaceHeater!A340,"")</f>
        <v/>
      </c>
    </row>
    <row r="341" spans="3:3" x14ac:dyDescent="0.2">
      <c r="C341" t="str">
        <f>IF(SpaceHeater!A341&lt;&gt;"",SpaceHeater!A341,"")</f>
        <v/>
      </c>
    </row>
    <row r="342" spans="3:3" x14ac:dyDescent="0.2">
      <c r="C342" t="str">
        <f>IF(SpaceHeater!A342&lt;&gt;"",SpaceHeater!A342,"")</f>
        <v/>
      </c>
    </row>
    <row r="343" spans="3:3" x14ac:dyDescent="0.2">
      <c r="C343" t="str">
        <f>IF(SpaceHeater!A343&lt;&gt;"",SpaceHeater!A343,"")</f>
        <v/>
      </c>
    </row>
    <row r="344" spans="3:3" x14ac:dyDescent="0.2">
      <c r="C344" t="str">
        <f>IF(SpaceHeater!A344&lt;&gt;"",SpaceHeater!A344,"")</f>
        <v/>
      </c>
    </row>
    <row r="345" spans="3:3" x14ac:dyDescent="0.2">
      <c r="C345" t="str">
        <f>IF(SpaceHeater!A345&lt;&gt;"",SpaceHeater!A345,"")</f>
        <v/>
      </c>
    </row>
    <row r="346" spans="3:3" x14ac:dyDescent="0.2">
      <c r="C346" t="str">
        <f>IF(SpaceHeater!A346&lt;&gt;"",SpaceHeater!A346,"")</f>
        <v/>
      </c>
    </row>
    <row r="347" spans="3:3" x14ac:dyDescent="0.2">
      <c r="C347" t="str">
        <f>IF(SpaceHeater!A347&lt;&gt;"",SpaceHeater!A347,"")</f>
        <v/>
      </c>
    </row>
    <row r="348" spans="3:3" x14ac:dyDescent="0.2">
      <c r="C348" t="str">
        <f>IF(SpaceHeater!A348&lt;&gt;"",SpaceHeater!A348,"")</f>
        <v/>
      </c>
    </row>
    <row r="349" spans="3:3" x14ac:dyDescent="0.2">
      <c r="C349" t="str">
        <f>IF(SpaceHeater!A349&lt;&gt;"",SpaceHeater!A349,"")</f>
        <v/>
      </c>
    </row>
    <row r="350" spans="3:3" x14ac:dyDescent="0.2">
      <c r="C350" t="str">
        <f>IF(SpaceHeater!A350&lt;&gt;"",SpaceHeater!A350,"")</f>
        <v/>
      </c>
    </row>
    <row r="351" spans="3:3" x14ac:dyDescent="0.2">
      <c r="C351" t="str">
        <f>IF(SpaceHeater!A351&lt;&gt;"",SpaceHeater!A351,"")</f>
        <v/>
      </c>
    </row>
    <row r="352" spans="3:3" x14ac:dyDescent="0.2">
      <c r="C352" t="str">
        <f>IF(SpaceHeater!A352&lt;&gt;"",SpaceHeater!A352,"")</f>
        <v/>
      </c>
    </row>
    <row r="353" spans="3:3" x14ac:dyDescent="0.2">
      <c r="C353" t="str">
        <f>IF(SpaceHeater!A353&lt;&gt;"",SpaceHeater!A353,"")</f>
        <v/>
      </c>
    </row>
    <row r="354" spans="3:3" x14ac:dyDescent="0.2">
      <c r="C354" t="str">
        <f>IF(SpaceHeater!A354&lt;&gt;"",SpaceHeater!A354,"")</f>
        <v/>
      </c>
    </row>
    <row r="355" spans="3:3" x14ac:dyDescent="0.2">
      <c r="C355" t="str">
        <f>IF(SpaceHeater!A355&lt;&gt;"",SpaceHeater!A355,"")</f>
        <v/>
      </c>
    </row>
    <row r="356" spans="3:3" x14ac:dyDescent="0.2">
      <c r="C356" t="str">
        <f>IF(SpaceHeater!A356&lt;&gt;"",SpaceHeater!A356,"")</f>
        <v/>
      </c>
    </row>
    <row r="357" spans="3:3" x14ac:dyDescent="0.2">
      <c r="C357" t="str">
        <f>IF(SpaceHeater!A357&lt;&gt;"",SpaceHeater!A357,"")</f>
        <v/>
      </c>
    </row>
    <row r="358" spans="3:3" x14ac:dyDescent="0.2">
      <c r="C358" t="str">
        <f>IF(SpaceHeater!A358&lt;&gt;"",SpaceHeater!A358,"")</f>
        <v/>
      </c>
    </row>
    <row r="359" spans="3:3" x14ac:dyDescent="0.2">
      <c r="C359" t="str">
        <f>IF(SpaceHeater!A359&lt;&gt;"",SpaceHeater!A359,"")</f>
        <v/>
      </c>
    </row>
    <row r="360" spans="3:3" x14ac:dyDescent="0.2">
      <c r="C360" t="str">
        <f>IF(SpaceHeater!A360&lt;&gt;"",SpaceHeater!A360,"")</f>
        <v/>
      </c>
    </row>
    <row r="361" spans="3:3" x14ac:dyDescent="0.2">
      <c r="C361" t="str">
        <f>IF(SpaceHeater!A361&lt;&gt;"",SpaceHeater!A361,"")</f>
        <v/>
      </c>
    </row>
    <row r="362" spans="3:3" x14ac:dyDescent="0.2">
      <c r="C362" t="str">
        <f>IF(SpaceHeater!A362&lt;&gt;"",SpaceHeater!A362,"")</f>
        <v/>
      </c>
    </row>
    <row r="363" spans="3:3" x14ac:dyDescent="0.2">
      <c r="C363" t="str">
        <f>IF(SpaceHeater!A363&lt;&gt;"",SpaceHeater!A363,"")</f>
        <v/>
      </c>
    </row>
    <row r="364" spans="3:3" x14ac:dyDescent="0.2">
      <c r="C364" t="str">
        <f>IF(SpaceHeater!A364&lt;&gt;"",SpaceHeater!A364,"")</f>
        <v/>
      </c>
    </row>
    <row r="365" spans="3:3" x14ac:dyDescent="0.2">
      <c r="C365" t="str">
        <f>IF(SpaceHeater!A365&lt;&gt;"",SpaceHeater!A365,"")</f>
        <v/>
      </c>
    </row>
    <row r="366" spans="3:3" x14ac:dyDescent="0.2">
      <c r="C366" t="str">
        <f>IF(SpaceHeater!A366&lt;&gt;"",SpaceHeater!A366,"")</f>
        <v/>
      </c>
    </row>
    <row r="367" spans="3:3" x14ac:dyDescent="0.2">
      <c r="C367" t="str">
        <f>IF(SpaceHeater!A367&lt;&gt;"",SpaceHeater!A367,"")</f>
        <v/>
      </c>
    </row>
    <row r="368" spans="3:3" x14ac:dyDescent="0.2">
      <c r="C368" t="str">
        <f>IF(SpaceHeater!A368&lt;&gt;"",SpaceHeater!A368,"")</f>
        <v/>
      </c>
    </row>
    <row r="369" spans="3:3" x14ac:dyDescent="0.2">
      <c r="C369" t="str">
        <f>IF(SpaceHeater!A369&lt;&gt;"",SpaceHeater!A369,"")</f>
        <v/>
      </c>
    </row>
    <row r="370" spans="3:3" x14ac:dyDescent="0.2">
      <c r="C370" t="str">
        <f>IF(SpaceHeater!A370&lt;&gt;"",SpaceHeater!A370,"")</f>
        <v/>
      </c>
    </row>
    <row r="371" spans="3:3" x14ac:dyDescent="0.2">
      <c r="C371" t="str">
        <f>IF(SpaceHeater!A371&lt;&gt;"",SpaceHeater!A371,"")</f>
        <v/>
      </c>
    </row>
    <row r="372" spans="3:3" x14ac:dyDescent="0.2">
      <c r="C372" t="str">
        <f>IF(SpaceHeater!A372&lt;&gt;"",SpaceHeater!A372,"")</f>
        <v/>
      </c>
    </row>
    <row r="373" spans="3:3" x14ac:dyDescent="0.2">
      <c r="C373" t="str">
        <f>IF(SpaceHeater!A373&lt;&gt;"",SpaceHeater!A373,"")</f>
        <v/>
      </c>
    </row>
    <row r="374" spans="3:3" x14ac:dyDescent="0.2">
      <c r="C374" t="str">
        <f>IF(SpaceHeater!A374&lt;&gt;"",SpaceHeater!A374,"")</f>
        <v/>
      </c>
    </row>
    <row r="375" spans="3:3" x14ac:dyDescent="0.2">
      <c r="C375" t="str">
        <f>IF(SpaceHeater!A375&lt;&gt;"",SpaceHeater!A375,"")</f>
        <v/>
      </c>
    </row>
    <row r="376" spans="3:3" x14ac:dyDescent="0.2">
      <c r="C376" t="str">
        <f>IF(SpaceHeater!A376&lt;&gt;"",SpaceHeater!A376,"")</f>
        <v/>
      </c>
    </row>
    <row r="377" spans="3:3" x14ac:dyDescent="0.2">
      <c r="C377" t="str">
        <f>IF(SpaceHeater!A377&lt;&gt;"",SpaceHeater!A377,"")</f>
        <v/>
      </c>
    </row>
    <row r="378" spans="3:3" x14ac:dyDescent="0.2">
      <c r="C378" t="str">
        <f>IF(SpaceHeater!A378&lt;&gt;"",SpaceHeater!A378,"")</f>
        <v/>
      </c>
    </row>
    <row r="379" spans="3:3" x14ac:dyDescent="0.2">
      <c r="C379" t="str">
        <f>IF(SpaceHeater!A379&lt;&gt;"",SpaceHeater!A379,"")</f>
        <v/>
      </c>
    </row>
    <row r="380" spans="3:3" x14ac:dyDescent="0.2">
      <c r="C380" t="str">
        <f>IF(SpaceHeater!A380&lt;&gt;"",SpaceHeater!A380,"")</f>
        <v/>
      </c>
    </row>
    <row r="381" spans="3:3" x14ac:dyDescent="0.2">
      <c r="C381" t="str">
        <f>IF(SpaceHeater!A381&lt;&gt;"",SpaceHeater!A381,"")</f>
        <v/>
      </c>
    </row>
    <row r="382" spans="3:3" x14ac:dyDescent="0.2">
      <c r="C382" t="str">
        <f>IF(SpaceHeater!A382&lt;&gt;"",SpaceHeater!A382,"")</f>
        <v/>
      </c>
    </row>
    <row r="383" spans="3:3" x14ac:dyDescent="0.2">
      <c r="C383" t="str">
        <f>IF(SpaceHeater!A383&lt;&gt;"",SpaceHeater!A383,"")</f>
        <v/>
      </c>
    </row>
    <row r="384" spans="3:3" x14ac:dyDescent="0.2">
      <c r="C384" t="str">
        <f>IF(SpaceHeater!A384&lt;&gt;"",SpaceHeater!A384,"")</f>
        <v/>
      </c>
    </row>
    <row r="385" spans="3:3" x14ac:dyDescent="0.2">
      <c r="C385" t="str">
        <f>IF(SpaceHeater!A385&lt;&gt;"",SpaceHeater!A385,"")</f>
        <v/>
      </c>
    </row>
    <row r="386" spans="3:3" x14ac:dyDescent="0.2">
      <c r="C386" t="str">
        <f>IF(SpaceHeater!A386&lt;&gt;"",SpaceHeater!A386,"")</f>
        <v/>
      </c>
    </row>
    <row r="387" spans="3:3" x14ac:dyDescent="0.2">
      <c r="C387" t="str">
        <f>IF(SpaceHeater!A387&lt;&gt;"",SpaceHeater!A387,"")</f>
        <v/>
      </c>
    </row>
    <row r="388" spans="3:3" x14ac:dyDescent="0.2">
      <c r="C388" t="str">
        <f>IF(SpaceHeater!A388&lt;&gt;"",SpaceHeater!A388,"")</f>
        <v/>
      </c>
    </row>
    <row r="389" spans="3:3" x14ac:dyDescent="0.2">
      <c r="C389" t="str">
        <f>IF(SpaceHeater!A389&lt;&gt;"",SpaceHeater!A389,"")</f>
        <v/>
      </c>
    </row>
    <row r="390" spans="3:3" x14ac:dyDescent="0.2">
      <c r="C390" t="str">
        <f>IF(SpaceHeater!A390&lt;&gt;"",SpaceHeater!A390,"")</f>
        <v/>
      </c>
    </row>
    <row r="391" spans="3:3" x14ac:dyDescent="0.2">
      <c r="C391" t="str">
        <f>IF(SpaceHeater!A391&lt;&gt;"",SpaceHeater!A391,"")</f>
        <v/>
      </c>
    </row>
    <row r="392" spans="3:3" x14ac:dyDescent="0.2">
      <c r="C392" t="str">
        <f>IF(SpaceHeater!A392&lt;&gt;"",SpaceHeater!A392,"")</f>
        <v/>
      </c>
    </row>
    <row r="393" spans="3:3" x14ac:dyDescent="0.2">
      <c r="C393" t="str">
        <f>IF(SpaceHeater!A393&lt;&gt;"",SpaceHeater!A393,"")</f>
        <v/>
      </c>
    </row>
    <row r="394" spans="3:3" x14ac:dyDescent="0.2">
      <c r="C394" t="str">
        <f>IF(SpaceHeater!A394&lt;&gt;"",SpaceHeater!A394,"")</f>
        <v/>
      </c>
    </row>
    <row r="395" spans="3:3" x14ac:dyDescent="0.2">
      <c r="C395" t="str">
        <f>IF(SpaceHeater!A395&lt;&gt;"",SpaceHeater!A395,"")</f>
        <v/>
      </c>
    </row>
    <row r="396" spans="3:3" x14ac:dyDescent="0.2">
      <c r="C396" t="str">
        <f>IF(SpaceHeater!A396&lt;&gt;"",SpaceHeater!A396,"")</f>
        <v/>
      </c>
    </row>
    <row r="397" spans="3:3" x14ac:dyDescent="0.2">
      <c r="C397" t="str">
        <f>IF(SpaceHeater!A397&lt;&gt;"",SpaceHeater!A397,"")</f>
        <v/>
      </c>
    </row>
    <row r="398" spans="3:3" x14ac:dyDescent="0.2">
      <c r="C398" t="str">
        <f>IF(SpaceHeater!A398&lt;&gt;"",SpaceHeater!A398,"")</f>
        <v/>
      </c>
    </row>
    <row r="399" spans="3:3" x14ac:dyDescent="0.2">
      <c r="C399" t="str">
        <f>IF(SpaceHeater!A399&lt;&gt;"",SpaceHeater!A399,"")</f>
        <v/>
      </c>
    </row>
    <row r="400" spans="3:3" x14ac:dyDescent="0.2">
      <c r="C400" t="str">
        <f>IF(SpaceHeater!A400&lt;&gt;"",SpaceHeater!A400,"")</f>
        <v/>
      </c>
    </row>
    <row r="401" spans="3:3" x14ac:dyDescent="0.2">
      <c r="C401" t="str">
        <f>IF(SpaceHeater!A401&lt;&gt;"",SpaceHeater!A401,"")</f>
        <v/>
      </c>
    </row>
    <row r="402" spans="3:3" x14ac:dyDescent="0.2">
      <c r="C402" t="str">
        <f>IF(SpaceHeater!A402&lt;&gt;"",SpaceHeater!A402,"")</f>
        <v/>
      </c>
    </row>
    <row r="403" spans="3:3" x14ac:dyDescent="0.2">
      <c r="C403" t="str">
        <f>IF(SpaceHeater!A403&lt;&gt;"",SpaceHeater!A403,"")</f>
        <v/>
      </c>
    </row>
    <row r="404" spans="3:3" x14ac:dyDescent="0.2">
      <c r="C404" t="str">
        <f>IF(SpaceHeater!A404&lt;&gt;"",SpaceHeater!A404,"")</f>
        <v/>
      </c>
    </row>
    <row r="405" spans="3:3" x14ac:dyDescent="0.2">
      <c r="C405" t="str">
        <f>IF(SpaceHeater!A405&lt;&gt;"",SpaceHeater!A405,"")</f>
        <v/>
      </c>
    </row>
    <row r="406" spans="3:3" x14ac:dyDescent="0.2">
      <c r="C406" t="str">
        <f>IF(SpaceHeater!A406&lt;&gt;"",SpaceHeater!A406,"")</f>
        <v/>
      </c>
    </row>
    <row r="407" spans="3:3" x14ac:dyDescent="0.2">
      <c r="C407" t="str">
        <f>IF(SpaceHeater!A407&lt;&gt;"",SpaceHeater!A407,"")</f>
        <v/>
      </c>
    </row>
    <row r="408" spans="3:3" x14ac:dyDescent="0.2">
      <c r="C408" t="str">
        <f>IF(SpaceHeater!A408&lt;&gt;"",SpaceHeater!A408,"")</f>
        <v/>
      </c>
    </row>
    <row r="409" spans="3:3" x14ac:dyDescent="0.2">
      <c r="C409" t="str">
        <f>IF(SpaceHeater!A409&lt;&gt;"",SpaceHeater!A409,"")</f>
        <v/>
      </c>
    </row>
    <row r="410" spans="3:3" x14ac:dyDescent="0.2">
      <c r="C410" t="str">
        <f>IF(SpaceHeater!A410&lt;&gt;"",SpaceHeater!A410,"")</f>
        <v/>
      </c>
    </row>
    <row r="411" spans="3:3" x14ac:dyDescent="0.2">
      <c r="C411" t="str">
        <f>IF(SpaceHeater!A411&lt;&gt;"",SpaceHeater!A411,"")</f>
        <v/>
      </c>
    </row>
    <row r="412" spans="3:3" x14ac:dyDescent="0.2">
      <c r="C412" t="str">
        <f>IF(SpaceHeater!A412&lt;&gt;"",SpaceHeater!A412,"")</f>
        <v/>
      </c>
    </row>
    <row r="413" spans="3:3" x14ac:dyDescent="0.2">
      <c r="C413" t="str">
        <f>IF(SpaceHeater!A413&lt;&gt;"",SpaceHeater!A413,"")</f>
        <v/>
      </c>
    </row>
    <row r="414" spans="3:3" x14ac:dyDescent="0.2">
      <c r="C414" t="str">
        <f>IF(SpaceHeater!A414&lt;&gt;"",SpaceHeater!A414,"")</f>
        <v/>
      </c>
    </row>
    <row r="415" spans="3:3" x14ac:dyDescent="0.2">
      <c r="C415" t="str">
        <f>IF(SpaceHeater!A415&lt;&gt;"",SpaceHeater!A415,"")</f>
        <v/>
      </c>
    </row>
    <row r="416" spans="3:3" x14ac:dyDescent="0.2">
      <c r="C416" t="str">
        <f>IF(SpaceHeater!A416&lt;&gt;"",SpaceHeater!A416,"")</f>
        <v/>
      </c>
    </row>
    <row r="417" spans="3:3" x14ac:dyDescent="0.2">
      <c r="C417" t="str">
        <f>IF(SpaceHeater!A417&lt;&gt;"",SpaceHeater!A417,"")</f>
        <v/>
      </c>
    </row>
    <row r="418" spans="3:3" x14ac:dyDescent="0.2">
      <c r="C418" t="str">
        <f>IF(SpaceHeater!A418&lt;&gt;"",SpaceHeater!A418,"")</f>
        <v/>
      </c>
    </row>
    <row r="419" spans="3:3" x14ac:dyDescent="0.2">
      <c r="C419" t="str">
        <f>IF(SpaceHeater!A419&lt;&gt;"",SpaceHeater!A419,"")</f>
        <v/>
      </c>
    </row>
    <row r="420" spans="3:3" x14ac:dyDescent="0.2">
      <c r="C420" t="str">
        <f>IF(SpaceHeater!A420&lt;&gt;"",SpaceHeater!A420,"")</f>
        <v/>
      </c>
    </row>
    <row r="421" spans="3:3" x14ac:dyDescent="0.2">
      <c r="C421" t="str">
        <f>IF(SpaceHeater!A421&lt;&gt;"",SpaceHeater!A421,"")</f>
        <v/>
      </c>
    </row>
    <row r="422" spans="3:3" x14ac:dyDescent="0.2">
      <c r="C422" t="str">
        <f>IF(SpaceHeater!A422&lt;&gt;"",SpaceHeater!A422,"")</f>
        <v/>
      </c>
    </row>
    <row r="423" spans="3:3" x14ac:dyDescent="0.2">
      <c r="C423" t="str">
        <f>IF(SpaceHeater!A423&lt;&gt;"",SpaceHeater!A423,"")</f>
        <v/>
      </c>
    </row>
    <row r="424" spans="3:3" x14ac:dyDescent="0.2">
      <c r="C424" t="str">
        <f>IF(SpaceHeater!A424&lt;&gt;"",SpaceHeater!A424,"")</f>
        <v/>
      </c>
    </row>
    <row r="425" spans="3:3" x14ac:dyDescent="0.2">
      <c r="C425" t="str">
        <f>IF(SpaceHeater!A425&lt;&gt;"",SpaceHeater!A425,"")</f>
        <v/>
      </c>
    </row>
    <row r="426" spans="3:3" x14ac:dyDescent="0.2">
      <c r="C426" t="str">
        <f>IF(SpaceHeater!A426&lt;&gt;"",SpaceHeater!A426,"")</f>
        <v/>
      </c>
    </row>
    <row r="427" spans="3:3" x14ac:dyDescent="0.2">
      <c r="C427" t="str">
        <f>IF(SpaceHeater!A427&lt;&gt;"",SpaceHeater!A427,"")</f>
        <v/>
      </c>
    </row>
    <row r="428" spans="3:3" x14ac:dyDescent="0.2">
      <c r="C428" t="str">
        <f>IF(SpaceHeater!A428&lt;&gt;"",SpaceHeater!A428,"")</f>
        <v/>
      </c>
    </row>
    <row r="429" spans="3:3" x14ac:dyDescent="0.2">
      <c r="C429" t="str">
        <f>IF(SpaceHeater!A429&lt;&gt;"",SpaceHeater!A429,"")</f>
        <v/>
      </c>
    </row>
    <row r="430" spans="3:3" x14ac:dyDescent="0.2">
      <c r="C430" t="str">
        <f>IF(SpaceHeater!A430&lt;&gt;"",SpaceHeater!A430,"")</f>
        <v/>
      </c>
    </row>
    <row r="431" spans="3:3" x14ac:dyDescent="0.2">
      <c r="C431" t="str">
        <f>IF(SpaceHeater!A431&lt;&gt;"",SpaceHeater!A431,"")</f>
        <v/>
      </c>
    </row>
    <row r="432" spans="3:3" x14ac:dyDescent="0.2">
      <c r="C432" t="str">
        <f>IF(SpaceHeater!A432&lt;&gt;"",SpaceHeater!A432,"")</f>
        <v/>
      </c>
    </row>
    <row r="433" spans="3:3" x14ac:dyDescent="0.2">
      <c r="C433" t="str">
        <f>IF(SpaceHeater!A433&lt;&gt;"",SpaceHeater!A433,"")</f>
        <v/>
      </c>
    </row>
    <row r="434" spans="3:3" x14ac:dyDescent="0.2">
      <c r="C434" t="str">
        <f>IF(SpaceHeater!A434&lt;&gt;"",SpaceHeater!A434,"")</f>
        <v/>
      </c>
    </row>
    <row r="435" spans="3:3" x14ac:dyDescent="0.2">
      <c r="C435" t="str">
        <f>IF(SpaceHeater!A435&lt;&gt;"",SpaceHeater!A435,"")</f>
        <v/>
      </c>
    </row>
    <row r="436" spans="3:3" x14ac:dyDescent="0.2">
      <c r="C436" t="str">
        <f>IF(SpaceHeater!A436&lt;&gt;"",SpaceHeater!A436,"")</f>
        <v/>
      </c>
    </row>
    <row r="437" spans="3:3" x14ac:dyDescent="0.2">
      <c r="C437" t="str">
        <f>IF(SpaceHeater!A437&lt;&gt;"",SpaceHeater!A437,"")</f>
        <v/>
      </c>
    </row>
    <row r="438" spans="3:3" x14ac:dyDescent="0.2">
      <c r="C438" t="str">
        <f>IF(SpaceHeater!A438&lt;&gt;"",SpaceHeater!A438,"")</f>
        <v/>
      </c>
    </row>
    <row r="439" spans="3:3" x14ac:dyDescent="0.2">
      <c r="C439" t="str">
        <f>IF(SpaceHeater!A439&lt;&gt;"",SpaceHeater!A439,"")</f>
        <v/>
      </c>
    </row>
    <row r="440" spans="3:3" x14ac:dyDescent="0.2">
      <c r="C440" t="str">
        <f>IF(SpaceHeater!A440&lt;&gt;"",SpaceHeater!A440,"")</f>
        <v/>
      </c>
    </row>
    <row r="441" spans="3:3" x14ac:dyDescent="0.2">
      <c r="C441" t="str">
        <f>IF(SpaceHeater!A441&lt;&gt;"",SpaceHeater!A441,"")</f>
        <v/>
      </c>
    </row>
    <row r="442" spans="3:3" x14ac:dyDescent="0.2">
      <c r="C442" t="str">
        <f>IF(SpaceHeater!A442&lt;&gt;"",SpaceHeater!A442,"")</f>
        <v/>
      </c>
    </row>
    <row r="443" spans="3:3" x14ac:dyDescent="0.2">
      <c r="C443" t="str">
        <f>IF(SpaceHeater!A443&lt;&gt;"",SpaceHeater!A443,"")</f>
        <v/>
      </c>
    </row>
    <row r="444" spans="3:3" x14ac:dyDescent="0.2">
      <c r="C444" t="str">
        <f>IF(SpaceHeater!A444&lt;&gt;"",SpaceHeater!A444,"")</f>
        <v/>
      </c>
    </row>
    <row r="445" spans="3:3" x14ac:dyDescent="0.2">
      <c r="C445" t="str">
        <f>IF(SpaceHeater!A445&lt;&gt;"",SpaceHeater!A445,"")</f>
        <v/>
      </c>
    </row>
    <row r="446" spans="3:3" x14ac:dyDescent="0.2">
      <c r="C446" t="str">
        <f>IF(SpaceHeater!A446&lt;&gt;"",SpaceHeater!A446,"")</f>
        <v/>
      </c>
    </row>
    <row r="447" spans="3:3" x14ac:dyDescent="0.2">
      <c r="C447" t="str">
        <f>IF(SpaceHeater!A447&lt;&gt;"",SpaceHeater!A447,"")</f>
        <v/>
      </c>
    </row>
    <row r="448" spans="3:3" x14ac:dyDescent="0.2">
      <c r="C448" t="str">
        <f>IF(SpaceHeater!A448&lt;&gt;"",SpaceHeater!A448,"")</f>
        <v/>
      </c>
    </row>
    <row r="449" spans="3:3" x14ac:dyDescent="0.2">
      <c r="C449" t="str">
        <f>IF(SpaceHeater!A449&lt;&gt;"",SpaceHeater!A449,"")</f>
        <v/>
      </c>
    </row>
    <row r="450" spans="3:3" x14ac:dyDescent="0.2">
      <c r="C450" t="str">
        <f>IF(SpaceHeater!A450&lt;&gt;"",SpaceHeater!A450,"")</f>
        <v/>
      </c>
    </row>
    <row r="451" spans="3:3" x14ac:dyDescent="0.2">
      <c r="C451" t="str">
        <f>IF(SpaceHeater!A451&lt;&gt;"",SpaceHeater!A451,"")</f>
        <v/>
      </c>
    </row>
    <row r="452" spans="3:3" x14ac:dyDescent="0.2">
      <c r="C452" t="str">
        <f>IF(SpaceHeater!A452&lt;&gt;"",SpaceHeater!A452,"")</f>
        <v/>
      </c>
    </row>
    <row r="453" spans="3:3" x14ac:dyDescent="0.2">
      <c r="C453" t="str">
        <f>IF(SpaceHeater!A453&lt;&gt;"",SpaceHeater!A453,"")</f>
        <v/>
      </c>
    </row>
    <row r="454" spans="3:3" x14ac:dyDescent="0.2">
      <c r="C454" t="str">
        <f>IF(SpaceHeater!A454&lt;&gt;"",SpaceHeater!A454,"")</f>
        <v/>
      </c>
    </row>
    <row r="455" spans="3:3" x14ac:dyDescent="0.2">
      <c r="C455" t="str">
        <f>IF(SpaceHeater!A455&lt;&gt;"",SpaceHeater!A455,"")</f>
        <v/>
      </c>
    </row>
    <row r="456" spans="3:3" x14ac:dyDescent="0.2">
      <c r="C456" t="str">
        <f>IF(SpaceHeater!A456&lt;&gt;"",SpaceHeater!A456,"")</f>
        <v/>
      </c>
    </row>
    <row r="457" spans="3:3" x14ac:dyDescent="0.2">
      <c r="C457" t="str">
        <f>IF(SpaceHeater!A457&lt;&gt;"",SpaceHeater!A457,"")</f>
        <v/>
      </c>
    </row>
    <row r="458" spans="3:3" x14ac:dyDescent="0.2">
      <c r="C458" t="str">
        <f>IF(SpaceHeater!A458&lt;&gt;"",SpaceHeater!A458,"")</f>
        <v/>
      </c>
    </row>
    <row r="459" spans="3:3" x14ac:dyDescent="0.2">
      <c r="C459" t="str">
        <f>IF(SpaceHeater!A459&lt;&gt;"",SpaceHeater!A459,"")</f>
        <v/>
      </c>
    </row>
    <row r="460" spans="3:3" x14ac:dyDescent="0.2">
      <c r="C460" t="str">
        <f>IF(SpaceHeater!A460&lt;&gt;"",SpaceHeater!A460,"")</f>
        <v/>
      </c>
    </row>
    <row r="461" spans="3:3" x14ac:dyDescent="0.2">
      <c r="C461" t="str">
        <f>IF(SpaceHeater!A461&lt;&gt;"",SpaceHeater!A461,"")</f>
        <v/>
      </c>
    </row>
    <row r="462" spans="3:3" x14ac:dyDescent="0.2">
      <c r="C462" t="str">
        <f>IF(SpaceHeater!A462&lt;&gt;"",SpaceHeater!A462,"")</f>
        <v/>
      </c>
    </row>
    <row r="463" spans="3:3" x14ac:dyDescent="0.2">
      <c r="C463" t="str">
        <f>IF(SpaceHeater!A463&lt;&gt;"",SpaceHeater!A463,"")</f>
        <v/>
      </c>
    </row>
    <row r="464" spans="3:3" x14ac:dyDescent="0.2">
      <c r="C464" t="str">
        <f>IF(SpaceHeater!A464&lt;&gt;"",SpaceHeater!A464,"")</f>
        <v/>
      </c>
    </row>
    <row r="465" spans="3:3" x14ac:dyDescent="0.2">
      <c r="C465" t="str">
        <f>IF(SpaceHeater!A465&lt;&gt;"",SpaceHeater!A465,"")</f>
        <v/>
      </c>
    </row>
    <row r="466" spans="3:3" x14ac:dyDescent="0.2">
      <c r="C466" t="str">
        <f>IF(SpaceHeater!A466&lt;&gt;"",SpaceHeater!A466,"")</f>
        <v/>
      </c>
    </row>
    <row r="467" spans="3:3" x14ac:dyDescent="0.2">
      <c r="C467" t="str">
        <f>IF(SpaceHeater!A467&lt;&gt;"",SpaceHeater!A467,"")</f>
        <v/>
      </c>
    </row>
    <row r="468" spans="3:3" x14ac:dyDescent="0.2">
      <c r="C468" t="str">
        <f>IF(SpaceHeater!A468&lt;&gt;"",SpaceHeater!A468,"")</f>
        <v/>
      </c>
    </row>
    <row r="469" spans="3:3" x14ac:dyDescent="0.2">
      <c r="C469" t="str">
        <f>IF(SpaceHeater!A469&lt;&gt;"",SpaceHeater!A469,"")</f>
        <v/>
      </c>
    </row>
    <row r="470" spans="3:3" x14ac:dyDescent="0.2">
      <c r="C470" t="str">
        <f>IF(SpaceHeater!A470&lt;&gt;"",SpaceHeater!A470,"")</f>
        <v/>
      </c>
    </row>
    <row r="471" spans="3:3" x14ac:dyDescent="0.2">
      <c r="C471" t="str">
        <f>IF(SpaceHeater!A471&lt;&gt;"",SpaceHeater!A471,"")</f>
        <v/>
      </c>
    </row>
    <row r="472" spans="3:3" x14ac:dyDescent="0.2">
      <c r="C472" t="str">
        <f>IF(SpaceHeater!A472&lt;&gt;"",SpaceHeater!A472,"")</f>
        <v/>
      </c>
    </row>
    <row r="473" spans="3:3" x14ac:dyDescent="0.2">
      <c r="C473" t="str">
        <f>IF(SpaceHeater!A473&lt;&gt;"",SpaceHeater!A473,"")</f>
        <v/>
      </c>
    </row>
    <row r="474" spans="3:3" x14ac:dyDescent="0.2">
      <c r="C474" t="str">
        <f>IF(SpaceHeater!A474&lt;&gt;"",SpaceHeater!A474,"")</f>
        <v/>
      </c>
    </row>
    <row r="475" spans="3:3" x14ac:dyDescent="0.2">
      <c r="C475" t="str">
        <f>IF(SpaceHeater!A475&lt;&gt;"",SpaceHeater!A475,"")</f>
        <v/>
      </c>
    </row>
    <row r="476" spans="3:3" x14ac:dyDescent="0.2">
      <c r="C476" t="str">
        <f>IF(SpaceHeater!A476&lt;&gt;"",SpaceHeater!A476,"")</f>
        <v/>
      </c>
    </row>
    <row r="477" spans="3:3" x14ac:dyDescent="0.2">
      <c r="C477" t="str">
        <f>IF(SpaceHeater!A477&lt;&gt;"",SpaceHeater!A477,"")</f>
        <v/>
      </c>
    </row>
    <row r="478" spans="3:3" x14ac:dyDescent="0.2">
      <c r="C478" t="str">
        <f>IF(SpaceHeater!A478&lt;&gt;"",SpaceHeater!A478,"")</f>
        <v/>
      </c>
    </row>
    <row r="479" spans="3:3" x14ac:dyDescent="0.2">
      <c r="C479" t="str">
        <f>IF(SpaceHeater!A479&lt;&gt;"",SpaceHeater!A479,"")</f>
        <v/>
      </c>
    </row>
    <row r="480" spans="3:3" x14ac:dyDescent="0.2">
      <c r="C480" t="str">
        <f>IF(SpaceHeater!A480&lt;&gt;"",SpaceHeater!A480,"")</f>
        <v/>
      </c>
    </row>
    <row r="481" spans="3:3" x14ac:dyDescent="0.2">
      <c r="C481" t="str">
        <f>IF(SpaceHeater!A481&lt;&gt;"",SpaceHeater!A481,"")</f>
        <v/>
      </c>
    </row>
    <row r="482" spans="3:3" x14ac:dyDescent="0.2">
      <c r="C482" t="str">
        <f>IF(SpaceHeater!A482&lt;&gt;"",SpaceHeater!A482,"")</f>
        <v/>
      </c>
    </row>
    <row r="483" spans="3:3" x14ac:dyDescent="0.2">
      <c r="C483" t="str">
        <f>IF(SpaceHeater!A483&lt;&gt;"",SpaceHeater!A483,"")</f>
        <v/>
      </c>
    </row>
    <row r="484" spans="3:3" x14ac:dyDescent="0.2">
      <c r="C484" t="str">
        <f>IF(SpaceHeater!A484&lt;&gt;"",SpaceHeater!A484,"")</f>
        <v/>
      </c>
    </row>
    <row r="485" spans="3:3" x14ac:dyDescent="0.2">
      <c r="C485" t="str">
        <f>IF(SpaceHeater!A485&lt;&gt;"",SpaceHeater!A485,"")</f>
        <v/>
      </c>
    </row>
    <row r="486" spans="3:3" x14ac:dyDescent="0.2">
      <c r="C486" t="str">
        <f>IF(SpaceHeater!A486&lt;&gt;"",SpaceHeater!A486,"")</f>
        <v/>
      </c>
    </row>
    <row r="487" spans="3:3" x14ac:dyDescent="0.2">
      <c r="C487" t="str">
        <f>IF(SpaceHeater!A487&lt;&gt;"",SpaceHeater!A487,"")</f>
        <v/>
      </c>
    </row>
    <row r="488" spans="3:3" x14ac:dyDescent="0.2">
      <c r="C488" t="str">
        <f>IF(SpaceHeater!A488&lt;&gt;"",SpaceHeater!A488,"")</f>
        <v/>
      </c>
    </row>
    <row r="489" spans="3:3" x14ac:dyDescent="0.2">
      <c r="C489" t="str">
        <f>IF(SpaceHeater!A489&lt;&gt;"",SpaceHeater!A489,"")</f>
        <v/>
      </c>
    </row>
    <row r="490" spans="3:3" x14ac:dyDescent="0.2">
      <c r="C490" t="str">
        <f>IF(SpaceHeater!A490&lt;&gt;"",SpaceHeater!A490,"")</f>
        <v/>
      </c>
    </row>
    <row r="491" spans="3:3" x14ac:dyDescent="0.2">
      <c r="C491" t="str">
        <f>IF(SpaceHeater!A491&lt;&gt;"",SpaceHeater!A491,"")</f>
        <v/>
      </c>
    </row>
    <row r="492" spans="3:3" x14ac:dyDescent="0.2">
      <c r="C492" t="str">
        <f>IF(SpaceHeater!A492&lt;&gt;"",SpaceHeater!A492,"")</f>
        <v/>
      </c>
    </row>
    <row r="493" spans="3:3" x14ac:dyDescent="0.2">
      <c r="C493" t="str">
        <f>IF(SpaceHeater!A493&lt;&gt;"",SpaceHeater!A493,"")</f>
        <v/>
      </c>
    </row>
    <row r="494" spans="3:3" x14ac:dyDescent="0.2">
      <c r="C494" t="str">
        <f>IF(SpaceHeater!A494&lt;&gt;"",SpaceHeater!A494,"")</f>
        <v/>
      </c>
    </row>
    <row r="495" spans="3:3" x14ac:dyDescent="0.2">
      <c r="C495" t="str">
        <f>IF(SpaceHeater!A495&lt;&gt;"",SpaceHeater!A495,"")</f>
        <v/>
      </c>
    </row>
    <row r="496" spans="3:3" x14ac:dyDescent="0.2">
      <c r="C496" t="str">
        <f>IF(SpaceHeater!A496&lt;&gt;"",SpaceHeater!A496,"")</f>
        <v/>
      </c>
    </row>
    <row r="497" spans="3:3" x14ac:dyDescent="0.2">
      <c r="C497" t="str">
        <f>IF(SpaceHeater!A497&lt;&gt;"",SpaceHeater!A497,"")</f>
        <v/>
      </c>
    </row>
    <row r="498" spans="3:3" x14ac:dyDescent="0.2">
      <c r="C498" t="str">
        <f>IF(SpaceHeater!A498&lt;&gt;"",SpaceHeater!A498,"")</f>
        <v/>
      </c>
    </row>
    <row r="499" spans="3:3" x14ac:dyDescent="0.2">
      <c r="C499" t="str">
        <f>IF(SpaceHeater!A499&lt;&gt;"",SpaceHeater!A499,"")</f>
        <v/>
      </c>
    </row>
    <row r="500" spans="3:3" x14ac:dyDescent="0.2">
      <c r="C500" t="str">
        <f>IF(SpaceHeater!A500&lt;&gt;"",SpaceHeater!A500,"")</f>
        <v/>
      </c>
    </row>
    <row r="501" spans="3:3" x14ac:dyDescent="0.2">
      <c r="C501" t="str">
        <f>IF(SpaceHeater!A501&lt;&gt;"",SpaceHeater!A501,"")</f>
        <v/>
      </c>
    </row>
    <row r="502" spans="3:3" x14ac:dyDescent="0.2">
      <c r="C502" t="str">
        <f>IF(SpaceHeater!A502&lt;&gt;"",SpaceHeater!A502,"")</f>
        <v/>
      </c>
    </row>
    <row r="503" spans="3:3" x14ac:dyDescent="0.2">
      <c r="C503" t="str">
        <f>IF(SpaceHeater!A503&lt;&gt;"",SpaceHeater!A503,"")</f>
        <v/>
      </c>
    </row>
    <row r="504" spans="3:3" x14ac:dyDescent="0.2">
      <c r="C504" t="str">
        <f>IF(SpaceHeater!A504&lt;&gt;"",SpaceHeater!A504,"")</f>
        <v/>
      </c>
    </row>
    <row r="505" spans="3:3" x14ac:dyDescent="0.2">
      <c r="C505" t="str">
        <f>IF(SpaceHeater!A505&lt;&gt;"",SpaceHeater!A505,"")</f>
        <v/>
      </c>
    </row>
    <row r="506" spans="3:3" x14ac:dyDescent="0.2">
      <c r="C506" t="str">
        <f>IF(SpaceHeater!A506&lt;&gt;"",SpaceHeater!A506,"")</f>
        <v/>
      </c>
    </row>
    <row r="507" spans="3:3" x14ac:dyDescent="0.2">
      <c r="C507" t="str">
        <f>IF(SpaceHeater!A507&lt;&gt;"",SpaceHeater!A507,"")</f>
        <v/>
      </c>
    </row>
    <row r="508" spans="3:3" x14ac:dyDescent="0.2">
      <c r="C508" t="str">
        <f>IF(SpaceHeater!A508&lt;&gt;"",SpaceHeater!A508,"")</f>
        <v/>
      </c>
    </row>
    <row r="509" spans="3:3" x14ac:dyDescent="0.2">
      <c r="C509" t="str">
        <f>IF(SpaceHeater!A509&lt;&gt;"",SpaceHeater!A509,"")</f>
        <v/>
      </c>
    </row>
    <row r="510" spans="3:3" x14ac:dyDescent="0.2">
      <c r="C510" t="str">
        <f>IF(SpaceHeater!A510&lt;&gt;"",SpaceHeater!A510,"")</f>
        <v/>
      </c>
    </row>
    <row r="511" spans="3:3" x14ac:dyDescent="0.2">
      <c r="C511" t="str">
        <f>IF(SpaceHeater!A511&lt;&gt;"",SpaceHeater!A511,"")</f>
        <v/>
      </c>
    </row>
    <row r="512" spans="3:3" x14ac:dyDescent="0.2">
      <c r="C512" t="str">
        <f>IF(SpaceHeater!A512&lt;&gt;"",SpaceHeater!A512,"")</f>
        <v/>
      </c>
    </row>
    <row r="513" spans="3:3" x14ac:dyDescent="0.2">
      <c r="C513" t="str">
        <f>IF(SpaceHeater!A513&lt;&gt;"",SpaceHeater!A513,"")</f>
        <v/>
      </c>
    </row>
    <row r="514" spans="3:3" x14ac:dyDescent="0.2">
      <c r="C514" t="str">
        <f>IF(SpaceHeater!A514&lt;&gt;"",SpaceHeater!A514,"")</f>
        <v/>
      </c>
    </row>
    <row r="515" spans="3:3" x14ac:dyDescent="0.2">
      <c r="C515" t="str">
        <f>IF(SpaceHeater!A515&lt;&gt;"",SpaceHeater!A515,"")</f>
        <v/>
      </c>
    </row>
    <row r="516" spans="3:3" x14ac:dyDescent="0.2">
      <c r="C516" t="str">
        <f>IF(SpaceHeater!A516&lt;&gt;"",SpaceHeater!A516,"")</f>
        <v/>
      </c>
    </row>
    <row r="517" spans="3:3" x14ac:dyDescent="0.2">
      <c r="C517" t="str">
        <f>IF(SpaceHeater!A517&lt;&gt;"",SpaceHeater!A517,"")</f>
        <v/>
      </c>
    </row>
    <row r="518" spans="3:3" x14ac:dyDescent="0.2">
      <c r="C518" t="str">
        <f>IF(SpaceHeater!A518&lt;&gt;"",SpaceHeater!A518,"")</f>
        <v/>
      </c>
    </row>
    <row r="519" spans="3:3" x14ac:dyDescent="0.2">
      <c r="C519" t="str">
        <f>IF(SpaceHeater!A519&lt;&gt;"",SpaceHeater!A519,"")</f>
        <v/>
      </c>
    </row>
    <row r="520" spans="3:3" x14ac:dyDescent="0.2">
      <c r="C520" t="str">
        <f>IF(SpaceHeater!A520&lt;&gt;"",SpaceHeater!A520,"")</f>
        <v/>
      </c>
    </row>
    <row r="521" spans="3:3" x14ac:dyDescent="0.2">
      <c r="C521" t="str">
        <f>IF(SpaceHeater!A521&lt;&gt;"",SpaceHeater!A521,"")</f>
        <v/>
      </c>
    </row>
    <row r="522" spans="3:3" x14ac:dyDescent="0.2">
      <c r="C522" t="str">
        <f>IF(SpaceHeater!A522&lt;&gt;"",SpaceHeater!A522,"")</f>
        <v/>
      </c>
    </row>
    <row r="523" spans="3:3" x14ac:dyDescent="0.2">
      <c r="C523" t="str">
        <f>IF(SpaceHeater!A523&lt;&gt;"",SpaceHeater!A523,"")</f>
        <v/>
      </c>
    </row>
    <row r="524" spans="3:3" x14ac:dyDescent="0.2">
      <c r="C524" t="str">
        <f>IF(SpaceHeater!A524&lt;&gt;"",SpaceHeater!A524,"")</f>
        <v/>
      </c>
    </row>
    <row r="525" spans="3:3" x14ac:dyDescent="0.2">
      <c r="C525" t="str">
        <f>IF(SpaceHeater!A525&lt;&gt;"",SpaceHeater!A525,"")</f>
        <v/>
      </c>
    </row>
    <row r="526" spans="3:3" x14ac:dyDescent="0.2">
      <c r="C526" t="str">
        <f>IF(SpaceHeater!A526&lt;&gt;"",SpaceHeater!A526,"")</f>
        <v/>
      </c>
    </row>
    <row r="527" spans="3:3" x14ac:dyDescent="0.2">
      <c r="C527" t="str">
        <f>IF(SpaceHeater!A527&lt;&gt;"",SpaceHeater!A527,"")</f>
        <v/>
      </c>
    </row>
    <row r="528" spans="3:3" x14ac:dyDescent="0.2">
      <c r="C528" t="str">
        <f>IF(SpaceHeater!A528&lt;&gt;"",SpaceHeater!A528,"")</f>
        <v/>
      </c>
    </row>
    <row r="529" spans="3:3" x14ac:dyDescent="0.2">
      <c r="C529" t="str">
        <f>IF(SpaceHeater!A529&lt;&gt;"",SpaceHeater!A529,"")</f>
        <v/>
      </c>
    </row>
    <row r="530" spans="3:3" x14ac:dyDescent="0.2">
      <c r="C530" t="str">
        <f>IF(SpaceHeater!A530&lt;&gt;"",SpaceHeater!A530,"")</f>
        <v/>
      </c>
    </row>
    <row r="531" spans="3:3" x14ac:dyDescent="0.2">
      <c r="C531" t="str">
        <f>IF(SpaceHeater!A531&lt;&gt;"",SpaceHeater!A531,"")</f>
        <v/>
      </c>
    </row>
    <row r="532" spans="3:3" x14ac:dyDescent="0.2">
      <c r="C532" t="str">
        <f>IF(SpaceHeater!A532&lt;&gt;"",SpaceHeater!A532,"")</f>
        <v/>
      </c>
    </row>
    <row r="533" spans="3:3" x14ac:dyDescent="0.2">
      <c r="C533" t="str">
        <f>IF(SpaceHeater!A533&lt;&gt;"",SpaceHeater!A533,"")</f>
        <v/>
      </c>
    </row>
    <row r="534" spans="3:3" x14ac:dyDescent="0.2">
      <c r="C534" t="str">
        <f>IF(SpaceHeater!A534&lt;&gt;"",SpaceHeater!A534,"")</f>
        <v/>
      </c>
    </row>
    <row r="535" spans="3:3" x14ac:dyDescent="0.2">
      <c r="C535" t="str">
        <f>IF(SpaceHeater!A535&lt;&gt;"",SpaceHeater!A535,"")</f>
        <v/>
      </c>
    </row>
    <row r="536" spans="3:3" x14ac:dyDescent="0.2">
      <c r="C536" t="str">
        <f>IF(SpaceHeater!A536&lt;&gt;"",SpaceHeater!A536,"")</f>
        <v/>
      </c>
    </row>
    <row r="537" spans="3:3" x14ac:dyDescent="0.2">
      <c r="C537" t="str">
        <f>IF(SpaceHeater!A537&lt;&gt;"",SpaceHeater!A537,"")</f>
        <v/>
      </c>
    </row>
    <row r="538" spans="3:3" x14ac:dyDescent="0.2">
      <c r="C538" t="str">
        <f>IF(SpaceHeater!A538&lt;&gt;"",SpaceHeater!A538,"")</f>
        <v/>
      </c>
    </row>
    <row r="539" spans="3:3" x14ac:dyDescent="0.2">
      <c r="C539" t="str">
        <f>IF(SpaceHeater!A539&lt;&gt;"",SpaceHeater!A539,"")</f>
        <v/>
      </c>
    </row>
    <row r="540" spans="3:3" x14ac:dyDescent="0.2">
      <c r="C540" t="str">
        <f>IF(SpaceHeater!A540&lt;&gt;"",SpaceHeater!A540,"")</f>
        <v/>
      </c>
    </row>
    <row r="541" spans="3:3" x14ac:dyDescent="0.2">
      <c r="C541" t="str">
        <f>IF(SpaceHeater!A541&lt;&gt;"",SpaceHeater!A541,"")</f>
        <v/>
      </c>
    </row>
    <row r="542" spans="3:3" x14ac:dyDescent="0.2">
      <c r="C542" t="str">
        <f>IF(SpaceHeater!A542&lt;&gt;"",SpaceHeater!A542,"")</f>
        <v/>
      </c>
    </row>
    <row r="543" spans="3:3" x14ac:dyDescent="0.2">
      <c r="C543" t="str">
        <f>IF(SpaceHeater!A543&lt;&gt;"",SpaceHeater!A543,"")</f>
        <v/>
      </c>
    </row>
    <row r="544" spans="3:3" x14ac:dyDescent="0.2">
      <c r="C544" t="str">
        <f>IF(SpaceHeater!A544&lt;&gt;"",SpaceHeater!A544,"")</f>
        <v/>
      </c>
    </row>
    <row r="545" spans="3:3" x14ac:dyDescent="0.2">
      <c r="C545" t="str">
        <f>IF(SpaceHeater!A545&lt;&gt;"",SpaceHeater!A545,"")</f>
        <v/>
      </c>
    </row>
    <row r="546" spans="3:3" x14ac:dyDescent="0.2">
      <c r="C546" t="str">
        <f>IF(SpaceHeater!A546&lt;&gt;"",SpaceHeater!A546,"")</f>
        <v/>
      </c>
    </row>
    <row r="547" spans="3:3" x14ac:dyDescent="0.2">
      <c r="C547" t="str">
        <f>IF(SpaceHeater!A547&lt;&gt;"",SpaceHeater!A547,"")</f>
        <v/>
      </c>
    </row>
    <row r="548" spans="3:3" x14ac:dyDescent="0.2">
      <c r="C548" t="str">
        <f>IF(SpaceHeater!A548&lt;&gt;"",SpaceHeater!A548,"")</f>
        <v/>
      </c>
    </row>
    <row r="549" spans="3:3" x14ac:dyDescent="0.2">
      <c r="C549" t="str">
        <f>IF(SpaceHeater!A549&lt;&gt;"",SpaceHeater!A549,"")</f>
        <v/>
      </c>
    </row>
    <row r="550" spans="3:3" x14ac:dyDescent="0.2">
      <c r="C550" t="str">
        <f>IF(SpaceHeater!A550&lt;&gt;"",SpaceHeater!A550,"")</f>
        <v/>
      </c>
    </row>
    <row r="551" spans="3:3" x14ac:dyDescent="0.2">
      <c r="C551" t="str">
        <f>IF(SpaceHeater!A551&lt;&gt;"",SpaceHeater!A551,"")</f>
        <v/>
      </c>
    </row>
    <row r="552" spans="3:3" x14ac:dyDescent="0.2">
      <c r="C552" t="str">
        <f>IF(SpaceHeater!A552&lt;&gt;"",SpaceHeater!A552,"")</f>
        <v/>
      </c>
    </row>
    <row r="553" spans="3:3" x14ac:dyDescent="0.2">
      <c r="C553" t="str">
        <f>IF(SpaceHeater!A553&lt;&gt;"",SpaceHeater!A553,"")</f>
        <v/>
      </c>
    </row>
    <row r="554" spans="3:3" x14ac:dyDescent="0.2">
      <c r="C554" t="str">
        <f>IF(SpaceHeater!A554&lt;&gt;"",SpaceHeater!A554,"")</f>
        <v/>
      </c>
    </row>
    <row r="555" spans="3:3" x14ac:dyDescent="0.2">
      <c r="C555" t="str">
        <f>IF(SpaceHeater!A555&lt;&gt;"",SpaceHeater!A555,"")</f>
        <v/>
      </c>
    </row>
    <row r="556" spans="3:3" x14ac:dyDescent="0.2">
      <c r="C556" t="str">
        <f>IF(SpaceHeater!A556&lt;&gt;"",SpaceHeater!A556,"")</f>
        <v/>
      </c>
    </row>
    <row r="557" spans="3:3" x14ac:dyDescent="0.2">
      <c r="C557" t="str">
        <f>IF(SpaceHeater!A557&lt;&gt;"",SpaceHeater!A557,"")</f>
        <v/>
      </c>
    </row>
    <row r="558" spans="3:3" x14ac:dyDescent="0.2">
      <c r="C558" t="str">
        <f>IF(SpaceHeater!A558&lt;&gt;"",SpaceHeater!A558,"")</f>
        <v/>
      </c>
    </row>
    <row r="559" spans="3:3" x14ac:dyDescent="0.2">
      <c r="C559" t="str">
        <f>IF(SpaceHeater!A559&lt;&gt;"",SpaceHeater!A559,"")</f>
        <v/>
      </c>
    </row>
    <row r="560" spans="3:3" x14ac:dyDescent="0.2">
      <c r="C560" t="str">
        <f>IF(SpaceHeater!A560&lt;&gt;"",SpaceHeater!A560,"")</f>
        <v/>
      </c>
    </row>
    <row r="561" spans="3:3" x14ac:dyDescent="0.2">
      <c r="C561" t="str">
        <f>IF(SpaceHeater!A561&lt;&gt;"",SpaceHeater!A561,"")</f>
        <v/>
      </c>
    </row>
    <row r="562" spans="3:3" x14ac:dyDescent="0.2">
      <c r="C562" t="str">
        <f>IF(SpaceHeater!A562&lt;&gt;"",SpaceHeater!A562,"")</f>
        <v/>
      </c>
    </row>
    <row r="563" spans="3:3" x14ac:dyDescent="0.2">
      <c r="C563" t="str">
        <f>IF(SpaceHeater!A563&lt;&gt;"",SpaceHeater!A563,"")</f>
        <v/>
      </c>
    </row>
    <row r="564" spans="3:3" x14ac:dyDescent="0.2">
      <c r="C564" t="str">
        <f>IF(SpaceHeater!A564&lt;&gt;"",SpaceHeater!A564,"")</f>
        <v/>
      </c>
    </row>
    <row r="565" spans="3:3" x14ac:dyDescent="0.2">
      <c r="C565" t="str">
        <f>IF(SpaceHeater!A565&lt;&gt;"",SpaceHeater!A565,"")</f>
        <v/>
      </c>
    </row>
    <row r="566" spans="3:3" x14ac:dyDescent="0.2">
      <c r="C566" t="str">
        <f>IF(SpaceHeater!A566&lt;&gt;"",SpaceHeater!A566,"")</f>
        <v/>
      </c>
    </row>
    <row r="567" spans="3:3" x14ac:dyDescent="0.2">
      <c r="C567" t="str">
        <f>IF(SpaceHeater!A567&lt;&gt;"",SpaceHeater!A567,"")</f>
        <v/>
      </c>
    </row>
    <row r="568" spans="3:3" x14ac:dyDescent="0.2">
      <c r="C568" t="str">
        <f>IF(SpaceHeater!A568&lt;&gt;"",SpaceHeater!A568,"")</f>
        <v/>
      </c>
    </row>
    <row r="569" spans="3:3" x14ac:dyDescent="0.2">
      <c r="C569" t="str">
        <f>IF(SpaceHeater!A569&lt;&gt;"",SpaceHeater!A569,"")</f>
        <v/>
      </c>
    </row>
    <row r="570" spans="3:3" x14ac:dyDescent="0.2">
      <c r="C570" t="str">
        <f>IF(SpaceHeater!A570&lt;&gt;"",SpaceHeater!A570,"")</f>
        <v/>
      </c>
    </row>
    <row r="571" spans="3:3" x14ac:dyDescent="0.2">
      <c r="C571" t="str">
        <f>IF(SpaceHeater!A571&lt;&gt;"",SpaceHeater!A571,"")</f>
        <v/>
      </c>
    </row>
    <row r="572" spans="3:3" x14ac:dyDescent="0.2">
      <c r="C572" t="str">
        <f>IF(SpaceHeater!A572&lt;&gt;"",SpaceHeater!A572,"")</f>
        <v/>
      </c>
    </row>
    <row r="573" spans="3:3" x14ac:dyDescent="0.2">
      <c r="C573" t="str">
        <f>IF(SpaceHeater!A573&lt;&gt;"",SpaceHeater!A573,"")</f>
        <v/>
      </c>
    </row>
    <row r="574" spans="3:3" x14ac:dyDescent="0.2">
      <c r="C574" t="str">
        <f>IF(SpaceHeater!A574&lt;&gt;"",SpaceHeater!A574,"")</f>
        <v/>
      </c>
    </row>
    <row r="575" spans="3:3" x14ac:dyDescent="0.2">
      <c r="C575" t="str">
        <f>IF(SpaceHeater!A575&lt;&gt;"",SpaceHeater!A575,"")</f>
        <v/>
      </c>
    </row>
    <row r="576" spans="3:3" x14ac:dyDescent="0.2">
      <c r="C576" t="str">
        <f>IF(SpaceHeater!A576&lt;&gt;"",SpaceHeater!A576,"")</f>
        <v/>
      </c>
    </row>
    <row r="577" spans="3:3" x14ac:dyDescent="0.2">
      <c r="C577" t="str">
        <f>IF(SpaceHeater!A577&lt;&gt;"",SpaceHeater!A577,"")</f>
        <v/>
      </c>
    </row>
    <row r="578" spans="3:3" x14ac:dyDescent="0.2">
      <c r="C578" t="str">
        <f>IF(SpaceHeater!A578&lt;&gt;"",SpaceHeater!A578,"")</f>
        <v/>
      </c>
    </row>
    <row r="579" spans="3:3" x14ac:dyDescent="0.2">
      <c r="C579" t="str">
        <f>IF(SpaceHeater!A579&lt;&gt;"",SpaceHeater!A579,"")</f>
        <v/>
      </c>
    </row>
    <row r="580" spans="3:3" x14ac:dyDescent="0.2">
      <c r="C580" t="str">
        <f>IF(SpaceHeater!A580&lt;&gt;"",SpaceHeater!A580,"")</f>
        <v/>
      </c>
    </row>
    <row r="581" spans="3:3" x14ac:dyDescent="0.2">
      <c r="C581" t="str">
        <f>IF(SpaceHeater!A581&lt;&gt;"",SpaceHeater!A581,"")</f>
        <v/>
      </c>
    </row>
    <row r="582" spans="3:3" x14ac:dyDescent="0.2">
      <c r="C582" t="str">
        <f>IF(SpaceHeater!A582&lt;&gt;"",SpaceHeater!A582,"")</f>
        <v/>
      </c>
    </row>
    <row r="583" spans="3:3" x14ac:dyDescent="0.2">
      <c r="C583" t="str">
        <f>IF(SpaceHeater!A583&lt;&gt;"",SpaceHeater!A583,"")</f>
        <v/>
      </c>
    </row>
    <row r="584" spans="3:3" x14ac:dyDescent="0.2">
      <c r="C584" t="str">
        <f>IF(SpaceHeater!A584&lt;&gt;"",SpaceHeater!A584,"")</f>
        <v/>
      </c>
    </row>
    <row r="585" spans="3:3" x14ac:dyDescent="0.2">
      <c r="C585" t="str">
        <f>IF(SpaceHeater!A585&lt;&gt;"",SpaceHeater!A585,"")</f>
        <v/>
      </c>
    </row>
    <row r="586" spans="3:3" x14ac:dyDescent="0.2">
      <c r="C586" t="str">
        <f>IF(SpaceHeater!A586&lt;&gt;"",SpaceHeater!A586,"")</f>
        <v/>
      </c>
    </row>
    <row r="587" spans="3:3" x14ac:dyDescent="0.2">
      <c r="C587" t="str">
        <f>IF(SpaceHeater!A587&lt;&gt;"",SpaceHeater!A587,"")</f>
        <v/>
      </c>
    </row>
    <row r="588" spans="3:3" x14ac:dyDescent="0.2">
      <c r="C588" t="str">
        <f>IF(SpaceHeater!A588&lt;&gt;"",SpaceHeater!A588,"")</f>
        <v/>
      </c>
    </row>
    <row r="589" spans="3:3" x14ac:dyDescent="0.2">
      <c r="C589" t="str">
        <f>IF(SpaceHeater!A589&lt;&gt;"",SpaceHeater!A589,"")</f>
        <v/>
      </c>
    </row>
    <row r="590" spans="3:3" x14ac:dyDescent="0.2">
      <c r="C590" t="str">
        <f>IF(SpaceHeater!A590&lt;&gt;"",SpaceHeater!A590,"")</f>
        <v/>
      </c>
    </row>
    <row r="591" spans="3:3" x14ac:dyDescent="0.2">
      <c r="C591" t="str">
        <f>IF(SpaceHeater!A591&lt;&gt;"",SpaceHeater!A591,"")</f>
        <v/>
      </c>
    </row>
    <row r="592" spans="3:3" x14ac:dyDescent="0.2">
      <c r="C592" t="str">
        <f>IF(SpaceHeater!A592&lt;&gt;"",SpaceHeater!A592,"")</f>
        <v/>
      </c>
    </row>
    <row r="593" spans="3:3" x14ac:dyDescent="0.2">
      <c r="C593" t="str">
        <f>IF(SpaceHeater!A593&lt;&gt;"",SpaceHeater!A593,"")</f>
        <v/>
      </c>
    </row>
    <row r="594" spans="3:3" x14ac:dyDescent="0.2">
      <c r="C594" t="str">
        <f>IF(SpaceHeater!A594&lt;&gt;"",SpaceHeater!A594,"")</f>
        <v/>
      </c>
    </row>
    <row r="595" spans="3:3" x14ac:dyDescent="0.2">
      <c r="C595" t="str">
        <f>IF(SpaceHeater!A595&lt;&gt;"",SpaceHeater!A595,"")</f>
        <v/>
      </c>
    </row>
    <row r="596" spans="3:3" x14ac:dyDescent="0.2">
      <c r="C596" t="str">
        <f>IF(SpaceHeater!A596&lt;&gt;"",SpaceHeater!A596,"")</f>
        <v/>
      </c>
    </row>
    <row r="597" spans="3:3" x14ac:dyDescent="0.2">
      <c r="C597" t="str">
        <f>IF(SpaceHeater!A597&lt;&gt;"",SpaceHeater!A597,"")</f>
        <v/>
      </c>
    </row>
    <row r="598" spans="3:3" x14ac:dyDescent="0.2">
      <c r="C598" t="str">
        <f>IF(SpaceHeater!A598&lt;&gt;"",SpaceHeater!A598,"")</f>
        <v/>
      </c>
    </row>
    <row r="599" spans="3:3" x14ac:dyDescent="0.2">
      <c r="C599" t="str">
        <f>IF(SpaceHeater!A599&lt;&gt;"",SpaceHeater!A599,"")</f>
        <v/>
      </c>
    </row>
    <row r="600" spans="3:3" x14ac:dyDescent="0.2">
      <c r="C600" t="str">
        <f>IF(SpaceHeater!A600&lt;&gt;"",SpaceHeater!A600,"")</f>
        <v/>
      </c>
    </row>
    <row r="601" spans="3:3" x14ac:dyDescent="0.2">
      <c r="C601" t="str">
        <f>IF(SpaceHeater!A601&lt;&gt;"",SpaceHeater!A601,"")</f>
        <v/>
      </c>
    </row>
    <row r="602" spans="3:3" x14ac:dyDescent="0.2">
      <c r="C602" t="str">
        <f>IF(SpaceHeater!A602&lt;&gt;"",SpaceHeater!A602,"")</f>
        <v/>
      </c>
    </row>
    <row r="603" spans="3:3" x14ac:dyDescent="0.2">
      <c r="C603" t="str">
        <f>IF(SpaceHeater!A603&lt;&gt;"",SpaceHeater!A603,"")</f>
        <v/>
      </c>
    </row>
    <row r="604" spans="3:3" x14ac:dyDescent="0.2">
      <c r="C604" t="str">
        <f>IF(SpaceHeater!A604&lt;&gt;"",SpaceHeater!A604,"")</f>
        <v/>
      </c>
    </row>
    <row r="605" spans="3:3" x14ac:dyDescent="0.2">
      <c r="C605" t="str">
        <f>IF(SpaceHeater!A605&lt;&gt;"",SpaceHeater!A605,"")</f>
        <v/>
      </c>
    </row>
    <row r="606" spans="3:3" x14ac:dyDescent="0.2">
      <c r="C606" t="str">
        <f>IF(SpaceHeater!A606&lt;&gt;"",SpaceHeater!A606,"")</f>
        <v/>
      </c>
    </row>
    <row r="607" spans="3:3" x14ac:dyDescent="0.2">
      <c r="C607" t="str">
        <f>IF(SpaceHeater!A607&lt;&gt;"",SpaceHeater!A607,"")</f>
        <v/>
      </c>
    </row>
    <row r="608" spans="3:3" x14ac:dyDescent="0.2">
      <c r="C608" t="str">
        <f>IF(SpaceHeater!A608&lt;&gt;"",SpaceHeater!A608,"")</f>
        <v/>
      </c>
    </row>
    <row r="609" spans="3:3" x14ac:dyDescent="0.2">
      <c r="C609" t="str">
        <f>IF(SpaceHeater!A609&lt;&gt;"",SpaceHeater!A609,"")</f>
        <v/>
      </c>
    </row>
    <row r="610" spans="3:3" x14ac:dyDescent="0.2">
      <c r="C610" t="str">
        <f>IF(SpaceHeater!A610&lt;&gt;"",SpaceHeater!A610,"")</f>
        <v/>
      </c>
    </row>
    <row r="611" spans="3:3" x14ac:dyDescent="0.2">
      <c r="C611" t="str">
        <f>IF(SpaceHeater!A611&lt;&gt;"",SpaceHeater!A611,"")</f>
        <v/>
      </c>
    </row>
    <row r="612" spans="3:3" x14ac:dyDescent="0.2">
      <c r="C612" t="str">
        <f>IF(SpaceHeater!A612&lt;&gt;"",SpaceHeater!A612,"")</f>
        <v/>
      </c>
    </row>
    <row r="613" spans="3:3" x14ac:dyDescent="0.2">
      <c r="C613" t="str">
        <f>IF(SpaceHeater!A613&lt;&gt;"",SpaceHeater!A613,"")</f>
        <v/>
      </c>
    </row>
    <row r="614" spans="3:3" x14ac:dyDescent="0.2">
      <c r="C614" t="str">
        <f>IF(SpaceHeater!A614&lt;&gt;"",SpaceHeater!A614,"")</f>
        <v/>
      </c>
    </row>
    <row r="615" spans="3:3" x14ac:dyDescent="0.2">
      <c r="C615" t="str">
        <f>IF(SpaceHeater!A615&lt;&gt;"",SpaceHeater!A615,"")</f>
        <v/>
      </c>
    </row>
    <row r="616" spans="3:3" x14ac:dyDescent="0.2">
      <c r="C616" t="str">
        <f>IF(SpaceHeater!A616&lt;&gt;"",SpaceHeater!A616,"")</f>
        <v/>
      </c>
    </row>
    <row r="617" spans="3:3" x14ac:dyDescent="0.2">
      <c r="C617" t="str">
        <f>IF(SpaceHeater!A617&lt;&gt;"",SpaceHeater!A617,"")</f>
        <v/>
      </c>
    </row>
    <row r="618" spans="3:3" x14ac:dyDescent="0.2">
      <c r="C618" t="str">
        <f>IF(SpaceHeater!A618&lt;&gt;"",SpaceHeater!A618,"")</f>
        <v/>
      </c>
    </row>
    <row r="619" spans="3:3" x14ac:dyDescent="0.2">
      <c r="C619" t="str">
        <f>IF(SpaceHeater!A619&lt;&gt;"",SpaceHeater!A619,"")</f>
        <v/>
      </c>
    </row>
    <row r="620" spans="3:3" x14ac:dyDescent="0.2">
      <c r="C620" t="str">
        <f>IF(SpaceHeater!A620&lt;&gt;"",SpaceHeater!A620,"")</f>
        <v/>
      </c>
    </row>
    <row r="621" spans="3:3" x14ac:dyDescent="0.2">
      <c r="C621" t="str">
        <f>IF(SpaceHeater!A621&lt;&gt;"",SpaceHeater!A621,"")</f>
        <v/>
      </c>
    </row>
    <row r="622" spans="3:3" x14ac:dyDescent="0.2">
      <c r="C622" t="str">
        <f>IF(SpaceHeater!A622&lt;&gt;"",SpaceHeater!A622,"")</f>
        <v/>
      </c>
    </row>
    <row r="623" spans="3:3" x14ac:dyDescent="0.2">
      <c r="C623" t="str">
        <f>IF(SpaceHeater!A623&lt;&gt;"",SpaceHeater!A623,"")</f>
        <v/>
      </c>
    </row>
    <row r="624" spans="3:3" x14ac:dyDescent="0.2">
      <c r="C624" t="str">
        <f>IF(SpaceHeater!A624&lt;&gt;"",SpaceHeater!A624,"")</f>
        <v/>
      </c>
    </row>
    <row r="625" spans="3:3" x14ac:dyDescent="0.2">
      <c r="C625" t="str">
        <f>IF(SpaceHeater!A625&lt;&gt;"",SpaceHeater!A625,"")</f>
        <v/>
      </c>
    </row>
    <row r="626" spans="3:3" x14ac:dyDescent="0.2">
      <c r="C626" t="str">
        <f>IF(SpaceHeater!A626&lt;&gt;"",SpaceHeater!A626,"")</f>
        <v/>
      </c>
    </row>
    <row r="627" spans="3:3" x14ac:dyDescent="0.2">
      <c r="C627" t="str">
        <f>IF(SpaceHeater!A627&lt;&gt;"",SpaceHeater!A627,"")</f>
        <v/>
      </c>
    </row>
    <row r="628" spans="3:3" x14ac:dyDescent="0.2">
      <c r="C628" t="str">
        <f>IF(SpaceHeater!A628&lt;&gt;"",SpaceHeater!A628,"")</f>
        <v/>
      </c>
    </row>
    <row r="629" spans="3:3" x14ac:dyDescent="0.2">
      <c r="C629" t="str">
        <f>IF(SpaceHeater!A629&lt;&gt;"",SpaceHeater!A629,"")</f>
        <v/>
      </c>
    </row>
    <row r="630" spans="3:3" x14ac:dyDescent="0.2">
      <c r="C630" t="str">
        <f>IF(SpaceHeater!A630&lt;&gt;"",SpaceHeater!A630,"")</f>
        <v/>
      </c>
    </row>
    <row r="631" spans="3:3" x14ac:dyDescent="0.2">
      <c r="C631" t="str">
        <f>IF(SpaceHeater!A631&lt;&gt;"",SpaceHeater!A631,"")</f>
        <v/>
      </c>
    </row>
    <row r="632" spans="3:3" x14ac:dyDescent="0.2">
      <c r="C632" t="str">
        <f>IF(SpaceHeater!A632&lt;&gt;"",SpaceHeater!A632,"")</f>
        <v/>
      </c>
    </row>
    <row r="633" spans="3:3" x14ac:dyDescent="0.2">
      <c r="C633" t="str">
        <f>IF(SpaceHeater!A633&lt;&gt;"",SpaceHeater!A633,"")</f>
        <v/>
      </c>
    </row>
    <row r="634" spans="3:3" x14ac:dyDescent="0.2">
      <c r="C634" t="str">
        <f>IF(SpaceHeater!A634&lt;&gt;"",SpaceHeater!A634,"")</f>
        <v/>
      </c>
    </row>
    <row r="635" spans="3:3" x14ac:dyDescent="0.2">
      <c r="C635" t="str">
        <f>IF(SpaceHeater!A635&lt;&gt;"",SpaceHeater!A635,"")</f>
        <v/>
      </c>
    </row>
    <row r="636" spans="3:3" x14ac:dyDescent="0.2">
      <c r="C636" t="str">
        <f>IF(SpaceHeater!A636&lt;&gt;"",SpaceHeater!A636,"")</f>
        <v/>
      </c>
    </row>
    <row r="637" spans="3:3" x14ac:dyDescent="0.2">
      <c r="C637" t="str">
        <f>IF(SpaceHeater!A637&lt;&gt;"",SpaceHeater!A637,"")</f>
        <v/>
      </c>
    </row>
    <row r="638" spans="3:3" x14ac:dyDescent="0.2">
      <c r="C638" t="str">
        <f>IF(SpaceHeater!A638&lt;&gt;"",SpaceHeater!A638,"")</f>
        <v/>
      </c>
    </row>
    <row r="639" spans="3:3" x14ac:dyDescent="0.2">
      <c r="C639" t="str">
        <f>IF(SpaceHeater!A639&lt;&gt;"",SpaceHeater!A639,"")</f>
        <v/>
      </c>
    </row>
    <row r="640" spans="3:3" x14ac:dyDescent="0.2">
      <c r="C640" t="str">
        <f>IF(SpaceHeater!A640&lt;&gt;"",SpaceHeater!A640,"")</f>
        <v/>
      </c>
    </row>
    <row r="641" spans="3:3" x14ac:dyDescent="0.2">
      <c r="C641" t="str">
        <f>IF(SpaceHeater!A641&lt;&gt;"",SpaceHeater!A641,"")</f>
        <v/>
      </c>
    </row>
    <row r="642" spans="3:3" x14ac:dyDescent="0.2">
      <c r="C642" t="str">
        <f>IF(SpaceHeater!A642&lt;&gt;"",SpaceHeater!A642,"")</f>
        <v/>
      </c>
    </row>
    <row r="643" spans="3:3" x14ac:dyDescent="0.2">
      <c r="C643" t="str">
        <f>IF(SpaceHeater!A643&lt;&gt;"",SpaceHeater!A643,"")</f>
        <v/>
      </c>
    </row>
    <row r="644" spans="3:3" x14ac:dyDescent="0.2">
      <c r="C644" t="str">
        <f>IF(SpaceHeater!A644&lt;&gt;"",SpaceHeater!A644,"")</f>
        <v/>
      </c>
    </row>
    <row r="645" spans="3:3" x14ac:dyDescent="0.2">
      <c r="C645" t="str">
        <f>IF(SpaceHeater!A645&lt;&gt;"",SpaceHeater!A645,"")</f>
        <v/>
      </c>
    </row>
    <row r="646" spans="3:3" x14ac:dyDescent="0.2">
      <c r="C646" t="str">
        <f>IF(SpaceHeater!A646&lt;&gt;"",SpaceHeater!A646,"")</f>
        <v/>
      </c>
    </row>
    <row r="647" spans="3:3" x14ac:dyDescent="0.2">
      <c r="C647" t="str">
        <f>IF(SpaceHeater!A647&lt;&gt;"",SpaceHeater!A647,"")</f>
        <v/>
      </c>
    </row>
    <row r="648" spans="3:3" x14ac:dyDescent="0.2">
      <c r="C648" t="str">
        <f>IF(SpaceHeater!A648&lt;&gt;"",SpaceHeater!A648,"")</f>
        <v/>
      </c>
    </row>
    <row r="649" spans="3:3" x14ac:dyDescent="0.2">
      <c r="C649" t="str">
        <f>IF(SpaceHeater!A649&lt;&gt;"",SpaceHeater!A649,"")</f>
        <v/>
      </c>
    </row>
    <row r="650" spans="3:3" x14ac:dyDescent="0.2">
      <c r="C650" t="str">
        <f>IF(SpaceHeater!A650&lt;&gt;"",SpaceHeater!A650,"")</f>
        <v/>
      </c>
    </row>
    <row r="651" spans="3:3" x14ac:dyDescent="0.2">
      <c r="C651" t="str">
        <f>IF(SpaceHeater!A651&lt;&gt;"",SpaceHeater!A651,"")</f>
        <v/>
      </c>
    </row>
    <row r="652" spans="3:3" x14ac:dyDescent="0.2">
      <c r="C652" t="str">
        <f>IF(SpaceHeater!A652&lt;&gt;"",SpaceHeater!A652,"")</f>
        <v/>
      </c>
    </row>
    <row r="653" spans="3:3" x14ac:dyDescent="0.2">
      <c r="C653" t="str">
        <f>IF(SpaceHeater!A653&lt;&gt;"",SpaceHeater!A653,"")</f>
        <v/>
      </c>
    </row>
    <row r="654" spans="3:3" x14ac:dyDescent="0.2">
      <c r="C654" t="str">
        <f>IF(SpaceHeater!A654&lt;&gt;"",SpaceHeater!A654,"")</f>
        <v/>
      </c>
    </row>
    <row r="655" spans="3:3" x14ac:dyDescent="0.2">
      <c r="C655" t="str">
        <f>IF(SpaceHeater!A655&lt;&gt;"",SpaceHeater!A655,"")</f>
        <v/>
      </c>
    </row>
    <row r="656" spans="3:3" x14ac:dyDescent="0.2">
      <c r="C656" t="str">
        <f>IF(SpaceHeater!A656&lt;&gt;"",SpaceHeater!A656,"")</f>
        <v/>
      </c>
    </row>
    <row r="657" spans="3:3" x14ac:dyDescent="0.2">
      <c r="C657" t="str">
        <f>IF(SpaceHeater!A657&lt;&gt;"",SpaceHeater!A657,"")</f>
        <v/>
      </c>
    </row>
    <row r="658" spans="3:3" x14ac:dyDescent="0.2">
      <c r="C658" t="str">
        <f>IF(SpaceHeater!A658&lt;&gt;"",SpaceHeater!A658,"")</f>
        <v/>
      </c>
    </row>
    <row r="659" spans="3:3" x14ac:dyDescent="0.2">
      <c r="C659" t="str">
        <f>IF(SpaceHeater!A659&lt;&gt;"",SpaceHeater!A659,"")</f>
        <v/>
      </c>
    </row>
    <row r="660" spans="3:3" x14ac:dyDescent="0.2">
      <c r="C660" t="str">
        <f>IF(SpaceHeater!A660&lt;&gt;"",SpaceHeater!A660,"")</f>
        <v/>
      </c>
    </row>
    <row r="661" spans="3:3" x14ac:dyDescent="0.2">
      <c r="C661" t="str">
        <f>IF(SpaceHeater!A661&lt;&gt;"",SpaceHeater!A661,"")</f>
        <v/>
      </c>
    </row>
    <row r="662" spans="3:3" x14ac:dyDescent="0.2">
      <c r="C662" t="str">
        <f>IF(SpaceHeater!A662&lt;&gt;"",SpaceHeater!A662,"")</f>
        <v/>
      </c>
    </row>
    <row r="663" spans="3:3" x14ac:dyDescent="0.2">
      <c r="C663" t="str">
        <f>IF(SpaceHeater!A663&lt;&gt;"",SpaceHeater!A663,"")</f>
        <v/>
      </c>
    </row>
    <row r="664" spans="3:3" x14ac:dyDescent="0.2">
      <c r="C664" t="str">
        <f>IF(SpaceHeater!A664&lt;&gt;"",SpaceHeater!A664,"")</f>
        <v/>
      </c>
    </row>
    <row r="665" spans="3:3" x14ac:dyDescent="0.2">
      <c r="C665" t="str">
        <f>IF(SpaceHeater!A665&lt;&gt;"",SpaceHeater!A665,"")</f>
        <v/>
      </c>
    </row>
    <row r="666" spans="3:3" x14ac:dyDescent="0.2">
      <c r="C666" t="str">
        <f>IF(SpaceHeater!A666&lt;&gt;"",SpaceHeater!A666,"")</f>
        <v/>
      </c>
    </row>
    <row r="667" spans="3:3" x14ac:dyDescent="0.2">
      <c r="C667" t="str">
        <f>IF(SpaceHeater!A667&lt;&gt;"",SpaceHeater!A667,"")</f>
        <v/>
      </c>
    </row>
    <row r="668" spans="3:3" x14ac:dyDescent="0.2">
      <c r="C668" t="str">
        <f>IF(SpaceHeater!A668&lt;&gt;"",SpaceHeater!A668,"")</f>
        <v/>
      </c>
    </row>
    <row r="669" spans="3:3" x14ac:dyDescent="0.2">
      <c r="C669" t="str">
        <f>IF(SpaceHeater!A669&lt;&gt;"",SpaceHeater!A669,"")</f>
        <v/>
      </c>
    </row>
    <row r="670" spans="3:3" x14ac:dyDescent="0.2">
      <c r="C670" t="str">
        <f>IF(SpaceHeater!A670&lt;&gt;"",SpaceHeater!A670,"")</f>
        <v/>
      </c>
    </row>
    <row r="671" spans="3:3" x14ac:dyDescent="0.2">
      <c r="C671" t="str">
        <f>IF(SpaceHeater!A671&lt;&gt;"",SpaceHeater!A671,"")</f>
        <v/>
      </c>
    </row>
    <row r="672" spans="3:3" x14ac:dyDescent="0.2">
      <c r="C672" t="str">
        <f>IF(SpaceHeater!A672&lt;&gt;"",SpaceHeater!A672,"")</f>
        <v/>
      </c>
    </row>
    <row r="673" spans="3:3" x14ac:dyDescent="0.2">
      <c r="C673" t="str">
        <f>IF(SpaceHeater!A673&lt;&gt;"",SpaceHeater!A673,"")</f>
        <v/>
      </c>
    </row>
    <row r="674" spans="3:3" x14ac:dyDescent="0.2">
      <c r="C674" t="str">
        <f>IF(SpaceHeater!A674&lt;&gt;"",SpaceHeater!A674,"")</f>
        <v/>
      </c>
    </row>
    <row r="675" spans="3:3" x14ac:dyDescent="0.2">
      <c r="C675" t="str">
        <f>IF(SpaceHeater!A675&lt;&gt;"",SpaceHeater!A675,"")</f>
        <v/>
      </c>
    </row>
    <row r="676" spans="3:3" x14ac:dyDescent="0.2">
      <c r="C676" t="str">
        <f>IF(SpaceHeater!A676&lt;&gt;"",SpaceHeater!A676,"")</f>
        <v/>
      </c>
    </row>
    <row r="677" spans="3:3" x14ac:dyDescent="0.2">
      <c r="C677" t="str">
        <f>IF(SpaceHeater!A677&lt;&gt;"",SpaceHeater!A677,"")</f>
        <v/>
      </c>
    </row>
    <row r="678" spans="3:3" x14ac:dyDescent="0.2">
      <c r="C678" t="str">
        <f>IF(SpaceHeater!A678&lt;&gt;"",SpaceHeater!A678,"")</f>
        <v/>
      </c>
    </row>
    <row r="679" spans="3:3" x14ac:dyDescent="0.2">
      <c r="C679" t="str">
        <f>IF(SpaceHeater!A679&lt;&gt;"",SpaceHeater!A679,"")</f>
        <v/>
      </c>
    </row>
    <row r="680" spans="3:3" x14ac:dyDescent="0.2">
      <c r="C680" t="str">
        <f>IF(SpaceHeater!A680&lt;&gt;"",SpaceHeater!A680,"")</f>
        <v/>
      </c>
    </row>
    <row r="681" spans="3:3" x14ac:dyDescent="0.2">
      <c r="C681" t="str">
        <f>IF(SpaceHeater!A681&lt;&gt;"",SpaceHeater!A681,"")</f>
        <v/>
      </c>
    </row>
    <row r="682" spans="3:3" x14ac:dyDescent="0.2">
      <c r="C682" t="str">
        <f>IF(SpaceHeater!A682&lt;&gt;"",SpaceHeater!A682,"")</f>
        <v/>
      </c>
    </row>
    <row r="683" spans="3:3" x14ac:dyDescent="0.2">
      <c r="C683" t="str">
        <f>IF(SpaceHeater!A683&lt;&gt;"",SpaceHeater!A683,"")</f>
        <v/>
      </c>
    </row>
    <row r="684" spans="3:3" x14ac:dyDescent="0.2">
      <c r="C684" t="str">
        <f>IF(SpaceHeater!A684&lt;&gt;"",SpaceHeater!A684,"")</f>
        <v/>
      </c>
    </row>
    <row r="685" spans="3:3" x14ac:dyDescent="0.2">
      <c r="C685" t="str">
        <f>IF(SpaceHeater!A685&lt;&gt;"",SpaceHeater!A685,"")</f>
        <v/>
      </c>
    </row>
    <row r="686" spans="3:3" x14ac:dyDescent="0.2">
      <c r="C686" t="str">
        <f>IF(SpaceHeater!A686&lt;&gt;"",SpaceHeater!A686,"")</f>
        <v/>
      </c>
    </row>
    <row r="687" spans="3:3" x14ac:dyDescent="0.2">
      <c r="C687" t="str">
        <f>IF(SpaceHeater!A687&lt;&gt;"",SpaceHeater!A687,"")</f>
        <v/>
      </c>
    </row>
    <row r="688" spans="3:3" x14ac:dyDescent="0.2">
      <c r="C688" t="str">
        <f>IF(SpaceHeater!A688&lt;&gt;"",SpaceHeater!A688,"")</f>
        <v/>
      </c>
    </row>
    <row r="689" spans="3:3" x14ac:dyDescent="0.2">
      <c r="C689" t="str">
        <f>IF(SpaceHeater!A689&lt;&gt;"",SpaceHeater!A689,"")</f>
        <v/>
      </c>
    </row>
    <row r="690" spans="3:3" x14ac:dyDescent="0.2">
      <c r="C690" t="str">
        <f>IF(SpaceHeater!A690&lt;&gt;"",SpaceHeater!A690,"")</f>
        <v/>
      </c>
    </row>
    <row r="691" spans="3:3" x14ac:dyDescent="0.2">
      <c r="C691" t="str">
        <f>IF(SpaceHeater!A691&lt;&gt;"",SpaceHeater!A691,"")</f>
        <v/>
      </c>
    </row>
    <row r="692" spans="3:3" x14ac:dyDescent="0.2">
      <c r="C692" t="str">
        <f>IF(SpaceHeater!A692&lt;&gt;"",SpaceHeater!A692,"")</f>
        <v/>
      </c>
    </row>
    <row r="693" spans="3:3" x14ac:dyDescent="0.2">
      <c r="C693" t="str">
        <f>IF(SpaceHeater!A693&lt;&gt;"",SpaceHeater!A693,"")</f>
        <v/>
      </c>
    </row>
    <row r="694" spans="3:3" x14ac:dyDescent="0.2">
      <c r="C694" t="str">
        <f>IF(SpaceHeater!A694&lt;&gt;"",SpaceHeater!A694,"")</f>
        <v/>
      </c>
    </row>
    <row r="695" spans="3:3" x14ac:dyDescent="0.2">
      <c r="C695" t="str">
        <f>IF(SpaceHeater!A695&lt;&gt;"",SpaceHeater!A695,"")</f>
        <v/>
      </c>
    </row>
    <row r="696" spans="3:3" x14ac:dyDescent="0.2">
      <c r="C696" t="str">
        <f>IF(SpaceHeater!A696&lt;&gt;"",SpaceHeater!A696,"")</f>
        <v/>
      </c>
    </row>
    <row r="697" spans="3:3" x14ac:dyDescent="0.2">
      <c r="C697" t="str">
        <f>IF(SpaceHeater!A697&lt;&gt;"",SpaceHeater!A697,"")</f>
        <v/>
      </c>
    </row>
    <row r="698" spans="3:3" x14ac:dyDescent="0.2">
      <c r="C698" t="str">
        <f>IF(SpaceHeater!A698&lt;&gt;"",SpaceHeater!A698,"")</f>
        <v/>
      </c>
    </row>
    <row r="699" spans="3:3" x14ac:dyDescent="0.2">
      <c r="C699" t="str">
        <f>IF(SpaceHeater!A699&lt;&gt;"",SpaceHeater!A699,"")</f>
        <v/>
      </c>
    </row>
    <row r="700" spans="3:3" x14ac:dyDescent="0.2">
      <c r="C700" t="str">
        <f>IF(SpaceHeater!A700&lt;&gt;"",SpaceHeater!A700,"")</f>
        <v/>
      </c>
    </row>
    <row r="701" spans="3:3" x14ac:dyDescent="0.2">
      <c r="C701" t="str">
        <f>IF(SpaceHeater!A701&lt;&gt;"",SpaceHeater!A701,"")</f>
        <v/>
      </c>
    </row>
    <row r="702" spans="3:3" x14ac:dyDescent="0.2">
      <c r="C702" t="str">
        <f>IF(SpaceHeater!A702&lt;&gt;"",SpaceHeater!A702,"")</f>
        <v/>
      </c>
    </row>
    <row r="703" spans="3:3" x14ac:dyDescent="0.2">
      <c r="C703" t="str">
        <f>IF(SpaceHeater!A703&lt;&gt;"",SpaceHeater!A703,"")</f>
        <v/>
      </c>
    </row>
    <row r="704" spans="3:3" x14ac:dyDescent="0.2">
      <c r="C704" t="str">
        <f>IF(SpaceHeater!A704&lt;&gt;"",SpaceHeater!A704,"")</f>
        <v/>
      </c>
    </row>
    <row r="705" spans="3:3" x14ac:dyDescent="0.2">
      <c r="C705" t="str">
        <f>IF(SpaceHeater!A705&lt;&gt;"",SpaceHeater!A705,"")</f>
        <v/>
      </c>
    </row>
    <row r="706" spans="3:3" x14ac:dyDescent="0.2">
      <c r="C706" t="str">
        <f>IF(SpaceHeater!A706&lt;&gt;"",SpaceHeater!A706,"")</f>
        <v/>
      </c>
    </row>
    <row r="707" spans="3:3" x14ac:dyDescent="0.2">
      <c r="C707" t="str">
        <f>IF(SpaceHeater!A707&lt;&gt;"",SpaceHeater!A707,"")</f>
        <v/>
      </c>
    </row>
    <row r="708" spans="3:3" x14ac:dyDescent="0.2">
      <c r="C708" t="str">
        <f>IF(SpaceHeater!A708&lt;&gt;"",SpaceHeater!A708,"")</f>
        <v/>
      </c>
    </row>
    <row r="709" spans="3:3" x14ac:dyDescent="0.2">
      <c r="C709" t="str">
        <f>IF(SpaceHeater!A709&lt;&gt;"",SpaceHeater!A709,"")</f>
        <v/>
      </c>
    </row>
    <row r="710" spans="3:3" x14ac:dyDescent="0.2">
      <c r="C710" t="str">
        <f>IF(SpaceHeater!A710&lt;&gt;"",SpaceHeater!A710,"")</f>
        <v/>
      </c>
    </row>
    <row r="711" spans="3:3" x14ac:dyDescent="0.2">
      <c r="C711" t="str">
        <f>IF(SpaceHeater!A711&lt;&gt;"",SpaceHeater!A711,"")</f>
        <v/>
      </c>
    </row>
    <row r="712" spans="3:3" x14ac:dyDescent="0.2">
      <c r="C712" t="str">
        <f>IF(SpaceHeater!A712&lt;&gt;"",SpaceHeater!A712,"")</f>
        <v/>
      </c>
    </row>
    <row r="713" spans="3:3" x14ac:dyDescent="0.2">
      <c r="C713" t="str">
        <f>IF(SpaceHeater!A713&lt;&gt;"",SpaceHeater!A713,"")</f>
        <v/>
      </c>
    </row>
    <row r="714" spans="3:3" x14ac:dyDescent="0.2">
      <c r="C714" t="str">
        <f>IF(SpaceHeater!A714&lt;&gt;"",SpaceHeater!A714,"")</f>
        <v/>
      </c>
    </row>
    <row r="715" spans="3:3" x14ac:dyDescent="0.2">
      <c r="C715" t="str">
        <f>IF(SpaceHeater!A715&lt;&gt;"",SpaceHeater!A715,"")</f>
        <v/>
      </c>
    </row>
    <row r="716" spans="3:3" x14ac:dyDescent="0.2">
      <c r="C716" t="str">
        <f>IF(SpaceHeater!A716&lt;&gt;"",SpaceHeater!A716,"")</f>
        <v/>
      </c>
    </row>
    <row r="717" spans="3:3" x14ac:dyDescent="0.2">
      <c r="C717" t="str">
        <f>IF(SpaceHeater!A717&lt;&gt;"",SpaceHeater!A717,"")</f>
        <v/>
      </c>
    </row>
    <row r="718" spans="3:3" x14ac:dyDescent="0.2">
      <c r="C718" t="str">
        <f>IF(SpaceHeater!A718&lt;&gt;"",SpaceHeater!A718,"")</f>
        <v/>
      </c>
    </row>
    <row r="719" spans="3:3" x14ac:dyDescent="0.2">
      <c r="C719" t="str">
        <f>IF(SpaceHeater!A719&lt;&gt;"",SpaceHeater!A719,"")</f>
        <v/>
      </c>
    </row>
    <row r="720" spans="3:3" x14ac:dyDescent="0.2">
      <c r="C720" t="str">
        <f>IF(SpaceHeater!A720&lt;&gt;"",SpaceHeater!A720,"")</f>
        <v/>
      </c>
    </row>
    <row r="721" spans="3:3" x14ac:dyDescent="0.2">
      <c r="C721" t="str">
        <f>IF(SpaceHeater!A721&lt;&gt;"",SpaceHeater!A721,"")</f>
        <v/>
      </c>
    </row>
    <row r="722" spans="3:3" x14ac:dyDescent="0.2">
      <c r="C722" t="str">
        <f>IF(SpaceHeater!A722&lt;&gt;"",SpaceHeater!A722,"")</f>
        <v/>
      </c>
    </row>
    <row r="723" spans="3:3" x14ac:dyDescent="0.2">
      <c r="C723" t="str">
        <f>IF(SpaceHeater!A723&lt;&gt;"",SpaceHeater!A723,"")</f>
        <v/>
      </c>
    </row>
    <row r="724" spans="3:3" x14ac:dyDescent="0.2">
      <c r="C724" t="str">
        <f>IF(SpaceHeater!A724&lt;&gt;"",SpaceHeater!A724,"")</f>
        <v/>
      </c>
    </row>
    <row r="725" spans="3:3" x14ac:dyDescent="0.2">
      <c r="C725" t="str">
        <f>IF(SpaceHeater!A725&lt;&gt;"",SpaceHeater!A725,"")</f>
        <v/>
      </c>
    </row>
    <row r="726" spans="3:3" x14ac:dyDescent="0.2">
      <c r="C726" t="str">
        <f>IF(SpaceHeater!A726&lt;&gt;"",SpaceHeater!A726,"")</f>
        <v/>
      </c>
    </row>
    <row r="727" spans="3:3" x14ac:dyDescent="0.2">
      <c r="C727" t="str">
        <f>IF(SpaceHeater!A727&lt;&gt;"",SpaceHeater!A727,"")</f>
        <v/>
      </c>
    </row>
    <row r="728" spans="3:3" x14ac:dyDescent="0.2">
      <c r="C728" t="str">
        <f>IF(SpaceHeater!A728&lt;&gt;"",SpaceHeater!A728,"")</f>
        <v/>
      </c>
    </row>
    <row r="729" spans="3:3" x14ac:dyDescent="0.2">
      <c r="C729" t="str">
        <f>IF(SpaceHeater!A729&lt;&gt;"",SpaceHeater!A729,"")</f>
        <v/>
      </c>
    </row>
    <row r="730" spans="3:3" x14ac:dyDescent="0.2">
      <c r="C730" t="str">
        <f>IF(SpaceHeater!A730&lt;&gt;"",SpaceHeater!A730,"")</f>
        <v/>
      </c>
    </row>
    <row r="731" spans="3:3" x14ac:dyDescent="0.2">
      <c r="C731" t="str">
        <f>IF(SpaceHeater!A731&lt;&gt;"",SpaceHeater!A731,"")</f>
        <v/>
      </c>
    </row>
    <row r="732" spans="3:3" x14ac:dyDescent="0.2">
      <c r="C732" t="str">
        <f>IF(SpaceHeater!A732&lt;&gt;"",SpaceHeater!A732,"")</f>
        <v/>
      </c>
    </row>
    <row r="733" spans="3:3" x14ac:dyDescent="0.2">
      <c r="C733" t="str">
        <f>IF(SpaceHeater!A733&lt;&gt;"",SpaceHeater!A733,"")</f>
        <v/>
      </c>
    </row>
    <row r="734" spans="3:3" x14ac:dyDescent="0.2">
      <c r="C734" t="str">
        <f>IF(SpaceHeater!A734&lt;&gt;"",SpaceHeater!A734,"")</f>
        <v/>
      </c>
    </row>
    <row r="735" spans="3:3" x14ac:dyDescent="0.2">
      <c r="C735" t="str">
        <f>IF(SpaceHeater!A735&lt;&gt;"",SpaceHeater!A735,"")</f>
        <v/>
      </c>
    </row>
    <row r="736" spans="3:3" x14ac:dyDescent="0.2">
      <c r="C736" t="str">
        <f>IF(SpaceHeater!A736&lt;&gt;"",SpaceHeater!A736,"")</f>
        <v/>
      </c>
    </row>
    <row r="737" spans="3:3" x14ac:dyDescent="0.2">
      <c r="C737" t="str">
        <f>IF(SpaceHeater!A737&lt;&gt;"",SpaceHeater!A737,"")</f>
        <v/>
      </c>
    </row>
    <row r="738" spans="3:3" x14ac:dyDescent="0.2">
      <c r="C738" t="str">
        <f>IF(SpaceHeater!A738&lt;&gt;"",SpaceHeater!A738,"")</f>
        <v/>
      </c>
    </row>
    <row r="739" spans="3:3" x14ac:dyDescent="0.2">
      <c r="C739" t="str">
        <f>IF(SpaceHeater!A739&lt;&gt;"",SpaceHeater!A739,"")</f>
        <v/>
      </c>
    </row>
    <row r="740" spans="3:3" x14ac:dyDescent="0.2">
      <c r="C740" t="str">
        <f>IF(SpaceHeater!A740&lt;&gt;"",SpaceHeater!A740,"")</f>
        <v/>
      </c>
    </row>
    <row r="741" spans="3:3" x14ac:dyDescent="0.2">
      <c r="C741" t="str">
        <f>IF(SpaceHeater!A741&lt;&gt;"",SpaceHeater!A741,"")</f>
        <v/>
      </c>
    </row>
    <row r="742" spans="3:3" x14ac:dyDescent="0.2">
      <c r="C742" t="str">
        <f>IF(SpaceHeater!A742&lt;&gt;"",SpaceHeater!A742,"")</f>
        <v/>
      </c>
    </row>
    <row r="743" spans="3:3" x14ac:dyDescent="0.2">
      <c r="C743" t="str">
        <f>IF(SpaceHeater!A743&lt;&gt;"",SpaceHeater!A743,"")</f>
        <v/>
      </c>
    </row>
    <row r="744" spans="3:3" x14ac:dyDescent="0.2">
      <c r="C744" t="str">
        <f>IF(SpaceHeater!A744&lt;&gt;"",SpaceHeater!A744,"")</f>
        <v/>
      </c>
    </row>
    <row r="745" spans="3:3" x14ac:dyDescent="0.2">
      <c r="C745" t="str">
        <f>IF(SpaceHeater!A745&lt;&gt;"",SpaceHeater!A745,"")</f>
        <v/>
      </c>
    </row>
    <row r="746" spans="3:3" x14ac:dyDescent="0.2">
      <c r="C746" t="str">
        <f>IF(SpaceHeater!A746&lt;&gt;"",SpaceHeater!A746,"")</f>
        <v/>
      </c>
    </row>
    <row r="747" spans="3:3" x14ac:dyDescent="0.2">
      <c r="C747" t="str">
        <f>IF(SpaceHeater!A747&lt;&gt;"",SpaceHeater!A747,"")</f>
        <v/>
      </c>
    </row>
    <row r="748" spans="3:3" x14ac:dyDescent="0.2">
      <c r="C748" t="str">
        <f>IF(SpaceHeater!A748&lt;&gt;"",SpaceHeater!A748,"")</f>
        <v/>
      </c>
    </row>
    <row r="749" spans="3:3" x14ac:dyDescent="0.2">
      <c r="C749" t="str">
        <f>IF(SpaceHeater!A749&lt;&gt;"",SpaceHeater!A749,"")</f>
        <v/>
      </c>
    </row>
    <row r="750" spans="3:3" x14ac:dyDescent="0.2">
      <c r="C750" t="str">
        <f>IF(SpaceHeater!A750&lt;&gt;"",SpaceHeater!A750,"")</f>
        <v/>
      </c>
    </row>
    <row r="751" spans="3:3" x14ac:dyDescent="0.2">
      <c r="C751" t="str">
        <f>IF(SpaceHeater!A751&lt;&gt;"",SpaceHeater!A751,"")</f>
        <v/>
      </c>
    </row>
    <row r="752" spans="3:3" x14ac:dyDescent="0.2">
      <c r="C752" t="str">
        <f>IF(SpaceHeater!A752&lt;&gt;"",SpaceHeater!A752,"")</f>
        <v/>
      </c>
    </row>
    <row r="753" spans="3:3" x14ac:dyDescent="0.2">
      <c r="C753" t="str">
        <f>IF(SpaceHeater!A753&lt;&gt;"",SpaceHeater!A753,"")</f>
        <v/>
      </c>
    </row>
    <row r="754" spans="3:3" x14ac:dyDescent="0.2">
      <c r="C754" t="str">
        <f>IF(SpaceHeater!A754&lt;&gt;"",SpaceHeater!A754,"")</f>
        <v/>
      </c>
    </row>
    <row r="755" spans="3:3" x14ac:dyDescent="0.2">
      <c r="C755" t="str">
        <f>IF(SpaceHeater!A755&lt;&gt;"",SpaceHeater!A755,"")</f>
        <v/>
      </c>
    </row>
    <row r="756" spans="3:3" x14ac:dyDescent="0.2">
      <c r="C756" t="str">
        <f>IF(SpaceHeater!A756&lt;&gt;"",SpaceHeater!A756,"")</f>
        <v/>
      </c>
    </row>
    <row r="757" spans="3:3" x14ac:dyDescent="0.2">
      <c r="C757" t="str">
        <f>IF(SpaceHeater!A757&lt;&gt;"",SpaceHeater!A757,"")</f>
        <v/>
      </c>
    </row>
    <row r="758" spans="3:3" x14ac:dyDescent="0.2">
      <c r="C758" t="str">
        <f>IF(SpaceHeater!A758&lt;&gt;"",SpaceHeater!A758,"")</f>
        <v/>
      </c>
    </row>
    <row r="759" spans="3:3" x14ac:dyDescent="0.2">
      <c r="C759" t="str">
        <f>IF(SpaceHeater!A759&lt;&gt;"",SpaceHeater!A759,"")</f>
        <v/>
      </c>
    </row>
    <row r="760" spans="3:3" x14ac:dyDescent="0.2">
      <c r="C760" t="str">
        <f>IF(SpaceHeater!A760&lt;&gt;"",SpaceHeater!A760,"")</f>
        <v/>
      </c>
    </row>
    <row r="761" spans="3:3" x14ac:dyDescent="0.2">
      <c r="C761" t="str">
        <f>IF(SpaceHeater!A761&lt;&gt;"",SpaceHeater!A761,"")</f>
        <v/>
      </c>
    </row>
    <row r="762" spans="3:3" x14ac:dyDescent="0.2">
      <c r="C762" t="str">
        <f>IF(SpaceHeater!A762&lt;&gt;"",SpaceHeater!A762,"")</f>
        <v/>
      </c>
    </row>
    <row r="763" spans="3:3" x14ac:dyDescent="0.2">
      <c r="C763" t="str">
        <f>IF(SpaceHeater!A763&lt;&gt;"",SpaceHeater!A763,"")</f>
        <v/>
      </c>
    </row>
    <row r="764" spans="3:3" x14ac:dyDescent="0.2">
      <c r="C764" t="str">
        <f>IF(SpaceHeater!A764&lt;&gt;"",SpaceHeater!A764,"")</f>
        <v/>
      </c>
    </row>
    <row r="765" spans="3:3" x14ac:dyDescent="0.2">
      <c r="C765" t="str">
        <f>IF(SpaceHeater!A765&lt;&gt;"",SpaceHeater!A765,"")</f>
        <v/>
      </c>
    </row>
    <row r="766" spans="3:3" x14ac:dyDescent="0.2">
      <c r="C766" t="str">
        <f>IF(SpaceHeater!A766&lt;&gt;"",SpaceHeater!A766,"")</f>
        <v/>
      </c>
    </row>
    <row r="767" spans="3:3" x14ac:dyDescent="0.2">
      <c r="C767" t="str">
        <f>IF(SpaceHeater!A767&lt;&gt;"",SpaceHeater!A767,"")</f>
        <v/>
      </c>
    </row>
    <row r="768" spans="3:3" x14ac:dyDescent="0.2">
      <c r="C768" t="str">
        <f>IF(SpaceHeater!A768&lt;&gt;"",SpaceHeater!A768,"")</f>
        <v/>
      </c>
    </row>
    <row r="769" spans="3:3" x14ac:dyDescent="0.2">
      <c r="C769" t="str">
        <f>IF(SpaceHeater!A769&lt;&gt;"",SpaceHeater!A769,"")</f>
        <v/>
      </c>
    </row>
    <row r="770" spans="3:3" x14ac:dyDescent="0.2">
      <c r="C770" t="str">
        <f>IF(SpaceHeater!A770&lt;&gt;"",SpaceHeater!A770,"")</f>
        <v/>
      </c>
    </row>
    <row r="771" spans="3:3" x14ac:dyDescent="0.2">
      <c r="C771" t="str">
        <f>IF(SpaceHeater!A771&lt;&gt;"",SpaceHeater!A771,"")</f>
        <v/>
      </c>
    </row>
    <row r="772" spans="3:3" x14ac:dyDescent="0.2">
      <c r="C772" t="str">
        <f>IF(SpaceHeater!A772&lt;&gt;"",SpaceHeater!A772,"")</f>
        <v/>
      </c>
    </row>
    <row r="773" spans="3:3" x14ac:dyDescent="0.2">
      <c r="C773" t="str">
        <f>IF(SpaceHeater!A773&lt;&gt;"",SpaceHeater!A773,"")</f>
        <v/>
      </c>
    </row>
    <row r="774" spans="3:3" x14ac:dyDescent="0.2">
      <c r="C774" t="str">
        <f>IF(SpaceHeater!A774&lt;&gt;"",SpaceHeater!A774,"")</f>
        <v/>
      </c>
    </row>
    <row r="775" spans="3:3" x14ac:dyDescent="0.2">
      <c r="C775" t="str">
        <f>IF(SpaceHeater!A775&lt;&gt;"",SpaceHeater!A775,"")</f>
        <v/>
      </c>
    </row>
    <row r="776" spans="3:3" x14ac:dyDescent="0.2">
      <c r="C776" t="str">
        <f>IF(SpaceHeater!A776&lt;&gt;"",SpaceHeater!A776,"")</f>
        <v/>
      </c>
    </row>
    <row r="777" spans="3:3" x14ac:dyDescent="0.2">
      <c r="C777" t="str">
        <f>IF(SpaceHeater!A777&lt;&gt;"",SpaceHeater!A777,"")</f>
        <v/>
      </c>
    </row>
    <row r="778" spans="3:3" x14ac:dyDescent="0.2">
      <c r="C778" t="str">
        <f>IF(SpaceHeater!A778&lt;&gt;"",SpaceHeater!A778,"")</f>
        <v/>
      </c>
    </row>
    <row r="779" spans="3:3" x14ac:dyDescent="0.2">
      <c r="C779" t="str">
        <f>IF(SpaceHeater!A779&lt;&gt;"",SpaceHeater!A779,"")</f>
        <v/>
      </c>
    </row>
    <row r="780" spans="3:3" x14ac:dyDescent="0.2">
      <c r="C780" t="str">
        <f>IF(SpaceHeater!A780&lt;&gt;"",SpaceHeater!A780,"")</f>
        <v/>
      </c>
    </row>
    <row r="781" spans="3:3" x14ac:dyDescent="0.2">
      <c r="C781" t="str">
        <f>IF(SpaceHeater!A781&lt;&gt;"",SpaceHeater!A781,"")</f>
        <v/>
      </c>
    </row>
    <row r="782" spans="3:3" x14ac:dyDescent="0.2">
      <c r="C782" t="str">
        <f>IF(SpaceHeater!A782&lt;&gt;"",SpaceHeater!A782,"")</f>
        <v/>
      </c>
    </row>
    <row r="783" spans="3:3" x14ac:dyDescent="0.2">
      <c r="C783" t="str">
        <f>IF(SpaceHeater!A783&lt;&gt;"",SpaceHeater!A783,"")</f>
        <v/>
      </c>
    </row>
    <row r="784" spans="3:3" x14ac:dyDescent="0.2">
      <c r="C784" t="str">
        <f>IF(SpaceHeater!A784&lt;&gt;"",SpaceHeater!A784,"")</f>
        <v/>
      </c>
    </row>
    <row r="785" spans="3:3" x14ac:dyDescent="0.2">
      <c r="C785" t="str">
        <f>IF(SpaceHeater!A785&lt;&gt;"",SpaceHeater!A785,"")</f>
        <v/>
      </c>
    </row>
    <row r="786" spans="3:3" x14ac:dyDescent="0.2">
      <c r="C786" t="str">
        <f>IF(SpaceHeater!A786&lt;&gt;"",SpaceHeater!A786,"")</f>
        <v/>
      </c>
    </row>
    <row r="787" spans="3:3" x14ac:dyDescent="0.2">
      <c r="C787" t="str">
        <f>IF(SpaceHeater!A787&lt;&gt;"",SpaceHeater!A787,"")</f>
        <v/>
      </c>
    </row>
    <row r="788" spans="3:3" x14ac:dyDescent="0.2">
      <c r="C788" t="str">
        <f>IF(SpaceHeater!A788&lt;&gt;"",SpaceHeater!A788,"")</f>
        <v/>
      </c>
    </row>
    <row r="789" spans="3:3" x14ac:dyDescent="0.2">
      <c r="C789" t="str">
        <f>IF(SpaceHeater!A789&lt;&gt;"",SpaceHeater!A789,"")</f>
        <v/>
      </c>
    </row>
    <row r="790" spans="3:3" x14ac:dyDescent="0.2">
      <c r="C790" t="str">
        <f>IF(SpaceHeater!A790&lt;&gt;"",SpaceHeater!A790,"")</f>
        <v/>
      </c>
    </row>
    <row r="791" spans="3:3" x14ac:dyDescent="0.2">
      <c r="C791" t="str">
        <f>IF(SpaceHeater!A791&lt;&gt;"",SpaceHeater!A791,"")</f>
        <v/>
      </c>
    </row>
    <row r="792" spans="3:3" x14ac:dyDescent="0.2">
      <c r="C792" t="str">
        <f>IF(SpaceHeater!A792&lt;&gt;"",SpaceHeater!A792,"")</f>
        <v/>
      </c>
    </row>
    <row r="793" spans="3:3" x14ac:dyDescent="0.2">
      <c r="C793" t="str">
        <f>IF(SpaceHeater!A793&lt;&gt;"",SpaceHeater!A793,"")</f>
        <v/>
      </c>
    </row>
    <row r="794" spans="3:3" x14ac:dyDescent="0.2">
      <c r="C794" t="str">
        <f>IF(SpaceHeater!A794&lt;&gt;"",SpaceHeater!A794,"")</f>
        <v/>
      </c>
    </row>
    <row r="795" spans="3:3" x14ac:dyDescent="0.2">
      <c r="C795" t="str">
        <f>IF(SpaceHeater!A795&lt;&gt;"",SpaceHeater!A795,"")</f>
        <v/>
      </c>
    </row>
    <row r="796" spans="3:3" x14ac:dyDescent="0.2">
      <c r="C796" t="str">
        <f>IF(SpaceHeater!A796&lt;&gt;"",SpaceHeater!A796,"")</f>
        <v/>
      </c>
    </row>
    <row r="797" spans="3:3" x14ac:dyDescent="0.2">
      <c r="C797" t="str">
        <f>IF(SpaceHeater!A797&lt;&gt;"",SpaceHeater!A797,"")</f>
        <v/>
      </c>
    </row>
    <row r="798" spans="3:3" x14ac:dyDescent="0.2">
      <c r="C798" t="str">
        <f>IF(SpaceHeater!A798&lt;&gt;"",SpaceHeater!A798,"")</f>
        <v/>
      </c>
    </row>
    <row r="799" spans="3:3" x14ac:dyDescent="0.2">
      <c r="C799" t="str">
        <f>IF(SpaceHeater!A799&lt;&gt;"",SpaceHeater!A799,"")</f>
        <v/>
      </c>
    </row>
    <row r="800" spans="3:3" x14ac:dyDescent="0.2">
      <c r="C800" t="str">
        <f>IF(SpaceHeater!A800&lt;&gt;"",SpaceHeater!A800,"")</f>
        <v/>
      </c>
    </row>
    <row r="801" spans="3:3" x14ac:dyDescent="0.2">
      <c r="C801" t="str">
        <f>IF(SpaceHeater!A801&lt;&gt;"",SpaceHeater!A801,"")</f>
        <v/>
      </c>
    </row>
    <row r="802" spans="3:3" x14ac:dyDescent="0.2">
      <c r="C802" t="str">
        <f>IF(SpaceHeater!A802&lt;&gt;"",SpaceHeater!A802,"")</f>
        <v/>
      </c>
    </row>
    <row r="803" spans="3:3" x14ac:dyDescent="0.2">
      <c r="C803" t="str">
        <f>IF(SpaceHeater!A803&lt;&gt;"",SpaceHeater!A803,"")</f>
        <v/>
      </c>
    </row>
    <row r="804" spans="3:3" x14ac:dyDescent="0.2">
      <c r="C804" t="str">
        <f>IF(SpaceHeater!A804&lt;&gt;"",SpaceHeater!A804,"")</f>
        <v/>
      </c>
    </row>
    <row r="805" spans="3:3" x14ac:dyDescent="0.2">
      <c r="C805" t="str">
        <f>IF(SpaceHeater!A805&lt;&gt;"",SpaceHeater!A805,"")</f>
        <v/>
      </c>
    </row>
    <row r="806" spans="3:3" x14ac:dyDescent="0.2">
      <c r="C806" t="str">
        <f>IF(SpaceHeater!A806&lt;&gt;"",SpaceHeater!A806,"")</f>
        <v/>
      </c>
    </row>
    <row r="807" spans="3:3" x14ac:dyDescent="0.2">
      <c r="C807" t="str">
        <f>IF(SpaceHeater!A807&lt;&gt;"",SpaceHeater!A807,"")</f>
        <v/>
      </c>
    </row>
    <row r="808" spans="3:3" x14ac:dyDescent="0.2">
      <c r="C808" t="str">
        <f>IF(SpaceHeater!A808&lt;&gt;"",SpaceHeater!A808,"")</f>
        <v/>
      </c>
    </row>
    <row r="809" spans="3:3" x14ac:dyDescent="0.2">
      <c r="C809" t="str">
        <f>IF(SpaceHeater!A809&lt;&gt;"",SpaceHeater!A809,"")</f>
        <v/>
      </c>
    </row>
    <row r="810" spans="3:3" x14ac:dyDescent="0.2">
      <c r="C810" t="str">
        <f>IF(SpaceHeater!A810&lt;&gt;"",SpaceHeater!A810,"")</f>
        <v/>
      </c>
    </row>
    <row r="811" spans="3:3" x14ac:dyDescent="0.2">
      <c r="C811" t="str">
        <f>IF(SpaceHeater!A811&lt;&gt;"",SpaceHeater!A811,"")</f>
        <v/>
      </c>
    </row>
    <row r="812" spans="3:3" x14ac:dyDescent="0.2">
      <c r="C812" t="str">
        <f>IF(SpaceHeater!A812&lt;&gt;"",SpaceHeater!A812,"")</f>
        <v/>
      </c>
    </row>
    <row r="813" spans="3:3" x14ac:dyDescent="0.2">
      <c r="C813" t="str">
        <f>IF(SpaceHeater!A813&lt;&gt;"",SpaceHeater!A813,"")</f>
        <v/>
      </c>
    </row>
    <row r="814" spans="3:3" x14ac:dyDescent="0.2">
      <c r="C814" t="str">
        <f>IF(SpaceHeater!A814&lt;&gt;"",SpaceHeater!A814,"")</f>
        <v/>
      </c>
    </row>
    <row r="815" spans="3:3" x14ac:dyDescent="0.2">
      <c r="C815" t="str">
        <f>IF(SpaceHeater!A815&lt;&gt;"",SpaceHeater!A815,"")</f>
        <v/>
      </c>
    </row>
    <row r="816" spans="3:3" x14ac:dyDescent="0.2">
      <c r="C816" t="str">
        <f>IF(SpaceHeater!A816&lt;&gt;"",SpaceHeater!A816,"")</f>
        <v/>
      </c>
    </row>
    <row r="817" spans="3:3" x14ac:dyDescent="0.2">
      <c r="C817" t="str">
        <f>IF(SpaceHeater!A817&lt;&gt;"",SpaceHeater!A817,"")</f>
        <v/>
      </c>
    </row>
    <row r="818" spans="3:3" x14ac:dyDescent="0.2">
      <c r="C818" t="str">
        <f>IF(SpaceHeater!A818&lt;&gt;"",SpaceHeater!A818,"")</f>
        <v/>
      </c>
    </row>
    <row r="819" spans="3:3" x14ac:dyDescent="0.2">
      <c r="C819" t="str">
        <f>IF(SpaceHeater!A819&lt;&gt;"",SpaceHeater!A819,"")</f>
        <v/>
      </c>
    </row>
    <row r="820" spans="3:3" x14ac:dyDescent="0.2">
      <c r="C820" t="str">
        <f>IF(SpaceHeater!A820&lt;&gt;"",SpaceHeater!A820,"")</f>
        <v/>
      </c>
    </row>
    <row r="821" spans="3:3" x14ac:dyDescent="0.2">
      <c r="C821" t="str">
        <f>IF(SpaceHeater!A821&lt;&gt;"",SpaceHeater!A821,"")</f>
        <v/>
      </c>
    </row>
    <row r="822" spans="3:3" x14ac:dyDescent="0.2">
      <c r="C822" t="str">
        <f>IF(SpaceHeater!A822&lt;&gt;"",SpaceHeater!A822,"")</f>
        <v/>
      </c>
    </row>
    <row r="823" spans="3:3" x14ac:dyDescent="0.2">
      <c r="C823" t="str">
        <f>IF(SpaceHeater!A823&lt;&gt;"",SpaceHeater!A823,"")</f>
        <v/>
      </c>
    </row>
    <row r="824" spans="3:3" x14ac:dyDescent="0.2">
      <c r="C824" t="str">
        <f>IF(SpaceHeater!A824&lt;&gt;"",SpaceHeater!A824,"")</f>
        <v/>
      </c>
    </row>
    <row r="825" spans="3:3" x14ac:dyDescent="0.2">
      <c r="C825" t="str">
        <f>IF(SpaceHeater!A825&lt;&gt;"",SpaceHeater!A825,"")</f>
        <v/>
      </c>
    </row>
    <row r="826" spans="3:3" x14ac:dyDescent="0.2">
      <c r="C826" t="str">
        <f>IF(SpaceHeater!A826&lt;&gt;"",SpaceHeater!A826,"")</f>
        <v/>
      </c>
    </row>
    <row r="827" spans="3:3" x14ac:dyDescent="0.2">
      <c r="C827" t="str">
        <f>IF(SpaceHeater!A827&lt;&gt;"",SpaceHeater!A827,"")</f>
        <v/>
      </c>
    </row>
    <row r="828" spans="3:3" x14ac:dyDescent="0.2">
      <c r="C828" t="str">
        <f>IF(SpaceHeater!A828&lt;&gt;"",SpaceHeater!A828,"")</f>
        <v/>
      </c>
    </row>
    <row r="829" spans="3:3" x14ac:dyDescent="0.2">
      <c r="C829" t="str">
        <f>IF(SpaceHeater!A829&lt;&gt;"",SpaceHeater!A829,"")</f>
        <v/>
      </c>
    </row>
    <row r="830" spans="3:3" x14ac:dyDescent="0.2">
      <c r="C830" t="str">
        <f>IF(SpaceHeater!A830&lt;&gt;"",SpaceHeater!A830,"")</f>
        <v/>
      </c>
    </row>
    <row r="831" spans="3:3" x14ac:dyDescent="0.2">
      <c r="C831" t="str">
        <f>IF(SpaceHeater!A831&lt;&gt;"",SpaceHeater!A831,"")</f>
        <v/>
      </c>
    </row>
    <row r="832" spans="3:3" x14ac:dyDescent="0.2">
      <c r="C832" t="str">
        <f>IF(SpaceHeater!A832&lt;&gt;"",SpaceHeater!A832,"")</f>
        <v/>
      </c>
    </row>
    <row r="833" spans="3:3" x14ac:dyDescent="0.2">
      <c r="C833" t="str">
        <f>IF(SpaceHeater!A833&lt;&gt;"",SpaceHeater!A833,"")</f>
        <v/>
      </c>
    </row>
    <row r="834" spans="3:3" x14ac:dyDescent="0.2">
      <c r="C834" t="str">
        <f>IF(SpaceHeater!A834&lt;&gt;"",SpaceHeater!A834,"")</f>
        <v/>
      </c>
    </row>
    <row r="835" spans="3:3" x14ac:dyDescent="0.2">
      <c r="C835" t="str">
        <f>IF(SpaceHeater!A835&lt;&gt;"",SpaceHeater!A835,"")</f>
        <v/>
      </c>
    </row>
    <row r="836" spans="3:3" x14ac:dyDescent="0.2">
      <c r="C836" t="str">
        <f>IF(SpaceHeater!A836&lt;&gt;"",SpaceHeater!A836,"")</f>
        <v/>
      </c>
    </row>
    <row r="837" spans="3:3" x14ac:dyDescent="0.2">
      <c r="C837" t="str">
        <f>IF(SpaceHeater!A837&lt;&gt;"",SpaceHeater!A837,"")</f>
        <v/>
      </c>
    </row>
    <row r="838" spans="3:3" x14ac:dyDescent="0.2">
      <c r="C838" t="str">
        <f>IF(SpaceHeater!A838&lt;&gt;"",SpaceHeater!A838,"")</f>
        <v/>
      </c>
    </row>
    <row r="839" spans="3:3" x14ac:dyDescent="0.2">
      <c r="C839" t="str">
        <f>IF(SpaceHeater!A839&lt;&gt;"",SpaceHeater!A839,"")</f>
        <v/>
      </c>
    </row>
    <row r="840" spans="3:3" x14ac:dyDescent="0.2">
      <c r="C840" t="str">
        <f>IF(SpaceHeater!A840&lt;&gt;"",SpaceHeater!A840,"")</f>
        <v/>
      </c>
    </row>
    <row r="841" spans="3:3" x14ac:dyDescent="0.2">
      <c r="C841" t="str">
        <f>IF(SpaceHeater!A841&lt;&gt;"",SpaceHeater!A841,"")</f>
        <v/>
      </c>
    </row>
    <row r="842" spans="3:3" x14ac:dyDescent="0.2">
      <c r="C842" t="str">
        <f>IF(SpaceHeater!A842&lt;&gt;"",SpaceHeater!A842,"")</f>
        <v/>
      </c>
    </row>
    <row r="843" spans="3:3" x14ac:dyDescent="0.2">
      <c r="C843" t="str">
        <f>IF(SpaceHeater!A843&lt;&gt;"",SpaceHeater!A843,"")</f>
        <v/>
      </c>
    </row>
    <row r="844" spans="3:3" x14ac:dyDescent="0.2">
      <c r="C844" t="str">
        <f>IF(SpaceHeater!A844&lt;&gt;"",SpaceHeater!A844,"")</f>
        <v/>
      </c>
    </row>
    <row r="845" spans="3:3" x14ac:dyDescent="0.2">
      <c r="C845" t="str">
        <f>IF(SpaceHeater!A845&lt;&gt;"",SpaceHeater!A845,"")</f>
        <v/>
      </c>
    </row>
    <row r="846" spans="3:3" x14ac:dyDescent="0.2">
      <c r="C846" t="str">
        <f>IF(SpaceHeater!A846&lt;&gt;"",SpaceHeater!A846,"")</f>
        <v/>
      </c>
    </row>
    <row r="847" spans="3:3" x14ac:dyDescent="0.2">
      <c r="C847" t="str">
        <f>IF(SpaceHeater!A847&lt;&gt;"",SpaceHeater!A847,"")</f>
        <v/>
      </c>
    </row>
    <row r="848" spans="3:3" x14ac:dyDescent="0.2">
      <c r="C848" t="str">
        <f>IF(SpaceHeater!A848&lt;&gt;"",SpaceHeater!A848,"")</f>
        <v/>
      </c>
    </row>
    <row r="849" spans="3:3" x14ac:dyDescent="0.2">
      <c r="C849" t="str">
        <f>IF(SpaceHeater!A849&lt;&gt;"",SpaceHeater!A849,"")</f>
        <v/>
      </c>
    </row>
    <row r="850" spans="3:3" x14ac:dyDescent="0.2">
      <c r="C850" t="str">
        <f>IF(SpaceHeater!A850&lt;&gt;"",SpaceHeater!A850,"")</f>
        <v/>
      </c>
    </row>
    <row r="851" spans="3:3" x14ac:dyDescent="0.2">
      <c r="C851" t="str">
        <f>IF(SpaceHeater!A851&lt;&gt;"",SpaceHeater!A851,"")</f>
        <v/>
      </c>
    </row>
    <row r="852" spans="3:3" x14ac:dyDescent="0.2">
      <c r="C852" t="str">
        <f>IF(SpaceHeater!A852&lt;&gt;"",SpaceHeater!A852,"")</f>
        <v/>
      </c>
    </row>
    <row r="853" spans="3:3" x14ac:dyDescent="0.2">
      <c r="C853" t="str">
        <f>IF(SpaceHeater!A853&lt;&gt;"",SpaceHeater!A853,"")</f>
        <v/>
      </c>
    </row>
    <row r="854" spans="3:3" x14ac:dyDescent="0.2">
      <c r="C854" t="str">
        <f>IF(SpaceHeater!A854&lt;&gt;"",SpaceHeater!A854,"")</f>
        <v/>
      </c>
    </row>
    <row r="855" spans="3:3" x14ac:dyDescent="0.2">
      <c r="C855" t="str">
        <f>IF(SpaceHeater!A855&lt;&gt;"",SpaceHeater!A855,"")</f>
        <v/>
      </c>
    </row>
    <row r="856" spans="3:3" x14ac:dyDescent="0.2">
      <c r="C856" t="str">
        <f>IF(SpaceHeater!A856&lt;&gt;"",SpaceHeater!A856,"")</f>
        <v/>
      </c>
    </row>
    <row r="857" spans="3:3" x14ac:dyDescent="0.2">
      <c r="C857" t="str">
        <f>IF(SpaceHeater!A857&lt;&gt;"",SpaceHeater!A857,"")</f>
        <v/>
      </c>
    </row>
    <row r="858" spans="3:3" x14ac:dyDescent="0.2">
      <c r="C858" t="str">
        <f>IF(SpaceHeater!A858&lt;&gt;"",SpaceHeater!A858,"")</f>
        <v/>
      </c>
    </row>
    <row r="859" spans="3:3" x14ac:dyDescent="0.2">
      <c r="C859" t="str">
        <f>IF(SpaceHeater!A859&lt;&gt;"",SpaceHeater!A859,"")</f>
        <v/>
      </c>
    </row>
    <row r="860" spans="3:3" x14ac:dyDescent="0.2">
      <c r="C860" t="str">
        <f>IF(SpaceHeater!A860&lt;&gt;"",SpaceHeater!A860,"")</f>
        <v/>
      </c>
    </row>
    <row r="861" spans="3:3" x14ac:dyDescent="0.2">
      <c r="C861" t="str">
        <f>IF(SpaceHeater!A861&lt;&gt;"",SpaceHeater!A861,"")</f>
        <v/>
      </c>
    </row>
    <row r="862" spans="3:3" x14ac:dyDescent="0.2">
      <c r="C862" t="str">
        <f>IF(SpaceHeater!A862&lt;&gt;"",SpaceHeater!A862,"")</f>
        <v/>
      </c>
    </row>
    <row r="863" spans="3:3" x14ac:dyDescent="0.2">
      <c r="C863" t="str">
        <f>IF(SpaceHeater!A863&lt;&gt;"",SpaceHeater!A863,"")</f>
        <v/>
      </c>
    </row>
    <row r="864" spans="3:3" x14ac:dyDescent="0.2">
      <c r="C864" t="str">
        <f>IF(SpaceHeater!A864&lt;&gt;"",SpaceHeater!A864,"")</f>
        <v/>
      </c>
    </row>
    <row r="865" spans="3:3" x14ac:dyDescent="0.2">
      <c r="C865" t="str">
        <f>IF(SpaceHeater!A865&lt;&gt;"",SpaceHeater!A865,"")</f>
        <v/>
      </c>
    </row>
    <row r="866" spans="3:3" x14ac:dyDescent="0.2">
      <c r="C866" t="str">
        <f>IF(SpaceHeater!A866&lt;&gt;"",SpaceHeater!A866,"")</f>
        <v/>
      </c>
    </row>
    <row r="867" spans="3:3" x14ac:dyDescent="0.2">
      <c r="C867" t="str">
        <f>IF(SpaceHeater!A867&lt;&gt;"",SpaceHeater!A867,"")</f>
        <v/>
      </c>
    </row>
    <row r="868" spans="3:3" x14ac:dyDescent="0.2">
      <c r="C868" t="str">
        <f>IF(SpaceHeater!A868&lt;&gt;"",SpaceHeater!A868,"")</f>
        <v/>
      </c>
    </row>
    <row r="869" spans="3:3" x14ac:dyDescent="0.2">
      <c r="C869" t="str">
        <f>IF(SpaceHeater!A869&lt;&gt;"",SpaceHeater!A869,"")</f>
        <v/>
      </c>
    </row>
    <row r="870" spans="3:3" x14ac:dyDescent="0.2">
      <c r="C870" t="str">
        <f>IF(SpaceHeater!A870&lt;&gt;"",SpaceHeater!A870,"")</f>
        <v/>
      </c>
    </row>
    <row r="871" spans="3:3" x14ac:dyDescent="0.2">
      <c r="C871" t="str">
        <f>IF(SpaceHeater!A871&lt;&gt;"",SpaceHeater!A871,"")</f>
        <v/>
      </c>
    </row>
    <row r="872" spans="3:3" x14ac:dyDescent="0.2">
      <c r="C872" t="str">
        <f>IF(SpaceHeater!A872&lt;&gt;"",SpaceHeater!A872,"")</f>
        <v/>
      </c>
    </row>
    <row r="873" spans="3:3" x14ac:dyDescent="0.2">
      <c r="C873" t="str">
        <f>IF(SpaceHeater!A873&lt;&gt;"",SpaceHeater!A873,"")</f>
        <v/>
      </c>
    </row>
    <row r="874" spans="3:3" x14ac:dyDescent="0.2">
      <c r="C874" t="str">
        <f>IF(SpaceHeater!A874&lt;&gt;"",SpaceHeater!A874,"")</f>
        <v/>
      </c>
    </row>
    <row r="875" spans="3:3" x14ac:dyDescent="0.2">
      <c r="C875" t="str">
        <f>IF(SpaceHeater!A875&lt;&gt;"",SpaceHeater!A875,"")</f>
        <v/>
      </c>
    </row>
    <row r="876" spans="3:3" x14ac:dyDescent="0.2">
      <c r="C876" t="str">
        <f>IF(SpaceHeater!A876&lt;&gt;"",SpaceHeater!A876,"")</f>
        <v/>
      </c>
    </row>
    <row r="877" spans="3:3" x14ac:dyDescent="0.2">
      <c r="C877" t="str">
        <f>IF(SpaceHeater!A877&lt;&gt;"",SpaceHeater!A877,"")</f>
        <v/>
      </c>
    </row>
    <row r="878" spans="3:3" x14ac:dyDescent="0.2">
      <c r="C878" t="str">
        <f>IF(SpaceHeater!A878&lt;&gt;"",SpaceHeater!A878,"")</f>
        <v/>
      </c>
    </row>
    <row r="879" spans="3:3" x14ac:dyDescent="0.2">
      <c r="C879" t="str">
        <f>IF(SpaceHeater!A879&lt;&gt;"",SpaceHeater!A879,"")</f>
        <v/>
      </c>
    </row>
    <row r="880" spans="3:3" x14ac:dyDescent="0.2">
      <c r="C880" t="str">
        <f>IF(SpaceHeater!A880&lt;&gt;"",SpaceHeater!A880,"")</f>
        <v/>
      </c>
    </row>
    <row r="881" spans="3:3" x14ac:dyDescent="0.2">
      <c r="C881" t="str">
        <f>IF(SpaceHeater!A881&lt;&gt;"",SpaceHeater!A881,"")</f>
        <v/>
      </c>
    </row>
    <row r="882" spans="3:3" x14ac:dyDescent="0.2">
      <c r="C882" t="str">
        <f>IF(SpaceHeater!A882&lt;&gt;"",SpaceHeater!A882,"")</f>
        <v/>
      </c>
    </row>
    <row r="883" spans="3:3" x14ac:dyDescent="0.2">
      <c r="C883" t="str">
        <f>IF(SpaceHeater!A883&lt;&gt;"",SpaceHeater!A883,"")</f>
        <v/>
      </c>
    </row>
    <row r="884" spans="3:3" x14ac:dyDescent="0.2">
      <c r="C884" t="str">
        <f>IF(SpaceHeater!A884&lt;&gt;"",SpaceHeater!A884,"")</f>
        <v/>
      </c>
    </row>
    <row r="885" spans="3:3" x14ac:dyDescent="0.2">
      <c r="C885" t="str">
        <f>IF(SpaceHeater!A885&lt;&gt;"",SpaceHeater!A885,"")</f>
        <v/>
      </c>
    </row>
    <row r="886" spans="3:3" x14ac:dyDescent="0.2">
      <c r="C886" t="str">
        <f>IF(SpaceHeater!A886&lt;&gt;"",SpaceHeater!A886,"")</f>
        <v/>
      </c>
    </row>
    <row r="887" spans="3:3" x14ac:dyDescent="0.2">
      <c r="C887" t="str">
        <f>IF(SpaceHeater!A887&lt;&gt;"",SpaceHeater!A887,"")</f>
        <v/>
      </c>
    </row>
    <row r="888" spans="3:3" x14ac:dyDescent="0.2">
      <c r="C888" t="str">
        <f>IF(SpaceHeater!A888&lt;&gt;"",SpaceHeater!A888,"")</f>
        <v/>
      </c>
    </row>
    <row r="889" spans="3:3" x14ac:dyDescent="0.2">
      <c r="C889" t="str">
        <f>IF(SpaceHeater!A889&lt;&gt;"",SpaceHeater!A889,"")</f>
        <v/>
      </c>
    </row>
    <row r="890" spans="3:3" x14ac:dyDescent="0.2">
      <c r="C890" t="str">
        <f>IF(SpaceHeater!A890&lt;&gt;"",SpaceHeater!A890,"")</f>
        <v/>
      </c>
    </row>
    <row r="891" spans="3:3" x14ac:dyDescent="0.2">
      <c r="C891" t="str">
        <f>IF(SpaceHeater!A891&lt;&gt;"",SpaceHeater!A891,"")</f>
        <v/>
      </c>
    </row>
    <row r="892" spans="3:3" x14ac:dyDescent="0.2">
      <c r="C892" t="str">
        <f>IF(SpaceHeater!A892&lt;&gt;"",SpaceHeater!A892,"")</f>
        <v/>
      </c>
    </row>
    <row r="893" spans="3:3" x14ac:dyDescent="0.2">
      <c r="C893" t="str">
        <f>IF(SpaceHeater!A893&lt;&gt;"",SpaceHeater!A893,"")</f>
        <v/>
      </c>
    </row>
    <row r="894" spans="3:3" x14ac:dyDescent="0.2">
      <c r="C894" t="str">
        <f>IF(SpaceHeater!A894&lt;&gt;"",SpaceHeater!A894,"")</f>
        <v/>
      </c>
    </row>
    <row r="895" spans="3:3" x14ac:dyDescent="0.2">
      <c r="C895" t="str">
        <f>IF(SpaceHeater!A895&lt;&gt;"",SpaceHeater!A895,"")</f>
        <v/>
      </c>
    </row>
    <row r="896" spans="3:3" x14ac:dyDescent="0.2">
      <c r="C896" t="str">
        <f>IF(SpaceHeater!A896&lt;&gt;"",SpaceHeater!A896,"")</f>
        <v/>
      </c>
    </row>
    <row r="897" spans="3:3" x14ac:dyDescent="0.2">
      <c r="C897" t="str">
        <f>IF(SpaceHeater!A897&lt;&gt;"",SpaceHeater!A897,"")</f>
        <v/>
      </c>
    </row>
    <row r="898" spans="3:3" x14ac:dyDescent="0.2">
      <c r="C898" t="str">
        <f>IF(SpaceHeater!A898&lt;&gt;"",SpaceHeater!A898,"")</f>
        <v/>
      </c>
    </row>
    <row r="899" spans="3:3" x14ac:dyDescent="0.2">
      <c r="C899" t="str">
        <f>IF(SpaceHeater!A899&lt;&gt;"",SpaceHeater!A899,"")</f>
        <v/>
      </c>
    </row>
    <row r="900" spans="3:3" x14ac:dyDescent="0.2">
      <c r="C900" t="str">
        <f>IF(SpaceHeater!A900&lt;&gt;"",SpaceHeater!A900,"")</f>
        <v/>
      </c>
    </row>
    <row r="901" spans="3:3" x14ac:dyDescent="0.2">
      <c r="C901" t="str">
        <f>IF(SpaceHeater!A901&lt;&gt;"",SpaceHeater!A901,"")</f>
        <v/>
      </c>
    </row>
    <row r="902" spans="3:3" x14ac:dyDescent="0.2">
      <c r="C902" t="str">
        <f>IF(SpaceHeater!A902&lt;&gt;"",SpaceHeater!A902,"")</f>
        <v/>
      </c>
    </row>
    <row r="903" spans="3:3" x14ac:dyDescent="0.2">
      <c r="C903" t="str">
        <f>IF(SpaceHeater!A903&lt;&gt;"",SpaceHeater!A903,"")</f>
        <v/>
      </c>
    </row>
    <row r="904" spans="3:3" x14ac:dyDescent="0.2">
      <c r="C904" t="str">
        <f>IF(SpaceHeater!A904&lt;&gt;"",SpaceHeater!A904,"")</f>
        <v/>
      </c>
    </row>
    <row r="905" spans="3:3" x14ac:dyDescent="0.2">
      <c r="C905" t="str">
        <f>IF(SpaceHeater!A905&lt;&gt;"",SpaceHeater!A905,"")</f>
        <v/>
      </c>
    </row>
    <row r="906" spans="3:3" x14ac:dyDescent="0.2">
      <c r="C906" t="str">
        <f>IF(SpaceHeater!A906&lt;&gt;"",SpaceHeater!A906,"")</f>
        <v/>
      </c>
    </row>
    <row r="907" spans="3:3" x14ac:dyDescent="0.2">
      <c r="C907" t="str">
        <f>IF(SpaceHeater!A907&lt;&gt;"",SpaceHeater!A907,"")</f>
        <v/>
      </c>
    </row>
    <row r="908" spans="3:3" x14ac:dyDescent="0.2">
      <c r="C908" t="str">
        <f>IF(SpaceHeater!A908&lt;&gt;"",SpaceHeater!A908,"")</f>
        <v/>
      </c>
    </row>
    <row r="909" spans="3:3" x14ac:dyDescent="0.2">
      <c r="C909" t="str">
        <f>IF(SpaceHeater!A909&lt;&gt;"",SpaceHeater!A909,"")</f>
        <v/>
      </c>
    </row>
    <row r="910" spans="3:3" x14ac:dyDescent="0.2">
      <c r="C910" t="str">
        <f>IF(SpaceHeater!A910&lt;&gt;"",SpaceHeater!A910,"")</f>
        <v/>
      </c>
    </row>
    <row r="911" spans="3:3" x14ac:dyDescent="0.2">
      <c r="C911" t="str">
        <f>IF(SpaceHeater!A911&lt;&gt;"",SpaceHeater!A911,"")</f>
        <v/>
      </c>
    </row>
    <row r="912" spans="3:3" x14ac:dyDescent="0.2">
      <c r="C912" t="str">
        <f>IF(SpaceHeater!A912&lt;&gt;"",SpaceHeater!A912,"")</f>
        <v/>
      </c>
    </row>
    <row r="913" spans="3:3" x14ac:dyDescent="0.2">
      <c r="C913" t="str">
        <f>IF(SpaceHeater!A913&lt;&gt;"",SpaceHeater!A913,"")</f>
        <v/>
      </c>
    </row>
    <row r="914" spans="3:3" x14ac:dyDescent="0.2">
      <c r="C914" t="str">
        <f>IF(SpaceHeater!A914&lt;&gt;"",SpaceHeater!A914,"")</f>
        <v/>
      </c>
    </row>
    <row r="915" spans="3:3" x14ac:dyDescent="0.2">
      <c r="C915" t="str">
        <f>IF(SpaceHeater!A915&lt;&gt;"",SpaceHeater!A915,"")</f>
        <v/>
      </c>
    </row>
    <row r="916" spans="3:3" x14ac:dyDescent="0.2">
      <c r="C916" t="str">
        <f>IF(SpaceHeater!A916&lt;&gt;"",SpaceHeater!A916,"")</f>
        <v/>
      </c>
    </row>
    <row r="917" spans="3:3" x14ac:dyDescent="0.2">
      <c r="C917" t="str">
        <f>IF(SpaceHeater!A917&lt;&gt;"",SpaceHeater!A917,"")</f>
        <v/>
      </c>
    </row>
    <row r="918" spans="3:3" x14ac:dyDescent="0.2">
      <c r="C918" t="str">
        <f>IF(SpaceHeater!A918&lt;&gt;"",SpaceHeater!A918,"")</f>
        <v/>
      </c>
    </row>
    <row r="919" spans="3:3" x14ac:dyDescent="0.2">
      <c r="C919" t="str">
        <f>IF(SpaceHeater!A919&lt;&gt;"",SpaceHeater!A919,"")</f>
        <v/>
      </c>
    </row>
    <row r="920" spans="3:3" x14ac:dyDescent="0.2">
      <c r="C920" t="str">
        <f>IF(SpaceHeater!A920&lt;&gt;"",SpaceHeater!A920,"")</f>
        <v/>
      </c>
    </row>
    <row r="921" spans="3:3" x14ac:dyDescent="0.2">
      <c r="C921" t="str">
        <f>IF(SpaceHeater!A921&lt;&gt;"",SpaceHeater!A921,"")</f>
        <v/>
      </c>
    </row>
    <row r="922" spans="3:3" x14ac:dyDescent="0.2">
      <c r="C922" t="str">
        <f>IF(SpaceHeater!A922&lt;&gt;"",SpaceHeater!A922,"")</f>
        <v/>
      </c>
    </row>
    <row r="923" spans="3:3" x14ac:dyDescent="0.2">
      <c r="C923" t="str">
        <f>IF(SpaceHeater!A923&lt;&gt;"",SpaceHeater!A923,"")</f>
        <v/>
      </c>
    </row>
    <row r="924" spans="3:3" x14ac:dyDescent="0.2">
      <c r="C924" t="str">
        <f>IF(SpaceHeater!A924&lt;&gt;"",SpaceHeater!A924,"")</f>
        <v/>
      </c>
    </row>
    <row r="925" spans="3:3" x14ac:dyDescent="0.2">
      <c r="C925" t="str">
        <f>IF(SpaceHeater!A925&lt;&gt;"",SpaceHeater!A925,"")</f>
        <v/>
      </c>
    </row>
    <row r="926" spans="3:3" x14ac:dyDescent="0.2">
      <c r="C926" t="str">
        <f>IF(SpaceHeater!A926&lt;&gt;"",SpaceHeater!A926,"")</f>
        <v/>
      </c>
    </row>
    <row r="927" spans="3:3" x14ac:dyDescent="0.2">
      <c r="C927" t="str">
        <f>IF(SpaceHeater!A927&lt;&gt;"",SpaceHeater!A927,"")</f>
        <v/>
      </c>
    </row>
    <row r="928" spans="3:3" x14ac:dyDescent="0.2">
      <c r="C928" t="str">
        <f>IF(SpaceHeater!A928&lt;&gt;"",SpaceHeater!A928,"")</f>
        <v/>
      </c>
    </row>
    <row r="929" spans="3:3" x14ac:dyDescent="0.2">
      <c r="C929" t="str">
        <f>IF(SpaceHeater!A929&lt;&gt;"",SpaceHeater!A929,"")</f>
        <v/>
      </c>
    </row>
    <row r="930" spans="3:3" x14ac:dyDescent="0.2">
      <c r="C930" t="str">
        <f>IF(SpaceHeater!A930&lt;&gt;"",SpaceHeater!A930,"")</f>
        <v/>
      </c>
    </row>
    <row r="931" spans="3:3" x14ac:dyDescent="0.2">
      <c r="C931" t="str">
        <f>IF(SpaceHeater!A931&lt;&gt;"",SpaceHeater!A931,"")</f>
        <v/>
      </c>
    </row>
    <row r="932" spans="3:3" x14ac:dyDescent="0.2">
      <c r="C932" t="str">
        <f>IF(SpaceHeater!A932&lt;&gt;"",SpaceHeater!A932,"")</f>
        <v/>
      </c>
    </row>
    <row r="933" spans="3:3" x14ac:dyDescent="0.2">
      <c r="C933" t="str">
        <f>IF(SpaceHeater!A933&lt;&gt;"",SpaceHeater!A933,"")</f>
        <v/>
      </c>
    </row>
    <row r="934" spans="3:3" x14ac:dyDescent="0.2">
      <c r="C934" t="str">
        <f>IF(SpaceHeater!A934&lt;&gt;"",SpaceHeater!A934,"")</f>
        <v/>
      </c>
    </row>
    <row r="935" spans="3:3" x14ac:dyDescent="0.2">
      <c r="C935" t="str">
        <f>IF(SpaceHeater!A935&lt;&gt;"",SpaceHeater!A935,"")</f>
        <v/>
      </c>
    </row>
    <row r="936" spans="3:3" x14ac:dyDescent="0.2">
      <c r="C936" t="str">
        <f>IF(SpaceHeater!A936&lt;&gt;"",SpaceHeater!A936,"")</f>
        <v/>
      </c>
    </row>
    <row r="937" spans="3:3" x14ac:dyDescent="0.2">
      <c r="C937" t="str">
        <f>IF(SpaceHeater!A937&lt;&gt;"",SpaceHeater!A937,"")</f>
        <v/>
      </c>
    </row>
    <row r="938" spans="3:3" x14ac:dyDescent="0.2">
      <c r="C938" t="str">
        <f>IF(SpaceHeater!A938&lt;&gt;"",SpaceHeater!A938,"")</f>
        <v/>
      </c>
    </row>
    <row r="939" spans="3:3" x14ac:dyDescent="0.2">
      <c r="C939" t="str">
        <f>IF(SpaceHeater!A939&lt;&gt;"",SpaceHeater!A939,"")</f>
        <v/>
      </c>
    </row>
    <row r="940" spans="3:3" x14ac:dyDescent="0.2">
      <c r="C940" t="str">
        <f>IF(SpaceHeater!A940&lt;&gt;"",SpaceHeater!A940,"")</f>
        <v/>
      </c>
    </row>
    <row r="941" spans="3:3" x14ac:dyDescent="0.2">
      <c r="C941" t="str">
        <f>IF(SpaceHeater!A941&lt;&gt;"",SpaceHeater!A941,"")</f>
        <v/>
      </c>
    </row>
    <row r="942" spans="3:3" x14ac:dyDescent="0.2">
      <c r="C942" t="str">
        <f>IF(SpaceHeater!A942&lt;&gt;"",SpaceHeater!A942,"")</f>
        <v/>
      </c>
    </row>
    <row r="943" spans="3:3" x14ac:dyDescent="0.2">
      <c r="C943" t="str">
        <f>IF(SpaceHeater!A943&lt;&gt;"",SpaceHeater!A943,"")</f>
        <v/>
      </c>
    </row>
    <row r="944" spans="3:3" x14ac:dyDescent="0.2">
      <c r="C944" t="str">
        <f>IF(SpaceHeater!A944&lt;&gt;"",SpaceHeater!A944,"")</f>
        <v/>
      </c>
    </row>
    <row r="945" spans="3:3" x14ac:dyDescent="0.2">
      <c r="C945" t="str">
        <f>IF(SpaceHeater!A945&lt;&gt;"",SpaceHeater!A945,"")</f>
        <v/>
      </c>
    </row>
    <row r="946" spans="3:3" x14ac:dyDescent="0.2">
      <c r="C946" t="str">
        <f>IF(SpaceHeater!A946&lt;&gt;"",SpaceHeater!A946,"")</f>
        <v/>
      </c>
    </row>
    <row r="947" spans="3:3" x14ac:dyDescent="0.2">
      <c r="C947" t="str">
        <f>IF(SpaceHeater!A947&lt;&gt;"",SpaceHeater!A947,"")</f>
        <v/>
      </c>
    </row>
    <row r="948" spans="3:3" x14ac:dyDescent="0.2">
      <c r="C948" t="str">
        <f>IF(SpaceHeater!A948&lt;&gt;"",SpaceHeater!A948,"")</f>
        <v/>
      </c>
    </row>
    <row r="949" spans="3:3" x14ac:dyDescent="0.2">
      <c r="C949" t="str">
        <f>IF(SpaceHeater!A949&lt;&gt;"",SpaceHeater!A949,"")</f>
        <v/>
      </c>
    </row>
    <row r="950" spans="3:3" x14ac:dyDescent="0.2">
      <c r="C950" t="str">
        <f>IF(SpaceHeater!A950&lt;&gt;"",SpaceHeater!A950,"")</f>
        <v/>
      </c>
    </row>
    <row r="951" spans="3:3" x14ac:dyDescent="0.2">
      <c r="C951" t="str">
        <f>IF(SpaceHeater!A951&lt;&gt;"",SpaceHeater!A951,"")</f>
        <v/>
      </c>
    </row>
    <row r="952" spans="3:3" x14ac:dyDescent="0.2">
      <c r="C952" t="str">
        <f>IF(SpaceHeater!A952&lt;&gt;"",SpaceHeater!A952,"")</f>
        <v/>
      </c>
    </row>
    <row r="953" spans="3:3" x14ac:dyDescent="0.2">
      <c r="C953" t="str">
        <f>IF(SpaceHeater!A953&lt;&gt;"",SpaceHeater!A953,"")</f>
        <v/>
      </c>
    </row>
    <row r="954" spans="3:3" x14ac:dyDescent="0.2">
      <c r="C954" t="str">
        <f>IF(SpaceHeater!A954&lt;&gt;"",SpaceHeater!A954,"")</f>
        <v/>
      </c>
    </row>
    <row r="955" spans="3:3" x14ac:dyDescent="0.2">
      <c r="C955" t="str">
        <f>IF(SpaceHeater!A955&lt;&gt;"",SpaceHeater!A955,"")</f>
        <v/>
      </c>
    </row>
    <row r="956" spans="3:3" x14ac:dyDescent="0.2">
      <c r="C956" t="str">
        <f>IF(SpaceHeater!A956&lt;&gt;"",SpaceHeater!A956,"")</f>
        <v/>
      </c>
    </row>
    <row r="957" spans="3:3" x14ac:dyDescent="0.2">
      <c r="C957" t="str">
        <f>IF(SpaceHeater!A957&lt;&gt;"",SpaceHeater!A957,"")</f>
        <v/>
      </c>
    </row>
    <row r="958" spans="3:3" x14ac:dyDescent="0.2">
      <c r="C958" t="str">
        <f>IF(SpaceHeater!A958&lt;&gt;"",SpaceHeater!A958,"")</f>
        <v/>
      </c>
    </row>
    <row r="959" spans="3:3" x14ac:dyDescent="0.2">
      <c r="C959" t="str">
        <f>IF(SpaceHeater!A959&lt;&gt;"",SpaceHeater!A959,"")</f>
        <v/>
      </c>
    </row>
    <row r="960" spans="3:3" x14ac:dyDescent="0.2">
      <c r="C960" t="str">
        <f>IF(SpaceHeater!A960&lt;&gt;"",SpaceHeater!A960,"")</f>
        <v/>
      </c>
    </row>
    <row r="961" spans="3:3" x14ac:dyDescent="0.2">
      <c r="C961" t="str">
        <f>IF(SpaceHeater!A961&lt;&gt;"",SpaceHeater!A961,"")</f>
        <v/>
      </c>
    </row>
    <row r="962" spans="3:3" x14ac:dyDescent="0.2">
      <c r="C962" t="str">
        <f>IF(SpaceHeater!A962&lt;&gt;"",SpaceHeater!A962,"")</f>
        <v/>
      </c>
    </row>
    <row r="963" spans="3:3" x14ac:dyDescent="0.2">
      <c r="C963" t="str">
        <f>IF(SpaceHeater!A963&lt;&gt;"",SpaceHeater!A963,"")</f>
        <v/>
      </c>
    </row>
    <row r="964" spans="3:3" x14ac:dyDescent="0.2">
      <c r="C964" t="str">
        <f>IF(SpaceHeater!A964&lt;&gt;"",SpaceHeater!A964,"")</f>
        <v/>
      </c>
    </row>
    <row r="965" spans="3:3" x14ac:dyDescent="0.2">
      <c r="C965" t="str">
        <f>IF(SpaceHeater!A965&lt;&gt;"",SpaceHeater!A965,"")</f>
        <v/>
      </c>
    </row>
    <row r="966" spans="3:3" x14ac:dyDescent="0.2">
      <c r="C966" t="str">
        <f>IF(SpaceHeater!A966&lt;&gt;"",SpaceHeater!A966,"")</f>
        <v/>
      </c>
    </row>
    <row r="967" spans="3:3" x14ac:dyDescent="0.2">
      <c r="C967" t="str">
        <f>IF(SpaceHeater!A967&lt;&gt;"",SpaceHeater!A967,"")</f>
        <v/>
      </c>
    </row>
    <row r="968" spans="3:3" x14ac:dyDescent="0.2">
      <c r="C968" t="str">
        <f>IF(SpaceHeater!A968&lt;&gt;"",SpaceHeater!A968,"")</f>
        <v/>
      </c>
    </row>
    <row r="969" spans="3:3" x14ac:dyDescent="0.2">
      <c r="C969" t="str">
        <f>IF(SpaceHeater!A969&lt;&gt;"",SpaceHeater!A969,"")</f>
        <v/>
      </c>
    </row>
    <row r="970" spans="3:3" x14ac:dyDescent="0.2">
      <c r="C970" t="str">
        <f>IF(SpaceHeater!A970&lt;&gt;"",SpaceHeater!A970,"")</f>
        <v/>
      </c>
    </row>
    <row r="971" spans="3:3" x14ac:dyDescent="0.2">
      <c r="C971" t="str">
        <f>IF(SpaceHeater!A971&lt;&gt;"",SpaceHeater!A971,"")</f>
        <v/>
      </c>
    </row>
    <row r="972" spans="3:3" x14ac:dyDescent="0.2">
      <c r="C972" t="str">
        <f>IF(SpaceHeater!A972&lt;&gt;"",SpaceHeater!A972,"")</f>
        <v/>
      </c>
    </row>
    <row r="973" spans="3:3" x14ac:dyDescent="0.2">
      <c r="C973" t="str">
        <f>IF(SpaceHeater!A973&lt;&gt;"",SpaceHeater!A973,"")</f>
        <v/>
      </c>
    </row>
    <row r="974" spans="3:3" x14ac:dyDescent="0.2">
      <c r="C974" t="str">
        <f>IF(SpaceHeater!A974&lt;&gt;"",SpaceHeater!A974,"")</f>
        <v/>
      </c>
    </row>
    <row r="975" spans="3:3" x14ac:dyDescent="0.2">
      <c r="C975" t="str">
        <f>IF(SpaceHeater!A975&lt;&gt;"",SpaceHeater!A975,"")</f>
        <v/>
      </c>
    </row>
    <row r="976" spans="3:3" x14ac:dyDescent="0.2">
      <c r="C976" t="str">
        <f>IF(SpaceHeater!A976&lt;&gt;"",SpaceHeater!A976,"")</f>
        <v/>
      </c>
    </row>
    <row r="977" spans="3:3" x14ac:dyDescent="0.2">
      <c r="C977" t="str">
        <f>IF(SpaceHeater!A977&lt;&gt;"",SpaceHeater!A977,"")</f>
        <v/>
      </c>
    </row>
    <row r="978" spans="3:3" x14ac:dyDescent="0.2">
      <c r="C978" t="str">
        <f>IF(SpaceHeater!A978&lt;&gt;"",SpaceHeater!A978,"")</f>
        <v/>
      </c>
    </row>
    <row r="979" spans="3:3" x14ac:dyDescent="0.2">
      <c r="C979" t="str">
        <f>IF(SpaceHeater!A979&lt;&gt;"",SpaceHeater!A979,"")</f>
        <v/>
      </c>
    </row>
    <row r="980" spans="3:3" x14ac:dyDescent="0.2">
      <c r="C980" t="str">
        <f>IF(SpaceHeater!A980&lt;&gt;"",SpaceHeater!A980,"")</f>
        <v/>
      </c>
    </row>
    <row r="981" spans="3:3" x14ac:dyDescent="0.2">
      <c r="C981" t="str">
        <f>IF(SpaceHeater!A981&lt;&gt;"",SpaceHeater!A981,"")</f>
        <v/>
      </c>
    </row>
    <row r="982" spans="3:3" x14ac:dyDescent="0.2">
      <c r="C982" t="str">
        <f>IF(SpaceHeater!A982&lt;&gt;"",SpaceHeater!A982,"")</f>
        <v/>
      </c>
    </row>
    <row r="983" spans="3:3" x14ac:dyDescent="0.2">
      <c r="C983" t="str">
        <f>IF(SpaceHeater!A983&lt;&gt;"",SpaceHeater!A983,"")</f>
        <v/>
      </c>
    </row>
    <row r="984" spans="3:3" x14ac:dyDescent="0.2">
      <c r="C984" t="str">
        <f>IF(SpaceHeater!A984&lt;&gt;"",SpaceHeater!A984,"")</f>
        <v/>
      </c>
    </row>
    <row r="985" spans="3:3" x14ac:dyDescent="0.2">
      <c r="C985" t="str">
        <f>IF(SpaceHeater!A985&lt;&gt;"",SpaceHeater!A985,"")</f>
        <v/>
      </c>
    </row>
    <row r="986" spans="3:3" x14ac:dyDescent="0.2">
      <c r="C986" t="str">
        <f>IF(SpaceHeater!A986&lt;&gt;"",SpaceHeater!A986,"")</f>
        <v/>
      </c>
    </row>
    <row r="987" spans="3:3" x14ac:dyDescent="0.2">
      <c r="C987" t="str">
        <f>IF(SpaceHeater!A987&lt;&gt;"",SpaceHeater!A987,"")</f>
        <v/>
      </c>
    </row>
    <row r="988" spans="3:3" x14ac:dyDescent="0.2">
      <c r="C988" t="str">
        <f>IF(SpaceHeater!A988&lt;&gt;"",SpaceHeater!A988,"")</f>
        <v/>
      </c>
    </row>
    <row r="989" spans="3:3" x14ac:dyDescent="0.2">
      <c r="C989" t="str">
        <f>IF(SpaceHeater!A989&lt;&gt;"",SpaceHeater!A989,"")</f>
        <v/>
      </c>
    </row>
    <row r="990" spans="3:3" x14ac:dyDescent="0.2">
      <c r="C990" t="str">
        <f>IF(SpaceHeater!A990&lt;&gt;"",SpaceHeater!A990,"")</f>
        <v/>
      </c>
    </row>
    <row r="991" spans="3:3" x14ac:dyDescent="0.2">
      <c r="C991" t="str">
        <f>IF(SpaceHeater!A991&lt;&gt;"",SpaceHeater!A991,"")</f>
        <v/>
      </c>
    </row>
    <row r="992" spans="3:3" x14ac:dyDescent="0.2">
      <c r="C992" t="str">
        <f>IF(SpaceHeater!A992&lt;&gt;"",SpaceHeater!A992,"")</f>
        <v/>
      </c>
    </row>
    <row r="993" spans="3:3" x14ac:dyDescent="0.2">
      <c r="C993" t="str">
        <f>IF(SpaceHeater!A993&lt;&gt;"",SpaceHeater!A993,"")</f>
        <v/>
      </c>
    </row>
    <row r="994" spans="3:3" x14ac:dyDescent="0.2">
      <c r="C994" t="str">
        <f>IF(SpaceHeater!A994&lt;&gt;"",SpaceHeater!A994,"")</f>
        <v/>
      </c>
    </row>
    <row r="995" spans="3:3" x14ac:dyDescent="0.2">
      <c r="C995" t="str">
        <f>IF(SpaceHeater!A995&lt;&gt;"",SpaceHeater!A995,"")</f>
        <v/>
      </c>
    </row>
    <row r="996" spans="3:3" x14ac:dyDescent="0.2">
      <c r="C996" t="str">
        <f>IF(SpaceHeater!A996&lt;&gt;"",SpaceHeater!A996,"")</f>
        <v/>
      </c>
    </row>
    <row r="997" spans="3:3" x14ac:dyDescent="0.2">
      <c r="C997" t="str">
        <f>IF(SpaceHeater!A997&lt;&gt;"",SpaceHeater!A997,"")</f>
        <v/>
      </c>
    </row>
    <row r="998" spans="3:3" x14ac:dyDescent="0.2">
      <c r="C998" t="str">
        <f>IF(SpaceHeater!A998&lt;&gt;"",SpaceHeater!A998,"")</f>
        <v/>
      </c>
    </row>
    <row r="999" spans="3:3" x14ac:dyDescent="0.2">
      <c r="C999" t="str">
        <f>IF(SpaceHeater!A999&lt;&gt;"",SpaceHeater!A999,"")</f>
        <v/>
      </c>
    </row>
    <row r="1000" spans="3:3" x14ac:dyDescent="0.2">
      <c r="C1000" t="str">
        <f>IF(SpaceHeater!A1000&lt;&gt;"",SpaceHeater!A1000,"")</f>
        <v/>
      </c>
    </row>
  </sheetData>
  <dataValidations count="6">
    <dataValidation showInputMessage="1" showErrorMessage="1" sqref="C1001:C1048576" xr:uid="{5F303923-A133-43EE-BF6A-9A627B0041CB}"/>
    <dataValidation type="list" showInputMessage="1" showErrorMessage="1" sqref="C3:C5 C14:C1000" xr:uid="{619C179E-8A78-48AD-AB79-85B7AC4D1CCA}">
      <formula1>space_names</formula1>
    </dataValidation>
    <dataValidation type="list" allowBlank="1" showInputMessage="1" showErrorMessage="1" sqref="C2 C6:C13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E2:E1048576" xr:uid="{1D2E0CB7-91BB-43AD-B69E-CF9F03C2CEC4}">
      <formula1>property_instance</formula1>
    </dataValidation>
    <dataValidation type="list" showInputMessage="1" showErrorMessage="1" sqref="D2:D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L3"/>
  <sheetViews>
    <sheetView workbookViewId="0">
      <selection activeCell="D33" sqref="D33"/>
    </sheetView>
  </sheetViews>
  <sheetFormatPr baseColWidth="10" defaultColWidth="8.83203125" defaultRowHeight="15" x14ac:dyDescent="0.2"/>
  <cols>
    <col min="1" max="1" width="24.6640625" style="1" bestFit="1" customWidth="1"/>
    <col min="2" max="2" width="21.1640625" bestFit="1" customWidth="1"/>
    <col min="3" max="3" width="43.33203125" bestFit="1" customWidth="1"/>
    <col min="4" max="4" width="45" bestFit="1" customWidth="1"/>
    <col min="5" max="5" width="15.5" bestFit="1" customWidth="1"/>
    <col min="6" max="6" width="15.1640625" bestFit="1" customWidth="1"/>
    <col min="7" max="7" width="21.6640625" bestFit="1" customWidth="1"/>
    <col min="8" max="8" width="25.5" bestFit="1" customWidth="1"/>
    <col min="9" max="9" width="10.5" bestFit="1" customWidth="1"/>
    <col min="10" max="10" width="25.5" bestFit="1" customWidth="1"/>
    <col min="11" max="11" width="25.1640625" bestFit="1" customWidth="1"/>
    <col min="12" max="12" width="14.83203125" bestFit="1" customWidth="1"/>
  </cols>
  <sheetData>
    <row r="1" spans="1:12" ht="16" thickBot="1" x14ac:dyDescent="0.25">
      <c r="A1" s="6" t="s">
        <v>60</v>
      </c>
      <c r="B1" s="3" t="s">
        <v>58</v>
      </c>
      <c r="C1" s="11" t="s">
        <v>92</v>
      </c>
      <c r="D1" s="11" t="s">
        <v>77</v>
      </c>
      <c r="E1" s="3" t="s">
        <v>23</v>
      </c>
      <c r="F1" s="2" t="s">
        <v>161</v>
      </c>
      <c r="G1" s="2" t="s">
        <v>162</v>
      </c>
      <c r="H1" s="3" t="s">
        <v>163</v>
      </c>
      <c r="I1" s="11" t="s">
        <v>164</v>
      </c>
      <c r="J1" s="2" t="s">
        <v>37</v>
      </c>
      <c r="K1" s="2" t="s">
        <v>38</v>
      </c>
      <c r="L1" s="2" t="s">
        <v>11</v>
      </c>
    </row>
    <row r="2" spans="1:12" x14ac:dyDescent="0.2">
      <c r="A2" s="18" t="s">
        <v>110</v>
      </c>
      <c r="B2" t="s">
        <v>114</v>
      </c>
      <c r="C2" s="7" t="s">
        <v>135</v>
      </c>
      <c r="D2" s="7" t="s">
        <v>136</v>
      </c>
      <c r="E2">
        <v>3.0555555555555558</v>
      </c>
      <c r="H2">
        <v>62260</v>
      </c>
      <c r="I2" s="19"/>
    </row>
    <row r="3" spans="1:12" x14ac:dyDescent="0.2">
      <c r="A3" s="1" t="s">
        <v>112</v>
      </c>
      <c r="B3" t="s">
        <v>115</v>
      </c>
      <c r="C3" t="s">
        <v>130</v>
      </c>
      <c r="D3" t="s">
        <v>137</v>
      </c>
      <c r="E3">
        <v>3.0555555555555558</v>
      </c>
      <c r="H3">
        <v>23860</v>
      </c>
      <c r="I3" s="19"/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D2:D1048576" xr:uid="{715748BA-3B18-4CDA-8BC1-2FA73F7B2E8A}">
      <formula1>property_instance</formula1>
    </dataValidation>
    <dataValidation type="list" showInputMessage="1" showErrorMessage="1" sqref="C2:C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L11"/>
  <sheetViews>
    <sheetView topLeftCell="I1" workbookViewId="0">
      <selection activeCell="D3" sqref="D3"/>
    </sheetView>
  </sheetViews>
  <sheetFormatPr baseColWidth="10" defaultColWidth="8.83203125" defaultRowHeight="15" x14ac:dyDescent="0.2"/>
  <cols>
    <col min="1" max="1" width="27.1640625" style="1" bestFit="1" customWidth="1"/>
    <col min="2" max="2" width="18" bestFit="1" customWidth="1"/>
    <col min="3" max="3" width="26.5" bestFit="1" customWidth="1"/>
    <col min="4" max="4" width="123.5" bestFit="1" customWidth="1"/>
    <col min="5" max="5" width="10.5" bestFit="1" customWidth="1"/>
    <col min="6" max="6" width="22" bestFit="1" customWidth="1"/>
    <col min="7" max="7" width="25.5" bestFit="1" customWidth="1"/>
    <col min="8" max="8" width="25.1640625" bestFit="1" customWidth="1"/>
    <col min="9" max="9" width="22.83203125" bestFit="1" customWidth="1"/>
    <col min="10" max="10" width="22.5" bestFit="1" customWidth="1"/>
    <col min="11" max="11" width="25" bestFit="1" customWidth="1"/>
    <col min="12" max="13" width="24.6640625" bestFit="1" customWidth="1"/>
  </cols>
  <sheetData>
    <row r="1" spans="1:12" ht="16" thickBot="1" x14ac:dyDescent="0.25">
      <c r="A1" s="6" t="s">
        <v>60</v>
      </c>
      <c r="B1" s="3" t="s">
        <v>58</v>
      </c>
      <c r="C1" s="11" t="s">
        <v>92</v>
      </c>
      <c r="D1" s="11" t="s">
        <v>77</v>
      </c>
      <c r="E1" s="2" t="s">
        <v>49</v>
      </c>
      <c r="F1" s="2" t="s">
        <v>50</v>
      </c>
      <c r="G1" s="2" t="s">
        <v>37</v>
      </c>
      <c r="H1" s="2" t="s">
        <v>38</v>
      </c>
      <c r="I1" s="3" t="s">
        <v>51</v>
      </c>
      <c r="J1" s="2" t="s">
        <v>52</v>
      </c>
      <c r="K1" s="3" t="s">
        <v>53</v>
      </c>
      <c r="L1" s="2" t="s">
        <v>54</v>
      </c>
    </row>
    <row r="2" spans="1:12" x14ac:dyDescent="0.2">
      <c r="A2" s="1" t="s">
        <v>128</v>
      </c>
      <c r="B2" t="s">
        <v>90</v>
      </c>
      <c r="C2" t="s">
        <v>183</v>
      </c>
      <c r="D2" s="7" t="s">
        <v>184</v>
      </c>
      <c r="G2">
        <v>22</v>
      </c>
      <c r="H2">
        <v>-8.5</v>
      </c>
      <c r="I2">
        <v>3.0555555555555558</v>
      </c>
      <c r="K2">
        <v>3.0555555555555558</v>
      </c>
    </row>
    <row r="8" spans="1:12" x14ac:dyDescent="0.2">
      <c r="F8" s="7"/>
    </row>
    <row r="9" spans="1:12" x14ac:dyDescent="0.2">
      <c r="F9" s="7"/>
    </row>
    <row r="10" spans="1:12" x14ac:dyDescent="0.2">
      <c r="F10" s="7"/>
    </row>
    <row r="11" spans="1:12" x14ac:dyDescent="0.2">
      <c r="F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D3:D1048576" xr:uid="{7B0207D7-F0F5-45A7-B38C-70BCADF38C7F}"/>
    <dataValidation type="list" showInputMessage="1" showErrorMessage="1" sqref="C2:C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N3"/>
  <sheetViews>
    <sheetView topLeftCell="B1" workbookViewId="0">
      <selection activeCell="D2" sqref="D2"/>
    </sheetView>
  </sheetViews>
  <sheetFormatPr baseColWidth="10" defaultColWidth="8.83203125" defaultRowHeight="15" x14ac:dyDescent="0.2"/>
  <cols>
    <col min="1" max="1" width="22.5" style="1" bestFit="1" customWidth="1"/>
    <col min="2" max="2" width="18" bestFit="1" customWidth="1"/>
    <col min="3" max="3" width="46.1640625" customWidth="1"/>
    <col min="4" max="4" width="47.33203125" bestFit="1" customWidth="1"/>
    <col min="5" max="5" width="19.33203125" bestFit="1" customWidth="1"/>
    <col min="6" max="6" width="15.5" bestFit="1" customWidth="1"/>
    <col min="7" max="7" width="19.5" bestFit="1" customWidth="1"/>
    <col min="8" max="8" width="18.33203125" bestFit="1" customWidth="1"/>
    <col min="9" max="9" width="21.83203125" bestFit="1" customWidth="1"/>
    <col min="10" max="10" width="21.1640625" bestFit="1" customWidth="1"/>
    <col min="11" max="11" width="20.6640625" bestFit="1" customWidth="1"/>
    <col min="12" max="12" width="25.5" bestFit="1" customWidth="1"/>
    <col min="13" max="13" width="25.1640625" bestFit="1" customWidth="1"/>
    <col min="14" max="14" width="18" bestFit="1" customWidth="1"/>
  </cols>
  <sheetData>
    <row r="1" spans="1:14" ht="16" thickBot="1" x14ac:dyDescent="0.25">
      <c r="A1" s="6" t="s">
        <v>60</v>
      </c>
      <c r="B1" s="3" t="s">
        <v>58</v>
      </c>
      <c r="C1" s="11" t="s">
        <v>92</v>
      </c>
      <c r="D1" s="11" t="s">
        <v>77</v>
      </c>
      <c r="E1" s="2" t="s">
        <v>42</v>
      </c>
      <c r="F1" s="2" t="s">
        <v>43</v>
      </c>
      <c r="G1" s="3" t="s">
        <v>33</v>
      </c>
      <c r="H1" s="3" t="s">
        <v>44</v>
      </c>
      <c r="I1" s="2" t="s">
        <v>45</v>
      </c>
      <c r="J1" s="2" t="s">
        <v>46</v>
      </c>
      <c r="K1" s="2" t="s">
        <v>47</v>
      </c>
      <c r="L1" s="2" t="s">
        <v>37</v>
      </c>
      <c r="M1" s="2" t="s">
        <v>38</v>
      </c>
      <c r="N1" s="2" t="s">
        <v>48</v>
      </c>
    </row>
    <row r="2" spans="1:14" x14ac:dyDescent="0.2">
      <c r="A2" s="1" t="s">
        <v>130</v>
      </c>
      <c r="B2" t="s">
        <v>90</v>
      </c>
      <c r="C2" t="s">
        <v>133</v>
      </c>
      <c r="D2" t="s">
        <v>179</v>
      </c>
      <c r="G2">
        <v>3.0555555555555558</v>
      </c>
      <c r="H2">
        <v>3.07</v>
      </c>
    </row>
    <row r="3" spans="1:14" x14ac:dyDescent="0.2">
      <c r="A3" s="1" t="s">
        <v>142</v>
      </c>
      <c r="B3" t="s">
        <v>90</v>
      </c>
      <c r="C3" t="s">
        <v>141</v>
      </c>
      <c r="D3" t="s">
        <v>180</v>
      </c>
      <c r="G3">
        <v>3.0555555555555558</v>
      </c>
      <c r="H3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D2:D1048576" xr:uid="{345821BA-D34E-4327-8CDA-F37CFCAF3794}">
      <formula1>property_instance</formula1>
    </dataValidation>
    <dataValidation type="list" showInputMessage="1" showErrorMessage="1" sqref="C2:C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workbookViewId="0">
      <selection activeCell="A16" sqref="A16:D17"/>
    </sheetView>
  </sheetViews>
  <sheetFormatPr baseColWidth="10" defaultColWidth="8.83203125" defaultRowHeight="15" x14ac:dyDescent="0.2"/>
  <cols>
    <col min="1" max="1" width="27.83203125" bestFit="1" customWidth="1"/>
    <col min="2" max="2" width="26" customWidth="1"/>
    <col min="3" max="3" width="18" bestFit="1" customWidth="1"/>
    <col min="4" max="4" width="31.5" bestFit="1" customWidth="1"/>
  </cols>
  <sheetData>
    <row r="1" spans="1:7" ht="16" thickBot="1" x14ac:dyDescent="0.25">
      <c r="A1" s="6" t="s">
        <v>60</v>
      </c>
      <c r="B1" s="3" t="s">
        <v>58</v>
      </c>
      <c r="C1" s="3" t="s">
        <v>59</v>
      </c>
      <c r="D1" s="3" t="s">
        <v>62</v>
      </c>
      <c r="E1" s="4"/>
      <c r="F1" s="4"/>
      <c r="G1" s="4"/>
    </row>
    <row r="2" spans="1:7" x14ac:dyDescent="0.2">
      <c r="A2" s="1" t="s">
        <v>101</v>
      </c>
      <c r="B2" t="s">
        <v>90</v>
      </c>
      <c r="C2" t="s">
        <v>88</v>
      </c>
      <c r="D2" t="s">
        <v>106</v>
      </c>
    </row>
    <row r="3" spans="1:7" x14ac:dyDescent="0.2">
      <c r="A3" s="1" t="s">
        <v>102</v>
      </c>
      <c r="B3" t="s">
        <v>90</v>
      </c>
      <c r="C3" t="s">
        <v>88</v>
      </c>
      <c r="D3" t="s">
        <v>108</v>
      </c>
    </row>
    <row r="4" spans="1:7" x14ac:dyDescent="0.2">
      <c r="A4" s="1" t="s">
        <v>280</v>
      </c>
      <c r="B4" t="s">
        <v>90</v>
      </c>
      <c r="C4" t="s">
        <v>186</v>
      </c>
      <c r="D4" t="s">
        <v>191</v>
      </c>
    </row>
    <row r="5" spans="1:7" x14ac:dyDescent="0.2">
      <c r="A5" s="1" t="s">
        <v>281</v>
      </c>
      <c r="B5" t="s">
        <v>90</v>
      </c>
      <c r="C5" t="s">
        <v>186</v>
      </c>
      <c r="D5" t="s">
        <v>187</v>
      </c>
    </row>
    <row r="6" spans="1:7" x14ac:dyDescent="0.2">
      <c r="A6" s="1" t="s">
        <v>282</v>
      </c>
      <c r="B6" t="s">
        <v>90</v>
      </c>
      <c r="C6" t="s">
        <v>254</v>
      </c>
      <c r="D6" t="s">
        <v>203</v>
      </c>
    </row>
    <row r="7" spans="1:7" x14ac:dyDescent="0.2">
      <c r="A7" s="1" t="s">
        <v>283</v>
      </c>
      <c r="B7" t="s">
        <v>90</v>
      </c>
      <c r="C7" t="s">
        <v>254</v>
      </c>
      <c r="D7" t="s">
        <v>199</v>
      </c>
    </row>
    <row r="8" spans="1:7" x14ac:dyDescent="0.2">
      <c r="A8" s="1" t="s">
        <v>284</v>
      </c>
      <c r="B8" t="s">
        <v>90</v>
      </c>
      <c r="C8" t="s">
        <v>258</v>
      </c>
      <c r="D8" t="s">
        <v>208</v>
      </c>
    </row>
    <row r="9" spans="1:7" x14ac:dyDescent="0.2">
      <c r="A9" s="1" t="s">
        <v>285</v>
      </c>
      <c r="B9" t="s">
        <v>90</v>
      </c>
      <c r="C9" t="s">
        <v>258</v>
      </c>
      <c r="D9" t="s">
        <v>204</v>
      </c>
    </row>
    <row r="10" spans="1:7" x14ac:dyDescent="0.2">
      <c r="A10" s="1" t="s">
        <v>301</v>
      </c>
      <c r="B10" t="s">
        <v>90</v>
      </c>
      <c r="C10" t="s">
        <v>295</v>
      </c>
      <c r="D10" t="s">
        <v>223</v>
      </c>
    </row>
    <row r="11" spans="1:7" x14ac:dyDescent="0.2">
      <c r="A11" s="1" t="s">
        <v>302</v>
      </c>
      <c r="B11" t="s">
        <v>90</v>
      </c>
      <c r="C11" t="s">
        <v>295</v>
      </c>
      <c r="D11" t="s">
        <v>219</v>
      </c>
    </row>
    <row r="12" spans="1:7" x14ac:dyDescent="0.2">
      <c r="A12" s="1" t="s">
        <v>353</v>
      </c>
      <c r="B12" t="s">
        <v>90</v>
      </c>
      <c r="C12" t="s">
        <v>347</v>
      </c>
      <c r="D12" t="s">
        <v>238</v>
      </c>
    </row>
    <row r="13" spans="1:7" x14ac:dyDescent="0.2">
      <c r="A13" s="1" t="s">
        <v>354</v>
      </c>
      <c r="B13" t="s">
        <v>90</v>
      </c>
      <c r="C13" t="s">
        <v>347</v>
      </c>
      <c r="D13" t="s">
        <v>234</v>
      </c>
    </row>
    <row r="14" spans="1:7" x14ac:dyDescent="0.2">
      <c r="A14" s="1" t="s">
        <v>365</v>
      </c>
      <c r="B14" t="s">
        <v>90</v>
      </c>
      <c r="C14" t="s">
        <v>359</v>
      </c>
      <c r="D14" t="s">
        <v>248</v>
      </c>
    </row>
    <row r="15" spans="1:7" x14ac:dyDescent="0.2">
      <c r="A15" s="1" t="s">
        <v>366</v>
      </c>
      <c r="B15" t="s">
        <v>90</v>
      </c>
      <c r="C15" t="s">
        <v>359</v>
      </c>
      <c r="D15" t="s">
        <v>244</v>
      </c>
    </row>
    <row r="16" spans="1:7" x14ac:dyDescent="0.2">
      <c r="A16" s="1" t="s">
        <v>377</v>
      </c>
      <c r="B16" t="s">
        <v>90</v>
      </c>
      <c r="C16" t="s">
        <v>371</v>
      </c>
      <c r="D16" t="s">
        <v>253</v>
      </c>
    </row>
    <row r="17" spans="1:4" x14ac:dyDescent="0.2">
      <c r="A17" s="1" t="s">
        <v>378</v>
      </c>
      <c r="B17" t="s">
        <v>90</v>
      </c>
      <c r="C17" t="s">
        <v>371</v>
      </c>
      <c r="D17" t="s">
        <v>249</v>
      </c>
    </row>
    <row r="18" spans="1:4" x14ac:dyDescent="0.2">
      <c r="A18" s="1"/>
    </row>
    <row r="19" spans="1:4" x14ac:dyDescent="0.2">
      <c r="A19" s="1"/>
    </row>
    <row r="20" spans="1:4" x14ac:dyDescent="0.2">
      <c r="A20" s="1"/>
    </row>
    <row r="21" spans="1:4" x14ac:dyDescent="0.2">
      <c r="A21" s="1"/>
    </row>
    <row r="22" spans="1:4" x14ac:dyDescent="0.2">
      <c r="A22" s="1"/>
    </row>
    <row r="23" spans="1:4" x14ac:dyDescent="0.2">
      <c r="A23" s="1"/>
    </row>
    <row r="24" spans="1:4" x14ac:dyDescent="0.2">
      <c r="A24" s="1"/>
    </row>
    <row r="25" spans="1:4" x14ac:dyDescent="0.2">
      <c r="A25" s="1"/>
    </row>
    <row r="26" spans="1:4" x14ac:dyDescent="0.2">
      <c r="A26" s="1"/>
    </row>
    <row r="27" spans="1:4" x14ac:dyDescent="0.2">
      <c r="A27" s="1"/>
    </row>
    <row r="28" spans="1:4" x14ac:dyDescent="0.2">
      <c r="A28" s="1"/>
    </row>
    <row r="29" spans="1:4" x14ac:dyDescent="0.2">
      <c r="A29" s="1"/>
    </row>
    <row r="30" spans="1:4" x14ac:dyDescent="0.2">
      <c r="A30" s="1"/>
    </row>
    <row r="31" spans="1:4" x14ac:dyDescent="0.2">
      <c r="A31" s="1"/>
    </row>
    <row r="32" spans="1:4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7" x14ac:dyDescent="0.2">
      <c r="A177" s="1"/>
    </row>
    <row r="178" spans="1:7" x14ac:dyDescent="0.2">
      <c r="A178" s="1"/>
    </row>
    <row r="179" spans="1:7" x14ac:dyDescent="0.2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0">IF(D179="T", 0.05, IF(D179="C", -0.01, ""))</f>
        <v/>
      </c>
      <c r="F179" t="str">
        <f t="shared" ref="F179:F198" ca="1" si="1">IF(D179="T", 0.05, IF(D179="C", 0, ""))</f>
        <v/>
      </c>
      <c r="G179" t="str">
        <f t="shared" ref="G179:G198" ca="1" si="2">IF(D179="T", 0, IF(D179="C", 0, ""))</f>
        <v/>
      </c>
    </row>
    <row r="180" spans="1:7" x14ac:dyDescent="0.2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3">IF(D199="T", 0.05, IF(D199="C", -0.01, ""))</f>
        <v/>
      </c>
      <c r="F199" t="str">
        <f t="shared" ref="F199:F262" ca="1" si="4">IF(D199="T", 0.05, IF(D199="C", 0, ""))</f>
        <v/>
      </c>
      <c r="G199" t="str">
        <f t="shared" ref="G199:G262" ca="1" si="5">IF(D199="T", 0, IF(D199="C", 0, ""))</f>
        <v/>
      </c>
    </row>
    <row r="200" spans="1:7" x14ac:dyDescent="0.2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3"/>
        <v/>
      </c>
      <c r="F200" t="str">
        <f t="shared" ca="1" si="4"/>
        <v/>
      </c>
      <c r="G200" t="str">
        <f t="shared" ca="1" si="5"/>
        <v/>
      </c>
    </row>
    <row r="201" spans="1:7" x14ac:dyDescent="0.2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3"/>
        <v/>
      </c>
      <c r="F201" t="str">
        <f t="shared" ca="1" si="4"/>
        <v/>
      </c>
      <c r="G201" t="str">
        <f t="shared" ca="1" si="5"/>
        <v/>
      </c>
    </row>
    <row r="202" spans="1:7" x14ac:dyDescent="0.2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3"/>
        <v/>
      </c>
      <c r="F202" t="str">
        <f t="shared" ca="1" si="4"/>
        <v/>
      </c>
      <c r="G202" t="str">
        <f t="shared" ca="1" si="5"/>
        <v/>
      </c>
    </row>
    <row r="203" spans="1:7" x14ac:dyDescent="0.2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3"/>
        <v/>
      </c>
      <c r="F203" t="str">
        <f t="shared" ca="1" si="4"/>
        <v/>
      </c>
      <c r="G203" t="str">
        <f t="shared" ca="1" si="5"/>
        <v/>
      </c>
    </row>
    <row r="204" spans="1:7" x14ac:dyDescent="0.2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3"/>
        <v/>
      </c>
      <c r="F204" t="str">
        <f t="shared" ca="1" si="4"/>
        <v/>
      </c>
      <c r="G204" t="str">
        <f t="shared" ca="1" si="5"/>
        <v/>
      </c>
    </row>
    <row r="205" spans="1:7" x14ac:dyDescent="0.2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3"/>
        <v/>
      </c>
      <c r="F205" t="str">
        <f t="shared" ca="1" si="4"/>
        <v/>
      </c>
      <c r="G205" t="str">
        <f t="shared" ca="1" si="5"/>
        <v/>
      </c>
    </row>
    <row r="206" spans="1:7" x14ac:dyDescent="0.2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3"/>
        <v/>
      </c>
      <c r="F206" t="str">
        <f t="shared" ca="1" si="4"/>
        <v/>
      </c>
      <c r="G206" t="str">
        <f t="shared" ca="1" si="5"/>
        <v/>
      </c>
    </row>
    <row r="207" spans="1:7" x14ac:dyDescent="0.2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3"/>
        <v/>
      </c>
      <c r="F207" t="str">
        <f t="shared" ca="1" si="4"/>
        <v/>
      </c>
      <c r="G207" t="str">
        <f t="shared" ca="1" si="5"/>
        <v/>
      </c>
    </row>
    <row r="208" spans="1:7" x14ac:dyDescent="0.2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3"/>
        <v/>
      </c>
      <c r="F208" t="str">
        <f t="shared" ca="1" si="4"/>
        <v/>
      </c>
      <c r="G208" t="str">
        <f t="shared" ca="1" si="5"/>
        <v/>
      </c>
    </row>
    <row r="209" spans="1:7" x14ac:dyDescent="0.2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3"/>
        <v/>
      </c>
      <c r="F209" t="str">
        <f t="shared" ca="1" si="4"/>
        <v/>
      </c>
      <c r="G209" t="str">
        <f t="shared" ca="1" si="5"/>
        <v/>
      </c>
    </row>
    <row r="210" spans="1:7" x14ac:dyDescent="0.2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3"/>
        <v/>
      </c>
      <c r="F210" t="str">
        <f t="shared" ca="1" si="4"/>
        <v/>
      </c>
      <c r="G210" t="str">
        <f t="shared" ca="1" si="5"/>
        <v/>
      </c>
    </row>
    <row r="211" spans="1:7" x14ac:dyDescent="0.2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3"/>
        <v/>
      </c>
      <c r="F211" t="str">
        <f t="shared" ca="1" si="4"/>
        <v/>
      </c>
      <c r="G211" t="str">
        <f t="shared" ca="1" si="5"/>
        <v/>
      </c>
    </row>
    <row r="212" spans="1:7" x14ac:dyDescent="0.2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3"/>
        <v/>
      </c>
      <c r="F212" t="str">
        <f t="shared" ca="1" si="4"/>
        <v/>
      </c>
      <c r="G212" t="str">
        <f t="shared" ca="1" si="5"/>
        <v/>
      </c>
    </row>
    <row r="213" spans="1:7" x14ac:dyDescent="0.2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3"/>
        <v/>
      </c>
      <c r="F213" t="str">
        <f t="shared" ca="1" si="4"/>
        <v/>
      </c>
      <c r="G213" t="str">
        <f t="shared" ca="1" si="5"/>
        <v/>
      </c>
    </row>
    <row r="214" spans="1:7" x14ac:dyDescent="0.2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3"/>
        <v/>
      </c>
      <c r="F214" t="str">
        <f t="shared" ca="1" si="4"/>
        <v/>
      </c>
      <c r="G214" t="str">
        <f t="shared" ca="1" si="5"/>
        <v/>
      </c>
    </row>
    <row r="215" spans="1:7" x14ac:dyDescent="0.2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3"/>
        <v/>
      </c>
      <c r="F215" t="str">
        <f t="shared" ca="1" si="4"/>
        <v/>
      </c>
      <c r="G215" t="str">
        <f t="shared" ca="1" si="5"/>
        <v/>
      </c>
    </row>
    <row r="216" spans="1:7" x14ac:dyDescent="0.2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3"/>
        <v/>
      </c>
      <c r="F216" t="str">
        <f t="shared" ca="1" si="4"/>
        <v/>
      </c>
      <c r="G216" t="str">
        <f t="shared" ca="1" si="5"/>
        <v/>
      </c>
    </row>
    <row r="217" spans="1:7" x14ac:dyDescent="0.2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3"/>
        <v/>
      </c>
      <c r="F217" t="str">
        <f t="shared" ca="1" si="4"/>
        <v/>
      </c>
      <c r="G217" t="str">
        <f t="shared" ca="1" si="5"/>
        <v/>
      </c>
    </row>
    <row r="218" spans="1:7" x14ac:dyDescent="0.2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3"/>
        <v/>
      </c>
      <c r="F218" t="str">
        <f t="shared" ca="1" si="4"/>
        <v/>
      </c>
      <c r="G218" t="str">
        <f t="shared" ca="1" si="5"/>
        <v/>
      </c>
    </row>
    <row r="219" spans="1:7" x14ac:dyDescent="0.2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3"/>
        <v/>
      </c>
      <c r="F219" t="str">
        <f t="shared" ca="1" si="4"/>
        <v/>
      </c>
      <c r="G219" t="str">
        <f t="shared" ca="1" si="5"/>
        <v/>
      </c>
    </row>
    <row r="220" spans="1:7" x14ac:dyDescent="0.2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3"/>
        <v/>
      </c>
      <c r="F220" t="str">
        <f t="shared" ca="1" si="4"/>
        <v/>
      </c>
      <c r="G220" t="str">
        <f t="shared" ca="1" si="5"/>
        <v/>
      </c>
    </row>
    <row r="221" spans="1:7" x14ac:dyDescent="0.2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3"/>
        <v/>
      </c>
      <c r="F221" t="str">
        <f t="shared" ca="1" si="4"/>
        <v/>
      </c>
      <c r="G221" t="str">
        <f t="shared" ca="1" si="5"/>
        <v/>
      </c>
    </row>
    <row r="222" spans="1:7" x14ac:dyDescent="0.2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3"/>
        <v/>
      </c>
      <c r="F222" t="str">
        <f t="shared" ca="1" si="4"/>
        <v/>
      </c>
      <c r="G222" t="str">
        <f t="shared" ca="1" si="5"/>
        <v/>
      </c>
    </row>
    <row r="223" spans="1:7" x14ac:dyDescent="0.2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3"/>
        <v/>
      </c>
      <c r="F223" t="str">
        <f t="shared" ca="1" si="4"/>
        <v/>
      </c>
      <c r="G223" t="str">
        <f t="shared" ca="1" si="5"/>
        <v/>
      </c>
    </row>
    <row r="224" spans="1:7" x14ac:dyDescent="0.2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3"/>
        <v/>
      </c>
      <c r="F224" t="str">
        <f t="shared" ca="1" si="4"/>
        <v/>
      </c>
      <c r="G224" t="str">
        <f t="shared" ca="1" si="5"/>
        <v/>
      </c>
    </row>
    <row r="225" spans="1:7" x14ac:dyDescent="0.2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3"/>
        <v/>
      </c>
      <c r="F225" t="str">
        <f t="shared" ca="1" si="4"/>
        <v/>
      </c>
      <c r="G225" t="str">
        <f t="shared" ca="1" si="5"/>
        <v/>
      </c>
    </row>
    <row r="226" spans="1:7" x14ac:dyDescent="0.2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3"/>
        <v/>
      </c>
      <c r="F226" t="str">
        <f t="shared" ca="1" si="4"/>
        <v/>
      </c>
      <c r="G226" t="str">
        <f t="shared" ca="1" si="5"/>
        <v/>
      </c>
    </row>
    <row r="227" spans="1:7" x14ac:dyDescent="0.2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3"/>
        <v/>
      </c>
      <c r="F227" t="str">
        <f t="shared" ca="1" si="4"/>
        <v/>
      </c>
      <c r="G227" t="str">
        <f t="shared" ca="1" si="5"/>
        <v/>
      </c>
    </row>
    <row r="228" spans="1:7" x14ac:dyDescent="0.2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3"/>
        <v/>
      </c>
      <c r="F228" t="str">
        <f t="shared" ca="1" si="4"/>
        <v/>
      </c>
      <c r="G228" t="str">
        <f t="shared" ca="1" si="5"/>
        <v/>
      </c>
    </row>
    <row r="229" spans="1:7" x14ac:dyDescent="0.2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3"/>
        <v/>
      </c>
      <c r="F229" t="str">
        <f t="shared" ca="1" si="4"/>
        <v/>
      </c>
      <c r="G229" t="str">
        <f t="shared" ca="1" si="5"/>
        <v/>
      </c>
    </row>
    <row r="230" spans="1:7" x14ac:dyDescent="0.2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3"/>
        <v/>
      </c>
      <c r="F230" t="str">
        <f t="shared" ca="1" si="4"/>
        <v/>
      </c>
      <c r="G230" t="str">
        <f t="shared" ca="1" si="5"/>
        <v/>
      </c>
    </row>
    <row r="231" spans="1:7" x14ac:dyDescent="0.2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3"/>
        <v/>
      </c>
      <c r="F231" t="str">
        <f t="shared" ca="1" si="4"/>
        <v/>
      </c>
      <c r="G231" t="str">
        <f t="shared" ca="1" si="5"/>
        <v/>
      </c>
    </row>
    <row r="232" spans="1:7" x14ac:dyDescent="0.2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3"/>
        <v/>
      </c>
      <c r="F232" t="str">
        <f t="shared" ca="1" si="4"/>
        <v/>
      </c>
      <c r="G232" t="str">
        <f t="shared" ca="1" si="5"/>
        <v/>
      </c>
    </row>
    <row r="233" spans="1:7" x14ac:dyDescent="0.2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3"/>
        <v/>
      </c>
      <c r="F233" t="str">
        <f t="shared" ca="1" si="4"/>
        <v/>
      </c>
      <c r="G233" t="str">
        <f t="shared" ca="1" si="5"/>
        <v/>
      </c>
    </row>
    <row r="234" spans="1:7" x14ac:dyDescent="0.2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3"/>
        <v/>
      </c>
      <c r="F234" t="str">
        <f t="shared" ca="1" si="4"/>
        <v/>
      </c>
      <c r="G234" t="str">
        <f t="shared" ca="1" si="5"/>
        <v/>
      </c>
    </row>
    <row r="235" spans="1:7" x14ac:dyDescent="0.2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3"/>
        <v/>
      </c>
      <c r="F235" t="str">
        <f t="shared" ca="1" si="4"/>
        <v/>
      </c>
      <c r="G235" t="str">
        <f t="shared" ca="1" si="5"/>
        <v/>
      </c>
    </row>
    <row r="236" spans="1:7" x14ac:dyDescent="0.2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3"/>
        <v/>
      </c>
      <c r="F236" t="str">
        <f t="shared" ca="1" si="4"/>
        <v/>
      </c>
      <c r="G236" t="str">
        <f t="shared" ca="1" si="5"/>
        <v/>
      </c>
    </row>
    <row r="237" spans="1:7" x14ac:dyDescent="0.2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3"/>
        <v/>
      </c>
      <c r="F237" t="str">
        <f t="shared" ca="1" si="4"/>
        <v/>
      </c>
      <c r="G237" t="str">
        <f t="shared" ca="1" si="5"/>
        <v/>
      </c>
    </row>
    <row r="238" spans="1:7" x14ac:dyDescent="0.2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3"/>
        <v/>
      </c>
      <c r="F238" t="str">
        <f t="shared" ca="1" si="4"/>
        <v/>
      </c>
      <c r="G238" t="str">
        <f t="shared" ca="1" si="5"/>
        <v/>
      </c>
    </row>
    <row r="239" spans="1:7" x14ac:dyDescent="0.2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2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2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2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2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2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6">IF(D263="T", 0.05, IF(D263="C", -0.01, ""))</f>
        <v/>
      </c>
      <c r="F263" t="str">
        <f t="shared" ref="F263:F326" ca="1" si="7">IF(D263="T", 0.05, IF(D263="C", 0, ""))</f>
        <v/>
      </c>
      <c r="G263" t="str">
        <f t="shared" ref="G263:G326" ca="1" si="8">IF(D263="T", 0, IF(D263="C", 0, ""))</f>
        <v/>
      </c>
    </row>
    <row r="264" spans="1:7" x14ac:dyDescent="0.2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6"/>
        <v/>
      </c>
      <c r="F264" t="str">
        <f t="shared" ca="1" si="7"/>
        <v/>
      </c>
      <c r="G264" t="str">
        <f t="shared" ca="1" si="8"/>
        <v/>
      </c>
    </row>
    <row r="265" spans="1:7" x14ac:dyDescent="0.2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6"/>
        <v/>
      </c>
      <c r="F265" t="str">
        <f t="shared" ca="1" si="7"/>
        <v/>
      </c>
      <c r="G265" t="str">
        <f t="shared" ca="1" si="8"/>
        <v/>
      </c>
    </row>
    <row r="266" spans="1:7" x14ac:dyDescent="0.2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6"/>
        <v/>
      </c>
      <c r="F266" t="str">
        <f t="shared" ca="1" si="7"/>
        <v/>
      </c>
      <c r="G266" t="str">
        <f t="shared" ca="1" si="8"/>
        <v/>
      </c>
    </row>
    <row r="267" spans="1:7" x14ac:dyDescent="0.2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6"/>
        <v/>
      </c>
      <c r="F267" t="str">
        <f t="shared" ca="1" si="7"/>
        <v/>
      </c>
      <c r="G267" t="str">
        <f t="shared" ca="1" si="8"/>
        <v/>
      </c>
    </row>
    <row r="268" spans="1:7" x14ac:dyDescent="0.2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6"/>
        <v/>
      </c>
      <c r="F268" t="str">
        <f t="shared" ca="1" si="7"/>
        <v/>
      </c>
      <c r="G268" t="str">
        <f t="shared" ca="1" si="8"/>
        <v/>
      </c>
    </row>
    <row r="269" spans="1:7" x14ac:dyDescent="0.2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6"/>
        <v/>
      </c>
      <c r="F269" t="str">
        <f t="shared" ca="1" si="7"/>
        <v/>
      </c>
      <c r="G269" t="str">
        <f t="shared" ca="1" si="8"/>
        <v/>
      </c>
    </row>
    <row r="270" spans="1:7" x14ac:dyDescent="0.2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6"/>
        <v/>
      </c>
      <c r="F270" t="str">
        <f t="shared" ca="1" si="7"/>
        <v/>
      </c>
      <c r="G270" t="str">
        <f t="shared" ca="1" si="8"/>
        <v/>
      </c>
    </row>
    <row r="271" spans="1:7" x14ac:dyDescent="0.2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6"/>
        <v/>
      </c>
      <c r="F271" t="str">
        <f t="shared" ca="1" si="7"/>
        <v/>
      </c>
      <c r="G271" t="str">
        <f t="shared" ca="1" si="8"/>
        <v/>
      </c>
    </row>
    <row r="272" spans="1:7" x14ac:dyDescent="0.2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6"/>
        <v/>
      </c>
      <c r="F272" t="str">
        <f t="shared" ca="1" si="7"/>
        <v/>
      </c>
      <c r="G272" t="str">
        <f t="shared" ca="1" si="8"/>
        <v/>
      </c>
    </row>
    <row r="273" spans="1:7" x14ac:dyDescent="0.2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6"/>
        <v/>
      </c>
      <c r="F273" t="str">
        <f t="shared" ca="1" si="7"/>
        <v/>
      </c>
      <c r="G273" t="str">
        <f t="shared" ca="1" si="8"/>
        <v/>
      </c>
    </row>
    <row r="274" spans="1:7" x14ac:dyDescent="0.2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6"/>
        <v/>
      </c>
      <c r="F274" t="str">
        <f t="shared" ca="1" si="7"/>
        <v/>
      </c>
      <c r="G274" t="str">
        <f t="shared" ca="1" si="8"/>
        <v/>
      </c>
    </row>
    <row r="275" spans="1:7" x14ac:dyDescent="0.2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6"/>
        <v/>
      </c>
      <c r="F275" t="str">
        <f t="shared" ca="1" si="7"/>
        <v/>
      </c>
      <c r="G275" t="str">
        <f t="shared" ca="1" si="8"/>
        <v/>
      </c>
    </row>
    <row r="276" spans="1:7" x14ac:dyDescent="0.2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6"/>
        <v/>
      </c>
      <c r="F276" t="str">
        <f t="shared" ca="1" si="7"/>
        <v/>
      </c>
      <c r="G276" t="str">
        <f t="shared" ca="1" si="8"/>
        <v/>
      </c>
    </row>
    <row r="277" spans="1:7" x14ac:dyDescent="0.2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6"/>
        <v/>
      </c>
      <c r="F277" t="str">
        <f t="shared" ca="1" si="7"/>
        <v/>
      </c>
      <c r="G277" t="str">
        <f t="shared" ca="1" si="8"/>
        <v/>
      </c>
    </row>
    <row r="278" spans="1:7" x14ac:dyDescent="0.2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6"/>
        <v/>
      </c>
      <c r="F278" t="str">
        <f t="shared" ca="1" si="7"/>
        <v/>
      </c>
      <c r="G278" t="str">
        <f t="shared" ca="1" si="8"/>
        <v/>
      </c>
    </row>
    <row r="279" spans="1:7" x14ac:dyDescent="0.2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6"/>
        <v/>
      </c>
      <c r="F279" t="str">
        <f t="shared" ca="1" si="7"/>
        <v/>
      </c>
      <c r="G279" t="str">
        <f t="shared" ca="1" si="8"/>
        <v/>
      </c>
    </row>
    <row r="280" spans="1:7" x14ac:dyDescent="0.2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6"/>
        <v/>
      </c>
      <c r="F280" t="str">
        <f t="shared" ca="1" si="7"/>
        <v/>
      </c>
      <c r="G280" t="str">
        <f t="shared" ca="1" si="8"/>
        <v/>
      </c>
    </row>
    <row r="281" spans="1:7" x14ac:dyDescent="0.2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6"/>
        <v/>
      </c>
      <c r="F281" t="str">
        <f t="shared" ca="1" si="7"/>
        <v/>
      </c>
      <c r="G281" t="str">
        <f t="shared" ca="1" si="8"/>
        <v/>
      </c>
    </row>
    <row r="282" spans="1:7" x14ac:dyDescent="0.2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6"/>
        <v/>
      </c>
      <c r="F282" t="str">
        <f t="shared" ca="1" si="7"/>
        <v/>
      </c>
      <c r="G282" t="str">
        <f t="shared" ca="1" si="8"/>
        <v/>
      </c>
    </row>
    <row r="283" spans="1:7" x14ac:dyDescent="0.2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6"/>
        <v/>
      </c>
      <c r="F283" t="str">
        <f t="shared" ca="1" si="7"/>
        <v/>
      </c>
      <c r="G283" t="str">
        <f t="shared" ca="1" si="8"/>
        <v/>
      </c>
    </row>
    <row r="284" spans="1:7" x14ac:dyDescent="0.2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6"/>
        <v/>
      </c>
      <c r="F284" t="str">
        <f t="shared" ca="1" si="7"/>
        <v/>
      </c>
      <c r="G284" t="str">
        <f t="shared" ca="1" si="8"/>
        <v/>
      </c>
    </row>
    <row r="285" spans="1:7" x14ac:dyDescent="0.2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6"/>
        <v/>
      </c>
      <c r="F285" t="str">
        <f t="shared" ca="1" si="7"/>
        <v/>
      </c>
      <c r="G285" t="str">
        <f t="shared" ca="1" si="8"/>
        <v/>
      </c>
    </row>
    <row r="286" spans="1:7" x14ac:dyDescent="0.2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6"/>
        <v/>
      </c>
      <c r="F286" t="str">
        <f t="shared" ca="1" si="7"/>
        <v/>
      </c>
      <c r="G286" t="str">
        <f t="shared" ca="1" si="8"/>
        <v/>
      </c>
    </row>
    <row r="287" spans="1:7" x14ac:dyDescent="0.2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6"/>
        <v/>
      </c>
      <c r="F287" t="str">
        <f t="shared" ca="1" si="7"/>
        <v/>
      </c>
      <c r="G287" t="str">
        <f t="shared" ca="1" si="8"/>
        <v/>
      </c>
    </row>
    <row r="288" spans="1:7" x14ac:dyDescent="0.2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6"/>
        <v/>
      </c>
      <c r="F288" t="str">
        <f t="shared" ca="1" si="7"/>
        <v/>
      </c>
      <c r="G288" t="str">
        <f t="shared" ca="1" si="8"/>
        <v/>
      </c>
    </row>
    <row r="289" spans="1:7" x14ac:dyDescent="0.2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6"/>
        <v/>
      </c>
      <c r="F289" t="str">
        <f t="shared" ca="1" si="7"/>
        <v/>
      </c>
      <c r="G289" t="str">
        <f t="shared" ca="1" si="8"/>
        <v/>
      </c>
    </row>
    <row r="290" spans="1:7" x14ac:dyDescent="0.2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6"/>
        <v/>
      </c>
      <c r="F290" t="str">
        <f t="shared" ca="1" si="7"/>
        <v/>
      </c>
      <c r="G290" t="str">
        <f t="shared" ca="1" si="8"/>
        <v/>
      </c>
    </row>
    <row r="291" spans="1:7" x14ac:dyDescent="0.2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6"/>
        <v/>
      </c>
      <c r="F291" t="str">
        <f t="shared" ca="1" si="7"/>
        <v/>
      </c>
      <c r="G291" t="str">
        <f t="shared" ca="1" si="8"/>
        <v/>
      </c>
    </row>
    <row r="292" spans="1:7" x14ac:dyDescent="0.2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6"/>
        <v/>
      </c>
      <c r="F292" t="str">
        <f t="shared" ca="1" si="7"/>
        <v/>
      </c>
      <c r="G292" t="str">
        <f t="shared" ca="1" si="8"/>
        <v/>
      </c>
    </row>
    <row r="293" spans="1:7" x14ac:dyDescent="0.2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6"/>
        <v/>
      </c>
      <c r="F293" t="str">
        <f t="shared" ca="1" si="7"/>
        <v/>
      </c>
      <c r="G293" t="str">
        <f t="shared" ca="1" si="8"/>
        <v/>
      </c>
    </row>
    <row r="294" spans="1:7" x14ac:dyDescent="0.2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6"/>
        <v/>
      </c>
      <c r="F294" t="str">
        <f t="shared" ca="1" si="7"/>
        <v/>
      </c>
      <c r="G294" t="str">
        <f t="shared" ca="1" si="8"/>
        <v/>
      </c>
    </row>
    <row r="295" spans="1:7" x14ac:dyDescent="0.2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6"/>
        <v/>
      </c>
      <c r="F295" t="str">
        <f t="shared" ca="1" si="7"/>
        <v/>
      </c>
      <c r="G295" t="str">
        <f t="shared" ca="1" si="8"/>
        <v/>
      </c>
    </row>
    <row r="296" spans="1:7" x14ac:dyDescent="0.2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6"/>
        <v/>
      </c>
      <c r="F296" t="str">
        <f t="shared" ca="1" si="7"/>
        <v/>
      </c>
      <c r="G296" t="str">
        <f t="shared" ca="1" si="8"/>
        <v/>
      </c>
    </row>
    <row r="297" spans="1:7" x14ac:dyDescent="0.2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6"/>
        <v/>
      </c>
      <c r="F297" t="str">
        <f t="shared" ca="1" si="7"/>
        <v/>
      </c>
      <c r="G297" t="str">
        <f t="shared" ca="1" si="8"/>
        <v/>
      </c>
    </row>
    <row r="298" spans="1:7" x14ac:dyDescent="0.2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6"/>
        <v/>
      </c>
      <c r="F298" t="str">
        <f t="shared" ca="1" si="7"/>
        <v/>
      </c>
      <c r="G298" t="str">
        <f t="shared" ca="1" si="8"/>
        <v/>
      </c>
    </row>
    <row r="299" spans="1:7" x14ac:dyDescent="0.2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6"/>
        <v/>
      </c>
      <c r="F299" t="str">
        <f t="shared" ca="1" si="7"/>
        <v/>
      </c>
      <c r="G299" t="str">
        <f t="shared" ca="1" si="8"/>
        <v/>
      </c>
    </row>
    <row r="300" spans="1:7" x14ac:dyDescent="0.2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6"/>
        <v/>
      </c>
      <c r="F300" t="str">
        <f t="shared" ca="1" si="7"/>
        <v/>
      </c>
      <c r="G300" t="str">
        <f t="shared" ca="1" si="8"/>
        <v/>
      </c>
    </row>
    <row r="301" spans="1:7" x14ac:dyDescent="0.2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6"/>
        <v/>
      </c>
      <c r="F301" t="str">
        <f t="shared" ca="1" si="7"/>
        <v/>
      </c>
      <c r="G301" t="str">
        <f t="shared" ca="1" si="8"/>
        <v/>
      </c>
    </row>
    <row r="302" spans="1:7" x14ac:dyDescent="0.2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6"/>
        <v/>
      </c>
      <c r="F302" t="str">
        <f t="shared" ca="1" si="7"/>
        <v/>
      </c>
      <c r="G302" t="str">
        <f t="shared" ca="1" si="8"/>
        <v/>
      </c>
    </row>
    <row r="303" spans="1:7" x14ac:dyDescent="0.2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2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2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2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2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2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9">IF(D327="T", 0.05, IF(D327="C", -0.01, ""))</f>
        <v/>
      </c>
      <c r="F327" t="str">
        <f t="shared" ref="F327:F390" ca="1" si="10">IF(D327="T", 0.05, IF(D327="C", 0, ""))</f>
        <v/>
      </c>
      <c r="G327" t="str">
        <f t="shared" ref="G327:G390" ca="1" si="11">IF(D327="T", 0, IF(D327="C", 0, ""))</f>
        <v/>
      </c>
    </row>
    <row r="328" spans="1:7" x14ac:dyDescent="0.2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9"/>
        <v/>
      </c>
      <c r="F328" t="str">
        <f t="shared" ca="1" si="10"/>
        <v/>
      </c>
      <c r="G328" t="str">
        <f t="shared" ca="1" si="11"/>
        <v/>
      </c>
    </row>
    <row r="329" spans="1:7" x14ac:dyDescent="0.2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9"/>
        <v/>
      </c>
      <c r="F329" t="str">
        <f t="shared" ca="1" si="10"/>
        <v/>
      </c>
      <c r="G329" t="str">
        <f t="shared" ca="1" si="11"/>
        <v/>
      </c>
    </row>
    <row r="330" spans="1:7" x14ac:dyDescent="0.2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9"/>
        <v/>
      </c>
      <c r="F330" t="str">
        <f t="shared" ca="1" si="10"/>
        <v/>
      </c>
      <c r="G330" t="str">
        <f t="shared" ca="1" si="11"/>
        <v/>
      </c>
    </row>
    <row r="331" spans="1:7" x14ac:dyDescent="0.2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9"/>
        <v/>
      </c>
      <c r="F331" t="str">
        <f t="shared" ca="1" si="10"/>
        <v/>
      </c>
      <c r="G331" t="str">
        <f t="shared" ca="1" si="11"/>
        <v/>
      </c>
    </row>
    <row r="332" spans="1:7" x14ac:dyDescent="0.2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9"/>
        <v/>
      </c>
      <c r="F332" t="str">
        <f t="shared" ca="1" si="10"/>
        <v/>
      </c>
      <c r="G332" t="str">
        <f t="shared" ca="1" si="11"/>
        <v/>
      </c>
    </row>
    <row r="333" spans="1:7" x14ac:dyDescent="0.2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9"/>
        <v/>
      </c>
      <c r="F333" t="str">
        <f t="shared" ca="1" si="10"/>
        <v/>
      </c>
      <c r="G333" t="str">
        <f t="shared" ca="1" si="11"/>
        <v/>
      </c>
    </row>
    <row r="334" spans="1:7" x14ac:dyDescent="0.2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9"/>
        <v/>
      </c>
      <c r="F334" t="str">
        <f t="shared" ca="1" si="10"/>
        <v/>
      </c>
      <c r="G334" t="str">
        <f t="shared" ca="1" si="11"/>
        <v/>
      </c>
    </row>
    <row r="335" spans="1:7" x14ac:dyDescent="0.2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9"/>
        <v/>
      </c>
      <c r="F335" t="str">
        <f t="shared" ca="1" si="10"/>
        <v/>
      </c>
      <c r="G335" t="str">
        <f t="shared" ca="1" si="11"/>
        <v/>
      </c>
    </row>
    <row r="336" spans="1:7" x14ac:dyDescent="0.2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9"/>
        <v/>
      </c>
      <c r="F336" t="str">
        <f t="shared" ca="1" si="10"/>
        <v/>
      </c>
      <c r="G336" t="str">
        <f t="shared" ca="1" si="11"/>
        <v/>
      </c>
    </row>
    <row r="337" spans="1:7" x14ac:dyDescent="0.2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9"/>
        <v/>
      </c>
      <c r="F337" t="str">
        <f t="shared" ca="1" si="10"/>
        <v/>
      </c>
      <c r="G337" t="str">
        <f t="shared" ca="1" si="11"/>
        <v/>
      </c>
    </row>
    <row r="338" spans="1:7" x14ac:dyDescent="0.2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9"/>
        <v/>
      </c>
      <c r="F338" t="str">
        <f t="shared" ca="1" si="10"/>
        <v/>
      </c>
      <c r="G338" t="str">
        <f t="shared" ca="1" si="11"/>
        <v/>
      </c>
    </row>
    <row r="339" spans="1:7" x14ac:dyDescent="0.2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9"/>
        <v/>
      </c>
      <c r="F339" t="str">
        <f t="shared" ca="1" si="10"/>
        <v/>
      </c>
      <c r="G339" t="str">
        <f t="shared" ca="1" si="11"/>
        <v/>
      </c>
    </row>
    <row r="340" spans="1:7" x14ac:dyDescent="0.2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9"/>
        <v/>
      </c>
      <c r="F340" t="str">
        <f t="shared" ca="1" si="10"/>
        <v/>
      </c>
      <c r="G340" t="str">
        <f t="shared" ca="1" si="11"/>
        <v/>
      </c>
    </row>
    <row r="341" spans="1:7" x14ac:dyDescent="0.2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9"/>
        <v/>
      </c>
      <c r="F341" t="str">
        <f t="shared" ca="1" si="10"/>
        <v/>
      </c>
      <c r="G341" t="str">
        <f t="shared" ca="1" si="11"/>
        <v/>
      </c>
    </row>
    <row r="342" spans="1:7" x14ac:dyDescent="0.2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9"/>
        <v/>
      </c>
      <c r="F342" t="str">
        <f t="shared" ca="1" si="10"/>
        <v/>
      </c>
      <c r="G342" t="str">
        <f t="shared" ca="1" si="11"/>
        <v/>
      </c>
    </row>
    <row r="343" spans="1:7" x14ac:dyDescent="0.2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9"/>
        <v/>
      </c>
      <c r="F343" t="str">
        <f t="shared" ca="1" si="10"/>
        <v/>
      </c>
      <c r="G343" t="str">
        <f t="shared" ca="1" si="11"/>
        <v/>
      </c>
    </row>
    <row r="344" spans="1:7" x14ac:dyDescent="0.2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9"/>
        <v/>
      </c>
      <c r="F344" t="str">
        <f t="shared" ca="1" si="10"/>
        <v/>
      </c>
      <c r="G344" t="str">
        <f t="shared" ca="1" si="11"/>
        <v/>
      </c>
    </row>
    <row r="345" spans="1:7" x14ac:dyDescent="0.2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9"/>
        <v/>
      </c>
      <c r="F345" t="str">
        <f t="shared" ca="1" si="10"/>
        <v/>
      </c>
      <c r="G345" t="str">
        <f t="shared" ca="1" si="11"/>
        <v/>
      </c>
    </row>
    <row r="346" spans="1:7" x14ac:dyDescent="0.2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9"/>
        <v/>
      </c>
      <c r="F346" t="str">
        <f t="shared" ca="1" si="10"/>
        <v/>
      </c>
      <c r="G346" t="str">
        <f t="shared" ca="1" si="11"/>
        <v/>
      </c>
    </row>
    <row r="347" spans="1:7" x14ac:dyDescent="0.2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9"/>
        <v/>
      </c>
      <c r="F347" t="str">
        <f t="shared" ca="1" si="10"/>
        <v/>
      </c>
      <c r="G347" t="str">
        <f t="shared" ca="1" si="11"/>
        <v/>
      </c>
    </row>
    <row r="348" spans="1:7" x14ac:dyDescent="0.2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9"/>
        <v/>
      </c>
      <c r="F348" t="str">
        <f t="shared" ca="1" si="10"/>
        <v/>
      </c>
      <c r="G348" t="str">
        <f t="shared" ca="1" si="11"/>
        <v/>
      </c>
    </row>
    <row r="349" spans="1:7" x14ac:dyDescent="0.2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9"/>
        <v/>
      </c>
      <c r="F349" t="str">
        <f t="shared" ca="1" si="10"/>
        <v/>
      </c>
      <c r="G349" t="str">
        <f t="shared" ca="1" si="11"/>
        <v/>
      </c>
    </row>
    <row r="350" spans="1:7" x14ac:dyDescent="0.2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9"/>
        <v/>
      </c>
      <c r="F350" t="str">
        <f t="shared" ca="1" si="10"/>
        <v/>
      </c>
      <c r="G350" t="str">
        <f t="shared" ca="1" si="11"/>
        <v/>
      </c>
    </row>
    <row r="351" spans="1:7" x14ac:dyDescent="0.2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9"/>
        <v/>
      </c>
      <c r="F351" t="str">
        <f t="shared" ca="1" si="10"/>
        <v/>
      </c>
      <c r="G351" t="str">
        <f t="shared" ca="1" si="11"/>
        <v/>
      </c>
    </row>
    <row r="352" spans="1:7" x14ac:dyDescent="0.2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9"/>
        <v/>
      </c>
      <c r="F352" t="str">
        <f t="shared" ca="1" si="10"/>
        <v/>
      </c>
      <c r="G352" t="str">
        <f t="shared" ca="1" si="11"/>
        <v/>
      </c>
    </row>
    <row r="353" spans="1:7" x14ac:dyDescent="0.2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9"/>
        <v/>
      </c>
      <c r="F353" t="str">
        <f t="shared" ca="1" si="10"/>
        <v/>
      </c>
      <c r="G353" t="str">
        <f t="shared" ca="1" si="11"/>
        <v/>
      </c>
    </row>
    <row r="354" spans="1:7" x14ac:dyDescent="0.2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9"/>
        <v/>
      </c>
      <c r="F354" t="str">
        <f t="shared" ca="1" si="10"/>
        <v/>
      </c>
      <c r="G354" t="str">
        <f t="shared" ca="1" si="11"/>
        <v/>
      </c>
    </row>
    <row r="355" spans="1:7" x14ac:dyDescent="0.2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9"/>
        <v/>
      </c>
      <c r="F355" t="str">
        <f t="shared" ca="1" si="10"/>
        <v/>
      </c>
      <c r="G355" t="str">
        <f t="shared" ca="1" si="11"/>
        <v/>
      </c>
    </row>
    <row r="356" spans="1:7" x14ac:dyDescent="0.2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9"/>
        <v/>
      </c>
      <c r="F356" t="str">
        <f t="shared" ca="1" si="10"/>
        <v/>
      </c>
      <c r="G356" t="str">
        <f t="shared" ca="1" si="11"/>
        <v/>
      </c>
    </row>
    <row r="357" spans="1:7" x14ac:dyDescent="0.2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9"/>
        <v/>
      </c>
      <c r="F357" t="str">
        <f t="shared" ca="1" si="10"/>
        <v/>
      </c>
      <c r="G357" t="str">
        <f t="shared" ca="1" si="11"/>
        <v/>
      </c>
    </row>
    <row r="358" spans="1:7" x14ac:dyDescent="0.2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9"/>
        <v/>
      </c>
      <c r="F358" t="str">
        <f t="shared" ca="1" si="10"/>
        <v/>
      </c>
      <c r="G358" t="str">
        <f t="shared" ca="1" si="11"/>
        <v/>
      </c>
    </row>
    <row r="359" spans="1:7" x14ac:dyDescent="0.2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9"/>
        <v/>
      </c>
      <c r="F359" t="str">
        <f t="shared" ca="1" si="10"/>
        <v/>
      </c>
      <c r="G359" t="str">
        <f t="shared" ca="1" si="11"/>
        <v/>
      </c>
    </row>
    <row r="360" spans="1:7" x14ac:dyDescent="0.2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9"/>
        <v/>
      </c>
      <c r="F360" t="str">
        <f t="shared" ca="1" si="10"/>
        <v/>
      </c>
      <c r="G360" t="str">
        <f t="shared" ca="1" si="11"/>
        <v/>
      </c>
    </row>
    <row r="361" spans="1:7" x14ac:dyDescent="0.2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9"/>
        <v/>
      </c>
      <c r="F361" t="str">
        <f t="shared" ca="1" si="10"/>
        <v/>
      </c>
      <c r="G361" t="str">
        <f t="shared" ca="1" si="11"/>
        <v/>
      </c>
    </row>
    <row r="362" spans="1:7" x14ac:dyDescent="0.2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9"/>
        <v/>
      </c>
      <c r="F362" t="str">
        <f t="shared" ca="1" si="10"/>
        <v/>
      </c>
      <c r="G362" t="str">
        <f t="shared" ca="1" si="11"/>
        <v/>
      </c>
    </row>
    <row r="363" spans="1:7" x14ac:dyDescent="0.2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9"/>
        <v/>
      </c>
      <c r="F363" t="str">
        <f t="shared" ca="1" si="10"/>
        <v/>
      </c>
      <c r="G363" t="str">
        <f t="shared" ca="1" si="11"/>
        <v/>
      </c>
    </row>
    <row r="364" spans="1:7" x14ac:dyDescent="0.2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9"/>
        <v/>
      </c>
      <c r="F364" t="str">
        <f t="shared" ca="1" si="10"/>
        <v/>
      </c>
      <c r="G364" t="str">
        <f t="shared" ca="1" si="11"/>
        <v/>
      </c>
    </row>
    <row r="365" spans="1:7" x14ac:dyDescent="0.2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9"/>
        <v/>
      </c>
      <c r="F365" t="str">
        <f t="shared" ca="1" si="10"/>
        <v/>
      </c>
      <c r="G365" t="str">
        <f t="shared" ca="1" si="11"/>
        <v/>
      </c>
    </row>
    <row r="366" spans="1:7" x14ac:dyDescent="0.2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9"/>
        <v/>
      </c>
      <c r="F366" t="str">
        <f t="shared" ca="1" si="10"/>
        <v/>
      </c>
      <c r="G366" t="str">
        <f t="shared" ca="1" si="11"/>
        <v/>
      </c>
    </row>
    <row r="367" spans="1:7" x14ac:dyDescent="0.2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2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2">IF(D391="T", 0.05, IF(D391="C", -0.01, ""))</f>
        <v/>
      </c>
      <c r="F391" t="str">
        <f t="shared" ref="F391:F454" ca="1" si="13">IF(D391="T", 0.05, IF(D391="C", 0, ""))</f>
        <v/>
      </c>
      <c r="G391" t="str">
        <f t="shared" ref="G391:G454" ca="1" si="14">IF(D391="T", 0, IF(D391="C", 0, ""))</f>
        <v/>
      </c>
    </row>
    <row r="392" spans="1:7" x14ac:dyDescent="0.2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2"/>
        <v/>
      </c>
      <c r="F392" t="str">
        <f t="shared" ca="1" si="13"/>
        <v/>
      </c>
      <c r="G392" t="str">
        <f t="shared" ca="1" si="14"/>
        <v/>
      </c>
    </row>
    <row r="393" spans="1:7" x14ac:dyDescent="0.2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2"/>
        <v/>
      </c>
      <c r="F393" t="str">
        <f t="shared" ca="1" si="13"/>
        <v/>
      </c>
      <c r="G393" t="str">
        <f t="shared" ca="1" si="14"/>
        <v/>
      </c>
    </row>
    <row r="394" spans="1:7" x14ac:dyDescent="0.2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2"/>
        <v/>
      </c>
      <c r="F394" t="str">
        <f t="shared" ca="1" si="13"/>
        <v/>
      </c>
      <c r="G394" t="str">
        <f t="shared" ca="1" si="14"/>
        <v/>
      </c>
    </row>
    <row r="395" spans="1:7" x14ac:dyDescent="0.2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2"/>
        <v/>
      </c>
      <c r="F395" t="str">
        <f t="shared" ca="1" si="13"/>
        <v/>
      </c>
      <c r="G395" t="str">
        <f t="shared" ca="1" si="14"/>
        <v/>
      </c>
    </row>
    <row r="396" spans="1:7" x14ac:dyDescent="0.2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2"/>
        <v/>
      </c>
      <c r="F396" t="str">
        <f t="shared" ca="1" si="13"/>
        <v/>
      </c>
      <c r="G396" t="str">
        <f t="shared" ca="1" si="14"/>
        <v/>
      </c>
    </row>
    <row r="397" spans="1:7" x14ac:dyDescent="0.2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2"/>
        <v/>
      </c>
      <c r="F397" t="str">
        <f t="shared" ca="1" si="13"/>
        <v/>
      </c>
      <c r="G397" t="str">
        <f t="shared" ca="1" si="14"/>
        <v/>
      </c>
    </row>
    <row r="398" spans="1:7" x14ac:dyDescent="0.2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2"/>
        <v/>
      </c>
      <c r="F398" t="str">
        <f t="shared" ca="1" si="13"/>
        <v/>
      </c>
      <c r="G398" t="str">
        <f t="shared" ca="1" si="14"/>
        <v/>
      </c>
    </row>
    <row r="399" spans="1:7" x14ac:dyDescent="0.2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2"/>
        <v/>
      </c>
      <c r="F399" t="str">
        <f t="shared" ca="1" si="13"/>
        <v/>
      </c>
      <c r="G399" t="str">
        <f t="shared" ca="1" si="14"/>
        <v/>
      </c>
    </row>
    <row r="400" spans="1:7" x14ac:dyDescent="0.2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2"/>
        <v/>
      </c>
      <c r="F400" t="str">
        <f t="shared" ca="1" si="13"/>
        <v/>
      </c>
      <c r="G400" t="str">
        <f t="shared" ca="1" si="14"/>
        <v/>
      </c>
    </row>
    <row r="401" spans="1:7" x14ac:dyDescent="0.2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2"/>
        <v/>
      </c>
      <c r="F401" t="str">
        <f t="shared" ca="1" si="13"/>
        <v/>
      </c>
      <c r="G401" t="str">
        <f t="shared" ca="1" si="14"/>
        <v/>
      </c>
    </row>
    <row r="402" spans="1:7" x14ac:dyDescent="0.2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2"/>
        <v/>
      </c>
      <c r="F402" t="str">
        <f t="shared" ca="1" si="13"/>
        <v/>
      </c>
      <c r="G402" t="str">
        <f t="shared" ca="1" si="14"/>
        <v/>
      </c>
    </row>
    <row r="403" spans="1:7" x14ac:dyDescent="0.2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2"/>
        <v/>
      </c>
      <c r="F403" t="str">
        <f t="shared" ca="1" si="13"/>
        <v/>
      </c>
      <c r="G403" t="str">
        <f t="shared" ca="1" si="14"/>
        <v/>
      </c>
    </row>
    <row r="404" spans="1:7" x14ac:dyDescent="0.2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2"/>
        <v/>
      </c>
      <c r="F404" t="str">
        <f t="shared" ca="1" si="13"/>
        <v/>
      </c>
      <c r="G404" t="str">
        <f t="shared" ca="1" si="14"/>
        <v/>
      </c>
    </row>
    <row r="405" spans="1:7" x14ac:dyDescent="0.2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2"/>
        <v/>
      </c>
      <c r="F405" t="str">
        <f t="shared" ca="1" si="13"/>
        <v/>
      </c>
      <c r="G405" t="str">
        <f t="shared" ca="1" si="14"/>
        <v/>
      </c>
    </row>
    <row r="406" spans="1:7" x14ac:dyDescent="0.2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2"/>
        <v/>
      </c>
      <c r="F406" t="str">
        <f t="shared" ca="1" si="13"/>
        <v/>
      </c>
      <c r="G406" t="str">
        <f t="shared" ca="1" si="14"/>
        <v/>
      </c>
    </row>
    <row r="407" spans="1:7" x14ac:dyDescent="0.2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2"/>
        <v/>
      </c>
      <c r="F407" t="str">
        <f t="shared" ca="1" si="13"/>
        <v/>
      </c>
      <c r="G407" t="str">
        <f t="shared" ca="1" si="14"/>
        <v/>
      </c>
    </row>
    <row r="408" spans="1:7" x14ac:dyDescent="0.2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2"/>
        <v/>
      </c>
      <c r="F408" t="str">
        <f t="shared" ca="1" si="13"/>
        <v/>
      </c>
      <c r="G408" t="str">
        <f t="shared" ca="1" si="14"/>
        <v/>
      </c>
    </row>
    <row r="409" spans="1:7" x14ac:dyDescent="0.2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2"/>
        <v/>
      </c>
      <c r="F409" t="str">
        <f t="shared" ca="1" si="13"/>
        <v/>
      </c>
      <c r="G409" t="str">
        <f t="shared" ca="1" si="14"/>
        <v/>
      </c>
    </row>
    <row r="410" spans="1:7" x14ac:dyDescent="0.2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2"/>
        <v/>
      </c>
      <c r="F410" t="str">
        <f t="shared" ca="1" si="13"/>
        <v/>
      </c>
      <c r="G410" t="str">
        <f t="shared" ca="1" si="14"/>
        <v/>
      </c>
    </row>
    <row r="411" spans="1:7" x14ac:dyDescent="0.2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2"/>
        <v/>
      </c>
      <c r="F411" t="str">
        <f t="shared" ca="1" si="13"/>
        <v/>
      </c>
      <c r="G411" t="str">
        <f t="shared" ca="1" si="14"/>
        <v/>
      </c>
    </row>
    <row r="412" spans="1:7" x14ac:dyDescent="0.2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2"/>
        <v/>
      </c>
      <c r="F412" t="str">
        <f t="shared" ca="1" si="13"/>
        <v/>
      </c>
      <c r="G412" t="str">
        <f t="shared" ca="1" si="14"/>
        <v/>
      </c>
    </row>
    <row r="413" spans="1:7" x14ac:dyDescent="0.2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2"/>
        <v/>
      </c>
      <c r="F413" t="str">
        <f t="shared" ca="1" si="13"/>
        <v/>
      </c>
      <c r="G413" t="str">
        <f t="shared" ca="1" si="14"/>
        <v/>
      </c>
    </row>
    <row r="414" spans="1:7" x14ac:dyDescent="0.2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2"/>
        <v/>
      </c>
      <c r="F414" t="str">
        <f t="shared" ca="1" si="13"/>
        <v/>
      </c>
      <c r="G414" t="str">
        <f t="shared" ca="1" si="14"/>
        <v/>
      </c>
    </row>
    <row r="415" spans="1:7" x14ac:dyDescent="0.2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2"/>
        <v/>
      </c>
      <c r="F415" t="str">
        <f t="shared" ca="1" si="13"/>
        <v/>
      </c>
      <c r="G415" t="str">
        <f t="shared" ca="1" si="14"/>
        <v/>
      </c>
    </row>
    <row r="416" spans="1:7" x14ac:dyDescent="0.2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2"/>
        <v/>
      </c>
      <c r="F416" t="str">
        <f t="shared" ca="1" si="13"/>
        <v/>
      </c>
      <c r="G416" t="str">
        <f t="shared" ca="1" si="14"/>
        <v/>
      </c>
    </row>
    <row r="417" spans="1:7" x14ac:dyDescent="0.2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2"/>
        <v/>
      </c>
      <c r="F417" t="str">
        <f t="shared" ca="1" si="13"/>
        <v/>
      </c>
      <c r="G417" t="str">
        <f t="shared" ca="1" si="14"/>
        <v/>
      </c>
    </row>
    <row r="418" spans="1:7" x14ac:dyDescent="0.2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2"/>
        <v/>
      </c>
      <c r="F418" t="str">
        <f t="shared" ca="1" si="13"/>
        <v/>
      </c>
      <c r="G418" t="str">
        <f t="shared" ca="1" si="14"/>
        <v/>
      </c>
    </row>
    <row r="419" spans="1:7" x14ac:dyDescent="0.2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2"/>
        <v/>
      </c>
      <c r="F419" t="str">
        <f t="shared" ca="1" si="13"/>
        <v/>
      </c>
      <c r="G419" t="str">
        <f t="shared" ca="1" si="14"/>
        <v/>
      </c>
    </row>
    <row r="420" spans="1:7" x14ac:dyDescent="0.2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2"/>
        <v/>
      </c>
      <c r="F420" t="str">
        <f t="shared" ca="1" si="13"/>
        <v/>
      </c>
      <c r="G420" t="str">
        <f t="shared" ca="1" si="14"/>
        <v/>
      </c>
    </row>
    <row r="421" spans="1:7" x14ac:dyDescent="0.2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2"/>
        <v/>
      </c>
      <c r="F421" t="str">
        <f t="shared" ca="1" si="13"/>
        <v/>
      </c>
      <c r="G421" t="str">
        <f t="shared" ca="1" si="14"/>
        <v/>
      </c>
    </row>
    <row r="422" spans="1:7" x14ac:dyDescent="0.2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2"/>
        <v/>
      </c>
      <c r="F422" t="str">
        <f t="shared" ca="1" si="13"/>
        <v/>
      </c>
      <c r="G422" t="str">
        <f t="shared" ca="1" si="14"/>
        <v/>
      </c>
    </row>
    <row r="423" spans="1:7" x14ac:dyDescent="0.2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2"/>
        <v/>
      </c>
      <c r="F423" t="str">
        <f t="shared" ca="1" si="13"/>
        <v/>
      </c>
      <c r="G423" t="str">
        <f t="shared" ca="1" si="14"/>
        <v/>
      </c>
    </row>
    <row r="424" spans="1:7" x14ac:dyDescent="0.2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2"/>
        <v/>
      </c>
      <c r="F424" t="str">
        <f t="shared" ca="1" si="13"/>
        <v/>
      </c>
      <c r="G424" t="str">
        <f t="shared" ca="1" si="14"/>
        <v/>
      </c>
    </row>
    <row r="425" spans="1:7" x14ac:dyDescent="0.2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2"/>
        <v/>
      </c>
      <c r="F425" t="str">
        <f t="shared" ca="1" si="13"/>
        <v/>
      </c>
      <c r="G425" t="str">
        <f t="shared" ca="1" si="14"/>
        <v/>
      </c>
    </row>
    <row r="426" spans="1:7" x14ac:dyDescent="0.2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2"/>
        <v/>
      </c>
      <c r="F426" t="str">
        <f t="shared" ca="1" si="13"/>
        <v/>
      </c>
      <c r="G426" t="str">
        <f t="shared" ca="1" si="14"/>
        <v/>
      </c>
    </row>
    <row r="427" spans="1:7" x14ac:dyDescent="0.2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2"/>
        <v/>
      </c>
      <c r="F427" t="str">
        <f t="shared" ca="1" si="13"/>
        <v/>
      </c>
      <c r="G427" t="str">
        <f t="shared" ca="1" si="14"/>
        <v/>
      </c>
    </row>
    <row r="428" spans="1:7" x14ac:dyDescent="0.2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2"/>
        <v/>
      </c>
      <c r="F428" t="str">
        <f t="shared" ca="1" si="13"/>
        <v/>
      </c>
      <c r="G428" t="str">
        <f t="shared" ca="1" si="14"/>
        <v/>
      </c>
    </row>
    <row r="429" spans="1:7" x14ac:dyDescent="0.2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2"/>
        <v/>
      </c>
      <c r="F429" t="str">
        <f t="shared" ca="1" si="13"/>
        <v/>
      </c>
      <c r="G429" t="str">
        <f t="shared" ca="1" si="14"/>
        <v/>
      </c>
    </row>
    <row r="430" spans="1:7" x14ac:dyDescent="0.2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2"/>
        <v/>
      </c>
      <c r="F430" t="str">
        <f t="shared" ca="1" si="13"/>
        <v/>
      </c>
      <c r="G430" t="str">
        <f t="shared" ca="1" si="14"/>
        <v/>
      </c>
    </row>
    <row r="431" spans="1:7" x14ac:dyDescent="0.2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2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2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2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2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2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15">IF(D455="T", 0.05, IF(D455="C", -0.01, ""))</f>
        <v/>
      </c>
      <c r="F455" t="str">
        <f t="shared" ref="F455:F518" ca="1" si="16">IF(D455="T", 0.05, IF(D455="C", 0, ""))</f>
        <v/>
      </c>
      <c r="G455" t="str">
        <f t="shared" ref="G455:G518" ca="1" si="17">IF(D455="T", 0, IF(D455="C", 0, ""))</f>
        <v/>
      </c>
    </row>
    <row r="456" spans="1:7" x14ac:dyDescent="0.2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5"/>
        <v/>
      </c>
      <c r="F456" t="str">
        <f t="shared" ca="1" si="16"/>
        <v/>
      </c>
      <c r="G456" t="str">
        <f t="shared" ca="1" si="17"/>
        <v/>
      </c>
    </row>
    <row r="457" spans="1:7" x14ac:dyDescent="0.2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5"/>
        <v/>
      </c>
      <c r="F457" t="str">
        <f t="shared" ca="1" si="16"/>
        <v/>
      </c>
      <c r="G457" t="str">
        <f t="shared" ca="1" si="17"/>
        <v/>
      </c>
    </row>
    <row r="458" spans="1:7" x14ac:dyDescent="0.2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5"/>
        <v/>
      </c>
      <c r="F458" t="str">
        <f t="shared" ca="1" si="16"/>
        <v/>
      </c>
      <c r="G458" t="str">
        <f t="shared" ca="1" si="17"/>
        <v/>
      </c>
    </row>
    <row r="459" spans="1:7" x14ac:dyDescent="0.2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5"/>
        <v/>
      </c>
      <c r="F459" t="str">
        <f t="shared" ca="1" si="16"/>
        <v/>
      </c>
      <c r="G459" t="str">
        <f t="shared" ca="1" si="17"/>
        <v/>
      </c>
    </row>
    <row r="460" spans="1:7" x14ac:dyDescent="0.2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5"/>
        <v/>
      </c>
      <c r="F460" t="str">
        <f t="shared" ca="1" si="16"/>
        <v/>
      </c>
      <c r="G460" t="str">
        <f t="shared" ca="1" si="17"/>
        <v/>
      </c>
    </row>
    <row r="461" spans="1:7" x14ac:dyDescent="0.2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5"/>
        <v/>
      </c>
      <c r="F461" t="str">
        <f t="shared" ca="1" si="16"/>
        <v/>
      </c>
      <c r="G461" t="str">
        <f t="shared" ca="1" si="17"/>
        <v/>
      </c>
    </row>
    <row r="462" spans="1:7" x14ac:dyDescent="0.2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5"/>
        <v/>
      </c>
      <c r="F462" t="str">
        <f t="shared" ca="1" si="16"/>
        <v/>
      </c>
      <c r="G462" t="str">
        <f t="shared" ca="1" si="17"/>
        <v/>
      </c>
    </row>
    <row r="463" spans="1:7" x14ac:dyDescent="0.2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5"/>
        <v/>
      </c>
      <c r="F463" t="str">
        <f t="shared" ca="1" si="16"/>
        <v/>
      </c>
      <c r="G463" t="str">
        <f t="shared" ca="1" si="17"/>
        <v/>
      </c>
    </row>
    <row r="464" spans="1:7" x14ac:dyDescent="0.2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5"/>
        <v/>
      </c>
      <c r="F464" t="str">
        <f t="shared" ca="1" si="16"/>
        <v/>
      </c>
      <c r="G464" t="str">
        <f t="shared" ca="1" si="17"/>
        <v/>
      </c>
    </row>
    <row r="465" spans="1:7" x14ac:dyDescent="0.2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5"/>
        <v/>
      </c>
      <c r="F465" t="str">
        <f t="shared" ca="1" si="16"/>
        <v/>
      </c>
      <c r="G465" t="str">
        <f t="shared" ca="1" si="17"/>
        <v/>
      </c>
    </row>
    <row r="466" spans="1:7" x14ac:dyDescent="0.2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5"/>
        <v/>
      </c>
      <c r="F466" t="str">
        <f t="shared" ca="1" si="16"/>
        <v/>
      </c>
      <c r="G466" t="str">
        <f t="shared" ca="1" si="17"/>
        <v/>
      </c>
    </row>
    <row r="467" spans="1:7" x14ac:dyDescent="0.2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5"/>
        <v/>
      </c>
      <c r="F467" t="str">
        <f t="shared" ca="1" si="16"/>
        <v/>
      </c>
      <c r="G467" t="str">
        <f t="shared" ca="1" si="17"/>
        <v/>
      </c>
    </row>
    <row r="468" spans="1:7" x14ac:dyDescent="0.2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5"/>
        <v/>
      </c>
      <c r="F468" t="str">
        <f t="shared" ca="1" si="16"/>
        <v/>
      </c>
      <c r="G468" t="str">
        <f t="shared" ca="1" si="17"/>
        <v/>
      </c>
    </row>
    <row r="469" spans="1:7" x14ac:dyDescent="0.2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5"/>
        <v/>
      </c>
      <c r="F469" t="str">
        <f t="shared" ca="1" si="16"/>
        <v/>
      </c>
      <c r="G469" t="str">
        <f t="shared" ca="1" si="17"/>
        <v/>
      </c>
    </row>
    <row r="470" spans="1:7" x14ac:dyDescent="0.2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5"/>
        <v/>
      </c>
      <c r="F470" t="str">
        <f t="shared" ca="1" si="16"/>
        <v/>
      </c>
      <c r="G470" t="str">
        <f t="shared" ca="1" si="17"/>
        <v/>
      </c>
    </row>
    <row r="471" spans="1:7" x14ac:dyDescent="0.2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5"/>
        <v/>
      </c>
      <c r="F471" t="str">
        <f t="shared" ca="1" si="16"/>
        <v/>
      </c>
      <c r="G471" t="str">
        <f t="shared" ca="1" si="17"/>
        <v/>
      </c>
    </row>
    <row r="472" spans="1:7" x14ac:dyDescent="0.2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5"/>
        <v/>
      </c>
      <c r="F472" t="str">
        <f t="shared" ca="1" si="16"/>
        <v/>
      </c>
      <c r="G472" t="str">
        <f t="shared" ca="1" si="17"/>
        <v/>
      </c>
    </row>
    <row r="473" spans="1:7" x14ac:dyDescent="0.2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5"/>
        <v/>
      </c>
      <c r="F473" t="str">
        <f t="shared" ca="1" si="16"/>
        <v/>
      </c>
      <c r="G473" t="str">
        <f t="shared" ca="1" si="17"/>
        <v/>
      </c>
    </row>
    <row r="474" spans="1:7" x14ac:dyDescent="0.2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5"/>
        <v/>
      </c>
      <c r="F474" t="str">
        <f t="shared" ca="1" si="16"/>
        <v/>
      </c>
      <c r="G474" t="str">
        <f t="shared" ca="1" si="17"/>
        <v/>
      </c>
    </row>
    <row r="475" spans="1:7" x14ac:dyDescent="0.2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5"/>
        <v/>
      </c>
      <c r="F475" t="str">
        <f t="shared" ca="1" si="16"/>
        <v/>
      </c>
      <c r="G475" t="str">
        <f t="shared" ca="1" si="17"/>
        <v/>
      </c>
    </row>
    <row r="476" spans="1:7" x14ac:dyDescent="0.2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5"/>
        <v/>
      </c>
      <c r="F476" t="str">
        <f t="shared" ca="1" si="16"/>
        <v/>
      </c>
      <c r="G476" t="str">
        <f t="shared" ca="1" si="17"/>
        <v/>
      </c>
    </row>
    <row r="477" spans="1:7" x14ac:dyDescent="0.2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5"/>
        <v/>
      </c>
      <c r="F477" t="str">
        <f t="shared" ca="1" si="16"/>
        <v/>
      </c>
      <c r="G477" t="str">
        <f t="shared" ca="1" si="17"/>
        <v/>
      </c>
    </row>
    <row r="478" spans="1:7" x14ac:dyDescent="0.2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5"/>
        <v/>
      </c>
      <c r="F478" t="str">
        <f t="shared" ca="1" si="16"/>
        <v/>
      </c>
      <c r="G478" t="str">
        <f t="shared" ca="1" si="17"/>
        <v/>
      </c>
    </row>
    <row r="479" spans="1:7" x14ac:dyDescent="0.2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5"/>
        <v/>
      </c>
      <c r="F479" t="str">
        <f t="shared" ca="1" si="16"/>
        <v/>
      </c>
      <c r="G479" t="str">
        <f t="shared" ca="1" si="17"/>
        <v/>
      </c>
    </row>
    <row r="480" spans="1:7" x14ac:dyDescent="0.2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5"/>
        <v/>
      </c>
      <c r="F480" t="str">
        <f t="shared" ca="1" si="16"/>
        <v/>
      </c>
      <c r="G480" t="str">
        <f t="shared" ca="1" si="17"/>
        <v/>
      </c>
    </row>
    <row r="481" spans="1:7" x14ac:dyDescent="0.2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5"/>
        <v/>
      </c>
      <c r="F481" t="str">
        <f t="shared" ca="1" si="16"/>
        <v/>
      </c>
      <c r="G481" t="str">
        <f t="shared" ca="1" si="17"/>
        <v/>
      </c>
    </row>
    <row r="482" spans="1:7" x14ac:dyDescent="0.2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5"/>
        <v/>
      </c>
      <c r="F482" t="str">
        <f t="shared" ca="1" si="16"/>
        <v/>
      </c>
      <c r="G482" t="str">
        <f t="shared" ca="1" si="17"/>
        <v/>
      </c>
    </row>
    <row r="483" spans="1:7" x14ac:dyDescent="0.2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5"/>
        <v/>
      </c>
      <c r="F483" t="str">
        <f t="shared" ca="1" si="16"/>
        <v/>
      </c>
      <c r="G483" t="str">
        <f t="shared" ca="1" si="17"/>
        <v/>
      </c>
    </row>
    <row r="484" spans="1:7" x14ac:dyDescent="0.2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5"/>
        <v/>
      </c>
      <c r="F484" t="str">
        <f t="shared" ca="1" si="16"/>
        <v/>
      </c>
      <c r="G484" t="str">
        <f t="shared" ca="1" si="17"/>
        <v/>
      </c>
    </row>
    <row r="485" spans="1:7" x14ac:dyDescent="0.2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5"/>
        <v/>
      </c>
      <c r="F485" t="str">
        <f t="shared" ca="1" si="16"/>
        <v/>
      </c>
      <c r="G485" t="str">
        <f t="shared" ca="1" si="17"/>
        <v/>
      </c>
    </row>
    <row r="486" spans="1:7" x14ac:dyDescent="0.2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5"/>
        <v/>
      </c>
      <c r="F486" t="str">
        <f t="shared" ca="1" si="16"/>
        <v/>
      </c>
      <c r="G486" t="str">
        <f t="shared" ca="1" si="17"/>
        <v/>
      </c>
    </row>
    <row r="487" spans="1:7" x14ac:dyDescent="0.2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5"/>
        <v/>
      </c>
      <c r="F487" t="str">
        <f t="shared" ca="1" si="16"/>
        <v/>
      </c>
      <c r="G487" t="str">
        <f t="shared" ca="1" si="17"/>
        <v/>
      </c>
    </row>
    <row r="488" spans="1:7" x14ac:dyDescent="0.2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5"/>
        <v/>
      </c>
      <c r="F488" t="str">
        <f t="shared" ca="1" si="16"/>
        <v/>
      </c>
      <c r="G488" t="str">
        <f t="shared" ca="1" si="17"/>
        <v/>
      </c>
    </row>
    <row r="489" spans="1:7" x14ac:dyDescent="0.2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5"/>
        <v/>
      </c>
      <c r="F489" t="str">
        <f t="shared" ca="1" si="16"/>
        <v/>
      </c>
      <c r="G489" t="str">
        <f t="shared" ca="1" si="17"/>
        <v/>
      </c>
    </row>
    <row r="490" spans="1:7" x14ac:dyDescent="0.2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5"/>
        <v/>
      </c>
      <c r="F490" t="str">
        <f t="shared" ca="1" si="16"/>
        <v/>
      </c>
      <c r="G490" t="str">
        <f t="shared" ca="1" si="17"/>
        <v/>
      </c>
    </row>
    <row r="491" spans="1:7" x14ac:dyDescent="0.2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5"/>
        <v/>
      </c>
      <c r="F491" t="str">
        <f t="shared" ca="1" si="16"/>
        <v/>
      </c>
      <c r="G491" t="str">
        <f t="shared" ca="1" si="17"/>
        <v/>
      </c>
    </row>
    <row r="492" spans="1:7" x14ac:dyDescent="0.2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5"/>
        <v/>
      </c>
      <c r="F492" t="str">
        <f t="shared" ca="1" si="16"/>
        <v/>
      </c>
      <c r="G492" t="str">
        <f t="shared" ca="1" si="17"/>
        <v/>
      </c>
    </row>
    <row r="493" spans="1:7" x14ac:dyDescent="0.2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5"/>
        <v/>
      </c>
      <c r="F493" t="str">
        <f t="shared" ca="1" si="16"/>
        <v/>
      </c>
      <c r="G493" t="str">
        <f t="shared" ca="1" si="17"/>
        <v/>
      </c>
    </row>
    <row r="494" spans="1:7" x14ac:dyDescent="0.2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5"/>
        <v/>
      </c>
      <c r="F494" t="str">
        <f t="shared" ca="1" si="16"/>
        <v/>
      </c>
      <c r="G494" t="str">
        <f t="shared" ca="1" si="17"/>
        <v/>
      </c>
    </row>
    <row r="495" spans="1:7" x14ac:dyDescent="0.2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2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2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2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2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2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18">IF(D519="T", 0.05, IF(D519="C", -0.01, ""))</f>
        <v/>
      </c>
      <c r="F519" t="str">
        <f t="shared" ref="F519:F582" ca="1" si="19">IF(D519="T", 0.05, IF(D519="C", 0, ""))</f>
        <v/>
      </c>
      <c r="G519" t="str">
        <f t="shared" ref="G519:G582" ca="1" si="20">IF(D519="T", 0, IF(D519="C", 0, ""))</f>
        <v/>
      </c>
    </row>
    <row r="520" spans="1:7" x14ac:dyDescent="0.2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8"/>
        <v/>
      </c>
      <c r="F520" t="str">
        <f t="shared" ca="1" si="19"/>
        <v/>
      </c>
      <c r="G520" t="str">
        <f t="shared" ca="1" si="20"/>
        <v/>
      </c>
    </row>
    <row r="521" spans="1:7" x14ac:dyDescent="0.2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8"/>
        <v/>
      </c>
      <c r="F521" t="str">
        <f t="shared" ca="1" si="19"/>
        <v/>
      </c>
      <c r="G521" t="str">
        <f t="shared" ca="1" si="20"/>
        <v/>
      </c>
    </row>
    <row r="522" spans="1:7" x14ac:dyDescent="0.2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8"/>
        <v/>
      </c>
      <c r="F522" t="str">
        <f t="shared" ca="1" si="19"/>
        <v/>
      </c>
      <c r="G522" t="str">
        <f t="shared" ca="1" si="20"/>
        <v/>
      </c>
    </row>
    <row r="523" spans="1:7" x14ac:dyDescent="0.2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8"/>
        <v/>
      </c>
      <c r="F523" t="str">
        <f t="shared" ca="1" si="19"/>
        <v/>
      </c>
      <c r="G523" t="str">
        <f t="shared" ca="1" si="20"/>
        <v/>
      </c>
    </row>
    <row r="524" spans="1:7" x14ac:dyDescent="0.2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8"/>
        <v/>
      </c>
      <c r="F524" t="str">
        <f t="shared" ca="1" si="19"/>
        <v/>
      </c>
      <c r="G524" t="str">
        <f t="shared" ca="1" si="20"/>
        <v/>
      </c>
    </row>
    <row r="525" spans="1:7" x14ac:dyDescent="0.2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8"/>
        <v/>
      </c>
      <c r="F525" t="str">
        <f t="shared" ca="1" si="19"/>
        <v/>
      </c>
      <c r="G525" t="str">
        <f t="shared" ca="1" si="20"/>
        <v/>
      </c>
    </row>
    <row r="526" spans="1:7" x14ac:dyDescent="0.2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8"/>
        <v/>
      </c>
      <c r="F526" t="str">
        <f t="shared" ca="1" si="19"/>
        <v/>
      </c>
      <c r="G526" t="str">
        <f t="shared" ca="1" si="20"/>
        <v/>
      </c>
    </row>
    <row r="527" spans="1:7" x14ac:dyDescent="0.2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8"/>
        <v/>
      </c>
      <c r="F527" t="str">
        <f t="shared" ca="1" si="19"/>
        <v/>
      </c>
      <c r="G527" t="str">
        <f t="shared" ca="1" si="20"/>
        <v/>
      </c>
    </row>
    <row r="528" spans="1:7" x14ac:dyDescent="0.2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8"/>
        <v/>
      </c>
      <c r="F528" t="str">
        <f t="shared" ca="1" si="19"/>
        <v/>
      </c>
      <c r="G528" t="str">
        <f t="shared" ca="1" si="20"/>
        <v/>
      </c>
    </row>
    <row r="529" spans="1:7" x14ac:dyDescent="0.2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8"/>
        <v/>
      </c>
      <c r="F529" t="str">
        <f t="shared" ca="1" si="19"/>
        <v/>
      </c>
      <c r="G529" t="str">
        <f t="shared" ca="1" si="20"/>
        <v/>
      </c>
    </row>
    <row r="530" spans="1:7" x14ac:dyDescent="0.2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8"/>
        <v/>
      </c>
      <c r="F530" t="str">
        <f t="shared" ca="1" si="19"/>
        <v/>
      </c>
      <c r="G530" t="str">
        <f t="shared" ca="1" si="20"/>
        <v/>
      </c>
    </row>
    <row r="531" spans="1:7" x14ac:dyDescent="0.2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8"/>
        <v/>
      </c>
      <c r="F531" t="str">
        <f t="shared" ca="1" si="19"/>
        <v/>
      </c>
      <c r="G531" t="str">
        <f t="shared" ca="1" si="20"/>
        <v/>
      </c>
    </row>
    <row r="532" spans="1:7" x14ac:dyDescent="0.2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8"/>
        <v/>
      </c>
      <c r="F532" t="str">
        <f t="shared" ca="1" si="19"/>
        <v/>
      </c>
      <c r="G532" t="str">
        <f t="shared" ca="1" si="20"/>
        <v/>
      </c>
    </row>
    <row r="533" spans="1:7" x14ac:dyDescent="0.2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8"/>
        <v/>
      </c>
      <c r="F533" t="str">
        <f t="shared" ca="1" si="19"/>
        <v/>
      </c>
      <c r="G533" t="str">
        <f t="shared" ca="1" si="20"/>
        <v/>
      </c>
    </row>
    <row r="534" spans="1:7" x14ac:dyDescent="0.2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8"/>
        <v/>
      </c>
      <c r="F534" t="str">
        <f t="shared" ca="1" si="19"/>
        <v/>
      </c>
      <c r="G534" t="str">
        <f t="shared" ca="1" si="20"/>
        <v/>
      </c>
    </row>
    <row r="535" spans="1:7" x14ac:dyDescent="0.2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8"/>
        <v/>
      </c>
      <c r="F535" t="str">
        <f t="shared" ca="1" si="19"/>
        <v/>
      </c>
      <c r="G535" t="str">
        <f t="shared" ca="1" si="20"/>
        <v/>
      </c>
    </row>
    <row r="536" spans="1:7" x14ac:dyDescent="0.2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8"/>
        <v/>
      </c>
      <c r="F536" t="str">
        <f t="shared" ca="1" si="19"/>
        <v/>
      </c>
      <c r="G536" t="str">
        <f t="shared" ca="1" si="20"/>
        <v/>
      </c>
    </row>
    <row r="537" spans="1:7" x14ac:dyDescent="0.2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8"/>
        <v/>
      </c>
      <c r="F537" t="str">
        <f t="shared" ca="1" si="19"/>
        <v/>
      </c>
      <c r="G537" t="str">
        <f t="shared" ca="1" si="20"/>
        <v/>
      </c>
    </row>
    <row r="538" spans="1:7" x14ac:dyDescent="0.2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8"/>
        <v/>
      </c>
      <c r="F538" t="str">
        <f t="shared" ca="1" si="19"/>
        <v/>
      </c>
      <c r="G538" t="str">
        <f t="shared" ca="1" si="20"/>
        <v/>
      </c>
    </row>
    <row r="539" spans="1:7" x14ac:dyDescent="0.2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8"/>
        <v/>
      </c>
      <c r="F539" t="str">
        <f t="shared" ca="1" si="19"/>
        <v/>
      </c>
      <c r="G539" t="str">
        <f t="shared" ca="1" si="20"/>
        <v/>
      </c>
    </row>
    <row r="540" spans="1:7" x14ac:dyDescent="0.2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8"/>
        <v/>
      </c>
      <c r="F540" t="str">
        <f t="shared" ca="1" si="19"/>
        <v/>
      </c>
      <c r="G540" t="str">
        <f t="shared" ca="1" si="20"/>
        <v/>
      </c>
    </row>
    <row r="541" spans="1:7" x14ac:dyDescent="0.2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8"/>
        <v/>
      </c>
      <c r="F541" t="str">
        <f t="shared" ca="1" si="19"/>
        <v/>
      </c>
      <c r="G541" t="str">
        <f t="shared" ca="1" si="20"/>
        <v/>
      </c>
    </row>
    <row r="542" spans="1:7" x14ac:dyDescent="0.2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8"/>
        <v/>
      </c>
      <c r="F542" t="str">
        <f t="shared" ca="1" si="19"/>
        <v/>
      </c>
      <c r="G542" t="str">
        <f t="shared" ca="1" si="20"/>
        <v/>
      </c>
    </row>
    <row r="543" spans="1:7" x14ac:dyDescent="0.2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8"/>
        <v/>
      </c>
      <c r="F543" t="str">
        <f t="shared" ca="1" si="19"/>
        <v/>
      </c>
      <c r="G543" t="str">
        <f t="shared" ca="1" si="20"/>
        <v/>
      </c>
    </row>
    <row r="544" spans="1:7" x14ac:dyDescent="0.2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8"/>
        <v/>
      </c>
      <c r="F544" t="str">
        <f t="shared" ca="1" si="19"/>
        <v/>
      </c>
      <c r="G544" t="str">
        <f t="shared" ca="1" si="20"/>
        <v/>
      </c>
    </row>
    <row r="545" spans="1:7" x14ac:dyDescent="0.2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8"/>
        <v/>
      </c>
      <c r="F545" t="str">
        <f t="shared" ca="1" si="19"/>
        <v/>
      </c>
      <c r="G545" t="str">
        <f t="shared" ca="1" si="20"/>
        <v/>
      </c>
    </row>
    <row r="546" spans="1:7" x14ac:dyDescent="0.2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8"/>
        <v/>
      </c>
      <c r="F546" t="str">
        <f t="shared" ca="1" si="19"/>
        <v/>
      </c>
      <c r="G546" t="str">
        <f t="shared" ca="1" si="20"/>
        <v/>
      </c>
    </row>
    <row r="547" spans="1:7" x14ac:dyDescent="0.2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8"/>
        <v/>
      </c>
      <c r="F547" t="str">
        <f t="shared" ca="1" si="19"/>
        <v/>
      </c>
      <c r="G547" t="str">
        <f t="shared" ca="1" si="20"/>
        <v/>
      </c>
    </row>
    <row r="548" spans="1:7" x14ac:dyDescent="0.2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8"/>
        <v/>
      </c>
      <c r="F548" t="str">
        <f t="shared" ca="1" si="19"/>
        <v/>
      </c>
      <c r="G548" t="str">
        <f t="shared" ca="1" si="20"/>
        <v/>
      </c>
    </row>
    <row r="549" spans="1:7" x14ac:dyDescent="0.2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8"/>
        <v/>
      </c>
      <c r="F549" t="str">
        <f t="shared" ca="1" si="19"/>
        <v/>
      </c>
      <c r="G549" t="str">
        <f t="shared" ca="1" si="20"/>
        <v/>
      </c>
    </row>
    <row r="550" spans="1:7" x14ac:dyDescent="0.2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8"/>
        <v/>
      </c>
      <c r="F550" t="str">
        <f t="shared" ca="1" si="19"/>
        <v/>
      </c>
      <c r="G550" t="str">
        <f t="shared" ca="1" si="20"/>
        <v/>
      </c>
    </row>
    <row r="551" spans="1:7" x14ac:dyDescent="0.2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8"/>
        <v/>
      </c>
      <c r="F551" t="str">
        <f t="shared" ca="1" si="19"/>
        <v/>
      </c>
      <c r="G551" t="str">
        <f t="shared" ca="1" si="20"/>
        <v/>
      </c>
    </row>
    <row r="552" spans="1:7" x14ac:dyDescent="0.2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8"/>
        <v/>
      </c>
      <c r="F552" t="str">
        <f t="shared" ca="1" si="19"/>
        <v/>
      </c>
      <c r="G552" t="str">
        <f t="shared" ca="1" si="20"/>
        <v/>
      </c>
    </row>
    <row r="553" spans="1:7" x14ac:dyDescent="0.2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8"/>
        <v/>
      </c>
      <c r="F553" t="str">
        <f t="shared" ca="1" si="19"/>
        <v/>
      </c>
      <c r="G553" t="str">
        <f t="shared" ca="1" si="20"/>
        <v/>
      </c>
    </row>
    <row r="554" spans="1:7" x14ac:dyDescent="0.2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8"/>
        <v/>
      </c>
      <c r="F554" t="str">
        <f t="shared" ca="1" si="19"/>
        <v/>
      </c>
      <c r="G554" t="str">
        <f t="shared" ca="1" si="20"/>
        <v/>
      </c>
    </row>
    <row r="555" spans="1:7" x14ac:dyDescent="0.2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8"/>
        <v/>
      </c>
      <c r="F555" t="str">
        <f t="shared" ca="1" si="19"/>
        <v/>
      </c>
      <c r="G555" t="str">
        <f t="shared" ca="1" si="20"/>
        <v/>
      </c>
    </row>
    <row r="556" spans="1:7" x14ac:dyDescent="0.2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8"/>
        <v/>
      </c>
      <c r="F556" t="str">
        <f t="shared" ca="1" si="19"/>
        <v/>
      </c>
      <c r="G556" t="str">
        <f t="shared" ca="1" si="20"/>
        <v/>
      </c>
    </row>
    <row r="557" spans="1:7" x14ac:dyDescent="0.2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8"/>
        <v/>
      </c>
      <c r="F557" t="str">
        <f t="shared" ca="1" si="19"/>
        <v/>
      </c>
      <c r="G557" t="str">
        <f t="shared" ca="1" si="20"/>
        <v/>
      </c>
    </row>
    <row r="558" spans="1:7" x14ac:dyDescent="0.2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8"/>
        <v/>
      </c>
      <c r="F558" t="str">
        <f t="shared" ca="1" si="19"/>
        <v/>
      </c>
      <c r="G558" t="str">
        <f t="shared" ca="1" si="20"/>
        <v/>
      </c>
    </row>
    <row r="559" spans="1:7" x14ac:dyDescent="0.2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2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2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2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2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2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1">IF(D583="T", 0.05, IF(D583="C", -0.01, ""))</f>
        <v/>
      </c>
      <c r="F583" t="str">
        <f t="shared" ref="F583:F646" ca="1" si="22">IF(D583="T", 0.05, IF(D583="C", 0, ""))</f>
        <v/>
      </c>
      <c r="G583" t="str">
        <f t="shared" ref="G583:G646" ca="1" si="23">IF(D583="T", 0, IF(D583="C", 0, ""))</f>
        <v/>
      </c>
    </row>
    <row r="584" spans="1:7" x14ac:dyDescent="0.2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1"/>
        <v/>
      </c>
      <c r="F584" t="str">
        <f t="shared" ca="1" si="22"/>
        <v/>
      </c>
      <c r="G584" t="str">
        <f t="shared" ca="1" si="23"/>
        <v/>
      </c>
    </row>
    <row r="585" spans="1:7" x14ac:dyDescent="0.2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1"/>
        <v/>
      </c>
      <c r="F585" t="str">
        <f t="shared" ca="1" si="22"/>
        <v/>
      </c>
      <c r="G585" t="str">
        <f t="shared" ca="1" si="23"/>
        <v/>
      </c>
    </row>
    <row r="586" spans="1:7" x14ac:dyDescent="0.2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1"/>
        <v/>
      </c>
      <c r="F586" t="str">
        <f t="shared" ca="1" si="22"/>
        <v/>
      </c>
      <c r="G586" t="str">
        <f t="shared" ca="1" si="23"/>
        <v/>
      </c>
    </row>
    <row r="587" spans="1:7" x14ac:dyDescent="0.2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1"/>
        <v/>
      </c>
      <c r="F587" t="str">
        <f t="shared" ca="1" si="22"/>
        <v/>
      </c>
      <c r="G587" t="str">
        <f t="shared" ca="1" si="23"/>
        <v/>
      </c>
    </row>
    <row r="588" spans="1:7" x14ac:dyDescent="0.2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1"/>
        <v/>
      </c>
      <c r="F588" t="str">
        <f t="shared" ca="1" si="22"/>
        <v/>
      </c>
      <c r="G588" t="str">
        <f t="shared" ca="1" si="23"/>
        <v/>
      </c>
    </row>
    <row r="589" spans="1:7" x14ac:dyDescent="0.2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1"/>
        <v/>
      </c>
      <c r="F589" t="str">
        <f t="shared" ca="1" si="22"/>
        <v/>
      </c>
      <c r="G589" t="str">
        <f t="shared" ca="1" si="23"/>
        <v/>
      </c>
    </row>
    <row r="590" spans="1:7" x14ac:dyDescent="0.2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1"/>
        <v/>
      </c>
      <c r="F590" t="str">
        <f t="shared" ca="1" si="22"/>
        <v/>
      </c>
      <c r="G590" t="str">
        <f t="shared" ca="1" si="23"/>
        <v/>
      </c>
    </row>
    <row r="591" spans="1:7" x14ac:dyDescent="0.2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1"/>
        <v/>
      </c>
      <c r="F591" t="str">
        <f t="shared" ca="1" si="22"/>
        <v/>
      </c>
      <c r="G591" t="str">
        <f t="shared" ca="1" si="23"/>
        <v/>
      </c>
    </row>
    <row r="592" spans="1:7" x14ac:dyDescent="0.2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1"/>
        <v/>
      </c>
      <c r="F592" t="str">
        <f t="shared" ca="1" si="22"/>
        <v/>
      </c>
      <c r="G592" t="str">
        <f t="shared" ca="1" si="23"/>
        <v/>
      </c>
    </row>
    <row r="593" spans="1:7" x14ac:dyDescent="0.2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1"/>
        <v/>
      </c>
      <c r="F593" t="str">
        <f t="shared" ca="1" si="22"/>
        <v/>
      </c>
      <c r="G593" t="str">
        <f t="shared" ca="1" si="23"/>
        <v/>
      </c>
    </row>
    <row r="594" spans="1:7" x14ac:dyDescent="0.2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1"/>
        <v/>
      </c>
      <c r="F594" t="str">
        <f t="shared" ca="1" si="22"/>
        <v/>
      </c>
      <c r="G594" t="str">
        <f t="shared" ca="1" si="23"/>
        <v/>
      </c>
    </row>
    <row r="595" spans="1:7" x14ac:dyDescent="0.2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1"/>
        <v/>
      </c>
      <c r="F595" t="str">
        <f t="shared" ca="1" si="22"/>
        <v/>
      </c>
      <c r="G595" t="str">
        <f t="shared" ca="1" si="23"/>
        <v/>
      </c>
    </row>
    <row r="596" spans="1:7" x14ac:dyDescent="0.2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1"/>
        <v/>
      </c>
      <c r="F596" t="str">
        <f t="shared" ca="1" si="22"/>
        <v/>
      </c>
      <c r="G596" t="str">
        <f t="shared" ca="1" si="23"/>
        <v/>
      </c>
    </row>
    <row r="597" spans="1:7" x14ac:dyDescent="0.2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1"/>
        <v/>
      </c>
      <c r="F597" t="str">
        <f t="shared" ca="1" si="22"/>
        <v/>
      </c>
      <c r="G597" t="str">
        <f t="shared" ca="1" si="23"/>
        <v/>
      </c>
    </row>
    <row r="598" spans="1:7" x14ac:dyDescent="0.2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1"/>
        <v/>
      </c>
      <c r="F598" t="str">
        <f t="shared" ca="1" si="22"/>
        <v/>
      </c>
      <c r="G598" t="str">
        <f t="shared" ca="1" si="23"/>
        <v/>
      </c>
    </row>
    <row r="599" spans="1:7" x14ac:dyDescent="0.2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1"/>
        <v/>
      </c>
      <c r="F599" t="str">
        <f t="shared" ca="1" si="22"/>
        <v/>
      </c>
      <c r="G599" t="str">
        <f t="shared" ca="1" si="23"/>
        <v/>
      </c>
    </row>
    <row r="600" spans="1:7" x14ac:dyDescent="0.2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1"/>
        <v/>
      </c>
      <c r="F600" t="str">
        <f t="shared" ca="1" si="22"/>
        <v/>
      </c>
      <c r="G600" t="str">
        <f t="shared" ca="1" si="23"/>
        <v/>
      </c>
    </row>
    <row r="601" spans="1:7" x14ac:dyDescent="0.2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1"/>
        <v/>
      </c>
      <c r="F601" t="str">
        <f t="shared" ca="1" si="22"/>
        <v/>
      </c>
      <c r="G601" t="str">
        <f t="shared" ca="1" si="23"/>
        <v/>
      </c>
    </row>
    <row r="602" spans="1:7" x14ac:dyDescent="0.2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1"/>
        <v/>
      </c>
      <c r="F602" t="str">
        <f t="shared" ca="1" si="22"/>
        <v/>
      </c>
      <c r="G602" t="str">
        <f t="shared" ca="1" si="23"/>
        <v/>
      </c>
    </row>
    <row r="603" spans="1:7" x14ac:dyDescent="0.2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1"/>
        <v/>
      </c>
      <c r="F603" t="str">
        <f t="shared" ca="1" si="22"/>
        <v/>
      </c>
      <c r="G603" t="str">
        <f t="shared" ca="1" si="23"/>
        <v/>
      </c>
    </row>
    <row r="604" spans="1:7" x14ac:dyDescent="0.2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1"/>
        <v/>
      </c>
      <c r="F604" t="str">
        <f t="shared" ca="1" si="22"/>
        <v/>
      </c>
      <c r="G604" t="str">
        <f t="shared" ca="1" si="23"/>
        <v/>
      </c>
    </row>
    <row r="605" spans="1:7" x14ac:dyDescent="0.2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1"/>
        <v/>
      </c>
      <c r="F605" t="str">
        <f t="shared" ca="1" si="22"/>
        <v/>
      </c>
      <c r="G605" t="str">
        <f t="shared" ca="1" si="23"/>
        <v/>
      </c>
    </row>
    <row r="606" spans="1:7" x14ac:dyDescent="0.2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1"/>
        <v/>
      </c>
      <c r="F606" t="str">
        <f t="shared" ca="1" si="22"/>
        <v/>
      </c>
      <c r="G606" t="str">
        <f t="shared" ca="1" si="23"/>
        <v/>
      </c>
    </row>
    <row r="607" spans="1:7" x14ac:dyDescent="0.2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1"/>
        <v/>
      </c>
      <c r="F607" t="str">
        <f t="shared" ca="1" si="22"/>
        <v/>
      </c>
      <c r="G607" t="str">
        <f t="shared" ca="1" si="23"/>
        <v/>
      </c>
    </row>
    <row r="608" spans="1:7" x14ac:dyDescent="0.2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1"/>
        <v/>
      </c>
      <c r="F608" t="str">
        <f t="shared" ca="1" si="22"/>
        <v/>
      </c>
      <c r="G608" t="str">
        <f t="shared" ca="1" si="23"/>
        <v/>
      </c>
    </row>
    <row r="609" spans="1:7" x14ac:dyDescent="0.2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1"/>
        <v/>
      </c>
      <c r="F609" t="str">
        <f t="shared" ca="1" si="22"/>
        <v/>
      </c>
      <c r="G609" t="str">
        <f t="shared" ca="1" si="23"/>
        <v/>
      </c>
    </row>
    <row r="610" spans="1:7" x14ac:dyDescent="0.2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1"/>
        <v/>
      </c>
      <c r="F610" t="str">
        <f t="shared" ca="1" si="22"/>
        <v/>
      </c>
      <c r="G610" t="str">
        <f t="shared" ca="1" si="23"/>
        <v/>
      </c>
    </row>
    <row r="611" spans="1:7" x14ac:dyDescent="0.2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1"/>
        <v/>
      </c>
      <c r="F611" t="str">
        <f t="shared" ca="1" si="22"/>
        <v/>
      </c>
      <c r="G611" t="str">
        <f t="shared" ca="1" si="23"/>
        <v/>
      </c>
    </row>
    <row r="612" spans="1:7" x14ac:dyDescent="0.2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1"/>
        <v/>
      </c>
      <c r="F612" t="str">
        <f t="shared" ca="1" si="22"/>
        <v/>
      </c>
      <c r="G612" t="str">
        <f t="shared" ca="1" si="23"/>
        <v/>
      </c>
    </row>
    <row r="613" spans="1:7" x14ac:dyDescent="0.2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1"/>
        <v/>
      </c>
      <c r="F613" t="str">
        <f t="shared" ca="1" si="22"/>
        <v/>
      </c>
      <c r="G613" t="str">
        <f t="shared" ca="1" si="23"/>
        <v/>
      </c>
    </row>
    <row r="614" spans="1:7" x14ac:dyDescent="0.2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1"/>
        <v/>
      </c>
      <c r="F614" t="str">
        <f t="shared" ca="1" si="22"/>
        <v/>
      </c>
      <c r="G614" t="str">
        <f t="shared" ca="1" si="23"/>
        <v/>
      </c>
    </row>
    <row r="615" spans="1:7" x14ac:dyDescent="0.2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1"/>
        <v/>
      </c>
      <c r="F615" t="str">
        <f t="shared" ca="1" si="22"/>
        <v/>
      </c>
      <c r="G615" t="str">
        <f t="shared" ca="1" si="23"/>
        <v/>
      </c>
    </row>
    <row r="616" spans="1:7" x14ac:dyDescent="0.2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1"/>
        <v/>
      </c>
      <c r="F616" t="str">
        <f t="shared" ca="1" si="22"/>
        <v/>
      </c>
      <c r="G616" t="str">
        <f t="shared" ca="1" si="23"/>
        <v/>
      </c>
    </row>
    <row r="617" spans="1:7" x14ac:dyDescent="0.2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1"/>
        <v/>
      </c>
      <c r="F617" t="str">
        <f t="shared" ca="1" si="22"/>
        <v/>
      </c>
      <c r="G617" t="str">
        <f t="shared" ca="1" si="23"/>
        <v/>
      </c>
    </row>
    <row r="618" spans="1:7" x14ac:dyDescent="0.2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1"/>
        <v/>
      </c>
      <c r="F618" t="str">
        <f t="shared" ca="1" si="22"/>
        <v/>
      </c>
      <c r="G618" t="str">
        <f t="shared" ca="1" si="23"/>
        <v/>
      </c>
    </row>
    <row r="619" spans="1:7" x14ac:dyDescent="0.2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1"/>
        <v/>
      </c>
      <c r="F619" t="str">
        <f t="shared" ca="1" si="22"/>
        <v/>
      </c>
      <c r="G619" t="str">
        <f t="shared" ca="1" si="23"/>
        <v/>
      </c>
    </row>
    <row r="620" spans="1:7" x14ac:dyDescent="0.2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1"/>
        <v/>
      </c>
      <c r="F620" t="str">
        <f t="shared" ca="1" si="22"/>
        <v/>
      </c>
      <c r="G620" t="str">
        <f t="shared" ca="1" si="23"/>
        <v/>
      </c>
    </row>
    <row r="621" spans="1:7" x14ac:dyDescent="0.2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1"/>
        <v/>
      </c>
      <c r="F621" t="str">
        <f t="shared" ca="1" si="22"/>
        <v/>
      </c>
      <c r="G621" t="str">
        <f t="shared" ca="1" si="23"/>
        <v/>
      </c>
    </row>
    <row r="622" spans="1:7" x14ac:dyDescent="0.2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1"/>
        <v/>
      </c>
      <c r="F622" t="str">
        <f t="shared" ca="1" si="22"/>
        <v/>
      </c>
      <c r="G622" t="str">
        <f t="shared" ca="1" si="23"/>
        <v/>
      </c>
    </row>
    <row r="623" spans="1:7" x14ac:dyDescent="0.2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2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2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2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2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2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24">IF(D647="T", 0.05, IF(D647="C", -0.01, ""))</f>
        <v/>
      </c>
      <c r="F647" t="str">
        <f t="shared" ref="F647:F710" ca="1" si="25">IF(D647="T", 0.05, IF(D647="C", 0, ""))</f>
        <v/>
      </c>
      <c r="G647" t="str">
        <f t="shared" ref="G647:G710" ca="1" si="26">IF(D647="T", 0, IF(D647="C", 0, ""))</f>
        <v/>
      </c>
    </row>
    <row r="648" spans="1:7" x14ac:dyDescent="0.2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4"/>
        <v/>
      </c>
      <c r="F648" t="str">
        <f t="shared" ca="1" si="25"/>
        <v/>
      </c>
      <c r="G648" t="str">
        <f t="shared" ca="1" si="26"/>
        <v/>
      </c>
    </row>
    <row r="649" spans="1:7" x14ac:dyDescent="0.2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4"/>
        <v/>
      </c>
      <c r="F649" t="str">
        <f t="shared" ca="1" si="25"/>
        <v/>
      </c>
      <c r="G649" t="str">
        <f t="shared" ca="1" si="26"/>
        <v/>
      </c>
    </row>
    <row r="650" spans="1:7" x14ac:dyDescent="0.2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4"/>
        <v/>
      </c>
      <c r="F650" t="str">
        <f t="shared" ca="1" si="25"/>
        <v/>
      </c>
      <c r="G650" t="str">
        <f t="shared" ca="1" si="26"/>
        <v/>
      </c>
    </row>
    <row r="651" spans="1:7" x14ac:dyDescent="0.2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4"/>
        <v/>
      </c>
      <c r="F651" t="str">
        <f t="shared" ca="1" si="25"/>
        <v/>
      </c>
      <c r="G651" t="str">
        <f t="shared" ca="1" si="26"/>
        <v/>
      </c>
    </row>
    <row r="652" spans="1:7" x14ac:dyDescent="0.2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4"/>
        <v/>
      </c>
      <c r="F652" t="str">
        <f t="shared" ca="1" si="25"/>
        <v/>
      </c>
      <c r="G652" t="str">
        <f t="shared" ca="1" si="26"/>
        <v/>
      </c>
    </row>
    <row r="653" spans="1:7" x14ac:dyDescent="0.2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4"/>
        <v/>
      </c>
      <c r="F653" t="str">
        <f t="shared" ca="1" si="25"/>
        <v/>
      </c>
      <c r="G653" t="str">
        <f t="shared" ca="1" si="26"/>
        <v/>
      </c>
    </row>
    <row r="654" spans="1:7" x14ac:dyDescent="0.2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4"/>
        <v/>
      </c>
      <c r="F654" t="str">
        <f t="shared" ca="1" si="25"/>
        <v/>
      </c>
      <c r="G654" t="str">
        <f t="shared" ca="1" si="26"/>
        <v/>
      </c>
    </row>
    <row r="655" spans="1:7" x14ac:dyDescent="0.2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4"/>
        <v/>
      </c>
      <c r="F655" t="str">
        <f t="shared" ca="1" si="25"/>
        <v/>
      </c>
      <c r="G655" t="str">
        <f t="shared" ca="1" si="26"/>
        <v/>
      </c>
    </row>
    <row r="656" spans="1:7" x14ac:dyDescent="0.2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4"/>
        <v/>
      </c>
      <c r="F656" t="str">
        <f t="shared" ca="1" si="25"/>
        <v/>
      </c>
      <c r="G656" t="str">
        <f t="shared" ca="1" si="26"/>
        <v/>
      </c>
    </row>
    <row r="657" spans="1:7" x14ac:dyDescent="0.2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4"/>
        <v/>
      </c>
      <c r="F657" t="str">
        <f t="shared" ca="1" si="25"/>
        <v/>
      </c>
      <c r="G657" t="str">
        <f t="shared" ca="1" si="26"/>
        <v/>
      </c>
    </row>
    <row r="658" spans="1:7" x14ac:dyDescent="0.2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4"/>
        <v/>
      </c>
      <c r="F658" t="str">
        <f t="shared" ca="1" si="25"/>
        <v/>
      </c>
      <c r="G658" t="str">
        <f t="shared" ca="1" si="26"/>
        <v/>
      </c>
    </row>
    <row r="659" spans="1:7" x14ac:dyDescent="0.2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4"/>
        <v/>
      </c>
      <c r="F659" t="str">
        <f t="shared" ca="1" si="25"/>
        <v/>
      </c>
      <c r="G659" t="str">
        <f t="shared" ca="1" si="26"/>
        <v/>
      </c>
    </row>
    <row r="660" spans="1:7" x14ac:dyDescent="0.2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4"/>
        <v/>
      </c>
      <c r="F660" t="str">
        <f t="shared" ca="1" si="25"/>
        <v/>
      </c>
      <c r="G660" t="str">
        <f t="shared" ca="1" si="26"/>
        <v/>
      </c>
    </row>
    <row r="661" spans="1:7" x14ac:dyDescent="0.2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4"/>
        <v/>
      </c>
      <c r="F661" t="str">
        <f t="shared" ca="1" si="25"/>
        <v/>
      </c>
      <c r="G661" t="str">
        <f t="shared" ca="1" si="26"/>
        <v/>
      </c>
    </row>
    <row r="662" spans="1:7" x14ac:dyDescent="0.2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4"/>
        <v/>
      </c>
      <c r="F662" t="str">
        <f t="shared" ca="1" si="25"/>
        <v/>
      </c>
      <c r="G662" t="str">
        <f t="shared" ca="1" si="26"/>
        <v/>
      </c>
    </row>
    <row r="663" spans="1:7" x14ac:dyDescent="0.2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4"/>
        <v/>
      </c>
      <c r="F663" t="str">
        <f t="shared" ca="1" si="25"/>
        <v/>
      </c>
      <c r="G663" t="str">
        <f t="shared" ca="1" si="26"/>
        <v/>
      </c>
    </row>
    <row r="664" spans="1:7" x14ac:dyDescent="0.2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4"/>
        <v/>
      </c>
      <c r="F664" t="str">
        <f t="shared" ca="1" si="25"/>
        <v/>
      </c>
      <c r="G664" t="str">
        <f t="shared" ca="1" si="26"/>
        <v/>
      </c>
    </row>
    <row r="665" spans="1:7" x14ac:dyDescent="0.2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4"/>
        <v/>
      </c>
      <c r="F665" t="str">
        <f t="shared" ca="1" si="25"/>
        <v/>
      </c>
      <c r="G665" t="str">
        <f t="shared" ca="1" si="26"/>
        <v/>
      </c>
    </row>
    <row r="666" spans="1:7" x14ac:dyDescent="0.2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4"/>
        <v/>
      </c>
      <c r="F666" t="str">
        <f t="shared" ca="1" si="25"/>
        <v/>
      </c>
      <c r="G666" t="str">
        <f t="shared" ca="1" si="26"/>
        <v/>
      </c>
    </row>
    <row r="667" spans="1:7" x14ac:dyDescent="0.2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4"/>
        <v/>
      </c>
      <c r="F667" t="str">
        <f t="shared" ca="1" si="25"/>
        <v/>
      </c>
      <c r="G667" t="str">
        <f t="shared" ca="1" si="26"/>
        <v/>
      </c>
    </row>
    <row r="668" spans="1:7" x14ac:dyDescent="0.2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4"/>
        <v/>
      </c>
      <c r="F668" t="str">
        <f t="shared" ca="1" si="25"/>
        <v/>
      </c>
      <c r="G668" t="str">
        <f t="shared" ca="1" si="26"/>
        <v/>
      </c>
    </row>
    <row r="669" spans="1:7" x14ac:dyDescent="0.2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4"/>
        <v/>
      </c>
      <c r="F669" t="str">
        <f t="shared" ca="1" si="25"/>
        <v/>
      </c>
      <c r="G669" t="str">
        <f t="shared" ca="1" si="26"/>
        <v/>
      </c>
    </row>
    <row r="670" spans="1:7" x14ac:dyDescent="0.2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4"/>
        <v/>
      </c>
      <c r="F670" t="str">
        <f t="shared" ca="1" si="25"/>
        <v/>
      </c>
      <c r="G670" t="str">
        <f t="shared" ca="1" si="26"/>
        <v/>
      </c>
    </row>
    <row r="671" spans="1:7" x14ac:dyDescent="0.2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4"/>
        <v/>
      </c>
      <c r="F671" t="str">
        <f t="shared" ca="1" si="25"/>
        <v/>
      </c>
      <c r="G671" t="str">
        <f t="shared" ca="1" si="26"/>
        <v/>
      </c>
    </row>
    <row r="672" spans="1:7" x14ac:dyDescent="0.2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4"/>
        <v/>
      </c>
      <c r="F672" t="str">
        <f t="shared" ca="1" si="25"/>
        <v/>
      </c>
      <c r="G672" t="str">
        <f t="shared" ca="1" si="26"/>
        <v/>
      </c>
    </row>
    <row r="673" spans="1:7" x14ac:dyDescent="0.2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4"/>
        <v/>
      </c>
      <c r="F673" t="str">
        <f t="shared" ca="1" si="25"/>
        <v/>
      </c>
      <c r="G673" t="str">
        <f t="shared" ca="1" si="26"/>
        <v/>
      </c>
    </row>
    <row r="674" spans="1:7" x14ac:dyDescent="0.2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4"/>
        <v/>
      </c>
      <c r="F674" t="str">
        <f t="shared" ca="1" si="25"/>
        <v/>
      </c>
      <c r="G674" t="str">
        <f t="shared" ca="1" si="26"/>
        <v/>
      </c>
    </row>
    <row r="675" spans="1:7" x14ac:dyDescent="0.2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4"/>
        <v/>
      </c>
      <c r="F675" t="str">
        <f t="shared" ca="1" si="25"/>
        <v/>
      </c>
      <c r="G675" t="str">
        <f t="shared" ca="1" si="26"/>
        <v/>
      </c>
    </row>
    <row r="676" spans="1:7" x14ac:dyDescent="0.2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4"/>
        <v/>
      </c>
      <c r="F676" t="str">
        <f t="shared" ca="1" si="25"/>
        <v/>
      </c>
      <c r="G676" t="str">
        <f t="shared" ca="1" si="26"/>
        <v/>
      </c>
    </row>
    <row r="677" spans="1:7" x14ac:dyDescent="0.2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4"/>
        <v/>
      </c>
      <c r="F677" t="str">
        <f t="shared" ca="1" si="25"/>
        <v/>
      </c>
      <c r="G677" t="str">
        <f t="shared" ca="1" si="26"/>
        <v/>
      </c>
    </row>
    <row r="678" spans="1:7" x14ac:dyDescent="0.2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4"/>
        <v/>
      </c>
      <c r="F678" t="str">
        <f t="shared" ca="1" si="25"/>
        <v/>
      </c>
      <c r="G678" t="str">
        <f t="shared" ca="1" si="26"/>
        <v/>
      </c>
    </row>
    <row r="679" spans="1:7" x14ac:dyDescent="0.2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4"/>
        <v/>
      </c>
      <c r="F679" t="str">
        <f t="shared" ca="1" si="25"/>
        <v/>
      </c>
      <c r="G679" t="str">
        <f t="shared" ca="1" si="26"/>
        <v/>
      </c>
    </row>
    <row r="680" spans="1:7" x14ac:dyDescent="0.2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4"/>
        <v/>
      </c>
      <c r="F680" t="str">
        <f t="shared" ca="1" si="25"/>
        <v/>
      </c>
      <c r="G680" t="str">
        <f t="shared" ca="1" si="26"/>
        <v/>
      </c>
    </row>
    <row r="681" spans="1:7" x14ac:dyDescent="0.2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4"/>
        <v/>
      </c>
      <c r="F681" t="str">
        <f t="shared" ca="1" si="25"/>
        <v/>
      </c>
      <c r="G681" t="str">
        <f t="shared" ca="1" si="26"/>
        <v/>
      </c>
    </row>
    <row r="682" spans="1:7" x14ac:dyDescent="0.2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4"/>
        <v/>
      </c>
      <c r="F682" t="str">
        <f t="shared" ca="1" si="25"/>
        <v/>
      </c>
      <c r="G682" t="str">
        <f t="shared" ca="1" si="26"/>
        <v/>
      </c>
    </row>
    <row r="683" spans="1:7" x14ac:dyDescent="0.2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4"/>
        <v/>
      </c>
      <c r="F683" t="str">
        <f t="shared" ca="1" si="25"/>
        <v/>
      </c>
      <c r="G683" t="str">
        <f t="shared" ca="1" si="26"/>
        <v/>
      </c>
    </row>
    <row r="684" spans="1:7" x14ac:dyDescent="0.2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4"/>
        <v/>
      </c>
      <c r="F684" t="str">
        <f t="shared" ca="1" si="25"/>
        <v/>
      </c>
      <c r="G684" t="str">
        <f t="shared" ca="1" si="26"/>
        <v/>
      </c>
    </row>
    <row r="685" spans="1:7" x14ac:dyDescent="0.2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4"/>
        <v/>
      </c>
      <c r="F685" t="str">
        <f t="shared" ca="1" si="25"/>
        <v/>
      </c>
      <c r="G685" t="str">
        <f t="shared" ca="1" si="26"/>
        <v/>
      </c>
    </row>
    <row r="686" spans="1:7" x14ac:dyDescent="0.2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4"/>
        <v/>
      </c>
      <c r="F686" t="str">
        <f t="shared" ca="1" si="25"/>
        <v/>
      </c>
      <c r="G686" t="str">
        <f t="shared" ca="1" si="26"/>
        <v/>
      </c>
    </row>
    <row r="687" spans="1:7" x14ac:dyDescent="0.2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2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2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2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2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2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27">IF(D711="T", 0.05, IF(D711="C", -0.01, ""))</f>
        <v/>
      </c>
      <c r="F711" t="str">
        <f t="shared" ref="F711:F774" ca="1" si="28">IF(D711="T", 0.05, IF(D711="C", 0, ""))</f>
        <v/>
      </c>
      <c r="G711" t="str">
        <f t="shared" ref="G711:G774" ca="1" si="29">IF(D711="T", 0, IF(D711="C", 0, ""))</f>
        <v/>
      </c>
    </row>
    <row r="712" spans="1:7" x14ac:dyDescent="0.2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7"/>
        <v/>
      </c>
      <c r="F712" t="str">
        <f t="shared" ca="1" si="28"/>
        <v/>
      </c>
      <c r="G712" t="str">
        <f t="shared" ca="1" si="29"/>
        <v/>
      </c>
    </row>
    <row r="713" spans="1:7" x14ac:dyDescent="0.2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7"/>
        <v/>
      </c>
      <c r="F713" t="str">
        <f t="shared" ca="1" si="28"/>
        <v/>
      </c>
      <c r="G713" t="str">
        <f t="shared" ca="1" si="29"/>
        <v/>
      </c>
    </row>
    <row r="714" spans="1:7" x14ac:dyDescent="0.2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7"/>
        <v/>
      </c>
      <c r="F714" t="str">
        <f t="shared" ca="1" si="28"/>
        <v/>
      </c>
      <c r="G714" t="str">
        <f t="shared" ca="1" si="29"/>
        <v/>
      </c>
    </row>
    <row r="715" spans="1:7" x14ac:dyDescent="0.2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7"/>
        <v/>
      </c>
      <c r="F715" t="str">
        <f t="shared" ca="1" si="28"/>
        <v/>
      </c>
      <c r="G715" t="str">
        <f t="shared" ca="1" si="29"/>
        <v/>
      </c>
    </row>
    <row r="716" spans="1:7" x14ac:dyDescent="0.2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7"/>
        <v/>
      </c>
      <c r="F716" t="str">
        <f t="shared" ca="1" si="28"/>
        <v/>
      </c>
      <c r="G716" t="str">
        <f t="shared" ca="1" si="29"/>
        <v/>
      </c>
    </row>
    <row r="717" spans="1:7" x14ac:dyDescent="0.2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7"/>
        <v/>
      </c>
      <c r="F717" t="str">
        <f t="shared" ca="1" si="28"/>
        <v/>
      </c>
      <c r="G717" t="str">
        <f t="shared" ca="1" si="29"/>
        <v/>
      </c>
    </row>
    <row r="718" spans="1:7" x14ac:dyDescent="0.2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7"/>
        <v/>
      </c>
      <c r="F718" t="str">
        <f t="shared" ca="1" si="28"/>
        <v/>
      </c>
      <c r="G718" t="str">
        <f t="shared" ca="1" si="29"/>
        <v/>
      </c>
    </row>
    <row r="719" spans="1:7" x14ac:dyDescent="0.2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7"/>
        <v/>
      </c>
      <c r="F719" t="str">
        <f t="shared" ca="1" si="28"/>
        <v/>
      </c>
      <c r="G719" t="str">
        <f t="shared" ca="1" si="29"/>
        <v/>
      </c>
    </row>
    <row r="720" spans="1:7" x14ac:dyDescent="0.2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7"/>
        <v/>
      </c>
      <c r="F720" t="str">
        <f t="shared" ca="1" si="28"/>
        <v/>
      </c>
      <c r="G720" t="str">
        <f t="shared" ca="1" si="29"/>
        <v/>
      </c>
    </row>
    <row r="721" spans="1:7" x14ac:dyDescent="0.2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7"/>
        <v/>
      </c>
      <c r="F721" t="str">
        <f t="shared" ca="1" si="28"/>
        <v/>
      </c>
      <c r="G721" t="str">
        <f t="shared" ca="1" si="29"/>
        <v/>
      </c>
    </row>
    <row r="722" spans="1:7" x14ac:dyDescent="0.2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7"/>
        <v/>
      </c>
      <c r="F722" t="str">
        <f t="shared" ca="1" si="28"/>
        <v/>
      </c>
      <c r="G722" t="str">
        <f t="shared" ca="1" si="29"/>
        <v/>
      </c>
    </row>
    <row r="723" spans="1:7" x14ac:dyDescent="0.2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7"/>
        <v/>
      </c>
      <c r="F723" t="str">
        <f t="shared" ca="1" si="28"/>
        <v/>
      </c>
      <c r="G723" t="str">
        <f t="shared" ca="1" si="29"/>
        <v/>
      </c>
    </row>
    <row r="724" spans="1:7" x14ac:dyDescent="0.2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7"/>
        <v/>
      </c>
      <c r="F724" t="str">
        <f t="shared" ca="1" si="28"/>
        <v/>
      </c>
      <c r="G724" t="str">
        <f t="shared" ca="1" si="29"/>
        <v/>
      </c>
    </row>
    <row r="725" spans="1:7" x14ac:dyDescent="0.2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7"/>
        <v/>
      </c>
      <c r="F725" t="str">
        <f t="shared" ca="1" si="28"/>
        <v/>
      </c>
      <c r="G725" t="str">
        <f t="shared" ca="1" si="29"/>
        <v/>
      </c>
    </row>
    <row r="726" spans="1:7" x14ac:dyDescent="0.2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7"/>
        <v/>
      </c>
      <c r="F726" t="str">
        <f t="shared" ca="1" si="28"/>
        <v/>
      </c>
      <c r="G726" t="str">
        <f t="shared" ca="1" si="29"/>
        <v/>
      </c>
    </row>
    <row r="727" spans="1:7" x14ac:dyDescent="0.2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7"/>
        <v/>
      </c>
      <c r="F727" t="str">
        <f t="shared" ca="1" si="28"/>
        <v/>
      </c>
      <c r="G727" t="str">
        <f t="shared" ca="1" si="29"/>
        <v/>
      </c>
    </row>
    <row r="728" spans="1:7" x14ac:dyDescent="0.2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7"/>
        <v/>
      </c>
      <c r="F728" t="str">
        <f t="shared" ca="1" si="28"/>
        <v/>
      </c>
      <c r="G728" t="str">
        <f t="shared" ca="1" si="29"/>
        <v/>
      </c>
    </row>
    <row r="729" spans="1:7" x14ac:dyDescent="0.2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7"/>
        <v/>
      </c>
      <c r="F729" t="str">
        <f t="shared" ca="1" si="28"/>
        <v/>
      </c>
      <c r="G729" t="str">
        <f t="shared" ca="1" si="29"/>
        <v/>
      </c>
    </row>
    <row r="730" spans="1:7" x14ac:dyDescent="0.2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7"/>
        <v/>
      </c>
      <c r="F730" t="str">
        <f t="shared" ca="1" si="28"/>
        <v/>
      </c>
      <c r="G730" t="str">
        <f t="shared" ca="1" si="29"/>
        <v/>
      </c>
    </row>
    <row r="731" spans="1:7" x14ac:dyDescent="0.2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7"/>
        <v/>
      </c>
      <c r="F731" t="str">
        <f t="shared" ca="1" si="28"/>
        <v/>
      </c>
      <c r="G731" t="str">
        <f t="shared" ca="1" si="29"/>
        <v/>
      </c>
    </row>
    <row r="732" spans="1:7" x14ac:dyDescent="0.2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7"/>
        <v/>
      </c>
      <c r="F732" t="str">
        <f t="shared" ca="1" si="28"/>
        <v/>
      </c>
      <c r="G732" t="str">
        <f t="shared" ca="1" si="29"/>
        <v/>
      </c>
    </row>
    <row r="733" spans="1:7" x14ac:dyDescent="0.2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7"/>
        <v/>
      </c>
      <c r="F733" t="str">
        <f t="shared" ca="1" si="28"/>
        <v/>
      </c>
      <c r="G733" t="str">
        <f t="shared" ca="1" si="29"/>
        <v/>
      </c>
    </row>
    <row r="734" spans="1:7" x14ac:dyDescent="0.2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7"/>
        <v/>
      </c>
      <c r="F734" t="str">
        <f t="shared" ca="1" si="28"/>
        <v/>
      </c>
      <c r="G734" t="str">
        <f t="shared" ca="1" si="29"/>
        <v/>
      </c>
    </row>
    <row r="735" spans="1:7" x14ac:dyDescent="0.2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7"/>
        <v/>
      </c>
      <c r="F735" t="str">
        <f t="shared" ca="1" si="28"/>
        <v/>
      </c>
      <c r="G735" t="str">
        <f t="shared" ca="1" si="29"/>
        <v/>
      </c>
    </row>
    <row r="736" spans="1:7" x14ac:dyDescent="0.2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7"/>
        <v/>
      </c>
      <c r="F736" t="str">
        <f t="shared" ca="1" si="28"/>
        <v/>
      </c>
      <c r="G736" t="str">
        <f t="shared" ca="1" si="29"/>
        <v/>
      </c>
    </row>
    <row r="737" spans="1:7" x14ac:dyDescent="0.2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7"/>
        <v/>
      </c>
      <c r="F737" t="str">
        <f t="shared" ca="1" si="28"/>
        <v/>
      </c>
      <c r="G737" t="str">
        <f t="shared" ca="1" si="29"/>
        <v/>
      </c>
    </row>
    <row r="738" spans="1:7" x14ac:dyDescent="0.2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7"/>
        <v/>
      </c>
      <c r="F738" t="str">
        <f t="shared" ca="1" si="28"/>
        <v/>
      </c>
      <c r="G738" t="str">
        <f t="shared" ca="1" si="29"/>
        <v/>
      </c>
    </row>
    <row r="739" spans="1:7" x14ac:dyDescent="0.2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7"/>
        <v/>
      </c>
      <c r="F739" t="str">
        <f t="shared" ca="1" si="28"/>
        <v/>
      </c>
      <c r="G739" t="str">
        <f t="shared" ca="1" si="29"/>
        <v/>
      </c>
    </row>
    <row r="740" spans="1:7" x14ac:dyDescent="0.2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7"/>
        <v/>
      </c>
      <c r="F740" t="str">
        <f t="shared" ca="1" si="28"/>
        <v/>
      </c>
      <c r="G740" t="str">
        <f t="shared" ca="1" si="29"/>
        <v/>
      </c>
    </row>
    <row r="741" spans="1:7" x14ac:dyDescent="0.2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7"/>
        <v/>
      </c>
      <c r="F741" t="str">
        <f t="shared" ca="1" si="28"/>
        <v/>
      </c>
      <c r="G741" t="str">
        <f t="shared" ca="1" si="29"/>
        <v/>
      </c>
    </row>
    <row r="742" spans="1:7" x14ac:dyDescent="0.2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7"/>
        <v/>
      </c>
      <c r="F742" t="str">
        <f t="shared" ca="1" si="28"/>
        <v/>
      </c>
      <c r="G742" t="str">
        <f t="shared" ca="1" si="29"/>
        <v/>
      </c>
    </row>
    <row r="743" spans="1:7" x14ac:dyDescent="0.2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7"/>
        <v/>
      </c>
      <c r="F743" t="str">
        <f t="shared" ca="1" si="28"/>
        <v/>
      </c>
      <c r="G743" t="str">
        <f t="shared" ca="1" si="29"/>
        <v/>
      </c>
    </row>
    <row r="744" spans="1:7" x14ac:dyDescent="0.2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7"/>
        <v/>
      </c>
      <c r="F744" t="str">
        <f t="shared" ca="1" si="28"/>
        <v/>
      </c>
      <c r="G744" t="str">
        <f t="shared" ca="1" si="29"/>
        <v/>
      </c>
    </row>
    <row r="745" spans="1:7" x14ac:dyDescent="0.2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7"/>
        <v/>
      </c>
      <c r="F745" t="str">
        <f t="shared" ca="1" si="28"/>
        <v/>
      </c>
      <c r="G745" t="str">
        <f t="shared" ca="1" si="29"/>
        <v/>
      </c>
    </row>
    <row r="746" spans="1:7" x14ac:dyDescent="0.2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7"/>
        <v/>
      </c>
      <c r="F746" t="str">
        <f t="shared" ca="1" si="28"/>
        <v/>
      </c>
      <c r="G746" t="str">
        <f t="shared" ca="1" si="29"/>
        <v/>
      </c>
    </row>
    <row r="747" spans="1:7" x14ac:dyDescent="0.2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7"/>
        <v/>
      </c>
      <c r="F747" t="str">
        <f t="shared" ca="1" si="28"/>
        <v/>
      </c>
      <c r="G747" t="str">
        <f t="shared" ca="1" si="29"/>
        <v/>
      </c>
    </row>
    <row r="748" spans="1:7" x14ac:dyDescent="0.2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7"/>
        <v/>
      </c>
      <c r="F748" t="str">
        <f t="shared" ca="1" si="28"/>
        <v/>
      </c>
      <c r="G748" t="str">
        <f t="shared" ca="1" si="29"/>
        <v/>
      </c>
    </row>
    <row r="749" spans="1:7" x14ac:dyDescent="0.2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7"/>
        <v/>
      </c>
      <c r="F749" t="str">
        <f t="shared" ca="1" si="28"/>
        <v/>
      </c>
      <c r="G749" t="str">
        <f t="shared" ca="1" si="29"/>
        <v/>
      </c>
    </row>
    <row r="750" spans="1:7" x14ac:dyDescent="0.2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7"/>
        <v/>
      </c>
      <c r="F750" t="str">
        <f t="shared" ca="1" si="28"/>
        <v/>
      </c>
      <c r="G750" t="str">
        <f t="shared" ca="1" si="29"/>
        <v/>
      </c>
    </row>
    <row r="751" spans="1:7" x14ac:dyDescent="0.2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2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2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2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2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2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30">IF(D775="T", 0.05, IF(D775="C", -0.01, ""))</f>
        <v/>
      </c>
      <c r="F775" t="str">
        <f t="shared" ref="F775:F838" ca="1" si="31">IF(D775="T", 0.05, IF(D775="C", 0, ""))</f>
        <v/>
      </c>
      <c r="G775" t="str">
        <f t="shared" ref="G775:G838" ca="1" si="32">IF(D775="T", 0, IF(D775="C", 0, ""))</f>
        <v/>
      </c>
    </row>
    <row r="776" spans="1:7" x14ac:dyDescent="0.2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30"/>
        <v/>
      </c>
      <c r="F776" t="str">
        <f t="shared" ca="1" si="31"/>
        <v/>
      </c>
      <c r="G776" t="str">
        <f t="shared" ca="1" si="32"/>
        <v/>
      </c>
    </row>
    <row r="777" spans="1:7" x14ac:dyDescent="0.2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30"/>
        <v/>
      </c>
      <c r="F777" t="str">
        <f t="shared" ca="1" si="31"/>
        <v/>
      </c>
      <c r="G777" t="str">
        <f t="shared" ca="1" si="32"/>
        <v/>
      </c>
    </row>
    <row r="778" spans="1:7" x14ac:dyDescent="0.2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30"/>
        <v/>
      </c>
      <c r="F778" t="str">
        <f t="shared" ca="1" si="31"/>
        <v/>
      </c>
      <c r="G778" t="str">
        <f t="shared" ca="1" si="32"/>
        <v/>
      </c>
    </row>
    <row r="779" spans="1:7" x14ac:dyDescent="0.2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30"/>
        <v/>
      </c>
      <c r="F779" t="str">
        <f t="shared" ca="1" si="31"/>
        <v/>
      </c>
      <c r="G779" t="str">
        <f t="shared" ca="1" si="32"/>
        <v/>
      </c>
    </row>
    <row r="780" spans="1:7" x14ac:dyDescent="0.2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30"/>
        <v/>
      </c>
      <c r="F780" t="str">
        <f t="shared" ca="1" si="31"/>
        <v/>
      </c>
      <c r="G780" t="str">
        <f t="shared" ca="1" si="32"/>
        <v/>
      </c>
    </row>
    <row r="781" spans="1:7" x14ac:dyDescent="0.2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30"/>
        <v/>
      </c>
      <c r="F781" t="str">
        <f t="shared" ca="1" si="31"/>
        <v/>
      </c>
      <c r="G781" t="str">
        <f t="shared" ca="1" si="32"/>
        <v/>
      </c>
    </row>
    <row r="782" spans="1:7" x14ac:dyDescent="0.2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30"/>
        <v/>
      </c>
      <c r="F782" t="str">
        <f t="shared" ca="1" si="31"/>
        <v/>
      </c>
      <c r="G782" t="str">
        <f t="shared" ca="1" si="32"/>
        <v/>
      </c>
    </row>
    <row r="783" spans="1:7" x14ac:dyDescent="0.2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30"/>
        <v/>
      </c>
      <c r="F783" t="str">
        <f t="shared" ca="1" si="31"/>
        <v/>
      </c>
      <c r="G783" t="str">
        <f t="shared" ca="1" si="32"/>
        <v/>
      </c>
    </row>
    <row r="784" spans="1:7" x14ac:dyDescent="0.2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30"/>
        <v/>
      </c>
      <c r="F784" t="str">
        <f t="shared" ca="1" si="31"/>
        <v/>
      </c>
      <c r="G784" t="str">
        <f t="shared" ca="1" si="32"/>
        <v/>
      </c>
    </row>
    <row r="785" spans="1:7" x14ac:dyDescent="0.2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30"/>
        <v/>
      </c>
      <c r="F785" t="str">
        <f t="shared" ca="1" si="31"/>
        <v/>
      </c>
      <c r="G785" t="str">
        <f t="shared" ca="1" si="32"/>
        <v/>
      </c>
    </row>
    <row r="786" spans="1:7" x14ac:dyDescent="0.2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30"/>
        <v/>
      </c>
      <c r="F786" t="str">
        <f t="shared" ca="1" si="31"/>
        <v/>
      </c>
      <c r="G786" t="str">
        <f t="shared" ca="1" si="32"/>
        <v/>
      </c>
    </row>
    <row r="787" spans="1:7" x14ac:dyDescent="0.2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30"/>
        <v/>
      </c>
      <c r="F787" t="str">
        <f t="shared" ca="1" si="31"/>
        <v/>
      </c>
      <c r="G787" t="str">
        <f t="shared" ca="1" si="32"/>
        <v/>
      </c>
    </row>
    <row r="788" spans="1:7" x14ac:dyDescent="0.2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30"/>
        <v/>
      </c>
      <c r="F788" t="str">
        <f t="shared" ca="1" si="31"/>
        <v/>
      </c>
      <c r="G788" t="str">
        <f t="shared" ca="1" si="32"/>
        <v/>
      </c>
    </row>
    <row r="789" spans="1:7" x14ac:dyDescent="0.2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30"/>
        <v/>
      </c>
      <c r="F789" t="str">
        <f t="shared" ca="1" si="31"/>
        <v/>
      </c>
      <c r="G789" t="str">
        <f t="shared" ca="1" si="32"/>
        <v/>
      </c>
    </row>
    <row r="790" spans="1:7" x14ac:dyDescent="0.2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30"/>
        <v/>
      </c>
      <c r="F790" t="str">
        <f t="shared" ca="1" si="31"/>
        <v/>
      </c>
      <c r="G790" t="str">
        <f t="shared" ca="1" si="32"/>
        <v/>
      </c>
    </row>
    <row r="791" spans="1:7" x14ac:dyDescent="0.2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30"/>
        <v/>
      </c>
      <c r="F791" t="str">
        <f t="shared" ca="1" si="31"/>
        <v/>
      </c>
      <c r="G791" t="str">
        <f t="shared" ca="1" si="32"/>
        <v/>
      </c>
    </row>
    <row r="792" spans="1:7" x14ac:dyDescent="0.2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30"/>
        <v/>
      </c>
      <c r="F792" t="str">
        <f t="shared" ca="1" si="31"/>
        <v/>
      </c>
      <c r="G792" t="str">
        <f t="shared" ca="1" si="32"/>
        <v/>
      </c>
    </row>
    <row r="793" spans="1:7" x14ac:dyDescent="0.2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30"/>
        <v/>
      </c>
      <c r="F793" t="str">
        <f t="shared" ca="1" si="31"/>
        <v/>
      </c>
      <c r="G793" t="str">
        <f t="shared" ca="1" si="32"/>
        <v/>
      </c>
    </row>
    <row r="794" spans="1:7" x14ac:dyDescent="0.2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30"/>
        <v/>
      </c>
      <c r="F794" t="str">
        <f t="shared" ca="1" si="31"/>
        <v/>
      </c>
      <c r="G794" t="str">
        <f t="shared" ca="1" si="32"/>
        <v/>
      </c>
    </row>
    <row r="795" spans="1:7" x14ac:dyDescent="0.2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30"/>
        <v/>
      </c>
      <c r="F795" t="str">
        <f t="shared" ca="1" si="31"/>
        <v/>
      </c>
      <c r="G795" t="str">
        <f t="shared" ca="1" si="32"/>
        <v/>
      </c>
    </row>
    <row r="796" spans="1:7" x14ac:dyDescent="0.2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30"/>
        <v/>
      </c>
      <c r="F796" t="str">
        <f t="shared" ca="1" si="31"/>
        <v/>
      </c>
      <c r="G796" t="str">
        <f t="shared" ca="1" si="32"/>
        <v/>
      </c>
    </row>
    <row r="797" spans="1:7" x14ac:dyDescent="0.2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30"/>
        <v/>
      </c>
      <c r="F797" t="str">
        <f t="shared" ca="1" si="31"/>
        <v/>
      </c>
      <c r="G797" t="str">
        <f t="shared" ca="1" si="32"/>
        <v/>
      </c>
    </row>
    <row r="798" spans="1:7" x14ac:dyDescent="0.2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30"/>
        <v/>
      </c>
      <c r="F798" t="str">
        <f t="shared" ca="1" si="31"/>
        <v/>
      </c>
      <c r="G798" t="str">
        <f t="shared" ca="1" si="32"/>
        <v/>
      </c>
    </row>
    <row r="799" spans="1:7" x14ac:dyDescent="0.2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30"/>
        <v/>
      </c>
      <c r="F799" t="str">
        <f t="shared" ca="1" si="31"/>
        <v/>
      </c>
      <c r="G799" t="str">
        <f t="shared" ca="1" si="32"/>
        <v/>
      </c>
    </row>
    <row r="800" spans="1:7" x14ac:dyDescent="0.2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30"/>
        <v/>
      </c>
      <c r="F800" t="str">
        <f t="shared" ca="1" si="31"/>
        <v/>
      </c>
      <c r="G800" t="str">
        <f t="shared" ca="1" si="32"/>
        <v/>
      </c>
    </row>
    <row r="801" spans="1:7" x14ac:dyDescent="0.2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30"/>
        <v/>
      </c>
      <c r="F801" t="str">
        <f t="shared" ca="1" si="31"/>
        <v/>
      </c>
      <c r="G801" t="str">
        <f t="shared" ca="1" si="32"/>
        <v/>
      </c>
    </row>
    <row r="802" spans="1:7" x14ac:dyDescent="0.2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30"/>
        <v/>
      </c>
      <c r="F802" t="str">
        <f t="shared" ca="1" si="31"/>
        <v/>
      </c>
      <c r="G802" t="str">
        <f t="shared" ca="1" si="32"/>
        <v/>
      </c>
    </row>
    <row r="803" spans="1:7" x14ac:dyDescent="0.2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30"/>
        <v/>
      </c>
      <c r="F803" t="str">
        <f t="shared" ca="1" si="31"/>
        <v/>
      </c>
      <c r="G803" t="str">
        <f t="shared" ca="1" si="32"/>
        <v/>
      </c>
    </row>
    <row r="804" spans="1:7" x14ac:dyDescent="0.2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30"/>
        <v/>
      </c>
      <c r="F804" t="str">
        <f t="shared" ca="1" si="31"/>
        <v/>
      </c>
      <c r="G804" t="str">
        <f t="shared" ca="1" si="32"/>
        <v/>
      </c>
    </row>
    <row r="805" spans="1:7" x14ac:dyDescent="0.2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30"/>
        <v/>
      </c>
      <c r="F805" t="str">
        <f t="shared" ca="1" si="31"/>
        <v/>
      </c>
      <c r="G805" t="str">
        <f t="shared" ca="1" si="32"/>
        <v/>
      </c>
    </row>
    <row r="806" spans="1:7" x14ac:dyDescent="0.2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30"/>
        <v/>
      </c>
      <c r="F806" t="str">
        <f t="shared" ca="1" si="31"/>
        <v/>
      </c>
      <c r="G806" t="str">
        <f t="shared" ca="1" si="32"/>
        <v/>
      </c>
    </row>
    <row r="807" spans="1:7" x14ac:dyDescent="0.2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30"/>
        <v/>
      </c>
      <c r="F807" t="str">
        <f t="shared" ca="1" si="31"/>
        <v/>
      </c>
      <c r="G807" t="str">
        <f t="shared" ca="1" si="32"/>
        <v/>
      </c>
    </row>
    <row r="808" spans="1:7" x14ac:dyDescent="0.2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30"/>
        <v/>
      </c>
      <c r="F808" t="str">
        <f t="shared" ca="1" si="31"/>
        <v/>
      </c>
      <c r="G808" t="str">
        <f t="shared" ca="1" si="32"/>
        <v/>
      </c>
    </row>
    <row r="809" spans="1:7" x14ac:dyDescent="0.2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30"/>
        <v/>
      </c>
      <c r="F809" t="str">
        <f t="shared" ca="1" si="31"/>
        <v/>
      </c>
      <c r="G809" t="str">
        <f t="shared" ca="1" si="32"/>
        <v/>
      </c>
    </row>
    <row r="810" spans="1:7" x14ac:dyDescent="0.2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30"/>
        <v/>
      </c>
      <c r="F810" t="str">
        <f t="shared" ca="1" si="31"/>
        <v/>
      </c>
      <c r="G810" t="str">
        <f t="shared" ca="1" si="32"/>
        <v/>
      </c>
    </row>
    <row r="811" spans="1:7" x14ac:dyDescent="0.2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30"/>
        <v/>
      </c>
      <c r="F811" t="str">
        <f t="shared" ca="1" si="31"/>
        <v/>
      </c>
      <c r="G811" t="str">
        <f t="shared" ca="1" si="32"/>
        <v/>
      </c>
    </row>
    <row r="812" spans="1:7" x14ac:dyDescent="0.2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30"/>
        <v/>
      </c>
      <c r="F812" t="str">
        <f t="shared" ca="1" si="31"/>
        <v/>
      </c>
      <c r="G812" t="str">
        <f t="shared" ca="1" si="32"/>
        <v/>
      </c>
    </row>
    <row r="813" spans="1:7" x14ac:dyDescent="0.2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30"/>
        <v/>
      </c>
      <c r="F813" t="str">
        <f t="shared" ca="1" si="31"/>
        <v/>
      </c>
      <c r="G813" t="str">
        <f t="shared" ca="1" si="32"/>
        <v/>
      </c>
    </row>
    <row r="814" spans="1:7" x14ac:dyDescent="0.2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30"/>
        <v/>
      </c>
      <c r="F814" t="str">
        <f t="shared" ca="1" si="31"/>
        <v/>
      </c>
      <c r="G814" t="str">
        <f t="shared" ca="1" si="32"/>
        <v/>
      </c>
    </row>
    <row r="815" spans="1:7" x14ac:dyDescent="0.2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2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2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2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2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2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33">IF(D839="T", 0.05, IF(D839="C", -0.01, ""))</f>
        <v/>
      </c>
      <c r="F839" t="str">
        <f t="shared" ref="F839:F902" ca="1" si="34">IF(D839="T", 0.05, IF(D839="C", 0, ""))</f>
        <v/>
      </c>
      <c r="G839" t="str">
        <f t="shared" ref="G839:G902" ca="1" si="35">IF(D839="T", 0, IF(D839="C", 0, ""))</f>
        <v/>
      </c>
    </row>
    <row r="840" spans="1:7" x14ac:dyDescent="0.2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3"/>
        <v/>
      </c>
      <c r="F840" t="str">
        <f t="shared" ca="1" si="34"/>
        <v/>
      </c>
      <c r="G840" t="str">
        <f t="shared" ca="1" si="35"/>
        <v/>
      </c>
    </row>
    <row r="841" spans="1:7" x14ac:dyDescent="0.2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3"/>
        <v/>
      </c>
      <c r="F841" t="str">
        <f t="shared" ca="1" si="34"/>
        <v/>
      </c>
      <c r="G841" t="str">
        <f t="shared" ca="1" si="35"/>
        <v/>
      </c>
    </row>
    <row r="842" spans="1:7" x14ac:dyDescent="0.2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3"/>
        <v/>
      </c>
      <c r="F842" t="str">
        <f t="shared" ca="1" si="34"/>
        <v/>
      </c>
      <c r="G842" t="str">
        <f t="shared" ca="1" si="35"/>
        <v/>
      </c>
    </row>
    <row r="843" spans="1:7" x14ac:dyDescent="0.2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3"/>
        <v/>
      </c>
      <c r="F843" t="str">
        <f t="shared" ca="1" si="34"/>
        <v/>
      </c>
      <c r="G843" t="str">
        <f t="shared" ca="1" si="35"/>
        <v/>
      </c>
    </row>
    <row r="844" spans="1:7" x14ac:dyDescent="0.2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3"/>
        <v/>
      </c>
      <c r="F844" t="str">
        <f t="shared" ca="1" si="34"/>
        <v/>
      </c>
      <c r="G844" t="str">
        <f t="shared" ca="1" si="35"/>
        <v/>
      </c>
    </row>
    <row r="845" spans="1:7" x14ac:dyDescent="0.2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3"/>
        <v/>
      </c>
      <c r="F845" t="str">
        <f t="shared" ca="1" si="34"/>
        <v/>
      </c>
      <c r="G845" t="str">
        <f t="shared" ca="1" si="35"/>
        <v/>
      </c>
    </row>
    <row r="846" spans="1:7" x14ac:dyDescent="0.2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3"/>
        <v/>
      </c>
      <c r="F846" t="str">
        <f t="shared" ca="1" si="34"/>
        <v/>
      </c>
      <c r="G846" t="str">
        <f t="shared" ca="1" si="35"/>
        <v/>
      </c>
    </row>
    <row r="847" spans="1:7" x14ac:dyDescent="0.2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3"/>
        <v/>
      </c>
      <c r="F847" t="str">
        <f t="shared" ca="1" si="34"/>
        <v/>
      </c>
      <c r="G847" t="str">
        <f t="shared" ca="1" si="35"/>
        <v/>
      </c>
    </row>
    <row r="848" spans="1:7" x14ac:dyDescent="0.2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3"/>
        <v/>
      </c>
      <c r="F848" t="str">
        <f t="shared" ca="1" si="34"/>
        <v/>
      </c>
      <c r="G848" t="str">
        <f t="shared" ca="1" si="35"/>
        <v/>
      </c>
    </row>
    <row r="849" spans="1:7" x14ac:dyDescent="0.2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3"/>
        <v/>
      </c>
      <c r="F849" t="str">
        <f t="shared" ca="1" si="34"/>
        <v/>
      </c>
      <c r="G849" t="str">
        <f t="shared" ca="1" si="35"/>
        <v/>
      </c>
    </row>
    <row r="850" spans="1:7" x14ac:dyDescent="0.2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3"/>
        <v/>
      </c>
      <c r="F850" t="str">
        <f t="shared" ca="1" si="34"/>
        <v/>
      </c>
      <c r="G850" t="str">
        <f t="shared" ca="1" si="35"/>
        <v/>
      </c>
    </row>
    <row r="851" spans="1:7" x14ac:dyDescent="0.2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3"/>
        <v/>
      </c>
      <c r="F851" t="str">
        <f t="shared" ca="1" si="34"/>
        <v/>
      </c>
      <c r="G851" t="str">
        <f t="shared" ca="1" si="35"/>
        <v/>
      </c>
    </row>
    <row r="852" spans="1:7" x14ac:dyDescent="0.2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3"/>
        <v/>
      </c>
      <c r="F852" t="str">
        <f t="shared" ca="1" si="34"/>
        <v/>
      </c>
      <c r="G852" t="str">
        <f t="shared" ca="1" si="35"/>
        <v/>
      </c>
    </row>
    <row r="853" spans="1:7" x14ac:dyDescent="0.2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3"/>
        <v/>
      </c>
      <c r="F853" t="str">
        <f t="shared" ca="1" si="34"/>
        <v/>
      </c>
      <c r="G853" t="str">
        <f t="shared" ca="1" si="35"/>
        <v/>
      </c>
    </row>
    <row r="854" spans="1:7" x14ac:dyDescent="0.2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3"/>
        <v/>
      </c>
      <c r="F854" t="str">
        <f t="shared" ca="1" si="34"/>
        <v/>
      </c>
      <c r="G854" t="str">
        <f t="shared" ca="1" si="35"/>
        <v/>
      </c>
    </row>
    <row r="855" spans="1:7" x14ac:dyDescent="0.2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3"/>
        <v/>
      </c>
      <c r="F855" t="str">
        <f t="shared" ca="1" si="34"/>
        <v/>
      </c>
      <c r="G855" t="str">
        <f t="shared" ca="1" si="35"/>
        <v/>
      </c>
    </row>
    <row r="856" spans="1:7" x14ac:dyDescent="0.2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3"/>
        <v/>
      </c>
      <c r="F856" t="str">
        <f t="shared" ca="1" si="34"/>
        <v/>
      </c>
      <c r="G856" t="str">
        <f t="shared" ca="1" si="35"/>
        <v/>
      </c>
    </row>
    <row r="857" spans="1:7" x14ac:dyDescent="0.2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3"/>
        <v/>
      </c>
      <c r="F857" t="str">
        <f t="shared" ca="1" si="34"/>
        <v/>
      </c>
      <c r="G857" t="str">
        <f t="shared" ca="1" si="35"/>
        <v/>
      </c>
    </row>
    <row r="858" spans="1:7" x14ac:dyDescent="0.2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3"/>
        <v/>
      </c>
      <c r="F858" t="str">
        <f t="shared" ca="1" si="34"/>
        <v/>
      </c>
      <c r="G858" t="str">
        <f t="shared" ca="1" si="35"/>
        <v/>
      </c>
    </row>
    <row r="859" spans="1:7" x14ac:dyDescent="0.2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3"/>
        <v/>
      </c>
      <c r="F859" t="str">
        <f t="shared" ca="1" si="34"/>
        <v/>
      </c>
      <c r="G859" t="str">
        <f t="shared" ca="1" si="35"/>
        <v/>
      </c>
    </row>
    <row r="860" spans="1:7" x14ac:dyDescent="0.2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3"/>
        <v/>
      </c>
      <c r="F860" t="str">
        <f t="shared" ca="1" si="34"/>
        <v/>
      </c>
      <c r="G860" t="str">
        <f t="shared" ca="1" si="35"/>
        <v/>
      </c>
    </row>
    <row r="861" spans="1:7" x14ac:dyDescent="0.2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3"/>
        <v/>
      </c>
      <c r="F861" t="str">
        <f t="shared" ca="1" si="34"/>
        <v/>
      </c>
      <c r="G861" t="str">
        <f t="shared" ca="1" si="35"/>
        <v/>
      </c>
    </row>
    <row r="862" spans="1:7" x14ac:dyDescent="0.2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3"/>
        <v/>
      </c>
      <c r="F862" t="str">
        <f t="shared" ca="1" si="34"/>
        <v/>
      </c>
      <c r="G862" t="str">
        <f t="shared" ca="1" si="35"/>
        <v/>
      </c>
    </row>
    <row r="863" spans="1:7" x14ac:dyDescent="0.2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3"/>
        <v/>
      </c>
      <c r="F863" t="str">
        <f t="shared" ca="1" si="34"/>
        <v/>
      </c>
      <c r="G863" t="str">
        <f t="shared" ca="1" si="35"/>
        <v/>
      </c>
    </row>
    <row r="864" spans="1:7" x14ac:dyDescent="0.2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3"/>
        <v/>
      </c>
      <c r="F864" t="str">
        <f t="shared" ca="1" si="34"/>
        <v/>
      </c>
      <c r="G864" t="str">
        <f t="shared" ca="1" si="35"/>
        <v/>
      </c>
    </row>
    <row r="865" spans="1:7" x14ac:dyDescent="0.2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3"/>
        <v/>
      </c>
      <c r="F865" t="str">
        <f t="shared" ca="1" si="34"/>
        <v/>
      </c>
      <c r="G865" t="str">
        <f t="shared" ca="1" si="35"/>
        <v/>
      </c>
    </row>
    <row r="866" spans="1:7" x14ac:dyDescent="0.2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3"/>
        <v/>
      </c>
      <c r="F866" t="str">
        <f t="shared" ca="1" si="34"/>
        <v/>
      </c>
      <c r="G866" t="str">
        <f t="shared" ca="1" si="35"/>
        <v/>
      </c>
    </row>
    <row r="867" spans="1:7" x14ac:dyDescent="0.2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3"/>
        <v/>
      </c>
      <c r="F867" t="str">
        <f t="shared" ca="1" si="34"/>
        <v/>
      </c>
      <c r="G867" t="str">
        <f t="shared" ca="1" si="35"/>
        <v/>
      </c>
    </row>
    <row r="868" spans="1:7" x14ac:dyDescent="0.2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3"/>
        <v/>
      </c>
      <c r="F868" t="str">
        <f t="shared" ca="1" si="34"/>
        <v/>
      </c>
      <c r="G868" t="str">
        <f t="shared" ca="1" si="35"/>
        <v/>
      </c>
    </row>
    <row r="869" spans="1:7" x14ac:dyDescent="0.2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3"/>
        <v/>
      </c>
      <c r="F869" t="str">
        <f t="shared" ca="1" si="34"/>
        <v/>
      </c>
      <c r="G869" t="str">
        <f t="shared" ca="1" si="35"/>
        <v/>
      </c>
    </row>
    <row r="870" spans="1:7" x14ac:dyDescent="0.2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3"/>
        <v/>
      </c>
      <c r="F870" t="str">
        <f t="shared" ca="1" si="34"/>
        <v/>
      </c>
      <c r="G870" t="str">
        <f t="shared" ca="1" si="35"/>
        <v/>
      </c>
    </row>
    <row r="871" spans="1:7" x14ac:dyDescent="0.2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3"/>
        <v/>
      </c>
      <c r="F871" t="str">
        <f t="shared" ca="1" si="34"/>
        <v/>
      </c>
      <c r="G871" t="str">
        <f t="shared" ca="1" si="35"/>
        <v/>
      </c>
    </row>
    <row r="872" spans="1:7" x14ac:dyDescent="0.2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3"/>
        <v/>
      </c>
      <c r="F872" t="str">
        <f t="shared" ca="1" si="34"/>
        <v/>
      </c>
      <c r="G872" t="str">
        <f t="shared" ca="1" si="35"/>
        <v/>
      </c>
    </row>
    <row r="873" spans="1:7" x14ac:dyDescent="0.2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3"/>
        <v/>
      </c>
      <c r="F873" t="str">
        <f t="shared" ca="1" si="34"/>
        <v/>
      </c>
      <c r="G873" t="str">
        <f t="shared" ca="1" si="35"/>
        <v/>
      </c>
    </row>
    <row r="874" spans="1:7" x14ac:dyDescent="0.2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3"/>
        <v/>
      </c>
      <c r="F874" t="str">
        <f t="shared" ca="1" si="34"/>
        <v/>
      </c>
      <c r="G874" t="str">
        <f t="shared" ca="1" si="35"/>
        <v/>
      </c>
    </row>
    <row r="875" spans="1:7" x14ac:dyDescent="0.2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3"/>
        <v/>
      </c>
      <c r="F875" t="str">
        <f t="shared" ca="1" si="34"/>
        <v/>
      </c>
      <c r="G875" t="str">
        <f t="shared" ca="1" si="35"/>
        <v/>
      </c>
    </row>
    <row r="876" spans="1:7" x14ac:dyDescent="0.2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3"/>
        <v/>
      </c>
      <c r="F876" t="str">
        <f t="shared" ca="1" si="34"/>
        <v/>
      </c>
      <c r="G876" t="str">
        <f t="shared" ca="1" si="35"/>
        <v/>
      </c>
    </row>
    <row r="877" spans="1:7" x14ac:dyDescent="0.2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3"/>
        <v/>
      </c>
      <c r="F877" t="str">
        <f t="shared" ca="1" si="34"/>
        <v/>
      </c>
      <c r="G877" t="str">
        <f t="shared" ca="1" si="35"/>
        <v/>
      </c>
    </row>
    <row r="878" spans="1:7" x14ac:dyDescent="0.2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3"/>
        <v/>
      </c>
      <c r="F878" t="str">
        <f t="shared" ca="1" si="34"/>
        <v/>
      </c>
      <c r="G878" t="str">
        <f t="shared" ca="1" si="35"/>
        <v/>
      </c>
    </row>
    <row r="879" spans="1:7" x14ac:dyDescent="0.2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2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2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2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2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2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36">IF(D903="T", 0.05, IF(D903="C", -0.01, ""))</f>
        <v/>
      </c>
      <c r="F903" t="str">
        <f t="shared" ref="F903:F966" ca="1" si="37">IF(D903="T", 0.05, IF(D903="C", 0, ""))</f>
        <v/>
      </c>
      <c r="G903" t="str">
        <f t="shared" ref="G903:G966" ca="1" si="38">IF(D903="T", 0, IF(D903="C", 0, ""))</f>
        <v/>
      </c>
    </row>
    <row r="904" spans="1:7" x14ac:dyDescent="0.2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6"/>
        <v/>
      </c>
      <c r="F904" t="str">
        <f t="shared" ca="1" si="37"/>
        <v/>
      </c>
      <c r="G904" t="str">
        <f t="shared" ca="1" si="38"/>
        <v/>
      </c>
    </row>
    <row r="905" spans="1:7" x14ac:dyDescent="0.2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6"/>
        <v/>
      </c>
      <c r="F905" t="str">
        <f t="shared" ca="1" si="37"/>
        <v/>
      </c>
      <c r="G905" t="str">
        <f t="shared" ca="1" si="38"/>
        <v/>
      </c>
    </row>
    <row r="906" spans="1:7" x14ac:dyDescent="0.2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6"/>
        <v/>
      </c>
      <c r="F906" t="str">
        <f t="shared" ca="1" si="37"/>
        <v/>
      </c>
      <c r="G906" t="str">
        <f t="shared" ca="1" si="38"/>
        <v/>
      </c>
    </row>
    <row r="907" spans="1:7" x14ac:dyDescent="0.2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6"/>
        <v/>
      </c>
      <c r="F907" t="str">
        <f t="shared" ca="1" si="37"/>
        <v/>
      </c>
      <c r="G907" t="str">
        <f t="shared" ca="1" si="38"/>
        <v/>
      </c>
    </row>
    <row r="908" spans="1:7" x14ac:dyDescent="0.2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6"/>
        <v/>
      </c>
      <c r="F908" t="str">
        <f t="shared" ca="1" si="37"/>
        <v/>
      </c>
      <c r="G908" t="str">
        <f t="shared" ca="1" si="38"/>
        <v/>
      </c>
    </row>
    <row r="909" spans="1:7" x14ac:dyDescent="0.2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6"/>
        <v/>
      </c>
      <c r="F909" t="str">
        <f t="shared" ca="1" si="37"/>
        <v/>
      </c>
      <c r="G909" t="str">
        <f t="shared" ca="1" si="38"/>
        <v/>
      </c>
    </row>
    <row r="910" spans="1:7" x14ac:dyDescent="0.2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6"/>
        <v/>
      </c>
      <c r="F910" t="str">
        <f t="shared" ca="1" si="37"/>
        <v/>
      </c>
      <c r="G910" t="str">
        <f t="shared" ca="1" si="38"/>
        <v/>
      </c>
    </row>
    <row r="911" spans="1:7" x14ac:dyDescent="0.2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6"/>
        <v/>
      </c>
      <c r="F911" t="str">
        <f t="shared" ca="1" si="37"/>
        <v/>
      </c>
      <c r="G911" t="str">
        <f t="shared" ca="1" si="38"/>
        <v/>
      </c>
    </row>
    <row r="912" spans="1:7" x14ac:dyDescent="0.2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6"/>
        <v/>
      </c>
      <c r="F912" t="str">
        <f t="shared" ca="1" si="37"/>
        <v/>
      </c>
      <c r="G912" t="str">
        <f t="shared" ca="1" si="38"/>
        <v/>
      </c>
    </row>
    <row r="913" spans="1:7" x14ac:dyDescent="0.2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6"/>
        <v/>
      </c>
      <c r="F913" t="str">
        <f t="shared" ca="1" si="37"/>
        <v/>
      </c>
      <c r="G913" t="str">
        <f t="shared" ca="1" si="38"/>
        <v/>
      </c>
    </row>
    <row r="914" spans="1:7" x14ac:dyDescent="0.2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6"/>
        <v/>
      </c>
      <c r="F914" t="str">
        <f t="shared" ca="1" si="37"/>
        <v/>
      </c>
      <c r="G914" t="str">
        <f t="shared" ca="1" si="38"/>
        <v/>
      </c>
    </row>
    <row r="915" spans="1:7" x14ac:dyDescent="0.2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6"/>
        <v/>
      </c>
      <c r="F915" t="str">
        <f t="shared" ca="1" si="37"/>
        <v/>
      </c>
      <c r="G915" t="str">
        <f t="shared" ca="1" si="38"/>
        <v/>
      </c>
    </row>
    <row r="916" spans="1:7" x14ac:dyDescent="0.2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6"/>
        <v/>
      </c>
      <c r="F916" t="str">
        <f t="shared" ca="1" si="37"/>
        <v/>
      </c>
      <c r="G916" t="str">
        <f t="shared" ca="1" si="38"/>
        <v/>
      </c>
    </row>
    <row r="917" spans="1:7" x14ac:dyDescent="0.2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6"/>
        <v/>
      </c>
      <c r="F917" t="str">
        <f t="shared" ca="1" si="37"/>
        <v/>
      </c>
      <c r="G917" t="str">
        <f t="shared" ca="1" si="38"/>
        <v/>
      </c>
    </row>
    <row r="918" spans="1:7" x14ac:dyDescent="0.2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6"/>
        <v/>
      </c>
      <c r="F918" t="str">
        <f t="shared" ca="1" si="37"/>
        <v/>
      </c>
      <c r="G918" t="str">
        <f t="shared" ca="1" si="38"/>
        <v/>
      </c>
    </row>
    <row r="919" spans="1:7" x14ac:dyDescent="0.2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6"/>
        <v/>
      </c>
      <c r="F919" t="str">
        <f t="shared" ca="1" si="37"/>
        <v/>
      </c>
      <c r="G919" t="str">
        <f t="shared" ca="1" si="38"/>
        <v/>
      </c>
    </row>
    <row r="920" spans="1:7" x14ac:dyDescent="0.2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6"/>
        <v/>
      </c>
      <c r="F920" t="str">
        <f t="shared" ca="1" si="37"/>
        <v/>
      </c>
      <c r="G920" t="str">
        <f t="shared" ca="1" si="38"/>
        <v/>
      </c>
    </row>
    <row r="921" spans="1:7" x14ac:dyDescent="0.2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6"/>
        <v/>
      </c>
      <c r="F921" t="str">
        <f t="shared" ca="1" si="37"/>
        <v/>
      </c>
      <c r="G921" t="str">
        <f t="shared" ca="1" si="38"/>
        <v/>
      </c>
    </row>
    <row r="922" spans="1:7" x14ac:dyDescent="0.2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6"/>
        <v/>
      </c>
      <c r="F922" t="str">
        <f t="shared" ca="1" si="37"/>
        <v/>
      </c>
      <c r="G922" t="str">
        <f t="shared" ca="1" si="38"/>
        <v/>
      </c>
    </row>
    <row r="923" spans="1:7" x14ac:dyDescent="0.2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6"/>
        <v/>
      </c>
      <c r="F923" t="str">
        <f t="shared" ca="1" si="37"/>
        <v/>
      </c>
      <c r="G923" t="str">
        <f t="shared" ca="1" si="38"/>
        <v/>
      </c>
    </row>
    <row r="924" spans="1:7" x14ac:dyDescent="0.2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6"/>
        <v/>
      </c>
      <c r="F924" t="str">
        <f t="shared" ca="1" si="37"/>
        <v/>
      </c>
      <c r="G924" t="str">
        <f t="shared" ca="1" si="38"/>
        <v/>
      </c>
    </row>
    <row r="925" spans="1:7" x14ac:dyDescent="0.2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6"/>
        <v/>
      </c>
      <c r="F925" t="str">
        <f t="shared" ca="1" si="37"/>
        <v/>
      </c>
      <c r="G925" t="str">
        <f t="shared" ca="1" si="38"/>
        <v/>
      </c>
    </row>
    <row r="926" spans="1:7" x14ac:dyDescent="0.2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6"/>
        <v/>
      </c>
      <c r="F926" t="str">
        <f t="shared" ca="1" si="37"/>
        <v/>
      </c>
      <c r="G926" t="str">
        <f t="shared" ca="1" si="38"/>
        <v/>
      </c>
    </row>
    <row r="927" spans="1:7" x14ac:dyDescent="0.2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6"/>
        <v/>
      </c>
      <c r="F927" t="str">
        <f t="shared" ca="1" si="37"/>
        <v/>
      </c>
      <c r="G927" t="str">
        <f t="shared" ca="1" si="38"/>
        <v/>
      </c>
    </row>
    <row r="928" spans="1:7" x14ac:dyDescent="0.2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6"/>
        <v/>
      </c>
      <c r="F928" t="str">
        <f t="shared" ca="1" si="37"/>
        <v/>
      </c>
      <c r="G928" t="str">
        <f t="shared" ca="1" si="38"/>
        <v/>
      </c>
    </row>
    <row r="929" spans="1:7" x14ac:dyDescent="0.2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6"/>
        <v/>
      </c>
      <c r="F929" t="str">
        <f t="shared" ca="1" si="37"/>
        <v/>
      </c>
      <c r="G929" t="str">
        <f t="shared" ca="1" si="38"/>
        <v/>
      </c>
    </row>
    <row r="930" spans="1:7" x14ac:dyDescent="0.2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6"/>
        <v/>
      </c>
      <c r="F930" t="str">
        <f t="shared" ca="1" si="37"/>
        <v/>
      </c>
      <c r="G930" t="str">
        <f t="shared" ca="1" si="38"/>
        <v/>
      </c>
    </row>
    <row r="931" spans="1:7" x14ac:dyDescent="0.2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6"/>
        <v/>
      </c>
      <c r="F931" t="str">
        <f t="shared" ca="1" si="37"/>
        <v/>
      </c>
      <c r="G931" t="str">
        <f t="shared" ca="1" si="38"/>
        <v/>
      </c>
    </row>
    <row r="932" spans="1:7" x14ac:dyDescent="0.2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6"/>
        <v/>
      </c>
      <c r="F932" t="str">
        <f t="shared" ca="1" si="37"/>
        <v/>
      </c>
      <c r="G932" t="str">
        <f t="shared" ca="1" si="38"/>
        <v/>
      </c>
    </row>
    <row r="933" spans="1:7" x14ac:dyDescent="0.2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6"/>
        <v/>
      </c>
      <c r="F933" t="str">
        <f t="shared" ca="1" si="37"/>
        <v/>
      </c>
      <c r="G933" t="str">
        <f t="shared" ca="1" si="38"/>
        <v/>
      </c>
    </row>
    <row r="934" spans="1:7" x14ac:dyDescent="0.2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6"/>
        <v/>
      </c>
      <c r="F934" t="str">
        <f t="shared" ca="1" si="37"/>
        <v/>
      </c>
      <c r="G934" t="str">
        <f t="shared" ca="1" si="38"/>
        <v/>
      </c>
    </row>
    <row r="935" spans="1:7" x14ac:dyDescent="0.2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6"/>
        <v/>
      </c>
      <c r="F935" t="str">
        <f t="shared" ca="1" si="37"/>
        <v/>
      </c>
      <c r="G935" t="str">
        <f t="shared" ca="1" si="38"/>
        <v/>
      </c>
    </row>
    <row r="936" spans="1:7" x14ac:dyDescent="0.2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6"/>
        <v/>
      </c>
      <c r="F936" t="str">
        <f t="shared" ca="1" si="37"/>
        <v/>
      </c>
      <c r="G936" t="str">
        <f t="shared" ca="1" si="38"/>
        <v/>
      </c>
    </row>
    <row r="937" spans="1:7" x14ac:dyDescent="0.2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6"/>
        <v/>
      </c>
      <c r="F937" t="str">
        <f t="shared" ca="1" si="37"/>
        <v/>
      </c>
      <c r="G937" t="str">
        <f t="shared" ca="1" si="38"/>
        <v/>
      </c>
    </row>
    <row r="938" spans="1:7" x14ac:dyDescent="0.2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6"/>
        <v/>
      </c>
      <c r="F938" t="str">
        <f t="shared" ca="1" si="37"/>
        <v/>
      </c>
      <c r="G938" t="str">
        <f t="shared" ca="1" si="38"/>
        <v/>
      </c>
    </row>
    <row r="939" spans="1:7" x14ac:dyDescent="0.2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6"/>
        <v/>
      </c>
      <c r="F939" t="str">
        <f t="shared" ca="1" si="37"/>
        <v/>
      </c>
      <c r="G939" t="str">
        <f t="shared" ca="1" si="38"/>
        <v/>
      </c>
    </row>
    <row r="940" spans="1:7" x14ac:dyDescent="0.2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6"/>
        <v/>
      </c>
      <c r="F940" t="str">
        <f t="shared" ca="1" si="37"/>
        <v/>
      </c>
      <c r="G940" t="str">
        <f t="shared" ca="1" si="38"/>
        <v/>
      </c>
    </row>
    <row r="941" spans="1:7" x14ac:dyDescent="0.2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6"/>
        <v/>
      </c>
      <c r="F941" t="str">
        <f t="shared" ca="1" si="37"/>
        <v/>
      </c>
      <c r="G941" t="str">
        <f t="shared" ca="1" si="38"/>
        <v/>
      </c>
    </row>
    <row r="942" spans="1:7" x14ac:dyDescent="0.2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6"/>
        <v/>
      </c>
      <c r="F942" t="str">
        <f t="shared" ca="1" si="37"/>
        <v/>
      </c>
      <c r="G942" t="str">
        <f t="shared" ca="1" si="38"/>
        <v/>
      </c>
    </row>
    <row r="943" spans="1:7" x14ac:dyDescent="0.2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2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2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2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2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2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39">IF(D967="T", 0.05, IF(D967="C", -0.01, ""))</f>
        <v/>
      </c>
      <c r="F967" t="str">
        <f t="shared" ref="F967:F1000" ca="1" si="40">IF(D967="T", 0.05, IF(D967="C", 0, ""))</f>
        <v/>
      </c>
      <c r="G967" t="str">
        <f t="shared" ref="G967:G1000" ca="1" si="41">IF(D967="T", 0, IF(D967="C", 0, ""))</f>
        <v/>
      </c>
    </row>
    <row r="968" spans="1:7" x14ac:dyDescent="0.2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9"/>
        <v/>
      </c>
      <c r="F968" t="str">
        <f t="shared" ca="1" si="40"/>
        <v/>
      </c>
      <c r="G968" t="str">
        <f t="shared" ca="1" si="41"/>
        <v/>
      </c>
    </row>
    <row r="969" spans="1:7" x14ac:dyDescent="0.2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9"/>
        <v/>
      </c>
      <c r="F969" t="str">
        <f t="shared" ca="1" si="40"/>
        <v/>
      </c>
      <c r="G969" t="str">
        <f t="shared" ca="1" si="41"/>
        <v/>
      </c>
    </row>
    <row r="970" spans="1:7" x14ac:dyDescent="0.2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9"/>
        <v/>
      </c>
      <c r="F970" t="str">
        <f t="shared" ca="1" si="40"/>
        <v/>
      </c>
      <c r="G970" t="str">
        <f t="shared" ca="1" si="41"/>
        <v/>
      </c>
    </row>
    <row r="971" spans="1:7" x14ac:dyDescent="0.2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9"/>
        <v/>
      </c>
      <c r="F971" t="str">
        <f t="shared" ca="1" si="40"/>
        <v/>
      </c>
      <c r="G971" t="str">
        <f t="shared" ca="1" si="41"/>
        <v/>
      </c>
    </row>
    <row r="972" spans="1:7" x14ac:dyDescent="0.2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9"/>
        <v/>
      </c>
      <c r="F972" t="str">
        <f t="shared" ca="1" si="40"/>
        <v/>
      </c>
      <c r="G972" t="str">
        <f t="shared" ca="1" si="41"/>
        <v/>
      </c>
    </row>
    <row r="973" spans="1:7" x14ac:dyDescent="0.2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9"/>
        <v/>
      </c>
      <c r="F973" t="str">
        <f t="shared" ca="1" si="40"/>
        <v/>
      </c>
      <c r="G973" t="str">
        <f t="shared" ca="1" si="41"/>
        <v/>
      </c>
    </row>
    <row r="974" spans="1:7" x14ac:dyDescent="0.2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9"/>
        <v/>
      </c>
      <c r="F974" t="str">
        <f t="shared" ca="1" si="40"/>
        <v/>
      </c>
      <c r="G974" t="str">
        <f t="shared" ca="1" si="41"/>
        <v/>
      </c>
    </row>
    <row r="975" spans="1:7" x14ac:dyDescent="0.2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9"/>
        <v/>
      </c>
      <c r="F975" t="str">
        <f t="shared" ca="1" si="40"/>
        <v/>
      </c>
      <c r="G975" t="str">
        <f t="shared" ca="1" si="41"/>
        <v/>
      </c>
    </row>
    <row r="976" spans="1:7" x14ac:dyDescent="0.2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9"/>
        <v/>
      </c>
      <c r="F976" t="str">
        <f t="shared" ca="1" si="40"/>
        <v/>
      </c>
      <c r="G976" t="str">
        <f t="shared" ca="1" si="41"/>
        <v/>
      </c>
    </row>
    <row r="977" spans="1:7" x14ac:dyDescent="0.2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9"/>
        <v/>
      </c>
      <c r="F977" t="str">
        <f t="shared" ca="1" si="40"/>
        <v/>
      </c>
      <c r="G977" t="str">
        <f t="shared" ca="1" si="41"/>
        <v/>
      </c>
    </row>
    <row r="978" spans="1:7" x14ac:dyDescent="0.2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9"/>
        <v/>
      </c>
      <c r="F978" t="str">
        <f t="shared" ca="1" si="40"/>
        <v/>
      </c>
      <c r="G978" t="str">
        <f t="shared" ca="1" si="41"/>
        <v/>
      </c>
    </row>
    <row r="979" spans="1:7" x14ac:dyDescent="0.2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9"/>
        <v/>
      </c>
      <c r="F979" t="str">
        <f t="shared" ca="1" si="40"/>
        <v/>
      </c>
      <c r="G979" t="str">
        <f t="shared" ca="1" si="41"/>
        <v/>
      </c>
    </row>
    <row r="980" spans="1:7" x14ac:dyDescent="0.2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9"/>
        <v/>
      </c>
      <c r="F980" t="str">
        <f t="shared" ca="1" si="40"/>
        <v/>
      </c>
      <c r="G980" t="str">
        <f t="shared" ca="1" si="41"/>
        <v/>
      </c>
    </row>
    <row r="981" spans="1:7" x14ac:dyDescent="0.2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9"/>
        <v/>
      </c>
      <c r="F981" t="str">
        <f t="shared" ca="1" si="40"/>
        <v/>
      </c>
      <c r="G981" t="str">
        <f t="shared" ca="1" si="41"/>
        <v/>
      </c>
    </row>
    <row r="982" spans="1:7" x14ac:dyDescent="0.2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9"/>
        <v/>
      </c>
      <c r="F982" t="str">
        <f t="shared" ca="1" si="40"/>
        <v/>
      </c>
      <c r="G982" t="str">
        <f t="shared" ca="1" si="41"/>
        <v/>
      </c>
    </row>
    <row r="983" spans="1:7" x14ac:dyDescent="0.2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9"/>
        <v/>
      </c>
      <c r="F983" t="str">
        <f t="shared" ca="1" si="40"/>
        <v/>
      </c>
      <c r="G983" t="str">
        <f t="shared" ca="1" si="41"/>
        <v/>
      </c>
    </row>
    <row r="984" spans="1:7" x14ac:dyDescent="0.2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9"/>
        <v/>
      </c>
      <c r="F984" t="str">
        <f t="shared" ca="1" si="40"/>
        <v/>
      </c>
      <c r="G984" t="str">
        <f t="shared" ca="1" si="41"/>
        <v/>
      </c>
    </row>
    <row r="985" spans="1:7" x14ac:dyDescent="0.2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9"/>
        <v/>
      </c>
      <c r="F985" t="str">
        <f t="shared" ca="1" si="40"/>
        <v/>
      </c>
      <c r="G985" t="str">
        <f t="shared" ca="1" si="41"/>
        <v/>
      </c>
    </row>
    <row r="986" spans="1:7" x14ac:dyDescent="0.2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9"/>
        <v/>
      </c>
      <c r="F986" t="str">
        <f t="shared" ca="1" si="40"/>
        <v/>
      </c>
      <c r="G986" t="str">
        <f t="shared" ca="1" si="41"/>
        <v/>
      </c>
    </row>
    <row r="987" spans="1:7" x14ac:dyDescent="0.2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9"/>
        <v/>
      </c>
      <c r="F987" t="str">
        <f t="shared" ca="1" si="40"/>
        <v/>
      </c>
      <c r="G987" t="str">
        <f t="shared" ca="1" si="41"/>
        <v/>
      </c>
    </row>
    <row r="988" spans="1:7" x14ac:dyDescent="0.2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9"/>
        <v/>
      </c>
      <c r="F988" t="str">
        <f t="shared" ca="1" si="40"/>
        <v/>
      </c>
      <c r="G988" t="str">
        <f t="shared" ca="1" si="41"/>
        <v/>
      </c>
    </row>
    <row r="989" spans="1:7" x14ac:dyDescent="0.2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9"/>
        <v/>
      </c>
      <c r="F989" t="str">
        <f t="shared" ca="1" si="40"/>
        <v/>
      </c>
      <c r="G989" t="str">
        <f t="shared" ca="1" si="41"/>
        <v/>
      </c>
    </row>
    <row r="990" spans="1:7" x14ac:dyDescent="0.2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9"/>
        <v/>
      </c>
      <c r="F990" t="str">
        <f t="shared" ca="1" si="40"/>
        <v/>
      </c>
      <c r="G990" t="str">
        <f t="shared" ca="1" si="41"/>
        <v/>
      </c>
    </row>
    <row r="991" spans="1:7" x14ac:dyDescent="0.2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9"/>
        <v/>
      </c>
      <c r="F991" t="str">
        <f t="shared" ca="1" si="40"/>
        <v/>
      </c>
      <c r="G991" t="str">
        <f t="shared" ca="1" si="41"/>
        <v/>
      </c>
    </row>
    <row r="992" spans="1:7" x14ac:dyDescent="0.2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9"/>
        <v/>
      </c>
      <c r="F992" t="str">
        <f t="shared" ca="1" si="40"/>
        <v/>
      </c>
      <c r="G992" t="str">
        <f t="shared" ca="1" si="41"/>
        <v/>
      </c>
    </row>
    <row r="993" spans="1:7" x14ac:dyDescent="0.2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9"/>
        <v/>
      </c>
      <c r="F993" t="str">
        <f t="shared" ca="1" si="40"/>
        <v/>
      </c>
      <c r="G993" t="str">
        <f t="shared" ca="1" si="41"/>
        <v/>
      </c>
    </row>
    <row r="994" spans="1:7" x14ac:dyDescent="0.2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9"/>
        <v/>
      </c>
      <c r="F994" t="str">
        <f t="shared" ca="1" si="40"/>
        <v/>
      </c>
      <c r="G994" t="str">
        <f t="shared" ca="1" si="41"/>
        <v/>
      </c>
    </row>
    <row r="995" spans="1:7" x14ac:dyDescent="0.2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9"/>
        <v/>
      </c>
      <c r="F995" t="str">
        <f t="shared" ca="1" si="40"/>
        <v/>
      </c>
      <c r="G995" t="str">
        <f t="shared" ca="1" si="41"/>
        <v/>
      </c>
    </row>
    <row r="996" spans="1:7" x14ac:dyDescent="0.2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9"/>
        <v/>
      </c>
      <c r="F996" t="str">
        <f t="shared" ca="1" si="40"/>
        <v/>
      </c>
      <c r="G996" t="str">
        <f t="shared" ca="1" si="41"/>
        <v/>
      </c>
    </row>
    <row r="997" spans="1:7" x14ac:dyDescent="0.2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9"/>
        <v/>
      </c>
      <c r="F997" t="str">
        <f t="shared" ca="1" si="40"/>
        <v/>
      </c>
      <c r="G997" t="str">
        <f t="shared" ca="1" si="41"/>
        <v/>
      </c>
    </row>
    <row r="998" spans="1:7" x14ac:dyDescent="0.2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9"/>
        <v/>
      </c>
      <c r="F998" t="str">
        <f t="shared" ca="1" si="40"/>
        <v/>
      </c>
      <c r="G998" t="str">
        <f t="shared" ca="1" si="41"/>
        <v/>
      </c>
    </row>
    <row r="999" spans="1:7" x14ac:dyDescent="0.2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9"/>
        <v/>
      </c>
      <c r="F999" t="str">
        <f t="shared" ca="1" si="40"/>
        <v/>
      </c>
      <c r="G999" t="str">
        <f t="shared" ca="1" si="41"/>
        <v/>
      </c>
    </row>
    <row r="1000" spans="1:7" x14ac:dyDescent="0.2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9"/>
        <v/>
      </c>
      <c r="F1000" t="str">
        <f t="shared" ca="1" si="40"/>
        <v/>
      </c>
      <c r="G1000" t="str">
        <f t="shared" ca="1" si="41"/>
        <v/>
      </c>
    </row>
  </sheetData>
  <phoneticPr fontId="2" type="noConversion"/>
  <dataValidations count="4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H11" sqref="H11"/>
    </sheetView>
  </sheetViews>
  <sheetFormatPr baseColWidth="10" defaultColWidth="8.83203125" defaultRowHeight="15" x14ac:dyDescent="0.2"/>
  <cols>
    <col min="2" max="2" width="12.6640625" bestFit="1" customWidth="1"/>
    <col min="3" max="3" width="13.5" bestFit="1" customWidth="1"/>
    <col min="4" max="4" width="35" bestFit="1" customWidth="1"/>
    <col min="5" max="5" width="10.5" bestFit="1" customWidth="1"/>
    <col min="6" max="6" width="22" bestFit="1" customWidth="1"/>
    <col min="7" max="7" width="10.1640625" bestFit="1" customWidth="1"/>
    <col min="8" max="8" width="18.5" bestFit="1" customWidth="1"/>
    <col min="9" max="9" width="15.83203125" bestFit="1" customWidth="1"/>
    <col min="10" max="10" width="18.1640625" bestFit="1" customWidth="1"/>
    <col min="11" max="11" width="20.83203125" bestFit="1" customWidth="1"/>
    <col min="12" max="12" width="22" bestFit="1" customWidth="1"/>
    <col min="13" max="13" width="24.1640625" bestFit="1" customWidth="1"/>
  </cols>
  <sheetData>
    <row r="1" spans="1:13" ht="16" thickBot="1" x14ac:dyDescent="0.25">
      <c r="A1" s="6" t="s">
        <v>60</v>
      </c>
      <c r="B1" s="3" t="s">
        <v>58</v>
      </c>
      <c r="C1" s="3" t="s">
        <v>59</v>
      </c>
      <c r="D1" s="3" t="s">
        <v>77</v>
      </c>
      <c r="E1" s="2" t="s">
        <v>78</v>
      </c>
      <c r="F1" s="2" t="s">
        <v>79</v>
      </c>
      <c r="G1" s="2" t="s">
        <v>80</v>
      </c>
      <c r="H1" s="2" t="s">
        <v>81</v>
      </c>
      <c r="I1" s="12" t="s">
        <v>82</v>
      </c>
      <c r="J1" s="2" t="s">
        <v>83</v>
      </c>
      <c r="K1" s="12" t="s">
        <v>84</v>
      </c>
      <c r="L1" s="2" t="s">
        <v>85</v>
      </c>
      <c r="M1" s="12" t="s">
        <v>86</v>
      </c>
    </row>
    <row r="2" spans="1:13" x14ac:dyDescent="0.2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F61"/>
  <sheetViews>
    <sheetView workbookViewId="0">
      <selection activeCell="A58" sqref="A58:D61"/>
    </sheetView>
  </sheetViews>
  <sheetFormatPr baseColWidth="10" defaultColWidth="8.83203125" defaultRowHeight="15" x14ac:dyDescent="0.2"/>
  <cols>
    <col min="1" max="1" width="45.5" bestFit="1" customWidth="1"/>
    <col min="2" max="2" width="45" bestFit="1" customWidth="1"/>
    <col min="3" max="3" width="13.5" bestFit="1" customWidth="1"/>
    <col min="4" max="4" width="13.5" customWidth="1"/>
    <col min="5" max="5" width="41.5" bestFit="1" customWidth="1"/>
    <col min="6" max="6" width="132.6640625" bestFit="1" customWidth="1"/>
    <col min="8" max="8" width="11.5" customWidth="1"/>
    <col min="9" max="9" width="42.33203125" customWidth="1"/>
    <col min="10" max="10" width="94.83203125" bestFit="1" customWidth="1"/>
  </cols>
  <sheetData>
    <row r="1" spans="1:6" ht="16" thickBot="1" x14ac:dyDescent="0.25">
      <c r="A1" s="6" t="s">
        <v>60</v>
      </c>
      <c r="B1" s="3" t="s">
        <v>61</v>
      </c>
      <c r="C1" s="3" t="s">
        <v>59</v>
      </c>
      <c r="D1" s="11" t="s">
        <v>58</v>
      </c>
      <c r="E1" s="11" t="s">
        <v>92</v>
      </c>
      <c r="F1" s="3" t="s">
        <v>160</v>
      </c>
    </row>
    <row r="2" spans="1:6" x14ac:dyDescent="0.2">
      <c r="A2" s="7" t="s">
        <v>99</v>
      </c>
      <c r="B2" t="s">
        <v>108</v>
      </c>
      <c r="C2" t="s">
        <v>88</v>
      </c>
      <c r="D2" t="s">
        <v>90</v>
      </c>
      <c r="F2" t="s">
        <v>185</v>
      </c>
    </row>
    <row r="3" spans="1:6" x14ac:dyDescent="0.2">
      <c r="A3" s="7" t="s">
        <v>98</v>
      </c>
      <c r="B3" t="s">
        <v>89</v>
      </c>
      <c r="C3" t="s">
        <v>88</v>
      </c>
      <c r="D3" t="s">
        <v>90</v>
      </c>
      <c r="F3" s="20" t="s">
        <v>198</v>
      </c>
    </row>
    <row r="4" spans="1:6" x14ac:dyDescent="0.2">
      <c r="A4" s="7" t="s">
        <v>111</v>
      </c>
      <c r="B4" t="s">
        <v>106</v>
      </c>
      <c r="C4" t="s">
        <v>88</v>
      </c>
      <c r="D4" t="s">
        <v>90</v>
      </c>
      <c r="F4" t="s">
        <v>197</v>
      </c>
    </row>
    <row r="5" spans="1:6" x14ac:dyDescent="0.2">
      <c r="A5" s="7" t="s">
        <v>97</v>
      </c>
      <c r="B5" t="s">
        <v>105</v>
      </c>
      <c r="C5" t="s">
        <v>88</v>
      </c>
      <c r="D5" t="s">
        <v>90</v>
      </c>
    </row>
    <row r="6" spans="1:6" x14ac:dyDescent="0.2">
      <c r="A6" s="7" t="s">
        <v>153</v>
      </c>
      <c r="B6" t="s">
        <v>182</v>
      </c>
      <c r="D6" t="s">
        <v>90</v>
      </c>
      <c r="F6" t="s">
        <v>165</v>
      </c>
    </row>
    <row r="7" spans="1:6" x14ac:dyDescent="0.2">
      <c r="A7" s="7" t="s">
        <v>155</v>
      </c>
      <c r="B7" t="s">
        <v>129</v>
      </c>
      <c r="D7" t="s">
        <v>90</v>
      </c>
      <c r="E7" t="s">
        <v>133</v>
      </c>
      <c r="F7" t="s">
        <v>166</v>
      </c>
    </row>
    <row r="8" spans="1:6" x14ac:dyDescent="0.2">
      <c r="A8" s="7" t="s">
        <v>158</v>
      </c>
      <c r="B8" t="s">
        <v>181</v>
      </c>
      <c r="D8" t="s">
        <v>90</v>
      </c>
      <c r="E8" t="s">
        <v>139</v>
      </c>
      <c r="F8" t="s">
        <v>167</v>
      </c>
    </row>
    <row r="9" spans="1:6" x14ac:dyDescent="0.2">
      <c r="A9" s="7" t="s">
        <v>157</v>
      </c>
      <c r="B9" t="s">
        <v>138</v>
      </c>
      <c r="D9" t="s">
        <v>90</v>
      </c>
      <c r="E9" t="s">
        <v>116</v>
      </c>
      <c r="F9" s="19" t="s">
        <v>169</v>
      </c>
    </row>
    <row r="10" spans="1:6" x14ac:dyDescent="0.2">
      <c r="A10" s="7" t="s">
        <v>159</v>
      </c>
      <c r="B10" t="s">
        <v>144</v>
      </c>
      <c r="D10" t="s">
        <v>90</v>
      </c>
      <c r="E10" t="s">
        <v>141</v>
      </c>
      <c r="F10" t="s">
        <v>168</v>
      </c>
    </row>
    <row r="11" spans="1:6" x14ac:dyDescent="0.2">
      <c r="A11" s="7" t="s">
        <v>156</v>
      </c>
      <c r="B11" t="s">
        <v>140</v>
      </c>
      <c r="D11" t="s">
        <v>90</v>
      </c>
      <c r="E11" t="s">
        <v>152</v>
      </c>
      <c r="F11" s="19" t="s">
        <v>170</v>
      </c>
    </row>
    <row r="12" spans="1:6" x14ac:dyDescent="0.2">
      <c r="A12" s="7" t="s">
        <v>131</v>
      </c>
      <c r="B12" t="s">
        <v>150</v>
      </c>
      <c r="D12" t="s">
        <v>90</v>
      </c>
      <c r="E12" t="s">
        <v>153</v>
      </c>
      <c r="F12" t="s">
        <v>171</v>
      </c>
    </row>
    <row r="13" spans="1:6" x14ac:dyDescent="0.2">
      <c r="A13" s="7" t="s">
        <v>133</v>
      </c>
      <c r="B13" t="s">
        <v>145</v>
      </c>
      <c r="D13" t="s">
        <v>90</v>
      </c>
      <c r="E13" t="s">
        <v>128</v>
      </c>
      <c r="F13" t="s">
        <v>172</v>
      </c>
    </row>
    <row r="14" spans="1:6" x14ac:dyDescent="0.2">
      <c r="A14" s="7" t="s">
        <v>135</v>
      </c>
      <c r="B14" t="s">
        <v>146</v>
      </c>
      <c r="D14" t="s">
        <v>90</v>
      </c>
      <c r="E14" t="s">
        <v>112</v>
      </c>
      <c r="F14" t="s">
        <v>173</v>
      </c>
    </row>
    <row r="15" spans="1:6" x14ac:dyDescent="0.2">
      <c r="A15" s="7" t="s">
        <v>116</v>
      </c>
      <c r="B15" t="s">
        <v>149</v>
      </c>
      <c r="D15" t="s">
        <v>90</v>
      </c>
      <c r="E15" t="s">
        <v>110</v>
      </c>
      <c r="F15" t="s">
        <v>174</v>
      </c>
    </row>
    <row r="16" spans="1:6" x14ac:dyDescent="0.2">
      <c r="A16" s="7" t="s">
        <v>139</v>
      </c>
      <c r="B16" t="s">
        <v>147</v>
      </c>
      <c r="D16" t="s">
        <v>90</v>
      </c>
      <c r="E16" t="s">
        <v>156</v>
      </c>
      <c r="F16" t="s">
        <v>175</v>
      </c>
    </row>
    <row r="17" spans="1:6" x14ac:dyDescent="0.2">
      <c r="A17" s="7" t="s">
        <v>141</v>
      </c>
      <c r="B17" t="s">
        <v>148</v>
      </c>
      <c r="D17" t="s">
        <v>90</v>
      </c>
      <c r="E17" t="s">
        <v>128</v>
      </c>
      <c r="F17" t="s">
        <v>176</v>
      </c>
    </row>
    <row r="18" spans="1:6" x14ac:dyDescent="0.2">
      <c r="A18" s="7" t="s">
        <v>266</v>
      </c>
      <c r="B18" t="s">
        <v>187</v>
      </c>
      <c r="C18" t="s">
        <v>186</v>
      </c>
      <c r="D18" t="s">
        <v>90</v>
      </c>
      <c r="F18" t="s">
        <v>286</v>
      </c>
    </row>
    <row r="19" spans="1:6" x14ac:dyDescent="0.2">
      <c r="A19" s="7" t="s">
        <v>267</v>
      </c>
      <c r="B19" t="s">
        <v>190</v>
      </c>
      <c r="C19" t="s">
        <v>186</v>
      </c>
      <c r="D19" t="s">
        <v>90</v>
      </c>
      <c r="F19" t="s">
        <v>288</v>
      </c>
    </row>
    <row r="20" spans="1:6" x14ac:dyDescent="0.2">
      <c r="A20" s="7" t="s">
        <v>268</v>
      </c>
      <c r="B20" t="s">
        <v>191</v>
      </c>
      <c r="C20" t="s">
        <v>186</v>
      </c>
      <c r="D20" t="s">
        <v>90</v>
      </c>
      <c r="F20" t="s">
        <v>287</v>
      </c>
    </row>
    <row r="21" spans="1:6" x14ac:dyDescent="0.2">
      <c r="A21" s="7" t="s">
        <v>269</v>
      </c>
      <c r="B21" t="s">
        <v>189</v>
      </c>
      <c r="C21" t="s">
        <v>186</v>
      </c>
      <c r="D21" t="s">
        <v>90</v>
      </c>
    </row>
    <row r="22" spans="1:6" x14ac:dyDescent="0.2">
      <c r="A22" s="7" t="s">
        <v>270</v>
      </c>
      <c r="B22" t="s">
        <v>204</v>
      </c>
      <c r="C22" t="s">
        <v>258</v>
      </c>
      <c r="D22" t="s">
        <v>90</v>
      </c>
      <c r="F22" t="s">
        <v>289</v>
      </c>
    </row>
    <row r="23" spans="1:6" x14ac:dyDescent="0.2">
      <c r="A23" s="7" t="s">
        <v>271</v>
      </c>
      <c r="B23" t="s">
        <v>207</v>
      </c>
      <c r="C23" t="s">
        <v>258</v>
      </c>
      <c r="D23" t="s">
        <v>90</v>
      </c>
      <c r="F23" t="s">
        <v>290</v>
      </c>
    </row>
    <row r="24" spans="1:6" x14ac:dyDescent="0.2">
      <c r="A24" s="7" t="s">
        <v>272</v>
      </c>
      <c r="B24" t="s">
        <v>208</v>
      </c>
      <c r="C24" t="s">
        <v>258</v>
      </c>
      <c r="D24" t="s">
        <v>90</v>
      </c>
      <c r="F24" t="s">
        <v>291</v>
      </c>
    </row>
    <row r="25" spans="1:6" x14ac:dyDescent="0.2">
      <c r="A25" s="7" t="s">
        <v>273</v>
      </c>
      <c r="B25" t="s">
        <v>206</v>
      </c>
      <c r="C25" t="s">
        <v>258</v>
      </c>
      <c r="D25" t="s">
        <v>90</v>
      </c>
    </row>
    <row r="26" spans="1:6" x14ac:dyDescent="0.2">
      <c r="A26" s="7" t="s">
        <v>274</v>
      </c>
      <c r="B26" t="s">
        <v>199</v>
      </c>
      <c r="C26" t="s">
        <v>254</v>
      </c>
      <c r="D26" t="s">
        <v>90</v>
      </c>
      <c r="F26" t="s">
        <v>292</v>
      </c>
    </row>
    <row r="27" spans="1:6" x14ac:dyDescent="0.2">
      <c r="A27" s="7" t="s">
        <v>275</v>
      </c>
      <c r="B27" t="s">
        <v>202</v>
      </c>
      <c r="C27" t="s">
        <v>254</v>
      </c>
      <c r="D27" t="s">
        <v>90</v>
      </c>
      <c r="F27" t="s">
        <v>294</v>
      </c>
    </row>
    <row r="28" spans="1:6" x14ac:dyDescent="0.2">
      <c r="A28" s="7" t="s">
        <v>276</v>
      </c>
      <c r="B28" t="s">
        <v>203</v>
      </c>
      <c r="C28" t="s">
        <v>254</v>
      </c>
      <c r="D28" t="s">
        <v>90</v>
      </c>
      <c r="F28" t="s">
        <v>293</v>
      </c>
    </row>
    <row r="29" spans="1:6" x14ac:dyDescent="0.2">
      <c r="A29" s="7" t="s">
        <v>277</v>
      </c>
      <c r="B29" t="s">
        <v>201</v>
      </c>
      <c r="C29" t="s">
        <v>254</v>
      </c>
      <c r="D29" t="s">
        <v>90</v>
      </c>
    </row>
    <row r="30" spans="1:6" x14ac:dyDescent="0.2">
      <c r="A30" s="7" t="s">
        <v>303</v>
      </c>
      <c r="B30" t="s">
        <v>219</v>
      </c>
      <c r="C30" t="s">
        <v>295</v>
      </c>
      <c r="D30" t="s">
        <v>90</v>
      </c>
    </row>
    <row r="31" spans="1:6" x14ac:dyDescent="0.2">
      <c r="A31" s="7" t="s">
        <v>304</v>
      </c>
      <c r="B31" t="s">
        <v>222</v>
      </c>
      <c r="C31" t="s">
        <v>295</v>
      </c>
      <c r="D31" t="s">
        <v>90</v>
      </c>
    </row>
    <row r="32" spans="1:6" x14ac:dyDescent="0.2">
      <c r="A32" s="7" t="s">
        <v>305</v>
      </c>
      <c r="B32" t="s">
        <v>223</v>
      </c>
      <c r="C32" t="s">
        <v>295</v>
      </c>
      <c r="D32" t="s">
        <v>90</v>
      </c>
    </row>
    <row r="33" spans="1:4" x14ac:dyDescent="0.2">
      <c r="A33" s="7" t="s">
        <v>306</v>
      </c>
      <c r="B33" t="s">
        <v>221</v>
      </c>
      <c r="C33" t="s">
        <v>295</v>
      </c>
      <c r="D33" t="s">
        <v>90</v>
      </c>
    </row>
    <row r="34" spans="1:4" x14ac:dyDescent="0.2">
      <c r="A34" s="7" t="s">
        <v>313</v>
      </c>
      <c r="B34" t="s">
        <v>224</v>
      </c>
      <c r="C34" t="s">
        <v>307</v>
      </c>
      <c r="D34" t="s">
        <v>90</v>
      </c>
    </row>
    <row r="35" spans="1:4" x14ac:dyDescent="0.2">
      <c r="A35" s="7" t="s">
        <v>314</v>
      </c>
      <c r="B35" t="s">
        <v>227</v>
      </c>
      <c r="C35" t="s">
        <v>307</v>
      </c>
      <c r="D35" t="s">
        <v>90</v>
      </c>
    </row>
    <row r="36" spans="1:4" x14ac:dyDescent="0.2">
      <c r="A36" s="7" t="s">
        <v>315</v>
      </c>
      <c r="B36" t="s">
        <v>228</v>
      </c>
      <c r="C36" t="s">
        <v>307</v>
      </c>
      <c r="D36" t="s">
        <v>90</v>
      </c>
    </row>
    <row r="37" spans="1:4" x14ac:dyDescent="0.2">
      <c r="A37" s="7" t="s">
        <v>316</v>
      </c>
      <c r="B37" t="s">
        <v>226</v>
      </c>
      <c r="C37" t="s">
        <v>307</v>
      </c>
      <c r="D37" t="s">
        <v>90</v>
      </c>
    </row>
    <row r="38" spans="1:4" x14ac:dyDescent="0.2">
      <c r="A38" s="7" t="s">
        <v>323</v>
      </c>
      <c r="B38" t="s">
        <v>214</v>
      </c>
      <c r="C38" t="s">
        <v>317</v>
      </c>
      <c r="D38" t="s">
        <v>90</v>
      </c>
    </row>
    <row r="39" spans="1:4" x14ac:dyDescent="0.2">
      <c r="A39" s="7" t="s">
        <v>324</v>
      </c>
      <c r="B39" t="s">
        <v>217</v>
      </c>
      <c r="C39" t="s">
        <v>317</v>
      </c>
      <c r="D39" t="s">
        <v>90</v>
      </c>
    </row>
    <row r="40" spans="1:4" x14ac:dyDescent="0.2">
      <c r="A40" s="7" t="s">
        <v>325</v>
      </c>
      <c r="B40" t="s">
        <v>218</v>
      </c>
      <c r="C40" t="s">
        <v>317</v>
      </c>
      <c r="D40" t="s">
        <v>90</v>
      </c>
    </row>
    <row r="41" spans="1:4" x14ac:dyDescent="0.2">
      <c r="A41" s="7" t="s">
        <v>326</v>
      </c>
      <c r="B41" t="s">
        <v>216</v>
      </c>
      <c r="C41" t="s">
        <v>317</v>
      </c>
      <c r="D41" t="s">
        <v>90</v>
      </c>
    </row>
    <row r="42" spans="1:4" x14ac:dyDescent="0.2">
      <c r="A42" s="7" t="s">
        <v>333</v>
      </c>
      <c r="B42" t="s">
        <v>239</v>
      </c>
      <c r="C42" t="s">
        <v>327</v>
      </c>
      <c r="D42" t="s">
        <v>90</v>
      </c>
    </row>
    <row r="43" spans="1:4" x14ac:dyDescent="0.2">
      <c r="A43" s="7" t="s">
        <v>334</v>
      </c>
      <c r="B43" t="s">
        <v>242</v>
      </c>
      <c r="C43" t="s">
        <v>327</v>
      </c>
      <c r="D43" t="s">
        <v>90</v>
      </c>
    </row>
    <row r="44" spans="1:4" x14ac:dyDescent="0.2">
      <c r="A44" s="7" t="s">
        <v>335</v>
      </c>
      <c r="B44" t="s">
        <v>243</v>
      </c>
      <c r="C44" t="s">
        <v>327</v>
      </c>
      <c r="D44" t="s">
        <v>90</v>
      </c>
    </row>
    <row r="45" spans="1:4" x14ac:dyDescent="0.2">
      <c r="A45" s="7" t="s">
        <v>336</v>
      </c>
      <c r="B45" t="s">
        <v>241</v>
      </c>
      <c r="C45" t="s">
        <v>327</v>
      </c>
      <c r="D45" t="s">
        <v>90</v>
      </c>
    </row>
    <row r="46" spans="1:4" x14ac:dyDescent="0.2">
      <c r="A46" s="7" t="s">
        <v>343</v>
      </c>
      <c r="B46" t="s">
        <v>229</v>
      </c>
      <c r="C46" t="s">
        <v>337</v>
      </c>
      <c r="D46" t="s">
        <v>90</v>
      </c>
    </row>
    <row r="47" spans="1:4" x14ac:dyDescent="0.2">
      <c r="A47" s="7" t="s">
        <v>344</v>
      </c>
      <c r="B47" t="s">
        <v>232</v>
      </c>
      <c r="C47" t="s">
        <v>337</v>
      </c>
      <c r="D47" t="s">
        <v>90</v>
      </c>
    </row>
    <row r="48" spans="1:4" x14ac:dyDescent="0.2">
      <c r="A48" s="7" t="s">
        <v>345</v>
      </c>
      <c r="B48" t="s">
        <v>233</v>
      </c>
      <c r="C48" t="s">
        <v>337</v>
      </c>
      <c r="D48" t="s">
        <v>90</v>
      </c>
    </row>
    <row r="49" spans="1:4" x14ac:dyDescent="0.2">
      <c r="A49" s="7" t="s">
        <v>346</v>
      </c>
      <c r="B49" t="s">
        <v>231</v>
      </c>
      <c r="C49" t="s">
        <v>337</v>
      </c>
      <c r="D49" t="s">
        <v>90</v>
      </c>
    </row>
    <row r="50" spans="1:4" x14ac:dyDescent="0.2">
      <c r="A50" s="7" t="s">
        <v>355</v>
      </c>
      <c r="B50" t="s">
        <v>234</v>
      </c>
      <c r="C50" t="s">
        <v>347</v>
      </c>
      <c r="D50" t="s">
        <v>90</v>
      </c>
    </row>
    <row r="51" spans="1:4" x14ac:dyDescent="0.2">
      <c r="A51" s="7" t="s">
        <v>356</v>
      </c>
      <c r="B51" t="s">
        <v>237</v>
      </c>
      <c r="C51" t="s">
        <v>347</v>
      </c>
      <c r="D51" t="s">
        <v>90</v>
      </c>
    </row>
    <row r="52" spans="1:4" x14ac:dyDescent="0.2">
      <c r="A52" s="7" t="s">
        <v>357</v>
      </c>
      <c r="B52" t="s">
        <v>238</v>
      </c>
      <c r="C52" t="s">
        <v>347</v>
      </c>
      <c r="D52" t="s">
        <v>90</v>
      </c>
    </row>
    <row r="53" spans="1:4" x14ac:dyDescent="0.2">
      <c r="A53" s="7" t="s">
        <v>358</v>
      </c>
      <c r="B53" t="s">
        <v>236</v>
      </c>
      <c r="C53" t="s">
        <v>347</v>
      </c>
      <c r="D53" t="s">
        <v>90</v>
      </c>
    </row>
    <row r="54" spans="1:4" x14ac:dyDescent="0.2">
      <c r="A54" s="7" t="s">
        <v>367</v>
      </c>
      <c r="B54" t="s">
        <v>244</v>
      </c>
      <c r="C54" t="s">
        <v>359</v>
      </c>
      <c r="D54" t="s">
        <v>90</v>
      </c>
    </row>
    <row r="55" spans="1:4" x14ac:dyDescent="0.2">
      <c r="A55" s="7" t="s">
        <v>368</v>
      </c>
      <c r="B55" t="s">
        <v>247</v>
      </c>
      <c r="C55" t="s">
        <v>359</v>
      </c>
      <c r="D55" t="s">
        <v>90</v>
      </c>
    </row>
    <row r="56" spans="1:4" x14ac:dyDescent="0.2">
      <c r="A56" s="7" t="s">
        <v>369</v>
      </c>
      <c r="B56" t="s">
        <v>248</v>
      </c>
      <c r="C56" t="s">
        <v>359</v>
      </c>
      <c r="D56" t="s">
        <v>90</v>
      </c>
    </row>
    <row r="57" spans="1:4" x14ac:dyDescent="0.2">
      <c r="A57" s="7" t="s">
        <v>370</v>
      </c>
      <c r="B57" t="s">
        <v>246</v>
      </c>
      <c r="C57" t="s">
        <v>359</v>
      </c>
      <c r="D57" t="s">
        <v>90</v>
      </c>
    </row>
    <row r="58" spans="1:4" x14ac:dyDescent="0.2">
      <c r="A58" s="7" t="s">
        <v>379</v>
      </c>
      <c r="B58" t="s">
        <v>249</v>
      </c>
      <c r="C58" t="s">
        <v>371</v>
      </c>
      <c r="D58" t="s">
        <v>90</v>
      </c>
    </row>
    <row r="59" spans="1:4" x14ac:dyDescent="0.2">
      <c r="A59" s="7" t="s">
        <v>380</v>
      </c>
      <c r="B59" t="s">
        <v>252</v>
      </c>
      <c r="C59" t="s">
        <v>371</v>
      </c>
      <c r="D59" t="s">
        <v>90</v>
      </c>
    </row>
    <row r="60" spans="1:4" x14ac:dyDescent="0.2">
      <c r="A60" s="7" t="s">
        <v>381</v>
      </c>
      <c r="B60" t="s">
        <v>253</v>
      </c>
      <c r="C60" t="s">
        <v>371</v>
      </c>
      <c r="D60" t="s">
        <v>90</v>
      </c>
    </row>
    <row r="61" spans="1:4" x14ac:dyDescent="0.2">
      <c r="A61" s="7" t="s">
        <v>382</v>
      </c>
      <c r="B61" t="s">
        <v>251</v>
      </c>
      <c r="C61" t="s">
        <v>371</v>
      </c>
      <c r="D61" t="s">
        <v>90</v>
      </c>
    </row>
  </sheetData>
  <sortState xmlns:xlrd2="http://schemas.microsoft.com/office/spreadsheetml/2017/richdata2" ref="A2:E17">
    <sortCondition ref="A2:A17"/>
  </sortState>
  <phoneticPr fontId="2" type="noConversion"/>
  <dataValidations count="5">
    <dataValidation type="list" allowBlank="1" showInputMessage="1" showErrorMessage="1" sqref="C2:C5 C30:C61" xr:uid="{B410286B-19C8-413D-AA2F-9742B6293571}">
      <formula1>space_names</formula1>
    </dataValidation>
    <dataValidation type="list" showInputMessage="1" showErrorMessage="1" sqref="D31:D33 D35:D37 D39:D41 D43:D45 D47:D49 D3:D29 D51:D53 D55:D57 D59:D1048576" xr:uid="{B65ECC6E-9A0B-466E-BF54-55971BA9C27C}">
      <formula1>system_names</formula1>
    </dataValidation>
    <dataValidation type="list" allowBlank="1" showInputMessage="1" showErrorMessage="1" sqref="D2 D30 D34 D38 D42 D46 D50 D54 D58" xr:uid="{E7B311A4-7584-4E50-AC78-0352E33C7C19}">
      <formula1>system_names</formula1>
    </dataValidation>
    <dataValidation type="list" allowBlank="1" showInputMessage="1" showErrorMessage="1" sqref="B2:B1048576" xr:uid="{A9040C0C-604B-456F-96D4-0A20D2AB5CEB}">
      <formula1>property_instance</formula1>
    </dataValidation>
    <dataValidation type="list" showInputMessage="1" showErrorMessage="1" sqref="E54:E1048576 E2:E49" xr:uid="{6D2DA7F8-74C0-44A8-A4E3-3D538E7D3782}">
      <formula1>all_flow_systems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C6:C29 C62:C1048576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F6"/>
  <sheetViews>
    <sheetView workbookViewId="0">
      <selection activeCell="C31" sqref="C31"/>
    </sheetView>
  </sheetViews>
  <sheetFormatPr baseColWidth="10" defaultColWidth="8.83203125" defaultRowHeight="15" x14ac:dyDescent="0.2"/>
  <cols>
    <col min="1" max="1" width="28.83203125" bestFit="1" customWidth="1"/>
    <col min="2" max="2" width="13.5" bestFit="1" customWidth="1"/>
    <col min="3" max="3" width="31.6640625" bestFit="1" customWidth="1"/>
    <col min="4" max="4" width="12.6640625" bestFit="1" customWidth="1"/>
    <col min="5" max="5" width="15" bestFit="1" customWidth="1"/>
    <col min="6" max="6" width="125.83203125" bestFit="1" customWidth="1"/>
  </cols>
  <sheetData>
    <row r="1" spans="1:6" ht="16" thickBot="1" x14ac:dyDescent="0.25">
      <c r="A1" s="6" t="s">
        <v>60</v>
      </c>
      <c r="B1" s="3" t="s">
        <v>59</v>
      </c>
      <c r="C1" s="3" t="s">
        <v>61</v>
      </c>
      <c r="D1" s="11" t="s">
        <v>58</v>
      </c>
      <c r="E1" s="11" t="s">
        <v>92</v>
      </c>
      <c r="F1" s="3" t="s">
        <v>160</v>
      </c>
    </row>
    <row r="2" spans="1:6" x14ac:dyDescent="0.2">
      <c r="A2" s="7" t="s">
        <v>177</v>
      </c>
      <c r="C2" t="s">
        <v>177</v>
      </c>
      <c r="D2" t="s">
        <v>90</v>
      </c>
      <c r="F2" t="s">
        <v>279</v>
      </c>
    </row>
    <row r="3" spans="1:6" x14ac:dyDescent="0.2">
      <c r="A3" s="7" t="s">
        <v>178</v>
      </c>
      <c r="C3" t="s">
        <v>178</v>
      </c>
      <c r="D3" t="s">
        <v>90</v>
      </c>
      <c r="F3" t="s">
        <v>278</v>
      </c>
    </row>
    <row r="6" spans="1:6" x14ac:dyDescent="0.2">
      <c r="A6" s="7"/>
    </row>
  </sheetData>
  <dataValidations count="4">
    <dataValidation type="list" showInputMessage="1" showErrorMessage="1" sqref="B6:B1048576 B2:B3" xr:uid="{2328B123-682F-4B3C-AE64-CDC150D0618A}">
      <formula1>space_names</formula1>
    </dataValidation>
    <dataValidation type="list" allowBlank="1" showInputMessage="1" showErrorMessage="1" sqref="C6:C1048576 C2:C3" xr:uid="{7DBA9B00-BCC4-452A-A0D4-50083D3659C1}">
      <formula1>property_instance</formula1>
    </dataValidation>
    <dataValidation type="list" showInputMessage="1" showErrorMessage="1" sqref="D6:D1048576 D2:D3" xr:uid="{AC17DECD-A774-49AF-9420-35DC828A9701}">
      <formula1>system_names</formula1>
    </dataValidation>
    <dataValidation type="list" showInputMessage="1" showErrorMessage="1" sqref="E6:E1048576 E2:E3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86"/>
  <sheetViews>
    <sheetView topLeftCell="A54" workbookViewId="0">
      <selection activeCell="B88" sqref="B88"/>
    </sheetView>
  </sheetViews>
  <sheetFormatPr baseColWidth="10" defaultColWidth="8.83203125" defaultRowHeight="15" x14ac:dyDescent="0.2"/>
  <cols>
    <col min="1" max="1" width="45" bestFit="1" customWidth="1"/>
    <col min="2" max="2" width="24.5" customWidth="1"/>
    <col min="3" max="3" width="12.33203125" bestFit="1" customWidth="1"/>
  </cols>
  <sheetData>
    <row r="1" spans="1:2" ht="16" thickBot="1" x14ac:dyDescent="0.25">
      <c r="A1" s="8" t="s">
        <v>60</v>
      </c>
      <c r="B1" s="9" t="s">
        <v>65</v>
      </c>
    </row>
    <row r="2" spans="1:2" x14ac:dyDescent="0.2">
      <c r="A2" s="21" t="s">
        <v>249</v>
      </c>
      <c r="B2" s="22" t="s">
        <v>87</v>
      </c>
    </row>
    <row r="3" spans="1:2" x14ac:dyDescent="0.2">
      <c r="A3" s="21" t="s">
        <v>252</v>
      </c>
      <c r="B3" s="21" t="s">
        <v>64</v>
      </c>
    </row>
    <row r="4" spans="1:2" x14ac:dyDescent="0.2">
      <c r="A4" s="21" t="s">
        <v>250</v>
      </c>
      <c r="B4" s="21" t="s">
        <v>66</v>
      </c>
    </row>
    <row r="5" spans="1:2" x14ac:dyDescent="0.2">
      <c r="A5" s="21" t="s">
        <v>251</v>
      </c>
      <c r="B5" s="21" t="s">
        <v>64</v>
      </c>
    </row>
    <row r="6" spans="1:2" x14ac:dyDescent="0.2">
      <c r="A6" s="21" t="s">
        <v>253</v>
      </c>
      <c r="B6" s="21" t="s">
        <v>63</v>
      </c>
    </row>
    <row r="7" spans="1:2" x14ac:dyDescent="0.2">
      <c r="A7" s="21" t="s">
        <v>244</v>
      </c>
      <c r="B7" s="22" t="s">
        <v>87</v>
      </c>
    </row>
    <row r="8" spans="1:2" x14ac:dyDescent="0.2">
      <c r="A8" s="21" t="s">
        <v>247</v>
      </c>
      <c r="B8" s="21" t="s">
        <v>64</v>
      </c>
    </row>
    <row r="9" spans="1:2" x14ac:dyDescent="0.2">
      <c r="A9" s="21" t="s">
        <v>245</v>
      </c>
      <c r="B9" s="21" t="s">
        <v>66</v>
      </c>
    </row>
    <row r="10" spans="1:2" x14ac:dyDescent="0.2">
      <c r="A10" s="21" t="s">
        <v>246</v>
      </c>
      <c r="B10" s="21" t="s">
        <v>64</v>
      </c>
    </row>
    <row r="11" spans="1:2" x14ac:dyDescent="0.2">
      <c r="A11" s="21" t="s">
        <v>248</v>
      </c>
      <c r="B11" s="21" t="s">
        <v>63</v>
      </c>
    </row>
    <row r="12" spans="1:2" x14ac:dyDescent="0.2">
      <c r="A12" s="21" t="s">
        <v>239</v>
      </c>
      <c r="B12" s="22" t="s">
        <v>87</v>
      </c>
    </row>
    <row r="13" spans="1:2" x14ac:dyDescent="0.2">
      <c r="A13" s="21" t="s">
        <v>242</v>
      </c>
      <c r="B13" s="21" t="s">
        <v>64</v>
      </c>
    </row>
    <row r="14" spans="1:2" x14ac:dyDescent="0.2">
      <c r="A14" s="21" t="s">
        <v>240</v>
      </c>
      <c r="B14" s="21" t="s">
        <v>66</v>
      </c>
    </row>
    <row r="15" spans="1:2" x14ac:dyDescent="0.2">
      <c r="A15" s="21" t="s">
        <v>241</v>
      </c>
      <c r="B15" s="21" t="s">
        <v>64</v>
      </c>
    </row>
    <row r="16" spans="1:2" x14ac:dyDescent="0.2">
      <c r="A16" s="21" t="s">
        <v>243</v>
      </c>
      <c r="B16" s="21" t="s">
        <v>63</v>
      </c>
    </row>
    <row r="17" spans="1:2" x14ac:dyDescent="0.2">
      <c r="A17" s="21" t="s">
        <v>234</v>
      </c>
      <c r="B17" s="22" t="s">
        <v>87</v>
      </c>
    </row>
    <row r="18" spans="1:2" x14ac:dyDescent="0.2">
      <c r="A18" s="21" t="s">
        <v>237</v>
      </c>
      <c r="B18" s="21" t="s">
        <v>64</v>
      </c>
    </row>
    <row r="19" spans="1:2" x14ac:dyDescent="0.2">
      <c r="A19" s="21" t="s">
        <v>235</v>
      </c>
      <c r="B19" s="21" t="s">
        <v>66</v>
      </c>
    </row>
    <row r="20" spans="1:2" x14ac:dyDescent="0.2">
      <c r="A20" s="21" t="s">
        <v>236</v>
      </c>
      <c r="B20" s="21" t="s">
        <v>64</v>
      </c>
    </row>
    <row r="21" spans="1:2" x14ac:dyDescent="0.2">
      <c r="A21" s="21" t="s">
        <v>238</v>
      </c>
      <c r="B21" s="21" t="s">
        <v>63</v>
      </c>
    </row>
    <row r="22" spans="1:2" x14ac:dyDescent="0.2">
      <c r="A22" s="21" t="s">
        <v>229</v>
      </c>
      <c r="B22" s="22" t="s">
        <v>87</v>
      </c>
    </row>
    <row r="23" spans="1:2" x14ac:dyDescent="0.2">
      <c r="A23" s="21" t="s">
        <v>232</v>
      </c>
      <c r="B23" s="21" t="s">
        <v>64</v>
      </c>
    </row>
    <row r="24" spans="1:2" x14ac:dyDescent="0.2">
      <c r="A24" s="21" t="s">
        <v>230</v>
      </c>
      <c r="B24" s="21" t="s">
        <v>66</v>
      </c>
    </row>
    <row r="25" spans="1:2" x14ac:dyDescent="0.2">
      <c r="A25" s="21" t="s">
        <v>231</v>
      </c>
      <c r="B25" s="21" t="s">
        <v>64</v>
      </c>
    </row>
    <row r="26" spans="1:2" x14ac:dyDescent="0.2">
      <c r="A26" s="21" t="s">
        <v>233</v>
      </c>
      <c r="B26" s="21" t="s">
        <v>63</v>
      </c>
    </row>
    <row r="27" spans="1:2" x14ac:dyDescent="0.2">
      <c r="A27" s="7" t="s">
        <v>224</v>
      </c>
      <c r="B27" t="s">
        <v>87</v>
      </c>
    </row>
    <row r="28" spans="1:2" x14ac:dyDescent="0.2">
      <c r="A28" s="7" t="s">
        <v>227</v>
      </c>
      <c r="B28" s="7" t="s">
        <v>64</v>
      </c>
    </row>
    <row r="29" spans="1:2" x14ac:dyDescent="0.2">
      <c r="A29" s="7" t="s">
        <v>225</v>
      </c>
      <c r="B29" s="7" t="s">
        <v>66</v>
      </c>
    </row>
    <row r="30" spans="1:2" x14ac:dyDescent="0.2">
      <c r="A30" s="7" t="s">
        <v>226</v>
      </c>
      <c r="B30" s="7" t="s">
        <v>64</v>
      </c>
    </row>
    <row r="31" spans="1:2" x14ac:dyDescent="0.2">
      <c r="A31" s="7" t="s">
        <v>228</v>
      </c>
      <c r="B31" s="7" t="s">
        <v>63</v>
      </c>
    </row>
    <row r="32" spans="1:2" x14ac:dyDescent="0.2">
      <c r="A32" s="7" t="s">
        <v>219</v>
      </c>
      <c r="B32" t="s">
        <v>87</v>
      </c>
    </row>
    <row r="33" spans="1:2" x14ac:dyDescent="0.2">
      <c r="A33" s="7" t="s">
        <v>222</v>
      </c>
      <c r="B33" s="7" t="s">
        <v>64</v>
      </c>
    </row>
    <row r="34" spans="1:2" x14ac:dyDescent="0.2">
      <c r="A34" s="7" t="s">
        <v>220</v>
      </c>
      <c r="B34" s="7" t="s">
        <v>66</v>
      </c>
    </row>
    <row r="35" spans="1:2" x14ac:dyDescent="0.2">
      <c r="A35" s="7" t="s">
        <v>221</v>
      </c>
      <c r="B35" s="7" t="s">
        <v>64</v>
      </c>
    </row>
    <row r="36" spans="1:2" x14ac:dyDescent="0.2">
      <c r="A36" s="7" t="s">
        <v>223</v>
      </c>
      <c r="B36" s="7" t="s">
        <v>63</v>
      </c>
    </row>
    <row r="37" spans="1:2" x14ac:dyDescent="0.2">
      <c r="A37" s="7" t="s">
        <v>214</v>
      </c>
      <c r="B37" t="s">
        <v>87</v>
      </c>
    </row>
    <row r="38" spans="1:2" x14ac:dyDescent="0.2">
      <c r="A38" s="7" t="s">
        <v>217</v>
      </c>
      <c r="B38" s="7" t="s">
        <v>64</v>
      </c>
    </row>
    <row r="39" spans="1:2" x14ac:dyDescent="0.2">
      <c r="A39" s="7" t="s">
        <v>215</v>
      </c>
      <c r="B39" s="7" t="s">
        <v>66</v>
      </c>
    </row>
    <row r="40" spans="1:2" x14ac:dyDescent="0.2">
      <c r="A40" s="7" t="s">
        <v>216</v>
      </c>
      <c r="B40" s="7" t="s">
        <v>64</v>
      </c>
    </row>
    <row r="41" spans="1:2" x14ac:dyDescent="0.2">
      <c r="A41" s="7" t="s">
        <v>218</v>
      </c>
      <c r="B41" s="7" t="s">
        <v>63</v>
      </c>
    </row>
    <row r="42" spans="1:2" x14ac:dyDescent="0.2">
      <c r="A42" s="7" t="s">
        <v>209</v>
      </c>
      <c r="B42" t="s">
        <v>87</v>
      </c>
    </row>
    <row r="43" spans="1:2" x14ac:dyDescent="0.2">
      <c r="A43" s="7" t="s">
        <v>212</v>
      </c>
      <c r="B43" s="7" t="s">
        <v>64</v>
      </c>
    </row>
    <row r="44" spans="1:2" x14ac:dyDescent="0.2">
      <c r="A44" s="7" t="s">
        <v>210</v>
      </c>
      <c r="B44" s="7" t="s">
        <v>66</v>
      </c>
    </row>
    <row r="45" spans="1:2" x14ac:dyDescent="0.2">
      <c r="A45" s="7" t="s">
        <v>211</v>
      </c>
      <c r="B45" s="7" t="s">
        <v>64</v>
      </c>
    </row>
    <row r="46" spans="1:2" x14ac:dyDescent="0.2">
      <c r="A46" s="7" t="s">
        <v>213</v>
      </c>
      <c r="B46" s="7" t="s">
        <v>63</v>
      </c>
    </row>
    <row r="47" spans="1:2" x14ac:dyDescent="0.2">
      <c r="A47" s="7" t="s">
        <v>204</v>
      </c>
      <c r="B47" t="s">
        <v>87</v>
      </c>
    </row>
    <row r="48" spans="1:2" x14ac:dyDescent="0.2">
      <c r="A48" s="7" t="s">
        <v>207</v>
      </c>
      <c r="B48" s="7" t="s">
        <v>64</v>
      </c>
    </row>
    <row r="49" spans="1:2" x14ac:dyDescent="0.2">
      <c r="A49" s="7" t="s">
        <v>205</v>
      </c>
      <c r="B49" s="7" t="s">
        <v>66</v>
      </c>
    </row>
    <row r="50" spans="1:2" x14ac:dyDescent="0.2">
      <c r="A50" s="7" t="s">
        <v>206</v>
      </c>
      <c r="B50" s="7" t="s">
        <v>64</v>
      </c>
    </row>
    <row r="51" spans="1:2" x14ac:dyDescent="0.2">
      <c r="A51" s="7" t="s">
        <v>208</v>
      </c>
      <c r="B51" s="7" t="s">
        <v>63</v>
      </c>
    </row>
    <row r="52" spans="1:2" x14ac:dyDescent="0.2">
      <c r="A52" s="7" t="s">
        <v>187</v>
      </c>
      <c r="B52" t="s">
        <v>87</v>
      </c>
    </row>
    <row r="53" spans="1:2" x14ac:dyDescent="0.2">
      <c r="A53" s="7" t="s">
        <v>190</v>
      </c>
      <c r="B53" s="7" t="s">
        <v>64</v>
      </c>
    </row>
    <row r="54" spans="1:2" x14ac:dyDescent="0.2">
      <c r="A54" s="7" t="s">
        <v>188</v>
      </c>
      <c r="B54" s="7" t="s">
        <v>66</v>
      </c>
    </row>
    <row r="55" spans="1:2" x14ac:dyDescent="0.2">
      <c r="A55" s="7" t="s">
        <v>189</v>
      </c>
      <c r="B55" s="7" t="s">
        <v>64</v>
      </c>
    </row>
    <row r="56" spans="1:2" x14ac:dyDescent="0.2">
      <c r="A56" s="7" t="s">
        <v>191</v>
      </c>
      <c r="B56" s="7" t="s">
        <v>63</v>
      </c>
    </row>
    <row r="57" spans="1:2" x14ac:dyDescent="0.2">
      <c r="A57" s="7" t="s">
        <v>108</v>
      </c>
      <c r="B57" t="s">
        <v>87</v>
      </c>
    </row>
    <row r="58" spans="1:2" x14ac:dyDescent="0.2">
      <c r="A58" s="7" t="s">
        <v>89</v>
      </c>
      <c r="B58" s="7" t="s">
        <v>64</v>
      </c>
    </row>
    <row r="59" spans="1:2" x14ac:dyDescent="0.2">
      <c r="A59" s="7" t="s">
        <v>107</v>
      </c>
      <c r="B59" s="7" t="s">
        <v>66</v>
      </c>
    </row>
    <row r="60" spans="1:2" x14ac:dyDescent="0.2">
      <c r="A60" s="7" t="s">
        <v>105</v>
      </c>
      <c r="B60" s="7" t="s">
        <v>64</v>
      </c>
    </row>
    <row r="61" spans="1:2" x14ac:dyDescent="0.2">
      <c r="A61" s="7" t="s">
        <v>106</v>
      </c>
      <c r="B61" s="7" t="s">
        <v>63</v>
      </c>
    </row>
    <row r="62" spans="1:2" x14ac:dyDescent="0.2">
      <c r="A62" s="7" t="s">
        <v>199</v>
      </c>
      <c r="B62" t="s">
        <v>87</v>
      </c>
    </row>
    <row r="63" spans="1:2" x14ac:dyDescent="0.2">
      <c r="A63" s="7" t="s">
        <v>202</v>
      </c>
      <c r="B63" s="7" t="s">
        <v>64</v>
      </c>
    </row>
    <row r="64" spans="1:2" x14ac:dyDescent="0.2">
      <c r="A64" s="7" t="s">
        <v>200</v>
      </c>
      <c r="B64" s="7" t="s">
        <v>66</v>
      </c>
    </row>
    <row r="65" spans="1:2" x14ac:dyDescent="0.2">
      <c r="A65" s="7" t="s">
        <v>201</v>
      </c>
      <c r="B65" s="7" t="s">
        <v>64</v>
      </c>
    </row>
    <row r="66" spans="1:2" x14ac:dyDescent="0.2">
      <c r="A66" s="7" t="s">
        <v>203</v>
      </c>
      <c r="B66" s="7" t="s">
        <v>63</v>
      </c>
    </row>
    <row r="67" spans="1:2" x14ac:dyDescent="0.2">
      <c r="A67" s="7" t="s">
        <v>136</v>
      </c>
      <c r="B67" t="s">
        <v>74</v>
      </c>
    </row>
    <row r="68" spans="1:2" x14ac:dyDescent="0.2">
      <c r="A68" s="7" t="s">
        <v>178</v>
      </c>
      <c r="B68" t="s">
        <v>73</v>
      </c>
    </row>
    <row r="69" spans="1:2" x14ac:dyDescent="0.2">
      <c r="A69" s="7" t="s">
        <v>143</v>
      </c>
      <c r="B69" t="s">
        <v>74</v>
      </c>
    </row>
    <row r="70" spans="1:2" x14ac:dyDescent="0.2">
      <c r="A70" s="7" t="s">
        <v>144</v>
      </c>
      <c r="B70" t="s">
        <v>73</v>
      </c>
    </row>
    <row r="71" spans="1:2" x14ac:dyDescent="0.2">
      <c r="A71" s="7" t="s">
        <v>181</v>
      </c>
      <c r="B71" t="s">
        <v>73</v>
      </c>
    </row>
    <row r="72" spans="1:2" x14ac:dyDescent="0.2">
      <c r="A72" s="7" t="s">
        <v>140</v>
      </c>
      <c r="B72" t="s">
        <v>73</v>
      </c>
    </row>
    <row r="73" spans="1:2" x14ac:dyDescent="0.2">
      <c r="A73" s="7" t="s">
        <v>134</v>
      </c>
      <c r="B73" t="s">
        <v>74</v>
      </c>
    </row>
    <row r="74" spans="1:2" x14ac:dyDescent="0.2">
      <c r="A74" s="7" t="s">
        <v>129</v>
      </c>
      <c r="B74" t="s">
        <v>73</v>
      </c>
    </row>
    <row r="75" spans="1:2" x14ac:dyDescent="0.2">
      <c r="A75" s="7" t="s">
        <v>132</v>
      </c>
      <c r="B75" t="s">
        <v>73</v>
      </c>
    </row>
    <row r="76" spans="1:2" x14ac:dyDescent="0.2">
      <c r="A76" s="7" t="s">
        <v>137</v>
      </c>
      <c r="B76" t="s">
        <v>74</v>
      </c>
    </row>
    <row r="77" spans="1:2" x14ac:dyDescent="0.2">
      <c r="A77" s="7" t="s">
        <v>147</v>
      </c>
      <c r="B77" t="s">
        <v>63</v>
      </c>
    </row>
    <row r="78" spans="1:2" x14ac:dyDescent="0.2">
      <c r="A78" s="7" t="s">
        <v>148</v>
      </c>
      <c r="B78" t="s">
        <v>63</v>
      </c>
    </row>
    <row r="79" spans="1:2" x14ac:dyDescent="0.2">
      <c r="A79" s="7" t="s">
        <v>146</v>
      </c>
      <c r="B79" t="s">
        <v>63</v>
      </c>
    </row>
    <row r="80" spans="1:2" x14ac:dyDescent="0.2">
      <c r="A80" s="7" t="s">
        <v>150</v>
      </c>
      <c r="B80" t="s">
        <v>63</v>
      </c>
    </row>
    <row r="81" spans="1:2" x14ac:dyDescent="0.2">
      <c r="A81" s="7" t="s">
        <v>145</v>
      </c>
      <c r="B81" t="s">
        <v>63</v>
      </c>
    </row>
    <row r="82" spans="1:2" x14ac:dyDescent="0.2">
      <c r="A82" s="7" t="s">
        <v>149</v>
      </c>
      <c r="B82" t="s">
        <v>63</v>
      </c>
    </row>
    <row r="83" spans="1:2" x14ac:dyDescent="0.2">
      <c r="A83" s="7" t="s">
        <v>154</v>
      </c>
      <c r="B83" t="s">
        <v>73</v>
      </c>
    </row>
    <row r="84" spans="1:2" x14ac:dyDescent="0.2">
      <c r="A84" s="7" t="s">
        <v>177</v>
      </c>
      <c r="B84" t="s">
        <v>73</v>
      </c>
    </row>
    <row r="85" spans="1:2" x14ac:dyDescent="0.2">
      <c r="A85" s="7" t="s">
        <v>182</v>
      </c>
      <c r="B85" t="s">
        <v>73</v>
      </c>
    </row>
    <row r="86" spans="1:2" x14ac:dyDescent="0.2">
      <c r="A86" s="7" t="s">
        <v>138</v>
      </c>
      <c r="B86" t="s">
        <v>73</v>
      </c>
    </row>
  </sheetData>
  <sortState xmlns:xlrd2="http://schemas.microsoft.com/office/spreadsheetml/2017/richdata2" ref="A2:B85">
    <sortCondition ref="A1:A85"/>
  </sortState>
  <dataValidations count="2">
    <dataValidation type="list" allowBlank="1" showInputMessage="1" showErrorMessage="1" sqref="A7" xr:uid="{A6AE19E1-AABB-4B3E-BED0-3FBE1F503D95}">
      <formula1>property_instance</formula1>
    </dataValidation>
    <dataValidation type="list" allowBlank="1" showInputMessage="1" showErrorMessage="1" sqref="B2:B60 B86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N1000"/>
  <sheetViews>
    <sheetView workbookViewId="0">
      <selection activeCell="A17" sqref="A17"/>
    </sheetView>
  </sheetViews>
  <sheetFormatPr baseColWidth="10" defaultColWidth="8.83203125" defaultRowHeight="15" x14ac:dyDescent="0.2"/>
  <cols>
    <col min="1" max="1" width="22.5" bestFit="1" customWidth="1"/>
    <col min="2" max="4" width="25.33203125" bestFit="1" customWidth="1"/>
    <col min="5" max="5" width="14.33203125" bestFit="1" customWidth="1"/>
    <col min="6" max="6" width="30" bestFit="1" customWidth="1"/>
    <col min="7" max="7" width="25" bestFit="1" customWidth="1"/>
    <col min="31" max="31" width="14.5" bestFit="1" customWidth="1"/>
    <col min="32" max="32" width="23.83203125" bestFit="1" customWidth="1"/>
    <col min="33" max="33" width="15.83203125" bestFit="1" customWidth="1"/>
    <col min="34" max="34" width="24.33203125" bestFit="1" customWidth="1"/>
    <col min="35" max="35" width="11.83203125" bestFit="1" customWidth="1"/>
    <col min="36" max="36" width="23.5" bestFit="1" customWidth="1"/>
    <col min="38" max="38" width="27.83203125" bestFit="1" customWidth="1"/>
    <col min="39" max="39" width="28.83203125" bestFit="1" customWidth="1"/>
    <col min="40" max="40" width="21.5" bestFit="1" customWidth="1"/>
  </cols>
  <sheetData>
    <row r="1" spans="1:40" ht="16" thickBot="1" x14ac:dyDescent="0.25">
      <c r="A1" s="2" t="s">
        <v>76</v>
      </c>
      <c r="B1" s="13" t="s">
        <v>94</v>
      </c>
      <c r="C1" s="13" t="s">
        <v>95</v>
      </c>
      <c r="D1" s="13" t="s">
        <v>96</v>
      </c>
      <c r="E1" s="2" t="s">
        <v>93</v>
      </c>
      <c r="F1" s="2" t="s">
        <v>100</v>
      </c>
      <c r="G1" s="2" t="s">
        <v>117</v>
      </c>
      <c r="H1" s="10"/>
      <c r="I1" s="10"/>
      <c r="J1" s="10"/>
      <c r="K1" s="10"/>
      <c r="P1" s="14" t="s">
        <v>93</v>
      </c>
      <c r="Q1" s="15"/>
      <c r="R1" s="15"/>
      <c r="U1" s="14" t="s">
        <v>100</v>
      </c>
      <c r="V1" s="15"/>
      <c r="W1" s="15"/>
      <c r="Z1" s="14" t="s">
        <v>117</v>
      </c>
      <c r="AE1" s="17" t="s">
        <v>118</v>
      </c>
      <c r="AF1" s="17" t="s">
        <v>119</v>
      </c>
      <c r="AG1" s="17" t="s">
        <v>120</v>
      </c>
      <c r="AH1" s="17" t="s">
        <v>121</v>
      </c>
      <c r="AI1" s="17" t="s">
        <v>122</v>
      </c>
      <c r="AJ1" s="17" t="s">
        <v>123</v>
      </c>
      <c r="AK1" s="17" t="s">
        <v>124</v>
      </c>
      <c r="AL1" s="17" t="s">
        <v>125</v>
      </c>
      <c r="AM1" s="17" t="s">
        <v>126</v>
      </c>
      <c r="AN1" s="17" t="s">
        <v>127</v>
      </c>
    </row>
    <row r="2" spans="1:40" x14ac:dyDescent="0.2">
      <c r="A2" t="s">
        <v>63</v>
      </c>
      <c r="B2" t="str" cm="1">
        <f t="array" aca="1" ref="B2" ca="1">ventilation_system_names</f>
        <v>HF04</v>
      </c>
      <c r="C2" t="str" cm="1">
        <f t="array" aca="1" ref="C2" ca="1">heating_system_names</f>
        <v>HD01</v>
      </c>
      <c r="D2" t="str" cm="1">
        <f t="array" aca="1" ref="D2" ca="1">cooling_system_names</f>
        <v>Cooling</v>
      </c>
      <c r="E2" t="str" cm="1">
        <f t="array" aca="1" ref="E2:E999" ca="1">IF(COUNTA($R:$R)&gt;1,OFFSET($R$2, 0, 0, COUNTA($R:$R)-1, 1),"")</f>
        <v>HF04</v>
      </c>
      <c r="F2" t="str" cm="1">
        <f t="array" aca="1" ref="F2:F999" ca="1">IF(COUNTA($W:$W)&gt;1,OFFSET($W$2, 0, 0, COUNTA($W:$W)-1, 1),"")</f>
        <v>HD01</v>
      </c>
      <c r="G2" t="str" cm="1">
        <f t="array" aca="1" ref="G2:G121" ca="1">_xlfn._xlws.FILTER(IF(COUNTA($AB:$AB)&gt;1,OFFSET($AB$2, 0, 0, COUNTA($AB:$AB)-1, 1),""), IF(COUNTA($AB:$AB)&gt;1,OFFSET($AB$2, 0, 0, COUNTA($AB:$AB)-1, 1),"") &lt;&gt;"")</f>
        <v>033A</v>
      </c>
      <c r="P2" t="str" cm="1">
        <f t="array" aca="1" ref="P2" ca="1">INDEX($B$2:$D$40,MOD(ROW()-ROW($B$2),ROWS($B$2:$D$40))+1,INT((ROW()-ROW($B$2))/ROWS($B$2:$D$40))+1)</f>
        <v>HF04</v>
      </c>
      <c r="Q2">
        <f ca="1">MATCH("*",P2:P40,0)+ROW()-1</f>
        <v>2</v>
      </c>
      <c r="R2" t="str" cm="1">
        <f t="array" aca="1" ref="R2" ca="1">IFERROR(INDIRECT("$P"&amp;Q2),"")</f>
        <v>HF04</v>
      </c>
      <c r="U2" t="str" cm="1">
        <f t="array" aca="1" ref="U2" ca="1">INDEX($C$2:$D$40,MOD(ROW()-ROW($C$2),ROWS($C$2:$D$40))+1,INT((ROW()-ROW($C$2))/ROWS($C$2:$D$40))+1)</f>
        <v>HD01</v>
      </c>
      <c r="V2">
        <f ca="1">MATCH("*",U2:U40,0)+ROW()-1</f>
        <v>2</v>
      </c>
      <c r="W2" t="str" cm="1">
        <f t="array" aca="1" ref="W2" ca="1">IFERROR(INDIRECT("$U"&amp;V2),"")</f>
        <v>HD01</v>
      </c>
      <c r="Z2" t="str" cm="1">
        <f t="array" aca="1" ref="Z2" ca="1">INDEX($AE$2:$AN$40,MOD(ROW()-ROW($AE$2),ROWS($AE$2:$AN$40))+1,INT((ROW()-ROW($AE$2))/ROWS($AE$2:$AN$40))+1)</f>
        <v>033A</v>
      </c>
      <c r="AA2">
        <f ca="1">MATCH("*",Z2:Z40,0)+ROW()-1</f>
        <v>2</v>
      </c>
      <c r="AB2" t="str" cm="1">
        <f t="array" aca="1" ref="AB2" ca="1">IFERROR(INDIRECT("$Z"&amp;AA2),"")</f>
        <v>033A</v>
      </c>
      <c r="AE2" t="str" cm="1">
        <f t="array" aca="1" ref="AE2:AE13" ca="1">space_names</f>
        <v>033A</v>
      </c>
      <c r="AF2" t="str" cm="1">
        <f t="array" aca="1" ref="AF2:AF25" ca="1">damper_names</f>
        <v>033A_room_supply_damper</v>
      </c>
      <c r="AG2" t="str" cm="1">
        <f t="array" aca="1" ref="AG2:AG13" ca="1">space_heater_names</f>
        <v>033A_space_heater</v>
      </c>
      <c r="AH2" t="str" cm="1">
        <f t="array" aca="1" ref="AH2:AH13" ca="1">valve_names</f>
        <v>033A_space_heater_valve</v>
      </c>
      <c r="AI2" t="str" cm="1">
        <f t="array" aca="1" ref="AI2:AI3" ca="1">coil_names</f>
        <v>cooling_coil</v>
      </c>
      <c r="AJ2" t="str" cm="1">
        <f t="array" aca="1" ref="AJ2" ca="1">air_to_air_heat_recovery_names</f>
        <v>HF04_heat_exchanger</v>
      </c>
      <c r="AK2" t="str" cm="1">
        <f t="array" aca="1" ref="AK2:AK3" ca="1">fan_names</f>
        <v>supply_fan</v>
      </c>
      <c r="AL2" t="str" cm="1">
        <f t="array" aca="1" ref="AL2:AL17" ca="1">controller_names</f>
        <v>033A_temperature_controller</v>
      </c>
      <c r="AM2" t="str" cm="1">
        <f t="array" aca="1" ref="AM2:AM61" ca="1">sensor_names</f>
        <v>033A_co2_sensor</v>
      </c>
      <c r="AN2" t="e" cm="1">
        <f t="array" aca="1" ref="AN2" ca="1">meter_names</f>
        <v>#REF!</v>
      </c>
    </row>
    <row r="3" spans="1:40" x14ac:dyDescent="0.2">
      <c r="A3" t="s">
        <v>72</v>
      </c>
      <c r="E3" t="str">
        <f ca="1"/>
        <v>HD01</v>
      </c>
      <c r="F3" t="str">
        <f ca="1"/>
        <v>Cooling</v>
      </c>
      <c r="G3" t="str">
        <f ca="1"/>
        <v>031A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HD01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Cooling</v>
      </c>
      <c r="Z3" t="str" cm="1">
        <f t="array" aca="1" ref="Z3" ca="1">INDEX($AE$2:$AN$40,MOD(ROW()-ROW($AE$2),ROWS($AE$2:$AN$40))+1,INT((ROW()-ROW($AE$2))/ROWS($AE$2:$AN$40))+1)</f>
        <v>031A</v>
      </c>
      <c r="AA3">
        <f ca="1">MATCH("*",INDIRECT(ADDRESS(AA2+1,26,1)&amp;":$Z$1000"),0)+AA2</f>
        <v>3</v>
      </c>
      <c r="AB3" t="str" cm="1">
        <f t="array" aca="1" ref="AB3" ca="1">IFERROR(INDIRECT("$Z"&amp;AA3),"")</f>
        <v>031A</v>
      </c>
      <c r="AE3" t="str">
        <f ca="1"/>
        <v>031A</v>
      </c>
      <c r="AF3" t="str">
        <f ca="1"/>
        <v>033A_room_exhaust_damper</v>
      </c>
      <c r="AG3" t="str">
        <f ca="1"/>
        <v>031A_space_heater</v>
      </c>
      <c r="AH3" t="str">
        <f ca="1"/>
        <v>031A_space_heater_valve</v>
      </c>
      <c r="AI3" t="str">
        <f ca="1"/>
        <v>heating_coil</v>
      </c>
      <c r="AK3" t="str">
        <f ca="1"/>
        <v>exhaust_fan</v>
      </c>
      <c r="AL3" t="str">
        <f ca="1"/>
        <v>033A_co2_controller</v>
      </c>
      <c r="AM3" t="str">
        <f ca="1"/>
        <v>033A_damper_position_sensor</v>
      </c>
    </row>
    <row r="4" spans="1:40" x14ac:dyDescent="0.2">
      <c r="A4" t="s">
        <v>71</v>
      </c>
      <c r="E4" t="str">
        <f ca="1"/>
        <v>Cooling</v>
      </c>
      <c r="F4" t="str">
        <f ca="1"/>
        <v/>
      </c>
      <c r="G4" t="str">
        <f ca="1"/>
        <v>035A</v>
      </c>
      <c r="P4" cm="1">
        <f t="array" ref="P4">INDEX($B$2:$D$40,MOD(ROW()-ROW($B$2),ROWS($B$2:$D$40))+1,INT((ROW()-ROW($B$2))/ROWS($B$2:$D$40))+1)</f>
        <v>0</v>
      </c>
      <c r="Q4">
        <f t="shared" ref="Q4:Q67" ca="1" si="0">MATCH("*",INDIRECT(ADDRESS(Q3+1,16,1)&amp;":$P$1000"),0)+Q3</f>
        <v>80</v>
      </c>
      <c r="R4" t="str" cm="1">
        <f t="array" aca="1" ref="R4" ca="1">IFERROR(INDIRECT("$P"&amp;Q4),"")</f>
        <v>Cooling</v>
      </c>
      <c r="U4" cm="1">
        <f t="array" ref="U4">INDEX($C$2:$D$40,MOD(ROW()-ROW($C$2),ROWS($C$2:$D$40))+1,INT((ROW()-ROW($C$2))/ROWS($C$2:$D$40))+1)</f>
        <v>0</v>
      </c>
      <c r="V4" t="e">
        <f t="shared" ref="V4:V67" ca="1" si="1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INDEX($AE$2:$AN$40,MOD(ROW()-ROW($AE$2),ROWS($AE$2:$AN$40))+1,INT((ROW()-ROW($AE$2))/ROWS($AE$2:$AN$40))+1)</f>
        <v>035A</v>
      </c>
      <c r="AA4">
        <f t="shared" ref="AA4:AA67" ca="1" si="2">MATCH("*",INDIRECT(ADDRESS(AA3+1,26,1)&amp;":$Z$1000"),0)+AA3</f>
        <v>4</v>
      </c>
      <c r="AB4" t="str" cm="1">
        <f t="array" aca="1" ref="AB4" ca="1">IFERROR(INDIRECT("$Z"&amp;AA4),"")</f>
        <v>035A</v>
      </c>
      <c r="AE4" t="str">
        <f ca="1"/>
        <v>035A</v>
      </c>
      <c r="AF4" t="str">
        <f ca="1"/>
        <v>031A_room_supply_damper</v>
      </c>
      <c r="AG4" t="str">
        <f ca="1"/>
        <v>035A_space_heater</v>
      </c>
      <c r="AH4" t="str">
        <f ca="1"/>
        <v>035A_space_heater_valve</v>
      </c>
      <c r="AL4" t="str">
        <f ca="1"/>
        <v>031A_temperature_controller</v>
      </c>
      <c r="AM4" t="str">
        <f ca="1"/>
        <v>033A_temperature_sensor</v>
      </c>
    </row>
    <row r="5" spans="1:40" x14ac:dyDescent="0.2">
      <c r="A5" t="s">
        <v>73</v>
      </c>
      <c r="E5" t="str">
        <f ca="1"/>
        <v/>
      </c>
      <c r="F5" t="str">
        <f ca="1"/>
        <v/>
      </c>
      <c r="G5" t="str">
        <f ca="1"/>
        <v>029A</v>
      </c>
      <c r="P5" cm="1">
        <f t="array" ref="P5">INDEX($B$2:$D$40,MOD(ROW()-ROW($B$2),ROWS($B$2:$D$40))+1,INT((ROW()-ROW($B$2))/ROWS($B$2:$D$40))+1)</f>
        <v>0</v>
      </c>
      <c r="Q5" t="e">
        <f t="shared" ca="1" si="0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1"/>
        <v>#N/A</v>
      </c>
      <c r="W5" t="str" cm="1">
        <f t="array" aca="1" ref="W5" ca="1">IFERROR(INDIRECT("$U"&amp;V5),"")</f>
        <v/>
      </c>
      <c r="Z5" t="str" cm="1">
        <f t="array" aca="1" ref="Z5" ca="1">INDEX($AE$2:$AN$40,MOD(ROW()-ROW($AE$2),ROWS($AE$2:$AN$40))+1,INT((ROW()-ROW($AE$2))/ROWS($AE$2:$AN$40))+1)</f>
        <v>029A</v>
      </c>
      <c r="AA5">
        <f t="shared" ca="1" si="2"/>
        <v>5</v>
      </c>
      <c r="AB5" t="str" cm="1">
        <f t="array" aca="1" ref="AB5" ca="1">IFERROR(INDIRECT("$Z"&amp;AA5),"")</f>
        <v>029A</v>
      </c>
      <c r="AE5" t="str">
        <f ca="1"/>
        <v>029A</v>
      </c>
      <c r="AF5" t="str">
        <f ca="1"/>
        <v>031A_room_exhaust_damper</v>
      </c>
      <c r="AG5" t="str">
        <f ca="1"/>
        <v>029A_space_heater</v>
      </c>
      <c r="AH5" t="str">
        <f ca="1"/>
        <v>029A_space_heater_valve</v>
      </c>
      <c r="AL5" t="str">
        <f ca="1"/>
        <v>031A_co2_controller</v>
      </c>
      <c r="AM5" t="str">
        <f ca="1"/>
        <v>033A_valve_position_sensor</v>
      </c>
    </row>
    <row r="6" spans="1:40" x14ac:dyDescent="0.2">
      <c r="A6" t="s">
        <v>74</v>
      </c>
      <c r="E6" t="str">
        <f ca="1"/>
        <v/>
      </c>
      <c r="F6" t="str">
        <f ca="1"/>
        <v/>
      </c>
      <c r="G6" t="str">
        <f ca="1"/>
        <v>020A</v>
      </c>
      <c r="P6" cm="1">
        <f t="array" ref="P6">INDEX($B$2:$D$40,MOD(ROW()-ROW($B$2),ROWS($B$2:$D$40))+1,INT((ROW()-ROW($B$2))/ROWS($B$2:$D$40))+1)</f>
        <v>0</v>
      </c>
      <c r="Q6" t="e">
        <f t="shared" ca="1" si="0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1"/>
        <v>#N/A</v>
      </c>
      <c r="W6" t="str" cm="1">
        <f t="array" aca="1" ref="W6" ca="1">IFERROR(INDIRECT("$U"&amp;V6),"")</f>
        <v/>
      </c>
      <c r="Z6" t="str" cm="1">
        <f t="array" aca="1" ref="Z6" ca="1">INDEX($AE$2:$AN$40,MOD(ROW()-ROW($AE$2),ROWS($AE$2:$AN$40))+1,INT((ROW()-ROW($AE$2))/ROWS($AE$2:$AN$40))+1)</f>
        <v>020A</v>
      </c>
      <c r="AA6">
        <f t="shared" ca="1" si="2"/>
        <v>6</v>
      </c>
      <c r="AB6" t="str" cm="1">
        <f t="array" aca="1" ref="AB6" ca="1">IFERROR(INDIRECT("$Z"&amp;AA6),"")</f>
        <v>020A</v>
      </c>
      <c r="AE6" t="str">
        <f ca="1"/>
        <v>020A</v>
      </c>
      <c r="AF6" t="str">
        <f ca="1"/>
        <v>035A_room_supply_damper</v>
      </c>
      <c r="AG6" t="str">
        <f ca="1"/>
        <v>020A_space_heater</v>
      </c>
      <c r="AH6" t="str">
        <f ca="1"/>
        <v>020A_space_heater_valve</v>
      </c>
      <c r="AL6" t="str">
        <f ca="1"/>
        <v>035A_temperature_controller</v>
      </c>
      <c r="AM6" t="str">
        <f ca="1"/>
        <v>BPA001</v>
      </c>
    </row>
    <row r="7" spans="1:40" x14ac:dyDescent="0.2">
      <c r="A7" t="s">
        <v>75</v>
      </c>
      <c r="E7" t="str">
        <f ca="1"/>
        <v/>
      </c>
      <c r="F7" t="str">
        <f ca="1"/>
        <v/>
      </c>
      <c r="G7" t="str">
        <f ca="1"/>
        <v>015A</v>
      </c>
      <c r="P7" cm="1">
        <f t="array" ref="P7">INDEX($B$2:$D$40,MOD(ROW()-ROW($B$2),ROWS($B$2:$D$40))+1,INT((ROW()-ROW($B$2))/ROWS($B$2:$D$40))+1)</f>
        <v>0</v>
      </c>
      <c r="Q7" t="e">
        <f t="shared" ca="1" si="0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1"/>
        <v>#N/A</v>
      </c>
      <c r="W7" t="str" cm="1">
        <f t="array" aca="1" ref="W7" ca="1">IFERROR(INDIRECT("$U"&amp;V7),"")</f>
        <v/>
      </c>
      <c r="Z7" t="str" cm="1">
        <f t="array" aca="1" ref="Z7" ca="1">INDEX($AE$2:$AN$40,MOD(ROW()-ROW($AE$2),ROWS($AE$2:$AN$40))+1,INT((ROW()-ROW($AE$2))/ROWS($AE$2:$AN$40))+1)</f>
        <v>015A</v>
      </c>
      <c r="AA7">
        <f t="shared" ca="1" si="2"/>
        <v>7</v>
      </c>
      <c r="AB7" t="str" cm="1">
        <f t="array" aca="1" ref="AB7" ca="1">IFERROR(INDIRECT("$Z"&amp;AA7),"")</f>
        <v>015A</v>
      </c>
      <c r="AE7" t="str">
        <f ca="1"/>
        <v>015A</v>
      </c>
      <c r="AF7" t="str">
        <f ca="1"/>
        <v>035A_room_exhaust_damper</v>
      </c>
      <c r="AG7" t="str">
        <f ca="1"/>
        <v>015A_space_heater</v>
      </c>
      <c r="AH7" t="str">
        <f ca="1"/>
        <v>015A_space_heater_valve</v>
      </c>
      <c r="AL7" t="str">
        <f ca="1"/>
        <v>035A_co2_controller</v>
      </c>
      <c r="AM7" t="str">
        <f ca="1"/>
        <v>BPA002</v>
      </c>
    </row>
    <row r="8" spans="1:40" x14ac:dyDescent="0.2">
      <c r="A8" t="s">
        <v>67</v>
      </c>
      <c r="E8" t="str">
        <f ca="1"/>
        <v/>
      </c>
      <c r="F8" t="str">
        <f ca="1"/>
        <v/>
      </c>
      <c r="G8" t="str">
        <f ca="1"/>
        <v>020B</v>
      </c>
      <c r="P8" cm="1">
        <f t="array" ref="P8">INDEX($B$2:$D$40,MOD(ROW()-ROW($B$2),ROWS($B$2:$D$40))+1,INT((ROW()-ROW($B$2))/ROWS($B$2:$D$40))+1)</f>
        <v>0</v>
      </c>
      <c r="Q8" t="e">
        <f t="shared" ca="1" si="0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1"/>
        <v>#N/A</v>
      </c>
      <c r="W8" t="str" cm="1">
        <f t="array" aca="1" ref="W8" ca="1">IFERROR(INDIRECT("$U"&amp;V8),"")</f>
        <v/>
      </c>
      <c r="Z8" t="str" cm="1">
        <f t="array" aca="1" ref="Z8" ca="1">INDEX($AE$2:$AN$40,MOD(ROW()-ROW($AE$2),ROWS($AE$2:$AN$40))+1,INT((ROW()-ROW($AE$2))/ROWS($AE$2:$AN$40))+1)</f>
        <v>020B</v>
      </c>
      <c r="AA8">
        <f t="shared" ca="1" si="2"/>
        <v>8</v>
      </c>
      <c r="AB8" t="str" cm="1">
        <f t="array" aca="1" ref="AB8" ca="1">IFERROR(INDIRECT("$Z"&amp;AA8),"")</f>
        <v>020B</v>
      </c>
      <c r="AE8" t="str">
        <f ca="1"/>
        <v>020B</v>
      </c>
      <c r="AF8" t="str">
        <f ca="1"/>
        <v>029A_room_supply_damper</v>
      </c>
      <c r="AG8" t="str">
        <f ca="1"/>
        <v>020B_space_heater</v>
      </c>
      <c r="AH8" t="str">
        <f ca="1"/>
        <v>020B_space_heater_valve</v>
      </c>
      <c r="AL8" t="str">
        <f ca="1"/>
        <v>029A_temperature_controller</v>
      </c>
      <c r="AM8" t="str">
        <f ca="1"/>
        <v>BPA003_exhaust</v>
      </c>
    </row>
    <row r="9" spans="1:40" x14ac:dyDescent="0.2">
      <c r="A9" t="s">
        <v>70</v>
      </c>
      <c r="E9" t="str">
        <f ca="1"/>
        <v/>
      </c>
      <c r="F9" t="str">
        <f ca="1"/>
        <v/>
      </c>
      <c r="G9" t="str">
        <f ca="1"/>
        <v>011A</v>
      </c>
      <c r="P9" cm="1">
        <f t="array" ref="P9">INDEX($B$2:$D$40,MOD(ROW()-ROW($B$2),ROWS($B$2:$D$40))+1,INT((ROW()-ROW($B$2))/ROWS($B$2:$D$40))+1)</f>
        <v>0</v>
      </c>
      <c r="Q9" t="e">
        <f t="shared" ca="1" si="0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1"/>
        <v>#N/A</v>
      </c>
      <c r="W9" t="str" cm="1">
        <f t="array" aca="1" ref="W9" ca="1">IFERROR(INDIRECT("$U"&amp;V9),"")</f>
        <v/>
      </c>
      <c r="Z9" t="str" cm="1">
        <f t="array" aca="1" ref="Z9" ca="1">INDEX($AE$2:$AN$40,MOD(ROW()-ROW($AE$2),ROWS($AE$2:$AN$40))+1,INT((ROW()-ROW($AE$2))/ROWS($AE$2:$AN$40))+1)</f>
        <v>011A</v>
      </c>
      <c r="AA9">
        <f t="shared" ca="1" si="2"/>
        <v>9</v>
      </c>
      <c r="AB9" t="str" cm="1">
        <f t="array" aca="1" ref="AB9" ca="1">IFERROR(INDIRECT("$Z"&amp;AA9),"")</f>
        <v>011A</v>
      </c>
      <c r="AE9" t="str">
        <f ca="1"/>
        <v>011A</v>
      </c>
      <c r="AF9" t="str">
        <f ca="1"/>
        <v>029A_room_exhaust_damper</v>
      </c>
      <c r="AG9" t="str">
        <f ca="1"/>
        <v>011A_space_heater</v>
      </c>
      <c r="AH9" t="str">
        <f ca="1"/>
        <v>011A_space_heater_valve</v>
      </c>
      <c r="AL9" t="str">
        <f ca="1"/>
        <v>029A_co2_controller</v>
      </c>
      <c r="AM9" t="str">
        <f ca="1"/>
        <v>BPA003_supply</v>
      </c>
    </row>
    <row r="10" spans="1:40" x14ac:dyDescent="0.2">
      <c r="A10" t="s">
        <v>69</v>
      </c>
      <c r="E10" t="str">
        <f ca="1"/>
        <v/>
      </c>
      <c r="F10" t="str">
        <f ca="1"/>
        <v/>
      </c>
      <c r="G10" t="str">
        <f ca="1"/>
        <v>013A</v>
      </c>
      <c r="P10" cm="1">
        <f t="array" ref="P10">INDEX($B$2:$D$40,MOD(ROW()-ROW($B$2),ROWS($B$2:$D$40))+1,INT((ROW()-ROW($B$2))/ROWS($B$2:$D$40))+1)</f>
        <v>0</v>
      </c>
      <c r="Q10" t="e">
        <f t="shared" ca="1" si="0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1"/>
        <v>#N/A</v>
      </c>
      <c r="W10" t="str" cm="1">
        <f t="array" aca="1" ref="W10" ca="1">IFERROR(INDIRECT("$U"&amp;V10),"")</f>
        <v/>
      </c>
      <c r="Z10" t="str" cm="1">
        <f t="array" aca="1" ref="Z10" ca="1">INDEX($AE$2:$AN$40,MOD(ROW()-ROW($AE$2),ROWS($AE$2:$AN$40))+1,INT((ROW()-ROW($AE$2))/ROWS($AE$2:$AN$40))+1)</f>
        <v>013A</v>
      </c>
      <c r="AA10">
        <f t="shared" ca="1" si="2"/>
        <v>10</v>
      </c>
      <c r="AB10" t="str" cm="1">
        <f t="array" aca="1" ref="AB10" ca="1">IFERROR(INDIRECT("$Z"&amp;AA10),"")</f>
        <v>013A</v>
      </c>
      <c r="AE10" t="str">
        <f ca="1"/>
        <v>013A</v>
      </c>
      <c r="AF10" t="str">
        <f ca="1"/>
        <v>020A_room_supply_damper</v>
      </c>
      <c r="AG10" t="str">
        <f ca="1"/>
        <v>013A_space_heater</v>
      </c>
      <c r="AH10" t="str">
        <f ca="1"/>
        <v>013A_space_heater_valve</v>
      </c>
      <c r="AL10" t="str">
        <f ca="1"/>
        <v>020A_temperature_controller</v>
      </c>
      <c r="AM10" t="str">
        <f ca="1"/>
        <v>BPA004_exhaust_fan</v>
      </c>
    </row>
    <row r="11" spans="1:40" x14ac:dyDescent="0.2">
      <c r="A11" t="s">
        <v>66</v>
      </c>
      <c r="E11" t="str">
        <f ca="1"/>
        <v/>
      </c>
      <c r="F11" t="str">
        <f ca="1"/>
        <v/>
      </c>
      <c r="G11" t="str">
        <f ca="1"/>
        <v>012A</v>
      </c>
      <c r="P11" cm="1">
        <f t="array" ref="P11">INDEX($B$2:$D$40,MOD(ROW()-ROW($B$2),ROWS($B$2:$D$40))+1,INT((ROW()-ROW($B$2))/ROWS($B$2:$D$40))+1)</f>
        <v>0</v>
      </c>
      <c r="Q11" t="e">
        <f t="shared" ca="1" si="0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1"/>
        <v>#N/A</v>
      </c>
      <c r="W11" t="str" cm="1">
        <f t="array" aca="1" ref="W11" ca="1">IFERROR(INDIRECT("$U"&amp;V11),"")</f>
        <v/>
      </c>
      <c r="Z11" t="str" cm="1">
        <f t="array" aca="1" ref="Z11" ca="1">INDEX($AE$2:$AN$40,MOD(ROW()-ROW($AE$2),ROWS($AE$2:$AN$40))+1,INT((ROW()-ROW($AE$2))/ROWS($AE$2:$AN$40))+1)</f>
        <v>012A</v>
      </c>
      <c r="AA11">
        <f t="shared" ca="1" si="2"/>
        <v>11</v>
      </c>
      <c r="AB11" t="str" cm="1">
        <f t="array" aca="1" ref="AB11" ca="1">IFERROR(INDIRECT("$Z"&amp;AA11),"")</f>
        <v>012A</v>
      </c>
      <c r="AE11" t="str">
        <f ca="1"/>
        <v>012A</v>
      </c>
      <c r="AF11" t="str">
        <f ca="1"/>
        <v>020A_room_exhaust_damper</v>
      </c>
      <c r="AG11" t="str">
        <f ca="1"/>
        <v>012A_space_heater</v>
      </c>
      <c r="AH11" t="str">
        <f ca="1"/>
        <v>012A_space_heater_valve</v>
      </c>
      <c r="AL11" t="str">
        <f ca="1"/>
        <v>020A_co2_controller</v>
      </c>
      <c r="AM11" t="str">
        <f ca="1"/>
        <v>BPA004_exhaust</v>
      </c>
    </row>
    <row r="12" spans="1:40" x14ac:dyDescent="0.2">
      <c r="A12" t="s">
        <v>68</v>
      </c>
      <c r="E12" t="str">
        <f ca="1"/>
        <v/>
      </c>
      <c r="F12" t="str">
        <f ca="1"/>
        <v/>
      </c>
      <c r="G12" t="str">
        <f ca="1"/>
        <v>008A</v>
      </c>
      <c r="P12" cm="1">
        <f t="array" ref="P12">INDEX($B$2:$D$40,MOD(ROW()-ROW($B$2),ROWS($B$2:$D$40))+1,INT((ROW()-ROW($B$2))/ROWS($B$2:$D$40))+1)</f>
        <v>0</v>
      </c>
      <c r="Q12" t="e">
        <f t="shared" ca="1" si="0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1"/>
        <v>#N/A</v>
      </c>
      <c r="W12" t="str" cm="1">
        <f t="array" aca="1" ref="W12" ca="1">IFERROR(INDIRECT("$U"&amp;V12),"")</f>
        <v/>
      </c>
      <c r="Z12" t="str" cm="1">
        <f t="array" aca="1" ref="Z12" ca="1">INDEX($AE$2:$AN$40,MOD(ROW()-ROW($AE$2),ROWS($AE$2:$AN$40))+1,INT((ROW()-ROW($AE$2))/ROWS($AE$2:$AN$40))+1)</f>
        <v>008A</v>
      </c>
      <c r="AA12">
        <f t="shared" ca="1" si="2"/>
        <v>12</v>
      </c>
      <c r="AB12" t="str" cm="1">
        <f t="array" aca="1" ref="AB12" ca="1">IFERROR(INDIRECT("$Z"&amp;AA12),"")</f>
        <v>008A</v>
      </c>
      <c r="AE12" t="str">
        <f ca="1"/>
        <v>008A</v>
      </c>
      <c r="AF12" t="str">
        <f ca="1"/>
        <v>015A_room_supply_damper</v>
      </c>
      <c r="AG12" t="str">
        <f ca="1"/>
        <v>008A_space_heater</v>
      </c>
      <c r="AH12" t="str">
        <f ca="1"/>
        <v>008A_space_heater_valve</v>
      </c>
      <c r="AL12" t="str">
        <f ca="1"/>
        <v>012A_temperature_controller</v>
      </c>
      <c r="AM12" t="str">
        <f ca="1"/>
        <v>BTA001</v>
      </c>
    </row>
    <row r="13" spans="1:40" x14ac:dyDescent="0.2">
      <c r="A13" t="s">
        <v>87</v>
      </c>
      <c r="E13" t="str">
        <f ca="1"/>
        <v/>
      </c>
      <c r="F13" t="str">
        <f ca="1"/>
        <v/>
      </c>
      <c r="G13" t="str">
        <f ca="1"/>
        <v>007A</v>
      </c>
      <c r="P13" cm="1">
        <f t="array" ref="P13">INDEX($B$2:$D$40,MOD(ROW()-ROW($B$2),ROWS($B$2:$D$40))+1,INT((ROW()-ROW($B$2))/ROWS($B$2:$D$40))+1)</f>
        <v>0</v>
      </c>
      <c r="Q13" t="e">
        <f t="shared" ca="1" si="0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1"/>
        <v>#N/A</v>
      </c>
      <c r="W13" t="str" cm="1">
        <f t="array" aca="1" ref="W13" ca="1">IFERROR(INDIRECT("$U"&amp;V13),"")</f>
        <v/>
      </c>
      <c r="Z13" t="str" cm="1">
        <f t="array" aca="1" ref="Z13" ca="1">INDEX($AE$2:$AN$40,MOD(ROW()-ROW($AE$2),ROWS($AE$2:$AN$40))+1,INT((ROW()-ROW($AE$2))/ROWS($AE$2:$AN$40))+1)</f>
        <v>007A</v>
      </c>
      <c r="AA13">
        <f t="shared" ca="1" si="2"/>
        <v>13</v>
      </c>
      <c r="AB13" t="str" cm="1">
        <f t="array" aca="1" ref="AB13" ca="1">IFERROR(INDIRECT("$Z"&amp;AA13),"")</f>
        <v>007A</v>
      </c>
      <c r="AE13" t="str">
        <f ca="1"/>
        <v>007A</v>
      </c>
      <c r="AF13" t="str">
        <f ca="1"/>
        <v>015A_room_exhaust_damper</v>
      </c>
      <c r="AG13" t="str">
        <f ca="1"/>
        <v>007A_space_heater</v>
      </c>
      <c r="AH13" t="str">
        <f ca="1"/>
        <v>007A_space_heater_valve</v>
      </c>
      <c r="AL13" t="str">
        <f ca="1"/>
        <v>012A_co2_controller</v>
      </c>
      <c r="AM13" t="str">
        <f ca="1"/>
        <v>BTA002</v>
      </c>
    </row>
    <row r="14" spans="1:40" x14ac:dyDescent="0.2">
      <c r="A14" t="s">
        <v>64</v>
      </c>
      <c r="E14" t="str">
        <f ca="1"/>
        <v/>
      </c>
      <c r="F14" t="str">
        <f ca="1"/>
        <v/>
      </c>
      <c r="G14" t="str">
        <f ca="1"/>
        <v>033A_room_supply_damper</v>
      </c>
      <c r="P14" cm="1">
        <f t="array" ref="P14">INDEX($B$2:$D$40,MOD(ROW()-ROW($B$2),ROWS($B$2:$D$40))+1,INT((ROW()-ROW($B$2))/ROWS($B$2:$D$40))+1)</f>
        <v>0</v>
      </c>
      <c r="Q14" t="e">
        <f t="shared" ca="1" si="0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1"/>
        <v>#N/A</v>
      </c>
      <c r="W14" t="str" cm="1">
        <f t="array" aca="1" ref="W14" ca="1">IFERROR(INDIRECT("$U"&amp;V14),"")</f>
        <v/>
      </c>
      <c r="Z14" cm="1">
        <f t="array" ref="Z14">INDEX($AE$2:$AN$40,MOD(ROW()-ROW($AE$2),ROWS($AE$2:$AN$40))+1,INT((ROW()-ROW($AE$2))/ROWS($AE$2:$AN$40))+1)</f>
        <v>0</v>
      </c>
      <c r="AA14">
        <f t="shared" ca="1" si="2"/>
        <v>41</v>
      </c>
      <c r="AB14" t="str" cm="1">
        <f t="array" aca="1" ref="AB14" ca="1">IFERROR(INDIRECT("$Z"&amp;AA14),"")</f>
        <v>033A_room_supply_damper</v>
      </c>
      <c r="AF14" t="str">
        <f ca="1"/>
        <v>020B_room_supply_damper</v>
      </c>
      <c r="AL14" t="str">
        <f ca="1"/>
        <v>008A_temperature_controller</v>
      </c>
      <c r="AM14" t="str">
        <f ca="1"/>
        <v>BTA003</v>
      </c>
    </row>
    <row r="15" spans="1:40" x14ac:dyDescent="0.2">
      <c r="E15" t="str">
        <f ca="1"/>
        <v/>
      </c>
      <c r="F15" t="str">
        <f ca="1"/>
        <v/>
      </c>
      <c r="G15" t="str">
        <f ca="1"/>
        <v>033A_room_exhaust_damper</v>
      </c>
      <c r="P15" cm="1">
        <f t="array" ref="P15">INDEX($B$2:$D$40,MOD(ROW()-ROW($B$2),ROWS($B$2:$D$40))+1,INT((ROW()-ROW($B$2))/ROWS($B$2:$D$40))+1)</f>
        <v>0</v>
      </c>
      <c r="Q15" t="e">
        <f t="shared" ca="1" si="0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1"/>
        <v>#N/A</v>
      </c>
      <c r="W15" t="str" cm="1">
        <f t="array" aca="1" ref="W15" ca="1">IFERROR(INDIRECT("$U"&amp;V15),"")</f>
        <v/>
      </c>
      <c r="Z15" cm="1">
        <f t="array" ref="Z15">INDEX($AE$2:$AN$40,MOD(ROW()-ROW($AE$2),ROWS($AE$2:$AN$40))+1,INT((ROW()-ROW($AE$2))/ROWS($AE$2:$AN$40))+1)</f>
        <v>0</v>
      </c>
      <c r="AA15">
        <f t="shared" ca="1" si="2"/>
        <v>42</v>
      </c>
      <c r="AB15" t="str" cm="1">
        <f t="array" aca="1" ref="AB15" ca="1">IFERROR(INDIRECT("$Z"&amp;AA15),"")</f>
        <v>033A_room_exhaust_damper</v>
      </c>
      <c r="AF15" t="str">
        <f ca="1"/>
        <v>020B_room_exhaust_damper</v>
      </c>
      <c r="AL15" t="str">
        <f ca="1"/>
        <v>008A_co2_controller</v>
      </c>
      <c r="AM15" t="str">
        <f ca="1"/>
        <v>BTA004</v>
      </c>
    </row>
    <row r="16" spans="1:40" x14ac:dyDescent="0.2">
      <c r="E16" t="str">
        <f ca="1"/>
        <v/>
      </c>
      <c r="F16" t="str">
        <f ca="1"/>
        <v/>
      </c>
      <c r="G16" t="str">
        <f ca="1"/>
        <v>031A_room_supply_damper</v>
      </c>
      <c r="P16" cm="1">
        <f t="array" ref="P16">INDEX($B$2:$D$40,MOD(ROW()-ROW($B$2),ROWS($B$2:$D$40))+1,INT((ROW()-ROW($B$2))/ROWS($B$2:$D$40))+1)</f>
        <v>0</v>
      </c>
      <c r="Q16" t="e">
        <f t="shared" ca="1" si="0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1"/>
        <v>#N/A</v>
      </c>
      <c r="W16" t="str" cm="1">
        <f t="array" aca="1" ref="W16" ca="1">IFERROR(INDIRECT("$U"&amp;V16),"")</f>
        <v/>
      </c>
      <c r="Z16" cm="1">
        <f t="array" ref="Z16">INDEX($AE$2:$AN$40,MOD(ROW()-ROW($AE$2),ROWS($AE$2:$AN$40))+1,INT((ROW()-ROW($AE$2))/ROWS($AE$2:$AN$40))+1)</f>
        <v>0</v>
      </c>
      <c r="AA16">
        <f t="shared" ca="1" si="2"/>
        <v>43</v>
      </c>
      <c r="AB16" t="str" cm="1">
        <f t="array" aca="1" ref="AB16" ca="1">IFERROR(INDIRECT("$Z"&amp;AA16),"")</f>
        <v>031A_room_supply_damper</v>
      </c>
      <c r="AF16" t="str">
        <f ca="1"/>
        <v>011A_room_supply_damper</v>
      </c>
      <c r="AL16" t="str">
        <f ca="1"/>
        <v>007A_temperature_controller</v>
      </c>
      <c r="AM16" t="str">
        <f ca="1"/>
        <v>BTA005</v>
      </c>
    </row>
    <row r="17" spans="5:39" x14ac:dyDescent="0.2">
      <c r="E17" t="str">
        <f ca="1"/>
        <v/>
      </c>
      <c r="F17" t="str">
        <f ca="1"/>
        <v/>
      </c>
      <c r="G17" t="str">
        <f ca="1"/>
        <v>031A_room_exhaust_damper</v>
      </c>
      <c r="P17" cm="1">
        <f t="array" ref="P17">INDEX($B$2:$D$40,MOD(ROW()-ROW($B$2),ROWS($B$2:$D$40))+1,INT((ROW()-ROW($B$2))/ROWS($B$2:$D$40))+1)</f>
        <v>0</v>
      </c>
      <c r="Q17" t="e">
        <f t="shared" ca="1" si="0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1"/>
        <v>#N/A</v>
      </c>
      <c r="W17" t="str" cm="1">
        <f t="array" aca="1" ref="W17" ca="1">IFERROR(INDIRECT("$U"&amp;V17),"")</f>
        <v/>
      </c>
      <c r="Z17" cm="1">
        <f t="array" ref="Z17">INDEX($AE$2:$AN$40,MOD(ROW()-ROW($AE$2),ROWS($AE$2:$AN$40))+1,INT((ROW()-ROW($AE$2))/ROWS($AE$2:$AN$40))+1)</f>
        <v>0</v>
      </c>
      <c r="AA17">
        <f t="shared" ca="1" si="2"/>
        <v>44</v>
      </c>
      <c r="AB17" t="str" cm="1">
        <f t="array" aca="1" ref="AB17" ca="1">IFERROR(INDIRECT("$Z"&amp;AA17),"")</f>
        <v>031A_room_exhaust_damper</v>
      </c>
      <c r="AF17" t="str">
        <f ca="1"/>
        <v>011A_room_exhaust_damper</v>
      </c>
      <c r="AL17" t="str">
        <f ca="1"/>
        <v>007A_co2_controller</v>
      </c>
      <c r="AM17" t="str">
        <f ca="1"/>
        <v>BTA006</v>
      </c>
    </row>
    <row r="18" spans="5:39" x14ac:dyDescent="0.2">
      <c r="E18" t="str">
        <f ca="1"/>
        <v/>
      </c>
      <c r="F18" t="str">
        <f ca="1"/>
        <v/>
      </c>
      <c r="G18" t="str">
        <f ca="1"/>
        <v>035A_room_supply_damper</v>
      </c>
      <c r="P18" cm="1">
        <f t="array" ref="P18">INDEX($B$2:$D$40,MOD(ROW()-ROW($B$2),ROWS($B$2:$D$40))+1,INT((ROW()-ROW($B$2))/ROWS($B$2:$D$40))+1)</f>
        <v>0</v>
      </c>
      <c r="Q18" t="e">
        <f t="shared" ca="1" si="0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1"/>
        <v>#N/A</v>
      </c>
      <c r="W18" t="str" cm="1">
        <f t="array" aca="1" ref="W18" ca="1">IFERROR(INDIRECT("$U"&amp;V18),"")</f>
        <v/>
      </c>
      <c r="Z18" cm="1">
        <f t="array" ref="Z18">INDEX($AE$2:$AN$40,MOD(ROW()-ROW($AE$2),ROWS($AE$2:$AN$40))+1,INT((ROW()-ROW($AE$2))/ROWS($AE$2:$AN$40))+1)</f>
        <v>0</v>
      </c>
      <c r="AA18">
        <f t="shared" ca="1" si="2"/>
        <v>45</v>
      </c>
      <c r="AB18" t="str" cm="1">
        <f t="array" aca="1" ref="AB18" ca="1">IFERROR(INDIRECT("$Z"&amp;AA18),"")</f>
        <v>035A_room_supply_damper</v>
      </c>
      <c r="AF18" t="str">
        <f ca="1"/>
        <v>013A_room_supply_damper</v>
      </c>
      <c r="AM18" t="str">
        <f ca="1"/>
        <v>031A_co2_sensor</v>
      </c>
    </row>
    <row r="19" spans="5:39" x14ac:dyDescent="0.2">
      <c r="E19" t="str">
        <f ca="1"/>
        <v/>
      </c>
      <c r="F19" t="str">
        <f ca="1"/>
        <v/>
      </c>
      <c r="G19" t="str">
        <f ca="1"/>
        <v>035A_room_exhaust_damper</v>
      </c>
      <c r="P19" cm="1">
        <f t="array" ref="P19">INDEX($B$2:$D$40,MOD(ROW()-ROW($B$2),ROWS($B$2:$D$40))+1,INT((ROW()-ROW($B$2))/ROWS($B$2:$D$40))+1)</f>
        <v>0</v>
      </c>
      <c r="Q19" t="e">
        <f t="shared" ca="1" si="0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1"/>
        <v>#N/A</v>
      </c>
      <c r="W19" t="str" cm="1">
        <f t="array" aca="1" ref="W19" ca="1">IFERROR(INDIRECT("$U"&amp;V19),"")</f>
        <v/>
      </c>
      <c r="Z19" cm="1">
        <f t="array" ref="Z19">INDEX($AE$2:$AN$40,MOD(ROW()-ROW($AE$2),ROWS($AE$2:$AN$40))+1,INT((ROW()-ROW($AE$2))/ROWS($AE$2:$AN$40))+1)</f>
        <v>0</v>
      </c>
      <c r="AA19">
        <f t="shared" ca="1" si="2"/>
        <v>46</v>
      </c>
      <c r="AB19" t="str" cm="1">
        <f t="array" aca="1" ref="AB19" ca="1">IFERROR(INDIRECT("$Z"&amp;AA19),"")</f>
        <v>035A_room_exhaust_damper</v>
      </c>
      <c r="AF19" t="str">
        <f ca="1"/>
        <v>013A_room_exhaust_damper</v>
      </c>
      <c r="AM19" t="str">
        <f ca="1"/>
        <v>031A_damper_position_sensor</v>
      </c>
    </row>
    <row r="20" spans="5:39" x14ac:dyDescent="0.2">
      <c r="E20" t="str">
        <f ca="1"/>
        <v/>
      </c>
      <c r="F20" t="str">
        <f ca="1"/>
        <v/>
      </c>
      <c r="G20" t="str">
        <f ca="1"/>
        <v>029A_room_supply_damper</v>
      </c>
      <c r="P20" cm="1">
        <f t="array" ref="P20">INDEX($B$2:$D$40,MOD(ROW()-ROW($B$2),ROWS($B$2:$D$40))+1,INT((ROW()-ROW($B$2))/ROWS($B$2:$D$40))+1)</f>
        <v>0</v>
      </c>
      <c r="Q20" t="e">
        <f t="shared" ca="1" si="0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1"/>
        <v>#N/A</v>
      </c>
      <c r="W20" t="str" cm="1">
        <f t="array" aca="1" ref="W20" ca="1">IFERROR(INDIRECT("$U"&amp;V20),"")</f>
        <v/>
      </c>
      <c r="Z20" cm="1">
        <f t="array" ref="Z20">INDEX($AE$2:$AN$40,MOD(ROW()-ROW($AE$2),ROWS($AE$2:$AN$40))+1,INT((ROW()-ROW($AE$2))/ROWS($AE$2:$AN$40))+1)</f>
        <v>0</v>
      </c>
      <c r="AA20">
        <f t="shared" ca="1" si="2"/>
        <v>47</v>
      </c>
      <c r="AB20" t="str" cm="1">
        <f t="array" aca="1" ref="AB20" ca="1">IFERROR(INDIRECT("$Z"&amp;AA20),"")</f>
        <v>029A_room_supply_damper</v>
      </c>
      <c r="AF20" t="str">
        <f ca="1"/>
        <v>012A_room_supply_damper</v>
      </c>
      <c r="AM20" t="str">
        <f ca="1"/>
        <v>031A_temperature_sensor</v>
      </c>
    </row>
    <row r="21" spans="5:39" x14ac:dyDescent="0.2">
      <c r="E21" t="str">
        <f ca="1"/>
        <v/>
      </c>
      <c r="F21" t="str">
        <f ca="1"/>
        <v/>
      </c>
      <c r="G21" t="str">
        <f ca="1"/>
        <v>029A_room_exhaust_damper</v>
      </c>
      <c r="P21" cm="1">
        <f t="array" ref="P21">INDEX($B$2:$D$40,MOD(ROW()-ROW($B$2),ROWS($B$2:$D$40))+1,INT((ROW()-ROW($B$2))/ROWS($B$2:$D$40))+1)</f>
        <v>0</v>
      </c>
      <c r="Q21" t="e">
        <f t="shared" ca="1" si="0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1"/>
        <v>#N/A</v>
      </c>
      <c r="W21" t="str" cm="1">
        <f t="array" aca="1" ref="W21" ca="1">IFERROR(INDIRECT("$U"&amp;V21),"")</f>
        <v/>
      </c>
      <c r="Z21" cm="1">
        <f t="array" ref="Z21">INDEX($AE$2:$AN$40,MOD(ROW()-ROW($AE$2),ROWS($AE$2:$AN$40))+1,INT((ROW()-ROW($AE$2))/ROWS($AE$2:$AN$40))+1)</f>
        <v>0</v>
      </c>
      <c r="AA21">
        <f t="shared" ca="1" si="2"/>
        <v>48</v>
      </c>
      <c r="AB21" t="str" cm="1">
        <f t="array" aca="1" ref="AB21" ca="1">IFERROR(INDIRECT("$Z"&amp;AA21),"")</f>
        <v>029A_room_exhaust_damper</v>
      </c>
      <c r="AF21" t="str">
        <f ca="1"/>
        <v>012A_room_exhaust_damper</v>
      </c>
      <c r="AM21" t="str">
        <f ca="1"/>
        <v>031A_valve_position_sensor</v>
      </c>
    </row>
    <row r="22" spans="5:39" x14ac:dyDescent="0.2">
      <c r="E22" t="str">
        <f ca="1"/>
        <v/>
      </c>
      <c r="F22" t="str">
        <f ca="1"/>
        <v/>
      </c>
      <c r="G22" t="str">
        <f ca="1"/>
        <v>020A_room_supply_damper</v>
      </c>
      <c r="P22" cm="1">
        <f t="array" ref="P22">INDEX($B$2:$D$40,MOD(ROW()-ROW($B$2),ROWS($B$2:$D$40))+1,INT((ROW()-ROW($B$2))/ROWS($B$2:$D$40))+1)</f>
        <v>0</v>
      </c>
      <c r="Q22" t="e">
        <f t="shared" ca="1" si="0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1"/>
        <v>#N/A</v>
      </c>
      <c r="W22" t="str" cm="1">
        <f t="array" aca="1" ref="W22" ca="1">IFERROR(INDIRECT("$U"&amp;V22),"")</f>
        <v/>
      </c>
      <c r="Z22" cm="1">
        <f t="array" ref="Z22">INDEX($AE$2:$AN$40,MOD(ROW()-ROW($AE$2),ROWS($AE$2:$AN$40))+1,INT((ROW()-ROW($AE$2))/ROWS($AE$2:$AN$40))+1)</f>
        <v>0</v>
      </c>
      <c r="AA22">
        <f t="shared" ca="1" si="2"/>
        <v>49</v>
      </c>
      <c r="AB22" t="str" cm="1">
        <f t="array" aca="1" ref="AB22" ca="1">IFERROR(INDIRECT("$Z"&amp;AA22),"")</f>
        <v>020A_room_supply_damper</v>
      </c>
      <c r="AF22" t="str">
        <f ca="1"/>
        <v>008A_room_supply_damper</v>
      </c>
      <c r="AM22" t="str">
        <f ca="1"/>
        <v>029A_co2_sensor</v>
      </c>
    </row>
    <row r="23" spans="5:39" x14ac:dyDescent="0.2">
      <c r="E23" t="str">
        <f ca="1"/>
        <v/>
      </c>
      <c r="F23" t="str">
        <f ca="1"/>
        <v/>
      </c>
      <c r="G23" t="str">
        <f ca="1"/>
        <v>020A_room_exhaust_damper</v>
      </c>
      <c r="P23" cm="1">
        <f t="array" ref="P23">INDEX($B$2:$D$40,MOD(ROW()-ROW($B$2),ROWS($B$2:$D$40))+1,INT((ROW()-ROW($B$2))/ROWS($B$2:$D$40))+1)</f>
        <v>0</v>
      </c>
      <c r="Q23" t="e">
        <f t="shared" ca="1" si="0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1"/>
        <v>#N/A</v>
      </c>
      <c r="W23" t="str" cm="1">
        <f t="array" aca="1" ref="W23" ca="1">IFERROR(INDIRECT("$U"&amp;V23),"")</f>
        <v/>
      </c>
      <c r="Z23" cm="1">
        <f t="array" ref="Z23">INDEX($AE$2:$AN$40,MOD(ROW()-ROW($AE$2),ROWS($AE$2:$AN$40))+1,INT((ROW()-ROW($AE$2))/ROWS($AE$2:$AN$40))+1)</f>
        <v>0</v>
      </c>
      <c r="AA23">
        <f t="shared" ca="1" si="2"/>
        <v>50</v>
      </c>
      <c r="AB23" t="str" cm="1">
        <f t="array" aca="1" ref="AB23" ca="1">IFERROR(INDIRECT("$Z"&amp;AA23),"")</f>
        <v>020A_room_exhaust_damper</v>
      </c>
      <c r="AF23" t="str">
        <f ca="1"/>
        <v>008A_room_exhaust_damper</v>
      </c>
      <c r="AM23" t="str">
        <f ca="1"/>
        <v>029A_damper_position_sensor</v>
      </c>
    </row>
    <row r="24" spans="5:39" x14ac:dyDescent="0.2">
      <c r="E24" t="str">
        <f ca="1"/>
        <v/>
      </c>
      <c r="F24" t="str">
        <f ca="1"/>
        <v/>
      </c>
      <c r="G24" t="str">
        <f ca="1"/>
        <v>015A_room_supply_damper</v>
      </c>
      <c r="P24" cm="1">
        <f t="array" ref="P24">INDEX($B$2:$D$40,MOD(ROW()-ROW($B$2),ROWS($B$2:$D$40))+1,INT((ROW()-ROW($B$2))/ROWS($B$2:$D$40))+1)</f>
        <v>0</v>
      </c>
      <c r="Q24" t="e">
        <f t="shared" ca="1" si="0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1"/>
        <v>#N/A</v>
      </c>
      <c r="W24" t="str" cm="1">
        <f t="array" aca="1" ref="W24" ca="1">IFERROR(INDIRECT("$U"&amp;V24),"")</f>
        <v/>
      </c>
      <c r="Z24" cm="1">
        <f t="array" ref="Z24">INDEX($AE$2:$AN$40,MOD(ROW()-ROW($AE$2),ROWS($AE$2:$AN$40))+1,INT((ROW()-ROW($AE$2))/ROWS($AE$2:$AN$40))+1)</f>
        <v>0</v>
      </c>
      <c r="AA24">
        <f t="shared" ca="1" si="2"/>
        <v>51</v>
      </c>
      <c r="AB24" t="str" cm="1">
        <f t="array" aca="1" ref="AB24" ca="1">IFERROR(INDIRECT("$Z"&amp;AA24),"")</f>
        <v>015A_room_supply_damper</v>
      </c>
      <c r="AF24" t="str">
        <f ca="1"/>
        <v>007A_room_supply_damper</v>
      </c>
      <c r="AM24" t="str">
        <f ca="1"/>
        <v>029A_temperature_sensor</v>
      </c>
    </row>
    <row r="25" spans="5:39" x14ac:dyDescent="0.2">
      <c r="E25" t="str">
        <f ca="1"/>
        <v/>
      </c>
      <c r="F25" t="str">
        <f ca="1"/>
        <v/>
      </c>
      <c r="G25" t="str">
        <f ca="1"/>
        <v>015A_room_exhaust_damper</v>
      </c>
      <c r="P25" cm="1">
        <f t="array" ref="P25">INDEX($B$2:$D$40,MOD(ROW()-ROW($B$2),ROWS($B$2:$D$40))+1,INT((ROW()-ROW($B$2))/ROWS($B$2:$D$40))+1)</f>
        <v>0</v>
      </c>
      <c r="Q25" t="e">
        <f t="shared" ca="1" si="0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1"/>
        <v>#N/A</v>
      </c>
      <c r="W25" t="str" cm="1">
        <f t="array" aca="1" ref="W25" ca="1">IFERROR(INDIRECT("$U"&amp;V25),"")</f>
        <v/>
      </c>
      <c r="Z25" cm="1">
        <f t="array" ref="Z25">INDEX($AE$2:$AN$40,MOD(ROW()-ROW($AE$2),ROWS($AE$2:$AN$40))+1,INT((ROW()-ROW($AE$2))/ROWS($AE$2:$AN$40))+1)</f>
        <v>0</v>
      </c>
      <c r="AA25">
        <f t="shared" ca="1" si="2"/>
        <v>52</v>
      </c>
      <c r="AB25" t="str" cm="1">
        <f t="array" aca="1" ref="AB25" ca="1">IFERROR(INDIRECT("$Z"&amp;AA25),"")</f>
        <v>015A_room_exhaust_damper</v>
      </c>
      <c r="AF25" t="str">
        <f ca="1"/>
        <v>007A_room_exhaust_damper</v>
      </c>
      <c r="AM25" t="str">
        <f ca="1"/>
        <v>029A_valve_position_sensor</v>
      </c>
    </row>
    <row r="26" spans="5:39" x14ac:dyDescent="0.2">
      <c r="E26" t="str">
        <f ca="1"/>
        <v/>
      </c>
      <c r="F26" t="str">
        <f ca="1"/>
        <v/>
      </c>
      <c r="G26" t="str">
        <f ca="1"/>
        <v>020B_room_supply_damper</v>
      </c>
      <c r="P26" cm="1">
        <f t="array" ref="P26">INDEX($B$2:$D$40,MOD(ROW()-ROW($B$2),ROWS($B$2:$D$40))+1,INT((ROW()-ROW($B$2))/ROWS($B$2:$D$40))+1)</f>
        <v>0</v>
      </c>
      <c r="Q26" t="e">
        <f t="shared" ca="1" si="0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1"/>
        <v>#N/A</v>
      </c>
      <c r="W26" t="str" cm="1">
        <f t="array" aca="1" ref="W26" ca="1">IFERROR(INDIRECT("$U"&amp;V26),"")</f>
        <v/>
      </c>
      <c r="Z26" cm="1">
        <f t="array" ref="Z26">INDEX($AE$2:$AN$40,MOD(ROW()-ROW($AE$2),ROWS($AE$2:$AN$40))+1,INT((ROW()-ROW($AE$2))/ROWS($AE$2:$AN$40))+1)</f>
        <v>0</v>
      </c>
      <c r="AA26">
        <f t="shared" ca="1" si="2"/>
        <v>53</v>
      </c>
      <c r="AB26" t="str" cm="1">
        <f t="array" aca="1" ref="AB26" ca="1">IFERROR(INDIRECT("$Z"&amp;AA26),"")</f>
        <v>020B_room_supply_damper</v>
      </c>
      <c r="AM26" t="str">
        <f ca="1"/>
        <v>035A_co2_sensor</v>
      </c>
    </row>
    <row r="27" spans="5:39" x14ac:dyDescent="0.2">
      <c r="E27" t="str">
        <f ca="1"/>
        <v/>
      </c>
      <c r="F27" t="str">
        <f ca="1"/>
        <v/>
      </c>
      <c r="G27" t="str">
        <f ca="1"/>
        <v>020B_room_exhaust_damper</v>
      </c>
      <c r="P27" cm="1">
        <f t="array" ref="P27">INDEX($B$2:$D$40,MOD(ROW()-ROW($B$2),ROWS($B$2:$D$40))+1,INT((ROW()-ROW($B$2))/ROWS($B$2:$D$40))+1)</f>
        <v>0</v>
      </c>
      <c r="Q27" t="e">
        <f t="shared" ca="1" si="0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1"/>
        <v>#N/A</v>
      </c>
      <c r="W27" t="str" cm="1">
        <f t="array" aca="1" ref="W27" ca="1">IFERROR(INDIRECT("$U"&amp;V27),"")</f>
        <v/>
      </c>
      <c r="Z27" cm="1">
        <f t="array" ref="Z27">INDEX($AE$2:$AN$40,MOD(ROW()-ROW($AE$2),ROWS($AE$2:$AN$40))+1,INT((ROW()-ROW($AE$2))/ROWS($AE$2:$AN$40))+1)</f>
        <v>0</v>
      </c>
      <c r="AA27">
        <f t="shared" ca="1" si="2"/>
        <v>54</v>
      </c>
      <c r="AB27" t="str" cm="1">
        <f t="array" aca="1" ref="AB27" ca="1">IFERROR(INDIRECT("$Z"&amp;AA27),"")</f>
        <v>020B_room_exhaust_damper</v>
      </c>
      <c r="AM27" t="str">
        <f ca="1"/>
        <v>035A_damper_position_sensor</v>
      </c>
    </row>
    <row r="28" spans="5:39" x14ac:dyDescent="0.2">
      <c r="E28" t="str">
        <f ca="1"/>
        <v/>
      </c>
      <c r="F28" t="str">
        <f ca="1"/>
        <v/>
      </c>
      <c r="G28" t="str">
        <f ca="1"/>
        <v>011A_room_supply_damper</v>
      </c>
      <c r="P28" cm="1">
        <f t="array" ref="P28">INDEX($B$2:$D$40,MOD(ROW()-ROW($B$2),ROWS($B$2:$D$40))+1,INT((ROW()-ROW($B$2))/ROWS($B$2:$D$40))+1)</f>
        <v>0</v>
      </c>
      <c r="Q28" t="e">
        <f t="shared" ca="1" si="0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1"/>
        <v>#N/A</v>
      </c>
      <c r="W28" t="str" cm="1">
        <f t="array" aca="1" ref="W28" ca="1">IFERROR(INDIRECT("$U"&amp;V28),"")</f>
        <v/>
      </c>
      <c r="Z28" cm="1">
        <f t="array" ref="Z28">INDEX($AE$2:$AN$40,MOD(ROW()-ROW($AE$2),ROWS($AE$2:$AN$40))+1,INT((ROW()-ROW($AE$2))/ROWS($AE$2:$AN$40))+1)</f>
        <v>0</v>
      </c>
      <c r="AA28">
        <f t="shared" ca="1" si="2"/>
        <v>55</v>
      </c>
      <c r="AB28" t="str" cm="1">
        <f t="array" aca="1" ref="AB28" ca="1">IFERROR(INDIRECT("$Z"&amp;AA28),"")</f>
        <v>011A_room_supply_damper</v>
      </c>
      <c r="AM28" t="str">
        <f ca="1"/>
        <v>035A_temperature_sensor</v>
      </c>
    </row>
    <row r="29" spans="5:39" x14ac:dyDescent="0.2">
      <c r="E29" t="str">
        <f ca="1"/>
        <v/>
      </c>
      <c r="F29" t="str">
        <f ca="1"/>
        <v/>
      </c>
      <c r="G29" t="str">
        <f ca="1"/>
        <v>011A_room_exhaust_damper</v>
      </c>
      <c r="P29" cm="1">
        <f t="array" ref="P29">INDEX($B$2:$D$40,MOD(ROW()-ROW($B$2),ROWS($B$2:$D$40))+1,INT((ROW()-ROW($B$2))/ROWS($B$2:$D$40))+1)</f>
        <v>0</v>
      </c>
      <c r="Q29" t="e">
        <f t="shared" ca="1" si="0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1"/>
        <v>#N/A</v>
      </c>
      <c r="W29" t="str" cm="1">
        <f t="array" aca="1" ref="W29" ca="1">IFERROR(INDIRECT("$U"&amp;V29),"")</f>
        <v/>
      </c>
      <c r="Z29" cm="1">
        <f t="array" ref="Z29">INDEX($AE$2:$AN$40,MOD(ROW()-ROW($AE$2),ROWS($AE$2:$AN$40))+1,INT((ROW()-ROW($AE$2))/ROWS($AE$2:$AN$40))+1)</f>
        <v>0</v>
      </c>
      <c r="AA29">
        <f t="shared" ca="1" si="2"/>
        <v>56</v>
      </c>
      <c r="AB29" t="str" cm="1">
        <f t="array" aca="1" ref="AB29" ca="1">IFERROR(INDIRECT("$Z"&amp;AA29),"")</f>
        <v>011A_room_exhaust_damper</v>
      </c>
      <c r="AM29" t="str">
        <f ca="1"/>
        <v>035A_valve_position_sensor</v>
      </c>
    </row>
    <row r="30" spans="5:39" x14ac:dyDescent="0.2">
      <c r="E30" t="str">
        <f ca="1"/>
        <v/>
      </c>
      <c r="F30" t="str">
        <f ca="1"/>
        <v/>
      </c>
      <c r="G30" t="str">
        <f ca="1"/>
        <v>013A_room_supply_damper</v>
      </c>
      <c r="P30" cm="1">
        <f t="array" ref="P30">INDEX($B$2:$D$40,MOD(ROW()-ROW($B$2),ROWS($B$2:$D$40))+1,INT((ROW()-ROW($B$2))/ROWS($B$2:$D$40))+1)</f>
        <v>0</v>
      </c>
      <c r="Q30" t="e">
        <f t="shared" ca="1" si="0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1"/>
        <v>#N/A</v>
      </c>
      <c r="W30" t="str" cm="1">
        <f t="array" aca="1" ref="W30" ca="1">IFERROR(INDIRECT("$U"&amp;V30),"")</f>
        <v/>
      </c>
      <c r="Z30" cm="1">
        <f t="array" ref="Z30">INDEX($AE$2:$AN$40,MOD(ROW()-ROW($AE$2),ROWS($AE$2:$AN$40))+1,INT((ROW()-ROW($AE$2))/ROWS($AE$2:$AN$40))+1)</f>
        <v>0</v>
      </c>
      <c r="AA30">
        <f t="shared" ca="1" si="2"/>
        <v>57</v>
      </c>
      <c r="AB30" t="str" cm="1">
        <f t="array" aca="1" ref="AB30" ca="1">IFERROR(INDIRECT("$Z"&amp;AA30),"")</f>
        <v>013A_room_supply_damper</v>
      </c>
      <c r="AM30" t="str">
        <f ca="1"/>
        <v>020A_co2_sensor</v>
      </c>
    </row>
    <row r="31" spans="5:39" x14ac:dyDescent="0.2">
      <c r="E31" t="str">
        <f ca="1"/>
        <v/>
      </c>
      <c r="F31" t="str">
        <f ca="1"/>
        <v/>
      </c>
      <c r="G31" t="str">
        <f ca="1"/>
        <v>013A_room_exhaust_damper</v>
      </c>
      <c r="P31" cm="1">
        <f t="array" ref="P31">INDEX($B$2:$D$40,MOD(ROW()-ROW($B$2),ROWS($B$2:$D$40))+1,INT((ROW()-ROW($B$2))/ROWS($B$2:$D$40))+1)</f>
        <v>0</v>
      </c>
      <c r="Q31" t="e">
        <f t="shared" ca="1" si="0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1"/>
        <v>#N/A</v>
      </c>
      <c r="W31" t="str" cm="1">
        <f t="array" aca="1" ref="W31" ca="1">IFERROR(INDIRECT("$U"&amp;V31),"")</f>
        <v/>
      </c>
      <c r="Z31" cm="1">
        <f t="array" ref="Z31">INDEX($AE$2:$AN$40,MOD(ROW()-ROW($AE$2),ROWS($AE$2:$AN$40))+1,INT((ROW()-ROW($AE$2))/ROWS($AE$2:$AN$40))+1)</f>
        <v>0</v>
      </c>
      <c r="AA31">
        <f t="shared" ca="1" si="2"/>
        <v>58</v>
      </c>
      <c r="AB31" t="str" cm="1">
        <f t="array" aca="1" ref="AB31" ca="1">IFERROR(INDIRECT("$Z"&amp;AA31),"")</f>
        <v>013A_room_exhaust_damper</v>
      </c>
      <c r="AM31" t="str">
        <f ca="1"/>
        <v>020A_damper_position_sensor</v>
      </c>
    </row>
    <row r="32" spans="5:39" x14ac:dyDescent="0.2">
      <c r="E32" t="str">
        <f ca="1"/>
        <v/>
      </c>
      <c r="F32" t="str">
        <f ca="1"/>
        <v/>
      </c>
      <c r="G32" t="str">
        <f ca="1"/>
        <v>012A_room_supply_damper</v>
      </c>
      <c r="P32" cm="1">
        <f t="array" ref="P32">INDEX($B$2:$D$40,MOD(ROW()-ROW($B$2),ROWS($B$2:$D$40))+1,INT((ROW()-ROW($B$2))/ROWS($B$2:$D$40))+1)</f>
        <v>0</v>
      </c>
      <c r="Q32" t="e">
        <f t="shared" ca="1" si="0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1"/>
        <v>#N/A</v>
      </c>
      <c r="W32" t="str" cm="1">
        <f t="array" aca="1" ref="W32" ca="1">IFERROR(INDIRECT("$U"&amp;V32),"")</f>
        <v/>
      </c>
      <c r="Z32" cm="1">
        <f t="array" ref="Z32">INDEX($AE$2:$AN$40,MOD(ROW()-ROW($AE$2),ROWS($AE$2:$AN$40))+1,INT((ROW()-ROW($AE$2))/ROWS($AE$2:$AN$40))+1)</f>
        <v>0</v>
      </c>
      <c r="AA32">
        <f t="shared" ca="1" si="2"/>
        <v>59</v>
      </c>
      <c r="AB32" t="str" cm="1">
        <f t="array" aca="1" ref="AB32" ca="1">IFERROR(INDIRECT("$Z"&amp;AA32),"")</f>
        <v>012A_room_supply_damper</v>
      </c>
      <c r="AM32" t="str">
        <f ca="1"/>
        <v>020A_temperature_sensor</v>
      </c>
    </row>
    <row r="33" spans="5:39" x14ac:dyDescent="0.2">
      <c r="E33" t="str">
        <f ca="1"/>
        <v/>
      </c>
      <c r="F33" t="str">
        <f ca="1"/>
        <v/>
      </c>
      <c r="G33" t="str">
        <f ca="1"/>
        <v>012A_room_exhaust_damper</v>
      </c>
      <c r="P33" cm="1">
        <f t="array" ref="P33">INDEX($B$2:$D$40,MOD(ROW()-ROW($B$2),ROWS($B$2:$D$40))+1,INT((ROW()-ROW($B$2))/ROWS($B$2:$D$40))+1)</f>
        <v>0</v>
      </c>
      <c r="Q33" t="e">
        <f t="shared" ca="1" si="0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1"/>
        <v>#N/A</v>
      </c>
      <c r="W33" t="str" cm="1">
        <f t="array" aca="1" ref="W33" ca="1">IFERROR(INDIRECT("$U"&amp;V33),"")</f>
        <v/>
      </c>
      <c r="Z33" cm="1">
        <f t="array" ref="Z33">INDEX($AE$2:$AN$40,MOD(ROW()-ROW($AE$2),ROWS($AE$2:$AN$40))+1,INT((ROW()-ROW($AE$2))/ROWS($AE$2:$AN$40))+1)</f>
        <v>0</v>
      </c>
      <c r="AA33">
        <f t="shared" ca="1" si="2"/>
        <v>60</v>
      </c>
      <c r="AB33" t="str" cm="1">
        <f t="array" aca="1" ref="AB33" ca="1">IFERROR(INDIRECT("$Z"&amp;AA33),"")</f>
        <v>012A_room_exhaust_damper</v>
      </c>
      <c r="AM33" t="str">
        <f ca="1"/>
        <v>020A_valve_position_sensor</v>
      </c>
    </row>
    <row r="34" spans="5:39" x14ac:dyDescent="0.2">
      <c r="E34" t="str">
        <f ca="1"/>
        <v/>
      </c>
      <c r="F34" t="str">
        <f ca="1"/>
        <v/>
      </c>
      <c r="G34" t="str">
        <f ca="1"/>
        <v>008A_room_supply_damper</v>
      </c>
      <c r="P34" cm="1">
        <f t="array" ref="P34">INDEX($B$2:$D$40,MOD(ROW()-ROW($B$2),ROWS($B$2:$D$40))+1,INT((ROW()-ROW($B$2))/ROWS($B$2:$D$40))+1)</f>
        <v>0</v>
      </c>
      <c r="Q34" t="e">
        <f t="shared" ca="1" si="0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1"/>
        <v>#N/A</v>
      </c>
      <c r="W34" t="str" cm="1">
        <f t="array" aca="1" ref="W34" ca="1">IFERROR(INDIRECT("$U"&amp;V34),"")</f>
        <v/>
      </c>
      <c r="Z34" cm="1">
        <f t="array" ref="Z34">INDEX($AE$2:$AN$40,MOD(ROW()-ROW($AE$2),ROWS($AE$2:$AN$40))+1,INT((ROW()-ROW($AE$2))/ROWS($AE$2:$AN$40))+1)</f>
        <v>0</v>
      </c>
      <c r="AA34">
        <f t="shared" ca="1" si="2"/>
        <v>61</v>
      </c>
      <c r="AB34" t="str" cm="1">
        <f t="array" aca="1" ref="AB34" ca="1">IFERROR(INDIRECT("$Z"&amp;AA34),"")</f>
        <v>008A_room_supply_damper</v>
      </c>
      <c r="AM34" t="str">
        <f ca="1"/>
        <v>015A_co2_sensor</v>
      </c>
    </row>
    <row r="35" spans="5:39" x14ac:dyDescent="0.2">
      <c r="E35" t="str">
        <f ca="1"/>
        <v/>
      </c>
      <c r="F35" t="str">
        <f ca="1"/>
        <v/>
      </c>
      <c r="G35" t="str">
        <f ca="1"/>
        <v>008A_room_exhaust_damper</v>
      </c>
      <c r="P35" cm="1">
        <f t="array" ref="P35">INDEX($B$2:$D$40,MOD(ROW()-ROW($B$2),ROWS($B$2:$D$40))+1,INT((ROW()-ROW($B$2))/ROWS($B$2:$D$40))+1)</f>
        <v>0</v>
      </c>
      <c r="Q35" t="e">
        <f t="shared" ca="1" si="0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1"/>
        <v>#N/A</v>
      </c>
      <c r="W35" t="str" cm="1">
        <f t="array" aca="1" ref="W35" ca="1">IFERROR(INDIRECT("$U"&amp;V35),"")</f>
        <v/>
      </c>
      <c r="Z35" cm="1">
        <f t="array" ref="Z35">INDEX($AE$2:$AN$40,MOD(ROW()-ROW($AE$2),ROWS($AE$2:$AN$40))+1,INT((ROW()-ROW($AE$2))/ROWS($AE$2:$AN$40))+1)</f>
        <v>0</v>
      </c>
      <c r="AA35">
        <f t="shared" ca="1" si="2"/>
        <v>62</v>
      </c>
      <c r="AB35" t="str" cm="1">
        <f t="array" aca="1" ref="AB35" ca="1">IFERROR(INDIRECT("$Z"&amp;AA35),"")</f>
        <v>008A_room_exhaust_damper</v>
      </c>
      <c r="AM35" t="str">
        <f ca="1"/>
        <v>015A_damper_position_sensor</v>
      </c>
    </row>
    <row r="36" spans="5:39" x14ac:dyDescent="0.2">
      <c r="E36" t="str">
        <f ca="1"/>
        <v/>
      </c>
      <c r="F36" t="str">
        <f ca="1"/>
        <v/>
      </c>
      <c r="G36" t="str">
        <f ca="1"/>
        <v>007A_room_supply_damper</v>
      </c>
      <c r="P36" cm="1">
        <f t="array" ref="P36">INDEX($B$2:$D$40,MOD(ROW()-ROW($B$2),ROWS($B$2:$D$40))+1,INT((ROW()-ROW($B$2))/ROWS($B$2:$D$40))+1)</f>
        <v>0</v>
      </c>
      <c r="Q36" t="e">
        <f t="shared" ca="1" si="0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1"/>
        <v>#N/A</v>
      </c>
      <c r="W36" t="str" cm="1">
        <f t="array" aca="1" ref="W36" ca="1">IFERROR(INDIRECT("$U"&amp;V36),"")</f>
        <v/>
      </c>
      <c r="Z36" cm="1">
        <f t="array" ref="Z36">INDEX($AE$2:$AN$40,MOD(ROW()-ROW($AE$2),ROWS($AE$2:$AN$40))+1,INT((ROW()-ROW($AE$2))/ROWS($AE$2:$AN$40))+1)</f>
        <v>0</v>
      </c>
      <c r="AA36">
        <f t="shared" ca="1" si="2"/>
        <v>63</v>
      </c>
      <c r="AB36" t="str" cm="1">
        <f t="array" aca="1" ref="AB36" ca="1">IFERROR(INDIRECT("$Z"&amp;AA36),"")</f>
        <v>007A_room_supply_damper</v>
      </c>
      <c r="AM36" t="str">
        <f ca="1"/>
        <v>015A_temperature_sensor</v>
      </c>
    </row>
    <row r="37" spans="5:39" x14ac:dyDescent="0.2">
      <c r="E37" t="str">
        <f ca="1"/>
        <v/>
      </c>
      <c r="F37" t="str">
        <f ca="1"/>
        <v/>
      </c>
      <c r="G37" t="str">
        <f ca="1"/>
        <v>007A_room_exhaust_damper</v>
      </c>
      <c r="P37" cm="1">
        <f t="array" ref="P37">INDEX($B$2:$D$40,MOD(ROW()-ROW($B$2),ROWS($B$2:$D$40))+1,INT((ROW()-ROW($B$2))/ROWS($B$2:$D$40))+1)</f>
        <v>0</v>
      </c>
      <c r="Q37" t="e">
        <f t="shared" ca="1" si="0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1"/>
        <v>#N/A</v>
      </c>
      <c r="W37" t="str" cm="1">
        <f t="array" aca="1" ref="W37" ca="1">IFERROR(INDIRECT("$U"&amp;V37),"")</f>
        <v/>
      </c>
      <c r="Z37" cm="1">
        <f t="array" ref="Z37">INDEX($AE$2:$AN$40,MOD(ROW()-ROW($AE$2),ROWS($AE$2:$AN$40))+1,INT((ROW()-ROW($AE$2))/ROWS($AE$2:$AN$40))+1)</f>
        <v>0</v>
      </c>
      <c r="AA37">
        <f t="shared" ca="1" si="2"/>
        <v>64</v>
      </c>
      <c r="AB37" t="str" cm="1">
        <f t="array" aca="1" ref="AB37" ca="1">IFERROR(INDIRECT("$Z"&amp;AA37),"")</f>
        <v>007A_room_exhaust_damper</v>
      </c>
      <c r="AM37" t="str">
        <f ca="1"/>
        <v>015A_valve_position_sensor</v>
      </c>
    </row>
    <row r="38" spans="5:39" x14ac:dyDescent="0.2">
      <c r="E38" t="str">
        <f ca="1"/>
        <v/>
      </c>
      <c r="F38" t="str">
        <f ca="1"/>
        <v/>
      </c>
      <c r="G38" t="str">
        <f ca="1"/>
        <v>033A_space_heater</v>
      </c>
      <c r="P38" cm="1">
        <f t="array" ref="P38">INDEX($B$2:$D$40,MOD(ROW()-ROW($B$2),ROWS($B$2:$D$40))+1,INT((ROW()-ROW($B$2))/ROWS($B$2:$D$40))+1)</f>
        <v>0</v>
      </c>
      <c r="Q38" t="e">
        <f t="shared" ca="1" si="0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1"/>
        <v>#N/A</v>
      </c>
      <c r="W38" t="str" cm="1">
        <f t="array" aca="1" ref="W38" ca="1">IFERROR(INDIRECT("$U"&amp;V38),"")</f>
        <v/>
      </c>
      <c r="Z38" cm="1">
        <f t="array" ref="Z38">INDEX($AE$2:$AN$40,MOD(ROW()-ROW($AE$2),ROWS($AE$2:$AN$40))+1,INT((ROW()-ROW($AE$2))/ROWS($AE$2:$AN$40))+1)</f>
        <v>0</v>
      </c>
      <c r="AA38">
        <f t="shared" ca="1" si="2"/>
        <v>80</v>
      </c>
      <c r="AB38" t="str" cm="1">
        <f t="array" aca="1" ref="AB38" ca="1">IFERROR(INDIRECT("$Z"&amp;AA38),"")</f>
        <v>033A_space_heater</v>
      </c>
      <c r="AM38" t="str">
        <f ca="1"/>
        <v>020B_co2_sensor</v>
      </c>
    </row>
    <row r="39" spans="5:39" x14ac:dyDescent="0.2">
      <c r="E39" t="str">
        <f ca="1"/>
        <v/>
      </c>
      <c r="F39" t="str">
        <f ca="1"/>
        <v/>
      </c>
      <c r="G39" t="str">
        <f ca="1"/>
        <v>031A_space_heater</v>
      </c>
      <c r="P39" cm="1">
        <f t="array" ref="P39">INDEX($B$2:$D$40,MOD(ROW()-ROW($B$2),ROWS($B$2:$D$40))+1,INT((ROW()-ROW($B$2))/ROWS($B$2:$D$40))+1)</f>
        <v>0</v>
      </c>
      <c r="Q39" t="e">
        <f t="shared" ca="1" si="0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1"/>
        <v>#N/A</v>
      </c>
      <c r="W39" t="str" cm="1">
        <f t="array" aca="1" ref="W39" ca="1">IFERROR(INDIRECT("$U"&amp;V39),"")</f>
        <v/>
      </c>
      <c r="Z39" cm="1">
        <f t="array" ref="Z39">INDEX($AE$2:$AN$40,MOD(ROW()-ROW($AE$2),ROWS($AE$2:$AN$40))+1,INT((ROW()-ROW($AE$2))/ROWS($AE$2:$AN$40))+1)</f>
        <v>0</v>
      </c>
      <c r="AA39">
        <f t="shared" ca="1" si="2"/>
        <v>81</v>
      </c>
      <c r="AB39" t="str" cm="1">
        <f t="array" aca="1" ref="AB39" ca="1">IFERROR(INDIRECT("$Z"&amp;AA39),"")</f>
        <v>031A_space_heater</v>
      </c>
      <c r="AM39" t="str">
        <f ca="1"/>
        <v>020B_damper_position_sensor</v>
      </c>
    </row>
    <row r="40" spans="5:39" x14ac:dyDescent="0.2">
      <c r="E40" t="str">
        <f ca="1"/>
        <v/>
      </c>
      <c r="F40" t="str">
        <f ca="1"/>
        <v/>
      </c>
      <c r="G40" t="str">
        <f ca="1"/>
        <v>035A_space_heater</v>
      </c>
      <c r="P40" cm="1">
        <f t="array" ref="P40">INDEX($B$2:$D$40,MOD(ROW()-ROW($B$2),ROWS($B$2:$D$40))+1,INT((ROW()-ROW($B$2))/ROWS($B$2:$D$40))+1)</f>
        <v>0</v>
      </c>
      <c r="Q40" t="e">
        <f t="shared" ca="1" si="0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1"/>
        <v>#N/A</v>
      </c>
      <c r="W40" t="str" cm="1">
        <f t="array" aca="1" ref="W40" ca="1">IFERROR(INDIRECT("$U"&amp;V40),"")</f>
        <v/>
      </c>
      <c r="Z40" cm="1">
        <f t="array" ref="Z40">INDEX($AE$2:$AN$40,MOD(ROW()-ROW($AE$2),ROWS($AE$2:$AN$40))+1,INT((ROW()-ROW($AE$2))/ROWS($AE$2:$AN$40))+1)</f>
        <v>0</v>
      </c>
      <c r="AA40">
        <f t="shared" ca="1" si="2"/>
        <v>82</v>
      </c>
      <c r="AB40" t="str" cm="1">
        <f t="array" aca="1" ref="AB40" ca="1">IFERROR(INDIRECT("$Z"&amp;AA40),"")</f>
        <v>035A_space_heater</v>
      </c>
      <c r="AM40" t="str">
        <f ca="1"/>
        <v>020B_temperature_sensor</v>
      </c>
    </row>
    <row r="41" spans="5:39" x14ac:dyDescent="0.2">
      <c r="E41" t="str">
        <f ca="1"/>
        <v/>
      </c>
      <c r="F41" t="str">
        <f ca="1"/>
        <v/>
      </c>
      <c r="G41" t="str">
        <f ca="1"/>
        <v>029A_space_heater</v>
      </c>
      <c r="P41" t="str" cm="1">
        <f t="array" aca="1" ref="P41" ca="1">INDEX($B$2:$D$40,MOD(ROW()-ROW($B$2),ROWS($B$2:$D$40))+1,INT((ROW()-ROW($B$2))/ROWS($B$2:$D$40))+1)</f>
        <v>HD01</v>
      </c>
      <c r="Q41" t="e">
        <f t="shared" ca="1" si="0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Cooling</v>
      </c>
      <c r="V41" t="e">
        <f t="shared" ca="1" si="1"/>
        <v>#N/A</v>
      </c>
      <c r="W41" t="str" cm="1">
        <f t="array" aca="1" ref="W41" ca="1">IFERROR(INDIRECT("$U"&amp;V41),"")</f>
        <v/>
      </c>
      <c r="Z41" t="str" cm="1">
        <f t="array" aca="1" ref="Z41" ca="1">INDEX($AE$2:$AN$40,MOD(ROW()-ROW($AE$2),ROWS($AE$2:$AN$40))+1,INT((ROW()-ROW($AE$2))/ROWS($AE$2:$AN$40))+1)</f>
        <v>033A_room_supply_damper</v>
      </c>
      <c r="AA41">
        <f t="shared" ca="1" si="2"/>
        <v>83</v>
      </c>
      <c r="AB41" t="str" cm="1">
        <f t="array" aca="1" ref="AB41" ca="1">IFERROR(INDIRECT("$Z"&amp;AA41),"")</f>
        <v>029A_space_heater</v>
      </c>
      <c r="AM41" t="str">
        <f ca="1"/>
        <v>020B_valve_position_sensor</v>
      </c>
    </row>
    <row r="42" spans="5:39" x14ac:dyDescent="0.2">
      <c r="E42" t="str">
        <f ca="1"/>
        <v/>
      </c>
      <c r="F42" t="str">
        <f ca="1"/>
        <v/>
      </c>
      <c r="G42" t="str">
        <f ca="1"/>
        <v>020A_space_heater</v>
      </c>
      <c r="P42" cm="1">
        <f t="array" ref="P42">INDEX($B$2:$D$40,MOD(ROW()-ROW($B$2),ROWS($B$2:$D$40))+1,INT((ROW()-ROW($B$2))/ROWS($B$2:$D$40))+1)</f>
        <v>0</v>
      </c>
      <c r="Q42" t="e">
        <f t="shared" ca="1" si="0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1"/>
        <v>#N/A</v>
      </c>
      <c r="W42" t="str" cm="1">
        <f t="array" aca="1" ref="W42" ca="1">IFERROR(INDIRECT("$U"&amp;V42),"")</f>
        <v/>
      </c>
      <c r="Z42" t="str" cm="1">
        <f t="array" aca="1" ref="Z42" ca="1">INDEX($AE$2:$AN$40,MOD(ROW()-ROW($AE$2),ROWS($AE$2:$AN$40))+1,INT((ROW()-ROW($AE$2))/ROWS($AE$2:$AN$40))+1)</f>
        <v>033A_room_exhaust_damper</v>
      </c>
      <c r="AA42">
        <f t="shared" ca="1" si="2"/>
        <v>84</v>
      </c>
      <c r="AB42" t="str" cm="1">
        <f t="array" aca="1" ref="AB42" ca="1">IFERROR(INDIRECT("$Z"&amp;AA42),"")</f>
        <v>020A_space_heater</v>
      </c>
      <c r="AM42" t="str">
        <f ca="1"/>
        <v>011A_co2_sensor</v>
      </c>
    </row>
    <row r="43" spans="5:39" x14ac:dyDescent="0.2">
      <c r="E43" t="str">
        <f ca="1"/>
        <v/>
      </c>
      <c r="F43" t="str">
        <f ca="1"/>
        <v/>
      </c>
      <c r="G43" t="str">
        <f ca="1"/>
        <v>015A_space_heater</v>
      </c>
      <c r="P43" cm="1">
        <f t="array" ref="P43">INDEX($B$2:$D$40,MOD(ROW()-ROW($B$2),ROWS($B$2:$D$40))+1,INT((ROW()-ROW($B$2))/ROWS($B$2:$D$40))+1)</f>
        <v>0</v>
      </c>
      <c r="Q43" t="e">
        <f t="shared" ca="1" si="0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1"/>
        <v>#N/A</v>
      </c>
      <c r="W43" t="str" cm="1">
        <f t="array" aca="1" ref="W43" ca="1">IFERROR(INDIRECT("$U"&amp;V43),"")</f>
        <v/>
      </c>
      <c r="Z43" t="str" cm="1">
        <f t="array" aca="1" ref="Z43" ca="1">INDEX($AE$2:$AN$40,MOD(ROW()-ROW($AE$2),ROWS($AE$2:$AN$40))+1,INT((ROW()-ROW($AE$2))/ROWS($AE$2:$AN$40))+1)</f>
        <v>031A_room_supply_damper</v>
      </c>
      <c r="AA43">
        <f t="shared" ca="1" si="2"/>
        <v>85</v>
      </c>
      <c r="AB43" t="str" cm="1">
        <f t="array" aca="1" ref="AB43" ca="1">IFERROR(INDIRECT("$Z"&amp;AA43),"")</f>
        <v>015A_space_heater</v>
      </c>
      <c r="AM43" t="str">
        <f ca="1"/>
        <v>011A_damper_position_sensor</v>
      </c>
    </row>
    <row r="44" spans="5:39" x14ac:dyDescent="0.2">
      <c r="E44" t="str">
        <f ca="1"/>
        <v/>
      </c>
      <c r="F44" t="str">
        <f ca="1"/>
        <v/>
      </c>
      <c r="G44" t="str">
        <f ca="1"/>
        <v>020B_space_heater</v>
      </c>
      <c r="P44" cm="1">
        <f t="array" ref="P44">INDEX($B$2:$D$40,MOD(ROW()-ROW($B$2),ROWS($B$2:$D$40))+1,INT((ROW()-ROW($B$2))/ROWS($B$2:$D$40))+1)</f>
        <v>0</v>
      </c>
      <c r="Q44" t="e">
        <f t="shared" ca="1" si="0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1"/>
        <v>#N/A</v>
      </c>
      <c r="W44" t="str" cm="1">
        <f t="array" aca="1" ref="W44" ca="1">IFERROR(INDIRECT("$U"&amp;V44),"")</f>
        <v/>
      </c>
      <c r="Z44" t="str" cm="1">
        <f t="array" aca="1" ref="Z44" ca="1">INDEX($AE$2:$AN$40,MOD(ROW()-ROW($AE$2),ROWS($AE$2:$AN$40))+1,INT((ROW()-ROW($AE$2))/ROWS($AE$2:$AN$40))+1)</f>
        <v>031A_room_exhaust_damper</v>
      </c>
      <c r="AA44">
        <f t="shared" ca="1" si="2"/>
        <v>86</v>
      </c>
      <c r="AB44" t="str" cm="1">
        <f t="array" aca="1" ref="AB44" ca="1">IFERROR(INDIRECT("$Z"&amp;AA44),"")</f>
        <v>020B_space_heater</v>
      </c>
      <c r="AM44" t="str">
        <f ca="1"/>
        <v>011A_temperature_sensor</v>
      </c>
    </row>
    <row r="45" spans="5:39" x14ac:dyDescent="0.2">
      <c r="E45" t="str">
        <f ca="1"/>
        <v/>
      </c>
      <c r="F45" t="str">
        <f ca="1"/>
        <v/>
      </c>
      <c r="G45" t="str">
        <f ca="1"/>
        <v>011A_space_heater</v>
      </c>
      <c r="P45" cm="1">
        <f t="array" ref="P45">INDEX($B$2:$D$40,MOD(ROW()-ROW($B$2),ROWS($B$2:$D$40))+1,INT((ROW()-ROW($B$2))/ROWS($B$2:$D$40))+1)</f>
        <v>0</v>
      </c>
      <c r="Q45" t="e">
        <f t="shared" ca="1" si="0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1"/>
        <v>#N/A</v>
      </c>
      <c r="W45" t="str" cm="1">
        <f t="array" aca="1" ref="W45" ca="1">IFERROR(INDIRECT("$U"&amp;V45),"")</f>
        <v/>
      </c>
      <c r="Z45" t="str" cm="1">
        <f t="array" aca="1" ref="Z45" ca="1">INDEX($AE$2:$AN$40,MOD(ROW()-ROW($AE$2),ROWS($AE$2:$AN$40))+1,INT((ROW()-ROW($AE$2))/ROWS($AE$2:$AN$40))+1)</f>
        <v>035A_room_supply_damper</v>
      </c>
      <c r="AA45">
        <f t="shared" ca="1" si="2"/>
        <v>87</v>
      </c>
      <c r="AB45" t="str" cm="1">
        <f t="array" aca="1" ref="AB45" ca="1">IFERROR(INDIRECT("$Z"&amp;AA45),"")</f>
        <v>011A_space_heater</v>
      </c>
      <c r="AM45" t="str">
        <f ca="1"/>
        <v>011A_valve_position_sensor</v>
      </c>
    </row>
    <row r="46" spans="5:39" x14ac:dyDescent="0.2">
      <c r="E46" t="str">
        <f ca="1"/>
        <v/>
      </c>
      <c r="F46" t="str">
        <f ca="1"/>
        <v/>
      </c>
      <c r="G46" t="str">
        <f ca="1"/>
        <v>013A_space_heater</v>
      </c>
      <c r="P46" cm="1">
        <f t="array" ref="P46">INDEX($B$2:$D$40,MOD(ROW()-ROW($B$2),ROWS($B$2:$D$40))+1,INT((ROW()-ROW($B$2))/ROWS($B$2:$D$40))+1)</f>
        <v>0</v>
      </c>
      <c r="Q46" t="e">
        <f t="shared" ca="1" si="0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1"/>
        <v>#N/A</v>
      </c>
      <c r="W46" t="str" cm="1">
        <f t="array" aca="1" ref="W46" ca="1">IFERROR(INDIRECT("$U"&amp;V46),"")</f>
        <v/>
      </c>
      <c r="Z46" t="str" cm="1">
        <f t="array" aca="1" ref="Z46" ca="1">INDEX($AE$2:$AN$40,MOD(ROW()-ROW($AE$2),ROWS($AE$2:$AN$40))+1,INT((ROW()-ROW($AE$2))/ROWS($AE$2:$AN$40))+1)</f>
        <v>035A_room_exhaust_damper</v>
      </c>
      <c r="AA46">
        <f t="shared" ca="1" si="2"/>
        <v>88</v>
      </c>
      <c r="AB46" t="str" cm="1">
        <f t="array" aca="1" ref="AB46" ca="1">IFERROR(INDIRECT("$Z"&amp;AA46),"")</f>
        <v>013A_space_heater</v>
      </c>
      <c r="AM46" t="str">
        <f ca="1"/>
        <v>013A_co2_sensor</v>
      </c>
    </row>
    <row r="47" spans="5:39" x14ac:dyDescent="0.2">
      <c r="E47" t="str">
        <f ca="1"/>
        <v/>
      </c>
      <c r="F47" t="str">
        <f ca="1"/>
        <v/>
      </c>
      <c r="G47" t="str">
        <f ca="1"/>
        <v>012A_space_heater</v>
      </c>
      <c r="P47" cm="1">
        <f t="array" ref="P47">INDEX($B$2:$D$40,MOD(ROW()-ROW($B$2),ROWS($B$2:$D$40))+1,INT((ROW()-ROW($B$2))/ROWS($B$2:$D$40))+1)</f>
        <v>0</v>
      </c>
      <c r="Q47" t="e">
        <f t="shared" ca="1" si="0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1"/>
        <v>#N/A</v>
      </c>
      <c r="W47" t="str" cm="1">
        <f t="array" aca="1" ref="W47" ca="1">IFERROR(INDIRECT("$U"&amp;V47),"")</f>
        <v/>
      </c>
      <c r="Z47" t="str" cm="1">
        <f t="array" aca="1" ref="Z47" ca="1">INDEX($AE$2:$AN$40,MOD(ROW()-ROW($AE$2),ROWS($AE$2:$AN$40))+1,INT((ROW()-ROW($AE$2))/ROWS($AE$2:$AN$40))+1)</f>
        <v>029A_room_supply_damper</v>
      </c>
      <c r="AA47">
        <f t="shared" ca="1" si="2"/>
        <v>89</v>
      </c>
      <c r="AB47" t="str" cm="1">
        <f t="array" aca="1" ref="AB47" ca="1">IFERROR(INDIRECT("$Z"&amp;AA47),"")</f>
        <v>012A_space_heater</v>
      </c>
      <c r="AM47" t="str">
        <f ca="1"/>
        <v>013A_damper_position_sensor</v>
      </c>
    </row>
    <row r="48" spans="5:39" x14ac:dyDescent="0.2">
      <c r="E48" t="str">
        <f ca="1"/>
        <v/>
      </c>
      <c r="F48" t="str">
        <f ca="1"/>
        <v/>
      </c>
      <c r="G48" t="str">
        <f ca="1"/>
        <v>008A_space_heater</v>
      </c>
      <c r="P48" cm="1">
        <f t="array" ref="P48">INDEX($B$2:$D$40,MOD(ROW()-ROW($B$2),ROWS($B$2:$D$40))+1,INT((ROW()-ROW($B$2))/ROWS($B$2:$D$40))+1)</f>
        <v>0</v>
      </c>
      <c r="Q48" t="e">
        <f t="shared" ca="1" si="0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1"/>
        <v>#N/A</v>
      </c>
      <c r="W48" t="str" cm="1">
        <f t="array" aca="1" ref="W48" ca="1">IFERROR(INDIRECT("$U"&amp;V48),"")</f>
        <v/>
      </c>
      <c r="Z48" t="str" cm="1">
        <f t="array" aca="1" ref="Z48" ca="1">INDEX($AE$2:$AN$40,MOD(ROW()-ROW($AE$2),ROWS($AE$2:$AN$40))+1,INT((ROW()-ROW($AE$2))/ROWS($AE$2:$AN$40))+1)</f>
        <v>029A_room_exhaust_damper</v>
      </c>
      <c r="AA48">
        <f t="shared" ca="1" si="2"/>
        <v>90</v>
      </c>
      <c r="AB48" t="str" cm="1">
        <f t="array" aca="1" ref="AB48" ca="1">IFERROR(INDIRECT("$Z"&amp;AA48),"")</f>
        <v>008A_space_heater</v>
      </c>
      <c r="AM48" t="str">
        <f ca="1"/>
        <v>013A_temperature_sensor</v>
      </c>
    </row>
    <row r="49" spans="5:39" x14ac:dyDescent="0.2">
      <c r="E49" t="str">
        <f ca="1"/>
        <v/>
      </c>
      <c r="F49" t="str">
        <f ca="1"/>
        <v/>
      </c>
      <c r="G49" t="str">
        <f ca="1"/>
        <v>007A_space_heater</v>
      </c>
      <c r="P49" cm="1">
        <f t="array" ref="P49">INDEX($B$2:$D$40,MOD(ROW()-ROW($B$2),ROWS($B$2:$D$40))+1,INT((ROW()-ROW($B$2))/ROWS($B$2:$D$40))+1)</f>
        <v>0</v>
      </c>
      <c r="Q49" t="e">
        <f t="shared" ca="1" si="0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1"/>
        <v>#N/A</v>
      </c>
      <c r="W49" t="str" cm="1">
        <f t="array" aca="1" ref="W49" ca="1">IFERROR(INDIRECT("$U"&amp;V49),"")</f>
        <v/>
      </c>
      <c r="Z49" t="str" cm="1">
        <f t="array" aca="1" ref="Z49" ca="1">INDEX($AE$2:$AN$40,MOD(ROW()-ROW($AE$2),ROWS($AE$2:$AN$40))+1,INT((ROW()-ROW($AE$2))/ROWS($AE$2:$AN$40))+1)</f>
        <v>020A_room_supply_damper</v>
      </c>
      <c r="AA49">
        <f t="shared" ca="1" si="2"/>
        <v>91</v>
      </c>
      <c r="AB49" t="str" cm="1">
        <f t="array" aca="1" ref="AB49" ca="1">IFERROR(INDIRECT("$Z"&amp;AA49),"")</f>
        <v>007A_space_heater</v>
      </c>
      <c r="AM49" t="str">
        <f ca="1"/>
        <v>013A_valve_position_sensor</v>
      </c>
    </row>
    <row r="50" spans="5:39" x14ac:dyDescent="0.2">
      <c r="E50" t="str">
        <f ca="1"/>
        <v/>
      </c>
      <c r="F50" t="str">
        <f ca="1"/>
        <v/>
      </c>
      <c r="G50" t="str">
        <f ca="1"/>
        <v>033A_space_heater_valve</v>
      </c>
      <c r="P50" cm="1">
        <f t="array" ref="P50">INDEX($B$2:$D$40,MOD(ROW()-ROW($B$2),ROWS($B$2:$D$40))+1,INT((ROW()-ROW($B$2))/ROWS($B$2:$D$40))+1)</f>
        <v>0</v>
      </c>
      <c r="Q50" t="e">
        <f t="shared" ca="1" si="0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1"/>
        <v>#N/A</v>
      </c>
      <c r="W50" t="str" cm="1">
        <f t="array" aca="1" ref="W50" ca="1">IFERROR(INDIRECT("$U"&amp;V50),"")</f>
        <v/>
      </c>
      <c r="Z50" t="str" cm="1">
        <f t="array" aca="1" ref="Z50" ca="1">INDEX($AE$2:$AN$40,MOD(ROW()-ROW($AE$2),ROWS($AE$2:$AN$40))+1,INT((ROW()-ROW($AE$2))/ROWS($AE$2:$AN$40))+1)</f>
        <v>020A_room_exhaust_damper</v>
      </c>
      <c r="AA50">
        <f t="shared" ca="1" si="2"/>
        <v>119</v>
      </c>
      <c r="AB50" t="str" cm="1">
        <f t="array" aca="1" ref="AB50" ca="1">IFERROR(INDIRECT("$Z"&amp;AA50),"")</f>
        <v>033A_space_heater_valve</v>
      </c>
      <c r="AM50" t="str">
        <f ca="1"/>
        <v>012A_co2_sensor</v>
      </c>
    </row>
    <row r="51" spans="5:39" x14ac:dyDescent="0.2">
      <c r="E51" t="str">
        <f ca="1"/>
        <v/>
      </c>
      <c r="F51" t="str">
        <f ca="1"/>
        <v/>
      </c>
      <c r="G51" t="str">
        <f ca="1"/>
        <v>031A_space_heater_valve</v>
      </c>
      <c r="P51" cm="1">
        <f t="array" ref="P51">INDEX($B$2:$D$40,MOD(ROW()-ROW($B$2),ROWS($B$2:$D$40))+1,INT((ROW()-ROW($B$2))/ROWS($B$2:$D$40))+1)</f>
        <v>0</v>
      </c>
      <c r="Q51" t="e">
        <f t="shared" ca="1" si="0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1"/>
        <v>#N/A</v>
      </c>
      <c r="W51" t="str" cm="1">
        <f t="array" aca="1" ref="W51" ca="1">IFERROR(INDIRECT("$U"&amp;V51),"")</f>
        <v/>
      </c>
      <c r="Z51" t="str" cm="1">
        <f t="array" aca="1" ref="Z51" ca="1">INDEX($AE$2:$AN$40,MOD(ROW()-ROW($AE$2),ROWS($AE$2:$AN$40))+1,INT((ROW()-ROW($AE$2))/ROWS($AE$2:$AN$40))+1)</f>
        <v>015A_room_supply_damper</v>
      </c>
      <c r="AA51">
        <f t="shared" ca="1" si="2"/>
        <v>120</v>
      </c>
      <c r="AB51" t="str" cm="1">
        <f t="array" aca="1" ref="AB51" ca="1">IFERROR(INDIRECT("$Z"&amp;AA51),"")</f>
        <v>031A_space_heater_valve</v>
      </c>
      <c r="AM51" t="str">
        <f ca="1"/>
        <v>012A_damper_position_sensor</v>
      </c>
    </row>
    <row r="52" spans="5:39" x14ac:dyDescent="0.2">
      <c r="E52" t="str">
        <f ca="1"/>
        <v/>
      </c>
      <c r="F52" t="str">
        <f ca="1"/>
        <v/>
      </c>
      <c r="G52" t="str">
        <f ca="1"/>
        <v>035A_space_heater_valve</v>
      </c>
      <c r="P52" cm="1">
        <f t="array" ref="P52">INDEX($B$2:$D$40,MOD(ROW()-ROW($B$2),ROWS($B$2:$D$40))+1,INT((ROW()-ROW($B$2))/ROWS($B$2:$D$40))+1)</f>
        <v>0</v>
      </c>
      <c r="Q52" t="e">
        <f t="shared" ca="1" si="0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1"/>
        <v>#N/A</v>
      </c>
      <c r="W52" t="str" cm="1">
        <f t="array" aca="1" ref="W52" ca="1">IFERROR(INDIRECT("$U"&amp;V52),"")</f>
        <v/>
      </c>
      <c r="Z52" t="str" cm="1">
        <f t="array" aca="1" ref="Z52" ca="1">INDEX($AE$2:$AN$40,MOD(ROW()-ROW($AE$2),ROWS($AE$2:$AN$40))+1,INT((ROW()-ROW($AE$2))/ROWS($AE$2:$AN$40))+1)</f>
        <v>015A_room_exhaust_damper</v>
      </c>
      <c r="AA52">
        <f t="shared" ca="1" si="2"/>
        <v>121</v>
      </c>
      <c r="AB52" t="str" cm="1">
        <f t="array" aca="1" ref="AB52" ca="1">IFERROR(INDIRECT("$Z"&amp;AA52),"")</f>
        <v>035A_space_heater_valve</v>
      </c>
      <c r="AM52" t="str">
        <f ca="1"/>
        <v>012A_temperature_sensor</v>
      </c>
    </row>
    <row r="53" spans="5:39" x14ac:dyDescent="0.2">
      <c r="E53" t="str">
        <f ca="1"/>
        <v/>
      </c>
      <c r="F53" t="str">
        <f ca="1"/>
        <v/>
      </c>
      <c r="G53" t="str">
        <f ca="1"/>
        <v>029A_space_heater_valve</v>
      </c>
      <c r="P53" cm="1">
        <f t="array" ref="P53">INDEX($B$2:$D$40,MOD(ROW()-ROW($B$2),ROWS($B$2:$D$40))+1,INT((ROW()-ROW($B$2))/ROWS($B$2:$D$40))+1)</f>
        <v>0</v>
      </c>
      <c r="Q53" t="e">
        <f t="shared" ca="1" si="0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1"/>
        <v>#N/A</v>
      </c>
      <c r="W53" t="str" cm="1">
        <f t="array" aca="1" ref="W53" ca="1">IFERROR(INDIRECT("$U"&amp;V53),"")</f>
        <v/>
      </c>
      <c r="Z53" t="str" cm="1">
        <f t="array" aca="1" ref="Z53" ca="1">INDEX($AE$2:$AN$40,MOD(ROW()-ROW($AE$2),ROWS($AE$2:$AN$40))+1,INT((ROW()-ROW($AE$2))/ROWS($AE$2:$AN$40))+1)</f>
        <v>020B_room_supply_damper</v>
      </c>
      <c r="AA53">
        <f t="shared" ca="1" si="2"/>
        <v>122</v>
      </c>
      <c r="AB53" t="str" cm="1">
        <f t="array" aca="1" ref="AB53" ca="1">IFERROR(INDIRECT("$Z"&amp;AA53),"")</f>
        <v>029A_space_heater_valve</v>
      </c>
      <c r="AM53" t="str">
        <f ca="1"/>
        <v>012A_valve_position_sensor</v>
      </c>
    </row>
    <row r="54" spans="5:39" x14ac:dyDescent="0.2">
      <c r="E54" t="str">
        <f ca="1"/>
        <v/>
      </c>
      <c r="F54" t="str">
        <f ca="1"/>
        <v/>
      </c>
      <c r="G54" t="str">
        <f ca="1"/>
        <v>020A_space_heater_valve</v>
      </c>
      <c r="P54" cm="1">
        <f t="array" ref="P54">INDEX($B$2:$D$40,MOD(ROW()-ROW($B$2),ROWS($B$2:$D$40))+1,INT((ROW()-ROW($B$2))/ROWS($B$2:$D$40))+1)</f>
        <v>0</v>
      </c>
      <c r="Q54" t="e">
        <f t="shared" ca="1" si="0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1"/>
        <v>#N/A</v>
      </c>
      <c r="W54" t="str" cm="1">
        <f t="array" aca="1" ref="W54" ca="1">IFERROR(INDIRECT("$U"&amp;V54),"")</f>
        <v/>
      </c>
      <c r="Z54" t="str" cm="1">
        <f t="array" aca="1" ref="Z54" ca="1">INDEX($AE$2:$AN$40,MOD(ROW()-ROW($AE$2),ROWS($AE$2:$AN$40))+1,INT((ROW()-ROW($AE$2))/ROWS($AE$2:$AN$40))+1)</f>
        <v>020B_room_exhaust_damper</v>
      </c>
      <c r="AA54">
        <f t="shared" ca="1" si="2"/>
        <v>123</v>
      </c>
      <c r="AB54" t="str" cm="1">
        <f t="array" aca="1" ref="AB54" ca="1">IFERROR(INDIRECT("$Z"&amp;AA54),"")</f>
        <v>020A_space_heater_valve</v>
      </c>
      <c r="AM54" t="str">
        <f ca="1"/>
        <v>008A_co2_sensor</v>
      </c>
    </row>
    <row r="55" spans="5:39" x14ac:dyDescent="0.2">
      <c r="E55" t="str">
        <f ca="1"/>
        <v/>
      </c>
      <c r="F55" t="str">
        <f ca="1"/>
        <v/>
      </c>
      <c r="G55" t="str">
        <f ca="1"/>
        <v>015A_space_heater_valve</v>
      </c>
      <c r="P55" cm="1">
        <f t="array" ref="P55">INDEX($B$2:$D$40,MOD(ROW()-ROW($B$2),ROWS($B$2:$D$40))+1,INT((ROW()-ROW($B$2))/ROWS($B$2:$D$40))+1)</f>
        <v>0</v>
      </c>
      <c r="Q55" t="e">
        <f t="shared" ca="1" si="0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1"/>
        <v>#N/A</v>
      </c>
      <c r="W55" t="str" cm="1">
        <f t="array" aca="1" ref="W55" ca="1">IFERROR(INDIRECT("$U"&amp;V55),"")</f>
        <v/>
      </c>
      <c r="Z55" t="str" cm="1">
        <f t="array" aca="1" ref="Z55" ca="1">INDEX($AE$2:$AN$40,MOD(ROW()-ROW($AE$2),ROWS($AE$2:$AN$40))+1,INT((ROW()-ROW($AE$2))/ROWS($AE$2:$AN$40))+1)</f>
        <v>011A_room_supply_damper</v>
      </c>
      <c r="AA55">
        <f t="shared" ca="1" si="2"/>
        <v>124</v>
      </c>
      <c r="AB55" t="str" cm="1">
        <f t="array" aca="1" ref="AB55" ca="1">IFERROR(INDIRECT("$Z"&amp;AA55),"")</f>
        <v>015A_space_heater_valve</v>
      </c>
      <c r="AM55" t="str">
        <f ca="1"/>
        <v>008A_damper_position_sensor</v>
      </c>
    </row>
    <row r="56" spans="5:39" x14ac:dyDescent="0.2">
      <c r="E56" t="str">
        <f ca="1"/>
        <v/>
      </c>
      <c r="F56" t="str">
        <f ca="1"/>
        <v/>
      </c>
      <c r="G56" t="str">
        <f ca="1"/>
        <v>020B_space_heater_valve</v>
      </c>
      <c r="P56" cm="1">
        <f t="array" ref="P56">INDEX($B$2:$D$40,MOD(ROW()-ROW($B$2),ROWS($B$2:$D$40))+1,INT((ROW()-ROW($B$2))/ROWS($B$2:$D$40))+1)</f>
        <v>0</v>
      </c>
      <c r="Q56" t="e">
        <f t="shared" ca="1" si="0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1"/>
        <v>#N/A</v>
      </c>
      <c r="W56" t="str" cm="1">
        <f t="array" aca="1" ref="W56" ca="1">IFERROR(INDIRECT("$U"&amp;V56),"")</f>
        <v/>
      </c>
      <c r="Z56" t="str" cm="1">
        <f t="array" aca="1" ref="Z56" ca="1">INDEX($AE$2:$AN$40,MOD(ROW()-ROW($AE$2),ROWS($AE$2:$AN$40))+1,INT((ROW()-ROW($AE$2))/ROWS($AE$2:$AN$40))+1)</f>
        <v>011A_room_exhaust_damper</v>
      </c>
      <c r="AA56">
        <f t="shared" ca="1" si="2"/>
        <v>125</v>
      </c>
      <c r="AB56" t="str" cm="1">
        <f t="array" aca="1" ref="AB56" ca="1">IFERROR(INDIRECT("$Z"&amp;AA56),"")</f>
        <v>020B_space_heater_valve</v>
      </c>
      <c r="AM56" t="str">
        <f ca="1"/>
        <v>008A_temperature_sensor</v>
      </c>
    </row>
    <row r="57" spans="5:39" x14ac:dyDescent="0.2">
      <c r="E57" t="str">
        <f ca="1"/>
        <v/>
      </c>
      <c r="F57" t="str">
        <f ca="1"/>
        <v/>
      </c>
      <c r="G57" t="str">
        <f ca="1"/>
        <v>011A_space_heater_valve</v>
      </c>
      <c r="P57" cm="1">
        <f t="array" ref="P57">INDEX($B$2:$D$40,MOD(ROW()-ROW($B$2),ROWS($B$2:$D$40))+1,INT((ROW()-ROW($B$2))/ROWS($B$2:$D$40))+1)</f>
        <v>0</v>
      </c>
      <c r="Q57" t="e">
        <f t="shared" ca="1" si="0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1"/>
        <v>#N/A</v>
      </c>
      <c r="W57" t="str" cm="1">
        <f t="array" aca="1" ref="W57" ca="1">IFERROR(INDIRECT("$U"&amp;V57),"")</f>
        <v/>
      </c>
      <c r="Z57" t="str" cm="1">
        <f t="array" aca="1" ref="Z57" ca="1">INDEX($AE$2:$AN$40,MOD(ROW()-ROW($AE$2),ROWS($AE$2:$AN$40))+1,INT((ROW()-ROW($AE$2))/ROWS($AE$2:$AN$40))+1)</f>
        <v>013A_room_supply_damper</v>
      </c>
      <c r="AA57">
        <f t="shared" ca="1" si="2"/>
        <v>126</v>
      </c>
      <c r="AB57" t="str" cm="1">
        <f t="array" aca="1" ref="AB57" ca="1">IFERROR(INDIRECT("$Z"&amp;AA57),"")</f>
        <v>011A_space_heater_valve</v>
      </c>
      <c r="AM57" t="str">
        <f ca="1"/>
        <v>008A_valve_position_sensor</v>
      </c>
    </row>
    <row r="58" spans="5:39" x14ac:dyDescent="0.2">
      <c r="E58" t="str">
        <f ca="1"/>
        <v/>
      </c>
      <c r="F58" t="str">
        <f ca="1"/>
        <v/>
      </c>
      <c r="G58" t="str">
        <f ca="1"/>
        <v>013A_space_heater_valve</v>
      </c>
      <c r="P58" cm="1">
        <f t="array" ref="P58">INDEX($B$2:$D$40,MOD(ROW()-ROW($B$2),ROWS($B$2:$D$40))+1,INT((ROW()-ROW($B$2))/ROWS($B$2:$D$40))+1)</f>
        <v>0</v>
      </c>
      <c r="Q58" t="e">
        <f t="shared" ca="1" si="0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1"/>
        <v>#N/A</v>
      </c>
      <c r="W58" t="str" cm="1">
        <f t="array" aca="1" ref="W58" ca="1">IFERROR(INDIRECT("$U"&amp;V58),"")</f>
        <v/>
      </c>
      <c r="Z58" t="str" cm="1">
        <f t="array" aca="1" ref="Z58" ca="1">INDEX($AE$2:$AN$40,MOD(ROW()-ROW($AE$2),ROWS($AE$2:$AN$40))+1,INT((ROW()-ROW($AE$2))/ROWS($AE$2:$AN$40))+1)</f>
        <v>013A_room_exhaust_damper</v>
      </c>
      <c r="AA58">
        <f t="shared" ca="1" si="2"/>
        <v>127</v>
      </c>
      <c r="AB58" t="str" cm="1">
        <f t="array" aca="1" ref="AB58" ca="1">IFERROR(INDIRECT("$Z"&amp;AA58),"")</f>
        <v>013A_space_heater_valve</v>
      </c>
      <c r="AM58" t="str">
        <f ca="1"/>
        <v>007A_co2_sensor</v>
      </c>
    </row>
    <row r="59" spans="5:39" x14ac:dyDescent="0.2">
      <c r="E59" t="str">
        <f ca="1"/>
        <v/>
      </c>
      <c r="F59" t="str">
        <f ca="1"/>
        <v/>
      </c>
      <c r="G59" t="str">
        <f ca="1"/>
        <v>012A_space_heater_valve</v>
      </c>
      <c r="P59" cm="1">
        <f t="array" ref="P59">INDEX($B$2:$D$40,MOD(ROW()-ROW($B$2),ROWS($B$2:$D$40))+1,INT((ROW()-ROW($B$2))/ROWS($B$2:$D$40))+1)</f>
        <v>0</v>
      </c>
      <c r="Q59" t="e">
        <f t="shared" ca="1" si="0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1"/>
        <v>#N/A</v>
      </c>
      <c r="W59" t="str" cm="1">
        <f t="array" aca="1" ref="W59" ca="1">IFERROR(INDIRECT("$U"&amp;V59),"")</f>
        <v/>
      </c>
      <c r="Z59" t="str" cm="1">
        <f t="array" aca="1" ref="Z59" ca="1">INDEX($AE$2:$AN$40,MOD(ROW()-ROW($AE$2),ROWS($AE$2:$AN$40))+1,INT((ROW()-ROW($AE$2))/ROWS($AE$2:$AN$40))+1)</f>
        <v>012A_room_supply_damper</v>
      </c>
      <c r="AA59">
        <f t="shared" ca="1" si="2"/>
        <v>128</v>
      </c>
      <c r="AB59" t="str" cm="1">
        <f t="array" aca="1" ref="AB59" ca="1">IFERROR(INDIRECT("$Z"&amp;AA59),"")</f>
        <v>012A_space_heater_valve</v>
      </c>
      <c r="AM59" t="str">
        <f ca="1"/>
        <v>007A_damper_position_sensor</v>
      </c>
    </row>
    <row r="60" spans="5:39" x14ac:dyDescent="0.2">
      <c r="E60" t="str">
        <f ca="1"/>
        <v/>
      </c>
      <c r="F60" t="str">
        <f ca="1"/>
        <v/>
      </c>
      <c r="G60" t="str">
        <f ca="1"/>
        <v>008A_space_heater_valve</v>
      </c>
      <c r="P60" cm="1">
        <f t="array" ref="P60">INDEX($B$2:$D$40,MOD(ROW()-ROW($B$2),ROWS($B$2:$D$40))+1,INT((ROW()-ROW($B$2))/ROWS($B$2:$D$40))+1)</f>
        <v>0</v>
      </c>
      <c r="Q60" t="e">
        <f t="shared" ca="1" si="0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1"/>
        <v>#N/A</v>
      </c>
      <c r="W60" t="str" cm="1">
        <f t="array" aca="1" ref="W60" ca="1">IFERROR(INDIRECT("$U"&amp;V60),"")</f>
        <v/>
      </c>
      <c r="Z60" t="str" cm="1">
        <f t="array" aca="1" ref="Z60" ca="1">INDEX($AE$2:$AN$40,MOD(ROW()-ROW($AE$2),ROWS($AE$2:$AN$40))+1,INT((ROW()-ROW($AE$2))/ROWS($AE$2:$AN$40))+1)</f>
        <v>012A_room_exhaust_damper</v>
      </c>
      <c r="AA60">
        <f t="shared" ca="1" si="2"/>
        <v>129</v>
      </c>
      <c r="AB60" t="str" cm="1">
        <f t="array" aca="1" ref="AB60" ca="1">IFERROR(INDIRECT("$Z"&amp;AA60),"")</f>
        <v>008A_space_heater_valve</v>
      </c>
      <c r="AM60" t="str">
        <f ca="1"/>
        <v>007A_temperature_sensor</v>
      </c>
    </row>
    <row r="61" spans="5:39" x14ac:dyDescent="0.2">
      <c r="E61" t="str">
        <f ca="1"/>
        <v/>
      </c>
      <c r="F61" t="str">
        <f ca="1"/>
        <v/>
      </c>
      <c r="G61" t="str">
        <f ca="1"/>
        <v>007A_space_heater_valve</v>
      </c>
      <c r="P61" cm="1">
        <f t="array" ref="P61">INDEX($B$2:$D$40,MOD(ROW()-ROW($B$2),ROWS($B$2:$D$40))+1,INT((ROW()-ROW($B$2))/ROWS($B$2:$D$40))+1)</f>
        <v>0</v>
      </c>
      <c r="Q61" t="e">
        <f t="shared" ca="1" si="0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1"/>
        <v>#N/A</v>
      </c>
      <c r="W61" t="str" cm="1">
        <f t="array" aca="1" ref="W61" ca="1">IFERROR(INDIRECT("$U"&amp;V61),"")</f>
        <v/>
      </c>
      <c r="Z61" t="str" cm="1">
        <f t="array" aca="1" ref="Z61" ca="1">INDEX($AE$2:$AN$40,MOD(ROW()-ROW($AE$2),ROWS($AE$2:$AN$40))+1,INT((ROW()-ROW($AE$2))/ROWS($AE$2:$AN$40))+1)</f>
        <v>008A_room_supply_damper</v>
      </c>
      <c r="AA61">
        <f t="shared" ca="1" si="2"/>
        <v>130</v>
      </c>
      <c r="AB61" t="str" cm="1">
        <f t="array" aca="1" ref="AB61" ca="1">IFERROR(INDIRECT("$Z"&amp;AA61),"")</f>
        <v>007A_space_heater_valve</v>
      </c>
      <c r="AM61" t="str">
        <f ca="1"/>
        <v>007A_valve_position_sensor</v>
      </c>
    </row>
    <row r="62" spans="5:39" x14ac:dyDescent="0.2">
      <c r="E62" t="str">
        <f ca="1"/>
        <v/>
      </c>
      <c r="F62" t="str">
        <f ca="1"/>
        <v/>
      </c>
      <c r="G62" t="str">
        <f ca="1"/>
        <v>cooling_coil</v>
      </c>
      <c r="P62" cm="1">
        <f t="array" ref="P62">INDEX($B$2:$D$40,MOD(ROW()-ROW($B$2),ROWS($B$2:$D$40))+1,INT((ROW()-ROW($B$2))/ROWS($B$2:$D$40))+1)</f>
        <v>0</v>
      </c>
      <c r="Q62" t="e">
        <f t="shared" ca="1" si="0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1"/>
        <v>#N/A</v>
      </c>
      <c r="W62" t="str" cm="1">
        <f t="array" aca="1" ref="W62" ca="1">IFERROR(INDIRECT("$U"&amp;V62),"")</f>
        <v/>
      </c>
      <c r="Z62" t="str" cm="1">
        <f t="array" aca="1" ref="Z62" ca="1">INDEX($AE$2:$AN$40,MOD(ROW()-ROW($AE$2),ROWS($AE$2:$AN$40))+1,INT((ROW()-ROW($AE$2))/ROWS($AE$2:$AN$40))+1)</f>
        <v>008A_room_exhaust_damper</v>
      </c>
      <c r="AA62">
        <f t="shared" ca="1" si="2"/>
        <v>158</v>
      </c>
      <c r="AB62" t="str" cm="1">
        <f t="array" aca="1" ref="AB62" ca="1">IFERROR(INDIRECT("$Z"&amp;AA62),"")</f>
        <v>cooling_coil</v>
      </c>
    </row>
    <row r="63" spans="5:39" x14ac:dyDescent="0.2">
      <c r="E63" t="str">
        <f ca="1"/>
        <v/>
      </c>
      <c r="F63" t="str">
        <f ca="1"/>
        <v/>
      </c>
      <c r="G63" t="str">
        <f ca="1"/>
        <v>heating_coil</v>
      </c>
      <c r="P63" cm="1">
        <f t="array" ref="P63">INDEX($B$2:$D$40,MOD(ROW()-ROW($B$2),ROWS($B$2:$D$40))+1,INT((ROW()-ROW($B$2))/ROWS($B$2:$D$40))+1)</f>
        <v>0</v>
      </c>
      <c r="Q63" t="e">
        <f t="shared" ca="1" si="0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1"/>
        <v>#N/A</v>
      </c>
      <c r="W63" t="str" cm="1">
        <f t="array" aca="1" ref="W63" ca="1">IFERROR(INDIRECT("$U"&amp;V63),"")</f>
        <v/>
      </c>
      <c r="Z63" t="str" cm="1">
        <f t="array" aca="1" ref="Z63" ca="1">INDEX($AE$2:$AN$40,MOD(ROW()-ROW($AE$2),ROWS($AE$2:$AN$40))+1,INT((ROW()-ROW($AE$2))/ROWS($AE$2:$AN$40))+1)</f>
        <v>007A_room_supply_damper</v>
      </c>
      <c r="AA63">
        <f t="shared" ca="1" si="2"/>
        <v>159</v>
      </c>
      <c r="AB63" t="str" cm="1">
        <f t="array" aca="1" ref="AB63" ca="1">IFERROR(INDIRECT("$Z"&amp;AA63),"")</f>
        <v>heating_coil</v>
      </c>
    </row>
    <row r="64" spans="5:39" x14ac:dyDescent="0.2">
      <c r="E64" t="str">
        <f ca="1"/>
        <v/>
      </c>
      <c r="F64" t="str">
        <f ca="1"/>
        <v/>
      </c>
      <c r="G64" t="str">
        <f ca="1"/>
        <v>HF04_heat_exchanger</v>
      </c>
      <c r="P64" cm="1">
        <f t="array" ref="P64">INDEX($B$2:$D$40,MOD(ROW()-ROW($B$2),ROWS($B$2:$D$40))+1,INT((ROW()-ROW($B$2))/ROWS($B$2:$D$40))+1)</f>
        <v>0</v>
      </c>
      <c r="Q64" t="e">
        <f t="shared" ca="1" si="0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1"/>
        <v>#N/A</v>
      </c>
      <c r="W64" t="str" cm="1">
        <f t="array" aca="1" ref="W64" ca="1">IFERROR(INDIRECT("$U"&amp;V64),"")</f>
        <v/>
      </c>
      <c r="Z64" t="str" cm="1">
        <f t="array" aca="1" ref="Z64" ca="1">INDEX($AE$2:$AN$40,MOD(ROW()-ROW($AE$2),ROWS($AE$2:$AN$40))+1,INT((ROW()-ROW($AE$2))/ROWS($AE$2:$AN$40))+1)</f>
        <v>007A_room_exhaust_damper</v>
      </c>
      <c r="AA64">
        <f t="shared" ca="1" si="2"/>
        <v>197</v>
      </c>
      <c r="AB64" t="str" cm="1">
        <f t="array" aca="1" ref="AB64" ca="1">IFERROR(INDIRECT("$Z"&amp;AA64),"")</f>
        <v>HF04_heat_exchanger</v>
      </c>
    </row>
    <row r="65" spans="5:28" x14ac:dyDescent="0.2">
      <c r="E65" t="str">
        <f ca="1"/>
        <v/>
      </c>
      <c r="F65" t="str">
        <f ca="1"/>
        <v/>
      </c>
      <c r="G65" t="str">
        <f ca="1"/>
        <v>supply_fan</v>
      </c>
      <c r="P65" cm="1">
        <f t="array" ref="P65">INDEX($B$2:$D$40,MOD(ROW()-ROW($B$2),ROWS($B$2:$D$40))+1,INT((ROW()-ROW($B$2))/ROWS($B$2:$D$40))+1)</f>
        <v>0</v>
      </c>
      <c r="Q65" t="e">
        <f t="shared" ca="1" si="0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1"/>
        <v>#N/A</v>
      </c>
      <c r="W65" t="str" cm="1">
        <f t="array" aca="1" ref="W65" ca="1">IFERROR(INDIRECT("$U"&amp;V65),"")</f>
        <v/>
      </c>
      <c r="Z65" cm="1">
        <f t="array" ref="Z65">INDEX($AE$2:$AN$40,MOD(ROW()-ROW($AE$2),ROWS($AE$2:$AN$40))+1,INT((ROW()-ROW($AE$2))/ROWS($AE$2:$AN$40))+1)</f>
        <v>0</v>
      </c>
      <c r="AA65">
        <f t="shared" ca="1" si="2"/>
        <v>236</v>
      </c>
      <c r="AB65" t="str" cm="1">
        <f t="array" aca="1" ref="AB65" ca="1">IFERROR(INDIRECT("$Z"&amp;AA65),"")</f>
        <v>supply_fan</v>
      </c>
    </row>
    <row r="66" spans="5:28" x14ac:dyDescent="0.2">
      <c r="E66" t="str">
        <f ca="1"/>
        <v/>
      </c>
      <c r="F66" t="str">
        <f ca="1"/>
        <v/>
      </c>
      <c r="G66" t="str">
        <f ca="1"/>
        <v>exhaust_fan</v>
      </c>
      <c r="P66" cm="1">
        <f t="array" ref="P66">INDEX($B$2:$D$40,MOD(ROW()-ROW($B$2),ROWS($B$2:$D$40))+1,INT((ROW()-ROW($B$2))/ROWS($B$2:$D$40))+1)</f>
        <v>0</v>
      </c>
      <c r="Q66" t="e">
        <f t="shared" ca="1" si="0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1"/>
        <v>#N/A</v>
      </c>
      <c r="W66" t="str" cm="1">
        <f t="array" aca="1" ref="W66" ca="1">IFERROR(INDIRECT("$U"&amp;V66),"")</f>
        <v/>
      </c>
      <c r="Z66" cm="1">
        <f t="array" ref="Z66">INDEX($AE$2:$AN$40,MOD(ROW()-ROW($AE$2),ROWS($AE$2:$AN$40))+1,INT((ROW()-ROW($AE$2))/ROWS($AE$2:$AN$40))+1)</f>
        <v>0</v>
      </c>
      <c r="AA66">
        <f t="shared" ca="1" si="2"/>
        <v>237</v>
      </c>
      <c r="AB66" t="str" cm="1">
        <f t="array" aca="1" ref="AB66" ca="1">IFERROR(INDIRECT("$Z"&amp;AA66),"")</f>
        <v>exhaust_fan</v>
      </c>
    </row>
    <row r="67" spans="5:28" x14ac:dyDescent="0.2">
      <c r="E67" t="str">
        <f ca="1"/>
        <v/>
      </c>
      <c r="F67" t="str">
        <f ca="1"/>
        <v/>
      </c>
      <c r="G67" t="str">
        <f ca="1"/>
        <v>033A_temperature_controller</v>
      </c>
      <c r="P67" cm="1">
        <f t="array" ref="P67">INDEX($B$2:$D$40,MOD(ROW()-ROW($B$2),ROWS($B$2:$D$40))+1,INT((ROW()-ROW($B$2))/ROWS($B$2:$D$40))+1)</f>
        <v>0</v>
      </c>
      <c r="Q67" t="e">
        <f t="shared" ca="1" si="0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1"/>
        <v>#N/A</v>
      </c>
      <c r="W67" t="str" cm="1">
        <f t="array" aca="1" ref="W67" ca="1">IFERROR(INDIRECT("$U"&amp;V67),"")</f>
        <v/>
      </c>
      <c r="Z67" cm="1">
        <f t="array" ref="Z67">INDEX($AE$2:$AN$40,MOD(ROW()-ROW($AE$2),ROWS($AE$2:$AN$40))+1,INT((ROW()-ROW($AE$2))/ROWS($AE$2:$AN$40))+1)</f>
        <v>0</v>
      </c>
      <c r="AA67">
        <f t="shared" ca="1" si="2"/>
        <v>275</v>
      </c>
      <c r="AB67" t="str" cm="1">
        <f t="array" aca="1" ref="AB67" ca="1">IFERROR(INDIRECT("$Z"&amp;AA67),"")</f>
        <v>033A_temperature_controller</v>
      </c>
    </row>
    <row r="68" spans="5:28" x14ac:dyDescent="0.2">
      <c r="E68" t="str">
        <f ca="1"/>
        <v/>
      </c>
      <c r="F68" t="str">
        <f ca="1"/>
        <v/>
      </c>
      <c r="G68" t="str">
        <f ca="1"/>
        <v>033A_co2_controller</v>
      </c>
      <c r="P68" cm="1">
        <f t="array" ref="P68">INDEX($B$2:$D$40,MOD(ROW()-ROW($B$2),ROWS($B$2:$D$40))+1,INT((ROW()-ROW($B$2))/ROWS($B$2:$D$40))+1)</f>
        <v>0</v>
      </c>
      <c r="Q68" t="e">
        <f t="shared" ref="Q68:Q131" ca="1" si="3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4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INDEX($AE$2:$AN$40,MOD(ROW()-ROW($AE$2),ROWS($AE$2:$AN$40))+1,INT((ROW()-ROW($AE$2))/ROWS($AE$2:$AN$40))+1)</f>
        <v>0</v>
      </c>
      <c r="AA68">
        <f t="shared" ref="AA68:AA131" ca="1" si="5">MATCH("*",INDIRECT(ADDRESS(AA67+1,26,1)&amp;":$Z$1000"),0)+AA67</f>
        <v>276</v>
      </c>
      <c r="AB68" t="str" cm="1">
        <f t="array" aca="1" ref="AB68" ca="1">IFERROR(INDIRECT("$Z"&amp;AA68),"")</f>
        <v>033A_co2_controller</v>
      </c>
    </row>
    <row r="69" spans="5:28" x14ac:dyDescent="0.2">
      <c r="E69" t="str">
        <f ca="1"/>
        <v/>
      </c>
      <c r="F69" t="str">
        <f ca="1"/>
        <v/>
      </c>
      <c r="G69" t="str">
        <f ca="1"/>
        <v>031A_temperature_controller</v>
      </c>
      <c r="P69" cm="1">
        <f t="array" ref="P69">INDEX($B$2:$D$40,MOD(ROW()-ROW($B$2),ROWS($B$2:$D$40))+1,INT((ROW()-ROW($B$2))/ROWS($B$2:$D$40))+1)</f>
        <v>0</v>
      </c>
      <c r="Q69" t="e">
        <f t="shared" ca="1" si="3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4"/>
        <v>#N/A</v>
      </c>
      <c r="W69" t="str" cm="1">
        <f t="array" aca="1" ref="W69" ca="1">IFERROR(INDIRECT("$U"&amp;V69),"")</f>
        <v/>
      </c>
      <c r="Z69" cm="1">
        <f t="array" ref="Z69">INDEX($AE$2:$AN$40,MOD(ROW()-ROW($AE$2),ROWS($AE$2:$AN$40))+1,INT((ROW()-ROW($AE$2))/ROWS($AE$2:$AN$40))+1)</f>
        <v>0</v>
      </c>
      <c r="AA69">
        <f t="shared" ca="1" si="5"/>
        <v>277</v>
      </c>
      <c r="AB69" t="str" cm="1">
        <f t="array" aca="1" ref="AB69" ca="1">IFERROR(INDIRECT("$Z"&amp;AA69),"")</f>
        <v>031A_temperature_controller</v>
      </c>
    </row>
    <row r="70" spans="5:28" x14ac:dyDescent="0.2">
      <c r="E70" t="str">
        <f ca="1"/>
        <v/>
      </c>
      <c r="F70" t="str">
        <f ca="1"/>
        <v/>
      </c>
      <c r="G70" t="str">
        <f ca="1"/>
        <v>031A_co2_controller</v>
      </c>
      <c r="P70" cm="1">
        <f t="array" ref="P70">INDEX($B$2:$D$40,MOD(ROW()-ROW($B$2),ROWS($B$2:$D$40))+1,INT((ROW()-ROW($B$2))/ROWS($B$2:$D$40))+1)</f>
        <v>0</v>
      </c>
      <c r="Q70" t="e">
        <f t="shared" ca="1" si="3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4"/>
        <v>#N/A</v>
      </c>
      <c r="W70" t="str" cm="1">
        <f t="array" aca="1" ref="W70" ca="1">IFERROR(INDIRECT("$U"&amp;V70),"")</f>
        <v/>
      </c>
      <c r="Z70" cm="1">
        <f t="array" ref="Z70">INDEX($AE$2:$AN$40,MOD(ROW()-ROW($AE$2),ROWS($AE$2:$AN$40))+1,INT((ROW()-ROW($AE$2))/ROWS($AE$2:$AN$40))+1)</f>
        <v>0</v>
      </c>
      <c r="AA70">
        <f t="shared" ca="1" si="5"/>
        <v>278</v>
      </c>
      <c r="AB70" t="str" cm="1">
        <f t="array" aca="1" ref="AB70" ca="1">IFERROR(INDIRECT("$Z"&amp;AA70),"")</f>
        <v>031A_co2_controller</v>
      </c>
    </row>
    <row r="71" spans="5:28" x14ac:dyDescent="0.2">
      <c r="E71" t="str">
        <f ca="1"/>
        <v/>
      </c>
      <c r="F71" t="str">
        <f ca="1"/>
        <v/>
      </c>
      <c r="G71" t="str">
        <f ca="1"/>
        <v>035A_temperature_controller</v>
      </c>
      <c r="P71" cm="1">
        <f t="array" ref="P71">INDEX($B$2:$D$40,MOD(ROW()-ROW($B$2),ROWS($B$2:$D$40))+1,INT((ROW()-ROW($B$2))/ROWS($B$2:$D$40))+1)</f>
        <v>0</v>
      </c>
      <c r="Q71" t="e">
        <f t="shared" ca="1" si="3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4"/>
        <v>#N/A</v>
      </c>
      <c r="W71" t="str" cm="1">
        <f t="array" aca="1" ref="W71" ca="1">IFERROR(INDIRECT("$U"&amp;V71),"")</f>
        <v/>
      </c>
      <c r="Z71" cm="1">
        <f t="array" ref="Z71">INDEX($AE$2:$AN$40,MOD(ROW()-ROW($AE$2),ROWS($AE$2:$AN$40))+1,INT((ROW()-ROW($AE$2))/ROWS($AE$2:$AN$40))+1)</f>
        <v>0</v>
      </c>
      <c r="AA71">
        <f t="shared" ca="1" si="5"/>
        <v>279</v>
      </c>
      <c r="AB71" t="str" cm="1">
        <f t="array" aca="1" ref="AB71" ca="1">IFERROR(INDIRECT("$Z"&amp;AA71),"")</f>
        <v>035A_temperature_controller</v>
      </c>
    </row>
    <row r="72" spans="5:28" x14ac:dyDescent="0.2">
      <c r="E72" t="str">
        <f ca="1"/>
        <v/>
      </c>
      <c r="F72" t="str">
        <f ca="1"/>
        <v/>
      </c>
      <c r="G72" t="str">
        <f ca="1"/>
        <v>035A_co2_controller</v>
      </c>
      <c r="P72" cm="1">
        <f t="array" ref="P72">INDEX($B$2:$D$40,MOD(ROW()-ROW($B$2),ROWS($B$2:$D$40))+1,INT((ROW()-ROW($B$2))/ROWS($B$2:$D$40))+1)</f>
        <v>0</v>
      </c>
      <c r="Q72" t="e">
        <f t="shared" ca="1" si="3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4"/>
        <v>#N/A</v>
      </c>
      <c r="W72" t="str" cm="1">
        <f t="array" aca="1" ref="W72" ca="1">IFERROR(INDIRECT("$U"&amp;V72),"")</f>
        <v/>
      </c>
      <c r="Z72" cm="1">
        <f t="array" ref="Z72">INDEX($AE$2:$AN$40,MOD(ROW()-ROW($AE$2),ROWS($AE$2:$AN$40))+1,INT((ROW()-ROW($AE$2))/ROWS($AE$2:$AN$40))+1)</f>
        <v>0</v>
      </c>
      <c r="AA72">
        <f t="shared" ca="1" si="5"/>
        <v>280</v>
      </c>
      <c r="AB72" t="str" cm="1">
        <f t="array" aca="1" ref="AB72" ca="1">IFERROR(INDIRECT("$Z"&amp;AA72),"")</f>
        <v>035A_co2_controller</v>
      </c>
    </row>
    <row r="73" spans="5:28" x14ac:dyDescent="0.2">
      <c r="E73" t="str">
        <f ca="1"/>
        <v/>
      </c>
      <c r="F73" t="str">
        <f ca="1"/>
        <v/>
      </c>
      <c r="G73" t="str">
        <f ca="1"/>
        <v>029A_temperature_controller</v>
      </c>
      <c r="P73" cm="1">
        <f t="array" ref="P73">INDEX($B$2:$D$40,MOD(ROW()-ROW($B$2),ROWS($B$2:$D$40))+1,INT((ROW()-ROW($B$2))/ROWS($B$2:$D$40))+1)</f>
        <v>0</v>
      </c>
      <c r="Q73" t="e">
        <f t="shared" ca="1" si="3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4"/>
        <v>#N/A</v>
      </c>
      <c r="W73" t="str" cm="1">
        <f t="array" aca="1" ref="W73" ca="1">IFERROR(INDIRECT("$U"&amp;V73),"")</f>
        <v/>
      </c>
      <c r="Z73" cm="1">
        <f t="array" ref="Z73">INDEX($AE$2:$AN$40,MOD(ROW()-ROW($AE$2),ROWS($AE$2:$AN$40))+1,INT((ROW()-ROW($AE$2))/ROWS($AE$2:$AN$40))+1)</f>
        <v>0</v>
      </c>
      <c r="AA73">
        <f t="shared" ca="1" si="5"/>
        <v>281</v>
      </c>
      <c r="AB73" t="str" cm="1">
        <f t="array" aca="1" ref="AB73" ca="1">IFERROR(INDIRECT("$Z"&amp;AA73),"")</f>
        <v>029A_temperature_controller</v>
      </c>
    </row>
    <row r="74" spans="5:28" x14ac:dyDescent="0.2">
      <c r="E74" t="str">
        <f ca="1"/>
        <v/>
      </c>
      <c r="F74" t="str">
        <f ca="1"/>
        <v/>
      </c>
      <c r="G74" t="str">
        <f ca="1"/>
        <v>029A_co2_controller</v>
      </c>
      <c r="P74" cm="1">
        <f t="array" ref="P74">INDEX($B$2:$D$40,MOD(ROW()-ROW($B$2),ROWS($B$2:$D$40))+1,INT((ROW()-ROW($B$2))/ROWS($B$2:$D$40))+1)</f>
        <v>0</v>
      </c>
      <c r="Q74" t="e">
        <f t="shared" ca="1" si="3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4"/>
        <v>#N/A</v>
      </c>
      <c r="W74" t="str" cm="1">
        <f t="array" aca="1" ref="W74" ca="1">IFERROR(INDIRECT("$U"&amp;V74),"")</f>
        <v/>
      </c>
      <c r="Z74" cm="1">
        <f t="array" ref="Z74">INDEX($AE$2:$AN$40,MOD(ROW()-ROW($AE$2),ROWS($AE$2:$AN$40))+1,INT((ROW()-ROW($AE$2))/ROWS($AE$2:$AN$40))+1)</f>
        <v>0</v>
      </c>
      <c r="AA74">
        <f t="shared" ca="1" si="5"/>
        <v>282</v>
      </c>
      <c r="AB74" t="str" cm="1">
        <f t="array" aca="1" ref="AB74" ca="1">IFERROR(INDIRECT("$Z"&amp;AA74),"")</f>
        <v>029A_co2_controller</v>
      </c>
    </row>
    <row r="75" spans="5:28" x14ac:dyDescent="0.2">
      <c r="E75" t="str">
        <f ca="1"/>
        <v/>
      </c>
      <c r="F75" t="str">
        <f ca="1"/>
        <v/>
      </c>
      <c r="G75" t="str">
        <f ca="1"/>
        <v>020A_temperature_controller</v>
      </c>
      <c r="P75" cm="1">
        <f t="array" ref="P75">INDEX($B$2:$D$40,MOD(ROW()-ROW($B$2),ROWS($B$2:$D$40))+1,INT((ROW()-ROW($B$2))/ROWS($B$2:$D$40))+1)</f>
        <v>0</v>
      </c>
      <c r="Q75" t="e">
        <f t="shared" ca="1" si="3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4"/>
        <v>#N/A</v>
      </c>
      <c r="W75" t="str" cm="1">
        <f t="array" aca="1" ref="W75" ca="1">IFERROR(INDIRECT("$U"&amp;V75),"")</f>
        <v/>
      </c>
      <c r="Z75" cm="1">
        <f t="array" ref="Z75">INDEX($AE$2:$AN$40,MOD(ROW()-ROW($AE$2),ROWS($AE$2:$AN$40))+1,INT((ROW()-ROW($AE$2))/ROWS($AE$2:$AN$40))+1)</f>
        <v>0</v>
      </c>
      <c r="AA75">
        <f t="shared" ca="1" si="5"/>
        <v>283</v>
      </c>
      <c r="AB75" t="str" cm="1">
        <f t="array" aca="1" ref="AB75" ca="1">IFERROR(INDIRECT("$Z"&amp;AA75),"")</f>
        <v>020A_temperature_controller</v>
      </c>
    </row>
    <row r="76" spans="5:28" x14ac:dyDescent="0.2">
      <c r="E76" t="str">
        <f ca="1"/>
        <v/>
      </c>
      <c r="F76" t="str">
        <f ca="1"/>
        <v/>
      </c>
      <c r="G76" t="str">
        <f ca="1"/>
        <v>020A_co2_controller</v>
      </c>
      <c r="P76" cm="1">
        <f t="array" ref="P76">INDEX($B$2:$D$40,MOD(ROW()-ROW($B$2),ROWS($B$2:$D$40))+1,INT((ROW()-ROW($B$2))/ROWS($B$2:$D$40))+1)</f>
        <v>0</v>
      </c>
      <c r="Q76" t="e">
        <f t="shared" ca="1" si="3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4"/>
        <v>#N/A</v>
      </c>
      <c r="W76" t="str" cm="1">
        <f t="array" aca="1" ref="W76" ca="1">IFERROR(INDIRECT("$U"&amp;V76),"")</f>
        <v/>
      </c>
      <c r="Z76" cm="1">
        <f t="array" ref="Z76">INDEX($AE$2:$AN$40,MOD(ROW()-ROW($AE$2),ROWS($AE$2:$AN$40))+1,INT((ROW()-ROW($AE$2))/ROWS($AE$2:$AN$40))+1)</f>
        <v>0</v>
      </c>
      <c r="AA76">
        <f t="shared" ca="1" si="5"/>
        <v>284</v>
      </c>
      <c r="AB76" t="str" cm="1">
        <f t="array" aca="1" ref="AB76" ca="1">IFERROR(INDIRECT("$Z"&amp;AA76),"")</f>
        <v>020A_co2_controller</v>
      </c>
    </row>
    <row r="77" spans="5:28" x14ac:dyDescent="0.2">
      <c r="E77" t="str">
        <f ca="1"/>
        <v/>
      </c>
      <c r="F77" t="str">
        <f ca="1"/>
        <v/>
      </c>
      <c r="G77" t="str">
        <f ca="1"/>
        <v>012A_temperature_controller</v>
      </c>
      <c r="P77" cm="1">
        <f t="array" ref="P77">INDEX($B$2:$D$40,MOD(ROW()-ROW($B$2),ROWS($B$2:$D$40))+1,INT((ROW()-ROW($B$2))/ROWS($B$2:$D$40))+1)</f>
        <v>0</v>
      </c>
      <c r="Q77" t="e">
        <f t="shared" ca="1" si="3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4"/>
        <v>#N/A</v>
      </c>
      <c r="W77" t="str" cm="1">
        <f t="array" aca="1" ref="W77" ca="1">IFERROR(INDIRECT("$U"&amp;V77),"")</f>
        <v/>
      </c>
      <c r="Z77" cm="1">
        <f t="array" ref="Z77">INDEX($AE$2:$AN$40,MOD(ROW()-ROW($AE$2),ROWS($AE$2:$AN$40))+1,INT((ROW()-ROW($AE$2))/ROWS($AE$2:$AN$40))+1)</f>
        <v>0</v>
      </c>
      <c r="AA77">
        <f t="shared" ca="1" si="5"/>
        <v>285</v>
      </c>
      <c r="AB77" t="str" cm="1">
        <f t="array" aca="1" ref="AB77" ca="1">IFERROR(INDIRECT("$Z"&amp;AA77),"")</f>
        <v>012A_temperature_controller</v>
      </c>
    </row>
    <row r="78" spans="5:28" x14ac:dyDescent="0.2">
      <c r="E78" t="str">
        <f ca="1"/>
        <v/>
      </c>
      <c r="F78" t="str">
        <f ca="1"/>
        <v/>
      </c>
      <c r="G78" t="str">
        <f ca="1"/>
        <v>012A_co2_controller</v>
      </c>
      <c r="P78" cm="1">
        <f t="array" ref="P78">INDEX($B$2:$D$40,MOD(ROW()-ROW($B$2),ROWS($B$2:$D$40))+1,INT((ROW()-ROW($B$2))/ROWS($B$2:$D$40))+1)</f>
        <v>0</v>
      </c>
      <c r="Q78" t="e">
        <f t="shared" ca="1" si="3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4"/>
        <v>#N/A</v>
      </c>
      <c r="W78" t="str" cm="1">
        <f t="array" aca="1" ref="W78" ca="1">IFERROR(INDIRECT("$U"&amp;V78),"")</f>
        <v/>
      </c>
      <c r="Z78" cm="1">
        <f t="array" ref="Z78">INDEX($AE$2:$AN$40,MOD(ROW()-ROW($AE$2),ROWS($AE$2:$AN$40))+1,INT((ROW()-ROW($AE$2))/ROWS($AE$2:$AN$40))+1)</f>
        <v>0</v>
      </c>
      <c r="AA78">
        <f t="shared" ca="1" si="5"/>
        <v>286</v>
      </c>
      <c r="AB78" t="str" cm="1">
        <f t="array" aca="1" ref="AB78" ca="1">IFERROR(INDIRECT("$Z"&amp;AA78),"")</f>
        <v>012A_co2_controller</v>
      </c>
    </row>
    <row r="79" spans="5:28" x14ac:dyDescent="0.2">
      <c r="E79" t="str">
        <f ca="1"/>
        <v/>
      </c>
      <c r="F79" t="str">
        <f ca="1"/>
        <v/>
      </c>
      <c r="G79" t="str">
        <f ca="1"/>
        <v>008A_temperature_controller</v>
      </c>
      <c r="P79" cm="1">
        <f t="array" ref="P79">INDEX($B$2:$D$40,MOD(ROW()-ROW($B$2),ROWS($B$2:$D$40))+1,INT((ROW()-ROW($B$2))/ROWS($B$2:$D$40))+1)</f>
        <v>0</v>
      </c>
      <c r="Q79" t="e">
        <f t="shared" ca="1" si="3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4"/>
        <v>#N/A</v>
      </c>
      <c r="W79" t="str" cm="1">
        <f t="array" aca="1" ref="W79" ca="1">IFERROR(INDIRECT("$U"&amp;V79),"")</f>
        <v/>
      </c>
      <c r="Z79" cm="1">
        <f t="array" ref="Z79">INDEX($AE$2:$AN$40,MOD(ROW()-ROW($AE$2),ROWS($AE$2:$AN$40))+1,INT((ROW()-ROW($AE$2))/ROWS($AE$2:$AN$40))+1)</f>
        <v>0</v>
      </c>
      <c r="AA79">
        <f t="shared" ca="1" si="5"/>
        <v>287</v>
      </c>
      <c r="AB79" t="str" cm="1">
        <f t="array" aca="1" ref="AB79" ca="1">IFERROR(INDIRECT("$Z"&amp;AA79),"")</f>
        <v>008A_temperature_controller</v>
      </c>
    </row>
    <row r="80" spans="5:28" x14ac:dyDescent="0.2">
      <c r="E80" t="str">
        <f ca="1"/>
        <v/>
      </c>
      <c r="F80" t="str">
        <f ca="1"/>
        <v/>
      </c>
      <c r="G80" t="str">
        <f ca="1"/>
        <v>008A_co2_controller</v>
      </c>
      <c r="P80" t="str" cm="1">
        <f t="array" aca="1" ref="P80" ca="1">INDEX($B$2:$D$40,MOD(ROW()-ROW($B$2),ROWS($B$2:$D$40))+1,INT((ROW()-ROW($B$2))/ROWS($B$2:$D$40))+1)</f>
        <v>Cooling</v>
      </c>
      <c r="Q80" t="e">
        <f t="shared" ca="1" si="3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4"/>
        <v>#N/A</v>
      </c>
      <c r="W80" t="str" cm="1">
        <f t="array" aca="1" ref="W80" ca="1">IFERROR(INDIRECT("$U"&amp;V80),"")</f>
        <v/>
      </c>
      <c r="Z80" t="str" cm="1">
        <f t="array" aca="1" ref="Z80" ca="1">INDEX($AE$2:$AN$40,MOD(ROW()-ROW($AE$2),ROWS($AE$2:$AN$40))+1,INT((ROW()-ROW($AE$2))/ROWS($AE$2:$AN$40))+1)</f>
        <v>033A_space_heater</v>
      </c>
      <c r="AA80">
        <f t="shared" ca="1" si="5"/>
        <v>288</v>
      </c>
      <c r="AB80" t="str" cm="1">
        <f t="array" aca="1" ref="AB80" ca="1">IFERROR(INDIRECT("$Z"&amp;AA80),"")</f>
        <v>008A_co2_controller</v>
      </c>
    </row>
    <row r="81" spans="5:28" x14ac:dyDescent="0.2">
      <c r="E81" t="str">
        <f ca="1"/>
        <v/>
      </c>
      <c r="F81" t="str">
        <f ca="1"/>
        <v/>
      </c>
      <c r="G81" t="str">
        <f ca="1"/>
        <v>007A_temperature_controller</v>
      </c>
      <c r="P81" cm="1">
        <f t="array" ref="P81">INDEX($B$2:$D$40,MOD(ROW()-ROW($B$2),ROWS($B$2:$D$40))+1,INT((ROW()-ROW($B$2))/ROWS($B$2:$D$40))+1)</f>
        <v>0</v>
      </c>
      <c r="Q81" t="e">
        <f t="shared" ca="1" si="3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4"/>
        <v>#N/A</v>
      </c>
      <c r="W81" t="str" cm="1">
        <f t="array" aca="1" ref="W81" ca="1">IFERROR(INDIRECT("$U"&amp;V81),"")</f>
        <v/>
      </c>
      <c r="Z81" t="str" cm="1">
        <f t="array" aca="1" ref="Z81" ca="1">INDEX($AE$2:$AN$40,MOD(ROW()-ROW($AE$2),ROWS($AE$2:$AN$40))+1,INT((ROW()-ROW($AE$2))/ROWS($AE$2:$AN$40))+1)</f>
        <v>031A_space_heater</v>
      </c>
      <c r="AA81">
        <f t="shared" ca="1" si="5"/>
        <v>289</v>
      </c>
      <c r="AB81" t="str" cm="1">
        <f t="array" aca="1" ref="AB81" ca="1">IFERROR(INDIRECT("$Z"&amp;AA81),"")</f>
        <v>007A_temperature_controller</v>
      </c>
    </row>
    <row r="82" spans="5:28" x14ac:dyDescent="0.2">
      <c r="E82" t="str">
        <f ca="1"/>
        <v/>
      </c>
      <c r="F82" t="str">
        <f ca="1"/>
        <v/>
      </c>
      <c r="G82" t="str">
        <f ca="1"/>
        <v>007A_co2_controller</v>
      </c>
      <c r="P82" cm="1">
        <f t="array" ref="P82">INDEX($B$2:$D$40,MOD(ROW()-ROW($B$2),ROWS($B$2:$D$40))+1,INT((ROW()-ROW($B$2))/ROWS($B$2:$D$40))+1)</f>
        <v>0</v>
      </c>
      <c r="Q82" t="e">
        <f t="shared" ca="1" si="3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4"/>
        <v>#N/A</v>
      </c>
      <c r="W82" t="str" cm="1">
        <f t="array" aca="1" ref="W82" ca="1">IFERROR(INDIRECT("$U"&amp;V82),"")</f>
        <v/>
      </c>
      <c r="Z82" t="str" cm="1">
        <f t="array" aca="1" ref="Z82" ca="1">INDEX($AE$2:$AN$40,MOD(ROW()-ROW($AE$2),ROWS($AE$2:$AN$40))+1,INT((ROW()-ROW($AE$2))/ROWS($AE$2:$AN$40))+1)</f>
        <v>035A_space_heater</v>
      </c>
      <c r="AA82">
        <f t="shared" ca="1" si="5"/>
        <v>290</v>
      </c>
      <c r="AB82" t="str" cm="1">
        <f t="array" aca="1" ref="AB82" ca="1">IFERROR(INDIRECT("$Z"&amp;AA82),"")</f>
        <v>007A_co2_controller</v>
      </c>
    </row>
    <row r="83" spans="5:28" x14ac:dyDescent="0.2">
      <c r="E83" t="str">
        <f ca="1"/>
        <v/>
      </c>
      <c r="F83" t="str">
        <f ca="1"/>
        <v/>
      </c>
      <c r="G83" t="str">
        <f ca="1"/>
        <v>033A_co2_sensor</v>
      </c>
      <c r="P83" cm="1">
        <f t="array" ref="P83">INDEX($B$2:$D$40,MOD(ROW()-ROW($B$2),ROWS($B$2:$D$40))+1,INT((ROW()-ROW($B$2))/ROWS($B$2:$D$40))+1)</f>
        <v>0</v>
      </c>
      <c r="Q83" t="e">
        <f t="shared" ca="1" si="3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4"/>
        <v>#N/A</v>
      </c>
      <c r="W83" t="str" cm="1">
        <f t="array" aca="1" ref="W83" ca="1">IFERROR(INDIRECT("$U"&amp;V83),"")</f>
        <v/>
      </c>
      <c r="Z83" t="str" cm="1">
        <f t="array" aca="1" ref="Z83" ca="1">INDEX($AE$2:$AN$40,MOD(ROW()-ROW($AE$2),ROWS($AE$2:$AN$40))+1,INT((ROW()-ROW($AE$2))/ROWS($AE$2:$AN$40))+1)</f>
        <v>029A_space_heater</v>
      </c>
      <c r="AA83">
        <f t="shared" ca="1" si="5"/>
        <v>314</v>
      </c>
      <c r="AB83" t="str" cm="1">
        <f t="array" aca="1" ref="AB83" ca="1">IFERROR(INDIRECT("$Z"&amp;AA83),"")</f>
        <v>033A_co2_sensor</v>
      </c>
    </row>
    <row r="84" spans="5:28" x14ac:dyDescent="0.2">
      <c r="E84" t="str">
        <f ca="1"/>
        <v/>
      </c>
      <c r="F84" t="str">
        <f ca="1"/>
        <v/>
      </c>
      <c r="G84" t="str">
        <f ca="1"/>
        <v>033A_damper_position_sensor</v>
      </c>
      <c r="P84" cm="1">
        <f t="array" ref="P84">INDEX($B$2:$D$40,MOD(ROW()-ROW($B$2),ROWS($B$2:$D$40))+1,INT((ROW()-ROW($B$2))/ROWS($B$2:$D$40))+1)</f>
        <v>0</v>
      </c>
      <c r="Q84" t="e">
        <f t="shared" ca="1" si="3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4"/>
        <v>#N/A</v>
      </c>
      <c r="W84" t="str" cm="1">
        <f t="array" aca="1" ref="W84" ca="1">IFERROR(INDIRECT("$U"&amp;V84),"")</f>
        <v/>
      </c>
      <c r="Z84" t="str" cm="1">
        <f t="array" aca="1" ref="Z84" ca="1">INDEX($AE$2:$AN$40,MOD(ROW()-ROW($AE$2),ROWS($AE$2:$AN$40))+1,INT((ROW()-ROW($AE$2))/ROWS($AE$2:$AN$40))+1)</f>
        <v>020A_space_heater</v>
      </c>
      <c r="AA84">
        <f t="shared" ca="1" si="5"/>
        <v>315</v>
      </c>
      <c r="AB84" t="str" cm="1">
        <f t="array" aca="1" ref="AB84" ca="1">IFERROR(INDIRECT("$Z"&amp;AA84),"")</f>
        <v>033A_damper_position_sensor</v>
      </c>
    </row>
    <row r="85" spans="5:28" x14ac:dyDescent="0.2">
      <c r="E85" t="str">
        <f ca="1"/>
        <v/>
      </c>
      <c r="F85" t="str">
        <f ca="1"/>
        <v/>
      </c>
      <c r="G85" t="str">
        <f ca="1"/>
        <v>033A_temperature_sensor</v>
      </c>
      <c r="P85" cm="1">
        <f t="array" ref="P85">INDEX($B$2:$D$40,MOD(ROW()-ROW($B$2),ROWS($B$2:$D$40))+1,INT((ROW()-ROW($B$2))/ROWS($B$2:$D$40))+1)</f>
        <v>0</v>
      </c>
      <c r="Q85" t="e">
        <f t="shared" ca="1" si="3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4"/>
        <v>#N/A</v>
      </c>
      <c r="W85" t="str" cm="1">
        <f t="array" aca="1" ref="W85" ca="1">IFERROR(INDIRECT("$U"&amp;V85),"")</f>
        <v/>
      </c>
      <c r="Z85" t="str" cm="1">
        <f t="array" aca="1" ref="Z85" ca="1">INDEX($AE$2:$AN$40,MOD(ROW()-ROW($AE$2),ROWS($AE$2:$AN$40))+1,INT((ROW()-ROW($AE$2))/ROWS($AE$2:$AN$40))+1)</f>
        <v>015A_space_heater</v>
      </c>
      <c r="AA85">
        <f t="shared" ca="1" si="5"/>
        <v>316</v>
      </c>
      <c r="AB85" t="str" cm="1">
        <f t="array" aca="1" ref="AB85" ca="1">IFERROR(INDIRECT("$Z"&amp;AA85),"")</f>
        <v>033A_temperature_sensor</v>
      </c>
    </row>
    <row r="86" spans="5:28" x14ac:dyDescent="0.2">
      <c r="E86" t="str">
        <f ca="1"/>
        <v/>
      </c>
      <c r="F86" t="str">
        <f ca="1"/>
        <v/>
      </c>
      <c r="G86" t="str">
        <f ca="1"/>
        <v>033A_valve_position_sensor</v>
      </c>
      <c r="P86" cm="1">
        <f t="array" ref="P86">INDEX($B$2:$D$40,MOD(ROW()-ROW($B$2),ROWS($B$2:$D$40))+1,INT((ROW()-ROW($B$2))/ROWS($B$2:$D$40))+1)</f>
        <v>0</v>
      </c>
      <c r="Q86" t="e">
        <f t="shared" ca="1" si="3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4"/>
        <v>#N/A</v>
      </c>
      <c r="W86" t="str" cm="1">
        <f t="array" aca="1" ref="W86" ca="1">IFERROR(INDIRECT("$U"&amp;V86),"")</f>
        <v/>
      </c>
      <c r="Z86" t="str" cm="1">
        <f t="array" aca="1" ref="Z86" ca="1">INDEX($AE$2:$AN$40,MOD(ROW()-ROW($AE$2),ROWS($AE$2:$AN$40))+1,INT((ROW()-ROW($AE$2))/ROWS($AE$2:$AN$40))+1)</f>
        <v>020B_space_heater</v>
      </c>
      <c r="AA86">
        <f t="shared" ca="1" si="5"/>
        <v>317</v>
      </c>
      <c r="AB86" t="str" cm="1">
        <f t="array" aca="1" ref="AB86" ca="1">IFERROR(INDIRECT("$Z"&amp;AA86),"")</f>
        <v>033A_valve_position_sensor</v>
      </c>
    </row>
    <row r="87" spans="5:28" x14ac:dyDescent="0.2">
      <c r="E87" t="str">
        <f ca="1"/>
        <v/>
      </c>
      <c r="F87" t="str">
        <f ca="1"/>
        <v/>
      </c>
      <c r="G87" t="str">
        <f ca="1"/>
        <v>BPA001</v>
      </c>
      <c r="P87" cm="1">
        <f t="array" ref="P87">INDEX($B$2:$D$40,MOD(ROW()-ROW($B$2),ROWS($B$2:$D$40))+1,INT((ROW()-ROW($B$2))/ROWS($B$2:$D$40))+1)</f>
        <v>0</v>
      </c>
      <c r="Q87" t="e">
        <f t="shared" ca="1" si="3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4"/>
        <v>#N/A</v>
      </c>
      <c r="W87" t="str" cm="1">
        <f t="array" aca="1" ref="W87" ca="1">IFERROR(INDIRECT("$U"&amp;V87),"")</f>
        <v/>
      </c>
      <c r="Z87" t="str" cm="1">
        <f t="array" aca="1" ref="Z87" ca="1">INDEX($AE$2:$AN$40,MOD(ROW()-ROW($AE$2),ROWS($AE$2:$AN$40))+1,INT((ROW()-ROW($AE$2))/ROWS($AE$2:$AN$40))+1)</f>
        <v>011A_space_heater</v>
      </c>
      <c r="AA87">
        <f t="shared" ca="1" si="5"/>
        <v>318</v>
      </c>
      <c r="AB87" t="str" cm="1">
        <f t="array" aca="1" ref="AB87" ca="1">IFERROR(INDIRECT("$Z"&amp;AA87),"")</f>
        <v>BPA001</v>
      </c>
    </row>
    <row r="88" spans="5:28" x14ac:dyDescent="0.2">
      <c r="E88" t="str">
        <f ca="1"/>
        <v/>
      </c>
      <c r="F88" t="str">
        <f ca="1"/>
        <v/>
      </c>
      <c r="G88" t="str">
        <f ca="1"/>
        <v>BPA002</v>
      </c>
      <c r="P88" cm="1">
        <f t="array" ref="P88">INDEX($B$2:$D$40,MOD(ROW()-ROW($B$2),ROWS($B$2:$D$40))+1,INT((ROW()-ROW($B$2))/ROWS($B$2:$D$40))+1)</f>
        <v>0</v>
      </c>
      <c r="Q88" t="e">
        <f t="shared" ca="1" si="3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4"/>
        <v>#N/A</v>
      </c>
      <c r="W88" t="str" cm="1">
        <f t="array" aca="1" ref="W88" ca="1">IFERROR(INDIRECT("$U"&amp;V88),"")</f>
        <v/>
      </c>
      <c r="Z88" t="str" cm="1">
        <f t="array" aca="1" ref="Z88" ca="1">INDEX($AE$2:$AN$40,MOD(ROW()-ROW($AE$2),ROWS($AE$2:$AN$40))+1,INT((ROW()-ROW($AE$2))/ROWS($AE$2:$AN$40))+1)</f>
        <v>013A_space_heater</v>
      </c>
      <c r="AA88">
        <f t="shared" ca="1" si="5"/>
        <v>319</v>
      </c>
      <c r="AB88" t="str" cm="1">
        <f t="array" aca="1" ref="AB88" ca="1">IFERROR(INDIRECT("$Z"&amp;AA88),"")</f>
        <v>BPA002</v>
      </c>
    </row>
    <row r="89" spans="5:28" x14ac:dyDescent="0.2">
      <c r="E89" t="str">
        <f ca="1"/>
        <v/>
      </c>
      <c r="F89" t="str">
        <f ca="1"/>
        <v/>
      </c>
      <c r="G89" t="str">
        <f ca="1"/>
        <v>BPA003_exhaust</v>
      </c>
      <c r="P89" cm="1">
        <f t="array" ref="P89">INDEX($B$2:$D$40,MOD(ROW()-ROW($B$2),ROWS($B$2:$D$40))+1,INT((ROW()-ROW($B$2))/ROWS($B$2:$D$40))+1)</f>
        <v>0</v>
      </c>
      <c r="Q89" t="e">
        <f t="shared" ca="1" si="3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4"/>
        <v>#N/A</v>
      </c>
      <c r="W89" t="str" cm="1">
        <f t="array" aca="1" ref="W89" ca="1">IFERROR(INDIRECT("$U"&amp;V89),"")</f>
        <v/>
      </c>
      <c r="Z89" t="str" cm="1">
        <f t="array" aca="1" ref="Z89" ca="1">INDEX($AE$2:$AN$40,MOD(ROW()-ROW($AE$2),ROWS($AE$2:$AN$40))+1,INT((ROW()-ROW($AE$2))/ROWS($AE$2:$AN$40))+1)</f>
        <v>012A_space_heater</v>
      </c>
      <c r="AA89">
        <f t="shared" ca="1" si="5"/>
        <v>320</v>
      </c>
      <c r="AB89" t="str" cm="1">
        <f t="array" aca="1" ref="AB89" ca="1">IFERROR(INDIRECT("$Z"&amp;AA89),"")</f>
        <v>BPA003_exhaust</v>
      </c>
    </row>
    <row r="90" spans="5:28" x14ac:dyDescent="0.2">
      <c r="E90" t="str">
        <f ca="1"/>
        <v/>
      </c>
      <c r="F90" t="str">
        <f ca="1"/>
        <v/>
      </c>
      <c r="G90" t="str">
        <f ca="1"/>
        <v>BPA003_supply</v>
      </c>
      <c r="P90" cm="1">
        <f t="array" ref="P90">INDEX($B$2:$D$40,MOD(ROW()-ROW($B$2),ROWS($B$2:$D$40))+1,INT((ROW()-ROW($B$2))/ROWS($B$2:$D$40))+1)</f>
        <v>0</v>
      </c>
      <c r="Q90" t="e">
        <f t="shared" ca="1" si="3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4"/>
        <v>#N/A</v>
      </c>
      <c r="W90" t="str" cm="1">
        <f t="array" aca="1" ref="W90" ca="1">IFERROR(INDIRECT("$U"&amp;V90),"")</f>
        <v/>
      </c>
      <c r="Z90" t="str" cm="1">
        <f t="array" aca="1" ref="Z90" ca="1">INDEX($AE$2:$AN$40,MOD(ROW()-ROW($AE$2),ROWS($AE$2:$AN$40))+1,INT((ROW()-ROW($AE$2))/ROWS($AE$2:$AN$40))+1)</f>
        <v>008A_space_heater</v>
      </c>
      <c r="AA90">
        <f t="shared" ca="1" si="5"/>
        <v>321</v>
      </c>
      <c r="AB90" t="str" cm="1">
        <f t="array" aca="1" ref="AB90" ca="1">IFERROR(INDIRECT("$Z"&amp;AA90),"")</f>
        <v>BPA003_supply</v>
      </c>
    </row>
    <row r="91" spans="5:28" x14ac:dyDescent="0.2">
      <c r="E91" t="str">
        <f ca="1"/>
        <v/>
      </c>
      <c r="F91" t="str">
        <f ca="1"/>
        <v/>
      </c>
      <c r="G91" t="str">
        <f ca="1"/>
        <v>BPA004_exhaust_fan</v>
      </c>
      <c r="P91" cm="1">
        <f t="array" ref="P91">INDEX($B$2:$D$40,MOD(ROW()-ROW($B$2),ROWS($B$2:$D$40))+1,INT((ROW()-ROW($B$2))/ROWS($B$2:$D$40))+1)</f>
        <v>0</v>
      </c>
      <c r="Q91" t="e">
        <f t="shared" ca="1" si="3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4"/>
        <v>#N/A</v>
      </c>
      <c r="W91" t="str" cm="1">
        <f t="array" aca="1" ref="W91" ca="1">IFERROR(INDIRECT("$U"&amp;V91),"")</f>
        <v/>
      </c>
      <c r="Z91" t="str" cm="1">
        <f t="array" aca="1" ref="Z91" ca="1">INDEX($AE$2:$AN$40,MOD(ROW()-ROW($AE$2),ROWS($AE$2:$AN$40))+1,INT((ROW()-ROW($AE$2))/ROWS($AE$2:$AN$40))+1)</f>
        <v>007A_space_heater</v>
      </c>
      <c r="AA91">
        <f t="shared" ca="1" si="5"/>
        <v>322</v>
      </c>
      <c r="AB91" t="str" cm="1">
        <f t="array" aca="1" ref="AB91" ca="1">IFERROR(INDIRECT("$Z"&amp;AA91),"")</f>
        <v>BPA004_exhaust_fan</v>
      </c>
    </row>
    <row r="92" spans="5:28" x14ac:dyDescent="0.2">
      <c r="E92" t="str">
        <f ca="1"/>
        <v/>
      </c>
      <c r="F92" t="str">
        <f ca="1"/>
        <v/>
      </c>
      <c r="G92" t="str">
        <f ca="1"/>
        <v>BPA004_exhaust</v>
      </c>
      <c r="P92" cm="1">
        <f t="array" ref="P92">INDEX($B$2:$D$40,MOD(ROW()-ROW($B$2),ROWS($B$2:$D$40))+1,INT((ROW()-ROW($B$2))/ROWS($B$2:$D$40))+1)</f>
        <v>0</v>
      </c>
      <c r="Q92" t="e">
        <f t="shared" ca="1" si="3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4"/>
        <v>#N/A</v>
      </c>
      <c r="W92" t="str" cm="1">
        <f t="array" aca="1" ref="W92" ca="1">IFERROR(INDIRECT("$U"&amp;V92),"")</f>
        <v/>
      </c>
      <c r="Z92" cm="1">
        <f t="array" ref="Z92">INDEX($AE$2:$AN$40,MOD(ROW()-ROW($AE$2),ROWS($AE$2:$AN$40))+1,INT((ROW()-ROW($AE$2))/ROWS($AE$2:$AN$40))+1)</f>
        <v>0</v>
      </c>
      <c r="AA92">
        <f t="shared" ca="1" si="5"/>
        <v>323</v>
      </c>
      <c r="AB92" t="str" cm="1">
        <f t="array" aca="1" ref="AB92" ca="1">IFERROR(INDIRECT("$Z"&amp;AA92),"")</f>
        <v>BPA004_exhaust</v>
      </c>
    </row>
    <row r="93" spans="5:28" x14ac:dyDescent="0.2">
      <c r="E93" t="str">
        <f ca="1"/>
        <v/>
      </c>
      <c r="F93" t="str">
        <f ca="1"/>
        <v/>
      </c>
      <c r="G93" t="str">
        <f ca="1"/>
        <v>BTA001</v>
      </c>
      <c r="P93" cm="1">
        <f t="array" ref="P93">INDEX($B$2:$D$40,MOD(ROW()-ROW($B$2),ROWS($B$2:$D$40))+1,INT((ROW()-ROW($B$2))/ROWS($B$2:$D$40))+1)</f>
        <v>0</v>
      </c>
      <c r="Q93" t="e">
        <f t="shared" ca="1" si="3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4"/>
        <v>#N/A</v>
      </c>
      <c r="W93" t="str" cm="1">
        <f t="array" aca="1" ref="W93" ca="1">IFERROR(INDIRECT("$U"&amp;V93),"")</f>
        <v/>
      </c>
      <c r="Z93" cm="1">
        <f t="array" ref="Z93">INDEX($AE$2:$AN$40,MOD(ROW()-ROW($AE$2),ROWS($AE$2:$AN$40))+1,INT((ROW()-ROW($AE$2))/ROWS($AE$2:$AN$40))+1)</f>
        <v>0</v>
      </c>
      <c r="AA93">
        <f t="shared" ca="1" si="5"/>
        <v>324</v>
      </c>
      <c r="AB93" t="str" cm="1">
        <f t="array" aca="1" ref="AB93" ca="1">IFERROR(INDIRECT("$Z"&amp;AA93),"")</f>
        <v>BTA001</v>
      </c>
    </row>
    <row r="94" spans="5:28" x14ac:dyDescent="0.2">
      <c r="E94" t="str">
        <f ca="1"/>
        <v/>
      </c>
      <c r="F94" t="str">
        <f ca="1"/>
        <v/>
      </c>
      <c r="G94" t="str">
        <f ca="1"/>
        <v>BTA002</v>
      </c>
      <c r="P94" cm="1">
        <f t="array" ref="P94">INDEX($B$2:$D$40,MOD(ROW()-ROW($B$2),ROWS($B$2:$D$40))+1,INT((ROW()-ROW($B$2))/ROWS($B$2:$D$40))+1)</f>
        <v>0</v>
      </c>
      <c r="Q94" t="e">
        <f t="shared" ca="1" si="3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4"/>
        <v>#N/A</v>
      </c>
      <c r="W94" t="str" cm="1">
        <f t="array" aca="1" ref="W94" ca="1">IFERROR(INDIRECT("$U"&amp;V94),"")</f>
        <v/>
      </c>
      <c r="Z94" cm="1">
        <f t="array" ref="Z94">INDEX($AE$2:$AN$40,MOD(ROW()-ROW($AE$2),ROWS($AE$2:$AN$40))+1,INT((ROW()-ROW($AE$2))/ROWS($AE$2:$AN$40))+1)</f>
        <v>0</v>
      </c>
      <c r="AA94">
        <f t="shared" ca="1" si="5"/>
        <v>325</v>
      </c>
      <c r="AB94" t="str" cm="1">
        <f t="array" aca="1" ref="AB94" ca="1">IFERROR(INDIRECT("$Z"&amp;AA94),"")</f>
        <v>BTA002</v>
      </c>
    </row>
    <row r="95" spans="5:28" x14ac:dyDescent="0.2">
      <c r="E95" t="str">
        <f ca="1"/>
        <v/>
      </c>
      <c r="F95" t="str">
        <f ca="1"/>
        <v/>
      </c>
      <c r="G95" t="str">
        <f ca="1"/>
        <v>BTA003</v>
      </c>
      <c r="P95" cm="1">
        <f t="array" ref="P95">INDEX($B$2:$D$40,MOD(ROW()-ROW($B$2),ROWS($B$2:$D$40))+1,INT((ROW()-ROW($B$2))/ROWS($B$2:$D$40))+1)</f>
        <v>0</v>
      </c>
      <c r="Q95" t="e">
        <f t="shared" ca="1" si="3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4"/>
        <v>#N/A</v>
      </c>
      <c r="W95" t="str" cm="1">
        <f t="array" aca="1" ref="W95" ca="1">IFERROR(INDIRECT("$U"&amp;V95),"")</f>
        <v/>
      </c>
      <c r="Z95" cm="1">
        <f t="array" ref="Z95">INDEX($AE$2:$AN$40,MOD(ROW()-ROW($AE$2),ROWS($AE$2:$AN$40))+1,INT((ROW()-ROW($AE$2))/ROWS($AE$2:$AN$40))+1)</f>
        <v>0</v>
      </c>
      <c r="AA95">
        <f t="shared" ca="1" si="5"/>
        <v>326</v>
      </c>
      <c r="AB95" t="str" cm="1">
        <f t="array" aca="1" ref="AB95" ca="1">IFERROR(INDIRECT("$Z"&amp;AA95),"")</f>
        <v>BTA003</v>
      </c>
    </row>
    <row r="96" spans="5:28" x14ac:dyDescent="0.2">
      <c r="E96" t="str">
        <f ca="1"/>
        <v/>
      </c>
      <c r="F96" t="str">
        <f ca="1"/>
        <v/>
      </c>
      <c r="G96" t="str">
        <f ca="1"/>
        <v>BTA004</v>
      </c>
      <c r="P96" cm="1">
        <f t="array" ref="P96">INDEX($B$2:$D$40,MOD(ROW()-ROW($B$2),ROWS($B$2:$D$40))+1,INT((ROW()-ROW($B$2))/ROWS($B$2:$D$40))+1)</f>
        <v>0</v>
      </c>
      <c r="Q96" t="e">
        <f t="shared" ca="1" si="3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4"/>
        <v>#N/A</v>
      </c>
      <c r="W96" t="str" cm="1">
        <f t="array" aca="1" ref="W96" ca="1">IFERROR(INDIRECT("$U"&amp;V96),"")</f>
        <v/>
      </c>
      <c r="Z96" cm="1">
        <f t="array" ref="Z96">INDEX($AE$2:$AN$40,MOD(ROW()-ROW($AE$2),ROWS($AE$2:$AN$40))+1,INT((ROW()-ROW($AE$2))/ROWS($AE$2:$AN$40))+1)</f>
        <v>0</v>
      </c>
      <c r="AA96">
        <f t="shared" ca="1" si="5"/>
        <v>327</v>
      </c>
      <c r="AB96" t="str" cm="1">
        <f t="array" aca="1" ref="AB96" ca="1">IFERROR(INDIRECT("$Z"&amp;AA96),"")</f>
        <v>BTA004</v>
      </c>
    </row>
    <row r="97" spans="5:28" x14ac:dyDescent="0.2">
      <c r="E97" t="str">
        <f ca="1"/>
        <v/>
      </c>
      <c r="F97" t="str">
        <f ca="1"/>
        <v/>
      </c>
      <c r="G97" t="str">
        <f ca="1"/>
        <v>BTA005</v>
      </c>
      <c r="P97" cm="1">
        <f t="array" ref="P97">INDEX($B$2:$D$40,MOD(ROW()-ROW($B$2),ROWS($B$2:$D$40))+1,INT((ROW()-ROW($B$2))/ROWS($B$2:$D$40))+1)</f>
        <v>0</v>
      </c>
      <c r="Q97" t="e">
        <f t="shared" ca="1" si="3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4"/>
        <v>#N/A</v>
      </c>
      <c r="W97" t="str" cm="1">
        <f t="array" aca="1" ref="W97" ca="1">IFERROR(INDIRECT("$U"&amp;V97),"")</f>
        <v/>
      </c>
      <c r="Z97" cm="1">
        <f t="array" ref="Z97">INDEX($AE$2:$AN$40,MOD(ROW()-ROW($AE$2),ROWS($AE$2:$AN$40))+1,INT((ROW()-ROW($AE$2))/ROWS($AE$2:$AN$40))+1)</f>
        <v>0</v>
      </c>
      <c r="AA97">
        <f t="shared" ca="1" si="5"/>
        <v>328</v>
      </c>
      <c r="AB97" t="str" cm="1">
        <f t="array" aca="1" ref="AB97" ca="1">IFERROR(INDIRECT("$Z"&amp;AA97),"")</f>
        <v>BTA005</v>
      </c>
    </row>
    <row r="98" spans="5:28" x14ac:dyDescent="0.2">
      <c r="E98" t="str">
        <f ca="1"/>
        <v/>
      </c>
      <c r="F98" t="str">
        <f ca="1"/>
        <v/>
      </c>
      <c r="G98" t="str">
        <f ca="1"/>
        <v>BTA006</v>
      </c>
      <c r="P98" cm="1">
        <f t="array" ref="P98">INDEX($B$2:$D$40,MOD(ROW()-ROW($B$2),ROWS($B$2:$D$40))+1,INT((ROW()-ROW($B$2))/ROWS($B$2:$D$40))+1)</f>
        <v>0</v>
      </c>
      <c r="Q98" t="e">
        <f t="shared" ca="1" si="3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4"/>
        <v>#N/A</v>
      </c>
      <c r="W98" t="str" cm="1">
        <f t="array" aca="1" ref="W98" ca="1">IFERROR(INDIRECT("$U"&amp;V98),"")</f>
        <v/>
      </c>
      <c r="Z98" cm="1">
        <f t="array" ref="Z98">INDEX($AE$2:$AN$40,MOD(ROW()-ROW($AE$2),ROWS($AE$2:$AN$40))+1,INT((ROW()-ROW($AE$2))/ROWS($AE$2:$AN$40))+1)</f>
        <v>0</v>
      </c>
      <c r="AA98">
        <f t="shared" ca="1" si="5"/>
        <v>329</v>
      </c>
      <c r="AB98" t="str" cm="1">
        <f t="array" aca="1" ref="AB98" ca="1">IFERROR(INDIRECT("$Z"&amp;AA98),"")</f>
        <v>BTA006</v>
      </c>
    </row>
    <row r="99" spans="5:28" x14ac:dyDescent="0.2">
      <c r="E99" t="str">
        <f ca="1"/>
        <v/>
      </c>
      <c r="F99" t="str">
        <f ca="1"/>
        <v/>
      </c>
      <c r="G99" t="str">
        <f ca="1"/>
        <v>031A_co2_sensor</v>
      </c>
      <c r="P99" cm="1">
        <f t="array" ref="P99">INDEX($B$2:$D$40,MOD(ROW()-ROW($B$2),ROWS($B$2:$D$40))+1,INT((ROW()-ROW($B$2))/ROWS($B$2:$D$40))+1)</f>
        <v>0</v>
      </c>
      <c r="Q99" t="e">
        <f t="shared" ca="1" si="3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4"/>
        <v>#N/A</v>
      </c>
      <c r="W99" t="str" cm="1">
        <f t="array" aca="1" ref="W99" ca="1">IFERROR(INDIRECT("$U"&amp;V99),"")</f>
        <v/>
      </c>
      <c r="Z99" cm="1">
        <f t="array" ref="Z99">INDEX($AE$2:$AN$40,MOD(ROW()-ROW($AE$2),ROWS($AE$2:$AN$40))+1,INT((ROW()-ROW($AE$2))/ROWS($AE$2:$AN$40))+1)</f>
        <v>0</v>
      </c>
      <c r="AA99">
        <f t="shared" ca="1" si="5"/>
        <v>330</v>
      </c>
      <c r="AB99" t="str" cm="1">
        <f t="array" aca="1" ref="AB99" ca="1">IFERROR(INDIRECT("$Z"&amp;AA99),"")</f>
        <v>031A_co2_sensor</v>
      </c>
    </row>
    <row r="100" spans="5:28" x14ac:dyDescent="0.2">
      <c r="E100" t="str">
        <f ca="1"/>
        <v/>
      </c>
      <c r="F100" t="str">
        <f ca="1"/>
        <v/>
      </c>
      <c r="G100" t="str">
        <f ca="1"/>
        <v>031A_damper_position_sensor</v>
      </c>
      <c r="P100" cm="1">
        <f t="array" ref="P100">INDEX($B$2:$D$40,MOD(ROW()-ROW($B$2),ROWS($B$2:$D$40))+1,INT((ROW()-ROW($B$2))/ROWS($B$2:$D$40))+1)</f>
        <v>0</v>
      </c>
      <c r="Q100" t="e">
        <f t="shared" ca="1" si="3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4"/>
        <v>#N/A</v>
      </c>
      <c r="W100" t="str" cm="1">
        <f t="array" aca="1" ref="W100" ca="1">IFERROR(INDIRECT("$U"&amp;V100),"")</f>
        <v/>
      </c>
      <c r="Z100" cm="1">
        <f t="array" ref="Z100">INDEX($AE$2:$AN$40,MOD(ROW()-ROW($AE$2),ROWS($AE$2:$AN$40))+1,INT((ROW()-ROW($AE$2))/ROWS($AE$2:$AN$40))+1)</f>
        <v>0</v>
      </c>
      <c r="AA100">
        <f t="shared" ca="1" si="5"/>
        <v>331</v>
      </c>
      <c r="AB100" t="str" cm="1">
        <f t="array" aca="1" ref="AB100" ca="1">IFERROR(INDIRECT("$Z"&amp;AA100),"")</f>
        <v>031A_damper_position_sensor</v>
      </c>
    </row>
    <row r="101" spans="5:28" x14ac:dyDescent="0.2">
      <c r="E101" t="str">
        <f ca="1"/>
        <v/>
      </c>
      <c r="F101" t="str">
        <f ca="1"/>
        <v/>
      </c>
      <c r="G101" t="str">
        <f ca="1"/>
        <v>031A_temperature_sensor</v>
      </c>
      <c r="P101" cm="1">
        <f t="array" ref="P101">INDEX($B$2:$D$40,MOD(ROW()-ROW($B$2),ROWS($B$2:$D$40))+1,INT((ROW()-ROW($B$2))/ROWS($B$2:$D$40))+1)</f>
        <v>0</v>
      </c>
      <c r="Q101" t="e">
        <f t="shared" ca="1" si="3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4"/>
        <v>#N/A</v>
      </c>
      <c r="W101" t="str" cm="1">
        <f t="array" aca="1" ref="W101" ca="1">IFERROR(INDIRECT("$U"&amp;V101),"")</f>
        <v/>
      </c>
      <c r="Z101" cm="1">
        <f t="array" ref="Z101">INDEX($AE$2:$AN$40,MOD(ROW()-ROW($AE$2),ROWS($AE$2:$AN$40))+1,INT((ROW()-ROW($AE$2))/ROWS($AE$2:$AN$40))+1)</f>
        <v>0</v>
      </c>
      <c r="AA101">
        <f t="shared" ca="1" si="5"/>
        <v>332</v>
      </c>
      <c r="AB101" t="str" cm="1">
        <f t="array" aca="1" ref="AB101" ca="1">IFERROR(INDIRECT("$Z"&amp;AA101),"")</f>
        <v>031A_temperature_sensor</v>
      </c>
    </row>
    <row r="102" spans="5:28" x14ac:dyDescent="0.2">
      <c r="E102" t="str">
        <f ca="1"/>
        <v/>
      </c>
      <c r="F102" t="str">
        <f ca="1"/>
        <v/>
      </c>
      <c r="G102" t="str">
        <f ca="1"/>
        <v>031A_valve_position_sensor</v>
      </c>
      <c r="P102" cm="1">
        <f t="array" ref="P102">INDEX($B$2:$D$40,MOD(ROW()-ROW($B$2),ROWS($B$2:$D$40))+1,INT((ROW()-ROW($B$2))/ROWS($B$2:$D$40))+1)</f>
        <v>0</v>
      </c>
      <c r="Q102" t="e">
        <f t="shared" ca="1" si="3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4"/>
        <v>#N/A</v>
      </c>
      <c r="W102" t="str" cm="1">
        <f t="array" aca="1" ref="W102" ca="1">IFERROR(INDIRECT("$U"&amp;V102),"")</f>
        <v/>
      </c>
      <c r="Z102" cm="1">
        <f t="array" ref="Z102">INDEX($AE$2:$AN$40,MOD(ROW()-ROW($AE$2),ROWS($AE$2:$AN$40))+1,INT((ROW()-ROW($AE$2))/ROWS($AE$2:$AN$40))+1)</f>
        <v>0</v>
      </c>
      <c r="AA102">
        <f t="shared" ca="1" si="5"/>
        <v>333</v>
      </c>
      <c r="AB102" t="str" cm="1">
        <f t="array" aca="1" ref="AB102" ca="1">IFERROR(INDIRECT("$Z"&amp;AA102),"")</f>
        <v>031A_valve_position_sensor</v>
      </c>
    </row>
    <row r="103" spans="5:28" x14ac:dyDescent="0.2">
      <c r="E103" t="str">
        <f ca="1"/>
        <v/>
      </c>
      <c r="F103" t="str">
        <f ca="1"/>
        <v/>
      </c>
      <c r="G103" t="str">
        <f ca="1"/>
        <v>029A_co2_sensor</v>
      </c>
      <c r="P103" cm="1">
        <f t="array" ref="P103">INDEX($B$2:$D$40,MOD(ROW()-ROW($B$2),ROWS($B$2:$D$40))+1,INT((ROW()-ROW($B$2))/ROWS($B$2:$D$40))+1)</f>
        <v>0</v>
      </c>
      <c r="Q103" t="e">
        <f t="shared" ca="1" si="3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4"/>
        <v>#N/A</v>
      </c>
      <c r="W103" t="str" cm="1">
        <f t="array" aca="1" ref="W103" ca="1">IFERROR(INDIRECT("$U"&amp;V103),"")</f>
        <v/>
      </c>
      <c r="Z103" cm="1">
        <f t="array" ref="Z103">INDEX($AE$2:$AN$40,MOD(ROW()-ROW($AE$2),ROWS($AE$2:$AN$40))+1,INT((ROW()-ROW($AE$2))/ROWS($AE$2:$AN$40))+1)</f>
        <v>0</v>
      </c>
      <c r="AA103">
        <f t="shared" ca="1" si="5"/>
        <v>334</v>
      </c>
      <c r="AB103" t="str" cm="1">
        <f t="array" aca="1" ref="AB103" ca="1">IFERROR(INDIRECT("$Z"&amp;AA103),"")</f>
        <v>029A_co2_sensor</v>
      </c>
    </row>
    <row r="104" spans="5:28" x14ac:dyDescent="0.2">
      <c r="E104" t="str">
        <f ca="1"/>
        <v/>
      </c>
      <c r="F104" t="str">
        <f ca="1"/>
        <v/>
      </c>
      <c r="G104" t="str">
        <f ca="1"/>
        <v>029A_damper_position_sensor</v>
      </c>
      <c r="P104" cm="1">
        <f t="array" ref="P104">INDEX($B$2:$D$40,MOD(ROW()-ROW($B$2),ROWS($B$2:$D$40))+1,INT((ROW()-ROW($B$2))/ROWS($B$2:$D$40))+1)</f>
        <v>0</v>
      </c>
      <c r="Q104" t="e">
        <f t="shared" ca="1" si="3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4"/>
        <v>#N/A</v>
      </c>
      <c r="W104" t="str" cm="1">
        <f t="array" aca="1" ref="W104" ca="1">IFERROR(INDIRECT("$U"&amp;V104),"")</f>
        <v/>
      </c>
      <c r="Z104" cm="1">
        <f t="array" ref="Z104">INDEX($AE$2:$AN$40,MOD(ROW()-ROW($AE$2),ROWS($AE$2:$AN$40))+1,INT((ROW()-ROW($AE$2))/ROWS($AE$2:$AN$40))+1)</f>
        <v>0</v>
      </c>
      <c r="AA104">
        <f t="shared" ca="1" si="5"/>
        <v>335</v>
      </c>
      <c r="AB104" t="str" cm="1">
        <f t="array" aca="1" ref="AB104" ca="1">IFERROR(INDIRECT("$Z"&amp;AA104),"")</f>
        <v>029A_damper_position_sensor</v>
      </c>
    </row>
    <row r="105" spans="5:28" x14ac:dyDescent="0.2">
      <c r="E105" t="str">
        <f ca="1"/>
        <v/>
      </c>
      <c r="F105" t="str">
        <f ca="1"/>
        <v/>
      </c>
      <c r="G105" t="str">
        <f ca="1"/>
        <v>029A_temperature_sensor</v>
      </c>
      <c r="P105" cm="1">
        <f t="array" ref="P105">INDEX($B$2:$D$40,MOD(ROW()-ROW($B$2),ROWS($B$2:$D$40))+1,INT((ROW()-ROW($B$2))/ROWS($B$2:$D$40))+1)</f>
        <v>0</v>
      </c>
      <c r="Q105" t="e">
        <f t="shared" ca="1" si="3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4"/>
        <v>#N/A</v>
      </c>
      <c r="W105" t="str" cm="1">
        <f t="array" aca="1" ref="W105" ca="1">IFERROR(INDIRECT("$U"&amp;V105),"")</f>
        <v/>
      </c>
      <c r="Z105" cm="1">
        <f t="array" ref="Z105">INDEX($AE$2:$AN$40,MOD(ROW()-ROW($AE$2),ROWS($AE$2:$AN$40))+1,INT((ROW()-ROW($AE$2))/ROWS($AE$2:$AN$40))+1)</f>
        <v>0</v>
      </c>
      <c r="AA105">
        <f t="shared" ca="1" si="5"/>
        <v>336</v>
      </c>
      <c r="AB105" t="str" cm="1">
        <f t="array" aca="1" ref="AB105" ca="1">IFERROR(INDIRECT("$Z"&amp;AA105),"")</f>
        <v>029A_temperature_sensor</v>
      </c>
    </row>
    <row r="106" spans="5:28" x14ac:dyDescent="0.2">
      <c r="E106" t="str">
        <f ca="1"/>
        <v/>
      </c>
      <c r="F106" t="str">
        <f ca="1"/>
        <v/>
      </c>
      <c r="G106" t="str">
        <f ca="1"/>
        <v>029A_valve_position_sensor</v>
      </c>
      <c r="P106" cm="1">
        <f t="array" ref="P106">INDEX($B$2:$D$40,MOD(ROW()-ROW($B$2),ROWS($B$2:$D$40))+1,INT((ROW()-ROW($B$2))/ROWS($B$2:$D$40))+1)</f>
        <v>0</v>
      </c>
      <c r="Q106" t="e">
        <f t="shared" ca="1" si="3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4"/>
        <v>#N/A</v>
      </c>
      <c r="W106" t="str" cm="1">
        <f t="array" aca="1" ref="W106" ca="1">IFERROR(INDIRECT("$U"&amp;V106),"")</f>
        <v/>
      </c>
      <c r="Z106" cm="1">
        <f t="array" ref="Z106">INDEX($AE$2:$AN$40,MOD(ROW()-ROW($AE$2),ROWS($AE$2:$AN$40))+1,INT((ROW()-ROW($AE$2))/ROWS($AE$2:$AN$40))+1)</f>
        <v>0</v>
      </c>
      <c r="AA106">
        <f t="shared" ca="1" si="5"/>
        <v>337</v>
      </c>
      <c r="AB106" t="str" cm="1">
        <f t="array" aca="1" ref="AB106" ca="1">IFERROR(INDIRECT("$Z"&amp;AA106),"")</f>
        <v>029A_valve_position_sensor</v>
      </c>
    </row>
    <row r="107" spans="5:28" x14ac:dyDescent="0.2">
      <c r="E107" t="str">
        <f ca="1"/>
        <v/>
      </c>
      <c r="F107" t="str">
        <f ca="1"/>
        <v/>
      </c>
      <c r="G107" t="str">
        <f ca="1"/>
        <v>035A_co2_sensor</v>
      </c>
      <c r="P107" cm="1">
        <f t="array" ref="P107">INDEX($B$2:$D$40,MOD(ROW()-ROW($B$2),ROWS($B$2:$D$40))+1,INT((ROW()-ROW($B$2))/ROWS($B$2:$D$40))+1)</f>
        <v>0</v>
      </c>
      <c r="Q107" t="e">
        <f t="shared" ca="1" si="3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4"/>
        <v>#N/A</v>
      </c>
      <c r="W107" t="str" cm="1">
        <f t="array" aca="1" ref="W107" ca="1">IFERROR(INDIRECT("$U"&amp;V107),"")</f>
        <v/>
      </c>
      <c r="Z107" cm="1">
        <f t="array" ref="Z107">INDEX($AE$2:$AN$40,MOD(ROW()-ROW($AE$2),ROWS($AE$2:$AN$40))+1,INT((ROW()-ROW($AE$2))/ROWS($AE$2:$AN$40))+1)</f>
        <v>0</v>
      </c>
      <c r="AA107">
        <f t="shared" ca="1" si="5"/>
        <v>338</v>
      </c>
      <c r="AB107" t="str" cm="1">
        <f t="array" aca="1" ref="AB107" ca="1">IFERROR(INDIRECT("$Z"&amp;AA107),"")</f>
        <v>035A_co2_sensor</v>
      </c>
    </row>
    <row r="108" spans="5:28" x14ac:dyDescent="0.2">
      <c r="E108" t="str">
        <f ca="1"/>
        <v/>
      </c>
      <c r="F108" t="str">
        <f ca="1"/>
        <v/>
      </c>
      <c r="G108" t="str">
        <f ca="1"/>
        <v>035A_damper_position_sensor</v>
      </c>
      <c r="P108" cm="1">
        <f t="array" ref="P108">INDEX($B$2:$D$40,MOD(ROW()-ROW($B$2),ROWS($B$2:$D$40))+1,INT((ROW()-ROW($B$2))/ROWS($B$2:$D$40))+1)</f>
        <v>0</v>
      </c>
      <c r="Q108" t="e">
        <f t="shared" ca="1" si="3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4"/>
        <v>#N/A</v>
      </c>
      <c r="W108" t="str" cm="1">
        <f t="array" aca="1" ref="W108" ca="1">IFERROR(INDIRECT("$U"&amp;V108),"")</f>
        <v/>
      </c>
      <c r="Z108" cm="1">
        <f t="array" ref="Z108">INDEX($AE$2:$AN$40,MOD(ROW()-ROW($AE$2),ROWS($AE$2:$AN$40))+1,INT((ROW()-ROW($AE$2))/ROWS($AE$2:$AN$40))+1)</f>
        <v>0</v>
      </c>
      <c r="AA108">
        <f t="shared" ca="1" si="5"/>
        <v>339</v>
      </c>
      <c r="AB108" t="str" cm="1">
        <f t="array" aca="1" ref="AB108" ca="1">IFERROR(INDIRECT("$Z"&amp;AA108),"")</f>
        <v>035A_damper_position_sensor</v>
      </c>
    </row>
    <row r="109" spans="5:28" x14ac:dyDescent="0.2">
      <c r="E109" t="str">
        <f ca="1"/>
        <v/>
      </c>
      <c r="F109" t="str">
        <f ca="1"/>
        <v/>
      </c>
      <c r="G109" t="str">
        <f ca="1"/>
        <v>035A_temperature_sensor</v>
      </c>
      <c r="P109" cm="1">
        <f t="array" ref="P109">INDEX($B$2:$D$40,MOD(ROW()-ROW($B$2),ROWS($B$2:$D$40))+1,INT((ROW()-ROW($B$2))/ROWS($B$2:$D$40))+1)</f>
        <v>0</v>
      </c>
      <c r="Q109" t="e">
        <f t="shared" ca="1" si="3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4"/>
        <v>#N/A</v>
      </c>
      <c r="W109" t="str" cm="1">
        <f t="array" aca="1" ref="W109" ca="1">IFERROR(INDIRECT("$U"&amp;V109),"")</f>
        <v/>
      </c>
      <c r="Z109" cm="1">
        <f t="array" ref="Z109">INDEX($AE$2:$AN$40,MOD(ROW()-ROW($AE$2),ROWS($AE$2:$AN$40))+1,INT((ROW()-ROW($AE$2))/ROWS($AE$2:$AN$40))+1)</f>
        <v>0</v>
      </c>
      <c r="AA109">
        <f t="shared" ca="1" si="5"/>
        <v>340</v>
      </c>
      <c r="AB109" t="str" cm="1">
        <f t="array" aca="1" ref="AB109" ca="1">IFERROR(INDIRECT("$Z"&amp;AA109),"")</f>
        <v>035A_temperature_sensor</v>
      </c>
    </row>
    <row r="110" spans="5:28" x14ac:dyDescent="0.2">
      <c r="E110" t="str">
        <f ca="1"/>
        <v/>
      </c>
      <c r="F110" t="str">
        <f ca="1"/>
        <v/>
      </c>
      <c r="G110" t="str">
        <f ca="1"/>
        <v>035A_valve_position_sensor</v>
      </c>
      <c r="P110" cm="1">
        <f t="array" ref="P110">INDEX($B$2:$D$40,MOD(ROW()-ROW($B$2),ROWS($B$2:$D$40))+1,INT((ROW()-ROW($B$2))/ROWS($B$2:$D$40))+1)</f>
        <v>0</v>
      </c>
      <c r="Q110" t="e">
        <f t="shared" ca="1" si="3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4"/>
        <v>#N/A</v>
      </c>
      <c r="W110" t="str" cm="1">
        <f t="array" aca="1" ref="W110" ca="1">IFERROR(INDIRECT("$U"&amp;V110),"")</f>
        <v/>
      </c>
      <c r="Z110" cm="1">
        <f t="array" ref="Z110">INDEX($AE$2:$AN$40,MOD(ROW()-ROW($AE$2),ROWS($AE$2:$AN$40))+1,INT((ROW()-ROW($AE$2))/ROWS($AE$2:$AN$40))+1)</f>
        <v>0</v>
      </c>
      <c r="AA110">
        <f t="shared" ca="1" si="5"/>
        <v>341</v>
      </c>
      <c r="AB110" t="str" cm="1">
        <f t="array" aca="1" ref="AB110" ca="1">IFERROR(INDIRECT("$Z"&amp;AA110),"")</f>
        <v>035A_valve_position_sensor</v>
      </c>
    </row>
    <row r="111" spans="5:28" x14ac:dyDescent="0.2">
      <c r="E111" t="str">
        <f ca="1"/>
        <v/>
      </c>
      <c r="F111" t="str">
        <f ca="1"/>
        <v/>
      </c>
      <c r="G111" t="str">
        <f ca="1"/>
        <v>020A_co2_sensor</v>
      </c>
      <c r="P111" cm="1">
        <f t="array" ref="P111">INDEX($B$2:$D$40,MOD(ROW()-ROW($B$2),ROWS($B$2:$D$40))+1,INT((ROW()-ROW($B$2))/ROWS($B$2:$D$40))+1)</f>
        <v>0</v>
      </c>
      <c r="Q111" t="e">
        <f t="shared" ca="1" si="3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4"/>
        <v>#N/A</v>
      </c>
      <c r="W111" t="str" cm="1">
        <f t="array" aca="1" ref="W111" ca="1">IFERROR(INDIRECT("$U"&amp;V111),"")</f>
        <v/>
      </c>
      <c r="Z111" cm="1">
        <f t="array" ref="Z111">INDEX($AE$2:$AN$40,MOD(ROW()-ROW($AE$2),ROWS($AE$2:$AN$40))+1,INT((ROW()-ROW($AE$2))/ROWS($AE$2:$AN$40))+1)</f>
        <v>0</v>
      </c>
      <c r="AA111">
        <f t="shared" ca="1" si="5"/>
        <v>342</v>
      </c>
      <c r="AB111" t="str" cm="1">
        <f t="array" aca="1" ref="AB111" ca="1">IFERROR(INDIRECT("$Z"&amp;AA111),"")</f>
        <v>020A_co2_sensor</v>
      </c>
    </row>
    <row r="112" spans="5:28" x14ac:dyDescent="0.2">
      <c r="E112" t="str">
        <f ca="1"/>
        <v/>
      </c>
      <c r="F112" t="str">
        <f ca="1"/>
        <v/>
      </c>
      <c r="G112" t="str">
        <f ca="1"/>
        <v>020A_damper_position_sensor</v>
      </c>
      <c r="P112" cm="1">
        <f t="array" ref="P112">INDEX($B$2:$D$40,MOD(ROW()-ROW($B$2),ROWS($B$2:$D$40))+1,INT((ROW()-ROW($B$2))/ROWS($B$2:$D$40))+1)</f>
        <v>0</v>
      </c>
      <c r="Q112" t="e">
        <f t="shared" ca="1" si="3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4"/>
        <v>#N/A</v>
      </c>
      <c r="W112" t="str" cm="1">
        <f t="array" aca="1" ref="W112" ca="1">IFERROR(INDIRECT("$U"&amp;V112),"")</f>
        <v/>
      </c>
      <c r="Z112" cm="1">
        <f t="array" ref="Z112">INDEX($AE$2:$AN$40,MOD(ROW()-ROW($AE$2),ROWS($AE$2:$AN$40))+1,INT((ROW()-ROW($AE$2))/ROWS($AE$2:$AN$40))+1)</f>
        <v>0</v>
      </c>
      <c r="AA112">
        <f t="shared" ca="1" si="5"/>
        <v>343</v>
      </c>
      <c r="AB112" t="str" cm="1">
        <f t="array" aca="1" ref="AB112" ca="1">IFERROR(INDIRECT("$Z"&amp;AA112),"")</f>
        <v>020A_damper_position_sensor</v>
      </c>
    </row>
    <row r="113" spans="5:28" x14ac:dyDescent="0.2">
      <c r="E113" t="str">
        <f ca="1"/>
        <v/>
      </c>
      <c r="F113" t="str">
        <f ca="1"/>
        <v/>
      </c>
      <c r="G113" t="str">
        <f ca="1"/>
        <v>020A_temperature_sensor</v>
      </c>
      <c r="P113" cm="1">
        <f t="array" ref="P113">INDEX($B$2:$D$40,MOD(ROW()-ROW($B$2),ROWS($B$2:$D$40))+1,INT((ROW()-ROW($B$2))/ROWS($B$2:$D$40))+1)</f>
        <v>0</v>
      </c>
      <c r="Q113" t="e">
        <f t="shared" ca="1" si="3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4"/>
        <v>#N/A</v>
      </c>
      <c r="W113" t="str" cm="1">
        <f t="array" aca="1" ref="W113" ca="1">IFERROR(INDIRECT("$U"&amp;V113),"")</f>
        <v/>
      </c>
      <c r="Z113" cm="1">
        <f t="array" ref="Z113">INDEX($AE$2:$AN$40,MOD(ROW()-ROW($AE$2),ROWS($AE$2:$AN$40))+1,INT((ROW()-ROW($AE$2))/ROWS($AE$2:$AN$40))+1)</f>
        <v>0</v>
      </c>
      <c r="AA113">
        <f t="shared" ca="1" si="5"/>
        <v>344</v>
      </c>
      <c r="AB113" t="str" cm="1">
        <f t="array" aca="1" ref="AB113" ca="1">IFERROR(INDIRECT("$Z"&amp;AA113),"")</f>
        <v>020A_temperature_sensor</v>
      </c>
    </row>
    <row r="114" spans="5:28" x14ac:dyDescent="0.2">
      <c r="E114" t="str">
        <f ca="1"/>
        <v/>
      </c>
      <c r="F114" t="str">
        <f ca="1"/>
        <v/>
      </c>
      <c r="G114" t="str">
        <f ca="1"/>
        <v>020A_valve_position_sensor</v>
      </c>
      <c r="P114" cm="1">
        <f t="array" ref="P114">INDEX($B$2:$D$40,MOD(ROW()-ROW($B$2),ROWS($B$2:$D$40))+1,INT((ROW()-ROW($B$2))/ROWS($B$2:$D$40))+1)</f>
        <v>0</v>
      </c>
      <c r="Q114" t="e">
        <f t="shared" ca="1" si="3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4"/>
        <v>#N/A</v>
      </c>
      <c r="W114" t="str" cm="1">
        <f t="array" aca="1" ref="W114" ca="1">IFERROR(INDIRECT("$U"&amp;V114),"")</f>
        <v/>
      </c>
      <c r="Z114" cm="1">
        <f t="array" ref="Z114">INDEX($AE$2:$AN$40,MOD(ROW()-ROW($AE$2),ROWS($AE$2:$AN$40))+1,INT((ROW()-ROW($AE$2))/ROWS($AE$2:$AN$40))+1)</f>
        <v>0</v>
      </c>
      <c r="AA114">
        <f t="shared" ca="1" si="5"/>
        <v>345</v>
      </c>
      <c r="AB114" t="str" cm="1">
        <f t="array" aca="1" ref="AB114" ca="1">IFERROR(INDIRECT("$Z"&amp;AA114),"")</f>
        <v>020A_valve_position_sensor</v>
      </c>
    </row>
    <row r="115" spans="5:28" x14ac:dyDescent="0.2">
      <c r="E115" t="str">
        <f ca="1"/>
        <v/>
      </c>
      <c r="F115" t="str">
        <f ca="1"/>
        <v/>
      </c>
      <c r="G115" t="str">
        <f ca="1"/>
        <v>015A_co2_sensor</v>
      </c>
      <c r="P115" cm="1">
        <f t="array" ref="P115">INDEX($B$2:$D$40,MOD(ROW()-ROW($B$2),ROWS($B$2:$D$40))+1,INT((ROW()-ROW($B$2))/ROWS($B$2:$D$40))+1)</f>
        <v>0</v>
      </c>
      <c r="Q115" t="e">
        <f t="shared" ca="1" si="3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4"/>
        <v>#N/A</v>
      </c>
      <c r="W115" t="str" cm="1">
        <f t="array" aca="1" ref="W115" ca="1">IFERROR(INDIRECT("$U"&amp;V115),"")</f>
        <v/>
      </c>
      <c r="Z115" cm="1">
        <f t="array" ref="Z115">INDEX($AE$2:$AN$40,MOD(ROW()-ROW($AE$2),ROWS($AE$2:$AN$40))+1,INT((ROW()-ROW($AE$2))/ROWS($AE$2:$AN$40))+1)</f>
        <v>0</v>
      </c>
      <c r="AA115">
        <f t="shared" ca="1" si="5"/>
        <v>346</v>
      </c>
      <c r="AB115" t="str" cm="1">
        <f t="array" aca="1" ref="AB115" ca="1">IFERROR(INDIRECT("$Z"&amp;AA115),"")</f>
        <v>015A_co2_sensor</v>
      </c>
    </row>
    <row r="116" spans="5:28" x14ac:dyDescent="0.2">
      <c r="E116" t="str">
        <f ca="1"/>
        <v/>
      </c>
      <c r="F116" t="str">
        <f ca="1"/>
        <v/>
      </c>
      <c r="G116" t="str">
        <f ca="1"/>
        <v>015A_damper_position_sensor</v>
      </c>
      <c r="P116" cm="1">
        <f t="array" ref="P116">INDEX($B$2:$D$40,MOD(ROW()-ROW($B$2),ROWS($B$2:$D$40))+1,INT((ROW()-ROW($B$2))/ROWS($B$2:$D$40))+1)</f>
        <v>0</v>
      </c>
      <c r="Q116" t="e">
        <f t="shared" ca="1" si="3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4"/>
        <v>#N/A</v>
      </c>
      <c r="W116" t="str" cm="1">
        <f t="array" aca="1" ref="W116" ca="1">IFERROR(INDIRECT("$U"&amp;V116),"")</f>
        <v/>
      </c>
      <c r="Z116" cm="1">
        <f t="array" ref="Z116">INDEX($AE$2:$AN$40,MOD(ROW()-ROW($AE$2),ROWS($AE$2:$AN$40))+1,INT((ROW()-ROW($AE$2))/ROWS($AE$2:$AN$40))+1)</f>
        <v>0</v>
      </c>
      <c r="AA116">
        <f t="shared" ca="1" si="5"/>
        <v>347</v>
      </c>
      <c r="AB116" t="str" cm="1">
        <f t="array" aca="1" ref="AB116" ca="1">IFERROR(INDIRECT("$Z"&amp;AA116),"")</f>
        <v>015A_damper_position_sensor</v>
      </c>
    </row>
    <row r="117" spans="5:28" x14ac:dyDescent="0.2">
      <c r="E117" t="str">
        <f ca="1"/>
        <v/>
      </c>
      <c r="F117" t="str">
        <f ca="1"/>
        <v/>
      </c>
      <c r="G117" t="str">
        <f ca="1"/>
        <v>015A_temperature_sensor</v>
      </c>
      <c r="P117" cm="1">
        <f t="array" ref="P117">INDEX($B$2:$D$40,MOD(ROW()-ROW($B$2),ROWS($B$2:$D$40))+1,INT((ROW()-ROW($B$2))/ROWS($B$2:$D$40))+1)</f>
        <v>0</v>
      </c>
      <c r="Q117" t="e">
        <f t="shared" ca="1" si="3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4"/>
        <v>#N/A</v>
      </c>
      <c r="W117" t="str" cm="1">
        <f t="array" aca="1" ref="W117" ca="1">IFERROR(INDIRECT("$U"&amp;V117),"")</f>
        <v/>
      </c>
      <c r="Z117" cm="1">
        <f t="array" ref="Z117">INDEX($AE$2:$AN$40,MOD(ROW()-ROW($AE$2),ROWS($AE$2:$AN$40))+1,INT((ROW()-ROW($AE$2))/ROWS($AE$2:$AN$40))+1)</f>
        <v>0</v>
      </c>
      <c r="AA117">
        <f t="shared" ca="1" si="5"/>
        <v>348</v>
      </c>
      <c r="AB117" t="str" cm="1">
        <f t="array" aca="1" ref="AB117" ca="1">IFERROR(INDIRECT("$Z"&amp;AA117),"")</f>
        <v>015A_temperature_sensor</v>
      </c>
    </row>
    <row r="118" spans="5:28" x14ac:dyDescent="0.2">
      <c r="E118" t="str">
        <f ca="1"/>
        <v/>
      </c>
      <c r="F118" t="str">
        <f ca="1"/>
        <v/>
      </c>
      <c r="G118" t="str">
        <f ca="1"/>
        <v>015A_valve_position_sensor</v>
      </c>
      <c r="P118" cm="1">
        <f t="array" ref="P118">INDEX($B$2:$D$40,MOD(ROW()-ROW($B$2),ROWS($B$2:$D$40))+1,INT((ROW()-ROW($B$2))/ROWS($B$2:$D$40))+1)</f>
        <v>0</v>
      </c>
      <c r="Q118" t="e">
        <f t="shared" ca="1" si="3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4"/>
        <v>#N/A</v>
      </c>
      <c r="W118" t="str" cm="1">
        <f t="array" aca="1" ref="W118" ca="1">IFERROR(INDIRECT("$U"&amp;V118),"")</f>
        <v/>
      </c>
      <c r="Z118" cm="1">
        <f t="array" ref="Z118">INDEX($AE$2:$AN$40,MOD(ROW()-ROW($AE$2),ROWS($AE$2:$AN$40))+1,INT((ROW()-ROW($AE$2))/ROWS($AE$2:$AN$40))+1)</f>
        <v>0</v>
      </c>
      <c r="AA118">
        <f t="shared" ca="1" si="5"/>
        <v>349</v>
      </c>
      <c r="AB118" t="str" cm="1">
        <f t="array" aca="1" ref="AB118" ca="1">IFERROR(INDIRECT("$Z"&amp;AA118),"")</f>
        <v>015A_valve_position_sensor</v>
      </c>
    </row>
    <row r="119" spans="5:28" x14ac:dyDescent="0.2">
      <c r="E119" t="str">
        <f ca="1"/>
        <v/>
      </c>
      <c r="F119" t="str">
        <f ca="1"/>
        <v/>
      </c>
      <c r="G119" t="str">
        <f ca="1"/>
        <v>020B_co2_sensor</v>
      </c>
      <c r="P119" t="e" cm="1">
        <f t="array" ref="P119">INDEX($B$2:$D$40,MOD(ROW()-ROW($B$2),ROWS($B$2:$D$40))+1,INT((ROW()-ROW($B$2))/ROWS($B$2:$D$40))+1)</f>
        <v>#REF!</v>
      </c>
      <c r="Q119" t="e">
        <f t="shared" ca="1" si="3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4"/>
        <v>#N/A</v>
      </c>
      <c r="W119" t="str" cm="1">
        <f t="array" aca="1" ref="W119" ca="1">IFERROR(INDIRECT("$U"&amp;V119),"")</f>
        <v/>
      </c>
      <c r="Z119" t="str" cm="1">
        <f t="array" aca="1" ref="Z119" ca="1">INDEX($AE$2:$AN$40,MOD(ROW()-ROW($AE$2),ROWS($AE$2:$AN$40))+1,INT((ROW()-ROW($AE$2))/ROWS($AE$2:$AN$40))+1)</f>
        <v>033A_space_heater_valve</v>
      </c>
      <c r="AA119">
        <f t="shared" ca="1" si="5"/>
        <v>350</v>
      </c>
      <c r="AB119" t="str" cm="1">
        <f t="array" aca="1" ref="AB119" ca="1">IFERROR(INDIRECT("$Z"&amp;AA119),"")</f>
        <v>020B_co2_sensor</v>
      </c>
    </row>
    <row r="120" spans="5:28" x14ac:dyDescent="0.2">
      <c r="E120" t="str">
        <f ca="1"/>
        <v/>
      </c>
      <c r="F120" t="str">
        <f ca="1"/>
        <v/>
      </c>
      <c r="G120" t="str">
        <f ca="1"/>
        <v>020B_damper_position_sensor</v>
      </c>
      <c r="P120" t="e" cm="1">
        <f t="array" ref="P120">INDEX($B$2:$D$40,MOD(ROW()-ROW($B$2),ROWS($B$2:$D$40))+1,INT((ROW()-ROW($B$2))/ROWS($B$2:$D$40))+1)</f>
        <v>#REF!</v>
      </c>
      <c r="Q120" t="e">
        <f t="shared" ca="1" si="3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4"/>
        <v>#N/A</v>
      </c>
      <c r="W120" t="str" cm="1">
        <f t="array" aca="1" ref="W120" ca="1">IFERROR(INDIRECT("$U"&amp;V120),"")</f>
        <v/>
      </c>
      <c r="Z120" t="str" cm="1">
        <f t="array" aca="1" ref="Z120" ca="1">INDEX($AE$2:$AN$40,MOD(ROW()-ROW($AE$2),ROWS($AE$2:$AN$40))+1,INT((ROW()-ROW($AE$2))/ROWS($AE$2:$AN$40))+1)</f>
        <v>031A_space_heater_valve</v>
      </c>
      <c r="AA120">
        <f t="shared" ca="1" si="5"/>
        <v>351</v>
      </c>
      <c r="AB120" t="str" cm="1">
        <f t="array" aca="1" ref="AB120" ca="1">IFERROR(INDIRECT("$Z"&amp;AA120),"")</f>
        <v>020B_damper_position_sensor</v>
      </c>
    </row>
    <row r="121" spans="5:28" x14ac:dyDescent="0.2">
      <c r="E121" t="str">
        <f ca="1"/>
        <v/>
      </c>
      <c r="F121" t="str">
        <f ca="1"/>
        <v/>
      </c>
      <c r="G121" t="str">
        <f ca="1"/>
        <v>020B_temperature_sensor</v>
      </c>
      <c r="P121" t="e" cm="1">
        <f t="array" ref="P121">INDEX($B$2:$D$40,MOD(ROW()-ROW($B$2),ROWS($B$2:$D$40))+1,INT((ROW()-ROW($B$2))/ROWS($B$2:$D$40))+1)</f>
        <v>#REF!</v>
      </c>
      <c r="Q121" t="e">
        <f t="shared" ca="1" si="3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4"/>
        <v>#N/A</v>
      </c>
      <c r="W121" t="str" cm="1">
        <f t="array" aca="1" ref="W121" ca="1">IFERROR(INDIRECT("$U"&amp;V121),"")</f>
        <v/>
      </c>
      <c r="Z121" t="str" cm="1">
        <f t="array" aca="1" ref="Z121" ca="1">INDEX($AE$2:$AN$40,MOD(ROW()-ROW($AE$2),ROWS($AE$2:$AN$40))+1,INT((ROW()-ROW($AE$2))/ROWS($AE$2:$AN$40))+1)</f>
        <v>035A_space_heater_valve</v>
      </c>
      <c r="AA121">
        <f t="shared" ca="1" si="5"/>
        <v>352</v>
      </c>
      <c r="AB121" t="str" cm="1">
        <f t="array" aca="1" ref="AB121" ca="1">IFERROR(INDIRECT("$Z"&amp;AA121),"")</f>
        <v>020B_temperature_sensor</v>
      </c>
    </row>
    <row r="122" spans="5:28" x14ac:dyDescent="0.2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3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4"/>
        <v>#N/A</v>
      </c>
      <c r="W122" t="str" cm="1">
        <f t="array" aca="1" ref="W122" ca="1">IFERROR(INDIRECT("$U"&amp;V122),"")</f>
        <v/>
      </c>
      <c r="Z122" t="str" cm="1">
        <f t="array" aca="1" ref="Z122" ca="1">INDEX($AE$2:$AN$40,MOD(ROW()-ROW($AE$2),ROWS($AE$2:$AN$40))+1,INT((ROW()-ROW($AE$2))/ROWS($AE$2:$AN$40))+1)</f>
        <v>029A_space_heater_valve</v>
      </c>
      <c r="AA122" t="e">
        <f t="shared" ca="1" si="5"/>
        <v>#N/A</v>
      </c>
      <c r="AB122" t="str" cm="1">
        <f t="array" aca="1" ref="AB122" ca="1">IFERROR(INDIRECT("$Z"&amp;AA122),"")</f>
        <v/>
      </c>
    </row>
    <row r="123" spans="5:28" x14ac:dyDescent="0.2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3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4"/>
        <v>#N/A</v>
      </c>
      <c r="W123" t="str" cm="1">
        <f t="array" aca="1" ref="W123" ca="1">IFERROR(INDIRECT("$U"&amp;V123),"")</f>
        <v/>
      </c>
      <c r="Z123" t="str" cm="1">
        <f t="array" aca="1" ref="Z123" ca="1">INDEX($AE$2:$AN$40,MOD(ROW()-ROW($AE$2),ROWS($AE$2:$AN$40))+1,INT((ROW()-ROW($AE$2))/ROWS($AE$2:$AN$40))+1)</f>
        <v>020A_space_heater_valve</v>
      </c>
      <c r="AA123" t="e">
        <f t="shared" ca="1" si="5"/>
        <v>#N/A</v>
      </c>
      <c r="AB123" t="str" cm="1">
        <f t="array" aca="1" ref="AB123" ca="1">IFERROR(INDIRECT("$Z"&amp;AA123),"")</f>
        <v/>
      </c>
    </row>
    <row r="124" spans="5:28" x14ac:dyDescent="0.2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3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4"/>
        <v>#N/A</v>
      </c>
      <c r="W124" t="str" cm="1">
        <f t="array" aca="1" ref="W124" ca="1">IFERROR(INDIRECT("$U"&amp;V124),"")</f>
        <v/>
      </c>
      <c r="Z124" t="str" cm="1">
        <f t="array" aca="1" ref="Z124" ca="1">INDEX($AE$2:$AN$40,MOD(ROW()-ROW($AE$2),ROWS($AE$2:$AN$40))+1,INT((ROW()-ROW($AE$2))/ROWS($AE$2:$AN$40))+1)</f>
        <v>015A_space_heater_valve</v>
      </c>
      <c r="AA124" t="e">
        <f t="shared" ca="1" si="5"/>
        <v>#N/A</v>
      </c>
      <c r="AB124" t="str" cm="1">
        <f t="array" aca="1" ref="AB124" ca="1">IFERROR(INDIRECT("$Z"&amp;AA124),"")</f>
        <v/>
      </c>
    </row>
    <row r="125" spans="5:28" x14ac:dyDescent="0.2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3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4"/>
        <v>#N/A</v>
      </c>
      <c r="W125" t="str" cm="1">
        <f t="array" aca="1" ref="W125" ca="1">IFERROR(INDIRECT("$U"&amp;V125),"")</f>
        <v/>
      </c>
      <c r="Z125" t="str" cm="1">
        <f t="array" aca="1" ref="Z125" ca="1">INDEX($AE$2:$AN$40,MOD(ROW()-ROW($AE$2),ROWS($AE$2:$AN$40))+1,INT((ROW()-ROW($AE$2))/ROWS($AE$2:$AN$40))+1)</f>
        <v>020B_space_heater_valve</v>
      </c>
      <c r="AA125" t="e">
        <f t="shared" ca="1" si="5"/>
        <v>#N/A</v>
      </c>
      <c r="AB125" t="str" cm="1">
        <f t="array" aca="1" ref="AB125" ca="1">IFERROR(INDIRECT("$Z"&amp;AA125),"")</f>
        <v/>
      </c>
    </row>
    <row r="126" spans="5:28" x14ac:dyDescent="0.2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3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4"/>
        <v>#N/A</v>
      </c>
      <c r="W126" t="str" cm="1">
        <f t="array" aca="1" ref="W126" ca="1">IFERROR(INDIRECT("$U"&amp;V126),"")</f>
        <v/>
      </c>
      <c r="Z126" t="str" cm="1">
        <f t="array" aca="1" ref="Z126" ca="1">INDEX($AE$2:$AN$40,MOD(ROW()-ROW($AE$2),ROWS($AE$2:$AN$40))+1,INT((ROW()-ROW($AE$2))/ROWS($AE$2:$AN$40))+1)</f>
        <v>011A_space_heater_valve</v>
      </c>
      <c r="AA126" t="e">
        <f t="shared" ca="1" si="5"/>
        <v>#N/A</v>
      </c>
      <c r="AB126" t="str" cm="1">
        <f t="array" aca="1" ref="AB126" ca="1">IFERROR(INDIRECT("$Z"&amp;AA126),"")</f>
        <v/>
      </c>
    </row>
    <row r="127" spans="5:28" x14ac:dyDescent="0.2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3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4"/>
        <v>#N/A</v>
      </c>
      <c r="W127" t="str" cm="1">
        <f t="array" aca="1" ref="W127" ca="1">IFERROR(INDIRECT("$U"&amp;V127),"")</f>
        <v/>
      </c>
      <c r="Z127" t="str" cm="1">
        <f t="array" aca="1" ref="Z127" ca="1">INDEX($AE$2:$AN$40,MOD(ROW()-ROW($AE$2),ROWS($AE$2:$AN$40))+1,INT((ROW()-ROW($AE$2))/ROWS($AE$2:$AN$40))+1)</f>
        <v>013A_space_heater_valve</v>
      </c>
      <c r="AA127" t="e">
        <f t="shared" ca="1" si="5"/>
        <v>#N/A</v>
      </c>
      <c r="AB127" t="str" cm="1">
        <f t="array" aca="1" ref="AB127" ca="1">IFERROR(INDIRECT("$Z"&amp;AA127),"")</f>
        <v/>
      </c>
    </row>
    <row r="128" spans="5:28" x14ac:dyDescent="0.2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3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4"/>
        <v>#N/A</v>
      </c>
      <c r="W128" t="str" cm="1">
        <f t="array" aca="1" ref="W128" ca="1">IFERROR(INDIRECT("$U"&amp;V128),"")</f>
        <v/>
      </c>
      <c r="Z128" t="str" cm="1">
        <f t="array" aca="1" ref="Z128" ca="1">INDEX($AE$2:$AN$40,MOD(ROW()-ROW($AE$2),ROWS($AE$2:$AN$40))+1,INT((ROW()-ROW($AE$2))/ROWS($AE$2:$AN$40))+1)</f>
        <v>012A_space_heater_valve</v>
      </c>
      <c r="AA128" t="e">
        <f t="shared" ca="1" si="5"/>
        <v>#N/A</v>
      </c>
      <c r="AB128" t="str" cm="1">
        <f t="array" aca="1" ref="AB128" ca="1">IFERROR(INDIRECT("$Z"&amp;AA128),"")</f>
        <v/>
      </c>
    </row>
    <row r="129" spans="5:28" x14ac:dyDescent="0.2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3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4"/>
        <v>#N/A</v>
      </c>
      <c r="W129" t="str" cm="1">
        <f t="array" aca="1" ref="W129" ca="1">IFERROR(INDIRECT("$U"&amp;V129),"")</f>
        <v/>
      </c>
      <c r="Z129" t="str" cm="1">
        <f t="array" aca="1" ref="Z129" ca="1">INDEX($AE$2:$AN$40,MOD(ROW()-ROW($AE$2),ROWS($AE$2:$AN$40))+1,INT((ROW()-ROW($AE$2))/ROWS($AE$2:$AN$40))+1)</f>
        <v>008A_space_heater_valve</v>
      </c>
      <c r="AA129" t="e">
        <f t="shared" ca="1" si="5"/>
        <v>#N/A</v>
      </c>
      <c r="AB129" t="str" cm="1">
        <f t="array" aca="1" ref="AB129" ca="1">IFERROR(INDIRECT("$Z"&amp;AA129),"")</f>
        <v/>
      </c>
    </row>
    <row r="130" spans="5:28" x14ac:dyDescent="0.2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3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4"/>
        <v>#N/A</v>
      </c>
      <c r="W130" t="str" cm="1">
        <f t="array" aca="1" ref="W130" ca="1">IFERROR(INDIRECT("$U"&amp;V130),"")</f>
        <v/>
      </c>
      <c r="Z130" t="str" cm="1">
        <f t="array" aca="1" ref="Z130" ca="1">INDEX($AE$2:$AN$40,MOD(ROW()-ROW($AE$2),ROWS($AE$2:$AN$40))+1,INT((ROW()-ROW($AE$2))/ROWS($AE$2:$AN$40))+1)</f>
        <v>007A_space_heater_valve</v>
      </c>
      <c r="AA130" t="e">
        <f t="shared" ca="1" si="5"/>
        <v>#N/A</v>
      </c>
      <c r="AB130" t="str" cm="1">
        <f t="array" aca="1" ref="AB130" ca="1">IFERROR(INDIRECT("$Z"&amp;AA130),"")</f>
        <v/>
      </c>
    </row>
    <row r="131" spans="5:28" x14ac:dyDescent="0.2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3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4"/>
        <v>#N/A</v>
      </c>
      <c r="W131" t="str" cm="1">
        <f t="array" aca="1" ref="W131" ca="1">IFERROR(INDIRECT("$U"&amp;V131),"")</f>
        <v/>
      </c>
      <c r="Z131" cm="1">
        <f t="array" ref="Z131">INDEX($AE$2:$AN$40,MOD(ROW()-ROW($AE$2),ROWS($AE$2:$AN$40))+1,INT((ROW()-ROW($AE$2))/ROWS($AE$2:$AN$40))+1)</f>
        <v>0</v>
      </c>
      <c r="AA131" t="e">
        <f t="shared" ca="1" si="5"/>
        <v>#N/A</v>
      </c>
      <c r="AB131" t="str" cm="1">
        <f t="array" aca="1" ref="AB131" ca="1">IFERROR(INDIRECT("$Z"&amp;AA131),"")</f>
        <v/>
      </c>
    </row>
    <row r="132" spans="5:28" x14ac:dyDescent="0.2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6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7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INDEX($AE$2:$AN$40,MOD(ROW()-ROW($AE$2),ROWS($AE$2:$AN$40))+1,INT((ROW()-ROW($AE$2))/ROWS($AE$2:$AN$40))+1)</f>
        <v>0</v>
      </c>
      <c r="AA132" t="e">
        <f t="shared" ref="AA132:AA195" ca="1" si="8">MATCH("*",INDIRECT(ADDRESS(AA131+1,26,1)&amp;":$Z$1000"),0)+AA131</f>
        <v>#N/A</v>
      </c>
      <c r="AB132" t="str" cm="1">
        <f t="array" aca="1" ref="AB132" ca="1">IFERROR(INDIRECT("$Z"&amp;AA132),"")</f>
        <v/>
      </c>
    </row>
    <row r="133" spans="5:28" x14ac:dyDescent="0.2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6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7"/>
        <v>#N/A</v>
      </c>
      <c r="W133" t="str" cm="1">
        <f t="array" aca="1" ref="W133" ca="1">IFERROR(INDIRECT("$U"&amp;V133),"")</f>
        <v/>
      </c>
      <c r="Z133" cm="1">
        <f t="array" ref="Z133">INDEX($AE$2:$AN$40,MOD(ROW()-ROW($AE$2),ROWS($AE$2:$AN$40))+1,INT((ROW()-ROW($AE$2))/ROWS($AE$2:$AN$40))+1)</f>
        <v>0</v>
      </c>
      <c r="AA133" t="e">
        <f t="shared" ca="1" si="8"/>
        <v>#N/A</v>
      </c>
      <c r="AB133" t="str" cm="1">
        <f t="array" aca="1" ref="AB133" ca="1">IFERROR(INDIRECT("$Z"&amp;AA133),"")</f>
        <v/>
      </c>
    </row>
    <row r="134" spans="5:28" x14ac:dyDescent="0.2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6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7"/>
        <v>#N/A</v>
      </c>
      <c r="W134" t="str" cm="1">
        <f t="array" aca="1" ref="W134" ca="1">IFERROR(INDIRECT("$U"&amp;V134),"")</f>
        <v/>
      </c>
      <c r="Z134" cm="1">
        <f t="array" ref="Z134">INDEX($AE$2:$AN$40,MOD(ROW()-ROW($AE$2),ROWS($AE$2:$AN$40))+1,INT((ROW()-ROW($AE$2))/ROWS($AE$2:$AN$40))+1)</f>
        <v>0</v>
      </c>
      <c r="AA134" t="e">
        <f t="shared" ca="1" si="8"/>
        <v>#N/A</v>
      </c>
      <c r="AB134" t="str" cm="1">
        <f t="array" aca="1" ref="AB134" ca="1">IFERROR(INDIRECT("$Z"&amp;AA134),"")</f>
        <v/>
      </c>
    </row>
    <row r="135" spans="5:28" x14ac:dyDescent="0.2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6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7"/>
        <v>#N/A</v>
      </c>
      <c r="W135" t="str" cm="1">
        <f t="array" aca="1" ref="W135" ca="1">IFERROR(INDIRECT("$U"&amp;V135),"")</f>
        <v/>
      </c>
      <c r="Z135" cm="1">
        <f t="array" ref="Z135">INDEX($AE$2:$AN$40,MOD(ROW()-ROW($AE$2),ROWS($AE$2:$AN$40))+1,INT((ROW()-ROW($AE$2))/ROWS($AE$2:$AN$40))+1)</f>
        <v>0</v>
      </c>
      <c r="AA135" t="e">
        <f t="shared" ca="1" si="8"/>
        <v>#N/A</v>
      </c>
      <c r="AB135" t="str" cm="1">
        <f t="array" aca="1" ref="AB135" ca="1">IFERROR(INDIRECT("$Z"&amp;AA135),"")</f>
        <v/>
      </c>
    </row>
    <row r="136" spans="5:28" x14ac:dyDescent="0.2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6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7"/>
        <v>#N/A</v>
      </c>
      <c r="W136" t="str" cm="1">
        <f t="array" aca="1" ref="W136" ca="1">IFERROR(INDIRECT("$U"&amp;V136),"")</f>
        <v/>
      </c>
      <c r="Z136" cm="1">
        <f t="array" ref="Z136">INDEX($AE$2:$AN$40,MOD(ROW()-ROW($AE$2),ROWS($AE$2:$AN$40))+1,INT((ROW()-ROW($AE$2))/ROWS($AE$2:$AN$40))+1)</f>
        <v>0</v>
      </c>
      <c r="AA136" t="e">
        <f t="shared" ca="1" si="8"/>
        <v>#N/A</v>
      </c>
      <c r="AB136" t="str" cm="1">
        <f t="array" aca="1" ref="AB136" ca="1">IFERROR(INDIRECT("$Z"&amp;AA136),"")</f>
        <v/>
      </c>
    </row>
    <row r="137" spans="5:28" x14ac:dyDescent="0.2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6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7"/>
        <v>#N/A</v>
      </c>
      <c r="W137" t="str" cm="1">
        <f t="array" aca="1" ref="W137" ca="1">IFERROR(INDIRECT("$U"&amp;V137),"")</f>
        <v/>
      </c>
      <c r="Z137" cm="1">
        <f t="array" ref="Z137">INDEX($AE$2:$AN$40,MOD(ROW()-ROW($AE$2),ROWS($AE$2:$AN$40))+1,INT((ROW()-ROW($AE$2))/ROWS($AE$2:$AN$40))+1)</f>
        <v>0</v>
      </c>
      <c r="AA137" t="e">
        <f t="shared" ca="1" si="8"/>
        <v>#N/A</v>
      </c>
      <c r="AB137" t="str" cm="1">
        <f t="array" aca="1" ref="AB137" ca="1">IFERROR(INDIRECT("$Z"&amp;AA137),"")</f>
        <v/>
      </c>
    </row>
    <row r="138" spans="5:28" x14ac:dyDescent="0.2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6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7"/>
        <v>#N/A</v>
      </c>
      <c r="W138" t="str" cm="1">
        <f t="array" aca="1" ref="W138" ca="1">IFERROR(INDIRECT("$U"&amp;V138),"")</f>
        <v/>
      </c>
      <c r="Z138" cm="1">
        <f t="array" ref="Z138">INDEX($AE$2:$AN$40,MOD(ROW()-ROW($AE$2),ROWS($AE$2:$AN$40))+1,INT((ROW()-ROW($AE$2))/ROWS($AE$2:$AN$40))+1)</f>
        <v>0</v>
      </c>
      <c r="AA138" t="e">
        <f t="shared" ca="1" si="8"/>
        <v>#N/A</v>
      </c>
      <c r="AB138" t="str" cm="1">
        <f t="array" aca="1" ref="AB138" ca="1">IFERROR(INDIRECT("$Z"&amp;AA138),"")</f>
        <v/>
      </c>
    </row>
    <row r="139" spans="5:28" x14ac:dyDescent="0.2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6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7"/>
        <v>#N/A</v>
      </c>
      <c r="W139" t="str" cm="1">
        <f t="array" aca="1" ref="W139" ca="1">IFERROR(INDIRECT("$U"&amp;V139),"")</f>
        <v/>
      </c>
      <c r="Z139" cm="1">
        <f t="array" ref="Z139">INDEX($AE$2:$AN$40,MOD(ROW()-ROW($AE$2),ROWS($AE$2:$AN$40))+1,INT((ROW()-ROW($AE$2))/ROWS($AE$2:$AN$40))+1)</f>
        <v>0</v>
      </c>
      <c r="AA139" t="e">
        <f t="shared" ca="1" si="8"/>
        <v>#N/A</v>
      </c>
      <c r="AB139" t="str" cm="1">
        <f t="array" aca="1" ref="AB139" ca="1">IFERROR(INDIRECT("$Z"&amp;AA139),"")</f>
        <v/>
      </c>
    </row>
    <row r="140" spans="5:28" x14ac:dyDescent="0.2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6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7"/>
        <v>#N/A</v>
      </c>
      <c r="W140" t="str" cm="1">
        <f t="array" aca="1" ref="W140" ca="1">IFERROR(INDIRECT("$U"&amp;V140),"")</f>
        <v/>
      </c>
      <c r="Z140" cm="1">
        <f t="array" ref="Z140">INDEX($AE$2:$AN$40,MOD(ROW()-ROW($AE$2),ROWS($AE$2:$AN$40))+1,INT((ROW()-ROW($AE$2))/ROWS($AE$2:$AN$40))+1)</f>
        <v>0</v>
      </c>
      <c r="AA140" t="e">
        <f t="shared" ca="1" si="8"/>
        <v>#N/A</v>
      </c>
      <c r="AB140" t="str" cm="1">
        <f t="array" aca="1" ref="AB140" ca="1">IFERROR(INDIRECT("$Z"&amp;AA140),"")</f>
        <v/>
      </c>
    </row>
    <row r="141" spans="5:28" x14ac:dyDescent="0.2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6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7"/>
        <v>#N/A</v>
      </c>
      <c r="W141" t="str" cm="1">
        <f t="array" aca="1" ref="W141" ca="1">IFERROR(INDIRECT("$U"&amp;V141),"")</f>
        <v/>
      </c>
      <c r="Z141" cm="1">
        <f t="array" ref="Z141">INDEX($AE$2:$AN$40,MOD(ROW()-ROW($AE$2),ROWS($AE$2:$AN$40))+1,INT((ROW()-ROW($AE$2))/ROWS($AE$2:$AN$40))+1)</f>
        <v>0</v>
      </c>
      <c r="AA141" t="e">
        <f t="shared" ca="1" si="8"/>
        <v>#N/A</v>
      </c>
      <c r="AB141" t="str" cm="1">
        <f t="array" aca="1" ref="AB141" ca="1">IFERROR(INDIRECT("$Z"&amp;AA141),"")</f>
        <v/>
      </c>
    </row>
    <row r="142" spans="5:28" x14ac:dyDescent="0.2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6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7"/>
        <v>#N/A</v>
      </c>
      <c r="W142" t="str" cm="1">
        <f t="array" aca="1" ref="W142" ca="1">IFERROR(INDIRECT("$U"&amp;V142),"")</f>
        <v/>
      </c>
      <c r="Z142" cm="1">
        <f t="array" ref="Z142">INDEX($AE$2:$AN$40,MOD(ROW()-ROW($AE$2),ROWS($AE$2:$AN$40))+1,INT((ROW()-ROW($AE$2))/ROWS($AE$2:$AN$40))+1)</f>
        <v>0</v>
      </c>
      <c r="AA142" t="e">
        <f t="shared" ca="1" si="8"/>
        <v>#N/A</v>
      </c>
      <c r="AB142" t="str" cm="1">
        <f t="array" aca="1" ref="AB142" ca="1">IFERROR(INDIRECT("$Z"&amp;AA142),"")</f>
        <v/>
      </c>
    </row>
    <row r="143" spans="5:28" x14ac:dyDescent="0.2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6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7"/>
        <v>#N/A</v>
      </c>
      <c r="W143" t="str" cm="1">
        <f t="array" aca="1" ref="W143" ca="1">IFERROR(INDIRECT("$U"&amp;V143),"")</f>
        <v/>
      </c>
      <c r="Z143" cm="1">
        <f t="array" ref="Z143">INDEX($AE$2:$AN$40,MOD(ROW()-ROW($AE$2),ROWS($AE$2:$AN$40))+1,INT((ROW()-ROW($AE$2))/ROWS($AE$2:$AN$40))+1)</f>
        <v>0</v>
      </c>
      <c r="AA143" t="e">
        <f t="shared" ca="1" si="8"/>
        <v>#N/A</v>
      </c>
      <c r="AB143" t="str" cm="1">
        <f t="array" aca="1" ref="AB143" ca="1">IFERROR(INDIRECT("$Z"&amp;AA143),"")</f>
        <v/>
      </c>
    </row>
    <row r="144" spans="5:28" x14ac:dyDescent="0.2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6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7"/>
        <v>#N/A</v>
      </c>
      <c r="W144" t="str" cm="1">
        <f t="array" aca="1" ref="W144" ca="1">IFERROR(INDIRECT("$U"&amp;V144),"")</f>
        <v/>
      </c>
      <c r="Z144" cm="1">
        <f t="array" ref="Z144">INDEX($AE$2:$AN$40,MOD(ROW()-ROW($AE$2),ROWS($AE$2:$AN$40))+1,INT((ROW()-ROW($AE$2))/ROWS($AE$2:$AN$40))+1)</f>
        <v>0</v>
      </c>
      <c r="AA144" t="e">
        <f t="shared" ca="1" si="8"/>
        <v>#N/A</v>
      </c>
      <c r="AB144" t="str" cm="1">
        <f t="array" aca="1" ref="AB144" ca="1">IFERROR(INDIRECT("$Z"&amp;AA144),"")</f>
        <v/>
      </c>
    </row>
    <row r="145" spans="5:28" x14ac:dyDescent="0.2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6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7"/>
        <v>#N/A</v>
      </c>
      <c r="W145" t="str" cm="1">
        <f t="array" aca="1" ref="W145" ca="1">IFERROR(INDIRECT("$U"&amp;V145),"")</f>
        <v/>
      </c>
      <c r="Z145" cm="1">
        <f t="array" ref="Z145">INDEX($AE$2:$AN$40,MOD(ROW()-ROW($AE$2),ROWS($AE$2:$AN$40))+1,INT((ROW()-ROW($AE$2))/ROWS($AE$2:$AN$40))+1)</f>
        <v>0</v>
      </c>
      <c r="AA145" t="e">
        <f t="shared" ca="1" si="8"/>
        <v>#N/A</v>
      </c>
      <c r="AB145" t="str" cm="1">
        <f t="array" aca="1" ref="AB145" ca="1">IFERROR(INDIRECT("$Z"&amp;AA145),"")</f>
        <v/>
      </c>
    </row>
    <row r="146" spans="5:28" x14ac:dyDescent="0.2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6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7"/>
        <v>#N/A</v>
      </c>
      <c r="W146" t="str" cm="1">
        <f t="array" aca="1" ref="W146" ca="1">IFERROR(INDIRECT("$U"&amp;V146),"")</f>
        <v/>
      </c>
      <c r="Z146" cm="1">
        <f t="array" ref="Z146">INDEX($AE$2:$AN$40,MOD(ROW()-ROW($AE$2),ROWS($AE$2:$AN$40))+1,INT((ROW()-ROW($AE$2))/ROWS($AE$2:$AN$40))+1)</f>
        <v>0</v>
      </c>
      <c r="AA146" t="e">
        <f t="shared" ca="1" si="8"/>
        <v>#N/A</v>
      </c>
      <c r="AB146" t="str" cm="1">
        <f t="array" aca="1" ref="AB146" ca="1">IFERROR(INDIRECT("$Z"&amp;AA146),"")</f>
        <v/>
      </c>
    </row>
    <row r="147" spans="5:28" x14ac:dyDescent="0.2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6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7"/>
        <v>#N/A</v>
      </c>
      <c r="W147" t="str" cm="1">
        <f t="array" aca="1" ref="W147" ca="1">IFERROR(INDIRECT("$U"&amp;V147),"")</f>
        <v/>
      </c>
      <c r="Z147" cm="1">
        <f t="array" ref="Z147">INDEX($AE$2:$AN$40,MOD(ROW()-ROW($AE$2),ROWS($AE$2:$AN$40))+1,INT((ROW()-ROW($AE$2))/ROWS($AE$2:$AN$40))+1)</f>
        <v>0</v>
      </c>
      <c r="AA147" t="e">
        <f t="shared" ca="1" si="8"/>
        <v>#N/A</v>
      </c>
      <c r="AB147" t="str" cm="1">
        <f t="array" aca="1" ref="AB147" ca="1">IFERROR(INDIRECT("$Z"&amp;AA147),"")</f>
        <v/>
      </c>
    </row>
    <row r="148" spans="5:28" x14ac:dyDescent="0.2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6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7"/>
        <v>#N/A</v>
      </c>
      <c r="W148" t="str" cm="1">
        <f t="array" aca="1" ref="W148" ca="1">IFERROR(INDIRECT("$U"&amp;V148),"")</f>
        <v/>
      </c>
      <c r="Z148" cm="1">
        <f t="array" ref="Z148">INDEX($AE$2:$AN$40,MOD(ROW()-ROW($AE$2),ROWS($AE$2:$AN$40))+1,INT((ROW()-ROW($AE$2))/ROWS($AE$2:$AN$40))+1)</f>
        <v>0</v>
      </c>
      <c r="AA148" t="e">
        <f t="shared" ca="1" si="8"/>
        <v>#N/A</v>
      </c>
      <c r="AB148" t="str" cm="1">
        <f t="array" aca="1" ref="AB148" ca="1">IFERROR(INDIRECT("$Z"&amp;AA148),"")</f>
        <v/>
      </c>
    </row>
    <row r="149" spans="5:28" x14ac:dyDescent="0.2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6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7"/>
        <v>#N/A</v>
      </c>
      <c r="W149" t="str" cm="1">
        <f t="array" aca="1" ref="W149" ca="1">IFERROR(INDIRECT("$U"&amp;V149),"")</f>
        <v/>
      </c>
      <c r="Z149" cm="1">
        <f t="array" ref="Z149">INDEX($AE$2:$AN$40,MOD(ROW()-ROW($AE$2),ROWS($AE$2:$AN$40))+1,INT((ROW()-ROW($AE$2))/ROWS($AE$2:$AN$40))+1)</f>
        <v>0</v>
      </c>
      <c r="AA149" t="e">
        <f t="shared" ca="1" si="8"/>
        <v>#N/A</v>
      </c>
      <c r="AB149" t="str" cm="1">
        <f t="array" aca="1" ref="AB149" ca="1">IFERROR(INDIRECT("$Z"&amp;AA149),"")</f>
        <v/>
      </c>
    </row>
    <row r="150" spans="5:28" x14ac:dyDescent="0.2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6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7"/>
        <v>#N/A</v>
      </c>
      <c r="W150" t="str" cm="1">
        <f t="array" aca="1" ref="W150" ca="1">IFERROR(INDIRECT("$U"&amp;V150),"")</f>
        <v/>
      </c>
      <c r="Z150" cm="1">
        <f t="array" ref="Z150">INDEX($AE$2:$AN$40,MOD(ROW()-ROW($AE$2),ROWS($AE$2:$AN$40))+1,INT((ROW()-ROW($AE$2))/ROWS($AE$2:$AN$40))+1)</f>
        <v>0</v>
      </c>
      <c r="AA150" t="e">
        <f t="shared" ca="1" si="8"/>
        <v>#N/A</v>
      </c>
      <c r="AB150" t="str" cm="1">
        <f t="array" aca="1" ref="AB150" ca="1">IFERROR(INDIRECT("$Z"&amp;AA150),"")</f>
        <v/>
      </c>
    </row>
    <row r="151" spans="5:28" x14ac:dyDescent="0.2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6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7"/>
        <v>#N/A</v>
      </c>
      <c r="W151" t="str" cm="1">
        <f t="array" aca="1" ref="W151" ca="1">IFERROR(INDIRECT("$U"&amp;V151),"")</f>
        <v/>
      </c>
      <c r="Z151" cm="1">
        <f t="array" ref="Z151">INDEX($AE$2:$AN$40,MOD(ROW()-ROW($AE$2),ROWS($AE$2:$AN$40))+1,INT((ROW()-ROW($AE$2))/ROWS($AE$2:$AN$40))+1)</f>
        <v>0</v>
      </c>
      <c r="AA151" t="e">
        <f t="shared" ca="1" si="8"/>
        <v>#N/A</v>
      </c>
      <c r="AB151" t="str" cm="1">
        <f t="array" aca="1" ref="AB151" ca="1">IFERROR(INDIRECT("$Z"&amp;AA151),"")</f>
        <v/>
      </c>
    </row>
    <row r="152" spans="5:28" x14ac:dyDescent="0.2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6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7"/>
        <v>#N/A</v>
      </c>
      <c r="W152" t="str" cm="1">
        <f t="array" aca="1" ref="W152" ca="1">IFERROR(INDIRECT("$U"&amp;V152),"")</f>
        <v/>
      </c>
      <c r="Z152" cm="1">
        <f t="array" ref="Z152">INDEX($AE$2:$AN$40,MOD(ROW()-ROW($AE$2),ROWS($AE$2:$AN$40))+1,INT((ROW()-ROW($AE$2))/ROWS($AE$2:$AN$40))+1)</f>
        <v>0</v>
      </c>
      <c r="AA152" t="e">
        <f t="shared" ca="1" si="8"/>
        <v>#N/A</v>
      </c>
      <c r="AB152" t="str" cm="1">
        <f t="array" aca="1" ref="AB152" ca="1">IFERROR(INDIRECT("$Z"&amp;AA152),"")</f>
        <v/>
      </c>
    </row>
    <row r="153" spans="5:28" x14ac:dyDescent="0.2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6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7"/>
        <v>#N/A</v>
      </c>
      <c r="W153" t="str" cm="1">
        <f t="array" aca="1" ref="W153" ca="1">IFERROR(INDIRECT("$U"&amp;V153),"")</f>
        <v/>
      </c>
      <c r="Z153" cm="1">
        <f t="array" ref="Z153">INDEX($AE$2:$AN$40,MOD(ROW()-ROW($AE$2),ROWS($AE$2:$AN$40))+1,INT((ROW()-ROW($AE$2))/ROWS($AE$2:$AN$40))+1)</f>
        <v>0</v>
      </c>
      <c r="AA153" t="e">
        <f t="shared" ca="1" si="8"/>
        <v>#N/A</v>
      </c>
      <c r="AB153" t="str" cm="1">
        <f t="array" aca="1" ref="AB153" ca="1">IFERROR(INDIRECT("$Z"&amp;AA153),"")</f>
        <v/>
      </c>
    </row>
    <row r="154" spans="5:28" x14ac:dyDescent="0.2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6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7"/>
        <v>#N/A</v>
      </c>
      <c r="W154" t="str" cm="1">
        <f t="array" aca="1" ref="W154" ca="1">IFERROR(INDIRECT("$U"&amp;V154),"")</f>
        <v/>
      </c>
      <c r="Z154" cm="1">
        <f t="array" ref="Z154">INDEX($AE$2:$AN$40,MOD(ROW()-ROW($AE$2),ROWS($AE$2:$AN$40))+1,INT((ROW()-ROW($AE$2))/ROWS($AE$2:$AN$40))+1)</f>
        <v>0</v>
      </c>
      <c r="AA154" t="e">
        <f t="shared" ca="1" si="8"/>
        <v>#N/A</v>
      </c>
      <c r="AB154" t="str" cm="1">
        <f t="array" aca="1" ref="AB154" ca="1">IFERROR(INDIRECT("$Z"&amp;AA154),"")</f>
        <v/>
      </c>
    </row>
    <row r="155" spans="5:28" x14ac:dyDescent="0.2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6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7"/>
        <v>#N/A</v>
      </c>
      <c r="W155" t="str" cm="1">
        <f t="array" aca="1" ref="W155" ca="1">IFERROR(INDIRECT("$U"&amp;V155),"")</f>
        <v/>
      </c>
      <c r="Z155" cm="1">
        <f t="array" ref="Z155">INDEX($AE$2:$AN$40,MOD(ROW()-ROW($AE$2),ROWS($AE$2:$AN$40))+1,INT((ROW()-ROW($AE$2))/ROWS($AE$2:$AN$40))+1)</f>
        <v>0</v>
      </c>
      <c r="AA155" t="e">
        <f t="shared" ca="1" si="8"/>
        <v>#N/A</v>
      </c>
      <c r="AB155" t="str" cm="1">
        <f t="array" aca="1" ref="AB155" ca="1">IFERROR(INDIRECT("$Z"&amp;AA155),"")</f>
        <v/>
      </c>
    </row>
    <row r="156" spans="5:28" x14ac:dyDescent="0.2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6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7"/>
        <v>#N/A</v>
      </c>
      <c r="W156" t="str" cm="1">
        <f t="array" aca="1" ref="W156" ca="1">IFERROR(INDIRECT("$U"&amp;V156),"")</f>
        <v/>
      </c>
      <c r="Z156" cm="1">
        <f t="array" ref="Z156">INDEX($AE$2:$AN$40,MOD(ROW()-ROW($AE$2),ROWS($AE$2:$AN$40))+1,INT((ROW()-ROW($AE$2))/ROWS($AE$2:$AN$40))+1)</f>
        <v>0</v>
      </c>
      <c r="AA156" t="e">
        <f t="shared" ca="1" si="8"/>
        <v>#N/A</v>
      </c>
      <c r="AB156" t="str" cm="1">
        <f t="array" aca="1" ref="AB156" ca="1">IFERROR(INDIRECT("$Z"&amp;AA156),"")</f>
        <v/>
      </c>
    </row>
    <row r="157" spans="5:28" x14ac:dyDescent="0.2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6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7"/>
        <v>#N/A</v>
      </c>
      <c r="W157" t="str" cm="1">
        <f t="array" aca="1" ref="W157" ca="1">IFERROR(INDIRECT("$U"&amp;V157),"")</f>
        <v/>
      </c>
      <c r="Z157" cm="1">
        <f t="array" ref="Z157">INDEX($AE$2:$AN$40,MOD(ROW()-ROW($AE$2),ROWS($AE$2:$AN$40))+1,INT((ROW()-ROW($AE$2))/ROWS($AE$2:$AN$40))+1)</f>
        <v>0</v>
      </c>
      <c r="AA157" t="e">
        <f t="shared" ca="1" si="8"/>
        <v>#N/A</v>
      </c>
      <c r="AB157" t="str" cm="1">
        <f t="array" aca="1" ref="AB157" ca="1">IFERROR(INDIRECT("$Z"&amp;AA157),"")</f>
        <v/>
      </c>
    </row>
    <row r="158" spans="5:28" x14ac:dyDescent="0.2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6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7"/>
        <v>#N/A</v>
      </c>
      <c r="W158" t="str" cm="1">
        <f t="array" aca="1" ref="W158" ca="1">IFERROR(INDIRECT("$U"&amp;V158),"")</f>
        <v/>
      </c>
      <c r="Z158" t="str" cm="1">
        <f t="array" aca="1" ref="Z158" ca="1">INDEX($AE$2:$AN$40,MOD(ROW()-ROW($AE$2),ROWS($AE$2:$AN$40))+1,INT((ROW()-ROW($AE$2))/ROWS($AE$2:$AN$40))+1)</f>
        <v>cooling_coil</v>
      </c>
      <c r="AA158" t="e">
        <f t="shared" ca="1" si="8"/>
        <v>#N/A</v>
      </c>
      <c r="AB158" t="str" cm="1">
        <f t="array" aca="1" ref="AB158" ca="1">IFERROR(INDIRECT("$Z"&amp;AA158),"")</f>
        <v/>
      </c>
    </row>
    <row r="159" spans="5:28" x14ac:dyDescent="0.2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6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7"/>
        <v>#N/A</v>
      </c>
      <c r="W159" t="str" cm="1">
        <f t="array" aca="1" ref="W159" ca="1">IFERROR(INDIRECT("$U"&amp;V159),"")</f>
        <v/>
      </c>
      <c r="Z159" t="str" cm="1">
        <f t="array" aca="1" ref="Z159" ca="1">INDEX($AE$2:$AN$40,MOD(ROW()-ROW($AE$2),ROWS($AE$2:$AN$40))+1,INT((ROW()-ROW($AE$2))/ROWS($AE$2:$AN$40))+1)</f>
        <v>heating_coil</v>
      </c>
      <c r="AA159" t="e">
        <f t="shared" ca="1" si="8"/>
        <v>#N/A</v>
      </c>
      <c r="AB159" t="str" cm="1">
        <f t="array" aca="1" ref="AB159" ca="1">IFERROR(INDIRECT("$Z"&amp;AA159),"")</f>
        <v/>
      </c>
    </row>
    <row r="160" spans="5:28" x14ac:dyDescent="0.2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6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7"/>
        <v>#N/A</v>
      </c>
      <c r="W160" t="str" cm="1">
        <f t="array" aca="1" ref="W160" ca="1">IFERROR(INDIRECT("$U"&amp;V160),"")</f>
        <v/>
      </c>
      <c r="Z160" cm="1">
        <f t="array" ref="Z160">INDEX($AE$2:$AN$40,MOD(ROW()-ROW($AE$2),ROWS($AE$2:$AN$40))+1,INT((ROW()-ROW($AE$2))/ROWS($AE$2:$AN$40))+1)</f>
        <v>0</v>
      </c>
      <c r="AA160" t="e">
        <f t="shared" ca="1" si="8"/>
        <v>#N/A</v>
      </c>
      <c r="AB160" t="str" cm="1">
        <f t="array" aca="1" ref="AB160" ca="1">IFERROR(INDIRECT("$Z"&amp;AA160),"")</f>
        <v/>
      </c>
    </row>
    <row r="161" spans="5:28" x14ac:dyDescent="0.2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6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7"/>
        <v>#N/A</v>
      </c>
      <c r="W161" t="str" cm="1">
        <f t="array" aca="1" ref="W161" ca="1">IFERROR(INDIRECT("$U"&amp;V161),"")</f>
        <v/>
      </c>
      <c r="Z161" cm="1">
        <f t="array" ref="Z161">INDEX($AE$2:$AN$40,MOD(ROW()-ROW($AE$2),ROWS($AE$2:$AN$40))+1,INT((ROW()-ROW($AE$2))/ROWS($AE$2:$AN$40))+1)</f>
        <v>0</v>
      </c>
      <c r="AA161" t="e">
        <f t="shared" ca="1" si="8"/>
        <v>#N/A</v>
      </c>
      <c r="AB161" t="str" cm="1">
        <f t="array" aca="1" ref="AB161" ca="1">IFERROR(INDIRECT("$Z"&amp;AA161),"")</f>
        <v/>
      </c>
    </row>
    <row r="162" spans="5:28" x14ac:dyDescent="0.2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6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7"/>
        <v>#N/A</v>
      </c>
      <c r="W162" t="str" cm="1">
        <f t="array" aca="1" ref="W162" ca="1">IFERROR(INDIRECT("$U"&amp;V162),"")</f>
        <v/>
      </c>
      <c r="Z162" cm="1">
        <f t="array" ref="Z162">INDEX($AE$2:$AN$40,MOD(ROW()-ROW($AE$2),ROWS($AE$2:$AN$40))+1,INT((ROW()-ROW($AE$2))/ROWS($AE$2:$AN$40))+1)</f>
        <v>0</v>
      </c>
      <c r="AA162" t="e">
        <f t="shared" ca="1" si="8"/>
        <v>#N/A</v>
      </c>
      <c r="AB162" t="str" cm="1">
        <f t="array" aca="1" ref="AB162" ca="1">IFERROR(INDIRECT("$Z"&amp;AA162),"")</f>
        <v/>
      </c>
    </row>
    <row r="163" spans="5:28" x14ac:dyDescent="0.2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6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7"/>
        <v>#N/A</v>
      </c>
      <c r="W163" t="str" cm="1">
        <f t="array" aca="1" ref="W163" ca="1">IFERROR(INDIRECT("$U"&amp;V163),"")</f>
        <v/>
      </c>
      <c r="Z163" cm="1">
        <f t="array" ref="Z163">INDEX($AE$2:$AN$40,MOD(ROW()-ROW($AE$2),ROWS($AE$2:$AN$40))+1,INT((ROW()-ROW($AE$2))/ROWS($AE$2:$AN$40))+1)</f>
        <v>0</v>
      </c>
      <c r="AA163" t="e">
        <f t="shared" ca="1" si="8"/>
        <v>#N/A</v>
      </c>
      <c r="AB163" t="str" cm="1">
        <f t="array" aca="1" ref="AB163" ca="1">IFERROR(INDIRECT("$Z"&amp;AA163),"")</f>
        <v/>
      </c>
    </row>
    <row r="164" spans="5:28" x14ac:dyDescent="0.2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6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7"/>
        <v>#N/A</v>
      </c>
      <c r="W164" t="str" cm="1">
        <f t="array" aca="1" ref="W164" ca="1">IFERROR(INDIRECT("$U"&amp;V164),"")</f>
        <v/>
      </c>
      <c r="Z164" cm="1">
        <f t="array" ref="Z164">INDEX($AE$2:$AN$40,MOD(ROW()-ROW($AE$2),ROWS($AE$2:$AN$40))+1,INT((ROW()-ROW($AE$2))/ROWS($AE$2:$AN$40))+1)</f>
        <v>0</v>
      </c>
      <c r="AA164" t="e">
        <f t="shared" ca="1" si="8"/>
        <v>#N/A</v>
      </c>
      <c r="AB164" t="str" cm="1">
        <f t="array" aca="1" ref="AB164" ca="1">IFERROR(INDIRECT("$Z"&amp;AA164),"")</f>
        <v/>
      </c>
    </row>
    <row r="165" spans="5:28" x14ac:dyDescent="0.2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6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7"/>
        <v>#N/A</v>
      </c>
      <c r="W165" t="str" cm="1">
        <f t="array" aca="1" ref="W165" ca="1">IFERROR(INDIRECT("$U"&amp;V165),"")</f>
        <v/>
      </c>
      <c r="Z165" cm="1">
        <f t="array" ref="Z165">INDEX($AE$2:$AN$40,MOD(ROW()-ROW($AE$2),ROWS($AE$2:$AN$40))+1,INT((ROW()-ROW($AE$2))/ROWS($AE$2:$AN$40))+1)</f>
        <v>0</v>
      </c>
      <c r="AA165" t="e">
        <f t="shared" ca="1" si="8"/>
        <v>#N/A</v>
      </c>
      <c r="AB165" t="str" cm="1">
        <f t="array" aca="1" ref="AB165" ca="1">IFERROR(INDIRECT("$Z"&amp;AA165),"")</f>
        <v/>
      </c>
    </row>
    <row r="166" spans="5:28" x14ac:dyDescent="0.2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6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7"/>
        <v>#N/A</v>
      </c>
      <c r="W166" t="str" cm="1">
        <f t="array" aca="1" ref="W166" ca="1">IFERROR(INDIRECT("$U"&amp;V166),"")</f>
        <v/>
      </c>
      <c r="Z166" cm="1">
        <f t="array" ref="Z166">INDEX($AE$2:$AN$40,MOD(ROW()-ROW($AE$2),ROWS($AE$2:$AN$40))+1,INT((ROW()-ROW($AE$2))/ROWS($AE$2:$AN$40))+1)</f>
        <v>0</v>
      </c>
      <c r="AA166" t="e">
        <f t="shared" ca="1" si="8"/>
        <v>#N/A</v>
      </c>
      <c r="AB166" t="str" cm="1">
        <f t="array" aca="1" ref="AB166" ca="1">IFERROR(INDIRECT("$Z"&amp;AA166),"")</f>
        <v/>
      </c>
    </row>
    <row r="167" spans="5:28" x14ac:dyDescent="0.2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6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7"/>
        <v>#N/A</v>
      </c>
      <c r="W167" t="str" cm="1">
        <f t="array" aca="1" ref="W167" ca="1">IFERROR(INDIRECT("$U"&amp;V167),"")</f>
        <v/>
      </c>
      <c r="Z167" cm="1">
        <f t="array" ref="Z167">INDEX($AE$2:$AN$40,MOD(ROW()-ROW($AE$2),ROWS($AE$2:$AN$40))+1,INT((ROW()-ROW($AE$2))/ROWS($AE$2:$AN$40))+1)</f>
        <v>0</v>
      </c>
      <c r="AA167" t="e">
        <f t="shared" ca="1" si="8"/>
        <v>#N/A</v>
      </c>
      <c r="AB167" t="str" cm="1">
        <f t="array" aca="1" ref="AB167" ca="1">IFERROR(INDIRECT("$Z"&amp;AA167),"")</f>
        <v/>
      </c>
    </row>
    <row r="168" spans="5:28" x14ac:dyDescent="0.2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6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7"/>
        <v>#N/A</v>
      </c>
      <c r="W168" t="str" cm="1">
        <f t="array" aca="1" ref="W168" ca="1">IFERROR(INDIRECT("$U"&amp;V168),"")</f>
        <v/>
      </c>
      <c r="Z168" cm="1">
        <f t="array" ref="Z168">INDEX($AE$2:$AN$40,MOD(ROW()-ROW($AE$2),ROWS($AE$2:$AN$40))+1,INT((ROW()-ROW($AE$2))/ROWS($AE$2:$AN$40))+1)</f>
        <v>0</v>
      </c>
      <c r="AA168" t="e">
        <f t="shared" ca="1" si="8"/>
        <v>#N/A</v>
      </c>
      <c r="AB168" t="str" cm="1">
        <f t="array" aca="1" ref="AB168" ca="1">IFERROR(INDIRECT("$Z"&amp;AA168),"")</f>
        <v/>
      </c>
    </row>
    <row r="169" spans="5:28" x14ac:dyDescent="0.2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6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7"/>
        <v>#N/A</v>
      </c>
      <c r="W169" t="str" cm="1">
        <f t="array" aca="1" ref="W169" ca="1">IFERROR(INDIRECT("$U"&amp;V169),"")</f>
        <v/>
      </c>
      <c r="Z169" cm="1">
        <f t="array" ref="Z169">INDEX($AE$2:$AN$40,MOD(ROW()-ROW($AE$2),ROWS($AE$2:$AN$40))+1,INT((ROW()-ROW($AE$2))/ROWS($AE$2:$AN$40))+1)</f>
        <v>0</v>
      </c>
      <c r="AA169" t="e">
        <f t="shared" ca="1" si="8"/>
        <v>#N/A</v>
      </c>
      <c r="AB169" t="str" cm="1">
        <f t="array" aca="1" ref="AB169" ca="1">IFERROR(INDIRECT("$Z"&amp;AA169),"")</f>
        <v/>
      </c>
    </row>
    <row r="170" spans="5:28" x14ac:dyDescent="0.2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6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7"/>
        <v>#N/A</v>
      </c>
      <c r="W170" t="str" cm="1">
        <f t="array" aca="1" ref="W170" ca="1">IFERROR(INDIRECT("$U"&amp;V170),"")</f>
        <v/>
      </c>
      <c r="Z170" cm="1">
        <f t="array" ref="Z170">INDEX($AE$2:$AN$40,MOD(ROW()-ROW($AE$2),ROWS($AE$2:$AN$40))+1,INT((ROW()-ROW($AE$2))/ROWS($AE$2:$AN$40))+1)</f>
        <v>0</v>
      </c>
      <c r="AA170" t="e">
        <f t="shared" ca="1" si="8"/>
        <v>#N/A</v>
      </c>
      <c r="AB170" t="str" cm="1">
        <f t="array" aca="1" ref="AB170" ca="1">IFERROR(INDIRECT("$Z"&amp;AA170),"")</f>
        <v/>
      </c>
    </row>
    <row r="171" spans="5:28" x14ac:dyDescent="0.2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6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7"/>
        <v>#N/A</v>
      </c>
      <c r="W171" t="str" cm="1">
        <f t="array" aca="1" ref="W171" ca="1">IFERROR(INDIRECT("$U"&amp;V171),"")</f>
        <v/>
      </c>
      <c r="Z171" cm="1">
        <f t="array" ref="Z171">INDEX($AE$2:$AN$40,MOD(ROW()-ROW($AE$2),ROWS($AE$2:$AN$40))+1,INT((ROW()-ROW($AE$2))/ROWS($AE$2:$AN$40))+1)</f>
        <v>0</v>
      </c>
      <c r="AA171" t="e">
        <f t="shared" ca="1" si="8"/>
        <v>#N/A</v>
      </c>
      <c r="AB171" t="str" cm="1">
        <f t="array" aca="1" ref="AB171" ca="1">IFERROR(INDIRECT("$Z"&amp;AA171),"")</f>
        <v/>
      </c>
    </row>
    <row r="172" spans="5:28" x14ac:dyDescent="0.2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6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7"/>
        <v>#N/A</v>
      </c>
      <c r="W172" t="str" cm="1">
        <f t="array" aca="1" ref="W172" ca="1">IFERROR(INDIRECT("$U"&amp;V172),"")</f>
        <v/>
      </c>
      <c r="Z172" cm="1">
        <f t="array" ref="Z172">INDEX($AE$2:$AN$40,MOD(ROW()-ROW($AE$2),ROWS($AE$2:$AN$40))+1,INT((ROW()-ROW($AE$2))/ROWS($AE$2:$AN$40))+1)</f>
        <v>0</v>
      </c>
      <c r="AA172" t="e">
        <f t="shared" ca="1" si="8"/>
        <v>#N/A</v>
      </c>
      <c r="AB172" t="str" cm="1">
        <f t="array" aca="1" ref="AB172" ca="1">IFERROR(INDIRECT("$Z"&amp;AA172),"")</f>
        <v/>
      </c>
    </row>
    <row r="173" spans="5:28" x14ac:dyDescent="0.2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6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7"/>
        <v>#N/A</v>
      </c>
      <c r="W173" t="str" cm="1">
        <f t="array" aca="1" ref="W173" ca="1">IFERROR(INDIRECT("$U"&amp;V173),"")</f>
        <v/>
      </c>
      <c r="Z173" cm="1">
        <f t="array" ref="Z173">INDEX($AE$2:$AN$40,MOD(ROW()-ROW($AE$2),ROWS($AE$2:$AN$40))+1,INT((ROW()-ROW($AE$2))/ROWS($AE$2:$AN$40))+1)</f>
        <v>0</v>
      </c>
      <c r="AA173" t="e">
        <f t="shared" ca="1" si="8"/>
        <v>#N/A</v>
      </c>
      <c r="AB173" t="str" cm="1">
        <f t="array" aca="1" ref="AB173" ca="1">IFERROR(INDIRECT("$Z"&amp;AA173),"")</f>
        <v/>
      </c>
    </row>
    <row r="174" spans="5:28" x14ac:dyDescent="0.2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6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7"/>
        <v>#N/A</v>
      </c>
      <c r="W174" t="str" cm="1">
        <f t="array" aca="1" ref="W174" ca="1">IFERROR(INDIRECT("$U"&amp;V174),"")</f>
        <v/>
      </c>
      <c r="Z174" cm="1">
        <f t="array" ref="Z174">INDEX($AE$2:$AN$40,MOD(ROW()-ROW($AE$2),ROWS($AE$2:$AN$40))+1,INT((ROW()-ROW($AE$2))/ROWS($AE$2:$AN$40))+1)</f>
        <v>0</v>
      </c>
      <c r="AA174" t="e">
        <f t="shared" ca="1" si="8"/>
        <v>#N/A</v>
      </c>
      <c r="AB174" t="str" cm="1">
        <f t="array" aca="1" ref="AB174" ca="1">IFERROR(INDIRECT("$Z"&amp;AA174),"")</f>
        <v/>
      </c>
    </row>
    <row r="175" spans="5:28" x14ac:dyDescent="0.2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6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7"/>
        <v>#N/A</v>
      </c>
      <c r="W175" t="str" cm="1">
        <f t="array" aca="1" ref="W175" ca="1">IFERROR(INDIRECT("$U"&amp;V175),"")</f>
        <v/>
      </c>
      <c r="Z175" cm="1">
        <f t="array" ref="Z175">INDEX($AE$2:$AN$40,MOD(ROW()-ROW($AE$2),ROWS($AE$2:$AN$40))+1,INT((ROW()-ROW($AE$2))/ROWS($AE$2:$AN$40))+1)</f>
        <v>0</v>
      </c>
      <c r="AA175" t="e">
        <f t="shared" ca="1" si="8"/>
        <v>#N/A</v>
      </c>
      <c r="AB175" t="str" cm="1">
        <f t="array" aca="1" ref="AB175" ca="1">IFERROR(INDIRECT("$Z"&amp;AA175),"")</f>
        <v/>
      </c>
    </row>
    <row r="176" spans="5:28" x14ac:dyDescent="0.2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6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7"/>
        <v>#N/A</v>
      </c>
      <c r="W176" t="str" cm="1">
        <f t="array" aca="1" ref="W176" ca="1">IFERROR(INDIRECT("$U"&amp;V176),"")</f>
        <v/>
      </c>
      <c r="Z176" cm="1">
        <f t="array" ref="Z176">INDEX($AE$2:$AN$40,MOD(ROW()-ROW($AE$2),ROWS($AE$2:$AN$40))+1,INT((ROW()-ROW($AE$2))/ROWS($AE$2:$AN$40))+1)</f>
        <v>0</v>
      </c>
      <c r="AA176" t="e">
        <f t="shared" ca="1" si="8"/>
        <v>#N/A</v>
      </c>
      <c r="AB176" t="str" cm="1">
        <f t="array" aca="1" ref="AB176" ca="1">IFERROR(INDIRECT("$Z"&amp;AA176),"")</f>
        <v/>
      </c>
    </row>
    <row r="177" spans="5:28" x14ac:dyDescent="0.2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6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7"/>
        <v>#N/A</v>
      </c>
      <c r="W177" t="str" cm="1">
        <f t="array" aca="1" ref="W177" ca="1">IFERROR(INDIRECT("$U"&amp;V177),"")</f>
        <v/>
      </c>
      <c r="Z177" cm="1">
        <f t="array" ref="Z177">INDEX($AE$2:$AN$40,MOD(ROW()-ROW($AE$2),ROWS($AE$2:$AN$40))+1,INT((ROW()-ROW($AE$2))/ROWS($AE$2:$AN$40))+1)</f>
        <v>0</v>
      </c>
      <c r="AA177" t="e">
        <f t="shared" ca="1" si="8"/>
        <v>#N/A</v>
      </c>
      <c r="AB177" t="str" cm="1">
        <f t="array" aca="1" ref="AB177" ca="1">IFERROR(INDIRECT("$Z"&amp;AA177),"")</f>
        <v/>
      </c>
    </row>
    <row r="178" spans="5:28" x14ac:dyDescent="0.2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6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7"/>
        <v>#N/A</v>
      </c>
      <c r="W178" t="str" cm="1">
        <f t="array" aca="1" ref="W178" ca="1">IFERROR(INDIRECT("$U"&amp;V178),"")</f>
        <v/>
      </c>
      <c r="Z178" cm="1">
        <f t="array" ref="Z178">INDEX($AE$2:$AN$40,MOD(ROW()-ROW($AE$2),ROWS($AE$2:$AN$40))+1,INT((ROW()-ROW($AE$2))/ROWS($AE$2:$AN$40))+1)</f>
        <v>0</v>
      </c>
      <c r="AA178" t="e">
        <f t="shared" ca="1" si="8"/>
        <v>#N/A</v>
      </c>
      <c r="AB178" t="str" cm="1">
        <f t="array" aca="1" ref="AB178" ca="1">IFERROR(INDIRECT("$Z"&amp;AA178),"")</f>
        <v/>
      </c>
    </row>
    <row r="179" spans="5:28" x14ac:dyDescent="0.2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6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7"/>
        <v>#N/A</v>
      </c>
      <c r="W179" t="str" cm="1">
        <f t="array" aca="1" ref="W179" ca="1">IFERROR(INDIRECT("$U"&amp;V179),"")</f>
        <v/>
      </c>
      <c r="Z179" cm="1">
        <f t="array" ref="Z179">INDEX($AE$2:$AN$40,MOD(ROW()-ROW($AE$2),ROWS($AE$2:$AN$40))+1,INT((ROW()-ROW($AE$2))/ROWS($AE$2:$AN$40))+1)</f>
        <v>0</v>
      </c>
      <c r="AA179" t="e">
        <f t="shared" ca="1" si="8"/>
        <v>#N/A</v>
      </c>
      <c r="AB179" t="str" cm="1">
        <f t="array" aca="1" ref="AB179" ca="1">IFERROR(INDIRECT("$Z"&amp;AA179),"")</f>
        <v/>
      </c>
    </row>
    <row r="180" spans="5:28" x14ac:dyDescent="0.2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6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7"/>
        <v>#N/A</v>
      </c>
      <c r="W180" t="str" cm="1">
        <f t="array" aca="1" ref="W180" ca="1">IFERROR(INDIRECT("$U"&amp;V180),"")</f>
        <v/>
      </c>
      <c r="Z180" cm="1">
        <f t="array" ref="Z180">INDEX($AE$2:$AN$40,MOD(ROW()-ROW($AE$2),ROWS($AE$2:$AN$40))+1,INT((ROW()-ROW($AE$2))/ROWS($AE$2:$AN$40))+1)</f>
        <v>0</v>
      </c>
      <c r="AA180" t="e">
        <f t="shared" ca="1" si="8"/>
        <v>#N/A</v>
      </c>
      <c r="AB180" t="str" cm="1">
        <f t="array" aca="1" ref="AB180" ca="1">IFERROR(INDIRECT("$Z"&amp;AA180),"")</f>
        <v/>
      </c>
    </row>
    <row r="181" spans="5:28" x14ac:dyDescent="0.2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6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7"/>
        <v>#N/A</v>
      </c>
      <c r="W181" t="str" cm="1">
        <f t="array" aca="1" ref="W181" ca="1">IFERROR(INDIRECT("$U"&amp;V181),"")</f>
        <v/>
      </c>
      <c r="Z181" cm="1">
        <f t="array" ref="Z181">INDEX($AE$2:$AN$40,MOD(ROW()-ROW($AE$2),ROWS($AE$2:$AN$40))+1,INT((ROW()-ROW($AE$2))/ROWS($AE$2:$AN$40))+1)</f>
        <v>0</v>
      </c>
      <c r="AA181" t="e">
        <f t="shared" ca="1" si="8"/>
        <v>#N/A</v>
      </c>
      <c r="AB181" t="str" cm="1">
        <f t="array" aca="1" ref="AB181" ca="1">IFERROR(INDIRECT("$Z"&amp;AA181),"")</f>
        <v/>
      </c>
    </row>
    <row r="182" spans="5:28" x14ac:dyDescent="0.2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6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7"/>
        <v>#N/A</v>
      </c>
      <c r="W182" t="str" cm="1">
        <f t="array" aca="1" ref="W182" ca="1">IFERROR(INDIRECT("$U"&amp;V182),"")</f>
        <v/>
      </c>
      <c r="Z182" cm="1">
        <f t="array" ref="Z182">INDEX($AE$2:$AN$40,MOD(ROW()-ROW($AE$2),ROWS($AE$2:$AN$40))+1,INT((ROW()-ROW($AE$2))/ROWS($AE$2:$AN$40))+1)</f>
        <v>0</v>
      </c>
      <c r="AA182" t="e">
        <f t="shared" ca="1" si="8"/>
        <v>#N/A</v>
      </c>
      <c r="AB182" t="str" cm="1">
        <f t="array" aca="1" ref="AB182" ca="1">IFERROR(INDIRECT("$Z"&amp;AA182),"")</f>
        <v/>
      </c>
    </row>
    <row r="183" spans="5:28" x14ac:dyDescent="0.2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6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7"/>
        <v>#N/A</v>
      </c>
      <c r="W183" t="str" cm="1">
        <f t="array" aca="1" ref="W183" ca="1">IFERROR(INDIRECT("$U"&amp;V183),"")</f>
        <v/>
      </c>
      <c r="Z183" cm="1">
        <f t="array" ref="Z183">INDEX($AE$2:$AN$40,MOD(ROW()-ROW($AE$2),ROWS($AE$2:$AN$40))+1,INT((ROW()-ROW($AE$2))/ROWS($AE$2:$AN$40))+1)</f>
        <v>0</v>
      </c>
      <c r="AA183" t="e">
        <f t="shared" ca="1" si="8"/>
        <v>#N/A</v>
      </c>
      <c r="AB183" t="str" cm="1">
        <f t="array" aca="1" ref="AB183" ca="1">IFERROR(INDIRECT("$Z"&amp;AA183),"")</f>
        <v/>
      </c>
    </row>
    <row r="184" spans="5:28" x14ac:dyDescent="0.2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6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7"/>
        <v>#N/A</v>
      </c>
      <c r="W184" t="str" cm="1">
        <f t="array" aca="1" ref="W184" ca="1">IFERROR(INDIRECT("$U"&amp;V184),"")</f>
        <v/>
      </c>
      <c r="Z184" cm="1">
        <f t="array" ref="Z184">INDEX($AE$2:$AN$40,MOD(ROW()-ROW($AE$2),ROWS($AE$2:$AN$40))+1,INT((ROW()-ROW($AE$2))/ROWS($AE$2:$AN$40))+1)</f>
        <v>0</v>
      </c>
      <c r="AA184" t="e">
        <f t="shared" ca="1" si="8"/>
        <v>#N/A</v>
      </c>
      <c r="AB184" t="str" cm="1">
        <f t="array" aca="1" ref="AB184" ca="1">IFERROR(INDIRECT("$Z"&amp;AA184),"")</f>
        <v/>
      </c>
    </row>
    <row r="185" spans="5:28" x14ac:dyDescent="0.2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6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7"/>
        <v>#N/A</v>
      </c>
      <c r="W185" t="str" cm="1">
        <f t="array" aca="1" ref="W185" ca="1">IFERROR(INDIRECT("$U"&amp;V185),"")</f>
        <v/>
      </c>
      <c r="Z185" cm="1">
        <f t="array" ref="Z185">INDEX($AE$2:$AN$40,MOD(ROW()-ROW($AE$2),ROWS($AE$2:$AN$40))+1,INT((ROW()-ROW($AE$2))/ROWS($AE$2:$AN$40))+1)</f>
        <v>0</v>
      </c>
      <c r="AA185" t="e">
        <f t="shared" ca="1" si="8"/>
        <v>#N/A</v>
      </c>
      <c r="AB185" t="str" cm="1">
        <f t="array" aca="1" ref="AB185" ca="1">IFERROR(INDIRECT("$Z"&amp;AA185),"")</f>
        <v/>
      </c>
    </row>
    <row r="186" spans="5:28" x14ac:dyDescent="0.2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6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7"/>
        <v>#N/A</v>
      </c>
      <c r="W186" t="str" cm="1">
        <f t="array" aca="1" ref="W186" ca="1">IFERROR(INDIRECT("$U"&amp;V186),"")</f>
        <v/>
      </c>
      <c r="Z186" cm="1">
        <f t="array" ref="Z186">INDEX($AE$2:$AN$40,MOD(ROW()-ROW($AE$2),ROWS($AE$2:$AN$40))+1,INT((ROW()-ROW($AE$2))/ROWS($AE$2:$AN$40))+1)</f>
        <v>0</v>
      </c>
      <c r="AA186" t="e">
        <f t="shared" ca="1" si="8"/>
        <v>#N/A</v>
      </c>
      <c r="AB186" t="str" cm="1">
        <f t="array" aca="1" ref="AB186" ca="1">IFERROR(INDIRECT("$Z"&amp;AA186),"")</f>
        <v/>
      </c>
    </row>
    <row r="187" spans="5:28" x14ac:dyDescent="0.2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6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7"/>
        <v>#N/A</v>
      </c>
      <c r="W187" t="str" cm="1">
        <f t="array" aca="1" ref="W187" ca="1">IFERROR(INDIRECT("$U"&amp;V187),"")</f>
        <v/>
      </c>
      <c r="Z187" cm="1">
        <f t="array" ref="Z187">INDEX($AE$2:$AN$40,MOD(ROW()-ROW($AE$2),ROWS($AE$2:$AN$40))+1,INT((ROW()-ROW($AE$2))/ROWS($AE$2:$AN$40))+1)</f>
        <v>0</v>
      </c>
      <c r="AA187" t="e">
        <f t="shared" ca="1" si="8"/>
        <v>#N/A</v>
      </c>
      <c r="AB187" t="str" cm="1">
        <f t="array" aca="1" ref="AB187" ca="1">IFERROR(INDIRECT("$Z"&amp;AA187),"")</f>
        <v/>
      </c>
    </row>
    <row r="188" spans="5:28" x14ac:dyDescent="0.2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6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7"/>
        <v>#N/A</v>
      </c>
      <c r="W188" t="str" cm="1">
        <f t="array" aca="1" ref="W188" ca="1">IFERROR(INDIRECT("$U"&amp;V188),"")</f>
        <v/>
      </c>
      <c r="Z188" cm="1">
        <f t="array" ref="Z188">INDEX($AE$2:$AN$40,MOD(ROW()-ROW($AE$2),ROWS($AE$2:$AN$40))+1,INT((ROW()-ROW($AE$2))/ROWS($AE$2:$AN$40))+1)</f>
        <v>0</v>
      </c>
      <c r="AA188" t="e">
        <f t="shared" ca="1" si="8"/>
        <v>#N/A</v>
      </c>
      <c r="AB188" t="str" cm="1">
        <f t="array" aca="1" ref="AB188" ca="1">IFERROR(INDIRECT("$Z"&amp;AA188),"")</f>
        <v/>
      </c>
    </row>
    <row r="189" spans="5:28" x14ac:dyDescent="0.2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6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7"/>
        <v>#N/A</v>
      </c>
      <c r="W189" t="str" cm="1">
        <f t="array" aca="1" ref="W189" ca="1">IFERROR(INDIRECT("$U"&amp;V189),"")</f>
        <v/>
      </c>
      <c r="Z189" cm="1">
        <f t="array" ref="Z189">INDEX($AE$2:$AN$40,MOD(ROW()-ROW($AE$2),ROWS($AE$2:$AN$40))+1,INT((ROW()-ROW($AE$2))/ROWS($AE$2:$AN$40))+1)</f>
        <v>0</v>
      </c>
      <c r="AA189" t="e">
        <f t="shared" ca="1" si="8"/>
        <v>#N/A</v>
      </c>
      <c r="AB189" t="str" cm="1">
        <f t="array" aca="1" ref="AB189" ca="1">IFERROR(INDIRECT("$Z"&amp;AA189),"")</f>
        <v/>
      </c>
    </row>
    <row r="190" spans="5:28" x14ac:dyDescent="0.2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6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7"/>
        <v>#N/A</v>
      </c>
      <c r="W190" t="str" cm="1">
        <f t="array" aca="1" ref="W190" ca="1">IFERROR(INDIRECT("$U"&amp;V190),"")</f>
        <v/>
      </c>
      <c r="Z190" cm="1">
        <f t="array" ref="Z190">INDEX($AE$2:$AN$40,MOD(ROW()-ROW($AE$2),ROWS($AE$2:$AN$40))+1,INT((ROW()-ROW($AE$2))/ROWS($AE$2:$AN$40))+1)</f>
        <v>0</v>
      </c>
      <c r="AA190" t="e">
        <f t="shared" ca="1" si="8"/>
        <v>#N/A</v>
      </c>
      <c r="AB190" t="str" cm="1">
        <f t="array" aca="1" ref="AB190" ca="1">IFERROR(INDIRECT("$Z"&amp;AA190),"")</f>
        <v/>
      </c>
    </row>
    <row r="191" spans="5:28" x14ac:dyDescent="0.2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6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7"/>
        <v>#N/A</v>
      </c>
      <c r="W191" t="str" cm="1">
        <f t="array" aca="1" ref="W191" ca="1">IFERROR(INDIRECT("$U"&amp;V191),"")</f>
        <v/>
      </c>
      <c r="Z191" cm="1">
        <f t="array" ref="Z191">INDEX($AE$2:$AN$40,MOD(ROW()-ROW($AE$2),ROWS($AE$2:$AN$40))+1,INT((ROW()-ROW($AE$2))/ROWS($AE$2:$AN$40))+1)</f>
        <v>0</v>
      </c>
      <c r="AA191" t="e">
        <f t="shared" ca="1" si="8"/>
        <v>#N/A</v>
      </c>
      <c r="AB191" t="str" cm="1">
        <f t="array" aca="1" ref="AB191" ca="1">IFERROR(INDIRECT("$Z"&amp;AA191),"")</f>
        <v/>
      </c>
    </row>
    <row r="192" spans="5:28" x14ac:dyDescent="0.2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6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7"/>
        <v>#N/A</v>
      </c>
      <c r="W192" t="str" cm="1">
        <f t="array" aca="1" ref="W192" ca="1">IFERROR(INDIRECT("$U"&amp;V192),"")</f>
        <v/>
      </c>
      <c r="Z192" cm="1">
        <f t="array" ref="Z192">INDEX($AE$2:$AN$40,MOD(ROW()-ROW($AE$2),ROWS($AE$2:$AN$40))+1,INT((ROW()-ROW($AE$2))/ROWS($AE$2:$AN$40))+1)</f>
        <v>0</v>
      </c>
      <c r="AA192" t="e">
        <f t="shared" ca="1" si="8"/>
        <v>#N/A</v>
      </c>
      <c r="AB192" t="str" cm="1">
        <f t="array" aca="1" ref="AB192" ca="1">IFERROR(INDIRECT("$Z"&amp;AA192),"")</f>
        <v/>
      </c>
    </row>
    <row r="193" spans="5:28" x14ac:dyDescent="0.2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6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7"/>
        <v>#N/A</v>
      </c>
      <c r="W193" t="str" cm="1">
        <f t="array" aca="1" ref="W193" ca="1">IFERROR(INDIRECT("$U"&amp;V193),"")</f>
        <v/>
      </c>
      <c r="Z193" cm="1">
        <f t="array" ref="Z193">INDEX($AE$2:$AN$40,MOD(ROW()-ROW($AE$2),ROWS($AE$2:$AN$40))+1,INT((ROW()-ROW($AE$2))/ROWS($AE$2:$AN$40))+1)</f>
        <v>0</v>
      </c>
      <c r="AA193" t="e">
        <f t="shared" ca="1" si="8"/>
        <v>#N/A</v>
      </c>
      <c r="AB193" t="str" cm="1">
        <f t="array" aca="1" ref="AB193" ca="1">IFERROR(INDIRECT("$Z"&amp;AA193),"")</f>
        <v/>
      </c>
    </row>
    <row r="194" spans="5:28" x14ac:dyDescent="0.2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6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7"/>
        <v>#N/A</v>
      </c>
      <c r="W194" t="str" cm="1">
        <f t="array" aca="1" ref="W194" ca="1">IFERROR(INDIRECT("$U"&amp;V194),"")</f>
        <v/>
      </c>
      <c r="Z194" cm="1">
        <f t="array" ref="Z194">INDEX($AE$2:$AN$40,MOD(ROW()-ROW($AE$2),ROWS($AE$2:$AN$40))+1,INT((ROW()-ROW($AE$2))/ROWS($AE$2:$AN$40))+1)</f>
        <v>0</v>
      </c>
      <c r="AA194" t="e">
        <f t="shared" ca="1" si="8"/>
        <v>#N/A</v>
      </c>
      <c r="AB194" t="str" cm="1">
        <f t="array" aca="1" ref="AB194" ca="1">IFERROR(INDIRECT("$Z"&amp;AA194),"")</f>
        <v/>
      </c>
    </row>
    <row r="195" spans="5:28" x14ac:dyDescent="0.2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6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7"/>
        <v>#N/A</v>
      </c>
      <c r="W195" t="str" cm="1">
        <f t="array" aca="1" ref="W195" ca="1">IFERROR(INDIRECT("$U"&amp;V195),"")</f>
        <v/>
      </c>
      <c r="Z195" cm="1">
        <f t="array" ref="Z195">INDEX($AE$2:$AN$40,MOD(ROW()-ROW($AE$2),ROWS($AE$2:$AN$40))+1,INT((ROW()-ROW($AE$2))/ROWS($AE$2:$AN$40))+1)</f>
        <v>0</v>
      </c>
      <c r="AA195" t="e">
        <f t="shared" ca="1" si="8"/>
        <v>#N/A</v>
      </c>
      <c r="AB195" t="str" cm="1">
        <f t="array" aca="1" ref="AB195" ca="1">IFERROR(INDIRECT("$Z"&amp;AA195),"")</f>
        <v/>
      </c>
    </row>
    <row r="196" spans="5:28" x14ac:dyDescent="0.2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9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10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INDEX($AE$2:$AN$40,MOD(ROW()-ROW($AE$2),ROWS($AE$2:$AN$40))+1,INT((ROW()-ROW($AE$2))/ROWS($AE$2:$AN$40))+1)</f>
        <v>0</v>
      </c>
      <c r="AA196" t="e">
        <f t="shared" ref="AA196:AA259" ca="1" si="11">MATCH("*",INDIRECT(ADDRESS(AA195+1,26,1)&amp;":$Z$1000"),0)+AA195</f>
        <v>#N/A</v>
      </c>
      <c r="AB196" t="str" cm="1">
        <f t="array" aca="1" ref="AB196" ca="1">IFERROR(INDIRECT("$Z"&amp;AA196),"")</f>
        <v/>
      </c>
    </row>
    <row r="197" spans="5:28" x14ac:dyDescent="0.2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9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10"/>
        <v>#N/A</v>
      </c>
      <c r="W197" t="str" cm="1">
        <f t="array" aca="1" ref="W197" ca="1">IFERROR(INDIRECT("$U"&amp;V197),"")</f>
        <v/>
      </c>
      <c r="Z197" t="str" cm="1">
        <f t="array" aca="1" ref="Z197" ca="1">INDEX($AE$2:$AN$40,MOD(ROW()-ROW($AE$2),ROWS($AE$2:$AN$40))+1,INT((ROW()-ROW($AE$2))/ROWS($AE$2:$AN$40))+1)</f>
        <v>HF04_heat_exchanger</v>
      </c>
      <c r="AA197" t="e">
        <f t="shared" ca="1" si="11"/>
        <v>#N/A</v>
      </c>
      <c r="AB197" t="str" cm="1">
        <f t="array" aca="1" ref="AB197" ca="1">IFERROR(INDIRECT("$Z"&amp;AA197),"")</f>
        <v/>
      </c>
    </row>
    <row r="198" spans="5:28" x14ac:dyDescent="0.2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9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10"/>
        <v>#N/A</v>
      </c>
      <c r="W198" t="str" cm="1">
        <f t="array" aca="1" ref="W198" ca="1">IFERROR(INDIRECT("$U"&amp;V198),"")</f>
        <v/>
      </c>
      <c r="Z198" cm="1">
        <f t="array" ref="Z198">INDEX($AE$2:$AN$40,MOD(ROW()-ROW($AE$2),ROWS($AE$2:$AN$40))+1,INT((ROW()-ROW($AE$2))/ROWS($AE$2:$AN$40))+1)</f>
        <v>0</v>
      </c>
      <c r="AA198" t="e">
        <f t="shared" ca="1" si="11"/>
        <v>#N/A</v>
      </c>
      <c r="AB198" t="str" cm="1">
        <f t="array" aca="1" ref="AB198" ca="1">IFERROR(INDIRECT("$Z"&amp;AA198),"")</f>
        <v/>
      </c>
    </row>
    <row r="199" spans="5:28" x14ac:dyDescent="0.2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9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10"/>
        <v>#N/A</v>
      </c>
      <c r="W199" t="str" cm="1">
        <f t="array" aca="1" ref="W199" ca="1">IFERROR(INDIRECT("$U"&amp;V199),"")</f>
        <v/>
      </c>
      <c r="Z199" cm="1">
        <f t="array" ref="Z199">INDEX($AE$2:$AN$40,MOD(ROW()-ROW($AE$2),ROWS($AE$2:$AN$40))+1,INT((ROW()-ROW($AE$2))/ROWS($AE$2:$AN$40))+1)</f>
        <v>0</v>
      </c>
      <c r="AA199" t="e">
        <f t="shared" ca="1" si="11"/>
        <v>#N/A</v>
      </c>
      <c r="AB199" t="str" cm="1">
        <f t="array" aca="1" ref="AB199" ca="1">IFERROR(INDIRECT("$Z"&amp;AA199),"")</f>
        <v/>
      </c>
    </row>
    <row r="200" spans="5:28" x14ac:dyDescent="0.2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9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10"/>
        <v>#N/A</v>
      </c>
      <c r="W200" t="str" cm="1">
        <f t="array" aca="1" ref="W200" ca="1">IFERROR(INDIRECT("$U"&amp;V200),"")</f>
        <v/>
      </c>
      <c r="Z200" cm="1">
        <f t="array" ref="Z200">INDEX($AE$2:$AN$40,MOD(ROW()-ROW($AE$2),ROWS($AE$2:$AN$40))+1,INT((ROW()-ROW($AE$2))/ROWS($AE$2:$AN$40))+1)</f>
        <v>0</v>
      </c>
      <c r="AA200" t="e">
        <f t="shared" ca="1" si="11"/>
        <v>#N/A</v>
      </c>
      <c r="AB200" t="str" cm="1">
        <f t="array" aca="1" ref="AB200" ca="1">IFERROR(INDIRECT("$Z"&amp;AA200),"")</f>
        <v/>
      </c>
    </row>
    <row r="201" spans="5:28" x14ac:dyDescent="0.2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9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10"/>
        <v>#N/A</v>
      </c>
      <c r="W201" t="str" cm="1">
        <f t="array" aca="1" ref="W201" ca="1">IFERROR(INDIRECT("$U"&amp;V201),"")</f>
        <v/>
      </c>
      <c r="Z201" cm="1">
        <f t="array" ref="Z201">INDEX($AE$2:$AN$40,MOD(ROW()-ROW($AE$2),ROWS($AE$2:$AN$40))+1,INT((ROW()-ROW($AE$2))/ROWS($AE$2:$AN$40))+1)</f>
        <v>0</v>
      </c>
      <c r="AA201" t="e">
        <f t="shared" ca="1" si="11"/>
        <v>#N/A</v>
      </c>
      <c r="AB201" t="str" cm="1">
        <f t="array" aca="1" ref="AB201" ca="1">IFERROR(INDIRECT("$Z"&amp;AA201),"")</f>
        <v/>
      </c>
    </row>
    <row r="202" spans="5:28" x14ac:dyDescent="0.2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9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10"/>
        <v>#N/A</v>
      </c>
      <c r="W202" t="str" cm="1">
        <f t="array" aca="1" ref="W202" ca="1">IFERROR(INDIRECT("$U"&amp;V202),"")</f>
        <v/>
      </c>
      <c r="Z202" cm="1">
        <f t="array" ref="Z202">INDEX($AE$2:$AN$40,MOD(ROW()-ROW($AE$2),ROWS($AE$2:$AN$40))+1,INT((ROW()-ROW($AE$2))/ROWS($AE$2:$AN$40))+1)</f>
        <v>0</v>
      </c>
      <c r="AA202" t="e">
        <f t="shared" ca="1" si="11"/>
        <v>#N/A</v>
      </c>
      <c r="AB202" t="str" cm="1">
        <f t="array" aca="1" ref="AB202" ca="1">IFERROR(INDIRECT("$Z"&amp;AA202),"")</f>
        <v/>
      </c>
    </row>
    <row r="203" spans="5:28" x14ac:dyDescent="0.2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9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10"/>
        <v>#N/A</v>
      </c>
      <c r="W203" t="str" cm="1">
        <f t="array" aca="1" ref="W203" ca="1">IFERROR(INDIRECT("$U"&amp;V203),"")</f>
        <v/>
      </c>
      <c r="Z203" cm="1">
        <f t="array" ref="Z203">INDEX($AE$2:$AN$40,MOD(ROW()-ROW($AE$2),ROWS($AE$2:$AN$40))+1,INT((ROW()-ROW($AE$2))/ROWS($AE$2:$AN$40))+1)</f>
        <v>0</v>
      </c>
      <c r="AA203" t="e">
        <f t="shared" ca="1" si="11"/>
        <v>#N/A</v>
      </c>
      <c r="AB203" t="str" cm="1">
        <f t="array" aca="1" ref="AB203" ca="1">IFERROR(INDIRECT("$Z"&amp;AA203),"")</f>
        <v/>
      </c>
    </row>
    <row r="204" spans="5:28" x14ac:dyDescent="0.2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9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10"/>
        <v>#N/A</v>
      </c>
      <c r="W204" t="str" cm="1">
        <f t="array" aca="1" ref="W204" ca="1">IFERROR(INDIRECT("$U"&amp;V204),"")</f>
        <v/>
      </c>
      <c r="Z204" cm="1">
        <f t="array" ref="Z204">INDEX($AE$2:$AN$40,MOD(ROW()-ROW($AE$2),ROWS($AE$2:$AN$40))+1,INT((ROW()-ROW($AE$2))/ROWS($AE$2:$AN$40))+1)</f>
        <v>0</v>
      </c>
      <c r="AA204" t="e">
        <f t="shared" ca="1" si="11"/>
        <v>#N/A</v>
      </c>
      <c r="AB204" t="str" cm="1">
        <f t="array" aca="1" ref="AB204" ca="1">IFERROR(INDIRECT("$Z"&amp;AA204),"")</f>
        <v/>
      </c>
    </row>
    <row r="205" spans="5:28" x14ac:dyDescent="0.2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9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10"/>
        <v>#N/A</v>
      </c>
      <c r="W205" t="str" cm="1">
        <f t="array" aca="1" ref="W205" ca="1">IFERROR(INDIRECT("$U"&amp;V205),"")</f>
        <v/>
      </c>
      <c r="Z205" cm="1">
        <f t="array" ref="Z205">INDEX($AE$2:$AN$40,MOD(ROW()-ROW($AE$2),ROWS($AE$2:$AN$40))+1,INT((ROW()-ROW($AE$2))/ROWS($AE$2:$AN$40))+1)</f>
        <v>0</v>
      </c>
      <c r="AA205" t="e">
        <f t="shared" ca="1" si="11"/>
        <v>#N/A</v>
      </c>
      <c r="AB205" t="str" cm="1">
        <f t="array" aca="1" ref="AB205" ca="1">IFERROR(INDIRECT("$Z"&amp;AA205),"")</f>
        <v/>
      </c>
    </row>
    <row r="206" spans="5:28" x14ac:dyDescent="0.2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9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10"/>
        <v>#N/A</v>
      </c>
      <c r="W206" t="str" cm="1">
        <f t="array" aca="1" ref="W206" ca="1">IFERROR(INDIRECT("$U"&amp;V206),"")</f>
        <v/>
      </c>
      <c r="Z206" cm="1">
        <f t="array" ref="Z206">INDEX($AE$2:$AN$40,MOD(ROW()-ROW($AE$2),ROWS($AE$2:$AN$40))+1,INT((ROW()-ROW($AE$2))/ROWS($AE$2:$AN$40))+1)</f>
        <v>0</v>
      </c>
      <c r="AA206" t="e">
        <f t="shared" ca="1" si="11"/>
        <v>#N/A</v>
      </c>
      <c r="AB206" t="str" cm="1">
        <f t="array" aca="1" ref="AB206" ca="1">IFERROR(INDIRECT("$Z"&amp;AA206),"")</f>
        <v/>
      </c>
    </row>
    <row r="207" spans="5:28" x14ac:dyDescent="0.2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9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10"/>
        <v>#N/A</v>
      </c>
      <c r="W207" t="str" cm="1">
        <f t="array" aca="1" ref="W207" ca="1">IFERROR(INDIRECT("$U"&amp;V207),"")</f>
        <v/>
      </c>
      <c r="Z207" cm="1">
        <f t="array" ref="Z207">INDEX($AE$2:$AN$40,MOD(ROW()-ROW($AE$2),ROWS($AE$2:$AN$40))+1,INT((ROW()-ROW($AE$2))/ROWS($AE$2:$AN$40))+1)</f>
        <v>0</v>
      </c>
      <c r="AA207" t="e">
        <f t="shared" ca="1" si="11"/>
        <v>#N/A</v>
      </c>
      <c r="AB207" t="str" cm="1">
        <f t="array" aca="1" ref="AB207" ca="1">IFERROR(INDIRECT("$Z"&amp;AA207),"")</f>
        <v/>
      </c>
    </row>
    <row r="208" spans="5:28" x14ac:dyDescent="0.2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9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10"/>
        <v>#N/A</v>
      </c>
      <c r="W208" t="str" cm="1">
        <f t="array" aca="1" ref="W208" ca="1">IFERROR(INDIRECT("$U"&amp;V208),"")</f>
        <v/>
      </c>
      <c r="Z208" cm="1">
        <f t="array" ref="Z208">INDEX($AE$2:$AN$40,MOD(ROW()-ROW($AE$2),ROWS($AE$2:$AN$40))+1,INT((ROW()-ROW($AE$2))/ROWS($AE$2:$AN$40))+1)</f>
        <v>0</v>
      </c>
      <c r="AA208" t="e">
        <f t="shared" ca="1" si="11"/>
        <v>#N/A</v>
      </c>
      <c r="AB208" t="str" cm="1">
        <f t="array" aca="1" ref="AB208" ca="1">IFERROR(INDIRECT("$Z"&amp;AA208),"")</f>
        <v/>
      </c>
    </row>
    <row r="209" spans="5:28" x14ac:dyDescent="0.2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9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10"/>
        <v>#N/A</v>
      </c>
      <c r="W209" t="str" cm="1">
        <f t="array" aca="1" ref="W209" ca="1">IFERROR(INDIRECT("$U"&amp;V209),"")</f>
        <v/>
      </c>
      <c r="Z209" cm="1">
        <f t="array" ref="Z209">INDEX($AE$2:$AN$40,MOD(ROW()-ROW($AE$2),ROWS($AE$2:$AN$40))+1,INT((ROW()-ROW($AE$2))/ROWS($AE$2:$AN$40))+1)</f>
        <v>0</v>
      </c>
      <c r="AA209" t="e">
        <f t="shared" ca="1" si="11"/>
        <v>#N/A</v>
      </c>
      <c r="AB209" t="str" cm="1">
        <f t="array" aca="1" ref="AB209" ca="1">IFERROR(INDIRECT("$Z"&amp;AA209),"")</f>
        <v/>
      </c>
    </row>
    <row r="210" spans="5:28" x14ac:dyDescent="0.2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9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10"/>
        <v>#N/A</v>
      </c>
      <c r="W210" t="str" cm="1">
        <f t="array" aca="1" ref="W210" ca="1">IFERROR(INDIRECT("$U"&amp;V210),"")</f>
        <v/>
      </c>
      <c r="Z210" cm="1">
        <f t="array" ref="Z210">INDEX($AE$2:$AN$40,MOD(ROW()-ROW($AE$2),ROWS($AE$2:$AN$40))+1,INT((ROW()-ROW($AE$2))/ROWS($AE$2:$AN$40))+1)</f>
        <v>0</v>
      </c>
      <c r="AA210" t="e">
        <f t="shared" ca="1" si="11"/>
        <v>#N/A</v>
      </c>
      <c r="AB210" t="str" cm="1">
        <f t="array" aca="1" ref="AB210" ca="1">IFERROR(INDIRECT("$Z"&amp;AA210),"")</f>
        <v/>
      </c>
    </row>
    <row r="211" spans="5:28" x14ac:dyDescent="0.2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9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10"/>
        <v>#N/A</v>
      </c>
      <c r="W211" t="str" cm="1">
        <f t="array" aca="1" ref="W211" ca="1">IFERROR(INDIRECT("$U"&amp;V211),"")</f>
        <v/>
      </c>
      <c r="Z211" cm="1">
        <f t="array" ref="Z211">INDEX($AE$2:$AN$40,MOD(ROW()-ROW($AE$2),ROWS($AE$2:$AN$40))+1,INT((ROW()-ROW($AE$2))/ROWS($AE$2:$AN$40))+1)</f>
        <v>0</v>
      </c>
      <c r="AA211" t="e">
        <f t="shared" ca="1" si="11"/>
        <v>#N/A</v>
      </c>
      <c r="AB211" t="str" cm="1">
        <f t="array" aca="1" ref="AB211" ca="1">IFERROR(INDIRECT("$Z"&amp;AA211),"")</f>
        <v/>
      </c>
    </row>
    <row r="212" spans="5:28" x14ac:dyDescent="0.2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9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10"/>
        <v>#N/A</v>
      </c>
      <c r="W212" t="str" cm="1">
        <f t="array" aca="1" ref="W212" ca="1">IFERROR(INDIRECT("$U"&amp;V212),"")</f>
        <v/>
      </c>
      <c r="Z212" cm="1">
        <f t="array" ref="Z212">INDEX($AE$2:$AN$40,MOD(ROW()-ROW($AE$2),ROWS($AE$2:$AN$40))+1,INT((ROW()-ROW($AE$2))/ROWS($AE$2:$AN$40))+1)</f>
        <v>0</v>
      </c>
      <c r="AA212" t="e">
        <f t="shared" ca="1" si="11"/>
        <v>#N/A</v>
      </c>
      <c r="AB212" t="str" cm="1">
        <f t="array" aca="1" ref="AB212" ca="1">IFERROR(INDIRECT("$Z"&amp;AA212),"")</f>
        <v/>
      </c>
    </row>
    <row r="213" spans="5:28" x14ac:dyDescent="0.2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9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10"/>
        <v>#N/A</v>
      </c>
      <c r="W213" t="str" cm="1">
        <f t="array" aca="1" ref="W213" ca="1">IFERROR(INDIRECT("$U"&amp;V213),"")</f>
        <v/>
      </c>
      <c r="Z213" cm="1">
        <f t="array" ref="Z213">INDEX($AE$2:$AN$40,MOD(ROW()-ROW($AE$2),ROWS($AE$2:$AN$40))+1,INT((ROW()-ROW($AE$2))/ROWS($AE$2:$AN$40))+1)</f>
        <v>0</v>
      </c>
      <c r="AA213" t="e">
        <f t="shared" ca="1" si="11"/>
        <v>#N/A</v>
      </c>
      <c r="AB213" t="str" cm="1">
        <f t="array" aca="1" ref="AB213" ca="1">IFERROR(INDIRECT("$Z"&amp;AA213),"")</f>
        <v/>
      </c>
    </row>
    <row r="214" spans="5:28" x14ac:dyDescent="0.2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9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10"/>
        <v>#N/A</v>
      </c>
      <c r="W214" t="str" cm="1">
        <f t="array" aca="1" ref="W214" ca="1">IFERROR(INDIRECT("$U"&amp;V214),"")</f>
        <v/>
      </c>
      <c r="Z214" cm="1">
        <f t="array" ref="Z214">INDEX($AE$2:$AN$40,MOD(ROW()-ROW($AE$2),ROWS($AE$2:$AN$40))+1,INT((ROW()-ROW($AE$2))/ROWS($AE$2:$AN$40))+1)</f>
        <v>0</v>
      </c>
      <c r="AA214" t="e">
        <f t="shared" ca="1" si="11"/>
        <v>#N/A</v>
      </c>
      <c r="AB214" t="str" cm="1">
        <f t="array" aca="1" ref="AB214" ca="1">IFERROR(INDIRECT("$Z"&amp;AA214),"")</f>
        <v/>
      </c>
    </row>
    <row r="215" spans="5:28" x14ac:dyDescent="0.2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9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10"/>
        <v>#N/A</v>
      </c>
      <c r="W215" t="str" cm="1">
        <f t="array" aca="1" ref="W215" ca="1">IFERROR(INDIRECT("$U"&amp;V215),"")</f>
        <v/>
      </c>
      <c r="Z215" cm="1">
        <f t="array" ref="Z215">INDEX($AE$2:$AN$40,MOD(ROW()-ROW($AE$2),ROWS($AE$2:$AN$40))+1,INT((ROW()-ROW($AE$2))/ROWS($AE$2:$AN$40))+1)</f>
        <v>0</v>
      </c>
      <c r="AA215" t="e">
        <f t="shared" ca="1" si="11"/>
        <v>#N/A</v>
      </c>
      <c r="AB215" t="str" cm="1">
        <f t="array" aca="1" ref="AB215" ca="1">IFERROR(INDIRECT("$Z"&amp;AA215),"")</f>
        <v/>
      </c>
    </row>
    <row r="216" spans="5:28" x14ac:dyDescent="0.2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9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10"/>
        <v>#N/A</v>
      </c>
      <c r="W216" t="str" cm="1">
        <f t="array" aca="1" ref="W216" ca="1">IFERROR(INDIRECT("$U"&amp;V216),"")</f>
        <v/>
      </c>
      <c r="Z216" cm="1">
        <f t="array" ref="Z216">INDEX($AE$2:$AN$40,MOD(ROW()-ROW($AE$2),ROWS($AE$2:$AN$40))+1,INT((ROW()-ROW($AE$2))/ROWS($AE$2:$AN$40))+1)</f>
        <v>0</v>
      </c>
      <c r="AA216" t="e">
        <f t="shared" ca="1" si="11"/>
        <v>#N/A</v>
      </c>
      <c r="AB216" t="str" cm="1">
        <f t="array" aca="1" ref="AB216" ca="1">IFERROR(INDIRECT("$Z"&amp;AA216),"")</f>
        <v/>
      </c>
    </row>
    <row r="217" spans="5:28" x14ac:dyDescent="0.2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9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10"/>
        <v>#N/A</v>
      </c>
      <c r="W217" t="str" cm="1">
        <f t="array" aca="1" ref="W217" ca="1">IFERROR(INDIRECT("$U"&amp;V217),"")</f>
        <v/>
      </c>
      <c r="Z217" cm="1">
        <f t="array" ref="Z217">INDEX($AE$2:$AN$40,MOD(ROW()-ROW($AE$2),ROWS($AE$2:$AN$40))+1,INT((ROW()-ROW($AE$2))/ROWS($AE$2:$AN$40))+1)</f>
        <v>0</v>
      </c>
      <c r="AA217" t="e">
        <f t="shared" ca="1" si="11"/>
        <v>#N/A</v>
      </c>
      <c r="AB217" t="str" cm="1">
        <f t="array" aca="1" ref="AB217" ca="1">IFERROR(INDIRECT("$Z"&amp;AA217),"")</f>
        <v/>
      </c>
    </row>
    <row r="218" spans="5:28" x14ac:dyDescent="0.2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9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10"/>
        <v>#N/A</v>
      </c>
      <c r="W218" t="str" cm="1">
        <f t="array" aca="1" ref="W218" ca="1">IFERROR(INDIRECT("$U"&amp;V218),"")</f>
        <v/>
      </c>
      <c r="Z218" cm="1">
        <f t="array" ref="Z218">INDEX($AE$2:$AN$40,MOD(ROW()-ROW($AE$2),ROWS($AE$2:$AN$40))+1,INT((ROW()-ROW($AE$2))/ROWS($AE$2:$AN$40))+1)</f>
        <v>0</v>
      </c>
      <c r="AA218" t="e">
        <f t="shared" ca="1" si="11"/>
        <v>#N/A</v>
      </c>
      <c r="AB218" t="str" cm="1">
        <f t="array" aca="1" ref="AB218" ca="1">IFERROR(INDIRECT("$Z"&amp;AA218),"")</f>
        <v/>
      </c>
    </row>
    <row r="219" spans="5:28" x14ac:dyDescent="0.2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9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10"/>
        <v>#N/A</v>
      </c>
      <c r="W219" t="str" cm="1">
        <f t="array" aca="1" ref="W219" ca="1">IFERROR(INDIRECT("$U"&amp;V219),"")</f>
        <v/>
      </c>
      <c r="Z219" cm="1">
        <f t="array" ref="Z219">INDEX($AE$2:$AN$40,MOD(ROW()-ROW($AE$2),ROWS($AE$2:$AN$40))+1,INT((ROW()-ROW($AE$2))/ROWS($AE$2:$AN$40))+1)</f>
        <v>0</v>
      </c>
      <c r="AA219" t="e">
        <f t="shared" ca="1" si="11"/>
        <v>#N/A</v>
      </c>
      <c r="AB219" t="str" cm="1">
        <f t="array" aca="1" ref="AB219" ca="1">IFERROR(INDIRECT("$Z"&amp;AA219),"")</f>
        <v/>
      </c>
    </row>
    <row r="220" spans="5:28" x14ac:dyDescent="0.2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9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10"/>
        <v>#N/A</v>
      </c>
      <c r="W220" t="str" cm="1">
        <f t="array" aca="1" ref="W220" ca="1">IFERROR(INDIRECT("$U"&amp;V220),"")</f>
        <v/>
      </c>
      <c r="Z220" cm="1">
        <f t="array" ref="Z220">INDEX($AE$2:$AN$40,MOD(ROW()-ROW($AE$2),ROWS($AE$2:$AN$40))+1,INT((ROW()-ROW($AE$2))/ROWS($AE$2:$AN$40))+1)</f>
        <v>0</v>
      </c>
      <c r="AA220" t="e">
        <f t="shared" ca="1" si="11"/>
        <v>#N/A</v>
      </c>
      <c r="AB220" t="str" cm="1">
        <f t="array" aca="1" ref="AB220" ca="1">IFERROR(INDIRECT("$Z"&amp;AA220),"")</f>
        <v/>
      </c>
    </row>
    <row r="221" spans="5:28" x14ac:dyDescent="0.2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9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10"/>
        <v>#N/A</v>
      </c>
      <c r="W221" t="str" cm="1">
        <f t="array" aca="1" ref="W221" ca="1">IFERROR(INDIRECT("$U"&amp;V221),"")</f>
        <v/>
      </c>
      <c r="Z221" cm="1">
        <f t="array" ref="Z221">INDEX($AE$2:$AN$40,MOD(ROW()-ROW($AE$2),ROWS($AE$2:$AN$40))+1,INT((ROW()-ROW($AE$2))/ROWS($AE$2:$AN$40))+1)</f>
        <v>0</v>
      </c>
      <c r="AA221" t="e">
        <f t="shared" ca="1" si="11"/>
        <v>#N/A</v>
      </c>
      <c r="AB221" t="str" cm="1">
        <f t="array" aca="1" ref="AB221" ca="1">IFERROR(INDIRECT("$Z"&amp;AA221),"")</f>
        <v/>
      </c>
    </row>
    <row r="222" spans="5:28" x14ac:dyDescent="0.2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9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10"/>
        <v>#N/A</v>
      </c>
      <c r="W222" t="str" cm="1">
        <f t="array" aca="1" ref="W222" ca="1">IFERROR(INDIRECT("$U"&amp;V222),"")</f>
        <v/>
      </c>
      <c r="Z222" cm="1">
        <f t="array" ref="Z222">INDEX($AE$2:$AN$40,MOD(ROW()-ROW($AE$2),ROWS($AE$2:$AN$40))+1,INT((ROW()-ROW($AE$2))/ROWS($AE$2:$AN$40))+1)</f>
        <v>0</v>
      </c>
      <c r="AA222" t="e">
        <f t="shared" ca="1" si="11"/>
        <v>#N/A</v>
      </c>
      <c r="AB222" t="str" cm="1">
        <f t="array" aca="1" ref="AB222" ca="1">IFERROR(INDIRECT("$Z"&amp;AA222),"")</f>
        <v/>
      </c>
    </row>
    <row r="223" spans="5:28" x14ac:dyDescent="0.2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9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10"/>
        <v>#N/A</v>
      </c>
      <c r="W223" t="str" cm="1">
        <f t="array" aca="1" ref="W223" ca="1">IFERROR(INDIRECT("$U"&amp;V223),"")</f>
        <v/>
      </c>
      <c r="Z223" cm="1">
        <f t="array" ref="Z223">INDEX($AE$2:$AN$40,MOD(ROW()-ROW($AE$2),ROWS($AE$2:$AN$40))+1,INT((ROW()-ROW($AE$2))/ROWS($AE$2:$AN$40))+1)</f>
        <v>0</v>
      </c>
      <c r="AA223" t="e">
        <f t="shared" ca="1" si="11"/>
        <v>#N/A</v>
      </c>
      <c r="AB223" t="str" cm="1">
        <f t="array" aca="1" ref="AB223" ca="1">IFERROR(INDIRECT("$Z"&amp;AA223),"")</f>
        <v/>
      </c>
    </row>
    <row r="224" spans="5:28" x14ac:dyDescent="0.2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9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10"/>
        <v>#N/A</v>
      </c>
      <c r="W224" t="str" cm="1">
        <f t="array" aca="1" ref="W224" ca="1">IFERROR(INDIRECT("$U"&amp;V224),"")</f>
        <v/>
      </c>
      <c r="Z224" cm="1">
        <f t="array" ref="Z224">INDEX($AE$2:$AN$40,MOD(ROW()-ROW($AE$2),ROWS($AE$2:$AN$40))+1,INT((ROW()-ROW($AE$2))/ROWS($AE$2:$AN$40))+1)</f>
        <v>0</v>
      </c>
      <c r="AA224" t="e">
        <f t="shared" ca="1" si="11"/>
        <v>#N/A</v>
      </c>
      <c r="AB224" t="str" cm="1">
        <f t="array" aca="1" ref="AB224" ca="1">IFERROR(INDIRECT("$Z"&amp;AA224),"")</f>
        <v/>
      </c>
    </row>
    <row r="225" spans="5:28" x14ac:dyDescent="0.2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9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10"/>
        <v>#N/A</v>
      </c>
      <c r="W225" t="str" cm="1">
        <f t="array" aca="1" ref="W225" ca="1">IFERROR(INDIRECT("$U"&amp;V225),"")</f>
        <v/>
      </c>
      <c r="Z225" cm="1">
        <f t="array" ref="Z225">INDEX($AE$2:$AN$40,MOD(ROW()-ROW($AE$2),ROWS($AE$2:$AN$40))+1,INT((ROW()-ROW($AE$2))/ROWS($AE$2:$AN$40))+1)</f>
        <v>0</v>
      </c>
      <c r="AA225" t="e">
        <f t="shared" ca="1" si="11"/>
        <v>#N/A</v>
      </c>
      <c r="AB225" t="str" cm="1">
        <f t="array" aca="1" ref="AB225" ca="1">IFERROR(INDIRECT("$Z"&amp;AA225),"")</f>
        <v/>
      </c>
    </row>
    <row r="226" spans="5:28" x14ac:dyDescent="0.2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9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10"/>
        <v>#N/A</v>
      </c>
      <c r="W226" t="str" cm="1">
        <f t="array" aca="1" ref="W226" ca="1">IFERROR(INDIRECT("$U"&amp;V226),"")</f>
        <v/>
      </c>
      <c r="Z226" cm="1">
        <f t="array" ref="Z226">INDEX($AE$2:$AN$40,MOD(ROW()-ROW($AE$2),ROWS($AE$2:$AN$40))+1,INT((ROW()-ROW($AE$2))/ROWS($AE$2:$AN$40))+1)</f>
        <v>0</v>
      </c>
      <c r="AA226" t="e">
        <f t="shared" ca="1" si="11"/>
        <v>#N/A</v>
      </c>
      <c r="AB226" t="str" cm="1">
        <f t="array" aca="1" ref="AB226" ca="1">IFERROR(INDIRECT("$Z"&amp;AA226),"")</f>
        <v/>
      </c>
    </row>
    <row r="227" spans="5:28" x14ac:dyDescent="0.2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9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10"/>
        <v>#N/A</v>
      </c>
      <c r="W227" t="str" cm="1">
        <f t="array" aca="1" ref="W227" ca="1">IFERROR(INDIRECT("$U"&amp;V227),"")</f>
        <v/>
      </c>
      <c r="Z227" cm="1">
        <f t="array" ref="Z227">INDEX($AE$2:$AN$40,MOD(ROW()-ROW($AE$2),ROWS($AE$2:$AN$40))+1,INT((ROW()-ROW($AE$2))/ROWS($AE$2:$AN$40))+1)</f>
        <v>0</v>
      </c>
      <c r="AA227" t="e">
        <f t="shared" ca="1" si="11"/>
        <v>#N/A</v>
      </c>
      <c r="AB227" t="str" cm="1">
        <f t="array" aca="1" ref="AB227" ca="1">IFERROR(INDIRECT("$Z"&amp;AA227),"")</f>
        <v/>
      </c>
    </row>
    <row r="228" spans="5:28" x14ac:dyDescent="0.2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9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10"/>
        <v>#N/A</v>
      </c>
      <c r="W228" t="str" cm="1">
        <f t="array" aca="1" ref="W228" ca="1">IFERROR(INDIRECT("$U"&amp;V228),"")</f>
        <v/>
      </c>
      <c r="Z228" cm="1">
        <f t="array" ref="Z228">INDEX($AE$2:$AN$40,MOD(ROW()-ROW($AE$2),ROWS($AE$2:$AN$40))+1,INT((ROW()-ROW($AE$2))/ROWS($AE$2:$AN$40))+1)</f>
        <v>0</v>
      </c>
      <c r="AA228" t="e">
        <f t="shared" ca="1" si="11"/>
        <v>#N/A</v>
      </c>
      <c r="AB228" t="str" cm="1">
        <f t="array" aca="1" ref="AB228" ca="1">IFERROR(INDIRECT("$Z"&amp;AA228),"")</f>
        <v/>
      </c>
    </row>
    <row r="229" spans="5:28" x14ac:dyDescent="0.2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9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10"/>
        <v>#N/A</v>
      </c>
      <c r="W229" t="str" cm="1">
        <f t="array" aca="1" ref="W229" ca="1">IFERROR(INDIRECT("$U"&amp;V229),"")</f>
        <v/>
      </c>
      <c r="Z229" cm="1">
        <f t="array" ref="Z229">INDEX($AE$2:$AN$40,MOD(ROW()-ROW($AE$2),ROWS($AE$2:$AN$40))+1,INT((ROW()-ROW($AE$2))/ROWS($AE$2:$AN$40))+1)</f>
        <v>0</v>
      </c>
      <c r="AA229" t="e">
        <f t="shared" ca="1" si="11"/>
        <v>#N/A</v>
      </c>
      <c r="AB229" t="str" cm="1">
        <f t="array" aca="1" ref="AB229" ca="1">IFERROR(INDIRECT("$Z"&amp;AA229),"")</f>
        <v/>
      </c>
    </row>
    <row r="230" spans="5:28" x14ac:dyDescent="0.2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9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10"/>
        <v>#N/A</v>
      </c>
      <c r="W230" t="str" cm="1">
        <f t="array" aca="1" ref="W230" ca="1">IFERROR(INDIRECT("$U"&amp;V230),"")</f>
        <v/>
      </c>
      <c r="Z230" cm="1">
        <f t="array" ref="Z230">INDEX($AE$2:$AN$40,MOD(ROW()-ROW($AE$2),ROWS($AE$2:$AN$40))+1,INT((ROW()-ROW($AE$2))/ROWS($AE$2:$AN$40))+1)</f>
        <v>0</v>
      </c>
      <c r="AA230" t="e">
        <f t="shared" ca="1" si="11"/>
        <v>#N/A</v>
      </c>
      <c r="AB230" t="str" cm="1">
        <f t="array" aca="1" ref="AB230" ca="1">IFERROR(INDIRECT("$Z"&amp;AA230),"")</f>
        <v/>
      </c>
    </row>
    <row r="231" spans="5:28" x14ac:dyDescent="0.2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9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10"/>
        <v>#N/A</v>
      </c>
      <c r="W231" t="str" cm="1">
        <f t="array" aca="1" ref="W231" ca="1">IFERROR(INDIRECT("$U"&amp;V231),"")</f>
        <v/>
      </c>
      <c r="Z231" cm="1">
        <f t="array" ref="Z231">INDEX($AE$2:$AN$40,MOD(ROW()-ROW($AE$2),ROWS($AE$2:$AN$40))+1,INT((ROW()-ROW($AE$2))/ROWS($AE$2:$AN$40))+1)</f>
        <v>0</v>
      </c>
      <c r="AA231" t="e">
        <f t="shared" ca="1" si="11"/>
        <v>#N/A</v>
      </c>
      <c r="AB231" t="str" cm="1">
        <f t="array" aca="1" ref="AB231" ca="1">IFERROR(INDIRECT("$Z"&amp;AA231),"")</f>
        <v/>
      </c>
    </row>
    <row r="232" spans="5:28" x14ac:dyDescent="0.2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9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10"/>
        <v>#N/A</v>
      </c>
      <c r="W232" t="str" cm="1">
        <f t="array" aca="1" ref="W232" ca="1">IFERROR(INDIRECT("$U"&amp;V232),"")</f>
        <v/>
      </c>
      <c r="Z232" cm="1">
        <f t="array" ref="Z232">INDEX($AE$2:$AN$40,MOD(ROW()-ROW($AE$2),ROWS($AE$2:$AN$40))+1,INT((ROW()-ROW($AE$2))/ROWS($AE$2:$AN$40))+1)</f>
        <v>0</v>
      </c>
      <c r="AA232" t="e">
        <f t="shared" ca="1" si="11"/>
        <v>#N/A</v>
      </c>
      <c r="AB232" t="str" cm="1">
        <f t="array" aca="1" ref="AB232" ca="1">IFERROR(INDIRECT("$Z"&amp;AA232),"")</f>
        <v/>
      </c>
    </row>
    <row r="233" spans="5:28" x14ac:dyDescent="0.2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9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10"/>
        <v>#N/A</v>
      </c>
      <c r="W233" t="str" cm="1">
        <f t="array" aca="1" ref="W233" ca="1">IFERROR(INDIRECT("$U"&amp;V233),"")</f>
        <v/>
      </c>
      <c r="Z233" cm="1">
        <f t="array" ref="Z233">INDEX($AE$2:$AN$40,MOD(ROW()-ROW($AE$2),ROWS($AE$2:$AN$40))+1,INT((ROW()-ROW($AE$2))/ROWS($AE$2:$AN$40))+1)</f>
        <v>0</v>
      </c>
      <c r="AA233" t="e">
        <f t="shared" ca="1" si="11"/>
        <v>#N/A</v>
      </c>
      <c r="AB233" t="str" cm="1">
        <f t="array" aca="1" ref="AB233" ca="1">IFERROR(INDIRECT("$Z"&amp;AA233),"")</f>
        <v/>
      </c>
    </row>
    <row r="234" spans="5:28" x14ac:dyDescent="0.2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9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10"/>
        <v>#N/A</v>
      </c>
      <c r="W234" t="str" cm="1">
        <f t="array" aca="1" ref="W234" ca="1">IFERROR(INDIRECT("$U"&amp;V234),"")</f>
        <v/>
      </c>
      <c r="Z234" cm="1">
        <f t="array" ref="Z234">INDEX($AE$2:$AN$40,MOD(ROW()-ROW($AE$2),ROWS($AE$2:$AN$40))+1,INT((ROW()-ROW($AE$2))/ROWS($AE$2:$AN$40))+1)</f>
        <v>0</v>
      </c>
      <c r="AA234" t="e">
        <f t="shared" ca="1" si="11"/>
        <v>#N/A</v>
      </c>
      <c r="AB234" t="str" cm="1">
        <f t="array" aca="1" ref="AB234" ca="1">IFERROR(INDIRECT("$Z"&amp;AA234),"")</f>
        <v/>
      </c>
    </row>
    <row r="235" spans="5:28" x14ac:dyDescent="0.2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9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10"/>
        <v>#N/A</v>
      </c>
      <c r="W235" t="str" cm="1">
        <f t="array" aca="1" ref="W235" ca="1">IFERROR(INDIRECT("$U"&amp;V235),"")</f>
        <v/>
      </c>
      <c r="Z235" cm="1">
        <f t="array" ref="Z235">INDEX($AE$2:$AN$40,MOD(ROW()-ROW($AE$2),ROWS($AE$2:$AN$40))+1,INT((ROW()-ROW($AE$2))/ROWS($AE$2:$AN$40))+1)</f>
        <v>0</v>
      </c>
      <c r="AA235" t="e">
        <f t="shared" ca="1" si="11"/>
        <v>#N/A</v>
      </c>
      <c r="AB235" t="str" cm="1">
        <f t="array" aca="1" ref="AB235" ca="1">IFERROR(INDIRECT("$Z"&amp;AA235),"")</f>
        <v/>
      </c>
    </row>
    <row r="236" spans="5:28" x14ac:dyDescent="0.2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9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10"/>
        <v>#N/A</v>
      </c>
      <c r="W236" t="str" cm="1">
        <f t="array" aca="1" ref="W236" ca="1">IFERROR(INDIRECT("$U"&amp;V236),"")</f>
        <v/>
      </c>
      <c r="Z236" t="str" cm="1">
        <f t="array" aca="1" ref="Z236" ca="1">INDEX($AE$2:$AN$40,MOD(ROW()-ROW($AE$2),ROWS($AE$2:$AN$40))+1,INT((ROW()-ROW($AE$2))/ROWS($AE$2:$AN$40))+1)</f>
        <v>supply_fan</v>
      </c>
      <c r="AA236" t="e">
        <f t="shared" ca="1" si="11"/>
        <v>#N/A</v>
      </c>
      <c r="AB236" t="str" cm="1">
        <f t="array" aca="1" ref="AB236" ca="1">IFERROR(INDIRECT("$Z"&amp;AA236),"")</f>
        <v/>
      </c>
    </row>
    <row r="237" spans="5:28" x14ac:dyDescent="0.2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9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10"/>
        <v>#N/A</v>
      </c>
      <c r="W237" t="str" cm="1">
        <f t="array" aca="1" ref="W237" ca="1">IFERROR(INDIRECT("$U"&amp;V237),"")</f>
        <v/>
      </c>
      <c r="Z237" t="str" cm="1">
        <f t="array" aca="1" ref="Z237" ca="1">INDEX($AE$2:$AN$40,MOD(ROW()-ROW($AE$2),ROWS($AE$2:$AN$40))+1,INT((ROW()-ROW($AE$2))/ROWS($AE$2:$AN$40))+1)</f>
        <v>exhaust_fan</v>
      </c>
      <c r="AA237" t="e">
        <f t="shared" ca="1" si="11"/>
        <v>#N/A</v>
      </c>
      <c r="AB237" t="str" cm="1">
        <f t="array" aca="1" ref="AB237" ca="1">IFERROR(INDIRECT("$Z"&amp;AA237),"")</f>
        <v/>
      </c>
    </row>
    <row r="238" spans="5:28" x14ac:dyDescent="0.2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9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10"/>
        <v>#N/A</v>
      </c>
      <c r="W238" t="str" cm="1">
        <f t="array" aca="1" ref="W238" ca="1">IFERROR(INDIRECT("$U"&amp;V238),"")</f>
        <v/>
      </c>
      <c r="Z238" cm="1">
        <f t="array" ref="Z238">INDEX($AE$2:$AN$40,MOD(ROW()-ROW($AE$2),ROWS($AE$2:$AN$40))+1,INT((ROW()-ROW($AE$2))/ROWS($AE$2:$AN$40))+1)</f>
        <v>0</v>
      </c>
      <c r="AA238" t="e">
        <f t="shared" ca="1" si="11"/>
        <v>#N/A</v>
      </c>
      <c r="AB238" t="str" cm="1">
        <f t="array" aca="1" ref="AB238" ca="1">IFERROR(INDIRECT("$Z"&amp;AA238),"")</f>
        <v/>
      </c>
    </row>
    <row r="239" spans="5:28" x14ac:dyDescent="0.2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9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10"/>
        <v>#N/A</v>
      </c>
      <c r="W239" t="str" cm="1">
        <f t="array" aca="1" ref="W239" ca="1">IFERROR(INDIRECT("$U"&amp;V239),"")</f>
        <v/>
      </c>
      <c r="Z239" cm="1">
        <f t="array" ref="Z239">INDEX($AE$2:$AN$40,MOD(ROW()-ROW($AE$2),ROWS($AE$2:$AN$40))+1,INT((ROW()-ROW($AE$2))/ROWS($AE$2:$AN$40))+1)</f>
        <v>0</v>
      </c>
      <c r="AA239" t="e">
        <f t="shared" ca="1" si="11"/>
        <v>#N/A</v>
      </c>
      <c r="AB239" t="str" cm="1">
        <f t="array" aca="1" ref="AB239" ca="1">IFERROR(INDIRECT("$Z"&amp;AA239),"")</f>
        <v/>
      </c>
    </row>
    <row r="240" spans="5:28" x14ac:dyDescent="0.2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9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10"/>
        <v>#N/A</v>
      </c>
      <c r="W240" t="str" cm="1">
        <f t="array" aca="1" ref="W240" ca="1">IFERROR(INDIRECT("$U"&amp;V240),"")</f>
        <v/>
      </c>
      <c r="Z240" cm="1">
        <f t="array" ref="Z240">INDEX($AE$2:$AN$40,MOD(ROW()-ROW($AE$2),ROWS($AE$2:$AN$40))+1,INT((ROW()-ROW($AE$2))/ROWS($AE$2:$AN$40))+1)</f>
        <v>0</v>
      </c>
      <c r="AA240" t="e">
        <f t="shared" ca="1" si="11"/>
        <v>#N/A</v>
      </c>
      <c r="AB240" t="str" cm="1">
        <f t="array" aca="1" ref="AB240" ca="1">IFERROR(INDIRECT("$Z"&amp;AA240),"")</f>
        <v/>
      </c>
    </row>
    <row r="241" spans="5:28" x14ac:dyDescent="0.2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9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10"/>
        <v>#N/A</v>
      </c>
      <c r="W241" t="str" cm="1">
        <f t="array" aca="1" ref="W241" ca="1">IFERROR(INDIRECT("$U"&amp;V241),"")</f>
        <v/>
      </c>
      <c r="Z241" cm="1">
        <f t="array" ref="Z241">INDEX($AE$2:$AN$40,MOD(ROW()-ROW($AE$2),ROWS($AE$2:$AN$40))+1,INT((ROW()-ROW($AE$2))/ROWS($AE$2:$AN$40))+1)</f>
        <v>0</v>
      </c>
      <c r="AA241" t="e">
        <f t="shared" ca="1" si="11"/>
        <v>#N/A</v>
      </c>
      <c r="AB241" t="str" cm="1">
        <f t="array" aca="1" ref="AB241" ca="1">IFERROR(INDIRECT("$Z"&amp;AA241),"")</f>
        <v/>
      </c>
    </row>
    <row r="242" spans="5:28" x14ac:dyDescent="0.2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9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10"/>
        <v>#N/A</v>
      </c>
      <c r="W242" t="str" cm="1">
        <f t="array" aca="1" ref="W242" ca="1">IFERROR(INDIRECT("$U"&amp;V242),"")</f>
        <v/>
      </c>
      <c r="Z242" cm="1">
        <f t="array" ref="Z242">INDEX($AE$2:$AN$40,MOD(ROW()-ROW($AE$2),ROWS($AE$2:$AN$40))+1,INT((ROW()-ROW($AE$2))/ROWS($AE$2:$AN$40))+1)</f>
        <v>0</v>
      </c>
      <c r="AA242" t="e">
        <f t="shared" ca="1" si="11"/>
        <v>#N/A</v>
      </c>
      <c r="AB242" t="str" cm="1">
        <f t="array" aca="1" ref="AB242" ca="1">IFERROR(INDIRECT("$Z"&amp;AA242),"")</f>
        <v/>
      </c>
    </row>
    <row r="243" spans="5:28" x14ac:dyDescent="0.2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9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10"/>
        <v>#N/A</v>
      </c>
      <c r="W243" t="str" cm="1">
        <f t="array" aca="1" ref="W243" ca="1">IFERROR(INDIRECT("$U"&amp;V243),"")</f>
        <v/>
      </c>
      <c r="Z243" cm="1">
        <f t="array" ref="Z243">INDEX($AE$2:$AN$40,MOD(ROW()-ROW($AE$2),ROWS($AE$2:$AN$40))+1,INT((ROW()-ROW($AE$2))/ROWS($AE$2:$AN$40))+1)</f>
        <v>0</v>
      </c>
      <c r="AA243" t="e">
        <f t="shared" ca="1" si="11"/>
        <v>#N/A</v>
      </c>
      <c r="AB243" t="str" cm="1">
        <f t="array" aca="1" ref="AB243" ca="1">IFERROR(INDIRECT("$Z"&amp;AA243),"")</f>
        <v/>
      </c>
    </row>
    <row r="244" spans="5:28" x14ac:dyDescent="0.2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9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10"/>
        <v>#N/A</v>
      </c>
      <c r="W244" t="str" cm="1">
        <f t="array" aca="1" ref="W244" ca="1">IFERROR(INDIRECT("$U"&amp;V244),"")</f>
        <v/>
      </c>
      <c r="Z244" cm="1">
        <f t="array" ref="Z244">INDEX($AE$2:$AN$40,MOD(ROW()-ROW($AE$2),ROWS($AE$2:$AN$40))+1,INT((ROW()-ROW($AE$2))/ROWS($AE$2:$AN$40))+1)</f>
        <v>0</v>
      </c>
      <c r="AA244" t="e">
        <f t="shared" ca="1" si="11"/>
        <v>#N/A</v>
      </c>
      <c r="AB244" t="str" cm="1">
        <f t="array" aca="1" ref="AB244" ca="1">IFERROR(INDIRECT("$Z"&amp;AA244),"")</f>
        <v/>
      </c>
    </row>
    <row r="245" spans="5:28" x14ac:dyDescent="0.2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9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10"/>
        <v>#N/A</v>
      </c>
      <c r="W245" t="str" cm="1">
        <f t="array" aca="1" ref="W245" ca="1">IFERROR(INDIRECT("$U"&amp;V245),"")</f>
        <v/>
      </c>
      <c r="Z245" cm="1">
        <f t="array" ref="Z245">INDEX($AE$2:$AN$40,MOD(ROW()-ROW($AE$2),ROWS($AE$2:$AN$40))+1,INT((ROW()-ROW($AE$2))/ROWS($AE$2:$AN$40))+1)</f>
        <v>0</v>
      </c>
      <c r="AA245" t="e">
        <f t="shared" ca="1" si="11"/>
        <v>#N/A</v>
      </c>
      <c r="AB245" t="str" cm="1">
        <f t="array" aca="1" ref="AB245" ca="1">IFERROR(INDIRECT("$Z"&amp;AA245),"")</f>
        <v/>
      </c>
    </row>
    <row r="246" spans="5:28" x14ac:dyDescent="0.2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9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10"/>
        <v>#N/A</v>
      </c>
      <c r="W246" t="str" cm="1">
        <f t="array" aca="1" ref="W246" ca="1">IFERROR(INDIRECT("$U"&amp;V246),"")</f>
        <v/>
      </c>
      <c r="Z246" cm="1">
        <f t="array" ref="Z246">INDEX($AE$2:$AN$40,MOD(ROW()-ROW($AE$2),ROWS($AE$2:$AN$40))+1,INT((ROW()-ROW($AE$2))/ROWS($AE$2:$AN$40))+1)</f>
        <v>0</v>
      </c>
      <c r="AA246" t="e">
        <f t="shared" ca="1" si="11"/>
        <v>#N/A</v>
      </c>
      <c r="AB246" t="str" cm="1">
        <f t="array" aca="1" ref="AB246" ca="1">IFERROR(INDIRECT("$Z"&amp;AA246),"")</f>
        <v/>
      </c>
    </row>
    <row r="247" spans="5:28" x14ac:dyDescent="0.2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9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10"/>
        <v>#N/A</v>
      </c>
      <c r="W247" t="str" cm="1">
        <f t="array" aca="1" ref="W247" ca="1">IFERROR(INDIRECT("$U"&amp;V247),"")</f>
        <v/>
      </c>
      <c r="Z247" cm="1">
        <f t="array" ref="Z247">INDEX($AE$2:$AN$40,MOD(ROW()-ROW($AE$2),ROWS($AE$2:$AN$40))+1,INT((ROW()-ROW($AE$2))/ROWS($AE$2:$AN$40))+1)</f>
        <v>0</v>
      </c>
      <c r="AA247" t="e">
        <f t="shared" ca="1" si="11"/>
        <v>#N/A</v>
      </c>
      <c r="AB247" t="str" cm="1">
        <f t="array" aca="1" ref="AB247" ca="1">IFERROR(INDIRECT("$Z"&amp;AA247),"")</f>
        <v/>
      </c>
    </row>
    <row r="248" spans="5:28" x14ac:dyDescent="0.2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9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10"/>
        <v>#N/A</v>
      </c>
      <c r="W248" t="str" cm="1">
        <f t="array" aca="1" ref="W248" ca="1">IFERROR(INDIRECT("$U"&amp;V248),"")</f>
        <v/>
      </c>
      <c r="Z248" cm="1">
        <f t="array" ref="Z248">INDEX($AE$2:$AN$40,MOD(ROW()-ROW($AE$2),ROWS($AE$2:$AN$40))+1,INT((ROW()-ROW($AE$2))/ROWS($AE$2:$AN$40))+1)</f>
        <v>0</v>
      </c>
      <c r="AA248" t="e">
        <f t="shared" ca="1" si="11"/>
        <v>#N/A</v>
      </c>
      <c r="AB248" t="str" cm="1">
        <f t="array" aca="1" ref="AB248" ca="1">IFERROR(INDIRECT("$Z"&amp;AA248),"")</f>
        <v/>
      </c>
    </row>
    <row r="249" spans="5:28" x14ac:dyDescent="0.2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9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10"/>
        <v>#N/A</v>
      </c>
      <c r="W249" t="str" cm="1">
        <f t="array" aca="1" ref="W249" ca="1">IFERROR(INDIRECT("$U"&amp;V249),"")</f>
        <v/>
      </c>
      <c r="Z249" cm="1">
        <f t="array" ref="Z249">INDEX($AE$2:$AN$40,MOD(ROW()-ROW($AE$2),ROWS($AE$2:$AN$40))+1,INT((ROW()-ROW($AE$2))/ROWS($AE$2:$AN$40))+1)</f>
        <v>0</v>
      </c>
      <c r="AA249" t="e">
        <f t="shared" ca="1" si="11"/>
        <v>#N/A</v>
      </c>
      <c r="AB249" t="str" cm="1">
        <f t="array" aca="1" ref="AB249" ca="1">IFERROR(INDIRECT("$Z"&amp;AA249),"")</f>
        <v/>
      </c>
    </row>
    <row r="250" spans="5:28" x14ac:dyDescent="0.2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9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10"/>
        <v>#N/A</v>
      </c>
      <c r="W250" t="str" cm="1">
        <f t="array" aca="1" ref="W250" ca="1">IFERROR(INDIRECT("$U"&amp;V250),"")</f>
        <v/>
      </c>
      <c r="Z250" cm="1">
        <f t="array" ref="Z250">INDEX($AE$2:$AN$40,MOD(ROW()-ROW($AE$2),ROWS($AE$2:$AN$40))+1,INT((ROW()-ROW($AE$2))/ROWS($AE$2:$AN$40))+1)</f>
        <v>0</v>
      </c>
      <c r="AA250" t="e">
        <f t="shared" ca="1" si="11"/>
        <v>#N/A</v>
      </c>
      <c r="AB250" t="str" cm="1">
        <f t="array" aca="1" ref="AB250" ca="1">IFERROR(INDIRECT("$Z"&amp;AA250),"")</f>
        <v/>
      </c>
    </row>
    <row r="251" spans="5:28" x14ac:dyDescent="0.2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9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10"/>
        <v>#N/A</v>
      </c>
      <c r="W251" t="str" cm="1">
        <f t="array" aca="1" ref="W251" ca="1">IFERROR(INDIRECT("$U"&amp;V251),"")</f>
        <v/>
      </c>
      <c r="Z251" cm="1">
        <f t="array" ref="Z251">INDEX($AE$2:$AN$40,MOD(ROW()-ROW($AE$2),ROWS($AE$2:$AN$40))+1,INT((ROW()-ROW($AE$2))/ROWS($AE$2:$AN$40))+1)</f>
        <v>0</v>
      </c>
      <c r="AA251" t="e">
        <f t="shared" ca="1" si="11"/>
        <v>#N/A</v>
      </c>
      <c r="AB251" t="str" cm="1">
        <f t="array" aca="1" ref="AB251" ca="1">IFERROR(INDIRECT("$Z"&amp;AA251),"")</f>
        <v/>
      </c>
    </row>
    <row r="252" spans="5:28" x14ac:dyDescent="0.2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9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10"/>
        <v>#N/A</v>
      </c>
      <c r="W252" t="str" cm="1">
        <f t="array" aca="1" ref="W252" ca="1">IFERROR(INDIRECT("$U"&amp;V252),"")</f>
        <v/>
      </c>
      <c r="Z252" cm="1">
        <f t="array" ref="Z252">INDEX($AE$2:$AN$40,MOD(ROW()-ROW($AE$2),ROWS($AE$2:$AN$40))+1,INT((ROW()-ROW($AE$2))/ROWS($AE$2:$AN$40))+1)</f>
        <v>0</v>
      </c>
      <c r="AA252" t="e">
        <f t="shared" ca="1" si="11"/>
        <v>#N/A</v>
      </c>
      <c r="AB252" t="str" cm="1">
        <f t="array" aca="1" ref="AB252" ca="1">IFERROR(INDIRECT("$Z"&amp;AA252),"")</f>
        <v/>
      </c>
    </row>
    <row r="253" spans="5:28" x14ac:dyDescent="0.2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9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10"/>
        <v>#N/A</v>
      </c>
      <c r="W253" t="str" cm="1">
        <f t="array" aca="1" ref="W253" ca="1">IFERROR(INDIRECT("$U"&amp;V253),"")</f>
        <v/>
      </c>
      <c r="Z253" cm="1">
        <f t="array" ref="Z253">INDEX($AE$2:$AN$40,MOD(ROW()-ROW($AE$2),ROWS($AE$2:$AN$40))+1,INT((ROW()-ROW($AE$2))/ROWS($AE$2:$AN$40))+1)</f>
        <v>0</v>
      </c>
      <c r="AA253" t="e">
        <f t="shared" ca="1" si="11"/>
        <v>#N/A</v>
      </c>
      <c r="AB253" t="str" cm="1">
        <f t="array" aca="1" ref="AB253" ca="1">IFERROR(INDIRECT("$Z"&amp;AA253),"")</f>
        <v/>
      </c>
    </row>
    <row r="254" spans="5:28" x14ac:dyDescent="0.2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9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10"/>
        <v>#N/A</v>
      </c>
      <c r="W254" t="str" cm="1">
        <f t="array" aca="1" ref="W254" ca="1">IFERROR(INDIRECT("$U"&amp;V254),"")</f>
        <v/>
      </c>
      <c r="Z254" cm="1">
        <f t="array" ref="Z254">INDEX($AE$2:$AN$40,MOD(ROW()-ROW($AE$2),ROWS($AE$2:$AN$40))+1,INT((ROW()-ROW($AE$2))/ROWS($AE$2:$AN$40))+1)</f>
        <v>0</v>
      </c>
      <c r="AA254" t="e">
        <f t="shared" ca="1" si="11"/>
        <v>#N/A</v>
      </c>
      <c r="AB254" t="str" cm="1">
        <f t="array" aca="1" ref="AB254" ca="1">IFERROR(INDIRECT("$Z"&amp;AA254),"")</f>
        <v/>
      </c>
    </row>
    <row r="255" spans="5:28" x14ac:dyDescent="0.2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9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10"/>
        <v>#N/A</v>
      </c>
      <c r="W255" t="str" cm="1">
        <f t="array" aca="1" ref="W255" ca="1">IFERROR(INDIRECT("$U"&amp;V255),"")</f>
        <v/>
      </c>
      <c r="Z255" cm="1">
        <f t="array" ref="Z255">INDEX($AE$2:$AN$40,MOD(ROW()-ROW($AE$2),ROWS($AE$2:$AN$40))+1,INT((ROW()-ROW($AE$2))/ROWS($AE$2:$AN$40))+1)</f>
        <v>0</v>
      </c>
      <c r="AA255" t="e">
        <f t="shared" ca="1" si="11"/>
        <v>#N/A</v>
      </c>
      <c r="AB255" t="str" cm="1">
        <f t="array" aca="1" ref="AB255" ca="1">IFERROR(INDIRECT("$Z"&amp;AA255),"")</f>
        <v/>
      </c>
    </row>
    <row r="256" spans="5:28" x14ac:dyDescent="0.2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9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10"/>
        <v>#N/A</v>
      </c>
      <c r="W256" t="str" cm="1">
        <f t="array" aca="1" ref="W256" ca="1">IFERROR(INDIRECT("$U"&amp;V256),"")</f>
        <v/>
      </c>
      <c r="Z256" cm="1">
        <f t="array" ref="Z256">INDEX($AE$2:$AN$40,MOD(ROW()-ROW($AE$2),ROWS($AE$2:$AN$40))+1,INT((ROW()-ROW($AE$2))/ROWS($AE$2:$AN$40))+1)</f>
        <v>0</v>
      </c>
      <c r="AA256" t="e">
        <f t="shared" ca="1" si="11"/>
        <v>#N/A</v>
      </c>
      <c r="AB256" t="str" cm="1">
        <f t="array" aca="1" ref="AB256" ca="1">IFERROR(INDIRECT("$Z"&amp;AA256),"")</f>
        <v/>
      </c>
    </row>
    <row r="257" spans="5:28" x14ac:dyDescent="0.2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9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10"/>
        <v>#N/A</v>
      </c>
      <c r="W257" t="str" cm="1">
        <f t="array" aca="1" ref="W257" ca="1">IFERROR(INDIRECT("$U"&amp;V257),"")</f>
        <v/>
      </c>
      <c r="Z257" cm="1">
        <f t="array" ref="Z257">INDEX($AE$2:$AN$40,MOD(ROW()-ROW($AE$2),ROWS($AE$2:$AN$40))+1,INT((ROW()-ROW($AE$2))/ROWS($AE$2:$AN$40))+1)</f>
        <v>0</v>
      </c>
      <c r="AA257" t="e">
        <f t="shared" ca="1" si="11"/>
        <v>#N/A</v>
      </c>
      <c r="AB257" t="str" cm="1">
        <f t="array" aca="1" ref="AB257" ca="1">IFERROR(INDIRECT("$Z"&amp;AA257),"")</f>
        <v/>
      </c>
    </row>
    <row r="258" spans="5:28" x14ac:dyDescent="0.2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9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10"/>
        <v>#N/A</v>
      </c>
      <c r="W258" t="str" cm="1">
        <f t="array" aca="1" ref="W258" ca="1">IFERROR(INDIRECT("$U"&amp;V258),"")</f>
        <v/>
      </c>
      <c r="Z258" cm="1">
        <f t="array" ref="Z258">INDEX($AE$2:$AN$40,MOD(ROW()-ROW($AE$2),ROWS($AE$2:$AN$40))+1,INT((ROW()-ROW($AE$2))/ROWS($AE$2:$AN$40))+1)</f>
        <v>0</v>
      </c>
      <c r="AA258" t="e">
        <f t="shared" ca="1" si="11"/>
        <v>#N/A</v>
      </c>
      <c r="AB258" t="str" cm="1">
        <f t="array" aca="1" ref="AB258" ca="1">IFERROR(INDIRECT("$Z"&amp;AA258),"")</f>
        <v/>
      </c>
    </row>
    <row r="259" spans="5:28" x14ac:dyDescent="0.2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9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10"/>
        <v>#N/A</v>
      </c>
      <c r="W259" t="str" cm="1">
        <f t="array" aca="1" ref="W259" ca="1">IFERROR(INDIRECT("$U"&amp;V259),"")</f>
        <v/>
      </c>
      <c r="Z259" cm="1">
        <f t="array" ref="Z259">INDEX($AE$2:$AN$40,MOD(ROW()-ROW($AE$2),ROWS($AE$2:$AN$40))+1,INT((ROW()-ROW($AE$2))/ROWS($AE$2:$AN$40))+1)</f>
        <v>0</v>
      </c>
      <c r="AA259" t="e">
        <f t="shared" ca="1" si="11"/>
        <v>#N/A</v>
      </c>
      <c r="AB259" t="str" cm="1">
        <f t="array" aca="1" ref="AB259" ca="1">IFERROR(INDIRECT("$Z"&amp;AA259),"")</f>
        <v/>
      </c>
    </row>
    <row r="260" spans="5:28" x14ac:dyDescent="0.2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1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1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INDEX($AE$2:$AN$40,MOD(ROW()-ROW($AE$2),ROWS($AE$2:$AN$40))+1,INT((ROW()-ROW($AE$2))/ROWS($AE$2:$AN$40))+1)</f>
        <v>0</v>
      </c>
      <c r="AA260" t="e">
        <f t="shared" ref="AA260:AA323" ca="1" si="14">MATCH("*",INDIRECT(ADDRESS(AA259+1,26,1)&amp;":$Z$1000"),0)+AA259</f>
        <v>#N/A</v>
      </c>
      <c r="AB260" t="str" cm="1">
        <f t="array" aca="1" ref="AB260" ca="1">IFERROR(INDIRECT("$Z"&amp;AA260),"")</f>
        <v/>
      </c>
    </row>
    <row r="261" spans="5:28" x14ac:dyDescent="0.2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1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13"/>
        <v>#N/A</v>
      </c>
      <c r="W261" t="str" cm="1">
        <f t="array" aca="1" ref="W261" ca="1">IFERROR(INDIRECT("$U"&amp;V261),"")</f>
        <v/>
      </c>
      <c r="Z261" cm="1">
        <f t="array" ref="Z261">INDEX($AE$2:$AN$40,MOD(ROW()-ROW($AE$2),ROWS($AE$2:$AN$40))+1,INT((ROW()-ROW($AE$2))/ROWS($AE$2:$AN$40))+1)</f>
        <v>0</v>
      </c>
      <c r="AA261" t="e">
        <f t="shared" ca="1" si="14"/>
        <v>#N/A</v>
      </c>
      <c r="AB261" t="str" cm="1">
        <f t="array" aca="1" ref="AB261" ca="1">IFERROR(INDIRECT("$Z"&amp;AA261),"")</f>
        <v/>
      </c>
    </row>
    <row r="262" spans="5:28" x14ac:dyDescent="0.2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1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13"/>
        <v>#N/A</v>
      </c>
      <c r="W262" t="str" cm="1">
        <f t="array" aca="1" ref="W262" ca="1">IFERROR(INDIRECT("$U"&amp;V262),"")</f>
        <v/>
      </c>
      <c r="Z262" cm="1">
        <f t="array" ref="Z262">INDEX($AE$2:$AN$40,MOD(ROW()-ROW($AE$2),ROWS($AE$2:$AN$40))+1,INT((ROW()-ROW($AE$2))/ROWS($AE$2:$AN$40))+1)</f>
        <v>0</v>
      </c>
      <c r="AA262" t="e">
        <f t="shared" ca="1" si="14"/>
        <v>#N/A</v>
      </c>
      <c r="AB262" t="str" cm="1">
        <f t="array" aca="1" ref="AB262" ca="1">IFERROR(INDIRECT("$Z"&amp;AA262),"")</f>
        <v/>
      </c>
    </row>
    <row r="263" spans="5:28" x14ac:dyDescent="0.2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1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13"/>
        <v>#N/A</v>
      </c>
      <c r="W263" t="str" cm="1">
        <f t="array" aca="1" ref="W263" ca="1">IFERROR(INDIRECT("$U"&amp;V263),"")</f>
        <v/>
      </c>
      <c r="Z263" cm="1">
        <f t="array" ref="Z263">INDEX($AE$2:$AN$40,MOD(ROW()-ROW($AE$2),ROWS($AE$2:$AN$40))+1,INT((ROW()-ROW($AE$2))/ROWS($AE$2:$AN$40))+1)</f>
        <v>0</v>
      </c>
      <c r="AA263" t="e">
        <f t="shared" ca="1" si="14"/>
        <v>#N/A</v>
      </c>
      <c r="AB263" t="str" cm="1">
        <f t="array" aca="1" ref="AB263" ca="1">IFERROR(INDIRECT("$Z"&amp;AA263),"")</f>
        <v/>
      </c>
    </row>
    <row r="264" spans="5:28" x14ac:dyDescent="0.2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1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13"/>
        <v>#N/A</v>
      </c>
      <c r="W264" t="str" cm="1">
        <f t="array" aca="1" ref="W264" ca="1">IFERROR(INDIRECT("$U"&amp;V264),"")</f>
        <v/>
      </c>
      <c r="Z264" cm="1">
        <f t="array" ref="Z264">INDEX($AE$2:$AN$40,MOD(ROW()-ROW($AE$2),ROWS($AE$2:$AN$40))+1,INT((ROW()-ROW($AE$2))/ROWS($AE$2:$AN$40))+1)</f>
        <v>0</v>
      </c>
      <c r="AA264" t="e">
        <f t="shared" ca="1" si="14"/>
        <v>#N/A</v>
      </c>
      <c r="AB264" t="str" cm="1">
        <f t="array" aca="1" ref="AB264" ca="1">IFERROR(INDIRECT("$Z"&amp;AA264),"")</f>
        <v/>
      </c>
    </row>
    <row r="265" spans="5:28" x14ac:dyDescent="0.2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1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13"/>
        <v>#N/A</v>
      </c>
      <c r="W265" t="str" cm="1">
        <f t="array" aca="1" ref="W265" ca="1">IFERROR(INDIRECT("$U"&amp;V265),"")</f>
        <v/>
      </c>
      <c r="Z265" cm="1">
        <f t="array" ref="Z265">INDEX($AE$2:$AN$40,MOD(ROW()-ROW($AE$2),ROWS($AE$2:$AN$40))+1,INT((ROW()-ROW($AE$2))/ROWS($AE$2:$AN$40))+1)</f>
        <v>0</v>
      </c>
      <c r="AA265" t="e">
        <f t="shared" ca="1" si="14"/>
        <v>#N/A</v>
      </c>
      <c r="AB265" t="str" cm="1">
        <f t="array" aca="1" ref="AB265" ca="1">IFERROR(INDIRECT("$Z"&amp;AA265),"")</f>
        <v/>
      </c>
    </row>
    <row r="266" spans="5:28" x14ac:dyDescent="0.2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1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13"/>
        <v>#N/A</v>
      </c>
      <c r="W266" t="str" cm="1">
        <f t="array" aca="1" ref="W266" ca="1">IFERROR(INDIRECT("$U"&amp;V266),"")</f>
        <v/>
      </c>
      <c r="Z266" cm="1">
        <f t="array" ref="Z266">INDEX($AE$2:$AN$40,MOD(ROW()-ROW($AE$2),ROWS($AE$2:$AN$40))+1,INT((ROW()-ROW($AE$2))/ROWS($AE$2:$AN$40))+1)</f>
        <v>0</v>
      </c>
      <c r="AA266" t="e">
        <f t="shared" ca="1" si="14"/>
        <v>#N/A</v>
      </c>
      <c r="AB266" t="str" cm="1">
        <f t="array" aca="1" ref="AB266" ca="1">IFERROR(INDIRECT("$Z"&amp;AA266),"")</f>
        <v/>
      </c>
    </row>
    <row r="267" spans="5:28" x14ac:dyDescent="0.2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1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13"/>
        <v>#N/A</v>
      </c>
      <c r="W267" t="str" cm="1">
        <f t="array" aca="1" ref="W267" ca="1">IFERROR(INDIRECT("$U"&amp;V267),"")</f>
        <v/>
      </c>
      <c r="Z267" cm="1">
        <f t="array" ref="Z267">INDEX($AE$2:$AN$40,MOD(ROW()-ROW($AE$2),ROWS($AE$2:$AN$40))+1,INT((ROW()-ROW($AE$2))/ROWS($AE$2:$AN$40))+1)</f>
        <v>0</v>
      </c>
      <c r="AA267" t="e">
        <f t="shared" ca="1" si="14"/>
        <v>#N/A</v>
      </c>
      <c r="AB267" t="str" cm="1">
        <f t="array" aca="1" ref="AB267" ca="1">IFERROR(INDIRECT("$Z"&amp;AA267),"")</f>
        <v/>
      </c>
    </row>
    <row r="268" spans="5:28" x14ac:dyDescent="0.2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1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13"/>
        <v>#N/A</v>
      </c>
      <c r="W268" t="str" cm="1">
        <f t="array" aca="1" ref="W268" ca="1">IFERROR(INDIRECT("$U"&amp;V268),"")</f>
        <v/>
      </c>
      <c r="Z268" cm="1">
        <f t="array" ref="Z268">INDEX($AE$2:$AN$40,MOD(ROW()-ROW($AE$2),ROWS($AE$2:$AN$40))+1,INT((ROW()-ROW($AE$2))/ROWS($AE$2:$AN$40))+1)</f>
        <v>0</v>
      </c>
      <c r="AA268" t="e">
        <f t="shared" ca="1" si="14"/>
        <v>#N/A</v>
      </c>
      <c r="AB268" t="str" cm="1">
        <f t="array" aca="1" ref="AB268" ca="1">IFERROR(INDIRECT("$Z"&amp;AA268),"")</f>
        <v/>
      </c>
    </row>
    <row r="269" spans="5:28" x14ac:dyDescent="0.2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1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13"/>
        <v>#N/A</v>
      </c>
      <c r="W269" t="str" cm="1">
        <f t="array" aca="1" ref="W269" ca="1">IFERROR(INDIRECT("$U"&amp;V269),"")</f>
        <v/>
      </c>
      <c r="Z269" cm="1">
        <f t="array" ref="Z269">INDEX($AE$2:$AN$40,MOD(ROW()-ROW($AE$2),ROWS($AE$2:$AN$40))+1,INT((ROW()-ROW($AE$2))/ROWS($AE$2:$AN$40))+1)</f>
        <v>0</v>
      </c>
      <c r="AA269" t="e">
        <f t="shared" ca="1" si="14"/>
        <v>#N/A</v>
      </c>
      <c r="AB269" t="str" cm="1">
        <f t="array" aca="1" ref="AB269" ca="1">IFERROR(INDIRECT("$Z"&amp;AA269),"")</f>
        <v/>
      </c>
    </row>
    <row r="270" spans="5:28" x14ac:dyDescent="0.2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1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13"/>
        <v>#N/A</v>
      </c>
      <c r="W270" t="str" cm="1">
        <f t="array" aca="1" ref="W270" ca="1">IFERROR(INDIRECT("$U"&amp;V270),"")</f>
        <v/>
      </c>
      <c r="Z270" cm="1">
        <f t="array" ref="Z270">INDEX($AE$2:$AN$40,MOD(ROW()-ROW($AE$2),ROWS($AE$2:$AN$40))+1,INT((ROW()-ROW($AE$2))/ROWS($AE$2:$AN$40))+1)</f>
        <v>0</v>
      </c>
      <c r="AA270" t="e">
        <f t="shared" ca="1" si="14"/>
        <v>#N/A</v>
      </c>
      <c r="AB270" t="str" cm="1">
        <f t="array" aca="1" ref="AB270" ca="1">IFERROR(INDIRECT("$Z"&amp;AA270),"")</f>
        <v/>
      </c>
    </row>
    <row r="271" spans="5:28" x14ac:dyDescent="0.2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1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13"/>
        <v>#N/A</v>
      </c>
      <c r="W271" t="str" cm="1">
        <f t="array" aca="1" ref="W271" ca="1">IFERROR(INDIRECT("$U"&amp;V271),"")</f>
        <v/>
      </c>
      <c r="Z271" cm="1">
        <f t="array" ref="Z271">INDEX($AE$2:$AN$40,MOD(ROW()-ROW($AE$2),ROWS($AE$2:$AN$40))+1,INT((ROW()-ROW($AE$2))/ROWS($AE$2:$AN$40))+1)</f>
        <v>0</v>
      </c>
      <c r="AA271" t="e">
        <f t="shared" ca="1" si="14"/>
        <v>#N/A</v>
      </c>
      <c r="AB271" t="str" cm="1">
        <f t="array" aca="1" ref="AB271" ca="1">IFERROR(INDIRECT("$Z"&amp;AA271),"")</f>
        <v/>
      </c>
    </row>
    <row r="272" spans="5:28" x14ac:dyDescent="0.2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1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13"/>
        <v>#N/A</v>
      </c>
      <c r="W272" t="str" cm="1">
        <f t="array" aca="1" ref="W272" ca="1">IFERROR(INDIRECT("$U"&amp;V272),"")</f>
        <v/>
      </c>
      <c r="Z272" cm="1">
        <f t="array" ref="Z272">INDEX($AE$2:$AN$40,MOD(ROW()-ROW($AE$2),ROWS($AE$2:$AN$40))+1,INT((ROW()-ROW($AE$2))/ROWS($AE$2:$AN$40))+1)</f>
        <v>0</v>
      </c>
      <c r="AA272" t="e">
        <f t="shared" ca="1" si="14"/>
        <v>#N/A</v>
      </c>
      <c r="AB272" t="str" cm="1">
        <f t="array" aca="1" ref="AB272" ca="1">IFERROR(INDIRECT("$Z"&amp;AA272),"")</f>
        <v/>
      </c>
    </row>
    <row r="273" spans="5:28" x14ac:dyDescent="0.2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1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13"/>
        <v>#N/A</v>
      </c>
      <c r="W273" t="str" cm="1">
        <f t="array" aca="1" ref="W273" ca="1">IFERROR(INDIRECT("$U"&amp;V273),"")</f>
        <v/>
      </c>
      <c r="Z273" cm="1">
        <f t="array" ref="Z273">INDEX($AE$2:$AN$40,MOD(ROW()-ROW($AE$2),ROWS($AE$2:$AN$40))+1,INT((ROW()-ROW($AE$2))/ROWS($AE$2:$AN$40))+1)</f>
        <v>0</v>
      </c>
      <c r="AA273" t="e">
        <f t="shared" ca="1" si="14"/>
        <v>#N/A</v>
      </c>
      <c r="AB273" t="str" cm="1">
        <f t="array" aca="1" ref="AB273" ca="1">IFERROR(INDIRECT("$Z"&amp;AA273),"")</f>
        <v/>
      </c>
    </row>
    <row r="274" spans="5:28" x14ac:dyDescent="0.2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1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13"/>
        <v>#N/A</v>
      </c>
      <c r="W274" t="str" cm="1">
        <f t="array" aca="1" ref="W274" ca="1">IFERROR(INDIRECT("$U"&amp;V274),"")</f>
        <v/>
      </c>
      <c r="Z274" cm="1">
        <f t="array" ref="Z274">INDEX($AE$2:$AN$40,MOD(ROW()-ROW($AE$2),ROWS($AE$2:$AN$40))+1,INT((ROW()-ROW($AE$2))/ROWS($AE$2:$AN$40))+1)</f>
        <v>0</v>
      </c>
      <c r="AA274" t="e">
        <f t="shared" ca="1" si="14"/>
        <v>#N/A</v>
      </c>
      <c r="AB274" t="str" cm="1">
        <f t="array" aca="1" ref="AB274" ca="1">IFERROR(INDIRECT("$Z"&amp;AA274),"")</f>
        <v/>
      </c>
    </row>
    <row r="275" spans="5:28" x14ac:dyDescent="0.2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1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13"/>
        <v>#N/A</v>
      </c>
      <c r="W275" t="str" cm="1">
        <f t="array" aca="1" ref="W275" ca="1">IFERROR(INDIRECT("$U"&amp;V275),"")</f>
        <v/>
      </c>
      <c r="Z275" t="str" cm="1">
        <f t="array" aca="1" ref="Z275" ca="1">INDEX($AE$2:$AN$40,MOD(ROW()-ROW($AE$2),ROWS($AE$2:$AN$40))+1,INT((ROW()-ROW($AE$2))/ROWS($AE$2:$AN$40))+1)</f>
        <v>033A_temperature_controller</v>
      </c>
      <c r="AA275" t="e">
        <f t="shared" ca="1" si="14"/>
        <v>#N/A</v>
      </c>
      <c r="AB275" t="str" cm="1">
        <f t="array" aca="1" ref="AB275" ca="1">IFERROR(INDIRECT("$Z"&amp;AA275),"")</f>
        <v/>
      </c>
    </row>
    <row r="276" spans="5:28" x14ac:dyDescent="0.2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1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13"/>
        <v>#N/A</v>
      </c>
      <c r="W276" t="str" cm="1">
        <f t="array" aca="1" ref="W276" ca="1">IFERROR(INDIRECT("$U"&amp;V276),"")</f>
        <v/>
      </c>
      <c r="Z276" t="str" cm="1">
        <f t="array" aca="1" ref="Z276" ca="1">INDEX($AE$2:$AN$40,MOD(ROW()-ROW($AE$2),ROWS($AE$2:$AN$40))+1,INT((ROW()-ROW($AE$2))/ROWS($AE$2:$AN$40))+1)</f>
        <v>033A_co2_controller</v>
      </c>
      <c r="AA276" t="e">
        <f t="shared" ca="1" si="14"/>
        <v>#N/A</v>
      </c>
      <c r="AB276" t="str" cm="1">
        <f t="array" aca="1" ref="AB276" ca="1">IFERROR(INDIRECT("$Z"&amp;AA276),"")</f>
        <v/>
      </c>
    </row>
    <row r="277" spans="5:28" x14ac:dyDescent="0.2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1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13"/>
        <v>#N/A</v>
      </c>
      <c r="W277" t="str" cm="1">
        <f t="array" aca="1" ref="W277" ca="1">IFERROR(INDIRECT("$U"&amp;V277),"")</f>
        <v/>
      </c>
      <c r="Z277" t="str" cm="1">
        <f t="array" aca="1" ref="Z277" ca="1">INDEX($AE$2:$AN$40,MOD(ROW()-ROW($AE$2),ROWS($AE$2:$AN$40))+1,INT((ROW()-ROW($AE$2))/ROWS($AE$2:$AN$40))+1)</f>
        <v>031A_temperature_controller</v>
      </c>
      <c r="AA277" t="e">
        <f t="shared" ca="1" si="14"/>
        <v>#N/A</v>
      </c>
      <c r="AB277" t="str" cm="1">
        <f t="array" aca="1" ref="AB277" ca="1">IFERROR(INDIRECT("$Z"&amp;AA277),"")</f>
        <v/>
      </c>
    </row>
    <row r="278" spans="5:28" x14ac:dyDescent="0.2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1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13"/>
        <v>#N/A</v>
      </c>
      <c r="W278" t="str" cm="1">
        <f t="array" aca="1" ref="W278" ca="1">IFERROR(INDIRECT("$U"&amp;V278),"")</f>
        <v/>
      </c>
      <c r="Z278" t="str" cm="1">
        <f t="array" aca="1" ref="Z278" ca="1">INDEX($AE$2:$AN$40,MOD(ROW()-ROW($AE$2),ROWS($AE$2:$AN$40))+1,INT((ROW()-ROW($AE$2))/ROWS($AE$2:$AN$40))+1)</f>
        <v>031A_co2_controller</v>
      </c>
      <c r="AA278" t="e">
        <f t="shared" ca="1" si="14"/>
        <v>#N/A</v>
      </c>
      <c r="AB278" t="str" cm="1">
        <f t="array" aca="1" ref="AB278" ca="1">IFERROR(INDIRECT("$Z"&amp;AA278),"")</f>
        <v/>
      </c>
    </row>
    <row r="279" spans="5:28" x14ac:dyDescent="0.2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1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13"/>
        <v>#N/A</v>
      </c>
      <c r="W279" t="str" cm="1">
        <f t="array" aca="1" ref="W279" ca="1">IFERROR(INDIRECT("$U"&amp;V279),"")</f>
        <v/>
      </c>
      <c r="Z279" t="str" cm="1">
        <f t="array" aca="1" ref="Z279" ca="1">INDEX($AE$2:$AN$40,MOD(ROW()-ROW($AE$2),ROWS($AE$2:$AN$40))+1,INT((ROW()-ROW($AE$2))/ROWS($AE$2:$AN$40))+1)</f>
        <v>035A_temperature_controller</v>
      </c>
      <c r="AA279" t="e">
        <f t="shared" ca="1" si="14"/>
        <v>#N/A</v>
      </c>
      <c r="AB279" t="str" cm="1">
        <f t="array" aca="1" ref="AB279" ca="1">IFERROR(INDIRECT("$Z"&amp;AA279),"")</f>
        <v/>
      </c>
    </row>
    <row r="280" spans="5:28" x14ac:dyDescent="0.2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1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13"/>
        <v>#N/A</v>
      </c>
      <c r="W280" t="str" cm="1">
        <f t="array" aca="1" ref="W280" ca="1">IFERROR(INDIRECT("$U"&amp;V280),"")</f>
        <v/>
      </c>
      <c r="Z280" t="str" cm="1">
        <f t="array" aca="1" ref="Z280" ca="1">INDEX($AE$2:$AN$40,MOD(ROW()-ROW($AE$2),ROWS($AE$2:$AN$40))+1,INT((ROW()-ROW($AE$2))/ROWS($AE$2:$AN$40))+1)</f>
        <v>035A_co2_controller</v>
      </c>
      <c r="AA280" t="e">
        <f t="shared" ca="1" si="14"/>
        <v>#N/A</v>
      </c>
      <c r="AB280" t="str" cm="1">
        <f t="array" aca="1" ref="AB280" ca="1">IFERROR(INDIRECT("$Z"&amp;AA280),"")</f>
        <v/>
      </c>
    </row>
    <row r="281" spans="5:28" x14ac:dyDescent="0.2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1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13"/>
        <v>#N/A</v>
      </c>
      <c r="W281" t="str" cm="1">
        <f t="array" aca="1" ref="W281" ca="1">IFERROR(INDIRECT("$U"&amp;V281),"")</f>
        <v/>
      </c>
      <c r="Z281" t="str" cm="1">
        <f t="array" aca="1" ref="Z281" ca="1">INDEX($AE$2:$AN$40,MOD(ROW()-ROW($AE$2),ROWS($AE$2:$AN$40))+1,INT((ROW()-ROW($AE$2))/ROWS($AE$2:$AN$40))+1)</f>
        <v>029A_temperature_controller</v>
      </c>
      <c r="AA281" t="e">
        <f t="shared" ca="1" si="14"/>
        <v>#N/A</v>
      </c>
      <c r="AB281" t="str" cm="1">
        <f t="array" aca="1" ref="AB281" ca="1">IFERROR(INDIRECT("$Z"&amp;AA281),"")</f>
        <v/>
      </c>
    </row>
    <row r="282" spans="5:28" x14ac:dyDescent="0.2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1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13"/>
        <v>#N/A</v>
      </c>
      <c r="W282" t="str" cm="1">
        <f t="array" aca="1" ref="W282" ca="1">IFERROR(INDIRECT("$U"&amp;V282),"")</f>
        <v/>
      </c>
      <c r="Z282" t="str" cm="1">
        <f t="array" aca="1" ref="Z282" ca="1">INDEX($AE$2:$AN$40,MOD(ROW()-ROW($AE$2),ROWS($AE$2:$AN$40))+1,INT((ROW()-ROW($AE$2))/ROWS($AE$2:$AN$40))+1)</f>
        <v>029A_co2_controller</v>
      </c>
      <c r="AA282" t="e">
        <f t="shared" ca="1" si="14"/>
        <v>#N/A</v>
      </c>
      <c r="AB282" t="str" cm="1">
        <f t="array" aca="1" ref="AB282" ca="1">IFERROR(INDIRECT("$Z"&amp;AA282),"")</f>
        <v/>
      </c>
    </row>
    <row r="283" spans="5:28" x14ac:dyDescent="0.2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1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13"/>
        <v>#N/A</v>
      </c>
      <c r="W283" t="str" cm="1">
        <f t="array" aca="1" ref="W283" ca="1">IFERROR(INDIRECT("$U"&amp;V283),"")</f>
        <v/>
      </c>
      <c r="Z283" t="str" cm="1">
        <f t="array" aca="1" ref="Z283" ca="1">INDEX($AE$2:$AN$40,MOD(ROW()-ROW($AE$2),ROWS($AE$2:$AN$40))+1,INT((ROW()-ROW($AE$2))/ROWS($AE$2:$AN$40))+1)</f>
        <v>020A_temperature_controller</v>
      </c>
      <c r="AA283" t="e">
        <f t="shared" ca="1" si="14"/>
        <v>#N/A</v>
      </c>
      <c r="AB283" t="str" cm="1">
        <f t="array" aca="1" ref="AB283" ca="1">IFERROR(INDIRECT("$Z"&amp;AA283),"")</f>
        <v/>
      </c>
    </row>
    <row r="284" spans="5:28" x14ac:dyDescent="0.2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1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13"/>
        <v>#N/A</v>
      </c>
      <c r="W284" t="str" cm="1">
        <f t="array" aca="1" ref="W284" ca="1">IFERROR(INDIRECT("$U"&amp;V284),"")</f>
        <v/>
      </c>
      <c r="Z284" t="str" cm="1">
        <f t="array" aca="1" ref="Z284" ca="1">INDEX($AE$2:$AN$40,MOD(ROW()-ROW($AE$2),ROWS($AE$2:$AN$40))+1,INT((ROW()-ROW($AE$2))/ROWS($AE$2:$AN$40))+1)</f>
        <v>020A_co2_controller</v>
      </c>
      <c r="AA284" t="e">
        <f t="shared" ca="1" si="14"/>
        <v>#N/A</v>
      </c>
      <c r="AB284" t="str" cm="1">
        <f t="array" aca="1" ref="AB284" ca="1">IFERROR(INDIRECT("$Z"&amp;AA284),"")</f>
        <v/>
      </c>
    </row>
    <row r="285" spans="5:28" x14ac:dyDescent="0.2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1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13"/>
        <v>#N/A</v>
      </c>
      <c r="W285" t="str" cm="1">
        <f t="array" aca="1" ref="W285" ca="1">IFERROR(INDIRECT("$U"&amp;V285),"")</f>
        <v/>
      </c>
      <c r="Z285" t="str" cm="1">
        <f t="array" aca="1" ref="Z285" ca="1">INDEX($AE$2:$AN$40,MOD(ROW()-ROW($AE$2),ROWS($AE$2:$AN$40))+1,INT((ROW()-ROW($AE$2))/ROWS($AE$2:$AN$40))+1)</f>
        <v>012A_temperature_controller</v>
      </c>
      <c r="AA285" t="e">
        <f t="shared" ca="1" si="14"/>
        <v>#N/A</v>
      </c>
      <c r="AB285" t="str" cm="1">
        <f t="array" aca="1" ref="AB285" ca="1">IFERROR(INDIRECT("$Z"&amp;AA285),"")</f>
        <v/>
      </c>
    </row>
    <row r="286" spans="5:28" x14ac:dyDescent="0.2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1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13"/>
        <v>#N/A</v>
      </c>
      <c r="W286" t="str" cm="1">
        <f t="array" aca="1" ref="W286" ca="1">IFERROR(INDIRECT("$U"&amp;V286),"")</f>
        <v/>
      </c>
      <c r="Z286" t="str" cm="1">
        <f t="array" aca="1" ref="Z286" ca="1">INDEX($AE$2:$AN$40,MOD(ROW()-ROW($AE$2),ROWS($AE$2:$AN$40))+1,INT((ROW()-ROW($AE$2))/ROWS($AE$2:$AN$40))+1)</f>
        <v>012A_co2_controller</v>
      </c>
      <c r="AA286" t="e">
        <f t="shared" ca="1" si="14"/>
        <v>#N/A</v>
      </c>
      <c r="AB286" t="str" cm="1">
        <f t="array" aca="1" ref="AB286" ca="1">IFERROR(INDIRECT("$Z"&amp;AA286),"")</f>
        <v/>
      </c>
    </row>
    <row r="287" spans="5:28" x14ac:dyDescent="0.2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1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13"/>
        <v>#N/A</v>
      </c>
      <c r="W287" t="str" cm="1">
        <f t="array" aca="1" ref="W287" ca="1">IFERROR(INDIRECT("$U"&amp;V287),"")</f>
        <v/>
      </c>
      <c r="Z287" t="str" cm="1">
        <f t="array" aca="1" ref="Z287" ca="1">INDEX($AE$2:$AN$40,MOD(ROW()-ROW($AE$2),ROWS($AE$2:$AN$40))+1,INT((ROW()-ROW($AE$2))/ROWS($AE$2:$AN$40))+1)</f>
        <v>008A_temperature_controller</v>
      </c>
      <c r="AA287" t="e">
        <f t="shared" ca="1" si="14"/>
        <v>#N/A</v>
      </c>
      <c r="AB287" t="str" cm="1">
        <f t="array" aca="1" ref="AB287" ca="1">IFERROR(INDIRECT("$Z"&amp;AA287),"")</f>
        <v/>
      </c>
    </row>
    <row r="288" spans="5:28" x14ac:dyDescent="0.2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1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13"/>
        <v>#N/A</v>
      </c>
      <c r="W288" t="str" cm="1">
        <f t="array" aca="1" ref="W288" ca="1">IFERROR(INDIRECT("$U"&amp;V288),"")</f>
        <v/>
      </c>
      <c r="Z288" t="str" cm="1">
        <f t="array" aca="1" ref="Z288" ca="1">INDEX($AE$2:$AN$40,MOD(ROW()-ROW($AE$2),ROWS($AE$2:$AN$40))+1,INT((ROW()-ROW($AE$2))/ROWS($AE$2:$AN$40))+1)</f>
        <v>008A_co2_controller</v>
      </c>
      <c r="AA288" t="e">
        <f t="shared" ca="1" si="14"/>
        <v>#N/A</v>
      </c>
      <c r="AB288" t="str" cm="1">
        <f t="array" aca="1" ref="AB288" ca="1">IFERROR(INDIRECT("$Z"&amp;AA288),"")</f>
        <v/>
      </c>
    </row>
    <row r="289" spans="5:28" x14ac:dyDescent="0.2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1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13"/>
        <v>#N/A</v>
      </c>
      <c r="W289" t="str" cm="1">
        <f t="array" aca="1" ref="W289" ca="1">IFERROR(INDIRECT("$U"&amp;V289),"")</f>
        <v/>
      </c>
      <c r="Z289" t="str" cm="1">
        <f t="array" aca="1" ref="Z289" ca="1">INDEX($AE$2:$AN$40,MOD(ROW()-ROW($AE$2),ROWS($AE$2:$AN$40))+1,INT((ROW()-ROW($AE$2))/ROWS($AE$2:$AN$40))+1)</f>
        <v>007A_temperature_controller</v>
      </c>
      <c r="AA289" t="e">
        <f t="shared" ca="1" si="14"/>
        <v>#N/A</v>
      </c>
      <c r="AB289" t="str" cm="1">
        <f t="array" aca="1" ref="AB289" ca="1">IFERROR(INDIRECT("$Z"&amp;AA289),"")</f>
        <v/>
      </c>
    </row>
    <row r="290" spans="5:28" x14ac:dyDescent="0.2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1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13"/>
        <v>#N/A</v>
      </c>
      <c r="W290" t="str" cm="1">
        <f t="array" aca="1" ref="W290" ca="1">IFERROR(INDIRECT("$U"&amp;V290),"")</f>
        <v/>
      </c>
      <c r="Z290" t="str" cm="1">
        <f t="array" aca="1" ref="Z290" ca="1">INDEX($AE$2:$AN$40,MOD(ROW()-ROW($AE$2),ROWS($AE$2:$AN$40))+1,INT((ROW()-ROW($AE$2))/ROWS($AE$2:$AN$40))+1)</f>
        <v>007A_co2_controller</v>
      </c>
      <c r="AA290" t="e">
        <f t="shared" ca="1" si="14"/>
        <v>#N/A</v>
      </c>
      <c r="AB290" t="str" cm="1">
        <f t="array" aca="1" ref="AB290" ca="1">IFERROR(INDIRECT("$Z"&amp;AA290),"")</f>
        <v/>
      </c>
    </row>
    <row r="291" spans="5:28" x14ac:dyDescent="0.2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1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13"/>
        <v>#N/A</v>
      </c>
      <c r="W291" t="str" cm="1">
        <f t="array" aca="1" ref="W291" ca="1">IFERROR(INDIRECT("$U"&amp;V291),"")</f>
        <v/>
      </c>
      <c r="Z291" cm="1">
        <f t="array" ref="Z291">INDEX($AE$2:$AN$40,MOD(ROW()-ROW($AE$2),ROWS($AE$2:$AN$40))+1,INT((ROW()-ROW($AE$2))/ROWS($AE$2:$AN$40))+1)</f>
        <v>0</v>
      </c>
      <c r="AA291" t="e">
        <f t="shared" ca="1" si="14"/>
        <v>#N/A</v>
      </c>
      <c r="AB291" t="str" cm="1">
        <f t="array" aca="1" ref="AB291" ca="1">IFERROR(INDIRECT("$Z"&amp;AA291),"")</f>
        <v/>
      </c>
    </row>
    <row r="292" spans="5:28" x14ac:dyDescent="0.2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1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13"/>
        <v>#N/A</v>
      </c>
      <c r="W292" t="str" cm="1">
        <f t="array" aca="1" ref="W292" ca="1">IFERROR(INDIRECT("$U"&amp;V292),"")</f>
        <v/>
      </c>
      <c r="Z292" cm="1">
        <f t="array" ref="Z292">INDEX($AE$2:$AN$40,MOD(ROW()-ROW($AE$2),ROWS($AE$2:$AN$40))+1,INT((ROW()-ROW($AE$2))/ROWS($AE$2:$AN$40))+1)</f>
        <v>0</v>
      </c>
      <c r="AA292" t="e">
        <f t="shared" ca="1" si="14"/>
        <v>#N/A</v>
      </c>
      <c r="AB292" t="str" cm="1">
        <f t="array" aca="1" ref="AB292" ca="1">IFERROR(INDIRECT("$Z"&amp;AA292),"")</f>
        <v/>
      </c>
    </row>
    <row r="293" spans="5:28" x14ac:dyDescent="0.2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1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13"/>
        <v>#N/A</v>
      </c>
      <c r="W293" t="str" cm="1">
        <f t="array" aca="1" ref="W293" ca="1">IFERROR(INDIRECT("$U"&amp;V293),"")</f>
        <v/>
      </c>
      <c r="Z293" cm="1">
        <f t="array" ref="Z293">INDEX($AE$2:$AN$40,MOD(ROW()-ROW($AE$2),ROWS($AE$2:$AN$40))+1,INT((ROW()-ROW($AE$2))/ROWS($AE$2:$AN$40))+1)</f>
        <v>0</v>
      </c>
      <c r="AA293" t="e">
        <f t="shared" ca="1" si="14"/>
        <v>#N/A</v>
      </c>
      <c r="AB293" t="str" cm="1">
        <f t="array" aca="1" ref="AB293" ca="1">IFERROR(INDIRECT("$Z"&amp;AA293),"")</f>
        <v/>
      </c>
    </row>
    <row r="294" spans="5:28" x14ac:dyDescent="0.2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1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13"/>
        <v>#N/A</v>
      </c>
      <c r="W294" t="str" cm="1">
        <f t="array" aca="1" ref="W294" ca="1">IFERROR(INDIRECT("$U"&amp;V294),"")</f>
        <v/>
      </c>
      <c r="Z294" cm="1">
        <f t="array" ref="Z294">INDEX($AE$2:$AN$40,MOD(ROW()-ROW($AE$2),ROWS($AE$2:$AN$40))+1,INT((ROW()-ROW($AE$2))/ROWS($AE$2:$AN$40))+1)</f>
        <v>0</v>
      </c>
      <c r="AA294" t="e">
        <f t="shared" ca="1" si="14"/>
        <v>#N/A</v>
      </c>
      <c r="AB294" t="str" cm="1">
        <f t="array" aca="1" ref="AB294" ca="1">IFERROR(INDIRECT("$Z"&amp;AA294),"")</f>
        <v/>
      </c>
    </row>
    <row r="295" spans="5:28" x14ac:dyDescent="0.2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1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13"/>
        <v>#N/A</v>
      </c>
      <c r="W295" t="str" cm="1">
        <f t="array" aca="1" ref="W295" ca="1">IFERROR(INDIRECT("$U"&amp;V295),"")</f>
        <v/>
      </c>
      <c r="Z295" cm="1">
        <f t="array" ref="Z295">INDEX($AE$2:$AN$40,MOD(ROW()-ROW($AE$2),ROWS($AE$2:$AN$40))+1,INT((ROW()-ROW($AE$2))/ROWS($AE$2:$AN$40))+1)</f>
        <v>0</v>
      </c>
      <c r="AA295" t="e">
        <f t="shared" ca="1" si="14"/>
        <v>#N/A</v>
      </c>
      <c r="AB295" t="str" cm="1">
        <f t="array" aca="1" ref="AB295" ca="1">IFERROR(INDIRECT("$Z"&amp;AA295),"")</f>
        <v/>
      </c>
    </row>
    <row r="296" spans="5:28" x14ac:dyDescent="0.2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1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13"/>
        <v>#N/A</v>
      </c>
      <c r="W296" t="str" cm="1">
        <f t="array" aca="1" ref="W296" ca="1">IFERROR(INDIRECT("$U"&amp;V296),"")</f>
        <v/>
      </c>
      <c r="Z296" cm="1">
        <f t="array" ref="Z296">INDEX($AE$2:$AN$40,MOD(ROW()-ROW($AE$2),ROWS($AE$2:$AN$40))+1,INT((ROW()-ROW($AE$2))/ROWS($AE$2:$AN$40))+1)</f>
        <v>0</v>
      </c>
      <c r="AA296" t="e">
        <f t="shared" ca="1" si="14"/>
        <v>#N/A</v>
      </c>
      <c r="AB296" t="str" cm="1">
        <f t="array" aca="1" ref="AB296" ca="1">IFERROR(INDIRECT("$Z"&amp;AA296),"")</f>
        <v/>
      </c>
    </row>
    <row r="297" spans="5:28" x14ac:dyDescent="0.2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1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13"/>
        <v>#N/A</v>
      </c>
      <c r="W297" t="str" cm="1">
        <f t="array" aca="1" ref="W297" ca="1">IFERROR(INDIRECT("$U"&amp;V297),"")</f>
        <v/>
      </c>
      <c r="Z297" cm="1">
        <f t="array" ref="Z297">INDEX($AE$2:$AN$40,MOD(ROW()-ROW($AE$2),ROWS($AE$2:$AN$40))+1,INT((ROW()-ROW($AE$2))/ROWS($AE$2:$AN$40))+1)</f>
        <v>0</v>
      </c>
      <c r="AA297" t="e">
        <f t="shared" ca="1" si="14"/>
        <v>#N/A</v>
      </c>
      <c r="AB297" t="str" cm="1">
        <f t="array" aca="1" ref="AB297" ca="1">IFERROR(INDIRECT("$Z"&amp;AA297),"")</f>
        <v/>
      </c>
    </row>
    <row r="298" spans="5:28" x14ac:dyDescent="0.2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1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13"/>
        <v>#N/A</v>
      </c>
      <c r="W298" t="str" cm="1">
        <f t="array" aca="1" ref="W298" ca="1">IFERROR(INDIRECT("$U"&amp;V298),"")</f>
        <v/>
      </c>
      <c r="Z298" cm="1">
        <f t="array" ref="Z298">INDEX($AE$2:$AN$40,MOD(ROW()-ROW($AE$2),ROWS($AE$2:$AN$40))+1,INT((ROW()-ROW($AE$2))/ROWS($AE$2:$AN$40))+1)</f>
        <v>0</v>
      </c>
      <c r="AA298" t="e">
        <f t="shared" ca="1" si="14"/>
        <v>#N/A</v>
      </c>
      <c r="AB298" t="str" cm="1">
        <f t="array" aca="1" ref="AB298" ca="1">IFERROR(INDIRECT("$Z"&amp;AA298),"")</f>
        <v/>
      </c>
    </row>
    <row r="299" spans="5:28" x14ac:dyDescent="0.2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1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13"/>
        <v>#N/A</v>
      </c>
      <c r="W299" t="str" cm="1">
        <f t="array" aca="1" ref="W299" ca="1">IFERROR(INDIRECT("$U"&amp;V299),"")</f>
        <v/>
      </c>
      <c r="Z299" cm="1">
        <f t="array" ref="Z299">INDEX($AE$2:$AN$40,MOD(ROW()-ROW($AE$2),ROWS($AE$2:$AN$40))+1,INT((ROW()-ROW($AE$2))/ROWS($AE$2:$AN$40))+1)</f>
        <v>0</v>
      </c>
      <c r="AA299" t="e">
        <f t="shared" ca="1" si="14"/>
        <v>#N/A</v>
      </c>
      <c r="AB299" t="str" cm="1">
        <f t="array" aca="1" ref="AB299" ca="1">IFERROR(INDIRECT("$Z"&amp;AA299),"")</f>
        <v/>
      </c>
    </row>
    <row r="300" spans="5:28" x14ac:dyDescent="0.2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1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13"/>
        <v>#N/A</v>
      </c>
      <c r="W300" t="str" cm="1">
        <f t="array" aca="1" ref="W300" ca="1">IFERROR(INDIRECT("$U"&amp;V300),"")</f>
        <v/>
      </c>
      <c r="Z300" cm="1">
        <f t="array" ref="Z300">INDEX($AE$2:$AN$40,MOD(ROW()-ROW($AE$2),ROWS($AE$2:$AN$40))+1,INT((ROW()-ROW($AE$2))/ROWS($AE$2:$AN$40))+1)</f>
        <v>0</v>
      </c>
      <c r="AA300" t="e">
        <f t="shared" ca="1" si="14"/>
        <v>#N/A</v>
      </c>
      <c r="AB300" t="str" cm="1">
        <f t="array" aca="1" ref="AB300" ca="1">IFERROR(INDIRECT("$Z"&amp;AA300),"")</f>
        <v/>
      </c>
    </row>
    <row r="301" spans="5:28" x14ac:dyDescent="0.2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1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13"/>
        <v>#N/A</v>
      </c>
      <c r="W301" t="str" cm="1">
        <f t="array" aca="1" ref="W301" ca="1">IFERROR(INDIRECT("$U"&amp;V301),"")</f>
        <v/>
      </c>
      <c r="Z301" cm="1">
        <f t="array" ref="Z301">INDEX($AE$2:$AN$40,MOD(ROW()-ROW($AE$2),ROWS($AE$2:$AN$40))+1,INT((ROW()-ROW($AE$2))/ROWS($AE$2:$AN$40))+1)</f>
        <v>0</v>
      </c>
      <c r="AA301" t="e">
        <f t="shared" ca="1" si="14"/>
        <v>#N/A</v>
      </c>
      <c r="AB301" t="str" cm="1">
        <f t="array" aca="1" ref="AB301" ca="1">IFERROR(INDIRECT("$Z"&amp;AA301),"")</f>
        <v/>
      </c>
    </row>
    <row r="302" spans="5:28" x14ac:dyDescent="0.2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1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13"/>
        <v>#N/A</v>
      </c>
      <c r="W302" t="str" cm="1">
        <f t="array" aca="1" ref="W302" ca="1">IFERROR(INDIRECT("$U"&amp;V302),"")</f>
        <v/>
      </c>
      <c r="Z302" cm="1">
        <f t="array" ref="Z302">INDEX($AE$2:$AN$40,MOD(ROW()-ROW($AE$2),ROWS($AE$2:$AN$40))+1,INT((ROW()-ROW($AE$2))/ROWS($AE$2:$AN$40))+1)</f>
        <v>0</v>
      </c>
      <c r="AA302" t="e">
        <f t="shared" ca="1" si="14"/>
        <v>#N/A</v>
      </c>
      <c r="AB302" t="str" cm="1">
        <f t="array" aca="1" ref="AB302" ca="1">IFERROR(INDIRECT("$Z"&amp;AA302),"")</f>
        <v/>
      </c>
    </row>
    <row r="303" spans="5:28" x14ac:dyDescent="0.2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1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13"/>
        <v>#N/A</v>
      </c>
      <c r="W303" t="str" cm="1">
        <f t="array" aca="1" ref="W303" ca="1">IFERROR(INDIRECT("$U"&amp;V303),"")</f>
        <v/>
      </c>
      <c r="Z303" cm="1">
        <f t="array" ref="Z303">INDEX($AE$2:$AN$40,MOD(ROW()-ROW($AE$2),ROWS($AE$2:$AN$40))+1,INT((ROW()-ROW($AE$2))/ROWS($AE$2:$AN$40))+1)</f>
        <v>0</v>
      </c>
      <c r="AA303" t="e">
        <f t="shared" ca="1" si="14"/>
        <v>#N/A</v>
      </c>
      <c r="AB303" t="str" cm="1">
        <f t="array" aca="1" ref="AB303" ca="1">IFERROR(INDIRECT("$Z"&amp;AA303),"")</f>
        <v/>
      </c>
    </row>
    <row r="304" spans="5:28" x14ac:dyDescent="0.2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1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13"/>
        <v>#N/A</v>
      </c>
      <c r="W304" t="str" cm="1">
        <f t="array" aca="1" ref="W304" ca="1">IFERROR(INDIRECT("$U"&amp;V304),"")</f>
        <v/>
      </c>
      <c r="Z304" cm="1">
        <f t="array" ref="Z304">INDEX($AE$2:$AN$40,MOD(ROW()-ROW($AE$2),ROWS($AE$2:$AN$40))+1,INT((ROW()-ROW($AE$2))/ROWS($AE$2:$AN$40))+1)</f>
        <v>0</v>
      </c>
      <c r="AA304" t="e">
        <f t="shared" ca="1" si="14"/>
        <v>#N/A</v>
      </c>
      <c r="AB304" t="str" cm="1">
        <f t="array" aca="1" ref="AB304" ca="1">IFERROR(INDIRECT("$Z"&amp;AA304),"")</f>
        <v/>
      </c>
    </row>
    <row r="305" spans="5:28" x14ac:dyDescent="0.2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1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13"/>
        <v>#N/A</v>
      </c>
      <c r="W305" t="str" cm="1">
        <f t="array" aca="1" ref="W305" ca="1">IFERROR(INDIRECT("$U"&amp;V305),"")</f>
        <v/>
      </c>
      <c r="Z305" cm="1">
        <f t="array" ref="Z305">INDEX($AE$2:$AN$40,MOD(ROW()-ROW($AE$2),ROWS($AE$2:$AN$40))+1,INT((ROW()-ROW($AE$2))/ROWS($AE$2:$AN$40))+1)</f>
        <v>0</v>
      </c>
      <c r="AA305" t="e">
        <f t="shared" ca="1" si="14"/>
        <v>#N/A</v>
      </c>
      <c r="AB305" t="str" cm="1">
        <f t="array" aca="1" ref="AB305" ca="1">IFERROR(INDIRECT("$Z"&amp;AA305),"")</f>
        <v/>
      </c>
    </row>
    <row r="306" spans="5:28" x14ac:dyDescent="0.2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1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13"/>
        <v>#N/A</v>
      </c>
      <c r="W306" t="str" cm="1">
        <f t="array" aca="1" ref="W306" ca="1">IFERROR(INDIRECT("$U"&amp;V306),"")</f>
        <v/>
      </c>
      <c r="Z306" cm="1">
        <f t="array" ref="Z306">INDEX($AE$2:$AN$40,MOD(ROW()-ROW($AE$2),ROWS($AE$2:$AN$40))+1,INT((ROW()-ROW($AE$2))/ROWS($AE$2:$AN$40))+1)</f>
        <v>0</v>
      </c>
      <c r="AA306" t="e">
        <f t="shared" ca="1" si="14"/>
        <v>#N/A</v>
      </c>
      <c r="AB306" t="str" cm="1">
        <f t="array" aca="1" ref="AB306" ca="1">IFERROR(INDIRECT("$Z"&amp;AA306),"")</f>
        <v/>
      </c>
    </row>
    <row r="307" spans="5:28" x14ac:dyDescent="0.2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1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13"/>
        <v>#N/A</v>
      </c>
      <c r="W307" t="str" cm="1">
        <f t="array" aca="1" ref="W307" ca="1">IFERROR(INDIRECT("$U"&amp;V307),"")</f>
        <v/>
      </c>
      <c r="Z307" cm="1">
        <f t="array" ref="Z307">INDEX($AE$2:$AN$40,MOD(ROW()-ROW($AE$2),ROWS($AE$2:$AN$40))+1,INT((ROW()-ROW($AE$2))/ROWS($AE$2:$AN$40))+1)</f>
        <v>0</v>
      </c>
      <c r="AA307" t="e">
        <f t="shared" ca="1" si="14"/>
        <v>#N/A</v>
      </c>
      <c r="AB307" t="str" cm="1">
        <f t="array" aca="1" ref="AB307" ca="1">IFERROR(INDIRECT("$Z"&amp;AA307),"")</f>
        <v/>
      </c>
    </row>
    <row r="308" spans="5:28" x14ac:dyDescent="0.2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1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13"/>
        <v>#N/A</v>
      </c>
      <c r="W308" t="str" cm="1">
        <f t="array" aca="1" ref="W308" ca="1">IFERROR(INDIRECT("$U"&amp;V308),"")</f>
        <v/>
      </c>
      <c r="Z308" cm="1">
        <f t="array" ref="Z308">INDEX($AE$2:$AN$40,MOD(ROW()-ROW($AE$2),ROWS($AE$2:$AN$40))+1,INT((ROW()-ROW($AE$2))/ROWS($AE$2:$AN$40))+1)</f>
        <v>0</v>
      </c>
      <c r="AA308" t="e">
        <f t="shared" ca="1" si="14"/>
        <v>#N/A</v>
      </c>
      <c r="AB308" t="str" cm="1">
        <f t="array" aca="1" ref="AB308" ca="1">IFERROR(INDIRECT("$Z"&amp;AA308),"")</f>
        <v/>
      </c>
    </row>
    <row r="309" spans="5:28" x14ac:dyDescent="0.2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1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13"/>
        <v>#N/A</v>
      </c>
      <c r="W309" t="str" cm="1">
        <f t="array" aca="1" ref="W309" ca="1">IFERROR(INDIRECT("$U"&amp;V309),"")</f>
        <v/>
      </c>
      <c r="Z309" cm="1">
        <f t="array" ref="Z309">INDEX($AE$2:$AN$40,MOD(ROW()-ROW($AE$2),ROWS($AE$2:$AN$40))+1,INT((ROW()-ROW($AE$2))/ROWS($AE$2:$AN$40))+1)</f>
        <v>0</v>
      </c>
      <c r="AA309" t="e">
        <f t="shared" ca="1" si="14"/>
        <v>#N/A</v>
      </c>
      <c r="AB309" t="str" cm="1">
        <f t="array" aca="1" ref="AB309" ca="1">IFERROR(INDIRECT("$Z"&amp;AA309),"")</f>
        <v/>
      </c>
    </row>
    <row r="310" spans="5:28" x14ac:dyDescent="0.2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1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13"/>
        <v>#N/A</v>
      </c>
      <c r="W310" t="str" cm="1">
        <f t="array" aca="1" ref="W310" ca="1">IFERROR(INDIRECT("$U"&amp;V310),"")</f>
        <v/>
      </c>
      <c r="Z310" cm="1">
        <f t="array" ref="Z310">INDEX($AE$2:$AN$40,MOD(ROW()-ROW($AE$2),ROWS($AE$2:$AN$40))+1,INT((ROW()-ROW($AE$2))/ROWS($AE$2:$AN$40))+1)</f>
        <v>0</v>
      </c>
      <c r="AA310" t="e">
        <f t="shared" ca="1" si="14"/>
        <v>#N/A</v>
      </c>
      <c r="AB310" t="str" cm="1">
        <f t="array" aca="1" ref="AB310" ca="1">IFERROR(INDIRECT("$Z"&amp;AA310),"")</f>
        <v/>
      </c>
    </row>
    <row r="311" spans="5:28" x14ac:dyDescent="0.2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1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13"/>
        <v>#N/A</v>
      </c>
      <c r="W311" t="str" cm="1">
        <f t="array" aca="1" ref="W311" ca="1">IFERROR(INDIRECT("$U"&amp;V311),"")</f>
        <v/>
      </c>
      <c r="Z311" cm="1">
        <f t="array" ref="Z311">INDEX($AE$2:$AN$40,MOD(ROW()-ROW($AE$2),ROWS($AE$2:$AN$40))+1,INT((ROW()-ROW($AE$2))/ROWS($AE$2:$AN$40))+1)</f>
        <v>0</v>
      </c>
      <c r="AA311" t="e">
        <f t="shared" ca="1" si="14"/>
        <v>#N/A</v>
      </c>
      <c r="AB311" t="str" cm="1">
        <f t="array" aca="1" ref="AB311" ca="1">IFERROR(INDIRECT("$Z"&amp;AA311),"")</f>
        <v/>
      </c>
    </row>
    <row r="312" spans="5:28" x14ac:dyDescent="0.2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1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13"/>
        <v>#N/A</v>
      </c>
      <c r="W312" t="str" cm="1">
        <f t="array" aca="1" ref="W312" ca="1">IFERROR(INDIRECT("$U"&amp;V312),"")</f>
        <v/>
      </c>
      <c r="Z312" cm="1">
        <f t="array" ref="Z312">INDEX($AE$2:$AN$40,MOD(ROW()-ROW($AE$2),ROWS($AE$2:$AN$40))+1,INT((ROW()-ROW($AE$2))/ROWS($AE$2:$AN$40))+1)</f>
        <v>0</v>
      </c>
      <c r="AA312" t="e">
        <f t="shared" ca="1" si="14"/>
        <v>#N/A</v>
      </c>
      <c r="AB312" t="str" cm="1">
        <f t="array" aca="1" ref="AB312" ca="1">IFERROR(INDIRECT("$Z"&amp;AA312),"")</f>
        <v/>
      </c>
    </row>
    <row r="313" spans="5:28" x14ac:dyDescent="0.2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1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13"/>
        <v>#N/A</v>
      </c>
      <c r="W313" t="str" cm="1">
        <f t="array" aca="1" ref="W313" ca="1">IFERROR(INDIRECT("$U"&amp;V313),"")</f>
        <v/>
      </c>
      <c r="Z313" cm="1">
        <f t="array" ref="Z313">INDEX($AE$2:$AN$40,MOD(ROW()-ROW($AE$2),ROWS($AE$2:$AN$40))+1,INT((ROW()-ROW($AE$2))/ROWS($AE$2:$AN$40))+1)</f>
        <v>0</v>
      </c>
      <c r="AA313" t="e">
        <f t="shared" ca="1" si="14"/>
        <v>#N/A</v>
      </c>
      <c r="AB313" t="str" cm="1">
        <f t="array" aca="1" ref="AB313" ca="1">IFERROR(INDIRECT("$Z"&amp;AA313),"")</f>
        <v/>
      </c>
    </row>
    <row r="314" spans="5:28" x14ac:dyDescent="0.2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1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13"/>
        <v>#N/A</v>
      </c>
      <c r="W314" t="str" cm="1">
        <f t="array" aca="1" ref="W314" ca="1">IFERROR(INDIRECT("$U"&amp;V314),"")</f>
        <v/>
      </c>
      <c r="Z314" t="str" cm="1">
        <f t="array" aca="1" ref="Z314" ca="1">INDEX($AE$2:$AN$40,MOD(ROW()-ROW($AE$2),ROWS($AE$2:$AN$40))+1,INT((ROW()-ROW($AE$2))/ROWS($AE$2:$AN$40))+1)</f>
        <v>033A_co2_sensor</v>
      </c>
      <c r="AA314" t="e">
        <f t="shared" ca="1" si="14"/>
        <v>#N/A</v>
      </c>
      <c r="AB314" t="str" cm="1">
        <f t="array" aca="1" ref="AB314" ca="1">IFERROR(INDIRECT("$Z"&amp;AA314),"")</f>
        <v/>
      </c>
    </row>
    <row r="315" spans="5:28" x14ac:dyDescent="0.2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1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13"/>
        <v>#N/A</v>
      </c>
      <c r="W315" t="str" cm="1">
        <f t="array" aca="1" ref="W315" ca="1">IFERROR(INDIRECT("$U"&amp;V315),"")</f>
        <v/>
      </c>
      <c r="Z315" t="str" cm="1">
        <f t="array" aca="1" ref="Z315" ca="1">INDEX($AE$2:$AN$40,MOD(ROW()-ROW($AE$2),ROWS($AE$2:$AN$40))+1,INT((ROW()-ROW($AE$2))/ROWS($AE$2:$AN$40))+1)</f>
        <v>033A_damper_position_sensor</v>
      </c>
      <c r="AA315" t="e">
        <f t="shared" ca="1" si="14"/>
        <v>#N/A</v>
      </c>
      <c r="AB315" t="str" cm="1">
        <f t="array" aca="1" ref="AB315" ca="1">IFERROR(INDIRECT("$Z"&amp;AA315),"")</f>
        <v/>
      </c>
    </row>
    <row r="316" spans="5:28" x14ac:dyDescent="0.2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1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13"/>
        <v>#N/A</v>
      </c>
      <c r="W316" t="str" cm="1">
        <f t="array" aca="1" ref="W316" ca="1">IFERROR(INDIRECT("$U"&amp;V316),"")</f>
        <v/>
      </c>
      <c r="Z316" t="str" cm="1">
        <f t="array" aca="1" ref="Z316" ca="1">INDEX($AE$2:$AN$40,MOD(ROW()-ROW($AE$2),ROWS($AE$2:$AN$40))+1,INT((ROW()-ROW($AE$2))/ROWS($AE$2:$AN$40))+1)</f>
        <v>033A_temperature_sensor</v>
      </c>
      <c r="AA316" t="e">
        <f t="shared" ca="1" si="14"/>
        <v>#N/A</v>
      </c>
      <c r="AB316" t="str" cm="1">
        <f t="array" aca="1" ref="AB316" ca="1">IFERROR(INDIRECT("$Z"&amp;AA316),"")</f>
        <v/>
      </c>
    </row>
    <row r="317" spans="5:28" x14ac:dyDescent="0.2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1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13"/>
        <v>#N/A</v>
      </c>
      <c r="W317" t="str" cm="1">
        <f t="array" aca="1" ref="W317" ca="1">IFERROR(INDIRECT("$U"&amp;V317),"")</f>
        <v/>
      </c>
      <c r="Z317" t="str" cm="1">
        <f t="array" aca="1" ref="Z317" ca="1">INDEX($AE$2:$AN$40,MOD(ROW()-ROW($AE$2),ROWS($AE$2:$AN$40))+1,INT((ROW()-ROW($AE$2))/ROWS($AE$2:$AN$40))+1)</f>
        <v>033A_valve_position_sensor</v>
      </c>
      <c r="AA317" t="e">
        <f t="shared" ca="1" si="14"/>
        <v>#N/A</v>
      </c>
      <c r="AB317" t="str" cm="1">
        <f t="array" aca="1" ref="AB317" ca="1">IFERROR(INDIRECT("$Z"&amp;AA317),"")</f>
        <v/>
      </c>
    </row>
    <row r="318" spans="5:28" x14ac:dyDescent="0.2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1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13"/>
        <v>#N/A</v>
      </c>
      <c r="W318" t="str" cm="1">
        <f t="array" aca="1" ref="W318" ca="1">IFERROR(INDIRECT("$U"&amp;V318),"")</f>
        <v/>
      </c>
      <c r="Z318" t="str" cm="1">
        <f t="array" aca="1" ref="Z318" ca="1">INDEX($AE$2:$AN$40,MOD(ROW()-ROW($AE$2),ROWS($AE$2:$AN$40))+1,INT((ROW()-ROW($AE$2))/ROWS($AE$2:$AN$40))+1)</f>
        <v>BPA001</v>
      </c>
      <c r="AA318" t="e">
        <f t="shared" ca="1" si="14"/>
        <v>#N/A</v>
      </c>
      <c r="AB318" t="str" cm="1">
        <f t="array" aca="1" ref="AB318" ca="1">IFERROR(INDIRECT("$Z"&amp;AA318),"")</f>
        <v/>
      </c>
    </row>
    <row r="319" spans="5:28" x14ac:dyDescent="0.2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1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13"/>
        <v>#N/A</v>
      </c>
      <c r="W319" t="str" cm="1">
        <f t="array" aca="1" ref="W319" ca="1">IFERROR(INDIRECT("$U"&amp;V319),"")</f>
        <v/>
      </c>
      <c r="Z319" t="str" cm="1">
        <f t="array" aca="1" ref="Z319" ca="1">INDEX($AE$2:$AN$40,MOD(ROW()-ROW($AE$2),ROWS($AE$2:$AN$40))+1,INT((ROW()-ROW($AE$2))/ROWS($AE$2:$AN$40))+1)</f>
        <v>BPA002</v>
      </c>
      <c r="AA319" t="e">
        <f t="shared" ca="1" si="14"/>
        <v>#N/A</v>
      </c>
      <c r="AB319" t="str" cm="1">
        <f t="array" aca="1" ref="AB319" ca="1">IFERROR(INDIRECT("$Z"&amp;AA319),"")</f>
        <v/>
      </c>
    </row>
    <row r="320" spans="5:28" x14ac:dyDescent="0.2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1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13"/>
        <v>#N/A</v>
      </c>
      <c r="W320" t="str" cm="1">
        <f t="array" aca="1" ref="W320" ca="1">IFERROR(INDIRECT("$U"&amp;V320),"")</f>
        <v/>
      </c>
      <c r="Z320" t="str" cm="1">
        <f t="array" aca="1" ref="Z320" ca="1">INDEX($AE$2:$AN$40,MOD(ROW()-ROW($AE$2),ROWS($AE$2:$AN$40))+1,INT((ROW()-ROW($AE$2))/ROWS($AE$2:$AN$40))+1)</f>
        <v>BPA003_exhaust</v>
      </c>
      <c r="AA320" t="e">
        <f t="shared" ca="1" si="14"/>
        <v>#N/A</v>
      </c>
      <c r="AB320" t="str" cm="1">
        <f t="array" aca="1" ref="AB320" ca="1">IFERROR(INDIRECT("$Z"&amp;AA320),"")</f>
        <v/>
      </c>
    </row>
    <row r="321" spans="5:28" x14ac:dyDescent="0.2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1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13"/>
        <v>#N/A</v>
      </c>
      <c r="W321" t="str" cm="1">
        <f t="array" aca="1" ref="W321" ca="1">IFERROR(INDIRECT("$U"&amp;V321),"")</f>
        <v/>
      </c>
      <c r="Z321" t="str" cm="1">
        <f t="array" aca="1" ref="Z321" ca="1">INDEX($AE$2:$AN$40,MOD(ROW()-ROW($AE$2),ROWS($AE$2:$AN$40))+1,INT((ROW()-ROW($AE$2))/ROWS($AE$2:$AN$40))+1)</f>
        <v>BPA003_supply</v>
      </c>
      <c r="AA321" t="e">
        <f t="shared" ca="1" si="14"/>
        <v>#N/A</v>
      </c>
      <c r="AB321" t="str" cm="1">
        <f t="array" aca="1" ref="AB321" ca="1">IFERROR(INDIRECT("$Z"&amp;AA321),"")</f>
        <v/>
      </c>
    </row>
    <row r="322" spans="5:28" x14ac:dyDescent="0.2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1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13"/>
        <v>#N/A</v>
      </c>
      <c r="W322" t="str" cm="1">
        <f t="array" aca="1" ref="W322" ca="1">IFERROR(INDIRECT("$U"&amp;V322),"")</f>
        <v/>
      </c>
      <c r="Z322" t="str" cm="1">
        <f t="array" aca="1" ref="Z322" ca="1">INDEX($AE$2:$AN$40,MOD(ROW()-ROW($AE$2),ROWS($AE$2:$AN$40))+1,INT((ROW()-ROW($AE$2))/ROWS($AE$2:$AN$40))+1)</f>
        <v>BPA004_exhaust_fan</v>
      </c>
      <c r="AA322" t="e">
        <f t="shared" ca="1" si="14"/>
        <v>#N/A</v>
      </c>
      <c r="AB322" t="str" cm="1">
        <f t="array" aca="1" ref="AB322" ca="1">IFERROR(INDIRECT("$Z"&amp;AA322),"")</f>
        <v/>
      </c>
    </row>
    <row r="323" spans="5:28" x14ac:dyDescent="0.2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1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13"/>
        <v>#N/A</v>
      </c>
      <c r="W323" t="str" cm="1">
        <f t="array" aca="1" ref="W323" ca="1">IFERROR(INDIRECT("$U"&amp;V323),"")</f>
        <v/>
      </c>
      <c r="Z323" t="str" cm="1">
        <f t="array" aca="1" ref="Z323" ca="1">INDEX($AE$2:$AN$40,MOD(ROW()-ROW($AE$2),ROWS($AE$2:$AN$40))+1,INT((ROW()-ROW($AE$2))/ROWS($AE$2:$AN$40))+1)</f>
        <v>BPA004_exhaust</v>
      </c>
      <c r="AA323" t="e">
        <f t="shared" ca="1" si="14"/>
        <v>#N/A</v>
      </c>
      <c r="AB323" t="str" cm="1">
        <f t="array" aca="1" ref="AB323" ca="1">IFERROR(INDIRECT("$Z"&amp;AA323),"")</f>
        <v/>
      </c>
    </row>
    <row r="324" spans="5:28" x14ac:dyDescent="0.2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15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16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INDEX($AE$2:$AN$40,MOD(ROW()-ROW($AE$2),ROWS($AE$2:$AN$40))+1,INT((ROW()-ROW($AE$2))/ROWS($AE$2:$AN$40))+1)</f>
        <v>BTA001</v>
      </c>
      <c r="AA324" t="e">
        <f t="shared" ref="AA324:AA387" ca="1" si="17">MATCH("*",INDIRECT(ADDRESS(AA323+1,26,1)&amp;":$Z$1000"),0)+AA323</f>
        <v>#N/A</v>
      </c>
      <c r="AB324" t="str" cm="1">
        <f t="array" aca="1" ref="AB324" ca="1">IFERROR(INDIRECT("$Z"&amp;AA324),"")</f>
        <v/>
      </c>
    </row>
    <row r="325" spans="5:28" x14ac:dyDescent="0.2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15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16"/>
        <v>#N/A</v>
      </c>
      <c r="W325" t="str" cm="1">
        <f t="array" aca="1" ref="W325" ca="1">IFERROR(INDIRECT("$U"&amp;V325),"")</f>
        <v/>
      </c>
      <c r="Z325" t="str" cm="1">
        <f t="array" aca="1" ref="Z325" ca="1">INDEX($AE$2:$AN$40,MOD(ROW()-ROW($AE$2),ROWS($AE$2:$AN$40))+1,INT((ROW()-ROW($AE$2))/ROWS($AE$2:$AN$40))+1)</f>
        <v>BTA002</v>
      </c>
      <c r="AA325" t="e">
        <f t="shared" ca="1" si="17"/>
        <v>#N/A</v>
      </c>
      <c r="AB325" t="str" cm="1">
        <f t="array" aca="1" ref="AB325" ca="1">IFERROR(INDIRECT("$Z"&amp;AA325),"")</f>
        <v/>
      </c>
    </row>
    <row r="326" spans="5:28" x14ac:dyDescent="0.2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15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16"/>
        <v>#N/A</v>
      </c>
      <c r="W326" t="str" cm="1">
        <f t="array" aca="1" ref="W326" ca="1">IFERROR(INDIRECT("$U"&amp;V326),"")</f>
        <v/>
      </c>
      <c r="Z326" t="str" cm="1">
        <f t="array" aca="1" ref="Z326" ca="1">INDEX($AE$2:$AN$40,MOD(ROW()-ROW($AE$2),ROWS($AE$2:$AN$40))+1,INT((ROW()-ROW($AE$2))/ROWS($AE$2:$AN$40))+1)</f>
        <v>BTA003</v>
      </c>
      <c r="AA326" t="e">
        <f t="shared" ca="1" si="17"/>
        <v>#N/A</v>
      </c>
      <c r="AB326" t="str" cm="1">
        <f t="array" aca="1" ref="AB326" ca="1">IFERROR(INDIRECT("$Z"&amp;AA326),"")</f>
        <v/>
      </c>
    </row>
    <row r="327" spans="5:28" x14ac:dyDescent="0.2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15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16"/>
        <v>#N/A</v>
      </c>
      <c r="W327" t="str" cm="1">
        <f t="array" aca="1" ref="W327" ca="1">IFERROR(INDIRECT("$U"&amp;V327),"")</f>
        <v/>
      </c>
      <c r="Z327" t="str" cm="1">
        <f t="array" aca="1" ref="Z327" ca="1">INDEX($AE$2:$AN$40,MOD(ROW()-ROW($AE$2),ROWS($AE$2:$AN$40))+1,INT((ROW()-ROW($AE$2))/ROWS($AE$2:$AN$40))+1)</f>
        <v>BTA004</v>
      </c>
      <c r="AA327" t="e">
        <f t="shared" ca="1" si="17"/>
        <v>#N/A</v>
      </c>
      <c r="AB327" t="str" cm="1">
        <f t="array" aca="1" ref="AB327" ca="1">IFERROR(INDIRECT("$Z"&amp;AA327),"")</f>
        <v/>
      </c>
    </row>
    <row r="328" spans="5:28" x14ac:dyDescent="0.2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15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16"/>
        <v>#N/A</v>
      </c>
      <c r="W328" t="str" cm="1">
        <f t="array" aca="1" ref="W328" ca="1">IFERROR(INDIRECT("$U"&amp;V328),"")</f>
        <v/>
      </c>
      <c r="Z328" t="str" cm="1">
        <f t="array" aca="1" ref="Z328" ca="1">INDEX($AE$2:$AN$40,MOD(ROW()-ROW($AE$2),ROWS($AE$2:$AN$40))+1,INT((ROW()-ROW($AE$2))/ROWS($AE$2:$AN$40))+1)</f>
        <v>BTA005</v>
      </c>
      <c r="AA328" t="e">
        <f t="shared" ca="1" si="17"/>
        <v>#N/A</v>
      </c>
      <c r="AB328" t="str" cm="1">
        <f t="array" aca="1" ref="AB328" ca="1">IFERROR(INDIRECT("$Z"&amp;AA328),"")</f>
        <v/>
      </c>
    </row>
    <row r="329" spans="5:28" x14ac:dyDescent="0.2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15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16"/>
        <v>#N/A</v>
      </c>
      <c r="W329" t="str" cm="1">
        <f t="array" aca="1" ref="W329" ca="1">IFERROR(INDIRECT("$U"&amp;V329),"")</f>
        <v/>
      </c>
      <c r="Z329" t="str" cm="1">
        <f t="array" aca="1" ref="Z329" ca="1">INDEX($AE$2:$AN$40,MOD(ROW()-ROW($AE$2),ROWS($AE$2:$AN$40))+1,INT((ROW()-ROW($AE$2))/ROWS($AE$2:$AN$40))+1)</f>
        <v>BTA006</v>
      </c>
      <c r="AA329" t="e">
        <f t="shared" ca="1" si="17"/>
        <v>#N/A</v>
      </c>
      <c r="AB329" t="str" cm="1">
        <f t="array" aca="1" ref="AB329" ca="1">IFERROR(INDIRECT("$Z"&amp;AA329),"")</f>
        <v/>
      </c>
    </row>
    <row r="330" spans="5:28" x14ac:dyDescent="0.2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15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16"/>
        <v>#N/A</v>
      </c>
      <c r="W330" t="str" cm="1">
        <f t="array" aca="1" ref="W330" ca="1">IFERROR(INDIRECT("$U"&amp;V330),"")</f>
        <v/>
      </c>
      <c r="Z330" t="str" cm="1">
        <f t="array" aca="1" ref="Z330" ca="1">INDEX($AE$2:$AN$40,MOD(ROW()-ROW($AE$2),ROWS($AE$2:$AN$40))+1,INT((ROW()-ROW($AE$2))/ROWS($AE$2:$AN$40))+1)</f>
        <v>031A_co2_sensor</v>
      </c>
      <c r="AA330" t="e">
        <f t="shared" ca="1" si="17"/>
        <v>#N/A</v>
      </c>
      <c r="AB330" t="str" cm="1">
        <f t="array" aca="1" ref="AB330" ca="1">IFERROR(INDIRECT("$Z"&amp;AA330),"")</f>
        <v/>
      </c>
    </row>
    <row r="331" spans="5:28" x14ac:dyDescent="0.2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15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16"/>
        <v>#N/A</v>
      </c>
      <c r="W331" t="str" cm="1">
        <f t="array" aca="1" ref="W331" ca="1">IFERROR(INDIRECT("$U"&amp;V331),"")</f>
        <v/>
      </c>
      <c r="Z331" t="str" cm="1">
        <f t="array" aca="1" ref="Z331" ca="1">INDEX($AE$2:$AN$40,MOD(ROW()-ROW($AE$2),ROWS($AE$2:$AN$40))+1,INT((ROW()-ROW($AE$2))/ROWS($AE$2:$AN$40))+1)</f>
        <v>031A_damper_position_sensor</v>
      </c>
      <c r="AA331" t="e">
        <f t="shared" ca="1" si="17"/>
        <v>#N/A</v>
      </c>
      <c r="AB331" t="str" cm="1">
        <f t="array" aca="1" ref="AB331" ca="1">IFERROR(INDIRECT("$Z"&amp;AA331),"")</f>
        <v/>
      </c>
    </row>
    <row r="332" spans="5:28" x14ac:dyDescent="0.2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15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16"/>
        <v>#N/A</v>
      </c>
      <c r="W332" t="str" cm="1">
        <f t="array" aca="1" ref="W332" ca="1">IFERROR(INDIRECT("$U"&amp;V332),"")</f>
        <v/>
      </c>
      <c r="Z332" t="str" cm="1">
        <f t="array" aca="1" ref="Z332" ca="1">INDEX($AE$2:$AN$40,MOD(ROW()-ROW($AE$2),ROWS($AE$2:$AN$40))+1,INT((ROW()-ROW($AE$2))/ROWS($AE$2:$AN$40))+1)</f>
        <v>031A_temperature_sensor</v>
      </c>
      <c r="AA332" t="e">
        <f t="shared" ca="1" si="17"/>
        <v>#N/A</v>
      </c>
      <c r="AB332" t="str" cm="1">
        <f t="array" aca="1" ref="AB332" ca="1">IFERROR(INDIRECT("$Z"&amp;AA332),"")</f>
        <v/>
      </c>
    </row>
    <row r="333" spans="5:28" x14ac:dyDescent="0.2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15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16"/>
        <v>#N/A</v>
      </c>
      <c r="W333" t="str" cm="1">
        <f t="array" aca="1" ref="W333" ca="1">IFERROR(INDIRECT("$U"&amp;V333),"")</f>
        <v/>
      </c>
      <c r="Z333" t="str" cm="1">
        <f t="array" aca="1" ref="Z333" ca="1">INDEX($AE$2:$AN$40,MOD(ROW()-ROW($AE$2),ROWS($AE$2:$AN$40))+1,INT((ROW()-ROW($AE$2))/ROWS($AE$2:$AN$40))+1)</f>
        <v>031A_valve_position_sensor</v>
      </c>
      <c r="AA333" t="e">
        <f t="shared" ca="1" si="17"/>
        <v>#N/A</v>
      </c>
      <c r="AB333" t="str" cm="1">
        <f t="array" aca="1" ref="AB333" ca="1">IFERROR(INDIRECT("$Z"&amp;AA333),"")</f>
        <v/>
      </c>
    </row>
    <row r="334" spans="5:28" x14ac:dyDescent="0.2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15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16"/>
        <v>#N/A</v>
      </c>
      <c r="W334" t="str" cm="1">
        <f t="array" aca="1" ref="W334" ca="1">IFERROR(INDIRECT("$U"&amp;V334),"")</f>
        <v/>
      </c>
      <c r="Z334" t="str" cm="1">
        <f t="array" aca="1" ref="Z334" ca="1">INDEX($AE$2:$AN$40,MOD(ROW()-ROW($AE$2),ROWS($AE$2:$AN$40))+1,INT((ROW()-ROW($AE$2))/ROWS($AE$2:$AN$40))+1)</f>
        <v>029A_co2_sensor</v>
      </c>
      <c r="AA334" t="e">
        <f t="shared" ca="1" si="17"/>
        <v>#N/A</v>
      </c>
      <c r="AB334" t="str" cm="1">
        <f t="array" aca="1" ref="AB334" ca="1">IFERROR(INDIRECT("$Z"&amp;AA334),"")</f>
        <v/>
      </c>
    </row>
    <row r="335" spans="5:28" x14ac:dyDescent="0.2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15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16"/>
        <v>#N/A</v>
      </c>
      <c r="W335" t="str" cm="1">
        <f t="array" aca="1" ref="W335" ca="1">IFERROR(INDIRECT("$U"&amp;V335),"")</f>
        <v/>
      </c>
      <c r="Z335" t="str" cm="1">
        <f t="array" aca="1" ref="Z335" ca="1">INDEX($AE$2:$AN$40,MOD(ROW()-ROW($AE$2),ROWS($AE$2:$AN$40))+1,INT((ROW()-ROW($AE$2))/ROWS($AE$2:$AN$40))+1)</f>
        <v>029A_damper_position_sensor</v>
      </c>
      <c r="AA335" t="e">
        <f t="shared" ca="1" si="17"/>
        <v>#N/A</v>
      </c>
      <c r="AB335" t="str" cm="1">
        <f t="array" aca="1" ref="AB335" ca="1">IFERROR(INDIRECT("$Z"&amp;AA335),"")</f>
        <v/>
      </c>
    </row>
    <row r="336" spans="5:28" x14ac:dyDescent="0.2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15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16"/>
        <v>#N/A</v>
      </c>
      <c r="W336" t="str" cm="1">
        <f t="array" aca="1" ref="W336" ca="1">IFERROR(INDIRECT("$U"&amp;V336),"")</f>
        <v/>
      </c>
      <c r="Z336" t="str" cm="1">
        <f t="array" aca="1" ref="Z336" ca="1">INDEX($AE$2:$AN$40,MOD(ROW()-ROW($AE$2),ROWS($AE$2:$AN$40))+1,INT((ROW()-ROW($AE$2))/ROWS($AE$2:$AN$40))+1)</f>
        <v>029A_temperature_sensor</v>
      </c>
      <c r="AA336" t="e">
        <f t="shared" ca="1" si="17"/>
        <v>#N/A</v>
      </c>
      <c r="AB336" t="str" cm="1">
        <f t="array" aca="1" ref="AB336" ca="1">IFERROR(INDIRECT("$Z"&amp;AA336),"")</f>
        <v/>
      </c>
    </row>
    <row r="337" spans="5:28" x14ac:dyDescent="0.2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15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16"/>
        <v>#N/A</v>
      </c>
      <c r="W337" t="str" cm="1">
        <f t="array" aca="1" ref="W337" ca="1">IFERROR(INDIRECT("$U"&amp;V337),"")</f>
        <v/>
      </c>
      <c r="Z337" t="str" cm="1">
        <f t="array" aca="1" ref="Z337" ca="1">INDEX($AE$2:$AN$40,MOD(ROW()-ROW($AE$2),ROWS($AE$2:$AN$40))+1,INT((ROW()-ROW($AE$2))/ROWS($AE$2:$AN$40))+1)</f>
        <v>029A_valve_position_sensor</v>
      </c>
      <c r="AA337" t="e">
        <f t="shared" ca="1" si="17"/>
        <v>#N/A</v>
      </c>
      <c r="AB337" t="str" cm="1">
        <f t="array" aca="1" ref="AB337" ca="1">IFERROR(INDIRECT("$Z"&amp;AA337),"")</f>
        <v/>
      </c>
    </row>
    <row r="338" spans="5:28" x14ac:dyDescent="0.2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15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16"/>
        <v>#N/A</v>
      </c>
      <c r="W338" t="str" cm="1">
        <f t="array" aca="1" ref="W338" ca="1">IFERROR(INDIRECT("$U"&amp;V338),"")</f>
        <v/>
      </c>
      <c r="Z338" t="str" cm="1">
        <f t="array" aca="1" ref="Z338" ca="1">INDEX($AE$2:$AN$40,MOD(ROW()-ROW($AE$2),ROWS($AE$2:$AN$40))+1,INT((ROW()-ROW($AE$2))/ROWS($AE$2:$AN$40))+1)</f>
        <v>035A_co2_sensor</v>
      </c>
      <c r="AA338" t="e">
        <f t="shared" ca="1" si="17"/>
        <v>#N/A</v>
      </c>
      <c r="AB338" t="str" cm="1">
        <f t="array" aca="1" ref="AB338" ca="1">IFERROR(INDIRECT("$Z"&amp;AA338),"")</f>
        <v/>
      </c>
    </row>
    <row r="339" spans="5:28" x14ac:dyDescent="0.2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15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16"/>
        <v>#N/A</v>
      </c>
      <c r="W339" t="str" cm="1">
        <f t="array" aca="1" ref="W339" ca="1">IFERROR(INDIRECT("$U"&amp;V339),"")</f>
        <v/>
      </c>
      <c r="Z339" t="str" cm="1">
        <f t="array" aca="1" ref="Z339" ca="1">INDEX($AE$2:$AN$40,MOD(ROW()-ROW($AE$2),ROWS($AE$2:$AN$40))+1,INT((ROW()-ROW($AE$2))/ROWS($AE$2:$AN$40))+1)</f>
        <v>035A_damper_position_sensor</v>
      </c>
      <c r="AA339" t="e">
        <f t="shared" ca="1" si="17"/>
        <v>#N/A</v>
      </c>
      <c r="AB339" t="str" cm="1">
        <f t="array" aca="1" ref="AB339" ca="1">IFERROR(INDIRECT("$Z"&amp;AA339),"")</f>
        <v/>
      </c>
    </row>
    <row r="340" spans="5:28" x14ac:dyDescent="0.2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15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16"/>
        <v>#N/A</v>
      </c>
      <c r="W340" t="str" cm="1">
        <f t="array" aca="1" ref="W340" ca="1">IFERROR(INDIRECT("$U"&amp;V340),"")</f>
        <v/>
      </c>
      <c r="Z340" t="str" cm="1">
        <f t="array" aca="1" ref="Z340" ca="1">INDEX($AE$2:$AN$40,MOD(ROW()-ROW($AE$2),ROWS($AE$2:$AN$40))+1,INT((ROW()-ROW($AE$2))/ROWS($AE$2:$AN$40))+1)</f>
        <v>035A_temperature_sensor</v>
      </c>
      <c r="AA340" t="e">
        <f t="shared" ca="1" si="17"/>
        <v>#N/A</v>
      </c>
      <c r="AB340" t="str" cm="1">
        <f t="array" aca="1" ref="AB340" ca="1">IFERROR(INDIRECT("$Z"&amp;AA340),"")</f>
        <v/>
      </c>
    </row>
    <row r="341" spans="5:28" x14ac:dyDescent="0.2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15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16"/>
        <v>#N/A</v>
      </c>
      <c r="W341" t="str" cm="1">
        <f t="array" aca="1" ref="W341" ca="1">IFERROR(INDIRECT("$U"&amp;V341),"")</f>
        <v/>
      </c>
      <c r="Z341" t="str" cm="1">
        <f t="array" aca="1" ref="Z341" ca="1">INDEX($AE$2:$AN$40,MOD(ROW()-ROW($AE$2),ROWS($AE$2:$AN$40))+1,INT((ROW()-ROW($AE$2))/ROWS($AE$2:$AN$40))+1)</f>
        <v>035A_valve_position_sensor</v>
      </c>
      <c r="AA341" t="e">
        <f t="shared" ca="1" si="17"/>
        <v>#N/A</v>
      </c>
      <c r="AB341" t="str" cm="1">
        <f t="array" aca="1" ref="AB341" ca="1">IFERROR(INDIRECT("$Z"&amp;AA341),"")</f>
        <v/>
      </c>
    </row>
    <row r="342" spans="5:28" x14ac:dyDescent="0.2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15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16"/>
        <v>#N/A</v>
      </c>
      <c r="W342" t="str" cm="1">
        <f t="array" aca="1" ref="W342" ca="1">IFERROR(INDIRECT("$U"&amp;V342),"")</f>
        <v/>
      </c>
      <c r="Z342" t="str" cm="1">
        <f t="array" aca="1" ref="Z342" ca="1">INDEX($AE$2:$AN$40,MOD(ROW()-ROW($AE$2),ROWS($AE$2:$AN$40))+1,INT((ROW()-ROW($AE$2))/ROWS($AE$2:$AN$40))+1)</f>
        <v>020A_co2_sensor</v>
      </c>
      <c r="AA342" t="e">
        <f t="shared" ca="1" si="17"/>
        <v>#N/A</v>
      </c>
      <c r="AB342" t="str" cm="1">
        <f t="array" aca="1" ref="AB342" ca="1">IFERROR(INDIRECT("$Z"&amp;AA342),"")</f>
        <v/>
      </c>
    </row>
    <row r="343" spans="5:28" x14ac:dyDescent="0.2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15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16"/>
        <v>#N/A</v>
      </c>
      <c r="W343" t="str" cm="1">
        <f t="array" aca="1" ref="W343" ca="1">IFERROR(INDIRECT("$U"&amp;V343),"")</f>
        <v/>
      </c>
      <c r="Z343" t="str" cm="1">
        <f t="array" aca="1" ref="Z343" ca="1">INDEX($AE$2:$AN$40,MOD(ROW()-ROW($AE$2),ROWS($AE$2:$AN$40))+1,INT((ROW()-ROW($AE$2))/ROWS($AE$2:$AN$40))+1)</f>
        <v>020A_damper_position_sensor</v>
      </c>
      <c r="AA343" t="e">
        <f t="shared" ca="1" si="17"/>
        <v>#N/A</v>
      </c>
      <c r="AB343" t="str" cm="1">
        <f t="array" aca="1" ref="AB343" ca="1">IFERROR(INDIRECT("$Z"&amp;AA343),"")</f>
        <v/>
      </c>
    </row>
    <row r="344" spans="5:28" x14ac:dyDescent="0.2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15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16"/>
        <v>#N/A</v>
      </c>
      <c r="W344" t="str" cm="1">
        <f t="array" aca="1" ref="W344" ca="1">IFERROR(INDIRECT("$U"&amp;V344),"")</f>
        <v/>
      </c>
      <c r="Z344" t="str" cm="1">
        <f t="array" aca="1" ref="Z344" ca="1">INDEX($AE$2:$AN$40,MOD(ROW()-ROW($AE$2),ROWS($AE$2:$AN$40))+1,INT((ROW()-ROW($AE$2))/ROWS($AE$2:$AN$40))+1)</f>
        <v>020A_temperature_sensor</v>
      </c>
      <c r="AA344" t="e">
        <f t="shared" ca="1" si="17"/>
        <v>#N/A</v>
      </c>
      <c r="AB344" t="str" cm="1">
        <f t="array" aca="1" ref="AB344" ca="1">IFERROR(INDIRECT("$Z"&amp;AA344),"")</f>
        <v/>
      </c>
    </row>
    <row r="345" spans="5:28" x14ac:dyDescent="0.2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15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16"/>
        <v>#N/A</v>
      </c>
      <c r="W345" t="str" cm="1">
        <f t="array" aca="1" ref="W345" ca="1">IFERROR(INDIRECT("$U"&amp;V345),"")</f>
        <v/>
      </c>
      <c r="Z345" t="str" cm="1">
        <f t="array" aca="1" ref="Z345" ca="1">INDEX($AE$2:$AN$40,MOD(ROW()-ROW($AE$2),ROWS($AE$2:$AN$40))+1,INT((ROW()-ROW($AE$2))/ROWS($AE$2:$AN$40))+1)</f>
        <v>020A_valve_position_sensor</v>
      </c>
      <c r="AA345" t="e">
        <f t="shared" ca="1" si="17"/>
        <v>#N/A</v>
      </c>
      <c r="AB345" t="str" cm="1">
        <f t="array" aca="1" ref="AB345" ca="1">IFERROR(INDIRECT("$Z"&amp;AA345),"")</f>
        <v/>
      </c>
    </row>
    <row r="346" spans="5:28" x14ac:dyDescent="0.2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15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16"/>
        <v>#N/A</v>
      </c>
      <c r="W346" t="str" cm="1">
        <f t="array" aca="1" ref="W346" ca="1">IFERROR(INDIRECT("$U"&amp;V346),"")</f>
        <v/>
      </c>
      <c r="Z346" t="str" cm="1">
        <f t="array" aca="1" ref="Z346" ca="1">INDEX($AE$2:$AN$40,MOD(ROW()-ROW($AE$2),ROWS($AE$2:$AN$40))+1,INT((ROW()-ROW($AE$2))/ROWS($AE$2:$AN$40))+1)</f>
        <v>015A_co2_sensor</v>
      </c>
      <c r="AA346" t="e">
        <f t="shared" ca="1" si="17"/>
        <v>#N/A</v>
      </c>
      <c r="AB346" t="str" cm="1">
        <f t="array" aca="1" ref="AB346" ca="1">IFERROR(INDIRECT("$Z"&amp;AA346),"")</f>
        <v/>
      </c>
    </row>
    <row r="347" spans="5:28" x14ac:dyDescent="0.2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15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16"/>
        <v>#N/A</v>
      </c>
      <c r="W347" t="str" cm="1">
        <f t="array" aca="1" ref="W347" ca="1">IFERROR(INDIRECT("$U"&amp;V347),"")</f>
        <v/>
      </c>
      <c r="Z347" t="str" cm="1">
        <f t="array" aca="1" ref="Z347" ca="1">INDEX($AE$2:$AN$40,MOD(ROW()-ROW($AE$2),ROWS($AE$2:$AN$40))+1,INT((ROW()-ROW($AE$2))/ROWS($AE$2:$AN$40))+1)</f>
        <v>015A_damper_position_sensor</v>
      </c>
      <c r="AA347" t="e">
        <f t="shared" ca="1" si="17"/>
        <v>#N/A</v>
      </c>
      <c r="AB347" t="str" cm="1">
        <f t="array" aca="1" ref="AB347" ca="1">IFERROR(INDIRECT("$Z"&amp;AA347),"")</f>
        <v/>
      </c>
    </row>
    <row r="348" spans="5:28" x14ac:dyDescent="0.2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15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16"/>
        <v>#N/A</v>
      </c>
      <c r="W348" t="str" cm="1">
        <f t="array" aca="1" ref="W348" ca="1">IFERROR(INDIRECT("$U"&amp;V348),"")</f>
        <v/>
      </c>
      <c r="Z348" t="str" cm="1">
        <f t="array" aca="1" ref="Z348" ca="1">INDEX($AE$2:$AN$40,MOD(ROW()-ROW($AE$2),ROWS($AE$2:$AN$40))+1,INT((ROW()-ROW($AE$2))/ROWS($AE$2:$AN$40))+1)</f>
        <v>015A_temperature_sensor</v>
      </c>
      <c r="AA348" t="e">
        <f t="shared" ca="1" si="17"/>
        <v>#N/A</v>
      </c>
      <c r="AB348" t="str" cm="1">
        <f t="array" aca="1" ref="AB348" ca="1">IFERROR(INDIRECT("$Z"&amp;AA348),"")</f>
        <v/>
      </c>
    </row>
    <row r="349" spans="5:28" x14ac:dyDescent="0.2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15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16"/>
        <v>#N/A</v>
      </c>
      <c r="W349" t="str" cm="1">
        <f t="array" aca="1" ref="W349" ca="1">IFERROR(INDIRECT("$U"&amp;V349),"")</f>
        <v/>
      </c>
      <c r="Z349" t="str" cm="1">
        <f t="array" aca="1" ref="Z349" ca="1">INDEX($AE$2:$AN$40,MOD(ROW()-ROW($AE$2),ROWS($AE$2:$AN$40))+1,INT((ROW()-ROW($AE$2))/ROWS($AE$2:$AN$40))+1)</f>
        <v>015A_valve_position_sensor</v>
      </c>
      <c r="AA349" t="e">
        <f t="shared" ca="1" si="17"/>
        <v>#N/A</v>
      </c>
      <c r="AB349" t="str" cm="1">
        <f t="array" aca="1" ref="AB349" ca="1">IFERROR(INDIRECT("$Z"&amp;AA349),"")</f>
        <v/>
      </c>
    </row>
    <row r="350" spans="5:28" x14ac:dyDescent="0.2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15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16"/>
        <v>#N/A</v>
      </c>
      <c r="W350" t="str" cm="1">
        <f t="array" aca="1" ref="W350" ca="1">IFERROR(INDIRECT("$U"&amp;V350),"")</f>
        <v/>
      </c>
      <c r="Z350" t="str" cm="1">
        <f t="array" aca="1" ref="Z350" ca="1">INDEX($AE$2:$AN$40,MOD(ROW()-ROW($AE$2),ROWS($AE$2:$AN$40))+1,INT((ROW()-ROW($AE$2))/ROWS($AE$2:$AN$40))+1)</f>
        <v>020B_co2_sensor</v>
      </c>
      <c r="AA350" t="e">
        <f t="shared" ca="1" si="17"/>
        <v>#N/A</v>
      </c>
      <c r="AB350" t="str" cm="1">
        <f t="array" aca="1" ref="AB350" ca="1">IFERROR(INDIRECT("$Z"&amp;AA350),"")</f>
        <v/>
      </c>
    </row>
    <row r="351" spans="5:28" x14ac:dyDescent="0.2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15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16"/>
        <v>#N/A</v>
      </c>
      <c r="W351" t="str" cm="1">
        <f t="array" aca="1" ref="W351" ca="1">IFERROR(INDIRECT("$U"&amp;V351),"")</f>
        <v/>
      </c>
      <c r="Z351" t="str" cm="1">
        <f t="array" aca="1" ref="Z351" ca="1">INDEX($AE$2:$AN$40,MOD(ROW()-ROW($AE$2),ROWS($AE$2:$AN$40))+1,INT((ROW()-ROW($AE$2))/ROWS($AE$2:$AN$40))+1)</f>
        <v>020B_damper_position_sensor</v>
      </c>
      <c r="AA351" t="e">
        <f t="shared" ca="1" si="17"/>
        <v>#N/A</v>
      </c>
      <c r="AB351" t="str" cm="1">
        <f t="array" aca="1" ref="AB351" ca="1">IFERROR(INDIRECT("$Z"&amp;AA351),"")</f>
        <v/>
      </c>
    </row>
    <row r="352" spans="5:28" x14ac:dyDescent="0.2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15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16"/>
        <v>#N/A</v>
      </c>
      <c r="W352" t="str" cm="1">
        <f t="array" aca="1" ref="W352" ca="1">IFERROR(INDIRECT("$U"&amp;V352),"")</f>
        <v/>
      </c>
      <c r="Z352" t="str" cm="1">
        <f t="array" aca="1" ref="Z352" ca="1">INDEX($AE$2:$AN$40,MOD(ROW()-ROW($AE$2),ROWS($AE$2:$AN$40))+1,INT((ROW()-ROW($AE$2))/ROWS($AE$2:$AN$40))+1)</f>
        <v>020B_temperature_sensor</v>
      </c>
      <c r="AA352" t="e">
        <f t="shared" ca="1" si="17"/>
        <v>#N/A</v>
      </c>
      <c r="AB352" t="str" cm="1">
        <f t="array" aca="1" ref="AB352" ca="1">IFERROR(INDIRECT("$Z"&amp;AA352),"")</f>
        <v/>
      </c>
    </row>
    <row r="353" spans="5:28" x14ac:dyDescent="0.2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15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16"/>
        <v>#N/A</v>
      </c>
      <c r="W353" t="str" cm="1">
        <f t="array" aca="1" ref="W353" ca="1">IFERROR(INDIRECT("$U"&amp;V353),"")</f>
        <v/>
      </c>
      <c r="Z353" t="e" cm="1">
        <f t="array" aca="1" ref="Z353" ca="1">INDEX($AE$2:$AN$40,MOD(ROW()-ROW($AE$2),ROWS($AE$2:$AN$40))+1,INT((ROW()-ROW($AE$2))/ROWS($AE$2:$AN$40))+1)</f>
        <v>#REF!</v>
      </c>
      <c r="AA353" t="e">
        <f t="shared" ca="1" si="17"/>
        <v>#N/A</v>
      </c>
      <c r="AB353" t="str" cm="1">
        <f t="array" aca="1" ref="AB353" ca="1">IFERROR(INDIRECT("$Z"&amp;AA353),"")</f>
        <v/>
      </c>
    </row>
    <row r="354" spans="5:28" x14ac:dyDescent="0.2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15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16"/>
        <v>#N/A</v>
      </c>
      <c r="W354" t="str" cm="1">
        <f t="array" aca="1" ref="W354" ca="1">IFERROR(INDIRECT("$U"&amp;V354),"")</f>
        <v/>
      </c>
      <c r="Z354" cm="1">
        <f t="array" ref="Z354">INDEX($AE$2:$AN$40,MOD(ROW()-ROW($AE$2),ROWS($AE$2:$AN$40))+1,INT((ROW()-ROW($AE$2))/ROWS($AE$2:$AN$40))+1)</f>
        <v>0</v>
      </c>
      <c r="AA354" t="e">
        <f t="shared" ca="1" si="17"/>
        <v>#N/A</v>
      </c>
      <c r="AB354" t="str" cm="1">
        <f t="array" aca="1" ref="AB354" ca="1">IFERROR(INDIRECT("$Z"&amp;AA354),"")</f>
        <v/>
      </c>
    </row>
    <row r="355" spans="5:28" x14ac:dyDescent="0.2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15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16"/>
        <v>#N/A</v>
      </c>
      <c r="W355" t="str" cm="1">
        <f t="array" aca="1" ref="W355" ca="1">IFERROR(INDIRECT("$U"&amp;V355),"")</f>
        <v/>
      </c>
      <c r="Z355" cm="1">
        <f t="array" ref="Z355">INDEX($AE$2:$AN$40,MOD(ROW()-ROW($AE$2),ROWS($AE$2:$AN$40))+1,INT((ROW()-ROW($AE$2))/ROWS($AE$2:$AN$40))+1)</f>
        <v>0</v>
      </c>
      <c r="AA355" t="e">
        <f t="shared" ca="1" si="17"/>
        <v>#N/A</v>
      </c>
      <c r="AB355" t="str" cm="1">
        <f t="array" aca="1" ref="AB355" ca="1">IFERROR(INDIRECT("$Z"&amp;AA355),"")</f>
        <v/>
      </c>
    </row>
    <row r="356" spans="5:28" x14ac:dyDescent="0.2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15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16"/>
        <v>#N/A</v>
      </c>
      <c r="W356" t="str" cm="1">
        <f t="array" aca="1" ref="W356" ca="1">IFERROR(INDIRECT("$U"&amp;V356),"")</f>
        <v/>
      </c>
      <c r="Z356" cm="1">
        <f t="array" ref="Z356">INDEX($AE$2:$AN$40,MOD(ROW()-ROW($AE$2),ROWS($AE$2:$AN$40))+1,INT((ROW()-ROW($AE$2))/ROWS($AE$2:$AN$40))+1)</f>
        <v>0</v>
      </c>
      <c r="AA356" t="e">
        <f t="shared" ca="1" si="17"/>
        <v>#N/A</v>
      </c>
      <c r="AB356" t="str" cm="1">
        <f t="array" aca="1" ref="AB356" ca="1">IFERROR(INDIRECT("$Z"&amp;AA356),"")</f>
        <v/>
      </c>
    </row>
    <row r="357" spans="5:28" x14ac:dyDescent="0.2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15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16"/>
        <v>#N/A</v>
      </c>
      <c r="W357" t="str" cm="1">
        <f t="array" aca="1" ref="W357" ca="1">IFERROR(INDIRECT("$U"&amp;V357),"")</f>
        <v/>
      </c>
      <c r="Z357" cm="1">
        <f t="array" ref="Z357">INDEX($AE$2:$AN$40,MOD(ROW()-ROW($AE$2),ROWS($AE$2:$AN$40))+1,INT((ROW()-ROW($AE$2))/ROWS($AE$2:$AN$40))+1)</f>
        <v>0</v>
      </c>
      <c r="AA357" t="e">
        <f t="shared" ca="1" si="17"/>
        <v>#N/A</v>
      </c>
      <c r="AB357" t="str" cm="1">
        <f t="array" aca="1" ref="AB357" ca="1">IFERROR(INDIRECT("$Z"&amp;AA357),"")</f>
        <v/>
      </c>
    </row>
    <row r="358" spans="5:28" x14ac:dyDescent="0.2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15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16"/>
        <v>#N/A</v>
      </c>
      <c r="W358" t="str" cm="1">
        <f t="array" aca="1" ref="W358" ca="1">IFERROR(INDIRECT("$U"&amp;V358),"")</f>
        <v/>
      </c>
      <c r="Z358" cm="1">
        <f t="array" ref="Z358">INDEX($AE$2:$AN$40,MOD(ROW()-ROW($AE$2),ROWS($AE$2:$AN$40))+1,INT((ROW()-ROW($AE$2))/ROWS($AE$2:$AN$40))+1)</f>
        <v>0</v>
      </c>
      <c r="AA358" t="e">
        <f t="shared" ca="1" si="17"/>
        <v>#N/A</v>
      </c>
      <c r="AB358" t="str" cm="1">
        <f t="array" aca="1" ref="AB358" ca="1">IFERROR(INDIRECT("$Z"&amp;AA358),"")</f>
        <v/>
      </c>
    </row>
    <row r="359" spans="5:28" x14ac:dyDescent="0.2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15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16"/>
        <v>#N/A</v>
      </c>
      <c r="W359" t="str" cm="1">
        <f t="array" aca="1" ref="W359" ca="1">IFERROR(INDIRECT("$U"&amp;V359),"")</f>
        <v/>
      </c>
      <c r="Z359" cm="1">
        <f t="array" ref="Z359">INDEX($AE$2:$AN$40,MOD(ROW()-ROW($AE$2),ROWS($AE$2:$AN$40))+1,INT((ROW()-ROW($AE$2))/ROWS($AE$2:$AN$40))+1)</f>
        <v>0</v>
      </c>
      <c r="AA359" t="e">
        <f t="shared" ca="1" si="17"/>
        <v>#N/A</v>
      </c>
      <c r="AB359" t="str" cm="1">
        <f t="array" aca="1" ref="AB359" ca="1">IFERROR(INDIRECT("$Z"&amp;AA359),"")</f>
        <v/>
      </c>
    </row>
    <row r="360" spans="5:28" x14ac:dyDescent="0.2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15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16"/>
        <v>#N/A</v>
      </c>
      <c r="W360" t="str" cm="1">
        <f t="array" aca="1" ref="W360" ca="1">IFERROR(INDIRECT("$U"&amp;V360),"")</f>
        <v/>
      </c>
      <c r="Z360" cm="1">
        <f t="array" ref="Z360">INDEX($AE$2:$AN$40,MOD(ROW()-ROW($AE$2),ROWS($AE$2:$AN$40))+1,INT((ROW()-ROW($AE$2))/ROWS($AE$2:$AN$40))+1)</f>
        <v>0</v>
      </c>
      <c r="AA360" t="e">
        <f t="shared" ca="1" si="17"/>
        <v>#N/A</v>
      </c>
      <c r="AB360" t="str" cm="1">
        <f t="array" aca="1" ref="AB360" ca="1">IFERROR(INDIRECT("$Z"&amp;AA360),"")</f>
        <v/>
      </c>
    </row>
    <row r="361" spans="5:28" x14ac:dyDescent="0.2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15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16"/>
        <v>#N/A</v>
      </c>
      <c r="W361" t="str" cm="1">
        <f t="array" aca="1" ref="W361" ca="1">IFERROR(INDIRECT("$U"&amp;V361),"")</f>
        <v/>
      </c>
      <c r="Z361" cm="1">
        <f t="array" ref="Z361">INDEX($AE$2:$AN$40,MOD(ROW()-ROW($AE$2),ROWS($AE$2:$AN$40))+1,INT((ROW()-ROW($AE$2))/ROWS($AE$2:$AN$40))+1)</f>
        <v>0</v>
      </c>
      <c r="AA361" t="e">
        <f t="shared" ca="1" si="17"/>
        <v>#N/A</v>
      </c>
      <c r="AB361" t="str" cm="1">
        <f t="array" aca="1" ref="AB361" ca="1">IFERROR(INDIRECT("$Z"&amp;AA361),"")</f>
        <v/>
      </c>
    </row>
    <row r="362" spans="5:28" x14ac:dyDescent="0.2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15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16"/>
        <v>#N/A</v>
      </c>
      <c r="W362" t="str" cm="1">
        <f t="array" aca="1" ref="W362" ca="1">IFERROR(INDIRECT("$U"&amp;V362),"")</f>
        <v/>
      </c>
      <c r="Z362" cm="1">
        <f t="array" ref="Z362">INDEX($AE$2:$AN$40,MOD(ROW()-ROW($AE$2),ROWS($AE$2:$AN$40))+1,INT((ROW()-ROW($AE$2))/ROWS($AE$2:$AN$40))+1)</f>
        <v>0</v>
      </c>
      <c r="AA362" t="e">
        <f t="shared" ca="1" si="17"/>
        <v>#N/A</v>
      </c>
      <c r="AB362" t="str" cm="1">
        <f t="array" aca="1" ref="AB362" ca="1">IFERROR(INDIRECT("$Z"&amp;AA362),"")</f>
        <v/>
      </c>
    </row>
    <row r="363" spans="5:28" x14ac:dyDescent="0.2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15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16"/>
        <v>#N/A</v>
      </c>
      <c r="W363" t="str" cm="1">
        <f t="array" aca="1" ref="W363" ca="1">IFERROR(INDIRECT("$U"&amp;V363),"")</f>
        <v/>
      </c>
      <c r="Z363" cm="1">
        <f t="array" ref="Z363">INDEX($AE$2:$AN$40,MOD(ROW()-ROW($AE$2),ROWS($AE$2:$AN$40))+1,INT((ROW()-ROW($AE$2))/ROWS($AE$2:$AN$40))+1)</f>
        <v>0</v>
      </c>
      <c r="AA363" t="e">
        <f t="shared" ca="1" si="17"/>
        <v>#N/A</v>
      </c>
      <c r="AB363" t="str" cm="1">
        <f t="array" aca="1" ref="AB363" ca="1">IFERROR(INDIRECT("$Z"&amp;AA363),"")</f>
        <v/>
      </c>
    </row>
    <row r="364" spans="5:28" x14ac:dyDescent="0.2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15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16"/>
        <v>#N/A</v>
      </c>
      <c r="W364" t="str" cm="1">
        <f t="array" aca="1" ref="W364" ca="1">IFERROR(INDIRECT("$U"&amp;V364),"")</f>
        <v/>
      </c>
      <c r="Z364" cm="1">
        <f t="array" ref="Z364">INDEX($AE$2:$AN$40,MOD(ROW()-ROW($AE$2),ROWS($AE$2:$AN$40))+1,INT((ROW()-ROW($AE$2))/ROWS($AE$2:$AN$40))+1)</f>
        <v>0</v>
      </c>
      <c r="AA364" t="e">
        <f t="shared" ca="1" si="17"/>
        <v>#N/A</v>
      </c>
      <c r="AB364" t="str" cm="1">
        <f t="array" aca="1" ref="AB364" ca="1">IFERROR(INDIRECT("$Z"&amp;AA364),"")</f>
        <v/>
      </c>
    </row>
    <row r="365" spans="5:28" x14ac:dyDescent="0.2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15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16"/>
        <v>#N/A</v>
      </c>
      <c r="W365" t="str" cm="1">
        <f t="array" aca="1" ref="W365" ca="1">IFERROR(INDIRECT("$U"&amp;V365),"")</f>
        <v/>
      </c>
      <c r="Z365" cm="1">
        <f t="array" ref="Z365">INDEX($AE$2:$AN$40,MOD(ROW()-ROW($AE$2),ROWS($AE$2:$AN$40))+1,INT((ROW()-ROW($AE$2))/ROWS($AE$2:$AN$40))+1)</f>
        <v>0</v>
      </c>
      <c r="AA365" t="e">
        <f t="shared" ca="1" si="17"/>
        <v>#N/A</v>
      </c>
      <c r="AB365" t="str" cm="1">
        <f t="array" aca="1" ref="AB365" ca="1">IFERROR(INDIRECT("$Z"&amp;AA365),"")</f>
        <v/>
      </c>
    </row>
    <row r="366" spans="5:28" x14ac:dyDescent="0.2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15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16"/>
        <v>#N/A</v>
      </c>
      <c r="W366" t="str" cm="1">
        <f t="array" aca="1" ref="W366" ca="1">IFERROR(INDIRECT("$U"&amp;V366),"")</f>
        <v/>
      </c>
      <c r="Z366" cm="1">
        <f t="array" ref="Z366">INDEX($AE$2:$AN$40,MOD(ROW()-ROW($AE$2),ROWS($AE$2:$AN$40))+1,INT((ROW()-ROW($AE$2))/ROWS($AE$2:$AN$40))+1)</f>
        <v>0</v>
      </c>
      <c r="AA366" t="e">
        <f t="shared" ca="1" si="17"/>
        <v>#N/A</v>
      </c>
      <c r="AB366" t="str" cm="1">
        <f t="array" aca="1" ref="AB366" ca="1">IFERROR(INDIRECT("$Z"&amp;AA366),"")</f>
        <v/>
      </c>
    </row>
    <row r="367" spans="5:28" x14ac:dyDescent="0.2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15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16"/>
        <v>#N/A</v>
      </c>
      <c r="W367" t="str" cm="1">
        <f t="array" aca="1" ref="W367" ca="1">IFERROR(INDIRECT("$U"&amp;V367),"")</f>
        <v/>
      </c>
      <c r="Z367" cm="1">
        <f t="array" ref="Z367">INDEX($AE$2:$AN$40,MOD(ROW()-ROW($AE$2),ROWS($AE$2:$AN$40))+1,INT((ROW()-ROW($AE$2))/ROWS($AE$2:$AN$40))+1)</f>
        <v>0</v>
      </c>
      <c r="AA367" t="e">
        <f t="shared" ca="1" si="17"/>
        <v>#N/A</v>
      </c>
      <c r="AB367" t="str" cm="1">
        <f t="array" aca="1" ref="AB367" ca="1">IFERROR(INDIRECT("$Z"&amp;AA367),"")</f>
        <v/>
      </c>
    </row>
    <row r="368" spans="5:28" x14ac:dyDescent="0.2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15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16"/>
        <v>#N/A</v>
      </c>
      <c r="W368" t="str" cm="1">
        <f t="array" aca="1" ref="W368" ca="1">IFERROR(INDIRECT("$U"&amp;V368),"")</f>
        <v/>
      </c>
      <c r="Z368" cm="1">
        <f t="array" ref="Z368">INDEX($AE$2:$AN$40,MOD(ROW()-ROW($AE$2),ROWS($AE$2:$AN$40))+1,INT((ROW()-ROW($AE$2))/ROWS($AE$2:$AN$40))+1)</f>
        <v>0</v>
      </c>
      <c r="AA368" t="e">
        <f t="shared" ca="1" si="17"/>
        <v>#N/A</v>
      </c>
      <c r="AB368" t="str" cm="1">
        <f t="array" aca="1" ref="AB368" ca="1">IFERROR(INDIRECT("$Z"&amp;AA368),"")</f>
        <v/>
      </c>
    </row>
    <row r="369" spans="5:28" x14ac:dyDescent="0.2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15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16"/>
        <v>#N/A</v>
      </c>
      <c r="W369" t="str" cm="1">
        <f t="array" aca="1" ref="W369" ca="1">IFERROR(INDIRECT("$U"&amp;V369),"")</f>
        <v/>
      </c>
      <c r="Z369" cm="1">
        <f t="array" ref="Z369">INDEX($AE$2:$AN$40,MOD(ROW()-ROW($AE$2),ROWS($AE$2:$AN$40))+1,INT((ROW()-ROW($AE$2))/ROWS($AE$2:$AN$40))+1)</f>
        <v>0</v>
      </c>
      <c r="AA369" t="e">
        <f t="shared" ca="1" si="17"/>
        <v>#N/A</v>
      </c>
      <c r="AB369" t="str" cm="1">
        <f t="array" aca="1" ref="AB369" ca="1">IFERROR(INDIRECT("$Z"&amp;AA369),"")</f>
        <v/>
      </c>
    </row>
    <row r="370" spans="5:28" x14ac:dyDescent="0.2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15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16"/>
        <v>#N/A</v>
      </c>
      <c r="W370" t="str" cm="1">
        <f t="array" aca="1" ref="W370" ca="1">IFERROR(INDIRECT("$U"&amp;V370),"")</f>
        <v/>
      </c>
      <c r="Z370" cm="1">
        <f t="array" ref="Z370">INDEX($AE$2:$AN$40,MOD(ROW()-ROW($AE$2),ROWS($AE$2:$AN$40))+1,INT((ROW()-ROW($AE$2))/ROWS($AE$2:$AN$40))+1)</f>
        <v>0</v>
      </c>
      <c r="AA370" t="e">
        <f t="shared" ca="1" si="17"/>
        <v>#N/A</v>
      </c>
      <c r="AB370" t="str" cm="1">
        <f t="array" aca="1" ref="AB370" ca="1">IFERROR(INDIRECT("$Z"&amp;AA370),"")</f>
        <v/>
      </c>
    </row>
    <row r="371" spans="5:28" x14ac:dyDescent="0.2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15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16"/>
        <v>#N/A</v>
      </c>
      <c r="W371" t="str" cm="1">
        <f t="array" aca="1" ref="W371" ca="1">IFERROR(INDIRECT("$U"&amp;V371),"")</f>
        <v/>
      </c>
      <c r="Z371" cm="1">
        <f t="array" ref="Z371">INDEX($AE$2:$AN$40,MOD(ROW()-ROW($AE$2),ROWS($AE$2:$AN$40))+1,INT((ROW()-ROW($AE$2))/ROWS($AE$2:$AN$40))+1)</f>
        <v>0</v>
      </c>
      <c r="AA371" t="e">
        <f t="shared" ca="1" si="17"/>
        <v>#N/A</v>
      </c>
      <c r="AB371" t="str" cm="1">
        <f t="array" aca="1" ref="AB371" ca="1">IFERROR(INDIRECT("$Z"&amp;AA371),"")</f>
        <v/>
      </c>
    </row>
    <row r="372" spans="5:28" x14ac:dyDescent="0.2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15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16"/>
        <v>#N/A</v>
      </c>
      <c r="W372" t="str" cm="1">
        <f t="array" aca="1" ref="W372" ca="1">IFERROR(INDIRECT("$U"&amp;V372),"")</f>
        <v/>
      </c>
      <c r="Z372" cm="1">
        <f t="array" ref="Z372">INDEX($AE$2:$AN$40,MOD(ROW()-ROW($AE$2),ROWS($AE$2:$AN$40))+1,INT((ROW()-ROW($AE$2))/ROWS($AE$2:$AN$40))+1)</f>
        <v>0</v>
      </c>
      <c r="AA372" t="e">
        <f t="shared" ca="1" si="17"/>
        <v>#N/A</v>
      </c>
      <c r="AB372" t="str" cm="1">
        <f t="array" aca="1" ref="AB372" ca="1">IFERROR(INDIRECT("$Z"&amp;AA372),"")</f>
        <v/>
      </c>
    </row>
    <row r="373" spans="5:28" x14ac:dyDescent="0.2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15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16"/>
        <v>#N/A</v>
      </c>
      <c r="W373" t="str" cm="1">
        <f t="array" aca="1" ref="W373" ca="1">IFERROR(INDIRECT("$U"&amp;V373),"")</f>
        <v/>
      </c>
      <c r="Z373" cm="1">
        <f t="array" ref="Z373">INDEX($AE$2:$AN$40,MOD(ROW()-ROW($AE$2),ROWS($AE$2:$AN$40))+1,INT((ROW()-ROW($AE$2))/ROWS($AE$2:$AN$40))+1)</f>
        <v>0</v>
      </c>
      <c r="AA373" t="e">
        <f t="shared" ca="1" si="17"/>
        <v>#N/A</v>
      </c>
      <c r="AB373" t="str" cm="1">
        <f t="array" aca="1" ref="AB373" ca="1">IFERROR(INDIRECT("$Z"&amp;AA373),"")</f>
        <v/>
      </c>
    </row>
    <row r="374" spans="5:28" x14ac:dyDescent="0.2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15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16"/>
        <v>#N/A</v>
      </c>
      <c r="W374" t="str" cm="1">
        <f t="array" aca="1" ref="W374" ca="1">IFERROR(INDIRECT("$U"&amp;V374),"")</f>
        <v/>
      </c>
      <c r="Z374" cm="1">
        <f t="array" ref="Z374">INDEX($AE$2:$AN$40,MOD(ROW()-ROW($AE$2),ROWS($AE$2:$AN$40))+1,INT((ROW()-ROW($AE$2))/ROWS($AE$2:$AN$40))+1)</f>
        <v>0</v>
      </c>
      <c r="AA374" t="e">
        <f t="shared" ca="1" si="17"/>
        <v>#N/A</v>
      </c>
      <c r="AB374" t="str" cm="1">
        <f t="array" aca="1" ref="AB374" ca="1">IFERROR(INDIRECT("$Z"&amp;AA374),"")</f>
        <v/>
      </c>
    </row>
    <row r="375" spans="5:28" x14ac:dyDescent="0.2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15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16"/>
        <v>#N/A</v>
      </c>
      <c r="W375" t="str" cm="1">
        <f t="array" aca="1" ref="W375" ca="1">IFERROR(INDIRECT("$U"&amp;V375),"")</f>
        <v/>
      </c>
      <c r="Z375" cm="1">
        <f t="array" ref="Z375">INDEX($AE$2:$AN$40,MOD(ROW()-ROW($AE$2),ROWS($AE$2:$AN$40))+1,INT((ROW()-ROW($AE$2))/ROWS($AE$2:$AN$40))+1)</f>
        <v>0</v>
      </c>
      <c r="AA375" t="e">
        <f t="shared" ca="1" si="17"/>
        <v>#N/A</v>
      </c>
      <c r="AB375" t="str" cm="1">
        <f t="array" aca="1" ref="AB375" ca="1">IFERROR(INDIRECT("$Z"&amp;AA375),"")</f>
        <v/>
      </c>
    </row>
    <row r="376" spans="5:28" x14ac:dyDescent="0.2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15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16"/>
        <v>#N/A</v>
      </c>
      <c r="W376" t="str" cm="1">
        <f t="array" aca="1" ref="W376" ca="1">IFERROR(INDIRECT("$U"&amp;V376),"")</f>
        <v/>
      </c>
      <c r="Z376" cm="1">
        <f t="array" ref="Z376">INDEX($AE$2:$AN$40,MOD(ROW()-ROW($AE$2),ROWS($AE$2:$AN$40))+1,INT((ROW()-ROW($AE$2))/ROWS($AE$2:$AN$40))+1)</f>
        <v>0</v>
      </c>
      <c r="AA376" t="e">
        <f t="shared" ca="1" si="17"/>
        <v>#N/A</v>
      </c>
      <c r="AB376" t="str" cm="1">
        <f t="array" aca="1" ref="AB376" ca="1">IFERROR(INDIRECT("$Z"&amp;AA376),"")</f>
        <v/>
      </c>
    </row>
    <row r="377" spans="5:28" x14ac:dyDescent="0.2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15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16"/>
        <v>#N/A</v>
      </c>
      <c r="W377" t="str" cm="1">
        <f t="array" aca="1" ref="W377" ca="1">IFERROR(INDIRECT("$U"&amp;V377),"")</f>
        <v/>
      </c>
      <c r="Z377" cm="1">
        <f t="array" ref="Z377">INDEX($AE$2:$AN$40,MOD(ROW()-ROW($AE$2),ROWS($AE$2:$AN$40))+1,INT((ROW()-ROW($AE$2))/ROWS($AE$2:$AN$40))+1)</f>
        <v>0</v>
      </c>
      <c r="AA377" t="e">
        <f t="shared" ca="1" si="17"/>
        <v>#N/A</v>
      </c>
      <c r="AB377" t="str" cm="1">
        <f t="array" aca="1" ref="AB377" ca="1">IFERROR(INDIRECT("$Z"&amp;AA377),"")</f>
        <v/>
      </c>
    </row>
    <row r="378" spans="5:28" x14ac:dyDescent="0.2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15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16"/>
        <v>#N/A</v>
      </c>
      <c r="W378" t="str" cm="1">
        <f t="array" aca="1" ref="W378" ca="1">IFERROR(INDIRECT("$U"&amp;V378),"")</f>
        <v/>
      </c>
      <c r="Z378" cm="1">
        <f t="array" ref="Z378">INDEX($AE$2:$AN$40,MOD(ROW()-ROW($AE$2),ROWS($AE$2:$AN$40))+1,INT((ROW()-ROW($AE$2))/ROWS($AE$2:$AN$40))+1)</f>
        <v>0</v>
      </c>
      <c r="AA378" t="e">
        <f t="shared" ca="1" si="17"/>
        <v>#N/A</v>
      </c>
      <c r="AB378" t="str" cm="1">
        <f t="array" aca="1" ref="AB378" ca="1">IFERROR(INDIRECT("$Z"&amp;AA378),"")</f>
        <v/>
      </c>
    </row>
    <row r="379" spans="5:28" x14ac:dyDescent="0.2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15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16"/>
        <v>#N/A</v>
      </c>
      <c r="W379" t="str" cm="1">
        <f t="array" aca="1" ref="W379" ca="1">IFERROR(INDIRECT("$U"&amp;V379),"")</f>
        <v/>
      </c>
      <c r="Z379" cm="1">
        <f t="array" ref="Z379">INDEX($AE$2:$AN$40,MOD(ROW()-ROW($AE$2),ROWS($AE$2:$AN$40))+1,INT((ROW()-ROW($AE$2))/ROWS($AE$2:$AN$40))+1)</f>
        <v>0</v>
      </c>
      <c r="AA379" t="e">
        <f t="shared" ca="1" si="17"/>
        <v>#N/A</v>
      </c>
      <c r="AB379" t="str" cm="1">
        <f t="array" aca="1" ref="AB379" ca="1">IFERROR(INDIRECT("$Z"&amp;AA379),"")</f>
        <v/>
      </c>
    </row>
    <row r="380" spans="5:28" x14ac:dyDescent="0.2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15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16"/>
        <v>#N/A</v>
      </c>
      <c r="W380" t="str" cm="1">
        <f t="array" aca="1" ref="W380" ca="1">IFERROR(INDIRECT("$U"&amp;V380),"")</f>
        <v/>
      </c>
      <c r="Z380" cm="1">
        <f t="array" ref="Z380">INDEX($AE$2:$AN$40,MOD(ROW()-ROW($AE$2),ROWS($AE$2:$AN$40))+1,INT((ROW()-ROW($AE$2))/ROWS($AE$2:$AN$40))+1)</f>
        <v>0</v>
      </c>
      <c r="AA380" t="e">
        <f t="shared" ca="1" si="17"/>
        <v>#N/A</v>
      </c>
      <c r="AB380" t="str" cm="1">
        <f t="array" aca="1" ref="AB380" ca="1">IFERROR(INDIRECT("$Z"&amp;AA380),"")</f>
        <v/>
      </c>
    </row>
    <row r="381" spans="5:28" x14ac:dyDescent="0.2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15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16"/>
        <v>#N/A</v>
      </c>
      <c r="W381" t="str" cm="1">
        <f t="array" aca="1" ref="W381" ca="1">IFERROR(INDIRECT("$U"&amp;V381),"")</f>
        <v/>
      </c>
      <c r="Z381" cm="1">
        <f t="array" ref="Z381">INDEX($AE$2:$AN$40,MOD(ROW()-ROW($AE$2),ROWS($AE$2:$AN$40))+1,INT((ROW()-ROW($AE$2))/ROWS($AE$2:$AN$40))+1)</f>
        <v>0</v>
      </c>
      <c r="AA381" t="e">
        <f t="shared" ca="1" si="17"/>
        <v>#N/A</v>
      </c>
      <c r="AB381" t="str" cm="1">
        <f t="array" aca="1" ref="AB381" ca="1">IFERROR(INDIRECT("$Z"&amp;AA381),"")</f>
        <v/>
      </c>
    </row>
    <row r="382" spans="5:28" x14ac:dyDescent="0.2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15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16"/>
        <v>#N/A</v>
      </c>
      <c r="W382" t="str" cm="1">
        <f t="array" aca="1" ref="W382" ca="1">IFERROR(INDIRECT("$U"&amp;V382),"")</f>
        <v/>
      </c>
      <c r="Z382" cm="1">
        <f t="array" ref="Z382">INDEX($AE$2:$AN$40,MOD(ROW()-ROW($AE$2),ROWS($AE$2:$AN$40))+1,INT((ROW()-ROW($AE$2))/ROWS($AE$2:$AN$40))+1)</f>
        <v>0</v>
      </c>
      <c r="AA382" t="e">
        <f t="shared" ca="1" si="17"/>
        <v>#N/A</v>
      </c>
      <c r="AB382" t="str" cm="1">
        <f t="array" aca="1" ref="AB382" ca="1">IFERROR(INDIRECT("$Z"&amp;AA382),"")</f>
        <v/>
      </c>
    </row>
    <row r="383" spans="5:28" x14ac:dyDescent="0.2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15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16"/>
        <v>#N/A</v>
      </c>
      <c r="W383" t="str" cm="1">
        <f t="array" aca="1" ref="W383" ca="1">IFERROR(INDIRECT("$U"&amp;V383),"")</f>
        <v/>
      </c>
      <c r="Z383" cm="1">
        <f t="array" ref="Z383">INDEX($AE$2:$AN$40,MOD(ROW()-ROW($AE$2),ROWS($AE$2:$AN$40))+1,INT((ROW()-ROW($AE$2))/ROWS($AE$2:$AN$40))+1)</f>
        <v>0</v>
      </c>
      <c r="AA383" t="e">
        <f t="shared" ca="1" si="17"/>
        <v>#N/A</v>
      </c>
      <c r="AB383" t="str" cm="1">
        <f t="array" aca="1" ref="AB383" ca="1">IFERROR(INDIRECT("$Z"&amp;AA383),"")</f>
        <v/>
      </c>
    </row>
    <row r="384" spans="5:28" x14ac:dyDescent="0.2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15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16"/>
        <v>#N/A</v>
      </c>
      <c r="W384" t="str" cm="1">
        <f t="array" aca="1" ref="W384" ca="1">IFERROR(INDIRECT("$U"&amp;V384),"")</f>
        <v/>
      </c>
      <c r="Z384" cm="1">
        <f t="array" ref="Z384">INDEX($AE$2:$AN$40,MOD(ROW()-ROW($AE$2),ROWS($AE$2:$AN$40))+1,INT((ROW()-ROW($AE$2))/ROWS($AE$2:$AN$40))+1)</f>
        <v>0</v>
      </c>
      <c r="AA384" t="e">
        <f t="shared" ca="1" si="17"/>
        <v>#N/A</v>
      </c>
      <c r="AB384" t="str" cm="1">
        <f t="array" aca="1" ref="AB384" ca="1">IFERROR(INDIRECT("$Z"&amp;AA384),"")</f>
        <v/>
      </c>
    </row>
    <row r="385" spans="5:28" x14ac:dyDescent="0.2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15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16"/>
        <v>#N/A</v>
      </c>
      <c r="W385" t="str" cm="1">
        <f t="array" aca="1" ref="W385" ca="1">IFERROR(INDIRECT("$U"&amp;V385),"")</f>
        <v/>
      </c>
      <c r="Z385" cm="1">
        <f t="array" ref="Z385">INDEX($AE$2:$AN$40,MOD(ROW()-ROW($AE$2),ROWS($AE$2:$AN$40))+1,INT((ROW()-ROW($AE$2))/ROWS($AE$2:$AN$40))+1)</f>
        <v>0</v>
      </c>
      <c r="AA385" t="e">
        <f t="shared" ca="1" si="17"/>
        <v>#N/A</v>
      </c>
      <c r="AB385" t="str" cm="1">
        <f t="array" aca="1" ref="AB385" ca="1">IFERROR(INDIRECT("$Z"&amp;AA385),"")</f>
        <v/>
      </c>
    </row>
    <row r="386" spans="5:28" x14ac:dyDescent="0.2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15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16"/>
        <v>#N/A</v>
      </c>
      <c r="W386" t="str" cm="1">
        <f t="array" aca="1" ref="W386" ca="1">IFERROR(INDIRECT("$U"&amp;V386),"")</f>
        <v/>
      </c>
      <c r="Z386" cm="1">
        <f t="array" ref="Z386">INDEX($AE$2:$AN$40,MOD(ROW()-ROW($AE$2),ROWS($AE$2:$AN$40))+1,INT((ROW()-ROW($AE$2))/ROWS($AE$2:$AN$40))+1)</f>
        <v>0</v>
      </c>
      <c r="AA386" t="e">
        <f t="shared" ca="1" si="17"/>
        <v>#N/A</v>
      </c>
      <c r="AB386" t="str" cm="1">
        <f t="array" aca="1" ref="AB386" ca="1">IFERROR(INDIRECT("$Z"&amp;AA386),"")</f>
        <v/>
      </c>
    </row>
    <row r="387" spans="5:28" x14ac:dyDescent="0.2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15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16"/>
        <v>#N/A</v>
      </c>
      <c r="W387" t="str" cm="1">
        <f t="array" aca="1" ref="W387" ca="1">IFERROR(INDIRECT("$U"&amp;V387),"")</f>
        <v/>
      </c>
      <c r="Z387" cm="1">
        <f t="array" ref="Z387">INDEX($AE$2:$AN$40,MOD(ROW()-ROW($AE$2),ROWS($AE$2:$AN$40))+1,INT((ROW()-ROW($AE$2))/ROWS($AE$2:$AN$40))+1)</f>
        <v>0</v>
      </c>
      <c r="AA387" t="e">
        <f t="shared" ca="1" si="17"/>
        <v>#N/A</v>
      </c>
      <c r="AB387" t="str" cm="1">
        <f t="array" aca="1" ref="AB387" ca="1">IFERROR(INDIRECT("$Z"&amp;AA387),"")</f>
        <v/>
      </c>
    </row>
    <row r="388" spans="5:28" x14ac:dyDescent="0.2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18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19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INDEX($AE$2:$AN$40,MOD(ROW()-ROW($AE$2),ROWS($AE$2:$AN$40))+1,INT((ROW()-ROW($AE$2))/ROWS($AE$2:$AN$40))+1)</f>
        <v>0</v>
      </c>
      <c r="AA388" t="e">
        <f t="shared" ref="AA388:AA451" ca="1" si="20">MATCH("*",INDIRECT(ADDRESS(AA387+1,26,1)&amp;":$Z$1000"),0)+AA387</f>
        <v>#N/A</v>
      </c>
      <c r="AB388" t="str" cm="1">
        <f t="array" aca="1" ref="AB388" ca="1">IFERROR(INDIRECT("$Z"&amp;AA388),"")</f>
        <v/>
      </c>
    </row>
    <row r="389" spans="5:28" x14ac:dyDescent="0.2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18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19"/>
        <v>#N/A</v>
      </c>
      <c r="W389" t="str" cm="1">
        <f t="array" aca="1" ref="W389" ca="1">IFERROR(INDIRECT("$U"&amp;V389),"")</f>
        <v/>
      </c>
      <c r="Z389" cm="1">
        <f t="array" ref="Z389">INDEX($AE$2:$AN$40,MOD(ROW()-ROW($AE$2),ROWS($AE$2:$AN$40))+1,INT((ROW()-ROW($AE$2))/ROWS($AE$2:$AN$40))+1)</f>
        <v>0</v>
      </c>
      <c r="AA389" t="e">
        <f t="shared" ca="1" si="20"/>
        <v>#N/A</v>
      </c>
      <c r="AB389" t="str" cm="1">
        <f t="array" aca="1" ref="AB389" ca="1">IFERROR(INDIRECT("$Z"&amp;AA389),"")</f>
        <v/>
      </c>
    </row>
    <row r="390" spans="5:28" x14ac:dyDescent="0.2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18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19"/>
        <v>#N/A</v>
      </c>
      <c r="W390" t="str" cm="1">
        <f t="array" aca="1" ref="W390" ca="1">IFERROR(INDIRECT("$U"&amp;V390),"")</f>
        <v/>
      </c>
      <c r="Z390" cm="1">
        <f t="array" ref="Z390">INDEX($AE$2:$AN$40,MOD(ROW()-ROW($AE$2),ROWS($AE$2:$AN$40))+1,INT((ROW()-ROW($AE$2))/ROWS($AE$2:$AN$40))+1)</f>
        <v>0</v>
      </c>
      <c r="AA390" t="e">
        <f t="shared" ca="1" si="20"/>
        <v>#N/A</v>
      </c>
      <c r="AB390" t="str" cm="1">
        <f t="array" aca="1" ref="AB390" ca="1">IFERROR(INDIRECT("$Z"&amp;AA390),"")</f>
        <v/>
      </c>
    </row>
    <row r="391" spans="5:28" x14ac:dyDescent="0.2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18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19"/>
        <v>#N/A</v>
      </c>
      <c r="W391" t="str" cm="1">
        <f t="array" aca="1" ref="W391" ca="1">IFERROR(INDIRECT("$U"&amp;V391),"")</f>
        <v/>
      </c>
      <c r="Z391" cm="1">
        <f t="array" ref="Z391">INDEX($AE$2:$AN$40,MOD(ROW()-ROW($AE$2),ROWS($AE$2:$AN$40))+1,INT((ROW()-ROW($AE$2))/ROWS($AE$2:$AN$40))+1)</f>
        <v>0</v>
      </c>
      <c r="AA391" t="e">
        <f t="shared" ca="1" si="20"/>
        <v>#N/A</v>
      </c>
      <c r="AB391" t="str" cm="1">
        <f t="array" aca="1" ref="AB391" ca="1">IFERROR(INDIRECT("$Z"&amp;AA391),"")</f>
        <v/>
      </c>
    </row>
    <row r="392" spans="5:28" x14ac:dyDescent="0.2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18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19"/>
        <v>#N/A</v>
      </c>
      <c r="W392" t="str" cm="1">
        <f t="array" aca="1" ref="W392" ca="1">IFERROR(INDIRECT("$U"&amp;V392),"")</f>
        <v/>
      </c>
      <c r="Z392" t="e" cm="1">
        <f t="array" ref="Z392">INDEX($AE$2:$AN$40,MOD(ROW()-ROW($AE$2),ROWS($AE$2:$AN$40))+1,INT((ROW()-ROW($AE$2))/ROWS($AE$2:$AN$40))+1)</f>
        <v>#REF!</v>
      </c>
      <c r="AA392" t="e">
        <f t="shared" ca="1" si="20"/>
        <v>#N/A</v>
      </c>
      <c r="AB392" t="str" cm="1">
        <f t="array" aca="1" ref="AB392" ca="1">IFERROR(INDIRECT("$Z"&amp;AA392),"")</f>
        <v/>
      </c>
    </row>
    <row r="393" spans="5:28" x14ac:dyDescent="0.2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18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19"/>
        <v>#N/A</v>
      </c>
      <c r="W393" t="str" cm="1">
        <f t="array" aca="1" ref="W393" ca="1">IFERROR(INDIRECT("$U"&amp;V393),"")</f>
        <v/>
      </c>
      <c r="Z393" t="e" cm="1">
        <f t="array" ref="Z393">INDEX($AE$2:$AN$40,MOD(ROW()-ROW($AE$2),ROWS($AE$2:$AN$40))+1,INT((ROW()-ROW($AE$2))/ROWS($AE$2:$AN$40))+1)</f>
        <v>#REF!</v>
      </c>
      <c r="AA393" t="e">
        <f t="shared" ca="1" si="20"/>
        <v>#N/A</v>
      </c>
      <c r="AB393" t="str" cm="1">
        <f t="array" aca="1" ref="AB393" ca="1">IFERROR(INDIRECT("$Z"&amp;AA393),"")</f>
        <v/>
      </c>
    </row>
    <row r="394" spans="5:28" x14ac:dyDescent="0.2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18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19"/>
        <v>#N/A</v>
      </c>
      <c r="W394" t="str" cm="1">
        <f t="array" aca="1" ref="W394" ca="1">IFERROR(INDIRECT("$U"&amp;V394),"")</f>
        <v/>
      </c>
      <c r="Z394" t="e" cm="1">
        <f t="array" ref="Z394">INDEX($AE$2:$AN$40,MOD(ROW()-ROW($AE$2),ROWS($AE$2:$AN$40))+1,INT((ROW()-ROW($AE$2))/ROWS($AE$2:$AN$40))+1)</f>
        <v>#REF!</v>
      </c>
      <c r="AA394" t="e">
        <f t="shared" ca="1" si="20"/>
        <v>#N/A</v>
      </c>
      <c r="AB394" t="str" cm="1">
        <f t="array" aca="1" ref="AB394" ca="1">IFERROR(INDIRECT("$Z"&amp;AA394),"")</f>
        <v/>
      </c>
    </row>
    <row r="395" spans="5:28" x14ac:dyDescent="0.2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18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19"/>
        <v>#N/A</v>
      </c>
      <c r="W395" t="str" cm="1">
        <f t="array" aca="1" ref="W395" ca="1">IFERROR(INDIRECT("$U"&amp;V395),"")</f>
        <v/>
      </c>
      <c r="Z395" t="e" cm="1">
        <f t="array" ref="Z395">INDEX($AE$2:$AN$40,MOD(ROW()-ROW($AE$2),ROWS($AE$2:$AN$40))+1,INT((ROW()-ROW($AE$2))/ROWS($AE$2:$AN$40))+1)</f>
        <v>#REF!</v>
      </c>
      <c r="AA395" t="e">
        <f t="shared" ca="1" si="20"/>
        <v>#N/A</v>
      </c>
      <c r="AB395" t="str" cm="1">
        <f t="array" aca="1" ref="AB395" ca="1">IFERROR(INDIRECT("$Z"&amp;AA395),"")</f>
        <v/>
      </c>
    </row>
    <row r="396" spans="5:28" x14ac:dyDescent="0.2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18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19"/>
        <v>#N/A</v>
      </c>
      <c r="W396" t="str" cm="1">
        <f t="array" aca="1" ref="W396" ca="1">IFERROR(INDIRECT("$U"&amp;V396),"")</f>
        <v/>
      </c>
      <c r="Z396" t="e" cm="1">
        <f t="array" ref="Z396">INDEX($AE$2:$AN$40,MOD(ROW()-ROW($AE$2),ROWS($AE$2:$AN$40))+1,INT((ROW()-ROW($AE$2))/ROWS($AE$2:$AN$40))+1)</f>
        <v>#REF!</v>
      </c>
      <c r="AA396" t="e">
        <f t="shared" ca="1" si="20"/>
        <v>#N/A</v>
      </c>
      <c r="AB396" t="str" cm="1">
        <f t="array" aca="1" ref="AB396" ca="1">IFERROR(INDIRECT("$Z"&amp;AA396),"")</f>
        <v/>
      </c>
    </row>
    <row r="397" spans="5:28" x14ac:dyDescent="0.2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18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19"/>
        <v>#N/A</v>
      </c>
      <c r="W397" t="str" cm="1">
        <f t="array" aca="1" ref="W397" ca="1">IFERROR(INDIRECT("$U"&amp;V397),"")</f>
        <v/>
      </c>
      <c r="Z397" t="e" cm="1">
        <f t="array" ref="Z397">INDEX($AE$2:$AN$40,MOD(ROW()-ROW($AE$2),ROWS($AE$2:$AN$40))+1,INT((ROW()-ROW($AE$2))/ROWS($AE$2:$AN$40))+1)</f>
        <v>#REF!</v>
      </c>
      <c r="AA397" t="e">
        <f t="shared" ca="1" si="20"/>
        <v>#N/A</v>
      </c>
      <c r="AB397" t="str" cm="1">
        <f t="array" aca="1" ref="AB397" ca="1">IFERROR(INDIRECT("$Z"&amp;AA397),"")</f>
        <v/>
      </c>
    </row>
    <row r="398" spans="5:28" x14ac:dyDescent="0.2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18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19"/>
        <v>#N/A</v>
      </c>
      <c r="W398" t="str" cm="1">
        <f t="array" aca="1" ref="W398" ca="1">IFERROR(INDIRECT("$U"&amp;V398),"")</f>
        <v/>
      </c>
      <c r="Z398" t="e" cm="1">
        <f t="array" ref="Z398">INDEX($AE$2:$AN$40,MOD(ROW()-ROW($AE$2),ROWS($AE$2:$AN$40))+1,INT((ROW()-ROW($AE$2))/ROWS($AE$2:$AN$40))+1)</f>
        <v>#REF!</v>
      </c>
      <c r="AA398" t="e">
        <f t="shared" ca="1" si="20"/>
        <v>#N/A</v>
      </c>
      <c r="AB398" t="str" cm="1">
        <f t="array" aca="1" ref="AB398" ca="1">IFERROR(INDIRECT("$Z"&amp;AA398),"")</f>
        <v/>
      </c>
    </row>
    <row r="399" spans="5:28" x14ac:dyDescent="0.2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18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19"/>
        <v>#N/A</v>
      </c>
      <c r="W399" t="str" cm="1">
        <f t="array" aca="1" ref="W399" ca="1">IFERROR(INDIRECT("$U"&amp;V399),"")</f>
        <v/>
      </c>
      <c r="Z399" t="e" cm="1">
        <f t="array" ref="Z399">INDEX($AE$2:$AN$40,MOD(ROW()-ROW($AE$2),ROWS($AE$2:$AN$40))+1,INT((ROW()-ROW($AE$2))/ROWS($AE$2:$AN$40))+1)</f>
        <v>#REF!</v>
      </c>
      <c r="AA399" t="e">
        <f t="shared" ca="1" si="20"/>
        <v>#N/A</v>
      </c>
      <c r="AB399" t="str" cm="1">
        <f t="array" aca="1" ref="AB399" ca="1">IFERROR(INDIRECT("$Z"&amp;AA399),"")</f>
        <v/>
      </c>
    </row>
    <row r="400" spans="5:28" x14ac:dyDescent="0.2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18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19"/>
        <v>#N/A</v>
      </c>
      <c r="W400" t="str" cm="1">
        <f t="array" aca="1" ref="W400" ca="1">IFERROR(INDIRECT("$U"&amp;V400),"")</f>
        <v/>
      </c>
      <c r="Z400" t="e" cm="1">
        <f t="array" ref="Z400">INDEX($AE$2:$AN$40,MOD(ROW()-ROW($AE$2),ROWS($AE$2:$AN$40))+1,INT((ROW()-ROW($AE$2))/ROWS($AE$2:$AN$40))+1)</f>
        <v>#REF!</v>
      </c>
      <c r="AA400" t="e">
        <f t="shared" ca="1" si="20"/>
        <v>#N/A</v>
      </c>
      <c r="AB400" t="str" cm="1">
        <f t="array" aca="1" ref="AB400" ca="1">IFERROR(INDIRECT("$Z"&amp;AA400),"")</f>
        <v/>
      </c>
    </row>
    <row r="401" spans="5:28" x14ac:dyDescent="0.2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18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19"/>
        <v>#N/A</v>
      </c>
      <c r="W401" t="str" cm="1">
        <f t="array" aca="1" ref="W401" ca="1">IFERROR(INDIRECT("$U"&amp;V401),"")</f>
        <v/>
      </c>
      <c r="Z401" t="e" cm="1">
        <f t="array" ref="Z401">INDEX($AE$2:$AN$40,MOD(ROW()-ROW($AE$2),ROWS($AE$2:$AN$40))+1,INT((ROW()-ROW($AE$2))/ROWS($AE$2:$AN$40))+1)</f>
        <v>#REF!</v>
      </c>
      <c r="AA401" t="e">
        <f t="shared" ca="1" si="20"/>
        <v>#N/A</v>
      </c>
      <c r="AB401" t="str" cm="1">
        <f t="array" aca="1" ref="AB401" ca="1">IFERROR(INDIRECT("$Z"&amp;AA401),"")</f>
        <v/>
      </c>
    </row>
    <row r="402" spans="5:28" x14ac:dyDescent="0.2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18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19"/>
        <v>#N/A</v>
      </c>
      <c r="W402" t="str" cm="1">
        <f t="array" aca="1" ref="W402" ca="1">IFERROR(INDIRECT("$U"&amp;V402),"")</f>
        <v/>
      </c>
      <c r="Z402" t="e" cm="1">
        <f t="array" ref="Z402">INDEX($AE$2:$AN$40,MOD(ROW()-ROW($AE$2),ROWS($AE$2:$AN$40))+1,INT((ROW()-ROW($AE$2))/ROWS($AE$2:$AN$40))+1)</f>
        <v>#REF!</v>
      </c>
      <c r="AA402" t="e">
        <f t="shared" ca="1" si="20"/>
        <v>#N/A</v>
      </c>
      <c r="AB402" t="str" cm="1">
        <f t="array" aca="1" ref="AB402" ca="1">IFERROR(INDIRECT("$Z"&amp;AA402),"")</f>
        <v/>
      </c>
    </row>
    <row r="403" spans="5:28" x14ac:dyDescent="0.2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18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19"/>
        <v>#N/A</v>
      </c>
      <c r="W403" t="str" cm="1">
        <f t="array" aca="1" ref="W403" ca="1">IFERROR(INDIRECT("$U"&amp;V403),"")</f>
        <v/>
      </c>
      <c r="Z403" t="e" cm="1">
        <f t="array" ref="Z403">INDEX($AE$2:$AN$40,MOD(ROW()-ROW($AE$2),ROWS($AE$2:$AN$40))+1,INT((ROW()-ROW($AE$2))/ROWS($AE$2:$AN$40))+1)</f>
        <v>#REF!</v>
      </c>
      <c r="AA403" t="e">
        <f t="shared" ca="1" si="20"/>
        <v>#N/A</v>
      </c>
      <c r="AB403" t="str" cm="1">
        <f t="array" aca="1" ref="AB403" ca="1">IFERROR(INDIRECT("$Z"&amp;AA403),"")</f>
        <v/>
      </c>
    </row>
    <row r="404" spans="5:28" x14ac:dyDescent="0.2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18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19"/>
        <v>#N/A</v>
      </c>
      <c r="W404" t="str" cm="1">
        <f t="array" aca="1" ref="W404" ca="1">IFERROR(INDIRECT("$U"&amp;V404),"")</f>
        <v/>
      </c>
      <c r="Z404" t="e" cm="1">
        <f t="array" ref="Z404">INDEX($AE$2:$AN$40,MOD(ROW()-ROW($AE$2),ROWS($AE$2:$AN$40))+1,INT((ROW()-ROW($AE$2))/ROWS($AE$2:$AN$40))+1)</f>
        <v>#REF!</v>
      </c>
      <c r="AA404" t="e">
        <f t="shared" ca="1" si="20"/>
        <v>#N/A</v>
      </c>
      <c r="AB404" t="str" cm="1">
        <f t="array" aca="1" ref="AB404" ca="1">IFERROR(INDIRECT("$Z"&amp;AA404),"")</f>
        <v/>
      </c>
    </row>
    <row r="405" spans="5:28" x14ac:dyDescent="0.2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18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19"/>
        <v>#N/A</v>
      </c>
      <c r="W405" t="str" cm="1">
        <f t="array" aca="1" ref="W405" ca="1">IFERROR(INDIRECT("$U"&amp;V405),"")</f>
        <v/>
      </c>
      <c r="Z405" t="e" cm="1">
        <f t="array" ref="Z405">INDEX($AE$2:$AN$40,MOD(ROW()-ROW($AE$2),ROWS($AE$2:$AN$40))+1,INT((ROW()-ROW($AE$2))/ROWS($AE$2:$AN$40))+1)</f>
        <v>#REF!</v>
      </c>
      <c r="AA405" t="e">
        <f t="shared" ca="1" si="20"/>
        <v>#N/A</v>
      </c>
      <c r="AB405" t="str" cm="1">
        <f t="array" aca="1" ref="AB405" ca="1">IFERROR(INDIRECT("$Z"&amp;AA405),"")</f>
        <v/>
      </c>
    </row>
    <row r="406" spans="5:28" x14ac:dyDescent="0.2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18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19"/>
        <v>#N/A</v>
      </c>
      <c r="W406" t="str" cm="1">
        <f t="array" aca="1" ref="W406" ca="1">IFERROR(INDIRECT("$U"&amp;V406),"")</f>
        <v/>
      </c>
      <c r="Z406" t="e" cm="1">
        <f t="array" ref="Z406">INDEX($AE$2:$AN$40,MOD(ROW()-ROW($AE$2),ROWS($AE$2:$AN$40))+1,INT((ROW()-ROW($AE$2))/ROWS($AE$2:$AN$40))+1)</f>
        <v>#REF!</v>
      </c>
      <c r="AA406" t="e">
        <f t="shared" ca="1" si="20"/>
        <v>#N/A</v>
      </c>
      <c r="AB406" t="str" cm="1">
        <f t="array" aca="1" ref="AB406" ca="1">IFERROR(INDIRECT("$Z"&amp;AA406),"")</f>
        <v/>
      </c>
    </row>
    <row r="407" spans="5:28" x14ac:dyDescent="0.2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18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19"/>
        <v>#N/A</v>
      </c>
      <c r="W407" t="str" cm="1">
        <f t="array" aca="1" ref="W407" ca="1">IFERROR(INDIRECT("$U"&amp;V407),"")</f>
        <v/>
      </c>
      <c r="Z407" t="e" cm="1">
        <f t="array" ref="Z407">INDEX($AE$2:$AN$40,MOD(ROW()-ROW($AE$2),ROWS($AE$2:$AN$40))+1,INT((ROW()-ROW($AE$2))/ROWS($AE$2:$AN$40))+1)</f>
        <v>#REF!</v>
      </c>
      <c r="AA407" t="e">
        <f t="shared" ca="1" si="20"/>
        <v>#N/A</v>
      </c>
      <c r="AB407" t="str" cm="1">
        <f t="array" aca="1" ref="AB407" ca="1">IFERROR(INDIRECT("$Z"&amp;AA407),"")</f>
        <v/>
      </c>
    </row>
    <row r="408" spans="5:28" x14ac:dyDescent="0.2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18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19"/>
        <v>#N/A</v>
      </c>
      <c r="W408" t="str" cm="1">
        <f t="array" aca="1" ref="W408" ca="1">IFERROR(INDIRECT("$U"&amp;V408),"")</f>
        <v/>
      </c>
      <c r="Z408" t="e" cm="1">
        <f t="array" ref="Z408">INDEX($AE$2:$AN$40,MOD(ROW()-ROW($AE$2),ROWS($AE$2:$AN$40))+1,INT((ROW()-ROW($AE$2))/ROWS($AE$2:$AN$40))+1)</f>
        <v>#REF!</v>
      </c>
      <c r="AA408" t="e">
        <f t="shared" ca="1" si="20"/>
        <v>#N/A</v>
      </c>
      <c r="AB408" t="str" cm="1">
        <f t="array" aca="1" ref="AB408" ca="1">IFERROR(INDIRECT("$Z"&amp;AA408),"")</f>
        <v/>
      </c>
    </row>
    <row r="409" spans="5:28" x14ac:dyDescent="0.2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18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19"/>
        <v>#N/A</v>
      </c>
      <c r="W409" t="str" cm="1">
        <f t="array" aca="1" ref="W409" ca="1">IFERROR(INDIRECT("$U"&amp;V409),"")</f>
        <v/>
      </c>
      <c r="Z409" t="e" cm="1">
        <f t="array" ref="Z409">INDEX($AE$2:$AN$40,MOD(ROW()-ROW($AE$2),ROWS($AE$2:$AN$40))+1,INT((ROW()-ROW($AE$2))/ROWS($AE$2:$AN$40))+1)</f>
        <v>#REF!</v>
      </c>
      <c r="AA409" t="e">
        <f t="shared" ca="1" si="20"/>
        <v>#N/A</v>
      </c>
      <c r="AB409" t="str" cm="1">
        <f t="array" aca="1" ref="AB409" ca="1">IFERROR(INDIRECT("$Z"&amp;AA409),"")</f>
        <v/>
      </c>
    </row>
    <row r="410" spans="5:28" x14ac:dyDescent="0.2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18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19"/>
        <v>#N/A</v>
      </c>
      <c r="W410" t="str" cm="1">
        <f t="array" aca="1" ref="W410" ca="1">IFERROR(INDIRECT("$U"&amp;V410),"")</f>
        <v/>
      </c>
      <c r="Z410" t="e" cm="1">
        <f t="array" ref="Z410">INDEX($AE$2:$AN$40,MOD(ROW()-ROW($AE$2),ROWS($AE$2:$AN$40))+1,INT((ROW()-ROW($AE$2))/ROWS($AE$2:$AN$40))+1)</f>
        <v>#REF!</v>
      </c>
      <c r="AA410" t="e">
        <f t="shared" ca="1" si="20"/>
        <v>#N/A</v>
      </c>
      <c r="AB410" t="str" cm="1">
        <f t="array" aca="1" ref="AB410" ca="1">IFERROR(INDIRECT("$Z"&amp;AA410),"")</f>
        <v/>
      </c>
    </row>
    <row r="411" spans="5:28" x14ac:dyDescent="0.2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18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19"/>
        <v>#N/A</v>
      </c>
      <c r="W411" t="str" cm="1">
        <f t="array" aca="1" ref="W411" ca="1">IFERROR(INDIRECT("$U"&amp;V411),"")</f>
        <v/>
      </c>
      <c r="Z411" t="e" cm="1">
        <f t="array" ref="Z411">INDEX($AE$2:$AN$40,MOD(ROW()-ROW($AE$2),ROWS($AE$2:$AN$40))+1,INT((ROW()-ROW($AE$2))/ROWS($AE$2:$AN$40))+1)</f>
        <v>#REF!</v>
      </c>
      <c r="AA411" t="e">
        <f t="shared" ca="1" si="20"/>
        <v>#N/A</v>
      </c>
      <c r="AB411" t="str" cm="1">
        <f t="array" aca="1" ref="AB411" ca="1">IFERROR(INDIRECT("$Z"&amp;AA411),"")</f>
        <v/>
      </c>
    </row>
    <row r="412" spans="5:28" x14ac:dyDescent="0.2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18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19"/>
        <v>#N/A</v>
      </c>
      <c r="W412" t="str" cm="1">
        <f t="array" aca="1" ref="W412" ca="1">IFERROR(INDIRECT("$U"&amp;V412),"")</f>
        <v/>
      </c>
      <c r="Z412" t="e" cm="1">
        <f t="array" ref="Z412">INDEX($AE$2:$AN$40,MOD(ROW()-ROW($AE$2),ROWS($AE$2:$AN$40))+1,INT((ROW()-ROW($AE$2))/ROWS($AE$2:$AN$40))+1)</f>
        <v>#REF!</v>
      </c>
      <c r="AA412" t="e">
        <f t="shared" ca="1" si="20"/>
        <v>#N/A</v>
      </c>
      <c r="AB412" t="str" cm="1">
        <f t="array" aca="1" ref="AB412" ca="1">IFERROR(INDIRECT("$Z"&amp;AA412),"")</f>
        <v/>
      </c>
    </row>
    <row r="413" spans="5:28" x14ac:dyDescent="0.2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18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19"/>
        <v>#N/A</v>
      </c>
      <c r="W413" t="str" cm="1">
        <f t="array" aca="1" ref="W413" ca="1">IFERROR(INDIRECT("$U"&amp;V413),"")</f>
        <v/>
      </c>
      <c r="Z413" t="e" cm="1">
        <f t="array" ref="Z413">INDEX($AE$2:$AN$40,MOD(ROW()-ROW($AE$2),ROWS($AE$2:$AN$40))+1,INT((ROW()-ROW($AE$2))/ROWS($AE$2:$AN$40))+1)</f>
        <v>#REF!</v>
      </c>
      <c r="AA413" t="e">
        <f t="shared" ca="1" si="20"/>
        <v>#N/A</v>
      </c>
      <c r="AB413" t="str" cm="1">
        <f t="array" aca="1" ref="AB413" ca="1">IFERROR(INDIRECT("$Z"&amp;AA413),"")</f>
        <v/>
      </c>
    </row>
    <row r="414" spans="5:28" x14ac:dyDescent="0.2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18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19"/>
        <v>#N/A</v>
      </c>
      <c r="W414" t="str" cm="1">
        <f t="array" aca="1" ref="W414" ca="1">IFERROR(INDIRECT("$U"&amp;V414),"")</f>
        <v/>
      </c>
      <c r="Z414" t="e" cm="1">
        <f t="array" ref="Z414">INDEX($AE$2:$AN$40,MOD(ROW()-ROW($AE$2),ROWS($AE$2:$AN$40))+1,INT((ROW()-ROW($AE$2))/ROWS($AE$2:$AN$40))+1)</f>
        <v>#REF!</v>
      </c>
      <c r="AA414" t="e">
        <f t="shared" ca="1" si="20"/>
        <v>#N/A</v>
      </c>
      <c r="AB414" t="str" cm="1">
        <f t="array" aca="1" ref="AB414" ca="1">IFERROR(INDIRECT("$Z"&amp;AA414),"")</f>
        <v/>
      </c>
    </row>
    <row r="415" spans="5:28" x14ac:dyDescent="0.2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18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19"/>
        <v>#N/A</v>
      </c>
      <c r="W415" t="str" cm="1">
        <f t="array" aca="1" ref="W415" ca="1">IFERROR(INDIRECT("$U"&amp;V415),"")</f>
        <v/>
      </c>
      <c r="Z415" t="e" cm="1">
        <f t="array" ref="Z415">INDEX($AE$2:$AN$40,MOD(ROW()-ROW($AE$2),ROWS($AE$2:$AN$40))+1,INT((ROW()-ROW($AE$2))/ROWS($AE$2:$AN$40))+1)</f>
        <v>#REF!</v>
      </c>
      <c r="AA415" t="e">
        <f t="shared" ca="1" si="20"/>
        <v>#N/A</v>
      </c>
      <c r="AB415" t="str" cm="1">
        <f t="array" aca="1" ref="AB415" ca="1">IFERROR(INDIRECT("$Z"&amp;AA415),"")</f>
        <v/>
      </c>
    </row>
    <row r="416" spans="5:28" x14ac:dyDescent="0.2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18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19"/>
        <v>#N/A</v>
      </c>
      <c r="W416" t="str" cm="1">
        <f t="array" aca="1" ref="W416" ca="1">IFERROR(INDIRECT("$U"&amp;V416),"")</f>
        <v/>
      </c>
      <c r="Z416" t="e" cm="1">
        <f t="array" ref="Z416">INDEX($AE$2:$AN$40,MOD(ROW()-ROW($AE$2),ROWS($AE$2:$AN$40))+1,INT((ROW()-ROW($AE$2))/ROWS($AE$2:$AN$40))+1)</f>
        <v>#REF!</v>
      </c>
      <c r="AA416" t="e">
        <f t="shared" ca="1" si="20"/>
        <v>#N/A</v>
      </c>
      <c r="AB416" t="str" cm="1">
        <f t="array" aca="1" ref="AB416" ca="1">IFERROR(INDIRECT("$Z"&amp;AA416),"")</f>
        <v/>
      </c>
    </row>
    <row r="417" spans="5:28" x14ac:dyDescent="0.2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18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19"/>
        <v>#N/A</v>
      </c>
      <c r="W417" t="str" cm="1">
        <f t="array" aca="1" ref="W417" ca="1">IFERROR(INDIRECT("$U"&amp;V417),"")</f>
        <v/>
      </c>
      <c r="Z417" t="e" cm="1">
        <f t="array" ref="Z417">INDEX($AE$2:$AN$40,MOD(ROW()-ROW($AE$2),ROWS($AE$2:$AN$40))+1,INT((ROW()-ROW($AE$2))/ROWS($AE$2:$AN$40))+1)</f>
        <v>#REF!</v>
      </c>
      <c r="AA417" t="e">
        <f t="shared" ca="1" si="20"/>
        <v>#N/A</v>
      </c>
      <c r="AB417" t="str" cm="1">
        <f t="array" aca="1" ref="AB417" ca="1">IFERROR(INDIRECT("$Z"&amp;AA417),"")</f>
        <v/>
      </c>
    </row>
    <row r="418" spans="5:28" x14ac:dyDescent="0.2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18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19"/>
        <v>#N/A</v>
      </c>
      <c r="W418" t="str" cm="1">
        <f t="array" aca="1" ref="W418" ca="1">IFERROR(INDIRECT("$U"&amp;V418),"")</f>
        <v/>
      </c>
      <c r="Z418" t="e" cm="1">
        <f t="array" ref="Z418">INDEX($AE$2:$AN$40,MOD(ROW()-ROW($AE$2),ROWS($AE$2:$AN$40))+1,INT((ROW()-ROW($AE$2))/ROWS($AE$2:$AN$40))+1)</f>
        <v>#REF!</v>
      </c>
      <c r="AA418" t="e">
        <f t="shared" ca="1" si="20"/>
        <v>#N/A</v>
      </c>
      <c r="AB418" t="str" cm="1">
        <f t="array" aca="1" ref="AB418" ca="1">IFERROR(INDIRECT("$Z"&amp;AA418),"")</f>
        <v/>
      </c>
    </row>
    <row r="419" spans="5:28" x14ac:dyDescent="0.2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18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19"/>
        <v>#N/A</v>
      </c>
      <c r="W419" t="str" cm="1">
        <f t="array" aca="1" ref="W419" ca="1">IFERROR(INDIRECT("$U"&amp;V419),"")</f>
        <v/>
      </c>
      <c r="Z419" t="e" cm="1">
        <f t="array" ref="Z419">INDEX($AE$2:$AN$40,MOD(ROW()-ROW($AE$2),ROWS($AE$2:$AN$40))+1,INT((ROW()-ROW($AE$2))/ROWS($AE$2:$AN$40))+1)</f>
        <v>#REF!</v>
      </c>
      <c r="AA419" t="e">
        <f t="shared" ca="1" si="20"/>
        <v>#N/A</v>
      </c>
      <c r="AB419" t="str" cm="1">
        <f t="array" aca="1" ref="AB419" ca="1">IFERROR(INDIRECT("$Z"&amp;AA419),"")</f>
        <v/>
      </c>
    </row>
    <row r="420" spans="5:28" x14ac:dyDescent="0.2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18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19"/>
        <v>#N/A</v>
      </c>
      <c r="W420" t="str" cm="1">
        <f t="array" aca="1" ref="W420" ca="1">IFERROR(INDIRECT("$U"&amp;V420),"")</f>
        <v/>
      </c>
      <c r="Z420" t="e" cm="1">
        <f t="array" ref="Z420">INDEX($AE$2:$AN$40,MOD(ROW()-ROW($AE$2),ROWS($AE$2:$AN$40))+1,INT((ROW()-ROW($AE$2))/ROWS($AE$2:$AN$40))+1)</f>
        <v>#REF!</v>
      </c>
      <c r="AA420" t="e">
        <f t="shared" ca="1" si="20"/>
        <v>#N/A</v>
      </c>
      <c r="AB420" t="str" cm="1">
        <f t="array" aca="1" ref="AB420" ca="1">IFERROR(INDIRECT("$Z"&amp;AA420),"")</f>
        <v/>
      </c>
    </row>
    <row r="421" spans="5:28" x14ac:dyDescent="0.2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18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19"/>
        <v>#N/A</v>
      </c>
      <c r="W421" t="str" cm="1">
        <f t="array" aca="1" ref="W421" ca="1">IFERROR(INDIRECT("$U"&amp;V421),"")</f>
        <v/>
      </c>
      <c r="Z421" t="e" cm="1">
        <f t="array" ref="Z421">INDEX($AE$2:$AN$40,MOD(ROW()-ROW($AE$2),ROWS($AE$2:$AN$40))+1,INT((ROW()-ROW($AE$2))/ROWS($AE$2:$AN$40))+1)</f>
        <v>#REF!</v>
      </c>
      <c r="AA421" t="e">
        <f t="shared" ca="1" si="20"/>
        <v>#N/A</v>
      </c>
      <c r="AB421" t="str" cm="1">
        <f t="array" aca="1" ref="AB421" ca="1">IFERROR(INDIRECT("$Z"&amp;AA421),"")</f>
        <v/>
      </c>
    </row>
    <row r="422" spans="5:28" x14ac:dyDescent="0.2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18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19"/>
        <v>#N/A</v>
      </c>
      <c r="W422" t="str" cm="1">
        <f t="array" aca="1" ref="W422" ca="1">IFERROR(INDIRECT("$U"&amp;V422),"")</f>
        <v/>
      </c>
      <c r="Z422" t="e" cm="1">
        <f t="array" ref="Z422">INDEX($AE$2:$AN$40,MOD(ROW()-ROW($AE$2),ROWS($AE$2:$AN$40))+1,INT((ROW()-ROW($AE$2))/ROWS($AE$2:$AN$40))+1)</f>
        <v>#REF!</v>
      </c>
      <c r="AA422" t="e">
        <f t="shared" ca="1" si="20"/>
        <v>#N/A</v>
      </c>
      <c r="AB422" t="str" cm="1">
        <f t="array" aca="1" ref="AB422" ca="1">IFERROR(INDIRECT("$Z"&amp;AA422),"")</f>
        <v/>
      </c>
    </row>
    <row r="423" spans="5:28" x14ac:dyDescent="0.2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18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19"/>
        <v>#N/A</v>
      </c>
      <c r="W423" t="str" cm="1">
        <f t="array" aca="1" ref="W423" ca="1">IFERROR(INDIRECT("$U"&amp;V423),"")</f>
        <v/>
      </c>
      <c r="Z423" t="e" cm="1">
        <f t="array" ref="Z423">INDEX($AE$2:$AN$40,MOD(ROW()-ROW($AE$2),ROWS($AE$2:$AN$40))+1,INT((ROW()-ROW($AE$2))/ROWS($AE$2:$AN$40))+1)</f>
        <v>#REF!</v>
      </c>
      <c r="AA423" t="e">
        <f t="shared" ca="1" si="20"/>
        <v>#N/A</v>
      </c>
      <c r="AB423" t="str" cm="1">
        <f t="array" aca="1" ref="AB423" ca="1">IFERROR(INDIRECT("$Z"&amp;AA423),"")</f>
        <v/>
      </c>
    </row>
    <row r="424" spans="5:28" x14ac:dyDescent="0.2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18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19"/>
        <v>#N/A</v>
      </c>
      <c r="W424" t="str" cm="1">
        <f t="array" aca="1" ref="W424" ca="1">IFERROR(INDIRECT("$U"&amp;V424),"")</f>
        <v/>
      </c>
      <c r="Z424" t="e" cm="1">
        <f t="array" ref="Z424">INDEX($AE$2:$AN$40,MOD(ROW()-ROW($AE$2),ROWS($AE$2:$AN$40))+1,INT((ROW()-ROW($AE$2))/ROWS($AE$2:$AN$40))+1)</f>
        <v>#REF!</v>
      </c>
      <c r="AA424" t="e">
        <f t="shared" ca="1" si="20"/>
        <v>#N/A</v>
      </c>
      <c r="AB424" t="str" cm="1">
        <f t="array" aca="1" ref="AB424" ca="1">IFERROR(INDIRECT("$Z"&amp;AA424),"")</f>
        <v/>
      </c>
    </row>
    <row r="425" spans="5:28" x14ac:dyDescent="0.2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18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19"/>
        <v>#N/A</v>
      </c>
      <c r="W425" t="str" cm="1">
        <f t="array" aca="1" ref="W425" ca="1">IFERROR(INDIRECT("$U"&amp;V425),"")</f>
        <v/>
      </c>
      <c r="Z425" t="e" cm="1">
        <f t="array" ref="Z425">INDEX($AE$2:$AN$40,MOD(ROW()-ROW($AE$2),ROWS($AE$2:$AN$40))+1,INT((ROW()-ROW($AE$2))/ROWS($AE$2:$AN$40))+1)</f>
        <v>#REF!</v>
      </c>
      <c r="AA425" t="e">
        <f t="shared" ca="1" si="20"/>
        <v>#N/A</v>
      </c>
      <c r="AB425" t="str" cm="1">
        <f t="array" aca="1" ref="AB425" ca="1">IFERROR(INDIRECT("$Z"&amp;AA425),"")</f>
        <v/>
      </c>
    </row>
    <row r="426" spans="5:28" x14ac:dyDescent="0.2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18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19"/>
        <v>#N/A</v>
      </c>
      <c r="W426" t="str" cm="1">
        <f t="array" aca="1" ref="W426" ca="1">IFERROR(INDIRECT("$U"&amp;V426),"")</f>
        <v/>
      </c>
      <c r="Z426" t="e" cm="1">
        <f t="array" ref="Z426">INDEX($AE$2:$AN$40,MOD(ROW()-ROW($AE$2),ROWS($AE$2:$AN$40))+1,INT((ROW()-ROW($AE$2))/ROWS($AE$2:$AN$40))+1)</f>
        <v>#REF!</v>
      </c>
      <c r="AA426" t="e">
        <f t="shared" ca="1" si="20"/>
        <v>#N/A</v>
      </c>
      <c r="AB426" t="str" cm="1">
        <f t="array" aca="1" ref="AB426" ca="1">IFERROR(INDIRECT("$Z"&amp;AA426),"")</f>
        <v/>
      </c>
    </row>
    <row r="427" spans="5:28" x14ac:dyDescent="0.2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18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19"/>
        <v>#N/A</v>
      </c>
      <c r="W427" t="str" cm="1">
        <f t="array" aca="1" ref="W427" ca="1">IFERROR(INDIRECT("$U"&amp;V427),"")</f>
        <v/>
      </c>
      <c r="Z427" t="e" cm="1">
        <f t="array" ref="Z427">INDEX($AE$2:$AN$40,MOD(ROW()-ROW($AE$2),ROWS($AE$2:$AN$40))+1,INT((ROW()-ROW($AE$2))/ROWS($AE$2:$AN$40))+1)</f>
        <v>#REF!</v>
      </c>
      <c r="AA427" t="e">
        <f t="shared" ca="1" si="20"/>
        <v>#N/A</v>
      </c>
      <c r="AB427" t="str" cm="1">
        <f t="array" aca="1" ref="AB427" ca="1">IFERROR(INDIRECT("$Z"&amp;AA427),"")</f>
        <v/>
      </c>
    </row>
    <row r="428" spans="5:28" x14ac:dyDescent="0.2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18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19"/>
        <v>#N/A</v>
      </c>
      <c r="W428" t="str" cm="1">
        <f t="array" aca="1" ref="W428" ca="1">IFERROR(INDIRECT("$U"&amp;V428),"")</f>
        <v/>
      </c>
      <c r="Z428" t="e" cm="1">
        <f t="array" ref="Z428">INDEX($AE$2:$AN$40,MOD(ROW()-ROW($AE$2),ROWS($AE$2:$AN$40))+1,INT((ROW()-ROW($AE$2))/ROWS($AE$2:$AN$40))+1)</f>
        <v>#REF!</v>
      </c>
      <c r="AA428" t="e">
        <f t="shared" ca="1" si="20"/>
        <v>#N/A</v>
      </c>
      <c r="AB428" t="str" cm="1">
        <f t="array" aca="1" ref="AB428" ca="1">IFERROR(INDIRECT("$Z"&amp;AA428),"")</f>
        <v/>
      </c>
    </row>
    <row r="429" spans="5:28" x14ac:dyDescent="0.2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18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19"/>
        <v>#N/A</v>
      </c>
      <c r="W429" t="str" cm="1">
        <f t="array" aca="1" ref="W429" ca="1">IFERROR(INDIRECT("$U"&amp;V429),"")</f>
        <v/>
      </c>
      <c r="Z429" t="e" cm="1">
        <f t="array" ref="Z429">INDEX($AE$2:$AN$40,MOD(ROW()-ROW($AE$2),ROWS($AE$2:$AN$40))+1,INT((ROW()-ROW($AE$2))/ROWS($AE$2:$AN$40))+1)</f>
        <v>#REF!</v>
      </c>
      <c r="AA429" t="e">
        <f t="shared" ca="1" si="20"/>
        <v>#N/A</v>
      </c>
      <c r="AB429" t="str" cm="1">
        <f t="array" aca="1" ref="AB429" ca="1">IFERROR(INDIRECT("$Z"&amp;AA429),"")</f>
        <v/>
      </c>
    </row>
    <row r="430" spans="5:28" x14ac:dyDescent="0.2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18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19"/>
        <v>#N/A</v>
      </c>
      <c r="W430" t="str" cm="1">
        <f t="array" aca="1" ref="W430" ca="1">IFERROR(INDIRECT("$U"&amp;V430),"")</f>
        <v/>
      </c>
      <c r="Z430" t="e" cm="1">
        <f t="array" ref="Z430">INDEX($AE$2:$AN$40,MOD(ROW()-ROW($AE$2),ROWS($AE$2:$AN$40))+1,INT((ROW()-ROW($AE$2))/ROWS($AE$2:$AN$40))+1)</f>
        <v>#REF!</v>
      </c>
      <c r="AA430" t="e">
        <f t="shared" ca="1" si="20"/>
        <v>#N/A</v>
      </c>
      <c r="AB430" t="str" cm="1">
        <f t="array" aca="1" ref="AB430" ca="1">IFERROR(INDIRECT("$Z"&amp;AA430),"")</f>
        <v/>
      </c>
    </row>
    <row r="431" spans="5:28" x14ac:dyDescent="0.2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18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19"/>
        <v>#N/A</v>
      </c>
      <c r="W431" t="str" cm="1">
        <f t="array" aca="1" ref="W431" ca="1">IFERROR(INDIRECT("$U"&amp;V431),"")</f>
        <v/>
      </c>
      <c r="Z431" t="e" cm="1">
        <f t="array" ref="Z431">INDEX($AE$2:$AN$40,MOD(ROW()-ROW($AE$2),ROWS($AE$2:$AN$40))+1,INT((ROW()-ROW($AE$2))/ROWS($AE$2:$AN$40))+1)</f>
        <v>#REF!</v>
      </c>
      <c r="AA431" t="e">
        <f t="shared" ca="1" si="20"/>
        <v>#N/A</v>
      </c>
      <c r="AB431" t="str" cm="1">
        <f t="array" aca="1" ref="AB431" ca="1">IFERROR(INDIRECT("$Z"&amp;AA431),"")</f>
        <v/>
      </c>
    </row>
    <row r="432" spans="5:28" x14ac:dyDescent="0.2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18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19"/>
        <v>#N/A</v>
      </c>
      <c r="W432" t="str" cm="1">
        <f t="array" aca="1" ref="W432" ca="1">IFERROR(INDIRECT("$U"&amp;V432),"")</f>
        <v/>
      </c>
      <c r="Z432" t="e" cm="1">
        <f t="array" ref="Z432">INDEX($AE$2:$AN$40,MOD(ROW()-ROW($AE$2),ROWS($AE$2:$AN$40))+1,INT((ROW()-ROW($AE$2))/ROWS($AE$2:$AN$40))+1)</f>
        <v>#REF!</v>
      </c>
      <c r="AA432" t="e">
        <f t="shared" ca="1" si="20"/>
        <v>#N/A</v>
      </c>
      <c r="AB432" t="str" cm="1">
        <f t="array" aca="1" ref="AB432" ca="1">IFERROR(INDIRECT("$Z"&amp;AA432),"")</f>
        <v/>
      </c>
    </row>
    <row r="433" spans="5:28" x14ac:dyDescent="0.2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18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19"/>
        <v>#N/A</v>
      </c>
      <c r="W433" t="str" cm="1">
        <f t="array" aca="1" ref="W433" ca="1">IFERROR(INDIRECT("$U"&amp;V433),"")</f>
        <v/>
      </c>
      <c r="Z433" t="e" cm="1">
        <f t="array" ref="Z433">INDEX($AE$2:$AN$40,MOD(ROW()-ROW($AE$2),ROWS($AE$2:$AN$40))+1,INT((ROW()-ROW($AE$2))/ROWS($AE$2:$AN$40))+1)</f>
        <v>#REF!</v>
      </c>
      <c r="AA433" t="e">
        <f t="shared" ca="1" si="20"/>
        <v>#N/A</v>
      </c>
      <c r="AB433" t="str" cm="1">
        <f t="array" aca="1" ref="AB433" ca="1">IFERROR(INDIRECT("$Z"&amp;AA433),"")</f>
        <v/>
      </c>
    </row>
    <row r="434" spans="5:28" x14ac:dyDescent="0.2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18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19"/>
        <v>#N/A</v>
      </c>
      <c r="W434" t="str" cm="1">
        <f t="array" aca="1" ref="W434" ca="1">IFERROR(INDIRECT("$U"&amp;V434),"")</f>
        <v/>
      </c>
      <c r="Z434" t="e" cm="1">
        <f t="array" ref="Z434">INDEX($AE$2:$AN$40,MOD(ROW()-ROW($AE$2),ROWS($AE$2:$AN$40))+1,INT((ROW()-ROW($AE$2))/ROWS($AE$2:$AN$40))+1)</f>
        <v>#REF!</v>
      </c>
      <c r="AA434" t="e">
        <f t="shared" ca="1" si="20"/>
        <v>#N/A</v>
      </c>
      <c r="AB434" t="str" cm="1">
        <f t="array" aca="1" ref="AB434" ca="1">IFERROR(INDIRECT("$Z"&amp;AA434),"")</f>
        <v/>
      </c>
    </row>
    <row r="435" spans="5:28" x14ac:dyDescent="0.2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18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19"/>
        <v>#N/A</v>
      </c>
      <c r="W435" t="str" cm="1">
        <f t="array" aca="1" ref="W435" ca="1">IFERROR(INDIRECT("$U"&amp;V435),"")</f>
        <v/>
      </c>
      <c r="Z435" t="e" cm="1">
        <f t="array" ref="Z435">INDEX($AE$2:$AN$40,MOD(ROW()-ROW($AE$2),ROWS($AE$2:$AN$40))+1,INT((ROW()-ROW($AE$2))/ROWS($AE$2:$AN$40))+1)</f>
        <v>#REF!</v>
      </c>
      <c r="AA435" t="e">
        <f t="shared" ca="1" si="20"/>
        <v>#N/A</v>
      </c>
      <c r="AB435" t="str" cm="1">
        <f t="array" aca="1" ref="AB435" ca="1">IFERROR(INDIRECT("$Z"&amp;AA435),"")</f>
        <v/>
      </c>
    </row>
    <row r="436" spans="5:28" x14ac:dyDescent="0.2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18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19"/>
        <v>#N/A</v>
      </c>
      <c r="W436" t="str" cm="1">
        <f t="array" aca="1" ref="W436" ca="1">IFERROR(INDIRECT("$U"&amp;V436),"")</f>
        <v/>
      </c>
      <c r="Z436" t="e" cm="1">
        <f t="array" ref="Z436">INDEX($AE$2:$AN$40,MOD(ROW()-ROW($AE$2),ROWS($AE$2:$AN$40))+1,INT((ROW()-ROW($AE$2))/ROWS($AE$2:$AN$40))+1)</f>
        <v>#REF!</v>
      </c>
      <c r="AA436" t="e">
        <f t="shared" ca="1" si="20"/>
        <v>#N/A</v>
      </c>
      <c r="AB436" t="str" cm="1">
        <f t="array" aca="1" ref="AB436" ca="1">IFERROR(INDIRECT("$Z"&amp;AA436),"")</f>
        <v/>
      </c>
    </row>
    <row r="437" spans="5:28" x14ac:dyDescent="0.2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18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19"/>
        <v>#N/A</v>
      </c>
      <c r="W437" t="str" cm="1">
        <f t="array" aca="1" ref="W437" ca="1">IFERROR(INDIRECT("$U"&amp;V437),"")</f>
        <v/>
      </c>
      <c r="Z437" t="e" cm="1">
        <f t="array" ref="Z437">INDEX($AE$2:$AN$40,MOD(ROW()-ROW($AE$2),ROWS($AE$2:$AN$40))+1,INT((ROW()-ROW($AE$2))/ROWS($AE$2:$AN$40))+1)</f>
        <v>#REF!</v>
      </c>
      <c r="AA437" t="e">
        <f t="shared" ca="1" si="20"/>
        <v>#N/A</v>
      </c>
      <c r="AB437" t="str" cm="1">
        <f t="array" aca="1" ref="AB437" ca="1">IFERROR(INDIRECT("$Z"&amp;AA437),"")</f>
        <v/>
      </c>
    </row>
    <row r="438" spans="5:28" x14ac:dyDescent="0.2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18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19"/>
        <v>#N/A</v>
      </c>
      <c r="W438" t="str" cm="1">
        <f t="array" aca="1" ref="W438" ca="1">IFERROR(INDIRECT("$U"&amp;V438),"")</f>
        <v/>
      </c>
      <c r="Z438" t="e" cm="1">
        <f t="array" ref="Z438">INDEX($AE$2:$AN$40,MOD(ROW()-ROW($AE$2),ROWS($AE$2:$AN$40))+1,INT((ROW()-ROW($AE$2))/ROWS($AE$2:$AN$40))+1)</f>
        <v>#REF!</v>
      </c>
      <c r="AA438" t="e">
        <f t="shared" ca="1" si="20"/>
        <v>#N/A</v>
      </c>
      <c r="AB438" t="str" cm="1">
        <f t="array" aca="1" ref="AB438" ca="1">IFERROR(INDIRECT("$Z"&amp;AA438),"")</f>
        <v/>
      </c>
    </row>
    <row r="439" spans="5:28" x14ac:dyDescent="0.2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18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19"/>
        <v>#N/A</v>
      </c>
      <c r="W439" t="str" cm="1">
        <f t="array" aca="1" ref="W439" ca="1">IFERROR(INDIRECT("$U"&amp;V439),"")</f>
        <v/>
      </c>
      <c r="Z439" t="e" cm="1">
        <f t="array" ref="Z439">INDEX($AE$2:$AN$40,MOD(ROW()-ROW($AE$2),ROWS($AE$2:$AN$40))+1,INT((ROW()-ROW($AE$2))/ROWS($AE$2:$AN$40))+1)</f>
        <v>#REF!</v>
      </c>
      <c r="AA439" t="e">
        <f t="shared" ca="1" si="20"/>
        <v>#N/A</v>
      </c>
      <c r="AB439" t="str" cm="1">
        <f t="array" aca="1" ref="AB439" ca="1">IFERROR(INDIRECT("$Z"&amp;AA439),"")</f>
        <v/>
      </c>
    </row>
    <row r="440" spans="5:28" x14ac:dyDescent="0.2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18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19"/>
        <v>#N/A</v>
      </c>
      <c r="W440" t="str" cm="1">
        <f t="array" aca="1" ref="W440" ca="1">IFERROR(INDIRECT("$U"&amp;V440),"")</f>
        <v/>
      </c>
      <c r="Z440" t="e" cm="1">
        <f t="array" ref="Z440">INDEX($AE$2:$AN$40,MOD(ROW()-ROW($AE$2),ROWS($AE$2:$AN$40))+1,INT((ROW()-ROW($AE$2))/ROWS($AE$2:$AN$40))+1)</f>
        <v>#REF!</v>
      </c>
      <c r="AA440" t="e">
        <f t="shared" ca="1" si="20"/>
        <v>#N/A</v>
      </c>
      <c r="AB440" t="str" cm="1">
        <f t="array" aca="1" ref="AB440" ca="1">IFERROR(INDIRECT("$Z"&amp;AA440),"")</f>
        <v/>
      </c>
    </row>
    <row r="441" spans="5:28" x14ac:dyDescent="0.2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18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19"/>
        <v>#N/A</v>
      </c>
      <c r="W441" t="str" cm="1">
        <f t="array" aca="1" ref="W441" ca="1">IFERROR(INDIRECT("$U"&amp;V441),"")</f>
        <v/>
      </c>
      <c r="Z441" t="e" cm="1">
        <f t="array" ref="Z441">INDEX($AE$2:$AN$40,MOD(ROW()-ROW($AE$2),ROWS($AE$2:$AN$40))+1,INT((ROW()-ROW($AE$2))/ROWS($AE$2:$AN$40))+1)</f>
        <v>#REF!</v>
      </c>
      <c r="AA441" t="e">
        <f t="shared" ca="1" si="20"/>
        <v>#N/A</v>
      </c>
      <c r="AB441" t="str" cm="1">
        <f t="array" aca="1" ref="AB441" ca="1">IFERROR(INDIRECT("$Z"&amp;AA441),"")</f>
        <v/>
      </c>
    </row>
    <row r="442" spans="5:28" x14ac:dyDescent="0.2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18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19"/>
        <v>#N/A</v>
      </c>
      <c r="W442" t="str" cm="1">
        <f t="array" aca="1" ref="W442" ca="1">IFERROR(INDIRECT("$U"&amp;V442),"")</f>
        <v/>
      </c>
      <c r="Z442" t="e" cm="1">
        <f t="array" ref="Z442">INDEX($AE$2:$AN$40,MOD(ROW()-ROW($AE$2),ROWS($AE$2:$AN$40))+1,INT((ROW()-ROW($AE$2))/ROWS($AE$2:$AN$40))+1)</f>
        <v>#REF!</v>
      </c>
      <c r="AA442" t="e">
        <f t="shared" ca="1" si="20"/>
        <v>#N/A</v>
      </c>
      <c r="AB442" t="str" cm="1">
        <f t="array" aca="1" ref="AB442" ca="1">IFERROR(INDIRECT("$Z"&amp;AA442),"")</f>
        <v/>
      </c>
    </row>
    <row r="443" spans="5:28" x14ac:dyDescent="0.2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18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19"/>
        <v>#N/A</v>
      </c>
      <c r="W443" t="str" cm="1">
        <f t="array" aca="1" ref="W443" ca="1">IFERROR(INDIRECT("$U"&amp;V443),"")</f>
        <v/>
      </c>
      <c r="Z443" t="e" cm="1">
        <f t="array" ref="Z443">INDEX($AE$2:$AN$40,MOD(ROW()-ROW($AE$2),ROWS($AE$2:$AN$40))+1,INT((ROW()-ROW($AE$2))/ROWS($AE$2:$AN$40))+1)</f>
        <v>#REF!</v>
      </c>
      <c r="AA443" t="e">
        <f t="shared" ca="1" si="20"/>
        <v>#N/A</v>
      </c>
      <c r="AB443" t="str" cm="1">
        <f t="array" aca="1" ref="AB443" ca="1">IFERROR(INDIRECT("$Z"&amp;AA443),"")</f>
        <v/>
      </c>
    </row>
    <row r="444" spans="5:28" x14ac:dyDescent="0.2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18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19"/>
        <v>#N/A</v>
      </c>
      <c r="W444" t="str" cm="1">
        <f t="array" aca="1" ref="W444" ca="1">IFERROR(INDIRECT("$U"&amp;V444),"")</f>
        <v/>
      </c>
      <c r="Z444" t="e" cm="1">
        <f t="array" ref="Z444">INDEX($AE$2:$AN$40,MOD(ROW()-ROW($AE$2),ROWS($AE$2:$AN$40))+1,INT((ROW()-ROW($AE$2))/ROWS($AE$2:$AN$40))+1)</f>
        <v>#REF!</v>
      </c>
      <c r="AA444" t="e">
        <f t="shared" ca="1" si="20"/>
        <v>#N/A</v>
      </c>
      <c r="AB444" t="str" cm="1">
        <f t="array" aca="1" ref="AB444" ca="1">IFERROR(INDIRECT("$Z"&amp;AA444),"")</f>
        <v/>
      </c>
    </row>
    <row r="445" spans="5:28" x14ac:dyDescent="0.2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18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19"/>
        <v>#N/A</v>
      </c>
      <c r="W445" t="str" cm="1">
        <f t="array" aca="1" ref="W445" ca="1">IFERROR(INDIRECT("$U"&amp;V445),"")</f>
        <v/>
      </c>
      <c r="Z445" t="e" cm="1">
        <f t="array" ref="Z445">INDEX($AE$2:$AN$40,MOD(ROW()-ROW($AE$2),ROWS($AE$2:$AN$40))+1,INT((ROW()-ROW($AE$2))/ROWS($AE$2:$AN$40))+1)</f>
        <v>#REF!</v>
      </c>
      <c r="AA445" t="e">
        <f t="shared" ca="1" si="20"/>
        <v>#N/A</v>
      </c>
      <c r="AB445" t="str" cm="1">
        <f t="array" aca="1" ref="AB445" ca="1">IFERROR(INDIRECT("$Z"&amp;AA445),"")</f>
        <v/>
      </c>
    </row>
    <row r="446" spans="5:28" x14ac:dyDescent="0.2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18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19"/>
        <v>#N/A</v>
      </c>
      <c r="W446" t="str" cm="1">
        <f t="array" aca="1" ref="W446" ca="1">IFERROR(INDIRECT("$U"&amp;V446),"")</f>
        <v/>
      </c>
      <c r="Z446" t="e" cm="1">
        <f t="array" ref="Z446">INDEX($AE$2:$AN$40,MOD(ROW()-ROW($AE$2),ROWS($AE$2:$AN$40))+1,INT((ROW()-ROW($AE$2))/ROWS($AE$2:$AN$40))+1)</f>
        <v>#REF!</v>
      </c>
      <c r="AA446" t="e">
        <f t="shared" ca="1" si="20"/>
        <v>#N/A</v>
      </c>
      <c r="AB446" t="str" cm="1">
        <f t="array" aca="1" ref="AB446" ca="1">IFERROR(INDIRECT("$Z"&amp;AA446),"")</f>
        <v/>
      </c>
    </row>
    <row r="447" spans="5:28" x14ac:dyDescent="0.2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18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19"/>
        <v>#N/A</v>
      </c>
      <c r="W447" t="str" cm="1">
        <f t="array" aca="1" ref="W447" ca="1">IFERROR(INDIRECT("$U"&amp;V447),"")</f>
        <v/>
      </c>
      <c r="Z447" t="e" cm="1">
        <f t="array" ref="Z447">INDEX($AE$2:$AN$40,MOD(ROW()-ROW($AE$2),ROWS($AE$2:$AN$40))+1,INT((ROW()-ROW($AE$2))/ROWS($AE$2:$AN$40))+1)</f>
        <v>#REF!</v>
      </c>
      <c r="AA447" t="e">
        <f t="shared" ca="1" si="20"/>
        <v>#N/A</v>
      </c>
      <c r="AB447" t="str" cm="1">
        <f t="array" aca="1" ref="AB447" ca="1">IFERROR(INDIRECT("$Z"&amp;AA447),"")</f>
        <v/>
      </c>
    </row>
    <row r="448" spans="5:28" x14ac:dyDescent="0.2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18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19"/>
        <v>#N/A</v>
      </c>
      <c r="W448" t="str" cm="1">
        <f t="array" aca="1" ref="W448" ca="1">IFERROR(INDIRECT("$U"&amp;V448),"")</f>
        <v/>
      </c>
      <c r="Z448" t="e" cm="1">
        <f t="array" ref="Z448">INDEX($AE$2:$AN$40,MOD(ROW()-ROW($AE$2),ROWS($AE$2:$AN$40))+1,INT((ROW()-ROW($AE$2))/ROWS($AE$2:$AN$40))+1)</f>
        <v>#REF!</v>
      </c>
      <c r="AA448" t="e">
        <f t="shared" ca="1" si="20"/>
        <v>#N/A</v>
      </c>
      <c r="AB448" t="str" cm="1">
        <f t="array" aca="1" ref="AB448" ca="1">IFERROR(INDIRECT("$Z"&amp;AA448),"")</f>
        <v/>
      </c>
    </row>
    <row r="449" spans="5:28" x14ac:dyDescent="0.2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18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19"/>
        <v>#N/A</v>
      </c>
      <c r="W449" t="str" cm="1">
        <f t="array" aca="1" ref="W449" ca="1">IFERROR(INDIRECT("$U"&amp;V449),"")</f>
        <v/>
      </c>
      <c r="Z449" t="e" cm="1">
        <f t="array" ref="Z449">INDEX($AE$2:$AN$40,MOD(ROW()-ROW($AE$2),ROWS($AE$2:$AN$40))+1,INT((ROW()-ROW($AE$2))/ROWS($AE$2:$AN$40))+1)</f>
        <v>#REF!</v>
      </c>
      <c r="AA449" t="e">
        <f t="shared" ca="1" si="20"/>
        <v>#N/A</v>
      </c>
      <c r="AB449" t="str" cm="1">
        <f t="array" aca="1" ref="AB449" ca="1">IFERROR(INDIRECT("$Z"&amp;AA449),"")</f>
        <v/>
      </c>
    </row>
    <row r="450" spans="5:28" x14ac:dyDescent="0.2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18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19"/>
        <v>#N/A</v>
      </c>
      <c r="W450" t="str" cm="1">
        <f t="array" aca="1" ref="W450" ca="1">IFERROR(INDIRECT("$U"&amp;V450),"")</f>
        <v/>
      </c>
      <c r="Z450" t="e" cm="1">
        <f t="array" ref="Z450">INDEX($AE$2:$AN$40,MOD(ROW()-ROW($AE$2),ROWS($AE$2:$AN$40))+1,INT((ROW()-ROW($AE$2))/ROWS($AE$2:$AN$40))+1)</f>
        <v>#REF!</v>
      </c>
      <c r="AA450" t="e">
        <f t="shared" ca="1" si="20"/>
        <v>#N/A</v>
      </c>
      <c r="AB450" t="str" cm="1">
        <f t="array" aca="1" ref="AB450" ca="1">IFERROR(INDIRECT("$Z"&amp;AA450),"")</f>
        <v/>
      </c>
    </row>
    <row r="451" spans="5:28" x14ac:dyDescent="0.2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18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19"/>
        <v>#N/A</v>
      </c>
      <c r="W451" t="str" cm="1">
        <f t="array" aca="1" ref="W451" ca="1">IFERROR(INDIRECT("$U"&amp;V451),"")</f>
        <v/>
      </c>
      <c r="Z451" t="e" cm="1">
        <f t="array" ref="Z451">INDEX($AE$2:$AN$40,MOD(ROW()-ROW($AE$2),ROWS($AE$2:$AN$40))+1,INT((ROW()-ROW($AE$2))/ROWS($AE$2:$AN$40))+1)</f>
        <v>#REF!</v>
      </c>
      <c r="AA451" t="e">
        <f t="shared" ca="1" si="20"/>
        <v>#N/A</v>
      </c>
      <c r="AB451" t="str" cm="1">
        <f t="array" aca="1" ref="AB451" ca="1">IFERROR(INDIRECT("$Z"&amp;AA451),"")</f>
        <v/>
      </c>
    </row>
    <row r="452" spans="5:28" x14ac:dyDescent="0.2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21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22">MATCH("*",INDIRECT(ADDRESS(V451+1,21,1)&amp;":$U$1000"),0)+V451</f>
        <v>#N/A</v>
      </c>
      <c r="W452" t="str" cm="1">
        <f t="array" aca="1" ref="W452" ca="1">IFERROR(INDIRECT("$U"&amp;V452),"")</f>
        <v/>
      </c>
      <c r="Z452" t="e" cm="1">
        <f t="array" ref="Z452">INDEX($AE$2:$AN$40,MOD(ROW()-ROW($AE$2),ROWS($AE$2:$AN$40))+1,INT((ROW()-ROW($AE$2))/ROWS($AE$2:$AN$40))+1)</f>
        <v>#REF!</v>
      </c>
      <c r="AA452" t="e">
        <f t="shared" ref="AA452:AA515" ca="1" si="23">MATCH("*",INDIRECT(ADDRESS(AA451+1,26,1)&amp;":$Z$1000"),0)+AA451</f>
        <v>#N/A</v>
      </c>
      <c r="AB452" t="str" cm="1">
        <f t="array" aca="1" ref="AB452" ca="1">IFERROR(INDIRECT("$Z"&amp;AA452),"")</f>
        <v/>
      </c>
    </row>
    <row r="453" spans="5:28" x14ac:dyDescent="0.2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21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22"/>
        <v>#N/A</v>
      </c>
      <c r="W453" t="str" cm="1">
        <f t="array" aca="1" ref="W453" ca="1">IFERROR(INDIRECT("$U"&amp;V453),"")</f>
        <v/>
      </c>
      <c r="Z453" t="e" cm="1">
        <f t="array" ref="Z453">INDEX($AE$2:$AN$40,MOD(ROW()-ROW($AE$2),ROWS($AE$2:$AN$40))+1,INT((ROW()-ROW($AE$2))/ROWS($AE$2:$AN$40))+1)</f>
        <v>#REF!</v>
      </c>
      <c r="AA453" t="e">
        <f t="shared" ca="1" si="23"/>
        <v>#N/A</v>
      </c>
      <c r="AB453" t="str" cm="1">
        <f t="array" aca="1" ref="AB453" ca="1">IFERROR(INDIRECT("$Z"&amp;AA453),"")</f>
        <v/>
      </c>
    </row>
    <row r="454" spans="5:28" x14ac:dyDescent="0.2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21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22"/>
        <v>#N/A</v>
      </c>
      <c r="W454" t="str" cm="1">
        <f t="array" aca="1" ref="W454" ca="1">IFERROR(INDIRECT("$U"&amp;V454),"")</f>
        <v/>
      </c>
      <c r="Z454" t="e" cm="1">
        <f t="array" ref="Z454">INDEX($AE$2:$AN$40,MOD(ROW()-ROW($AE$2),ROWS($AE$2:$AN$40))+1,INT((ROW()-ROW($AE$2))/ROWS($AE$2:$AN$40))+1)</f>
        <v>#REF!</v>
      </c>
      <c r="AA454" t="e">
        <f t="shared" ca="1" si="23"/>
        <v>#N/A</v>
      </c>
      <c r="AB454" t="str" cm="1">
        <f t="array" aca="1" ref="AB454" ca="1">IFERROR(INDIRECT("$Z"&amp;AA454),"")</f>
        <v/>
      </c>
    </row>
    <row r="455" spans="5:28" x14ac:dyDescent="0.2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21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22"/>
        <v>#N/A</v>
      </c>
      <c r="W455" t="str" cm="1">
        <f t="array" aca="1" ref="W455" ca="1">IFERROR(INDIRECT("$U"&amp;V455),"")</f>
        <v/>
      </c>
      <c r="Z455" t="e" cm="1">
        <f t="array" ref="Z455">INDEX($AE$2:$AN$40,MOD(ROW()-ROW($AE$2),ROWS($AE$2:$AN$40))+1,INT((ROW()-ROW($AE$2))/ROWS($AE$2:$AN$40))+1)</f>
        <v>#REF!</v>
      </c>
      <c r="AA455" t="e">
        <f t="shared" ca="1" si="23"/>
        <v>#N/A</v>
      </c>
      <c r="AB455" t="str" cm="1">
        <f t="array" aca="1" ref="AB455" ca="1">IFERROR(INDIRECT("$Z"&amp;AA455),"")</f>
        <v/>
      </c>
    </row>
    <row r="456" spans="5:28" x14ac:dyDescent="0.2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21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22"/>
        <v>#N/A</v>
      </c>
      <c r="W456" t="str" cm="1">
        <f t="array" aca="1" ref="W456" ca="1">IFERROR(INDIRECT("$U"&amp;V456),"")</f>
        <v/>
      </c>
      <c r="Z456" t="e" cm="1">
        <f t="array" ref="Z456">INDEX($AE$2:$AN$40,MOD(ROW()-ROW($AE$2),ROWS($AE$2:$AN$40))+1,INT((ROW()-ROW($AE$2))/ROWS($AE$2:$AN$40))+1)</f>
        <v>#REF!</v>
      </c>
      <c r="AA456" t="e">
        <f t="shared" ca="1" si="23"/>
        <v>#N/A</v>
      </c>
      <c r="AB456" t="str" cm="1">
        <f t="array" aca="1" ref="AB456" ca="1">IFERROR(INDIRECT("$Z"&amp;AA456),"")</f>
        <v/>
      </c>
    </row>
    <row r="457" spans="5:28" x14ac:dyDescent="0.2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21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22"/>
        <v>#N/A</v>
      </c>
      <c r="W457" t="str" cm="1">
        <f t="array" aca="1" ref="W457" ca="1">IFERROR(INDIRECT("$U"&amp;V457),"")</f>
        <v/>
      </c>
      <c r="Z457" t="e" cm="1">
        <f t="array" ref="Z457">INDEX($AE$2:$AN$40,MOD(ROW()-ROW($AE$2),ROWS($AE$2:$AN$40))+1,INT((ROW()-ROW($AE$2))/ROWS($AE$2:$AN$40))+1)</f>
        <v>#REF!</v>
      </c>
      <c r="AA457" t="e">
        <f t="shared" ca="1" si="23"/>
        <v>#N/A</v>
      </c>
      <c r="AB457" t="str" cm="1">
        <f t="array" aca="1" ref="AB457" ca="1">IFERROR(INDIRECT("$Z"&amp;AA457),"")</f>
        <v/>
      </c>
    </row>
    <row r="458" spans="5:28" x14ac:dyDescent="0.2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21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22"/>
        <v>#N/A</v>
      </c>
      <c r="W458" t="str" cm="1">
        <f t="array" aca="1" ref="W458" ca="1">IFERROR(INDIRECT("$U"&amp;V458),"")</f>
        <v/>
      </c>
      <c r="Z458" t="e" cm="1">
        <f t="array" ref="Z458">INDEX($AE$2:$AN$40,MOD(ROW()-ROW($AE$2),ROWS($AE$2:$AN$40))+1,INT((ROW()-ROW($AE$2))/ROWS($AE$2:$AN$40))+1)</f>
        <v>#REF!</v>
      </c>
      <c r="AA458" t="e">
        <f t="shared" ca="1" si="23"/>
        <v>#N/A</v>
      </c>
      <c r="AB458" t="str" cm="1">
        <f t="array" aca="1" ref="AB458" ca="1">IFERROR(INDIRECT("$Z"&amp;AA458),"")</f>
        <v/>
      </c>
    </row>
    <row r="459" spans="5:28" x14ac:dyDescent="0.2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21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22"/>
        <v>#N/A</v>
      </c>
      <c r="W459" t="str" cm="1">
        <f t="array" aca="1" ref="W459" ca="1">IFERROR(INDIRECT("$U"&amp;V459),"")</f>
        <v/>
      </c>
      <c r="Z459" t="e" cm="1">
        <f t="array" ref="Z459">INDEX($AE$2:$AN$40,MOD(ROW()-ROW($AE$2),ROWS($AE$2:$AN$40))+1,INT((ROW()-ROW($AE$2))/ROWS($AE$2:$AN$40))+1)</f>
        <v>#REF!</v>
      </c>
      <c r="AA459" t="e">
        <f t="shared" ca="1" si="23"/>
        <v>#N/A</v>
      </c>
      <c r="AB459" t="str" cm="1">
        <f t="array" aca="1" ref="AB459" ca="1">IFERROR(INDIRECT("$Z"&amp;AA459),"")</f>
        <v/>
      </c>
    </row>
    <row r="460" spans="5:28" x14ac:dyDescent="0.2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21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22"/>
        <v>#N/A</v>
      </c>
      <c r="W460" t="str" cm="1">
        <f t="array" aca="1" ref="W460" ca="1">IFERROR(INDIRECT("$U"&amp;V460),"")</f>
        <v/>
      </c>
      <c r="Z460" t="e" cm="1">
        <f t="array" ref="Z460">INDEX($AE$2:$AN$40,MOD(ROW()-ROW($AE$2),ROWS($AE$2:$AN$40))+1,INT((ROW()-ROW($AE$2))/ROWS($AE$2:$AN$40))+1)</f>
        <v>#REF!</v>
      </c>
      <c r="AA460" t="e">
        <f t="shared" ca="1" si="23"/>
        <v>#N/A</v>
      </c>
      <c r="AB460" t="str" cm="1">
        <f t="array" aca="1" ref="AB460" ca="1">IFERROR(INDIRECT("$Z"&amp;AA460),"")</f>
        <v/>
      </c>
    </row>
    <row r="461" spans="5:28" x14ac:dyDescent="0.2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21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22"/>
        <v>#N/A</v>
      </c>
      <c r="W461" t="str" cm="1">
        <f t="array" aca="1" ref="W461" ca="1">IFERROR(INDIRECT("$U"&amp;V461),"")</f>
        <v/>
      </c>
      <c r="Z461" t="e" cm="1">
        <f t="array" ref="Z461">INDEX($AE$2:$AN$40,MOD(ROW()-ROW($AE$2),ROWS($AE$2:$AN$40))+1,INT((ROW()-ROW($AE$2))/ROWS($AE$2:$AN$40))+1)</f>
        <v>#REF!</v>
      </c>
      <c r="AA461" t="e">
        <f t="shared" ca="1" si="23"/>
        <v>#N/A</v>
      </c>
      <c r="AB461" t="str" cm="1">
        <f t="array" aca="1" ref="AB461" ca="1">IFERROR(INDIRECT("$Z"&amp;AA461),"")</f>
        <v/>
      </c>
    </row>
    <row r="462" spans="5:28" x14ac:dyDescent="0.2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21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22"/>
        <v>#N/A</v>
      </c>
      <c r="W462" t="str" cm="1">
        <f t="array" aca="1" ref="W462" ca="1">IFERROR(INDIRECT("$U"&amp;V462),"")</f>
        <v/>
      </c>
      <c r="Z462" t="e" cm="1">
        <f t="array" ref="Z462">INDEX($AE$2:$AN$40,MOD(ROW()-ROW($AE$2),ROWS($AE$2:$AN$40))+1,INT((ROW()-ROW($AE$2))/ROWS($AE$2:$AN$40))+1)</f>
        <v>#REF!</v>
      </c>
      <c r="AA462" t="e">
        <f t="shared" ca="1" si="23"/>
        <v>#N/A</v>
      </c>
      <c r="AB462" t="str" cm="1">
        <f t="array" aca="1" ref="AB462" ca="1">IFERROR(INDIRECT("$Z"&amp;AA462),"")</f>
        <v/>
      </c>
    </row>
    <row r="463" spans="5:28" x14ac:dyDescent="0.2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21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22"/>
        <v>#N/A</v>
      </c>
      <c r="W463" t="str" cm="1">
        <f t="array" aca="1" ref="W463" ca="1">IFERROR(INDIRECT("$U"&amp;V463),"")</f>
        <v/>
      </c>
      <c r="Z463" t="e" cm="1">
        <f t="array" ref="Z463">INDEX($AE$2:$AN$40,MOD(ROW()-ROW($AE$2),ROWS($AE$2:$AN$40))+1,INT((ROW()-ROW($AE$2))/ROWS($AE$2:$AN$40))+1)</f>
        <v>#REF!</v>
      </c>
      <c r="AA463" t="e">
        <f t="shared" ca="1" si="23"/>
        <v>#N/A</v>
      </c>
      <c r="AB463" t="str" cm="1">
        <f t="array" aca="1" ref="AB463" ca="1">IFERROR(INDIRECT("$Z"&amp;AA463),"")</f>
        <v/>
      </c>
    </row>
    <row r="464" spans="5:28" x14ac:dyDescent="0.2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21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22"/>
        <v>#N/A</v>
      </c>
      <c r="W464" t="str" cm="1">
        <f t="array" aca="1" ref="W464" ca="1">IFERROR(INDIRECT("$U"&amp;V464),"")</f>
        <v/>
      </c>
      <c r="Z464" t="e" cm="1">
        <f t="array" ref="Z464">INDEX($AE$2:$AN$40,MOD(ROW()-ROW($AE$2),ROWS($AE$2:$AN$40))+1,INT((ROW()-ROW($AE$2))/ROWS($AE$2:$AN$40))+1)</f>
        <v>#REF!</v>
      </c>
      <c r="AA464" t="e">
        <f t="shared" ca="1" si="23"/>
        <v>#N/A</v>
      </c>
      <c r="AB464" t="str" cm="1">
        <f t="array" aca="1" ref="AB464" ca="1">IFERROR(INDIRECT("$Z"&amp;AA464),"")</f>
        <v/>
      </c>
    </row>
    <row r="465" spans="5:28" x14ac:dyDescent="0.2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21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22"/>
        <v>#N/A</v>
      </c>
      <c r="W465" t="str" cm="1">
        <f t="array" aca="1" ref="W465" ca="1">IFERROR(INDIRECT("$U"&amp;V465),"")</f>
        <v/>
      </c>
      <c r="Z465" t="e" cm="1">
        <f t="array" ref="Z465">INDEX($AE$2:$AN$40,MOD(ROW()-ROW($AE$2),ROWS($AE$2:$AN$40))+1,INT((ROW()-ROW($AE$2))/ROWS($AE$2:$AN$40))+1)</f>
        <v>#REF!</v>
      </c>
      <c r="AA465" t="e">
        <f t="shared" ca="1" si="23"/>
        <v>#N/A</v>
      </c>
      <c r="AB465" t="str" cm="1">
        <f t="array" aca="1" ref="AB465" ca="1">IFERROR(INDIRECT("$Z"&amp;AA465),"")</f>
        <v/>
      </c>
    </row>
    <row r="466" spans="5:28" x14ac:dyDescent="0.2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21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22"/>
        <v>#N/A</v>
      </c>
      <c r="W466" t="str" cm="1">
        <f t="array" aca="1" ref="W466" ca="1">IFERROR(INDIRECT("$U"&amp;V466),"")</f>
        <v/>
      </c>
      <c r="Z466" t="e" cm="1">
        <f t="array" ref="Z466">INDEX($AE$2:$AN$40,MOD(ROW()-ROW($AE$2),ROWS($AE$2:$AN$40))+1,INT((ROW()-ROW($AE$2))/ROWS($AE$2:$AN$40))+1)</f>
        <v>#REF!</v>
      </c>
      <c r="AA466" t="e">
        <f t="shared" ca="1" si="23"/>
        <v>#N/A</v>
      </c>
      <c r="AB466" t="str" cm="1">
        <f t="array" aca="1" ref="AB466" ca="1">IFERROR(INDIRECT("$Z"&amp;AA466),"")</f>
        <v/>
      </c>
    </row>
    <row r="467" spans="5:28" x14ac:dyDescent="0.2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21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22"/>
        <v>#N/A</v>
      </c>
      <c r="W467" t="str" cm="1">
        <f t="array" aca="1" ref="W467" ca="1">IFERROR(INDIRECT("$U"&amp;V467),"")</f>
        <v/>
      </c>
      <c r="Z467" t="e" cm="1">
        <f t="array" ref="Z467">INDEX($AE$2:$AN$40,MOD(ROW()-ROW($AE$2),ROWS($AE$2:$AN$40))+1,INT((ROW()-ROW($AE$2))/ROWS($AE$2:$AN$40))+1)</f>
        <v>#REF!</v>
      </c>
      <c r="AA467" t="e">
        <f t="shared" ca="1" si="23"/>
        <v>#N/A</v>
      </c>
      <c r="AB467" t="str" cm="1">
        <f t="array" aca="1" ref="AB467" ca="1">IFERROR(INDIRECT("$Z"&amp;AA467),"")</f>
        <v/>
      </c>
    </row>
    <row r="468" spans="5:28" x14ac:dyDescent="0.2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21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22"/>
        <v>#N/A</v>
      </c>
      <c r="W468" t="str" cm="1">
        <f t="array" aca="1" ref="W468" ca="1">IFERROR(INDIRECT("$U"&amp;V468),"")</f>
        <v/>
      </c>
      <c r="Z468" t="e" cm="1">
        <f t="array" ref="Z468">INDEX($AE$2:$AN$40,MOD(ROW()-ROW($AE$2),ROWS($AE$2:$AN$40))+1,INT((ROW()-ROW($AE$2))/ROWS($AE$2:$AN$40))+1)</f>
        <v>#REF!</v>
      </c>
      <c r="AA468" t="e">
        <f t="shared" ca="1" si="23"/>
        <v>#N/A</v>
      </c>
      <c r="AB468" t="str" cm="1">
        <f t="array" aca="1" ref="AB468" ca="1">IFERROR(INDIRECT("$Z"&amp;AA468),"")</f>
        <v/>
      </c>
    </row>
    <row r="469" spans="5:28" x14ac:dyDescent="0.2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21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22"/>
        <v>#N/A</v>
      </c>
      <c r="W469" t="str" cm="1">
        <f t="array" aca="1" ref="W469" ca="1">IFERROR(INDIRECT("$U"&amp;V469),"")</f>
        <v/>
      </c>
      <c r="Z469" t="e" cm="1">
        <f t="array" ref="Z469">INDEX($AE$2:$AN$40,MOD(ROW()-ROW($AE$2),ROWS($AE$2:$AN$40))+1,INT((ROW()-ROW($AE$2))/ROWS($AE$2:$AN$40))+1)</f>
        <v>#REF!</v>
      </c>
      <c r="AA469" t="e">
        <f t="shared" ca="1" si="23"/>
        <v>#N/A</v>
      </c>
      <c r="AB469" t="str" cm="1">
        <f t="array" aca="1" ref="AB469" ca="1">IFERROR(INDIRECT("$Z"&amp;AA469),"")</f>
        <v/>
      </c>
    </row>
    <row r="470" spans="5:28" x14ac:dyDescent="0.2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21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22"/>
        <v>#N/A</v>
      </c>
      <c r="W470" t="str" cm="1">
        <f t="array" aca="1" ref="W470" ca="1">IFERROR(INDIRECT("$U"&amp;V470),"")</f>
        <v/>
      </c>
      <c r="Z470" t="e" cm="1">
        <f t="array" ref="Z470">INDEX($AE$2:$AN$40,MOD(ROW()-ROW($AE$2),ROWS($AE$2:$AN$40))+1,INT((ROW()-ROW($AE$2))/ROWS($AE$2:$AN$40))+1)</f>
        <v>#REF!</v>
      </c>
      <c r="AA470" t="e">
        <f t="shared" ca="1" si="23"/>
        <v>#N/A</v>
      </c>
      <c r="AB470" t="str" cm="1">
        <f t="array" aca="1" ref="AB470" ca="1">IFERROR(INDIRECT("$Z"&amp;AA470),"")</f>
        <v/>
      </c>
    </row>
    <row r="471" spans="5:28" x14ac:dyDescent="0.2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21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22"/>
        <v>#N/A</v>
      </c>
      <c r="W471" t="str" cm="1">
        <f t="array" aca="1" ref="W471" ca="1">IFERROR(INDIRECT("$U"&amp;V471),"")</f>
        <v/>
      </c>
      <c r="Z471" t="e" cm="1">
        <f t="array" ref="Z471">INDEX($AE$2:$AN$40,MOD(ROW()-ROW($AE$2),ROWS($AE$2:$AN$40))+1,INT((ROW()-ROW($AE$2))/ROWS($AE$2:$AN$40))+1)</f>
        <v>#REF!</v>
      </c>
      <c r="AA471" t="e">
        <f t="shared" ca="1" si="23"/>
        <v>#N/A</v>
      </c>
      <c r="AB471" t="str" cm="1">
        <f t="array" aca="1" ref="AB471" ca="1">IFERROR(INDIRECT("$Z"&amp;AA471),"")</f>
        <v/>
      </c>
    </row>
    <row r="472" spans="5:28" x14ac:dyDescent="0.2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21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22"/>
        <v>#N/A</v>
      </c>
      <c r="W472" t="str" cm="1">
        <f t="array" aca="1" ref="W472" ca="1">IFERROR(INDIRECT("$U"&amp;V472),"")</f>
        <v/>
      </c>
      <c r="Z472" t="e" cm="1">
        <f t="array" ref="Z472">INDEX($AE$2:$AN$40,MOD(ROW()-ROW($AE$2),ROWS($AE$2:$AN$40))+1,INT((ROW()-ROW($AE$2))/ROWS($AE$2:$AN$40))+1)</f>
        <v>#REF!</v>
      </c>
      <c r="AA472" t="e">
        <f t="shared" ca="1" si="23"/>
        <v>#N/A</v>
      </c>
      <c r="AB472" t="str" cm="1">
        <f t="array" aca="1" ref="AB472" ca="1">IFERROR(INDIRECT("$Z"&amp;AA472),"")</f>
        <v/>
      </c>
    </row>
    <row r="473" spans="5:28" x14ac:dyDescent="0.2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21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22"/>
        <v>#N/A</v>
      </c>
      <c r="W473" t="str" cm="1">
        <f t="array" aca="1" ref="W473" ca="1">IFERROR(INDIRECT("$U"&amp;V473),"")</f>
        <v/>
      </c>
      <c r="Z473" t="e" cm="1">
        <f t="array" ref="Z473">INDEX($AE$2:$AN$40,MOD(ROW()-ROW($AE$2),ROWS($AE$2:$AN$40))+1,INT((ROW()-ROW($AE$2))/ROWS($AE$2:$AN$40))+1)</f>
        <v>#REF!</v>
      </c>
      <c r="AA473" t="e">
        <f t="shared" ca="1" si="23"/>
        <v>#N/A</v>
      </c>
      <c r="AB473" t="str" cm="1">
        <f t="array" aca="1" ref="AB473" ca="1">IFERROR(INDIRECT("$Z"&amp;AA473),"")</f>
        <v/>
      </c>
    </row>
    <row r="474" spans="5:28" x14ac:dyDescent="0.2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21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22"/>
        <v>#N/A</v>
      </c>
      <c r="W474" t="str" cm="1">
        <f t="array" aca="1" ref="W474" ca="1">IFERROR(INDIRECT("$U"&amp;V474),"")</f>
        <v/>
      </c>
      <c r="Z474" t="e" cm="1">
        <f t="array" ref="Z474">INDEX($AE$2:$AN$40,MOD(ROW()-ROW($AE$2),ROWS($AE$2:$AN$40))+1,INT((ROW()-ROW($AE$2))/ROWS($AE$2:$AN$40))+1)</f>
        <v>#REF!</v>
      </c>
      <c r="AA474" t="e">
        <f t="shared" ca="1" si="23"/>
        <v>#N/A</v>
      </c>
      <c r="AB474" t="str" cm="1">
        <f t="array" aca="1" ref="AB474" ca="1">IFERROR(INDIRECT("$Z"&amp;AA474),"")</f>
        <v/>
      </c>
    </row>
    <row r="475" spans="5:28" x14ac:dyDescent="0.2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21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22"/>
        <v>#N/A</v>
      </c>
      <c r="W475" t="str" cm="1">
        <f t="array" aca="1" ref="W475" ca="1">IFERROR(INDIRECT("$U"&amp;V475),"")</f>
        <v/>
      </c>
      <c r="Z475" t="e" cm="1">
        <f t="array" ref="Z475">INDEX($AE$2:$AN$40,MOD(ROW()-ROW($AE$2),ROWS($AE$2:$AN$40))+1,INT((ROW()-ROW($AE$2))/ROWS($AE$2:$AN$40))+1)</f>
        <v>#REF!</v>
      </c>
      <c r="AA475" t="e">
        <f t="shared" ca="1" si="23"/>
        <v>#N/A</v>
      </c>
      <c r="AB475" t="str" cm="1">
        <f t="array" aca="1" ref="AB475" ca="1">IFERROR(INDIRECT("$Z"&amp;AA475),"")</f>
        <v/>
      </c>
    </row>
    <row r="476" spans="5:28" x14ac:dyDescent="0.2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21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22"/>
        <v>#N/A</v>
      </c>
      <c r="W476" t="str" cm="1">
        <f t="array" aca="1" ref="W476" ca="1">IFERROR(INDIRECT("$U"&amp;V476),"")</f>
        <v/>
      </c>
      <c r="Z476" t="e" cm="1">
        <f t="array" ref="Z476">INDEX($AE$2:$AN$40,MOD(ROW()-ROW($AE$2),ROWS($AE$2:$AN$40))+1,INT((ROW()-ROW($AE$2))/ROWS($AE$2:$AN$40))+1)</f>
        <v>#REF!</v>
      </c>
      <c r="AA476" t="e">
        <f t="shared" ca="1" si="23"/>
        <v>#N/A</v>
      </c>
      <c r="AB476" t="str" cm="1">
        <f t="array" aca="1" ref="AB476" ca="1">IFERROR(INDIRECT("$Z"&amp;AA476),"")</f>
        <v/>
      </c>
    </row>
    <row r="477" spans="5:28" x14ac:dyDescent="0.2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21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22"/>
        <v>#N/A</v>
      </c>
      <c r="W477" t="str" cm="1">
        <f t="array" aca="1" ref="W477" ca="1">IFERROR(INDIRECT("$U"&amp;V477),"")</f>
        <v/>
      </c>
      <c r="Z477" t="e" cm="1">
        <f t="array" ref="Z477">INDEX($AE$2:$AN$40,MOD(ROW()-ROW($AE$2),ROWS($AE$2:$AN$40))+1,INT((ROW()-ROW($AE$2))/ROWS($AE$2:$AN$40))+1)</f>
        <v>#REF!</v>
      </c>
      <c r="AA477" t="e">
        <f t="shared" ca="1" si="23"/>
        <v>#N/A</v>
      </c>
      <c r="AB477" t="str" cm="1">
        <f t="array" aca="1" ref="AB477" ca="1">IFERROR(INDIRECT("$Z"&amp;AA477),"")</f>
        <v/>
      </c>
    </row>
    <row r="478" spans="5:28" x14ac:dyDescent="0.2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21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22"/>
        <v>#N/A</v>
      </c>
      <c r="W478" t="str" cm="1">
        <f t="array" aca="1" ref="W478" ca="1">IFERROR(INDIRECT("$U"&amp;V478),"")</f>
        <v/>
      </c>
      <c r="Z478" t="e" cm="1">
        <f t="array" ref="Z478">INDEX($AE$2:$AN$40,MOD(ROW()-ROW($AE$2),ROWS($AE$2:$AN$40))+1,INT((ROW()-ROW($AE$2))/ROWS($AE$2:$AN$40))+1)</f>
        <v>#REF!</v>
      </c>
      <c r="AA478" t="e">
        <f t="shared" ca="1" si="23"/>
        <v>#N/A</v>
      </c>
      <c r="AB478" t="str" cm="1">
        <f t="array" aca="1" ref="AB478" ca="1">IFERROR(INDIRECT("$Z"&amp;AA478),"")</f>
        <v/>
      </c>
    </row>
    <row r="479" spans="5:28" x14ac:dyDescent="0.2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21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22"/>
        <v>#N/A</v>
      </c>
      <c r="W479" t="str" cm="1">
        <f t="array" aca="1" ref="W479" ca="1">IFERROR(INDIRECT("$U"&amp;V479),"")</f>
        <v/>
      </c>
      <c r="Z479" t="e" cm="1">
        <f t="array" ref="Z479">INDEX($AE$2:$AN$40,MOD(ROW()-ROW($AE$2),ROWS($AE$2:$AN$40))+1,INT((ROW()-ROW($AE$2))/ROWS($AE$2:$AN$40))+1)</f>
        <v>#REF!</v>
      </c>
      <c r="AA479" t="e">
        <f t="shared" ca="1" si="23"/>
        <v>#N/A</v>
      </c>
      <c r="AB479" t="str" cm="1">
        <f t="array" aca="1" ref="AB479" ca="1">IFERROR(INDIRECT("$Z"&amp;AA479),"")</f>
        <v/>
      </c>
    </row>
    <row r="480" spans="5:28" x14ac:dyDescent="0.2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21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22"/>
        <v>#N/A</v>
      </c>
      <c r="W480" t="str" cm="1">
        <f t="array" aca="1" ref="W480" ca="1">IFERROR(INDIRECT("$U"&amp;V480),"")</f>
        <v/>
      </c>
      <c r="Z480" t="e" cm="1">
        <f t="array" ref="Z480">INDEX($AE$2:$AN$40,MOD(ROW()-ROW($AE$2),ROWS($AE$2:$AN$40))+1,INT((ROW()-ROW($AE$2))/ROWS($AE$2:$AN$40))+1)</f>
        <v>#REF!</v>
      </c>
      <c r="AA480" t="e">
        <f t="shared" ca="1" si="23"/>
        <v>#N/A</v>
      </c>
      <c r="AB480" t="str" cm="1">
        <f t="array" aca="1" ref="AB480" ca="1">IFERROR(INDIRECT("$Z"&amp;AA480),"")</f>
        <v/>
      </c>
    </row>
    <row r="481" spans="5:28" x14ac:dyDescent="0.2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21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22"/>
        <v>#N/A</v>
      </c>
      <c r="W481" t="str" cm="1">
        <f t="array" aca="1" ref="W481" ca="1">IFERROR(INDIRECT("$U"&amp;V481),"")</f>
        <v/>
      </c>
      <c r="Z481" t="e" cm="1">
        <f t="array" ref="Z481">INDEX($AE$2:$AN$40,MOD(ROW()-ROW($AE$2),ROWS($AE$2:$AN$40))+1,INT((ROW()-ROW($AE$2))/ROWS($AE$2:$AN$40))+1)</f>
        <v>#REF!</v>
      </c>
      <c r="AA481" t="e">
        <f t="shared" ca="1" si="23"/>
        <v>#N/A</v>
      </c>
      <c r="AB481" t="str" cm="1">
        <f t="array" aca="1" ref="AB481" ca="1">IFERROR(INDIRECT("$Z"&amp;AA481),"")</f>
        <v/>
      </c>
    </row>
    <row r="482" spans="5:28" x14ac:dyDescent="0.2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21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22"/>
        <v>#N/A</v>
      </c>
      <c r="W482" t="str" cm="1">
        <f t="array" aca="1" ref="W482" ca="1">IFERROR(INDIRECT("$U"&amp;V482),"")</f>
        <v/>
      </c>
      <c r="Z482" t="e" cm="1">
        <f t="array" ref="Z482">INDEX($AE$2:$AN$40,MOD(ROW()-ROW($AE$2),ROWS($AE$2:$AN$40))+1,INT((ROW()-ROW($AE$2))/ROWS($AE$2:$AN$40))+1)</f>
        <v>#REF!</v>
      </c>
      <c r="AA482" t="e">
        <f t="shared" ca="1" si="23"/>
        <v>#N/A</v>
      </c>
      <c r="AB482" t="str" cm="1">
        <f t="array" aca="1" ref="AB482" ca="1">IFERROR(INDIRECT("$Z"&amp;AA482),"")</f>
        <v/>
      </c>
    </row>
    <row r="483" spans="5:28" x14ac:dyDescent="0.2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21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22"/>
        <v>#N/A</v>
      </c>
      <c r="W483" t="str" cm="1">
        <f t="array" aca="1" ref="W483" ca="1">IFERROR(INDIRECT("$U"&amp;V483),"")</f>
        <v/>
      </c>
      <c r="Z483" t="e" cm="1">
        <f t="array" ref="Z483">INDEX($AE$2:$AN$40,MOD(ROW()-ROW($AE$2),ROWS($AE$2:$AN$40))+1,INT((ROW()-ROW($AE$2))/ROWS($AE$2:$AN$40))+1)</f>
        <v>#REF!</v>
      </c>
      <c r="AA483" t="e">
        <f t="shared" ca="1" si="23"/>
        <v>#N/A</v>
      </c>
      <c r="AB483" t="str" cm="1">
        <f t="array" aca="1" ref="AB483" ca="1">IFERROR(INDIRECT("$Z"&amp;AA483),"")</f>
        <v/>
      </c>
    </row>
    <row r="484" spans="5:28" x14ac:dyDescent="0.2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21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22"/>
        <v>#N/A</v>
      </c>
      <c r="W484" t="str" cm="1">
        <f t="array" aca="1" ref="W484" ca="1">IFERROR(INDIRECT("$U"&amp;V484),"")</f>
        <v/>
      </c>
      <c r="Z484" t="e" cm="1">
        <f t="array" ref="Z484">INDEX($AE$2:$AN$40,MOD(ROW()-ROW($AE$2),ROWS($AE$2:$AN$40))+1,INT((ROW()-ROW($AE$2))/ROWS($AE$2:$AN$40))+1)</f>
        <v>#REF!</v>
      </c>
      <c r="AA484" t="e">
        <f t="shared" ca="1" si="23"/>
        <v>#N/A</v>
      </c>
      <c r="AB484" t="str" cm="1">
        <f t="array" aca="1" ref="AB484" ca="1">IFERROR(INDIRECT("$Z"&amp;AA484),"")</f>
        <v/>
      </c>
    </row>
    <row r="485" spans="5:28" x14ac:dyDescent="0.2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21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22"/>
        <v>#N/A</v>
      </c>
      <c r="W485" t="str" cm="1">
        <f t="array" aca="1" ref="W485" ca="1">IFERROR(INDIRECT("$U"&amp;V485),"")</f>
        <v/>
      </c>
      <c r="Z485" t="e" cm="1">
        <f t="array" ref="Z485">INDEX($AE$2:$AN$40,MOD(ROW()-ROW($AE$2),ROWS($AE$2:$AN$40))+1,INT((ROW()-ROW($AE$2))/ROWS($AE$2:$AN$40))+1)</f>
        <v>#REF!</v>
      </c>
      <c r="AA485" t="e">
        <f t="shared" ca="1" si="23"/>
        <v>#N/A</v>
      </c>
      <c r="AB485" t="str" cm="1">
        <f t="array" aca="1" ref="AB485" ca="1">IFERROR(INDIRECT("$Z"&amp;AA485),"")</f>
        <v/>
      </c>
    </row>
    <row r="486" spans="5:28" x14ac:dyDescent="0.2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21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22"/>
        <v>#N/A</v>
      </c>
      <c r="W486" t="str" cm="1">
        <f t="array" aca="1" ref="W486" ca="1">IFERROR(INDIRECT("$U"&amp;V486),"")</f>
        <v/>
      </c>
      <c r="Z486" t="e" cm="1">
        <f t="array" ref="Z486">INDEX($AE$2:$AN$40,MOD(ROW()-ROW($AE$2),ROWS($AE$2:$AN$40))+1,INT((ROW()-ROW($AE$2))/ROWS($AE$2:$AN$40))+1)</f>
        <v>#REF!</v>
      </c>
      <c r="AA486" t="e">
        <f t="shared" ca="1" si="23"/>
        <v>#N/A</v>
      </c>
      <c r="AB486" t="str" cm="1">
        <f t="array" aca="1" ref="AB486" ca="1">IFERROR(INDIRECT("$Z"&amp;AA486),"")</f>
        <v/>
      </c>
    </row>
    <row r="487" spans="5:28" x14ac:dyDescent="0.2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21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22"/>
        <v>#N/A</v>
      </c>
      <c r="W487" t="str" cm="1">
        <f t="array" aca="1" ref="W487" ca="1">IFERROR(INDIRECT("$U"&amp;V487),"")</f>
        <v/>
      </c>
      <c r="Z487" t="e" cm="1">
        <f t="array" ref="Z487">INDEX($AE$2:$AN$40,MOD(ROW()-ROW($AE$2),ROWS($AE$2:$AN$40))+1,INT((ROW()-ROW($AE$2))/ROWS($AE$2:$AN$40))+1)</f>
        <v>#REF!</v>
      </c>
      <c r="AA487" t="e">
        <f t="shared" ca="1" si="23"/>
        <v>#N/A</v>
      </c>
      <c r="AB487" t="str" cm="1">
        <f t="array" aca="1" ref="AB487" ca="1">IFERROR(INDIRECT("$Z"&amp;AA487),"")</f>
        <v/>
      </c>
    </row>
    <row r="488" spans="5:28" x14ac:dyDescent="0.2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21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22"/>
        <v>#N/A</v>
      </c>
      <c r="W488" t="str" cm="1">
        <f t="array" aca="1" ref="W488" ca="1">IFERROR(INDIRECT("$U"&amp;V488),"")</f>
        <v/>
      </c>
      <c r="Z488" t="e" cm="1">
        <f t="array" ref="Z488">INDEX($AE$2:$AN$40,MOD(ROW()-ROW($AE$2),ROWS($AE$2:$AN$40))+1,INT((ROW()-ROW($AE$2))/ROWS($AE$2:$AN$40))+1)</f>
        <v>#REF!</v>
      </c>
      <c r="AA488" t="e">
        <f t="shared" ca="1" si="23"/>
        <v>#N/A</v>
      </c>
      <c r="AB488" t="str" cm="1">
        <f t="array" aca="1" ref="AB488" ca="1">IFERROR(INDIRECT("$Z"&amp;AA488),"")</f>
        <v/>
      </c>
    </row>
    <row r="489" spans="5:28" x14ac:dyDescent="0.2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21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22"/>
        <v>#N/A</v>
      </c>
      <c r="W489" t="str" cm="1">
        <f t="array" aca="1" ref="W489" ca="1">IFERROR(INDIRECT("$U"&amp;V489),"")</f>
        <v/>
      </c>
      <c r="Z489" t="e" cm="1">
        <f t="array" ref="Z489">INDEX($AE$2:$AN$40,MOD(ROW()-ROW($AE$2),ROWS($AE$2:$AN$40))+1,INT((ROW()-ROW($AE$2))/ROWS($AE$2:$AN$40))+1)</f>
        <v>#REF!</v>
      </c>
      <c r="AA489" t="e">
        <f t="shared" ca="1" si="23"/>
        <v>#N/A</v>
      </c>
      <c r="AB489" t="str" cm="1">
        <f t="array" aca="1" ref="AB489" ca="1">IFERROR(INDIRECT("$Z"&amp;AA489),"")</f>
        <v/>
      </c>
    </row>
    <row r="490" spans="5:28" x14ac:dyDescent="0.2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21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22"/>
        <v>#N/A</v>
      </c>
      <c r="W490" t="str" cm="1">
        <f t="array" aca="1" ref="W490" ca="1">IFERROR(INDIRECT("$U"&amp;V490),"")</f>
        <v/>
      </c>
      <c r="Z490" t="e" cm="1">
        <f t="array" ref="Z490">INDEX($AE$2:$AN$40,MOD(ROW()-ROW($AE$2),ROWS($AE$2:$AN$40))+1,INT((ROW()-ROW($AE$2))/ROWS($AE$2:$AN$40))+1)</f>
        <v>#REF!</v>
      </c>
      <c r="AA490" t="e">
        <f t="shared" ca="1" si="23"/>
        <v>#N/A</v>
      </c>
      <c r="AB490" t="str" cm="1">
        <f t="array" aca="1" ref="AB490" ca="1">IFERROR(INDIRECT("$Z"&amp;AA490),"")</f>
        <v/>
      </c>
    </row>
    <row r="491" spans="5:28" x14ac:dyDescent="0.2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21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22"/>
        <v>#N/A</v>
      </c>
      <c r="W491" t="str" cm="1">
        <f t="array" aca="1" ref="W491" ca="1">IFERROR(INDIRECT("$U"&amp;V491),"")</f>
        <v/>
      </c>
      <c r="Z491" t="e" cm="1">
        <f t="array" ref="Z491">INDEX($AE$2:$AN$40,MOD(ROW()-ROW($AE$2),ROWS($AE$2:$AN$40))+1,INT((ROW()-ROW($AE$2))/ROWS($AE$2:$AN$40))+1)</f>
        <v>#REF!</v>
      </c>
      <c r="AA491" t="e">
        <f t="shared" ca="1" si="23"/>
        <v>#N/A</v>
      </c>
      <c r="AB491" t="str" cm="1">
        <f t="array" aca="1" ref="AB491" ca="1">IFERROR(INDIRECT("$Z"&amp;AA491),"")</f>
        <v/>
      </c>
    </row>
    <row r="492" spans="5:28" x14ac:dyDescent="0.2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21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22"/>
        <v>#N/A</v>
      </c>
      <c r="W492" t="str" cm="1">
        <f t="array" aca="1" ref="W492" ca="1">IFERROR(INDIRECT("$U"&amp;V492),"")</f>
        <v/>
      </c>
      <c r="Z492" t="e" cm="1">
        <f t="array" ref="Z492">INDEX($AE$2:$AN$40,MOD(ROW()-ROW($AE$2),ROWS($AE$2:$AN$40))+1,INT((ROW()-ROW($AE$2))/ROWS($AE$2:$AN$40))+1)</f>
        <v>#REF!</v>
      </c>
      <c r="AA492" t="e">
        <f t="shared" ca="1" si="23"/>
        <v>#N/A</v>
      </c>
      <c r="AB492" t="str" cm="1">
        <f t="array" aca="1" ref="AB492" ca="1">IFERROR(INDIRECT("$Z"&amp;AA492),"")</f>
        <v/>
      </c>
    </row>
    <row r="493" spans="5:28" x14ac:dyDescent="0.2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21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22"/>
        <v>#N/A</v>
      </c>
      <c r="W493" t="str" cm="1">
        <f t="array" aca="1" ref="W493" ca="1">IFERROR(INDIRECT("$U"&amp;V493),"")</f>
        <v/>
      </c>
      <c r="Z493" t="e" cm="1">
        <f t="array" ref="Z493">INDEX($AE$2:$AN$40,MOD(ROW()-ROW($AE$2),ROWS($AE$2:$AN$40))+1,INT((ROW()-ROW($AE$2))/ROWS($AE$2:$AN$40))+1)</f>
        <v>#REF!</v>
      </c>
      <c r="AA493" t="e">
        <f t="shared" ca="1" si="23"/>
        <v>#N/A</v>
      </c>
      <c r="AB493" t="str" cm="1">
        <f t="array" aca="1" ref="AB493" ca="1">IFERROR(INDIRECT("$Z"&amp;AA493),"")</f>
        <v/>
      </c>
    </row>
    <row r="494" spans="5:28" x14ac:dyDescent="0.2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21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22"/>
        <v>#N/A</v>
      </c>
      <c r="W494" t="str" cm="1">
        <f t="array" aca="1" ref="W494" ca="1">IFERROR(INDIRECT("$U"&amp;V494),"")</f>
        <v/>
      </c>
      <c r="Z494" t="e" cm="1">
        <f t="array" ref="Z494">INDEX($AE$2:$AN$40,MOD(ROW()-ROW($AE$2),ROWS($AE$2:$AN$40))+1,INT((ROW()-ROW($AE$2))/ROWS($AE$2:$AN$40))+1)</f>
        <v>#REF!</v>
      </c>
      <c r="AA494" t="e">
        <f t="shared" ca="1" si="23"/>
        <v>#N/A</v>
      </c>
      <c r="AB494" t="str" cm="1">
        <f t="array" aca="1" ref="AB494" ca="1">IFERROR(INDIRECT("$Z"&amp;AA494),"")</f>
        <v/>
      </c>
    </row>
    <row r="495" spans="5:28" x14ac:dyDescent="0.2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21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22"/>
        <v>#N/A</v>
      </c>
      <c r="W495" t="str" cm="1">
        <f t="array" aca="1" ref="W495" ca="1">IFERROR(INDIRECT("$U"&amp;V495),"")</f>
        <v/>
      </c>
      <c r="Z495" t="e" cm="1">
        <f t="array" ref="Z495">INDEX($AE$2:$AN$40,MOD(ROW()-ROW($AE$2),ROWS($AE$2:$AN$40))+1,INT((ROW()-ROW($AE$2))/ROWS($AE$2:$AN$40))+1)</f>
        <v>#REF!</v>
      </c>
      <c r="AA495" t="e">
        <f t="shared" ca="1" si="23"/>
        <v>#N/A</v>
      </c>
      <c r="AB495" t="str" cm="1">
        <f t="array" aca="1" ref="AB495" ca="1">IFERROR(INDIRECT("$Z"&amp;AA495),"")</f>
        <v/>
      </c>
    </row>
    <row r="496" spans="5:28" x14ac:dyDescent="0.2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21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22"/>
        <v>#N/A</v>
      </c>
      <c r="W496" t="str" cm="1">
        <f t="array" aca="1" ref="W496" ca="1">IFERROR(INDIRECT("$U"&amp;V496),"")</f>
        <v/>
      </c>
      <c r="Z496" t="e" cm="1">
        <f t="array" ref="Z496">INDEX($AE$2:$AN$40,MOD(ROW()-ROW($AE$2),ROWS($AE$2:$AN$40))+1,INT((ROW()-ROW($AE$2))/ROWS($AE$2:$AN$40))+1)</f>
        <v>#REF!</v>
      </c>
      <c r="AA496" t="e">
        <f t="shared" ca="1" si="23"/>
        <v>#N/A</v>
      </c>
      <c r="AB496" t="str" cm="1">
        <f t="array" aca="1" ref="AB496" ca="1">IFERROR(INDIRECT("$Z"&amp;AA496),"")</f>
        <v/>
      </c>
    </row>
    <row r="497" spans="5:28" x14ac:dyDescent="0.2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21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22"/>
        <v>#N/A</v>
      </c>
      <c r="W497" t="str" cm="1">
        <f t="array" aca="1" ref="W497" ca="1">IFERROR(INDIRECT("$U"&amp;V497),"")</f>
        <v/>
      </c>
      <c r="Z497" t="e" cm="1">
        <f t="array" ref="Z497">INDEX($AE$2:$AN$40,MOD(ROW()-ROW($AE$2),ROWS($AE$2:$AN$40))+1,INT((ROW()-ROW($AE$2))/ROWS($AE$2:$AN$40))+1)</f>
        <v>#REF!</v>
      </c>
      <c r="AA497" t="e">
        <f t="shared" ca="1" si="23"/>
        <v>#N/A</v>
      </c>
      <c r="AB497" t="str" cm="1">
        <f t="array" aca="1" ref="AB497" ca="1">IFERROR(INDIRECT("$Z"&amp;AA497),"")</f>
        <v/>
      </c>
    </row>
    <row r="498" spans="5:28" x14ac:dyDescent="0.2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21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22"/>
        <v>#N/A</v>
      </c>
      <c r="W498" t="str" cm="1">
        <f t="array" aca="1" ref="W498" ca="1">IFERROR(INDIRECT("$U"&amp;V498),"")</f>
        <v/>
      </c>
      <c r="Z498" t="e" cm="1">
        <f t="array" ref="Z498">INDEX($AE$2:$AN$40,MOD(ROW()-ROW($AE$2),ROWS($AE$2:$AN$40))+1,INT((ROW()-ROW($AE$2))/ROWS($AE$2:$AN$40))+1)</f>
        <v>#REF!</v>
      </c>
      <c r="AA498" t="e">
        <f t="shared" ca="1" si="23"/>
        <v>#N/A</v>
      </c>
      <c r="AB498" t="str" cm="1">
        <f t="array" aca="1" ref="AB498" ca="1">IFERROR(INDIRECT("$Z"&amp;AA498),"")</f>
        <v/>
      </c>
    </row>
    <row r="499" spans="5:28" x14ac:dyDescent="0.2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21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22"/>
        <v>#N/A</v>
      </c>
      <c r="W499" t="str" cm="1">
        <f t="array" aca="1" ref="W499" ca="1">IFERROR(INDIRECT("$U"&amp;V499),"")</f>
        <v/>
      </c>
      <c r="Z499" t="e" cm="1">
        <f t="array" ref="Z499">INDEX($AE$2:$AN$40,MOD(ROW()-ROW($AE$2),ROWS($AE$2:$AN$40))+1,INT((ROW()-ROW($AE$2))/ROWS($AE$2:$AN$40))+1)</f>
        <v>#REF!</v>
      </c>
      <c r="AA499" t="e">
        <f t="shared" ca="1" si="23"/>
        <v>#N/A</v>
      </c>
      <c r="AB499" t="str" cm="1">
        <f t="array" aca="1" ref="AB499" ca="1">IFERROR(INDIRECT("$Z"&amp;AA499),"")</f>
        <v/>
      </c>
    </row>
    <row r="500" spans="5:28" x14ac:dyDescent="0.2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21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22"/>
        <v>#N/A</v>
      </c>
      <c r="W500" t="str" cm="1">
        <f t="array" aca="1" ref="W500" ca="1">IFERROR(INDIRECT("$U"&amp;V500),"")</f>
        <v/>
      </c>
      <c r="Z500" t="e" cm="1">
        <f t="array" ref="Z500">INDEX($AE$2:$AN$40,MOD(ROW()-ROW($AE$2),ROWS($AE$2:$AN$40))+1,INT((ROW()-ROW($AE$2))/ROWS($AE$2:$AN$40))+1)</f>
        <v>#REF!</v>
      </c>
      <c r="AA500" t="e">
        <f t="shared" ca="1" si="23"/>
        <v>#N/A</v>
      </c>
      <c r="AB500" t="str" cm="1">
        <f t="array" aca="1" ref="AB500" ca="1">IFERROR(INDIRECT("$Z"&amp;AA500),"")</f>
        <v/>
      </c>
    </row>
    <row r="501" spans="5:28" x14ac:dyDescent="0.2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21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22"/>
        <v>#N/A</v>
      </c>
      <c r="W501" t="str" cm="1">
        <f t="array" aca="1" ref="W501" ca="1">IFERROR(INDIRECT("$U"&amp;V501),"")</f>
        <v/>
      </c>
      <c r="Z501" t="e" cm="1">
        <f t="array" ref="Z501">INDEX($AE$2:$AN$40,MOD(ROW()-ROW($AE$2),ROWS($AE$2:$AN$40))+1,INT((ROW()-ROW($AE$2))/ROWS($AE$2:$AN$40))+1)</f>
        <v>#REF!</v>
      </c>
      <c r="AA501" t="e">
        <f t="shared" ca="1" si="23"/>
        <v>#N/A</v>
      </c>
      <c r="AB501" t="str" cm="1">
        <f t="array" aca="1" ref="AB501" ca="1">IFERROR(INDIRECT("$Z"&amp;AA501),"")</f>
        <v/>
      </c>
    </row>
    <row r="502" spans="5:28" x14ac:dyDescent="0.2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21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22"/>
        <v>#N/A</v>
      </c>
      <c r="W502" t="str" cm="1">
        <f t="array" aca="1" ref="W502" ca="1">IFERROR(INDIRECT("$U"&amp;V502),"")</f>
        <v/>
      </c>
      <c r="Z502" t="e" cm="1">
        <f t="array" ref="Z502">INDEX($AE$2:$AN$40,MOD(ROW()-ROW($AE$2),ROWS($AE$2:$AN$40))+1,INT((ROW()-ROW($AE$2))/ROWS($AE$2:$AN$40))+1)</f>
        <v>#REF!</v>
      </c>
      <c r="AA502" t="e">
        <f t="shared" ca="1" si="23"/>
        <v>#N/A</v>
      </c>
      <c r="AB502" t="str" cm="1">
        <f t="array" aca="1" ref="AB502" ca="1">IFERROR(INDIRECT("$Z"&amp;AA502),"")</f>
        <v/>
      </c>
    </row>
    <row r="503" spans="5:28" x14ac:dyDescent="0.2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21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22"/>
        <v>#N/A</v>
      </c>
      <c r="W503" t="str" cm="1">
        <f t="array" aca="1" ref="W503" ca="1">IFERROR(INDIRECT("$U"&amp;V503),"")</f>
        <v/>
      </c>
      <c r="Z503" t="e" cm="1">
        <f t="array" ref="Z503">INDEX($AE$2:$AN$40,MOD(ROW()-ROW($AE$2),ROWS($AE$2:$AN$40))+1,INT((ROW()-ROW($AE$2))/ROWS($AE$2:$AN$40))+1)</f>
        <v>#REF!</v>
      </c>
      <c r="AA503" t="e">
        <f t="shared" ca="1" si="23"/>
        <v>#N/A</v>
      </c>
      <c r="AB503" t="str" cm="1">
        <f t="array" aca="1" ref="AB503" ca="1">IFERROR(INDIRECT("$Z"&amp;AA503),"")</f>
        <v/>
      </c>
    </row>
    <row r="504" spans="5:28" x14ac:dyDescent="0.2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21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22"/>
        <v>#N/A</v>
      </c>
      <c r="W504" t="str" cm="1">
        <f t="array" aca="1" ref="W504" ca="1">IFERROR(INDIRECT("$U"&amp;V504),"")</f>
        <v/>
      </c>
      <c r="Z504" t="e" cm="1">
        <f t="array" ref="Z504">INDEX($AE$2:$AN$40,MOD(ROW()-ROW($AE$2),ROWS($AE$2:$AN$40))+1,INT((ROW()-ROW($AE$2))/ROWS($AE$2:$AN$40))+1)</f>
        <v>#REF!</v>
      </c>
      <c r="AA504" t="e">
        <f t="shared" ca="1" si="23"/>
        <v>#N/A</v>
      </c>
      <c r="AB504" t="str" cm="1">
        <f t="array" aca="1" ref="AB504" ca="1">IFERROR(INDIRECT("$Z"&amp;AA504),"")</f>
        <v/>
      </c>
    </row>
    <row r="505" spans="5:28" x14ac:dyDescent="0.2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21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22"/>
        <v>#N/A</v>
      </c>
      <c r="W505" t="str" cm="1">
        <f t="array" aca="1" ref="W505" ca="1">IFERROR(INDIRECT("$U"&amp;V505),"")</f>
        <v/>
      </c>
      <c r="Z505" t="e" cm="1">
        <f t="array" ref="Z505">INDEX($AE$2:$AN$40,MOD(ROW()-ROW($AE$2),ROWS($AE$2:$AN$40))+1,INT((ROW()-ROW($AE$2))/ROWS($AE$2:$AN$40))+1)</f>
        <v>#REF!</v>
      </c>
      <c r="AA505" t="e">
        <f t="shared" ca="1" si="23"/>
        <v>#N/A</v>
      </c>
      <c r="AB505" t="str" cm="1">
        <f t="array" aca="1" ref="AB505" ca="1">IFERROR(INDIRECT("$Z"&amp;AA505),"")</f>
        <v/>
      </c>
    </row>
    <row r="506" spans="5:28" x14ac:dyDescent="0.2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21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22"/>
        <v>#N/A</v>
      </c>
      <c r="W506" t="str" cm="1">
        <f t="array" aca="1" ref="W506" ca="1">IFERROR(INDIRECT("$U"&amp;V506),"")</f>
        <v/>
      </c>
      <c r="Z506" t="e" cm="1">
        <f t="array" ref="Z506">INDEX($AE$2:$AN$40,MOD(ROW()-ROW($AE$2),ROWS($AE$2:$AN$40))+1,INT((ROW()-ROW($AE$2))/ROWS($AE$2:$AN$40))+1)</f>
        <v>#REF!</v>
      </c>
      <c r="AA506" t="e">
        <f t="shared" ca="1" si="23"/>
        <v>#N/A</v>
      </c>
      <c r="AB506" t="str" cm="1">
        <f t="array" aca="1" ref="AB506" ca="1">IFERROR(INDIRECT("$Z"&amp;AA506),"")</f>
        <v/>
      </c>
    </row>
    <row r="507" spans="5:28" x14ac:dyDescent="0.2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21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22"/>
        <v>#N/A</v>
      </c>
      <c r="W507" t="str" cm="1">
        <f t="array" aca="1" ref="W507" ca="1">IFERROR(INDIRECT("$U"&amp;V507),"")</f>
        <v/>
      </c>
      <c r="Z507" t="e" cm="1">
        <f t="array" ref="Z507">INDEX($AE$2:$AN$40,MOD(ROW()-ROW($AE$2),ROWS($AE$2:$AN$40))+1,INT((ROW()-ROW($AE$2))/ROWS($AE$2:$AN$40))+1)</f>
        <v>#REF!</v>
      </c>
      <c r="AA507" t="e">
        <f t="shared" ca="1" si="23"/>
        <v>#N/A</v>
      </c>
      <c r="AB507" t="str" cm="1">
        <f t="array" aca="1" ref="AB507" ca="1">IFERROR(INDIRECT("$Z"&amp;AA507),"")</f>
        <v/>
      </c>
    </row>
    <row r="508" spans="5:28" x14ac:dyDescent="0.2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21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22"/>
        <v>#N/A</v>
      </c>
      <c r="W508" t="str" cm="1">
        <f t="array" aca="1" ref="W508" ca="1">IFERROR(INDIRECT("$U"&amp;V508),"")</f>
        <v/>
      </c>
      <c r="Z508" t="e" cm="1">
        <f t="array" ref="Z508">INDEX($AE$2:$AN$40,MOD(ROW()-ROW($AE$2),ROWS($AE$2:$AN$40))+1,INT((ROW()-ROW($AE$2))/ROWS($AE$2:$AN$40))+1)</f>
        <v>#REF!</v>
      </c>
      <c r="AA508" t="e">
        <f t="shared" ca="1" si="23"/>
        <v>#N/A</v>
      </c>
      <c r="AB508" t="str" cm="1">
        <f t="array" aca="1" ref="AB508" ca="1">IFERROR(INDIRECT("$Z"&amp;AA508),"")</f>
        <v/>
      </c>
    </row>
    <row r="509" spans="5:28" x14ac:dyDescent="0.2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21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22"/>
        <v>#N/A</v>
      </c>
      <c r="W509" t="str" cm="1">
        <f t="array" aca="1" ref="W509" ca="1">IFERROR(INDIRECT("$U"&amp;V509),"")</f>
        <v/>
      </c>
      <c r="Z509" t="e" cm="1">
        <f t="array" ref="Z509">INDEX($AE$2:$AN$40,MOD(ROW()-ROW($AE$2),ROWS($AE$2:$AN$40))+1,INT((ROW()-ROW($AE$2))/ROWS($AE$2:$AN$40))+1)</f>
        <v>#REF!</v>
      </c>
      <c r="AA509" t="e">
        <f t="shared" ca="1" si="23"/>
        <v>#N/A</v>
      </c>
      <c r="AB509" t="str" cm="1">
        <f t="array" aca="1" ref="AB509" ca="1">IFERROR(INDIRECT("$Z"&amp;AA509),"")</f>
        <v/>
      </c>
    </row>
    <row r="510" spans="5:28" x14ac:dyDescent="0.2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21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22"/>
        <v>#N/A</v>
      </c>
      <c r="W510" t="str" cm="1">
        <f t="array" aca="1" ref="W510" ca="1">IFERROR(INDIRECT("$U"&amp;V510),"")</f>
        <v/>
      </c>
      <c r="Z510" t="e" cm="1">
        <f t="array" ref="Z510">INDEX($AE$2:$AN$40,MOD(ROW()-ROW($AE$2),ROWS($AE$2:$AN$40))+1,INT((ROW()-ROW($AE$2))/ROWS($AE$2:$AN$40))+1)</f>
        <v>#REF!</v>
      </c>
      <c r="AA510" t="e">
        <f t="shared" ca="1" si="23"/>
        <v>#N/A</v>
      </c>
      <c r="AB510" t="str" cm="1">
        <f t="array" aca="1" ref="AB510" ca="1">IFERROR(INDIRECT("$Z"&amp;AA510),"")</f>
        <v/>
      </c>
    </row>
    <row r="511" spans="5:28" x14ac:dyDescent="0.2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21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22"/>
        <v>#N/A</v>
      </c>
      <c r="W511" t="str" cm="1">
        <f t="array" aca="1" ref="W511" ca="1">IFERROR(INDIRECT("$U"&amp;V511),"")</f>
        <v/>
      </c>
      <c r="Z511" t="e" cm="1">
        <f t="array" ref="Z511">INDEX($AE$2:$AN$40,MOD(ROW()-ROW($AE$2),ROWS($AE$2:$AN$40))+1,INT((ROW()-ROW($AE$2))/ROWS($AE$2:$AN$40))+1)</f>
        <v>#REF!</v>
      </c>
      <c r="AA511" t="e">
        <f t="shared" ca="1" si="23"/>
        <v>#N/A</v>
      </c>
      <c r="AB511" t="str" cm="1">
        <f t="array" aca="1" ref="AB511" ca="1">IFERROR(INDIRECT("$Z"&amp;AA511),"")</f>
        <v/>
      </c>
    </row>
    <row r="512" spans="5:28" x14ac:dyDescent="0.2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21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22"/>
        <v>#N/A</v>
      </c>
      <c r="W512" t="str" cm="1">
        <f t="array" aca="1" ref="W512" ca="1">IFERROR(INDIRECT("$U"&amp;V512),"")</f>
        <v/>
      </c>
      <c r="Z512" t="e" cm="1">
        <f t="array" ref="Z512">INDEX($AE$2:$AN$40,MOD(ROW()-ROW($AE$2),ROWS($AE$2:$AN$40))+1,INT((ROW()-ROW($AE$2))/ROWS($AE$2:$AN$40))+1)</f>
        <v>#REF!</v>
      </c>
      <c r="AA512" t="e">
        <f t="shared" ca="1" si="23"/>
        <v>#N/A</v>
      </c>
      <c r="AB512" t="str" cm="1">
        <f t="array" aca="1" ref="AB512" ca="1">IFERROR(INDIRECT("$Z"&amp;AA512),"")</f>
        <v/>
      </c>
    </row>
    <row r="513" spans="5:28" x14ac:dyDescent="0.2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21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22"/>
        <v>#N/A</v>
      </c>
      <c r="W513" t="str" cm="1">
        <f t="array" aca="1" ref="W513" ca="1">IFERROR(INDIRECT("$U"&amp;V513),"")</f>
        <v/>
      </c>
      <c r="Z513" t="e" cm="1">
        <f t="array" ref="Z513">INDEX($AE$2:$AN$40,MOD(ROW()-ROW($AE$2),ROWS($AE$2:$AN$40))+1,INT((ROW()-ROW($AE$2))/ROWS($AE$2:$AN$40))+1)</f>
        <v>#REF!</v>
      </c>
      <c r="AA513" t="e">
        <f t="shared" ca="1" si="23"/>
        <v>#N/A</v>
      </c>
      <c r="AB513" t="str" cm="1">
        <f t="array" aca="1" ref="AB513" ca="1">IFERROR(INDIRECT("$Z"&amp;AA513),"")</f>
        <v/>
      </c>
    </row>
    <row r="514" spans="5:28" x14ac:dyDescent="0.2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21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22"/>
        <v>#N/A</v>
      </c>
      <c r="W514" t="str" cm="1">
        <f t="array" aca="1" ref="W514" ca="1">IFERROR(INDIRECT("$U"&amp;V514),"")</f>
        <v/>
      </c>
      <c r="Z514" t="e" cm="1">
        <f t="array" ref="Z514">INDEX($AE$2:$AN$40,MOD(ROW()-ROW($AE$2),ROWS($AE$2:$AN$40))+1,INT((ROW()-ROW($AE$2))/ROWS($AE$2:$AN$40))+1)</f>
        <v>#REF!</v>
      </c>
      <c r="AA514" t="e">
        <f t="shared" ca="1" si="23"/>
        <v>#N/A</v>
      </c>
      <c r="AB514" t="str" cm="1">
        <f t="array" aca="1" ref="AB514" ca="1">IFERROR(INDIRECT("$Z"&amp;AA514),"")</f>
        <v/>
      </c>
    </row>
    <row r="515" spans="5:28" x14ac:dyDescent="0.2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21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22"/>
        <v>#N/A</v>
      </c>
      <c r="W515" t="str" cm="1">
        <f t="array" aca="1" ref="W515" ca="1">IFERROR(INDIRECT("$U"&amp;V515),"")</f>
        <v/>
      </c>
      <c r="Z515" t="e" cm="1">
        <f t="array" ref="Z515">INDEX($AE$2:$AN$40,MOD(ROW()-ROW($AE$2),ROWS($AE$2:$AN$40))+1,INT((ROW()-ROW($AE$2))/ROWS($AE$2:$AN$40))+1)</f>
        <v>#REF!</v>
      </c>
      <c r="AA515" t="e">
        <f t="shared" ca="1" si="23"/>
        <v>#N/A</v>
      </c>
      <c r="AB515" t="str" cm="1">
        <f t="array" aca="1" ref="AB515" ca="1">IFERROR(INDIRECT("$Z"&amp;AA515),"")</f>
        <v/>
      </c>
    </row>
    <row r="516" spans="5:28" x14ac:dyDescent="0.2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24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25">MATCH("*",INDIRECT(ADDRESS(V515+1,21,1)&amp;":$U$1000"),0)+V515</f>
        <v>#N/A</v>
      </c>
      <c r="W516" t="str" cm="1">
        <f t="array" aca="1" ref="W516" ca="1">IFERROR(INDIRECT("$U"&amp;V516),"")</f>
        <v/>
      </c>
      <c r="Z516" t="e" cm="1">
        <f t="array" ref="Z516">INDEX($AE$2:$AN$40,MOD(ROW()-ROW($AE$2),ROWS($AE$2:$AN$40))+1,INT((ROW()-ROW($AE$2))/ROWS($AE$2:$AN$40))+1)</f>
        <v>#REF!</v>
      </c>
      <c r="AA516" t="e">
        <f t="shared" ref="AA516:AA579" ca="1" si="26">MATCH("*",INDIRECT(ADDRESS(AA515+1,26,1)&amp;":$Z$1000"),0)+AA515</f>
        <v>#N/A</v>
      </c>
      <c r="AB516" t="str" cm="1">
        <f t="array" aca="1" ref="AB516" ca="1">IFERROR(INDIRECT("$Z"&amp;AA516),"")</f>
        <v/>
      </c>
    </row>
    <row r="517" spans="5:28" x14ac:dyDescent="0.2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24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25"/>
        <v>#N/A</v>
      </c>
      <c r="W517" t="str" cm="1">
        <f t="array" aca="1" ref="W517" ca="1">IFERROR(INDIRECT("$U"&amp;V517),"")</f>
        <v/>
      </c>
      <c r="Z517" t="e" cm="1">
        <f t="array" ref="Z517">INDEX($AE$2:$AN$40,MOD(ROW()-ROW($AE$2),ROWS($AE$2:$AN$40))+1,INT((ROW()-ROW($AE$2))/ROWS($AE$2:$AN$40))+1)</f>
        <v>#REF!</v>
      </c>
      <c r="AA517" t="e">
        <f t="shared" ca="1" si="26"/>
        <v>#N/A</v>
      </c>
      <c r="AB517" t="str" cm="1">
        <f t="array" aca="1" ref="AB517" ca="1">IFERROR(INDIRECT("$Z"&amp;AA517),"")</f>
        <v/>
      </c>
    </row>
    <row r="518" spans="5:28" x14ac:dyDescent="0.2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24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25"/>
        <v>#N/A</v>
      </c>
      <c r="W518" t="str" cm="1">
        <f t="array" aca="1" ref="W518" ca="1">IFERROR(INDIRECT("$U"&amp;V518),"")</f>
        <v/>
      </c>
      <c r="Z518" t="e" cm="1">
        <f t="array" ref="Z518">INDEX($AE$2:$AN$40,MOD(ROW()-ROW($AE$2),ROWS($AE$2:$AN$40))+1,INT((ROW()-ROW($AE$2))/ROWS($AE$2:$AN$40))+1)</f>
        <v>#REF!</v>
      </c>
      <c r="AA518" t="e">
        <f t="shared" ca="1" si="26"/>
        <v>#N/A</v>
      </c>
      <c r="AB518" t="str" cm="1">
        <f t="array" aca="1" ref="AB518" ca="1">IFERROR(INDIRECT("$Z"&amp;AA518),"")</f>
        <v/>
      </c>
    </row>
    <row r="519" spans="5:28" x14ac:dyDescent="0.2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24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25"/>
        <v>#N/A</v>
      </c>
      <c r="W519" t="str" cm="1">
        <f t="array" aca="1" ref="W519" ca="1">IFERROR(INDIRECT("$U"&amp;V519),"")</f>
        <v/>
      </c>
      <c r="Z519" t="e" cm="1">
        <f t="array" ref="Z519">INDEX($AE$2:$AN$40,MOD(ROW()-ROW($AE$2),ROWS($AE$2:$AN$40))+1,INT((ROW()-ROW($AE$2))/ROWS($AE$2:$AN$40))+1)</f>
        <v>#REF!</v>
      </c>
      <c r="AA519" t="e">
        <f t="shared" ca="1" si="26"/>
        <v>#N/A</v>
      </c>
      <c r="AB519" t="str" cm="1">
        <f t="array" aca="1" ref="AB519" ca="1">IFERROR(INDIRECT("$Z"&amp;AA519),"")</f>
        <v/>
      </c>
    </row>
    <row r="520" spans="5:28" x14ac:dyDescent="0.2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24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25"/>
        <v>#N/A</v>
      </c>
      <c r="W520" t="str" cm="1">
        <f t="array" aca="1" ref="W520" ca="1">IFERROR(INDIRECT("$U"&amp;V520),"")</f>
        <v/>
      </c>
      <c r="Z520" t="e" cm="1">
        <f t="array" ref="Z520">INDEX($AE$2:$AN$40,MOD(ROW()-ROW($AE$2),ROWS($AE$2:$AN$40))+1,INT((ROW()-ROW($AE$2))/ROWS($AE$2:$AN$40))+1)</f>
        <v>#REF!</v>
      </c>
      <c r="AA520" t="e">
        <f t="shared" ca="1" si="26"/>
        <v>#N/A</v>
      </c>
      <c r="AB520" t="str" cm="1">
        <f t="array" aca="1" ref="AB520" ca="1">IFERROR(INDIRECT("$Z"&amp;AA520),"")</f>
        <v/>
      </c>
    </row>
    <row r="521" spans="5:28" x14ac:dyDescent="0.2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24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25"/>
        <v>#N/A</v>
      </c>
      <c r="W521" t="str" cm="1">
        <f t="array" aca="1" ref="W521" ca="1">IFERROR(INDIRECT("$U"&amp;V521),"")</f>
        <v/>
      </c>
      <c r="Z521" t="e" cm="1">
        <f t="array" ref="Z521">INDEX($AE$2:$AN$40,MOD(ROW()-ROW($AE$2),ROWS($AE$2:$AN$40))+1,INT((ROW()-ROW($AE$2))/ROWS($AE$2:$AN$40))+1)</f>
        <v>#REF!</v>
      </c>
      <c r="AA521" t="e">
        <f t="shared" ca="1" si="26"/>
        <v>#N/A</v>
      </c>
      <c r="AB521" t="str" cm="1">
        <f t="array" aca="1" ref="AB521" ca="1">IFERROR(INDIRECT("$Z"&amp;AA521),"")</f>
        <v/>
      </c>
    </row>
    <row r="522" spans="5:28" x14ac:dyDescent="0.2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24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25"/>
        <v>#N/A</v>
      </c>
      <c r="W522" t="str" cm="1">
        <f t="array" aca="1" ref="W522" ca="1">IFERROR(INDIRECT("$U"&amp;V522),"")</f>
        <v/>
      </c>
      <c r="Z522" t="e" cm="1">
        <f t="array" ref="Z522">INDEX($AE$2:$AN$40,MOD(ROW()-ROW($AE$2),ROWS($AE$2:$AN$40))+1,INT((ROW()-ROW($AE$2))/ROWS($AE$2:$AN$40))+1)</f>
        <v>#REF!</v>
      </c>
      <c r="AA522" t="e">
        <f t="shared" ca="1" si="26"/>
        <v>#N/A</v>
      </c>
      <c r="AB522" t="str" cm="1">
        <f t="array" aca="1" ref="AB522" ca="1">IFERROR(INDIRECT("$Z"&amp;AA522),"")</f>
        <v/>
      </c>
    </row>
    <row r="523" spans="5:28" x14ac:dyDescent="0.2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24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25"/>
        <v>#N/A</v>
      </c>
      <c r="W523" t="str" cm="1">
        <f t="array" aca="1" ref="W523" ca="1">IFERROR(INDIRECT("$U"&amp;V523),"")</f>
        <v/>
      </c>
      <c r="Z523" t="e" cm="1">
        <f t="array" ref="Z523">INDEX($AE$2:$AN$40,MOD(ROW()-ROW($AE$2),ROWS($AE$2:$AN$40))+1,INT((ROW()-ROW($AE$2))/ROWS($AE$2:$AN$40))+1)</f>
        <v>#REF!</v>
      </c>
      <c r="AA523" t="e">
        <f t="shared" ca="1" si="26"/>
        <v>#N/A</v>
      </c>
      <c r="AB523" t="str" cm="1">
        <f t="array" aca="1" ref="AB523" ca="1">IFERROR(INDIRECT("$Z"&amp;AA523),"")</f>
        <v/>
      </c>
    </row>
    <row r="524" spans="5:28" x14ac:dyDescent="0.2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24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25"/>
        <v>#N/A</v>
      </c>
      <c r="W524" t="str" cm="1">
        <f t="array" aca="1" ref="W524" ca="1">IFERROR(INDIRECT("$U"&amp;V524),"")</f>
        <v/>
      </c>
      <c r="Z524" t="e" cm="1">
        <f t="array" ref="Z524">INDEX($AE$2:$AN$40,MOD(ROW()-ROW($AE$2),ROWS($AE$2:$AN$40))+1,INT((ROW()-ROW($AE$2))/ROWS($AE$2:$AN$40))+1)</f>
        <v>#REF!</v>
      </c>
      <c r="AA524" t="e">
        <f t="shared" ca="1" si="26"/>
        <v>#N/A</v>
      </c>
      <c r="AB524" t="str" cm="1">
        <f t="array" aca="1" ref="AB524" ca="1">IFERROR(INDIRECT("$Z"&amp;AA524),"")</f>
        <v/>
      </c>
    </row>
    <row r="525" spans="5:28" x14ac:dyDescent="0.2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24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25"/>
        <v>#N/A</v>
      </c>
      <c r="W525" t="str" cm="1">
        <f t="array" aca="1" ref="W525" ca="1">IFERROR(INDIRECT("$U"&amp;V525),"")</f>
        <v/>
      </c>
      <c r="Z525" t="e" cm="1">
        <f t="array" ref="Z525">INDEX($AE$2:$AN$40,MOD(ROW()-ROW($AE$2),ROWS($AE$2:$AN$40))+1,INT((ROW()-ROW($AE$2))/ROWS($AE$2:$AN$40))+1)</f>
        <v>#REF!</v>
      </c>
      <c r="AA525" t="e">
        <f t="shared" ca="1" si="26"/>
        <v>#N/A</v>
      </c>
      <c r="AB525" t="str" cm="1">
        <f t="array" aca="1" ref="AB525" ca="1">IFERROR(INDIRECT("$Z"&amp;AA525),"")</f>
        <v/>
      </c>
    </row>
    <row r="526" spans="5:28" x14ac:dyDescent="0.2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24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25"/>
        <v>#N/A</v>
      </c>
      <c r="W526" t="str" cm="1">
        <f t="array" aca="1" ref="W526" ca="1">IFERROR(INDIRECT("$U"&amp;V526),"")</f>
        <v/>
      </c>
      <c r="Z526" t="e" cm="1">
        <f t="array" ref="Z526">INDEX($AE$2:$AN$40,MOD(ROW()-ROW($AE$2),ROWS($AE$2:$AN$40))+1,INT((ROW()-ROW($AE$2))/ROWS($AE$2:$AN$40))+1)</f>
        <v>#REF!</v>
      </c>
      <c r="AA526" t="e">
        <f t="shared" ca="1" si="26"/>
        <v>#N/A</v>
      </c>
      <c r="AB526" t="str" cm="1">
        <f t="array" aca="1" ref="AB526" ca="1">IFERROR(INDIRECT("$Z"&amp;AA526),"")</f>
        <v/>
      </c>
    </row>
    <row r="527" spans="5:28" x14ac:dyDescent="0.2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24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25"/>
        <v>#N/A</v>
      </c>
      <c r="W527" t="str" cm="1">
        <f t="array" aca="1" ref="W527" ca="1">IFERROR(INDIRECT("$U"&amp;V527),"")</f>
        <v/>
      </c>
      <c r="Z527" t="e" cm="1">
        <f t="array" ref="Z527">INDEX($AE$2:$AN$40,MOD(ROW()-ROW($AE$2),ROWS($AE$2:$AN$40))+1,INT((ROW()-ROW($AE$2))/ROWS($AE$2:$AN$40))+1)</f>
        <v>#REF!</v>
      </c>
      <c r="AA527" t="e">
        <f t="shared" ca="1" si="26"/>
        <v>#N/A</v>
      </c>
      <c r="AB527" t="str" cm="1">
        <f t="array" aca="1" ref="AB527" ca="1">IFERROR(INDIRECT("$Z"&amp;AA527),"")</f>
        <v/>
      </c>
    </row>
    <row r="528" spans="5:28" x14ac:dyDescent="0.2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24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25"/>
        <v>#N/A</v>
      </c>
      <c r="W528" t="str" cm="1">
        <f t="array" aca="1" ref="W528" ca="1">IFERROR(INDIRECT("$U"&amp;V528),"")</f>
        <v/>
      </c>
      <c r="Z528" t="e" cm="1">
        <f t="array" ref="Z528">INDEX($AE$2:$AN$40,MOD(ROW()-ROW($AE$2),ROWS($AE$2:$AN$40))+1,INT((ROW()-ROW($AE$2))/ROWS($AE$2:$AN$40))+1)</f>
        <v>#REF!</v>
      </c>
      <c r="AA528" t="e">
        <f t="shared" ca="1" si="26"/>
        <v>#N/A</v>
      </c>
      <c r="AB528" t="str" cm="1">
        <f t="array" aca="1" ref="AB528" ca="1">IFERROR(INDIRECT("$Z"&amp;AA528),"")</f>
        <v/>
      </c>
    </row>
    <row r="529" spans="5:28" x14ac:dyDescent="0.2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24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25"/>
        <v>#N/A</v>
      </c>
      <c r="W529" t="str" cm="1">
        <f t="array" aca="1" ref="W529" ca="1">IFERROR(INDIRECT("$U"&amp;V529),"")</f>
        <v/>
      </c>
      <c r="Z529" t="e" cm="1">
        <f t="array" ref="Z529">INDEX($AE$2:$AN$40,MOD(ROW()-ROW($AE$2),ROWS($AE$2:$AN$40))+1,INT((ROW()-ROW($AE$2))/ROWS($AE$2:$AN$40))+1)</f>
        <v>#REF!</v>
      </c>
      <c r="AA529" t="e">
        <f t="shared" ca="1" si="26"/>
        <v>#N/A</v>
      </c>
      <c r="AB529" t="str" cm="1">
        <f t="array" aca="1" ref="AB529" ca="1">IFERROR(INDIRECT("$Z"&amp;AA529),"")</f>
        <v/>
      </c>
    </row>
    <row r="530" spans="5:28" x14ac:dyDescent="0.2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24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25"/>
        <v>#N/A</v>
      </c>
      <c r="W530" t="str" cm="1">
        <f t="array" aca="1" ref="W530" ca="1">IFERROR(INDIRECT("$U"&amp;V530),"")</f>
        <v/>
      </c>
      <c r="Z530" t="e" cm="1">
        <f t="array" ref="Z530">INDEX($AE$2:$AN$40,MOD(ROW()-ROW($AE$2),ROWS($AE$2:$AN$40))+1,INT((ROW()-ROW($AE$2))/ROWS($AE$2:$AN$40))+1)</f>
        <v>#REF!</v>
      </c>
      <c r="AA530" t="e">
        <f t="shared" ca="1" si="26"/>
        <v>#N/A</v>
      </c>
      <c r="AB530" t="str" cm="1">
        <f t="array" aca="1" ref="AB530" ca="1">IFERROR(INDIRECT("$Z"&amp;AA530),"")</f>
        <v/>
      </c>
    </row>
    <row r="531" spans="5:28" x14ac:dyDescent="0.2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24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25"/>
        <v>#N/A</v>
      </c>
      <c r="W531" t="str" cm="1">
        <f t="array" aca="1" ref="W531" ca="1">IFERROR(INDIRECT("$U"&amp;V531),"")</f>
        <v/>
      </c>
      <c r="Z531" t="e" cm="1">
        <f t="array" ref="Z531">INDEX($AE$2:$AN$40,MOD(ROW()-ROW($AE$2),ROWS($AE$2:$AN$40))+1,INT((ROW()-ROW($AE$2))/ROWS($AE$2:$AN$40))+1)</f>
        <v>#REF!</v>
      </c>
      <c r="AA531" t="e">
        <f t="shared" ca="1" si="26"/>
        <v>#N/A</v>
      </c>
      <c r="AB531" t="str" cm="1">
        <f t="array" aca="1" ref="AB531" ca="1">IFERROR(INDIRECT("$Z"&amp;AA531),"")</f>
        <v/>
      </c>
    </row>
    <row r="532" spans="5:28" x14ac:dyDescent="0.2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24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25"/>
        <v>#N/A</v>
      </c>
      <c r="W532" t="str" cm="1">
        <f t="array" aca="1" ref="W532" ca="1">IFERROR(INDIRECT("$U"&amp;V532),"")</f>
        <v/>
      </c>
      <c r="Z532" t="e" cm="1">
        <f t="array" ref="Z532">INDEX($AE$2:$AN$40,MOD(ROW()-ROW($AE$2),ROWS($AE$2:$AN$40))+1,INT((ROW()-ROW($AE$2))/ROWS($AE$2:$AN$40))+1)</f>
        <v>#REF!</v>
      </c>
      <c r="AA532" t="e">
        <f t="shared" ca="1" si="26"/>
        <v>#N/A</v>
      </c>
      <c r="AB532" t="str" cm="1">
        <f t="array" aca="1" ref="AB532" ca="1">IFERROR(INDIRECT("$Z"&amp;AA532),"")</f>
        <v/>
      </c>
    </row>
    <row r="533" spans="5:28" x14ac:dyDescent="0.2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24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25"/>
        <v>#N/A</v>
      </c>
      <c r="W533" t="str" cm="1">
        <f t="array" aca="1" ref="W533" ca="1">IFERROR(INDIRECT("$U"&amp;V533),"")</f>
        <v/>
      </c>
      <c r="Z533" t="e" cm="1">
        <f t="array" ref="Z533">INDEX($AE$2:$AN$40,MOD(ROW()-ROW($AE$2),ROWS($AE$2:$AN$40))+1,INT((ROW()-ROW($AE$2))/ROWS($AE$2:$AN$40))+1)</f>
        <v>#REF!</v>
      </c>
      <c r="AA533" t="e">
        <f t="shared" ca="1" si="26"/>
        <v>#N/A</v>
      </c>
      <c r="AB533" t="str" cm="1">
        <f t="array" aca="1" ref="AB533" ca="1">IFERROR(INDIRECT("$Z"&amp;AA533),"")</f>
        <v/>
      </c>
    </row>
    <row r="534" spans="5:28" x14ac:dyDescent="0.2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24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25"/>
        <v>#N/A</v>
      </c>
      <c r="W534" t="str" cm="1">
        <f t="array" aca="1" ref="W534" ca="1">IFERROR(INDIRECT("$U"&amp;V534),"")</f>
        <v/>
      </c>
      <c r="Z534" t="e" cm="1">
        <f t="array" ref="Z534">INDEX($AE$2:$AN$40,MOD(ROW()-ROW($AE$2),ROWS($AE$2:$AN$40))+1,INT((ROW()-ROW($AE$2))/ROWS($AE$2:$AN$40))+1)</f>
        <v>#REF!</v>
      </c>
      <c r="AA534" t="e">
        <f t="shared" ca="1" si="26"/>
        <v>#N/A</v>
      </c>
      <c r="AB534" t="str" cm="1">
        <f t="array" aca="1" ref="AB534" ca="1">IFERROR(INDIRECT("$Z"&amp;AA534),"")</f>
        <v/>
      </c>
    </row>
    <row r="535" spans="5:28" x14ac:dyDescent="0.2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24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25"/>
        <v>#N/A</v>
      </c>
      <c r="W535" t="str" cm="1">
        <f t="array" aca="1" ref="W535" ca="1">IFERROR(INDIRECT("$U"&amp;V535),"")</f>
        <v/>
      </c>
      <c r="Z535" t="e" cm="1">
        <f t="array" ref="Z535">INDEX($AE$2:$AN$40,MOD(ROW()-ROW($AE$2),ROWS($AE$2:$AN$40))+1,INT((ROW()-ROW($AE$2))/ROWS($AE$2:$AN$40))+1)</f>
        <v>#REF!</v>
      </c>
      <c r="AA535" t="e">
        <f t="shared" ca="1" si="26"/>
        <v>#N/A</v>
      </c>
      <c r="AB535" t="str" cm="1">
        <f t="array" aca="1" ref="AB535" ca="1">IFERROR(INDIRECT("$Z"&amp;AA535),"")</f>
        <v/>
      </c>
    </row>
    <row r="536" spans="5:28" x14ac:dyDescent="0.2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24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25"/>
        <v>#N/A</v>
      </c>
      <c r="W536" t="str" cm="1">
        <f t="array" aca="1" ref="W536" ca="1">IFERROR(INDIRECT("$U"&amp;V536),"")</f>
        <v/>
      </c>
      <c r="Z536" t="e" cm="1">
        <f t="array" ref="Z536">INDEX($AE$2:$AN$40,MOD(ROW()-ROW($AE$2),ROWS($AE$2:$AN$40))+1,INT((ROW()-ROW($AE$2))/ROWS($AE$2:$AN$40))+1)</f>
        <v>#REF!</v>
      </c>
      <c r="AA536" t="e">
        <f t="shared" ca="1" si="26"/>
        <v>#N/A</v>
      </c>
      <c r="AB536" t="str" cm="1">
        <f t="array" aca="1" ref="AB536" ca="1">IFERROR(INDIRECT("$Z"&amp;AA536),"")</f>
        <v/>
      </c>
    </row>
    <row r="537" spans="5:28" x14ac:dyDescent="0.2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24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25"/>
        <v>#N/A</v>
      </c>
      <c r="W537" t="str" cm="1">
        <f t="array" aca="1" ref="W537" ca="1">IFERROR(INDIRECT("$U"&amp;V537),"")</f>
        <v/>
      </c>
      <c r="Z537" t="e" cm="1">
        <f t="array" ref="Z537">INDEX($AE$2:$AN$40,MOD(ROW()-ROW($AE$2),ROWS($AE$2:$AN$40))+1,INT((ROW()-ROW($AE$2))/ROWS($AE$2:$AN$40))+1)</f>
        <v>#REF!</v>
      </c>
      <c r="AA537" t="e">
        <f t="shared" ca="1" si="26"/>
        <v>#N/A</v>
      </c>
      <c r="AB537" t="str" cm="1">
        <f t="array" aca="1" ref="AB537" ca="1">IFERROR(INDIRECT("$Z"&amp;AA537),"")</f>
        <v/>
      </c>
    </row>
    <row r="538" spans="5:28" x14ac:dyDescent="0.2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24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25"/>
        <v>#N/A</v>
      </c>
      <c r="W538" t="str" cm="1">
        <f t="array" aca="1" ref="W538" ca="1">IFERROR(INDIRECT("$U"&amp;V538),"")</f>
        <v/>
      </c>
      <c r="Z538" t="e" cm="1">
        <f t="array" ref="Z538">INDEX($AE$2:$AN$40,MOD(ROW()-ROW($AE$2),ROWS($AE$2:$AN$40))+1,INT((ROW()-ROW($AE$2))/ROWS($AE$2:$AN$40))+1)</f>
        <v>#REF!</v>
      </c>
      <c r="AA538" t="e">
        <f t="shared" ca="1" si="26"/>
        <v>#N/A</v>
      </c>
      <c r="AB538" t="str" cm="1">
        <f t="array" aca="1" ref="AB538" ca="1">IFERROR(INDIRECT("$Z"&amp;AA538),"")</f>
        <v/>
      </c>
    </row>
    <row r="539" spans="5:28" x14ac:dyDescent="0.2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24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25"/>
        <v>#N/A</v>
      </c>
      <c r="W539" t="str" cm="1">
        <f t="array" aca="1" ref="W539" ca="1">IFERROR(INDIRECT("$U"&amp;V539),"")</f>
        <v/>
      </c>
      <c r="Z539" t="e" cm="1">
        <f t="array" ref="Z539">INDEX($AE$2:$AN$40,MOD(ROW()-ROW($AE$2),ROWS($AE$2:$AN$40))+1,INT((ROW()-ROW($AE$2))/ROWS($AE$2:$AN$40))+1)</f>
        <v>#REF!</v>
      </c>
      <c r="AA539" t="e">
        <f t="shared" ca="1" si="26"/>
        <v>#N/A</v>
      </c>
      <c r="AB539" t="str" cm="1">
        <f t="array" aca="1" ref="AB539" ca="1">IFERROR(INDIRECT("$Z"&amp;AA539),"")</f>
        <v/>
      </c>
    </row>
    <row r="540" spans="5:28" x14ac:dyDescent="0.2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24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25"/>
        <v>#N/A</v>
      </c>
      <c r="W540" t="str" cm="1">
        <f t="array" aca="1" ref="W540" ca="1">IFERROR(INDIRECT("$U"&amp;V540),"")</f>
        <v/>
      </c>
      <c r="Z540" t="e" cm="1">
        <f t="array" ref="Z540">INDEX($AE$2:$AN$40,MOD(ROW()-ROW($AE$2),ROWS($AE$2:$AN$40))+1,INT((ROW()-ROW($AE$2))/ROWS($AE$2:$AN$40))+1)</f>
        <v>#REF!</v>
      </c>
      <c r="AA540" t="e">
        <f t="shared" ca="1" si="26"/>
        <v>#N/A</v>
      </c>
      <c r="AB540" t="str" cm="1">
        <f t="array" aca="1" ref="AB540" ca="1">IFERROR(INDIRECT("$Z"&amp;AA540),"")</f>
        <v/>
      </c>
    </row>
    <row r="541" spans="5:28" x14ac:dyDescent="0.2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24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25"/>
        <v>#N/A</v>
      </c>
      <c r="W541" t="str" cm="1">
        <f t="array" aca="1" ref="W541" ca="1">IFERROR(INDIRECT("$U"&amp;V541),"")</f>
        <v/>
      </c>
      <c r="Z541" t="e" cm="1">
        <f t="array" ref="Z541">INDEX($AE$2:$AN$40,MOD(ROW()-ROW($AE$2),ROWS($AE$2:$AN$40))+1,INT((ROW()-ROW($AE$2))/ROWS($AE$2:$AN$40))+1)</f>
        <v>#REF!</v>
      </c>
      <c r="AA541" t="e">
        <f t="shared" ca="1" si="26"/>
        <v>#N/A</v>
      </c>
      <c r="AB541" t="str" cm="1">
        <f t="array" aca="1" ref="AB541" ca="1">IFERROR(INDIRECT("$Z"&amp;AA541),"")</f>
        <v/>
      </c>
    </row>
    <row r="542" spans="5:28" x14ac:dyDescent="0.2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24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25"/>
        <v>#N/A</v>
      </c>
      <c r="W542" t="str" cm="1">
        <f t="array" aca="1" ref="W542" ca="1">IFERROR(INDIRECT("$U"&amp;V542),"")</f>
        <v/>
      </c>
      <c r="Z542" t="e" cm="1">
        <f t="array" ref="Z542">INDEX($AE$2:$AN$40,MOD(ROW()-ROW($AE$2),ROWS($AE$2:$AN$40))+1,INT((ROW()-ROW($AE$2))/ROWS($AE$2:$AN$40))+1)</f>
        <v>#REF!</v>
      </c>
      <c r="AA542" t="e">
        <f t="shared" ca="1" si="26"/>
        <v>#N/A</v>
      </c>
      <c r="AB542" t="str" cm="1">
        <f t="array" aca="1" ref="AB542" ca="1">IFERROR(INDIRECT("$Z"&amp;AA542),"")</f>
        <v/>
      </c>
    </row>
    <row r="543" spans="5:28" x14ac:dyDescent="0.2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24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25"/>
        <v>#N/A</v>
      </c>
      <c r="W543" t="str" cm="1">
        <f t="array" aca="1" ref="W543" ca="1">IFERROR(INDIRECT("$U"&amp;V543),"")</f>
        <v/>
      </c>
      <c r="Z543" t="e" cm="1">
        <f t="array" ref="Z543">INDEX($AE$2:$AN$40,MOD(ROW()-ROW($AE$2),ROWS($AE$2:$AN$40))+1,INT((ROW()-ROW($AE$2))/ROWS($AE$2:$AN$40))+1)</f>
        <v>#REF!</v>
      </c>
      <c r="AA543" t="e">
        <f t="shared" ca="1" si="26"/>
        <v>#N/A</v>
      </c>
      <c r="AB543" t="str" cm="1">
        <f t="array" aca="1" ref="AB543" ca="1">IFERROR(INDIRECT("$Z"&amp;AA543),"")</f>
        <v/>
      </c>
    </row>
    <row r="544" spans="5:28" x14ac:dyDescent="0.2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24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25"/>
        <v>#N/A</v>
      </c>
      <c r="W544" t="str" cm="1">
        <f t="array" aca="1" ref="W544" ca="1">IFERROR(INDIRECT("$U"&amp;V544),"")</f>
        <v/>
      </c>
      <c r="Z544" t="e" cm="1">
        <f t="array" ref="Z544">INDEX($AE$2:$AN$40,MOD(ROW()-ROW($AE$2),ROWS($AE$2:$AN$40))+1,INT((ROW()-ROW($AE$2))/ROWS($AE$2:$AN$40))+1)</f>
        <v>#REF!</v>
      </c>
      <c r="AA544" t="e">
        <f t="shared" ca="1" si="26"/>
        <v>#N/A</v>
      </c>
      <c r="AB544" t="str" cm="1">
        <f t="array" aca="1" ref="AB544" ca="1">IFERROR(INDIRECT("$Z"&amp;AA544),"")</f>
        <v/>
      </c>
    </row>
    <row r="545" spans="5:28" x14ac:dyDescent="0.2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24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25"/>
        <v>#N/A</v>
      </c>
      <c r="W545" t="str" cm="1">
        <f t="array" aca="1" ref="W545" ca="1">IFERROR(INDIRECT("$U"&amp;V545),"")</f>
        <v/>
      </c>
      <c r="Z545" t="e" cm="1">
        <f t="array" ref="Z545">INDEX($AE$2:$AN$40,MOD(ROW()-ROW($AE$2),ROWS($AE$2:$AN$40))+1,INT((ROW()-ROW($AE$2))/ROWS($AE$2:$AN$40))+1)</f>
        <v>#REF!</v>
      </c>
      <c r="AA545" t="e">
        <f t="shared" ca="1" si="26"/>
        <v>#N/A</v>
      </c>
      <c r="AB545" t="str" cm="1">
        <f t="array" aca="1" ref="AB545" ca="1">IFERROR(INDIRECT("$Z"&amp;AA545),"")</f>
        <v/>
      </c>
    </row>
    <row r="546" spans="5:28" x14ac:dyDescent="0.2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24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25"/>
        <v>#N/A</v>
      </c>
      <c r="W546" t="str" cm="1">
        <f t="array" aca="1" ref="W546" ca="1">IFERROR(INDIRECT("$U"&amp;V546),"")</f>
        <v/>
      </c>
      <c r="Z546" t="e" cm="1">
        <f t="array" ref="Z546">INDEX($AE$2:$AN$40,MOD(ROW()-ROW($AE$2),ROWS($AE$2:$AN$40))+1,INT((ROW()-ROW($AE$2))/ROWS($AE$2:$AN$40))+1)</f>
        <v>#REF!</v>
      </c>
      <c r="AA546" t="e">
        <f t="shared" ca="1" si="26"/>
        <v>#N/A</v>
      </c>
      <c r="AB546" t="str" cm="1">
        <f t="array" aca="1" ref="AB546" ca="1">IFERROR(INDIRECT("$Z"&amp;AA546),"")</f>
        <v/>
      </c>
    </row>
    <row r="547" spans="5:28" x14ac:dyDescent="0.2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24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25"/>
        <v>#N/A</v>
      </c>
      <c r="W547" t="str" cm="1">
        <f t="array" aca="1" ref="W547" ca="1">IFERROR(INDIRECT("$U"&amp;V547),"")</f>
        <v/>
      </c>
      <c r="Z547" t="e" cm="1">
        <f t="array" ref="Z547">INDEX($AE$2:$AN$40,MOD(ROW()-ROW($AE$2),ROWS($AE$2:$AN$40))+1,INT((ROW()-ROW($AE$2))/ROWS($AE$2:$AN$40))+1)</f>
        <v>#REF!</v>
      </c>
      <c r="AA547" t="e">
        <f t="shared" ca="1" si="26"/>
        <v>#N/A</v>
      </c>
      <c r="AB547" t="str" cm="1">
        <f t="array" aca="1" ref="AB547" ca="1">IFERROR(INDIRECT("$Z"&amp;AA547),"")</f>
        <v/>
      </c>
    </row>
    <row r="548" spans="5:28" x14ac:dyDescent="0.2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24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25"/>
        <v>#N/A</v>
      </c>
      <c r="W548" t="str" cm="1">
        <f t="array" aca="1" ref="W548" ca="1">IFERROR(INDIRECT("$U"&amp;V548),"")</f>
        <v/>
      </c>
      <c r="Z548" t="e" cm="1">
        <f t="array" ref="Z548">INDEX($AE$2:$AN$40,MOD(ROW()-ROW($AE$2),ROWS($AE$2:$AN$40))+1,INT((ROW()-ROW($AE$2))/ROWS($AE$2:$AN$40))+1)</f>
        <v>#REF!</v>
      </c>
      <c r="AA548" t="e">
        <f t="shared" ca="1" si="26"/>
        <v>#N/A</v>
      </c>
      <c r="AB548" t="str" cm="1">
        <f t="array" aca="1" ref="AB548" ca="1">IFERROR(INDIRECT("$Z"&amp;AA548),"")</f>
        <v/>
      </c>
    </row>
    <row r="549" spans="5:28" x14ac:dyDescent="0.2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24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25"/>
        <v>#N/A</v>
      </c>
      <c r="W549" t="str" cm="1">
        <f t="array" aca="1" ref="W549" ca="1">IFERROR(INDIRECT("$U"&amp;V549),"")</f>
        <v/>
      </c>
      <c r="Z549" t="e" cm="1">
        <f t="array" ref="Z549">INDEX($AE$2:$AN$40,MOD(ROW()-ROW($AE$2),ROWS($AE$2:$AN$40))+1,INT((ROW()-ROW($AE$2))/ROWS($AE$2:$AN$40))+1)</f>
        <v>#REF!</v>
      </c>
      <c r="AA549" t="e">
        <f t="shared" ca="1" si="26"/>
        <v>#N/A</v>
      </c>
      <c r="AB549" t="str" cm="1">
        <f t="array" aca="1" ref="AB549" ca="1">IFERROR(INDIRECT("$Z"&amp;AA549),"")</f>
        <v/>
      </c>
    </row>
    <row r="550" spans="5:28" x14ac:dyDescent="0.2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24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25"/>
        <v>#N/A</v>
      </c>
      <c r="W550" t="str" cm="1">
        <f t="array" aca="1" ref="W550" ca="1">IFERROR(INDIRECT("$U"&amp;V550),"")</f>
        <v/>
      </c>
      <c r="Z550" t="e" cm="1">
        <f t="array" ref="Z550">INDEX($AE$2:$AN$40,MOD(ROW()-ROW($AE$2),ROWS($AE$2:$AN$40))+1,INT((ROW()-ROW($AE$2))/ROWS($AE$2:$AN$40))+1)</f>
        <v>#REF!</v>
      </c>
      <c r="AA550" t="e">
        <f t="shared" ca="1" si="26"/>
        <v>#N/A</v>
      </c>
      <c r="AB550" t="str" cm="1">
        <f t="array" aca="1" ref="AB550" ca="1">IFERROR(INDIRECT("$Z"&amp;AA550),"")</f>
        <v/>
      </c>
    </row>
    <row r="551" spans="5:28" x14ac:dyDescent="0.2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24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25"/>
        <v>#N/A</v>
      </c>
      <c r="W551" t="str" cm="1">
        <f t="array" aca="1" ref="W551" ca="1">IFERROR(INDIRECT("$U"&amp;V551),"")</f>
        <v/>
      </c>
      <c r="Z551" t="e" cm="1">
        <f t="array" ref="Z551">INDEX($AE$2:$AN$40,MOD(ROW()-ROW($AE$2),ROWS($AE$2:$AN$40))+1,INT((ROW()-ROW($AE$2))/ROWS($AE$2:$AN$40))+1)</f>
        <v>#REF!</v>
      </c>
      <c r="AA551" t="e">
        <f t="shared" ca="1" si="26"/>
        <v>#N/A</v>
      </c>
      <c r="AB551" t="str" cm="1">
        <f t="array" aca="1" ref="AB551" ca="1">IFERROR(INDIRECT("$Z"&amp;AA551),"")</f>
        <v/>
      </c>
    </row>
    <row r="552" spans="5:28" x14ac:dyDescent="0.2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24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25"/>
        <v>#N/A</v>
      </c>
      <c r="W552" t="str" cm="1">
        <f t="array" aca="1" ref="W552" ca="1">IFERROR(INDIRECT("$U"&amp;V552),"")</f>
        <v/>
      </c>
      <c r="Z552" t="e" cm="1">
        <f t="array" ref="Z552">INDEX($AE$2:$AN$40,MOD(ROW()-ROW($AE$2),ROWS($AE$2:$AN$40))+1,INT((ROW()-ROW($AE$2))/ROWS($AE$2:$AN$40))+1)</f>
        <v>#REF!</v>
      </c>
      <c r="AA552" t="e">
        <f t="shared" ca="1" si="26"/>
        <v>#N/A</v>
      </c>
      <c r="AB552" t="str" cm="1">
        <f t="array" aca="1" ref="AB552" ca="1">IFERROR(INDIRECT("$Z"&amp;AA552),"")</f>
        <v/>
      </c>
    </row>
    <row r="553" spans="5:28" x14ac:dyDescent="0.2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24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25"/>
        <v>#N/A</v>
      </c>
      <c r="W553" t="str" cm="1">
        <f t="array" aca="1" ref="W553" ca="1">IFERROR(INDIRECT("$U"&amp;V553),"")</f>
        <v/>
      </c>
      <c r="Z553" t="e" cm="1">
        <f t="array" ref="Z553">INDEX($AE$2:$AN$40,MOD(ROW()-ROW($AE$2),ROWS($AE$2:$AN$40))+1,INT((ROW()-ROW($AE$2))/ROWS($AE$2:$AN$40))+1)</f>
        <v>#REF!</v>
      </c>
      <c r="AA553" t="e">
        <f t="shared" ca="1" si="26"/>
        <v>#N/A</v>
      </c>
      <c r="AB553" t="str" cm="1">
        <f t="array" aca="1" ref="AB553" ca="1">IFERROR(INDIRECT("$Z"&amp;AA553),"")</f>
        <v/>
      </c>
    </row>
    <row r="554" spans="5:28" x14ac:dyDescent="0.2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24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25"/>
        <v>#N/A</v>
      </c>
      <c r="W554" t="str" cm="1">
        <f t="array" aca="1" ref="W554" ca="1">IFERROR(INDIRECT("$U"&amp;V554),"")</f>
        <v/>
      </c>
      <c r="Z554" t="e" cm="1">
        <f t="array" ref="Z554">INDEX($AE$2:$AN$40,MOD(ROW()-ROW($AE$2),ROWS($AE$2:$AN$40))+1,INT((ROW()-ROW($AE$2))/ROWS($AE$2:$AN$40))+1)</f>
        <v>#REF!</v>
      </c>
      <c r="AA554" t="e">
        <f t="shared" ca="1" si="26"/>
        <v>#N/A</v>
      </c>
      <c r="AB554" t="str" cm="1">
        <f t="array" aca="1" ref="AB554" ca="1">IFERROR(INDIRECT("$Z"&amp;AA554),"")</f>
        <v/>
      </c>
    </row>
    <row r="555" spans="5:28" x14ac:dyDescent="0.2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24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25"/>
        <v>#N/A</v>
      </c>
      <c r="W555" t="str" cm="1">
        <f t="array" aca="1" ref="W555" ca="1">IFERROR(INDIRECT("$U"&amp;V555),"")</f>
        <v/>
      </c>
      <c r="Z555" t="e" cm="1">
        <f t="array" ref="Z555">INDEX($AE$2:$AN$40,MOD(ROW()-ROW($AE$2),ROWS($AE$2:$AN$40))+1,INT((ROW()-ROW($AE$2))/ROWS($AE$2:$AN$40))+1)</f>
        <v>#REF!</v>
      </c>
      <c r="AA555" t="e">
        <f t="shared" ca="1" si="26"/>
        <v>#N/A</v>
      </c>
      <c r="AB555" t="str" cm="1">
        <f t="array" aca="1" ref="AB555" ca="1">IFERROR(INDIRECT("$Z"&amp;AA555),"")</f>
        <v/>
      </c>
    </row>
    <row r="556" spans="5:28" x14ac:dyDescent="0.2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24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25"/>
        <v>#N/A</v>
      </c>
      <c r="W556" t="str" cm="1">
        <f t="array" aca="1" ref="W556" ca="1">IFERROR(INDIRECT("$U"&amp;V556),"")</f>
        <v/>
      </c>
      <c r="Z556" t="e" cm="1">
        <f t="array" ref="Z556">INDEX($AE$2:$AN$40,MOD(ROW()-ROW($AE$2),ROWS($AE$2:$AN$40))+1,INT((ROW()-ROW($AE$2))/ROWS($AE$2:$AN$40))+1)</f>
        <v>#REF!</v>
      </c>
      <c r="AA556" t="e">
        <f t="shared" ca="1" si="26"/>
        <v>#N/A</v>
      </c>
      <c r="AB556" t="str" cm="1">
        <f t="array" aca="1" ref="AB556" ca="1">IFERROR(INDIRECT("$Z"&amp;AA556),"")</f>
        <v/>
      </c>
    </row>
    <row r="557" spans="5:28" x14ac:dyDescent="0.2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24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25"/>
        <v>#N/A</v>
      </c>
      <c r="W557" t="str" cm="1">
        <f t="array" aca="1" ref="W557" ca="1">IFERROR(INDIRECT("$U"&amp;V557),"")</f>
        <v/>
      </c>
      <c r="Z557" t="e" cm="1">
        <f t="array" ref="Z557">INDEX($AE$2:$AN$40,MOD(ROW()-ROW($AE$2),ROWS($AE$2:$AN$40))+1,INT((ROW()-ROW($AE$2))/ROWS($AE$2:$AN$40))+1)</f>
        <v>#REF!</v>
      </c>
      <c r="AA557" t="e">
        <f t="shared" ca="1" si="26"/>
        <v>#N/A</v>
      </c>
      <c r="AB557" t="str" cm="1">
        <f t="array" aca="1" ref="AB557" ca="1">IFERROR(INDIRECT("$Z"&amp;AA557),"")</f>
        <v/>
      </c>
    </row>
    <row r="558" spans="5:28" x14ac:dyDescent="0.2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24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25"/>
        <v>#N/A</v>
      </c>
      <c r="W558" t="str" cm="1">
        <f t="array" aca="1" ref="W558" ca="1">IFERROR(INDIRECT("$U"&amp;V558),"")</f>
        <v/>
      </c>
      <c r="Z558" t="e" cm="1">
        <f t="array" ref="Z558">INDEX($AE$2:$AN$40,MOD(ROW()-ROW($AE$2),ROWS($AE$2:$AN$40))+1,INT((ROW()-ROW($AE$2))/ROWS($AE$2:$AN$40))+1)</f>
        <v>#REF!</v>
      </c>
      <c r="AA558" t="e">
        <f t="shared" ca="1" si="26"/>
        <v>#N/A</v>
      </c>
      <c r="AB558" t="str" cm="1">
        <f t="array" aca="1" ref="AB558" ca="1">IFERROR(INDIRECT("$Z"&amp;AA558),"")</f>
        <v/>
      </c>
    </row>
    <row r="559" spans="5:28" x14ac:dyDescent="0.2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24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25"/>
        <v>#N/A</v>
      </c>
      <c r="W559" t="str" cm="1">
        <f t="array" aca="1" ref="W559" ca="1">IFERROR(INDIRECT("$U"&amp;V559),"")</f>
        <v/>
      </c>
      <c r="Z559" t="e" cm="1">
        <f t="array" ref="Z559">INDEX($AE$2:$AN$40,MOD(ROW()-ROW($AE$2),ROWS($AE$2:$AN$40))+1,INT((ROW()-ROW($AE$2))/ROWS($AE$2:$AN$40))+1)</f>
        <v>#REF!</v>
      </c>
      <c r="AA559" t="e">
        <f t="shared" ca="1" si="26"/>
        <v>#N/A</v>
      </c>
      <c r="AB559" t="str" cm="1">
        <f t="array" aca="1" ref="AB559" ca="1">IFERROR(INDIRECT("$Z"&amp;AA559),"")</f>
        <v/>
      </c>
    </row>
    <row r="560" spans="5:28" x14ac:dyDescent="0.2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24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25"/>
        <v>#N/A</v>
      </c>
      <c r="W560" t="str" cm="1">
        <f t="array" aca="1" ref="W560" ca="1">IFERROR(INDIRECT("$U"&amp;V560),"")</f>
        <v/>
      </c>
      <c r="Z560" t="e" cm="1">
        <f t="array" ref="Z560">INDEX($AE$2:$AN$40,MOD(ROW()-ROW($AE$2),ROWS($AE$2:$AN$40))+1,INT((ROW()-ROW($AE$2))/ROWS($AE$2:$AN$40))+1)</f>
        <v>#REF!</v>
      </c>
      <c r="AA560" t="e">
        <f t="shared" ca="1" si="26"/>
        <v>#N/A</v>
      </c>
      <c r="AB560" t="str" cm="1">
        <f t="array" aca="1" ref="AB560" ca="1">IFERROR(INDIRECT("$Z"&amp;AA560),"")</f>
        <v/>
      </c>
    </row>
    <row r="561" spans="5:28" x14ac:dyDescent="0.2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24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25"/>
        <v>#N/A</v>
      </c>
      <c r="W561" t="str" cm="1">
        <f t="array" aca="1" ref="W561" ca="1">IFERROR(INDIRECT("$U"&amp;V561),"")</f>
        <v/>
      </c>
      <c r="Z561" t="e" cm="1">
        <f t="array" ref="Z561">INDEX($AE$2:$AN$40,MOD(ROW()-ROW($AE$2),ROWS($AE$2:$AN$40))+1,INT((ROW()-ROW($AE$2))/ROWS($AE$2:$AN$40))+1)</f>
        <v>#REF!</v>
      </c>
      <c r="AA561" t="e">
        <f t="shared" ca="1" si="26"/>
        <v>#N/A</v>
      </c>
      <c r="AB561" t="str" cm="1">
        <f t="array" aca="1" ref="AB561" ca="1">IFERROR(INDIRECT("$Z"&amp;AA561),"")</f>
        <v/>
      </c>
    </row>
    <row r="562" spans="5:28" x14ac:dyDescent="0.2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24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25"/>
        <v>#N/A</v>
      </c>
      <c r="W562" t="str" cm="1">
        <f t="array" aca="1" ref="W562" ca="1">IFERROR(INDIRECT("$U"&amp;V562),"")</f>
        <v/>
      </c>
      <c r="Z562" t="e" cm="1">
        <f t="array" ref="Z562">INDEX($AE$2:$AN$40,MOD(ROW()-ROW($AE$2),ROWS($AE$2:$AN$40))+1,INT((ROW()-ROW($AE$2))/ROWS($AE$2:$AN$40))+1)</f>
        <v>#REF!</v>
      </c>
      <c r="AA562" t="e">
        <f t="shared" ca="1" si="26"/>
        <v>#N/A</v>
      </c>
      <c r="AB562" t="str" cm="1">
        <f t="array" aca="1" ref="AB562" ca="1">IFERROR(INDIRECT("$Z"&amp;AA562),"")</f>
        <v/>
      </c>
    </row>
    <row r="563" spans="5:28" x14ac:dyDescent="0.2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24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25"/>
        <v>#N/A</v>
      </c>
      <c r="W563" t="str" cm="1">
        <f t="array" aca="1" ref="W563" ca="1">IFERROR(INDIRECT("$U"&amp;V563),"")</f>
        <v/>
      </c>
      <c r="Z563" t="e" cm="1">
        <f t="array" ref="Z563">INDEX($AE$2:$AN$40,MOD(ROW()-ROW($AE$2),ROWS($AE$2:$AN$40))+1,INT((ROW()-ROW($AE$2))/ROWS($AE$2:$AN$40))+1)</f>
        <v>#REF!</v>
      </c>
      <c r="AA563" t="e">
        <f t="shared" ca="1" si="26"/>
        <v>#N/A</v>
      </c>
      <c r="AB563" t="str" cm="1">
        <f t="array" aca="1" ref="AB563" ca="1">IFERROR(INDIRECT("$Z"&amp;AA563),"")</f>
        <v/>
      </c>
    </row>
    <row r="564" spans="5:28" x14ac:dyDescent="0.2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24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25"/>
        <v>#N/A</v>
      </c>
      <c r="W564" t="str" cm="1">
        <f t="array" aca="1" ref="W564" ca="1">IFERROR(INDIRECT("$U"&amp;V564),"")</f>
        <v/>
      </c>
      <c r="Z564" t="e" cm="1">
        <f t="array" ref="Z564">INDEX($AE$2:$AN$40,MOD(ROW()-ROW($AE$2),ROWS($AE$2:$AN$40))+1,INT((ROW()-ROW($AE$2))/ROWS($AE$2:$AN$40))+1)</f>
        <v>#REF!</v>
      </c>
      <c r="AA564" t="e">
        <f t="shared" ca="1" si="26"/>
        <v>#N/A</v>
      </c>
      <c r="AB564" t="str" cm="1">
        <f t="array" aca="1" ref="AB564" ca="1">IFERROR(INDIRECT("$Z"&amp;AA564),"")</f>
        <v/>
      </c>
    </row>
    <row r="565" spans="5:28" x14ac:dyDescent="0.2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24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25"/>
        <v>#N/A</v>
      </c>
      <c r="W565" t="str" cm="1">
        <f t="array" aca="1" ref="W565" ca="1">IFERROR(INDIRECT("$U"&amp;V565),"")</f>
        <v/>
      </c>
      <c r="Z565" t="e" cm="1">
        <f t="array" ref="Z565">INDEX($AE$2:$AN$40,MOD(ROW()-ROW($AE$2),ROWS($AE$2:$AN$40))+1,INT((ROW()-ROW($AE$2))/ROWS($AE$2:$AN$40))+1)</f>
        <v>#REF!</v>
      </c>
      <c r="AA565" t="e">
        <f t="shared" ca="1" si="26"/>
        <v>#N/A</v>
      </c>
      <c r="AB565" t="str" cm="1">
        <f t="array" aca="1" ref="AB565" ca="1">IFERROR(INDIRECT("$Z"&amp;AA565),"")</f>
        <v/>
      </c>
    </row>
    <row r="566" spans="5:28" x14ac:dyDescent="0.2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24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25"/>
        <v>#N/A</v>
      </c>
      <c r="W566" t="str" cm="1">
        <f t="array" aca="1" ref="W566" ca="1">IFERROR(INDIRECT("$U"&amp;V566),"")</f>
        <v/>
      </c>
      <c r="Z566" t="e" cm="1">
        <f t="array" ref="Z566">INDEX($AE$2:$AN$40,MOD(ROW()-ROW($AE$2),ROWS($AE$2:$AN$40))+1,INT((ROW()-ROW($AE$2))/ROWS($AE$2:$AN$40))+1)</f>
        <v>#REF!</v>
      </c>
      <c r="AA566" t="e">
        <f t="shared" ca="1" si="26"/>
        <v>#N/A</v>
      </c>
      <c r="AB566" t="str" cm="1">
        <f t="array" aca="1" ref="AB566" ca="1">IFERROR(INDIRECT("$Z"&amp;AA566),"")</f>
        <v/>
      </c>
    </row>
    <row r="567" spans="5:28" x14ac:dyDescent="0.2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24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25"/>
        <v>#N/A</v>
      </c>
      <c r="W567" t="str" cm="1">
        <f t="array" aca="1" ref="W567" ca="1">IFERROR(INDIRECT("$U"&amp;V567),"")</f>
        <v/>
      </c>
      <c r="Z567" t="e" cm="1">
        <f t="array" ref="Z567">INDEX($AE$2:$AN$40,MOD(ROW()-ROW($AE$2),ROWS($AE$2:$AN$40))+1,INT((ROW()-ROW($AE$2))/ROWS($AE$2:$AN$40))+1)</f>
        <v>#REF!</v>
      </c>
      <c r="AA567" t="e">
        <f t="shared" ca="1" si="26"/>
        <v>#N/A</v>
      </c>
      <c r="AB567" t="str" cm="1">
        <f t="array" aca="1" ref="AB567" ca="1">IFERROR(INDIRECT("$Z"&amp;AA567),"")</f>
        <v/>
      </c>
    </row>
    <row r="568" spans="5:28" x14ac:dyDescent="0.2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24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25"/>
        <v>#N/A</v>
      </c>
      <c r="W568" t="str" cm="1">
        <f t="array" aca="1" ref="W568" ca="1">IFERROR(INDIRECT("$U"&amp;V568),"")</f>
        <v/>
      </c>
      <c r="Z568" t="e" cm="1">
        <f t="array" ref="Z568">INDEX($AE$2:$AN$40,MOD(ROW()-ROW($AE$2),ROWS($AE$2:$AN$40))+1,INT((ROW()-ROW($AE$2))/ROWS($AE$2:$AN$40))+1)</f>
        <v>#REF!</v>
      </c>
      <c r="AA568" t="e">
        <f t="shared" ca="1" si="26"/>
        <v>#N/A</v>
      </c>
      <c r="AB568" t="str" cm="1">
        <f t="array" aca="1" ref="AB568" ca="1">IFERROR(INDIRECT("$Z"&amp;AA568),"")</f>
        <v/>
      </c>
    </row>
    <row r="569" spans="5:28" x14ac:dyDescent="0.2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24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25"/>
        <v>#N/A</v>
      </c>
      <c r="W569" t="str" cm="1">
        <f t="array" aca="1" ref="W569" ca="1">IFERROR(INDIRECT("$U"&amp;V569),"")</f>
        <v/>
      </c>
      <c r="Z569" t="e" cm="1">
        <f t="array" ref="Z569">INDEX($AE$2:$AN$40,MOD(ROW()-ROW($AE$2),ROWS($AE$2:$AN$40))+1,INT((ROW()-ROW($AE$2))/ROWS($AE$2:$AN$40))+1)</f>
        <v>#REF!</v>
      </c>
      <c r="AA569" t="e">
        <f t="shared" ca="1" si="26"/>
        <v>#N/A</v>
      </c>
      <c r="AB569" t="str" cm="1">
        <f t="array" aca="1" ref="AB569" ca="1">IFERROR(INDIRECT("$Z"&amp;AA569),"")</f>
        <v/>
      </c>
    </row>
    <row r="570" spans="5:28" x14ac:dyDescent="0.2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24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25"/>
        <v>#N/A</v>
      </c>
      <c r="W570" t="str" cm="1">
        <f t="array" aca="1" ref="W570" ca="1">IFERROR(INDIRECT("$U"&amp;V570),"")</f>
        <v/>
      </c>
      <c r="Z570" t="e" cm="1">
        <f t="array" ref="Z570">INDEX($AE$2:$AN$40,MOD(ROW()-ROW($AE$2),ROWS($AE$2:$AN$40))+1,INT((ROW()-ROW($AE$2))/ROWS($AE$2:$AN$40))+1)</f>
        <v>#REF!</v>
      </c>
      <c r="AA570" t="e">
        <f t="shared" ca="1" si="26"/>
        <v>#N/A</v>
      </c>
      <c r="AB570" t="str" cm="1">
        <f t="array" aca="1" ref="AB570" ca="1">IFERROR(INDIRECT("$Z"&amp;AA570),"")</f>
        <v/>
      </c>
    </row>
    <row r="571" spans="5:28" x14ac:dyDescent="0.2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24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25"/>
        <v>#N/A</v>
      </c>
      <c r="W571" t="str" cm="1">
        <f t="array" aca="1" ref="W571" ca="1">IFERROR(INDIRECT("$U"&amp;V571),"")</f>
        <v/>
      </c>
      <c r="Z571" t="e" cm="1">
        <f t="array" ref="Z571">INDEX($AE$2:$AN$40,MOD(ROW()-ROW($AE$2),ROWS($AE$2:$AN$40))+1,INT((ROW()-ROW($AE$2))/ROWS($AE$2:$AN$40))+1)</f>
        <v>#REF!</v>
      </c>
      <c r="AA571" t="e">
        <f t="shared" ca="1" si="26"/>
        <v>#N/A</v>
      </c>
      <c r="AB571" t="str" cm="1">
        <f t="array" aca="1" ref="AB571" ca="1">IFERROR(INDIRECT("$Z"&amp;AA571),"")</f>
        <v/>
      </c>
    </row>
    <row r="572" spans="5:28" x14ac:dyDescent="0.2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24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25"/>
        <v>#N/A</v>
      </c>
      <c r="W572" t="str" cm="1">
        <f t="array" aca="1" ref="W572" ca="1">IFERROR(INDIRECT("$U"&amp;V572),"")</f>
        <v/>
      </c>
      <c r="Z572" t="e" cm="1">
        <f t="array" ref="Z572">INDEX($AE$2:$AN$40,MOD(ROW()-ROW($AE$2),ROWS($AE$2:$AN$40))+1,INT((ROW()-ROW($AE$2))/ROWS($AE$2:$AN$40))+1)</f>
        <v>#REF!</v>
      </c>
      <c r="AA572" t="e">
        <f t="shared" ca="1" si="26"/>
        <v>#N/A</v>
      </c>
      <c r="AB572" t="str" cm="1">
        <f t="array" aca="1" ref="AB572" ca="1">IFERROR(INDIRECT("$Z"&amp;AA572),"")</f>
        <v/>
      </c>
    </row>
    <row r="573" spans="5:28" x14ac:dyDescent="0.2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24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25"/>
        <v>#N/A</v>
      </c>
      <c r="W573" t="str" cm="1">
        <f t="array" aca="1" ref="W573" ca="1">IFERROR(INDIRECT("$U"&amp;V573),"")</f>
        <v/>
      </c>
      <c r="Z573" t="e" cm="1">
        <f t="array" ref="Z573">INDEX($AE$2:$AN$40,MOD(ROW()-ROW($AE$2),ROWS($AE$2:$AN$40))+1,INT((ROW()-ROW($AE$2))/ROWS($AE$2:$AN$40))+1)</f>
        <v>#REF!</v>
      </c>
      <c r="AA573" t="e">
        <f t="shared" ca="1" si="26"/>
        <v>#N/A</v>
      </c>
      <c r="AB573" t="str" cm="1">
        <f t="array" aca="1" ref="AB573" ca="1">IFERROR(INDIRECT("$Z"&amp;AA573),"")</f>
        <v/>
      </c>
    </row>
    <row r="574" spans="5:28" x14ac:dyDescent="0.2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24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25"/>
        <v>#N/A</v>
      </c>
      <c r="W574" t="str" cm="1">
        <f t="array" aca="1" ref="W574" ca="1">IFERROR(INDIRECT("$U"&amp;V574),"")</f>
        <v/>
      </c>
      <c r="Z574" t="e" cm="1">
        <f t="array" ref="Z574">INDEX($AE$2:$AN$40,MOD(ROW()-ROW($AE$2),ROWS($AE$2:$AN$40))+1,INT((ROW()-ROW($AE$2))/ROWS($AE$2:$AN$40))+1)</f>
        <v>#REF!</v>
      </c>
      <c r="AA574" t="e">
        <f t="shared" ca="1" si="26"/>
        <v>#N/A</v>
      </c>
      <c r="AB574" t="str" cm="1">
        <f t="array" aca="1" ref="AB574" ca="1">IFERROR(INDIRECT("$Z"&amp;AA574),"")</f>
        <v/>
      </c>
    </row>
    <row r="575" spans="5:28" x14ac:dyDescent="0.2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24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25"/>
        <v>#N/A</v>
      </c>
      <c r="W575" t="str" cm="1">
        <f t="array" aca="1" ref="W575" ca="1">IFERROR(INDIRECT("$U"&amp;V575),"")</f>
        <v/>
      </c>
      <c r="Z575" t="e" cm="1">
        <f t="array" ref="Z575">INDEX($AE$2:$AN$40,MOD(ROW()-ROW($AE$2),ROWS($AE$2:$AN$40))+1,INT((ROW()-ROW($AE$2))/ROWS($AE$2:$AN$40))+1)</f>
        <v>#REF!</v>
      </c>
      <c r="AA575" t="e">
        <f t="shared" ca="1" si="26"/>
        <v>#N/A</v>
      </c>
      <c r="AB575" t="str" cm="1">
        <f t="array" aca="1" ref="AB575" ca="1">IFERROR(INDIRECT("$Z"&amp;AA575),"")</f>
        <v/>
      </c>
    </row>
    <row r="576" spans="5:28" x14ac:dyDescent="0.2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24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25"/>
        <v>#N/A</v>
      </c>
      <c r="W576" t="str" cm="1">
        <f t="array" aca="1" ref="W576" ca="1">IFERROR(INDIRECT("$U"&amp;V576),"")</f>
        <v/>
      </c>
      <c r="Z576" t="e" cm="1">
        <f t="array" ref="Z576">INDEX($AE$2:$AN$40,MOD(ROW()-ROW($AE$2),ROWS($AE$2:$AN$40))+1,INT((ROW()-ROW($AE$2))/ROWS($AE$2:$AN$40))+1)</f>
        <v>#REF!</v>
      </c>
      <c r="AA576" t="e">
        <f t="shared" ca="1" si="26"/>
        <v>#N/A</v>
      </c>
      <c r="AB576" t="str" cm="1">
        <f t="array" aca="1" ref="AB576" ca="1">IFERROR(INDIRECT("$Z"&amp;AA576),"")</f>
        <v/>
      </c>
    </row>
    <row r="577" spans="5:28" x14ac:dyDescent="0.2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24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25"/>
        <v>#N/A</v>
      </c>
      <c r="W577" t="str" cm="1">
        <f t="array" aca="1" ref="W577" ca="1">IFERROR(INDIRECT("$U"&amp;V577),"")</f>
        <v/>
      </c>
      <c r="Z577" t="e" cm="1">
        <f t="array" ref="Z577">INDEX($AE$2:$AN$40,MOD(ROW()-ROW($AE$2),ROWS($AE$2:$AN$40))+1,INT((ROW()-ROW($AE$2))/ROWS($AE$2:$AN$40))+1)</f>
        <v>#REF!</v>
      </c>
      <c r="AA577" t="e">
        <f t="shared" ca="1" si="26"/>
        <v>#N/A</v>
      </c>
      <c r="AB577" t="str" cm="1">
        <f t="array" aca="1" ref="AB577" ca="1">IFERROR(INDIRECT("$Z"&amp;AA577),"")</f>
        <v/>
      </c>
    </row>
    <row r="578" spans="5:28" x14ac:dyDescent="0.2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24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25"/>
        <v>#N/A</v>
      </c>
      <c r="W578" t="str" cm="1">
        <f t="array" aca="1" ref="W578" ca="1">IFERROR(INDIRECT("$U"&amp;V578),"")</f>
        <v/>
      </c>
      <c r="Z578" t="e" cm="1">
        <f t="array" ref="Z578">INDEX($AE$2:$AN$40,MOD(ROW()-ROW($AE$2),ROWS($AE$2:$AN$40))+1,INT((ROW()-ROW($AE$2))/ROWS($AE$2:$AN$40))+1)</f>
        <v>#REF!</v>
      </c>
      <c r="AA578" t="e">
        <f t="shared" ca="1" si="26"/>
        <v>#N/A</v>
      </c>
      <c r="AB578" t="str" cm="1">
        <f t="array" aca="1" ref="AB578" ca="1">IFERROR(INDIRECT("$Z"&amp;AA578),"")</f>
        <v/>
      </c>
    </row>
    <row r="579" spans="5:28" x14ac:dyDescent="0.2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24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25"/>
        <v>#N/A</v>
      </c>
      <c r="W579" t="str" cm="1">
        <f t="array" aca="1" ref="W579" ca="1">IFERROR(INDIRECT("$U"&amp;V579),"")</f>
        <v/>
      </c>
      <c r="Z579" t="e" cm="1">
        <f t="array" ref="Z579">INDEX($AE$2:$AN$40,MOD(ROW()-ROW($AE$2),ROWS($AE$2:$AN$40))+1,INT((ROW()-ROW($AE$2))/ROWS($AE$2:$AN$40))+1)</f>
        <v>#REF!</v>
      </c>
      <c r="AA579" t="e">
        <f t="shared" ca="1" si="26"/>
        <v>#N/A</v>
      </c>
      <c r="AB579" t="str" cm="1">
        <f t="array" aca="1" ref="AB579" ca="1">IFERROR(INDIRECT("$Z"&amp;AA579),"")</f>
        <v/>
      </c>
    </row>
    <row r="580" spans="5:28" x14ac:dyDescent="0.2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2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28">MATCH("*",INDIRECT(ADDRESS(V579+1,21,1)&amp;":$U$1000"),0)+V579</f>
        <v>#N/A</v>
      </c>
      <c r="W580" t="str" cm="1">
        <f t="array" aca="1" ref="W580" ca="1">IFERROR(INDIRECT("$U"&amp;V580),"")</f>
        <v/>
      </c>
      <c r="Z580" t="e" cm="1">
        <f t="array" ref="Z580">INDEX($AE$2:$AN$40,MOD(ROW()-ROW($AE$2),ROWS($AE$2:$AN$40))+1,INT((ROW()-ROW($AE$2))/ROWS($AE$2:$AN$40))+1)</f>
        <v>#REF!</v>
      </c>
      <c r="AA580" t="e">
        <f t="shared" ref="AA580:AA643" ca="1" si="29">MATCH("*",INDIRECT(ADDRESS(AA579+1,26,1)&amp;":$Z$1000"),0)+AA579</f>
        <v>#N/A</v>
      </c>
      <c r="AB580" t="str" cm="1">
        <f t="array" aca="1" ref="AB580" ca="1">IFERROR(INDIRECT("$Z"&amp;AA580),"")</f>
        <v/>
      </c>
    </row>
    <row r="581" spans="5:28" x14ac:dyDescent="0.2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2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28"/>
        <v>#N/A</v>
      </c>
      <c r="W581" t="str" cm="1">
        <f t="array" aca="1" ref="W581" ca="1">IFERROR(INDIRECT("$U"&amp;V581),"")</f>
        <v/>
      </c>
      <c r="Z581" t="e" cm="1">
        <f t="array" ref="Z581">INDEX($AE$2:$AN$40,MOD(ROW()-ROW($AE$2),ROWS($AE$2:$AN$40))+1,INT((ROW()-ROW($AE$2))/ROWS($AE$2:$AN$40))+1)</f>
        <v>#REF!</v>
      </c>
      <c r="AA581" t="e">
        <f t="shared" ca="1" si="29"/>
        <v>#N/A</v>
      </c>
      <c r="AB581" t="str" cm="1">
        <f t="array" aca="1" ref="AB581" ca="1">IFERROR(INDIRECT("$Z"&amp;AA581),"")</f>
        <v/>
      </c>
    </row>
    <row r="582" spans="5:28" x14ac:dyDescent="0.2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2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28"/>
        <v>#N/A</v>
      </c>
      <c r="W582" t="str" cm="1">
        <f t="array" aca="1" ref="W582" ca="1">IFERROR(INDIRECT("$U"&amp;V582),"")</f>
        <v/>
      </c>
      <c r="Z582" t="e" cm="1">
        <f t="array" ref="Z582">INDEX($AE$2:$AN$40,MOD(ROW()-ROW($AE$2),ROWS($AE$2:$AN$40))+1,INT((ROW()-ROW($AE$2))/ROWS($AE$2:$AN$40))+1)</f>
        <v>#REF!</v>
      </c>
      <c r="AA582" t="e">
        <f t="shared" ca="1" si="29"/>
        <v>#N/A</v>
      </c>
      <c r="AB582" t="str" cm="1">
        <f t="array" aca="1" ref="AB582" ca="1">IFERROR(INDIRECT("$Z"&amp;AA582),"")</f>
        <v/>
      </c>
    </row>
    <row r="583" spans="5:28" x14ac:dyDescent="0.2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2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28"/>
        <v>#N/A</v>
      </c>
      <c r="W583" t="str" cm="1">
        <f t="array" aca="1" ref="W583" ca="1">IFERROR(INDIRECT("$U"&amp;V583),"")</f>
        <v/>
      </c>
      <c r="Z583" t="e" cm="1">
        <f t="array" ref="Z583">INDEX($AE$2:$AN$40,MOD(ROW()-ROW($AE$2),ROWS($AE$2:$AN$40))+1,INT((ROW()-ROW($AE$2))/ROWS($AE$2:$AN$40))+1)</f>
        <v>#REF!</v>
      </c>
      <c r="AA583" t="e">
        <f t="shared" ca="1" si="29"/>
        <v>#N/A</v>
      </c>
      <c r="AB583" t="str" cm="1">
        <f t="array" aca="1" ref="AB583" ca="1">IFERROR(INDIRECT("$Z"&amp;AA583),"")</f>
        <v/>
      </c>
    </row>
    <row r="584" spans="5:28" x14ac:dyDescent="0.2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2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28"/>
        <v>#N/A</v>
      </c>
      <c r="W584" t="str" cm="1">
        <f t="array" aca="1" ref="W584" ca="1">IFERROR(INDIRECT("$U"&amp;V584),"")</f>
        <v/>
      </c>
      <c r="Z584" t="e" cm="1">
        <f t="array" ref="Z584">INDEX($AE$2:$AN$40,MOD(ROW()-ROW($AE$2),ROWS($AE$2:$AN$40))+1,INT((ROW()-ROW($AE$2))/ROWS($AE$2:$AN$40))+1)</f>
        <v>#REF!</v>
      </c>
      <c r="AA584" t="e">
        <f t="shared" ca="1" si="29"/>
        <v>#N/A</v>
      </c>
      <c r="AB584" t="str" cm="1">
        <f t="array" aca="1" ref="AB584" ca="1">IFERROR(INDIRECT("$Z"&amp;AA584),"")</f>
        <v/>
      </c>
    </row>
    <row r="585" spans="5:28" x14ac:dyDescent="0.2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2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28"/>
        <v>#N/A</v>
      </c>
      <c r="W585" t="str" cm="1">
        <f t="array" aca="1" ref="W585" ca="1">IFERROR(INDIRECT("$U"&amp;V585),"")</f>
        <v/>
      </c>
      <c r="Z585" t="e" cm="1">
        <f t="array" ref="Z585">INDEX($AE$2:$AN$40,MOD(ROW()-ROW($AE$2),ROWS($AE$2:$AN$40))+1,INT((ROW()-ROW($AE$2))/ROWS($AE$2:$AN$40))+1)</f>
        <v>#REF!</v>
      </c>
      <c r="AA585" t="e">
        <f t="shared" ca="1" si="29"/>
        <v>#N/A</v>
      </c>
      <c r="AB585" t="str" cm="1">
        <f t="array" aca="1" ref="AB585" ca="1">IFERROR(INDIRECT("$Z"&amp;AA585),"")</f>
        <v/>
      </c>
    </row>
    <row r="586" spans="5:28" x14ac:dyDescent="0.2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2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28"/>
        <v>#N/A</v>
      </c>
      <c r="W586" t="str" cm="1">
        <f t="array" aca="1" ref="W586" ca="1">IFERROR(INDIRECT("$U"&amp;V586),"")</f>
        <v/>
      </c>
      <c r="Z586" t="e" cm="1">
        <f t="array" ref="Z586">INDEX($AE$2:$AN$40,MOD(ROW()-ROW($AE$2),ROWS($AE$2:$AN$40))+1,INT((ROW()-ROW($AE$2))/ROWS($AE$2:$AN$40))+1)</f>
        <v>#REF!</v>
      </c>
      <c r="AA586" t="e">
        <f t="shared" ca="1" si="29"/>
        <v>#N/A</v>
      </c>
      <c r="AB586" t="str" cm="1">
        <f t="array" aca="1" ref="AB586" ca="1">IFERROR(INDIRECT("$Z"&amp;AA586),"")</f>
        <v/>
      </c>
    </row>
    <row r="587" spans="5:28" x14ac:dyDescent="0.2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2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28"/>
        <v>#N/A</v>
      </c>
      <c r="W587" t="str" cm="1">
        <f t="array" aca="1" ref="W587" ca="1">IFERROR(INDIRECT("$U"&amp;V587),"")</f>
        <v/>
      </c>
      <c r="Z587" t="e" cm="1">
        <f t="array" ref="Z587">INDEX($AE$2:$AN$40,MOD(ROW()-ROW($AE$2),ROWS($AE$2:$AN$40))+1,INT((ROW()-ROW($AE$2))/ROWS($AE$2:$AN$40))+1)</f>
        <v>#REF!</v>
      </c>
      <c r="AA587" t="e">
        <f t="shared" ca="1" si="29"/>
        <v>#N/A</v>
      </c>
      <c r="AB587" t="str" cm="1">
        <f t="array" aca="1" ref="AB587" ca="1">IFERROR(INDIRECT("$Z"&amp;AA587),"")</f>
        <v/>
      </c>
    </row>
    <row r="588" spans="5:28" x14ac:dyDescent="0.2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2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28"/>
        <v>#N/A</v>
      </c>
      <c r="W588" t="str" cm="1">
        <f t="array" aca="1" ref="W588" ca="1">IFERROR(INDIRECT("$U"&amp;V588),"")</f>
        <v/>
      </c>
      <c r="Z588" t="e" cm="1">
        <f t="array" ref="Z588">INDEX($AE$2:$AN$40,MOD(ROW()-ROW($AE$2),ROWS($AE$2:$AN$40))+1,INT((ROW()-ROW($AE$2))/ROWS($AE$2:$AN$40))+1)</f>
        <v>#REF!</v>
      </c>
      <c r="AA588" t="e">
        <f t="shared" ca="1" si="29"/>
        <v>#N/A</v>
      </c>
      <c r="AB588" t="str" cm="1">
        <f t="array" aca="1" ref="AB588" ca="1">IFERROR(INDIRECT("$Z"&amp;AA588),"")</f>
        <v/>
      </c>
    </row>
    <row r="589" spans="5:28" x14ac:dyDescent="0.2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2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28"/>
        <v>#N/A</v>
      </c>
      <c r="W589" t="str" cm="1">
        <f t="array" aca="1" ref="W589" ca="1">IFERROR(INDIRECT("$U"&amp;V589),"")</f>
        <v/>
      </c>
      <c r="Z589" t="e" cm="1">
        <f t="array" ref="Z589">INDEX($AE$2:$AN$40,MOD(ROW()-ROW($AE$2),ROWS($AE$2:$AN$40))+1,INT((ROW()-ROW($AE$2))/ROWS($AE$2:$AN$40))+1)</f>
        <v>#REF!</v>
      </c>
      <c r="AA589" t="e">
        <f t="shared" ca="1" si="29"/>
        <v>#N/A</v>
      </c>
      <c r="AB589" t="str" cm="1">
        <f t="array" aca="1" ref="AB589" ca="1">IFERROR(INDIRECT("$Z"&amp;AA589),"")</f>
        <v/>
      </c>
    </row>
    <row r="590" spans="5:28" x14ac:dyDescent="0.2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2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28"/>
        <v>#N/A</v>
      </c>
      <c r="W590" t="str" cm="1">
        <f t="array" aca="1" ref="W590" ca="1">IFERROR(INDIRECT("$U"&amp;V590),"")</f>
        <v/>
      </c>
      <c r="Z590" t="e" cm="1">
        <f t="array" ref="Z590">INDEX($AE$2:$AN$40,MOD(ROW()-ROW($AE$2),ROWS($AE$2:$AN$40))+1,INT((ROW()-ROW($AE$2))/ROWS($AE$2:$AN$40))+1)</f>
        <v>#REF!</v>
      </c>
      <c r="AA590" t="e">
        <f t="shared" ca="1" si="29"/>
        <v>#N/A</v>
      </c>
      <c r="AB590" t="str" cm="1">
        <f t="array" aca="1" ref="AB590" ca="1">IFERROR(INDIRECT("$Z"&amp;AA590),"")</f>
        <v/>
      </c>
    </row>
    <row r="591" spans="5:28" x14ac:dyDescent="0.2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2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28"/>
        <v>#N/A</v>
      </c>
      <c r="W591" t="str" cm="1">
        <f t="array" aca="1" ref="W591" ca="1">IFERROR(INDIRECT("$U"&amp;V591),"")</f>
        <v/>
      </c>
      <c r="Z591" t="e" cm="1">
        <f t="array" ref="Z591">INDEX($AE$2:$AN$40,MOD(ROW()-ROW($AE$2),ROWS($AE$2:$AN$40))+1,INT((ROW()-ROW($AE$2))/ROWS($AE$2:$AN$40))+1)</f>
        <v>#REF!</v>
      </c>
      <c r="AA591" t="e">
        <f t="shared" ca="1" si="29"/>
        <v>#N/A</v>
      </c>
      <c r="AB591" t="str" cm="1">
        <f t="array" aca="1" ref="AB591" ca="1">IFERROR(INDIRECT("$Z"&amp;AA591),"")</f>
        <v/>
      </c>
    </row>
    <row r="592" spans="5:28" x14ac:dyDescent="0.2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2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28"/>
        <v>#N/A</v>
      </c>
      <c r="W592" t="str" cm="1">
        <f t="array" aca="1" ref="W592" ca="1">IFERROR(INDIRECT("$U"&amp;V592),"")</f>
        <v/>
      </c>
      <c r="Z592" t="e" cm="1">
        <f t="array" ref="Z592">INDEX($AE$2:$AN$40,MOD(ROW()-ROW($AE$2),ROWS($AE$2:$AN$40))+1,INT((ROW()-ROW($AE$2))/ROWS($AE$2:$AN$40))+1)</f>
        <v>#REF!</v>
      </c>
      <c r="AA592" t="e">
        <f t="shared" ca="1" si="29"/>
        <v>#N/A</v>
      </c>
      <c r="AB592" t="str" cm="1">
        <f t="array" aca="1" ref="AB592" ca="1">IFERROR(INDIRECT("$Z"&amp;AA592),"")</f>
        <v/>
      </c>
    </row>
    <row r="593" spans="5:28" x14ac:dyDescent="0.2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2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28"/>
        <v>#N/A</v>
      </c>
      <c r="W593" t="str" cm="1">
        <f t="array" aca="1" ref="W593" ca="1">IFERROR(INDIRECT("$U"&amp;V593),"")</f>
        <v/>
      </c>
      <c r="Z593" t="e" cm="1">
        <f t="array" ref="Z593">INDEX($AE$2:$AN$40,MOD(ROW()-ROW($AE$2),ROWS($AE$2:$AN$40))+1,INT((ROW()-ROW($AE$2))/ROWS($AE$2:$AN$40))+1)</f>
        <v>#REF!</v>
      </c>
      <c r="AA593" t="e">
        <f t="shared" ca="1" si="29"/>
        <v>#N/A</v>
      </c>
      <c r="AB593" t="str" cm="1">
        <f t="array" aca="1" ref="AB593" ca="1">IFERROR(INDIRECT("$Z"&amp;AA593),"")</f>
        <v/>
      </c>
    </row>
    <row r="594" spans="5:28" x14ac:dyDescent="0.2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2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28"/>
        <v>#N/A</v>
      </c>
      <c r="W594" t="str" cm="1">
        <f t="array" aca="1" ref="W594" ca="1">IFERROR(INDIRECT("$U"&amp;V594),"")</f>
        <v/>
      </c>
      <c r="Z594" t="e" cm="1">
        <f t="array" ref="Z594">INDEX($AE$2:$AN$40,MOD(ROW()-ROW($AE$2),ROWS($AE$2:$AN$40))+1,INT((ROW()-ROW($AE$2))/ROWS($AE$2:$AN$40))+1)</f>
        <v>#REF!</v>
      </c>
      <c r="AA594" t="e">
        <f t="shared" ca="1" si="29"/>
        <v>#N/A</v>
      </c>
      <c r="AB594" t="str" cm="1">
        <f t="array" aca="1" ref="AB594" ca="1">IFERROR(INDIRECT("$Z"&amp;AA594),"")</f>
        <v/>
      </c>
    </row>
    <row r="595" spans="5:28" x14ac:dyDescent="0.2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2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28"/>
        <v>#N/A</v>
      </c>
      <c r="W595" t="str" cm="1">
        <f t="array" aca="1" ref="W595" ca="1">IFERROR(INDIRECT("$U"&amp;V595),"")</f>
        <v/>
      </c>
      <c r="Z595" t="e" cm="1">
        <f t="array" ref="Z595">INDEX($AE$2:$AN$40,MOD(ROW()-ROW($AE$2),ROWS($AE$2:$AN$40))+1,INT((ROW()-ROW($AE$2))/ROWS($AE$2:$AN$40))+1)</f>
        <v>#REF!</v>
      </c>
      <c r="AA595" t="e">
        <f t="shared" ca="1" si="29"/>
        <v>#N/A</v>
      </c>
      <c r="AB595" t="str" cm="1">
        <f t="array" aca="1" ref="AB595" ca="1">IFERROR(INDIRECT("$Z"&amp;AA595),"")</f>
        <v/>
      </c>
    </row>
    <row r="596" spans="5:28" x14ac:dyDescent="0.2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2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28"/>
        <v>#N/A</v>
      </c>
      <c r="W596" t="str" cm="1">
        <f t="array" aca="1" ref="W596" ca="1">IFERROR(INDIRECT("$U"&amp;V596),"")</f>
        <v/>
      </c>
      <c r="Z596" t="e" cm="1">
        <f t="array" ref="Z596">INDEX($AE$2:$AN$40,MOD(ROW()-ROW($AE$2),ROWS($AE$2:$AN$40))+1,INT((ROW()-ROW($AE$2))/ROWS($AE$2:$AN$40))+1)</f>
        <v>#REF!</v>
      </c>
      <c r="AA596" t="e">
        <f t="shared" ca="1" si="29"/>
        <v>#N/A</v>
      </c>
      <c r="AB596" t="str" cm="1">
        <f t="array" aca="1" ref="AB596" ca="1">IFERROR(INDIRECT("$Z"&amp;AA596),"")</f>
        <v/>
      </c>
    </row>
    <row r="597" spans="5:28" x14ac:dyDescent="0.2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2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28"/>
        <v>#N/A</v>
      </c>
      <c r="W597" t="str" cm="1">
        <f t="array" aca="1" ref="W597" ca="1">IFERROR(INDIRECT("$U"&amp;V597),"")</f>
        <v/>
      </c>
      <c r="Z597" t="e" cm="1">
        <f t="array" ref="Z597">INDEX($AE$2:$AN$40,MOD(ROW()-ROW($AE$2),ROWS($AE$2:$AN$40))+1,INT((ROW()-ROW($AE$2))/ROWS($AE$2:$AN$40))+1)</f>
        <v>#REF!</v>
      </c>
      <c r="AA597" t="e">
        <f t="shared" ca="1" si="29"/>
        <v>#N/A</v>
      </c>
      <c r="AB597" t="str" cm="1">
        <f t="array" aca="1" ref="AB597" ca="1">IFERROR(INDIRECT("$Z"&amp;AA597),"")</f>
        <v/>
      </c>
    </row>
    <row r="598" spans="5:28" x14ac:dyDescent="0.2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2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28"/>
        <v>#N/A</v>
      </c>
      <c r="W598" t="str" cm="1">
        <f t="array" aca="1" ref="W598" ca="1">IFERROR(INDIRECT("$U"&amp;V598),"")</f>
        <v/>
      </c>
      <c r="Z598" t="e" cm="1">
        <f t="array" ref="Z598">INDEX($AE$2:$AN$40,MOD(ROW()-ROW($AE$2),ROWS($AE$2:$AN$40))+1,INT((ROW()-ROW($AE$2))/ROWS($AE$2:$AN$40))+1)</f>
        <v>#REF!</v>
      </c>
      <c r="AA598" t="e">
        <f t="shared" ca="1" si="29"/>
        <v>#N/A</v>
      </c>
      <c r="AB598" t="str" cm="1">
        <f t="array" aca="1" ref="AB598" ca="1">IFERROR(INDIRECT("$Z"&amp;AA598),"")</f>
        <v/>
      </c>
    </row>
    <row r="599" spans="5:28" x14ac:dyDescent="0.2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2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28"/>
        <v>#N/A</v>
      </c>
      <c r="W599" t="str" cm="1">
        <f t="array" aca="1" ref="W599" ca="1">IFERROR(INDIRECT("$U"&amp;V599),"")</f>
        <v/>
      </c>
      <c r="Z599" t="e" cm="1">
        <f t="array" ref="Z599">INDEX($AE$2:$AN$40,MOD(ROW()-ROW($AE$2),ROWS($AE$2:$AN$40))+1,INT((ROW()-ROW($AE$2))/ROWS($AE$2:$AN$40))+1)</f>
        <v>#REF!</v>
      </c>
      <c r="AA599" t="e">
        <f t="shared" ca="1" si="29"/>
        <v>#N/A</v>
      </c>
      <c r="AB599" t="str" cm="1">
        <f t="array" aca="1" ref="AB599" ca="1">IFERROR(INDIRECT("$Z"&amp;AA599),"")</f>
        <v/>
      </c>
    </row>
    <row r="600" spans="5:28" x14ac:dyDescent="0.2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2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28"/>
        <v>#N/A</v>
      </c>
      <c r="W600" t="str" cm="1">
        <f t="array" aca="1" ref="W600" ca="1">IFERROR(INDIRECT("$U"&amp;V600),"")</f>
        <v/>
      </c>
      <c r="Z600" t="e" cm="1">
        <f t="array" ref="Z600">INDEX($AE$2:$AN$40,MOD(ROW()-ROW($AE$2),ROWS($AE$2:$AN$40))+1,INT((ROW()-ROW($AE$2))/ROWS($AE$2:$AN$40))+1)</f>
        <v>#REF!</v>
      </c>
      <c r="AA600" t="e">
        <f t="shared" ca="1" si="29"/>
        <v>#N/A</v>
      </c>
      <c r="AB600" t="str" cm="1">
        <f t="array" aca="1" ref="AB600" ca="1">IFERROR(INDIRECT("$Z"&amp;AA600),"")</f>
        <v/>
      </c>
    </row>
    <row r="601" spans="5:28" x14ac:dyDescent="0.2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2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28"/>
        <v>#N/A</v>
      </c>
      <c r="W601" t="str" cm="1">
        <f t="array" aca="1" ref="W601" ca="1">IFERROR(INDIRECT("$U"&amp;V601),"")</f>
        <v/>
      </c>
      <c r="Z601" t="e" cm="1">
        <f t="array" ref="Z601">INDEX($AE$2:$AN$40,MOD(ROW()-ROW($AE$2),ROWS($AE$2:$AN$40))+1,INT((ROW()-ROW($AE$2))/ROWS($AE$2:$AN$40))+1)</f>
        <v>#REF!</v>
      </c>
      <c r="AA601" t="e">
        <f t="shared" ca="1" si="29"/>
        <v>#N/A</v>
      </c>
      <c r="AB601" t="str" cm="1">
        <f t="array" aca="1" ref="AB601" ca="1">IFERROR(INDIRECT("$Z"&amp;AA601),"")</f>
        <v/>
      </c>
    </row>
    <row r="602" spans="5:28" x14ac:dyDescent="0.2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2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28"/>
        <v>#N/A</v>
      </c>
      <c r="W602" t="str" cm="1">
        <f t="array" aca="1" ref="W602" ca="1">IFERROR(INDIRECT("$U"&amp;V602),"")</f>
        <v/>
      </c>
      <c r="Z602" t="e" cm="1">
        <f t="array" ref="Z602">INDEX($AE$2:$AN$40,MOD(ROW()-ROW($AE$2),ROWS($AE$2:$AN$40))+1,INT((ROW()-ROW($AE$2))/ROWS($AE$2:$AN$40))+1)</f>
        <v>#REF!</v>
      </c>
      <c r="AA602" t="e">
        <f t="shared" ca="1" si="29"/>
        <v>#N/A</v>
      </c>
      <c r="AB602" t="str" cm="1">
        <f t="array" aca="1" ref="AB602" ca="1">IFERROR(INDIRECT("$Z"&amp;AA602),"")</f>
        <v/>
      </c>
    </row>
    <row r="603" spans="5:28" x14ac:dyDescent="0.2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2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28"/>
        <v>#N/A</v>
      </c>
      <c r="W603" t="str" cm="1">
        <f t="array" aca="1" ref="W603" ca="1">IFERROR(INDIRECT("$U"&amp;V603),"")</f>
        <v/>
      </c>
      <c r="Z603" t="e" cm="1">
        <f t="array" ref="Z603">INDEX($AE$2:$AN$40,MOD(ROW()-ROW($AE$2),ROWS($AE$2:$AN$40))+1,INT((ROW()-ROW($AE$2))/ROWS($AE$2:$AN$40))+1)</f>
        <v>#REF!</v>
      </c>
      <c r="AA603" t="e">
        <f t="shared" ca="1" si="29"/>
        <v>#N/A</v>
      </c>
      <c r="AB603" t="str" cm="1">
        <f t="array" aca="1" ref="AB603" ca="1">IFERROR(INDIRECT("$Z"&amp;AA603),"")</f>
        <v/>
      </c>
    </row>
    <row r="604" spans="5:28" x14ac:dyDescent="0.2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2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28"/>
        <v>#N/A</v>
      </c>
      <c r="W604" t="str" cm="1">
        <f t="array" aca="1" ref="W604" ca="1">IFERROR(INDIRECT("$U"&amp;V604),"")</f>
        <v/>
      </c>
      <c r="Z604" t="e" cm="1">
        <f t="array" ref="Z604">INDEX($AE$2:$AN$40,MOD(ROW()-ROW($AE$2),ROWS($AE$2:$AN$40))+1,INT((ROW()-ROW($AE$2))/ROWS($AE$2:$AN$40))+1)</f>
        <v>#REF!</v>
      </c>
      <c r="AA604" t="e">
        <f t="shared" ca="1" si="29"/>
        <v>#N/A</v>
      </c>
      <c r="AB604" t="str" cm="1">
        <f t="array" aca="1" ref="AB604" ca="1">IFERROR(INDIRECT("$Z"&amp;AA604),"")</f>
        <v/>
      </c>
    </row>
    <row r="605" spans="5:28" x14ac:dyDescent="0.2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2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28"/>
        <v>#N/A</v>
      </c>
      <c r="W605" t="str" cm="1">
        <f t="array" aca="1" ref="W605" ca="1">IFERROR(INDIRECT("$U"&amp;V605),"")</f>
        <v/>
      </c>
      <c r="Z605" t="e" cm="1">
        <f t="array" ref="Z605">INDEX($AE$2:$AN$40,MOD(ROW()-ROW($AE$2),ROWS($AE$2:$AN$40))+1,INT((ROW()-ROW($AE$2))/ROWS($AE$2:$AN$40))+1)</f>
        <v>#REF!</v>
      </c>
      <c r="AA605" t="e">
        <f t="shared" ca="1" si="29"/>
        <v>#N/A</v>
      </c>
      <c r="AB605" t="str" cm="1">
        <f t="array" aca="1" ref="AB605" ca="1">IFERROR(INDIRECT("$Z"&amp;AA605),"")</f>
        <v/>
      </c>
    </row>
    <row r="606" spans="5:28" x14ac:dyDescent="0.2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2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28"/>
        <v>#N/A</v>
      </c>
      <c r="W606" t="str" cm="1">
        <f t="array" aca="1" ref="W606" ca="1">IFERROR(INDIRECT("$U"&amp;V606),"")</f>
        <v/>
      </c>
      <c r="Z606" t="e" cm="1">
        <f t="array" ref="Z606">INDEX($AE$2:$AN$40,MOD(ROW()-ROW($AE$2),ROWS($AE$2:$AN$40))+1,INT((ROW()-ROW($AE$2))/ROWS($AE$2:$AN$40))+1)</f>
        <v>#REF!</v>
      </c>
      <c r="AA606" t="e">
        <f t="shared" ca="1" si="29"/>
        <v>#N/A</v>
      </c>
      <c r="AB606" t="str" cm="1">
        <f t="array" aca="1" ref="AB606" ca="1">IFERROR(INDIRECT("$Z"&amp;AA606),"")</f>
        <v/>
      </c>
    </row>
    <row r="607" spans="5:28" x14ac:dyDescent="0.2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2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28"/>
        <v>#N/A</v>
      </c>
      <c r="W607" t="str" cm="1">
        <f t="array" aca="1" ref="W607" ca="1">IFERROR(INDIRECT("$U"&amp;V607),"")</f>
        <v/>
      </c>
      <c r="Z607" t="e" cm="1">
        <f t="array" ref="Z607">INDEX($AE$2:$AN$40,MOD(ROW()-ROW($AE$2),ROWS($AE$2:$AN$40))+1,INT((ROW()-ROW($AE$2))/ROWS($AE$2:$AN$40))+1)</f>
        <v>#REF!</v>
      </c>
      <c r="AA607" t="e">
        <f t="shared" ca="1" si="29"/>
        <v>#N/A</v>
      </c>
      <c r="AB607" t="str" cm="1">
        <f t="array" aca="1" ref="AB607" ca="1">IFERROR(INDIRECT("$Z"&amp;AA607),"")</f>
        <v/>
      </c>
    </row>
    <row r="608" spans="5:28" x14ac:dyDescent="0.2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2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28"/>
        <v>#N/A</v>
      </c>
      <c r="W608" t="str" cm="1">
        <f t="array" aca="1" ref="W608" ca="1">IFERROR(INDIRECT("$U"&amp;V608),"")</f>
        <v/>
      </c>
      <c r="Z608" t="e" cm="1">
        <f t="array" ref="Z608">INDEX($AE$2:$AN$40,MOD(ROW()-ROW($AE$2),ROWS($AE$2:$AN$40))+1,INT((ROW()-ROW($AE$2))/ROWS($AE$2:$AN$40))+1)</f>
        <v>#REF!</v>
      </c>
      <c r="AA608" t="e">
        <f t="shared" ca="1" si="29"/>
        <v>#N/A</v>
      </c>
      <c r="AB608" t="str" cm="1">
        <f t="array" aca="1" ref="AB608" ca="1">IFERROR(INDIRECT("$Z"&amp;AA608),"")</f>
        <v/>
      </c>
    </row>
    <row r="609" spans="5:28" x14ac:dyDescent="0.2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2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28"/>
        <v>#N/A</v>
      </c>
      <c r="W609" t="str" cm="1">
        <f t="array" aca="1" ref="W609" ca="1">IFERROR(INDIRECT("$U"&amp;V609),"")</f>
        <v/>
      </c>
      <c r="Z609" t="e" cm="1">
        <f t="array" ref="Z609">INDEX($AE$2:$AN$40,MOD(ROW()-ROW($AE$2),ROWS($AE$2:$AN$40))+1,INT((ROW()-ROW($AE$2))/ROWS($AE$2:$AN$40))+1)</f>
        <v>#REF!</v>
      </c>
      <c r="AA609" t="e">
        <f t="shared" ca="1" si="29"/>
        <v>#N/A</v>
      </c>
      <c r="AB609" t="str" cm="1">
        <f t="array" aca="1" ref="AB609" ca="1">IFERROR(INDIRECT("$Z"&amp;AA609),"")</f>
        <v/>
      </c>
    </row>
    <row r="610" spans="5:28" x14ac:dyDescent="0.2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2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28"/>
        <v>#N/A</v>
      </c>
      <c r="W610" t="str" cm="1">
        <f t="array" aca="1" ref="W610" ca="1">IFERROR(INDIRECT("$U"&amp;V610),"")</f>
        <v/>
      </c>
      <c r="Z610" t="e" cm="1">
        <f t="array" ref="Z610">INDEX($AE$2:$AN$40,MOD(ROW()-ROW($AE$2),ROWS($AE$2:$AN$40))+1,INT((ROW()-ROW($AE$2))/ROWS($AE$2:$AN$40))+1)</f>
        <v>#REF!</v>
      </c>
      <c r="AA610" t="e">
        <f t="shared" ca="1" si="29"/>
        <v>#N/A</v>
      </c>
      <c r="AB610" t="str" cm="1">
        <f t="array" aca="1" ref="AB610" ca="1">IFERROR(INDIRECT("$Z"&amp;AA610),"")</f>
        <v/>
      </c>
    </row>
    <row r="611" spans="5:28" x14ac:dyDescent="0.2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2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28"/>
        <v>#N/A</v>
      </c>
      <c r="W611" t="str" cm="1">
        <f t="array" aca="1" ref="W611" ca="1">IFERROR(INDIRECT("$U"&amp;V611),"")</f>
        <v/>
      </c>
      <c r="Z611" t="e" cm="1">
        <f t="array" ref="Z611">INDEX($AE$2:$AN$40,MOD(ROW()-ROW($AE$2),ROWS($AE$2:$AN$40))+1,INT((ROW()-ROW($AE$2))/ROWS($AE$2:$AN$40))+1)</f>
        <v>#REF!</v>
      </c>
      <c r="AA611" t="e">
        <f t="shared" ca="1" si="29"/>
        <v>#N/A</v>
      </c>
      <c r="AB611" t="str" cm="1">
        <f t="array" aca="1" ref="AB611" ca="1">IFERROR(INDIRECT("$Z"&amp;AA611),"")</f>
        <v/>
      </c>
    </row>
    <row r="612" spans="5:28" x14ac:dyDescent="0.2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2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28"/>
        <v>#N/A</v>
      </c>
      <c r="W612" t="str" cm="1">
        <f t="array" aca="1" ref="W612" ca="1">IFERROR(INDIRECT("$U"&amp;V612),"")</f>
        <v/>
      </c>
      <c r="Z612" t="e" cm="1">
        <f t="array" ref="Z612">INDEX($AE$2:$AN$40,MOD(ROW()-ROW($AE$2),ROWS($AE$2:$AN$40))+1,INT((ROW()-ROW($AE$2))/ROWS($AE$2:$AN$40))+1)</f>
        <v>#REF!</v>
      </c>
      <c r="AA612" t="e">
        <f t="shared" ca="1" si="29"/>
        <v>#N/A</v>
      </c>
      <c r="AB612" t="str" cm="1">
        <f t="array" aca="1" ref="AB612" ca="1">IFERROR(INDIRECT("$Z"&amp;AA612),"")</f>
        <v/>
      </c>
    </row>
    <row r="613" spans="5:28" x14ac:dyDescent="0.2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2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28"/>
        <v>#N/A</v>
      </c>
      <c r="W613" t="str" cm="1">
        <f t="array" aca="1" ref="W613" ca="1">IFERROR(INDIRECT("$U"&amp;V613),"")</f>
        <v/>
      </c>
      <c r="Z613" t="e" cm="1">
        <f t="array" ref="Z613">INDEX($AE$2:$AN$40,MOD(ROW()-ROW($AE$2),ROWS($AE$2:$AN$40))+1,INT((ROW()-ROW($AE$2))/ROWS($AE$2:$AN$40))+1)</f>
        <v>#REF!</v>
      </c>
      <c r="AA613" t="e">
        <f t="shared" ca="1" si="29"/>
        <v>#N/A</v>
      </c>
      <c r="AB613" t="str" cm="1">
        <f t="array" aca="1" ref="AB613" ca="1">IFERROR(INDIRECT("$Z"&amp;AA613),"")</f>
        <v/>
      </c>
    </row>
    <row r="614" spans="5:28" x14ac:dyDescent="0.2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2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28"/>
        <v>#N/A</v>
      </c>
      <c r="W614" t="str" cm="1">
        <f t="array" aca="1" ref="W614" ca="1">IFERROR(INDIRECT("$U"&amp;V614),"")</f>
        <v/>
      </c>
      <c r="Z614" t="e" cm="1">
        <f t="array" ref="Z614">INDEX($AE$2:$AN$40,MOD(ROW()-ROW($AE$2),ROWS($AE$2:$AN$40))+1,INT((ROW()-ROW($AE$2))/ROWS($AE$2:$AN$40))+1)</f>
        <v>#REF!</v>
      </c>
      <c r="AA614" t="e">
        <f t="shared" ca="1" si="29"/>
        <v>#N/A</v>
      </c>
      <c r="AB614" t="str" cm="1">
        <f t="array" aca="1" ref="AB614" ca="1">IFERROR(INDIRECT("$Z"&amp;AA614),"")</f>
        <v/>
      </c>
    </row>
    <row r="615" spans="5:28" x14ac:dyDescent="0.2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2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28"/>
        <v>#N/A</v>
      </c>
      <c r="W615" t="str" cm="1">
        <f t="array" aca="1" ref="W615" ca="1">IFERROR(INDIRECT("$U"&amp;V615),"")</f>
        <v/>
      </c>
      <c r="Z615" t="e" cm="1">
        <f t="array" ref="Z615">INDEX($AE$2:$AN$40,MOD(ROW()-ROW($AE$2),ROWS($AE$2:$AN$40))+1,INT((ROW()-ROW($AE$2))/ROWS($AE$2:$AN$40))+1)</f>
        <v>#REF!</v>
      </c>
      <c r="AA615" t="e">
        <f t="shared" ca="1" si="29"/>
        <v>#N/A</v>
      </c>
      <c r="AB615" t="str" cm="1">
        <f t="array" aca="1" ref="AB615" ca="1">IFERROR(INDIRECT("$Z"&amp;AA615),"")</f>
        <v/>
      </c>
    </row>
    <row r="616" spans="5:28" x14ac:dyDescent="0.2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2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28"/>
        <v>#N/A</v>
      </c>
      <c r="W616" t="str" cm="1">
        <f t="array" aca="1" ref="W616" ca="1">IFERROR(INDIRECT("$U"&amp;V616),"")</f>
        <v/>
      </c>
      <c r="Z616" t="e" cm="1">
        <f t="array" ref="Z616">INDEX($AE$2:$AN$40,MOD(ROW()-ROW($AE$2),ROWS($AE$2:$AN$40))+1,INT((ROW()-ROW($AE$2))/ROWS($AE$2:$AN$40))+1)</f>
        <v>#REF!</v>
      </c>
      <c r="AA616" t="e">
        <f t="shared" ca="1" si="29"/>
        <v>#N/A</v>
      </c>
      <c r="AB616" t="str" cm="1">
        <f t="array" aca="1" ref="AB616" ca="1">IFERROR(INDIRECT("$Z"&amp;AA616),"")</f>
        <v/>
      </c>
    </row>
    <row r="617" spans="5:28" x14ac:dyDescent="0.2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2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28"/>
        <v>#N/A</v>
      </c>
      <c r="W617" t="str" cm="1">
        <f t="array" aca="1" ref="W617" ca="1">IFERROR(INDIRECT("$U"&amp;V617),"")</f>
        <v/>
      </c>
      <c r="Z617" t="e" cm="1">
        <f t="array" ref="Z617">INDEX($AE$2:$AN$40,MOD(ROW()-ROW($AE$2),ROWS($AE$2:$AN$40))+1,INT((ROW()-ROW($AE$2))/ROWS($AE$2:$AN$40))+1)</f>
        <v>#REF!</v>
      </c>
      <c r="AA617" t="e">
        <f t="shared" ca="1" si="29"/>
        <v>#N/A</v>
      </c>
      <c r="AB617" t="str" cm="1">
        <f t="array" aca="1" ref="AB617" ca="1">IFERROR(INDIRECT("$Z"&amp;AA617),"")</f>
        <v/>
      </c>
    </row>
    <row r="618" spans="5:28" x14ac:dyDescent="0.2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2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28"/>
        <v>#N/A</v>
      </c>
      <c r="W618" t="str" cm="1">
        <f t="array" aca="1" ref="W618" ca="1">IFERROR(INDIRECT("$U"&amp;V618),"")</f>
        <v/>
      </c>
      <c r="Z618" t="e" cm="1">
        <f t="array" ref="Z618">INDEX($AE$2:$AN$40,MOD(ROW()-ROW($AE$2),ROWS($AE$2:$AN$40))+1,INT((ROW()-ROW($AE$2))/ROWS($AE$2:$AN$40))+1)</f>
        <v>#REF!</v>
      </c>
      <c r="AA618" t="e">
        <f t="shared" ca="1" si="29"/>
        <v>#N/A</v>
      </c>
      <c r="AB618" t="str" cm="1">
        <f t="array" aca="1" ref="AB618" ca="1">IFERROR(INDIRECT("$Z"&amp;AA618),"")</f>
        <v/>
      </c>
    </row>
    <row r="619" spans="5:28" x14ac:dyDescent="0.2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2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28"/>
        <v>#N/A</v>
      </c>
      <c r="W619" t="str" cm="1">
        <f t="array" aca="1" ref="W619" ca="1">IFERROR(INDIRECT("$U"&amp;V619),"")</f>
        <v/>
      </c>
      <c r="Z619" t="e" cm="1">
        <f t="array" ref="Z619">INDEX($AE$2:$AN$40,MOD(ROW()-ROW($AE$2),ROWS($AE$2:$AN$40))+1,INT((ROW()-ROW($AE$2))/ROWS($AE$2:$AN$40))+1)</f>
        <v>#REF!</v>
      </c>
      <c r="AA619" t="e">
        <f t="shared" ca="1" si="29"/>
        <v>#N/A</v>
      </c>
      <c r="AB619" t="str" cm="1">
        <f t="array" aca="1" ref="AB619" ca="1">IFERROR(INDIRECT("$Z"&amp;AA619),"")</f>
        <v/>
      </c>
    </row>
    <row r="620" spans="5:28" x14ac:dyDescent="0.2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2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28"/>
        <v>#N/A</v>
      </c>
      <c r="W620" t="str" cm="1">
        <f t="array" aca="1" ref="W620" ca="1">IFERROR(INDIRECT("$U"&amp;V620),"")</f>
        <v/>
      </c>
      <c r="Z620" t="e" cm="1">
        <f t="array" ref="Z620">INDEX($AE$2:$AN$40,MOD(ROW()-ROW($AE$2),ROWS($AE$2:$AN$40))+1,INT((ROW()-ROW($AE$2))/ROWS($AE$2:$AN$40))+1)</f>
        <v>#REF!</v>
      </c>
      <c r="AA620" t="e">
        <f t="shared" ca="1" si="29"/>
        <v>#N/A</v>
      </c>
      <c r="AB620" t="str" cm="1">
        <f t="array" aca="1" ref="AB620" ca="1">IFERROR(INDIRECT("$Z"&amp;AA620),"")</f>
        <v/>
      </c>
    </row>
    <row r="621" spans="5:28" x14ac:dyDescent="0.2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2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28"/>
        <v>#N/A</v>
      </c>
      <c r="W621" t="str" cm="1">
        <f t="array" aca="1" ref="W621" ca="1">IFERROR(INDIRECT("$U"&amp;V621),"")</f>
        <v/>
      </c>
      <c r="Z621" t="e" cm="1">
        <f t="array" ref="Z621">INDEX($AE$2:$AN$40,MOD(ROW()-ROW($AE$2),ROWS($AE$2:$AN$40))+1,INT((ROW()-ROW($AE$2))/ROWS($AE$2:$AN$40))+1)</f>
        <v>#REF!</v>
      </c>
      <c r="AA621" t="e">
        <f t="shared" ca="1" si="29"/>
        <v>#N/A</v>
      </c>
      <c r="AB621" t="str" cm="1">
        <f t="array" aca="1" ref="AB621" ca="1">IFERROR(INDIRECT("$Z"&amp;AA621),"")</f>
        <v/>
      </c>
    </row>
    <row r="622" spans="5:28" x14ac:dyDescent="0.2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2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28"/>
        <v>#N/A</v>
      </c>
      <c r="W622" t="str" cm="1">
        <f t="array" aca="1" ref="W622" ca="1">IFERROR(INDIRECT("$U"&amp;V622),"")</f>
        <v/>
      </c>
      <c r="Z622" t="e" cm="1">
        <f t="array" ref="Z622">INDEX($AE$2:$AN$40,MOD(ROW()-ROW($AE$2),ROWS($AE$2:$AN$40))+1,INT((ROW()-ROW($AE$2))/ROWS($AE$2:$AN$40))+1)</f>
        <v>#REF!</v>
      </c>
      <c r="AA622" t="e">
        <f t="shared" ca="1" si="29"/>
        <v>#N/A</v>
      </c>
      <c r="AB622" t="str" cm="1">
        <f t="array" aca="1" ref="AB622" ca="1">IFERROR(INDIRECT("$Z"&amp;AA622),"")</f>
        <v/>
      </c>
    </row>
    <row r="623" spans="5:28" x14ac:dyDescent="0.2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2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28"/>
        <v>#N/A</v>
      </c>
      <c r="W623" t="str" cm="1">
        <f t="array" aca="1" ref="W623" ca="1">IFERROR(INDIRECT("$U"&amp;V623),"")</f>
        <v/>
      </c>
      <c r="Z623" t="e" cm="1">
        <f t="array" ref="Z623">INDEX($AE$2:$AN$40,MOD(ROW()-ROW($AE$2),ROWS($AE$2:$AN$40))+1,INT((ROW()-ROW($AE$2))/ROWS($AE$2:$AN$40))+1)</f>
        <v>#REF!</v>
      </c>
      <c r="AA623" t="e">
        <f t="shared" ca="1" si="29"/>
        <v>#N/A</v>
      </c>
      <c r="AB623" t="str" cm="1">
        <f t="array" aca="1" ref="AB623" ca="1">IFERROR(INDIRECT("$Z"&amp;AA623),"")</f>
        <v/>
      </c>
    </row>
    <row r="624" spans="5:28" x14ac:dyDescent="0.2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2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28"/>
        <v>#N/A</v>
      </c>
      <c r="W624" t="str" cm="1">
        <f t="array" aca="1" ref="W624" ca="1">IFERROR(INDIRECT("$U"&amp;V624),"")</f>
        <v/>
      </c>
      <c r="Z624" t="e" cm="1">
        <f t="array" ref="Z624">INDEX($AE$2:$AN$40,MOD(ROW()-ROW($AE$2),ROWS($AE$2:$AN$40))+1,INT((ROW()-ROW($AE$2))/ROWS($AE$2:$AN$40))+1)</f>
        <v>#REF!</v>
      </c>
      <c r="AA624" t="e">
        <f t="shared" ca="1" si="29"/>
        <v>#N/A</v>
      </c>
      <c r="AB624" t="str" cm="1">
        <f t="array" aca="1" ref="AB624" ca="1">IFERROR(INDIRECT("$Z"&amp;AA624),"")</f>
        <v/>
      </c>
    </row>
    <row r="625" spans="5:28" x14ac:dyDescent="0.2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2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28"/>
        <v>#N/A</v>
      </c>
      <c r="W625" t="str" cm="1">
        <f t="array" aca="1" ref="W625" ca="1">IFERROR(INDIRECT("$U"&amp;V625),"")</f>
        <v/>
      </c>
      <c r="Z625" t="e" cm="1">
        <f t="array" ref="Z625">INDEX($AE$2:$AN$40,MOD(ROW()-ROW($AE$2),ROWS($AE$2:$AN$40))+1,INT((ROW()-ROW($AE$2))/ROWS($AE$2:$AN$40))+1)</f>
        <v>#REF!</v>
      </c>
      <c r="AA625" t="e">
        <f t="shared" ca="1" si="29"/>
        <v>#N/A</v>
      </c>
      <c r="AB625" t="str" cm="1">
        <f t="array" aca="1" ref="AB625" ca="1">IFERROR(INDIRECT("$Z"&amp;AA625),"")</f>
        <v/>
      </c>
    </row>
    <row r="626" spans="5:28" x14ac:dyDescent="0.2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2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28"/>
        <v>#N/A</v>
      </c>
      <c r="W626" t="str" cm="1">
        <f t="array" aca="1" ref="W626" ca="1">IFERROR(INDIRECT("$U"&amp;V626),"")</f>
        <v/>
      </c>
      <c r="Z626" t="e" cm="1">
        <f t="array" ref="Z626">INDEX($AE$2:$AN$40,MOD(ROW()-ROW($AE$2),ROWS($AE$2:$AN$40))+1,INT((ROW()-ROW($AE$2))/ROWS($AE$2:$AN$40))+1)</f>
        <v>#REF!</v>
      </c>
      <c r="AA626" t="e">
        <f t="shared" ca="1" si="29"/>
        <v>#N/A</v>
      </c>
      <c r="AB626" t="str" cm="1">
        <f t="array" aca="1" ref="AB626" ca="1">IFERROR(INDIRECT("$Z"&amp;AA626),"")</f>
        <v/>
      </c>
    </row>
    <row r="627" spans="5:28" x14ac:dyDescent="0.2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2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28"/>
        <v>#N/A</v>
      </c>
      <c r="W627" t="str" cm="1">
        <f t="array" aca="1" ref="W627" ca="1">IFERROR(INDIRECT("$U"&amp;V627),"")</f>
        <v/>
      </c>
      <c r="Z627" t="e" cm="1">
        <f t="array" ref="Z627">INDEX($AE$2:$AN$40,MOD(ROW()-ROW($AE$2),ROWS($AE$2:$AN$40))+1,INT((ROW()-ROW($AE$2))/ROWS($AE$2:$AN$40))+1)</f>
        <v>#REF!</v>
      </c>
      <c r="AA627" t="e">
        <f t="shared" ca="1" si="29"/>
        <v>#N/A</v>
      </c>
      <c r="AB627" t="str" cm="1">
        <f t="array" aca="1" ref="AB627" ca="1">IFERROR(INDIRECT("$Z"&amp;AA627),"")</f>
        <v/>
      </c>
    </row>
    <row r="628" spans="5:28" x14ac:dyDescent="0.2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2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28"/>
        <v>#N/A</v>
      </c>
      <c r="W628" t="str" cm="1">
        <f t="array" aca="1" ref="W628" ca="1">IFERROR(INDIRECT("$U"&amp;V628),"")</f>
        <v/>
      </c>
      <c r="Z628" t="e" cm="1">
        <f t="array" ref="Z628">INDEX($AE$2:$AN$40,MOD(ROW()-ROW($AE$2),ROWS($AE$2:$AN$40))+1,INT((ROW()-ROW($AE$2))/ROWS($AE$2:$AN$40))+1)</f>
        <v>#REF!</v>
      </c>
      <c r="AA628" t="e">
        <f t="shared" ca="1" si="29"/>
        <v>#N/A</v>
      </c>
      <c r="AB628" t="str" cm="1">
        <f t="array" aca="1" ref="AB628" ca="1">IFERROR(INDIRECT("$Z"&amp;AA628),"")</f>
        <v/>
      </c>
    </row>
    <row r="629" spans="5:28" x14ac:dyDescent="0.2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2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28"/>
        <v>#N/A</v>
      </c>
      <c r="W629" t="str" cm="1">
        <f t="array" aca="1" ref="W629" ca="1">IFERROR(INDIRECT("$U"&amp;V629),"")</f>
        <v/>
      </c>
      <c r="Z629" t="e" cm="1">
        <f t="array" ref="Z629">INDEX($AE$2:$AN$40,MOD(ROW()-ROW($AE$2),ROWS($AE$2:$AN$40))+1,INT((ROW()-ROW($AE$2))/ROWS($AE$2:$AN$40))+1)</f>
        <v>#REF!</v>
      </c>
      <c r="AA629" t="e">
        <f t="shared" ca="1" si="29"/>
        <v>#N/A</v>
      </c>
      <c r="AB629" t="str" cm="1">
        <f t="array" aca="1" ref="AB629" ca="1">IFERROR(INDIRECT("$Z"&amp;AA629),"")</f>
        <v/>
      </c>
    </row>
    <row r="630" spans="5:28" x14ac:dyDescent="0.2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2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28"/>
        <v>#N/A</v>
      </c>
      <c r="W630" t="str" cm="1">
        <f t="array" aca="1" ref="W630" ca="1">IFERROR(INDIRECT("$U"&amp;V630),"")</f>
        <v/>
      </c>
      <c r="Z630" t="e" cm="1">
        <f t="array" ref="Z630">INDEX($AE$2:$AN$40,MOD(ROW()-ROW($AE$2),ROWS($AE$2:$AN$40))+1,INT((ROW()-ROW($AE$2))/ROWS($AE$2:$AN$40))+1)</f>
        <v>#REF!</v>
      </c>
      <c r="AA630" t="e">
        <f t="shared" ca="1" si="29"/>
        <v>#N/A</v>
      </c>
      <c r="AB630" t="str" cm="1">
        <f t="array" aca="1" ref="AB630" ca="1">IFERROR(INDIRECT("$Z"&amp;AA630),"")</f>
        <v/>
      </c>
    </row>
    <row r="631" spans="5:28" x14ac:dyDescent="0.2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2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28"/>
        <v>#N/A</v>
      </c>
      <c r="W631" t="str" cm="1">
        <f t="array" aca="1" ref="W631" ca="1">IFERROR(INDIRECT("$U"&amp;V631),"")</f>
        <v/>
      </c>
      <c r="Z631" t="e" cm="1">
        <f t="array" ref="Z631">INDEX($AE$2:$AN$40,MOD(ROW()-ROW($AE$2),ROWS($AE$2:$AN$40))+1,INT((ROW()-ROW($AE$2))/ROWS($AE$2:$AN$40))+1)</f>
        <v>#REF!</v>
      </c>
      <c r="AA631" t="e">
        <f t="shared" ca="1" si="29"/>
        <v>#N/A</v>
      </c>
      <c r="AB631" t="str" cm="1">
        <f t="array" aca="1" ref="AB631" ca="1">IFERROR(INDIRECT("$Z"&amp;AA631),"")</f>
        <v/>
      </c>
    </row>
    <row r="632" spans="5:28" x14ac:dyDescent="0.2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2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28"/>
        <v>#N/A</v>
      </c>
      <c r="W632" t="str" cm="1">
        <f t="array" aca="1" ref="W632" ca="1">IFERROR(INDIRECT("$U"&amp;V632),"")</f>
        <v/>
      </c>
      <c r="Z632" t="e" cm="1">
        <f t="array" ref="Z632">INDEX($AE$2:$AN$40,MOD(ROW()-ROW($AE$2),ROWS($AE$2:$AN$40))+1,INT((ROW()-ROW($AE$2))/ROWS($AE$2:$AN$40))+1)</f>
        <v>#REF!</v>
      </c>
      <c r="AA632" t="e">
        <f t="shared" ca="1" si="29"/>
        <v>#N/A</v>
      </c>
      <c r="AB632" t="str" cm="1">
        <f t="array" aca="1" ref="AB632" ca="1">IFERROR(INDIRECT("$Z"&amp;AA632),"")</f>
        <v/>
      </c>
    </row>
    <row r="633" spans="5:28" x14ac:dyDescent="0.2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2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28"/>
        <v>#N/A</v>
      </c>
      <c r="W633" t="str" cm="1">
        <f t="array" aca="1" ref="W633" ca="1">IFERROR(INDIRECT("$U"&amp;V633),"")</f>
        <v/>
      </c>
      <c r="Z633" t="e" cm="1">
        <f t="array" ref="Z633">INDEX($AE$2:$AN$40,MOD(ROW()-ROW($AE$2),ROWS($AE$2:$AN$40))+1,INT((ROW()-ROW($AE$2))/ROWS($AE$2:$AN$40))+1)</f>
        <v>#REF!</v>
      </c>
      <c r="AA633" t="e">
        <f t="shared" ca="1" si="29"/>
        <v>#N/A</v>
      </c>
      <c r="AB633" t="str" cm="1">
        <f t="array" aca="1" ref="AB633" ca="1">IFERROR(INDIRECT("$Z"&amp;AA633),"")</f>
        <v/>
      </c>
    </row>
    <row r="634" spans="5:28" x14ac:dyDescent="0.2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2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28"/>
        <v>#N/A</v>
      </c>
      <c r="W634" t="str" cm="1">
        <f t="array" aca="1" ref="W634" ca="1">IFERROR(INDIRECT("$U"&amp;V634),"")</f>
        <v/>
      </c>
      <c r="Z634" t="e" cm="1">
        <f t="array" ref="Z634">INDEX($AE$2:$AN$40,MOD(ROW()-ROW($AE$2),ROWS($AE$2:$AN$40))+1,INT((ROW()-ROW($AE$2))/ROWS($AE$2:$AN$40))+1)</f>
        <v>#REF!</v>
      </c>
      <c r="AA634" t="e">
        <f t="shared" ca="1" si="29"/>
        <v>#N/A</v>
      </c>
      <c r="AB634" t="str" cm="1">
        <f t="array" aca="1" ref="AB634" ca="1">IFERROR(INDIRECT("$Z"&amp;AA634),"")</f>
        <v/>
      </c>
    </row>
    <row r="635" spans="5:28" x14ac:dyDescent="0.2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2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28"/>
        <v>#N/A</v>
      </c>
      <c r="W635" t="str" cm="1">
        <f t="array" aca="1" ref="W635" ca="1">IFERROR(INDIRECT("$U"&amp;V635),"")</f>
        <v/>
      </c>
      <c r="Z635" t="e" cm="1">
        <f t="array" ref="Z635">INDEX($AE$2:$AN$40,MOD(ROW()-ROW($AE$2),ROWS($AE$2:$AN$40))+1,INT((ROW()-ROW($AE$2))/ROWS($AE$2:$AN$40))+1)</f>
        <v>#REF!</v>
      </c>
      <c r="AA635" t="e">
        <f t="shared" ca="1" si="29"/>
        <v>#N/A</v>
      </c>
      <c r="AB635" t="str" cm="1">
        <f t="array" aca="1" ref="AB635" ca="1">IFERROR(INDIRECT("$Z"&amp;AA635),"")</f>
        <v/>
      </c>
    </row>
    <row r="636" spans="5:28" x14ac:dyDescent="0.2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2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28"/>
        <v>#N/A</v>
      </c>
      <c r="W636" t="str" cm="1">
        <f t="array" aca="1" ref="W636" ca="1">IFERROR(INDIRECT("$U"&amp;V636),"")</f>
        <v/>
      </c>
      <c r="Z636" t="e" cm="1">
        <f t="array" ref="Z636">INDEX($AE$2:$AN$40,MOD(ROW()-ROW($AE$2),ROWS($AE$2:$AN$40))+1,INT((ROW()-ROW($AE$2))/ROWS($AE$2:$AN$40))+1)</f>
        <v>#REF!</v>
      </c>
      <c r="AA636" t="e">
        <f t="shared" ca="1" si="29"/>
        <v>#N/A</v>
      </c>
      <c r="AB636" t="str" cm="1">
        <f t="array" aca="1" ref="AB636" ca="1">IFERROR(INDIRECT("$Z"&amp;AA636),"")</f>
        <v/>
      </c>
    </row>
    <row r="637" spans="5:28" x14ac:dyDescent="0.2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2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28"/>
        <v>#N/A</v>
      </c>
      <c r="W637" t="str" cm="1">
        <f t="array" aca="1" ref="W637" ca="1">IFERROR(INDIRECT("$U"&amp;V637),"")</f>
        <v/>
      </c>
      <c r="Z637" t="e" cm="1">
        <f t="array" ref="Z637">INDEX($AE$2:$AN$40,MOD(ROW()-ROW($AE$2),ROWS($AE$2:$AN$40))+1,INT((ROW()-ROW($AE$2))/ROWS($AE$2:$AN$40))+1)</f>
        <v>#REF!</v>
      </c>
      <c r="AA637" t="e">
        <f t="shared" ca="1" si="29"/>
        <v>#N/A</v>
      </c>
      <c r="AB637" t="str" cm="1">
        <f t="array" aca="1" ref="AB637" ca="1">IFERROR(INDIRECT("$Z"&amp;AA637),"")</f>
        <v/>
      </c>
    </row>
    <row r="638" spans="5:28" x14ac:dyDescent="0.2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2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28"/>
        <v>#N/A</v>
      </c>
      <c r="W638" t="str" cm="1">
        <f t="array" aca="1" ref="W638" ca="1">IFERROR(INDIRECT("$U"&amp;V638),"")</f>
        <v/>
      </c>
      <c r="Z638" t="e" cm="1">
        <f t="array" ref="Z638">INDEX($AE$2:$AN$40,MOD(ROW()-ROW($AE$2),ROWS($AE$2:$AN$40))+1,INT((ROW()-ROW($AE$2))/ROWS($AE$2:$AN$40))+1)</f>
        <v>#REF!</v>
      </c>
      <c r="AA638" t="e">
        <f t="shared" ca="1" si="29"/>
        <v>#N/A</v>
      </c>
      <c r="AB638" t="str" cm="1">
        <f t="array" aca="1" ref="AB638" ca="1">IFERROR(INDIRECT("$Z"&amp;AA638),"")</f>
        <v/>
      </c>
    </row>
    <row r="639" spans="5:28" x14ac:dyDescent="0.2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2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28"/>
        <v>#N/A</v>
      </c>
      <c r="W639" t="str" cm="1">
        <f t="array" aca="1" ref="W639" ca="1">IFERROR(INDIRECT("$U"&amp;V639),"")</f>
        <v/>
      </c>
      <c r="Z639" t="e" cm="1">
        <f t="array" ref="Z639">INDEX($AE$2:$AN$40,MOD(ROW()-ROW($AE$2),ROWS($AE$2:$AN$40))+1,INT((ROW()-ROW($AE$2))/ROWS($AE$2:$AN$40))+1)</f>
        <v>#REF!</v>
      </c>
      <c r="AA639" t="e">
        <f t="shared" ca="1" si="29"/>
        <v>#N/A</v>
      </c>
      <c r="AB639" t="str" cm="1">
        <f t="array" aca="1" ref="AB639" ca="1">IFERROR(INDIRECT("$Z"&amp;AA639),"")</f>
        <v/>
      </c>
    </row>
    <row r="640" spans="5:28" x14ac:dyDescent="0.2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2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28"/>
        <v>#N/A</v>
      </c>
      <c r="W640" t="str" cm="1">
        <f t="array" aca="1" ref="W640" ca="1">IFERROR(INDIRECT("$U"&amp;V640),"")</f>
        <v/>
      </c>
      <c r="Z640" t="e" cm="1">
        <f t="array" ref="Z640">INDEX($AE$2:$AN$40,MOD(ROW()-ROW($AE$2),ROWS($AE$2:$AN$40))+1,INT((ROW()-ROW($AE$2))/ROWS($AE$2:$AN$40))+1)</f>
        <v>#REF!</v>
      </c>
      <c r="AA640" t="e">
        <f t="shared" ca="1" si="29"/>
        <v>#N/A</v>
      </c>
      <c r="AB640" t="str" cm="1">
        <f t="array" aca="1" ref="AB640" ca="1">IFERROR(INDIRECT("$Z"&amp;AA640),"")</f>
        <v/>
      </c>
    </row>
    <row r="641" spans="5:28" x14ac:dyDescent="0.2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2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28"/>
        <v>#N/A</v>
      </c>
      <c r="W641" t="str" cm="1">
        <f t="array" aca="1" ref="W641" ca="1">IFERROR(INDIRECT("$U"&amp;V641),"")</f>
        <v/>
      </c>
      <c r="Z641" t="e" cm="1">
        <f t="array" ref="Z641">INDEX($AE$2:$AN$40,MOD(ROW()-ROW($AE$2),ROWS($AE$2:$AN$40))+1,INT((ROW()-ROW($AE$2))/ROWS($AE$2:$AN$40))+1)</f>
        <v>#REF!</v>
      </c>
      <c r="AA641" t="e">
        <f t="shared" ca="1" si="29"/>
        <v>#N/A</v>
      </c>
      <c r="AB641" t="str" cm="1">
        <f t="array" aca="1" ref="AB641" ca="1">IFERROR(INDIRECT("$Z"&amp;AA641),"")</f>
        <v/>
      </c>
    </row>
    <row r="642" spans="5:28" x14ac:dyDescent="0.2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2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28"/>
        <v>#N/A</v>
      </c>
      <c r="W642" t="str" cm="1">
        <f t="array" aca="1" ref="W642" ca="1">IFERROR(INDIRECT("$U"&amp;V642),"")</f>
        <v/>
      </c>
      <c r="Z642" t="e" cm="1">
        <f t="array" ref="Z642">INDEX($AE$2:$AN$40,MOD(ROW()-ROW($AE$2),ROWS($AE$2:$AN$40))+1,INT((ROW()-ROW($AE$2))/ROWS($AE$2:$AN$40))+1)</f>
        <v>#REF!</v>
      </c>
      <c r="AA642" t="e">
        <f t="shared" ca="1" si="29"/>
        <v>#N/A</v>
      </c>
      <c r="AB642" t="str" cm="1">
        <f t="array" aca="1" ref="AB642" ca="1">IFERROR(INDIRECT("$Z"&amp;AA642),"")</f>
        <v/>
      </c>
    </row>
    <row r="643" spans="5:28" x14ac:dyDescent="0.2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2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28"/>
        <v>#N/A</v>
      </c>
      <c r="W643" t="str" cm="1">
        <f t="array" aca="1" ref="W643" ca="1">IFERROR(INDIRECT("$U"&amp;V643),"")</f>
        <v/>
      </c>
      <c r="Z643" t="e" cm="1">
        <f t="array" ref="Z643">INDEX($AE$2:$AN$40,MOD(ROW()-ROW($AE$2),ROWS($AE$2:$AN$40))+1,INT((ROW()-ROW($AE$2))/ROWS($AE$2:$AN$40))+1)</f>
        <v>#REF!</v>
      </c>
      <c r="AA643" t="e">
        <f t="shared" ca="1" si="29"/>
        <v>#N/A</v>
      </c>
      <c r="AB643" t="str" cm="1">
        <f t="array" aca="1" ref="AB643" ca="1">IFERROR(INDIRECT("$Z"&amp;AA643),"")</f>
        <v/>
      </c>
    </row>
    <row r="644" spans="5:28" x14ac:dyDescent="0.2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30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31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INDEX($AE$2:$AN$40,MOD(ROW()-ROW($AE$2),ROWS($AE$2:$AN$40))+1,INT((ROW()-ROW($AE$2))/ROWS($AE$2:$AN$40))+1)</f>
        <v>#REF!</v>
      </c>
      <c r="AA644" t="e">
        <f t="shared" ref="AA644:AA707" ca="1" si="32">MATCH("*",INDIRECT(ADDRESS(AA643+1,26,1)&amp;":$Z$1000"),0)+AA643</f>
        <v>#N/A</v>
      </c>
      <c r="AB644" t="str" cm="1">
        <f t="array" aca="1" ref="AB644" ca="1">IFERROR(INDIRECT("$Z"&amp;AA644),"")</f>
        <v/>
      </c>
    </row>
    <row r="645" spans="5:28" x14ac:dyDescent="0.2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30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31"/>
        <v>#N/A</v>
      </c>
      <c r="W645" t="str" cm="1">
        <f t="array" aca="1" ref="W645" ca="1">IFERROR(INDIRECT("$U"&amp;V645),"")</f>
        <v/>
      </c>
      <c r="Z645" t="e" cm="1">
        <f t="array" ref="Z645">INDEX($AE$2:$AN$40,MOD(ROW()-ROW($AE$2),ROWS($AE$2:$AN$40))+1,INT((ROW()-ROW($AE$2))/ROWS($AE$2:$AN$40))+1)</f>
        <v>#REF!</v>
      </c>
      <c r="AA645" t="e">
        <f t="shared" ca="1" si="32"/>
        <v>#N/A</v>
      </c>
      <c r="AB645" t="str" cm="1">
        <f t="array" aca="1" ref="AB645" ca="1">IFERROR(INDIRECT("$Z"&amp;AA645),"")</f>
        <v/>
      </c>
    </row>
    <row r="646" spans="5:28" x14ac:dyDescent="0.2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30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31"/>
        <v>#N/A</v>
      </c>
      <c r="W646" t="str" cm="1">
        <f t="array" aca="1" ref="W646" ca="1">IFERROR(INDIRECT("$U"&amp;V646),"")</f>
        <v/>
      </c>
      <c r="Z646" t="e" cm="1">
        <f t="array" ref="Z646">INDEX($AE$2:$AN$40,MOD(ROW()-ROW($AE$2),ROWS($AE$2:$AN$40))+1,INT((ROW()-ROW($AE$2))/ROWS($AE$2:$AN$40))+1)</f>
        <v>#REF!</v>
      </c>
      <c r="AA646" t="e">
        <f t="shared" ca="1" si="32"/>
        <v>#N/A</v>
      </c>
      <c r="AB646" t="str" cm="1">
        <f t="array" aca="1" ref="AB646" ca="1">IFERROR(INDIRECT("$Z"&amp;AA646),"")</f>
        <v/>
      </c>
    </row>
    <row r="647" spans="5:28" x14ac:dyDescent="0.2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30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31"/>
        <v>#N/A</v>
      </c>
      <c r="W647" t="str" cm="1">
        <f t="array" aca="1" ref="W647" ca="1">IFERROR(INDIRECT("$U"&amp;V647),"")</f>
        <v/>
      </c>
      <c r="Z647" t="e" cm="1">
        <f t="array" ref="Z647">INDEX($AE$2:$AN$40,MOD(ROW()-ROW($AE$2),ROWS($AE$2:$AN$40))+1,INT((ROW()-ROW($AE$2))/ROWS($AE$2:$AN$40))+1)</f>
        <v>#REF!</v>
      </c>
      <c r="AA647" t="e">
        <f t="shared" ca="1" si="32"/>
        <v>#N/A</v>
      </c>
      <c r="AB647" t="str" cm="1">
        <f t="array" aca="1" ref="AB647" ca="1">IFERROR(INDIRECT("$Z"&amp;AA647),"")</f>
        <v/>
      </c>
    </row>
    <row r="648" spans="5:28" x14ac:dyDescent="0.2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30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31"/>
        <v>#N/A</v>
      </c>
      <c r="W648" t="str" cm="1">
        <f t="array" aca="1" ref="W648" ca="1">IFERROR(INDIRECT("$U"&amp;V648),"")</f>
        <v/>
      </c>
      <c r="Z648" t="e" cm="1">
        <f t="array" ref="Z648">INDEX($AE$2:$AN$40,MOD(ROW()-ROW($AE$2),ROWS($AE$2:$AN$40))+1,INT((ROW()-ROW($AE$2))/ROWS($AE$2:$AN$40))+1)</f>
        <v>#REF!</v>
      </c>
      <c r="AA648" t="e">
        <f t="shared" ca="1" si="32"/>
        <v>#N/A</v>
      </c>
      <c r="AB648" t="str" cm="1">
        <f t="array" aca="1" ref="AB648" ca="1">IFERROR(INDIRECT("$Z"&amp;AA648),"")</f>
        <v/>
      </c>
    </row>
    <row r="649" spans="5:28" x14ac:dyDescent="0.2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30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31"/>
        <v>#N/A</v>
      </c>
      <c r="W649" t="str" cm="1">
        <f t="array" aca="1" ref="W649" ca="1">IFERROR(INDIRECT("$U"&amp;V649),"")</f>
        <v/>
      </c>
      <c r="Z649" t="e" cm="1">
        <f t="array" ref="Z649">INDEX($AE$2:$AN$40,MOD(ROW()-ROW($AE$2),ROWS($AE$2:$AN$40))+1,INT((ROW()-ROW($AE$2))/ROWS($AE$2:$AN$40))+1)</f>
        <v>#REF!</v>
      </c>
      <c r="AA649" t="e">
        <f t="shared" ca="1" si="32"/>
        <v>#N/A</v>
      </c>
      <c r="AB649" t="str" cm="1">
        <f t="array" aca="1" ref="AB649" ca="1">IFERROR(INDIRECT("$Z"&amp;AA649),"")</f>
        <v/>
      </c>
    </row>
    <row r="650" spans="5:28" x14ac:dyDescent="0.2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30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31"/>
        <v>#N/A</v>
      </c>
      <c r="W650" t="str" cm="1">
        <f t="array" aca="1" ref="W650" ca="1">IFERROR(INDIRECT("$U"&amp;V650),"")</f>
        <v/>
      </c>
      <c r="Z650" t="e" cm="1">
        <f t="array" ref="Z650">INDEX($AE$2:$AN$40,MOD(ROW()-ROW($AE$2),ROWS($AE$2:$AN$40))+1,INT((ROW()-ROW($AE$2))/ROWS($AE$2:$AN$40))+1)</f>
        <v>#REF!</v>
      </c>
      <c r="AA650" t="e">
        <f t="shared" ca="1" si="32"/>
        <v>#N/A</v>
      </c>
      <c r="AB650" t="str" cm="1">
        <f t="array" aca="1" ref="AB650" ca="1">IFERROR(INDIRECT("$Z"&amp;AA650),"")</f>
        <v/>
      </c>
    </row>
    <row r="651" spans="5:28" x14ac:dyDescent="0.2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30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31"/>
        <v>#N/A</v>
      </c>
      <c r="W651" t="str" cm="1">
        <f t="array" aca="1" ref="W651" ca="1">IFERROR(INDIRECT("$U"&amp;V651),"")</f>
        <v/>
      </c>
      <c r="Z651" t="e" cm="1">
        <f t="array" ref="Z651">INDEX($AE$2:$AN$40,MOD(ROW()-ROW($AE$2),ROWS($AE$2:$AN$40))+1,INT((ROW()-ROW($AE$2))/ROWS($AE$2:$AN$40))+1)</f>
        <v>#REF!</v>
      </c>
      <c r="AA651" t="e">
        <f t="shared" ca="1" si="32"/>
        <v>#N/A</v>
      </c>
      <c r="AB651" t="str" cm="1">
        <f t="array" aca="1" ref="AB651" ca="1">IFERROR(INDIRECT("$Z"&amp;AA651),"")</f>
        <v/>
      </c>
    </row>
    <row r="652" spans="5:28" x14ac:dyDescent="0.2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30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31"/>
        <v>#N/A</v>
      </c>
      <c r="W652" t="str" cm="1">
        <f t="array" aca="1" ref="W652" ca="1">IFERROR(INDIRECT("$U"&amp;V652),"")</f>
        <v/>
      </c>
      <c r="Z652" t="e" cm="1">
        <f t="array" ref="Z652">INDEX($AE$2:$AN$40,MOD(ROW()-ROW($AE$2),ROWS($AE$2:$AN$40))+1,INT((ROW()-ROW($AE$2))/ROWS($AE$2:$AN$40))+1)</f>
        <v>#REF!</v>
      </c>
      <c r="AA652" t="e">
        <f t="shared" ca="1" si="32"/>
        <v>#N/A</v>
      </c>
      <c r="AB652" t="str" cm="1">
        <f t="array" aca="1" ref="AB652" ca="1">IFERROR(INDIRECT("$Z"&amp;AA652),"")</f>
        <v/>
      </c>
    </row>
    <row r="653" spans="5:28" x14ac:dyDescent="0.2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30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31"/>
        <v>#N/A</v>
      </c>
      <c r="W653" t="str" cm="1">
        <f t="array" aca="1" ref="W653" ca="1">IFERROR(INDIRECT("$U"&amp;V653),"")</f>
        <v/>
      </c>
      <c r="Z653" t="e" cm="1">
        <f t="array" ref="Z653">INDEX($AE$2:$AN$40,MOD(ROW()-ROW($AE$2),ROWS($AE$2:$AN$40))+1,INT((ROW()-ROW($AE$2))/ROWS($AE$2:$AN$40))+1)</f>
        <v>#REF!</v>
      </c>
      <c r="AA653" t="e">
        <f t="shared" ca="1" si="32"/>
        <v>#N/A</v>
      </c>
      <c r="AB653" t="str" cm="1">
        <f t="array" aca="1" ref="AB653" ca="1">IFERROR(INDIRECT("$Z"&amp;AA653),"")</f>
        <v/>
      </c>
    </row>
    <row r="654" spans="5:28" x14ac:dyDescent="0.2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30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31"/>
        <v>#N/A</v>
      </c>
      <c r="W654" t="str" cm="1">
        <f t="array" aca="1" ref="W654" ca="1">IFERROR(INDIRECT("$U"&amp;V654),"")</f>
        <v/>
      </c>
      <c r="Z654" t="e" cm="1">
        <f t="array" ref="Z654">INDEX($AE$2:$AN$40,MOD(ROW()-ROW($AE$2),ROWS($AE$2:$AN$40))+1,INT((ROW()-ROW($AE$2))/ROWS($AE$2:$AN$40))+1)</f>
        <v>#REF!</v>
      </c>
      <c r="AA654" t="e">
        <f t="shared" ca="1" si="32"/>
        <v>#N/A</v>
      </c>
      <c r="AB654" t="str" cm="1">
        <f t="array" aca="1" ref="AB654" ca="1">IFERROR(INDIRECT("$Z"&amp;AA654),"")</f>
        <v/>
      </c>
    </row>
    <row r="655" spans="5:28" x14ac:dyDescent="0.2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30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31"/>
        <v>#N/A</v>
      </c>
      <c r="W655" t="str" cm="1">
        <f t="array" aca="1" ref="W655" ca="1">IFERROR(INDIRECT("$U"&amp;V655),"")</f>
        <v/>
      </c>
      <c r="Z655" t="e" cm="1">
        <f t="array" ref="Z655">INDEX($AE$2:$AN$40,MOD(ROW()-ROW($AE$2),ROWS($AE$2:$AN$40))+1,INT((ROW()-ROW($AE$2))/ROWS($AE$2:$AN$40))+1)</f>
        <v>#REF!</v>
      </c>
      <c r="AA655" t="e">
        <f t="shared" ca="1" si="32"/>
        <v>#N/A</v>
      </c>
      <c r="AB655" t="str" cm="1">
        <f t="array" aca="1" ref="AB655" ca="1">IFERROR(INDIRECT("$Z"&amp;AA655),"")</f>
        <v/>
      </c>
    </row>
    <row r="656" spans="5:28" x14ac:dyDescent="0.2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30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31"/>
        <v>#N/A</v>
      </c>
      <c r="W656" t="str" cm="1">
        <f t="array" aca="1" ref="W656" ca="1">IFERROR(INDIRECT("$U"&amp;V656),"")</f>
        <v/>
      </c>
      <c r="Z656" t="e" cm="1">
        <f t="array" ref="Z656">INDEX($AE$2:$AN$40,MOD(ROW()-ROW($AE$2),ROWS($AE$2:$AN$40))+1,INT((ROW()-ROW($AE$2))/ROWS($AE$2:$AN$40))+1)</f>
        <v>#REF!</v>
      </c>
      <c r="AA656" t="e">
        <f t="shared" ca="1" si="32"/>
        <v>#N/A</v>
      </c>
      <c r="AB656" t="str" cm="1">
        <f t="array" aca="1" ref="AB656" ca="1">IFERROR(INDIRECT("$Z"&amp;AA656),"")</f>
        <v/>
      </c>
    </row>
    <row r="657" spans="5:28" x14ac:dyDescent="0.2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30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31"/>
        <v>#N/A</v>
      </c>
      <c r="W657" t="str" cm="1">
        <f t="array" aca="1" ref="W657" ca="1">IFERROR(INDIRECT("$U"&amp;V657),"")</f>
        <v/>
      </c>
      <c r="Z657" t="e" cm="1">
        <f t="array" ref="Z657">INDEX($AE$2:$AN$40,MOD(ROW()-ROW($AE$2),ROWS($AE$2:$AN$40))+1,INT((ROW()-ROW($AE$2))/ROWS($AE$2:$AN$40))+1)</f>
        <v>#REF!</v>
      </c>
      <c r="AA657" t="e">
        <f t="shared" ca="1" si="32"/>
        <v>#N/A</v>
      </c>
      <c r="AB657" t="str" cm="1">
        <f t="array" aca="1" ref="AB657" ca="1">IFERROR(INDIRECT("$Z"&amp;AA657),"")</f>
        <v/>
      </c>
    </row>
    <row r="658" spans="5:28" x14ac:dyDescent="0.2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30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31"/>
        <v>#N/A</v>
      </c>
      <c r="W658" t="str" cm="1">
        <f t="array" aca="1" ref="W658" ca="1">IFERROR(INDIRECT("$U"&amp;V658),"")</f>
        <v/>
      </c>
      <c r="Z658" t="e" cm="1">
        <f t="array" ref="Z658">INDEX($AE$2:$AN$40,MOD(ROW()-ROW($AE$2),ROWS($AE$2:$AN$40))+1,INT((ROW()-ROW($AE$2))/ROWS($AE$2:$AN$40))+1)</f>
        <v>#REF!</v>
      </c>
      <c r="AA658" t="e">
        <f t="shared" ca="1" si="32"/>
        <v>#N/A</v>
      </c>
      <c r="AB658" t="str" cm="1">
        <f t="array" aca="1" ref="AB658" ca="1">IFERROR(INDIRECT("$Z"&amp;AA658),"")</f>
        <v/>
      </c>
    </row>
    <row r="659" spans="5:28" x14ac:dyDescent="0.2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30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31"/>
        <v>#N/A</v>
      </c>
      <c r="W659" t="str" cm="1">
        <f t="array" aca="1" ref="W659" ca="1">IFERROR(INDIRECT("$U"&amp;V659),"")</f>
        <v/>
      </c>
      <c r="Z659" t="e" cm="1">
        <f t="array" ref="Z659">INDEX($AE$2:$AN$40,MOD(ROW()-ROW($AE$2),ROWS($AE$2:$AN$40))+1,INT((ROW()-ROW($AE$2))/ROWS($AE$2:$AN$40))+1)</f>
        <v>#REF!</v>
      </c>
      <c r="AA659" t="e">
        <f t="shared" ca="1" si="32"/>
        <v>#N/A</v>
      </c>
      <c r="AB659" t="str" cm="1">
        <f t="array" aca="1" ref="AB659" ca="1">IFERROR(INDIRECT("$Z"&amp;AA659),"")</f>
        <v/>
      </c>
    </row>
    <row r="660" spans="5:28" x14ac:dyDescent="0.2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30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31"/>
        <v>#N/A</v>
      </c>
      <c r="W660" t="str" cm="1">
        <f t="array" aca="1" ref="W660" ca="1">IFERROR(INDIRECT("$U"&amp;V660),"")</f>
        <v/>
      </c>
      <c r="Z660" t="e" cm="1">
        <f t="array" ref="Z660">INDEX($AE$2:$AN$40,MOD(ROW()-ROW($AE$2),ROWS($AE$2:$AN$40))+1,INT((ROW()-ROW($AE$2))/ROWS($AE$2:$AN$40))+1)</f>
        <v>#REF!</v>
      </c>
      <c r="AA660" t="e">
        <f t="shared" ca="1" si="32"/>
        <v>#N/A</v>
      </c>
      <c r="AB660" t="str" cm="1">
        <f t="array" aca="1" ref="AB660" ca="1">IFERROR(INDIRECT("$Z"&amp;AA660),"")</f>
        <v/>
      </c>
    </row>
    <row r="661" spans="5:28" x14ac:dyDescent="0.2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30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31"/>
        <v>#N/A</v>
      </c>
      <c r="W661" t="str" cm="1">
        <f t="array" aca="1" ref="W661" ca="1">IFERROR(INDIRECT("$U"&amp;V661),"")</f>
        <v/>
      </c>
      <c r="Z661" t="e" cm="1">
        <f t="array" ref="Z661">INDEX($AE$2:$AN$40,MOD(ROW()-ROW($AE$2),ROWS($AE$2:$AN$40))+1,INT((ROW()-ROW($AE$2))/ROWS($AE$2:$AN$40))+1)</f>
        <v>#REF!</v>
      </c>
      <c r="AA661" t="e">
        <f t="shared" ca="1" si="32"/>
        <v>#N/A</v>
      </c>
      <c r="AB661" t="str" cm="1">
        <f t="array" aca="1" ref="AB661" ca="1">IFERROR(INDIRECT("$Z"&amp;AA661),"")</f>
        <v/>
      </c>
    </row>
    <row r="662" spans="5:28" x14ac:dyDescent="0.2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30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31"/>
        <v>#N/A</v>
      </c>
      <c r="W662" t="str" cm="1">
        <f t="array" aca="1" ref="W662" ca="1">IFERROR(INDIRECT("$U"&amp;V662),"")</f>
        <v/>
      </c>
      <c r="Z662" t="e" cm="1">
        <f t="array" ref="Z662">INDEX($AE$2:$AN$40,MOD(ROW()-ROW($AE$2),ROWS($AE$2:$AN$40))+1,INT((ROW()-ROW($AE$2))/ROWS($AE$2:$AN$40))+1)</f>
        <v>#REF!</v>
      </c>
      <c r="AA662" t="e">
        <f t="shared" ca="1" si="32"/>
        <v>#N/A</v>
      </c>
      <c r="AB662" t="str" cm="1">
        <f t="array" aca="1" ref="AB662" ca="1">IFERROR(INDIRECT("$Z"&amp;AA662),"")</f>
        <v/>
      </c>
    </row>
    <row r="663" spans="5:28" x14ac:dyDescent="0.2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30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31"/>
        <v>#N/A</v>
      </c>
      <c r="W663" t="str" cm="1">
        <f t="array" aca="1" ref="W663" ca="1">IFERROR(INDIRECT("$U"&amp;V663),"")</f>
        <v/>
      </c>
      <c r="Z663" t="e" cm="1">
        <f t="array" ref="Z663">INDEX($AE$2:$AN$40,MOD(ROW()-ROW($AE$2),ROWS($AE$2:$AN$40))+1,INT((ROW()-ROW($AE$2))/ROWS($AE$2:$AN$40))+1)</f>
        <v>#REF!</v>
      </c>
      <c r="AA663" t="e">
        <f t="shared" ca="1" si="32"/>
        <v>#N/A</v>
      </c>
      <c r="AB663" t="str" cm="1">
        <f t="array" aca="1" ref="AB663" ca="1">IFERROR(INDIRECT("$Z"&amp;AA663),"")</f>
        <v/>
      </c>
    </row>
    <row r="664" spans="5:28" x14ac:dyDescent="0.2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30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31"/>
        <v>#N/A</v>
      </c>
      <c r="W664" t="str" cm="1">
        <f t="array" aca="1" ref="W664" ca="1">IFERROR(INDIRECT("$U"&amp;V664),"")</f>
        <v/>
      </c>
      <c r="Z664" t="e" cm="1">
        <f t="array" ref="Z664">INDEX($AE$2:$AN$40,MOD(ROW()-ROW($AE$2),ROWS($AE$2:$AN$40))+1,INT((ROW()-ROW($AE$2))/ROWS($AE$2:$AN$40))+1)</f>
        <v>#REF!</v>
      </c>
      <c r="AA664" t="e">
        <f t="shared" ca="1" si="32"/>
        <v>#N/A</v>
      </c>
      <c r="AB664" t="str" cm="1">
        <f t="array" aca="1" ref="AB664" ca="1">IFERROR(INDIRECT("$Z"&amp;AA664),"")</f>
        <v/>
      </c>
    </row>
    <row r="665" spans="5:28" x14ac:dyDescent="0.2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30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31"/>
        <v>#N/A</v>
      </c>
      <c r="W665" t="str" cm="1">
        <f t="array" aca="1" ref="W665" ca="1">IFERROR(INDIRECT("$U"&amp;V665),"")</f>
        <v/>
      </c>
      <c r="Z665" t="e" cm="1">
        <f t="array" ref="Z665">INDEX($AE$2:$AN$40,MOD(ROW()-ROW($AE$2),ROWS($AE$2:$AN$40))+1,INT((ROW()-ROW($AE$2))/ROWS($AE$2:$AN$40))+1)</f>
        <v>#REF!</v>
      </c>
      <c r="AA665" t="e">
        <f t="shared" ca="1" si="32"/>
        <v>#N/A</v>
      </c>
      <c r="AB665" t="str" cm="1">
        <f t="array" aca="1" ref="AB665" ca="1">IFERROR(INDIRECT("$Z"&amp;AA665),"")</f>
        <v/>
      </c>
    </row>
    <row r="666" spans="5:28" x14ac:dyDescent="0.2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30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31"/>
        <v>#N/A</v>
      </c>
      <c r="W666" t="str" cm="1">
        <f t="array" aca="1" ref="W666" ca="1">IFERROR(INDIRECT("$U"&amp;V666),"")</f>
        <v/>
      </c>
      <c r="Z666" t="e" cm="1">
        <f t="array" ref="Z666">INDEX($AE$2:$AN$40,MOD(ROW()-ROW($AE$2),ROWS($AE$2:$AN$40))+1,INT((ROW()-ROW($AE$2))/ROWS($AE$2:$AN$40))+1)</f>
        <v>#REF!</v>
      </c>
      <c r="AA666" t="e">
        <f t="shared" ca="1" si="32"/>
        <v>#N/A</v>
      </c>
      <c r="AB666" t="str" cm="1">
        <f t="array" aca="1" ref="AB666" ca="1">IFERROR(INDIRECT("$Z"&amp;AA666),"")</f>
        <v/>
      </c>
    </row>
    <row r="667" spans="5:28" x14ac:dyDescent="0.2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30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31"/>
        <v>#N/A</v>
      </c>
      <c r="W667" t="str" cm="1">
        <f t="array" aca="1" ref="W667" ca="1">IFERROR(INDIRECT("$U"&amp;V667),"")</f>
        <v/>
      </c>
      <c r="Z667" t="e" cm="1">
        <f t="array" ref="Z667">INDEX($AE$2:$AN$40,MOD(ROW()-ROW($AE$2),ROWS($AE$2:$AN$40))+1,INT((ROW()-ROW($AE$2))/ROWS($AE$2:$AN$40))+1)</f>
        <v>#REF!</v>
      </c>
      <c r="AA667" t="e">
        <f t="shared" ca="1" si="32"/>
        <v>#N/A</v>
      </c>
      <c r="AB667" t="str" cm="1">
        <f t="array" aca="1" ref="AB667" ca="1">IFERROR(INDIRECT("$Z"&amp;AA667),"")</f>
        <v/>
      </c>
    </row>
    <row r="668" spans="5:28" x14ac:dyDescent="0.2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30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31"/>
        <v>#N/A</v>
      </c>
      <c r="W668" t="str" cm="1">
        <f t="array" aca="1" ref="W668" ca="1">IFERROR(INDIRECT("$U"&amp;V668),"")</f>
        <v/>
      </c>
      <c r="Z668" t="e" cm="1">
        <f t="array" ref="Z668">INDEX($AE$2:$AN$40,MOD(ROW()-ROW($AE$2),ROWS($AE$2:$AN$40))+1,INT((ROW()-ROW($AE$2))/ROWS($AE$2:$AN$40))+1)</f>
        <v>#REF!</v>
      </c>
      <c r="AA668" t="e">
        <f t="shared" ca="1" si="32"/>
        <v>#N/A</v>
      </c>
      <c r="AB668" t="str" cm="1">
        <f t="array" aca="1" ref="AB668" ca="1">IFERROR(INDIRECT("$Z"&amp;AA668),"")</f>
        <v/>
      </c>
    </row>
    <row r="669" spans="5:28" x14ac:dyDescent="0.2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30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31"/>
        <v>#N/A</v>
      </c>
      <c r="W669" t="str" cm="1">
        <f t="array" aca="1" ref="W669" ca="1">IFERROR(INDIRECT("$U"&amp;V669),"")</f>
        <v/>
      </c>
      <c r="Z669" t="e" cm="1">
        <f t="array" ref="Z669">INDEX($AE$2:$AN$40,MOD(ROW()-ROW($AE$2),ROWS($AE$2:$AN$40))+1,INT((ROW()-ROW($AE$2))/ROWS($AE$2:$AN$40))+1)</f>
        <v>#REF!</v>
      </c>
      <c r="AA669" t="e">
        <f t="shared" ca="1" si="32"/>
        <v>#N/A</v>
      </c>
      <c r="AB669" t="str" cm="1">
        <f t="array" aca="1" ref="AB669" ca="1">IFERROR(INDIRECT("$Z"&amp;AA669),"")</f>
        <v/>
      </c>
    </row>
    <row r="670" spans="5:28" x14ac:dyDescent="0.2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30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31"/>
        <v>#N/A</v>
      </c>
      <c r="W670" t="str" cm="1">
        <f t="array" aca="1" ref="W670" ca="1">IFERROR(INDIRECT("$U"&amp;V670),"")</f>
        <v/>
      </c>
      <c r="Z670" t="e" cm="1">
        <f t="array" ref="Z670">INDEX($AE$2:$AN$40,MOD(ROW()-ROW($AE$2),ROWS($AE$2:$AN$40))+1,INT((ROW()-ROW($AE$2))/ROWS($AE$2:$AN$40))+1)</f>
        <v>#REF!</v>
      </c>
      <c r="AA670" t="e">
        <f t="shared" ca="1" si="32"/>
        <v>#N/A</v>
      </c>
      <c r="AB670" t="str" cm="1">
        <f t="array" aca="1" ref="AB670" ca="1">IFERROR(INDIRECT("$Z"&amp;AA670),"")</f>
        <v/>
      </c>
    </row>
    <row r="671" spans="5:28" x14ac:dyDescent="0.2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30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31"/>
        <v>#N/A</v>
      </c>
      <c r="W671" t="str" cm="1">
        <f t="array" aca="1" ref="W671" ca="1">IFERROR(INDIRECT("$U"&amp;V671),"")</f>
        <v/>
      </c>
      <c r="Z671" t="e" cm="1">
        <f t="array" ref="Z671">INDEX($AE$2:$AN$40,MOD(ROW()-ROW($AE$2),ROWS($AE$2:$AN$40))+1,INT((ROW()-ROW($AE$2))/ROWS($AE$2:$AN$40))+1)</f>
        <v>#REF!</v>
      </c>
      <c r="AA671" t="e">
        <f t="shared" ca="1" si="32"/>
        <v>#N/A</v>
      </c>
      <c r="AB671" t="str" cm="1">
        <f t="array" aca="1" ref="AB671" ca="1">IFERROR(INDIRECT("$Z"&amp;AA671),"")</f>
        <v/>
      </c>
    </row>
    <row r="672" spans="5:28" x14ac:dyDescent="0.2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30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31"/>
        <v>#N/A</v>
      </c>
      <c r="W672" t="str" cm="1">
        <f t="array" aca="1" ref="W672" ca="1">IFERROR(INDIRECT("$U"&amp;V672),"")</f>
        <v/>
      </c>
      <c r="Z672" t="e" cm="1">
        <f t="array" ref="Z672">INDEX($AE$2:$AN$40,MOD(ROW()-ROW($AE$2),ROWS($AE$2:$AN$40))+1,INT((ROW()-ROW($AE$2))/ROWS($AE$2:$AN$40))+1)</f>
        <v>#REF!</v>
      </c>
      <c r="AA672" t="e">
        <f t="shared" ca="1" si="32"/>
        <v>#N/A</v>
      </c>
      <c r="AB672" t="str" cm="1">
        <f t="array" aca="1" ref="AB672" ca="1">IFERROR(INDIRECT("$Z"&amp;AA672),"")</f>
        <v/>
      </c>
    </row>
    <row r="673" spans="5:28" x14ac:dyDescent="0.2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30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31"/>
        <v>#N/A</v>
      </c>
      <c r="W673" t="str" cm="1">
        <f t="array" aca="1" ref="W673" ca="1">IFERROR(INDIRECT("$U"&amp;V673),"")</f>
        <v/>
      </c>
      <c r="Z673" t="e" cm="1">
        <f t="array" ref="Z673">INDEX($AE$2:$AN$40,MOD(ROW()-ROW($AE$2),ROWS($AE$2:$AN$40))+1,INT((ROW()-ROW($AE$2))/ROWS($AE$2:$AN$40))+1)</f>
        <v>#REF!</v>
      </c>
      <c r="AA673" t="e">
        <f t="shared" ca="1" si="32"/>
        <v>#N/A</v>
      </c>
      <c r="AB673" t="str" cm="1">
        <f t="array" aca="1" ref="AB673" ca="1">IFERROR(INDIRECT("$Z"&amp;AA673),"")</f>
        <v/>
      </c>
    </row>
    <row r="674" spans="5:28" x14ac:dyDescent="0.2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30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31"/>
        <v>#N/A</v>
      </c>
      <c r="W674" t="str" cm="1">
        <f t="array" aca="1" ref="W674" ca="1">IFERROR(INDIRECT("$U"&amp;V674),"")</f>
        <v/>
      </c>
      <c r="Z674" t="e" cm="1">
        <f t="array" ref="Z674">INDEX($AE$2:$AN$40,MOD(ROW()-ROW($AE$2),ROWS($AE$2:$AN$40))+1,INT((ROW()-ROW($AE$2))/ROWS($AE$2:$AN$40))+1)</f>
        <v>#REF!</v>
      </c>
      <c r="AA674" t="e">
        <f t="shared" ca="1" si="32"/>
        <v>#N/A</v>
      </c>
      <c r="AB674" t="str" cm="1">
        <f t="array" aca="1" ref="AB674" ca="1">IFERROR(INDIRECT("$Z"&amp;AA674),"")</f>
        <v/>
      </c>
    </row>
    <row r="675" spans="5:28" x14ac:dyDescent="0.2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30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31"/>
        <v>#N/A</v>
      </c>
      <c r="W675" t="str" cm="1">
        <f t="array" aca="1" ref="W675" ca="1">IFERROR(INDIRECT("$U"&amp;V675),"")</f>
        <v/>
      </c>
      <c r="Z675" t="e" cm="1">
        <f t="array" ref="Z675">INDEX($AE$2:$AN$40,MOD(ROW()-ROW($AE$2),ROWS($AE$2:$AN$40))+1,INT((ROW()-ROW($AE$2))/ROWS($AE$2:$AN$40))+1)</f>
        <v>#REF!</v>
      </c>
      <c r="AA675" t="e">
        <f t="shared" ca="1" si="32"/>
        <v>#N/A</v>
      </c>
      <c r="AB675" t="str" cm="1">
        <f t="array" aca="1" ref="AB675" ca="1">IFERROR(INDIRECT("$Z"&amp;AA675),"")</f>
        <v/>
      </c>
    </row>
    <row r="676" spans="5:28" x14ac:dyDescent="0.2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30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31"/>
        <v>#N/A</v>
      </c>
      <c r="W676" t="str" cm="1">
        <f t="array" aca="1" ref="W676" ca="1">IFERROR(INDIRECT("$U"&amp;V676),"")</f>
        <v/>
      </c>
      <c r="Z676" t="e" cm="1">
        <f t="array" ref="Z676">INDEX($AE$2:$AN$40,MOD(ROW()-ROW($AE$2),ROWS($AE$2:$AN$40))+1,INT((ROW()-ROW($AE$2))/ROWS($AE$2:$AN$40))+1)</f>
        <v>#REF!</v>
      </c>
      <c r="AA676" t="e">
        <f t="shared" ca="1" si="32"/>
        <v>#N/A</v>
      </c>
      <c r="AB676" t="str" cm="1">
        <f t="array" aca="1" ref="AB676" ca="1">IFERROR(INDIRECT("$Z"&amp;AA676),"")</f>
        <v/>
      </c>
    </row>
    <row r="677" spans="5:28" x14ac:dyDescent="0.2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30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31"/>
        <v>#N/A</v>
      </c>
      <c r="W677" t="str" cm="1">
        <f t="array" aca="1" ref="W677" ca="1">IFERROR(INDIRECT("$U"&amp;V677),"")</f>
        <v/>
      </c>
      <c r="Z677" t="e" cm="1">
        <f t="array" ref="Z677">INDEX($AE$2:$AN$40,MOD(ROW()-ROW($AE$2),ROWS($AE$2:$AN$40))+1,INT((ROW()-ROW($AE$2))/ROWS($AE$2:$AN$40))+1)</f>
        <v>#REF!</v>
      </c>
      <c r="AA677" t="e">
        <f t="shared" ca="1" si="32"/>
        <v>#N/A</v>
      </c>
      <c r="AB677" t="str" cm="1">
        <f t="array" aca="1" ref="AB677" ca="1">IFERROR(INDIRECT("$Z"&amp;AA677),"")</f>
        <v/>
      </c>
    </row>
    <row r="678" spans="5:28" x14ac:dyDescent="0.2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30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31"/>
        <v>#N/A</v>
      </c>
      <c r="W678" t="str" cm="1">
        <f t="array" aca="1" ref="W678" ca="1">IFERROR(INDIRECT("$U"&amp;V678),"")</f>
        <v/>
      </c>
      <c r="Z678" t="e" cm="1">
        <f t="array" ref="Z678">INDEX($AE$2:$AN$40,MOD(ROW()-ROW($AE$2),ROWS($AE$2:$AN$40))+1,INT((ROW()-ROW($AE$2))/ROWS($AE$2:$AN$40))+1)</f>
        <v>#REF!</v>
      </c>
      <c r="AA678" t="e">
        <f t="shared" ca="1" si="32"/>
        <v>#N/A</v>
      </c>
      <c r="AB678" t="str" cm="1">
        <f t="array" aca="1" ref="AB678" ca="1">IFERROR(INDIRECT("$Z"&amp;AA678),"")</f>
        <v/>
      </c>
    </row>
    <row r="679" spans="5:28" x14ac:dyDescent="0.2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30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31"/>
        <v>#N/A</v>
      </c>
      <c r="W679" t="str" cm="1">
        <f t="array" aca="1" ref="W679" ca="1">IFERROR(INDIRECT("$U"&amp;V679),"")</f>
        <v/>
      </c>
      <c r="Z679" t="e" cm="1">
        <f t="array" ref="Z679">INDEX($AE$2:$AN$40,MOD(ROW()-ROW($AE$2),ROWS($AE$2:$AN$40))+1,INT((ROW()-ROW($AE$2))/ROWS($AE$2:$AN$40))+1)</f>
        <v>#REF!</v>
      </c>
      <c r="AA679" t="e">
        <f t="shared" ca="1" si="32"/>
        <v>#N/A</v>
      </c>
      <c r="AB679" t="str" cm="1">
        <f t="array" aca="1" ref="AB679" ca="1">IFERROR(INDIRECT("$Z"&amp;AA679),"")</f>
        <v/>
      </c>
    </row>
    <row r="680" spans="5:28" x14ac:dyDescent="0.2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30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31"/>
        <v>#N/A</v>
      </c>
      <c r="W680" t="str" cm="1">
        <f t="array" aca="1" ref="W680" ca="1">IFERROR(INDIRECT("$U"&amp;V680),"")</f>
        <v/>
      </c>
      <c r="Z680" t="e" cm="1">
        <f t="array" ref="Z680">INDEX($AE$2:$AN$40,MOD(ROW()-ROW($AE$2),ROWS($AE$2:$AN$40))+1,INT((ROW()-ROW($AE$2))/ROWS($AE$2:$AN$40))+1)</f>
        <v>#REF!</v>
      </c>
      <c r="AA680" t="e">
        <f t="shared" ca="1" si="32"/>
        <v>#N/A</v>
      </c>
      <c r="AB680" t="str" cm="1">
        <f t="array" aca="1" ref="AB680" ca="1">IFERROR(INDIRECT("$Z"&amp;AA680),"")</f>
        <v/>
      </c>
    </row>
    <row r="681" spans="5:28" x14ac:dyDescent="0.2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30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31"/>
        <v>#N/A</v>
      </c>
      <c r="W681" t="str" cm="1">
        <f t="array" aca="1" ref="W681" ca="1">IFERROR(INDIRECT("$U"&amp;V681),"")</f>
        <v/>
      </c>
      <c r="Z681" t="e" cm="1">
        <f t="array" ref="Z681">INDEX($AE$2:$AN$40,MOD(ROW()-ROW($AE$2),ROWS($AE$2:$AN$40))+1,INT((ROW()-ROW($AE$2))/ROWS($AE$2:$AN$40))+1)</f>
        <v>#REF!</v>
      </c>
      <c r="AA681" t="e">
        <f t="shared" ca="1" si="32"/>
        <v>#N/A</v>
      </c>
      <c r="AB681" t="str" cm="1">
        <f t="array" aca="1" ref="AB681" ca="1">IFERROR(INDIRECT("$Z"&amp;AA681),"")</f>
        <v/>
      </c>
    </row>
    <row r="682" spans="5:28" x14ac:dyDescent="0.2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30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31"/>
        <v>#N/A</v>
      </c>
      <c r="W682" t="str" cm="1">
        <f t="array" aca="1" ref="W682" ca="1">IFERROR(INDIRECT("$U"&amp;V682),"")</f>
        <v/>
      </c>
      <c r="Z682" t="e" cm="1">
        <f t="array" ref="Z682">INDEX($AE$2:$AN$40,MOD(ROW()-ROW($AE$2),ROWS($AE$2:$AN$40))+1,INT((ROW()-ROW($AE$2))/ROWS($AE$2:$AN$40))+1)</f>
        <v>#REF!</v>
      </c>
      <c r="AA682" t="e">
        <f t="shared" ca="1" si="32"/>
        <v>#N/A</v>
      </c>
      <c r="AB682" t="str" cm="1">
        <f t="array" aca="1" ref="AB682" ca="1">IFERROR(INDIRECT("$Z"&amp;AA682),"")</f>
        <v/>
      </c>
    </row>
    <row r="683" spans="5:28" x14ac:dyDescent="0.2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30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31"/>
        <v>#N/A</v>
      </c>
      <c r="W683" t="str" cm="1">
        <f t="array" aca="1" ref="W683" ca="1">IFERROR(INDIRECT("$U"&amp;V683),"")</f>
        <v/>
      </c>
      <c r="Z683" t="e" cm="1">
        <f t="array" ref="Z683">INDEX($AE$2:$AN$40,MOD(ROW()-ROW($AE$2),ROWS($AE$2:$AN$40))+1,INT((ROW()-ROW($AE$2))/ROWS($AE$2:$AN$40))+1)</f>
        <v>#REF!</v>
      </c>
      <c r="AA683" t="e">
        <f t="shared" ca="1" si="32"/>
        <v>#N/A</v>
      </c>
      <c r="AB683" t="str" cm="1">
        <f t="array" aca="1" ref="AB683" ca="1">IFERROR(INDIRECT("$Z"&amp;AA683),"")</f>
        <v/>
      </c>
    </row>
    <row r="684" spans="5:28" x14ac:dyDescent="0.2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30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31"/>
        <v>#N/A</v>
      </c>
      <c r="W684" t="str" cm="1">
        <f t="array" aca="1" ref="W684" ca="1">IFERROR(INDIRECT("$U"&amp;V684),"")</f>
        <v/>
      </c>
      <c r="Z684" t="e" cm="1">
        <f t="array" ref="Z684">INDEX($AE$2:$AN$40,MOD(ROW()-ROW($AE$2),ROWS($AE$2:$AN$40))+1,INT((ROW()-ROW($AE$2))/ROWS($AE$2:$AN$40))+1)</f>
        <v>#REF!</v>
      </c>
      <c r="AA684" t="e">
        <f t="shared" ca="1" si="32"/>
        <v>#N/A</v>
      </c>
      <c r="AB684" t="str" cm="1">
        <f t="array" aca="1" ref="AB684" ca="1">IFERROR(INDIRECT("$Z"&amp;AA684),"")</f>
        <v/>
      </c>
    </row>
    <row r="685" spans="5:28" x14ac:dyDescent="0.2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30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31"/>
        <v>#N/A</v>
      </c>
      <c r="W685" t="str" cm="1">
        <f t="array" aca="1" ref="W685" ca="1">IFERROR(INDIRECT("$U"&amp;V685),"")</f>
        <v/>
      </c>
      <c r="Z685" t="e" cm="1">
        <f t="array" ref="Z685">INDEX($AE$2:$AN$40,MOD(ROW()-ROW($AE$2),ROWS($AE$2:$AN$40))+1,INT((ROW()-ROW($AE$2))/ROWS($AE$2:$AN$40))+1)</f>
        <v>#REF!</v>
      </c>
      <c r="AA685" t="e">
        <f t="shared" ca="1" si="32"/>
        <v>#N/A</v>
      </c>
      <c r="AB685" t="str" cm="1">
        <f t="array" aca="1" ref="AB685" ca="1">IFERROR(INDIRECT("$Z"&amp;AA685),"")</f>
        <v/>
      </c>
    </row>
    <row r="686" spans="5:28" x14ac:dyDescent="0.2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30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31"/>
        <v>#N/A</v>
      </c>
      <c r="W686" t="str" cm="1">
        <f t="array" aca="1" ref="W686" ca="1">IFERROR(INDIRECT("$U"&amp;V686),"")</f>
        <v/>
      </c>
      <c r="Z686" t="e" cm="1">
        <f t="array" ref="Z686">INDEX($AE$2:$AN$40,MOD(ROW()-ROW($AE$2),ROWS($AE$2:$AN$40))+1,INT((ROW()-ROW($AE$2))/ROWS($AE$2:$AN$40))+1)</f>
        <v>#REF!</v>
      </c>
      <c r="AA686" t="e">
        <f t="shared" ca="1" si="32"/>
        <v>#N/A</v>
      </c>
      <c r="AB686" t="str" cm="1">
        <f t="array" aca="1" ref="AB686" ca="1">IFERROR(INDIRECT("$Z"&amp;AA686),"")</f>
        <v/>
      </c>
    </row>
    <row r="687" spans="5:28" x14ac:dyDescent="0.2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30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31"/>
        <v>#N/A</v>
      </c>
      <c r="W687" t="str" cm="1">
        <f t="array" aca="1" ref="W687" ca="1">IFERROR(INDIRECT("$U"&amp;V687),"")</f>
        <v/>
      </c>
      <c r="Z687" t="e" cm="1">
        <f t="array" ref="Z687">INDEX($AE$2:$AN$40,MOD(ROW()-ROW($AE$2),ROWS($AE$2:$AN$40))+1,INT((ROW()-ROW($AE$2))/ROWS($AE$2:$AN$40))+1)</f>
        <v>#REF!</v>
      </c>
      <c r="AA687" t="e">
        <f t="shared" ca="1" si="32"/>
        <v>#N/A</v>
      </c>
      <c r="AB687" t="str" cm="1">
        <f t="array" aca="1" ref="AB687" ca="1">IFERROR(INDIRECT("$Z"&amp;AA687),"")</f>
        <v/>
      </c>
    </row>
    <row r="688" spans="5:28" x14ac:dyDescent="0.2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30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31"/>
        <v>#N/A</v>
      </c>
      <c r="W688" t="str" cm="1">
        <f t="array" aca="1" ref="W688" ca="1">IFERROR(INDIRECT("$U"&amp;V688),"")</f>
        <v/>
      </c>
      <c r="Z688" t="e" cm="1">
        <f t="array" ref="Z688">INDEX($AE$2:$AN$40,MOD(ROW()-ROW($AE$2),ROWS($AE$2:$AN$40))+1,INT((ROW()-ROW($AE$2))/ROWS($AE$2:$AN$40))+1)</f>
        <v>#REF!</v>
      </c>
      <c r="AA688" t="e">
        <f t="shared" ca="1" si="32"/>
        <v>#N/A</v>
      </c>
      <c r="AB688" t="str" cm="1">
        <f t="array" aca="1" ref="AB688" ca="1">IFERROR(INDIRECT("$Z"&amp;AA688),"")</f>
        <v/>
      </c>
    </row>
    <row r="689" spans="5:28" x14ac:dyDescent="0.2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30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31"/>
        <v>#N/A</v>
      </c>
      <c r="W689" t="str" cm="1">
        <f t="array" aca="1" ref="W689" ca="1">IFERROR(INDIRECT("$U"&amp;V689),"")</f>
        <v/>
      </c>
      <c r="Z689" t="e" cm="1">
        <f t="array" ref="Z689">INDEX($AE$2:$AN$40,MOD(ROW()-ROW($AE$2),ROWS($AE$2:$AN$40))+1,INT((ROW()-ROW($AE$2))/ROWS($AE$2:$AN$40))+1)</f>
        <v>#REF!</v>
      </c>
      <c r="AA689" t="e">
        <f t="shared" ca="1" si="32"/>
        <v>#N/A</v>
      </c>
      <c r="AB689" t="str" cm="1">
        <f t="array" aca="1" ref="AB689" ca="1">IFERROR(INDIRECT("$Z"&amp;AA689),"")</f>
        <v/>
      </c>
    </row>
    <row r="690" spans="5:28" x14ac:dyDescent="0.2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30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31"/>
        <v>#N/A</v>
      </c>
      <c r="W690" t="str" cm="1">
        <f t="array" aca="1" ref="W690" ca="1">IFERROR(INDIRECT("$U"&amp;V690),"")</f>
        <v/>
      </c>
      <c r="Z690" t="e" cm="1">
        <f t="array" ref="Z690">INDEX($AE$2:$AN$40,MOD(ROW()-ROW($AE$2),ROWS($AE$2:$AN$40))+1,INT((ROW()-ROW($AE$2))/ROWS($AE$2:$AN$40))+1)</f>
        <v>#REF!</v>
      </c>
      <c r="AA690" t="e">
        <f t="shared" ca="1" si="32"/>
        <v>#N/A</v>
      </c>
      <c r="AB690" t="str" cm="1">
        <f t="array" aca="1" ref="AB690" ca="1">IFERROR(INDIRECT("$Z"&amp;AA690),"")</f>
        <v/>
      </c>
    </row>
    <row r="691" spans="5:28" x14ac:dyDescent="0.2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30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31"/>
        <v>#N/A</v>
      </c>
      <c r="W691" t="str" cm="1">
        <f t="array" aca="1" ref="W691" ca="1">IFERROR(INDIRECT("$U"&amp;V691),"")</f>
        <v/>
      </c>
      <c r="Z691" t="e" cm="1">
        <f t="array" ref="Z691">INDEX($AE$2:$AN$40,MOD(ROW()-ROW($AE$2),ROWS($AE$2:$AN$40))+1,INT((ROW()-ROW($AE$2))/ROWS($AE$2:$AN$40))+1)</f>
        <v>#REF!</v>
      </c>
      <c r="AA691" t="e">
        <f t="shared" ca="1" si="32"/>
        <v>#N/A</v>
      </c>
      <c r="AB691" t="str" cm="1">
        <f t="array" aca="1" ref="AB691" ca="1">IFERROR(INDIRECT("$Z"&amp;AA691),"")</f>
        <v/>
      </c>
    </row>
    <row r="692" spans="5:28" x14ac:dyDescent="0.2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30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31"/>
        <v>#N/A</v>
      </c>
      <c r="W692" t="str" cm="1">
        <f t="array" aca="1" ref="W692" ca="1">IFERROR(INDIRECT("$U"&amp;V692),"")</f>
        <v/>
      </c>
      <c r="Z692" t="e" cm="1">
        <f t="array" ref="Z692">INDEX($AE$2:$AN$40,MOD(ROW()-ROW($AE$2),ROWS($AE$2:$AN$40))+1,INT((ROW()-ROW($AE$2))/ROWS($AE$2:$AN$40))+1)</f>
        <v>#REF!</v>
      </c>
      <c r="AA692" t="e">
        <f t="shared" ca="1" si="32"/>
        <v>#N/A</v>
      </c>
      <c r="AB692" t="str" cm="1">
        <f t="array" aca="1" ref="AB692" ca="1">IFERROR(INDIRECT("$Z"&amp;AA692),"")</f>
        <v/>
      </c>
    </row>
    <row r="693" spans="5:28" x14ac:dyDescent="0.2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30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31"/>
        <v>#N/A</v>
      </c>
      <c r="W693" t="str" cm="1">
        <f t="array" aca="1" ref="W693" ca="1">IFERROR(INDIRECT("$U"&amp;V693),"")</f>
        <v/>
      </c>
      <c r="Z693" t="e" cm="1">
        <f t="array" ref="Z693">INDEX($AE$2:$AN$40,MOD(ROW()-ROW($AE$2),ROWS($AE$2:$AN$40))+1,INT((ROW()-ROW($AE$2))/ROWS($AE$2:$AN$40))+1)</f>
        <v>#REF!</v>
      </c>
      <c r="AA693" t="e">
        <f t="shared" ca="1" si="32"/>
        <v>#N/A</v>
      </c>
      <c r="AB693" t="str" cm="1">
        <f t="array" aca="1" ref="AB693" ca="1">IFERROR(INDIRECT("$Z"&amp;AA693),"")</f>
        <v/>
      </c>
    </row>
    <row r="694" spans="5:28" x14ac:dyDescent="0.2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30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31"/>
        <v>#N/A</v>
      </c>
      <c r="W694" t="str" cm="1">
        <f t="array" aca="1" ref="W694" ca="1">IFERROR(INDIRECT("$U"&amp;V694),"")</f>
        <v/>
      </c>
      <c r="Z694" t="e" cm="1">
        <f t="array" ref="Z694">INDEX($AE$2:$AN$40,MOD(ROW()-ROW($AE$2),ROWS($AE$2:$AN$40))+1,INT((ROW()-ROW($AE$2))/ROWS($AE$2:$AN$40))+1)</f>
        <v>#REF!</v>
      </c>
      <c r="AA694" t="e">
        <f t="shared" ca="1" si="32"/>
        <v>#N/A</v>
      </c>
      <c r="AB694" t="str" cm="1">
        <f t="array" aca="1" ref="AB694" ca="1">IFERROR(INDIRECT("$Z"&amp;AA694),"")</f>
        <v/>
      </c>
    </row>
    <row r="695" spans="5:28" x14ac:dyDescent="0.2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30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31"/>
        <v>#N/A</v>
      </c>
      <c r="W695" t="str" cm="1">
        <f t="array" aca="1" ref="W695" ca="1">IFERROR(INDIRECT("$U"&amp;V695),"")</f>
        <v/>
      </c>
      <c r="Z695" t="e" cm="1">
        <f t="array" ref="Z695">INDEX($AE$2:$AN$40,MOD(ROW()-ROW($AE$2),ROWS($AE$2:$AN$40))+1,INT((ROW()-ROW($AE$2))/ROWS($AE$2:$AN$40))+1)</f>
        <v>#REF!</v>
      </c>
      <c r="AA695" t="e">
        <f t="shared" ca="1" si="32"/>
        <v>#N/A</v>
      </c>
      <c r="AB695" t="str" cm="1">
        <f t="array" aca="1" ref="AB695" ca="1">IFERROR(INDIRECT("$Z"&amp;AA695),"")</f>
        <v/>
      </c>
    </row>
    <row r="696" spans="5:28" x14ac:dyDescent="0.2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30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31"/>
        <v>#N/A</v>
      </c>
      <c r="W696" t="str" cm="1">
        <f t="array" aca="1" ref="W696" ca="1">IFERROR(INDIRECT("$U"&amp;V696),"")</f>
        <v/>
      </c>
      <c r="Z696" t="e" cm="1">
        <f t="array" ref="Z696">INDEX($AE$2:$AN$40,MOD(ROW()-ROW($AE$2),ROWS($AE$2:$AN$40))+1,INT((ROW()-ROW($AE$2))/ROWS($AE$2:$AN$40))+1)</f>
        <v>#REF!</v>
      </c>
      <c r="AA696" t="e">
        <f t="shared" ca="1" si="32"/>
        <v>#N/A</v>
      </c>
      <c r="AB696" t="str" cm="1">
        <f t="array" aca="1" ref="AB696" ca="1">IFERROR(INDIRECT("$Z"&amp;AA696),"")</f>
        <v/>
      </c>
    </row>
    <row r="697" spans="5:28" x14ac:dyDescent="0.2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30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31"/>
        <v>#N/A</v>
      </c>
      <c r="W697" t="str" cm="1">
        <f t="array" aca="1" ref="W697" ca="1">IFERROR(INDIRECT("$U"&amp;V697),"")</f>
        <v/>
      </c>
      <c r="Z697" t="e" cm="1">
        <f t="array" ref="Z697">INDEX($AE$2:$AN$40,MOD(ROW()-ROW($AE$2),ROWS($AE$2:$AN$40))+1,INT((ROW()-ROW($AE$2))/ROWS($AE$2:$AN$40))+1)</f>
        <v>#REF!</v>
      </c>
      <c r="AA697" t="e">
        <f t="shared" ca="1" si="32"/>
        <v>#N/A</v>
      </c>
      <c r="AB697" t="str" cm="1">
        <f t="array" aca="1" ref="AB697" ca="1">IFERROR(INDIRECT("$Z"&amp;AA697),"")</f>
        <v/>
      </c>
    </row>
    <row r="698" spans="5:28" x14ac:dyDescent="0.2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30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31"/>
        <v>#N/A</v>
      </c>
      <c r="W698" t="str" cm="1">
        <f t="array" aca="1" ref="W698" ca="1">IFERROR(INDIRECT("$U"&amp;V698),"")</f>
        <v/>
      </c>
      <c r="Z698" t="e" cm="1">
        <f t="array" ref="Z698">INDEX($AE$2:$AN$40,MOD(ROW()-ROW($AE$2),ROWS($AE$2:$AN$40))+1,INT((ROW()-ROW($AE$2))/ROWS($AE$2:$AN$40))+1)</f>
        <v>#REF!</v>
      </c>
      <c r="AA698" t="e">
        <f t="shared" ca="1" si="32"/>
        <v>#N/A</v>
      </c>
      <c r="AB698" t="str" cm="1">
        <f t="array" aca="1" ref="AB698" ca="1">IFERROR(INDIRECT("$Z"&amp;AA698),"")</f>
        <v/>
      </c>
    </row>
    <row r="699" spans="5:28" x14ac:dyDescent="0.2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30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31"/>
        <v>#N/A</v>
      </c>
      <c r="W699" t="str" cm="1">
        <f t="array" aca="1" ref="W699" ca="1">IFERROR(INDIRECT("$U"&amp;V699),"")</f>
        <v/>
      </c>
      <c r="Z699" t="e" cm="1">
        <f t="array" ref="Z699">INDEX($AE$2:$AN$40,MOD(ROW()-ROW($AE$2),ROWS($AE$2:$AN$40))+1,INT((ROW()-ROW($AE$2))/ROWS($AE$2:$AN$40))+1)</f>
        <v>#REF!</v>
      </c>
      <c r="AA699" t="e">
        <f t="shared" ca="1" si="32"/>
        <v>#N/A</v>
      </c>
      <c r="AB699" t="str" cm="1">
        <f t="array" aca="1" ref="AB699" ca="1">IFERROR(INDIRECT("$Z"&amp;AA699),"")</f>
        <v/>
      </c>
    </row>
    <row r="700" spans="5:28" x14ac:dyDescent="0.2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30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31"/>
        <v>#N/A</v>
      </c>
      <c r="W700" t="str" cm="1">
        <f t="array" aca="1" ref="W700" ca="1">IFERROR(INDIRECT("$U"&amp;V700),"")</f>
        <v/>
      </c>
      <c r="Z700" t="e" cm="1">
        <f t="array" ref="Z700">INDEX($AE$2:$AN$40,MOD(ROW()-ROW($AE$2),ROWS($AE$2:$AN$40))+1,INT((ROW()-ROW($AE$2))/ROWS($AE$2:$AN$40))+1)</f>
        <v>#REF!</v>
      </c>
      <c r="AA700" t="e">
        <f t="shared" ca="1" si="32"/>
        <v>#N/A</v>
      </c>
      <c r="AB700" t="str" cm="1">
        <f t="array" aca="1" ref="AB700" ca="1">IFERROR(INDIRECT("$Z"&amp;AA700),"")</f>
        <v/>
      </c>
    </row>
    <row r="701" spans="5:28" x14ac:dyDescent="0.2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30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31"/>
        <v>#N/A</v>
      </c>
      <c r="W701" t="str" cm="1">
        <f t="array" aca="1" ref="W701" ca="1">IFERROR(INDIRECT("$U"&amp;V701),"")</f>
        <v/>
      </c>
      <c r="Z701" t="e" cm="1">
        <f t="array" ref="Z701">INDEX($AE$2:$AN$40,MOD(ROW()-ROW($AE$2),ROWS($AE$2:$AN$40))+1,INT((ROW()-ROW($AE$2))/ROWS($AE$2:$AN$40))+1)</f>
        <v>#REF!</v>
      </c>
      <c r="AA701" t="e">
        <f t="shared" ca="1" si="32"/>
        <v>#N/A</v>
      </c>
      <c r="AB701" t="str" cm="1">
        <f t="array" aca="1" ref="AB701" ca="1">IFERROR(INDIRECT("$Z"&amp;AA701),"")</f>
        <v/>
      </c>
    </row>
    <row r="702" spans="5:28" x14ac:dyDescent="0.2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30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31"/>
        <v>#N/A</v>
      </c>
      <c r="W702" t="str" cm="1">
        <f t="array" aca="1" ref="W702" ca="1">IFERROR(INDIRECT("$U"&amp;V702),"")</f>
        <v/>
      </c>
      <c r="Z702" t="e" cm="1">
        <f t="array" ref="Z702">INDEX($AE$2:$AN$40,MOD(ROW()-ROW($AE$2),ROWS($AE$2:$AN$40))+1,INT((ROW()-ROW($AE$2))/ROWS($AE$2:$AN$40))+1)</f>
        <v>#REF!</v>
      </c>
      <c r="AA702" t="e">
        <f t="shared" ca="1" si="32"/>
        <v>#N/A</v>
      </c>
      <c r="AB702" t="str" cm="1">
        <f t="array" aca="1" ref="AB702" ca="1">IFERROR(INDIRECT("$Z"&amp;AA702),"")</f>
        <v/>
      </c>
    </row>
    <row r="703" spans="5:28" x14ac:dyDescent="0.2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30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31"/>
        <v>#N/A</v>
      </c>
      <c r="W703" t="str" cm="1">
        <f t="array" aca="1" ref="W703" ca="1">IFERROR(INDIRECT("$U"&amp;V703),"")</f>
        <v/>
      </c>
      <c r="Z703" t="e" cm="1">
        <f t="array" ref="Z703">INDEX($AE$2:$AN$40,MOD(ROW()-ROW($AE$2),ROWS($AE$2:$AN$40))+1,INT((ROW()-ROW($AE$2))/ROWS($AE$2:$AN$40))+1)</f>
        <v>#REF!</v>
      </c>
      <c r="AA703" t="e">
        <f t="shared" ca="1" si="32"/>
        <v>#N/A</v>
      </c>
      <c r="AB703" t="str" cm="1">
        <f t="array" aca="1" ref="AB703" ca="1">IFERROR(INDIRECT("$Z"&amp;AA703),"")</f>
        <v/>
      </c>
    </row>
    <row r="704" spans="5:28" x14ac:dyDescent="0.2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30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31"/>
        <v>#N/A</v>
      </c>
      <c r="W704" t="str" cm="1">
        <f t="array" aca="1" ref="W704" ca="1">IFERROR(INDIRECT("$U"&amp;V704),"")</f>
        <v/>
      </c>
      <c r="Z704" t="e" cm="1">
        <f t="array" ref="Z704">INDEX($AE$2:$AN$40,MOD(ROW()-ROW($AE$2),ROWS($AE$2:$AN$40))+1,INT((ROW()-ROW($AE$2))/ROWS($AE$2:$AN$40))+1)</f>
        <v>#REF!</v>
      </c>
      <c r="AA704" t="e">
        <f t="shared" ca="1" si="32"/>
        <v>#N/A</v>
      </c>
      <c r="AB704" t="str" cm="1">
        <f t="array" aca="1" ref="AB704" ca="1">IFERROR(INDIRECT("$Z"&amp;AA704),"")</f>
        <v/>
      </c>
    </row>
    <row r="705" spans="5:28" x14ac:dyDescent="0.2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30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31"/>
        <v>#N/A</v>
      </c>
      <c r="W705" t="str" cm="1">
        <f t="array" aca="1" ref="W705" ca="1">IFERROR(INDIRECT("$U"&amp;V705),"")</f>
        <v/>
      </c>
      <c r="Z705" t="e" cm="1">
        <f t="array" ref="Z705">INDEX($AE$2:$AN$40,MOD(ROW()-ROW($AE$2),ROWS($AE$2:$AN$40))+1,INT((ROW()-ROW($AE$2))/ROWS($AE$2:$AN$40))+1)</f>
        <v>#REF!</v>
      </c>
      <c r="AA705" t="e">
        <f t="shared" ca="1" si="32"/>
        <v>#N/A</v>
      </c>
      <c r="AB705" t="str" cm="1">
        <f t="array" aca="1" ref="AB705" ca="1">IFERROR(INDIRECT("$Z"&amp;AA705),"")</f>
        <v/>
      </c>
    </row>
    <row r="706" spans="5:28" x14ac:dyDescent="0.2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30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31"/>
        <v>#N/A</v>
      </c>
      <c r="W706" t="str" cm="1">
        <f t="array" aca="1" ref="W706" ca="1">IFERROR(INDIRECT("$U"&amp;V706),"")</f>
        <v/>
      </c>
      <c r="Z706" t="e" cm="1">
        <f t="array" ref="Z706">INDEX($AE$2:$AN$40,MOD(ROW()-ROW($AE$2),ROWS($AE$2:$AN$40))+1,INT((ROW()-ROW($AE$2))/ROWS($AE$2:$AN$40))+1)</f>
        <v>#REF!</v>
      </c>
      <c r="AA706" t="e">
        <f t="shared" ca="1" si="32"/>
        <v>#N/A</v>
      </c>
      <c r="AB706" t="str" cm="1">
        <f t="array" aca="1" ref="AB706" ca="1">IFERROR(INDIRECT("$Z"&amp;AA706),"")</f>
        <v/>
      </c>
    </row>
    <row r="707" spans="5:28" x14ac:dyDescent="0.2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30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31"/>
        <v>#N/A</v>
      </c>
      <c r="W707" t="str" cm="1">
        <f t="array" aca="1" ref="W707" ca="1">IFERROR(INDIRECT("$U"&amp;V707),"")</f>
        <v/>
      </c>
      <c r="Z707" t="e" cm="1">
        <f t="array" ref="Z707">INDEX($AE$2:$AN$40,MOD(ROW()-ROW($AE$2),ROWS($AE$2:$AN$40))+1,INT((ROW()-ROW($AE$2))/ROWS($AE$2:$AN$40))+1)</f>
        <v>#REF!</v>
      </c>
      <c r="AA707" t="e">
        <f t="shared" ca="1" si="32"/>
        <v>#N/A</v>
      </c>
      <c r="AB707" t="str" cm="1">
        <f t="array" aca="1" ref="AB707" ca="1">IFERROR(INDIRECT("$Z"&amp;AA707),"")</f>
        <v/>
      </c>
    </row>
    <row r="708" spans="5:28" x14ac:dyDescent="0.2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33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34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INDEX($AE$2:$AN$40,MOD(ROW()-ROW($AE$2),ROWS($AE$2:$AN$40))+1,INT((ROW()-ROW($AE$2))/ROWS($AE$2:$AN$40))+1)</f>
        <v>#REF!</v>
      </c>
      <c r="AA708" t="e">
        <f t="shared" ref="AA708:AA771" ca="1" si="35">MATCH("*",INDIRECT(ADDRESS(AA707+1,26,1)&amp;":$Z$1000"),0)+AA707</f>
        <v>#N/A</v>
      </c>
      <c r="AB708" t="str" cm="1">
        <f t="array" aca="1" ref="AB708" ca="1">IFERROR(INDIRECT("$Z"&amp;AA708),"")</f>
        <v/>
      </c>
    </row>
    <row r="709" spans="5:28" x14ac:dyDescent="0.2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33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34"/>
        <v>#N/A</v>
      </c>
      <c r="W709" t="str" cm="1">
        <f t="array" aca="1" ref="W709" ca="1">IFERROR(INDIRECT("$U"&amp;V709),"")</f>
        <v/>
      </c>
      <c r="Z709" t="e" cm="1">
        <f t="array" ref="Z709">INDEX($AE$2:$AN$40,MOD(ROW()-ROW($AE$2),ROWS($AE$2:$AN$40))+1,INT((ROW()-ROW($AE$2))/ROWS($AE$2:$AN$40))+1)</f>
        <v>#REF!</v>
      </c>
      <c r="AA709" t="e">
        <f t="shared" ca="1" si="35"/>
        <v>#N/A</v>
      </c>
      <c r="AB709" t="str" cm="1">
        <f t="array" aca="1" ref="AB709" ca="1">IFERROR(INDIRECT("$Z"&amp;AA709),"")</f>
        <v/>
      </c>
    </row>
    <row r="710" spans="5:28" x14ac:dyDescent="0.2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33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34"/>
        <v>#N/A</v>
      </c>
      <c r="W710" t="str" cm="1">
        <f t="array" aca="1" ref="W710" ca="1">IFERROR(INDIRECT("$U"&amp;V710),"")</f>
        <v/>
      </c>
      <c r="Z710" t="e" cm="1">
        <f t="array" ref="Z710">INDEX($AE$2:$AN$40,MOD(ROW()-ROW($AE$2),ROWS($AE$2:$AN$40))+1,INT((ROW()-ROW($AE$2))/ROWS($AE$2:$AN$40))+1)</f>
        <v>#REF!</v>
      </c>
      <c r="AA710" t="e">
        <f t="shared" ca="1" si="35"/>
        <v>#N/A</v>
      </c>
      <c r="AB710" t="str" cm="1">
        <f t="array" aca="1" ref="AB710" ca="1">IFERROR(INDIRECT("$Z"&amp;AA710),"")</f>
        <v/>
      </c>
    </row>
    <row r="711" spans="5:28" x14ac:dyDescent="0.2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33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34"/>
        <v>#N/A</v>
      </c>
      <c r="W711" t="str" cm="1">
        <f t="array" aca="1" ref="W711" ca="1">IFERROR(INDIRECT("$U"&amp;V711),"")</f>
        <v/>
      </c>
      <c r="Z711" t="e" cm="1">
        <f t="array" ref="Z711">INDEX($AE$2:$AN$40,MOD(ROW()-ROW($AE$2),ROWS($AE$2:$AN$40))+1,INT((ROW()-ROW($AE$2))/ROWS($AE$2:$AN$40))+1)</f>
        <v>#REF!</v>
      </c>
      <c r="AA711" t="e">
        <f t="shared" ca="1" si="35"/>
        <v>#N/A</v>
      </c>
      <c r="AB711" t="str" cm="1">
        <f t="array" aca="1" ref="AB711" ca="1">IFERROR(INDIRECT("$Z"&amp;AA711),"")</f>
        <v/>
      </c>
    </row>
    <row r="712" spans="5:28" x14ac:dyDescent="0.2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33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34"/>
        <v>#N/A</v>
      </c>
      <c r="W712" t="str" cm="1">
        <f t="array" aca="1" ref="W712" ca="1">IFERROR(INDIRECT("$U"&amp;V712),"")</f>
        <v/>
      </c>
      <c r="Z712" t="e" cm="1">
        <f t="array" ref="Z712">INDEX($AE$2:$AN$40,MOD(ROW()-ROW($AE$2),ROWS($AE$2:$AN$40))+1,INT((ROW()-ROW($AE$2))/ROWS($AE$2:$AN$40))+1)</f>
        <v>#REF!</v>
      </c>
      <c r="AA712" t="e">
        <f t="shared" ca="1" si="35"/>
        <v>#N/A</v>
      </c>
      <c r="AB712" t="str" cm="1">
        <f t="array" aca="1" ref="AB712" ca="1">IFERROR(INDIRECT("$Z"&amp;AA712),"")</f>
        <v/>
      </c>
    </row>
    <row r="713" spans="5:28" x14ac:dyDescent="0.2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33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34"/>
        <v>#N/A</v>
      </c>
      <c r="W713" t="str" cm="1">
        <f t="array" aca="1" ref="W713" ca="1">IFERROR(INDIRECT("$U"&amp;V713),"")</f>
        <v/>
      </c>
      <c r="Z713" t="e" cm="1">
        <f t="array" ref="Z713">INDEX($AE$2:$AN$40,MOD(ROW()-ROW($AE$2),ROWS($AE$2:$AN$40))+1,INT((ROW()-ROW($AE$2))/ROWS($AE$2:$AN$40))+1)</f>
        <v>#REF!</v>
      </c>
      <c r="AA713" t="e">
        <f t="shared" ca="1" si="35"/>
        <v>#N/A</v>
      </c>
      <c r="AB713" t="str" cm="1">
        <f t="array" aca="1" ref="AB713" ca="1">IFERROR(INDIRECT("$Z"&amp;AA713),"")</f>
        <v/>
      </c>
    </row>
    <row r="714" spans="5:28" x14ac:dyDescent="0.2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33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34"/>
        <v>#N/A</v>
      </c>
      <c r="W714" t="str" cm="1">
        <f t="array" aca="1" ref="W714" ca="1">IFERROR(INDIRECT("$U"&amp;V714),"")</f>
        <v/>
      </c>
      <c r="Z714" t="e" cm="1">
        <f t="array" ref="Z714">INDEX($AE$2:$AN$40,MOD(ROW()-ROW($AE$2),ROWS($AE$2:$AN$40))+1,INT((ROW()-ROW($AE$2))/ROWS($AE$2:$AN$40))+1)</f>
        <v>#REF!</v>
      </c>
      <c r="AA714" t="e">
        <f t="shared" ca="1" si="35"/>
        <v>#N/A</v>
      </c>
      <c r="AB714" t="str" cm="1">
        <f t="array" aca="1" ref="AB714" ca="1">IFERROR(INDIRECT("$Z"&amp;AA714),"")</f>
        <v/>
      </c>
    </row>
    <row r="715" spans="5:28" x14ac:dyDescent="0.2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33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34"/>
        <v>#N/A</v>
      </c>
      <c r="W715" t="str" cm="1">
        <f t="array" aca="1" ref="W715" ca="1">IFERROR(INDIRECT("$U"&amp;V715),"")</f>
        <v/>
      </c>
      <c r="Z715" t="e" cm="1">
        <f t="array" ref="Z715">INDEX($AE$2:$AN$40,MOD(ROW()-ROW($AE$2),ROWS($AE$2:$AN$40))+1,INT((ROW()-ROW($AE$2))/ROWS($AE$2:$AN$40))+1)</f>
        <v>#REF!</v>
      </c>
      <c r="AA715" t="e">
        <f t="shared" ca="1" si="35"/>
        <v>#N/A</v>
      </c>
      <c r="AB715" t="str" cm="1">
        <f t="array" aca="1" ref="AB715" ca="1">IFERROR(INDIRECT("$Z"&amp;AA715),"")</f>
        <v/>
      </c>
    </row>
    <row r="716" spans="5:28" x14ac:dyDescent="0.2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33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34"/>
        <v>#N/A</v>
      </c>
      <c r="W716" t="str" cm="1">
        <f t="array" aca="1" ref="W716" ca="1">IFERROR(INDIRECT("$U"&amp;V716),"")</f>
        <v/>
      </c>
      <c r="Z716" t="e" cm="1">
        <f t="array" ref="Z716">INDEX($AE$2:$AN$40,MOD(ROW()-ROW($AE$2),ROWS($AE$2:$AN$40))+1,INT((ROW()-ROW($AE$2))/ROWS($AE$2:$AN$40))+1)</f>
        <v>#REF!</v>
      </c>
      <c r="AA716" t="e">
        <f t="shared" ca="1" si="35"/>
        <v>#N/A</v>
      </c>
      <c r="AB716" t="str" cm="1">
        <f t="array" aca="1" ref="AB716" ca="1">IFERROR(INDIRECT("$Z"&amp;AA716),"")</f>
        <v/>
      </c>
    </row>
    <row r="717" spans="5:28" x14ac:dyDescent="0.2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33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34"/>
        <v>#N/A</v>
      </c>
      <c r="W717" t="str" cm="1">
        <f t="array" aca="1" ref="W717" ca="1">IFERROR(INDIRECT("$U"&amp;V717),"")</f>
        <v/>
      </c>
      <c r="Z717" t="e" cm="1">
        <f t="array" ref="Z717">INDEX($AE$2:$AN$40,MOD(ROW()-ROW($AE$2),ROWS($AE$2:$AN$40))+1,INT((ROW()-ROW($AE$2))/ROWS($AE$2:$AN$40))+1)</f>
        <v>#REF!</v>
      </c>
      <c r="AA717" t="e">
        <f t="shared" ca="1" si="35"/>
        <v>#N/A</v>
      </c>
      <c r="AB717" t="str" cm="1">
        <f t="array" aca="1" ref="AB717" ca="1">IFERROR(INDIRECT("$Z"&amp;AA717),"")</f>
        <v/>
      </c>
    </row>
    <row r="718" spans="5:28" x14ac:dyDescent="0.2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33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34"/>
        <v>#N/A</v>
      </c>
      <c r="W718" t="str" cm="1">
        <f t="array" aca="1" ref="W718" ca="1">IFERROR(INDIRECT("$U"&amp;V718),"")</f>
        <v/>
      </c>
      <c r="Z718" t="e" cm="1">
        <f t="array" ref="Z718">INDEX($AE$2:$AN$40,MOD(ROW()-ROW($AE$2),ROWS($AE$2:$AN$40))+1,INT((ROW()-ROW($AE$2))/ROWS($AE$2:$AN$40))+1)</f>
        <v>#REF!</v>
      </c>
      <c r="AA718" t="e">
        <f t="shared" ca="1" si="35"/>
        <v>#N/A</v>
      </c>
      <c r="AB718" t="str" cm="1">
        <f t="array" aca="1" ref="AB718" ca="1">IFERROR(INDIRECT("$Z"&amp;AA718),"")</f>
        <v/>
      </c>
    </row>
    <row r="719" spans="5:28" x14ac:dyDescent="0.2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33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34"/>
        <v>#N/A</v>
      </c>
      <c r="W719" t="str" cm="1">
        <f t="array" aca="1" ref="W719" ca="1">IFERROR(INDIRECT("$U"&amp;V719),"")</f>
        <v/>
      </c>
      <c r="Z719" t="e" cm="1">
        <f t="array" ref="Z719">INDEX($AE$2:$AN$40,MOD(ROW()-ROW($AE$2),ROWS($AE$2:$AN$40))+1,INT((ROW()-ROW($AE$2))/ROWS($AE$2:$AN$40))+1)</f>
        <v>#REF!</v>
      </c>
      <c r="AA719" t="e">
        <f t="shared" ca="1" si="35"/>
        <v>#N/A</v>
      </c>
      <c r="AB719" t="str" cm="1">
        <f t="array" aca="1" ref="AB719" ca="1">IFERROR(INDIRECT("$Z"&amp;AA719),"")</f>
        <v/>
      </c>
    </row>
    <row r="720" spans="5:28" x14ac:dyDescent="0.2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33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34"/>
        <v>#N/A</v>
      </c>
      <c r="W720" t="str" cm="1">
        <f t="array" aca="1" ref="W720" ca="1">IFERROR(INDIRECT("$U"&amp;V720),"")</f>
        <v/>
      </c>
      <c r="Z720" t="e" cm="1">
        <f t="array" ref="Z720">INDEX($AE$2:$AN$40,MOD(ROW()-ROW($AE$2),ROWS($AE$2:$AN$40))+1,INT((ROW()-ROW($AE$2))/ROWS($AE$2:$AN$40))+1)</f>
        <v>#REF!</v>
      </c>
      <c r="AA720" t="e">
        <f t="shared" ca="1" si="35"/>
        <v>#N/A</v>
      </c>
      <c r="AB720" t="str" cm="1">
        <f t="array" aca="1" ref="AB720" ca="1">IFERROR(INDIRECT("$Z"&amp;AA720),"")</f>
        <v/>
      </c>
    </row>
    <row r="721" spans="5:28" x14ac:dyDescent="0.2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33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34"/>
        <v>#N/A</v>
      </c>
      <c r="W721" t="str" cm="1">
        <f t="array" aca="1" ref="W721" ca="1">IFERROR(INDIRECT("$U"&amp;V721),"")</f>
        <v/>
      </c>
      <c r="Z721" t="e" cm="1">
        <f t="array" ref="Z721">INDEX($AE$2:$AN$40,MOD(ROW()-ROW($AE$2),ROWS($AE$2:$AN$40))+1,INT((ROW()-ROW($AE$2))/ROWS($AE$2:$AN$40))+1)</f>
        <v>#REF!</v>
      </c>
      <c r="AA721" t="e">
        <f t="shared" ca="1" si="35"/>
        <v>#N/A</v>
      </c>
      <c r="AB721" t="str" cm="1">
        <f t="array" aca="1" ref="AB721" ca="1">IFERROR(INDIRECT("$Z"&amp;AA721),"")</f>
        <v/>
      </c>
    </row>
    <row r="722" spans="5:28" x14ac:dyDescent="0.2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33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34"/>
        <v>#N/A</v>
      </c>
      <c r="W722" t="str" cm="1">
        <f t="array" aca="1" ref="W722" ca="1">IFERROR(INDIRECT("$U"&amp;V722),"")</f>
        <v/>
      </c>
      <c r="Z722" t="e" cm="1">
        <f t="array" ref="Z722">INDEX($AE$2:$AN$40,MOD(ROW()-ROW($AE$2),ROWS($AE$2:$AN$40))+1,INT((ROW()-ROW($AE$2))/ROWS($AE$2:$AN$40))+1)</f>
        <v>#REF!</v>
      </c>
      <c r="AA722" t="e">
        <f t="shared" ca="1" si="35"/>
        <v>#N/A</v>
      </c>
      <c r="AB722" t="str" cm="1">
        <f t="array" aca="1" ref="AB722" ca="1">IFERROR(INDIRECT("$Z"&amp;AA722),"")</f>
        <v/>
      </c>
    </row>
    <row r="723" spans="5:28" x14ac:dyDescent="0.2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33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34"/>
        <v>#N/A</v>
      </c>
      <c r="W723" t="str" cm="1">
        <f t="array" aca="1" ref="W723" ca="1">IFERROR(INDIRECT("$U"&amp;V723),"")</f>
        <v/>
      </c>
      <c r="Z723" t="e" cm="1">
        <f t="array" ref="Z723">INDEX($AE$2:$AN$40,MOD(ROW()-ROW($AE$2),ROWS($AE$2:$AN$40))+1,INT((ROW()-ROW($AE$2))/ROWS($AE$2:$AN$40))+1)</f>
        <v>#REF!</v>
      </c>
      <c r="AA723" t="e">
        <f t="shared" ca="1" si="35"/>
        <v>#N/A</v>
      </c>
      <c r="AB723" t="str" cm="1">
        <f t="array" aca="1" ref="AB723" ca="1">IFERROR(INDIRECT("$Z"&amp;AA723),"")</f>
        <v/>
      </c>
    </row>
    <row r="724" spans="5:28" x14ac:dyDescent="0.2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33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34"/>
        <v>#N/A</v>
      </c>
      <c r="W724" t="str" cm="1">
        <f t="array" aca="1" ref="W724" ca="1">IFERROR(INDIRECT("$U"&amp;V724),"")</f>
        <v/>
      </c>
      <c r="Z724" t="e" cm="1">
        <f t="array" ref="Z724">INDEX($AE$2:$AN$40,MOD(ROW()-ROW($AE$2),ROWS($AE$2:$AN$40))+1,INT((ROW()-ROW($AE$2))/ROWS($AE$2:$AN$40))+1)</f>
        <v>#REF!</v>
      </c>
      <c r="AA724" t="e">
        <f t="shared" ca="1" si="35"/>
        <v>#N/A</v>
      </c>
      <c r="AB724" t="str" cm="1">
        <f t="array" aca="1" ref="AB724" ca="1">IFERROR(INDIRECT("$Z"&amp;AA724),"")</f>
        <v/>
      </c>
    </row>
    <row r="725" spans="5:28" x14ac:dyDescent="0.2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33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34"/>
        <v>#N/A</v>
      </c>
      <c r="W725" t="str" cm="1">
        <f t="array" aca="1" ref="W725" ca="1">IFERROR(INDIRECT("$U"&amp;V725),"")</f>
        <v/>
      </c>
      <c r="Z725" t="e" cm="1">
        <f t="array" ref="Z725">INDEX($AE$2:$AN$40,MOD(ROW()-ROW($AE$2),ROWS($AE$2:$AN$40))+1,INT((ROW()-ROW($AE$2))/ROWS($AE$2:$AN$40))+1)</f>
        <v>#REF!</v>
      </c>
      <c r="AA725" t="e">
        <f t="shared" ca="1" si="35"/>
        <v>#N/A</v>
      </c>
      <c r="AB725" t="str" cm="1">
        <f t="array" aca="1" ref="AB725" ca="1">IFERROR(INDIRECT("$Z"&amp;AA725),"")</f>
        <v/>
      </c>
    </row>
    <row r="726" spans="5:28" x14ac:dyDescent="0.2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33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34"/>
        <v>#N/A</v>
      </c>
      <c r="W726" t="str" cm="1">
        <f t="array" aca="1" ref="W726" ca="1">IFERROR(INDIRECT("$U"&amp;V726),"")</f>
        <v/>
      </c>
      <c r="Z726" t="e" cm="1">
        <f t="array" ref="Z726">INDEX($AE$2:$AN$40,MOD(ROW()-ROW($AE$2),ROWS($AE$2:$AN$40))+1,INT((ROW()-ROW($AE$2))/ROWS($AE$2:$AN$40))+1)</f>
        <v>#REF!</v>
      </c>
      <c r="AA726" t="e">
        <f t="shared" ca="1" si="35"/>
        <v>#N/A</v>
      </c>
      <c r="AB726" t="str" cm="1">
        <f t="array" aca="1" ref="AB726" ca="1">IFERROR(INDIRECT("$Z"&amp;AA726),"")</f>
        <v/>
      </c>
    </row>
    <row r="727" spans="5:28" x14ac:dyDescent="0.2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33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34"/>
        <v>#N/A</v>
      </c>
      <c r="W727" t="str" cm="1">
        <f t="array" aca="1" ref="W727" ca="1">IFERROR(INDIRECT("$U"&amp;V727),"")</f>
        <v/>
      </c>
      <c r="Z727" t="e" cm="1">
        <f t="array" ref="Z727">INDEX($AE$2:$AN$40,MOD(ROW()-ROW($AE$2),ROWS($AE$2:$AN$40))+1,INT((ROW()-ROW($AE$2))/ROWS($AE$2:$AN$40))+1)</f>
        <v>#REF!</v>
      </c>
      <c r="AA727" t="e">
        <f t="shared" ca="1" si="35"/>
        <v>#N/A</v>
      </c>
      <c r="AB727" t="str" cm="1">
        <f t="array" aca="1" ref="AB727" ca="1">IFERROR(INDIRECT("$Z"&amp;AA727),"")</f>
        <v/>
      </c>
    </row>
    <row r="728" spans="5:28" x14ac:dyDescent="0.2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33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34"/>
        <v>#N/A</v>
      </c>
      <c r="W728" t="str" cm="1">
        <f t="array" aca="1" ref="W728" ca="1">IFERROR(INDIRECT("$U"&amp;V728),"")</f>
        <v/>
      </c>
      <c r="Z728" t="e" cm="1">
        <f t="array" ref="Z728">INDEX($AE$2:$AN$40,MOD(ROW()-ROW($AE$2),ROWS($AE$2:$AN$40))+1,INT((ROW()-ROW($AE$2))/ROWS($AE$2:$AN$40))+1)</f>
        <v>#REF!</v>
      </c>
      <c r="AA728" t="e">
        <f t="shared" ca="1" si="35"/>
        <v>#N/A</v>
      </c>
      <c r="AB728" t="str" cm="1">
        <f t="array" aca="1" ref="AB728" ca="1">IFERROR(INDIRECT("$Z"&amp;AA728),"")</f>
        <v/>
      </c>
    </row>
    <row r="729" spans="5:28" x14ac:dyDescent="0.2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33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34"/>
        <v>#N/A</v>
      </c>
      <c r="W729" t="str" cm="1">
        <f t="array" aca="1" ref="W729" ca="1">IFERROR(INDIRECT("$U"&amp;V729),"")</f>
        <v/>
      </c>
      <c r="Z729" t="e" cm="1">
        <f t="array" ref="Z729">INDEX($AE$2:$AN$40,MOD(ROW()-ROW($AE$2),ROWS($AE$2:$AN$40))+1,INT((ROW()-ROW($AE$2))/ROWS($AE$2:$AN$40))+1)</f>
        <v>#REF!</v>
      </c>
      <c r="AA729" t="e">
        <f t="shared" ca="1" si="35"/>
        <v>#N/A</v>
      </c>
      <c r="AB729" t="str" cm="1">
        <f t="array" aca="1" ref="AB729" ca="1">IFERROR(INDIRECT("$Z"&amp;AA729),"")</f>
        <v/>
      </c>
    </row>
    <row r="730" spans="5:28" x14ac:dyDescent="0.2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33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34"/>
        <v>#N/A</v>
      </c>
      <c r="W730" t="str" cm="1">
        <f t="array" aca="1" ref="W730" ca="1">IFERROR(INDIRECT("$U"&amp;V730),"")</f>
        <v/>
      </c>
      <c r="Z730" t="e" cm="1">
        <f t="array" ref="Z730">INDEX($AE$2:$AN$40,MOD(ROW()-ROW($AE$2),ROWS($AE$2:$AN$40))+1,INT((ROW()-ROW($AE$2))/ROWS($AE$2:$AN$40))+1)</f>
        <v>#REF!</v>
      </c>
      <c r="AA730" t="e">
        <f t="shared" ca="1" si="35"/>
        <v>#N/A</v>
      </c>
      <c r="AB730" t="str" cm="1">
        <f t="array" aca="1" ref="AB730" ca="1">IFERROR(INDIRECT("$Z"&amp;AA730),"")</f>
        <v/>
      </c>
    </row>
    <row r="731" spans="5:28" x14ac:dyDescent="0.2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33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34"/>
        <v>#N/A</v>
      </c>
      <c r="W731" t="str" cm="1">
        <f t="array" aca="1" ref="W731" ca="1">IFERROR(INDIRECT("$U"&amp;V731),"")</f>
        <v/>
      </c>
      <c r="Z731" t="e" cm="1">
        <f t="array" ref="Z731">INDEX($AE$2:$AN$40,MOD(ROW()-ROW($AE$2),ROWS($AE$2:$AN$40))+1,INT((ROW()-ROW($AE$2))/ROWS($AE$2:$AN$40))+1)</f>
        <v>#REF!</v>
      </c>
      <c r="AA731" t="e">
        <f t="shared" ca="1" si="35"/>
        <v>#N/A</v>
      </c>
      <c r="AB731" t="str" cm="1">
        <f t="array" aca="1" ref="AB731" ca="1">IFERROR(INDIRECT("$Z"&amp;AA731),"")</f>
        <v/>
      </c>
    </row>
    <row r="732" spans="5:28" x14ac:dyDescent="0.2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33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34"/>
        <v>#N/A</v>
      </c>
      <c r="W732" t="str" cm="1">
        <f t="array" aca="1" ref="W732" ca="1">IFERROR(INDIRECT("$U"&amp;V732),"")</f>
        <v/>
      </c>
      <c r="Z732" t="e" cm="1">
        <f t="array" ref="Z732">INDEX($AE$2:$AN$40,MOD(ROW()-ROW($AE$2),ROWS($AE$2:$AN$40))+1,INT((ROW()-ROW($AE$2))/ROWS($AE$2:$AN$40))+1)</f>
        <v>#REF!</v>
      </c>
      <c r="AA732" t="e">
        <f t="shared" ca="1" si="35"/>
        <v>#N/A</v>
      </c>
      <c r="AB732" t="str" cm="1">
        <f t="array" aca="1" ref="AB732" ca="1">IFERROR(INDIRECT("$Z"&amp;AA732),"")</f>
        <v/>
      </c>
    </row>
    <row r="733" spans="5:28" x14ac:dyDescent="0.2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33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34"/>
        <v>#N/A</v>
      </c>
      <c r="W733" t="str" cm="1">
        <f t="array" aca="1" ref="W733" ca="1">IFERROR(INDIRECT("$U"&amp;V733),"")</f>
        <v/>
      </c>
      <c r="Z733" t="e" cm="1">
        <f t="array" ref="Z733">INDEX($AE$2:$AN$40,MOD(ROW()-ROW($AE$2),ROWS($AE$2:$AN$40))+1,INT((ROW()-ROW($AE$2))/ROWS($AE$2:$AN$40))+1)</f>
        <v>#REF!</v>
      </c>
      <c r="AA733" t="e">
        <f t="shared" ca="1" si="35"/>
        <v>#N/A</v>
      </c>
      <c r="AB733" t="str" cm="1">
        <f t="array" aca="1" ref="AB733" ca="1">IFERROR(INDIRECT("$Z"&amp;AA733),"")</f>
        <v/>
      </c>
    </row>
    <row r="734" spans="5:28" x14ac:dyDescent="0.2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33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34"/>
        <v>#N/A</v>
      </c>
      <c r="W734" t="str" cm="1">
        <f t="array" aca="1" ref="W734" ca="1">IFERROR(INDIRECT("$U"&amp;V734),"")</f>
        <v/>
      </c>
      <c r="Z734" t="e" cm="1">
        <f t="array" ref="Z734">INDEX($AE$2:$AN$40,MOD(ROW()-ROW($AE$2),ROWS($AE$2:$AN$40))+1,INT((ROW()-ROW($AE$2))/ROWS($AE$2:$AN$40))+1)</f>
        <v>#REF!</v>
      </c>
      <c r="AA734" t="e">
        <f t="shared" ca="1" si="35"/>
        <v>#N/A</v>
      </c>
      <c r="AB734" t="str" cm="1">
        <f t="array" aca="1" ref="AB734" ca="1">IFERROR(INDIRECT("$Z"&amp;AA734),"")</f>
        <v/>
      </c>
    </row>
    <row r="735" spans="5:28" x14ac:dyDescent="0.2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33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34"/>
        <v>#N/A</v>
      </c>
      <c r="W735" t="str" cm="1">
        <f t="array" aca="1" ref="W735" ca="1">IFERROR(INDIRECT("$U"&amp;V735),"")</f>
        <v/>
      </c>
      <c r="Z735" t="e" cm="1">
        <f t="array" ref="Z735">INDEX($AE$2:$AN$40,MOD(ROW()-ROW($AE$2),ROWS($AE$2:$AN$40))+1,INT((ROW()-ROW($AE$2))/ROWS($AE$2:$AN$40))+1)</f>
        <v>#REF!</v>
      </c>
      <c r="AA735" t="e">
        <f t="shared" ca="1" si="35"/>
        <v>#N/A</v>
      </c>
      <c r="AB735" t="str" cm="1">
        <f t="array" aca="1" ref="AB735" ca="1">IFERROR(INDIRECT("$Z"&amp;AA735),"")</f>
        <v/>
      </c>
    </row>
    <row r="736" spans="5:28" x14ac:dyDescent="0.2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33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34"/>
        <v>#N/A</v>
      </c>
      <c r="W736" t="str" cm="1">
        <f t="array" aca="1" ref="W736" ca="1">IFERROR(INDIRECT("$U"&amp;V736),"")</f>
        <v/>
      </c>
      <c r="Z736" t="e" cm="1">
        <f t="array" ref="Z736">INDEX($AE$2:$AN$40,MOD(ROW()-ROW($AE$2),ROWS($AE$2:$AN$40))+1,INT((ROW()-ROW($AE$2))/ROWS($AE$2:$AN$40))+1)</f>
        <v>#REF!</v>
      </c>
      <c r="AA736" t="e">
        <f t="shared" ca="1" si="35"/>
        <v>#N/A</v>
      </c>
      <c r="AB736" t="str" cm="1">
        <f t="array" aca="1" ref="AB736" ca="1">IFERROR(INDIRECT("$Z"&amp;AA736),"")</f>
        <v/>
      </c>
    </row>
    <row r="737" spans="5:28" x14ac:dyDescent="0.2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33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34"/>
        <v>#N/A</v>
      </c>
      <c r="W737" t="str" cm="1">
        <f t="array" aca="1" ref="W737" ca="1">IFERROR(INDIRECT("$U"&amp;V737),"")</f>
        <v/>
      </c>
      <c r="Z737" t="e" cm="1">
        <f t="array" ref="Z737">INDEX($AE$2:$AN$40,MOD(ROW()-ROW($AE$2),ROWS($AE$2:$AN$40))+1,INT((ROW()-ROW($AE$2))/ROWS($AE$2:$AN$40))+1)</f>
        <v>#REF!</v>
      </c>
      <c r="AA737" t="e">
        <f t="shared" ca="1" si="35"/>
        <v>#N/A</v>
      </c>
      <c r="AB737" t="str" cm="1">
        <f t="array" aca="1" ref="AB737" ca="1">IFERROR(INDIRECT("$Z"&amp;AA737),"")</f>
        <v/>
      </c>
    </row>
    <row r="738" spans="5:28" x14ac:dyDescent="0.2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33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34"/>
        <v>#N/A</v>
      </c>
      <c r="W738" t="str" cm="1">
        <f t="array" aca="1" ref="W738" ca="1">IFERROR(INDIRECT("$U"&amp;V738),"")</f>
        <v/>
      </c>
      <c r="Z738" t="e" cm="1">
        <f t="array" ref="Z738">INDEX($AE$2:$AN$40,MOD(ROW()-ROW($AE$2),ROWS($AE$2:$AN$40))+1,INT((ROW()-ROW($AE$2))/ROWS($AE$2:$AN$40))+1)</f>
        <v>#REF!</v>
      </c>
      <c r="AA738" t="e">
        <f t="shared" ca="1" si="35"/>
        <v>#N/A</v>
      </c>
      <c r="AB738" t="str" cm="1">
        <f t="array" aca="1" ref="AB738" ca="1">IFERROR(INDIRECT("$Z"&amp;AA738),"")</f>
        <v/>
      </c>
    </row>
    <row r="739" spans="5:28" x14ac:dyDescent="0.2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33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34"/>
        <v>#N/A</v>
      </c>
      <c r="W739" t="str" cm="1">
        <f t="array" aca="1" ref="W739" ca="1">IFERROR(INDIRECT("$U"&amp;V739),"")</f>
        <v/>
      </c>
      <c r="Z739" t="e" cm="1">
        <f t="array" ref="Z739">INDEX($AE$2:$AN$40,MOD(ROW()-ROW($AE$2),ROWS($AE$2:$AN$40))+1,INT((ROW()-ROW($AE$2))/ROWS($AE$2:$AN$40))+1)</f>
        <v>#REF!</v>
      </c>
      <c r="AA739" t="e">
        <f t="shared" ca="1" si="35"/>
        <v>#N/A</v>
      </c>
      <c r="AB739" t="str" cm="1">
        <f t="array" aca="1" ref="AB739" ca="1">IFERROR(INDIRECT("$Z"&amp;AA739),"")</f>
        <v/>
      </c>
    </row>
    <row r="740" spans="5:28" x14ac:dyDescent="0.2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33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34"/>
        <v>#N/A</v>
      </c>
      <c r="W740" t="str" cm="1">
        <f t="array" aca="1" ref="W740" ca="1">IFERROR(INDIRECT("$U"&amp;V740),"")</f>
        <v/>
      </c>
      <c r="Z740" t="e" cm="1">
        <f t="array" ref="Z740">INDEX($AE$2:$AN$40,MOD(ROW()-ROW($AE$2),ROWS($AE$2:$AN$40))+1,INT((ROW()-ROW($AE$2))/ROWS($AE$2:$AN$40))+1)</f>
        <v>#REF!</v>
      </c>
      <c r="AA740" t="e">
        <f t="shared" ca="1" si="35"/>
        <v>#N/A</v>
      </c>
      <c r="AB740" t="str" cm="1">
        <f t="array" aca="1" ref="AB740" ca="1">IFERROR(INDIRECT("$Z"&amp;AA740),"")</f>
        <v/>
      </c>
    </row>
    <row r="741" spans="5:28" x14ac:dyDescent="0.2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33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34"/>
        <v>#N/A</v>
      </c>
      <c r="W741" t="str" cm="1">
        <f t="array" aca="1" ref="W741" ca="1">IFERROR(INDIRECT("$U"&amp;V741),"")</f>
        <v/>
      </c>
      <c r="Z741" t="e" cm="1">
        <f t="array" ref="Z741">INDEX($AE$2:$AN$40,MOD(ROW()-ROW($AE$2),ROWS($AE$2:$AN$40))+1,INT((ROW()-ROW($AE$2))/ROWS($AE$2:$AN$40))+1)</f>
        <v>#REF!</v>
      </c>
      <c r="AA741" t="e">
        <f t="shared" ca="1" si="35"/>
        <v>#N/A</v>
      </c>
      <c r="AB741" t="str" cm="1">
        <f t="array" aca="1" ref="AB741" ca="1">IFERROR(INDIRECT("$Z"&amp;AA741),"")</f>
        <v/>
      </c>
    </row>
    <row r="742" spans="5:28" x14ac:dyDescent="0.2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33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34"/>
        <v>#N/A</v>
      </c>
      <c r="W742" t="str" cm="1">
        <f t="array" aca="1" ref="W742" ca="1">IFERROR(INDIRECT("$U"&amp;V742),"")</f>
        <v/>
      </c>
      <c r="Z742" t="e" cm="1">
        <f t="array" ref="Z742">INDEX($AE$2:$AN$40,MOD(ROW()-ROW($AE$2),ROWS($AE$2:$AN$40))+1,INT((ROW()-ROW($AE$2))/ROWS($AE$2:$AN$40))+1)</f>
        <v>#REF!</v>
      </c>
      <c r="AA742" t="e">
        <f t="shared" ca="1" si="35"/>
        <v>#N/A</v>
      </c>
      <c r="AB742" t="str" cm="1">
        <f t="array" aca="1" ref="AB742" ca="1">IFERROR(INDIRECT("$Z"&amp;AA742),"")</f>
        <v/>
      </c>
    </row>
    <row r="743" spans="5:28" x14ac:dyDescent="0.2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33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34"/>
        <v>#N/A</v>
      </c>
      <c r="W743" t="str" cm="1">
        <f t="array" aca="1" ref="W743" ca="1">IFERROR(INDIRECT("$U"&amp;V743),"")</f>
        <v/>
      </c>
      <c r="Z743" t="e" cm="1">
        <f t="array" ref="Z743">INDEX($AE$2:$AN$40,MOD(ROW()-ROW($AE$2),ROWS($AE$2:$AN$40))+1,INT((ROW()-ROW($AE$2))/ROWS($AE$2:$AN$40))+1)</f>
        <v>#REF!</v>
      </c>
      <c r="AA743" t="e">
        <f t="shared" ca="1" si="35"/>
        <v>#N/A</v>
      </c>
      <c r="AB743" t="str" cm="1">
        <f t="array" aca="1" ref="AB743" ca="1">IFERROR(INDIRECT("$Z"&amp;AA743),"")</f>
        <v/>
      </c>
    </row>
    <row r="744" spans="5:28" x14ac:dyDescent="0.2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33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34"/>
        <v>#N/A</v>
      </c>
      <c r="W744" t="str" cm="1">
        <f t="array" aca="1" ref="W744" ca="1">IFERROR(INDIRECT("$U"&amp;V744),"")</f>
        <v/>
      </c>
      <c r="Z744" t="e" cm="1">
        <f t="array" ref="Z744">INDEX($AE$2:$AN$40,MOD(ROW()-ROW($AE$2),ROWS($AE$2:$AN$40))+1,INT((ROW()-ROW($AE$2))/ROWS($AE$2:$AN$40))+1)</f>
        <v>#REF!</v>
      </c>
      <c r="AA744" t="e">
        <f t="shared" ca="1" si="35"/>
        <v>#N/A</v>
      </c>
      <c r="AB744" t="str" cm="1">
        <f t="array" aca="1" ref="AB744" ca="1">IFERROR(INDIRECT("$Z"&amp;AA744),"")</f>
        <v/>
      </c>
    </row>
    <row r="745" spans="5:28" x14ac:dyDescent="0.2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33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34"/>
        <v>#N/A</v>
      </c>
      <c r="W745" t="str" cm="1">
        <f t="array" aca="1" ref="W745" ca="1">IFERROR(INDIRECT("$U"&amp;V745),"")</f>
        <v/>
      </c>
      <c r="Z745" t="e" cm="1">
        <f t="array" ref="Z745">INDEX($AE$2:$AN$40,MOD(ROW()-ROW($AE$2),ROWS($AE$2:$AN$40))+1,INT((ROW()-ROW($AE$2))/ROWS($AE$2:$AN$40))+1)</f>
        <v>#REF!</v>
      </c>
      <c r="AA745" t="e">
        <f t="shared" ca="1" si="35"/>
        <v>#N/A</v>
      </c>
      <c r="AB745" t="str" cm="1">
        <f t="array" aca="1" ref="AB745" ca="1">IFERROR(INDIRECT("$Z"&amp;AA745),"")</f>
        <v/>
      </c>
    </row>
    <row r="746" spans="5:28" x14ac:dyDescent="0.2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33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34"/>
        <v>#N/A</v>
      </c>
      <c r="W746" t="str" cm="1">
        <f t="array" aca="1" ref="W746" ca="1">IFERROR(INDIRECT("$U"&amp;V746),"")</f>
        <v/>
      </c>
      <c r="Z746" t="e" cm="1">
        <f t="array" ref="Z746">INDEX($AE$2:$AN$40,MOD(ROW()-ROW($AE$2),ROWS($AE$2:$AN$40))+1,INT((ROW()-ROW($AE$2))/ROWS($AE$2:$AN$40))+1)</f>
        <v>#REF!</v>
      </c>
      <c r="AA746" t="e">
        <f t="shared" ca="1" si="35"/>
        <v>#N/A</v>
      </c>
      <c r="AB746" t="str" cm="1">
        <f t="array" aca="1" ref="AB746" ca="1">IFERROR(INDIRECT("$Z"&amp;AA746),"")</f>
        <v/>
      </c>
    </row>
    <row r="747" spans="5:28" x14ac:dyDescent="0.2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33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34"/>
        <v>#N/A</v>
      </c>
      <c r="W747" t="str" cm="1">
        <f t="array" aca="1" ref="W747" ca="1">IFERROR(INDIRECT("$U"&amp;V747),"")</f>
        <v/>
      </c>
      <c r="Z747" t="e" cm="1">
        <f t="array" ref="Z747">INDEX($AE$2:$AN$40,MOD(ROW()-ROW($AE$2),ROWS($AE$2:$AN$40))+1,INT((ROW()-ROW($AE$2))/ROWS($AE$2:$AN$40))+1)</f>
        <v>#REF!</v>
      </c>
      <c r="AA747" t="e">
        <f t="shared" ca="1" si="35"/>
        <v>#N/A</v>
      </c>
      <c r="AB747" t="str" cm="1">
        <f t="array" aca="1" ref="AB747" ca="1">IFERROR(INDIRECT("$Z"&amp;AA747),"")</f>
        <v/>
      </c>
    </row>
    <row r="748" spans="5:28" x14ac:dyDescent="0.2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33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34"/>
        <v>#N/A</v>
      </c>
      <c r="W748" t="str" cm="1">
        <f t="array" aca="1" ref="W748" ca="1">IFERROR(INDIRECT("$U"&amp;V748),"")</f>
        <v/>
      </c>
      <c r="Z748" t="e" cm="1">
        <f t="array" ref="Z748">INDEX($AE$2:$AN$40,MOD(ROW()-ROW($AE$2),ROWS($AE$2:$AN$40))+1,INT((ROW()-ROW($AE$2))/ROWS($AE$2:$AN$40))+1)</f>
        <v>#REF!</v>
      </c>
      <c r="AA748" t="e">
        <f t="shared" ca="1" si="35"/>
        <v>#N/A</v>
      </c>
      <c r="AB748" t="str" cm="1">
        <f t="array" aca="1" ref="AB748" ca="1">IFERROR(INDIRECT("$Z"&amp;AA748),"")</f>
        <v/>
      </c>
    </row>
    <row r="749" spans="5:28" x14ac:dyDescent="0.2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33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34"/>
        <v>#N/A</v>
      </c>
      <c r="W749" t="str" cm="1">
        <f t="array" aca="1" ref="W749" ca="1">IFERROR(INDIRECT("$U"&amp;V749),"")</f>
        <v/>
      </c>
      <c r="Z749" t="e" cm="1">
        <f t="array" ref="Z749">INDEX($AE$2:$AN$40,MOD(ROW()-ROW($AE$2),ROWS($AE$2:$AN$40))+1,INT((ROW()-ROW($AE$2))/ROWS($AE$2:$AN$40))+1)</f>
        <v>#REF!</v>
      </c>
      <c r="AA749" t="e">
        <f t="shared" ca="1" si="35"/>
        <v>#N/A</v>
      </c>
      <c r="AB749" t="str" cm="1">
        <f t="array" aca="1" ref="AB749" ca="1">IFERROR(INDIRECT("$Z"&amp;AA749),"")</f>
        <v/>
      </c>
    </row>
    <row r="750" spans="5:28" x14ac:dyDescent="0.2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33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34"/>
        <v>#N/A</v>
      </c>
      <c r="W750" t="str" cm="1">
        <f t="array" aca="1" ref="W750" ca="1">IFERROR(INDIRECT("$U"&amp;V750),"")</f>
        <v/>
      </c>
      <c r="Z750" t="e" cm="1">
        <f t="array" ref="Z750">INDEX($AE$2:$AN$40,MOD(ROW()-ROW($AE$2),ROWS($AE$2:$AN$40))+1,INT((ROW()-ROW($AE$2))/ROWS($AE$2:$AN$40))+1)</f>
        <v>#REF!</v>
      </c>
      <c r="AA750" t="e">
        <f t="shared" ca="1" si="35"/>
        <v>#N/A</v>
      </c>
      <c r="AB750" t="str" cm="1">
        <f t="array" aca="1" ref="AB750" ca="1">IFERROR(INDIRECT("$Z"&amp;AA750),"")</f>
        <v/>
      </c>
    </row>
    <row r="751" spans="5:28" x14ac:dyDescent="0.2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33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34"/>
        <v>#N/A</v>
      </c>
      <c r="W751" t="str" cm="1">
        <f t="array" aca="1" ref="W751" ca="1">IFERROR(INDIRECT("$U"&amp;V751),"")</f>
        <v/>
      </c>
      <c r="Z751" t="e" cm="1">
        <f t="array" ref="Z751">INDEX($AE$2:$AN$40,MOD(ROW()-ROW($AE$2),ROWS($AE$2:$AN$40))+1,INT((ROW()-ROW($AE$2))/ROWS($AE$2:$AN$40))+1)</f>
        <v>#REF!</v>
      </c>
      <c r="AA751" t="e">
        <f t="shared" ca="1" si="35"/>
        <v>#N/A</v>
      </c>
      <c r="AB751" t="str" cm="1">
        <f t="array" aca="1" ref="AB751" ca="1">IFERROR(INDIRECT("$Z"&amp;AA751),"")</f>
        <v/>
      </c>
    </row>
    <row r="752" spans="5:28" x14ac:dyDescent="0.2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33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34"/>
        <v>#N/A</v>
      </c>
      <c r="W752" t="str" cm="1">
        <f t="array" aca="1" ref="W752" ca="1">IFERROR(INDIRECT("$U"&amp;V752),"")</f>
        <v/>
      </c>
      <c r="Z752" t="e" cm="1">
        <f t="array" ref="Z752">INDEX($AE$2:$AN$40,MOD(ROW()-ROW($AE$2),ROWS($AE$2:$AN$40))+1,INT((ROW()-ROW($AE$2))/ROWS($AE$2:$AN$40))+1)</f>
        <v>#REF!</v>
      </c>
      <c r="AA752" t="e">
        <f t="shared" ca="1" si="35"/>
        <v>#N/A</v>
      </c>
      <c r="AB752" t="str" cm="1">
        <f t="array" aca="1" ref="AB752" ca="1">IFERROR(INDIRECT("$Z"&amp;AA752),"")</f>
        <v/>
      </c>
    </row>
    <row r="753" spans="5:28" x14ac:dyDescent="0.2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33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34"/>
        <v>#N/A</v>
      </c>
      <c r="W753" t="str" cm="1">
        <f t="array" aca="1" ref="W753" ca="1">IFERROR(INDIRECT("$U"&amp;V753),"")</f>
        <v/>
      </c>
      <c r="Z753" t="e" cm="1">
        <f t="array" ref="Z753">INDEX($AE$2:$AN$40,MOD(ROW()-ROW($AE$2),ROWS($AE$2:$AN$40))+1,INT((ROW()-ROW($AE$2))/ROWS($AE$2:$AN$40))+1)</f>
        <v>#REF!</v>
      </c>
      <c r="AA753" t="e">
        <f t="shared" ca="1" si="35"/>
        <v>#N/A</v>
      </c>
      <c r="AB753" t="str" cm="1">
        <f t="array" aca="1" ref="AB753" ca="1">IFERROR(INDIRECT("$Z"&amp;AA753),"")</f>
        <v/>
      </c>
    </row>
    <row r="754" spans="5:28" x14ac:dyDescent="0.2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33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34"/>
        <v>#N/A</v>
      </c>
      <c r="W754" t="str" cm="1">
        <f t="array" aca="1" ref="W754" ca="1">IFERROR(INDIRECT("$U"&amp;V754),"")</f>
        <v/>
      </c>
      <c r="Z754" t="e" cm="1">
        <f t="array" ref="Z754">INDEX($AE$2:$AN$40,MOD(ROW()-ROW($AE$2),ROWS($AE$2:$AN$40))+1,INT((ROW()-ROW($AE$2))/ROWS($AE$2:$AN$40))+1)</f>
        <v>#REF!</v>
      </c>
      <c r="AA754" t="e">
        <f t="shared" ca="1" si="35"/>
        <v>#N/A</v>
      </c>
      <c r="AB754" t="str" cm="1">
        <f t="array" aca="1" ref="AB754" ca="1">IFERROR(INDIRECT("$Z"&amp;AA754),"")</f>
        <v/>
      </c>
    </row>
    <row r="755" spans="5:28" x14ac:dyDescent="0.2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33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34"/>
        <v>#N/A</v>
      </c>
      <c r="W755" t="str" cm="1">
        <f t="array" aca="1" ref="W755" ca="1">IFERROR(INDIRECT("$U"&amp;V755),"")</f>
        <v/>
      </c>
      <c r="Z755" t="e" cm="1">
        <f t="array" ref="Z755">INDEX($AE$2:$AN$40,MOD(ROW()-ROW($AE$2),ROWS($AE$2:$AN$40))+1,INT((ROW()-ROW($AE$2))/ROWS($AE$2:$AN$40))+1)</f>
        <v>#REF!</v>
      </c>
      <c r="AA755" t="e">
        <f t="shared" ca="1" si="35"/>
        <v>#N/A</v>
      </c>
      <c r="AB755" t="str" cm="1">
        <f t="array" aca="1" ref="AB755" ca="1">IFERROR(INDIRECT("$Z"&amp;AA755),"")</f>
        <v/>
      </c>
    </row>
    <row r="756" spans="5:28" x14ac:dyDescent="0.2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33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34"/>
        <v>#N/A</v>
      </c>
      <c r="W756" t="str" cm="1">
        <f t="array" aca="1" ref="W756" ca="1">IFERROR(INDIRECT("$U"&amp;V756),"")</f>
        <v/>
      </c>
      <c r="Z756" t="e" cm="1">
        <f t="array" ref="Z756">INDEX($AE$2:$AN$40,MOD(ROW()-ROW($AE$2),ROWS($AE$2:$AN$40))+1,INT((ROW()-ROW($AE$2))/ROWS($AE$2:$AN$40))+1)</f>
        <v>#REF!</v>
      </c>
      <c r="AA756" t="e">
        <f t="shared" ca="1" si="35"/>
        <v>#N/A</v>
      </c>
      <c r="AB756" t="str" cm="1">
        <f t="array" aca="1" ref="AB756" ca="1">IFERROR(INDIRECT("$Z"&amp;AA756),"")</f>
        <v/>
      </c>
    </row>
    <row r="757" spans="5:28" x14ac:dyDescent="0.2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33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34"/>
        <v>#N/A</v>
      </c>
      <c r="W757" t="str" cm="1">
        <f t="array" aca="1" ref="W757" ca="1">IFERROR(INDIRECT("$U"&amp;V757),"")</f>
        <v/>
      </c>
      <c r="Z757" t="e" cm="1">
        <f t="array" ref="Z757">INDEX($AE$2:$AN$40,MOD(ROW()-ROW($AE$2),ROWS($AE$2:$AN$40))+1,INT((ROW()-ROW($AE$2))/ROWS($AE$2:$AN$40))+1)</f>
        <v>#REF!</v>
      </c>
      <c r="AA757" t="e">
        <f t="shared" ca="1" si="35"/>
        <v>#N/A</v>
      </c>
      <c r="AB757" t="str" cm="1">
        <f t="array" aca="1" ref="AB757" ca="1">IFERROR(INDIRECT("$Z"&amp;AA757),"")</f>
        <v/>
      </c>
    </row>
    <row r="758" spans="5:28" x14ac:dyDescent="0.2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33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34"/>
        <v>#N/A</v>
      </c>
      <c r="W758" t="str" cm="1">
        <f t="array" aca="1" ref="W758" ca="1">IFERROR(INDIRECT("$U"&amp;V758),"")</f>
        <v/>
      </c>
      <c r="Z758" t="e" cm="1">
        <f t="array" ref="Z758">INDEX($AE$2:$AN$40,MOD(ROW()-ROW($AE$2),ROWS($AE$2:$AN$40))+1,INT((ROW()-ROW($AE$2))/ROWS($AE$2:$AN$40))+1)</f>
        <v>#REF!</v>
      </c>
      <c r="AA758" t="e">
        <f t="shared" ca="1" si="35"/>
        <v>#N/A</v>
      </c>
      <c r="AB758" t="str" cm="1">
        <f t="array" aca="1" ref="AB758" ca="1">IFERROR(INDIRECT("$Z"&amp;AA758),"")</f>
        <v/>
      </c>
    </row>
    <row r="759" spans="5:28" x14ac:dyDescent="0.2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33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34"/>
        <v>#N/A</v>
      </c>
      <c r="W759" t="str" cm="1">
        <f t="array" aca="1" ref="W759" ca="1">IFERROR(INDIRECT("$U"&amp;V759),"")</f>
        <v/>
      </c>
      <c r="Z759" t="e" cm="1">
        <f t="array" ref="Z759">INDEX($AE$2:$AN$40,MOD(ROW()-ROW($AE$2),ROWS($AE$2:$AN$40))+1,INT((ROW()-ROW($AE$2))/ROWS($AE$2:$AN$40))+1)</f>
        <v>#REF!</v>
      </c>
      <c r="AA759" t="e">
        <f t="shared" ca="1" si="35"/>
        <v>#N/A</v>
      </c>
      <c r="AB759" t="str" cm="1">
        <f t="array" aca="1" ref="AB759" ca="1">IFERROR(INDIRECT("$Z"&amp;AA759),"")</f>
        <v/>
      </c>
    </row>
    <row r="760" spans="5:28" x14ac:dyDescent="0.2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33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34"/>
        <v>#N/A</v>
      </c>
      <c r="W760" t="str" cm="1">
        <f t="array" aca="1" ref="W760" ca="1">IFERROR(INDIRECT("$U"&amp;V760),"")</f>
        <v/>
      </c>
      <c r="Z760" t="e" cm="1">
        <f t="array" ref="Z760">INDEX($AE$2:$AN$40,MOD(ROW()-ROW($AE$2),ROWS($AE$2:$AN$40))+1,INT((ROW()-ROW($AE$2))/ROWS($AE$2:$AN$40))+1)</f>
        <v>#REF!</v>
      </c>
      <c r="AA760" t="e">
        <f t="shared" ca="1" si="35"/>
        <v>#N/A</v>
      </c>
      <c r="AB760" t="str" cm="1">
        <f t="array" aca="1" ref="AB760" ca="1">IFERROR(INDIRECT("$Z"&amp;AA760),"")</f>
        <v/>
      </c>
    </row>
    <row r="761" spans="5:28" x14ac:dyDescent="0.2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33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34"/>
        <v>#N/A</v>
      </c>
      <c r="W761" t="str" cm="1">
        <f t="array" aca="1" ref="W761" ca="1">IFERROR(INDIRECT("$U"&amp;V761),"")</f>
        <v/>
      </c>
      <c r="Z761" t="e" cm="1">
        <f t="array" ref="Z761">INDEX($AE$2:$AN$40,MOD(ROW()-ROW($AE$2),ROWS($AE$2:$AN$40))+1,INT((ROW()-ROW($AE$2))/ROWS($AE$2:$AN$40))+1)</f>
        <v>#REF!</v>
      </c>
      <c r="AA761" t="e">
        <f t="shared" ca="1" si="35"/>
        <v>#N/A</v>
      </c>
      <c r="AB761" t="str" cm="1">
        <f t="array" aca="1" ref="AB761" ca="1">IFERROR(INDIRECT("$Z"&amp;AA761),"")</f>
        <v/>
      </c>
    </row>
    <row r="762" spans="5:28" x14ac:dyDescent="0.2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33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34"/>
        <v>#N/A</v>
      </c>
      <c r="W762" t="str" cm="1">
        <f t="array" aca="1" ref="W762" ca="1">IFERROR(INDIRECT("$U"&amp;V762),"")</f>
        <v/>
      </c>
      <c r="Z762" t="e" cm="1">
        <f t="array" ref="Z762">INDEX($AE$2:$AN$40,MOD(ROW()-ROW($AE$2),ROWS($AE$2:$AN$40))+1,INT((ROW()-ROW($AE$2))/ROWS($AE$2:$AN$40))+1)</f>
        <v>#REF!</v>
      </c>
      <c r="AA762" t="e">
        <f t="shared" ca="1" si="35"/>
        <v>#N/A</v>
      </c>
      <c r="AB762" t="str" cm="1">
        <f t="array" aca="1" ref="AB762" ca="1">IFERROR(INDIRECT("$Z"&amp;AA762),"")</f>
        <v/>
      </c>
    </row>
    <row r="763" spans="5:28" x14ac:dyDescent="0.2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33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34"/>
        <v>#N/A</v>
      </c>
      <c r="W763" t="str" cm="1">
        <f t="array" aca="1" ref="W763" ca="1">IFERROR(INDIRECT("$U"&amp;V763),"")</f>
        <v/>
      </c>
      <c r="Z763" t="e" cm="1">
        <f t="array" ref="Z763">INDEX($AE$2:$AN$40,MOD(ROW()-ROW($AE$2),ROWS($AE$2:$AN$40))+1,INT((ROW()-ROW($AE$2))/ROWS($AE$2:$AN$40))+1)</f>
        <v>#REF!</v>
      </c>
      <c r="AA763" t="e">
        <f t="shared" ca="1" si="35"/>
        <v>#N/A</v>
      </c>
      <c r="AB763" t="str" cm="1">
        <f t="array" aca="1" ref="AB763" ca="1">IFERROR(INDIRECT("$Z"&amp;AA763),"")</f>
        <v/>
      </c>
    </row>
    <row r="764" spans="5:28" x14ac:dyDescent="0.2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33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34"/>
        <v>#N/A</v>
      </c>
      <c r="W764" t="str" cm="1">
        <f t="array" aca="1" ref="W764" ca="1">IFERROR(INDIRECT("$U"&amp;V764),"")</f>
        <v/>
      </c>
      <c r="Z764" t="e" cm="1">
        <f t="array" ref="Z764">INDEX($AE$2:$AN$40,MOD(ROW()-ROW($AE$2),ROWS($AE$2:$AN$40))+1,INT((ROW()-ROW($AE$2))/ROWS($AE$2:$AN$40))+1)</f>
        <v>#REF!</v>
      </c>
      <c r="AA764" t="e">
        <f t="shared" ca="1" si="35"/>
        <v>#N/A</v>
      </c>
      <c r="AB764" t="str" cm="1">
        <f t="array" aca="1" ref="AB764" ca="1">IFERROR(INDIRECT("$Z"&amp;AA764),"")</f>
        <v/>
      </c>
    </row>
    <row r="765" spans="5:28" x14ac:dyDescent="0.2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33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34"/>
        <v>#N/A</v>
      </c>
      <c r="W765" t="str" cm="1">
        <f t="array" aca="1" ref="W765" ca="1">IFERROR(INDIRECT("$U"&amp;V765),"")</f>
        <v/>
      </c>
      <c r="Z765" t="e" cm="1">
        <f t="array" ref="Z765">INDEX($AE$2:$AN$40,MOD(ROW()-ROW($AE$2),ROWS($AE$2:$AN$40))+1,INT((ROW()-ROW($AE$2))/ROWS($AE$2:$AN$40))+1)</f>
        <v>#REF!</v>
      </c>
      <c r="AA765" t="e">
        <f t="shared" ca="1" si="35"/>
        <v>#N/A</v>
      </c>
      <c r="AB765" t="str" cm="1">
        <f t="array" aca="1" ref="AB765" ca="1">IFERROR(INDIRECT("$Z"&amp;AA765),"")</f>
        <v/>
      </c>
    </row>
    <row r="766" spans="5:28" x14ac:dyDescent="0.2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33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34"/>
        <v>#N/A</v>
      </c>
      <c r="W766" t="str" cm="1">
        <f t="array" aca="1" ref="W766" ca="1">IFERROR(INDIRECT("$U"&amp;V766),"")</f>
        <v/>
      </c>
      <c r="Z766" t="e" cm="1">
        <f t="array" ref="Z766">INDEX($AE$2:$AN$40,MOD(ROW()-ROW($AE$2),ROWS($AE$2:$AN$40))+1,INT((ROW()-ROW($AE$2))/ROWS($AE$2:$AN$40))+1)</f>
        <v>#REF!</v>
      </c>
      <c r="AA766" t="e">
        <f t="shared" ca="1" si="35"/>
        <v>#N/A</v>
      </c>
      <c r="AB766" t="str" cm="1">
        <f t="array" aca="1" ref="AB766" ca="1">IFERROR(INDIRECT("$Z"&amp;AA766),"")</f>
        <v/>
      </c>
    </row>
    <row r="767" spans="5:28" x14ac:dyDescent="0.2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33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34"/>
        <v>#N/A</v>
      </c>
      <c r="W767" t="str" cm="1">
        <f t="array" aca="1" ref="W767" ca="1">IFERROR(INDIRECT("$U"&amp;V767),"")</f>
        <v/>
      </c>
      <c r="Z767" t="e" cm="1">
        <f t="array" ref="Z767">INDEX($AE$2:$AN$40,MOD(ROW()-ROW($AE$2),ROWS($AE$2:$AN$40))+1,INT((ROW()-ROW($AE$2))/ROWS($AE$2:$AN$40))+1)</f>
        <v>#REF!</v>
      </c>
      <c r="AA767" t="e">
        <f t="shared" ca="1" si="35"/>
        <v>#N/A</v>
      </c>
      <c r="AB767" t="str" cm="1">
        <f t="array" aca="1" ref="AB767" ca="1">IFERROR(INDIRECT("$Z"&amp;AA767),"")</f>
        <v/>
      </c>
    </row>
    <row r="768" spans="5:28" x14ac:dyDescent="0.2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33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34"/>
        <v>#N/A</v>
      </c>
      <c r="W768" t="str" cm="1">
        <f t="array" aca="1" ref="W768" ca="1">IFERROR(INDIRECT("$U"&amp;V768),"")</f>
        <v/>
      </c>
      <c r="Z768" t="e" cm="1">
        <f t="array" ref="Z768">INDEX($AE$2:$AN$40,MOD(ROW()-ROW($AE$2),ROWS($AE$2:$AN$40))+1,INT((ROW()-ROW($AE$2))/ROWS($AE$2:$AN$40))+1)</f>
        <v>#REF!</v>
      </c>
      <c r="AA768" t="e">
        <f t="shared" ca="1" si="35"/>
        <v>#N/A</v>
      </c>
      <c r="AB768" t="str" cm="1">
        <f t="array" aca="1" ref="AB768" ca="1">IFERROR(INDIRECT("$Z"&amp;AA768),"")</f>
        <v/>
      </c>
    </row>
    <row r="769" spans="5:28" x14ac:dyDescent="0.2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33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34"/>
        <v>#N/A</v>
      </c>
      <c r="W769" t="str" cm="1">
        <f t="array" aca="1" ref="W769" ca="1">IFERROR(INDIRECT("$U"&amp;V769),"")</f>
        <v/>
      </c>
      <c r="Z769" t="e" cm="1">
        <f t="array" ref="Z769">INDEX($AE$2:$AN$40,MOD(ROW()-ROW($AE$2),ROWS($AE$2:$AN$40))+1,INT((ROW()-ROW($AE$2))/ROWS($AE$2:$AN$40))+1)</f>
        <v>#REF!</v>
      </c>
      <c r="AA769" t="e">
        <f t="shared" ca="1" si="35"/>
        <v>#N/A</v>
      </c>
      <c r="AB769" t="str" cm="1">
        <f t="array" aca="1" ref="AB769" ca="1">IFERROR(INDIRECT("$Z"&amp;AA769),"")</f>
        <v/>
      </c>
    </row>
    <row r="770" spans="5:28" x14ac:dyDescent="0.2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33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34"/>
        <v>#N/A</v>
      </c>
      <c r="W770" t="str" cm="1">
        <f t="array" aca="1" ref="W770" ca="1">IFERROR(INDIRECT("$U"&amp;V770),"")</f>
        <v/>
      </c>
      <c r="Z770" t="e" cm="1">
        <f t="array" ref="Z770">INDEX($AE$2:$AN$40,MOD(ROW()-ROW($AE$2),ROWS($AE$2:$AN$40))+1,INT((ROW()-ROW($AE$2))/ROWS($AE$2:$AN$40))+1)</f>
        <v>#REF!</v>
      </c>
      <c r="AA770" t="e">
        <f t="shared" ca="1" si="35"/>
        <v>#N/A</v>
      </c>
      <c r="AB770" t="str" cm="1">
        <f t="array" aca="1" ref="AB770" ca="1">IFERROR(INDIRECT("$Z"&amp;AA770),"")</f>
        <v/>
      </c>
    </row>
    <row r="771" spans="5:28" x14ac:dyDescent="0.2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33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34"/>
        <v>#N/A</v>
      </c>
      <c r="W771" t="str" cm="1">
        <f t="array" aca="1" ref="W771" ca="1">IFERROR(INDIRECT("$U"&amp;V771),"")</f>
        <v/>
      </c>
      <c r="Z771" t="e" cm="1">
        <f t="array" ref="Z771">INDEX($AE$2:$AN$40,MOD(ROW()-ROW($AE$2),ROWS($AE$2:$AN$40))+1,INT((ROW()-ROW($AE$2))/ROWS($AE$2:$AN$40))+1)</f>
        <v>#REF!</v>
      </c>
      <c r="AA771" t="e">
        <f t="shared" ca="1" si="35"/>
        <v>#N/A</v>
      </c>
      <c r="AB771" t="str" cm="1">
        <f t="array" aca="1" ref="AB771" ca="1">IFERROR(INDIRECT("$Z"&amp;AA771),"")</f>
        <v/>
      </c>
    </row>
    <row r="772" spans="5:28" x14ac:dyDescent="0.2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36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37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INDEX($AE$2:$AN$40,MOD(ROW()-ROW($AE$2),ROWS($AE$2:$AN$40))+1,INT((ROW()-ROW($AE$2))/ROWS($AE$2:$AN$40))+1)</f>
        <v>#REF!</v>
      </c>
      <c r="AA772" t="e">
        <f t="shared" ref="AA772:AA835" ca="1" si="38">MATCH("*",INDIRECT(ADDRESS(AA771+1,26,1)&amp;":$Z$1000"),0)+AA771</f>
        <v>#N/A</v>
      </c>
      <c r="AB772" t="str" cm="1">
        <f t="array" aca="1" ref="AB772" ca="1">IFERROR(INDIRECT("$Z"&amp;AA772),"")</f>
        <v/>
      </c>
    </row>
    <row r="773" spans="5:28" x14ac:dyDescent="0.2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36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37"/>
        <v>#N/A</v>
      </c>
      <c r="W773" t="str" cm="1">
        <f t="array" aca="1" ref="W773" ca="1">IFERROR(INDIRECT("$U"&amp;V773),"")</f>
        <v/>
      </c>
      <c r="Z773" t="e" cm="1">
        <f t="array" ref="Z773">INDEX($AE$2:$AN$40,MOD(ROW()-ROW($AE$2),ROWS($AE$2:$AN$40))+1,INT((ROW()-ROW($AE$2))/ROWS($AE$2:$AN$40))+1)</f>
        <v>#REF!</v>
      </c>
      <c r="AA773" t="e">
        <f t="shared" ca="1" si="38"/>
        <v>#N/A</v>
      </c>
      <c r="AB773" t="str" cm="1">
        <f t="array" aca="1" ref="AB773" ca="1">IFERROR(INDIRECT("$Z"&amp;AA773),"")</f>
        <v/>
      </c>
    </row>
    <row r="774" spans="5:28" x14ac:dyDescent="0.2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36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37"/>
        <v>#N/A</v>
      </c>
      <c r="W774" t="str" cm="1">
        <f t="array" aca="1" ref="W774" ca="1">IFERROR(INDIRECT("$U"&amp;V774),"")</f>
        <v/>
      </c>
      <c r="Z774" t="e" cm="1">
        <f t="array" ref="Z774">INDEX($AE$2:$AN$40,MOD(ROW()-ROW($AE$2),ROWS($AE$2:$AN$40))+1,INT((ROW()-ROW($AE$2))/ROWS($AE$2:$AN$40))+1)</f>
        <v>#REF!</v>
      </c>
      <c r="AA774" t="e">
        <f t="shared" ca="1" si="38"/>
        <v>#N/A</v>
      </c>
      <c r="AB774" t="str" cm="1">
        <f t="array" aca="1" ref="AB774" ca="1">IFERROR(INDIRECT("$Z"&amp;AA774),"")</f>
        <v/>
      </c>
    </row>
    <row r="775" spans="5:28" x14ac:dyDescent="0.2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36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37"/>
        <v>#N/A</v>
      </c>
      <c r="W775" t="str" cm="1">
        <f t="array" aca="1" ref="W775" ca="1">IFERROR(INDIRECT("$U"&amp;V775),"")</f>
        <v/>
      </c>
      <c r="Z775" t="e" cm="1">
        <f t="array" ref="Z775">INDEX($AE$2:$AN$40,MOD(ROW()-ROW($AE$2),ROWS($AE$2:$AN$40))+1,INT((ROW()-ROW($AE$2))/ROWS($AE$2:$AN$40))+1)</f>
        <v>#REF!</v>
      </c>
      <c r="AA775" t="e">
        <f t="shared" ca="1" si="38"/>
        <v>#N/A</v>
      </c>
      <c r="AB775" t="str" cm="1">
        <f t="array" aca="1" ref="AB775" ca="1">IFERROR(INDIRECT("$Z"&amp;AA775),"")</f>
        <v/>
      </c>
    </row>
    <row r="776" spans="5:28" x14ac:dyDescent="0.2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36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37"/>
        <v>#N/A</v>
      </c>
      <c r="W776" t="str" cm="1">
        <f t="array" aca="1" ref="W776" ca="1">IFERROR(INDIRECT("$U"&amp;V776),"")</f>
        <v/>
      </c>
      <c r="Z776" t="e" cm="1">
        <f t="array" ref="Z776">INDEX($AE$2:$AN$40,MOD(ROW()-ROW($AE$2),ROWS($AE$2:$AN$40))+1,INT((ROW()-ROW($AE$2))/ROWS($AE$2:$AN$40))+1)</f>
        <v>#REF!</v>
      </c>
      <c r="AA776" t="e">
        <f t="shared" ca="1" si="38"/>
        <v>#N/A</v>
      </c>
      <c r="AB776" t="str" cm="1">
        <f t="array" aca="1" ref="AB776" ca="1">IFERROR(INDIRECT("$Z"&amp;AA776),"")</f>
        <v/>
      </c>
    </row>
    <row r="777" spans="5:28" x14ac:dyDescent="0.2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36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37"/>
        <v>#N/A</v>
      </c>
      <c r="W777" t="str" cm="1">
        <f t="array" aca="1" ref="W777" ca="1">IFERROR(INDIRECT("$U"&amp;V777),"")</f>
        <v/>
      </c>
      <c r="Z777" t="e" cm="1">
        <f t="array" ref="Z777">INDEX($AE$2:$AN$40,MOD(ROW()-ROW($AE$2),ROWS($AE$2:$AN$40))+1,INT((ROW()-ROW($AE$2))/ROWS($AE$2:$AN$40))+1)</f>
        <v>#REF!</v>
      </c>
      <c r="AA777" t="e">
        <f t="shared" ca="1" si="38"/>
        <v>#N/A</v>
      </c>
      <c r="AB777" t="str" cm="1">
        <f t="array" aca="1" ref="AB777" ca="1">IFERROR(INDIRECT("$Z"&amp;AA777),"")</f>
        <v/>
      </c>
    </row>
    <row r="778" spans="5:28" x14ac:dyDescent="0.2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36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37"/>
        <v>#N/A</v>
      </c>
      <c r="W778" t="str" cm="1">
        <f t="array" aca="1" ref="W778" ca="1">IFERROR(INDIRECT("$U"&amp;V778),"")</f>
        <v/>
      </c>
      <c r="Z778" t="e" cm="1">
        <f t="array" ref="Z778">INDEX($AE$2:$AN$40,MOD(ROW()-ROW($AE$2),ROWS($AE$2:$AN$40))+1,INT((ROW()-ROW($AE$2))/ROWS($AE$2:$AN$40))+1)</f>
        <v>#REF!</v>
      </c>
      <c r="AA778" t="e">
        <f t="shared" ca="1" si="38"/>
        <v>#N/A</v>
      </c>
      <c r="AB778" t="str" cm="1">
        <f t="array" aca="1" ref="AB778" ca="1">IFERROR(INDIRECT("$Z"&amp;AA778),"")</f>
        <v/>
      </c>
    </row>
    <row r="779" spans="5:28" x14ac:dyDescent="0.2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36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37"/>
        <v>#N/A</v>
      </c>
      <c r="W779" t="str" cm="1">
        <f t="array" aca="1" ref="W779" ca="1">IFERROR(INDIRECT("$U"&amp;V779),"")</f>
        <v/>
      </c>
      <c r="Z779" t="e" cm="1">
        <f t="array" ref="Z779">INDEX($AE$2:$AN$40,MOD(ROW()-ROW($AE$2),ROWS($AE$2:$AN$40))+1,INT((ROW()-ROW($AE$2))/ROWS($AE$2:$AN$40))+1)</f>
        <v>#REF!</v>
      </c>
      <c r="AA779" t="e">
        <f t="shared" ca="1" si="38"/>
        <v>#N/A</v>
      </c>
      <c r="AB779" t="str" cm="1">
        <f t="array" aca="1" ref="AB779" ca="1">IFERROR(INDIRECT("$Z"&amp;AA779),"")</f>
        <v/>
      </c>
    </row>
    <row r="780" spans="5:28" x14ac:dyDescent="0.2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36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37"/>
        <v>#N/A</v>
      </c>
      <c r="W780" t="str" cm="1">
        <f t="array" aca="1" ref="W780" ca="1">IFERROR(INDIRECT("$U"&amp;V780),"")</f>
        <v/>
      </c>
      <c r="Z780" t="e" cm="1">
        <f t="array" ref="Z780">INDEX($AE$2:$AN$40,MOD(ROW()-ROW($AE$2),ROWS($AE$2:$AN$40))+1,INT((ROW()-ROW($AE$2))/ROWS($AE$2:$AN$40))+1)</f>
        <v>#REF!</v>
      </c>
      <c r="AA780" t="e">
        <f t="shared" ca="1" si="38"/>
        <v>#N/A</v>
      </c>
      <c r="AB780" t="str" cm="1">
        <f t="array" aca="1" ref="AB780" ca="1">IFERROR(INDIRECT("$Z"&amp;AA780),"")</f>
        <v/>
      </c>
    </row>
    <row r="781" spans="5:28" x14ac:dyDescent="0.2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36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37"/>
        <v>#N/A</v>
      </c>
      <c r="W781" t="str" cm="1">
        <f t="array" aca="1" ref="W781" ca="1">IFERROR(INDIRECT("$U"&amp;V781),"")</f>
        <v/>
      </c>
      <c r="Z781" t="e" cm="1">
        <f t="array" ref="Z781">INDEX($AE$2:$AN$40,MOD(ROW()-ROW($AE$2),ROWS($AE$2:$AN$40))+1,INT((ROW()-ROW($AE$2))/ROWS($AE$2:$AN$40))+1)</f>
        <v>#REF!</v>
      </c>
      <c r="AA781" t="e">
        <f t="shared" ca="1" si="38"/>
        <v>#N/A</v>
      </c>
      <c r="AB781" t="str" cm="1">
        <f t="array" aca="1" ref="AB781" ca="1">IFERROR(INDIRECT("$Z"&amp;AA781),"")</f>
        <v/>
      </c>
    </row>
    <row r="782" spans="5:28" x14ac:dyDescent="0.2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36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37"/>
        <v>#N/A</v>
      </c>
      <c r="W782" t="str" cm="1">
        <f t="array" aca="1" ref="W782" ca="1">IFERROR(INDIRECT("$U"&amp;V782),"")</f>
        <v/>
      </c>
      <c r="Z782" t="e" cm="1">
        <f t="array" ref="Z782">INDEX($AE$2:$AN$40,MOD(ROW()-ROW($AE$2),ROWS($AE$2:$AN$40))+1,INT((ROW()-ROW($AE$2))/ROWS($AE$2:$AN$40))+1)</f>
        <v>#REF!</v>
      </c>
      <c r="AA782" t="e">
        <f t="shared" ca="1" si="38"/>
        <v>#N/A</v>
      </c>
      <c r="AB782" t="str" cm="1">
        <f t="array" aca="1" ref="AB782" ca="1">IFERROR(INDIRECT("$Z"&amp;AA782),"")</f>
        <v/>
      </c>
    </row>
    <row r="783" spans="5:28" x14ac:dyDescent="0.2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36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37"/>
        <v>#N/A</v>
      </c>
      <c r="W783" t="str" cm="1">
        <f t="array" aca="1" ref="W783" ca="1">IFERROR(INDIRECT("$U"&amp;V783),"")</f>
        <v/>
      </c>
      <c r="Z783" t="e" cm="1">
        <f t="array" ref="Z783">INDEX($AE$2:$AN$40,MOD(ROW()-ROW($AE$2),ROWS($AE$2:$AN$40))+1,INT((ROW()-ROW($AE$2))/ROWS($AE$2:$AN$40))+1)</f>
        <v>#REF!</v>
      </c>
      <c r="AA783" t="e">
        <f t="shared" ca="1" si="38"/>
        <v>#N/A</v>
      </c>
      <c r="AB783" t="str" cm="1">
        <f t="array" aca="1" ref="AB783" ca="1">IFERROR(INDIRECT("$Z"&amp;AA783),"")</f>
        <v/>
      </c>
    </row>
    <row r="784" spans="5:28" x14ac:dyDescent="0.2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36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37"/>
        <v>#N/A</v>
      </c>
      <c r="W784" t="str" cm="1">
        <f t="array" aca="1" ref="W784" ca="1">IFERROR(INDIRECT("$U"&amp;V784),"")</f>
        <v/>
      </c>
      <c r="Z784" t="e" cm="1">
        <f t="array" ref="Z784">INDEX($AE$2:$AN$40,MOD(ROW()-ROW($AE$2),ROWS($AE$2:$AN$40))+1,INT((ROW()-ROW($AE$2))/ROWS($AE$2:$AN$40))+1)</f>
        <v>#REF!</v>
      </c>
      <c r="AA784" t="e">
        <f t="shared" ca="1" si="38"/>
        <v>#N/A</v>
      </c>
      <c r="AB784" t="str" cm="1">
        <f t="array" aca="1" ref="AB784" ca="1">IFERROR(INDIRECT("$Z"&amp;AA784),"")</f>
        <v/>
      </c>
    </row>
    <row r="785" spans="5:28" x14ac:dyDescent="0.2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36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37"/>
        <v>#N/A</v>
      </c>
      <c r="W785" t="str" cm="1">
        <f t="array" aca="1" ref="W785" ca="1">IFERROR(INDIRECT("$U"&amp;V785),"")</f>
        <v/>
      </c>
      <c r="Z785" t="e" cm="1">
        <f t="array" ref="Z785">INDEX($AE$2:$AN$40,MOD(ROW()-ROW($AE$2),ROWS($AE$2:$AN$40))+1,INT((ROW()-ROW($AE$2))/ROWS($AE$2:$AN$40))+1)</f>
        <v>#REF!</v>
      </c>
      <c r="AA785" t="e">
        <f t="shared" ca="1" si="38"/>
        <v>#N/A</v>
      </c>
      <c r="AB785" t="str" cm="1">
        <f t="array" aca="1" ref="AB785" ca="1">IFERROR(INDIRECT("$Z"&amp;AA785),"")</f>
        <v/>
      </c>
    </row>
    <row r="786" spans="5:28" x14ac:dyDescent="0.2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36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37"/>
        <v>#N/A</v>
      </c>
      <c r="W786" t="str" cm="1">
        <f t="array" aca="1" ref="W786" ca="1">IFERROR(INDIRECT("$U"&amp;V786),"")</f>
        <v/>
      </c>
      <c r="Z786" t="e" cm="1">
        <f t="array" ref="Z786">INDEX($AE$2:$AN$40,MOD(ROW()-ROW($AE$2),ROWS($AE$2:$AN$40))+1,INT((ROW()-ROW($AE$2))/ROWS($AE$2:$AN$40))+1)</f>
        <v>#REF!</v>
      </c>
      <c r="AA786" t="e">
        <f t="shared" ca="1" si="38"/>
        <v>#N/A</v>
      </c>
      <c r="AB786" t="str" cm="1">
        <f t="array" aca="1" ref="AB786" ca="1">IFERROR(INDIRECT("$Z"&amp;AA786),"")</f>
        <v/>
      </c>
    </row>
    <row r="787" spans="5:28" x14ac:dyDescent="0.2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36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37"/>
        <v>#N/A</v>
      </c>
      <c r="W787" t="str" cm="1">
        <f t="array" aca="1" ref="W787" ca="1">IFERROR(INDIRECT("$U"&amp;V787),"")</f>
        <v/>
      </c>
      <c r="Z787" t="e" cm="1">
        <f t="array" ref="Z787">INDEX($AE$2:$AN$40,MOD(ROW()-ROW($AE$2),ROWS($AE$2:$AN$40))+1,INT((ROW()-ROW($AE$2))/ROWS($AE$2:$AN$40))+1)</f>
        <v>#REF!</v>
      </c>
      <c r="AA787" t="e">
        <f t="shared" ca="1" si="38"/>
        <v>#N/A</v>
      </c>
      <c r="AB787" t="str" cm="1">
        <f t="array" aca="1" ref="AB787" ca="1">IFERROR(INDIRECT("$Z"&amp;AA787),"")</f>
        <v/>
      </c>
    </row>
    <row r="788" spans="5:28" x14ac:dyDescent="0.2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36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37"/>
        <v>#N/A</v>
      </c>
      <c r="W788" t="str" cm="1">
        <f t="array" aca="1" ref="W788" ca="1">IFERROR(INDIRECT("$U"&amp;V788),"")</f>
        <v/>
      </c>
      <c r="Z788" t="e" cm="1">
        <f t="array" ref="Z788">INDEX($AE$2:$AN$40,MOD(ROW()-ROW($AE$2),ROWS($AE$2:$AN$40))+1,INT((ROW()-ROW($AE$2))/ROWS($AE$2:$AN$40))+1)</f>
        <v>#REF!</v>
      </c>
      <c r="AA788" t="e">
        <f t="shared" ca="1" si="38"/>
        <v>#N/A</v>
      </c>
      <c r="AB788" t="str" cm="1">
        <f t="array" aca="1" ref="AB788" ca="1">IFERROR(INDIRECT("$Z"&amp;AA788),"")</f>
        <v/>
      </c>
    </row>
    <row r="789" spans="5:28" x14ac:dyDescent="0.2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36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37"/>
        <v>#N/A</v>
      </c>
      <c r="W789" t="str" cm="1">
        <f t="array" aca="1" ref="W789" ca="1">IFERROR(INDIRECT("$U"&amp;V789),"")</f>
        <v/>
      </c>
      <c r="Z789" t="e" cm="1">
        <f t="array" ref="Z789">INDEX($AE$2:$AN$40,MOD(ROW()-ROW($AE$2),ROWS($AE$2:$AN$40))+1,INT((ROW()-ROW($AE$2))/ROWS($AE$2:$AN$40))+1)</f>
        <v>#REF!</v>
      </c>
      <c r="AA789" t="e">
        <f t="shared" ca="1" si="38"/>
        <v>#N/A</v>
      </c>
      <c r="AB789" t="str" cm="1">
        <f t="array" aca="1" ref="AB789" ca="1">IFERROR(INDIRECT("$Z"&amp;AA789),"")</f>
        <v/>
      </c>
    </row>
    <row r="790" spans="5:28" x14ac:dyDescent="0.2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36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37"/>
        <v>#N/A</v>
      </c>
      <c r="W790" t="str" cm="1">
        <f t="array" aca="1" ref="W790" ca="1">IFERROR(INDIRECT("$U"&amp;V790),"")</f>
        <v/>
      </c>
      <c r="Z790" t="e" cm="1">
        <f t="array" ref="Z790">INDEX($AE$2:$AN$40,MOD(ROW()-ROW($AE$2),ROWS($AE$2:$AN$40))+1,INT((ROW()-ROW($AE$2))/ROWS($AE$2:$AN$40))+1)</f>
        <v>#REF!</v>
      </c>
      <c r="AA790" t="e">
        <f t="shared" ca="1" si="38"/>
        <v>#N/A</v>
      </c>
      <c r="AB790" t="str" cm="1">
        <f t="array" aca="1" ref="AB790" ca="1">IFERROR(INDIRECT("$Z"&amp;AA790),"")</f>
        <v/>
      </c>
    </row>
    <row r="791" spans="5:28" x14ac:dyDescent="0.2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36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37"/>
        <v>#N/A</v>
      </c>
      <c r="W791" t="str" cm="1">
        <f t="array" aca="1" ref="W791" ca="1">IFERROR(INDIRECT("$U"&amp;V791),"")</f>
        <v/>
      </c>
      <c r="Z791" t="e" cm="1">
        <f t="array" ref="Z791">INDEX($AE$2:$AN$40,MOD(ROW()-ROW($AE$2),ROWS($AE$2:$AN$40))+1,INT((ROW()-ROW($AE$2))/ROWS($AE$2:$AN$40))+1)</f>
        <v>#REF!</v>
      </c>
      <c r="AA791" t="e">
        <f t="shared" ca="1" si="38"/>
        <v>#N/A</v>
      </c>
      <c r="AB791" t="str" cm="1">
        <f t="array" aca="1" ref="AB791" ca="1">IFERROR(INDIRECT("$Z"&amp;AA791),"")</f>
        <v/>
      </c>
    </row>
    <row r="792" spans="5:28" x14ac:dyDescent="0.2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36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37"/>
        <v>#N/A</v>
      </c>
      <c r="W792" t="str" cm="1">
        <f t="array" aca="1" ref="W792" ca="1">IFERROR(INDIRECT("$U"&amp;V792),"")</f>
        <v/>
      </c>
      <c r="Z792" t="e" cm="1">
        <f t="array" ref="Z792">INDEX($AE$2:$AN$40,MOD(ROW()-ROW($AE$2),ROWS($AE$2:$AN$40))+1,INT((ROW()-ROW($AE$2))/ROWS($AE$2:$AN$40))+1)</f>
        <v>#REF!</v>
      </c>
      <c r="AA792" t="e">
        <f t="shared" ca="1" si="38"/>
        <v>#N/A</v>
      </c>
      <c r="AB792" t="str" cm="1">
        <f t="array" aca="1" ref="AB792" ca="1">IFERROR(INDIRECT("$Z"&amp;AA792),"")</f>
        <v/>
      </c>
    </row>
    <row r="793" spans="5:28" x14ac:dyDescent="0.2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36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37"/>
        <v>#N/A</v>
      </c>
      <c r="W793" t="str" cm="1">
        <f t="array" aca="1" ref="W793" ca="1">IFERROR(INDIRECT("$U"&amp;V793),"")</f>
        <v/>
      </c>
      <c r="Z793" t="e" cm="1">
        <f t="array" ref="Z793">INDEX($AE$2:$AN$40,MOD(ROW()-ROW($AE$2),ROWS($AE$2:$AN$40))+1,INT((ROW()-ROW($AE$2))/ROWS($AE$2:$AN$40))+1)</f>
        <v>#REF!</v>
      </c>
      <c r="AA793" t="e">
        <f t="shared" ca="1" si="38"/>
        <v>#N/A</v>
      </c>
      <c r="AB793" t="str" cm="1">
        <f t="array" aca="1" ref="AB793" ca="1">IFERROR(INDIRECT("$Z"&amp;AA793),"")</f>
        <v/>
      </c>
    </row>
    <row r="794" spans="5:28" x14ac:dyDescent="0.2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36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37"/>
        <v>#N/A</v>
      </c>
      <c r="W794" t="str" cm="1">
        <f t="array" aca="1" ref="W794" ca="1">IFERROR(INDIRECT("$U"&amp;V794),"")</f>
        <v/>
      </c>
      <c r="Z794" t="e" cm="1">
        <f t="array" ref="Z794">INDEX($AE$2:$AN$40,MOD(ROW()-ROW($AE$2),ROWS($AE$2:$AN$40))+1,INT((ROW()-ROW($AE$2))/ROWS($AE$2:$AN$40))+1)</f>
        <v>#REF!</v>
      </c>
      <c r="AA794" t="e">
        <f t="shared" ca="1" si="38"/>
        <v>#N/A</v>
      </c>
      <c r="AB794" t="str" cm="1">
        <f t="array" aca="1" ref="AB794" ca="1">IFERROR(INDIRECT("$Z"&amp;AA794),"")</f>
        <v/>
      </c>
    </row>
    <row r="795" spans="5:28" x14ac:dyDescent="0.2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36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37"/>
        <v>#N/A</v>
      </c>
      <c r="W795" t="str" cm="1">
        <f t="array" aca="1" ref="W795" ca="1">IFERROR(INDIRECT("$U"&amp;V795),"")</f>
        <v/>
      </c>
      <c r="Z795" t="e" cm="1">
        <f t="array" ref="Z795">INDEX($AE$2:$AN$40,MOD(ROW()-ROW($AE$2),ROWS($AE$2:$AN$40))+1,INT((ROW()-ROW($AE$2))/ROWS($AE$2:$AN$40))+1)</f>
        <v>#REF!</v>
      </c>
      <c r="AA795" t="e">
        <f t="shared" ca="1" si="38"/>
        <v>#N/A</v>
      </c>
      <c r="AB795" t="str" cm="1">
        <f t="array" aca="1" ref="AB795" ca="1">IFERROR(INDIRECT("$Z"&amp;AA795),"")</f>
        <v/>
      </c>
    </row>
    <row r="796" spans="5:28" x14ac:dyDescent="0.2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36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37"/>
        <v>#N/A</v>
      </c>
      <c r="W796" t="str" cm="1">
        <f t="array" aca="1" ref="W796" ca="1">IFERROR(INDIRECT("$U"&amp;V796),"")</f>
        <v/>
      </c>
      <c r="Z796" t="e" cm="1">
        <f t="array" ref="Z796">INDEX($AE$2:$AN$40,MOD(ROW()-ROW($AE$2),ROWS($AE$2:$AN$40))+1,INT((ROW()-ROW($AE$2))/ROWS($AE$2:$AN$40))+1)</f>
        <v>#REF!</v>
      </c>
      <c r="AA796" t="e">
        <f t="shared" ca="1" si="38"/>
        <v>#N/A</v>
      </c>
      <c r="AB796" t="str" cm="1">
        <f t="array" aca="1" ref="AB796" ca="1">IFERROR(INDIRECT("$Z"&amp;AA796),"")</f>
        <v/>
      </c>
    </row>
    <row r="797" spans="5:28" x14ac:dyDescent="0.2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36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37"/>
        <v>#N/A</v>
      </c>
      <c r="W797" t="str" cm="1">
        <f t="array" aca="1" ref="W797" ca="1">IFERROR(INDIRECT("$U"&amp;V797),"")</f>
        <v/>
      </c>
      <c r="Z797" t="e" cm="1">
        <f t="array" ref="Z797">INDEX($AE$2:$AN$40,MOD(ROW()-ROW($AE$2),ROWS($AE$2:$AN$40))+1,INT((ROW()-ROW($AE$2))/ROWS($AE$2:$AN$40))+1)</f>
        <v>#REF!</v>
      </c>
      <c r="AA797" t="e">
        <f t="shared" ca="1" si="38"/>
        <v>#N/A</v>
      </c>
      <c r="AB797" t="str" cm="1">
        <f t="array" aca="1" ref="AB797" ca="1">IFERROR(INDIRECT("$Z"&amp;AA797),"")</f>
        <v/>
      </c>
    </row>
    <row r="798" spans="5:28" x14ac:dyDescent="0.2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36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37"/>
        <v>#N/A</v>
      </c>
      <c r="W798" t="str" cm="1">
        <f t="array" aca="1" ref="W798" ca="1">IFERROR(INDIRECT("$U"&amp;V798),"")</f>
        <v/>
      </c>
      <c r="Z798" t="e" cm="1">
        <f t="array" ref="Z798">INDEX($AE$2:$AN$40,MOD(ROW()-ROW($AE$2),ROWS($AE$2:$AN$40))+1,INT((ROW()-ROW($AE$2))/ROWS($AE$2:$AN$40))+1)</f>
        <v>#REF!</v>
      </c>
      <c r="AA798" t="e">
        <f t="shared" ca="1" si="38"/>
        <v>#N/A</v>
      </c>
      <c r="AB798" t="str" cm="1">
        <f t="array" aca="1" ref="AB798" ca="1">IFERROR(INDIRECT("$Z"&amp;AA798),"")</f>
        <v/>
      </c>
    </row>
    <row r="799" spans="5:28" x14ac:dyDescent="0.2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36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37"/>
        <v>#N/A</v>
      </c>
      <c r="W799" t="str" cm="1">
        <f t="array" aca="1" ref="W799" ca="1">IFERROR(INDIRECT("$U"&amp;V799),"")</f>
        <v/>
      </c>
      <c r="Z799" t="e" cm="1">
        <f t="array" ref="Z799">INDEX($AE$2:$AN$40,MOD(ROW()-ROW($AE$2),ROWS($AE$2:$AN$40))+1,INT((ROW()-ROW($AE$2))/ROWS($AE$2:$AN$40))+1)</f>
        <v>#REF!</v>
      </c>
      <c r="AA799" t="e">
        <f t="shared" ca="1" si="38"/>
        <v>#N/A</v>
      </c>
      <c r="AB799" t="str" cm="1">
        <f t="array" aca="1" ref="AB799" ca="1">IFERROR(INDIRECT("$Z"&amp;AA799),"")</f>
        <v/>
      </c>
    </row>
    <row r="800" spans="5:28" x14ac:dyDescent="0.2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36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37"/>
        <v>#N/A</v>
      </c>
      <c r="W800" t="str" cm="1">
        <f t="array" aca="1" ref="W800" ca="1">IFERROR(INDIRECT("$U"&amp;V800),"")</f>
        <v/>
      </c>
      <c r="Z800" t="e" cm="1">
        <f t="array" ref="Z800">INDEX($AE$2:$AN$40,MOD(ROW()-ROW($AE$2),ROWS($AE$2:$AN$40))+1,INT((ROW()-ROW($AE$2))/ROWS($AE$2:$AN$40))+1)</f>
        <v>#REF!</v>
      </c>
      <c r="AA800" t="e">
        <f t="shared" ca="1" si="38"/>
        <v>#N/A</v>
      </c>
      <c r="AB800" t="str" cm="1">
        <f t="array" aca="1" ref="AB800" ca="1">IFERROR(INDIRECT("$Z"&amp;AA800),"")</f>
        <v/>
      </c>
    </row>
    <row r="801" spans="5:28" x14ac:dyDescent="0.2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36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37"/>
        <v>#N/A</v>
      </c>
      <c r="W801" t="str" cm="1">
        <f t="array" aca="1" ref="W801" ca="1">IFERROR(INDIRECT("$U"&amp;V801),"")</f>
        <v/>
      </c>
      <c r="Z801" t="e" cm="1">
        <f t="array" ref="Z801">INDEX($AE$2:$AN$40,MOD(ROW()-ROW($AE$2),ROWS($AE$2:$AN$40))+1,INT((ROW()-ROW($AE$2))/ROWS($AE$2:$AN$40))+1)</f>
        <v>#REF!</v>
      </c>
      <c r="AA801" t="e">
        <f t="shared" ca="1" si="38"/>
        <v>#N/A</v>
      </c>
      <c r="AB801" t="str" cm="1">
        <f t="array" aca="1" ref="AB801" ca="1">IFERROR(INDIRECT("$Z"&amp;AA801),"")</f>
        <v/>
      </c>
    </row>
    <row r="802" spans="5:28" x14ac:dyDescent="0.2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36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37"/>
        <v>#N/A</v>
      </c>
      <c r="W802" t="str" cm="1">
        <f t="array" aca="1" ref="W802" ca="1">IFERROR(INDIRECT("$U"&amp;V802),"")</f>
        <v/>
      </c>
      <c r="Z802" t="e" cm="1">
        <f t="array" ref="Z802">INDEX($AE$2:$AN$40,MOD(ROW()-ROW($AE$2),ROWS($AE$2:$AN$40))+1,INT((ROW()-ROW($AE$2))/ROWS($AE$2:$AN$40))+1)</f>
        <v>#REF!</v>
      </c>
      <c r="AA802" t="e">
        <f t="shared" ca="1" si="38"/>
        <v>#N/A</v>
      </c>
      <c r="AB802" t="str" cm="1">
        <f t="array" aca="1" ref="AB802" ca="1">IFERROR(INDIRECT("$Z"&amp;AA802),"")</f>
        <v/>
      </c>
    </row>
    <row r="803" spans="5:28" x14ac:dyDescent="0.2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36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37"/>
        <v>#N/A</v>
      </c>
      <c r="W803" t="str" cm="1">
        <f t="array" aca="1" ref="W803" ca="1">IFERROR(INDIRECT("$U"&amp;V803),"")</f>
        <v/>
      </c>
      <c r="Z803" t="e" cm="1">
        <f t="array" ref="Z803">INDEX($AE$2:$AN$40,MOD(ROW()-ROW($AE$2),ROWS($AE$2:$AN$40))+1,INT((ROW()-ROW($AE$2))/ROWS($AE$2:$AN$40))+1)</f>
        <v>#REF!</v>
      </c>
      <c r="AA803" t="e">
        <f t="shared" ca="1" si="38"/>
        <v>#N/A</v>
      </c>
      <c r="AB803" t="str" cm="1">
        <f t="array" aca="1" ref="AB803" ca="1">IFERROR(INDIRECT("$Z"&amp;AA803),"")</f>
        <v/>
      </c>
    </row>
    <row r="804" spans="5:28" x14ac:dyDescent="0.2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36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37"/>
        <v>#N/A</v>
      </c>
      <c r="W804" t="str" cm="1">
        <f t="array" aca="1" ref="W804" ca="1">IFERROR(INDIRECT("$U"&amp;V804),"")</f>
        <v/>
      </c>
      <c r="Z804" t="e" cm="1">
        <f t="array" ref="Z804">INDEX($AE$2:$AN$40,MOD(ROW()-ROW($AE$2),ROWS($AE$2:$AN$40))+1,INT((ROW()-ROW($AE$2))/ROWS($AE$2:$AN$40))+1)</f>
        <v>#REF!</v>
      </c>
      <c r="AA804" t="e">
        <f t="shared" ca="1" si="38"/>
        <v>#N/A</v>
      </c>
      <c r="AB804" t="str" cm="1">
        <f t="array" aca="1" ref="AB804" ca="1">IFERROR(INDIRECT("$Z"&amp;AA804),"")</f>
        <v/>
      </c>
    </row>
    <row r="805" spans="5:28" x14ac:dyDescent="0.2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36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37"/>
        <v>#N/A</v>
      </c>
      <c r="W805" t="str" cm="1">
        <f t="array" aca="1" ref="W805" ca="1">IFERROR(INDIRECT("$U"&amp;V805),"")</f>
        <v/>
      </c>
      <c r="Z805" t="e" cm="1">
        <f t="array" ref="Z805">INDEX($AE$2:$AN$40,MOD(ROW()-ROW($AE$2),ROWS($AE$2:$AN$40))+1,INT((ROW()-ROW($AE$2))/ROWS($AE$2:$AN$40))+1)</f>
        <v>#REF!</v>
      </c>
      <c r="AA805" t="e">
        <f t="shared" ca="1" si="38"/>
        <v>#N/A</v>
      </c>
      <c r="AB805" t="str" cm="1">
        <f t="array" aca="1" ref="AB805" ca="1">IFERROR(INDIRECT("$Z"&amp;AA805),"")</f>
        <v/>
      </c>
    </row>
    <row r="806" spans="5:28" x14ac:dyDescent="0.2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36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37"/>
        <v>#N/A</v>
      </c>
      <c r="W806" t="str" cm="1">
        <f t="array" aca="1" ref="W806" ca="1">IFERROR(INDIRECT("$U"&amp;V806),"")</f>
        <v/>
      </c>
      <c r="Z806" t="e" cm="1">
        <f t="array" ref="Z806">INDEX($AE$2:$AN$40,MOD(ROW()-ROW($AE$2),ROWS($AE$2:$AN$40))+1,INT((ROW()-ROW($AE$2))/ROWS($AE$2:$AN$40))+1)</f>
        <v>#REF!</v>
      </c>
      <c r="AA806" t="e">
        <f t="shared" ca="1" si="38"/>
        <v>#N/A</v>
      </c>
      <c r="AB806" t="str" cm="1">
        <f t="array" aca="1" ref="AB806" ca="1">IFERROR(INDIRECT("$Z"&amp;AA806),"")</f>
        <v/>
      </c>
    </row>
    <row r="807" spans="5:28" x14ac:dyDescent="0.2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36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37"/>
        <v>#N/A</v>
      </c>
      <c r="W807" t="str" cm="1">
        <f t="array" aca="1" ref="W807" ca="1">IFERROR(INDIRECT("$U"&amp;V807),"")</f>
        <v/>
      </c>
      <c r="Z807" t="e" cm="1">
        <f t="array" ref="Z807">INDEX($AE$2:$AN$40,MOD(ROW()-ROW($AE$2),ROWS($AE$2:$AN$40))+1,INT((ROW()-ROW($AE$2))/ROWS($AE$2:$AN$40))+1)</f>
        <v>#REF!</v>
      </c>
      <c r="AA807" t="e">
        <f t="shared" ca="1" si="38"/>
        <v>#N/A</v>
      </c>
      <c r="AB807" t="str" cm="1">
        <f t="array" aca="1" ref="AB807" ca="1">IFERROR(INDIRECT("$Z"&amp;AA807),"")</f>
        <v/>
      </c>
    </row>
    <row r="808" spans="5:28" x14ac:dyDescent="0.2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36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37"/>
        <v>#N/A</v>
      </c>
      <c r="W808" t="str" cm="1">
        <f t="array" aca="1" ref="W808" ca="1">IFERROR(INDIRECT("$U"&amp;V808),"")</f>
        <v/>
      </c>
      <c r="Z808" t="e" cm="1">
        <f t="array" ref="Z808">INDEX($AE$2:$AN$40,MOD(ROW()-ROW($AE$2),ROWS($AE$2:$AN$40))+1,INT((ROW()-ROW($AE$2))/ROWS($AE$2:$AN$40))+1)</f>
        <v>#REF!</v>
      </c>
      <c r="AA808" t="e">
        <f t="shared" ca="1" si="38"/>
        <v>#N/A</v>
      </c>
      <c r="AB808" t="str" cm="1">
        <f t="array" aca="1" ref="AB808" ca="1">IFERROR(INDIRECT("$Z"&amp;AA808),"")</f>
        <v/>
      </c>
    </row>
    <row r="809" spans="5:28" x14ac:dyDescent="0.2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36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37"/>
        <v>#N/A</v>
      </c>
      <c r="W809" t="str" cm="1">
        <f t="array" aca="1" ref="W809" ca="1">IFERROR(INDIRECT("$U"&amp;V809),"")</f>
        <v/>
      </c>
      <c r="Z809" t="e" cm="1">
        <f t="array" ref="Z809">INDEX($AE$2:$AN$40,MOD(ROW()-ROW($AE$2),ROWS($AE$2:$AN$40))+1,INT((ROW()-ROW($AE$2))/ROWS($AE$2:$AN$40))+1)</f>
        <v>#REF!</v>
      </c>
      <c r="AA809" t="e">
        <f t="shared" ca="1" si="38"/>
        <v>#N/A</v>
      </c>
      <c r="AB809" t="str" cm="1">
        <f t="array" aca="1" ref="AB809" ca="1">IFERROR(INDIRECT("$Z"&amp;AA809),"")</f>
        <v/>
      </c>
    </row>
    <row r="810" spans="5:28" x14ac:dyDescent="0.2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36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37"/>
        <v>#N/A</v>
      </c>
      <c r="W810" t="str" cm="1">
        <f t="array" aca="1" ref="W810" ca="1">IFERROR(INDIRECT("$U"&amp;V810),"")</f>
        <v/>
      </c>
      <c r="Z810" t="e" cm="1">
        <f t="array" ref="Z810">INDEX($AE$2:$AN$40,MOD(ROW()-ROW($AE$2),ROWS($AE$2:$AN$40))+1,INT((ROW()-ROW($AE$2))/ROWS($AE$2:$AN$40))+1)</f>
        <v>#REF!</v>
      </c>
      <c r="AA810" t="e">
        <f t="shared" ca="1" si="38"/>
        <v>#N/A</v>
      </c>
      <c r="AB810" t="str" cm="1">
        <f t="array" aca="1" ref="AB810" ca="1">IFERROR(INDIRECT("$Z"&amp;AA810),"")</f>
        <v/>
      </c>
    </row>
    <row r="811" spans="5:28" x14ac:dyDescent="0.2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36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37"/>
        <v>#N/A</v>
      </c>
      <c r="W811" t="str" cm="1">
        <f t="array" aca="1" ref="W811" ca="1">IFERROR(INDIRECT("$U"&amp;V811),"")</f>
        <v/>
      </c>
      <c r="Z811" t="e" cm="1">
        <f t="array" ref="Z811">INDEX($AE$2:$AN$40,MOD(ROW()-ROW($AE$2),ROWS($AE$2:$AN$40))+1,INT((ROW()-ROW($AE$2))/ROWS($AE$2:$AN$40))+1)</f>
        <v>#REF!</v>
      </c>
      <c r="AA811" t="e">
        <f t="shared" ca="1" si="38"/>
        <v>#N/A</v>
      </c>
      <c r="AB811" t="str" cm="1">
        <f t="array" aca="1" ref="AB811" ca="1">IFERROR(INDIRECT("$Z"&amp;AA811),"")</f>
        <v/>
      </c>
    </row>
    <row r="812" spans="5:28" x14ac:dyDescent="0.2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36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37"/>
        <v>#N/A</v>
      </c>
      <c r="W812" t="str" cm="1">
        <f t="array" aca="1" ref="W812" ca="1">IFERROR(INDIRECT("$U"&amp;V812),"")</f>
        <v/>
      </c>
      <c r="Z812" t="e" cm="1">
        <f t="array" ref="Z812">INDEX($AE$2:$AN$40,MOD(ROW()-ROW($AE$2),ROWS($AE$2:$AN$40))+1,INT((ROW()-ROW($AE$2))/ROWS($AE$2:$AN$40))+1)</f>
        <v>#REF!</v>
      </c>
      <c r="AA812" t="e">
        <f t="shared" ca="1" si="38"/>
        <v>#N/A</v>
      </c>
      <c r="AB812" t="str" cm="1">
        <f t="array" aca="1" ref="AB812" ca="1">IFERROR(INDIRECT("$Z"&amp;AA812),"")</f>
        <v/>
      </c>
    </row>
    <row r="813" spans="5:28" x14ac:dyDescent="0.2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36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37"/>
        <v>#N/A</v>
      </c>
      <c r="W813" t="str" cm="1">
        <f t="array" aca="1" ref="W813" ca="1">IFERROR(INDIRECT("$U"&amp;V813),"")</f>
        <v/>
      </c>
      <c r="Z813" t="e" cm="1">
        <f t="array" ref="Z813">INDEX($AE$2:$AN$40,MOD(ROW()-ROW($AE$2),ROWS($AE$2:$AN$40))+1,INT((ROW()-ROW($AE$2))/ROWS($AE$2:$AN$40))+1)</f>
        <v>#REF!</v>
      </c>
      <c r="AA813" t="e">
        <f t="shared" ca="1" si="38"/>
        <v>#N/A</v>
      </c>
      <c r="AB813" t="str" cm="1">
        <f t="array" aca="1" ref="AB813" ca="1">IFERROR(INDIRECT("$Z"&amp;AA813),"")</f>
        <v/>
      </c>
    </row>
    <row r="814" spans="5:28" x14ac:dyDescent="0.2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36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37"/>
        <v>#N/A</v>
      </c>
      <c r="W814" t="str" cm="1">
        <f t="array" aca="1" ref="W814" ca="1">IFERROR(INDIRECT("$U"&amp;V814),"")</f>
        <v/>
      </c>
      <c r="Z814" t="e" cm="1">
        <f t="array" ref="Z814">INDEX($AE$2:$AN$40,MOD(ROW()-ROW($AE$2),ROWS($AE$2:$AN$40))+1,INT((ROW()-ROW($AE$2))/ROWS($AE$2:$AN$40))+1)</f>
        <v>#REF!</v>
      </c>
      <c r="AA814" t="e">
        <f t="shared" ca="1" si="38"/>
        <v>#N/A</v>
      </c>
      <c r="AB814" t="str" cm="1">
        <f t="array" aca="1" ref="AB814" ca="1">IFERROR(INDIRECT("$Z"&amp;AA814),"")</f>
        <v/>
      </c>
    </row>
    <row r="815" spans="5:28" x14ac:dyDescent="0.2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36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37"/>
        <v>#N/A</v>
      </c>
      <c r="W815" t="str" cm="1">
        <f t="array" aca="1" ref="W815" ca="1">IFERROR(INDIRECT("$U"&amp;V815),"")</f>
        <v/>
      </c>
      <c r="Z815" t="e" cm="1">
        <f t="array" ref="Z815">INDEX($AE$2:$AN$40,MOD(ROW()-ROW($AE$2),ROWS($AE$2:$AN$40))+1,INT((ROW()-ROW($AE$2))/ROWS($AE$2:$AN$40))+1)</f>
        <v>#REF!</v>
      </c>
      <c r="AA815" t="e">
        <f t="shared" ca="1" si="38"/>
        <v>#N/A</v>
      </c>
      <c r="AB815" t="str" cm="1">
        <f t="array" aca="1" ref="AB815" ca="1">IFERROR(INDIRECT("$Z"&amp;AA815),"")</f>
        <v/>
      </c>
    </row>
    <row r="816" spans="5:28" x14ac:dyDescent="0.2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36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37"/>
        <v>#N/A</v>
      </c>
      <c r="W816" t="str" cm="1">
        <f t="array" aca="1" ref="W816" ca="1">IFERROR(INDIRECT("$U"&amp;V816),"")</f>
        <v/>
      </c>
      <c r="Z816" t="e" cm="1">
        <f t="array" ref="Z816">INDEX($AE$2:$AN$40,MOD(ROW()-ROW($AE$2),ROWS($AE$2:$AN$40))+1,INT((ROW()-ROW($AE$2))/ROWS($AE$2:$AN$40))+1)</f>
        <v>#REF!</v>
      </c>
      <c r="AA816" t="e">
        <f t="shared" ca="1" si="38"/>
        <v>#N/A</v>
      </c>
      <c r="AB816" t="str" cm="1">
        <f t="array" aca="1" ref="AB816" ca="1">IFERROR(INDIRECT("$Z"&amp;AA816),"")</f>
        <v/>
      </c>
    </row>
    <row r="817" spans="5:28" x14ac:dyDescent="0.2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36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37"/>
        <v>#N/A</v>
      </c>
      <c r="W817" t="str" cm="1">
        <f t="array" aca="1" ref="W817" ca="1">IFERROR(INDIRECT("$U"&amp;V817),"")</f>
        <v/>
      </c>
      <c r="Z817" t="e" cm="1">
        <f t="array" ref="Z817">INDEX($AE$2:$AN$40,MOD(ROW()-ROW($AE$2),ROWS($AE$2:$AN$40))+1,INT((ROW()-ROW($AE$2))/ROWS($AE$2:$AN$40))+1)</f>
        <v>#REF!</v>
      </c>
      <c r="AA817" t="e">
        <f t="shared" ca="1" si="38"/>
        <v>#N/A</v>
      </c>
      <c r="AB817" t="str" cm="1">
        <f t="array" aca="1" ref="AB817" ca="1">IFERROR(INDIRECT("$Z"&amp;AA817),"")</f>
        <v/>
      </c>
    </row>
    <row r="818" spans="5:28" x14ac:dyDescent="0.2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36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37"/>
        <v>#N/A</v>
      </c>
      <c r="W818" t="str" cm="1">
        <f t="array" aca="1" ref="W818" ca="1">IFERROR(INDIRECT("$U"&amp;V818),"")</f>
        <v/>
      </c>
      <c r="Z818" t="e" cm="1">
        <f t="array" ref="Z818">INDEX($AE$2:$AN$40,MOD(ROW()-ROW($AE$2),ROWS($AE$2:$AN$40))+1,INT((ROW()-ROW($AE$2))/ROWS($AE$2:$AN$40))+1)</f>
        <v>#REF!</v>
      </c>
      <c r="AA818" t="e">
        <f t="shared" ca="1" si="38"/>
        <v>#N/A</v>
      </c>
      <c r="AB818" t="str" cm="1">
        <f t="array" aca="1" ref="AB818" ca="1">IFERROR(INDIRECT("$Z"&amp;AA818),"")</f>
        <v/>
      </c>
    </row>
    <row r="819" spans="5:28" x14ac:dyDescent="0.2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36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37"/>
        <v>#N/A</v>
      </c>
      <c r="W819" t="str" cm="1">
        <f t="array" aca="1" ref="W819" ca="1">IFERROR(INDIRECT("$U"&amp;V819),"")</f>
        <v/>
      </c>
      <c r="Z819" t="e" cm="1">
        <f t="array" ref="Z819">INDEX($AE$2:$AN$40,MOD(ROW()-ROW($AE$2),ROWS($AE$2:$AN$40))+1,INT((ROW()-ROW($AE$2))/ROWS($AE$2:$AN$40))+1)</f>
        <v>#REF!</v>
      </c>
      <c r="AA819" t="e">
        <f t="shared" ca="1" si="38"/>
        <v>#N/A</v>
      </c>
      <c r="AB819" t="str" cm="1">
        <f t="array" aca="1" ref="AB819" ca="1">IFERROR(INDIRECT("$Z"&amp;AA819),"")</f>
        <v/>
      </c>
    </row>
    <row r="820" spans="5:28" x14ac:dyDescent="0.2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36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37"/>
        <v>#N/A</v>
      </c>
      <c r="W820" t="str" cm="1">
        <f t="array" aca="1" ref="W820" ca="1">IFERROR(INDIRECT("$U"&amp;V820),"")</f>
        <v/>
      </c>
      <c r="Z820" t="e" cm="1">
        <f t="array" ref="Z820">INDEX($AE$2:$AN$40,MOD(ROW()-ROW($AE$2),ROWS($AE$2:$AN$40))+1,INT((ROW()-ROW($AE$2))/ROWS($AE$2:$AN$40))+1)</f>
        <v>#REF!</v>
      </c>
      <c r="AA820" t="e">
        <f t="shared" ca="1" si="38"/>
        <v>#N/A</v>
      </c>
      <c r="AB820" t="str" cm="1">
        <f t="array" aca="1" ref="AB820" ca="1">IFERROR(INDIRECT("$Z"&amp;AA820),"")</f>
        <v/>
      </c>
    </row>
    <row r="821" spans="5:28" x14ac:dyDescent="0.2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36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37"/>
        <v>#N/A</v>
      </c>
      <c r="W821" t="str" cm="1">
        <f t="array" aca="1" ref="W821" ca="1">IFERROR(INDIRECT("$U"&amp;V821),"")</f>
        <v/>
      </c>
      <c r="Z821" t="e" cm="1">
        <f t="array" ref="Z821">INDEX($AE$2:$AN$40,MOD(ROW()-ROW($AE$2),ROWS($AE$2:$AN$40))+1,INT((ROW()-ROW($AE$2))/ROWS($AE$2:$AN$40))+1)</f>
        <v>#REF!</v>
      </c>
      <c r="AA821" t="e">
        <f t="shared" ca="1" si="38"/>
        <v>#N/A</v>
      </c>
      <c r="AB821" t="str" cm="1">
        <f t="array" aca="1" ref="AB821" ca="1">IFERROR(INDIRECT("$Z"&amp;AA821),"")</f>
        <v/>
      </c>
    </row>
    <row r="822" spans="5:28" x14ac:dyDescent="0.2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36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37"/>
        <v>#N/A</v>
      </c>
      <c r="W822" t="str" cm="1">
        <f t="array" aca="1" ref="W822" ca="1">IFERROR(INDIRECT("$U"&amp;V822),"")</f>
        <v/>
      </c>
      <c r="Z822" t="e" cm="1">
        <f t="array" ref="Z822">INDEX($AE$2:$AN$40,MOD(ROW()-ROW($AE$2),ROWS($AE$2:$AN$40))+1,INT((ROW()-ROW($AE$2))/ROWS($AE$2:$AN$40))+1)</f>
        <v>#REF!</v>
      </c>
      <c r="AA822" t="e">
        <f t="shared" ca="1" si="38"/>
        <v>#N/A</v>
      </c>
      <c r="AB822" t="str" cm="1">
        <f t="array" aca="1" ref="AB822" ca="1">IFERROR(INDIRECT("$Z"&amp;AA822),"")</f>
        <v/>
      </c>
    </row>
    <row r="823" spans="5:28" x14ac:dyDescent="0.2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36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37"/>
        <v>#N/A</v>
      </c>
      <c r="W823" t="str" cm="1">
        <f t="array" aca="1" ref="W823" ca="1">IFERROR(INDIRECT("$U"&amp;V823),"")</f>
        <v/>
      </c>
      <c r="Z823" t="e" cm="1">
        <f t="array" ref="Z823">INDEX($AE$2:$AN$40,MOD(ROW()-ROW($AE$2),ROWS($AE$2:$AN$40))+1,INT((ROW()-ROW($AE$2))/ROWS($AE$2:$AN$40))+1)</f>
        <v>#REF!</v>
      </c>
      <c r="AA823" t="e">
        <f t="shared" ca="1" si="38"/>
        <v>#N/A</v>
      </c>
      <c r="AB823" t="str" cm="1">
        <f t="array" aca="1" ref="AB823" ca="1">IFERROR(INDIRECT("$Z"&amp;AA823),"")</f>
        <v/>
      </c>
    </row>
    <row r="824" spans="5:28" x14ac:dyDescent="0.2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36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37"/>
        <v>#N/A</v>
      </c>
      <c r="W824" t="str" cm="1">
        <f t="array" aca="1" ref="W824" ca="1">IFERROR(INDIRECT("$U"&amp;V824),"")</f>
        <v/>
      </c>
      <c r="Z824" t="e" cm="1">
        <f t="array" ref="Z824">INDEX($AE$2:$AN$40,MOD(ROW()-ROW($AE$2),ROWS($AE$2:$AN$40))+1,INT((ROW()-ROW($AE$2))/ROWS($AE$2:$AN$40))+1)</f>
        <v>#REF!</v>
      </c>
      <c r="AA824" t="e">
        <f t="shared" ca="1" si="38"/>
        <v>#N/A</v>
      </c>
      <c r="AB824" t="str" cm="1">
        <f t="array" aca="1" ref="AB824" ca="1">IFERROR(INDIRECT("$Z"&amp;AA824),"")</f>
        <v/>
      </c>
    </row>
    <row r="825" spans="5:28" x14ac:dyDescent="0.2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36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37"/>
        <v>#N/A</v>
      </c>
      <c r="W825" t="str" cm="1">
        <f t="array" aca="1" ref="W825" ca="1">IFERROR(INDIRECT("$U"&amp;V825),"")</f>
        <v/>
      </c>
      <c r="Z825" t="e" cm="1">
        <f t="array" ref="Z825">INDEX($AE$2:$AN$40,MOD(ROW()-ROW($AE$2),ROWS($AE$2:$AN$40))+1,INT((ROW()-ROW($AE$2))/ROWS($AE$2:$AN$40))+1)</f>
        <v>#REF!</v>
      </c>
      <c r="AA825" t="e">
        <f t="shared" ca="1" si="38"/>
        <v>#N/A</v>
      </c>
      <c r="AB825" t="str" cm="1">
        <f t="array" aca="1" ref="AB825" ca="1">IFERROR(INDIRECT("$Z"&amp;AA825),"")</f>
        <v/>
      </c>
    </row>
    <row r="826" spans="5:28" x14ac:dyDescent="0.2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36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37"/>
        <v>#N/A</v>
      </c>
      <c r="W826" t="str" cm="1">
        <f t="array" aca="1" ref="W826" ca="1">IFERROR(INDIRECT("$U"&amp;V826),"")</f>
        <v/>
      </c>
      <c r="Z826" t="e" cm="1">
        <f t="array" ref="Z826">INDEX($AE$2:$AN$40,MOD(ROW()-ROW($AE$2),ROWS($AE$2:$AN$40))+1,INT((ROW()-ROW($AE$2))/ROWS($AE$2:$AN$40))+1)</f>
        <v>#REF!</v>
      </c>
      <c r="AA826" t="e">
        <f t="shared" ca="1" si="38"/>
        <v>#N/A</v>
      </c>
      <c r="AB826" t="str" cm="1">
        <f t="array" aca="1" ref="AB826" ca="1">IFERROR(INDIRECT("$Z"&amp;AA826),"")</f>
        <v/>
      </c>
    </row>
    <row r="827" spans="5:28" x14ac:dyDescent="0.2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36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37"/>
        <v>#N/A</v>
      </c>
      <c r="W827" t="str" cm="1">
        <f t="array" aca="1" ref="W827" ca="1">IFERROR(INDIRECT("$U"&amp;V827),"")</f>
        <v/>
      </c>
      <c r="Z827" t="e" cm="1">
        <f t="array" ref="Z827">INDEX($AE$2:$AN$40,MOD(ROW()-ROW($AE$2),ROWS($AE$2:$AN$40))+1,INT((ROW()-ROW($AE$2))/ROWS($AE$2:$AN$40))+1)</f>
        <v>#REF!</v>
      </c>
      <c r="AA827" t="e">
        <f t="shared" ca="1" si="38"/>
        <v>#N/A</v>
      </c>
      <c r="AB827" t="str" cm="1">
        <f t="array" aca="1" ref="AB827" ca="1">IFERROR(INDIRECT("$Z"&amp;AA827),"")</f>
        <v/>
      </c>
    </row>
    <row r="828" spans="5:28" x14ac:dyDescent="0.2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36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37"/>
        <v>#N/A</v>
      </c>
      <c r="W828" t="str" cm="1">
        <f t="array" aca="1" ref="W828" ca="1">IFERROR(INDIRECT("$U"&amp;V828),"")</f>
        <v/>
      </c>
      <c r="Z828" t="e" cm="1">
        <f t="array" ref="Z828">INDEX($AE$2:$AN$40,MOD(ROW()-ROW($AE$2),ROWS($AE$2:$AN$40))+1,INT((ROW()-ROW($AE$2))/ROWS($AE$2:$AN$40))+1)</f>
        <v>#REF!</v>
      </c>
      <c r="AA828" t="e">
        <f t="shared" ca="1" si="38"/>
        <v>#N/A</v>
      </c>
      <c r="AB828" t="str" cm="1">
        <f t="array" aca="1" ref="AB828" ca="1">IFERROR(INDIRECT("$Z"&amp;AA828),"")</f>
        <v/>
      </c>
    </row>
    <row r="829" spans="5:28" x14ac:dyDescent="0.2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36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37"/>
        <v>#N/A</v>
      </c>
      <c r="W829" t="str" cm="1">
        <f t="array" aca="1" ref="W829" ca="1">IFERROR(INDIRECT("$U"&amp;V829),"")</f>
        <v/>
      </c>
      <c r="Z829" t="e" cm="1">
        <f t="array" ref="Z829">INDEX($AE$2:$AN$40,MOD(ROW()-ROW($AE$2),ROWS($AE$2:$AN$40))+1,INT((ROW()-ROW($AE$2))/ROWS($AE$2:$AN$40))+1)</f>
        <v>#REF!</v>
      </c>
      <c r="AA829" t="e">
        <f t="shared" ca="1" si="38"/>
        <v>#N/A</v>
      </c>
      <c r="AB829" t="str" cm="1">
        <f t="array" aca="1" ref="AB829" ca="1">IFERROR(INDIRECT("$Z"&amp;AA829),"")</f>
        <v/>
      </c>
    </row>
    <row r="830" spans="5:28" x14ac:dyDescent="0.2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36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37"/>
        <v>#N/A</v>
      </c>
      <c r="W830" t="str" cm="1">
        <f t="array" aca="1" ref="W830" ca="1">IFERROR(INDIRECT("$U"&amp;V830),"")</f>
        <v/>
      </c>
      <c r="Z830" t="e" cm="1">
        <f t="array" ref="Z830">INDEX($AE$2:$AN$40,MOD(ROW()-ROW($AE$2),ROWS($AE$2:$AN$40))+1,INT((ROW()-ROW($AE$2))/ROWS($AE$2:$AN$40))+1)</f>
        <v>#REF!</v>
      </c>
      <c r="AA830" t="e">
        <f t="shared" ca="1" si="38"/>
        <v>#N/A</v>
      </c>
      <c r="AB830" t="str" cm="1">
        <f t="array" aca="1" ref="AB830" ca="1">IFERROR(INDIRECT("$Z"&amp;AA830),"")</f>
        <v/>
      </c>
    </row>
    <row r="831" spans="5:28" x14ac:dyDescent="0.2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36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37"/>
        <v>#N/A</v>
      </c>
      <c r="W831" t="str" cm="1">
        <f t="array" aca="1" ref="W831" ca="1">IFERROR(INDIRECT("$U"&amp;V831),"")</f>
        <v/>
      </c>
      <c r="Z831" t="e" cm="1">
        <f t="array" ref="Z831">INDEX($AE$2:$AN$40,MOD(ROW()-ROW($AE$2),ROWS($AE$2:$AN$40))+1,INT((ROW()-ROW($AE$2))/ROWS($AE$2:$AN$40))+1)</f>
        <v>#REF!</v>
      </c>
      <c r="AA831" t="e">
        <f t="shared" ca="1" si="38"/>
        <v>#N/A</v>
      </c>
      <c r="AB831" t="str" cm="1">
        <f t="array" aca="1" ref="AB831" ca="1">IFERROR(INDIRECT("$Z"&amp;AA831),"")</f>
        <v/>
      </c>
    </row>
    <row r="832" spans="5:28" x14ac:dyDescent="0.2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36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37"/>
        <v>#N/A</v>
      </c>
      <c r="W832" t="str" cm="1">
        <f t="array" aca="1" ref="W832" ca="1">IFERROR(INDIRECT("$U"&amp;V832),"")</f>
        <v/>
      </c>
      <c r="Z832" t="e" cm="1">
        <f t="array" ref="Z832">INDEX($AE$2:$AN$40,MOD(ROW()-ROW($AE$2),ROWS($AE$2:$AN$40))+1,INT((ROW()-ROW($AE$2))/ROWS($AE$2:$AN$40))+1)</f>
        <v>#REF!</v>
      </c>
      <c r="AA832" t="e">
        <f t="shared" ca="1" si="38"/>
        <v>#N/A</v>
      </c>
      <c r="AB832" t="str" cm="1">
        <f t="array" aca="1" ref="AB832" ca="1">IFERROR(INDIRECT("$Z"&amp;AA832),"")</f>
        <v/>
      </c>
    </row>
    <row r="833" spans="5:28" x14ac:dyDescent="0.2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36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37"/>
        <v>#N/A</v>
      </c>
      <c r="W833" t="str" cm="1">
        <f t="array" aca="1" ref="W833" ca="1">IFERROR(INDIRECT("$U"&amp;V833),"")</f>
        <v/>
      </c>
      <c r="Z833" t="e" cm="1">
        <f t="array" ref="Z833">INDEX($AE$2:$AN$40,MOD(ROW()-ROW($AE$2),ROWS($AE$2:$AN$40))+1,INT((ROW()-ROW($AE$2))/ROWS($AE$2:$AN$40))+1)</f>
        <v>#REF!</v>
      </c>
      <c r="AA833" t="e">
        <f t="shared" ca="1" si="38"/>
        <v>#N/A</v>
      </c>
      <c r="AB833" t="str" cm="1">
        <f t="array" aca="1" ref="AB833" ca="1">IFERROR(INDIRECT("$Z"&amp;AA833),"")</f>
        <v/>
      </c>
    </row>
    <row r="834" spans="5:28" x14ac:dyDescent="0.2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36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37"/>
        <v>#N/A</v>
      </c>
      <c r="W834" t="str" cm="1">
        <f t="array" aca="1" ref="W834" ca="1">IFERROR(INDIRECT("$U"&amp;V834),"")</f>
        <v/>
      </c>
      <c r="Z834" t="e" cm="1">
        <f t="array" ref="Z834">INDEX($AE$2:$AN$40,MOD(ROW()-ROW($AE$2),ROWS($AE$2:$AN$40))+1,INT((ROW()-ROW($AE$2))/ROWS($AE$2:$AN$40))+1)</f>
        <v>#REF!</v>
      </c>
      <c r="AA834" t="e">
        <f t="shared" ca="1" si="38"/>
        <v>#N/A</v>
      </c>
      <c r="AB834" t="str" cm="1">
        <f t="array" aca="1" ref="AB834" ca="1">IFERROR(INDIRECT("$Z"&amp;AA834),"")</f>
        <v/>
      </c>
    </row>
    <row r="835" spans="5:28" x14ac:dyDescent="0.2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36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37"/>
        <v>#N/A</v>
      </c>
      <c r="W835" t="str" cm="1">
        <f t="array" aca="1" ref="W835" ca="1">IFERROR(INDIRECT("$U"&amp;V835),"")</f>
        <v/>
      </c>
      <c r="Z835" t="e" cm="1">
        <f t="array" ref="Z835">INDEX($AE$2:$AN$40,MOD(ROW()-ROW($AE$2),ROWS($AE$2:$AN$40))+1,INT((ROW()-ROW($AE$2))/ROWS($AE$2:$AN$40))+1)</f>
        <v>#REF!</v>
      </c>
      <c r="AA835" t="e">
        <f t="shared" ca="1" si="38"/>
        <v>#N/A</v>
      </c>
      <c r="AB835" t="str" cm="1">
        <f t="array" aca="1" ref="AB835" ca="1">IFERROR(INDIRECT("$Z"&amp;AA835),"")</f>
        <v/>
      </c>
    </row>
    <row r="836" spans="5:28" x14ac:dyDescent="0.2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39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40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INDEX($AE$2:$AN$40,MOD(ROW()-ROW($AE$2),ROWS($AE$2:$AN$40))+1,INT((ROW()-ROW($AE$2))/ROWS($AE$2:$AN$40))+1)</f>
        <v>#REF!</v>
      </c>
      <c r="AA836" t="e">
        <f t="shared" ref="AA836:AA899" ca="1" si="41">MATCH("*",INDIRECT(ADDRESS(AA835+1,26,1)&amp;":$Z$1000"),0)+AA835</f>
        <v>#N/A</v>
      </c>
      <c r="AB836" t="str" cm="1">
        <f t="array" aca="1" ref="AB836" ca="1">IFERROR(INDIRECT("$Z"&amp;AA836),"")</f>
        <v/>
      </c>
    </row>
    <row r="837" spans="5:28" x14ac:dyDescent="0.2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39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40"/>
        <v>#N/A</v>
      </c>
      <c r="W837" t="str" cm="1">
        <f t="array" aca="1" ref="W837" ca="1">IFERROR(INDIRECT("$U"&amp;V837),"")</f>
        <v/>
      </c>
      <c r="Z837" t="e" cm="1">
        <f t="array" ref="Z837">INDEX($AE$2:$AN$40,MOD(ROW()-ROW($AE$2),ROWS($AE$2:$AN$40))+1,INT((ROW()-ROW($AE$2))/ROWS($AE$2:$AN$40))+1)</f>
        <v>#REF!</v>
      </c>
      <c r="AA837" t="e">
        <f t="shared" ca="1" si="41"/>
        <v>#N/A</v>
      </c>
      <c r="AB837" t="str" cm="1">
        <f t="array" aca="1" ref="AB837" ca="1">IFERROR(INDIRECT("$Z"&amp;AA837),"")</f>
        <v/>
      </c>
    </row>
    <row r="838" spans="5:28" x14ac:dyDescent="0.2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39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40"/>
        <v>#N/A</v>
      </c>
      <c r="W838" t="str" cm="1">
        <f t="array" aca="1" ref="W838" ca="1">IFERROR(INDIRECT("$U"&amp;V838),"")</f>
        <v/>
      </c>
      <c r="Z838" t="e" cm="1">
        <f t="array" ref="Z838">INDEX($AE$2:$AN$40,MOD(ROW()-ROW($AE$2),ROWS($AE$2:$AN$40))+1,INT((ROW()-ROW($AE$2))/ROWS($AE$2:$AN$40))+1)</f>
        <v>#REF!</v>
      </c>
      <c r="AA838" t="e">
        <f t="shared" ca="1" si="41"/>
        <v>#N/A</v>
      </c>
      <c r="AB838" t="str" cm="1">
        <f t="array" aca="1" ref="AB838" ca="1">IFERROR(INDIRECT("$Z"&amp;AA838),"")</f>
        <v/>
      </c>
    </row>
    <row r="839" spans="5:28" x14ac:dyDescent="0.2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39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40"/>
        <v>#N/A</v>
      </c>
      <c r="W839" t="str" cm="1">
        <f t="array" aca="1" ref="W839" ca="1">IFERROR(INDIRECT("$U"&amp;V839),"")</f>
        <v/>
      </c>
      <c r="Z839" t="e" cm="1">
        <f t="array" ref="Z839">INDEX($AE$2:$AN$40,MOD(ROW()-ROW($AE$2),ROWS($AE$2:$AN$40))+1,INT((ROW()-ROW($AE$2))/ROWS($AE$2:$AN$40))+1)</f>
        <v>#REF!</v>
      </c>
      <c r="AA839" t="e">
        <f t="shared" ca="1" si="41"/>
        <v>#N/A</v>
      </c>
      <c r="AB839" t="str" cm="1">
        <f t="array" aca="1" ref="AB839" ca="1">IFERROR(INDIRECT("$Z"&amp;AA839),"")</f>
        <v/>
      </c>
    </row>
    <row r="840" spans="5:28" x14ac:dyDescent="0.2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39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40"/>
        <v>#N/A</v>
      </c>
      <c r="W840" t="str" cm="1">
        <f t="array" aca="1" ref="W840" ca="1">IFERROR(INDIRECT("$U"&amp;V840),"")</f>
        <v/>
      </c>
      <c r="Z840" t="e" cm="1">
        <f t="array" ref="Z840">INDEX($AE$2:$AN$40,MOD(ROW()-ROW($AE$2),ROWS($AE$2:$AN$40))+1,INT((ROW()-ROW($AE$2))/ROWS($AE$2:$AN$40))+1)</f>
        <v>#REF!</v>
      </c>
      <c r="AA840" t="e">
        <f t="shared" ca="1" si="41"/>
        <v>#N/A</v>
      </c>
      <c r="AB840" t="str" cm="1">
        <f t="array" aca="1" ref="AB840" ca="1">IFERROR(INDIRECT("$Z"&amp;AA840),"")</f>
        <v/>
      </c>
    </row>
    <row r="841" spans="5:28" x14ac:dyDescent="0.2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39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40"/>
        <v>#N/A</v>
      </c>
      <c r="W841" t="str" cm="1">
        <f t="array" aca="1" ref="W841" ca="1">IFERROR(INDIRECT("$U"&amp;V841),"")</f>
        <v/>
      </c>
      <c r="Z841" t="e" cm="1">
        <f t="array" ref="Z841">INDEX($AE$2:$AN$40,MOD(ROW()-ROW($AE$2),ROWS($AE$2:$AN$40))+1,INT((ROW()-ROW($AE$2))/ROWS($AE$2:$AN$40))+1)</f>
        <v>#REF!</v>
      </c>
      <c r="AA841" t="e">
        <f t="shared" ca="1" si="41"/>
        <v>#N/A</v>
      </c>
      <c r="AB841" t="str" cm="1">
        <f t="array" aca="1" ref="AB841" ca="1">IFERROR(INDIRECT("$Z"&amp;AA841),"")</f>
        <v/>
      </c>
    </row>
    <row r="842" spans="5:28" x14ac:dyDescent="0.2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39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40"/>
        <v>#N/A</v>
      </c>
      <c r="W842" t="str" cm="1">
        <f t="array" aca="1" ref="W842" ca="1">IFERROR(INDIRECT("$U"&amp;V842),"")</f>
        <v/>
      </c>
      <c r="Z842" t="e" cm="1">
        <f t="array" ref="Z842">INDEX($AE$2:$AN$40,MOD(ROW()-ROW($AE$2),ROWS($AE$2:$AN$40))+1,INT((ROW()-ROW($AE$2))/ROWS($AE$2:$AN$40))+1)</f>
        <v>#REF!</v>
      </c>
      <c r="AA842" t="e">
        <f t="shared" ca="1" si="41"/>
        <v>#N/A</v>
      </c>
      <c r="AB842" t="str" cm="1">
        <f t="array" aca="1" ref="AB842" ca="1">IFERROR(INDIRECT("$Z"&amp;AA842),"")</f>
        <v/>
      </c>
    </row>
    <row r="843" spans="5:28" x14ac:dyDescent="0.2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39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40"/>
        <v>#N/A</v>
      </c>
      <c r="W843" t="str" cm="1">
        <f t="array" aca="1" ref="W843" ca="1">IFERROR(INDIRECT("$U"&amp;V843),"")</f>
        <v/>
      </c>
      <c r="Z843" t="e" cm="1">
        <f t="array" ref="Z843">INDEX($AE$2:$AN$40,MOD(ROW()-ROW($AE$2),ROWS($AE$2:$AN$40))+1,INT((ROW()-ROW($AE$2))/ROWS($AE$2:$AN$40))+1)</f>
        <v>#REF!</v>
      </c>
      <c r="AA843" t="e">
        <f t="shared" ca="1" si="41"/>
        <v>#N/A</v>
      </c>
      <c r="AB843" t="str" cm="1">
        <f t="array" aca="1" ref="AB843" ca="1">IFERROR(INDIRECT("$Z"&amp;AA843),"")</f>
        <v/>
      </c>
    </row>
    <row r="844" spans="5:28" x14ac:dyDescent="0.2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39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40"/>
        <v>#N/A</v>
      </c>
      <c r="W844" t="str" cm="1">
        <f t="array" aca="1" ref="W844" ca="1">IFERROR(INDIRECT("$U"&amp;V844),"")</f>
        <v/>
      </c>
      <c r="Z844" t="e" cm="1">
        <f t="array" ref="Z844">INDEX($AE$2:$AN$40,MOD(ROW()-ROW($AE$2),ROWS($AE$2:$AN$40))+1,INT((ROW()-ROW($AE$2))/ROWS($AE$2:$AN$40))+1)</f>
        <v>#REF!</v>
      </c>
      <c r="AA844" t="e">
        <f t="shared" ca="1" si="41"/>
        <v>#N/A</v>
      </c>
      <c r="AB844" t="str" cm="1">
        <f t="array" aca="1" ref="AB844" ca="1">IFERROR(INDIRECT("$Z"&amp;AA844),"")</f>
        <v/>
      </c>
    </row>
    <row r="845" spans="5:28" x14ac:dyDescent="0.2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39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40"/>
        <v>#N/A</v>
      </c>
      <c r="W845" t="str" cm="1">
        <f t="array" aca="1" ref="W845" ca="1">IFERROR(INDIRECT("$U"&amp;V845),"")</f>
        <v/>
      </c>
      <c r="Z845" t="e" cm="1">
        <f t="array" ref="Z845">INDEX($AE$2:$AN$40,MOD(ROW()-ROW($AE$2),ROWS($AE$2:$AN$40))+1,INT((ROW()-ROW($AE$2))/ROWS($AE$2:$AN$40))+1)</f>
        <v>#REF!</v>
      </c>
      <c r="AA845" t="e">
        <f t="shared" ca="1" si="41"/>
        <v>#N/A</v>
      </c>
      <c r="AB845" t="str" cm="1">
        <f t="array" aca="1" ref="AB845" ca="1">IFERROR(INDIRECT("$Z"&amp;AA845),"")</f>
        <v/>
      </c>
    </row>
    <row r="846" spans="5:28" x14ac:dyDescent="0.2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39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40"/>
        <v>#N/A</v>
      </c>
      <c r="W846" t="str" cm="1">
        <f t="array" aca="1" ref="W846" ca="1">IFERROR(INDIRECT("$U"&amp;V846),"")</f>
        <v/>
      </c>
      <c r="Z846" t="e" cm="1">
        <f t="array" ref="Z846">INDEX($AE$2:$AN$40,MOD(ROW()-ROW($AE$2),ROWS($AE$2:$AN$40))+1,INT((ROW()-ROW($AE$2))/ROWS($AE$2:$AN$40))+1)</f>
        <v>#REF!</v>
      </c>
      <c r="AA846" t="e">
        <f t="shared" ca="1" si="41"/>
        <v>#N/A</v>
      </c>
      <c r="AB846" t="str" cm="1">
        <f t="array" aca="1" ref="AB846" ca="1">IFERROR(INDIRECT("$Z"&amp;AA846),"")</f>
        <v/>
      </c>
    </row>
    <row r="847" spans="5:28" x14ac:dyDescent="0.2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39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40"/>
        <v>#N/A</v>
      </c>
      <c r="W847" t="str" cm="1">
        <f t="array" aca="1" ref="W847" ca="1">IFERROR(INDIRECT("$U"&amp;V847),"")</f>
        <v/>
      </c>
      <c r="Z847" t="e" cm="1">
        <f t="array" ref="Z847">INDEX($AE$2:$AN$40,MOD(ROW()-ROW($AE$2),ROWS($AE$2:$AN$40))+1,INT((ROW()-ROW($AE$2))/ROWS($AE$2:$AN$40))+1)</f>
        <v>#REF!</v>
      </c>
      <c r="AA847" t="e">
        <f t="shared" ca="1" si="41"/>
        <v>#N/A</v>
      </c>
      <c r="AB847" t="str" cm="1">
        <f t="array" aca="1" ref="AB847" ca="1">IFERROR(INDIRECT("$Z"&amp;AA847),"")</f>
        <v/>
      </c>
    </row>
    <row r="848" spans="5:28" x14ac:dyDescent="0.2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39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40"/>
        <v>#N/A</v>
      </c>
      <c r="W848" t="str" cm="1">
        <f t="array" aca="1" ref="W848" ca="1">IFERROR(INDIRECT("$U"&amp;V848),"")</f>
        <v/>
      </c>
      <c r="Z848" t="e" cm="1">
        <f t="array" ref="Z848">INDEX($AE$2:$AN$40,MOD(ROW()-ROW($AE$2),ROWS($AE$2:$AN$40))+1,INT((ROW()-ROW($AE$2))/ROWS($AE$2:$AN$40))+1)</f>
        <v>#REF!</v>
      </c>
      <c r="AA848" t="e">
        <f t="shared" ca="1" si="41"/>
        <v>#N/A</v>
      </c>
      <c r="AB848" t="str" cm="1">
        <f t="array" aca="1" ref="AB848" ca="1">IFERROR(INDIRECT("$Z"&amp;AA848),"")</f>
        <v/>
      </c>
    </row>
    <row r="849" spans="5:28" x14ac:dyDescent="0.2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39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40"/>
        <v>#N/A</v>
      </c>
      <c r="W849" t="str" cm="1">
        <f t="array" aca="1" ref="W849" ca="1">IFERROR(INDIRECT("$U"&amp;V849),"")</f>
        <v/>
      </c>
      <c r="Z849" t="e" cm="1">
        <f t="array" ref="Z849">INDEX($AE$2:$AN$40,MOD(ROW()-ROW($AE$2),ROWS($AE$2:$AN$40))+1,INT((ROW()-ROW($AE$2))/ROWS($AE$2:$AN$40))+1)</f>
        <v>#REF!</v>
      </c>
      <c r="AA849" t="e">
        <f t="shared" ca="1" si="41"/>
        <v>#N/A</v>
      </c>
      <c r="AB849" t="str" cm="1">
        <f t="array" aca="1" ref="AB849" ca="1">IFERROR(INDIRECT("$Z"&amp;AA849),"")</f>
        <v/>
      </c>
    </row>
    <row r="850" spans="5:28" x14ac:dyDescent="0.2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39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40"/>
        <v>#N/A</v>
      </c>
      <c r="W850" t="str" cm="1">
        <f t="array" aca="1" ref="W850" ca="1">IFERROR(INDIRECT("$U"&amp;V850),"")</f>
        <v/>
      </c>
      <c r="Z850" t="e" cm="1">
        <f t="array" ref="Z850">INDEX($AE$2:$AN$40,MOD(ROW()-ROW($AE$2),ROWS($AE$2:$AN$40))+1,INT((ROW()-ROW($AE$2))/ROWS($AE$2:$AN$40))+1)</f>
        <v>#REF!</v>
      </c>
      <c r="AA850" t="e">
        <f t="shared" ca="1" si="41"/>
        <v>#N/A</v>
      </c>
      <c r="AB850" t="str" cm="1">
        <f t="array" aca="1" ref="AB850" ca="1">IFERROR(INDIRECT("$Z"&amp;AA850),"")</f>
        <v/>
      </c>
    </row>
    <row r="851" spans="5:28" x14ac:dyDescent="0.2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39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40"/>
        <v>#N/A</v>
      </c>
      <c r="W851" t="str" cm="1">
        <f t="array" aca="1" ref="W851" ca="1">IFERROR(INDIRECT("$U"&amp;V851),"")</f>
        <v/>
      </c>
      <c r="Z851" t="e" cm="1">
        <f t="array" ref="Z851">INDEX($AE$2:$AN$40,MOD(ROW()-ROW($AE$2),ROWS($AE$2:$AN$40))+1,INT((ROW()-ROW($AE$2))/ROWS($AE$2:$AN$40))+1)</f>
        <v>#REF!</v>
      </c>
      <c r="AA851" t="e">
        <f t="shared" ca="1" si="41"/>
        <v>#N/A</v>
      </c>
      <c r="AB851" t="str" cm="1">
        <f t="array" aca="1" ref="AB851" ca="1">IFERROR(INDIRECT("$Z"&amp;AA851),"")</f>
        <v/>
      </c>
    </row>
    <row r="852" spans="5:28" x14ac:dyDescent="0.2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39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40"/>
        <v>#N/A</v>
      </c>
      <c r="W852" t="str" cm="1">
        <f t="array" aca="1" ref="W852" ca="1">IFERROR(INDIRECT("$U"&amp;V852),"")</f>
        <v/>
      </c>
      <c r="Z852" t="e" cm="1">
        <f t="array" ref="Z852">INDEX($AE$2:$AN$40,MOD(ROW()-ROW($AE$2),ROWS($AE$2:$AN$40))+1,INT((ROW()-ROW($AE$2))/ROWS($AE$2:$AN$40))+1)</f>
        <v>#REF!</v>
      </c>
      <c r="AA852" t="e">
        <f t="shared" ca="1" si="41"/>
        <v>#N/A</v>
      </c>
      <c r="AB852" t="str" cm="1">
        <f t="array" aca="1" ref="AB852" ca="1">IFERROR(INDIRECT("$Z"&amp;AA852),"")</f>
        <v/>
      </c>
    </row>
    <row r="853" spans="5:28" x14ac:dyDescent="0.2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39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40"/>
        <v>#N/A</v>
      </c>
      <c r="W853" t="str" cm="1">
        <f t="array" aca="1" ref="W853" ca="1">IFERROR(INDIRECT("$U"&amp;V853),"")</f>
        <v/>
      </c>
      <c r="Z853" t="e" cm="1">
        <f t="array" ref="Z853">INDEX($AE$2:$AN$40,MOD(ROW()-ROW($AE$2),ROWS($AE$2:$AN$40))+1,INT((ROW()-ROW($AE$2))/ROWS($AE$2:$AN$40))+1)</f>
        <v>#REF!</v>
      </c>
      <c r="AA853" t="e">
        <f t="shared" ca="1" si="41"/>
        <v>#N/A</v>
      </c>
      <c r="AB853" t="str" cm="1">
        <f t="array" aca="1" ref="AB853" ca="1">IFERROR(INDIRECT("$Z"&amp;AA853),"")</f>
        <v/>
      </c>
    </row>
    <row r="854" spans="5:28" x14ac:dyDescent="0.2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39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40"/>
        <v>#N/A</v>
      </c>
      <c r="W854" t="str" cm="1">
        <f t="array" aca="1" ref="W854" ca="1">IFERROR(INDIRECT("$U"&amp;V854),"")</f>
        <v/>
      </c>
      <c r="Z854" t="e" cm="1">
        <f t="array" ref="Z854">INDEX($AE$2:$AN$40,MOD(ROW()-ROW($AE$2),ROWS($AE$2:$AN$40))+1,INT((ROW()-ROW($AE$2))/ROWS($AE$2:$AN$40))+1)</f>
        <v>#REF!</v>
      </c>
      <c r="AA854" t="e">
        <f t="shared" ca="1" si="41"/>
        <v>#N/A</v>
      </c>
      <c r="AB854" t="str" cm="1">
        <f t="array" aca="1" ref="AB854" ca="1">IFERROR(INDIRECT("$Z"&amp;AA854),"")</f>
        <v/>
      </c>
    </row>
    <row r="855" spans="5:28" x14ac:dyDescent="0.2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39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40"/>
        <v>#N/A</v>
      </c>
      <c r="W855" t="str" cm="1">
        <f t="array" aca="1" ref="W855" ca="1">IFERROR(INDIRECT("$U"&amp;V855),"")</f>
        <v/>
      </c>
      <c r="Z855" t="e" cm="1">
        <f t="array" ref="Z855">INDEX($AE$2:$AN$40,MOD(ROW()-ROW($AE$2),ROWS($AE$2:$AN$40))+1,INT((ROW()-ROW($AE$2))/ROWS($AE$2:$AN$40))+1)</f>
        <v>#REF!</v>
      </c>
      <c r="AA855" t="e">
        <f t="shared" ca="1" si="41"/>
        <v>#N/A</v>
      </c>
      <c r="AB855" t="str" cm="1">
        <f t="array" aca="1" ref="AB855" ca="1">IFERROR(INDIRECT("$Z"&amp;AA855),"")</f>
        <v/>
      </c>
    </row>
    <row r="856" spans="5:28" x14ac:dyDescent="0.2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39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40"/>
        <v>#N/A</v>
      </c>
      <c r="W856" t="str" cm="1">
        <f t="array" aca="1" ref="W856" ca="1">IFERROR(INDIRECT("$U"&amp;V856),"")</f>
        <v/>
      </c>
      <c r="Z856" t="e" cm="1">
        <f t="array" ref="Z856">INDEX($AE$2:$AN$40,MOD(ROW()-ROW($AE$2),ROWS($AE$2:$AN$40))+1,INT((ROW()-ROW($AE$2))/ROWS($AE$2:$AN$40))+1)</f>
        <v>#REF!</v>
      </c>
      <c r="AA856" t="e">
        <f t="shared" ca="1" si="41"/>
        <v>#N/A</v>
      </c>
      <c r="AB856" t="str" cm="1">
        <f t="array" aca="1" ref="AB856" ca="1">IFERROR(INDIRECT("$Z"&amp;AA856),"")</f>
        <v/>
      </c>
    </row>
    <row r="857" spans="5:28" x14ac:dyDescent="0.2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39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40"/>
        <v>#N/A</v>
      </c>
      <c r="W857" t="str" cm="1">
        <f t="array" aca="1" ref="W857" ca="1">IFERROR(INDIRECT("$U"&amp;V857),"")</f>
        <v/>
      </c>
      <c r="Z857" t="e" cm="1">
        <f t="array" ref="Z857">INDEX($AE$2:$AN$40,MOD(ROW()-ROW($AE$2),ROWS($AE$2:$AN$40))+1,INT((ROW()-ROW($AE$2))/ROWS($AE$2:$AN$40))+1)</f>
        <v>#REF!</v>
      </c>
      <c r="AA857" t="e">
        <f t="shared" ca="1" si="41"/>
        <v>#N/A</v>
      </c>
      <c r="AB857" t="str" cm="1">
        <f t="array" aca="1" ref="AB857" ca="1">IFERROR(INDIRECT("$Z"&amp;AA857),"")</f>
        <v/>
      </c>
    </row>
    <row r="858" spans="5:28" x14ac:dyDescent="0.2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39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40"/>
        <v>#N/A</v>
      </c>
      <c r="W858" t="str" cm="1">
        <f t="array" aca="1" ref="W858" ca="1">IFERROR(INDIRECT("$U"&amp;V858),"")</f>
        <v/>
      </c>
      <c r="Z858" t="e" cm="1">
        <f t="array" ref="Z858">INDEX($AE$2:$AN$40,MOD(ROW()-ROW($AE$2),ROWS($AE$2:$AN$40))+1,INT((ROW()-ROW($AE$2))/ROWS($AE$2:$AN$40))+1)</f>
        <v>#REF!</v>
      </c>
      <c r="AA858" t="e">
        <f t="shared" ca="1" si="41"/>
        <v>#N/A</v>
      </c>
      <c r="AB858" t="str" cm="1">
        <f t="array" aca="1" ref="AB858" ca="1">IFERROR(INDIRECT("$Z"&amp;AA858),"")</f>
        <v/>
      </c>
    </row>
    <row r="859" spans="5:28" x14ac:dyDescent="0.2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39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40"/>
        <v>#N/A</v>
      </c>
      <c r="W859" t="str" cm="1">
        <f t="array" aca="1" ref="W859" ca="1">IFERROR(INDIRECT("$U"&amp;V859),"")</f>
        <v/>
      </c>
      <c r="Z859" t="e" cm="1">
        <f t="array" ref="Z859">INDEX($AE$2:$AN$40,MOD(ROW()-ROW($AE$2),ROWS($AE$2:$AN$40))+1,INT((ROW()-ROW($AE$2))/ROWS($AE$2:$AN$40))+1)</f>
        <v>#REF!</v>
      </c>
      <c r="AA859" t="e">
        <f t="shared" ca="1" si="41"/>
        <v>#N/A</v>
      </c>
      <c r="AB859" t="str" cm="1">
        <f t="array" aca="1" ref="AB859" ca="1">IFERROR(INDIRECT("$Z"&amp;AA859),"")</f>
        <v/>
      </c>
    </row>
    <row r="860" spans="5:28" x14ac:dyDescent="0.2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39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40"/>
        <v>#N/A</v>
      </c>
      <c r="W860" t="str" cm="1">
        <f t="array" aca="1" ref="W860" ca="1">IFERROR(INDIRECT("$U"&amp;V860),"")</f>
        <v/>
      </c>
      <c r="Z860" t="e" cm="1">
        <f t="array" ref="Z860">INDEX($AE$2:$AN$40,MOD(ROW()-ROW($AE$2),ROWS($AE$2:$AN$40))+1,INT((ROW()-ROW($AE$2))/ROWS($AE$2:$AN$40))+1)</f>
        <v>#REF!</v>
      </c>
      <c r="AA860" t="e">
        <f t="shared" ca="1" si="41"/>
        <v>#N/A</v>
      </c>
      <c r="AB860" t="str" cm="1">
        <f t="array" aca="1" ref="AB860" ca="1">IFERROR(INDIRECT("$Z"&amp;AA860),"")</f>
        <v/>
      </c>
    </row>
    <row r="861" spans="5:28" x14ac:dyDescent="0.2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39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40"/>
        <v>#N/A</v>
      </c>
      <c r="W861" t="str" cm="1">
        <f t="array" aca="1" ref="W861" ca="1">IFERROR(INDIRECT("$U"&amp;V861),"")</f>
        <v/>
      </c>
      <c r="Z861" t="e" cm="1">
        <f t="array" ref="Z861">INDEX($AE$2:$AN$40,MOD(ROW()-ROW($AE$2),ROWS($AE$2:$AN$40))+1,INT((ROW()-ROW($AE$2))/ROWS($AE$2:$AN$40))+1)</f>
        <v>#REF!</v>
      </c>
      <c r="AA861" t="e">
        <f t="shared" ca="1" si="41"/>
        <v>#N/A</v>
      </c>
      <c r="AB861" t="str" cm="1">
        <f t="array" aca="1" ref="AB861" ca="1">IFERROR(INDIRECT("$Z"&amp;AA861),"")</f>
        <v/>
      </c>
    </row>
    <row r="862" spans="5:28" x14ac:dyDescent="0.2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39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40"/>
        <v>#N/A</v>
      </c>
      <c r="W862" t="str" cm="1">
        <f t="array" aca="1" ref="W862" ca="1">IFERROR(INDIRECT("$U"&amp;V862),"")</f>
        <v/>
      </c>
      <c r="Z862" t="e" cm="1">
        <f t="array" ref="Z862">INDEX($AE$2:$AN$40,MOD(ROW()-ROW($AE$2),ROWS($AE$2:$AN$40))+1,INT((ROW()-ROW($AE$2))/ROWS($AE$2:$AN$40))+1)</f>
        <v>#REF!</v>
      </c>
      <c r="AA862" t="e">
        <f t="shared" ca="1" si="41"/>
        <v>#N/A</v>
      </c>
      <c r="AB862" t="str" cm="1">
        <f t="array" aca="1" ref="AB862" ca="1">IFERROR(INDIRECT("$Z"&amp;AA862),"")</f>
        <v/>
      </c>
    </row>
    <row r="863" spans="5:28" x14ac:dyDescent="0.2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39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40"/>
        <v>#N/A</v>
      </c>
      <c r="W863" t="str" cm="1">
        <f t="array" aca="1" ref="W863" ca="1">IFERROR(INDIRECT("$U"&amp;V863),"")</f>
        <v/>
      </c>
      <c r="Z863" t="e" cm="1">
        <f t="array" ref="Z863">INDEX($AE$2:$AN$40,MOD(ROW()-ROW($AE$2),ROWS($AE$2:$AN$40))+1,INT((ROW()-ROW($AE$2))/ROWS($AE$2:$AN$40))+1)</f>
        <v>#REF!</v>
      </c>
      <c r="AA863" t="e">
        <f t="shared" ca="1" si="41"/>
        <v>#N/A</v>
      </c>
      <c r="AB863" t="str" cm="1">
        <f t="array" aca="1" ref="AB863" ca="1">IFERROR(INDIRECT("$Z"&amp;AA863),"")</f>
        <v/>
      </c>
    </row>
    <row r="864" spans="5:28" x14ac:dyDescent="0.2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39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40"/>
        <v>#N/A</v>
      </c>
      <c r="W864" t="str" cm="1">
        <f t="array" aca="1" ref="W864" ca="1">IFERROR(INDIRECT("$U"&amp;V864),"")</f>
        <v/>
      </c>
      <c r="Z864" t="e" cm="1">
        <f t="array" ref="Z864">INDEX($AE$2:$AN$40,MOD(ROW()-ROW($AE$2),ROWS($AE$2:$AN$40))+1,INT((ROW()-ROW($AE$2))/ROWS($AE$2:$AN$40))+1)</f>
        <v>#REF!</v>
      </c>
      <c r="AA864" t="e">
        <f t="shared" ca="1" si="41"/>
        <v>#N/A</v>
      </c>
      <c r="AB864" t="str" cm="1">
        <f t="array" aca="1" ref="AB864" ca="1">IFERROR(INDIRECT("$Z"&amp;AA864),"")</f>
        <v/>
      </c>
    </row>
    <row r="865" spans="5:28" x14ac:dyDescent="0.2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39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40"/>
        <v>#N/A</v>
      </c>
      <c r="W865" t="str" cm="1">
        <f t="array" aca="1" ref="W865" ca="1">IFERROR(INDIRECT("$U"&amp;V865),"")</f>
        <v/>
      </c>
      <c r="Z865" t="e" cm="1">
        <f t="array" ref="Z865">INDEX($AE$2:$AN$40,MOD(ROW()-ROW($AE$2),ROWS($AE$2:$AN$40))+1,INT((ROW()-ROW($AE$2))/ROWS($AE$2:$AN$40))+1)</f>
        <v>#REF!</v>
      </c>
      <c r="AA865" t="e">
        <f t="shared" ca="1" si="41"/>
        <v>#N/A</v>
      </c>
      <c r="AB865" t="str" cm="1">
        <f t="array" aca="1" ref="AB865" ca="1">IFERROR(INDIRECT("$Z"&amp;AA865),"")</f>
        <v/>
      </c>
    </row>
    <row r="866" spans="5:28" x14ac:dyDescent="0.2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39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40"/>
        <v>#N/A</v>
      </c>
      <c r="W866" t="str" cm="1">
        <f t="array" aca="1" ref="W866" ca="1">IFERROR(INDIRECT("$U"&amp;V866),"")</f>
        <v/>
      </c>
      <c r="Z866" t="e" cm="1">
        <f t="array" ref="Z866">INDEX($AE$2:$AN$40,MOD(ROW()-ROW($AE$2),ROWS($AE$2:$AN$40))+1,INT((ROW()-ROW($AE$2))/ROWS($AE$2:$AN$40))+1)</f>
        <v>#REF!</v>
      </c>
      <c r="AA866" t="e">
        <f t="shared" ca="1" si="41"/>
        <v>#N/A</v>
      </c>
      <c r="AB866" t="str" cm="1">
        <f t="array" aca="1" ref="AB866" ca="1">IFERROR(INDIRECT("$Z"&amp;AA866),"")</f>
        <v/>
      </c>
    </row>
    <row r="867" spans="5:28" x14ac:dyDescent="0.2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39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40"/>
        <v>#N/A</v>
      </c>
      <c r="W867" t="str" cm="1">
        <f t="array" aca="1" ref="W867" ca="1">IFERROR(INDIRECT("$U"&amp;V867),"")</f>
        <v/>
      </c>
      <c r="Z867" t="e" cm="1">
        <f t="array" ref="Z867">INDEX($AE$2:$AN$40,MOD(ROW()-ROW($AE$2),ROWS($AE$2:$AN$40))+1,INT((ROW()-ROW($AE$2))/ROWS($AE$2:$AN$40))+1)</f>
        <v>#REF!</v>
      </c>
      <c r="AA867" t="e">
        <f t="shared" ca="1" si="41"/>
        <v>#N/A</v>
      </c>
      <c r="AB867" t="str" cm="1">
        <f t="array" aca="1" ref="AB867" ca="1">IFERROR(INDIRECT("$Z"&amp;AA867),"")</f>
        <v/>
      </c>
    </row>
    <row r="868" spans="5:28" x14ac:dyDescent="0.2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39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40"/>
        <v>#N/A</v>
      </c>
      <c r="W868" t="str" cm="1">
        <f t="array" aca="1" ref="W868" ca="1">IFERROR(INDIRECT("$U"&amp;V868),"")</f>
        <v/>
      </c>
      <c r="Z868" t="e" cm="1">
        <f t="array" ref="Z868">INDEX($AE$2:$AN$40,MOD(ROW()-ROW($AE$2),ROWS($AE$2:$AN$40))+1,INT((ROW()-ROW($AE$2))/ROWS($AE$2:$AN$40))+1)</f>
        <v>#REF!</v>
      </c>
      <c r="AA868" t="e">
        <f t="shared" ca="1" si="41"/>
        <v>#N/A</v>
      </c>
      <c r="AB868" t="str" cm="1">
        <f t="array" aca="1" ref="AB868" ca="1">IFERROR(INDIRECT("$Z"&amp;AA868),"")</f>
        <v/>
      </c>
    </row>
    <row r="869" spans="5:28" x14ac:dyDescent="0.2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39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40"/>
        <v>#N/A</v>
      </c>
      <c r="W869" t="str" cm="1">
        <f t="array" aca="1" ref="W869" ca="1">IFERROR(INDIRECT("$U"&amp;V869),"")</f>
        <v/>
      </c>
      <c r="Z869" t="e" cm="1">
        <f t="array" ref="Z869">INDEX($AE$2:$AN$40,MOD(ROW()-ROW($AE$2),ROWS($AE$2:$AN$40))+1,INT((ROW()-ROW($AE$2))/ROWS($AE$2:$AN$40))+1)</f>
        <v>#REF!</v>
      </c>
      <c r="AA869" t="e">
        <f t="shared" ca="1" si="41"/>
        <v>#N/A</v>
      </c>
      <c r="AB869" t="str" cm="1">
        <f t="array" aca="1" ref="AB869" ca="1">IFERROR(INDIRECT("$Z"&amp;AA869),"")</f>
        <v/>
      </c>
    </row>
    <row r="870" spans="5:28" x14ac:dyDescent="0.2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39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40"/>
        <v>#N/A</v>
      </c>
      <c r="W870" t="str" cm="1">
        <f t="array" aca="1" ref="W870" ca="1">IFERROR(INDIRECT("$U"&amp;V870),"")</f>
        <v/>
      </c>
      <c r="Z870" t="e" cm="1">
        <f t="array" ref="Z870">INDEX($AE$2:$AN$40,MOD(ROW()-ROW($AE$2),ROWS($AE$2:$AN$40))+1,INT((ROW()-ROW($AE$2))/ROWS($AE$2:$AN$40))+1)</f>
        <v>#REF!</v>
      </c>
      <c r="AA870" t="e">
        <f t="shared" ca="1" si="41"/>
        <v>#N/A</v>
      </c>
      <c r="AB870" t="str" cm="1">
        <f t="array" aca="1" ref="AB870" ca="1">IFERROR(INDIRECT("$Z"&amp;AA870),"")</f>
        <v/>
      </c>
    </row>
    <row r="871" spans="5:28" x14ac:dyDescent="0.2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39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40"/>
        <v>#N/A</v>
      </c>
      <c r="W871" t="str" cm="1">
        <f t="array" aca="1" ref="W871" ca="1">IFERROR(INDIRECT("$U"&amp;V871),"")</f>
        <v/>
      </c>
      <c r="Z871" t="e" cm="1">
        <f t="array" ref="Z871">INDEX($AE$2:$AN$40,MOD(ROW()-ROW($AE$2),ROWS($AE$2:$AN$40))+1,INT((ROW()-ROW($AE$2))/ROWS($AE$2:$AN$40))+1)</f>
        <v>#REF!</v>
      </c>
      <c r="AA871" t="e">
        <f t="shared" ca="1" si="41"/>
        <v>#N/A</v>
      </c>
      <c r="AB871" t="str" cm="1">
        <f t="array" aca="1" ref="AB871" ca="1">IFERROR(INDIRECT("$Z"&amp;AA871),"")</f>
        <v/>
      </c>
    </row>
    <row r="872" spans="5:28" x14ac:dyDescent="0.2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39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40"/>
        <v>#N/A</v>
      </c>
      <c r="W872" t="str" cm="1">
        <f t="array" aca="1" ref="W872" ca="1">IFERROR(INDIRECT("$U"&amp;V872),"")</f>
        <v/>
      </c>
      <c r="Z872" t="e" cm="1">
        <f t="array" ref="Z872">INDEX($AE$2:$AN$40,MOD(ROW()-ROW($AE$2),ROWS($AE$2:$AN$40))+1,INT((ROW()-ROW($AE$2))/ROWS($AE$2:$AN$40))+1)</f>
        <v>#REF!</v>
      </c>
      <c r="AA872" t="e">
        <f t="shared" ca="1" si="41"/>
        <v>#N/A</v>
      </c>
      <c r="AB872" t="str" cm="1">
        <f t="array" aca="1" ref="AB872" ca="1">IFERROR(INDIRECT("$Z"&amp;AA872),"")</f>
        <v/>
      </c>
    </row>
    <row r="873" spans="5:28" x14ac:dyDescent="0.2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39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40"/>
        <v>#N/A</v>
      </c>
      <c r="W873" t="str" cm="1">
        <f t="array" aca="1" ref="W873" ca="1">IFERROR(INDIRECT("$U"&amp;V873),"")</f>
        <v/>
      </c>
      <c r="Z873" t="e" cm="1">
        <f t="array" ref="Z873">INDEX($AE$2:$AN$40,MOD(ROW()-ROW($AE$2),ROWS($AE$2:$AN$40))+1,INT((ROW()-ROW($AE$2))/ROWS($AE$2:$AN$40))+1)</f>
        <v>#REF!</v>
      </c>
      <c r="AA873" t="e">
        <f t="shared" ca="1" si="41"/>
        <v>#N/A</v>
      </c>
      <c r="AB873" t="str" cm="1">
        <f t="array" aca="1" ref="AB873" ca="1">IFERROR(INDIRECT("$Z"&amp;AA873),"")</f>
        <v/>
      </c>
    </row>
    <row r="874" spans="5:28" x14ac:dyDescent="0.2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39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40"/>
        <v>#N/A</v>
      </c>
      <c r="W874" t="str" cm="1">
        <f t="array" aca="1" ref="W874" ca="1">IFERROR(INDIRECT("$U"&amp;V874),"")</f>
        <v/>
      </c>
      <c r="Z874" t="e" cm="1">
        <f t="array" ref="Z874">INDEX($AE$2:$AN$40,MOD(ROW()-ROW($AE$2),ROWS($AE$2:$AN$40))+1,INT((ROW()-ROW($AE$2))/ROWS($AE$2:$AN$40))+1)</f>
        <v>#REF!</v>
      </c>
      <c r="AA874" t="e">
        <f t="shared" ca="1" si="41"/>
        <v>#N/A</v>
      </c>
      <c r="AB874" t="str" cm="1">
        <f t="array" aca="1" ref="AB874" ca="1">IFERROR(INDIRECT("$Z"&amp;AA874),"")</f>
        <v/>
      </c>
    </row>
    <row r="875" spans="5:28" x14ac:dyDescent="0.2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39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40"/>
        <v>#N/A</v>
      </c>
      <c r="W875" t="str" cm="1">
        <f t="array" aca="1" ref="W875" ca="1">IFERROR(INDIRECT("$U"&amp;V875),"")</f>
        <v/>
      </c>
      <c r="Z875" t="e" cm="1">
        <f t="array" ref="Z875">INDEX($AE$2:$AN$40,MOD(ROW()-ROW($AE$2),ROWS($AE$2:$AN$40))+1,INT((ROW()-ROW($AE$2))/ROWS($AE$2:$AN$40))+1)</f>
        <v>#REF!</v>
      </c>
      <c r="AA875" t="e">
        <f t="shared" ca="1" si="41"/>
        <v>#N/A</v>
      </c>
      <c r="AB875" t="str" cm="1">
        <f t="array" aca="1" ref="AB875" ca="1">IFERROR(INDIRECT("$Z"&amp;AA875),"")</f>
        <v/>
      </c>
    </row>
    <row r="876" spans="5:28" x14ac:dyDescent="0.2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39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40"/>
        <v>#N/A</v>
      </c>
      <c r="W876" t="str" cm="1">
        <f t="array" aca="1" ref="W876" ca="1">IFERROR(INDIRECT("$U"&amp;V876),"")</f>
        <v/>
      </c>
      <c r="Z876" t="e" cm="1">
        <f t="array" ref="Z876">INDEX($AE$2:$AN$40,MOD(ROW()-ROW($AE$2),ROWS($AE$2:$AN$40))+1,INT((ROW()-ROW($AE$2))/ROWS($AE$2:$AN$40))+1)</f>
        <v>#REF!</v>
      </c>
      <c r="AA876" t="e">
        <f t="shared" ca="1" si="41"/>
        <v>#N/A</v>
      </c>
      <c r="AB876" t="str" cm="1">
        <f t="array" aca="1" ref="AB876" ca="1">IFERROR(INDIRECT("$Z"&amp;AA876),"")</f>
        <v/>
      </c>
    </row>
    <row r="877" spans="5:28" x14ac:dyDescent="0.2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39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40"/>
        <v>#N/A</v>
      </c>
      <c r="W877" t="str" cm="1">
        <f t="array" aca="1" ref="W877" ca="1">IFERROR(INDIRECT("$U"&amp;V877),"")</f>
        <v/>
      </c>
      <c r="Z877" t="e" cm="1">
        <f t="array" ref="Z877">INDEX($AE$2:$AN$40,MOD(ROW()-ROW($AE$2),ROWS($AE$2:$AN$40))+1,INT((ROW()-ROW($AE$2))/ROWS($AE$2:$AN$40))+1)</f>
        <v>#REF!</v>
      </c>
      <c r="AA877" t="e">
        <f t="shared" ca="1" si="41"/>
        <v>#N/A</v>
      </c>
      <c r="AB877" t="str" cm="1">
        <f t="array" aca="1" ref="AB877" ca="1">IFERROR(INDIRECT("$Z"&amp;AA877),"")</f>
        <v/>
      </c>
    </row>
    <row r="878" spans="5:28" x14ac:dyDescent="0.2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39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40"/>
        <v>#N/A</v>
      </c>
      <c r="W878" t="str" cm="1">
        <f t="array" aca="1" ref="W878" ca="1">IFERROR(INDIRECT("$U"&amp;V878),"")</f>
        <v/>
      </c>
      <c r="Z878" t="e" cm="1">
        <f t="array" ref="Z878">INDEX($AE$2:$AN$40,MOD(ROW()-ROW($AE$2),ROWS($AE$2:$AN$40))+1,INT((ROW()-ROW($AE$2))/ROWS($AE$2:$AN$40))+1)</f>
        <v>#REF!</v>
      </c>
      <c r="AA878" t="e">
        <f t="shared" ca="1" si="41"/>
        <v>#N/A</v>
      </c>
      <c r="AB878" t="str" cm="1">
        <f t="array" aca="1" ref="AB878" ca="1">IFERROR(INDIRECT("$Z"&amp;AA878),"")</f>
        <v/>
      </c>
    </row>
    <row r="879" spans="5:28" x14ac:dyDescent="0.2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39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40"/>
        <v>#N/A</v>
      </c>
      <c r="W879" t="str" cm="1">
        <f t="array" aca="1" ref="W879" ca="1">IFERROR(INDIRECT("$U"&amp;V879),"")</f>
        <v/>
      </c>
      <c r="Z879" t="e" cm="1">
        <f t="array" ref="Z879">INDEX($AE$2:$AN$40,MOD(ROW()-ROW($AE$2),ROWS($AE$2:$AN$40))+1,INT((ROW()-ROW($AE$2))/ROWS($AE$2:$AN$40))+1)</f>
        <v>#REF!</v>
      </c>
      <c r="AA879" t="e">
        <f t="shared" ca="1" si="41"/>
        <v>#N/A</v>
      </c>
      <c r="AB879" t="str" cm="1">
        <f t="array" aca="1" ref="AB879" ca="1">IFERROR(INDIRECT("$Z"&amp;AA879),"")</f>
        <v/>
      </c>
    </row>
    <row r="880" spans="5:28" x14ac:dyDescent="0.2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39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40"/>
        <v>#N/A</v>
      </c>
      <c r="W880" t="str" cm="1">
        <f t="array" aca="1" ref="W880" ca="1">IFERROR(INDIRECT("$U"&amp;V880),"")</f>
        <v/>
      </c>
      <c r="Z880" t="e" cm="1">
        <f t="array" ref="Z880">INDEX($AE$2:$AN$40,MOD(ROW()-ROW($AE$2),ROWS($AE$2:$AN$40))+1,INT((ROW()-ROW($AE$2))/ROWS($AE$2:$AN$40))+1)</f>
        <v>#REF!</v>
      </c>
      <c r="AA880" t="e">
        <f t="shared" ca="1" si="41"/>
        <v>#N/A</v>
      </c>
      <c r="AB880" t="str" cm="1">
        <f t="array" aca="1" ref="AB880" ca="1">IFERROR(INDIRECT("$Z"&amp;AA880),"")</f>
        <v/>
      </c>
    </row>
    <row r="881" spans="5:28" x14ac:dyDescent="0.2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39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40"/>
        <v>#N/A</v>
      </c>
      <c r="W881" t="str" cm="1">
        <f t="array" aca="1" ref="W881" ca="1">IFERROR(INDIRECT("$U"&amp;V881),"")</f>
        <v/>
      </c>
      <c r="Z881" t="e" cm="1">
        <f t="array" ref="Z881">INDEX($AE$2:$AN$40,MOD(ROW()-ROW($AE$2),ROWS($AE$2:$AN$40))+1,INT((ROW()-ROW($AE$2))/ROWS($AE$2:$AN$40))+1)</f>
        <v>#REF!</v>
      </c>
      <c r="AA881" t="e">
        <f t="shared" ca="1" si="41"/>
        <v>#N/A</v>
      </c>
      <c r="AB881" t="str" cm="1">
        <f t="array" aca="1" ref="AB881" ca="1">IFERROR(INDIRECT("$Z"&amp;AA881),"")</f>
        <v/>
      </c>
    </row>
    <row r="882" spans="5:28" x14ac:dyDescent="0.2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39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40"/>
        <v>#N/A</v>
      </c>
      <c r="W882" t="str" cm="1">
        <f t="array" aca="1" ref="W882" ca="1">IFERROR(INDIRECT("$U"&amp;V882),"")</f>
        <v/>
      </c>
      <c r="Z882" t="e" cm="1">
        <f t="array" ref="Z882">INDEX($AE$2:$AN$40,MOD(ROW()-ROW($AE$2),ROWS($AE$2:$AN$40))+1,INT((ROW()-ROW($AE$2))/ROWS($AE$2:$AN$40))+1)</f>
        <v>#REF!</v>
      </c>
      <c r="AA882" t="e">
        <f t="shared" ca="1" si="41"/>
        <v>#N/A</v>
      </c>
      <c r="AB882" t="str" cm="1">
        <f t="array" aca="1" ref="AB882" ca="1">IFERROR(INDIRECT("$Z"&amp;AA882),"")</f>
        <v/>
      </c>
    </row>
    <row r="883" spans="5:28" x14ac:dyDescent="0.2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39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40"/>
        <v>#N/A</v>
      </c>
      <c r="W883" t="str" cm="1">
        <f t="array" aca="1" ref="W883" ca="1">IFERROR(INDIRECT("$U"&amp;V883),"")</f>
        <v/>
      </c>
      <c r="Z883" t="e" cm="1">
        <f t="array" ref="Z883">INDEX($AE$2:$AN$40,MOD(ROW()-ROW($AE$2),ROWS($AE$2:$AN$40))+1,INT((ROW()-ROW($AE$2))/ROWS($AE$2:$AN$40))+1)</f>
        <v>#REF!</v>
      </c>
      <c r="AA883" t="e">
        <f t="shared" ca="1" si="41"/>
        <v>#N/A</v>
      </c>
      <c r="AB883" t="str" cm="1">
        <f t="array" aca="1" ref="AB883" ca="1">IFERROR(INDIRECT("$Z"&amp;AA883),"")</f>
        <v/>
      </c>
    </row>
    <row r="884" spans="5:28" x14ac:dyDescent="0.2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39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40"/>
        <v>#N/A</v>
      </c>
      <c r="W884" t="str" cm="1">
        <f t="array" aca="1" ref="W884" ca="1">IFERROR(INDIRECT("$U"&amp;V884),"")</f>
        <v/>
      </c>
      <c r="Z884" t="e" cm="1">
        <f t="array" ref="Z884">INDEX($AE$2:$AN$40,MOD(ROW()-ROW($AE$2),ROWS($AE$2:$AN$40))+1,INT((ROW()-ROW($AE$2))/ROWS($AE$2:$AN$40))+1)</f>
        <v>#REF!</v>
      </c>
      <c r="AA884" t="e">
        <f t="shared" ca="1" si="41"/>
        <v>#N/A</v>
      </c>
      <c r="AB884" t="str" cm="1">
        <f t="array" aca="1" ref="AB884" ca="1">IFERROR(INDIRECT("$Z"&amp;AA884),"")</f>
        <v/>
      </c>
    </row>
    <row r="885" spans="5:28" x14ac:dyDescent="0.2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39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40"/>
        <v>#N/A</v>
      </c>
      <c r="W885" t="str" cm="1">
        <f t="array" aca="1" ref="W885" ca="1">IFERROR(INDIRECT("$U"&amp;V885),"")</f>
        <v/>
      </c>
      <c r="Z885" t="e" cm="1">
        <f t="array" ref="Z885">INDEX($AE$2:$AN$40,MOD(ROW()-ROW($AE$2),ROWS($AE$2:$AN$40))+1,INT((ROW()-ROW($AE$2))/ROWS($AE$2:$AN$40))+1)</f>
        <v>#REF!</v>
      </c>
      <c r="AA885" t="e">
        <f t="shared" ca="1" si="41"/>
        <v>#N/A</v>
      </c>
      <c r="AB885" t="str" cm="1">
        <f t="array" aca="1" ref="AB885" ca="1">IFERROR(INDIRECT("$Z"&amp;AA885),"")</f>
        <v/>
      </c>
    </row>
    <row r="886" spans="5:28" x14ac:dyDescent="0.2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39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40"/>
        <v>#N/A</v>
      </c>
      <c r="W886" t="str" cm="1">
        <f t="array" aca="1" ref="W886" ca="1">IFERROR(INDIRECT("$U"&amp;V886),"")</f>
        <v/>
      </c>
      <c r="Z886" t="e" cm="1">
        <f t="array" ref="Z886">INDEX($AE$2:$AN$40,MOD(ROW()-ROW($AE$2),ROWS($AE$2:$AN$40))+1,INT((ROW()-ROW($AE$2))/ROWS($AE$2:$AN$40))+1)</f>
        <v>#REF!</v>
      </c>
      <c r="AA886" t="e">
        <f t="shared" ca="1" si="41"/>
        <v>#N/A</v>
      </c>
      <c r="AB886" t="str" cm="1">
        <f t="array" aca="1" ref="AB886" ca="1">IFERROR(INDIRECT("$Z"&amp;AA886),"")</f>
        <v/>
      </c>
    </row>
    <row r="887" spans="5:28" x14ac:dyDescent="0.2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39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40"/>
        <v>#N/A</v>
      </c>
      <c r="W887" t="str" cm="1">
        <f t="array" aca="1" ref="W887" ca="1">IFERROR(INDIRECT("$U"&amp;V887),"")</f>
        <v/>
      </c>
      <c r="Z887" t="e" cm="1">
        <f t="array" ref="Z887">INDEX($AE$2:$AN$40,MOD(ROW()-ROW($AE$2),ROWS($AE$2:$AN$40))+1,INT((ROW()-ROW($AE$2))/ROWS($AE$2:$AN$40))+1)</f>
        <v>#REF!</v>
      </c>
      <c r="AA887" t="e">
        <f t="shared" ca="1" si="41"/>
        <v>#N/A</v>
      </c>
      <c r="AB887" t="str" cm="1">
        <f t="array" aca="1" ref="AB887" ca="1">IFERROR(INDIRECT("$Z"&amp;AA887),"")</f>
        <v/>
      </c>
    </row>
    <row r="888" spans="5:28" x14ac:dyDescent="0.2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39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40"/>
        <v>#N/A</v>
      </c>
      <c r="W888" t="str" cm="1">
        <f t="array" aca="1" ref="W888" ca="1">IFERROR(INDIRECT("$U"&amp;V888),"")</f>
        <v/>
      </c>
      <c r="Z888" t="e" cm="1">
        <f t="array" ref="Z888">INDEX($AE$2:$AN$40,MOD(ROW()-ROW($AE$2),ROWS($AE$2:$AN$40))+1,INT((ROW()-ROW($AE$2))/ROWS($AE$2:$AN$40))+1)</f>
        <v>#REF!</v>
      </c>
      <c r="AA888" t="e">
        <f t="shared" ca="1" si="41"/>
        <v>#N/A</v>
      </c>
      <c r="AB888" t="str" cm="1">
        <f t="array" aca="1" ref="AB888" ca="1">IFERROR(INDIRECT("$Z"&amp;AA888),"")</f>
        <v/>
      </c>
    </row>
    <row r="889" spans="5:28" x14ac:dyDescent="0.2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39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40"/>
        <v>#N/A</v>
      </c>
      <c r="W889" t="str" cm="1">
        <f t="array" aca="1" ref="W889" ca="1">IFERROR(INDIRECT("$U"&amp;V889),"")</f>
        <v/>
      </c>
      <c r="Z889" t="e" cm="1">
        <f t="array" ref="Z889">INDEX($AE$2:$AN$40,MOD(ROW()-ROW($AE$2),ROWS($AE$2:$AN$40))+1,INT((ROW()-ROW($AE$2))/ROWS($AE$2:$AN$40))+1)</f>
        <v>#REF!</v>
      </c>
      <c r="AA889" t="e">
        <f t="shared" ca="1" si="41"/>
        <v>#N/A</v>
      </c>
      <c r="AB889" t="str" cm="1">
        <f t="array" aca="1" ref="AB889" ca="1">IFERROR(INDIRECT("$Z"&amp;AA889),"")</f>
        <v/>
      </c>
    </row>
    <row r="890" spans="5:28" x14ac:dyDescent="0.2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39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40"/>
        <v>#N/A</v>
      </c>
      <c r="W890" t="str" cm="1">
        <f t="array" aca="1" ref="W890" ca="1">IFERROR(INDIRECT("$U"&amp;V890),"")</f>
        <v/>
      </c>
      <c r="Z890" t="e" cm="1">
        <f t="array" ref="Z890">INDEX($AE$2:$AN$40,MOD(ROW()-ROW($AE$2),ROWS($AE$2:$AN$40))+1,INT((ROW()-ROW($AE$2))/ROWS($AE$2:$AN$40))+1)</f>
        <v>#REF!</v>
      </c>
      <c r="AA890" t="e">
        <f t="shared" ca="1" si="41"/>
        <v>#N/A</v>
      </c>
      <c r="AB890" t="str" cm="1">
        <f t="array" aca="1" ref="AB890" ca="1">IFERROR(INDIRECT("$Z"&amp;AA890),"")</f>
        <v/>
      </c>
    </row>
    <row r="891" spans="5:28" x14ac:dyDescent="0.2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39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40"/>
        <v>#N/A</v>
      </c>
      <c r="W891" t="str" cm="1">
        <f t="array" aca="1" ref="W891" ca="1">IFERROR(INDIRECT("$U"&amp;V891),"")</f>
        <v/>
      </c>
      <c r="Z891" t="e" cm="1">
        <f t="array" ref="Z891">INDEX($AE$2:$AN$40,MOD(ROW()-ROW($AE$2),ROWS($AE$2:$AN$40))+1,INT((ROW()-ROW($AE$2))/ROWS($AE$2:$AN$40))+1)</f>
        <v>#REF!</v>
      </c>
      <c r="AA891" t="e">
        <f t="shared" ca="1" si="41"/>
        <v>#N/A</v>
      </c>
      <c r="AB891" t="str" cm="1">
        <f t="array" aca="1" ref="AB891" ca="1">IFERROR(INDIRECT("$Z"&amp;AA891),"")</f>
        <v/>
      </c>
    </row>
    <row r="892" spans="5:28" x14ac:dyDescent="0.2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39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40"/>
        <v>#N/A</v>
      </c>
      <c r="W892" t="str" cm="1">
        <f t="array" aca="1" ref="W892" ca="1">IFERROR(INDIRECT("$U"&amp;V892),"")</f>
        <v/>
      </c>
      <c r="Z892" t="e" cm="1">
        <f t="array" ref="Z892">INDEX($AE$2:$AN$40,MOD(ROW()-ROW($AE$2),ROWS($AE$2:$AN$40))+1,INT((ROW()-ROW($AE$2))/ROWS($AE$2:$AN$40))+1)</f>
        <v>#REF!</v>
      </c>
      <c r="AA892" t="e">
        <f t="shared" ca="1" si="41"/>
        <v>#N/A</v>
      </c>
      <c r="AB892" t="str" cm="1">
        <f t="array" aca="1" ref="AB892" ca="1">IFERROR(INDIRECT("$Z"&amp;AA892),"")</f>
        <v/>
      </c>
    </row>
    <row r="893" spans="5:28" x14ac:dyDescent="0.2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39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40"/>
        <v>#N/A</v>
      </c>
      <c r="W893" t="str" cm="1">
        <f t="array" aca="1" ref="W893" ca="1">IFERROR(INDIRECT("$U"&amp;V893),"")</f>
        <v/>
      </c>
      <c r="Z893" t="e" cm="1">
        <f t="array" ref="Z893">INDEX($AE$2:$AN$40,MOD(ROW()-ROW($AE$2),ROWS($AE$2:$AN$40))+1,INT((ROW()-ROW($AE$2))/ROWS($AE$2:$AN$40))+1)</f>
        <v>#REF!</v>
      </c>
      <c r="AA893" t="e">
        <f t="shared" ca="1" si="41"/>
        <v>#N/A</v>
      </c>
      <c r="AB893" t="str" cm="1">
        <f t="array" aca="1" ref="AB893" ca="1">IFERROR(INDIRECT("$Z"&amp;AA893),"")</f>
        <v/>
      </c>
    </row>
    <row r="894" spans="5:28" x14ac:dyDescent="0.2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39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40"/>
        <v>#N/A</v>
      </c>
      <c r="W894" t="str" cm="1">
        <f t="array" aca="1" ref="W894" ca="1">IFERROR(INDIRECT("$U"&amp;V894),"")</f>
        <v/>
      </c>
      <c r="Z894" t="e" cm="1">
        <f t="array" ref="Z894">INDEX($AE$2:$AN$40,MOD(ROW()-ROW($AE$2),ROWS($AE$2:$AN$40))+1,INT((ROW()-ROW($AE$2))/ROWS($AE$2:$AN$40))+1)</f>
        <v>#REF!</v>
      </c>
      <c r="AA894" t="e">
        <f t="shared" ca="1" si="41"/>
        <v>#N/A</v>
      </c>
      <c r="AB894" t="str" cm="1">
        <f t="array" aca="1" ref="AB894" ca="1">IFERROR(INDIRECT("$Z"&amp;AA894),"")</f>
        <v/>
      </c>
    </row>
    <row r="895" spans="5:28" x14ac:dyDescent="0.2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39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40"/>
        <v>#N/A</v>
      </c>
      <c r="W895" t="str" cm="1">
        <f t="array" aca="1" ref="W895" ca="1">IFERROR(INDIRECT("$U"&amp;V895),"")</f>
        <v/>
      </c>
      <c r="Z895" t="e" cm="1">
        <f t="array" ref="Z895">INDEX($AE$2:$AN$40,MOD(ROW()-ROW($AE$2),ROWS($AE$2:$AN$40))+1,INT((ROW()-ROW($AE$2))/ROWS($AE$2:$AN$40))+1)</f>
        <v>#REF!</v>
      </c>
      <c r="AA895" t="e">
        <f t="shared" ca="1" si="41"/>
        <v>#N/A</v>
      </c>
      <c r="AB895" t="str" cm="1">
        <f t="array" aca="1" ref="AB895" ca="1">IFERROR(INDIRECT("$Z"&amp;AA895),"")</f>
        <v/>
      </c>
    </row>
    <row r="896" spans="5:28" x14ac:dyDescent="0.2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39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40"/>
        <v>#N/A</v>
      </c>
      <c r="W896" t="str" cm="1">
        <f t="array" aca="1" ref="W896" ca="1">IFERROR(INDIRECT("$U"&amp;V896),"")</f>
        <v/>
      </c>
      <c r="Z896" t="e" cm="1">
        <f t="array" ref="Z896">INDEX($AE$2:$AN$40,MOD(ROW()-ROW($AE$2),ROWS($AE$2:$AN$40))+1,INT((ROW()-ROW($AE$2))/ROWS($AE$2:$AN$40))+1)</f>
        <v>#REF!</v>
      </c>
      <c r="AA896" t="e">
        <f t="shared" ca="1" si="41"/>
        <v>#N/A</v>
      </c>
      <c r="AB896" t="str" cm="1">
        <f t="array" aca="1" ref="AB896" ca="1">IFERROR(INDIRECT("$Z"&amp;AA896),"")</f>
        <v/>
      </c>
    </row>
    <row r="897" spans="5:28" x14ac:dyDescent="0.2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39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40"/>
        <v>#N/A</v>
      </c>
      <c r="W897" t="str" cm="1">
        <f t="array" aca="1" ref="W897" ca="1">IFERROR(INDIRECT("$U"&amp;V897),"")</f>
        <v/>
      </c>
      <c r="Z897" t="e" cm="1">
        <f t="array" ref="Z897">INDEX($AE$2:$AN$40,MOD(ROW()-ROW($AE$2),ROWS($AE$2:$AN$40))+1,INT((ROW()-ROW($AE$2))/ROWS($AE$2:$AN$40))+1)</f>
        <v>#REF!</v>
      </c>
      <c r="AA897" t="e">
        <f t="shared" ca="1" si="41"/>
        <v>#N/A</v>
      </c>
      <c r="AB897" t="str" cm="1">
        <f t="array" aca="1" ref="AB897" ca="1">IFERROR(INDIRECT("$Z"&amp;AA897),"")</f>
        <v/>
      </c>
    </row>
    <row r="898" spans="5:28" x14ac:dyDescent="0.2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39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40"/>
        <v>#N/A</v>
      </c>
      <c r="W898" t="str" cm="1">
        <f t="array" aca="1" ref="W898" ca="1">IFERROR(INDIRECT("$U"&amp;V898),"")</f>
        <v/>
      </c>
      <c r="Z898" t="e" cm="1">
        <f t="array" ref="Z898">INDEX($AE$2:$AN$40,MOD(ROW()-ROW($AE$2),ROWS($AE$2:$AN$40))+1,INT((ROW()-ROW($AE$2))/ROWS($AE$2:$AN$40))+1)</f>
        <v>#REF!</v>
      </c>
      <c r="AA898" t="e">
        <f t="shared" ca="1" si="41"/>
        <v>#N/A</v>
      </c>
      <c r="AB898" t="str" cm="1">
        <f t="array" aca="1" ref="AB898" ca="1">IFERROR(INDIRECT("$Z"&amp;AA898),"")</f>
        <v/>
      </c>
    </row>
    <row r="899" spans="5:28" x14ac:dyDescent="0.2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39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40"/>
        <v>#N/A</v>
      </c>
      <c r="W899" t="str" cm="1">
        <f t="array" aca="1" ref="W899" ca="1">IFERROR(INDIRECT("$U"&amp;V899),"")</f>
        <v/>
      </c>
      <c r="Z899" t="e" cm="1">
        <f t="array" ref="Z899">INDEX($AE$2:$AN$40,MOD(ROW()-ROW($AE$2),ROWS($AE$2:$AN$40))+1,INT((ROW()-ROW($AE$2))/ROWS($AE$2:$AN$40))+1)</f>
        <v>#REF!</v>
      </c>
      <c r="AA899" t="e">
        <f t="shared" ca="1" si="41"/>
        <v>#N/A</v>
      </c>
      <c r="AB899" t="str" cm="1">
        <f t="array" aca="1" ref="AB899" ca="1">IFERROR(INDIRECT("$Z"&amp;AA899),"")</f>
        <v/>
      </c>
    </row>
    <row r="900" spans="5:28" x14ac:dyDescent="0.2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4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4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INDEX($AE$2:$AN$40,MOD(ROW()-ROW($AE$2),ROWS($AE$2:$AN$40))+1,INT((ROW()-ROW($AE$2))/ROWS($AE$2:$AN$40))+1)</f>
        <v>#REF!</v>
      </c>
      <c r="AA900" t="e">
        <f t="shared" ref="AA900:AA963" ca="1" si="44">MATCH("*",INDIRECT(ADDRESS(AA899+1,26,1)&amp;":$Z$1000"),0)+AA899</f>
        <v>#N/A</v>
      </c>
      <c r="AB900" t="str" cm="1">
        <f t="array" aca="1" ref="AB900" ca="1">IFERROR(INDIRECT("$Z"&amp;AA900),"")</f>
        <v/>
      </c>
    </row>
    <row r="901" spans="5:28" x14ac:dyDescent="0.2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4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43"/>
        <v>#N/A</v>
      </c>
      <c r="W901" t="str" cm="1">
        <f t="array" aca="1" ref="W901" ca="1">IFERROR(INDIRECT("$U"&amp;V901),"")</f>
        <v/>
      </c>
      <c r="Z901" t="e" cm="1">
        <f t="array" ref="Z901">INDEX($AE$2:$AN$40,MOD(ROW()-ROW($AE$2),ROWS($AE$2:$AN$40))+1,INT((ROW()-ROW($AE$2))/ROWS($AE$2:$AN$40))+1)</f>
        <v>#REF!</v>
      </c>
      <c r="AA901" t="e">
        <f t="shared" ca="1" si="44"/>
        <v>#N/A</v>
      </c>
      <c r="AB901" t="str" cm="1">
        <f t="array" aca="1" ref="AB901" ca="1">IFERROR(INDIRECT("$Z"&amp;AA901),"")</f>
        <v/>
      </c>
    </row>
    <row r="902" spans="5:28" x14ac:dyDescent="0.2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4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43"/>
        <v>#N/A</v>
      </c>
      <c r="W902" t="str" cm="1">
        <f t="array" aca="1" ref="W902" ca="1">IFERROR(INDIRECT("$U"&amp;V902),"")</f>
        <v/>
      </c>
      <c r="Z902" t="e" cm="1">
        <f t="array" ref="Z902">INDEX($AE$2:$AN$40,MOD(ROW()-ROW($AE$2),ROWS($AE$2:$AN$40))+1,INT((ROW()-ROW($AE$2))/ROWS($AE$2:$AN$40))+1)</f>
        <v>#REF!</v>
      </c>
      <c r="AA902" t="e">
        <f t="shared" ca="1" si="44"/>
        <v>#N/A</v>
      </c>
      <c r="AB902" t="str" cm="1">
        <f t="array" aca="1" ref="AB902" ca="1">IFERROR(INDIRECT("$Z"&amp;AA902),"")</f>
        <v/>
      </c>
    </row>
    <row r="903" spans="5:28" x14ac:dyDescent="0.2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4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43"/>
        <v>#N/A</v>
      </c>
      <c r="W903" t="str" cm="1">
        <f t="array" aca="1" ref="W903" ca="1">IFERROR(INDIRECT("$U"&amp;V903),"")</f>
        <v/>
      </c>
      <c r="Z903" t="e" cm="1">
        <f t="array" ref="Z903">INDEX($AE$2:$AN$40,MOD(ROW()-ROW($AE$2),ROWS($AE$2:$AN$40))+1,INT((ROW()-ROW($AE$2))/ROWS($AE$2:$AN$40))+1)</f>
        <v>#REF!</v>
      </c>
      <c r="AA903" t="e">
        <f t="shared" ca="1" si="44"/>
        <v>#N/A</v>
      </c>
      <c r="AB903" t="str" cm="1">
        <f t="array" aca="1" ref="AB903" ca="1">IFERROR(INDIRECT("$Z"&amp;AA903),"")</f>
        <v/>
      </c>
    </row>
    <row r="904" spans="5:28" x14ac:dyDescent="0.2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4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43"/>
        <v>#N/A</v>
      </c>
      <c r="W904" t="str" cm="1">
        <f t="array" aca="1" ref="W904" ca="1">IFERROR(INDIRECT("$U"&amp;V904),"")</f>
        <v/>
      </c>
      <c r="Z904" t="e" cm="1">
        <f t="array" ref="Z904">INDEX($AE$2:$AN$40,MOD(ROW()-ROW($AE$2),ROWS($AE$2:$AN$40))+1,INT((ROW()-ROW($AE$2))/ROWS($AE$2:$AN$40))+1)</f>
        <v>#REF!</v>
      </c>
      <c r="AA904" t="e">
        <f t="shared" ca="1" si="44"/>
        <v>#N/A</v>
      </c>
      <c r="AB904" t="str" cm="1">
        <f t="array" aca="1" ref="AB904" ca="1">IFERROR(INDIRECT("$Z"&amp;AA904),"")</f>
        <v/>
      </c>
    </row>
    <row r="905" spans="5:28" x14ac:dyDescent="0.2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4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43"/>
        <v>#N/A</v>
      </c>
      <c r="W905" t="str" cm="1">
        <f t="array" aca="1" ref="W905" ca="1">IFERROR(INDIRECT("$U"&amp;V905),"")</f>
        <v/>
      </c>
      <c r="Z905" t="e" cm="1">
        <f t="array" ref="Z905">INDEX($AE$2:$AN$40,MOD(ROW()-ROW($AE$2),ROWS($AE$2:$AN$40))+1,INT((ROW()-ROW($AE$2))/ROWS($AE$2:$AN$40))+1)</f>
        <v>#REF!</v>
      </c>
      <c r="AA905" t="e">
        <f t="shared" ca="1" si="44"/>
        <v>#N/A</v>
      </c>
      <c r="AB905" t="str" cm="1">
        <f t="array" aca="1" ref="AB905" ca="1">IFERROR(INDIRECT("$Z"&amp;AA905),"")</f>
        <v/>
      </c>
    </row>
    <row r="906" spans="5:28" x14ac:dyDescent="0.2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4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43"/>
        <v>#N/A</v>
      </c>
      <c r="W906" t="str" cm="1">
        <f t="array" aca="1" ref="W906" ca="1">IFERROR(INDIRECT("$U"&amp;V906),"")</f>
        <v/>
      </c>
      <c r="Z906" t="e" cm="1">
        <f t="array" ref="Z906">INDEX($AE$2:$AN$40,MOD(ROW()-ROW($AE$2),ROWS($AE$2:$AN$40))+1,INT((ROW()-ROW($AE$2))/ROWS($AE$2:$AN$40))+1)</f>
        <v>#REF!</v>
      </c>
      <c r="AA906" t="e">
        <f t="shared" ca="1" si="44"/>
        <v>#N/A</v>
      </c>
      <c r="AB906" t="str" cm="1">
        <f t="array" aca="1" ref="AB906" ca="1">IFERROR(INDIRECT("$Z"&amp;AA906),"")</f>
        <v/>
      </c>
    </row>
    <row r="907" spans="5:28" x14ac:dyDescent="0.2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4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43"/>
        <v>#N/A</v>
      </c>
      <c r="W907" t="str" cm="1">
        <f t="array" aca="1" ref="W907" ca="1">IFERROR(INDIRECT("$U"&amp;V907),"")</f>
        <v/>
      </c>
      <c r="Z907" t="e" cm="1">
        <f t="array" ref="Z907">INDEX($AE$2:$AN$40,MOD(ROW()-ROW($AE$2),ROWS($AE$2:$AN$40))+1,INT((ROW()-ROW($AE$2))/ROWS($AE$2:$AN$40))+1)</f>
        <v>#REF!</v>
      </c>
      <c r="AA907" t="e">
        <f t="shared" ca="1" si="44"/>
        <v>#N/A</v>
      </c>
      <c r="AB907" t="str" cm="1">
        <f t="array" aca="1" ref="AB907" ca="1">IFERROR(INDIRECT("$Z"&amp;AA907),"")</f>
        <v/>
      </c>
    </row>
    <row r="908" spans="5:28" x14ac:dyDescent="0.2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4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43"/>
        <v>#N/A</v>
      </c>
      <c r="W908" t="str" cm="1">
        <f t="array" aca="1" ref="W908" ca="1">IFERROR(INDIRECT("$U"&amp;V908),"")</f>
        <v/>
      </c>
      <c r="Z908" t="e" cm="1">
        <f t="array" ref="Z908">INDEX($AE$2:$AN$40,MOD(ROW()-ROW($AE$2),ROWS($AE$2:$AN$40))+1,INT((ROW()-ROW($AE$2))/ROWS($AE$2:$AN$40))+1)</f>
        <v>#REF!</v>
      </c>
      <c r="AA908" t="e">
        <f t="shared" ca="1" si="44"/>
        <v>#N/A</v>
      </c>
      <c r="AB908" t="str" cm="1">
        <f t="array" aca="1" ref="AB908" ca="1">IFERROR(INDIRECT("$Z"&amp;AA908),"")</f>
        <v/>
      </c>
    </row>
    <row r="909" spans="5:28" x14ac:dyDescent="0.2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4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43"/>
        <v>#N/A</v>
      </c>
      <c r="W909" t="str" cm="1">
        <f t="array" aca="1" ref="W909" ca="1">IFERROR(INDIRECT("$U"&amp;V909),"")</f>
        <v/>
      </c>
      <c r="Z909" t="e" cm="1">
        <f t="array" ref="Z909">INDEX($AE$2:$AN$40,MOD(ROW()-ROW($AE$2),ROWS($AE$2:$AN$40))+1,INT((ROW()-ROW($AE$2))/ROWS($AE$2:$AN$40))+1)</f>
        <v>#REF!</v>
      </c>
      <c r="AA909" t="e">
        <f t="shared" ca="1" si="44"/>
        <v>#N/A</v>
      </c>
      <c r="AB909" t="str" cm="1">
        <f t="array" aca="1" ref="AB909" ca="1">IFERROR(INDIRECT("$Z"&amp;AA909),"")</f>
        <v/>
      </c>
    </row>
    <row r="910" spans="5:28" x14ac:dyDescent="0.2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4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43"/>
        <v>#N/A</v>
      </c>
      <c r="W910" t="str" cm="1">
        <f t="array" aca="1" ref="W910" ca="1">IFERROR(INDIRECT("$U"&amp;V910),"")</f>
        <v/>
      </c>
      <c r="Z910" t="e" cm="1">
        <f t="array" ref="Z910">INDEX($AE$2:$AN$40,MOD(ROW()-ROW($AE$2),ROWS($AE$2:$AN$40))+1,INT((ROW()-ROW($AE$2))/ROWS($AE$2:$AN$40))+1)</f>
        <v>#REF!</v>
      </c>
      <c r="AA910" t="e">
        <f t="shared" ca="1" si="44"/>
        <v>#N/A</v>
      </c>
      <c r="AB910" t="str" cm="1">
        <f t="array" aca="1" ref="AB910" ca="1">IFERROR(INDIRECT("$Z"&amp;AA910),"")</f>
        <v/>
      </c>
    </row>
    <row r="911" spans="5:28" x14ac:dyDescent="0.2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4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43"/>
        <v>#N/A</v>
      </c>
      <c r="W911" t="str" cm="1">
        <f t="array" aca="1" ref="W911" ca="1">IFERROR(INDIRECT("$U"&amp;V911),"")</f>
        <v/>
      </c>
      <c r="Z911" t="e" cm="1">
        <f t="array" ref="Z911">INDEX($AE$2:$AN$40,MOD(ROW()-ROW($AE$2),ROWS($AE$2:$AN$40))+1,INT((ROW()-ROW($AE$2))/ROWS($AE$2:$AN$40))+1)</f>
        <v>#REF!</v>
      </c>
      <c r="AA911" t="e">
        <f t="shared" ca="1" si="44"/>
        <v>#N/A</v>
      </c>
      <c r="AB911" t="str" cm="1">
        <f t="array" aca="1" ref="AB911" ca="1">IFERROR(INDIRECT("$Z"&amp;AA911),"")</f>
        <v/>
      </c>
    </row>
    <row r="912" spans="5:28" x14ac:dyDescent="0.2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4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43"/>
        <v>#N/A</v>
      </c>
      <c r="W912" t="str" cm="1">
        <f t="array" aca="1" ref="W912" ca="1">IFERROR(INDIRECT("$U"&amp;V912),"")</f>
        <v/>
      </c>
      <c r="Z912" t="e" cm="1">
        <f t="array" ref="Z912">INDEX($AE$2:$AN$40,MOD(ROW()-ROW($AE$2),ROWS($AE$2:$AN$40))+1,INT((ROW()-ROW($AE$2))/ROWS($AE$2:$AN$40))+1)</f>
        <v>#REF!</v>
      </c>
      <c r="AA912" t="e">
        <f t="shared" ca="1" si="44"/>
        <v>#N/A</v>
      </c>
      <c r="AB912" t="str" cm="1">
        <f t="array" aca="1" ref="AB912" ca="1">IFERROR(INDIRECT("$Z"&amp;AA912),"")</f>
        <v/>
      </c>
    </row>
    <row r="913" spans="5:28" x14ac:dyDescent="0.2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4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43"/>
        <v>#N/A</v>
      </c>
      <c r="W913" t="str" cm="1">
        <f t="array" aca="1" ref="W913" ca="1">IFERROR(INDIRECT("$U"&amp;V913),"")</f>
        <v/>
      </c>
      <c r="Z913" t="e" cm="1">
        <f t="array" ref="Z913">INDEX($AE$2:$AN$40,MOD(ROW()-ROW($AE$2),ROWS($AE$2:$AN$40))+1,INT((ROW()-ROW($AE$2))/ROWS($AE$2:$AN$40))+1)</f>
        <v>#REF!</v>
      </c>
      <c r="AA913" t="e">
        <f t="shared" ca="1" si="44"/>
        <v>#N/A</v>
      </c>
      <c r="AB913" t="str" cm="1">
        <f t="array" aca="1" ref="AB913" ca="1">IFERROR(INDIRECT("$Z"&amp;AA913),"")</f>
        <v/>
      </c>
    </row>
    <row r="914" spans="5:28" x14ac:dyDescent="0.2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4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43"/>
        <v>#N/A</v>
      </c>
      <c r="W914" t="str" cm="1">
        <f t="array" aca="1" ref="W914" ca="1">IFERROR(INDIRECT("$U"&amp;V914),"")</f>
        <v/>
      </c>
      <c r="Z914" t="e" cm="1">
        <f t="array" ref="Z914">INDEX($AE$2:$AN$40,MOD(ROW()-ROW($AE$2),ROWS($AE$2:$AN$40))+1,INT((ROW()-ROW($AE$2))/ROWS($AE$2:$AN$40))+1)</f>
        <v>#REF!</v>
      </c>
      <c r="AA914" t="e">
        <f t="shared" ca="1" si="44"/>
        <v>#N/A</v>
      </c>
      <c r="AB914" t="str" cm="1">
        <f t="array" aca="1" ref="AB914" ca="1">IFERROR(INDIRECT("$Z"&amp;AA914),"")</f>
        <v/>
      </c>
    </row>
    <row r="915" spans="5:28" x14ac:dyDescent="0.2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4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43"/>
        <v>#N/A</v>
      </c>
      <c r="W915" t="str" cm="1">
        <f t="array" aca="1" ref="W915" ca="1">IFERROR(INDIRECT("$U"&amp;V915),"")</f>
        <v/>
      </c>
      <c r="Z915" t="e" cm="1">
        <f t="array" ref="Z915">INDEX($AE$2:$AN$40,MOD(ROW()-ROW($AE$2),ROWS($AE$2:$AN$40))+1,INT((ROW()-ROW($AE$2))/ROWS($AE$2:$AN$40))+1)</f>
        <v>#REF!</v>
      </c>
      <c r="AA915" t="e">
        <f t="shared" ca="1" si="44"/>
        <v>#N/A</v>
      </c>
      <c r="AB915" t="str" cm="1">
        <f t="array" aca="1" ref="AB915" ca="1">IFERROR(INDIRECT("$Z"&amp;AA915),"")</f>
        <v/>
      </c>
    </row>
    <row r="916" spans="5:28" x14ac:dyDescent="0.2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4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43"/>
        <v>#N/A</v>
      </c>
      <c r="W916" t="str" cm="1">
        <f t="array" aca="1" ref="W916" ca="1">IFERROR(INDIRECT("$U"&amp;V916),"")</f>
        <v/>
      </c>
      <c r="Z916" t="e" cm="1">
        <f t="array" ref="Z916">INDEX($AE$2:$AN$40,MOD(ROW()-ROW($AE$2),ROWS($AE$2:$AN$40))+1,INT((ROW()-ROW($AE$2))/ROWS($AE$2:$AN$40))+1)</f>
        <v>#REF!</v>
      </c>
      <c r="AA916" t="e">
        <f t="shared" ca="1" si="44"/>
        <v>#N/A</v>
      </c>
      <c r="AB916" t="str" cm="1">
        <f t="array" aca="1" ref="AB916" ca="1">IFERROR(INDIRECT("$Z"&amp;AA916),"")</f>
        <v/>
      </c>
    </row>
    <row r="917" spans="5:28" x14ac:dyDescent="0.2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4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43"/>
        <v>#N/A</v>
      </c>
      <c r="W917" t="str" cm="1">
        <f t="array" aca="1" ref="W917" ca="1">IFERROR(INDIRECT("$U"&amp;V917),"")</f>
        <v/>
      </c>
      <c r="Z917" t="e" cm="1">
        <f t="array" ref="Z917">INDEX($AE$2:$AN$40,MOD(ROW()-ROW($AE$2),ROWS($AE$2:$AN$40))+1,INT((ROW()-ROW($AE$2))/ROWS($AE$2:$AN$40))+1)</f>
        <v>#REF!</v>
      </c>
      <c r="AA917" t="e">
        <f t="shared" ca="1" si="44"/>
        <v>#N/A</v>
      </c>
      <c r="AB917" t="str" cm="1">
        <f t="array" aca="1" ref="AB917" ca="1">IFERROR(INDIRECT("$Z"&amp;AA917),"")</f>
        <v/>
      </c>
    </row>
    <row r="918" spans="5:28" x14ac:dyDescent="0.2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4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43"/>
        <v>#N/A</v>
      </c>
      <c r="W918" t="str" cm="1">
        <f t="array" aca="1" ref="W918" ca="1">IFERROR(INDIRECT("$U"&amp;V918),"")</f>
        <v/>
      </c>
      <c r="Z918" t="e" cm="1">
        <f t="array" ref="Z918">INDEX($AE$2:$AN$40,MOD(ROW()-ROW($AE$2),ROWS($AE$2:$AN$40))+1,INT((ROW()-ROW($AE$2))/ROWS($AE$2:$AN$40))+1)</f>
        <v>#REF!</v>
      </c>
      <c r="AA918" t="e">
        <f t="shared" ca="1" si="44"/>
        <v>#N/A</v>
      </c>
      <c r="AB918" t="str" cm="1">
        <f t="array" aca="1" ref="AB918" ca="1">IFERROR(INDIRECT("$Z"&amp;AA918),"")</f>
        <v/>
      </c>
    </row>
    <row r="919" spans="5:28" x14ac:dyDescent="0.2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4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43"/>
        <v>#N/A</v>
      </c>
      <c r="W919" t="str" cm="1">
        <f t="array" aca="1" ref="W919" ca="1">IFERROR(INDIRECT("$U"&amp;V919),"")</f>
        <v/>
      </c>
      <c r="Z919" t="e" cm="1">
        <f t="array" ref="Z919">INDEX($AE$2:$AN$40,MOD(ROW()-ROW($AE$2),ROWS($AE$2:$AN$40))+1,INT((ROW()-ROW($AE$2))/ROWS($AE$2:$AN$40))+1)</f>
        <v>#REF!</v>
      </c>
      <c r="AA919" t="e">
        <f t="shared" ca="1" si="44"/>
        <v>#N/A</v>
      </c>
      <c r="AB919" t="str" cm="1">
        <f t="array" aca="1" ref="AB919" ca="1">IFERROR(INDIRECT("$Z"&amp;AA919),"")</f>
        <v/>
      </c>
    </row>
    <row r="920" spans="5:28" x14ac:dyDescent="0.2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4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43"/>
        <v>#N/A</v>
      </c>
      <c r="W920" t="str" cm="1">
        <f t="array" aca="1" ref="W920" ca="1">IFERROR(INDIRECT("$U"&amp;V920),"")</f>
        <v/>
      </c>
      <c r="Z920" t="e" cm="1">
        <f t="array" ref="Z920">INDEX($AE$2:$AN$40,MOD(ROW()-ROW($AE$2),ROWS($AE$2:$AN$40))+1,INT((ROW()-ROW($AE$2))/ROWS($AE$2:$AN$40))+1)</f>
        <v>#REF!</v>
      </c>
      <c r="AA920" t="e">
        <f t="shared" ca="1" si="44"/>
        <v>#N/A</v>
      </c>
      <c r="AB920" t="str" cm="1">
        <f t="array" aca="1" ref="AB920" ca="1">IFERROR(INDIRECT("$Z"&amp;AA920),"")</f>
        <v/>
      </c>
    </row>
    <row r="921" spans="5:28" x14ac:dyDescent="0.2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4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43"/>
        <v>#N/A</v>
      </c>
      <c r="W921" t="str" cm="1">
        <f t="array" aca="1" ref="W921" ca="1">IFERROR(INDIRECT("$U"&amp;V921),"")</f>
        <v/>
      </c>
      <c r="Z921" t="e" cm="1">
        <f t="array" ref="Z921">INDEX($AE$2:$AN$40,MOD(ROW()-ROW($AE$2),ROWS($AE$2:$AN$40))+1,INT((ROW()-ROW($AE$2))/ROWS($AE$2:$AN$40))+1)</f>
        <v>#REF!</v>
      </c>
      <c r="AA921" t="e">
        <f t="shared" ca="1" si="44"/>
        <v>#N/A</v>
      </c>
      <c r="AB921" t="str" cm="1">
        <f t="array" aca="1" ref="AB921" ca="1">IFERROR(INDIRECT("$Z"&amp;AA921),"")</f>
        <v/>
      </c>
    </row>
    <row r="922" spans="5:28" x14ac:dyDescent="0.2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4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43"/>
        <v>#N/A</v>
      </c>
      <c r="W922" t="str" cm="1">
        <f t="array" aca="1" ref="W922" ca="1">IFERROR(INDIRECT("$U"&amp;V922),"")</f>
        <v/>
      </c>
      <c r="Z922" t="e" cm="1">
        <f t="array" ref="Z922">INDEX($AE$2:$AN$40,MOD(ROW()-ROW($AE$2),ROWS($AE$2:$AN$40))+1,INT((ROW()-ROW($AE$2))/ROWS($AE$2:$AN$40))+1)</f>
        <v>#REF!</v>
      </c>
      <c r="AA922" t="e">
        <f t="shared" ca="1" si="44"/>
        <v>#N/A</v>
      </c>
      <c r="AB922" t="str" cm="1">
        <f t="array" aca="1" ref="AB922" ca="1">IFERROR(INDIRECT("$Z"&amp;AA922),"")</f>
        <v/>
      </c>
    </row>
    <row r="923" spans="5:28" x14ac:dyDescent="0.2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4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43"/>
        <v>#N/A</v>
      </c>
      <c r="W923" t="str" cm="1">
        <f t="array" aca="1" ref="W923" ca="1">IFERROR(INDIRECT("$U"&amp;V923),"")</f>
        <v/>
      </c>
      <c r="Z923" t="e" cm="1">
        <f t="array" ref="Z923">INDEX($AE$2:$AN$40,MOD(ROW()-ROW($AE$2),ROWS($AE$2:$AN$40))+1,INT((ROW()-ROW($AE$2))/ROWS($AE$2:$AN$40))+1)</f>
        <v>#REF!</v>
      </c>
      <c r="AA923" t="e">
        <f t="shared" ca="1" si="44"/>
        <v>#N/A</v>
      </c>
      <c r="AB923" t="str" cm="1">
        <f t="array" aca="1" ref="AB923" ca="1">IFERROR(INDIRECT("$Z"&amp;AA923),"")</f>
        <v/>
      </c>
    </row>
    <row r="924" spans="5:28" x14ac:dyDescent="0.2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4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43"/>
        <v>#N/A</v>
      </c>
      <c r="W924" t="str" cm="1">
        <f t="array" aca="1" ref="W924" ca="1">IFERROR(INDIRECT("$U"&amp;V924),"")</f>
        <v/>
      </c>
      <c r="Z924" t="e" cm="1">
        <f t="array" ref="Z924">INDEX($AE$2:$AN$40,MOD(ROW()-ROW($AE$2),ROWS($AE$2:$AN$40))+1,INT((ROW()-ROW($AE$2))/ROWS($AE$2:$AN$40))+1)</f>
        <v>#REF!</v>
      </c>
      <c r="AA924" t="e">
        <f t="shared" ca="1" si="44"/>
        <v>#N/A</v>
      </c>
      <c r="AB924" t="str" cm="1">
        <f t="array" aca="1" ref="AB924" ca="1">IFERROR(INDIRECT("$Z"&amp;AA924),"")</f>
        <v/>
      </c>
    </row>
    <row r="925" spans="5:28" x14ac:dyDescent="0.2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4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43"/>
        <v>#N/A</v>
      </c>
      <c r="W925" t="str" cm="1">
        <f t="array" aca="1" ref="W925" ca="1">IFERROR(INDIRECT("$U"&amp;V925),"")</f>
        <v/>
      </c>
      <c r="Z925" t="e" cm="1">
        <f t="array" ref="Z925">INDEX($AE$2:$AN$40,MOD(ROW()-ROW($AE$2),ROWS($AE$2:$AN$40))+1,INT((ROW()-ROW($AE$2))/ROWS($AE$2:$AN$40))+1)</f>
        <v>#REF!</v>
      </c>
      <c r="AA925" t="e">
        <f t="shared" ca="1" si="44"/>
        <v>#N/A</v>
      </c>
      <c r="AB925" t="str" cm="1">
        <f t="array" aca="1" ref="AB925" ca="1">IFERROR(INDIRECT("$Z"&amp;AA925),"")</f>
        <v/>
      </c>
    </row>
    <row r="926" spans="5:28" x14ac:dyDescent="0.2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4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43"/>
        <v>#N/A</v>
      </c>
      <c r="W926" t="str" cm="1">
        <f t="array" aca="1" ref="W926" ca="1">IFERROR(INDIRECT("$U"&amp;V926),"")</f>
        <v/>
      </c>
      <c r="Z926" t="e" cm="1">
        <f t="array" ref="Z926">INDEX($AE$2:$AN$40,MOD(ROW()-ROW($AE$2),ROWS($AE$2:$AN$40))+1,INT((ROW()-ROW($AE$2))/ROWS($AE$2:$AN$40))+1)</f>
        <v>#REF!</v>
      </c>
      <c r="AA926" t="e">
        <f t="shared" ca="1" si="44"/>
        <v>#N/A</v>
      </c>
      <c r="AB926" t="str" cm="1">
        <f t="array" aca="1" ref="AB926" ca="1">IFERROR(INDIRECT("$Z"&amp;AA926),"")</f>
        <v/>
      </c>
    </row>
    <row r="927" spans="5:28" x14ac:dyDescent="0.2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4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43"/>
        <v>#N/A</v>
      </c>
      <c r="W927" t="str" cm="1">
        <f t="array" aca="1" ref="W927" ca="1">IFERROR(INDIRECT("$U"&amp;V927),"")</f>
        <v/>
      </c>
      <c r="Z927" t="e" cm="1">
        <f t="array" ref="Z927">INDEX($AE$2:$AN$40,MOD(ROW()-ROW($AE$2),ROWS($AE$2:$AN$40))+1,INT((ROW()-ROW($AE$2))/ROWS($AE$2:$AN$40))+1)</f>
        <v>#REF!</v>
      </c>
      <c r="AA927" t="e">
        <f t="shared" ca="1" si="44"/>
        <v>#N/A</v>
      </c>
      <c r="AB927" t="str" cm="1">
        <f t="array" aca="1" ref="AB927" ca="1">IFERROR(INDIRECT("$Z"&amp;AA927),"")</f>
        <v/>
      </c>
    </row>
    <row r="928" spans="5:28" x14ac:dyDescent="0.2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4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43"/>
        <v>#N/A</v>
      </c>
      <c r="W928" t="str" cm="1">
        <f t="array" aca="1" ref="W928" ca="1">IFERROR(INDIRECT("$U"&amp;V928),"")</f>
        <v/>
      </c>
      <c r="Z928" t="e" cm="1">
        <f t="array" ref="Z928">INDEX($AE$2:$AN$40,MOD(ROW()-ROW($AE$2),ROWS($AE$2:$AN$40))+1,INT((ROW()-ROW($AE$2))/ROWS($AE$2:$AN$40))+1)</f>
        <v>#REF!</v>
      </c>
      <c r="AA928" t="e">
        <f t="shared" ca="1" si="44"/>
        <v>#N/A</v>
      </c>
      <c r="AB928" t="str" cm="1">
        <f t="array" aca="1" ref="AB928" ca="1">IFERROR(INDIRECT("$Z"&amp;AA928),"")</f>
        <v/>
      </c>
    </row>
    <row r="929" spans="5:28" x14ac:dyDescent="0.2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4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43"/>
        <v>#N/A</v>
      </c>
      <c r="W929" t="str" cm="1">
        <f t="array" aca="1" ref="W929" ca="1">IFERROR(INDIRECT("$U"&amp;V929),"")</f>
        <v/>
      </c>
      <c r="Z929" t="e" cm="1">
        <f t="array" ref="Z929">INDEX($AE$2:$AN$40,MOD(ROW()-ROW($AE$2),ROWS($AE$2:$AN$40))+1,INT((ROW()-ROW($AE$2))/ROWS($AE$2:$AN$40))+1)</f>
        <v>#REF!</v>
      </c>
      <c r="AA929" t="e">
        <f t="shared" ca="1" si="44"/>
        <v>#N/A</v>
      </c>
      <c r="AB929" t="str" cm="1">
        <f t="array" aca="1" ref="AB929" ca="1">IFERROR(INDIRECT("$Z"&amp;AA929),"")</f>
        <v/>
      </c>
    </row>
    <row r="930" spans="5:28" x14ac:dyDescent="0.2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4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43"/>
        <v>#N/A</v>
      </c>
      <c r="W930" t="str" cm="1">
        <f t="array" aca="1" ref="W930" ca="1">IFERROR(INDIRECT("$U"&amp;V930),"")</f>
        <v/>
      </c>
      <c r="Z930" t="e" cm="1">
        <f t="array" ref="Z930">INDEX($AE$2:$AN$40,MOD(ROW()-ROW($AE$2),ROWS($AE$2:$AN$40))+1,INT((ROW()-ROW($AE$2))/ROWS($AE$2:$AN$40))+1)</f>
        <v>#REF!</v>
      </c>
      <c r="AA930" t="e">
        <f t="shared" ca="1" si="44"/>
        <v>#N/A</v>
      </c>
      <c r="AB930" t="str" cm="1">
        <f t="array" aca="1" ref="AB930" ca="1">IFERROR(INDIRECT("$Z"&amp;AA930),"")</f>
        <v/>
      </c>
    </row>
    <row r="931" spans="5:28" x14ac:dyDescent="0.2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4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43"/>
        <v>#N/A</v>
      </c>
      <c r="W931" t="str" cm="1">
        <f t="array" aca="1" ref="W931" ca="1">IFERROR(INDIRECT("$U"&amp;V931),"")</f>
        <v/>
      </c>
      <c r="Z931" t="e" cm="1">
        <f t="array" ref="Z931">INDEX($AE$2:$AN$40,MOD(ROW()-ROW($AE$2),ROWS($AE$2:$AN$40))+1,INT((ROW()-ROW($AE$2))/ROWS($AE$2:$AN$40))+1)</f>
        <v>#REF!</v>
      </c>
      <c r="AA931" t="e">
        <f t="shared" ca="1" si="44"/>
        <v>#N/A</v>
      </c>
      <c r="AB931" t="str" cm="1">
        <f t="array" aca="1" ref="AB931" ca="1">IFERROR(INDIRECT("$Z"&amp;AA931),"")</f>
        <v/>
      </c>
    </row>
    <row r="932" spans="5:28" x14ac:dyDescent="0.2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4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43"/>
        <v>#N/A</v>
      </c>
      <c r="W932" t="str" cm="1">
        <f t="array" aca="1" ref="W932" ca="1">IFERROR(INDIRECT("$U"&amp;V932),"")</f>
        <v/>
      </c>
      <c r="Z932" t="e" cm="1">
        <f t="array" ref="Z932">INDEX($AE$2:$AN$40,MOD(ROW()-ROW($AE$2),ROWS($AE$2:$AN$40))+1,INT((ROW()-ROW($AE$2))/ROWS($AE$2:$AN$40))+1)</f>
        <v>#REF!</v>
      </c>
      <c r="AA932" t="e">
        <f t="shared" ca="1" si="44"/>
        <v>#N/A</v>
      </c>
      <c r="AB932" t="str" cm="1">
        <f t="array" aca="1" ref="AB932" ca="1">IFERROR(INDIRECT("$Z"&amp;AA932),"")</f>
        <v/>
      </c>
    </row>
    <row r="933" spans="5:28" x14ac:dyDescent="0.2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4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43"/>
        <v>#N/A</v>
      </c>
      <c r="W933" t="str" cm="1">
        <f t="array" aca="1" ref="W933" ca="1">IFERROR(INDIRECT("$U"&amp;V933),"")</f>
        <v/>
      </c>
      <c r="Z933" t="e" cm="1">
        <f t="array" ref="Z933">INDEX($AE$2:$AN$40,MOD(ROW()-ROW($AE$2),ROWS($AE$2:$AN$40))+1,INT((ROW()-ROW($AE$2))/ROWS($AE$2:$AN$40))+1)</f>
        <v>#REF!</v>
      </c>
      <c r="AA933" t="e">
        <f t="shared" ca="1" si="44"/>
        <v>#N/A</v>
      </c>
      <c r="AB933" t="str" cm="1">
        <f t="array" aca="1" ref="AB933" ca="1">IFERROR(INDIRECT("$Z"&amp;AA933),"")</f>
        <v/>
      </c>
    </row>
    <row r="934" spans="5:28" x14ac:dyDescent="0.2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4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43"/>
        <v>#N/A</v>
      </c>
      <c r="W934" t="str" cm="1">
        <f t="array" aca="1" ref="W934" ca="1">IFERROR(INDIRECT("$U"&amp;V934),"")</f>
        <v/>
      </c>
      <c r="Z934" t="e" cm="1">
        <f t="array" ref="Z934">INDEX($AE$2:$AN$40,MOD(ROW()-ROW($AE$2),ROWS($AE$2:$AN$40))+1,INT((ROW()-ROW($AE$2))/ROWS($AE$2:$AN$40))+1)</f>
        <v>#REF!</v>
      </c>
      <c r="AA934" t="e">
        <f t="shared" ca="1" si="44"/>
        <v>#N/A</v>
      </c>
      <c r="AB934" t="str" cm="1">
        <f t="array" aca="1" ref="AB934" ca="1">IFERROR(INDIRECT("$Z"&amp;AA934),"")</f>
        <v/>
      </c>
    </row>
    <row r="935" spans="5:28" x14ac:dyDescent="0.2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4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43"/>
        <v>#N/A</v>
      </c>
      <c r="W935" t="str" cm="1">
        <f t="array" aca="1" ref="W935" ca="1">IFERROR(INDIRECT("$U"&amp;V935),"")</f>
        <v/>
      </c>
      <c r="Z935" t="e" cm="1">
        <f t="array" ref="Z935">INDEX($AE$2:$AN$40,MOD(ROW()-ROW($AE$2),ROWS($AE$2:$AN$40))+1,INT((ROW()-ROW($AE$2))/ROWS($AE$2:$AN$40))+1)</f>
        <v>#REF!</v>
      </c>
      <c r="AA935" t="e">
        <f t="shared" ca="1" si="44"/>
        <v>#N/A</v>
      </c>
      <c r="AB935" t="str" cm="1">
        <f t="array" aca="1" ref="AB935" ca="1">IFERROR(INDIRECT("$Z"&amp;AA935),"")</f>
        <v/>
      </c>
    </row>
    <row r="936" spans="5:28" x14ac:dyDescent="0.2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4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43"/>
        <v>#N/A</v>
      </c>
      <c r="W936" t="str" cm="1">
        <f t="array" aca="1" ref="W936" ca="1">IFERROR(INDIRECT("$U"&amp;V936),"")</f>
        <v/>
      </c>
      <c r="Z936" t="e" cm="1">
        <f t="array" ref="Z936">INDEX($AE$2:$AN$40,MOD(ROW()-ROW($AE$2),ROWS($AE$2:$AN$40))+1,INT((ROW()-ROW($AE$2))/ROWS($AE$2:$AN$40))+1)</f>
        <v>#REF!</v>
      </c>
      <c r="AA936" t="e">
        <f t="shared" ca="1" si="44"/>
        <v>#N/A</v>
      </c>
      <c r="AB936" t="str" cm="1">
        <f t="array" aca="1" ref="AB936" ca="1">IFERROR(INDIRECT("$Z"&amp;AA936),"")</f>
        <v/>
      </c>
    </row>
    <row r="937" spans="5:28" x14ac:dyDescent="0.2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4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43"/>
        <v>#N/A</v>
      </c>
      <c r="W937" t="str" cm="1">
        <f t="array" aca="1" ref="W937" ca="1">IFERROR(INDIRECT("$U"&amp;V937),"")</f>
        <v/>
      </c>
      <c r="Z937" t="e" cm="1">
        <f t="array" ref="Z937">INDEX($AE$2:$AN$40,MOD(ROW()-ROW($AE$2),ROWS($AE$2:$AN$40))+1,INT((ROW()-ROW($AE$2))/ROWS($AE$2:$AN$40))+1)</f>
        <v>#REF!</v>
      </c>
      <c r="AA937" t="e">
        <f t="shared" ca="1" si="44"/>
        <v>#N/A</v>
      </c>
      <c r="AB937" t="str" cm="1">
        <f t="array" aca="1" ref="AB937" ca="1">IFERROR(INDIRECT("$Z"&amp;AA937),"")</f>
        <v/>
      </c>
    </row>
    <row r="938" spans="5:28" x14ac:dyDescent="0.2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4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43"/>
        <v>#N/A</v>
      </c>
      <c r="W938" t="str" cm="1">
        <f t="array" aca="1" ref="W938" ca="1">IFERROR(INDIRECT("$U"&amp;V938),"")</f>
        <v/>
      </c>
      <c r="Z938" t="e" cm="1">
        <f t="array" ref="Z938">INDEX($AE$2:$AN$40,MOD(ROW()-ROW($AE$2),ROWS($AE$2:$AN$40))+1,INT((ROW()-ROW($AE$2))/ROWS($AE$2:$AN$40))+1)</f>
        <v>#REF!</v>
      </c>
      <c r="AA938" t="e">
        <f t="shared" ca="1" si="44"/>
        <v>#N/A</v>
      </c>
      <c r="AB938" t="str" cm="1">
        <f t="array" aca="1" ref="AB938" ca="1">IFERROR(INDIRECT("$Z"&amp;AA938),"")</f>
        <v/>
      </c>
    </row>
    <row r="939" spans="5:28" x14ac:dyDescent="0.2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4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43"/>
        <v>#N/A</v>
      </c>
      <c r="W939" t="str" cm="1">
        <f t="array" aca="1" ref="W939" ca="1">IFERROR(INDIRECT("$U"&amp;V939),"")</f>
        <v/>
      </c>
      <c r="Z939" t="e" cm="1">
        <f t="array" ref="Z939">INDEX($AE$2:$AN$40,MOD(ROW()-ROW($AE$2),ROWS($AE$2:$AN$40))+1,INT((ROW()-ROW($AE$2))/ROWS($AE$2:$AN$40))+1)</f>
        <v>#REF!</v>
      </c>
      <c r="AA939" t="e">
        <f t="shared" ca="1" si="44"/>
        <v>#N/A</v>
      </c>
      <c r="AB939" t="str" cm="1">
        <f t="array" aca="1" ref="AB939" ca="1">IFERROR(INDIRECT("$Z"&amp;AA939),"")</f>
        <v/>
      </c>
    </row>
    <row r="940" spans="5:28" x14ac:dyDescent="0.2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4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43"/>
        <v>#N/A</v>
      </c>
      <c r="W940" t="str" cm="1">
        <f t="array" aca="1" ref="W940" ca="1">IFERROR(INDIRECT("$U"&amp;V940),"")</f>
        <v/>
      </c>
      <c r="Z940" t="e" cm="1">
        <f t="array" ref="Z940">INDEX($AE$2:$AN$40,MOD(ROW()-ROW($AE$2),ROWS($AE$2:$AN$40))+1,INT((ROW()-ROW($AE$2))/ROWS($AE$2:$AN$40))+1)</f>
        <v>#REF!</v>
      </c>
      <c r="AA940" t="e">
        <f t="shared" ca="1" si="44"/>
        <v>#N/A</v>
      </c>
      <c r="AB940" t="str" cm="1">
        <f t="array" aca="1" ref="AB940" ca="1">IFERROR(INDIRECT("$Z"&amp;AA940),"")</f>
        <v/>
      </c>
    </row>
    <row r="941" spans="5:28" x14ac:dyDescent="0.2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4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43"/>
        <v>#N/A</v>
      </c>
      <c r="W941" t="str" cm="1">
        <f t="array" aca="1" ref="W941" ca="1">IFERROR(INDIRECT("$U"&amp;V941),"")</f>
        <v/>
      </c>
      <c r="Z941" t="e" cm="1">
        <f t="array" ref="Z941">INDEX($AE$2:$AN$40,MOD(ROW()-ROW($AE$2),ROWS($AE$2:$AN$40))+1,INT((ROW()-ROW($AE$2))/ROWS($AE$2:$AN$40))+1)</f>
        <v>#REF!</v>
      </c>
      <c r="AA941" t="e">
        <f t="shared" ca="1" si="44"/>
        <v>#N/A</v>
      </c>
      <c r="AB941" t="str" cm="1">
        <f t="array" aca="1" ref="AB941" ca="1">IFERROR(INDIRECT("$Z"&amp;AA941),"")</f>
        <v/>
      </c>
    </row>
    <row r="942" spans="5:28" x14ac:dyDescent="0.2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4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43"/>
        <v>#N/A</v>
      </c>
      <c r="W942" t="str" cm="1">
        <f t="array" aca="1" ref="W942" ca="1">IFERROR(INDIRECT("$U"&amp;V942),"")</f>
        <v/>
      </c>
      <c r="Z942" t="e" cm="1">
        <f t="array" ref="Z942">INDEX($AE$2:$AN$40,MOD(ROW()-ROW($AE$2),ROWS($AE$2:$AN$40))+1,INT((ROW()-ROW($AE$2))/ROWS($AE$2:$AN$40))+1)</f>
        <v>#REF!</v>
      </c>
      <c r="AA942" t="e">
        <f t="shared" ca="1" si="44"/>
        <v>#N/A</v>
      </c>
      <c r="AB942" t="str" cm="1">
        <f t="array" aca="1" ref="AB942" ca="1">IFERROR(INDIRECT("$Z"&amp;AA942),"")</f>
        <v/>
      </c>
    </row>
    <row r="943" spans="5:28" x14ac:dyDescent="0.2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4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43"/>
        <v>#N/A</v>
      </c>
      <c r="W943" t="str" cm="1">
        <f t="array" aca="1" ref="W943" ca="1">IFERROR(INDIRECT("$U"&amp;V943),"")</f>
        <v/>
      </c>
      <c r="Z943" t="e" cm="1">
        <f t="array" ref="Z943">INDEX($AE$2:$AN$40,MOD(ROW()-ROW($AE$2),ROWS($AE$2:$AN$40))+1,INT((ROW()-ROW($AE$2))/ROWS($AE$2:$AN$40))+1)</f>
        <v>#REF!</v>
      </c>
      <c r="AA943" t="e">
        <f t="shared" ca="1" si="44"/>
        <v>#N/A</v>
      </c>
      <c r="AB943" t="str" cm="1">
        <f t="array" aca="1" ref="AB943" ca="1">IFERROR(INDIRECT("$Z"&amp;AA943),"")</f>
        <v/>
      </c>
    </row>
    <row r="944" spans="5:28" x14ac:dyDescent="0.2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4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43"/>
        <v>#N/A</v>
      </c>
      <c r="W944" t="str" cm="1">
        <f t="array" aca="1" ref="W944" ca="1">IFERROR(INDIRECT("$U"&amp;V944),"")</f>
        <v/>
      </c>
      <c r="Z944" t="e" cm="1">
        <f t="array" ref="Z944">INDEX($AE$2:$AN$40,MOD(ROW()-ROW($AE$2),ROWS($AE$2:$AN$40))+1,INT((ROW()-ROW($AE$2))/ROWS($AE$2:$AN$40))+1)</f>
        <v>#REF!</v>
      </c>
      <c r="AA944" t="e">
        <f t="shared" ca="1" si="44"/>
        <v>#N/A</v>
      </c>
      <c r="AB944" t="str" cm="1">
        <f t="array" aca="1" ref="AB944" ca="1">IFERROR(INDIRECT("$Z"&amp;AA944),"")</f>
        <v/>
      </c>
    </row>
    <row r="945" spans="5:28" x14ac:dyDescent="0.2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4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43"/>
        <v>#N/A</v>
      </c>
      <c r="W945" t="str" cm="1">
        <f t="array" aca="1" ref="W945" ca="1">IFERROR(INDIRECT("$U"&amp;V945),"")</f>
        <v/>
      </c>
      <c r="Z945" t="e" cm="1">
        <f t="array" ref="Z945">INDEX($AE$2:$AN$40,MOD(ROW()-ROW($AE$2),ROWS($AE$2:$AN$40))+1,INT((ROW()-ROW($AE$2))/ROWS($AE$2:$AN$40))+1)</f>
        <v>#REF!</v>
      </c>
      <c r="AA945" t="e">
        <f t="shared" ca="1" si="44"/>
        <v>#N/A</v>
      </c>
      <c r="AB945" t="str" cm="1">
        <f t="array" aca="1" ref="AB945" ca="1">IFERROR(INDIRECT("$Z"&amp;AA945),"")</f>
        <v/>
      </c>
    </row>
    <row r="946" spans="5:28" x14ac:dyDescent="0.2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4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43"/>
        <v>#N/A</v>
      </c>
      <c r="W946" t="str" cm="1">
        <f t="array" aca="1" ref="W946" ca="1">IFERROR(INDIRECT("$U"&amp;V946),"")</f>
        <v/>
      </c>
      <c r="Z946" t="e" cm="1">
        <f t="array" ref="Z946">INDEX($AE$2:$AN$40,MOD(ROW()-ROW($AE$2),ROWS($AE$2:$AN$40))+1,INT((ROW()-ROW($AE$2))/ROWS($AE$2:$AN$40))+1)</f>
        <v>#REF!</v>
      </c>
      <c r="AA946" t="e">
        <f t="shared" ca="1" si="44"/>
        <v>#N/A</v>
      </c>
      <c r="AB946" t="str" cm="1">
        <f t="array" aca="1" ref="AB946" ca="1">IFERROR(INDIRECT("$Z"&amp;AA946),"")</f>
        <v/>
      </c>
    </row>
    <row r="947" spans="5:28" x14ac:dyDescent="0.2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4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43"/>
        <v>#N/A</v>
      </c>
      <c r="W947" t="str" cm="1">
        <f t="array" aca="1" ref="W947" ca="1">IFERROR(INDIRECT("$U"&amp;V947),"")</f>
        <v/>
      </c>
      <c r="Z947" t="e" cm="1">
        <f t="array" ref="Z947">INDEX($AE$2:$AN$40,MOD(ROW()-ROW($AE$2),ROWS($AE$2:$AN$40))+1,INT((ROW()-ROW($AE$2))/ROWS($AE$2:$AN$40))+1)</f>
        <v>#REF!</v>
      </c>
      <c r="AA947" t="e">
        <f t="shared" ca="1" si="44"/>
        <v>#N/A</v>
      </c>
      <c r="AB947" t="str" cm="1">
        <f t="array" aca="1" ref="AB947" ca="1">IFERROR(INDIRECT("$Z"&amp;AA947),"")</f>
        <v/>
      </c>
    </row>
    <row r="948" spans="5:28" x14ac:dyDescent="0.2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4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43"/>
        <v>#N/A</v>
      </c>
      <c r="W948" t="str" cm="1">
        <f t="array" aca="1" ref="W948" ca="1">IFERROR(INDIRECT("$U"&amp;V948),"")</f>
        <v/>
      </c>
      <c r="Z948" t="e" cm="1">
        <f t="array" ref="Z948">INDEX($AE$2:$AN$40,MOD(ROW()-ROW($AE$2),ROWS($AE$2:$AN$40))+1,INT((ROW()-ROW($AE$2))/ROWS($AE$2:$AN$40))+1)</f>
        <v>#REF!</v>
      </c>
      <c r="AA948" t="e">
        <f t="shared" ca="1" si="44"/>
        <v>#N/A</v>
      </c>
      <c r="AB948" t="str" cm="1">
        <f t="array" aca="1" ref="AB948" ca="1">IFERROR(INDIRECT("$Z"&amp;AA948),"")</f>
        <v/>
      </c>
    </row>
    <row r="949" spans="5:28" x14ac:dyDescent="0.2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4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43"/>
        <v>#N/A</v>
      </c>
      <c r="W949" t="str" cm="1">
        <f t="array" aca="1" ref="W949" ca="1">IFERROR(INDIRECT("$U"&amp;V949),"")</f>
        <v/>
      </c>
      <c r="Z949" t="e" cm="1">
        <f t="array" ref="Z949">INDEX($AE$2:$AN$40,MOD(ROW()-ROW($AE$2),ROWS($AE$2:$AN$40))+1,INT((ROW()-ROW($AE$2))/ROWS($AE$2:$AN$40))+1)</f>
        <v>#REF!</v>
      </c>
      <c r="AA949" t="e">
        <f t="shared" ca="1" si="44"/>
        <v>#N/A</v>
      </c>
      <c r="AB949" t="str" cm="1">
        <f t="array" aca="1" ref="AB949" ca="1">IFERROR(INDIRECT("$Z"&amp;AA949),"")</f>
        <v/>
      </c>
    </row>
    <row r="950" spans="5:28" x14ac:dyDescent="0.2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4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43"/>
        <v>#N/A</v>
      </c>
      <c r="W950" t="str" cm="1">
        <f t="array" aca="1" ref="W950" ca="1">IFERROR(INDIRECT("$U"&amp;V950),"")</f>
        <v/>
      </c>
      <c r="Z950" t="e" cm="1">
        <f t="array" ref="Z950">INDEX($AE$2:$AN$40,MOD(ROW()-ROW($AE$2),ROWS($AE$2:$AN$40))+1,INT((ROW()-ROW($AE$2))/ROWS($AE$2:$AN$40))+1)</f>
        <v>#REF!</v>
      </c>
      <c r="AA950" t="e">
        <f t="shared" ca="1" si="44"/>
        <v>#N/A</v>
      </c>
      <c r="AB950" t="str" cm="1">
        <f t="array" aca="1" ref="AB950" ca="1">IFERROR(INDIRECT("$Z"&amp;AA950),"")</f>
        <v/>
      </c>
    </row>
    <row r="951" spans="5:28" x14ac:dyDescent="0.2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4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43"/>
        <v>#N/A</v>
      </c>
      <c r="W951" t="str" cm="1">
        <f t="array" aca="1" ref="W951" ca="1">IFERROR(INDIRECT("$U"&amp;V951),"")</f>
        <v/>
      </c>
      <c r="Z951" t="e" cm="1">
        <f t="array" ref="Z951">INDEX($AE$2:$AN$40,MOD(ROW()-ROW($AE$2),ROWS($AE$2:$AN$40))+1,INT((ROW()-ROW($AE$2))/ROWS($AE$2:$AN$40))+1)</f>
        <v>#REF!</v>
      </c>
      <c r="AA951" t="e">
        <f t="shared" ca="1" si="44"/>
        <v>#N/A</v>
      </c>
      <c r="AB951" t="str" cm="1">
        <f t="array" aca="1" ref="AB951" ca="1">IFERROR(INDIRECT("$Z"&amp;AA951),"")</f>
        <v/>
      </c>
    </row>
    <row r="952" spans="5:28" x14ac:dyDescent="0.2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4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43"/>
        <v>#N/A</v>
      </c>
      <c r="W952" t="str" cm="1">
        <f t="array" aca="1" ref="W952" ca="1">IFERROR(INDIRECT("$U"&amp;V952),"")</f>
        <v/>
      </c>
      <c r="Z952" t="e" cm="1">
        <f t="array" ref="Z952">INDEX($AE$2:$AN$40,MOD(ROW()-ROW($AE$2),ROWS($AE$2:$AN$40))+1,INT((ROW()-ROW($AE$2))/ROWS($AE$2:$AN$40))+1)</f>
        <v>#REF!</v>
      </c>
      <c r="AA952" t="e">
        <f t="shared" ca="1" si="44"/>
        <v>#N/A</v>
      </c>
      <c r="AB952" t="str" cm="1">
        <f t="array" aca="1" ref="AB952" ca="1">IFERROR(INDIRECT("$Z"&amp;AA952),"")</f>
        <v/>
      </c>
    </row>
    <row r="953" spans="5:28" x14ac:dyDescent="0.2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4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43"/>
        <v>#N/A</v>
      </c>
      <c r="W953" t="str" cm="1">
        <f t="array" aca="1" ref="W953" ca="1">IFERROR(INDIRECT("$U"&amp;V953),"")</f>
        <v/>
      </c>
      <c r="Z953" t="e" cm="1">
        <f t="array" ref="Z953">INDEX($AE$2:$AN$40,MOD(ROW()-ROW($AE$2),ROWS($AE$2:$AN$40))+1,INT((ROW()-ROW($AE$2))/ROWS($AE$2:$AN$40))+1)</f>
        <v>#REF!</v>
      </c>
      <c r="AA953" t="e">
        <f t="shared" ca="1" si="44"/>
        <v>#N/A</v>
      </c>
      <c r="AB953" t="str" cm="1">
        <f t="array" aca="1" ref="AB953" ca="1">IFERROR(INDIRECT("$Z"&amp;AA953),"")</f>
        <v/>
      </c>
    </row>
    <row r="954" spans="5:28" x14ac:dyDescent="0.2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4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43"/>
        <v>#N/A</v>
      </c>
      <c r="W954" t="str" cm="1">
        <f t="array" aca="1" ref="W954" ca="1">IFERROR(INDIRECT("$U"&amp;V954),"")</f>
        <v/>
      </c>
      <c r="Z954" t="e" cm="1">
        <f t="array" ref="Z954">INDEX($AE$2:$AN$40,MOD(ROW()-ROW($AE$2),ROWS($AE$2:$AN$40))+1,INT((ROW()-ROW($AE$2))/ROWS($AE$2:$AN$40))+1)</f>
        <v>#REF!</v>
      </c>
      <c r="AA954" t="e">
        <f t="shared" ca="1" si="44"/>
        <v>#N/A</v>
      </c>
      <c r="AB954" t="str" cm="1">
        <f t="array" aca="1" ref="AB954" ca="1">IFERROR(INDIRECT("$Z"&amp;AA954),"")</f>
        <v/>
      </c>
    </row>
    <row r="955" spans="5:28" x14ac:dyDescent="0.2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4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43"/>
        <v>#N/A</v>
      </c>
      <c r="W955" t="str" cm="1">
        <f t="array" aca="1" ref="W955" ca="1">IFERROR(INDIRECT("$U"&amp;V955),"")</f>
        <v/>
      </c>
      <c r="Z955" t="e" cm="1">
        <f t="array" ref="Z955">INDEX($AE$2:$AN$40,MOD(ROW()-ROW($AE$2),ROWS($AE$2:$AN$40))+1,INT((ROW()-ROW($AE$2))/ROWS($AE$2:$AN$40))+1)</f>
        <v>#REF!</v>
      </c>
      <c r="AA955" t="e">
        <f t="shared" ca="1" si="44"/>
        <v>#N/A</v>
      </c>
      <c r="AB955" t="str" cm="1">
        <f t="array" aca="1" ref="AB955" ca="1">IFERROR(INDIRECT("$Z"&amp;AA955),"")</f>
        <v/>
      </c>
    </row>
    <row r="956" spans="5:28" x14ac:dyDescent="0.2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4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43"/>
        <v>#N/A</v>
      </c>
      <c r="W956" t="str" cm="1">
        <f t="array" aca="1" ref="W956" ca="1">IFERROR(INDIRECT("$U"&amp;V956),"")</f>
        <v/>
      </c>
      <c r="Z956" t="e" cm="1">
        <f t="array" ref="Z956">INDEX($AE$2:$AN$40,MOD(ROW()-ROW($AE$2),ROWS($AE$2:$AN$40))+1,INT((ROW()-ROW($AE$2))/ROWS($AE$2:$AN$40))+1)</f>
        <v>#REF!</v>
      </c>
      <c r="AA956" t="e">
        <f t="shared" ca="1" si="44"/>
        <v>#N/A</v>
      </c>
      <c r="AB956" t="str" cm="1">
        <f t="array" aca="1" ref="AB956" ca="1">IFERROR(INDIRECT("$Z"&amp;AA956),"")</f>
        <v/>
      </c>
    </row>
    <row r="957" spans="5:28" x14ac:dyDescent="0.2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4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43"/>
        <v>#N/A</v>
      </c>
      <c r="W957" t="str" cm="1">
        <f t="array" aca="1" ref="W957" ca="1">IFERROR(INDIRECT("$U"&amp;V957),"")</f>
        <v/>
      </c>
      <c r="Z957" t="e" cm="1">
        <f t="array" ref="Z957">INDEX($AE$2:$AN$40,MOD(ROW()-ROW($AE$2),ROWS($AE$2:$AN$40))+1,INT((ROW()-ROW($AE$2))/ROWS($AE$2:$AN$40))+1)</f>
        <v>#REF!</v>
      </c>
      <c r="AA957" t="e">
        <f t="shared" ca="1" si="44"/>
        <v>#N/A</v>
      </c>
      <c r="AB957" t="str" cm="1">
        <f t="array" aca="1" ref="AB957" ca="1">IFERROR(INDIRECT("$Z"&amp;AA957),"")</f>
        <v/>
      </c>
    </row>
    <row r="958" spans="5:28" x14ac:dyDescent="0.2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4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43"/>
        <v>#N/A</v>
      </c>
      <c r="W958" t="str" cm="1">
        <f t="array" aca="1" ref="W958" ca="1">IFERROR(INDIRECT("$U"&amp;V958),"")</f>
        <v/>
      </c>
      <c r="Z958" t="e" cm="1">
        <f t="array" ref="Z958">INDEX($AE$2:$AN$40,MOD(ROW()-ROW($AE$2),ROWS($AE$2:$AN$40))+1,INT((ROW()-ROW($AE$2))/ROWS($AE$2:$AN$40))+1)</f>
        <v>#REF!</v>
      </c>
      <c r="AA958" t="e">
        <f t="shared" ca="1" si="44"/>
        <v>#N/A</v>
      </c>
      <c r="AB958" t="str" cm="1">
        <f t="array" aca="1" ref="AB958" ca="1">IFERROR(INDIRECT("$Z"&amp;AA958),"")</f>
        <v/>
      </c>
    </row>
    <row r="959" spans="5:28" x14ac:dyDescent="0.2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4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43"/>
        <v>#N/A</v>
      </c>
      <c r="W959" t="str" cm="1">
        <f t="array" aca="1" ref="W959" ca="1">IFERROR(INDIRECT("$U"&amp;V959),"")</f>
        <v/>
      </c>
      <c r="Z959" t="e" cm="1">
        <f t="array" ref="Z959">INDEX($AE$2:$AN$40,MOD(ROW()-ROW($AE$2),ROWS($AE$2:$AN$40))+1,INT((ROW()-ROW($AE$2))/ROWS($AE$2:$AN$40))+1)</f>
        <v>#REF!</v>
      </c>
      <c r="AA959" t="e">
        <f t="shared" ca="1" si="44"/>
        <v>#N/A</v>
      </c>
      <c r="AB959" t="str" cm="1">
        <f t="array" aca="1" ref="AB959" ca="1">IFERROR(INDIRECT("$Z"&amp;AA959),"")</f>
        <v/>
      </c>
    </row>
    <row r="960" spans="5:28" x14ac:dyDescent="0.2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4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43"/>
        <v>#N/A</v>
      </c>
      <c r="W960" t="str" cm="1">
        <f t="array" aca="1" ref="W960" ca="1">IFERROR(INDIRECT("$U"&amp;V960),"")</f>
        <v/>
      </c>
      <c r="Z960" t="e" cm="1">
        <f t="array" ref="Z960">INDEX($AE$2:$AN$40,MOD(ROW()-ROW($AE$2),ROWS($AE$2:$AN$40))+1,INT((ROW()-ROW($AE$2))/ROWS($AE$2:$AN$40))+1)</f>
        <v>#REF!</v>
      </c>
      <c r="AA960" t="e">
        <f t="shared" ca="1" si="44"/>
        <v>#N/A</v>
      </c>
      <c r="AB960" t="str" cm="1">
        <f t="array" aca="1" ref="AB960" ca="1">IFERROR(INDIRECT("$Z"&amp;AA960),"")</f>
        <v/>
      </c>
    </row>
    <row r="961" spans="5:28" x14ac:dyDescent="0.2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4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43"/>
        <v>#N/A</v>
      </c>
      <c r="W961" t="str" cm="1">
        <f t="array" aca="1" ref="W961" ca="1">IFERROR(INDIRECT("$U"&amp;V961),"")</f>
        <v/>
      </c>
      <c r="Z961" t="e" cm="1">
        <f t="array" ref="Z961">INDEX($AE$2:$AN$40,MOD(ROW()-ROW($AE$2),ROWS($AE$2:$AN$40))+1,INT((ROW()-ROW($AE$2))/ROWS($AE$2:$AN$40))+1)</f>
        <v>#REF!</v>
      </c>
      <c r="AA961" t="e">
        <f t="shared" ca="1" si="44"/>
        <v>#N/A</v>
      </c>
      <c r="AB961" t="str" cm="1">
        <f t="array" aca="1" ref="AB961" ca="1">IFERROR(INDIRECT("$Z"&amp;AA961),"")</f>
        <v/>
      </c>
    </row>
    <row r="962" spans="5:28" x14ac:dyDescent="0.2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4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43"/>
        <v>#N/A</v>
      </c>
      <c r="W962" t="str" cm="1">
        <f t="array" aca="1" ref="W962" ca="1">IFERROR(INDIRECT("$U"&amp;V962),"")</f>
        <v/>
      </c>
      <c r="Z962" t="e" cm="1">
        <f t="array" ref="Z962">INDEX($AE$2:$AN$40,MOD(ROW()-ROW($AE$2),ROWS($AE$2:$AN$40))+1,INT((ROW()-ROW($AE$2))/ROWS($AE$2:$AN$40))+1)</f>
        <v>#REF!</v>
      </c>
      <c r="AA962" t="e">
        <f t="shared" ca="1" si="44"/>
        <v>#N/A</v>
      </c>
      <c r="AB962" t="str" cm="1">
        <f t="array" aca="1" ref="AB962" ca="1">IFERROR(INDIRECT("$Z"&amp;AA962),"")</f>
        <v/>
      </c>
    </row>
    <row r="963" spans="5:28" x14ac:dyDescent="0.2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4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43"/>
        <v>#N/A</v>
      </c>
      <c r="W963" t="str" cm="1">
        <f t="array" aca="1" ref="W963" ca="1">IFERROR(INDIRECT("$U"&amp;V963),"")</f>
        <v/>
      </c>
      <c r="Z963" t="e" cm="1">
        <f t="array" ref="Z963">INDEX($AE$2:$AN$40,MOD(ROW()-ROW($AE$2),ROWS($AE$2:$AN$40))+1,INT((ROW()-ROW($AE$2))/ROWS($AE$2:$AN$40))+1)</f>
        <v>#REF!</v>
      </c>
      <c r="AA963" t="e">
        <f t="shared" ca="1" si="44"/>
        <v>#N/A</v>
      </c>
      <c r="AB963" t="str" cm="1">
        <f t="array" aca="1" ref="AB963" ca="1">IFERROR(INDIRECT("$Z"&amp;AA963),"")</f>
        <v/>
      </c>
    </row>
    <row r="964" spans="5:28" x14ac:dyDescent="0.2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45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46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INDEX($AE$2:$AN$40,MOD(ROW()-ROW($AE$2),ROWS($AE$2:$AN$40))+1,INT((ROW()-ROW($AE$2))/ROWS($AE$2:$AN$40))+1)</f>
        <v>#REF!</v>
      </c>
      <c r="AA964" t="e">
        <f t="shared" ref="AA964:AA1000" ca="1" si="47">MATCH("*",INDIRECT(ADDRESS(AA963+1,26,1)&amp;":$Z$1000"),0)+AA963</f>
        <v>#N/A</v>
      </c>
      <c r="AB964" t="str" cm="1">
        <f t="array" aca="1" ref="AB964" ca="1">IFERROR(INDIRECT("$Z"&amp;AA964),"")</f>
        <v/>
      </c>
    </row>
    <row r="965" spans="5:28" x14ac:dyDescent="0.2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45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46"/>
        <v>#N/A</v>
      </c>
      <c r="W965" t="str" cm="1">
        <f t="array" aca="1" ref="W965" ca="1">IFERROR(INDIRECT("$U"&amp;V965),"")</f>
        <v/>
      </c>
      <c r="Z965" t="e" cm="1">
        <f t="array" ref="Z965">INDEX($AE$2:$AN$40,MOD(ROW()-ROW($AE$2),ROWS($AE$2:$AN$40))+1,INT((ROW()-ROW($AE$2))/ROWS($AE$2:$AN$40))+1)</f>
        <v>#REF!</v>
      </c>
      <c r="AA965" t="e">
        <f t="shared" ca="1" si="47"/>
        <v>#N/A</v>
      </c>
      <c r="AB965" t="str" cm="1">
        <f t="array" aca="1" ref="AB965" ca="1">IFERROR(INDIRECT("$Z"&amp;AA965),"")</f>
        <v/>
      </c>
    </row>
    <row r="966" spans="5:28" x14ac:dyDescent="0.2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45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46"/>
        <v>#N/A</v>
      </c>
      <c r="W966" t="str" cm="1">
        <f t="array" aca="1" ref="W966" ca="1">IFERROR(INDIRECT("$U"&amp;V966),"")</f>
        <v/>
      </c>
      <c r="Z966" t="e" cm="1">
        <f t="array" ref="Z966">INDEX($AE$2:$AN$40,MOD(ROW()-ROW($AE$2),ROWS($AE$2:$AN$40))+1,INT((ROW()-ROW($AE$2))/ROWS($AE$2:$AN$40))+1)</f>
        <v>#REF!</v>
      </c>
      <c r="AA966" t="e">
        <f t="shared" ca="1" si="47"/>
        <v>#N/A</v>
      </c>
      <c r="AB966" t="str" cm="1">
        <f t="array" aca="1" ref="AB966" ca="1">IFERROR(INDIRECT("$Z"&amp;AA966),"")</f>
        <v/>
      </c>
    </row>
    <row r="967" spans="5:28" x14ac:dyDescent="0.2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45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46"/>
        <v>#N/A</v>
      </c>
      <c r="W967" t="str" cm="1">
        <f t="array" aca="1" ref="W967" ca="1">IFERROR(INDIRECT("$U"&amp;V967),"")</f>
        <v/>
      </c>
      <c r="Z967" t="e" cm="1">
        <f t="array" ref="Z967">INDEX($AE$2:$AN$40,MOD(ROW()-ROW($AE$2),ROWS($AE$2:$AN$40))+1,INT((ROW()-ROW($AE$2))/ROWS($AE$2:$AN$40))+1)</f>
        <v>#REF!</v>
      </c>
      <c r="AA967" t="e">
        <f t="shared" ca="1" si="47"/>
        <v>#N/A</v>
      </c>
      <c r="AB967" t="str" cm="1">
        <f t="array" aca="1" ref="AB967" ca="1">IFERROR(INDIRECT("$Z"&amp;AA967),"")</f>
        <v/>
      </c>
    </row>
    <row r="968" spans="5:28" x14ac:dyDescent="0.2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45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46"/>
        <v>#N/A</v>
      </c>
      <c r="W968" t="str" cm="1">
        <f t="array" aca="1" ref="W968" ca="1">IFERROR(INDIRECT("$U"&amp;V968),"")</f>
        <v/>
      </c>
      <c r="Z968" t="e" cm="1">
        <f t="array" ref="Z968">INDEX($AE$2:$AN$40,MOD(ROW()-ROW($AE$2),ROWS($AE$2:$AN$40))+1,INT((ROW()-ROW($AE$2))/ROWS($AE$2:$AN$40))+1)</f>
        <v>#REF!</v>
      </c>
      <c r="AA968" t="e">
        <f t="shared" ca="1" si="47"/>
        <v>#N/A</v>
      </c>
      <c r="AB968" t="str" cm="1">
        <f t="array" aca="1" ref="AB968" ca="1">IFERROR(INDIRECT("$Z"&amp;AA968),"")</f>
        <v/>
      </c>
    </row>
    <row r="969" spans="5:28" x14ac:dyDescent="0.2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45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46"/>
        <v>#N/A</v>
      </c>
      <c r="W969" t="str" cm="1">
        <f t="array" aca="1" ref="W969" ca="1">IFERROR(INDIRECT("$U"&amp;V969),"")</f>
        <v/>
      </c>
      <c r="Z969" t="e" cm="1">
        <f t="array" ref="Z969">INDEX($AE$2:$AN$40,MOD(ROW()-ROW($AE$2),ROWS($AE$2:$AN$40))+1,INT((ROW()-ROW($AE$2))/ROWS($AE$2:$AN$40))+1)</f>
        <v>#REF!</v>
      </c>
      <c r="AA969" t="e">
        <f t="shared" ca="1" si="47"/>
        <v>#N/A</v>
      </c>
      <c r="AB969" t="str" cm="1">
        <f t="array" aca="1" ref="AB969" ca="1">IFERROR(INDIRECT("$Z"&amp;AA969),"")</f>
        <v/>
      </c>
    </row>
    <row r="970" spans="5:28" x14ac:dyDescent="0.2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45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46"/>
        <v>#N/A</v>
      </c>
      <c r="W970" t="str" cm="1">
        <f t="array" aca="1" ref="W970" ca="1">IFERROR(INDIRECT("$U"&amp;V970),"")</f>
        <v/>
      </c>
      <c r="Z970" t="e" cm="1">
        <f t="array" ref="Z970">INDEX($AE$2:$AN$40,MOD(ROW()-ROW($AE$2),ROWS($AE$2:$AN$40))+1,INT((ROW()-ROW($AE$2))/ROWS($AE$2:$AN$40))+1)</f>
        <v>#REF!</v>
      </c>
      <c r="AA970" t="e">
        <f t="shared" ca="1" si="47"/>
        <v>#N/A</v>
      </c>
      <c r="AB970" t="str" cm="1">
        <f t="array" aca="1" ref="AB970" ca="1">IFERROR(INDIRECT("$Z"&amp;AA970),"")</f>
        <v/>
      </c>
    </row>
    <row r="971" spans="5:28" x14ac:dyDescent="0.2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45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46"/>
        <v>#N/A</v>
      </c>
      <c r="W971" t="str" cm="1">
        <f t="array" aca="1" ref="W971" ca="1">IFERROR(INDIRECT("$U"&amp;V971),"")</f>
        <v/>
      </c>
      <c r="Z971" t="e" cm="1">
        <f t="array" ref="Z971">INDEX($AE$2:$AN$40,MOD(ROW()-ROW($AE$2),ROWS($AE$2:$AN$40))+1,INT((ROW()-ROW($AE$2))/ROWS($AE$2:$AN$40))+1)</f>
        <v>#REF!</v>
      </c>
      <c r="AA971" t="e">
        <f t="shared" ca="1" si="47"/>
        <v>#N/A</v>
      </c>
      <c r="AB971" t="str" cm="1">
        <f t="array" aca="1" ref="AB971" ca="1">IFERROR(INDIRECT("$Z"&amp;AA971),"")</f>
        <v/>
      </c>
    </row>
    <row r="972" spans="5:28" x14ac:dyDescent="0.2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45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46"/>
        <v>#N/A</v>
      </c>
      <c r="W972" t="str" cm="1">
        <f t="array" aca="1" ref="W972" ca="1">IFERROR(INDIRECT("$U"&amp;V972),"")</f>
        <v/>
      </c>
      <c r="Z972" t="e" cm="1">
        <f t="array" ref="Z972">INDEX($AE$2:$AN$40,MOD(ROW()-ROW($AE$2),ROWS($AE$2:$AN$40))+1,INT((ROW()-ROW($AE$2))/ROWS($AE$2:$AN$40))+1)</f>
        <v>#REF!</v>
      </c>
      <c r="AA972" t="e">
        <f t="shared" ca="1" si="47"/>
        <v>#N/A</v>
      </c>
      <c r="AB972" t="str" cm="1">
        <f t="array" aca="1" ref="AB972" ca="1">IFERROR(INDIRECT("$Z"&amp;AA972),"")</f>
        <v/>
      </c>
    </row>
    <row r="973" spans="5:28" x14ac:dyDescent="0.2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45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46"/>
        <v>#N/A</v>
      </c>
      <c r="W973" t="str" cm="1">
        <f t="array" aca="1" ref="W973" ca="1">IFERROR(INDIRECT("$U"&amp;V973),"")</f>
        <v/>
      </c>
      <c r="Z973" t="e" cm="1">
        <f t="array" ref="Z973">INDEX($AE$2:$AN$40,MOD(ROW()-ROW($AE$2),ROWS($AE$2:$AN$40))+1,INT((ROW()-ROW($AE$2))/ROWS($AE$2:$AN$40))+1)</f>
        <v>#REF!</v>
      </c>
      <c r="AA973" t="e">
        <f t="shared" ca="1" si="47"/>
        <v>#N/A</v>
      </c>
      <c r="AB973" t="str" cm="1">
        <f t="array" aca="1" ref="AB973" ca="1">IFERROR(INDIRECT("$Z"&amp;AA973),"")</f>
        <v/>
      </c>
    </row>
    <row r="974" spans="5:28" x14ac:dyDescent="0.2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45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46"/>
        <v>#N/A</v>
      </c>
      <c r="W974" t="str" cm="1">
        <f t="array" aca="1" ref="W974" ca="1">IFERROR(INDIRECT("$U"&amp;V974),"")</f>
        <v/>
      </c>
      <c r="Z974" t="e" cm="1">
        <f t="array" ref="Z974">INDEX($AE$2:$AN$40,MOD(ROW()-ROW($AE$2),ROWS($AE$2:$AN$40))+1,INT((ROW()-ROW($AE$2))/ROWS($AE$2:$AN$40))+1)</f>
        <v>#REF!</v>
      </c>
      <c r="AA974" t="e">
        <f t="shared" ca="1" si="47"/>
        <v>#N/A</v>
      </c>
      <c r="AB974" t="str" cm="1">
        <f t="array" aca="1" ref="AB974" ca="1">IFERROR(INDIRECT("$Z"&amp;AA974),"")</f>
        <v/>
      </c>
    </row>
    <row r="975" spans="5:28" x14ac:dyDescent="0.2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45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46"/>
        <v>#N/A</v>
      </c>
      <c r="W975" t="str" cm="1">
        <f t="array" aca="1" ref="W975" ca="1">IFERROR(INDIRECT("$U"&amp;V975),"")</f>
        <v/>
      </c>
      <c r="Z975" t="e" cm="1">
        <f t="array" ref="Z975">INDEX($AE$2:$AN$40,MOD(ROW()-ROW($AE$2),ROWS($AE$2:$AN$40))+1,INT((ROW()-ROW($AE$2))/ROWS($AE$2:$AN$40))+1)</f>
        <v>#REF!</v>
      </c>
      <c r="AA975" t="e">
        <f t="shared" ca="1" si="47"/>
        <v>#N/A</v>
      </c>
      <c r="AB975" t="str" cm="1">
        <f t="array" aca="1" ref="AB975" ca="1">IFERROR(INDIRECT("$Z"&amp;AA975),"")</f>
        <v/>
      </c>
    </row>
    <row r="976" spans="5:28" x14ac:dyDescent="0.2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45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46"/>
        <v>#N/A</v>
      </c>
      <c r="W976" t="str" cm="1">
        <f t="array" aca="1" ref="W976" ca="1">IFERROR(INDIRECT("$U"&amp;V976),"")</f>
        <v/>
      </c>
      <c r="Z976" t="e" cm="1">
        <f t="array" ref="Z976">INDEX($AE$2:$AN$40,MOD(ROW()-ROW($AE$2),ROWS($AE$2:$AN$40))+1,INT((ROW()-ROW($AE$2))/ROWS($AE$2:$AN$40))+1)</f>
        <v>#REF!</v>
      </c>
      <c r="AA976" t="e">
        <f t="shared" ca="1" si="47"/>
        <v>#N/A</v>
      </c>
      <c r="AB976" t="str" cm="1">
        <f t="array" aca="1" ref="AB976" ca="1">IFERROR(INDIRECT("$Z"&amp;AA976),"")</f>
        <v/>
      </c>
    </row>
    <row r="977" spans="5:28" x14ac:dyDescent="0.2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45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46"/>
        <v>#N/A</v>
      </c>
      <c r="W977" t="str" cm="1">
        <f t="array" aca="1" ref="W977" ca="1">IFERROR(INDIRECT("$U"&amp;V977),"")</f>
        <v/>
      </c>
      <c r="Z977" t="e" cm="1">
        <f t="array" ref="Z977">INDEX($AE$2:$AN$40,MOD(ROW()-ROW($AE$2),ROWS($AE$2:$AN$40))+1,INT((ROW()-ROW($AE$2))/ROWS($AE$2:$AN$40))+1)</f>
        <v>#REF!</v>
      </c>
      <c r="AA977" t="e">
        <f t="shared" ca="1" si="47"/>
        <v>#N/A</v>
      </c>
      <c r="AB977" t="str" cm="1">
        <f t="array" aca="1" ref="AB977" ca="1">IFERROR(INDIRECT("$Z"&amp;AA977),"")</f>
        <v/>
      </c>
    </row>
    <row r="978" spans="5:28" x14ac:dyDescent="0.2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45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46"/>
        <v>#N/A</v>
      </c>
      <c r="W978" t="str" cm="1">
        <f t="array" aca="1" ref="W978" ca="1">IFERROR(INDIRECT("$U"&amp;V978),"")</f>
        <v/>
      </c>
      <c r="Z978" t="e" cm="1">
        <f t="array" ref="Z978">INDEX($AE$2:$AN$40,MOD(ROW()-ROW($AE$2),ROWS($AE$2:$AN$40))+1,INT((ROW()-ROW($AE$2))/ROWS($AE$2:$AN$40))+1)</f>
        <v>#REF!</v>
      </c>
      <c r="AA978" t="e">
        <f t="shared" ca="1" si="47"/>
        <v>#N/A</v>
      </c>
      <c r="AB978" t="str" cm="1">
        <f t="array" aca="1" ref="AB978" ca="1">IFERROR(INDIRECT("$Z"&amp;AA978),"")</f>
        <v/>
      </c>
    </row>
    <row r="979" spans="5:28" x14ac:dyDescent="0.2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45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46"/>
        <v>#N/A</v>
      </c>
      <c r="W979" t="str" cm="1">
        <f t="array" aca="1" ref="W979" ca="1">IFERROR(INDIRECT("$U"&amp;V979),"")</f>
        <v/>
      </c>
      <c r="Z979" t="e" cm="1">
        <f t="array" ref="Z979">INDEX($AE$2:$AN$40,MOD(ROW()-ROW($AE$2),ROWS($AE$2:$AN$40))+1,INT((ROW()-ROW($AE$2))/ROWS($AE$2:$AN$40))+1)</f>
        <v>#REF!</v>
      </c>
      <c r="AA979" t="e">
        <f t="shared" ca="1" si="47"/>
        <v>#N/A</v>
      </c>
      <c r="AB979" t="str" cm="1">
        <f t="array" aca="1" ref="AB979" ca="1">IFERROR(INDIRECT("$Z"&amp;AA979),"")</f>
        <v/>
      </c>
    </row>
    <row r="980" spans="5:28" x14ac:dyDescent="0.2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45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46"/>
        <v>#N/A</v>
      </c>
      <c r="W980" t="str" cm="1">
        <f t="array" aca="1" ref="W980" ca="1">IFERROR(INDIRECT("$U"&amp;V980),"")</f>
        <v/>
      </c>
      <c r="Z980" t="e" cm="1">
        <f t="array" ref="Z980">INDEX($AE$2:$AN$40,MOD(ROW()-ROW($AE$2),ROWS($AE$2:$AN$40))+1,INT((ROW()-ROW($AE$2))/ROWS($AE$2:$AN$40))+1)</f>
        <v>#REF!</v>
      </c>
      <c r="AA980" t="e">
        <f t="shared" ca="1" si="47"/>
        <v>#N/A</v>
      </c>
      <c r="AB980" t="str" cm="1">
        <f t="array" aca="1" ref="AB980" ca="1">IFERROR(INDIRECT("$Z"&amp;AA980),"")</f>
        <v/>
      </c>
    </row>
    <row r="981" spans="5:28" x14ac:dyDescent="0.2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45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46"/>
        <v>#N/A</v>
      </c>
      <c r="W981" t="str" cm="1">
        <f t="array" aca="1" ref="W981" ca="1">IFERROR(INDIRECT("$U"&amp;V981),"")</f>
        <v/>
      </c>
      <c r="Z981" t="e" cm="1">
        <f t="array" ref="Z981">INDEX($AE$2:$AN$40,MOD(ROW()-ROW($AE$2),ROWS($AE$2:$AN$40))+1,INT((ROW()-ROW($AE$2))/ROWS($AE$2:$AN$40))+1)</f>
        <v>#REF!</v>
      </c>
      <c r="AA981" t="e">
        <f t="shared" ca="1" si="47"/>
        <v>#N/A</v>
      </c>
      <c r="AB981" t="str" cm="1">
        <f t="array" aca="1" ref="AB981" ca="1">IFERROR(INDIRECT("$Z"&amp;AA981),"")</f>
        <v/>
      </c>
    </row>
    <row r="982" spans="5:28" x14ac:dyDescent="0.2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45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46"/>
        <v>#N/A</v>
      </c>
      <c r="W982" t="str" cm="1">
        <f t="array" aca="1" ref="W982" ca="1">IFERROR(INDIRECT("$U"&amp;V982),"")</f>
        <v/>
      </c>
      <c r="Z982" t="e" cm="1">
        <f t="array" ref="Z982">INDEX($AE$2:$AN$40,MOD(ROW()-ROW($AE$2),ROWS($AE$2:$AN$40))+1,INT((ROW()-ROW($AE$2))/ROWS($AE$2:$AN$40))+1)</f>
        <v>#REF!</v>
      </c>
      <c r="AA982" t="e">
        <f t="shared" ca="1" si="47"/>
        <v>#N/A</v>
      </c>
      <c r="AB982" t="str" cm="1">
        <f t="array" aca="1" ref="AB982" ca="1">IFERROR(INDIRECT("$Z"&amp;AA982),"")</f>
        <v/>
      </c>
    </row>
    <row r="983" spans="5:28" x14ac:dyDescent="0.2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45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46"/>
        <v>#N/A</v>
      </c>
      <c r="W983" t="str" cm="1">
        <f t="array" aca="1" ref="W983" ca="1">IFERROR(INDIRECT("$U"&amp;V983),"")</f>
        <v/>
      </c>
      <c r="Z983" t="e" cm="1">
        <f t="array" ref="Z983">INDEX($AE$2:$AN$40,MOD(ROW()-ROW($AE$2),ROWS($AE$2:$AN$40))+1,INT((ROW()-ROW($AE$2))/ROWS($AE$2:$AN$40))+1)</f>
        <v>#REF!</v>
      </c>
      <c r="AA983" t="e">
        <f t="shared" ca="1" si="47"/>
        <v>#N/A</v>
      </c>
      <c r="AB983" t="str" cm="1">
        <f t="array" aca="1" ref="AB983" ca="1">IFERROR(INDIRECT("$Z"&amp;AA983),"")</f>
        <v/>
      </c>
    </row>
    <row r="984" spans="5:28" x14ac:dyDescent="0.2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45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46"/>
        <v>#N/A</v>
      </c>
      <c r="W984" t="str" cm="1">
        <f t="array" aca="1" ref="W984" ca="1">IFERROR(INDIRECT("$U"&amp;V984),"")</f>
        <v/>
      </c>
      <c r="Z984" t="e" cm="1">
        <f t="array" ref="Z984">INDEX($AE$2:$AN$40,MOD(ROW()-ROW($AE$2),ROWS($AE$2:$AN$40))+1,INT((ROW()-ROW($AE$2))/ROWS($AE$2:$AN$40))+1)</f>
        <v>#REF!</v>
      </c>
      <c r="AA984" t="e">
        <f t="shared" ca="1" si="47"/>
        <v>#N/A</v>
      </c>
      <c r="AB984" t="str" cm="1">
        <f t="array" aca="1" ref="AB984" ca="1">IFERROR(INDIRECT("$Z"&amp;AA984),"")</f>
        <v/>
      </c>
    </row>
    <row r="985" spans="5:28" x14ac:dyDescent="0.2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45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46"/>
        <v>#N/A</v>
      </c>
      <c r="W985" t="str" cm="1">
        <f t="array" aca="1" ref="W985" ca="1">IFERROR(INDIRECT("$U"&amp;V985),"")</f>
        <v/>
      </c>
      <c r="Z985" t="e" cm="1">
        <f t="array" ref="Z985">INDEX($AE$2:$AN$40,MOD(ROW()-ROW($AE$2),ROWS($AE$2:$AN$40))+1,INT((ROW()-ROW($AE$2))/ROWS($AE$2:$AN$40))+1)</f>
        <v>#REF!</v>
      </c>
      <c r="AA985" t="e">
        <f t="shared" ca="1" si="47"/>
        <v>#N/A</v>
      </c>
      <c r="AB985" t="str" cm="1">
        <f t="array" aca="1" ref="AB985" ca="1">IFERROR(INDIRECT("$Z"&amp;AA985),"")</f>
        <v/>
      </c>
    </row>
    <row r="986" spans="5:28" x14ac:dyDescent="0.2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45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46"/>
        <v>#N/A</v>
      </c>
      <c r="W986" t="str" cm="1">
        <f t="array" aca="1" ref="W986" ca="1">IFERROR(INDIRECT("$U"&amp;V986),"")</f>
        <v/>
      </c>
      <c r="Z986" t="e" cm="1">
        <f t="array" ref="Z986">INDEX($AE$2:$AN$40,MOD(ROW()-ROW($AE$2),ROWS($AE$2:$AN$40))+1,INT((ROW()-ROW($AE$2))/ROWS($AE$2:$AN$40))+1)</f>
        <v>#REF!</v>
      </c>
      <c r="AA986" t="e">
        <f t="shared" ca="1" si="47"/>
        <v>#N/A</v>
      </c>
      <c r="AB986" t="str" cm="1">
        <f t="array" aca="1" ref="AB986" ca="1">IFERROR(INDIRECT("$Z"&amp;AA986),"")</f>
        <v/>
      </c>
    </row>
    <row r="987" spans="5:28" x14ac:dyDescent="0.2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45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46"/>
        <v>#N/A</v>
      </c>
      <c r="W987" t="str" cm="1">
        <f t="array" aca="1" ref="W987" ca="1">IFERROR(INDIRECT("$U"&amp;V987),"")</f>
        <v/>
      </c>
      <c r="Z987" t="e" cm="1">
        <f t="array" ref="Z987">INDEX($AE$2:$AN$40,MOD(ROW()-ROW($AE$2),ROWS($AE$2:$AN$40))+1,INT((ROW()-ROW($AE$2))/ROWS($AE$2:$AN$40))+1)</f>
        <v>#REF!</v>
      </c>
      <c r="AA987" t="e">
        <f t="shared" ca="1" si="47"/>
        <v>#N/A</v>
      </c>
      <c r="AB987" t="str" cm="1">
        <f t="array" aca="1" ref="AB987" ca="1">IFERROR(INDIRECT("$Z"&amp;AA987),"")</f>
        <v/>
      </c>
    </row>
    <row r="988" spans="5:28" x14ac:dyDescent="0.2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45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46"/>
        <v>#N/A</v>
      </c>
      <c r="W988" t="str" cm="1">
        <f t="array" aca="1" ref="W988" ca="1">IFERROR(INDIRECT("$U"&amp;V988),"")</f>
        <v/>
      </c>
      <c r="Z988" t="e" cm="1">
        <f t="array" ref="Z988">INDEX($AE$2:$AN$40,MOD(ROW()-ROW($AE$2),ROWS($AE$2:$AN$40))+1,INT((ROW()-ROW($AE$2))/ROWS($AE$2:$AN$40))+1)</f>
        <v>#REF!</v>
      </c>
      <c r="AA988" t="e">
        <f t="shared" ca="1" si="47"/>
        <v>#N/A</v>
      </c>
      <c r="AB988" t="str" cm="1">
        <f t="array" aca="1" ref="AB988" ca="1">IFERROR(INDIRECT("$Z"&amp;AA988),"")</f>
        <v/>
      </c>
    </row>
    <row r="989" spans="5:28" x14ac:dyDescent="0.2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45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46"/>
        <v>#N/A</v>
      </c>
      <c r="W989" t="str" cm="1">
        <f t="array" aca="1" ref="W989" ca="1">IFERROR(INDIRECT("$U"&amp;V989),"")</f>
        <v/>
      </c>
      <c r="Z989" t="e" cm="1">
        <f t="array" ref="Z989">INDEX($AE$2:$AN$40,MOD(ROW()-ROW($AE$2),ROWS($AE$2:$AN$40))+1,INT((ROW()-ROW($AE$2))/ROWS($AE$2:$AN$40))+1)</f>
        <v>#REF!</v>
      </c>
      <c r="AA989" t="e">
        <f t="shared" ca="1" si="47"/>
        <v>#N/A</v>
      </c>
      <c r="AB989" t="str" cm="1">
        <f t="array" aca="1" ref="AB989" ca="1">IFERROR(INDIRECT("$Z"&amp;AA989),"")</f>
        <v/>
      </c>
    </row>
    <row r="990" spans="5:28" x14ac:dyDescent="0.2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45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46"/>
        <v>#N/A</v>
      </c>
      <c r="W990" t="str" cm="1">
        <f t="array" aca="1" ref="W990" ca="1">IFERROR(INDIRECT("$U"&amp;V990),"")</f>
        <v/>
      </c>
      <c r="Z990" t="e" cm="1">
        <f t="array" ref="Z990">INDEX($AE$2:$AN$40,MOD(ROW()-ROW($AE$2),ROWS($AE$2:$AN$40))+1,INT((ROW()-ROW($AE$2))/ROWS($AE$2:$AN$40))+1)</f>
        <v>#REF!</v>
      </c>
      <c r="AA990" t="e">
        <f t="shared" ca="1" si="47"/>
        <v>#N/A</v>
      </c>
      <c r="AB990" t="str" cm="1">
        <f t="array" aca="1" ref="AB990" ca="1">IFERROR(INDIRECT("$Z"&amp;AA990),"")</f>
        <v/>
      </c>
    </row>
    <row r="991" spans="5:28" x14ac:dyDescent="0.2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45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46"/>
        <v>#N/A</v>
      </c>
      <c r="W991" t="str" cm="1">
        <f t="array" aca="1" ref="W991" ca="1">IFERROR(INDIRECT("$U"&amp;V991),"")</f>
        <v/>
      </c>
      <c r="Z991" t="e" cm="1">
        <f t="array" ref="Z991">INDEX($AE$2:$AN$40,MOD(ROW()-ROW($AE$2),ROWS($AE$2:$AN$40))+1,INT((ROW()-ROW($AE$2))/ROWS($AE$2:$AN$40))+1)</f>
        <v>#REF!</v>
      </c>
      <c r="AA991" t="e">
        <f t="shared" ca="1" si="47"/>
        <v>#N/A</v>
      </c>
      <c r="AB991" t="str" cm="1">
        <f t="array" aca="1" ref="AB991" ca="1">IFERROR(INDIRECT("$Z"&amp;AA991),"")</f>
        <v/>
      </c>
    </row>
    <row r="992" spans="5:28" x14ac:dyDescent="0.2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45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46"/>
        <v>#N/A</v>
      </c>
      <c r="W992" t="str" cm="1">
        <f t="array" aca="1" ref="W992" ca="1">IFERROR(INDIRECT("$U"&amp;V992),"")</f>
        <v/>
      </c>
      <c r="Z992" t="e" cm="1">
        <f t="array" ref="Z992">INDEX($AE$2:$AN$40,MOD(ROW()-ROW($AE$2),ROWS($AE$2:$AN$40))+1,INT((ROW()-ROW($AE$2))/ROWS($AE$2:$AN$40))+1)</f>
        <v>#REF!</v>
      </c>
      <c r="AA992" t="e">
        <f t="shared" ca="1" si="47"/>
        <v>#N/A</v>
      </c>
      <c r="AB992" t="str" cm="1">
        <f t="array" aca="1" ref="AB992" ca="1">IFERROR(INDIRECT("$Z"&amp;AA992),"")</f>
        <v/>
      </c>
    </row>
    <row r="993" spans="5:28" x14ac:dyDescent="0.2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45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46"/>
        <v>#N/A</v>
      </c>
      <c r="W993" t="str" cm="1">
        <f t="array" aca="1" ref="W993" ca="1">IFERROR(INDIRECT("$U"&amp;V993),"")</f>
        <v/>
      </c>
      <c r="Z993" t="e" cm="1">
        <f t="array" ref="Z993">INDEX($AE$2:$AN$40,MOD(ROW()-ROW($AE$2),ROWS($AE$2:$AN$40))+1,INT((ROW()-ROW($AE$2))/ROWS($AE$2:$AN$40))+1)</f>
        <v>#REF!</v>
      </c>
      <c r="AA993" t="e">
        <f t="shared" ca="1" si="47"/>
        <v>#N/A</v>
      </c>
      <c r="AB993" t="str" cm="1">
        <f t="array" aca="1" ref="AB993" ca="1">IFERROR(INDIRECT("$Z"&amp;AA993),"")</f>
        <v/>
      </c>
    </row>
    <row r="994" spans="5:28" x14ac:dyDescent="0.2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45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46"/>
        <v>#N/A</v>
      </c>
      <c r="W994" t="str" cm="1">
        <f t="array" aca="1" ref="W994" ca="1">IFERROR(INDIRECT("$U"&amp;V994),"")</f>
        <v/>
      </c>
      <c r="Z994" t="e" cm="1">
        <f t="array" ref="Z994">INDEX($AE$2:$AN$40,MOD(ROW()-ROW($AE$2),ROWS($AE$2:$AN$40))+1,INT((ROW()-ROW($AE$2))/ROWS($AE$2:$AN$40))+1)</f>
        <v>#REF!</v>
      </c>
      <c r="AA994" t="e">
        <f t="shared" ca="1" si="47"/>
        <v>#N/A</v>
      </c>
      <c r="AB994" t="str" cm="1">
        <f t="array" aca="1" ref="AB994" ca="1">IFERROR(INDIRECT("$Z"&amp;AA994),"")</f>
        <v/>
      </c>
    </row>
    <row r="995" spans="5:28" x14ac:dyDescent="0.2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45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46"/>
        <v>#N/A</v>
      </c>
      <c r="W995" t="str" cm="1">
        <f t="array" aca="1" ref="W995" ca="1">IFERROR(INDIRECT("$U"&amp;V995),"")</f>
        <v/>
      </c>
      <c r="Z995" t="e" cm="1">
        <f t="array" ref="Z995">INDEX($AE$2:$AN$40,MOD(ROW()-ROW($AE$2),ROWS($AE$2:$AN$40))+1,INT((ROW()-ROW($AE$2))/ROWS($AE$2:$AN$40))+1)</f>
        <v>#REF!</v>
      </c>
      <c r="AA995" t="e">
        <f t="shared" ca="1" si="47"/>
        <v>#N/A</v>
      </c>
      <c r="AB995" t="str" cm="1">
        <f t="array" aca="1" ref="AB995" ca="1">IFERROR(INDIRECT("$Z"&amp;AA995),"")</f>
        <v/>
      </c>
    </row>
    <row r="996" spans="5:28" x14ac:dyDescent="0.2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45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46"/>
        <v>#N/A</v>
      </c>
      <c r="W996" t="str" cm="1">
        <f t="array" aca="1" ref="W996" ca="1">IFERROR(INDIRECT("$U"&amp;V996),"")</f>
        <v/>
      </c>
      <c r="Z996" t="e" cm="1">
        <f t="array" ref="Z996">INDEX($AE$2:$AN$40,MOD(ROW()-ROW($AE$2),ROWS($AE$2:$AN$40))+1,INT((ROW()-ROW($AE$2))/ROWS($AE$2:$AN$40))+1)</f>
        <v>#REF!</v>
      </c>
      <c r="AA996" t="e">
        <f t="shared" ca="1" si="47"/>
        <v>#N/A</v>
      </c>
      <c r="AB996" t="str" cm="1">
        <f t="array" aca="1" ref="AB996" ca="1">IFERROR(INDIRECT("$Z"&amp;AA996),"")</f>
        <v/>
      </c>
    </row>
    <row r="997" spans="5:28" x14ac:dyDescent="0.2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45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46"/>
        <v>#N/A</v>
      </c>
      <c r="W997" t="str" cm="1">
        <f t="array" aca="1" ref="W997" ca="1">IFERROR(INDIRECT("$U"&amp;V997),"")</f>
        <v/>
      </c>
      <c r="Z997" t="e" cm="1">
        <f t="array" ref="Z997">INDEX($AE$2:$AN$40,MOD(ROW()-ROW($AE$2),ROWS($AE$2:$AN$40))+1,INT((ROW()-ROW($AE$2))/ROWS($AE$2:$AN$40))+1)</f>
        <v>#REF!</v>
      </c>
      <c r="AA997" t="e">
        <f t="shared" ca="1" si="47"/>
        <v>#N/A</v>
      </c>
      <c r="AB997" t="str" cm="1">
        <f t="array" aca="1" ref="AB997" ca="1">IFERROR(INDIRECT("$Z"&amp;AA997),"")</f>
        <v/>
      </c>
    </row>
    <row r="998" spans="5:28" x14ac:dyDescent="0.2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45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46"/>
        <v>#N/A</v>
      </c>
      <c r="W998" t="str" cm="1">
        <f t="array" aca="1" ref="W998" ca="1">IFERROR(INDIRECT("$U"&amp;V998),"")</f>
        <v/>
      </c>
      <c r="Z998" t="e" cm="1">
        <f t="array" ref="Z998">INDEX($AE$2:$AN$40,MOD(ROW()-ROW($AE$2),ROWS($AE$2:$AN$40))+1,INT((ROW()-ROW($AE$2))/ROWS($AE$2:$AN$40))+1)</f>
        <v>#REF!</v>
      </c>
      <c r="AA998" t="e">
        <f t="shared" ca="1" si="47"/>
        <v>#N/A</v>
      </c>
      <c r="AB998" t="str" cm="1">
        <f t="array" aca="1" ref="AB998" ca="1">IFERROR(INDIRECT("$Z"&amp;AA998),"")</f>
        <v/>
      </c>
    </row>
    <row r="999" spans="5:28" x14ac:dyDescent="0.2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45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46"/>
        <v>#N/A</v>
      </c>
      <c r="W999" t="str" cm="1">
        <f t="array" aca="1" ref="W999" ca="1">IFERROR(INDIRECT("$U"&amp;V999),"")</f>
        <v/>
      </c>
      <c r="Z999" t="e" cm="1">
        <f t="array" ref="Z999">INDEX($AE$2:$AN$40,MOD(ROW()-ROW($AE$2),ROWS($AE$2:$AN$40))+1,INT((ROW()-ROW($AE$2))/ROWS($AE$2:$AN$40))+1)</f>
        <v>#REF!</v>
      </c>
      <c r="AA999" t="e">
        <f t="shared" ca="1" si="47"/>
        <v>#N/A</v>
      </c>
      <c r="AB999" t="str" cm="1">
        <f t="array" aca="1" ref="AB999" ca="1">IFERROR(INDIRECT("$Z"&amp;AA999),"")</f>
        <v/>
      </c>
    </row>
    <row r="1000" spans="5:28" x14ac:dyDescent="0.2">
      <c r="P1000" t="e" cm="1">
        <f t="array" ref="P1000">INDEX($B$2:$D$40,MOD(ROW()-ROW($B$2),ROWS($B$2:$D$40))+1,INT((ROW()-ROW($B$2))/ROWS($B$2:$D$40))+1)</f>
        <v>#REF!</v>
      </c>
      <c r="Q1000" t="e">
        <f t="shared" ca="1" si="45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46"/>
        <v>#N/A</v>
      </c>
      <c r="W1000" t="str" cm="1">
        <f t="array" aca="1" ref="W1000" ca="1">IFERROR(INDIRECT("$U"&amp;V1000),"")</f>
        <v/>
      </c>
      <c r="Z1000" t="e" cm="1">
        <f t="array" ref="Z1000">INDEX($AE$2:$AN$40,MOD(ROW()-ROW($AE$2),ROWS($AE$2:$AN$40))+1,INT((ROW()-ROW($AE$2))/ROWS($AE$2:$AN$40))+1)</f>
        <v>#REF!</v>
      </c>
      <c r="AA1000" t="e">
        <f t="shared" ca="1" si="47"/>
        <v>#N/A</v>
      </c>
      <c r="AB1000" t="str" cm="1">
        <f t="array" aca="1" ref="AB1000" ca="1">IFERROR(INDIRECT("$Z"&amp;AA1000),"")</f>
        <v/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baseColWidth="10" defaultColWidth="8.83203125" defaultRowHeight="15" x14ac:dyDescent="0.2"/>
  <sheetData>
    <row r="1" spans="1:1" x14ac:dyDescent="0.2">
      <c r="A1" t="s">
        <v>56</v>
      </c>
    </row>
    <row r="2" spans="1:1" x14ac:dyDescent="0.2">
      <c r="A2" t="s">
        <v>55</v>
      </c>
    </row>
    <row r="3" spans="1:1" x14ac:dyDescent="0.2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</vt:i4>
      </vt:variant>
    </vt:vector>
  </HeadingPairs>
  <TitlesOfParts>
    <vt:vector size="22" baseType="lpstr">
      <vt:lpstr>System</vt:lpstr>
      <vt:lpstr>BuildingSpace</vt:lpstr>
      <vt:lpstr>Damper</vt:lpstr>
      <vt:lpstr>SpaceHeater</vt:lpstr>
      <vt:lpstr>Valve</vt:lpstr>
      <vt:lpstr>Coil</vt:lpstr>
      <vt:lpstr>AirToAirHeatRecovery</vt:lpstr>
      <vt:lpstr>Fan</vt:lpstr>
      <vt:lpstr>Controller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august thomsen</cp:lastModifiedBy>
  <dcterms:created xsi:type="dcterms:W3CDTF">2022-08-09T11:16:30Z</dcterms:created>
  <dcterms:modified xsi:type="dcterms:W3CDTF">2024-02-26T08:46:48Z</dcterms:modified>
</cp:coreProperties>
</file>