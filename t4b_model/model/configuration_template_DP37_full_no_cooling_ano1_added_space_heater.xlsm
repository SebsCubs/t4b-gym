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bj\OneDrive - Syddansk Universitet\PhD_Project_Jakob\Twin4build\python\BuildingEnergyModel\Twin4build-Case-Studies\DP37\model\"/>
    </mc:Choice>
  </mc:AlternateContent>
  <xr:revisionPtr revIDLastSave="0" documentId="13_ncr:1_{916A848E-E32A-4DA6-B47F-07298CCC0269}" xr6:coauthVersionLast="47" xr6:coauthVersionMax="47" xr10:uidLastSave="{00000000-0000-0000-0000-000000000000}"/>
  <bookViews>
    <workbookView xWindow="-120" yWindow="-120" windowWidth="38640" windowHeight="21240" activeTab="2" xr2:uid="{0A98B5A4-E8E7-4876-BAF5-D3C6F6E2C062}"/>
  </bookViews>
  <sheets>
    <sheet name="System" sheetId="3" r:id="rId1"/>
    <sheet name="BuildingSpace" sheetId="1" r:id="rId2"/>
    <sheet name="Damper" sheetId="4" r:id="rId3"/>
    <sheet name="SpaceHeater" sheetId="2" r:id="rId4"/>
    <sheet name="Valve" sheetId="7" r:id="rId5"/>
    <sheet name="Pump" sheetId="20" r:id="rId6"/>
    <sheet name="Coil" sheetId="5" r:id="rId7"/>
    <sheet name="AirToAirHeatRecovery" sheetId="8" r:id="rId8"/>
    <sheet name="Fan" sheetId="9" r:id="rId9"/>
    <sheet name="SetpointController" sheetId="11" r:id="rId10"/>
    <sheet name="RulebasedController" sheetId="18" r:id="rId11"/>
    <sheet name="Schedule" sheetId="19" r:id="rId12"/>
    <sheet name="ShadingDevice" sheetId="17" r:id="rId13"/>
    <sheet name="Sensor" sheetId="13" r:id="rId14"/>
    <sheet name="Meter" sheetId="14" r:id="rId15"/>
    <sheet name="Property" sheetId="15" r:id="rId16"/>
    <sheet name="named_ranges" sheetId="16" r:id="rId17"/>
    <sheet name="Controller_options" sheetId="12" state="hidden" r:id="rId18"/>
  </sheets>
  <externalReferences>
    <externalReference r:id="rId19"/>
  </externalReferences>
  <definedNames>
    <definedName name="_xlpm.cell_" hidden="1" xlm="1">#NAME?</definedName>
    <definedName name="air_to_air_heat_recovery_names" localSheetId="5">IF(COUNTA([1]AirToAirHeatRecovery!$A:$A)&gt;1,OFFSET([1]AirToAirHeatRecovery!$A$2, 0, 0, COUNTA([1]AirToAirHeatRecovery!$A:$A)-1, 1),"")</definedName>
    <definedName name="air_to_air_heat_recovery_names">IF(COUNTA(AirToAirHeatRecovery!$A:$A)&gt;1,OFFSET(AirToAirHeatRecovery!$A$2, 0, 0, COUNTA(AirToAirHeatRecovery!$A:$A)-1, 1),"")</definedName>
    <definedName name="all_flow_systems" localSheetId="5">IF(COUNTA([1]named_ranges!$G:$G)&gt;1,OFFSET([1]named_ranges!$G$2, 0, 0, COUNTA([1]named_ranges!$G:$G)-1, 1),"")</definedName>
    <definedName name="all_flow_systems">IF(COUNTA(named_ranges!$G:$G)&gt;1,OFFSET(named_ranges!$G$2, 0, 0, COUNTA(named_ranges!$G:$G)-1, 1),"")</definedName>
    <definedName name="coil_names" localSheetId="5">IF(COUNTA([1]Coil!$A:$A)&gt;1,OFFSET([1]Coil!$A$2, 0, 0, COUNTA([1]Coil!$A:$A)-1, 1),"")</definedName>
    <definedName name="coil_names">IF(COUNTA(Coil!$A:$A)&gt;1,OFFSET(Coil!$A$2, 0, 0, COUNTA(Coil!$A:$A)-1, 1),"")</definedName>
    <definedName name="controller_names" localSheetId="5">IF(COUNTA([1]SetpointController!$A:$A)&gt;1,OFFSET([1]SetpointController!$A$2, 0, 0, COUNTA([1]SetpointController!$A:$A)-1, 1),"")</definedName>
    <definedName name="controller_names" localSheetId="10">IF(COUNTA(RulebasedController!$A:$A)&gt;1,OFFSET(RulebasedController!#REF!, 0, 0, COUNTA(RulebasedController!$A:$A)-1, 1),"")</definedName>
    <definedName name="controller_names">IF(COUNTA(SetpointController!$A:$A)&gt;1,OFFSET(SetpointController!$A$2, 0, 0, COUNTA(SetpointController!$A:$A)-1, 1),"")</definedName>
    <definedName name="controller_options">Controller_options!$A$1:$A$3</definedName>
    <definedName name="cooling_system_names" localSheetId="5">IF(COUNTA([1]System!$C:$C)&gt;1,OFFSET([1]System!$C$2, 0, 0, COUNTA([1]System!$C:$C)-1, 1),"")</definedName>
    <definedName name="cooling_system_names">IF(COUNTA(System!$C:$C)&gt;1,OFFSET(System!$C$2, 0, 0, COUNTA(System!$C:$C)-1, 1),"")</definedName>
    <definedName name="count_name_occurences" localSheetId="5">_xlfn.LAMBDA(_xlpm.cell_,COUNTIF(Pump!ventilation_system_names,_xlpm.cell_)+COUNTIF(Pump!heating_system_names,_xlpm.cell_)+COUNTIF(Pump!cooling_system_names,_xlpm.cell_)+COUNTIF(Pump!damper_names,_xlpm.cell_)+COUNTIF(Pump!space_heater_names,_xlpm.cell_)+COUNTIF(Pump!valve_names,_xlpm.cell_)+COUNTIF(Pump!space_names,_xlpm.cell_)+COUNTIF(Pump!coil_names,_xlpm.cell_)+COUNTIF(cooling_coil_names,_xlpm.cell_))</definedName>
    <definedName name="count_name_occurences" localSheetId="10">_xlfn.LAMBDA(_xlpm.cell_,COUNTIF([0]!ventilation_system_names,_xlpm.cell_)+COUNTIF([0]!heating_system_names,_xlpm.cell_)+COUNTIF([0]!cooling_system_names,_xlpm.cell_)+COUNTIF(damper_names,_xlpm.cell_)+COUNTIF([0]!space_heater_names,_xlpm.cell_)+COUNTIF([0]!valve_names,_xlpm.cell_)+COUNTIF(space_names,_xlpm.cell_)+COUNTIF([0]!coil_names,_xlpm.cell_)+COUNTIF(cooling_coil_names,_xlpm.cell_))</definedName>
    <definedName name="count_name_occurences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  <definedName name="damper_names" localSheetId="5">IF(COUNTA([1]Damper!$A:$A)&gt;1,OFFSET([1]Damper!$A$2, 0, 0, COUNTA([1]Damper!$A:$A)-1, 1),"")</definedName>
    <definedName name="damper_names">IF(COUNTA(Damper!$A:$A)&gt;1,OFFSET(Damper!$A$2, 0, 0, COUNTA(Damper!$A:$A)-1, 1),"")</definedName>
    <definedName name="fan_names" localSheetId="5">IF(COUNTA([1]Fan!$A:$A)&gt;1,OFFSET([1]Fan!$A$2, 0, 0, COUNTA([1]Fan!$A:$A)-1, 1),"")</definedName>
    <definedName name="fan_names">IF(COUNTA(Fan!$A:$A)&gt;1,OFFSET(Fan!$A$2, 0, 0, COUNTA(Fan!$A:$A)-1, 1),"")</definedName>
    <definedName name="heating_cooling_system_names" localSheetId="5">IF(COUNTA([1]named_ranges!$F:$F)&gt;1,OFFSET([1]named_ranges!$F$2, 0, 0, COUNTA([1]named_ranges!$F:$F)-1, 1),"")</definedName>
    <definedName name="heating_cooling_system_names">IF(COUNTA(named_ranges!$F:$F)&gt;1,OFFSET(named_ranges!$F$2, 0, 0, COUNTA(named_ranges!$F:$F)-1, 1),"")</definedName>
    <definedName name="heating_system_names" localSheetId="5">IF(COUNTA([1]System!$B:$B)&gt;1,OFFSET([1]System!$B$2, 0, 0, COUNTA([1]System!$B:$B)-1, 1),"")</definedName>
    <definedName name="heating_system_names">IF(COUNTA(System!$B:$B)&gt;1,OFFSET(System!$B$2, 0, 0, COUNTA(System!$B:$B)-1, 1),"")</definedName>
    <definedName name="meter_names" localSheetId="5">IF(COUNTA([1]Meter!$A:$A)&gt;1,OFFSET([1]Meter!$A$2, 0, 0, COUNTA([1]Meter!$A:$A)-1, 1),"")</definedName>
    <definedName name="meter_names">IF(COUNTA(Meter!$A:$A)&gt;1,OFFSET(Meter!#REF!, 0, 0, COUNTA(Meter!$A:$A)-1, 1),"")</definedName>
    <definedName name="property_class" localSheetId="5">[1]named_ranges!$A$2:$A$1048576</definedName>
    <definedName name="property_class">named_ranges!$A$2:$A$1048576</definedName>
    <definedName name="property_instance" localSheetId="5">[1]Property!$A$2:$A$1048576</definedName>
    <definedName name="property_instance">Property!$A$2:$A$1048576</definedName>
    <definedName name="pump_names">IF(COUNTA(Pump!$A:$A)&gt;1,OFFSET(Pump!$A$2, 0, 0, COUNTA(Pump!$A:$A)-1, 1),"")</definedName>
    <definedName name="schedule_names">IF(COUNTA(Schedule!$A:$A)&gt;1,OFFSET(Schedule!$A$2, 0, 0, COUNTA(Schedule!$A:$A)-1, 1),"")</definedName>
    <definedName name="sensor_names" localSheetId="5">IF(COUNTA([1]Sensor!$A:$A)&gt;1,OFFSET([1]Sensor!$A$2, 0, 0, COUNTA([1]Sensor!$A:$A)-1, 1),"")</definedName>
    <definedName name="sensor_names">IF(COUNTA(Sensor!$A:$A)&gt;1,OFFSET(Sensor!$A$2, 0, 0, COUNTA(Sensor!$A:$A)-1, 1),"")</definedName>
    <definedName name="sheet_dampers">Damper!$1:$1048576</definedName>
    <definedName name="sheet_space_heaters">SpaceHeater!$1:$1048576</definedName>
    <definedName name="sheet_spaces">BuildingSpace!$1:$1048576</definedName>
    <definedName name="sheet_systems">System!$1:$1048576</definedName>
    <definedName name="space_heater_names" localSheetId="5">IF(COUNTA([1]SpaceHeater!$A:$A)&gt;1,OFFSET([1]SpaceHeater!$A$2, 0, 0, COUNTA([1]SpaceHeater!$A:$A)-1, 1),"")</definedName>
    <definedName name="space_heater_names">IF(COUNTA(SpaceHeater!$A:$A)&gt;1,OFFSET(SpaceHeater!$A$2, 0, 0, COUNTA(SpaceHeater!$A:$A)-1, 1),"")</definedName>
    <definedName name="space_names" localSheetId="5">IF(COUNTA([1]BuildingSpace!$A:$A)&gt;1,OFFSET([1]BuildingSpace!$A$2, 0, 0, COUNTA([1]BuildingSpace!$A:$A)-1, 1),"")</definedName>
    <definedName name="space_names">IF(COUNTA(BuildingSpace!$A:$A)&gt;1,OFFSET(BuildingSpace!$A$2, 0, 0, COUNTA(BuildingSpace!$A:$A)-1, 1),"")</definedName>
    <definedName name="system_names" localSheetId="5">IF(COUNTA([1]named_ranges!$E:$E)&gt;1,OFFSET([1]named_ranges!$E$2, 0, 0, COUNTA([1]named_ranges!$E:$E)-1, 1),"")</definedName>
    <definedName name="system_names">IF(COUNTA(named_ranges!$E:$E)&gt;1,OFFSET(named_ranges!$E$2, 0, 0, COUNTA(named_ranges!$E:$E)-1, 1),"")</definedName>
    <definedName name="valve_names" localSheetId="5">IF(COUNTA([1]Valve!$A:$A)&gt;1,OFFSET([1]Valve!$A$2, 0, 0, COUNTA([1]Valve!$A:$A)-1, 1),"")</definedName>
    <definedName name="valve_names">IF(COUNTA(Valve!$A:$A)&gt;1,OFFSET(Valve!$A$2, 0, 0, COUNTA(Valve!$A:$A)-1, 1),"")</definedName>
    <definedName name="ventilation_system_names" localSheetId="5">IF(COUNTA([1]System!$A:$A)&gt;1,OFFSET([1]System!$A$2, 0, 0, COUNTA([1]System!$A:$A)-1, 1),"")</definedName>
    <definedName name="ventilation_system_names">IF(COUNTA(System!$A:$A)&gt;1,OFFSET(System!$A$2, 0, 0, COUNTA(System!$A:$A)-1, 1),"")</definedName>
    <definedName name="x">_xlfn.LAMBDA(_xlpm.cell_,COUNTIF(ventilation_system_names,_xlpm.cell_)+COUNTIF(heating_system_names,_xlpm.cell_)+COUNTIF(cooling_system_names,_xlpm.cell_)+COUNTIF(damper_names,_xlpm.cell_)+COUNTIF(space_heater_names,_xlpm.cell_)+COUNTIF(valve_names,_xlpm.cell_)+COUNTIF(space_names,_xlpm.cell_)+COUNTIF(coil_names,_xlpm.cell_)+COUNTIF(cooling_coil_names,_xlpm.cell_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/>
  <c r="F3" i="1"/>
  <c r="R6" i="4" l="1"/>
  <c r="R7" i="4"/>
  <c r="R4" i="4"/>
  <c r="R5" i="4"/>
  <c r="R8" i="4"/>
  <c r="R9" i="4"/>
  <c r="R2" i="4"/>
  <c r="R3" i="4"/>
  <c r="Z14" i="16" l="1" a="1"/>
  <c r="Z14" i="16" s="1"/>
  <c r="Z15" i="16" a="1"/>
  <c r="Z15" i="16" s="1"/>
  <c r="Z16" i="16" a="1"/>
  <c r="Z16" i="16" s="1"/>
  <c r="Z17" i="16" a="1"/>
  <c r="Z17" i="16" s="1"/>
  <c r="Z18" i="16" a="1"/>
  <c r="Z18" i="16" s="1"/>
  <c r="Z19" i="16" a="1"/>
  <c r="Z19" i="16" s="1"/>
  <c r="Z20" i="16" a="1"/>
  <c r="Z20" i="16" s="1"/>
  <c r="Z21" i="16" a="1"/>
  <c r="Z21" i="16" s="1"/>
  <c r="Z22" i="16" a="1"/>
  <c r="Z22" i="16" s="1"/>
  <c r="Z23" i="16" a="1"/>
  <c r="Z23" i="16" s="1"/>
  <c r="Z24" i="16" a="1"/>
  <c r="Z24" i="16" s="1"/>
  <c r="Z25" i="16" a="1"/>
  <c r="Z25" i="16" s="1"/>
  <c r="Z26" i="16" a="1"/>
  <c r="Z26" i="16" s="1"/>
  <c r="Z27" i="16" a="1"/>
  <c r="Z27" i="16" s="1"/>
  <c r="Z28" i="16" a="1"/>
  <c r="Z28" i="16" s="1"/>
  <c r="Z29" i="16" a="1"/>
  <c r="Z29" i="16" s="1"/>
  <c r="Z30" i="16" a="1"/>
  <c r="Z30" i="16" s="1"/>
  <c r="Z31" i="16" a="1"/>
  <c r="Z31" i="16" s="1"/>
  <c r="Z32" i="16" a="1"/>
  <c r="Z32" i="16" s="1"/>
  <c r="Z33" i="16" a="1"/>
  <c r="Z33" i="16" s="1"/>
  <c r="Z34" i="16" a="1"/>
  <c r="Z34" i="16" s="1"/>
  <c r="Z35" i="16" a="1"/>
  <c r="Z35" i="16" s="1"/>
  <c r="Z36" i="16" a="1"/>
  <c r="Z36" i="16" s="1"/>
  <c r="Z37" i="16" a="1"/>
  <c r="Z37" i="16" s="1"/>
  <c r="Z38" i="16" a="1"/>
  <c r="Z38" i="16" s="1"/>
  <c r="Z39" i="16" a="1"/>
  <c r="Z39" i="16" s="1"/>
  <c r="Z40" i="16" a="1"/>
  <c r="Z40" i="16" s="1"/>
  <c r="Z65" i="16" a="1"/>
  <c r="Z65" i="16" s="1"/>
  <c r="Z66" i="16" a="1"/>
  <c r="Z66" i="16" s="1"/>
  <c r="Z67" i="16" a="1"/>
  <c r="Z67" i="16" s="1"/>
  <c r="Z68" i="16" a="1"/>
  <c r="Z68" i="16" s="1"/>
  <c r="Z69" i="16" a="1"/>
  <c r="Z69" i="16" s="1"/>
  <c r="Z70" i="16" a="1"/>
  <c r="Z70" i="16" s="1"/>
  <c r="Z71" i="16" a="1"/>
  <c r="Z71" i="16" s="1"/>
  <c r="Z72" i="16" a="1"/>
  <c r="Z72" i="16" s="1"/>
  <c r="Z73" i="16" a="1"/>
  <c r="Z73" i="16" s="1"/>
  <c r="Z74" i="16" a="1"/>
  <c r="Z74" i="16" s="1"/>
  <c r="Z75" i="16" a="1"/>
  <c r="Z75" i="16" s="1"/>
  <c r="Z76" i="16" a="1"/>
  <c r="Z76" i="16" s="1"/>
  <c r="Z77" i="16" a="1"/>
  <c r="Z77" i="16" s="1"/>
  <c r="Z78" i="16" a="1"/>
  <c r="Z78" i="16" s="1"/>
  <c r="Z79" i="16" a="1"/>
  <c r="Z79" i="16" s="1"/>
  <c r="Z92" i="16" a="1"/>
  <c r="Z92" i="16" s="1"/>
  <c r="Z93" i="16" a="1"/>
  <c r="Z93" i="16" s="1"/>
  <c r="Z94" i="16" a="1"/>
  <c r="Z94" i="16" s="1"/>
  <c r="Z95" i="16" a="1"/>
  <c r="Z95" i="16" s="1"/>
  <c r="Z96" i="16" a="1"/>
  <c r="Z96" i="16" s="1"/>
  <c r="Z97" i="16" a="1"/>
  <c r="Z97" i="16" s="1"/>
  <c r="Z98" i="16" a="1"/>
  <c r="Z98" i="16" s="1"/>
  <c r="Z99" i="16" a="1"/>
  <c r="Z99" i="16" s="1"/>
  <c r="Z100" i="16" a="1"/>
  <c r="Z100" i="16" s="1"/>
  <c r="Z101" i="16" a="1"/>
  <c r="Z101" i="16" s="1"/>
  <c r="Z102" i="16" a="1"/>
  <c r="Z102" i="16" s="1"/>
  <c r="Z103" i="16" a="1"/>
  <c r="Z103" i="16" s="1"/>
  <c r="Z104" i="16" a="1"/>
  <c r="Z104" i="16" s="1"/>
  <c r="Z105" i="16" a="1"/>
  <c r="Z105" i="16" s="1"/>
  <c r="Z106" i="16" a="1"/>
  <c r="Z106" i="16" s="1"/>
  <c r="Z107" i="16" a="1"/>
  <c r="Z107" i="16" s="1"/>
  <c r="Z108" i="16" a="1"/>
  <c r="Z108" i="16" s="1"/>
  <c r="Z109" i="16" a="1"/>
  <c r="Z109" i="16" s="1"/>
  <c r="Z110" i="16" a="1"/>
  <c r="Z110" i="16" s="1"/>
  <c r="Z111" i="16" a="1"/>
  <c r="Z111" i="16" s="1"/>
  <c r="Z112" i="16" a="1"/>
  <c r="Z112" i="16" s="1"/>
  <c r="Z113" i="16" a="1"/>
  <c r="Z113" i="16" s="1"/>
  <c r="Z114" i="16" a="1"/>
  <c r="Z114" i="16" s="1"/>
  <c r="Z115" i="16" a="1"/>
  <c r="Z115" i="16" s="1"/>
  <c r="Z116" i="16" a="1"/>
  <c r="Z116" i="16" s="1"/>
  <c r="Z117" i="16" a="1"/>
  <c r="Z117" i="16" s="1"/>
  <c r="Z118" i="16" a="1"/>
  <c r="Z118" i="16" s="1"/>
  <c r="Z131" i="16" a="1"/>
  <c r="Z131" i="16" s="1"/>
  <c r="Z132" i="16" a="1"/>
  <c r="Z132" i="16" s="1"/>
  <c r="Z133" i="16" a="1"/>
  <c r="Z133" i="16" s="1"/>
  <c r="Z134" i="16" a="1"/>
  <c r="Z134" i="16" s="1"/>
  <c r="Z135" i="16" a="1"/>
  <c r="Z135" i="16" s="1"/>
  <c r="Z136" i="16" a="1"/>
  <c r="Z136" i="16" s="1"/>
  <c r="Z137" i="16" a="1"/>
  <c r="Z137" i="16" s="1"/>
  <c r="Z138" i="16" a="1"/>
  <c r="Z138" i="16" s="1"/>
  <c r="Z139" i="16" a="1"/>
  <c r="Z139" i="16" s="1"/>
  <c r="Z140" i="16" a="1"/>
  <c r="Z140" i="16" s="1"/>
  <c r="Z141" i="16" a="1"/>
  <c r="Z141" i="16" s="1"/>
  <c r="Z142" i="16" a="1"/>
  <c r="Z142" i="16" s="1"/>
  <c r="Z143" i="16" a="1"/>
  <c r="Z143" i="16" s="1"/>
  <c r="Z144" i="16" a="1"/>
  <c r="Z144" i="16" s="1"/>
  <c r="Z145" i="16" a="1"/>
  <c r="Z145" i="16" s="1"/>
  <c r="Z146" i="16" a="1"/>
  <c r="Z146" i="16" s="1"/>
  <c r="Z147" i="16" a="1"/>
  <c r="Z147" i="16" s="1"/>
  <c r="Z148" i="16" a="1"/>
  <c r="Z148" i="16" s="1"/>
  <c r="Z149" i="16" a="1"/>
  <c r="Z149" i="16" s="1"/>
  <c r="Z150" i="16" a="1"/>
  <c r="Z150" i="16" s="1"/>
  <c r="Z151" i="16" a="1"/>
  <c r="Z151" i="16" s="1"/>
  <c r="Z152" i="16" a="1"/>
  <c r="Z152" i="16" s="1"/>
  <c r="Z153" i="16" a="1"/>
  <c r="Z153" i="16" s="1"/>
  <c r="Z154" i="16" a="1"/>
  <c r="Z154" i="16" s="1"/>
  <c r="Z155" i="16" a="1"/>
  <c r="Z155" i="16" s="1"/>
  <c r="Z156" i="16" a="1"/>
  <c r="Z156" i="16" s="1"/>
  <c r="Z157" i="16" a="1"/>
  <c r="Z157" i="16" s="1"/>
  <c r="Z160" i="16" a="1"/>
  <c r="Z160" i="16" s="1"/>
  <c r="Z161" i="16" a="1"/>
  <c r="Z161" i="16" s="1"/>
  <c r="Z162" i="16" a="1"/>
  <c r="Z162" i="16" s="1"/>
  <c r="Z163" i="16" a="1"/>
  <c r="Z163" i="16" s="1"/>
  <c r="Z164" i="16" a="1"/>
  <c r="Z164" i="16" s="1"/>
  <c r="Z165" i="16" a="1"/>
  <c r="Z165" i="16" s="1"/>
  <c r="Z166" i="16" a="1"/>
  <c r="Z166" i="16" s="1"/>
  <c r="Z167" i="16" a="1"/>
  <c r="Z167" i="16" s="1"/>
  <c r="Z168" i="16" a="1"/>
  <c r="Z168" i="16" s="1"/>
  <c r="Z169" i="16" a="1"/>
  <c r="Z169" i="16" s="1"/>
  <c r="Z170" i="16" a="1"/>
  <c r="Z170" i="16" s="1"/>
  <c r="Z171" i="16" a="1"/>
  <c r="Z171" i="16" s="1"/>
  <c r="Z172" i="16" a="1"/>
  <c r="Z172" i="16" s="1"/>
  <c r="Z173" i="16" a="1"/>
  <c r="Z173" i="16" s="1"/>
  <c r="Z174" i="16" a="1"/>
  <c r="Z174" i="16" s="1"/>
  <c r="Z175" i="16" a="1"/>
  <c r="Z175" i="16" s="1"/>
  <c r="Z176" i="16" a="1"/>
  <c r="Z176" i="16" s="1"/>
  <c r="Z177" i="16" a="1"/>
  <c r="Z177" i="16" s="1"/>
  <c r="Z178" i="16" a="1"/>
  <c r="Z178" i="16" s="1"/>
  <c r="Z179" i="16" a="1"/>
  <c r="Z179" i="16" s="1"/>
  <c r="Z180" i="16" a="1"/>
  <c r="Z180" i="16" s="1"/>
  <c r="Z181" i="16" a="1"/>
  <c r="Z181" i="16" s="1"/>
  <c r="Z182" i="16" a="1"/>
  <c r="Z182" i="16" s="1"/>
  <c r="Z183" i="16" a="1"/>
  <c r="Z183" i="16" s="1"/>
  <c r="Z184" i="16" a="1"/>
  <c r="Z184" i="16" s="1"/>
  <c r="Z185" i="16" a="1"/>
  <c r="Z185" i="16" s="1"/>
  <c r="Z186" i="16" a="1"/>
  <c r="Z186" i="16" s="1"/>
  <c r="Z187" i="16" a="1"/>
  <c r="Z187" i="16" s="1"/>
  <c r="Z188" i="16" a="1"/>
  <c r="Z188" i="16" s="1"/>
  <c r="Z189" i="16" a="1"/>
  <c r="Z189" i="16" s="1"/>
  <c r="Z190" i="16" a="1"/>
  <c r="Z190" i="16" s="1"/>
  <c r="Z191" i="16" a="1"/>
  <c r="Z191" i="16" s="1"/>
  <c r="Z192" i="16" a="1"/>
  <c r="Z192" i="16" s="1"/>
  <c r="Z193" i="16" a="1"/>
  <c r="Z193" i="16" s="1"/>
  <c r="Z194" i="16" a="1"/>
  <c r="Z194" i="16" s="1"/>
  <c r="Z195" i="16" a="1"/>
  <c r="Z195" i="16" s="1"/>
  <c r="Z196" i="16" a="1"/>
  <c r="Z196" i="16" s="1"/>
  <c r="Z198" i="16" a="1"/>
  <c r="Z198" i="16" s="1"/>
  <c r="Z199" i="16" a="1"/>
  <c r="Z199" i="16" s="1"/>
  <c r="Z200" i="16" a="1"/>
  <c r="Z200" i="16" s="1"/>
  <c r="Z201" i="16" a="1"/>
  <c r="Z201" i="16" s="1"/>
  <c r="Z202" i="16" a="1"/>
  <c r="Z202" i="16" s="1"/>
  <c r="Z203" i="16" a="1"/>
  <c r="Z203" i="16" s="1"/>
  <c r="Z204" i="16" a="1"/>
  <c r="Z204" i="16" s="1"/>
  <c r="Z205" i="16" a="1"/>
  <c r="Z205" i="16" s="1"/>
  <c r="Z206" i="16" a="1"/>
  <c r="Z206" i="16" s="1"/>
  <c r="Z207" i="16" a="1"/>
  <c r="Z207" i="16" s="1"/>
  <c r="Z208" i="16" a="1"/>
  <c r="Z208" i="16" s="1"/>
  <c r="Z209" i="16" a="1"/>
  <c r="Z209" i="16" s="1"/>
  <c r="Z210" i="16" a="1"/>
  <c r="Z210" i="16" s="1"/>
  <c r="Z211" i="16" a="1"/>
  <c r="Z211" i="16" s="1"/>
  <c r="Z212" i="16" a="1"/>
  <c r="Z212" i="16" s="1"/>
  <c r="Z213" i="16" a="1"/>
  <c r="Z213" i="16" s="1"/>
  <c r="Z214" i="16" a="1"/>
  <c r="Z214" i="16" s="1"/>
  <c r="Z215" i="16" a="1"/>
  <c r="Z215" i="16" s="1"/>
  <c r="Z216" i="16" a="1"/>
  <c r="Z216" i="16" s="1"/>
  <c r="Z217" i="16" a="1"/>
  <c r="Z217" i="16" s="1"/>
  <c r="Z218" i="16" a="1"/>
  <c r="Z218" i="16" s="1"/>
  <c r="Z219" i="16" a="1"/>
  <c r="Z219" i="16" s="1"/>
  <c r="Z220" i="16" a="1"/>
  <c r="Z220" i="16" s="1"/>
  <c r="Z221" i="16" a="1"/>
  <c r="Z221" i="16" s="1"/>
  <c r="Z222" i="16" a="1"/>
  <c r="Z222" i="16" s="1"/>
  <c r="Z223" i="16" a="1"/>
  <c r="Z223" i="16" s="1"/>
  <c r="Z224" i="16" a="1"/>
  <c r="Z224" i="16" s="1"/>
  <c r="Z225" i="16" a="1"/>
  <c r="Z225" i="16" s="1"/>
  <c r="Z226" i="16" a="1"/>
  <c r="Z226" i="16" s="1"/>
  <c r="Z227" i="16" a="1"/>
  <c r="Z227" i="16" s="1"/>
  <c r="Z228" i="16" a="1"/>
  <c r="Z228" i="16" s="1"/>
  <c r="Z229" i="16" a="1"/>
  <c r="Z229" i="16" s="1"/>
  <c r="Z230" i="16" a="1"/>
  <c r="Z230" i="16" s="1"/>
  <c r="Z231" i="16" a="1"/>
  <c r="Z231" i="16" s="1"/>
  <c r="Z232" i="16" a="1"/>
  <c r="Z232" i="16" s="1"/>
  <c r="Z233" i="16" a="1"/>
  <c r="Z233" i="16" s="1"/>
  <c r="Z234" i="16" a="1"/>
  <c r="Z234" i="16" s="1"/>
  <c r="Z235" i="16" a="1"/>
  <c r="Z235" i="16" s="1"/>
  <c r="Z238" i="16" a="1"/>
  <c r="Z238" i="16" s="1"/>
  <c r="Z239" i="16" a="1"/>
  <c r="Z239" i="16" s="1"/>
  <c r="Z240" i="16" a="1"/>
  <c r="Z240" i="16" s="1"/>
  <c r="Z241" i="16" a="1"/>
  <c r="Z241" i="16" s="1"/>
  <c r="Z242" i="16" a="1"/>
  <c r="Z242" i="16" s="1"/>
  <c r="Z243" i="16" a="1"/>
  <c r="Z243" i="16" s="1"/>
  <c r="Z244" i="16" a="1"/>
  <c r="Z244" i="16" s="1"/>
  <c r="Z245" i="16" a="1"/>
  <c r="Z245" i="16" s="1"/>
  <c r="Z246" i="16" a="1"/>
  <c r="Z246" i="16" s="1"/>
  <c r="Z247" i="16" a="1"/>
  <c r="Z247" i="16" s="1"/>
  <c r="Z248" i="16" a="1"/>
  <c r="Z248" i="16" s="1"/>
  <c r="Z249" i="16" a="1"/>
  <c r="Z249" i="16" s="1"/>
  <c r="Z250" i="16" a="1"/>
  <c r="Z250" i="16" s="1"/>
  <c r="Z251" i="16" a="1"/>
  <c r="Z251" i="16" s="1"/>
  <c r="Z252" i="16" a="1"/>
  <c r="Z252" i="16" s="1"/>
  <c r="Z253" i="16" a="1"/>
  <c r="Z253" i="16" s="1"/>
  <c r="Z254" i="16" a="1"/>
  <c r="Z254" i="16" s="1"/>
  <c r="Z255" i="16" a="1"/>
  <c r="Z255" i="16" s="1"/>
  <c r="Z256" i="16" a="1"/>
  <c r="Z256" i="16" s="1"/>
  <c r="Z257" i="16" a="1"/>
  <c r="Z257" i="16" s="1"/>
  <c r="Z258" i="16" a="1"/>
  <c r="Z258" i="16" s="1"/>
  <c r="Z259" i="16" a="1"/>
  <c r="Z259" i="16" s="1"/>
  <c r="Z260" i="16" a="1"/>
  <c r="Z260" i="16" s="1"/>
  <c r="Z261" i="16" a="1"/>
  <c r="Z261" i="16" s="1"/>
  <c r="Z262" i="16" a="1"/>
  <c r="Z262" i="16" s="1"/>
  <c r="Z263" i="16" a="1"/>
  <c r="Z263" i="16" s="1"/>
  <c r="Z264" i="16" a="1"/>
  <c r="Z264" i="16" s="1"/>
  <c r="Z265" i="16" a="1"/>
  <c r="Z265" i="16" s="1"/>
  <c r="Z266" i="16" a="1"/>
  <c r="Z266" i="16" s="1"/>
  <c r="Z267" i="16" a="1"/>
  <c r="Z267" i="16" s="1"/>
  <c r="Z268" i="16" a="1"/>
  <c r="Z268" i="16" s="1"/>
  <c r="Z269" i="16" a="1"/>
  <c r="Z269" i="16" s="1"/>
  <c r="Z270" i="16" a="1"/>
  <c r="Z270" i="16" s="1"/>
  <c r="Z271" i="16" a="1"/>
  <c r="Z271" i="16" s="1"/>
  <c r="Z272" i="16" a="1"/>
  <c r="Z272" i="16" s="1"/>
  <c r="Z273" i="16" a="1"/>
  <c r="Z273" i="16" s="1"/>
  <c r="Z274" i="16" a="1"/>
  <c r="Z274" i="16" s="1"/>
  <c r="Z299" i="16" a="1"/>
  <c r="Z299" i="16" s="1"/>
  <c r="Z300" i="16" a="1"/>
  <c r="Z300" i="16" s="1"/>
  <c r="Z301" i="16" a="1"/>
  <c r="Z301" i="16" s="1"/>
  <c r="Z302" i="16" a="1"/>
  <c r="Z302" i="16" s="1"/>
  <c r="Z303" i="16" a="1"/>
  <c r="Z303" i="16" s="1"/>
  <c r="Z304" i="16" a="1"/>
  <c r="Z304" i="16" s="1"/>
  <c r="Z305" i="16" a="1"/>
  <c r="Z305" i="16" s="1"/>
  <c r="Z306" i="16" a="1"/>
  <c r="Z306" i="16" s="1"/>
  <c r="Z307" i="16" a="1"/>
  <c r="Z307" i="16" s="1"/>
  <c r="Z308" i="16" a="1"/>
  <c r="Z308" i="16" s="1"/>
  <c r="Z309" i="16" a="1"/>
  <c r="Z309" i="16" s="1"/>
  <c r="Z310" i="16" a="1"/>
  <c r="Z310" i="16" s="1"/>
  <c r="Z311" i="16" a="1"/>
  <c r="Z311" i="16" s="1"/>
  <c r="Z312" i="16" a="1"/>
  <c r="Z312" i="16" s="1"/>
  <c r="Z313" i="16" a="1"/>
  <c r="Z313" i="16" s="1"/>
  <c r="Z357" i="16" a="1"/>
  <c r="Z357" i="16" s="1"/>
  <c r="Z358" i="16" a="1"/>
  <c r="Z358" i="16" s="1"/>
  <c r="Z359" i="16" a="1"/>
  <c r="Z359" i="16" s="1"/>
  <c r="Z360" i="16" a="1"/>
  <c r="Z360" i="16" s="1"/>
  <c r="Z361" i="16" a="1"/>
  <c r="Z361" i="16" s="1"/>
  <c r="Z362" i="16" a="1"/>
  <c r="Z362" i="16" s="1"/>
  <c r="Z363" i="16" a="1"/>
  <c r="Z363" i="16" s="1"/>
  <c r="Z364" i="16" a="1"/>
  <c r="Z364" i="16" s="1"/>
  <c r="Z365" i="16" a="1"/>
  <c r="Z365" i="16" s="1"/>
  <c r="Z366" i="16" a="1"/>
  <c r="Z366" i="16" s="1"/>
  <c r="Z367" i="16" a="1"/>
  <c r="Z367" i="16" s="1"/>
  <c r="Z368" i="16" a="1"/>
  <c r="Z368" i="16" s="1"/>
  <c r="Z369" i="16" a="1"/>
  <c r="Z369" i="16" s="1"/>
  <c r="Z370" i="16" a="1"/>
  <c r="Z370" i="16" s="1"/>
  <c r="Z371" i="16" a="1"/>
  <c r="Z371" i="16" s="1"/>
  <c r="Z372" i="16" a="1"/>
  <c r="Z372" i="16" s="1"/>
  <c r="Z373" i="16" a="1"/>
  <c r="Z373" i="16" s="1"/>
  <c r="Z374" i="16" a="1"/>
  <c r="Z374" i="16" s="1"/>
  <c r="Z375" i="16" a="1"/>
  <c r="Z375" i="16" s="1"/>
  <c r="Z376" i="16" a="1"/>
  <c r="Z376" i="16" s="1"/>
  <c r="Z377" i="16" a="1"/>
  <c r="Z377" i="16" s="1"/>
  <c r="Z378" i="16" a="1"/>
  <c r="Z378" i="16" s="1"/>
  <c r="Z379" i="16" a="1"/>
  <c r="Z379" i="16" s="1"/>
  <c r="Z380" i="16" a="1"/>
  <c r="Z380" i="16" s="1"/>
  <c r="Z381" i="16" a="1"/>
  <c r="Z381" i="16" s="1"/>
  <c r="Z382" i="16" a="1"/>
  <c r="Z382" i="16" s="1"/>
  <c r="Z383" i="16" a="1"/>
  <c r="Z383" i="16" s="1"/>
  <c r="Z384" i="16" a="1"/>
  <c r="Z384" i="16" s="1"/>
  <c r="Z385" i="16" a="1"/>
  <c r="Z385" i="16" s="1"/>
  <c r="Z386" i="16" a="1"/>
  <c r="Z386" i="16" s="1"/>
  <c r="Z387" i="16" a="1"/>
  <c r="Z387" i="16" s="1"/>
  <c r="Z388" i="16" a="1"/>
  <c r="Z388" i="16" s="1"/>
  <c r="Z389" i="16" a="1"/>
  <c r="Z389" i="16" s="1"/>
  <c r="Z390" i="16" a="1"/>
  <c r="Z390" i="16" s="1"/>
  <c r="Z391" i="16" a="1"/>
  <c r="Z391" i="16" s="1"/>
  <c r="Z392" i="16" a="1"/>
  <c r="Z392" i="16" s="1"/>
  <c r="Z393" i="16" a="1"/>
  <c r="Z393" i="16" s="1"/>
  <c r="Z394" i="16" a="1"/>
  <c r="Z394" i="16" s="1"/>
  <c r="Z395" i="16" a="1"/>
  <c r="Z395" i="16" s="1"/>
  <c r="Z396" i="16" a="1"/>
  <c r="Z396" i="16" s="1"/>
  <c r="Z397" i="16" a="1"/>
  <c r="Z397" i="16" s="1"/>
  <c r="Z398" i="16" a="1"/>
  <c r="Z398" i="16" s="1"/>
  <c r="Z399" i="16" a="1"/>
  <c r="Z399" i="16" s="1"/>
  <c r="Z400" i="16" a="1"/>
  <c r="Z400" i="16" s="1"/>
  <c r="Z401" i="16" a="1"/>
  <c r="Z401" i="16" s="1"/>
  <c r="Z402" i="16" a="1"/>
  <c r="Z402" i="16" s="1"/>
  <c r="Z403" i="16" a="1"/>
  <c r="Z403" i="16" s="1"/>
  <c r="Z404" i="16" a="1"/>
  <c r="Z404" i="16" s="1"/>
  <c r="Z405" i="16" a="1"/>
  <c r="Z405" i="16" s="1"/>
  <c r="Z406" i="16" a="1"/>
  <c r="Z406" i="16" s="1"/>
  <c r="Z407" i="16" a="1"/>
  <c r="Z407" i="16" s="1"/>
  <c r="Z408" i="16" a="1"/>
  <c r="Z408" i="16" s="1"/>
  <c r="Z409" i="16" a="1"/>
  <c r="Z409" i="16" s="1"/>
  <c r="Z410" i="16" a="1"/>
  <c r="Z410" i="16" s="1"/>
  <c r="Z411" i="16" a="1"/>
  <c r="Z411" i="16" s="1"/>
  <c r="Z412" i="16" a="1"/>
  <c r="Z412" i="16" s="1"/>
  <c r="Z413" i="16" a="1"/>
  <c r="Z413" i="16" s="1"/>
  <c r="Z414" i="16" a="1"/>
  <c r="Z414" i="16" s="1"/>
  <c r="Z415" i="16" a="1"/>
  <c r="Z415" i="16" s="1"/>
  <c r="Z416" i="16" a="1"/>
  <c r="Z416" i="16" s="1"/>
  <c r="Z417" i="16" a="1"/>
  <c r="Z417" i="16" s="1"/>
  <c r="Z418" i="16" a="1"/>
  <c r="Z418" i="16" s="1"/>
  <c r="Z419" i="16" a="1"/>
  <c r="Z419" i="16" s="1"/>
  <c r="Z420" i="16" a="1"/>
  <c r="Z420" i="16" s="1"/>
  <c r="Z421" i="16" a="1"/>
  <c r="Z421" i="16" s="1"/>
  <c r="Z422" i="16" a="1"/>
  <c r="Z422" i="16" s="1"/>
  <c r="Z423" i="16" a="1"/>
  <c r="Z423" i="16" s="1"/>
  <c r="Z424" i="16" a="1"/>
  <c r="Z424" i="16" s="1"/>
  <c r="Z425" i="16" a="1"/>
  <c r="Z425" i="16" s="1"/>
  <c r="Z426" i="16" a="1"/>
  <c r="Z426" i="16" s="1"/>
  <c r="Z427" i="16" a="1"/>
  <c r="Z427" i="16" s="1"/>
  <c r="Z428" i="16" a="1"/>
  <c r="Z428" i="16" s="1"/>
  <c r="Z429" i="16" a="1"/>
  <c r="Z429" i="16" s="1"/>
  <c r="Z430" i="16" a="1"/>
  <c r="Z430" i="16" s="1"/>
  <c r="Z433" i="16" a="1"/>
  <c r="Z433" i="16" s="1"/>
  <c r="Z434" i="16" a="1"/>
  <c r="Z434" i="16" s="1"/>
  <c r="Z435" i="16" a="1"/>
  <c r="Z435" i="16" s="1"/>
  <c r="Z436" i="16" a="1"/>
  <c r="Z436" i="16" s="1"/>
  <c r="Z437" i="16" a="1"/>
  <c r="Z437" i="16" s="1"/>
  <c r="Z438" i="16" a="1"/>
  <c r="Z438" i="16" s="1"/>
  <c r="Z439" i="16" a="1"/>
  <c r="Z439" i="16" s="1"/>
  <c r="Z440" i="16" a="1"/>
  <c r="Z440" i="16" s="1"/>
  <c r="Z441" i="16" a="1"/>
  <c r="Z441" i="16" s="1"/>
  <c r="Z442" i="16" a="1"/>
  <c r="Z442" i="16" s="1"/>
  <c r="Z443" i="16" a="1"/>
  <c r="Z443" i="16" s="1"/>
  <c r="Z444" i="16" a="1"/>
  <c r="Z444" i="16" s="1"/>
  <c r="Z445" i="16" a="1"/>
  <c r="Z445" i="16" s="1"/>
  <c r="Z446" i="16" a="1"/>
  <c r="Z446" i="16" s="1"/>
  <c r="Z447" i="16" a="1"/>
  <c r="Z447" i="16" s="1"/>
  <c r="Z448" i="16" a="1"/>
  <c r="Z448" i="16" s="1"/>
  <c r="Z449" i="16" a="1"/>
  <c r="Z449" i="16" s="1"/>
  <c r="Z450" i="16" a="1"/>
  <c r="Z450" i="16" s="1"/>
  <c r="Z451" i="16" a="1"/>
  <c r="Z451" i="16" s="1"/>
  <c r="Z452" i="16" a="1"/>
  <c r="Z452" i="16" s="1"/>
  <c r="Z453" i="16" a="1"/>
  <c r="Z453" i="16" s="1"/>
  <c r="Z454" i="16" a="1"/>
  <c r="Z454" i="16" s="1"/>
  <c r="Z455" i="16" a="1"/>
  <c r="Z455" i="16" s="1"/>
  <c r="Z456" i="16" a="1"/>
  <c r="Z456" i="16" s="1"/>
  <c r="Z457" i="16" a="1"/>
  <c r="Z457" i="16" s="1"/>
  <c r="Z458" i="16" a="1"/>
  <c r="Z458" i="16" s="1"/>
  <c r="Z459" i="16" a="1"/>
  <c r="Z459" i="16" s="1"/>
  <c r="Z460" i="16" a="1"/>
  <c r="Z460" i="16" s="1"/>
  <c r="Z461" i="16" a="1"/>
  <c r="Z461" i="16" s="1"/>
  <c r="Z462" i="16" a="1"/>
  <c r="Z462" i="16" s="1"/>
  <c r="Z463" i="16" a="1"/>
  <c r="Z463" i="16" s="1"/>
  <c r="Z464" i="16" a="1"/>
  <c r="Z464" i="16" s="1"/>
  <c r="Z465" i="16" a="1"/>
  <c r="Z465" i="16" s="1"/>
  <c r="Z466" i="16" a="1"/>
  <c r="Z466" i="16" s="1"/>
  <c r="Z467" i="16" a="1"/>
  <c r="Z467" i="16" s="1"/>
  <c r="Z468" i="16" a="1"/>
  <c r="Z468" i="16" s="1"/>
  <c r="Z469" i="16" a="1"/>
  <c r="Z469" i="16" s="1"/>
  <c r="Z472" i="16" a="1"/>
  <c r="Z472" i="16" s="1"/>
  <c r="Z473" i="16" a="1"/>
  <c r="Z473" i="16" s="1"/>
  <c r="Z474" i="16" a="1"/>
  <c r="Z474" i="16" s="1"/>
  <c r="Z475" i="16" a="1"/>
  <c r="Z475" i="16" s="1"/>
  <c r="Z476" i="16" a="1"/>
  <c r="Z476" i="16" s="1"/>
  <c r="Z477" i="16" a="1"/>
  <c r="Z477" i="16" s="1"/>
  <c r="Z478" i="16" a="1"/>
  <c r="Z478" i="16" s="1"/>
  <c r="Z479" i="16" a="1"/>
  <c r="Z479" i="16" s="1"/>
  <c r="Z480" i="16" a="1"/>
  <c r="Z480" i="16" s="1"/>
  <c r="Z481" i="16" a="1"/>
  <c r="Z481" i="16" s="1"/>
  <c r="Z482" i="16" a="1"/>
  <c r="Z482" i="16" s="1"/>
  <c r="Z483" i="16" a="1"/>
  <c r="Z483" i="16" s="1"/>
  <c r="Z484" i="16" a="1"/>
  <c r="Z484" i="16" s="1"/>
  <c r="Z485" i="16" a="1"/>
  <c r="Z485" i="16" s="1"/>
  <c r="Z486" i="16" a="1"/>
  <c r="Z486" i="16" s="1"/>
  <c r="Z487" i="16" a="1"/>
  <c r="Z487" i="16" s="1"/>
  <c r="Z488" i="16" a="1"/>
  <c r="Z488" i="16" s="1"/>
  <c r="Z489" i="16" a="1"/>
  <c r="Z489" i="16" s="1"/>
  <c r="Z490" i="16" a="1"/>
  <c r="Z490" i="16" s="1"/>
  <c r="Z491" i="16" a="1"/>
  <c r="Z491" i="16" s="1"/>
  <c r="Z492" i="16" a="1"/>
  <c r="Z492" i="16" s="1"/>
  <c r="Z493" i="16" a="1"/>
  <c r="Z493" i="16" s="1"/>
  <c r="Z494" i="16" a="1"/>
  <c r="Z494" i="16" s="1"/>
  <c r="Z495" i="16" a="1"/>
  <c r="Z495" i="16" s="1"/>
  <c r="Z496" i="16" a="1"/>
  <c r="Z496" i="16" s="1"/>
  <c r="Z497" i="16" a="1"/>
  <c r="Z497" i="16" s="1"/>
  <c r="Z498" i="16" a="1"/>
  <c r="Z498" i="16" s="1"/>
  <c r="Z499" i="16" a="1"/>
  <c r="Z499" i="16" s="1"/>
  <c r="Z500" i="16" a="1"/>
  <c r="Z500" i="16" s="1"/>
  <c r="Z501" i="16" a="1"/>
  <c r="Z501" i="16" s="1"/>
  <c r="Z502" i="16" a="1"/>
  <c r="Z502" i="16" s="1"/>
  <c r="Z503" i="16" a="1"/>
  <c r="Z503" i="16" s="1"/>
  <c r="Z504" i="16" a="1"/>
  <c r="Z504" i="16" s="1"/>
  <c r="Z505" i="16" a="1"/>
  <c r="Z505" i="16" s="1"/>
  <c r="Z506" i="16" a="1"/>
  <c r="Z506" i="16" s="1"/>
  <c r="Z507" i="16" a="1"/>
  <c r="Z507" i="16" s="1"/>
  <c r="Z508" i="16" a="1"/>
  <c r="Z508" i="16" s="1"/>
  <c r="Z510" i="16" a="1"/>
  <c r="Z510" i="16" s="1"/>
  <c r="Z511" i="16" a="1"/>
  <c r="Z511" i="16" s="1"/>
  <c r="Z512" i="16" a="1"/>
  <c r="Z512" i="16" s="1"/>
  <c r="Z513" i="16" a="1"/>
  <c r="Z513" i="16" s="1"/>
  <c r="Z514" i="16" a="1"/>
  <c r="Z514" i="16" s="1"/>
  <c r="Z515" i="16" a="1"/>
  <c r="Z515" i="16" s="1"/>
  <c r="Z516" i="16" a="1"/>
  <c r="Z516" i="16" s="1"/>
  <c r="Z517" i="16" a="1"/>
  <c r="Z517" i="16" s="1"/>
  <c r="Z518" i="16" a="1"/>
  <c r="Z518" i="16" s="1"/>
  <c r="Z519" i="16" a="1"/>
  <c r="Z519" i="16" s="1"/>
  <c r="Z520" i="16" a="1"/>
  <c r="Z520" i="16" s="1"/>
  <c r="Z521" i="16" a="1"/>
  <c r="Z521" i="16" s="1"/>
  <c r="Z522" i="16" a="1"/>
  <c r="Z522" i="16" s="1"/>
  <c r="Z523" i="16" a="1"/>
  <c r="Z523" i="16" s="1"/>
  <c r="Z524" i="16" a="1"/>
  <c r="Z524" i="16" s="1"/>
  <c r="Z525" i="16" a="1"/>
  <c r="Z525" i="16" s="1"/>
  <c r="Z526" i="16" a="1"/>
  <c r="Z526" i="16" s="1"/>
  <c r="Z527" i="16" a="1"/>
  <c r="Z527" i="16" s="1"/>
  <c r="Z528" i="16" a="1"/>
  <c r="Z528" i="16" s="1"/>
  <c r="Z529" i="16" a="1"/>
  <c r="Z529" i="16" s="1"/>
  <c r="Z530" i="16" a="1"/>
  <c r="Z530" i="16" s="1"/>
  <c r="Z531" i="16" a="1"/>
  <c r="Z531" i="16" s="1"/>
  <c r="Z532" i="16" a="1"/>
  <c r="Z532" i="16" s="1"/>
  <c r="Z533" i="16" a="1"/>
  <c r="Z533" i="16" s="1"/>
  <c r="Z534" i="16" a="1"/>
  <c r="Z534" i="16" s="1"/>
  <c r="Z535" i="16" a="1"/>
  <c r="Z535" i="16" s="1"/>
  <c r="Z536" i="16" a="1"/>
  <c r="Z536" i="16" s="1"/>
  <c r="Z537" i="16" a="1"/>
  <c r="Z537" i="16" s="1"/>
  <c r="Z538" i="16" a="1"/>
  <c r="Z538" i="16" s="1"/>
  <c r="Z539" i="16" a="1"/>
  <c r="Z539" i="16" s="1"/>
  <c r="Z540" i="16" a="1"/>
  <c r="Z540" i="16" s="1"/>
  <c r="Z541" i="16" a="1"/>
  <c r="Z541" i="16" s="1"/>
  <c r="Z542" i="16" a="1"/>
  <c r="Z542" i="16" s="1"/>
  <c r="Z543" i="16" a="1"/>
  <c r="Z543" i="16" s="1"/>
  <c r="Z544" i="16" a="1"/>
  <c r="Z544" i="16" s="1"/>
  <c r="Z545" i="16" a="1"/>
  <c r="Z545" i="16" s="1"/>
  <c r="Z546" i="16" a="1"/>
  <c r="Z546" i="16" s="1"/>
  <c r="Z547" i="16" a="1"/>
  <c r="Z547" i="16" s="1"/>
  <c r="Z549" i="16" a="1"/>
  <c r="Z549" i="16" s="1"/>
  <c r="Z550" i="16" a="1"/>
  <c r="Z550" i="16" s="1"/>
  <c r="Z551" i="16" a="1"/>
  <c r="Z551" i="16" s="1"/>
  <c r="Z552" i="16" a="1"/>
  <c r="Z552" i="16" s="1"/>
  <c r="Z553" i="16" a="1"/>
  <c r="Z553" i="16" s="1"/>
  <c r="Z554" i="16" a="1"/>
  <c r="Z554" i="16" s="1"/>
  <c r="Z555" i="16" a="1"/>
  <c r="Z555" i="16" s="1"/>
  <c r="Z556" i="16" a="1"/>
  <c r="Z556" i="16" s="1"/>
  <c r="Z557" i="16" a="1"/>
  <c r="Z557" i="16" s="1"/>
  <c r="Z558" i="16" a="1"/>
  <c r="Z558" i="16" s="1"/>
  <c r="Z559" i="16" a="1"/>
  <c r="Z559" i="16" s="1"/>
  <c r="Z560" i="16" a="1"/>
  <c r="Z560" i="16" s="1"/>
  <c r="Z561" i="16" a="1"/>
  <c r="Z561" i="16" s="1"/>
  <c r="Z562" i="16" a="1"/>
  <c r="Z562" i="16" s="1"/>
  <c r="Z563" i="16" a="1"/>
  <c r="Z563" i="16" s="1"/>
  <c r="Z564" i="16" a="1"/>
  <c r="Z564" i="16" s="1"/>
  <c r="Z565" i="16" a="1"/>
  <c r="Z565" i="16" s="1"/>
  <c r="Z566" i="16" a="1"/>
  <c r="Z566" i="16" s="1"/>
  <c r="Z567" i="16" a="1"/>
  <c r="Z567" i="16" s="1"/>
  <c r="Z568" i="16" a="1"/>
  <c r="Z568" i="16" s="1"/>
  <c r="Z569" i="16" a="1"/>
  <c r="Z569" i="16" s="1"/>
  <c r="Z570" i="16" a="1"/>
  <c r="Z570" i="16" s="1"/>
  <c r="Z571" i="16" a="1"/>
  <c r="Z571" i="16" s="1"/>
  <c r="Z572" i="16" a="1"/>
  <c r="Z572" i="16" s="1"/>
  <c r="Z573" i="16" a="1"/>
  <c r="Z573" i="16" s="1"/>
  <c r="Z574" i="16" a="1"/>
  <c r="Z574" i="16" s="1"/>
  <c r="Z575" i="16" a="1"/>
  <c r="Z575" i="16" s="1"/>
  <c r="Z576" i="16" a="1"/>
  <c r="Z576" i="16" s="1"/>
  <c r="Z577" i="16" a="1"/>
  <c r="Z577" i="16" s="1"/>
  <c r="Z578" i="16" a="1"/>
  <c r="Z578" i="16" s="1"/>
  <c r="Z579" i="16" a="1"/>
  <c r="Z579" i="16" s="1"/>
  <c r="Z580" i="16" a="1"/>
  <c r="Z580" i="16" s="1"/>
  <c r="Z581" i="16" a="1"/>
  <c r="Z581" i="16" s="1"/>
  <c r="Z582" i="16" a="1"/>
  <c r="Z582" i="16" s="1"/>
  <c r="Z583" i="16" a="1"/>
  <c r="Z583" i="16" s="1"/>
  <c r="Z584" i="16" a="1"/>
  <c r="Z584" i="16" s="1"/>
  <c r="Z585" i="16" a="1"/>
  <c r="Z585" i="16" s="1"/>
  <c r="Z586" i="16" a="1"/>
  <c r="Z586" i="16" s="1"/>
  <c r="Z587" i="16" a="1"/>
  <c r="Z587" i="16" s="1"/>
  <c r="Z588" i="16" a="1"/>
  <c r="Z588" i="16" s="1"/>
  <c r="Z589" i="16" a="1"/>
  <c r="Z589" i="16" s="1"/>
  <c r="Z590" i="16" a="1"/>
  <c r="Z590" i="16" s="1"/>
  <c r="Z591" i="16" a="1"/>
  <c r="Z591" i="16" s="1"/>
  <c r="Z592" i="16" a="1"/>
  <c r="Z592" i="16" s="1"/>
  <c r="Z593" i="16" a="1"/>
  <c r="Z593" i="16" s="1"/>
  <c r="Z594" i="16" a="1"/>
  <c r="Z594" i="16" s="1"/>
  <c r="Z595" i="16" a="1"/>
  <c r="Z595" i="16" s="1"/>
  <c r="Z596" i="16" a="1"/>
  <c r="Z596" i="16" s="1"/>
  <c r="Z597" i="16" a="1"/>
  <c r="Z597" i="16" s="1"/>
  <c r="Z598" i="16" a="1"/>
  <c r="Z598" i="16" s="1"/>
  <c r="Z599" i="16" a="1"/>
  <c r="Z599" i="16" s="1"/>
  <c r="Z600" i="16" a="1"/>
  <c r="Z600" i="16" s="1"/>
  <c r="Z601" i="16" a="1"/>
  <c r="Z601" i="16" s="1"/>
  <c r="Z602" i="16" a="1"/>
  <c r="Z602" i="16" s="1"/>
  <c r="Z603" i="16" a="1"/>
  <c r="Z603" i="16" s="1"/>
  <c r="Z604" i="16" a="1"/>
  <c r="Z604" i="16" s="1"/>
  <c r="Z605" i="16" a="1"/>
  <c r="Z605" i="16" s="1"/>
  <c r="Z606" i="16" a="1"/>
  <c r="Z606" i="16" s="1"/>
  <c r="Z607" i="16" a="1"/>
  <c r="Z607" i="16" s="1"/>
  <c r="Z608" i="16" a="1"/>
  <c r="Z608" i="16" s="1"/>
  <c r="Z609" i="16" a="1"/>
  <c r="Z609" i="16" s="1"/>
  <c r="Z610" i="16" a="1"/>
  <c r="Z610" i="16" s="1"/>
  <c r="Z611" i="16" a="1"/>
  <c r="Z611" i="16" s="1"/>
  <c r="Z612" i="16" a="1"/>
  <c r="Z612" i="16" s="1"/>
  <c r="Z613" i="16" a="1"/>
  <c r="Z613" i="16" s="1"/>
  <c r="Z614" i="16" a="1"/>
  <c r="Z614" i="16" s="1"/>
  <c r="Z615" i="16" a="1"/>
  <c r="Z615" i="16" s="1"/>
  <c r="Z616" i="16" a="1"/>
  <c r="Z616" i="16" s="1"/>
  <c r="Z617" i="16" a="1"/>
  <c r="Z617" i="16" s="1"/>
  <c r="Z618" i="16" a="1"/>
  <c r="Z618" i="16" s="1"/>
  <c r="Z619" i="16" a="1"/>
  <c r="Z619" i="16" s="1"/>
  <c r="Z620" i="16" a="1"/>
  <c r="Z620" i="16" s="1"/>
  <c r="Z621" i="16" a="1"/>
  <c r="Z621" i="16" s="1"/>
  <c r="Z622" i="16" a="1"/>
  <c r="Z622" i="16" s="1"/>
  <c r="Z623" i="16" a="1"/>
  <c r="Z623" i="16" s="1"/>
  <c r="Z624" i="16" a="1"/>
  <c r="Z624" i="16" s="1"/>
  <c r="Z625" i="16" a="1"/>
  <c r="Z625" i="16" s="1"/>
  <c r="Z626" i="16" a="1"/>
  <c r="Z626" i="16" s="1"/>
  <c r="Z627" i="16" a="1"/>
  <c r="Z627" i="16" s="1"/>
  <c r="Z628" i="16" a="1"/>
  <c r="Z628" i="16" s="1"/>
  <c r="Z629" i="16" a="1"/>
  <c r="Z629" i="16" s="1"/>
  <c r="Z630" i="16" a="1"/>
  <c r="Z630" i="16" s="1"/>
  <c r="Z631" i="16" a="1"/>
  <c r="Z631" i="16" s="1"/>
  <c r="Z632" i="16" a="1"/>
  <c r="Z632" i="16" s="1"/>
  <c r="Z633" i="16" a="1"/>
  <c r="Z633" i="16" s="1"/>
  <c r="Z634" i="16" a="1"/>
  <c r="Z634" i="16" s="1"/>
  <c r="Z635" i="16" a="1"/>
  <c r="Z635" i="16" s="1"/>
  <c r="Z636" i="16" a="1"/>
  <c r="Z636" i="16" s="1"/>
  <c r="Z637" i="16" a="1"/>
  <c r="Z637" i="16" s="1"/>
  <c r="Z638" i="16" a="1"/>
  <c r="Z638" i="16" s="1"/>
  <c r="Z639" i="16" a="1"/>
  <c r="Z639" i="16" s="1"/>
  <c r="Z640" i="16" a="1"/>
  <c r="Z640" i="16" s="1"/>
  <c r="Z641" i="16" a="1"/>
  <c r="Z641" i="16" s="1"/>
  <c r="Z642" i="16" a="1"/>
  <c r="Z642" i="16" s="1"/>
  <c r="Z643" i="16" a="1"/>
  <c r="Z643" i="16" s="1"/>
  <c r="Z644" i="16" a="1"/>
  <c r="Z644" i="16" s="1"/>
  <c r="Z645" i="16" a="1"/>
  <c r="Z645" i="16" s="1"/>
  <c r="Z646" i="16" a="1"/>
  <c r="Z646" i="16" s="1"/>
  <c r="Z647" i="16" a="1"/>
  <c r="Z647" i="16" s="1"/>
  <c r="Z648" i="16" a="1"/>
  <c r="Z648" i="16" s="1"/>
  <c r="Z649" i="16" a="1"/>
  <c r="Z649" i="16" s="1"/>
  <c r="Z650" i="16" a="1"/>
  <c r="Z650" i="16" s="1"/>
  <c r="Z651" i="16" a="1"/>
  <c r="Z651" i="16" s="1"/>
  <c r="Z652" i="16" a="1"/>
  <c r="Z652" i="16" s="1"/>
  <c r="Z653" i="16" a="1"/>
  <c r="Z653" i="16" s="1"/>
  <c r="Z654" i="16" a="1"/>
  <c r="Z654" i="16" s="1"/>
  <c r="Z655" i="16" a="1"/>
  <c r="Z655" i="16" s="1"/>
  <c r="Z656" i="16" a="1"/>
  <c r="Z656" i="16" s="1"/>
  <c r="Z657" i="16" a="1"/>
  <c r="Z657" i="16" s="1"/>
  <c r="Z658" i="16" a="1"/>
  <c r="Z658" i="16" s="1"/>
  <c r="Z659" i="16" a="1"/>
  <c r="Z659" i="16" s="1"/>
  <c r="Z660" i="16" a="1"/>
  <c r="Z660" i="16" s="1"/>
  <c r="Z661" i="16" a="1"/>
  <c r="Z661" i="16" s="1"/>
  <c r="Z662" i="16" a="1"/>
  <c r="Z662" i="16" s="1"/>
  <c r="Z663" i="16" a="1"/>
  <c r="Z663" i="16" s="1"/>
  <c r="Z664" i="16" a="1"/>
  <c r="Z664" i="16" s="1"/>
  <c r="Z665" i="16" a="1"/>
  <c r="Z665" i="16" s="1"/>
  <c r="Z666" i="16" a="1"/>
  <c r="Z666" i="16" s="1"/>
  <c r="Z667" i="16" a="1"/>
  <c r="Z667" i="16" s="1"/>
  <c r="Z668" i="16" a="1"/>
  <c r="Z668" i="16" s="1"/>
  <c r="Z669" i="16" a="1"/>
  <c r="Z669" i="16" s="1"/>
  <c r="Z670" i="16" a="1"/>
  <c r="Z670" i="16" s="1"/>
  <c r="Z671" i="16" a="1"/>
  <c r="Z671" i="16" s="1"/>
  <c r="Z672" i="16" a="1"/>
  <c r="Z672" i="16" s="1"/>
  <c r="Z673" i="16" a="1"/>
  <c r="Z673" i="16" s="1"/>
  <c r="Z674" i="16" a="1"/>
  <c r="Z674" i="16" s="1"/>
  <c r="Z675" i="16" a="1"/>
  <c r="Z675" i="16" s="1"/>
  <c r="Z676" i="16" a="1"/>
  <c r="Z676" i="16" s="1"/>
  <c r="Z677" i="16" a="1"/>
  <c r="Z677" i="16" s="1"/>
  <c r="Z678" i="16" a="1"/>
  <c r="Z678" i="16" s="1"/>
  <c r="Z679" i="16" a="1"/>
  <c r="Z679" i="16" s="1"/>
  <c r="Z680" i="16" a="1"/>
  <c r="Z680" i="16" s="1"/>
  <c r="Z681" i="16" a="1"/>
  <c r="Z681" i="16" s="1"/>
  <c r="Z682" i="16" a="1"/>
  <c r="Z682" i="16" s="1"/>
  <c r="Z683" i="16" a="1"/>
  <c r="Z683" i="16" s="1"/>
  <c r="Z684" i="16" a="1"/>
  <c r="Z684" i="16" s="1"/>
  <c r="Z685" i="16" a="1"/>
  <c r="Z685" i="16" s="1"/>
  <c r="Z686" i="16" a="1"/>
  <c r="Z686" i="16" s="1"/>
  <c r="Z687" i="16" a="1"/>
  <c r="Z687" i="16" s="1"/>
  <c r="Z688" i="16" a="1"/>
  <c r="Z688" i="16" s="1"/>
  <c r="Z689" i="16" a="1"/>
  <c r="Z689" i="16" s="1"/>
  <c r="Z690" i="16" a="1"/>
  <c r="Z690" i="16" s="1"/>
  <c r="Z691" i="16" a="1"/>
  <c r="Z691" i="16" s="1"/>
  <c r="Z692" i="16" a="1"/>
  <c r="Z692" i="16" s="1"/>
  <c r="Z693" i="16" a="1"/>
  <c r="Z693" i="16" s="1"/>
  <c r="Z694" i="16" a="1"/>
  <c r="Z694" i="16" s="1"/>
  <c r="Z695" i="16" a="1"/>
  <c r="Z695" i="16" s="1"/>
  <c r="Z696" i="16" a="1"/>
  <c r="Z696" i="16" s="1"/>
  <c r="Z697" i="16" a="1"/>
  <c r="Z697" i="16" s="1"/>
  <c r="Z698" i="16" a="1"/>
  <c r="Z698" i="16" s="1"/>
  <c r="Z699" i="16" a="1"/>
  <c r="Z699" i="16" s="1"/>
  <c r="Z700" i="16" a="1"/>
  <c r="Z700" i="16" s="1"/>
  <c r="Z701" i="16" a="1"/>
  <c r="Z701" i="16" s="1"/>
  <c r="Z702" i="16" a="1"/>
  <c r="Z702" i="16" s="1"/>
  <c r="Z703" i="16" a="1"/>
  <c r="Z703" i="16" s="1"/>
  <c r="Z704" i="16" a="1"/>
  <c r="Z704" i="16" s="1"/>
  <c r="Z705" i="16" a="1"/>
  <c r="Z705" i="16" s="1"/>
  <c r="Z706" i="16" a="1"/>
  <c r="Z706" i="16" s="1"/>
  <c r="Z707" i="16" a="1"/>
  <c r="Z707" i="16" s="1"/>
  <c r="Z708" i="16" a="1"/>
  <c r="Z708" i="16" s="1"/>
  <c r="Z709" i="16" a="1"/>
  <c r="Z709" i="16" s="1"/>
  <c r="Z710" i="16" a="1"/>
  <c r="Z710" i="16" s="1"/>
  <c r="Z711" i="16" a="1"/>
  <c r="Z711" i="16" s="1"/>
  <c r="Z712" i="16" a="1"/>
  <c r="Z712" i="16" s="1"/>
  <c r="Z713" i="16" a="1"/>
  <c r="Z713" i="16" s="1"/>
  <c r="Z714" i="16" a="1"/>
  <c r="Z714" i="16" s="1"/>
  <c r="Z715" i="16" a="1"/>
  <c r="Z715" i="16" s="1"/>
  <c r="Z716" i="16" a="1"/>
  <c r="Z716" i="16" s="1"/>
  <c r="Z717" i="16" a="1"/>
  <c r="Z717" i="16" s="1"/>
  <c r="Z718" i="16" a="1"/>
  <c r="Z718" i="16" s="1"/>
  <c r="Z719" i="16" a="1"/>
  <c r="Z719" i="16" s="1"/>
  <c r="Z720" i="16" a="1"/>
  <c r="Z720" i="16" s="1"/>
  <c r="Z721" i="16" a="1"/>
  <c r="Z721" i="16" s="1"/>
  <c r="Z722" i="16" a="1"/>
  <c r="Z722" i="16" s="1"/>
  <c r="Z723" i="16" a="1"/>
  <c r="Z723" i="16" s="1"/>
  <c r="Z724" i="16" a="1"/>
  <c r="Z724" i="16" s="1"/>
  <c r="Z725" i="16" a="1"/>
  <c r="Z725" i="16" s="1"/>
  <c r="Z726" i="16" a="1"/>
  <c r="Z726" i="16" s="1"/>
  <c r="Z727" i="16" a="1"/>
  <c r="Z727" i="16" s="1"/>
  <c r="Z728" i="16" a="1"/>
  <c r="Z728" i="16" s="1"/>
  <c r="Z729" i="16" a="1"/>
  <c r="Z729" i="16" s="1"/>
  <c r="Z730" i="16" a="1"/>
  <c r="Z730" i="16" s="1"/>
  <c r="Z731" i="16" a="1"/>
  <c r="Z731" i="16" s="1"/>
  <c r="Z732" i="16" a="1"/>
  <c r="Z732" i="16" s="1"/>
  <c r="Z733" i="16" a="1"/>
  <c r="Z733" i="16" s="1"/>
  <c r="Z734" i="16" a="1"/>
  <c r="Z734" i="16" s="1"/>
  <c r="Z735" i="16" a="1"/>
  <c r="Z735" i="16" s="1"/>
  <c r="Z736" i="16" a="1"/>
  <c r="Z736" i="16" s="1"/>
  <c r="Z737" i="16" a="1"/>
  <c r="Z737" i="16" s="1"/>
  <c r="Z738" i="16" a="1"/>
  <c r="Z738" i="16" s="1"/>
  <c r="Z739" i="16" a="1"/>
  <c r="Z739" i="16" s="1"/>
  <c r="Z740" i="16" a="1"/>
  <c r="Z740" i="16" s="1"/>
  <c r="Z741" i="16" a="1"/>
  <c r="Z741" i="16" s="1"/>
  <c r="Z742" i="16" a="1"/>
  <c r="Z742" i="16" s="1"/>
  <c r="Z743" i="16" a="1"/>
  <c r="Z743" i="16" s="1"/>
  <c r="Z744" i="16" a="1"/>
  <c r="Z744" i="16" s="1"/>
  <c r="Z745" i="16" a="1"/>
  <c r="Z745" i="16" s="1"/>
  <c r="Z746" i="16" a="1"/>
  <c r="Z746" i="16" s="1"/>
  <c r="Z747" i="16" a="1"/>
  <c r="Z747" i="16" s="1"/>
  <c r="Z748" i="16" a="1"/>
  <c r="Z748" i="16" s="1"/>
  <c r="Z749" i="16" a="1"/>
  <c r="Z749" i="16" s="1"/>
  <c r="Z750" i="16" a="1"/>
  <c r="Z750" i="16" s="1"/>
  <c r="Z751" i="16" a="1"/>
  <c r="Z751" i="16" s="1"/>
  <c r="Z752" i="16" a="1"/>
  <c r="Z752" i="16" s="1"/>
  <c r="Z753" i="16" a="1"/>
  <c r="Z753" i="16" s="1"/>
  <c r="Z754" i="16" a="1"/>
  <c r="Z754" i="16" s="1"/>
  <c r="Z755" i="16" a="1"/>
  <c r="Z755" i="16" s="1"/>
  <c r="Z756" i="16" a="1"/>
  <c r="Z756" i="16" s="1"/>
  <c r="Z757" i="16" a="1"/>
  <c r="Z757" i="16" s="1"/>
  <c r="Z758" i="16" a="1"/>
  <c r="Z758" i="16" s="1"/>
  <c r="Z759" i="16" a="1"/>
  <c r="Z759" i="16" s="1"/>
  <c r="Z760" i="16" a="1"/>
  <c r="Z760" i="16" s="1"/>
  <c r="Z761" i="16" a="1"/>
  <c r="Z761" i="16" s="1"/>
  <c r="Z762" i="16" a="1"/>
  <c r="Z762" i="16" s="1"/>
  <c r="Z763" i="16" a="1"/>
  <c r="Z763" i="16" s="1"/>
  <c r="Z764" i="16" a="1"/>
  <c r="Z764" i="16" s="1"/>
  <c r="Z765" i="16" a="1"/>
  <c r="Z765" i="16" s="1"/>
  <c r="Z766" i="16" a="1"/>
  <c r="Z766" i="16" s="1"/>
  <c r="Z767" i="16" a="1"/>
  <c r="Z767" i="16" s="1"/>
  <c r="Z768" i="16" a="1"/>
  <c r="Z768" i="16" s="1"/>
  <c r="Z769" i="16" a="1"/>
  <c r="Z769" i="16" s="1"/>
  <c r="Z770" i="16" a="1"/>
  <c r="Z770" i="16" s="1"/>
  <c r="Z771" i="16" a="1"/>
  <c r="Z771" i="16" s="1"/>
  <c r="Z772" i="16" a="1"/>
  <c r="Z772" i="16" s="1"/>
  <c r="Z773" i="16" a="1"/>
  <c r="Z773" i="16" s="1"/>
  <c r="Z774" i="16" a="1"/>
  <c r="Z774" i="16" s="1"/>
  <c r="Z775" i="16" a="1"/>
  <c r="Z775" i="16" s="1"/>
  <c r="Z776" i="16" a="1"/>
  <c r="Z776" i="16" s="1"/>
  <c r="Z777" i="16" a="1"/>
  <c r="Z777" i="16" s="1"/>
  <c r="Z778" i="16" a="1"/>
  <c r="Z778" i="16" s="1"/>
  <c r="Z779" i="16" a="1"/>
  <c r="Z779" i="16" s="1"/>
  <c r="Z780" i="16" a="1"/>
  <c r="Z780" i="16" s="1"/>
  <c r="Z781" i="16" a="1"/>
  <c r="Z781" i="16" s="1"/>
  <c r="Z782" i="16" a="1"/>
  <c r="Z782" i="16" s="1"/>
  <c r="Z783" i="16" a="1"/>
  <c r="Z783" i="16" s="1"/>
  <c r="Z784" i="16" a="1"/>
  <c r="Z784" i="16" s="1"/>
  <c r="Z785" i="16" a="1"/>
  <c r="Z785" i="16" s="1"/>
  <c r="Z786" i="16" a="1"/>
  <c r="Z786" i="16" s="1"/>
  <c r="Z787" i="16" a="1"/>
  <c r="Z787" i="16" s="1"/>
  <c r="Z788" i="16" a="1"/>
  <c r="Z788" i="16" s="1"/>
  <c r="Z789" i="16" a="1"/>
  <c r="Z789" i="16" s="1"/>
  <c r="Z790" i="16" a="1"/>
  <c r="Z790" i="16" s="1"/>
  <c r="Z791" i="16" a="1"/>
  <c r="Z791" i="16" s="1"/>
  <c r="Z792" i="16" a="1"/>
  <c r="Z792" i="16" s="1"/>
  <c r="Z793" i="16" a="1"/>
  <c r="Z793" i="16" s="1"/>
  <c r="Z794" i="16" a="1"/>
  <c r="Z794" i="16" s="1"/>
  <c r="Z795" i="16" a="1"/>
  <c r="Z795" i="16" s="1"/>
  <c r="Z796" i="16" a="1"/>
  <c r="Z796" i="16" s="1"/>
  <c r="Z797" i="16" a="1"/>
  <c r="Z797" i="16" s="1"/>
  <c r="Z798" i="16" a="1"/>
  <c r="Z798" i="16" s="1"/>
  <c r="Z799" i="16" a="1"/>
  <c r="Z799" i="16" s="1"/>
  <c r="Z800" i="16" a="1"/>
  <c r="Z800" i="16" s="1"/>
  <c r="Z801" i="16" a="1"/>
  <c r="Z801" i="16" s="1"/>
  <c r="Z802" i="16" a="1"/>
  <c r="Z802" i="16" s="1"/>
  <c r="Z803" i="16" a="1"/>
  <c r="Z803" i="16" s="1"/>
  <c r="Z804" i="16" a="1"/>
  <c r="Z804" i="16" s="1"/>
  <c r="Z805" i="16" a="1"/>
  <c r="Z805" i="16" s="1"/>
  <c r="Z806" i="16" a="1"/>
  <c r="Z806" i="16" s="1"/>
  <c r="Z807" i="16" a="1"/>
  <c r="Z807" i="16" s="1"/>
  <c r="Z808" i="16" a="1"/>
  <c r="Z808" i="16" s="1"/>
  <c r="Z809" i="16" a="1"/>
  <c r="Z809" i="16" s="1"/>
  <c r="Z810" i="16" a="1"/>
  <c r="Z810" i="16" s="1"/>
  <c r="Z811" i="16" a="1"/>
  <c r="Z811" i="16" s="1"/>
  <c r="Z812" i="16" a="1"/>
  <c r="Z812" i="16" s="1"/>
  <c r="Z813" i="16" a="1"/>
  <c r="Z813" i="16" s="1"/>
  <c r="Z814" i="16" a="1"/>
  <c r="Z814" i="16" s="1"/>
  <c r="Z815" i="16" a="1"/>
  <c r="Z815" i="16" s="1"/>
  <c r="Z816" i="16" a="1"/>
  <c r="Z816" i="16" s="1"/>
  <c r="Z817" i="16" a="1"/>
  <c r="Z817" i="16" s="1"/>
  <c r="Z818" i="16" a="1"/>
  <c r="Z818" i="16" s="1"/>
  <c r="Z819" i="16" a="1"/>
  <c r="Z819" i="16" s="1"/>
  <c r="Z820" i="16" a="1"/>
  <c r="Z820" i="16" s="1"/>
  <c r="Z821" i="16" a="1"/>
  <c r="Z821" i="16" s="1"/>
  <c r="Z822" i="16" a="1"/>
  <c r="Z822" i="16" s="1"/>
  <c r="Z823" i="16" a="1"/>
  <c r="Z823" i="16" s="1"/>
  <c r="Z824" i="16" a="1"/>
  <c r="Z824" i="16" s="1"/>
  <c r="Z825" i="16" a="1"/>
  <c r="Z825" i="16" s="1"/>
  <c r="Z826" i="16" a="1"/>
  <c r="Z826" i="16" s="1"/>
  <c r="Z827" i="16" a="1"/>
  <c r="Z827" i="16" s="1"/>
  <c r="Z828" i="16" a="1"/>
  <c r="Z828" i="16" s="1"/>
  <c r="Z829" i="16" a="1"/>
  <c r="Z829" i="16" s="1"/>
  <c r="Z830" i="16" a="1"/>
  <c r="Z830" i="16" s="1"/>
  <c r="Z831" i="16" a="1"/>
  <c r="Z831" i="16" s="1"/>
  <c r="Z832" i="16" a="1"/>
  <c r="Z832" i="16" s="1"/>
  <c r="Z833" i="16" a="1"/>
  <c r="Z833" i="16" s="1"/>
  <c r="Z834" i="16" a="1"/>
  <c r="Z834" i="16" s="1"/>
  <c r="Z835" i="16" a="1"/>
  <c r="Z835" i="16" s="1"/>
  <c r="Z836" i="16" a="1"/>
  <c r="Z836" i="16" s="1"/>
  <c r="Z837" i="16" a="1"/>
  <c r="Z837" i="16" s="1"/>
  <c r="Z838" i="16" a="1"/>
  <c r="Z838" i="16" s="1"/>
  <c r="Z839" i="16" a="1"/>
  <c r="Z839" i="16" s="1"/>
  <c r="Z840" i="16" a="1"/>
  <c r="Z840" i="16" s="1"/>
  <c r="Z841" i="16" a="1"/>
  <c r="Z841" i="16" s="1"/>
  <c r="Z842" i="16" a="1"/>
  <c r="Z842" i="16" s="1"/>
  <c r="Z843" i="16" a="1"/>
  <c r="Z843" i="16" s="1"/>
  <c r="Z844" i="16" a="1"/>
  <c r="Z844" i="16" s="1"/>
  <c r="Z845" i="16" a="1"/>
  <c r="Z845" i="16" s="1"/>
  <c r="Z846" i="16" a="1"/>
  <c r="Z846" i="16" s="1"/>
  <c r="Z847" i="16" a="1"/>
  <c r="Z847" i="16" s="1"/>
  <c r="Z848" i="16" a="1"/>
  <c r="Z848" i="16" s="1"/>
  <c r="Z849" i="16" a="1"/>
  <c r="Z849" i="16" s="1"/>
  <c r="Z850" i="16" a="1"/>
  <c r="Z850" i="16" s="1"/>
  <c r="Z851" i="16" a="1"/>
  <c r="Z851" i="16" s="1"/>
  <c r="Z852" i="16" a="1"/>
  <c r="Z852" i="16" s="1"/>
  <c r="Z853" i="16" a="1"/>
  <c r="Z853" i="16" s="1"/>
  <c r="Z854" i="16" a="1"/>
  <c r="Z854" i="16" s="1"/>
  <c r="Z855" i="16" a="1"/>
  <c r="Z855" i="16" s="1"/>
  <c r="Z856" i="16" a="1"/>
  <c r="Z856" i="16" s="1"/>
  <c r="Z857" i="16" a="1"/>
  <c r="Z857" i="16" s="1"/>
  <c r="Z858" i="16" a="1"/>
  <c r="Z858" i="16" s="1"/>
  <c r="Z859" i="16" a="1"/>
  <c r="Z859" i="16" s="1"/>
  <c r="Z860" i="16" a="1"/>
  <c r="Z860" i="16" s="1"/>
  <c r="Z861" i="16" a="1"/>
  <c r="Z861" i="16" s="1"/>
  <c r="Z862" i="16" a="1"/>
  <c r="Z862" i="16" s="1"/>
  <c r="Z863" i="16" a="1"/>
  <c r="Z863" i="16" s="1"/>
  <c r="Z864" i="16" a="1"/>
  <c r="Z864" i="16" s="1"/>
  <c r="Z865" i="16" a="1"/>
  <c r="Z865" i="16" s="1"/>
  <c r="Z866" i="16" a="1"/>
  <c r="Z866" i="16" s="1"/>
  <c r="Z867" i="16" a="1"/>
  <c r="Z867" i="16" s="1"/>
  <c r="Z868" i="16" a="1"/>
  <c r="Z868" i="16" s="1"/>
  <c r="Z869" i="16" a="1"/>
  <c r="Z869" i="16" s="1"/>
  <c r="Z870" i="16" a="1"/>
  <c r="Z870" i="16" s="1"/>
  <c r="Z871" i="16" a="1"/>
  <c r="Z871" i="16" s="1"/>
  <c r="Z872" i="16" a="1"/>
  <c r="Z872" i="16" s="1"/>
  <c r="Z873" i="16" a="1"/>
  <c r="Z873" i="16" s="1"/>
  <c r="Z874" i="16" a="1"/>
  <c r="Z874" i="16" s="1"/>
  <c r="Z875" i="16" a="1"/>
  <c r="Z875" i="16" s="1"/>
  <c r="Z876" i="16" a="1"/>
  <c r="Z876" i="16" s="1"/>
  <c r="Z877" i="16" a="1"/>
  <c r="Z877" i="16" s="1"/>
  <c r="Z878" i="16" a="1"/>
  <c r="Z878" i="16" s="1"/>
  <c r="Z879" i="16" a="1"/>
  <c r="Z879" i="16" s="1"/>
  <c r="Z880" i="16" a="1"/>
  <c r="Z880" i="16" s="1"/>
  <c r="Z881" i="16" a="1"/>
  <c r="Z881" i="16" s="1"/>
  <c r="Z882" i="16" a="1"/>
  <c r="Z882" i="16" s="1"/>
  <c r="Z883" i="16" a="1"/>
  <c r="Z883" i="16" s="1"/>
  <c r="Z884" i="16" a="1"/>
  <c r="Z884" i="16" s="1"/>
  <c r="Z885" i="16" a="1"/>
  <c r="Z885" i="16" s="1"/>
  <c r="Z886" i="16" a="1"/>
  <c r="Z886" i="16" s="1"/>
  <c r="Z887" i="16" a="1"/>
  <c r="Z887" i="16" s="1"/>
  <c r="Z888" i="16" a="1"/>
  <c r="Z888" i="16" s="1"/>
  <c r="Z889" i="16" a="1"/>
  <c r="Z889" i="16" s="1"/>
  <c r="Z890" i="16" a="1"/>
  <c r="Z890" i="16" s="1"/>
  <c r="Z891" i="16" a="1"/>
  <c r="Z891" i="16" s="1"/>
  <c r="Z892" i="16" a="1"/>
  <c r="Z892" i="16" s="1"/>
  <c r="Z893" i="16" a="1"/>
  <c r="Z893" i="16" s="1"/>
  <c r="Z894" i="16" a="1"/>
  <c r="Z894" i="16" s="1"/>
  <c r="Z895" i="16" a="1"/>
  <c r="Z895" i="16" s="1"/>
  <c r="Z896" i="16" a="1"/>
  <c r="Z896" i="16" s="1"/>
  <c r="Z897" i="16" a="1"/>
  <c r="Z897" i="16" s="1"/>
  <c r="Z898" i="16" a="1"/>
  <c r="Z898" i="16" s="1"/>
  <c r="Z899" i="16" a="1"/>
  <c r="Z899" i="16" s="1"/>
  <c r="Z900" i="16" a="1"/>
  <c r="Z900" i="16" s="1"/>
  <c r="Z901" i="16" a="1"/>
  <c r="Z901" i="16" s="1"/>
  <c r="Z902" i="16" a="1"/>
  <c r="Z902" i="16" s="1"/>
  <c r="Z903" i="16" a="1"/>
  <c r="Z903" i="16" s="1"/>
  <c r="Z904" i="16" a="1"/>
  <c r="Z904" i="16" s="1"/>
  <c r="Z905" i="16" a="1"/>
  <c r="Z905" i="16" s="1"/>
  <c r="Z906" i="16" a="1"/>
  <c r="Z906" i="16" s="1"/>
  <c r="Z907" i="16" a="1"/>
  <c r="Z907" i="16" s="1"/>
  <c r="Z908" i="16" a="1"/>
  <c r="Z908" i="16" s="1"/>
  <c r="Z909" i="16" a="1"/>
  <c r="Z909" i="16" s="1"/>
  <c r="Z910" i="16" a="1"/>
  <c r="Z910" i="16" s="1"/>
  <c r="Z911" i="16" a="1"/>
  <c r="Z911" i="16" s="1"/>
  <c r="Z912" i="16" a="1"/>
  <c r="Z912" i="16" s="1"/>
  <c r="Z913" i="16" a="1"/>
  <c r="Z913" i="16" s="1"/>
  <c r="Z914" i="16" a="1"/>
  <c r="Z914" i="16" s="1"/>
  <c r="Z915" i="16" a="1"/>
  <c r="Z915" i="16" s="1"/>
  <c r="Z916" i="16" a="1"/>
  <c r="Z916" i="16" s="1"/>
  <c r="Z917" i="16" a="1"/>
  <c r="Z917" i="16" s="1"/>
  <c r="Z918" i="16" a="1"/>
  <c r="Z918" i="16" s="1"/>
  <c r="Z919" i="16" a="1"/>
  <c r="Z919" i="16" s="1"/>
  <c r="Z920" i="16" a="1"/>
  <c r="Z920" i="16" s="1"/>
  <c r="Z921" i="16" a="1"/>
  <c r="Z921" i="16" s="1"/>
  <c r="Z922" i="16" a="1"/>
  <c r="Z922" i="16" s="1"/>
  <c r="Z923" i="16" a="1"/>
  <c r="Z923" i="16" s="1"/>
  <c r="Z924" i="16" a="1"/>
  <c r="Z924" i="16" s="1"/>
  <c r="Z925" i="16" a="1"/>
  <c r="Z925" i="16" s="1"/>
  <c r="Z926" i="16" a="1"/>
  <c r="Z926" i="16" s="1"/>
  <c r="Z927" i="16" a="1"/>
  <c r="Z927" i="16" s="1"/>
  <c r="Z928" i="16" a="1"/>
  <c r="Z928" i="16" s="1"/>
  <c r="Z929" i="16" a="1"/>
  <c r="Z929" i="16" s="1"/>
  <c r="Z930" i="16" a="1"/>
  <c r="Z930" i="16" s="1"/>
  <c r="Z931" i="16" a="1"/>
  <c r="Z931" i="16" s="1"/>
  <c r="Z932" i="16" a="1"/>
  <c r="Z932" i="16" s="1"/>
  <c r="Z933" i="16" a="1"/>
  <c r="Z933" i="16" s="1"/>
  <c r="Z934" i="16" a="1"/>
  <c r="Z934" i="16" s="1"/>
  <c r="Z935" i="16" a="1"/>
  <c r="Z935" i="16" s="1"/>
  <c r="Z936" i="16" a="1"/>
  <c r="Z936" i="16" s="1"/>
  <c r="Z937" i="16" a="1"/>
  <c r="Z937" i="16" s="1"/>
  <c r="Z938" i="16" a="1"/>
  <c r="Z938" i="16" s="1"/>
  <c r="Z939" i="16" a="1"/>
  <c r="Z939" i="16" s="1"/>
  <c r="Z940" i="16" a="1"/>
  <c r="Z940" i="16" s="1"/>
  <c r="Z941" i="16" a="1"/>
  <c r="Z941" i="16" s="1"/>
  <c r="Z942" i="16" a="1"/>
  <c r="Z942" i="16" s="1"/>
  <c r="Z943" i="16" a="1"/>
  <c r="Z943" i="16" s="1"/>
  <c r="Z944" i="16" a="1"/>
  <c r="Z944" i="16" s="1"/>
  <c r="Z945" i="16" a="1"/>
  <c r="Z945" i="16" s="1"/>
  <c r="Z946" i="16" a="1"/>
  <c r="Z946" i="16" s="1"/>
  <c r="Z947" i="16" a="1"/>
  <c r="Z947" i="16" s="1"/>
  <c r="Z948" i="16" a="1"/>
  <c r="Z948" i="16" s="1"/>
  <c r="Z949" i="16" a="1"/>
  <c r="Z949" i="16" s="1"/>
  <c r="Z950" i="16" a="1"/>
  <c r="Z950" i="16" s="1"/>
  <c r="Z951" i="16" a="1"/>
  <c r="Z951" i="16" s="1"/>
  <c r="Z952" i="16" a="1"/>
  <c r="Z952" i="16" s="1"/>
  <c r="Z953" i="16" a="1"/>
  <c r="Z953" i="16" s="1"/>
  <c r="Z954" i="16" a="1"/>
  <c r="Z954" i="16" s="1"/>
  <c r="Z955" i="16" a="1"/>
  <c r="Z955" i="16" s="1"/>
  <c r="Z956" i="16" a="1"/>
  <c r="Z956" i="16" s="1"/>
  <c r="Z957" i="16" a="1"/>
  <c r="Z957" i="16" s="1"/>
  <c r="Z958" i="16" a="1"/>
  <c r="Z958" i="16" s="1"/>
  <c r="Z959" i="16" a="1"/>
  <c r="Z959" i="16" s="1"/>
  <c r="Z960" i="16" a="1"/>
  <c r="Z960" i="16" s="1"/>
  <c r="Z961" i="16" a="1"/>
  <c r="Z961" i="16" s="1"/>
  <c r="Z962" i="16" a="1"/>
  <c r="Z962" i="16" s="1"/>
  <c r="Z963" i="16" a="1"/>
  <c r="Z963" i="16" s="1"/>
  <c r="Z964" i="16" a="1"/>
  <c r="Z964" i="16" s="1"/>
  <c r="Z965" i="16" a="1"/>
  <c r="Z965" i="16" s="1"/>
  <c r="Z966" i="16" a="1"/>
  <c r="Z966" i="16" s="1"/>
  <c r="Z967" i="16" a="1"/>
  <c r="Z967" i="16" s="1"/>
  <c r="Z968" i="16" a="1"/>
  <c r="Z968" i="16" s="1"/>
  <c r="Z969" i="16" a="1"/>
  <c r="Z969" i="16" s="1"/>
  <c r="Z970" i="16" a="1"/>
  <c r="Z970" i="16" s="1"/>
  <c r="Z971" i="16" a="1"/>
  <c r="Z971" i="16" s="1"/>
  <c r="Z972" i="16" a="1"/>
  <c r="Z972" i="16" s="1"/>
  <c r="Z973" i="16" a="1"/>
  <c r="Z973" i="16" s="1"/>
  <c r="Z974" i="16" a="1"/>
  <c r="Z974" i="16" s="1"/>
  <c r="Z975" i="16" a="1"/>
  <c r="Z975" i="16" s="1"/>
  <c r="Z976" i="16" a="1"/>
  <c r="Z976" i="16" s="1"/>
  <c r="Z977" i="16" a="1"/>
  <c r="Z977" i="16" s="1"/>
  <c r="Z978" i="16" a="1"/>
  <c r="Z978" i="16" s="1"/>
  <c r="Z979" i="16" a="1"/>
  <c r="Z979" i="16" s="1"/>
  <c r="Z980" i="16" a="1"/>
  <c r="Z980" i="16" s="1"/>
  <c r="Z981" i="16" a="1"/>
  <c r="Z981" i="16" s="1"/>
  <c r="Z982" i="16" a="1"/>
  <c r="Z982" i="16" s="1"/>
  <c r="Z983" i="16" a="1"/>
  <c r="Z983" i="16" s="1"/>
  <c r="Z984" i="16" a="1"/>
  <c r="Z984" i="16" s="1"/>
  <c r="Z985" i="16" a="1"/>
  <c r="Z985" i="16" s="1"/>
  <c r="Z986" i="16" a="1"/>
  <c r="Z986" i="16" s="1"/>
  <c r="Z987" i="16" a="1"/>
  <c r="Z987" i="16" s="1"/>
  <c r="Z988" i="16" a="1"/>
  <c r="Z988" i="16" s="1"/>
  <c r="Z989" i="16" a="1"/>
  <c r="Z989" i="16" s="1"/>
  <c r="Z990" i="16" a="1"/>
  <c r="Z990" i="16" s="1"/>
  <c r="Z991" i="16" a="1"/>
  <c r="Z991" i="16" s="1"/>
  <c r="Z992" i="16" a="1"/>
  <c r="Z992" i="16" s="1"/>
  <c r="Z993" i="16" a="1"/>
  <c r="Z993" i="16" s="1"/>
  <c r="Z994" i="16" a="1"/>
  <c r="Z994" i="16" s="1"/>
  <c r="Z995" i="16" a="1"/>
  <c r="Z995" i="16" s="1"/>
  <c r="Z996" i="16" a="1"/>
  <c r="Z996" i="16" s="1"/>
  <c r="Z997" i="16" a="1"/>
  <c r="Z997" i="16" s="1"/>
  <c r="Z998" i="16" a="1"/>
  <c r="Z998" i="16" s="1"/>
  <c r="Z999" i="16" a="1"/>
  <c r="Z999" i="16" s="1"/>
  <c r="Z1000" i="16" a="1"/>
  <c r="Z1000" i="16" s="1"/>
  <c r="AS3" i="16"/>
  <c r="AS4" i="16"/>
  <c r="AS5" i="16"/>
  <c r="AS6" i="16"/>
  <c r="AS7" i="16"/>
  <c r="AS8" i="16"/>
  <c r="AS9" i="16"/>
  <c r="AS10" i="16"/>
  <c r="AS11" i="16"/>
  <c r="AS12" i="16"/>
  <c r="AS13" i="16"/>
  <c r="AS14" i="16"/>
  <c r="AS15" i="16"/>
  <c r="AS16" i="16"/>
  <c r="AS17" i="16"/>
  <c r="AS18" i="16"/>
  <c r="AS19" i="16"/>
  <c r="AS20" i="16"/>
  <c r="AS21" i="16"/>
  <c r="AS22" i="16"/>
  <c r="AS23" i="16"/>
  <c r="AS24" i="16"/>
  <c r="AS25" i="16"/>
  <c r="AS26" i="16"/>
  <c r="AS27" i="16"/>
  <c r="AS28" i="16"/>
  <c r="AS29" i="16"/>
  <c r="AS30" i="16"/>
  <c r="AS31" i="16"/>
  <c r="AS32" i="16"/>
  <c r="AS33" i="16"/>
  <c r="AS34" i="16"/>
  <c r="AS35" i="16"/>
  <c r="AS36" i="16"/>
  <c r="AS37" i="16"/>
  <c r="AS38" i="16"/>
  <c r="AS39" i="16"/>
  <c r="AS40" i="16"/>
  <c r="AS41" i="16"/>
  <c r="AS42" i="16"/>
  <c r="AS43" i="16"/>
  <c r="AS44" i="16"/>
  <c r="AS45" i="16"/>
  <c r="AS46" i="16"/>
  <c r="AS47" i="16"/>
  <c r="AS48" i="16"/>
  <c r="AS49" i="16"/>
  <c r="AS50" i="16"/>
  <c r="AS51" i="16"/>
  <c r="AS52" i="16"/>
  <c r="AS53" i="16"/>
  <c r="AS54" i="16"/>
  <c r="AS55" i="16"/>
  <c r="AS56" i="16"/>
  <c r="AS57" i="16"/>
  <c r="AS58" i="16"/>
  <c r="AS59" i="16"/>
  <c r="AS60" i="16"/>
  <c r="AS61" i="16"/>
  <c r="AS62" i="16"/>
  <c r="AS63" i="16"/>
  <c r="AS64" i="16"/>
  <c r="AS65" i="16"/>
  <c r="AS66" i="16"/>
  <c r="AS67" i="16"/>
  <c r="AS68" i="16"/>
  <c r="AS69" i="16"/>
  <c r="AS70" i="16"/>
  <c r="AS71" i="16"/>
  <c r="AS72" i="16"/>
  <c r="AS73" i="16"/>
  <c r="AS74" i="16"/>
  <c r="AS75" i="16"/>
  <c r="AS76" i="16"/>
  <c r="AS77" i="16"/>
  <c r="AS78" i="16"/>
  <c r="AS79" i="16"/>
  <c r="AS80" i="16"/>
  <c r="AS81" i="16"/>
  <c r="AS82" i="16"/>
  <c r="AS83" i="16"/>
  <c r="AS84" i="16"/>
  <c r="AS85" i="16"/>
  <c r="AS86" i="16"/>
  <c r="AS87" i="16"/>
  <c r="AS88" i="16"/>
  <c r="AS89" i="16"/>
  <c r="AS90" i="16"/>
  <c r="AS91" i="16"/>
  <c r="AS92" i="16"/>
  <c r="AS93" i="16"/>
  <c r="AS94" i="16"/>
  <c r="AS95" i="16"/>
  <c r="AS96" i="16"/>
  <c r="AS97" i="16"/>
  <c r="AS98" i="16"/>
  <c r="AS99" i="16"/>
  <c r="AS100" i="16"/>
  <c r="AS101" i="16"/>
  <c r="AS102" i="16"/>
  <c r="AS103" i="16"/>
  <c r="AS104" i="16"/>
  <c r="AS105" i="16"/>
  <c r="AS106" i="16"/>
  <c r="AS107" i="16"/>
  <c r="AS108" i="16"/>
  <c r="AS109" i="16"/>
  <c r="AS110" i="16"/>
  <c r="AS111" i="16"/>
  <c r="AS112" i="16"/>
  <c r="AS113" i="16"/>
  <c r="AS114" i="16"/>
  <c r="AS115" i="16"/>
  <c r="AS116" i="16"/>
  <c r="AS117" i="16"/>
  <c r="AS118" i="16"/>
  <c r="AS119" i="16"/>
  <c r="AS120" i="16"/>
  <c r="AS121" i="16"/>
  <c r="AS122" i="16"/>
  <c r="AS123" i="16"/>
  <c r="AS124" i="16"/>
  <c r="AS125" i="16"/>
  <c r="AS126" i="16"/>
  <c r="AS127" i="16"/>
  <c r="AS128" i="16"/>
  <c r="AS129" i="16"/>
  <c r="AS130" i="16"/>
  <c r="AS131" i="16"/>
  <c r="AS132" i="16"/>
  <c r="AS133" i="16"/>
  <c r="AS134" i="16"/>
  <c r="AS135" i="16"/>
  <c r="AS136" i="16"/>
  <c r="AS137" i="16"/>
  <c r="AS138" i="16"/>
  <c r="AS139" i="16"/>
  <c r="AS140" i="16"/>
  <c r="AS141" i="16"/>
  <c r="AS142" i="16"/>
  <c r="AS143" i="16"/>
  <c r="AS144" i="16"/>
  <c r="AS145" i="16"/>
  <c r="AS146" i="16"/>
  <c r="AS147" i="16"/>
  <c r="AS148" i="16"/>
  <c r="AS149" i="16"/>
  <c r="AS150" i="16"/>
  <c r="AS151" i="16"/>
  <c r="AS152" i="16"/>
  <c r="AS153" i="16"/>
  <c r="AS154" i="16"/>
  <c r="AS155" i="16"/>
  <c r="AS156" i="16"/>
  <c r="AS157" i="16"/>
  <c r="AS158" i="16"/>
  <c r="AS159" i="16"/>
  <c r="AS160" i="16"/>
  <c r="AS161" i="16"/>
  <c r="AS162" i="16"/>
  <c r="AS163" i="16"/>
  <c r="AS164" i="16"/>
  <c r="AS165" i="16"/>
  <c r="AS166" i="16"/>
  <c r="AS167" i="16"/>
  <c r="AS168" i="16"/>
  <c r="AS169" i="16"/>
  <c r="AS170" i="16"/>
  <c r="AS171" i="16"/>
  <c r="AS172" i="16"/>
  <c r="AS173" i="16"/>
  <c r="AS174" i="16"/>
  <c r="AS175" i="16"/>
  <c r="AS176" i="16"/>
  <c r="AS177" i="16"/>
  <c r="AS178" i="16"/>
  <c r="AS179" i="16"/>
  <c r="AS180" i="16"/>
  <c r="AS181" i="16"/>
  <c r="AS182" i="16"/>
  <c r="AS183" i="16"/>
  <c r="AS184" i="16"/>
  <c r="AS185" i="16"/>
  <c r="AS186" i="16"/>
  <c r="AS187" i="16"/>
  <c r="AS188" i="16"/>
  <c r="AS189" i="16"/>
  <c r="AS190" i="16"/>
  <c r="AS191" i="16"/>
  <c r="AS192" i="16"/>
  <c r="AS193" i="16"/>
  <c r="AS194" i="16"/>
  <c r="AS195" i="16"/>
  <c r="AS196" i="16"/>
  <c r="AS197" i="16"/>
  <c r="AS198" i="16"/>
  <c r="AS199" i="16"/>
  <c r="AS200" i="16"/>
  <c r="AS201" i="16"/>
  <c r="AS202" i="16"/>
  <c r="AS203" i="16"/>
  <c r="AS204" i="16"/>
  <c r="AS205" i="16"/>
  <c r="AS206" i="16"/>
  <c r="AS207" i="16"/>
  <c r="AS208" i="16"/>
  <c r="AS209" i="16"/>
  <c r="AS210" i="16"/>
  <c r="AS211" i="16"/>
  <c r="AS212" i="16"/>
  <c r="AS213" i="16"/>
  <c r="AS214" i="16"/>
  <c r="AS215" i="16"/>
  <c r="AS216" i="16"/>
  <c r="AS217" i="16"/>
  <c r="AS218" i="16"/>
  <c r="AS219" i="16"/>
  <c r="AS220" i="16"/>
  <c r="AS221" i="16"/>
  <c r="AS222" i="16"/>
  <c r="AS223" i="16"/>
  <c r="AS224" i="16"/>
  <c r="AS225" i="16"/>
  <c r="AS226" i="16"/>
  <c r="AS227" i="16"/>
  <c r="AS228" i="16"/>
  <c r="AS229" i="16"/>
  <c r="AS230" i="16"/>
  <c r="AS231" i="16"/>
  <c r="AS232" i="16"/>
  <c r="AS233" i="16"/>
  <c r="AS234" i="16"/>
  <c r="AS235" i="16"/>
  <c r="AS236" i="16"/>
  <c r="AS237" i="16"/>
  <c r="AS238" i="16"/>
  <c r="AS239" i="16"/>
  <c r="AS240" i="16"/>
  <c r="AS241" i="16"/>
  <c r="AS242" i="16"/>
  <c r="AS243" i="16"/>
  <c r="AS244" i="16"/>
  <c r="AS245" i="16"/>
  <c r="AS246" i="16"/>
  <c r="AS247" i="16"/>
  <c r="AS248" i="16"/>
  <c r="AS249" i="16"/>
  <c r="AS250" i="16"/>
  <c r="AS251" i="16"/>
  <c r="AS252" i="16"/>
  <c r="AS253" i="16"/>
  <c r="AS254" i="16"/>
  <c r="AS255" i="16"/>
  <c r="AS256" i="16"/>
  <c r="AS257" i="16"/>
  <c r="AS258" i="16"/>
  <c r="AS259" i="16"/>
  <c r="AS260" i="16"/>
  <c r="AS261" i="16"/>
  <c r="AS262" i="16"/>
  <c r="AS263" i="16"/>
  <c r="AS264" i="16"/>
  <c r="AS265" i="16"/>
  <c r="AS266" i="16"/>
  <c r="AS267" i="16"/>
  <c r="AS268" i="16"/>
  <c r="AS269" i="16"/>
  <c r="AS270" i="16"/>
  <c r="AS271" i="16"/>
  <c r="AS272" i="16"/>
  <c r="AS273" i="16"/>
  <c r="AS274" i="16"/>
  <c r="AS275" i="16"/>
  <c r="AS276" i="16"/>
  <c r="AS277" i="16"/>
  <c r="AS278" i="16"/>
  <c r="AS279" i="16"/>
  <c r="AS280" i="16"/>
  <c r="AS281" i="16"/>
  <c r="AS282" i="16"/>
  <c r="AS283" i="16"/>
  <c r="AS284" i="16"/>
  <c r="AS285" i="16"/>
  <c r="AS286" i="16"/>
  <c r="AS287" i="16"/>
  <c r="AS288" i="16"/>
  <c r="AS289" i="16"/>
  <c r="AS290" i="16"/>
  <c r="AS291" i="16"/>
  <c r="AS292" i="16"/>
  <c r="AS293" i="16"/>
  <c r="AS294" i="16"/>
  <c r="AS295" i="16"/>
  <c r="AS296" i="16"/>
  <c r="AS297" i="16"/>
  <c r="AS298" i="16"/>
  <c r="AS299" i="16"/>
  <c r="AS300" i="16"/>
  <c r="AS301" i="16"/>
  <c r="AS302" i="16"/>
  <c r="AS303" i="16"/>
  <c r="AS304" i="16"/>
  <c r="AS305" i="16"/>
  <c r="AS306" i="16"/>
  <c r="AS307" i="16"/>
  <c r="AS308" i="16"/>
  <c r="AS309" i="16"/>
  <c r="AS310" i="16"/>
  <c r="AS311" i="16"/>
  <c r="AS312" i="16"/>
  <c r="AS313" i="16"/>
  <c r="AS314" i="16"/>
  <c r="AS315" i="16"/>
  <c r="AS316" i="16"/>
  <c r="AS317" i="16"/>
  <c r="AS318" i="16"/>
  <c r="AS319" i="16"/>
  <c r="AS320" i="16"/>
  <c r="AS321" i="16"/>
  <c r="AS322" i="16"/>
  <c r="AS323" i="16"/>
  <c r="AS324" i="16"/>
  <c r="AS325" i="16"/>
  <c r="AS326" i="16"/>
  <c r="AS327" i="16"/>
  <c r="AS328" i="16"/>
  <c r="AS329" i="16"/>
  <c r="AS330" i="16"/>
  <c r="AS331" i="16"/>
  <c r="AS332" i="16"/>
  <c r="AS333" i="16"/>
  <c r="AS334" i="16"/>
  <c r="AS335" i="16"/>
  <c r="AS336" i="16"/>
  <c r="AS337" i="16"/>
  <c r="AS338" i="16"/>
  <c r="AS339" i="16"/>
  <c r="AS340" i="16"/>
  <c r="AS341" i="16"/>
  <c r="AS342" i="16"/>
  <c r="AS343" i="16"/>
  <c r="AS344" i="16"/>
  <c r="AS345" i="16"/>
  <c r="AS346" i="16"/>
  <c r="AS347" i="16"/>
  <c r="AS348" i="16"/>
  <c r="AS349" i="16"/>
  <c r="AS350" i="16"/>
  <c r="AS351" i="16"/>
  <c r="AS352" i="16"/>
  <c r="AS353" i="16"/>
  <c r="AS354" i="16"/>
  <c r="AS355" i="16"/>
  <c r="AS356" i="16"/>
  <c r="AS357" i="16"/>
  <c r="AS358" i="16"/>
  <c r="AS359" i="16"/>
  <c r="AS360" i="16"/>
  <c r="AS361" i="16"/>
  <c r="AS362" i="16"/>
  <c r="AS363" i="16"/>
  <c r="AS364" i="16"/>
  <c r="AS365" i="16"/>
  <c r="AS366" i="16"/>
  <c r="AS367" i="16"/>
  <c r="AS368" i="16"/>
  <c r="AS369" i="16"/>
  <c r="AS370" i="16"/>
  <c r="AS371" i="16"/>
  <c r="AS372" i="16"/>
  <c r="AS373" i="16"/>
  <c r="AS374" i="16"/>
  <c r="AS375" i="16"/>
  <c r="AS376" i="16"/>
  <c r="AS377" i="16"/>
  <c r="AS378" i="16"/>
  <c r="AS379" i="16"/>
  <c r="AS380" i="16"/>
  <c r="AS381" i="16"/>
  <c r="AS382" i="16"/>
  <c r="AS383" i="16"/>
  <c r="AS384" i="16"/>
  <c r="AS385" i="16"/>
  <c r="AS386" i="16"/>
  <c r="AS387" i="16"/>
  <c r="AS388" i="16"/>
  <c r="AS389" i="16"/>
  <c r="AS390" i="16"/>
  <c r="AS391" i="16"/>
  <c r="AS392" i="16"/>
  <c r="AS393" i="16"/>
  <c r="AS394" i="16"/>
  <c r="AS395" i="16"/>
  <c r="AS396" i="16"/>
  <c r="AS397" i="16"/>
  <c r="AS398" i="16"/>
  <c r="AS399" i="16"/>
  <c r="AS400" i="16"/>
  <c r="AS401" i="16"/>
  <c r="AS402" i="16"/>
  <c r="AS403" i="16"/>
  <c r="AS404" i="16"/>
  <c r="AS405" i="16"/>
  <c r="AS406" i="16"/>
  <c r="AS407" i="16"/>
  <c r="AS408" i="16"/>
  <c r="AS409" i="16"/>
  <c r="AS410" i="16"/>
  <c r="AS411" i="16"/>
  <c r="AS412" i="16"/>
  <c r="AS413" i="16"/>
  <c r="AS414" i="16"/>
  <c r="AS415" i="16"/>
  <c r="AS416" i="16"/>
  <c r="AS417" i="16"/>
  <c r="AS418" i="16"/>
  <c r="AS419" i="16"/>
  <c r="AS420" i="16"/>
  <c r="AS421" i="16"/>
  <c r="AS422" i="16"/>
  <c r="AS423" i="16"/>
  <c r="AS424" i="16"/>
  <c r="AS425" i="16"/>
  <c r="AS426" i="16"/>
  <c r="AS427" i="16"/>
  <c r="AS428" i="16"/>
  <c r="AS429" i="16"/>
  <c r="AS430" i="16"/>
  <c r="AS431" i="16"/>
  <c r="AS432" i="16"/>
  <c r="AS433" i="16"/>
  <c r="AS434" i="16"/>
  <c r="AS435" i="16"/>
  <c r="AS436" i="16"/>
  <c r="AS437" i="16"/>
  <c r="AS438" i="16"/>
  <c r="AS439" i="16"/>
  <c r="AS440" i="16"/>
  <c r="AS441" i="16"/>
  <c r="AS442" i="16"/>
  <c r="AS443" i="16"/>
  <c r="AS444" i="16"/>
  <c r="AS445" i="16"/>
  <c r="AS446" i="16"/>
  <c r="AS447" i="16"/>
  <c r="AS448" i="16"/>
  <c r="AS449" i="16"/>
  <c r="AS450" i="16"/>
  <c r="AS451" i="16"/>
  <c r="AS452" i="16"/>
  <c r="AS453" i="16"/>
  <c r="AS454" i="16"/>
  <c r="AS455" i="16"/>
  <c r="AS456" i="16"/>
  <c r="AS457" i="16"/>
  <c r="AS458" i="16"/>
  <c r="AS459" i="16"/>
  <c r="AS460" i="16"/>
  <c r="AS461" i="16"/>
  <c r="AS462" i="16"/>
  <c r="AS463" i="16"/>
  <c r="AS464" i="16"/>
  <c r="AS465" i="16"/>
  <c r="AS466" i="16"/>
  <c r="AS467" i="16"/>
  <c r="AS468" i="16"/>
  <c r="AS469" i="16"/>
  <c r="AS470" i="16"/>
  <c r="AS471" i="16"/>
  <c r="AS472" i="16"/>
  <c r="AS473" i="16"/>
  <c r="AS474" i="16"/>
  <c r="AS475" i="16"/>
  <c r="AS476" i="16"/>
  <c r="AS477" i="16"/>
  <c r="AS478" i="16"/>
  <c r="AS479" i="16"/>
  <c r="AS480" i="16"/>
  <c r="AS481" i="16"/>
  <c r="AS482" i="16"/>
  <c r="AS483" i="16"/>
  <c r="AS484" i="16"/>
  <c r="AS485" i="16"/>
  <c r="AS486" i="16"/>
  <c r="AS487" i="16"/>
  <c r="AS488" i="16"/>
  <c r="AS489" i="16"/>
  <c r="AS490" i="16"/>
  <c r="AS491" i="16"/>
  <c r="AS492" i="16"/>
  <c r="AS493" i="16"/>
  <c r="AS494" i="16"/>
  <c r="AS495" i="16"/>
  <c r="AS496" i="16"/>
  <c r="AS497" i="16"/>
  <c r="AS498" i="16"/>
  <c r="AS499" i="16"/>
  <c r="AS500" i="16"/>
  <c r="AS501" i="16"/>
  <c r="AS502" i="16"/>
  <c r="AS503" i="16"/>
  <c r="AS504" i="16"/>
  <c r="AS505" i="16"/>
  <c r="AS506" i="16"/>
  <c r="AS507" i="16"/>
  <c r="AS508" i="16"/>
  <c r="AS509" i="16"/>
  <c r="AS510" i="16"/>
  <c r="AS511" i="16"/>
  <c r="AS512" i="16"/>
  <c r="AS513" i="16"/>
  <c r="AS514" i="16"/>
  <c r="AS515" i="16"/>
  <c r="AS516" i="16"/>
  <c r="AS517" i="16"/>
  <c r="AS518" i="16"/>
  <c r="AS519" i="16"/>
  <c r="AS520" i="16"/>
  <c r="AS521" i="16"/>
  <c r="AS522" i="16"/>
  <c r="AS523" i="16"/>
  <c r="AS524" i="16"/>
  <c r="AS525" i="16"/>
  <c r="AS526" i="16"/>
  <c r="AS527" i="16"/>
  <c r="AS528" i="16"/>
  <c r="AS529" i="16"/>
  <c r="AS530" i="16"/>
  <c r="AS531" i="16"/>
  <c r="AS532" i="16"/>
  <c r="AS533" i="16"/>
  <c r="AS534" i="16"/>
  <c r="AS535" i="16"/>
  <c r="AS536" i="16"/>
  <c r="AS537" i="16"/>
  <c r="AS538" i="16"/>
  <c r="AS539" i="16"/>
  <c r="AS540" i="16"/>
  <c r="AS541" i="16"/>
  <c r="AS542" i="16"/>
  <c r="AS543" i="16"/>
  <c r="AS544" i="16"/>
  <c r="AS545" i="16"/>
  <c r="AS546" i="16"/>
  <c r="AS547" i="16"/>
  <c r="AS548" i="16"/>
  <c r="AS549" i="16"/>
  <c r="AS550" i="16"/>
  <c r="AS551" i="16"/>
  <c r="AS552" i="16"/>
  <c r="AS553" i="16"/>
  <c r="AS554" i="16"/>
  <c r="AS555" i="16"/>
  <c r="AS556" i="16"/>
  <c r="AS557" i="16"/>
  <c r="AS558" i="16"/>
  <c r="AS559" i="16"/>
  <c r="AS560" i="16"/>
  <c r="AS561" i="16"/>
  <c r="AS562" i="16"/>
  <c r="AS563" i="16"/>
  <c r="AS564" i="16"/>
  <c r="AS565" i="16"/>
  <c r="AS566" i="16"/>
  <c r="AS567" i="16"/>
  <c r="AS568" i="16"/>
  <c r="AS569" i="16"/>
  <c r="AS570" i="16"/>
  <c r="AS571" i="16"/>
  <c r="AS572" i="16"/>
  <c r="AS573" i="16"/>
  <c r="AS574" i="16"/>
  <c r="AS575" i="16"/>
  <c r="AS576" i="16"/>
  <c r="AS577" i="16"/>
  <c r="AS578" i="16"/>
  <c r="AS579" i="16"/>
  <c r="AS580" i="16"/>
  <c r="AS581" i="16"/>
  <c r="AS582" i="16"/>
  <c r="AS583" i="16"/>
  <c r="AS584" i="16"/>
  <c r="AS585" i="16"/>
  <c r="AS586" i="16"/>
  <c r="AS587" i="16"/>
  <c r="AS588" i="16"/>
  <c r="AS589" i="16"/>
  <c r="AS590" i="16"/>
  <c r="AS591" i="16"/>
  <c r="AS592" i="16"/>
  <c r="AS593" i="16"/>
  <c r="AS594" i="16"/>
  <c r="AS595" i="16"/>
  <c r="AS596" i="16"/>
  <c r="AS597" i="16"/>
  <c r="AS598" i="16"/>
  <c r="AS599" i="16"/>
  <c r="AS600" i="16"/>
  <c r="AS601" i="16"/>
  <c r="AS602" i="16"/>
  <c r="AS603" i="16"/>
  <c r="AS604" i="16"/>
  <c r="AS605" i="16"/>
  <c r="AS606" i="16"/>
  <c r="AS607" i="16"/>
  <c r="AS608" i="16"/>
  <c r="AS609" i="16"/>
  <c r="AS610" i="16"/>
  <c r="AS611" i="16"/>
  <c r="AS612" i="16"/>
  <c r="AS613" i="16"/>
  <c r="AS614" i="16"/>
  <c r="AS615" i="16"/>
  <c r="AS616" i="16"/>
  <c r="AS617" i="16"/>
  <c r="AS618" i="16"/>
  <c r="AS619" i="16"/>
  <c r="AS620" i="16"/>
  <c r="AS621" i="16"/>
  <c r="AS622" i="16"/>
  <c r="AS623" i="16"/>
  <c r="AS624" i="16"/>
  <c r="AS625" i="16"/>
  <c r="AS626" i="16"/>
  <c r="AS627" i="16"/>
  <c r="AS628" i="16"/>
  <c r="AS629" i="16"/>
  <c r="AS630" i="16"/>
  <c r="AS631" i="16"/>
  <c r="AS632" i="16"/>
  <c r="AS633" i="16"/>
  <c r="AS634" i="16"/>
  <c r="AS635" i="16"/>
  <c r="AS636" i="16"/>
  <c r="AS637" i="16"/>
  <c r="AS638" i="16"/>
  <c r="AS639" i="16"/>
  <c r="AS640" i="16"/>
  <c r="AS641" i="16"/>
  <c r="AS642" i="16"/>
  <c r="AS643" i="16"/>
  <c r="AS644" i="16"/>
  <c r="AS645" i="16"/>
  <c r="AS646" i="16"/>
  <c r="AS647" i="16"/>
  <c r="AS648" i="16"/>
  <c r="AS649" i="16"/>
  <c r="AS650" i="16"/>
  <c r="AS651" i="16"/>
  <c r="AS652" i="16"/>
  <c r="AS653" i="16"/>
  <c r="AS654" i="16"/>
  <c r="AS655" i="16"/>
  <c r="AS656" i="16"/>
  <c r="AS657" i="16"/>
  <c r="AS658" i="16"/>
  <c r="AS659" i="16"/>
  <c r="AS660" i="16"/>
  <c r="AS661" i="16"/>
  <c r="AS662" i="16"/>
  <c r="AS663" i="16"/>
  <c r="AS664" i="16"/>
  <c r="AS665" i="16"/>
  <c r="AS666" i="16"/>
  <c r="AS667" i="16"/>
  <c r="AS668" i="16"/>
  <c r="AS669" i="16"/>
  <c r="AS670" i="16"/>
  <c r="AS671" i="16"/>
  <c r="AS672" i="16"/>
  <c r="AS673" i="16"/>
  <c r="AS674" i="16"/>
  <c r="AS675" i="16"/>
  <c r="AS676" i="16"/>
  <c r="AS677" i="16"/>
  <c r="AS678" i="16"/>
  <c r="AS679" i="16"/>
  <c r="AS680" i="16"/>
  <c r="AS681" i="16"/>
  <c r="AS682" i="16"/>
  <c r="AS683" i="16"/>
  <c r="AS684" i="16"/>
  <c r="AS685" i="16"/>
  <c r="AS686" i="16"/>
  <c r="AS687" i="16"/>
  <c r="AS688" i="16"/>
  <c r="AS689" i="16"/>
  <c r="AS690" i="16"/>
  <c r="AS691" i="16"/>
  <c r="AS692" i="16"/>
  <c r="AS693" i="16"/>
  <c r="AS694" i="16"/>
  <c r="AS695" i="16"/>
  <c r="AS696" i="16"/>
  <c r="AS697" i="16"/>
  <c r="AS698" i="16"/>
  <c r="AS699" i="16"/>
  <c r="AS700" i="16"/>
  <c r="AS701" i="16"/>
  <c r="AS702" i="16"/>
  <c r="AS703" i="16"/>
  <c r="AS704" i="16"/>
  <c r="AS705" i="16"/>
  <c r="AS706" i="16"/>
  <c r="AS707" i="16"/>
  <c r="AS708" i="16"/>
  <c r="AS709" i="16"/>
  <c r="AS710" i="16"/>
  <c r="AS711" i="16"/>
  <c r="AS712" i="16"/>
  <c r="AS713" i="16"/>
  <c r="AS714" i="16"/>
  <c r="AS715" i="16"/>
  <c r="AS716" i="16"/>
  <c r="AS717" i="16"/>
  <c r="AS718" i="16"/>
  <c r="AS719" i="16"/>
  <c r="AS720" i="16"/>
  <c r="AS721" i="16"/>
  <c r="AS722" i="16"/>
  <c r="AS723" i="16"/>
  <c r="AS724" i="16"/>
  <c r="AS725" i="16"/>
  <c r="AS726" i="16"/>
  <c r="AS727" i="16"/>
  <c r="AS728" i="16"/>
  <c r="AS729" i="16"/>
  <c r="AS730" i="16"/>
  <c r="AS731" i="16"/>
  <c r="AS732" i="16"/>
  <c r="AS733" i="16"/>
  <c r="AS734" i="16"/>
  <c r="AS735" i="16"/>
  <c r="AS736" i="16"/>
  <c r="AS737" i="16"/>
  <c r="AS738" i="16"/>
  <c r="AS739" i="16"/>
  <c r="AS740" i="16"/>
  <c r="AS741" i="16"/>
  <c r="AS742" i="16"/>
  <c r="AS743" i="16"/>
  <c r="AS744" i="16"/>
  <c r="AS745" i="16"/>
  <c r="AS746" i="16"/>
  <c r="AS747" i="16"/>
  <c r="AS748" i="16"/>
  <c r="AS749" i="16"/>
  <c r="AS750" i="16"/>
  <c r="AS751" i="16"/>
  <c r="AS752" i="16"/>
  <c r="AS753" i="16"/>
  <c r="AS754" i="16"/>
  <c r="AS755" i="16"/>
  <c r="AS756" i="16"/>
  <c r="AS757" i="16"/>
  <c r="AS758" i="16"/>
  <c r="AS759" i="16"/>
  <c r="AS760" i="16"/>
  <c r="AS761" i="16"/>
  <c r="AS762" i="16"/>
  <c r="AS763" i="16"/>
  <c r="AS764" i="16"/>
  <c r="AS765" i="16"/>
  <c r="AS766" i="16"/>
  <c r="AS767" i="16"/>
  <c r="AS768" i="16"/>
  <c r="AS769" i="16"/>
  <c r="AS770" i="16"/>
  <c r="AS771" i="16"/>
  <c r="AS772" i="16"/>
  <c r="AS773" i="16"/>
  <c r="AS774" i="16"/>
  <c r="AS775" i="16"/>
  <c r="AS776" i="16"/>
  <c r="AS777" i="16"/>
  <c r="AS778" i="16"/>
  <c r="AS779" i="16"/>
  <c r="AS780" i="16"/>
  <c r="AS781" i="16"/>
  <c r="AS782" i="16"/>
  <c r="AS783" i="16"/>
  <c r="AS784" i="16"/>
  <c r="AS785" i="16"/>
  <c r="AS786" i="16"/>
  <c r="AS787" i="16"/>
  <c r="AS788" i="16"/>
  <c r="AS789" i="16"/>
  <c r="AS790" i="16"/>
  <c r="AS791" i="16"/>
  <c r="AS792" i="16"/>
  <c r="AS793" i="16"/>
  <c r="AS794" i="16"/>
  <c r="AS795" i="16"/>
  <c r="AS796" i="16"/>
  <c r="AS797" i="16"/>
  <c r="AS798" i="16"/>
  <c r="AS799" i="16"/>
  <c r="AS800" i="16"/>
  <c r="AS801" i="16"/>
  <c r="AS802" i="16"/>
  <c r="AS803" i="16"/>
  <c r="AS804" i="16"/>
  <c r="AS805" i="16"/>
  <c r="AS806" i="16"/>
  <c r="AS807" i="16"/>
  <c r="AS808" i="16"/>
  <c r="AS809" i="16"/>
  <c r="AS810" i="16"/>
  <c r="AS811" i="16"/>
  <c r="AS812" i="16"/>
  <c r="AS813" i="16"/>
  <c r="AS814" i="16"/>
  <c r="AS815" i="16"/>
  <c r="AS816" i="16"/>
  <c r="AS817" i="16"/>
  <c r="AS818" i="16"/>
  <c r="AS819" i="16"/>
  <c r="AS820" i="16"/>
  <c r="AS821" i="16"/>
  <c r="AS822" i="16"/>
  <c r="AS823" i="16"/>
  <c r="AS824" i="16"/>
  <c r="AS825" i="16"/>
  <c r="AS826" i="16"/>
  <c r="AS827" i="16"/>
  <c r="AS828" i="16"/>
  <c r="AS829" i="16"/>
  <c r="AS830" i="16"/>
  <c r="AS831" i="16"/>
  <c r="AS832" i="16"/>
  <c r="AS833" i="16"/>
  <c r="AS834" i="16"/>
  <c r="AS835" i="16"/>
  <c r="AS836" i="16"/>
  <c r="AS837" i="16"/>
  <c r="AS838" i="16"/>
  <c r="AS839" i="16"/>
  <c r="AS840" i="16"/>
  <c r="AS841" i="16"/>
  <c r="AS842" i="16"/>
  <c r="AS843" i="16"/>
  <c r="AS844" i="16"/>
  <c r="AS845" i="16"/>
  <c r="AS846" i="16"/>
  <c r="AS847" i="16"/>
  <c r="AS848" i="16"/>
  <c r="AS849" i="16"/>
  <c r="AS850" i="16"/>
  <c r="AS851" i="16"/>
  <c r="AS852" i="16"/>
  <c r="AS853" i="16"/>
  <c r="AS854" i="16"/>
  <c r="AS855" i="16"/>
  <c r="AS856" i="16"/>
  <c r="AS857" i="16"/>
  <c r="AS858" i="16"/>
  <c r="AS859" i="16"/>
  <c r="AS860" i="16"/>
  <c r="AS861" i="16"/>
  <c r="AS862" i="16"/>
  <c r="AS863" i="16"/>
  <c r="AS864" i="16"/>
  <c r="AS865" i="16"/>
  <c r="AS866" i="16"/>
  <c r="AS867" i="16"/>
  <c r="AS868" i="16"/>
  <c r="AS869" i="16"/>
  <c r="AS870" i="16"/>
  <c r="AS871" i="16"/>
  <c r="AS872" i="16"/>
  <c r="AS873" i="16"/>
  <c r="AS874" i="16"/>
  <c r="AS875" i="16"/>
  <c r="AS876" i="16"/>
  <c r="AS877" i="16"/>
  <c r="AS878" i="16"/>
  <c r="AS879" i="16"/>
  <c r="AS880" i="16"/>
  <c r="AS881" i="16"/>
  <c r="AS882" i="16"/>
  <c r="AS883" i="16"/>
  <c r="AS884" i="16"/>
  <c r="AS885" i="16"/>
  <c r="AS886" i="16"/>
  <c r="AS887" i="16"/>
  <c r="AS888" i="16"/>
  <c r="AS889" i="16"/>
  <c r="AS890" i="16"/>
  <c r="AS891" i="16"/>
  <c r="AS892" i="16"/>
  <c r="AS893" i="16"/>
  <c r="AS894" i="16"/>
  <c r="AS895" i="16"/>
  <c r="AS896" i="16"/>
  <c r="AS897" i="16"/>
  <c r="AS898" i="16"/>
  <c r="AS899" i="16"/>
  <c r="AS900" i="16"/>
  <c r="AS901" i="16"/>
  <c r="AS902" i="16"/>
  <c r="AS903" i="16"/>
  <c r="AS904" i="16"/>
  <c r="AS905" i="16"/>
  <c r="AS906" i="16"/>
  <c r="AS907" i="16"/>
  <c r="AS908" i="16"/>
  <c r="AS909" i="16"/>
  <c r="AS910" i="16"/>
  <c r="AS911" i="16"/>
  <c r="AS912" i="16"/>
  <c r="AS913" i="16"/>
  <c r="AS914" i="16"/>
  <c r="AS915" i="16"/>
  <c r="AS916" i="16"/>
  <c r="AS917" i="16"/>
  <c r="AS918" i="16"/>
  <c r="AS919" i="16"/>
  <c r="AS920" i="16"/>
  <c r="AS921" i="16"/>
  <c r="AS922" i="16"/>
  <c r="AS923" i="16"/>
  <c r="AS924" i="16"/>
  <c r="AS925" i="16"/>
  <c r="AS926" i="16"/>
  <c r="AS927" i="16"/>
  <c r="AS928" i="16"/>
  <c r="AS929" i="16"/>
  <c r="AS930" i="16"/>
  <c r="AS931" i="16"/>
  <c r="AS932" i="16"/>
  <c r="AS933" i="16"/>
  <c r="AS934" i="16"/>
  <c r="AS935" i="16"/>
  <c r="AS936" i="16"/>
  <c r="AS937" i="16"/>
  <c r="AS938" i="16"/>
  <c r="AS939" i="16"/>
  <c r="AS940" i="16"/>
  <c r="AS941" i="16"/>
  <c r="AS942" i="16"/>
  <c r="AS943" i="16"/>
  <c r="AS944" i="16"/>
  <c r="AS945" i="16"/>
  <c r="AS946" i="16"/>
  <c r="AS947" i="16"/>
  <c r="AS948" i="16"/>
  <c r="AS949" i="16"/>
  <c r="AS950" i="16"/>
  <c r="AS951" i="16"/>
  <c r="AS952" i="16"/>
  <c r="AS953" i="16"/>
  <c r="AS954" i="16"/>
  <c r="AS955" i="16"/>
  <c r="AS956" i="16"/>
  <c r="AS957" i="16"/>
  <c r="AS958" i="16"/>
  <c r="AS959" i="16"/>
  <c r="AS960" i="16"/>
  <c r="AS961" i="16"/>
  <c r="AS962" i="16"/>
  <c r="AS963" i="16"/>
  <c r="AS964" i="16"/>
  <c r="AS965" i="16"/>
  <c r="AS966" i="16"/>
  <c r="AS967" i="16"/>
  <c r="AS968" i="16"/>
  <c r="AS969" i="16"/>
  <c r="AS970" i="16"/>
  <c r="AS971" i="16"/>
  <c r="AS972" i="16"/>
  <c r="AS973" i="16"/>
  <c r="AS974" i="16"/>
  <c r="AS975" i="16"/>
  <c r="AS976" i="16"/>
  <c r="AS977" i="16"/>
  <c r="AS978" i="16"/>
  <c r="AS979" i="16"/>
  <c r="AS980" i="16"/>
  <c r="AS981" i="16"/>
  <c r="AS982" i="16"/>
  <c r="AS983" i="16"/>
  <c r="AS984" i="16"/>
  <c r="AS985" i="16"/>
  <c r="AS986" i="16"/>
  <c r="AS987" i="16"/>
  <c r="AS988" i="16"/>
  <c r="AS989" i="16"/>
  <c r="AS990" i="16"/>
  <c r="AS991" i="16"/>
  <c r="AS992" i="16"/>
  <c r="AS993" i="16"/>
  <c r="AS994" i="16"/>
  <c r="AS995" i="16"/>
  <c r="AS996" i="16"/>
  <c r="AS997" i="16"/>
  <c r="AS998" i="16"/>
  <c r="AS999" i="16"/>
  <c r="AS1000" i="16"/>
  <c r="AR3" i="16"/>
  <c r="AR4" i="16"/>
  <c r="AR5" i="16"/>
  <c r="AR6" i="16"/>
  <c r="AR7" i="16"/>
  <c r="AR8" i="16"/>
  <c r="AR9" i="16"/>
  <c r="AR10" i="16"/>
  <c r="AR11" i="16"/>
  <c r="AR12" i="16"/>
  <c r="AR13" i="16"/>
  <c r="AR14" i="16"/>
  <c r="AR15" i="16"/>
  <c r="AR16" i="16"/>
  <c r="AR17" i="16"/>
  <c r="AR18" i="16"/>
  <c r="AR19" i="16"/>
  <c r="AR20" i="16"/>
  <c r="AR21" i="16"/>
  <c r="AR22" i="16"/>
  <c r="AR23" i="16"/>
  <c r="AR24" i="16"/>
  <c r="AR25" i="16"/>
  <c r="AR26" i="16"/>
  <c r="AR27" i="16"/>
  <c r="AR28" i="16"/>
  <c r="AR29" i="16"/>
  <c r="AR30" i="16"/>
  <c r="AR31" i="16"/>
  <c r="AR32" i="16"/>
  <c r="AR33" i="16"/>
  <c r="AR34" i="16"/>
  <c r="AR35" i="16"/>
  <c r="AR36" i="16"/>
  <c r="AR37" i="16"/>
  <c r="AR38" i="16"/>
  <c r="AR39" i="16"/>
  <c r="AR40" i="16"/>
  <c r="AR41" i="16"/>
  <c r="AR42" i="16"/>
  <c r="AR43" i="16"/>
  <c r="AR44" i="16"/>
  <c r="AR45" i="16"/>
  <c r="AR46" i="16"/>
  <c r="AR47" i="16"/>
  <c r="AR48" i="16"/>
  <c r="AR49" i="16"/>
  <c r="AR50" i="16"/>
  <c r="AR51" i="16"/>
  <c r="AR52" i="16"/>
  <c r="AR53" i="16"/>
  <c r="AR54" i="16"/>
  <c r="AR55" i="16"/>
  <c r="AR56" i="16"/>
  <c r="AR57" i="16"/>
  <c r="AR58" i="16"/>
  <c r="AR59" i="16"/>
  <c r="AR60" i="16"/>
  <c r="AR61" i="16"/>
  <c r="AR62" i="16"/>
  <c r="AR63" i="16"/>
  <c r="AR64" i="16"/>
  <c r="AR65" i="16"/>
  <c r="AR66" i="16"/>
  <c r="AR67" i="16"/>
  <c r="AR68" i="16"/>
  <c r="AR69" i="16"/>
  <c r="AR70" i="16"/>
  <c r="AR71" i="16"/>
  <c r="AR72" i="16"/>
  <c r="AR73" i="16"/>
  <c r="AR74" i="16"/>
  <c r="AR75" i="16"/>
  <c r="AR76" i="16"/>
  <c r="AR77" i="16"/>
  <c r="AR78" i="16"/>
  <c r="AR79" i="16"/>
  <c r="AR80" i="16"/>
  <c r="AR81" i="16"/>
  <c r="AR82" i="16"/>
  <c r="AR83" i="16"/>
  <c r="AR84" i="16"/>
  <c r="AR85" i="16"/>
  <c r="AR86" i="16"/>
  <c r="AR87" i="16"/>
  <c r="AR88" i="16"/>
  <c r="AR89" i="16"/>
  <c r="AR90" i="16"/>
  <c r="AR91" i="16"/>
  <c r="AR92" i="16"/>
  <c r="AR93" i="16"/>
  <c r="AR94" i="16"/>
  <c r="AR95" i="16"/>
  <c r="AR96" i="16"/>
  <c r="AR97" i="16"/>
  <c r="AR98" i="16"/>
  <c r="AR99" i="16"/>
  <c r="AR100" i="16"/>
  <c r="AR101" i="16"/>
  <c r="AR102" i="16"/>
  <c r="AR103" i="16"/>
  <c r="AR104" i="16"/>
  <c r="AR105" i="16"/>
  <c r="AR106" i="16"/>
  <c r="AR107" i="16"/>
  <c r="AR108" i="16"/>
  <c r="AR109" i="16"/>
  <c r="AR110" i="16"/>
  <c r="AR111" i="16"/>
  <c r="AR112" i="16"/>
  <c r="AR113" i="16"/>
  <c r="AR114" i="16"/>
  <c r="AR115" i="16"/>
  <c r="AR116" i="16"/>
  <c r="AR117" i="16"/>
  <c r="AR118" i="16"/>
  <c r="AR119" i="16"/>
  <c r="AR120" i="16"/>
  <c r="AR121" i="16"/>
  <c r="AR122" i="16"/>
  <c r="AR123" i="16"/>
  <c r="AR124" i="16"/>
  <c r="AR125" i="16"/>
  <c r="AR126" i="16"/>
  <c r="AR127" i="16"/>
  <c r="AR128" i="16"/>
  <c r="AR129" i="16"/>
  <c r="AR130" i="16"/>
  <c r="AR131" i="16"/>
  <c r="AR132" i="16"/>
  <c r="AR133" i="16"/>
  <c r="AR134" i="16"/>
  <c r="AR135" i="16"/>
  <c r="AR136" i="16"/>
  <c r="AR137" i="16"/>
  <c r="AR138" i="16"/>
  <c r="AR139" i="16"/>
  <c r="AR140" i="16"/>
  <c r="AR141" i="16"/>
  <c r="AR142" i="16"/>
  <c r="AR143" i="16"/>
  <c r="AR144" i="16"/>
  <c r="AR145" i="16"/>
  <c r="AR146" i="16"/>
  <c r="AR147" i="16"/>
  <c r="AR148" i="16"/>
  <c r="AR149" i="16"/>
  <c r="AR150" i="16"/>
  <c r="AR151" i="16"/>
  <c r="AR152" i="16"/>
  <c r="AR153" i="16"/>
  <c r="AR154" i="16"/>
  <c r="AR155" i="16"/>
  <c r="AR156" i="16"/>
  <c r="AR157" i="16"/>
  <c r="AR158" i="16"/>
  <c r="AR159" i="16"/>
  <c r="AR160" i="16"/>
  <c r="AR161" i="16"/>
  <c r="AR162" i="16"/>
  <c r="AR163" i="16"/>
  <c r="AR164" i="16"/>
  <c r="AR165" i="16"/>
  <c r="AR166" i="16"/>
  <c r="AR167" i="16"/>
  <c r="AR168" i="16"/>
  <c r="AR169" i="16"/>
  <c r="AR170" i="16"/>
  <c r="AR171" i="16"/>
  <c r="AR172" i="16"/>
  <c r="AR173" i="16"/>
  <c r="AR174" i="16"/>
  <c r="AR175" i="16"/>
  <c r="AR176" i="16"/>
  <c r="AR177" i="16"/>
  <c r="AR178" i="16"/>
  <c r="AR179" i="16"/>
  <c r="AR180" i="16"/>
  <c r="AR181" i="16"/>
  <c r="AR182" i="16"/>
  <c r="AR183" i="16"/>
  <c r="AR184" i="16"/>
  <c r="AR185" i="16"/>
  <c r="AR186" i="16"/>
  <c r="AR187" i="16"/>
  <c r="AR188" i="16"/>
  <c r="AR189" i="16"/>
  <c r="AR190" i="16"/>
  <c r="AR191" i="16"/>
  <c r="AR192" i="16"/>
  <c r="AR193" i="16"/>
  <c r="AR194" i="16"/>
  <c r="AR195" i="16"/>
  <c r="AR196" i="16"/>
  <c r="AR197" i="16"/>
  <c r="AR198" i="16"/>
  <c r="AR199" i="16"/>
  <c r="AR200" i="16"/>
  <c r="AR201" i="16"/>
  <c r="AR202" i="16"/>
  <c r="AR203" i="16"/>
  <c r="AR204" i="16"/>
  <c r="AR205" i="16"/>
  <c r="AR206" i="16"/>
  <c r="AR207" i="16"/>
  <c r="AR208" i="16"/>
  <c r="AR209" i="16"/>
  <c r="AR210" i="16"/>
  <c r="AR211" i="16"/>
  <c r="AR212" i="16"/>
  <c r="AR213" i="16"/>
  <c r="AR214" i="16"/>
  <c r="AR215" i="16"/>
  <c r="AR216" i="16"/>
  <c r="AR217" i="16"/>
  <c r="AR218" i="16"/>
  <c r="AR219" i="16"/>
  <c r="AR220" i="16"/>
  <c r="AR221" i="16"/>
  <c r="AR222" i="16"/>
  <c r="AR223" i="16"/>
  <c r="AR224" i="16"/>
  <c r="AR225" i="16"/>
  <c r="AR226" i="16"/>
  <c r="AR227" i="16"/>
  <c r="AR228" i="16"/>
  <c r="AR229" i="16"/>
  <c r="AR230" i="16"/>
  <c r="AR231" i="16"/>
  <c r="AR232" i="16"/>
  <c r="AR233" i="16"/>
  <c r="AR234" i="16"/>
  <c r="AR235" i="16"/>
  <c r="AR236" i="16"/>
  <c r="AR237" i="16"/>
  <c r="AR238" i="16"/>
  <c r="AR239" i="16"/>
  <c r="AR240" i="16"/>
  <c r="AR241" i="16"/>
  <c r="AR242" i="16"/>
  <c r="AR243" i="16"/>
  <c r="AR244" i="16"/>
  <c r="AR245" i="16"/>
  <c r="AR246" i="16"/>
  <c r="AR247" i="16"/>
  <c r="AR248" i="16"/>
  <c r="AR249" i="16"/>
  <c r="AR250" i="16"/>
  <c r="AR251" i="16"/>
  <c r="AR252" i="16"/>
  <c r="AR253" i="16"/>
  <c r="AR254" i="16"/>
  <c r="AR255" i="16"/>
  <c r="AR256" i="16"/>
  <c r="AR257" i="16"/>
  <c r="AR258" i="16"/>
  <c r="AR259" i="16"/>
  <c r="AR260" i="16"/>
  <c r="AR261" i="16"/>
  <c r="AR262" i="16"/>
  <c r="AR263" i="16"/>
  <c r="AR264" i="16"/>
  <c r="AR265" i="16"/>
  <c r="AR266" i="16"/>
  <c r="AR267" i="16"/>
  <c r="AR268" i="16"/>
  <c r="AR269" i="16"/>
  <c r="AR270" i="16"/>
  <c r="AR271" i="16"/>
  <c r="AR272" i="16"/>
  <c r="AR273" i="16"/>
  <c r="AR274" i="16"/>
  <c r="AR275" i="16"/>
  <c r="AR276" i="16"/>
  <c r="AR277" i="16"/>
  <c r="AR278" i="16"/>
  <c r="AR279" i="16"/>
  <c r="AR280" i="16"/>
  <c r="AR281" i="16"/>
  <c r="AR282" i="16"/>
  <c r="AR283" i="16"/>
  <c r="AR284" i="16"/>
  <c r="AR285" i="16"/>
  <c r="AR286" i="16"/>
  <c r="AR287" i="16"/>
  <c r="AR288" i="16"/>
  <c r="AR289" i="16"/>
  <c r="AR290" i="16"/>
  <c r="AR291" i="16"/>
  <c r="AR292" i="16"/>
  <c r="AR293" i="16"/>
  <c r="AR294" i="16"/>
  <c r="AR295" i="16"/>
  <c r="AR296" i="16"/>
  <c r="AR297" i="16"/>
  <c r="AR298" i="16"/>
  <c r="AR299" i="16"/>
  <c r="AR300" i="16"/>
  <c r="AR301" i="16"/>
  <c r="AR302" i="16"/>
  <c r="AR303" i="16"/>
  <c r="AR304" i="16"/>
  <c r="AR305" i="16"/>
  <c r="AR306" i="16"/>
  <c r="AR307" i="16"/>
  <c r="AR308" i="16"/>
  <c r="AR309" i="16"/>
  <c r="AR310" i="16"/>
  <c r="AR311" i="16"/>
  <c r="AR312" i="16"/>
  <c r="AR313" i="16"/>
  <c r="AR314" i="16"/>
  <c r="AR315" i="16"/>
  <c r="AR316" i="16"/>
  <c r="AR317" i="16"/>
  <c r="AR318" i="16"/>
  <c r="AR319" i="16"/>
  <c r="AR320" i="16"/>
  <c r="AR321" i="16"/>
  <c r="AR322" i="16"/>
  <c r="AR323" i="16"/>
  <c r="AR324" i="16"/>
  <c r="AR325" i="16"/>
  <c r="AR326" i="16"/>
  <c r="AR327" i="16"/>
  <c r="AR328" i="16"/>
  <c r="AR329" i="16"/>
  <c r="AR330" i="16"/>
  <c r="AR331" i="16"/>
  <c r="AR332" i="16"/>
  <c r="AR333" i="16"/>
  <c r="AR334" i="16"/>
  <c r="AR335" i="16"/>
  <c r="AR336" i="16"/>
  <c r="AR337" i="16"/>
  <c r="AR338" i="16"/>
  <c r="AR339" i="16"/>
  <c r="AR340" i="16"/>
  <c r="AR341" i="16"/>
  <c r="AR342" i="16"/>
  <c r="AR343" i="16"/>
  <c r="AR344" i="16"/>
  <c r="AR345" i="16"/>
  <c r="AR346" i="16"/>
  <c r="AR347" i="16"/>
  <c r="AR348" i="16"/>
  <c r="AR349" i="16"/>
  <c r="AR350" i="16"/>
  <c r="AR351" i="16"/>
  <c r="AR352" i="16"/>
  <c r="AR353" i="16"/>
  <c r="AR354" i="16"/>
  <c r="AR355" i="16"/>
  <c r="AR356" i="16"/>
  <c r="AR357" i="16"/>
  <c r="AR358" i="16"/>
  <c r="AR359" i="16"/>
  <c r="AR360" i="16"/>
  <c r="AR361" i="16"/>
  <c r="AR362" i="16"/>
  <c r="AR363" i="16"/>
  <c r="AR364" i="16"/>
  <c r="AR365" i="16"/>
  <c r="AR366" i="16"/>
  <c r="AR367" i="16"/>
  <c r="AR368" i="16"/>
  <c r="AR369" i="16"/>
  <c r="AR370" i="16"/>
  <c r="AR371" i="16"/>
  <c r="AR372" i="16"/>
  <c r="AR373" i="16"/>
  <c r="AR374" i="16"/>
  <c r="AR375" i="16"/>
  <c r="AR376" i="16"/>
  <c r="AR377" i="16"/>
  <c r="AR378" i="16"/>
  <c r="AR379" i="16"/>
  <c r="AR380" i="16"/>
  <c r="AR381" i="16"/>
  <c r="AR382" i="16"/>
  <c r="AR383" i="16"/>
  <c r="AR384" i="16"/>
  <c r="AR385" i="16"/>
  <c r="AR386" i="16"/>
  <c r="AR387" i="16"/>
  <c r="AR388" i="16"/>
  <c r="AR389" i="16"/>
  <c r="AR390" i="16"/>
  <c r="AR391" i="16"/>
  <c r="AR392" i="16"/>
  <c r="AR393" i="16"/>
  <c r="AR394" i="16"/>
  <c r="AR395" i="16"/>
  <c r="AR396" i="16"/>
  <c r="AR397" i="16"/>
  <c r="AR398" i="16"/>
  <c r="AR399" i="16"/>
  <c r="AR400" i="16"/>
  <c r="AR401" i="16"/>
  <c r="AR402" i="16"/>
  <c r="AR403" i="16"/>
  <c r="AR404" i="16"/>
  <c r="AR405" i="16"/>
  <c r="AR406" i="16"/>
  <c r="AR407" i="16"/>
  <c r="AR408" i="16"/>
  <c r="AR409" i="16"/>
  <c r="AR410" i="16"/>
  <c r="AR411" i="16"/>
  <c r="AR412" i="16"/>
  <c r="AR413" i="16"/>
  <c r="AR414" i="16"/>
  <c r="AR415" i="16"/>
  <c r="AR416" i="16"/>
  <c r="AR417" i="16"/>
  <c r="AR418" i="16"/>
  <c r="AR419" i="16"/>
  <c r="AR420" i="16"/>
  <c r="AR421" i="16"/>
  <c r="AR422" i="16"/>
  <c r="AR423" i="16"/>
  <c r="AR424" i="16"/>
  <c r="AR425" i="16"/>
  <c r="AR426" i="16"/>
  <c r="AR427" i="16"/>
  <c r="AR428" i="16"/>
  <c r="AR429" i="16"/>
  <c r="AR430" i="16"/>
  <c r="AR431" i="16"/>
  <c r="AR432" i="16"/>
  <c r="AR433" i="16"/>
  <c r="AR434" i="16"/>
  <c r="AR435" i="16"/>
  <c r="AR436" i="16"/>
  <c r="AR437" i="16"/>
  <c r="AR438" i="16"/>
  <c r="AR439" i="16"/>
  <c r="AR440" i="16"/>
  <c r="AR441" i="16"/>
  <c r="AR442" i="16"/>
  <c r="AR443" i="16"/>
  <c r="AR444" i="16"/>
  <c r="AR445" i="16"/>
  <c r="AR446" i="16"/>
  <c r="AR447" i="16"/>
  <c r="AR448" i="16"/>
  <c r="AR449" i="16"/>
  <c r="AR450" i="16"/>
  <c r="AR451" i="16"/>
  <c r="AR452" i="16"/>
  <c r="AR453" i="16"/>
  <c r="AR454" i="16"/>
  <c r="AR455" i="16"/>
  <c r="AR456" i="16"/>
  <c r="AR457" i="16"/>
  <c r="AR458" i="16"/>
  <c r="AR459" i="16"/>
  <c r="AR460" i="16"/>
  <c r="AR461" i="16"/>
  <c r="AR462" i="16"/>
  <c r="AR463" i="16"/>
  <c r="AR464" i="16"/>
  <c r="AR465" i="16"/>
  <c r="AR466" i="16"/>
  <c r="AR467" i="16"/>
  <c r="AR468" i="16"/>
  <c r="AR469" i="16"/>
  <c r="AR470" i="16"/>
  <c r="AR471" i="16"/>
  <c r="AR472" i="16"/>
  <c r="AR473" i="16"/>
  <c r="AR474" i="16"/>
  <c r="AR475" i="16"/>
  <c r="AR476" i="16"/>
  <c r="AR477" i="16"/>
  <c r="AR478" i="16"/>
  <c r="AR479" i="16"/>
  <c r="AR480" i="16"/>
  <c r="AR481" i="16"/>
  <c r="AR482" i="16"/>
  <c r="AR483" i="16"/>
  <c r="AR484" i="16"/>
  <c r="AR485" i="16"/>
  <c r="AR486" i="16"/>
  <c r="AR487" i="16"/>
  <c r="AR488" i="16"/>
  <c r="AR489" i="16"/>
  <c r="AR490" i="16"/>
  <c r="AR491" i="16"/>
  <c r="AR492" i="16"/>
  <c r="AR493" i="16"/>
  <c r="AR494" i="16"/>
  <c r="AR495" i="16"/>
  <c r="AR496" i="16"/>
  <c r="AR497" i="16"/>
  <c r="AR498" i="16"/>
  <c r="AR499" i="16"/>
  <c r="AR500" i="16"/>
  <c r="AR501" i="16"/>
  <c r="AR502" i="16"/>
  <c r="AR503" i="16"/>
  <c r="AR504" i="16"/>
  <c r="AR505" i="16"/>
  <c r="AR506" i="16"/>
  <c r="AR507" i="16"/>
  <c r="AR508" i="16"/>
  <c r="AR509" i="16"/>
  <c r="AR510" i="16"/>
  <c r="AR511" i="16"/>
  <c r="AR512" i="16"/>
  <c r="AR513" i="16"/>
  <c r="AR514" i="16"/>
  <c r="AR515" i="16"/>
  <c r="AR516" i="16"/>
  <c r="AR517" i="16"/>
  <c r="AR518" i="16"/>
  <c r="AR519" i="16"/>
  <c r="AR520" i="16"/>
  <c r="AR521" i="16"/>
  <c r="AR522" i="16"/>
  <c r="AR523" i="16"/>
  <c r="AR524" i="16"/>
  <c r="AR525" i="16"/>
  <c r="AR526" i="16"/>
  <c r="AR527" i="16"/>
  <c r="AR528" i="16"/>
  <c r="AR529" i="16"/>
  <c r="AR530" i="16"/>
  <c r="AR531" i="16"/>
  <c r="AR532" i="16"/>
  <c r="AR533" i="16"/>
  <c r="AR534" i="16"/>
  <c r="AR535" i="16"/>
  <c r="AR536" i="16"/>
  <c r="AR537" i="16"/>
  <c r="AR538" i="16"/>
  <c r="AR539" i="16"/>
  <c r="AR540" i="16"/>
  <c r="AR541" i="16"/>
  <c r="AR542" i="16"/>
  <c r="AR543" i="16"/>
  <c r="AR544" i="16"/>
  <c r="AR545" i="16"/>
  <c r="AR546" i="16"/>
  <c r="AR547" i="16"/>
  <c r="AR548" i="16"/>
  <c r="AR549" i="16"/>
  <c r="AR550" i="16"/>
  <c r="AR551" i="16"/>
  <c r="AR552" i="16"/>
  <c r="AR553" i="16"/>
  <c r="AR554" i="16"/>
  <c r="AR555" i="16"/>
  <c r="AR556" i="16"/>
  <c r="AR557" i="16"/>
  <c r="AR558" i="16"/>
  <c r="AR559" i="16"/>
  <c r="AR560" i="16"/>
  <c r="AR561" i="16"/>
  <c r="AR562" i="16"/>
  <c r="AR563" i="16"/>
  <c r="AR564" i="16"/>
  <c r="AR565" i="16"/>
  <c r="AR566" i="16"/>
  <c r="AR567" i="16"/>
  <c r="AR568" i="16"/>
  <c r="AR569" i="16"/>
  <c r="AR570" i="16"/>
  <c r="AR571" i="16"/>
  <c r="AR572" i="16"/>
  <c r="AR573" i="16"/>
  <c r="AR574" i="16"/>
  <c r="AR575" i="16"/>
  <c r="AR576" i="16"/>
  <c r="AR577" i="16"/>
  <c r="AR578" i="16"/>
  <c r="AR579" i="16"/>
  <c r="AR580" i="16"/>
  <c r="AR581" i="16"/>
  <c r="AR582" i="16"/>
  <c r="AR583" i="16"/>
  <c r="AR584" i="16"/>
  <c r="AR585" i="16"/>
  <c r="AR586" i="16"/>
  <c r="AR587" i="16"/>
  <c r="AR588" i="16"/>
  <c r="AR589" i="16"/>
  <c r="AR590" i="16"/>
  <c r="AR591" i="16"/>
  <c r="AR592" i="16"/>
  <c r="AR593" i="16"/>
  <c r="AR594" i="16"/>
  <c r="AR595" i="16"/>
  <c r="AR596" i="16"/>
  <c r="AR597" i="16"/>
  <c r="AR598" i="16"/>
  <c r="AR599" i="16"/>
  <c r="AR600" i="16"/>
  <c r="AR601" i="16"/>
  <c r="AR602" i="16"/>
  <c r="AR603" i="16"/>
  <c r="AR604" i="16"/>
  <c r="AR605" i="16"/>
  <c r="AR606" i="16"/>
  <c r="AR607" i="16"/>
  <c r="AR608" i="16"/>
  <c r="AR609" i="16"/>
  <c r="AR610" i="16"/>
  <c r="AR611" i="16"/>
  <c r="AR612" i="16"/>
  <c r="AR613" i="16"/>
  <c r="AR614" i="16"/>
  <c r="AR615" i="16"/>
  <c r="AR616" i="16"/>
  <c r="AR617" i="16"/>
  <c r="AR618" i="16"/>
  <c r="AR619" i="16"/>
  <c r="AR620" i="16"/>
  <c r="AR621" i="16"/>
  <c r="AR622" i="16"/>
  <c r="AR623" i="16"/>
  <c r="AR624" i="16"/>
  <c r="AR625" i="16"/>
  <c r="AR626" i="16"/>
  <c r="AR627" i="16"/>
  <c r="AR628" i="16"/>
  <c r="AR629" i="16"/>
  <c r="AR630" i="16"/>
  <c r="AR631" i="16"/>
  <c r="AR632" i="16"/>
  <c r="AR633" i="16"/>
  <c r="AR634" i="16"/>
  <c r="AR635" i="16"/>
  <c r="AR636" i="16"/>
  <c r="AR637" i="16"/>
  <c r="AR638" i="16"/>
  <c r="AR639" i="16"/>
  <c r="AR640" i="16"/>
  <c r="AR641" i="16"/>
  <c r="AR642" i="16"/>
  <c r="AR643" i="16"/>
  <c r="AR644" i="16"/>
  <c r="AR645" i="16"/>
  <c r="AR646" i="16"/>
  <c r="AR647" i="16"/>
  <c r="AR648" i="16"/>
  <c r="AR649" i="16"/>
  <c r="AR650" i="16"/>
  <c r="AR651" i="16"/>
  <c r="AR652" i="16"/>
  <c r="AR653" i="16"/>
  <c r="AR654" i="16"/>
  <c r="AR655" i="16"/>
  <c r="AR656" i="16"/>
  <c r="AR657" i="16"/>
  <c r="AR658" i="16"/>
  <c r="AR659" i="16"/>
  <c r="AR660" i="16"/>
  <c r="AR661" i="16"/>
  <c r="AR662" i="16"/>
  <c r="AR663" i="16"/>
  <c r="AR664" i="16"/>
  <c r="AR665" i="16"/>
  <c r="AR666" i="16"/>
  <c r="AR667" i="16"/>
  <c r="AR668" i="16"/>
  <c r="AR669" i="16"/>
  <c r="AR670" i="16"/>
  <c r="AR671" i="16"/>
  <c r="AR672" i="16"/>
  <c r="AR673" i="16"/>
  <c r="AR674" i="16"/>
  <c r="AR675" i="16"/>
  <c r="AR676" i="16"/>
  <c r="AR677" i="16"/>
  <c r="AR678" i="16"/>
  <c r="AR679" i="16"/>
  <c r="AR680" i="16"/>
  <c r="AR681" i="16"/>
  <c r="AR682" i="16"/>
  <c r="AR683" i="16"/>
  <c r="AR684" i="16"/>
  <c r="AR685" i="16"/>
  <c r="AR686" i="16"/>
  <c r="AR687" i="16"/>
  <c r="AR688" i="16"/>
  <c r="AR689" i="16"/>
  <c r="AR690" i="16"/>
  <c r="AR691" i="16"/>
  <c r="AR692" i="16"/>
  <c r="AR693" i="16"/>
  <c r="AR694" i="16"/>
  <c r="AR695" i="16"/>
  <c r="AR696" i="16"/>
  <c r="AR697" i="16"/>
  <c r="AR698" i="16"/>
  <c r="AR699" i="16"/>
  <c r="AR700" i="16"/>
  <c r="AR701" i="16"/>
  <c r="AR702" i="16"/>
  <c r="AR703" i="16"/>
  <c r="AR704" i="16"/>
  <c r="AR705" i="16"/>
  <c r="AR706" i="16"/>
  <c r="AR707" i="16"/>
  <c r="AR708" i="16"/>
  <c r="AR709" i="16"/>
  <c r="AR710" i="16"/>
  <c r="AR711" i="16"/>
  <c r="AR712" i="16"/>
  <c r="AR713" i="16"/>
  <c r="AR714" i="16"/>
  <c r="AR715" i="16"/>
  <c r="AR716" i="16"/>
  <c r="AR717" i="16"/>
  <c r="AR718" i="16"/>
  <c r="AR719" i="16"/>
  <c r="AR720" i="16"/>
  <c r="AR721" i="16"/>
  <c r="AR722" i="16"/>
  <c r="AR723" i="16"/>
  <c r="AR724" i="16"/>
  <c r="AR725" i="16"/>
  <c r="AR726" i="16"/>
  <c r="AR727" i="16"/>
  <c r="AR728" i="16"/>
  <c r="AR729" i="16"/>
  <c r="AR730" i="16"/>
  <c r="AR731" i="16"/>
  <c r="AR732" i="16"/>
  <c r="AR733" i="16"/>
  <c r="AR734" i="16"/>
  <c r="AR735" i="16"/>
  <c r="AR736" i="16"/>
  <c r="AR737" i="16"/>
  <c r="AR738" i="16"/>
  <c r="AR739" i="16"/>
  <c r="AR740" i="16"/>
  <c r="AR741" i="16"/>
  <c r="AR742" i="16"/>
  <c r="AR743" i="16"/>
  <c r="AR744" i="16"/>
  <c r="AR745" i="16"/>
  <c r="AR746" i="16"/>
  <c r="AR747" i="16"/>
  <c r="AR748" i="16"/>
  <c r="AR749" i="16"/>
  <c r="AR750" i="16"/>
  <c r="AR751" i="16"/>
  <c r="AR752" i="16"/>
  <c r="AR753" i="16"/>
  <c r="AR754" i="16"/>
  <c r="AR755" i="16"/>
  <c r="AR756" i="16"/>
  <c r="AR757" i="16"/>
  <c r="AR758" i="16"/>
  <c r="AR759" i="16"/>
  <c r="AR760" i="16"/>
  <c r="AR761" i="16"/>
  <c r="AR762" i="16"/>
  <c r="AR763" i="16"/>
  <c r="AR764" i="16"/>
  <c r="AR765" i="16"/>
  <c r="AR766" i="16"/>
  <c r="AR767" i="16"/>
  <c r="AR768" i="16"/>
  <c r="AR769" i="16"/>
  <c r="AR770" i="16"/>
  <c r="AR771" i="16"/>
  <c r="AR772" i="16"/>
  <c r="AR773" i="16"/>
  <c r="AR774" i="16"/>
  <c r="AR775" i="16"/>
  <c r="AR776" i="16"/>
  <c r="AR777" i="16"/>
  <c r="AR778" i="16"/>
  <c r="AR779" i="16"/>
  <c r="AR780" i="16"/>
  <c r="AR781" i="16"/>
  <c r="AR782" i="16"/>
  <c r="AR783" i="16"/>
  <c r="AR784" i="16"/>
  <c r="AR785" i="16"/>
  <c r="AR786" i="16"/>
  <c r="AR787" i="16"/>
  <c r="AR788" i="16"/>
  <c r="AR789" i="16"/>
  <c r="AR790" i="16"/>
  <c r="AR791" i="16"/>
  <c r="AR792" i="16"/>
  <c r="AR793" i="16"/>
  <c r="AR794" i="16"/>
  <c r="AR795" i="16"/>
  <c r="AR796" i="16"/>
  <c r="AR797" i="16"/>
  <c r="AR798" i="16"/>
  <c r="AR799" i="16"/>
  <c r="AR800" i="16"/>
  <c r="AR801" i="16"/>
  <c r="AR802" i="16"/>
  <c r="AR803" i="16"/>
  <c r="AR804" i="16"/>
  <c r="AR805" i="16"/>
  <c r="AR806" i="16"/>
  <c r="AR807" i="16"/>
  <c r="AR808" i="16"/>
  <c r="AR809" i="16"/>
  <c r="AR810" i="16"/>
  <c r="AR811" i="16"/>
  <c r="AR812" i="16"/>
  <c r="AR813" i="16"/>
  <c r="AR814" i="16"/>
  <c r="AR815" i="16"/>
  <c r="AR816" i="16"/>
  <c r="AR817" i="16"/>
  <c r="AR818" i="16"/>
  <c r="AR819" i="16"/>
  <c r="AR820" i="16"/>
  <c r="AR821" i="16"/>
  <c r="AR822" i="16"/>
  <c r="AR823" i="16"/>
  <c r="AR824" i="16"/>
  <c r="AR825" i="16"/>
  <c r="AR826" i="16"/>
  <c r="AR827" i="16"/>
  <c r="AR828" i="16"/>
  <c r="AR829" i="16"/>
  <c r="AR830" i="16"/>
  <c r="AR831" i="16"/>
  <c r="AR832" i="16"/>
  <c r="AR833" i="16"/>
  <c r="AR834" i="16"/>
  <c r="AR835" i="16"/>
  <c r="AR836" i="16"/>
  <c r="AR837" i="16"/>
  <c r="AR838" i="16"/>
  <c r="AR839" i="16"/>
  <c r="AR840" i="16"/>
  <c r="AR841" i="16"/>
  <c r="AR842" i="16"/>
  <c r="AR843" i="16"/>
  <c r="AR844" i="16"/>
  <c r="AR845" i="16"/>
  <c r="AR846" i="16"/>
  <c r="AR847" i="16"/>
  <c r="AR848" i="16"/>
  <c r="AR849" i="16"/>
  <c r="AR850" i="16"/>
  <c r="AR851" i="16"/>
  <c r="AR852" i="16"/>
  <c r="AR853" i="16"/>
  <c r="AR854" i="16"/>
  <c r="AR855" i="16"/>
  <c r="AR856" i="16"/>
  <c r="AR857" i="16"/>
  <c r="AR858" i="16"/>
  <c r="AR859" i="16"/>
  <c r="AR860" i="16"/>
  <c r="AR861" i="16"/>
  <c r="AR862" i="16"/>
  <c r="AR863" i="16"/>
  <c r="AR864" i="16"/>
  <c r="AR865" i="16"/>
  <c r="AR866" i="16"/>
  <c r="AR867" i="16"/>
  <c r="AR868" i="16"/>
  <c r="AR869" i="16"/>
  <c r="AR870" i="16"/>
  <c r="AR871" i="16"/>
  <c r="AR872" i="16"/>
  <c r="AR873" i="16"/>
  <c r="AR874" i="16"/>
  <c r="AR875" i="16"/>
  <c r="AR876" i="16"/>
  <c r="AR877" i="16"/>
  <c r="AR878" i="16"/>
  <c r="AR879" i="16"/>
  <c r="AR880" i="16"/>
  <c r="AR881" i="16"/>
  <c r="AR882" i="16"/>
  <c r="AR883" i="16"/>
  <c r="AR884" i="16"/>
  <c r="AR885" i="16"/>
  <c r="AR886" i="16"/>
  <c r="AR887" i="16"/>
  <c r="AR888" i="16"/>
  <c r="AR889" i="16"/>
  <c r="AR890" i="16"/>
  <c r="AR891" i="16"/>
  <c r="AR892" i="16"/>
  <c r="AR893" i="16"/>
  <c r="AR894" i="16"/>
  <c r="AR895" i="16"/>
  <c r="AR896" i="16"/>
  <c r="AR897" i="16"/>
  <c r="AR898" i="16"/>
  <c r="AR899" i="16"/>
  <c r="AR900" i="16"/>
  <c r="AR901" i="16"/>
  <c r="AR902" i="16"/>
  <c r="AR903" i="16"/>
  <c r="AR904" i="16"/>
  <c r="AR905" i="16"/>
  <c r="AR906" i="16"/>
  <c r="AR907" i="16"/>
  <c r="AR908" i="16"/>
  <c r="AR909" i="16"/>
  <c r="AR910" i="16"/>
  <c r="AR911" i="16"/>
  <c r="AR912" i="16"/>
  <c r="AR913" i="16"/>
  <c r="AR914" i="16"/>
  <c r="AR915" i="16"/>
  <c r="AR916" i="16"/>
  <c r="AR917" i="16"/>
  <c r="AR918" i="16"/>
  <c r="AR919" i="16"/>
  <c r="AR920" i="16"/>
  <c r="AR921" i="16"/>
  <c r="AR922" i="16"/>
  <c r="AR923" i="16"/>
  <c r="AR924" i="16"/>
  <c r="AR925" i="16"/>
  <c r="AR926" i="16"/>
  <c r="AR927" i="16"/>
  <c r="AR928" i="16"/>
  <c r="AR929" i="16"/>
  <c r="AR930" i="16"/>
  <c r="AR931" i="16"/>
  <c r="AR932" i="16"/>
  <c r="AR933" i="16"/>
  <c r="AR934" i="16"/>
  <c r="AR935" i="16"/>
  <c r="AR936" i="16"/>
  <c r="AR937" i="16"/>
  <c r="AR938" i="16"/>
  <c r="AR939" i="16"/>
  <c r="AR940" i="16"/>
  <c r="AR941" i="16"/>
  <c r="AR942" i="16"/>
  <c r="AR943" i="16"/>
  <c r="AR944" i="16"/>
  <c r="AR945" i="16"/>
  <c r="AR946" i="16"/>
  <c r="AR947" i="16"/>
  <c r="AR948" i="16"/>
  <c r="AR949" i="16"/>
  <c r="AR950" i="16"/>
  <c r="AR951" i="16"/>
  <c r="AR952" i="16"/>
  <c r="AR953" i="16"/>
  <c r="AR954" i="16"/>
  <c r="AR955" i="16"/>
  <c r="AR956" i="16"/>
  <c r="AR957" i="16"/>
  <c r="AR958" i="16"/>
  <c r="AR959" i="16"/>
  <c r="AR960" i="16"/>
  <c r="AR961" i="16"/>
  <c r="AR962" i="16"/>
  <c r="AR963" i="16"/>
  <c r="AR964" i="16"/>
  <c r="AR965" i="16"/>
  <c r="AR966" i="16"/>
  <c r="AR967" i="16"/>
  <c r="AR968" i="16"/>
  <c r="AR969" i="16"/>
  <c r="AR970" i="16"/>
  <c r="AR971" i="16"/>
  <c r="AR972" i="16"/>
  <c r="AR973" i="16"/>
  <c r="AR974" i="16"/>
  <c r="AR975" i="16"/>
  <c r="AR976" i="16"/>
  <c r="AR977" i="16"/>
  <c r="AR978" i="16"/>
  <c r="AR979" i="16"/>
  <c r="AR980" i="16"/>
  <c r="AR981" i="16"/>
  <c r="AR982" i="16"/>
  <c r="AR983" i="16"/>
  <c r="AR984" i="16"/>
  <c r="AR985" i="16"/>
  <c r="AR986" i="16"/>
  <c r="AR987" i="16"/>
  <c r="AR988" i="16"/>
  <c r="AR989" i="16"/>
  <c r="AR990" i="16"/>
  <c r="AR991" i="16"/>
  <c r="AR992" i="16"/>
  <c r="AR993" i="16"/>
  <c r="AR994" i="16"/>
  <c r="AR995" i="16"/>
  <c r="AR996" i="16"/>
  <c r="AR997" i="16"/>
  <c r="AR998" i="16"/>
  <c r="AR999" i="16"/>
  <c r="AR1000" i="16"/>
  <c r="AQ4" i="16"/>
  <c r="AQ5" i="16"/>
  <c r="AQ6" i="16"/>
  <c r="AQ7" i="16"/>
  <c r="AQ8" i="16"/>
  <c r="AQ9" i="16"/>
  <c r="AQ10" i="16"/>
  <c r="AQ11" i="16"/>
  <c r="AQ12" i="16"/>
  <c r="AQ13" i="16"/>
  <c r="AQ14" i="16"/>
  <c r="AQ15" i="16"/>
  <c r="AQ16" i="16"/>
  <c r="AQ17" i="16"/>
  <c r="AQ18" i="16"/>
  <c r="AQ19" i="16"/>
  <c r="AQ20" i="16"/>
  <c r="AQ21" i="16"/>
  <c r="AQ22" i="16"/>
  <c r="AQ23" i="16"/>
  <c r="AQ24" i="16"/>
  <c r="AQ25" i="16"/>
  <c r="AQ26" i="16"/>
  <c r="AQ27" i="16"/>
  <c r="AQ28" i="16"/>
  <c r="AQ29" i="16"/>
  <c r="AQ30" i="16"/>
  <c r="AQ31" i="16"/>
  <c r="AQ32" i="16"/>
  <c r="AQ33" i="16"/>
  <c r="AQ34" i="16"/>
  <c r="AQ35" i="16"/>
  <c r="AQ36" i="16"/>
  <c r="AQ37" i="16"/>
  <c r="AQ38" i="16"/>
  <c r="AQ39" i="16"/>
  <c r="AQ40" i="16"/>
  <c r="AQ41" i="16"/>
  <c r="AQ42" i="16"/>
  <c r="AQ43" i="16"/>
  <c r="AQ44" i="16"/>
  <c r="AQ45" i="16"/>
  <c r="AQ46" i="16"/>
  <c r="AQ47" i="16"/>
  <c r="AQ48" i="16"/>
  <c r="AQ49" i="16"/>
  <c r="AQ50" i="16"/>
  <c r="AQ51" i="16"/>
  <c r="AQ52" i="16"/>
  <c r="AQ53" i="16"/>
  <c r="AQ54" i="16"/>
  <c r="AQ55" i="16"/>
  <c r="AQ56" i="16"/>
  <c r="AQ57" i="16"/>
  <c r="AQ58" i="16"/>
  <c r="AQ59" i="16"/>
  <c r="AQ60" i="16"/>
  <c r="AQ61" i="16"/>
  <c r="AQ62" i="16"/>
  <c r="AQ63" i="16"/>
  <c r="AQ64" i="16"/>
  <c r="AQ65" i="16"/>
  <c r="AQ66" i="16"/>
  <c r="AQ67" i="16"/>
  <c r="AQ68" i="16"/>
  <c r="AQ69" i="16"/>
  <c r="AQ70" i="16"/>
  <c r="AQ71" i="16"/>
  <c r="AQ72" i="16"/>
  <c r="AQ73" i="16"/>
  <c r="AQ74" i="16"/>
  <c r="AQ75" i="16"/>
  <c r="AQ76" i="16"/>
  <c r="AQ77" i="16"/>
  <c r="AQ78" i="16"/>
  <c r="AQ79" i="16"/>
  <c r="AQ80" i="16"/>
  <c r="AQ81" i="16"/>
  <c r="AQ82" i="16"/>
  <c r="AQ83" i="16"/>
  <c r="AQ84" i="16"/>
  <c r="AQ85" i="16"/>
  <c r="AQ86" i="16"/>
  <c r="AQ87" i="16"/>
  <c r="AQ88" i="16"/>
  <c r="AQ89" i="16"/>
  <c r="AQ90" i="16"/>
  <c r="AQ91" i="16"/>
  <c r="AQ92" i="16"/>
  <c r="AQ93" i="16"/>
  <c r="AQ94" i="16"/>
  <c r="AQ95" i="16"/>
  <c r="AQ96" i="16"/>
  <c r="AQ97" i="16"/>
  <c r="AQ98" i="16"/>
  <c r="AQ99" i="16"/>
  <c r="AQ100" i="16"/>
  <c r="AQ101" i="16"/>
  <c r="AQ102" i="16"/>
  <c r="AQ103" i="16"/>
  <c r="AQ104" i="16"/>
  <c r="AQ105" i="16"/>
  <c r="AQ106" i="16"/>
  <c r="AQ107" i="16"/>
  <c r="AQ108" i="16"/>
  <c r="AQ109" i="16"/>
  <c r="AQ110" i="16"/>
  <c r="AQ111" i="16"/>
  <c r="AQ112" i="16"/>
  <c r="AQ113" i="16"/>
  <c r="AQ114" i="16"/>
  <c r="AQ115" i="16"/>
  <c r="AQ116" i="16"/>
  <c r="AQ117" i="16"/>
  <c r="AQ118" i="16"/>
  <c r="AQ119" i="16"/>
  <c r="AQ120" i="16"/>
  <c r="AQ121" i="16"/>
  <c r="AQ122" i="16"/>
  <c r="AQ123" i="16"/>
  <c r="AQ124" i="16"/>
  <c r="AQ125" i="16"/>
  <c r="AQ126" i="16"/>
  <c r="AQ127" i="16"/>
  <c r="AQ128" i="16"/>
  <c r="AQ129" i="16"/>
  <c r="AQ130" i="16"/>
  <c r="AQ131" i="16"/>
  <c r="AQ132" i="16"/>
  <c r="AQ133" i="16"/>
  <c r="AQ134" i="16"/>
  <c r="AQ135" i="16"/>
  <c r="AQ136" i="16"/>
  <c r="AQ137" i="16"/>
  <c r="AQ138" i="16"/>
  <c r="AQ139" i="16"/>
  <c r="AQ140" i="16"/>
  <c r="AQ141" i="16"/>
  <c r="AQ142" i="16"/>
  <c r="AQ143" i="16"/>
  <c r="AQ144" i="16"/>
  <c r="AQ145" i="16"/>
  <c r="AQ146" i="16"/>
  <c r="AQ147" i="16"/>
  <c r="AQ148" i="16"/>
  <c r="AQ149" i="16"/>
  <c r="AQ150" i="16"/>
  <c r="AQ151" i="16"/>
  <c r="AQ152" i="16"/>
  <c r="AQ153" i="16"/>
  <c r="AQ154" i="16"/>
  <c r="AQ155" i="16"/>
  <c r="AQ156" i="16"/>
  <c r="AQ157" i="16"/>
  <c r="AQ158" i="16"/>
  <c r="AQ159" i="16"/>
  <c r="AQ160" i="16"/>
  <c r="AQ161" i="16"/>
  <c r="AQ162" i="16"/>
  <c r="AQ163" i="16"/>
  <c r="AQ164" i="16"/>
  <c r="AQ165" i="16"/>
  <c r="AQ166" i="16"/>
  <c r="AQ167" i="16"/>
  <c r="AQ168" i="16"/>
  <c r="AQ169" i="16"/>
  <c r="AQ170" i="16"/>
  <c r="AQ171" i="16"/>
  <c r="AQ172" i="16"/>
  <c r="AQ173" i="16"/>
  <c r="AQ174" i="16"/>
  <c r="AQ175" i="16"/>
  <c r="AQ176" i="16"/>
  <c r="AQ177" i="16"/>
  <c r="AQ178" i="16"/>
  <c r="AQ179" i="16"/>
  <c r="AQ180" i="16"/>
  <c r="AQ181" i="16"/>
  <c r="AQ182" i="16"/>
  <c r="AQ183" i="16"/>
  <c r="AQ184" i="16"/>
  <c r="AQ185" i="16"/>
  <c r="AQ186" i="16"/>
  <c r="AQ187" i="16"/>
  <c r="AQ188" i="16"/>
  <c r="AQ189" i="16"/>
  <c r="AQ190" i="16"/>
  <c r="AQ191" i="16"/>
  <c r="AQ192" i="16"/>
  <c r="AQ193" i="16"/>
  <c r="AQ194" i="16"/>
  <c r="AQ195" i="16"/>
  <c r="AQ196" i="16"/>
  <c r="AQ197" i="16"/>
  <c r="AQ198" i="16"/>
  <c r="AQ199" i="16"/>
  <c r="AQ200" i="16"/>
  <c r="AQ201" i="16"/>
  <c r="AQ202" i="16"/>
  <c r="AQ203" i="16"/>
  <c r="AQ204" i="16"/>
  <c r="AQ205" i="16"/>
  <c r="AQ206" i="16"/>
  <c r="AQ207" i="16"/>
  <c r="AQ208" i="16"/>
  <c r="AQ209" i="16"/>
  <c r="AQ210" i="16"/>
  <c r="AQ211" i="16"/>
  <c r="AQ212" i="16"/>
  <c r="AQ213" i="16"/>
  <c r="AQ214" i="16"/>
  <c r="AQ215" i="16"/>
  <c r="AQ216" i="16"/>
  <c r="AQ217" i="16"/>
  <c r="AQ218" i="16"/>
  <c r="AQ219" i="16"/>
  <c r="AQ220" i="16"/>
  <c r="AQ221" i="16"/>
  <c r="AQ222" i="16"/>
  <c r="AQ223" i="16"/>
  <c r="AQ224" i="16"/>
  <c r="AQ225" i="16"/>
  <c r="AQ226" i="16"/>
  <c r="AQ227" i="16"/>
  <c r="AQ228" i="16"/>
  <c r="AQ229" i="16"/>
  <c r="AQ230" i="16"/>
  <c r="AQ231" i="16"/>
  <c r="AQ232" i="16"/>
  <c r="AQ233" i="16"/>
  <c r="AQ234" i="16"/>
  <c r="AQ235" i="16"/>
  <c r="AQ236" i="16"/>
  <c r="AQ237" i="16"/>
  <c r="AQ238" i="16"/>
  <c r="AQ239" i="16"/>
  <c r="AQ240" i="16"/>
  <c r="AQ241" i="16"/>
  <c r="AQ242" i="16"/>
  <c r="AQ243" i="16"/>
  <c r="AQ244" i="16"/>
  <c r="AQ245" i="16"/>
  <c r="AQ246" i="16"/>
  <c r="AQ247" i="16"/>
  <c r="AQ248" i="16"/>
  <c r="AQ249" i="16"/>
  <c r="AQ250" i="16"/>
  <c r="AQ251" i="16"/>
  <c r="AQ252" i="16"/>
  <c r="AQ253" i="16"/>
  <c r="AQ254" i="16"/>
  <c r="AQ255" i="16"/>
  <c r="AQ256" i="16"/>
  <c r="AQ257" i="16"/>
  <c r="AQ258" i="16"/>
  <c r="AQ259" i="16"/>
  <c r="AQ260" i="16"/>
  <c r="AQ261" i="16"/>
  <c r="AQ262" i="16"/>
  <c r="AQ263" i="16"/>
  <c r="AQ264" i="16"/>
  <c r="AQ265" i="16"/>
  <c r="AQ266" i="16"/>
  <c r="AQ267" i="16"/>
  <c r="AQ268" i="16"/>
  <c r="AQ269" i="16"/>
  <c r="AQ270" i="16"/>
  <c r="AQ271" i="16"/>
  <c r="AQ272" i="16"/>
  <c r="AQ273" i="16"/>
  <c r="AQ274" i="16"/>
  <c r="AQ275" i="16"/>
  <c r="AQ276" i="16"/>
  <c r="AQ277" i="16"/>
  <c r="AQ278" i="16"/>
  <c r="AQ279" i="16"/>
  <c r="AQ280" i="16"/>
  <c r="AQ281" i="16"/>
  <c r="AQ282" i="16"/>
  <c r="AQ283" i="16"/>
  <c r="AQ284" i="16"/>
  <c r="AQ285" i="16"/>
  <c r="AQ286" i="16"/>
  <c r="AQ287" i="16"/>
  <c r="AQ288" i="16"/>
  <c r="AQ289" i="16"/>
  <c r="AQ290" i="16"/>
  <c r="AQ291" i="16"/>
  <c r="AQ292" i="16"/>
  <c r="AQ293" i="16"/>
  <c r="AQ294" i="16"/>
  <c r="AQ295" i="16"/>
  <c r="AQ296" i="16"/>
  <c r="AQ297" i="16"/>
  <c r="AQ298" i="16"/>
  <c r="AQ299" i="16"/>
  <c r="AQ300" i="16"/>
  <c r="AQ301" i="16"/>
  <c r="AQ302" i="16"/>
  <c r="AQ303" i="16"/>
  <c r="AQ304" i="16"/>
  <c r="AQ305" i="16"/>
  <c r="AQ306" i="16"/>
  <c r="AQ307" i="16"/>
  <c r="AQ308" i="16"/>
  <c r="AQ309" i="16"/>
  <c r="AQ310" i="16"/>
  <c r="AQ311" i="16"/>
  <c r="AQ312" i="16"/>
  <c r="AQ313" i="16"/>
  <c r="AQ314" i="16"/>
  <c r="AQ315" i="16"/>
  <c r="AQ316" i="16"/>
  <c r="AQ317" i="16"/>
  <c r="AQ318" i="16"/>
  <c r="AQ319" i="16"/>
  <c r="AQ320" i="16"/>
  <c r="AQ321" i="16"/>
  <c r="AQ322" i="16"/>
  <c r="AQ323" i="16"/>
  <c r="AQ324" i="16"/>
  <c r="AQ325" i="16"/>
  <c r="AQ326" i="16"/>
  <c r="AQ327" i="16"/>
  <c r="AQ328" i="16"/>
  <c r="AQ329" i="16"/>
  <c r="AQ330" i="16"/>
  <c r="AQ331" i="16"/>
  <c r="AQ332" i="16"/>
  <c r="AQ333" i="16"/>
  <c r="AQ334" i="16"/>
  <c r="AQ335" i="16"/>
  <c r="AQ336" i="16"/>
  <c r="AQ337" i="16"/>
  <c r="AQ338" i="16"/>
  <c r="AQ339" i="16"/>
  <c r="AQ340" i="16"/>
  <c r="AQ341" i="16"/>
  <c r="AQ342" i="16"/>
  <c r="AQ343" i="16"/>
  <c r="AQ344" i="16"/>
  <c r="AQ345" i="16"/>
  <c r="AQ346" i="16"/>
  <c r="AQ347" i="16"/>
  <c r="AQ348" i="16"/>
  <c r="AQ349" i="16"/>
  <c r="AQ350" i="16"/>
  <c r="AQ351" i="16"/>
  <c r="AQ352" i="16"/>
  <c r="AQ353" i="16"/>
  <c r="AQ354" i="16"/>
  <c r="AQ355" i="16"/>
  <c r="AQ356" i="16"/>
  <c r="AQ357" i="16"/>
  <c r="AQ358" i="16"/>
  <c r="AQ359" i="16"/>
  <c r="AQ360" i="16"/>
  <c r="AQ361" i="16"/>
  <c r="AQ362" i="16"/>
  <c r="AQ363" i="16"/>
  <c r="AQ364" i="16"/>
  <c r="AQ365" i="16"/>
  <c r="AQ366" i="16"/>
  <c r="AQ367" i="16"/>
  <c r="AQ368" i="16"/>
  <c r="AQ369" i="16"/>
  <c r="AQ370" i="16"/>
  <c r="AQ371" i="16"/>
  <c r="AQ372" i="16"/>
  <c r="AQ373" i="16"/>
  <c r="AQ374" i="16"/>
  <c r="AQ375" i="16"/>
  <c r="AQ376" i="16"/>
  <c r="AQ377" i="16"/>
  <c r="AQ378" i="16"/>
  <c r="AQ379" i="16"/>
  <c r="AQ380" i="16"/>
  <c r="AQ381" i="16"/>
  <c r="AQ382" i="16"/>
  <c r="AQ383" i="16"/>
  <c r="AQ384" i="16"/>
  <c r="AQ385" i="16"/>
  <c r="AQ386" i="16"/>
  <c r="AQ387" i="16"/>
  <c r="AQ388" i="16"/>
  <c r="AQ389" i="16"/>
  <c r="AQ390" i="16"/>
  <c r="AQ391" i="16"/>
  <c r="AQ392" i="16"/>
  <c r="AQ393" i="16"/>
  <c r="AQ394" i="16"/>
  <c r="AQ395" i="16"/>
  <c r="AQ396" i="16"/>
  <c r="AQ397" i="16"/>
  <c r="AQ398" i="16"/>
  <c r="AQ399" i="16"/>
  <c r="AQ400" i="16"/>
  <c r="AQ401" i="16"/>
  <c r="AQ402" i="16"/>
  <c r="AQ403" i="16"/>
  <c r="AQ404" i="16"/>
  <c r="AQ405" i="16"/>
  <c r="AQ406" i="16"/>
  <c r="AQ407" i="16"/>
  <c r="AQ408" i="16"/>
  <c r="AQ409" i="16"/>
  <c r="AQ410" i="16"/>
  <c r="AQ411" i="16"/>
  <c r="AQ412" i="16"/>
  <c r="AQ413" i="16"/>
  <c r="AQ414" i="16"/>
  <c r="AQ415" i="16"/>
  <c r="AQ416" i="16"/>
  <c r="AQ417" i="16"/>
  <c r="AQ418" i="16"/>
  <c r="AQ419" i="16"/>
  <c r="AQ420" i="16"/>
  <c r="AQ421" i="16"/>
  <c r="AQ422" i="16"/>
  <c r="AQ423" i="16"/>
  <c r="AQ424" i="16"/>
  <c r="AQ425" i="16"/>
  <c r="AQ426" i="16"/>
  <c r="AQ427" i="16"/>
  <c r="AQ428" i="16"/>
  <c r="AQ429" i="16"/>
  <c r="AQ430" i="16"/>
  <c r="AQ431" i="16"/>
  <c r="AQ432" i="16"/>
  <c r="AQ433" i="16"/>
  <c r="AQ434" i="16"/>
  <c r="AQ435" i="16"/>
  <c r="AQ436" i="16"/>
  <c r="AQ437" i="16"/>
  <c r="AQ438" i="16"/>
  <c r="AQ439" i="16"/>
  <c r="AQ440" i="16"/>
  <c r="AQ441" i="16"/>
  <c r="AQ442" i="16"/>
  <c r="AQ443" i="16"/>
  <c r="AQ444" i="16"/>
  <c r="AQ445" i="16"/>
  <c r="AQ446" i="16"/>
  <c r="AQ447" i="16"/>
  <c r="AQ448" i="16"/>
  <c r="AQ449" i="16"/>
  <c r="AQ450" i="16"/>
  <c r="AQ451" i="16"/>
  <c r="AQ452" i="16"/>
  <c r="AQ453" i="16"/>
  <c r="AQ454" i="16"/>
  <c r="AQ455" i="16"/>
  <c r="AQ456" i="16"/>
  <c r="AQ457" i="16"/>
  <c r="AQ458" i="16"/>
  <c r="AQ459" i="16"/>
  <c r="AQ460" i="16"/>
  <c r="AQ461" i="16"/>
  <c r="AQ462" i="16"/>
  <c r="AQ463" i="16"/>
  <c r="AQ464" i="16"/>
  <c r="AQ465" i="16"/>
  <c r="AQ466" i="16"/>
  <c r="AQ467" i="16"/>
  <c r="AQ468" i="16"/>
  <c r="AQ469" i="16"/>
  <c r="AQ470" i="16"/>
  <c r="AQ471" i="16"/>
  <c r="AQ472" i="16"/>
  <c r="AQ473" i="16"/>
  <c r="AQ474" i="16"/>
  <c r="AQ475" i="16"/>
  <c r="AQ476" i="16"/>
  <c r="AQ477" i="16"/>
  <c r="AQ478" i="16"/>
  <c r="AQ479" i="16"/>
  <c r="AQ480" i="16"/>
  <c r="AQ481" i="16"/>
  <c r="AQ482" i="16"/>
  <c r="AQ483" i="16"/>
  <c r="AQ484" i="16"/>
  <c r="AQ485" i="16"/>
  <c r="AQ486" i="16"/>
  <c r="AQ487" i="16"/>
  <c r="AQ488" i="16"/>
  <c r="AQ489" i="16"/>
  <c r="AQ490" i="16"/>
  <c r="AQ491" i="16"/>
  <c r="AQ492" i="16"/>
  <c r="AQ493" i="16"/>
  <c r="AQ494" i="16"/>
  <c r="AQ495" i="16"/>
  <c r="AQ496" i="16"/>
  <c r="AQ497" i="16"/>
  <c r="AQ498" i="16"/>
  <c r="AQ499" i="16"/>
  <c r="AQ500" i="16"/>
  <c r="AQ501" i="16"/>
  <c r="AQ502" i="16"/>
  <c r="AQ503" i="16"/>
  <c r="AQ504" i="16"/>
  <c r="AQ505" i="16"/>
  <c r="AQ506" i="16"/>
  <c r="AQ507" i="16"/>
  <c r="AQ508" i="16"/>
  <c r="AQ509" i="16"/>
  <c r="AQ510" i="16"/>
  <c r="AQ511" i="16"/>
  <c r="AQ512" i="16"/>
  <c r="AQ513" i="16"/>
  <c r="AQ514" i="16"/>
  <c r="AQ515" i="16"/>
  <c r="AQ516" i="16"/>
  <c r="AQ517" i="16"/>
  <c r="AQ518" i="16"/>
  <c r="AQ519" i="16"/>
  <c r="AQ520" i="16"/>
  <c r="AQ521" i="16"/>
  <c r="AQ522" i="16"/>
  <c r="AQ523" i="16"/>
  <c r="AQ524" i="16"/>
  <c r="AQ525" i="16"/>
  <c r="AQ526" i="16"/>
  <c r="AQ527" i="16"/>
  <c r="AQ528" i="16"/>
  <c r="AQ529" i="16"/>
  <c r="AQ530" i="16"/>
  <c r="AQ531" i="16"/>
  <c r="AQ532" i="16"/>
  <c r="AQ533" i="16"/>
  <c r="AQ534" i="16"/>
  <c r="AQ535" i="16"/>
  <c r="AQ536" i="16"/>
  <c r="AQ537" i="16"/>
  <c r="AQ538" i="16"/>
  <c r="AQ539" i="16"/>
  <c r="AQ540" i="16"/>
  <c r="AQ541" i="16"/>
  <c r="AQ542" i="16"/>
  <c r="AQ543" i="16"/>
  <c r="AQ544" i="16"/>
  <c r="AQ545" i="16"/>
  <c r="AQ546" i="16"/>
  <c r="AQ547" i="16"/>
  <c r="AQ548" i="16"/>
  <c r="AQ549" i="16"/>
  <c r="AQ550" i="16"/>
  <c r="AQ551" i="16"/>
  <c r="AQ552" i="16"/>
  <c r="AQ553" i="16"/>
  <c r="AQ554" i="16"/>
  <c r="AQ555" i="16"/>
  <c r="AQ556" i="16"/>
  <c r="AQ557" i="16"/>
  <c r="AQ558" i="16"/>
  <c r="AQ559" i="16"/>
  <c r="AQ560" i="16"/>
  <c r="AQ561" i="16"/>
  <c r="AQ562" i="16"/>
  <c r="AQ563" i="16"/>
  <c r="AQ564" i="16"/>
  <c r="AQ565" i="16"/>
  <c r="AQ566" i="16"/>
  <c r="AQ567" i="16"/>
  <c r="AQ568" i="16"/>
  <c r="AQ569" i="16"/>
  <c r="AQ570" i="16"/>
  <c r="AQ571" i="16"/>
  <c r="AQ572" i="16"/>
  <c r="AQ573" i="16"/>
  <c r="AQ574" i="16"/>
  <c r="AQ575" i="16"/>
  <c r="AQ576" i="16"/>
  <c r="AQ577" i="16"/>
  <c r="AQ578" i="16"/>
  <c r="AQ579" i="16"/>
  <c r="AQ580" i="16"/>
  <c r="AQ581" i="16"/>
  <c r="AQ582" i="16"/>
  <c r="AQ583" i="16"/>
  <c r="AQ584" i="16"/>
  <c r="AQ585" i="16"/>
  <c r="AQ586" i="16"/>
  <c r="AQ587" i="16"/>
  <c r="AQ588" i="16"/>
  <c r="AQ589" i="16"/>
  <c r="AQ590" i="16"/>
  <c r="AQ591" i="16"/>
  <c r="AQ592" i="16"/>
  <c r="AQ593" i="16"/>
  <c r="AQ594" i="16"/>
  <c r="AQ595" i="16"/>
  <c r="AQ596" i="16"/>
  <c r="AQ597" i="16"/>
  <c r="AQ598" i="16"/>
  <c r="AQ599" i="16"/>
  <c r="AQ600" i="16"/>
  <c r="AQ601" i="16"/>
  <c r="AQ602" i="16"/>
  <c r="AQ603" i="16"/>
  <c r="AQ604" i="16"/>
  <c r="AQ605" i="16"/>
  <c r="AQ606" i="16"/>
  <c r="AQ607" i="16"/>
  <c r="AQ608" i="16"/>
  <c r="AQ609" i="16"/>
  <c r="AQ610" i="16"/>
  <c r="AQ611" i="16"/>
  <c r="AQ612" i="16"/>
  <c r="AQ613" i="16"/>
  <c r="AQ614" i="16"/>
  <c r="AQ615" i="16"/>
  <c r="AQ616" i="16"/>
  <c r="AQ617" i="16"/>
  <c r="AQ618" i="16"/>
  <c r="AQ619" i="16"/>
  <c r="AQ620" i="16"/>
  <c r="AQ621" i="16"/>
  <c r="AQ622" i="16"/>
  <c r="AQ623" i="16"/>
  <c r="AQ624" i="16"/>
  <c r="AQ625" i="16"/>
  <c r="AQ626" i="16"/>
  <c r="AQ627" i="16"/>
  <c r="AQ628" i="16"/>
  <c r="AQ629" i="16"/>
  <c r="AQ630" i="16"/>
  <c r="AQ631" i="16"/>
  <c r="AQ632" i="16"/>
  <c r="AQ633" i="16"/>
  <c r="AQ634" i="16"/>
  <c r="AQ635" i="16"/>
  <c r="AQ636" i="16"/>
  <c r="AQ637" i="16"/>
  <c r="AQ638" i="16"/>
  <c r="AQ639" i="16"/>
  <c r="AQ640" i="16"/>
  <c r="AQ641" i="16"/>
  <c r="AQ642" i="16"/>
  <c r="AQ643" i="16"/>
  <c r="AQ644" i="16"/>
  <c r="AQ645" i="16"/>
  <c r="AQ646" i="16"/>
  <c r="AQ647" i="16"/>
  <c r="AQ648" i="16"/>
  <c r="AQ649" i="16"/>
  <c r="AQ650" i="16"/>
  <c r="AQ651" i="16"/>
  <c r="AQ652" i="16"/>
  <c r="AQ653" i="16"/>
  <c r="AQ654" i="16"/>
  <c r="AQ655" i="16"/>
  <c r="AQ656" i="16"/>
  <c r="AQ657" i="16"/>
  <c r="AQ658" i="16"/>
  <c r="AQ659" i="16"/>
  <c r="AQ660" i="16"/>
  <c r="AQ661" i="16"/>
  <c r="AQ662" i="16"/>
  <c r="AQ663" i="16"/>
  <c r="AQ664" i="16"/>
  <c r="AQ665" i="16"/>
  <c r="AQ666" i="16"/>
  <c r="AQ667" i="16"/>
  <c r="AQ668" i="16"/>
  <c r="AQ669" i="16"/>
  <c r="AQ670" i="16"/>
  <c r="AQ671" i="16"/>
  <c r="AQ672" i="16"/>
  <c r="AQ673" i="16"/>
  <c r="AQ674" i="16"/>
  <c r="AQ675" i="16"/>
  <c r="AQ676" i="16"/>
  <c r="AQ677" i="16"/>
  <c r="AQ678" i="16"/>
  <c r="AQ679" i="16"/>
  <c r="AQ680" i="16"/>
  <c r="AQ681" i="16"/>
  <c r="AQ682" i="16"/>
  <c r="AQ683" i="16"/>
  <c r="AQ684" i="16"/>
  <c r="AQ685" i="16"/>
  <c r="AQ686" i="16"/>
  <c r="AQ687" i="16"/>
  <c r="AQ688" i="16"/>
  <c r="AQ689" i="16"/>
  <c r="AQ690" i="16"/>
  <c r="AQ691" i="16"/>
  <c r="AQ692" i="16"/>
  <c r="AQ693" i="16"/>
  <c r="AQ694" i="16"/>
  <c r="AQ695" i="16"/>
  <c r="AQ696" i="16"/>
  <c r="AQ697" i="16"/>
  <c r="AQ698" i="16"/>
  <c r="AQ699" i="16"/>
  <c r="AQ700" i="16"/>
  <c r="AQ701" i="16"/>
  <c r="AQ702" i="16"/>
  <c r="AQ703" i="16"/>
  <c r="AQ704" i="16"/>
  <c r="AQ705" i="16"/>
  <c r="AQ706" i="16"/>
  <c r="AQ707" i="16"/>
  <c r="AQ708" i="16"/>
  <c r="AQ709" i="16"/>
  <c r="AQ710" i="16"/>
  <c r="AQ711" i="16"/>
  <c r="AQ712" i="16"/>
  <c r="AQ713" i="16"/>
  <c r="AQ714" i="16"/>
  <c r="AQ715" i="16"/>
  <c r="AQ716" i="16"/>
  <c r="AQ717" i="16"/>
  <c r="AQ718" i="16"/>
  <c r="AQ719" i="16"/>
  <c r="AQ720" i="16"/>
  <c r="AQ721" i="16"/>
  <c r="AQ722" i="16"/>
  <c r="AQ723" i="16"/>
  <c r="AQ724" i="16"/>
  <c r="AQ725" i="16"/>
  <c r="AQ726" i="16"/>
  <c r="AQ727" i="16"/>
  <c r="AQ728" i="16"/>
  <c r="AQ729" i="16"/>
  <c r="AQ730" i="16"/>
  <c r="AQ731" i="16"/>
  <c r="AQ732" i="16"/>
  <c r="AQ733" i="16"/>
  <c r="AQ734" i="16"/>
  <c r="AQ735" i="16"/>
  <c r="AQ736" i="16"/>
  <c r="AQ737" i="16"/>
  <c r="AQ738" i="16"/>
  <c r="AQ739" i="16"/>
  <c r="AQ740" i="16"/>
  <c r="AQ741" i="16"/>
  <c r="AQ742" i="16"/>
  <c r="AQ743" i="16"/>
  <c r="AQ744" i="16"/>
  <c r="AQ745" i="16"/>
  <c r="AQ746" i="16"/>
  <c r="AQ747" i="16"/>
  <c r="AQ748" i="16"/>
  <c r="AQ749" i="16"/>
  <c r="AQ750" i="16"/>
  <c r="AQ751" i="16"/>
  <c r="AQ752" i="16"/>
  <c r="AQ753" i="16"/>
  <c r="AQ754" i="16"/>
  <c r="AQ755" i="16"/>
  <c r="AQ756" i="16"/>
  <c r="AQ757" i="16"/>
  <c r="AQ758" i="16"/>
  <c r="AQ759" i="16"/>
  <c r="AQ760" i="16"/>
  <c r="AQ761" i="16"/>
  <c r="AQ762" i="16"/>
  <c r="AQ763" i="16"/>
  <c r="AQ764" i="16"/>
  <c r="AQ765" i="16"/>
  <c r="AQ766" i="16"/>
  <c r="AQ767" i="16"/>
  <c r="AQ768" i="16"/>
  <c r="AQ769" i="16"/>
  <c r="AQ770" i="16"/>
  <c r="AQ771" i="16"/>
  <c r="AQ772" i="16"/>
  <c r="AQ773" i="16"/>
  <c r="AQ774" i="16"/>
  <c r="AQ775" i="16"/>
  <c r="AQ776" i="16"/>
  <c r="AQ777" i="16"/>
  <c r="AQ778" i="16"/>
  <c r="AQ779" i="16"/>
  <c r="AQ780" i="16"/>
  <c r="AQ781" i="16"/>
  <c r="AQ782" i="16"/>
  <c r="AQ783" i="16"/>
  <c r="AQ784" i="16"/>
  <c r="AQ785" i="16"/>
  <c r="AQ786" i="16"/>
  <c r="AQ787" i="16"/>
  <c r="AQ788" i="16"/>
  <c r="AQ789" i="16"/>
  <c r="AQ790" i="16"/>
  <c r="AQ791" i="16"/>
  <c r="AQ792" i="16"/>
  <c r="AQ793" i="16"/>
  <c r="AQ794" i="16"/>
  <c r="AQ795" i="16"/>
  <c r="AQ796" i="16"/>
  <c r="AQ797" i="16"/>
  <c r="AQ798" i="16"/>
  <c r="AQ799" i="16"/>
  <c r="AQ800" i="16"/>
  <c r="AQ801" i="16"/>
  <c r="AQ802" i="16"/>
  <c r="AQ803" i="16"/>
  <c r="AQ804" i="16"/>
  <c r="AQ805" i="16"/>
  <c r="AQ806" i="16"/>
  <c r="AQ807" i="16"/>
  <c r="AQ808" i="16"/>
  <c r="AQ809" i="16"/>
  <c r="AQ810" i="16"/>
  <c r="AQ811" i="16"/>
  <c r="AQ812" i="16"/>
  <c r="AQ813" i="16"/>
  <c r="AQ814" i="16"/>
  <c r="AQ815" i="16"/>
  <c r="AQ816" i="16"/>
  <c r="AQ817" i="16"/>
  <c r="AQ818" i="16"/>
  <c r="AQ819" i="16"/>
  <c r="AQ820" i="16"/>
  <c r="AQ821" i="16"/>
  <c r="AQ822" i="16"/>
  <c r="AQ823" i="16"/>
  <c r="AQ824" i="16"/>
  <c r="AQ825" i="16"/>
  <c r="AQ826" i="16"/>
  <c r="AQ827" i="16"/>
  <c r="AQ828" i="16"/>
  <c r="AQ829" i="16"/>
  <c r="AQ830" i="16"/>
  <c r="AQ831" i="16"/>
  <c r="AQ832" i="16"/>
  <c r="AQ833" i="16"/>
  <c r="AQ834" i="16"/>
  <c r="AQ835" i="16"/>
  <c r="AQ836" i="16"/>
  <c r="AQ837" i="16"/>
  <c r="AQ838" i="16"/>
  <c r="AQ839" i="16"/>
  <c r="AQ840" i="16"/>
  <c r="AQ841" i="16"/>
  <c r="AQ842" i="16"/>
  <c r="AQ843" i="16"/>
  <c r="AQ844" i="16"/>
  <c r="AQ845" i="16"/>
  <c r="AQ846" i="16"/>
  <c r="AQ847" i="16"/>
  <c r="AQ848" i="16"/>
  <c r="AQ849" i="16"/>
  <c r="AQ850" i="16"/>
  <c r="AQ851" i="16"/>
  <c r="AQ852" i="16"/>
  <c r="AQ853" i="16"/>
  <c r="AQ854" i="16"/>
  <c r="AQ855" i="16"/>
  <c r="AQ856" i="16"/>
  <c r="AQ857" i="16"/>
  <c r="AQ858" i="16"/>
  <c r="AQ859" i="16"/>
  <c r="AQ860" i="16"/>
  <c r="AQ861" i="16"/>
  <c r="AQ862" i="16"/>
  <c r="AQ863" i="16"/>
  <c r="AQ864" i="16"/>
  <c r="AQ865" i="16"/>
  <c r="AQ866" i="16"/>
  <c r="AQ867" i="16"/>
  <c r="AQ868" i="16"/>
  <c r="AQ869" i="16"/>
  <c r="AQ870" i="16"/>
  <c r="AQ871" i="16"/>
  <c r="AQ872" i="16"/>
  <c r="AQ873" i="16"/>
  <c r="AQ874" i="16"/>
  <c r="AQ875" i="16"/>
  <c r="AQ876" i="16"/>
  <c r="AQ877" i="16"/>
  <c r="AQ878" i="16"/>
  <c r="AQ879" i="16"/>
  <c r="AQ880" i="16"/>
  <c r="AQ881" i="16"/>
  <c r="AQ882" i="16"/>
  <c r="AQ883" i="16"/>
  <c r="AQ884" i="16"/>
  <c r="AQ885" i="16"/>
  <c r="AQ886" i="16"/>
  <c r="AQ887" i="16"/>
  <c r="AQ888" i="16"/>
  <c r="AQ889" i="16"/>
  <c r="AQ890" i="16"/>
  <c r="AQ891" i="16"/>
  <c r="AQ892" i="16"/>
  <c r="AQ893" i="16"/>
  <c r="AQ894" i="16"/>
  <c r="AQ895" i="16"/>
  <c r="AQ896" i="16"/>
  <c r="AQ897" i="16"/>
  <c r="AQ898" i="16"/>
  <c r="AQ899" i="16"/>
  <c r="AQ900" i="16"/>
  <c r="AQ901" i="16"/>
  <c r="AQ902" i="16"/>
  <c r="AQ903" i="16"/>
  <c r="AQ904" i="16"/>
  <c r="AQ905" i="16"/>
  <c r="AQ906" i="16"/>
  <c r="AQ907" i="16"/>
  <c r="AQ908" i="16"/>
  <c r="AQ909" i="16"/>
  <c r="AQ910" i="16"/>
  <c r="AQ911" i="16"/>
  <c r="AQ912" i="16"/>
  <c r="AQ913" i="16"/>
  <c r="AQ914" i="16"/>
  <c r="AQ915" i="16"/>
  <c r="AQ916" i="16"/>
  <c r="AQ917" i="16"/>
  <c r="AQ918" i="16"/>
  <c r="AQ919" i="16"/>
  <c r="AQ920" i="16"/>
  <c r="AQ921" i="16"/>
  <c r="AQ922" i="16"/>
  <c r="AQ923" i="16"/>
  <c r="AQ924" i="16"/>
  <c r="AQ925" i="16"/>
  <c r="AQ926" i="16"/>
  <c r="AQ927" i="16"/>
  <c r="AQ928" i="16"/>
  <c r="AQ929" i="16"/>
  <c r="AQ930" i="16"/>
  <c r="AQ931" i="16"/>
  <c r="AQ932" i="16"/>
  <c r="AQ933" i="16"/>
  <c r="AQ934" i="16"/>
  <c r="AQ935" i="16"/>
  <c r="AQ936" i="16"/>
  <c r="AQ937" i="16"/>
  <c r="AQ938" i="16"/>
  <c r="AQ939" i="16"/>
  <c r="AQ940" i="16"/>
  <c r="AQ941" i="16"/>
  <c r="AQ942" i="16"/>
  <c r="AQ943" i="16"/>
  <c r="AQ944" i="16"/>
  <c r="AQ945" i="16"/>
  <c r="AQ946" i="16"/>
  <c r="AQ947" i="16"/>
  <c r="AQ948" i="16"/>
  <c r="AQ949" i="16"/>
  <c r="AQ950" i="16"/>
  <c r="AQ951" i="16"/>
  <c r="AQ952" i="16"/>
  <c r="AQ953" i="16"/>
  <c r="AQ954" i="16"/>
  <c r="AQ955" i="16"/>
  <c r="AQ956" i="16"/>
  <c r="AQ957" i="16"/>
  <c r="AQ958" i="16"/>
  <c r="AQ959" i="16"/>
  <c r="AQ960" i="16"/>
  <c r="AQ961" i="16"/>
  <c r="AQ962" i="16"/>
  <c r="AQ963" i="16"/>
  <c r="AQ964" i="16"/>
  <c r="AQ965" i="16"/>
  <c r="AQ966" i="16"/>
  <c r="AQ967" i="16"/>
  <c r="AQ968" i="16"/>
  <c r="AQ969" i="16"/>
  <c r="AQ970" i="16"/>
  <c r="AQ971" i="16"/>
  <c r="AQ972" i="16"/>
  <c r="AQ973" i="16"/>
  <c r="AQ974" i="16"/>
  <c r="AQ975" i="16"/>
  <c r="AQ976" i="16"/>
  <c r="AQ977" i="16"/>
  <c r="AQ978" i="16"/>
  <c r="AQ979" i="16"/>
  <c r="AQ980" i="16"/>
  <c r="AQ981" i="16"/>
  <c r="AQ982" i="16"/>
  <c r="AQ983" i="16"/>
  <c r="AQ984" i="16"/>
  <c r="AQ985" i="16"/>
  <c r="AQ986" i="16"/>
  <c r="AQ987" i="16"/>
  <c r="AQ988" i="16"/>
  <c r="AQ989" i="16"/>
  <c r="AQ990" i="16"/>
  <c r="AQ991" i="16"/>
  <c r="AQ992" i="16"/>
  <c r="AQ993" i="16"/>
  <c r="AQ994" i="16"/>
  <c r="AQ995" i="16"/>
  <c r="AQ996" i="16"/>
  <c r="AQ997" i="16"/>
  <c r="AQ998" i="16"/>
  <c r="AQ999" i="16"/>
  <c r="AQ1000" i="16"/>
  <c r="AP4" i="16"/>
  <c r="AP5" i="16"/>
  <c r="AP6" i="16"/>
  <c r="AP7" i="16"/>
  <c r="AP8" i="16"/>
  <c r="AP9" i="16"/>
  <c r="AP10" i="16"/>
  <c r="AP11" i="16"/>
  <c r="AP12" i="16"/>
  <c r="AP13" i="16"/>
  <c r="AP14" i="16"/>
  <c r="AP15" i="16"/>
  <c r="AP16" i="16"/>
  <c r="AP17" i="16"/>
  <c r="AP18" i="16"/>
  <c r="AP19" i="16"/>
  <c r="AP20" i="16"/>
  <c r="AP21" i="16"/>
  <c r="AP22" i="16"/>
  <c r="AP23" i="16"/>
  <c r="AP24" i="16"/>
  <c r="AP25" i="16"/>
  <c r="AP26" i="16"/>
  <c r="AP27" i="16"/>
  <c r="AP28" i="16"/>
  <c r="AP29" i="16"/>
  <c r="AP30" i="16"/>
  <c r="AP31" i="16"/>
  <c r="AP32" i="16"/>
  <c r="AP33" i="16"/>
  <c r="AP34" i="16"/>
  <c r="AP35" i="16"/>
  <c r="AP36" i="16"/>
  <c r="AP37" i="16"/>
  <c r="AP38" i="16"/>
  <c r="AP39" i="16"/>
  <c r="AP40" i="16"/>
  <c r="AP41" i="16"/>
  <c r="AP42" i="16"/>
  <c r="AP43" i="16"/>
  <c r="AP44" i="16"/>
  <c r="AP45" i="16"/>
  <c r="AP46" i="16"/>
  <c r="AP47" i="16"/>
  <c r="AP48" i="16"/>
  <c r="AP49" i="16"/>
  <c r="AP50" i="16"/>
  <c r="AP51" i="16"/>
  <c r="AP52" i="16"/>
  <c r="AP53" i="16"/>
  <c r="AP54" i="16"/>
  <c r="AP55" i="16"/>
  <c r="AP56" i="16"/>
  <c r="AP57" i="16"/>
  <c r="AP58" i="16"/>
  <c r="AP59" i="16"/>
  <c r="AP60" i="16"/>
  <c r="AP61" i="16"/>
  <c r="AP62" i="16"/>
  <c r="AP63" i="16"/>
  <c r="AP64" i="16"/>
  <c r="AP65" i="16"/>
  <c r="AP66" i="16"/>
  <c r="AP67" i="16"/>
  <c r="AP68" i="16"/>
  <c r="AP69" i="16"/>
  <c r="AP70" i="16"/>
  <c r="AP71" i="16"/>
  <c r="AP72" i="16"/>
  <c r="AP73" i="16"/>
  <c r="AP74" i="16"/>
  <c r="AP75" i="16"/>
  <c r="AP76" i="16"/>
  <c r="AP77" i="16"/>
  <c r="AP78" i="16"/>
  <c r="AP79" i="16"/>
  <c r="AP80" i="16"/>
  <c r="AP81" i="16"/>
  <c r="AP82" i="16"/>
  <c r="AP83" i="16"/>
  <c r="AP84" i="16"/>
  <c r="AP85" i="16"/>
  <c r="AP86" i="16"/>
  <c r="AP87" i="16"/>
  <c r="AP88" i="16"/>
  <c r="AP89" i="16"/>
  <c r="AP90" i="16"/>
  <c r="AP91" i="16"/>
  <c r="AP92" i="16"/>
  <c r="AP93" i="16"/>
  <c r="AP94" i="16"/>
  <c r="AP95" i="16"/>
  <c r="AP96" i="16"/>
  <c r="AP97" i="16"/>
  <c r="AP98" i="16"/>
  <c r="AP99" i="16"/>
  <c r="AP100" i="16"/>
  <c r="AP101" i="16"/>
  <c r="AP102" i="16"/>
  <c r="AP103" i="16"/>
  <c r="AP104" i="16"/>
  <c r="AP105" i="16"/>
  <c r="AP106" i="16"/>
  <c r="AP107" i="16"/>
  <c r="AP108" i="16"/>
  <c r="AP109" i="16"/>
  <c r="AP110" i="16"/>
  <c r="AP111" i="16"/>
  <c r="AP112" i="16"/>
  <c r="AP113" i="16"/>
  <c r="AP114" i="16"/>
  <c r="AP115" i="16"/>
  <c r="AP116" i="16"/>
  <c r="AP117" i="16"/>
  <c r="AP118" i="16"/>
  <c r="AP119" i="16"/>
  <c r="AP120" i="16"/>
  <c r="AP121" i="16"/>
  <c r="AP122" i="16"/>
  <c r="AP123" i="16"/>
  <c r="AP124" i="16"/>
  <c r="AP125" i="16"/>
  <c r="AP126" i="16"/>
  <c r="AP127" i="16"/>
  <c r="AP128" i="16"/>
  <c r="AP129" i="16"/>
  <c r="AP130" i="16"/>
  <c r="AP131" i="16"/>
  <c r="AP132" i="16"/>
  <c r="AP133" i="16"/>
  <c r="AP134" i="16"/>
  <c r="AP135" i="16"/>
  <c r="AP136" i="16"/>
  <c r="AP137" i="16"/>
  <c r="AP138" i="16"/>
  <c r="AP139" i="16"/>
  <c r="AP140" i="16"/>
  <c r="AP141" i="16"/>
  <c r="AP142" i="16"/>
  <c r="AP143" i="16"/>
  <c r="AP144" i="16"/>
  <c r="AP145" i="16"/>
  <c r="AP146" i="16"/>
  <c r="AP147" i="16"/>
  <c r="AP148" i="16"/>
  <c r="AP149" i="16"/>
  <c r="AP150" i="16"/>
  <c r="AP151" i="16"/>
  <c r="AP152" i="16"/>
  <c r="AP153" i="16"/>
  <c r="AP154" i="16"/>
  <c r="AP155" i="16"/>
  <c r="AP156" i="16"/>
  <c r="AP157" i="16"/>
  <c r="AP158" i="16"/>
  <c r="AP159" i="16"/>
  <c r="AP160" i="16"/>
  <c r="AP161" i="16"/>
  <c r="AP162" i="16"/>
  <c r="AP163" i="16"/>
  <c r="AP164" i="16"/>
  <c r="AP165" i="16"/>
  <c r="AP166" i="16"/>
  <c r="AP167" i="16"/>
  <c r="AP168" i="16"/>
  <c r="AP169" i="16"/>
  <c r="AP170" i="16"/>
  <c r="AP171" i="16"/>
  <c r="AP172" i="16"/>
  <c r="AP173" i="16"/>
  <c r="AP174" i="16"/>
  <c r="AP175" i="16"/>
  <c r="AP176" i="16"/>
  <c r="AP177" i="16"/>
  <c r="AP178" i="16"/>
  <c r="AP179" i="16"/>
  <c r="AP180" i="16"/>
  <c r="AP181" i="16"/>
  <c r="AP182" i="16"/>
  <c r="AP183" i="16"/>
  <c r="AP184" i="16"/>
  <c r="AP185" i="16"/>
  <c r="AP186" i="16"/>
  <c r="AP187" i="16"/>
  <c r="AP188" i="16"/>
  <c r="AP189" i="16"/>
  <c r="AP190" i="16"/>
  <c r="AP191" i="16"/>
  <c r="AP192" i="16"/>
  <c r="AP193" i="16"/>
  <c r="AP194" i="16"/>
  <c r="AP195" i="16"/>
  <c r="AP196" i="16"/>
  <c r="AP197" i="16"/>
  <c r="AP198" i="16"/>
  <c r="AP199" i="16"/>
  <c r="AP200" i="16"/>
  <c r="AP201" i="16"/>
  <c r="AP202" i="16"/>
  <c r="AP203" i="16"/>
  <c r="AP204" i="16"/>
  <c r="AP205" i="16"/>
  <c r="AP206" i="16"/>
  <c r="AP207" i="16"/>
  <c r="AP208" i="16"/>
  <c r="AP209" i="16"/>
  <c r="AP210" i="16"/>
  <c r="AP211" i="16"/>
  <c r="AP212" i="16"/>
  <c r="AP213" i="16"/>
  <c r="AP214" i="16"/>
  <c r="AP215" i="16"/>
  <c r="AP216" i="16"/>
  <c r="AP217" i="16"/>
  <c r="AP218" i="16"/>
  <c r="AP219" i="16"/>
  <c r="AP220" i="16"/>
  <c r="AP221" i="16"/>
  <c r="AP222" i="16"/>
  <c r="AP223" i="16"/>
  <c r="AP224" i="16"/>
  <c r="AP225" i="16"/>
  <c r="AP226" i="16"/>
  <c r="AP227" i="16"/>
  <c r="AP228" i="16"/>
  <c r="AP229" i="16"/>
  <c r="AP230" i="16"/>
  <c r="AP231" i="16"/>
  <c r="AP232" i="16"/>
  <c r="AP233" i="16"/>
  <c r="AP234" i="16"/>
  <c r="AP235" i="16"/>
  <c r="AP236" i="16"/>
  <c r="AP237" i="16"/>
  <c r="AP238" i="16"/>
  <c r="AP239" i="16"/>
  <c r="AP240" i="16"/>
  <c r="AP241" i="16"/>
  <c r="AP242" i="16"/>
  <c r="AP243" i="16"/>
  <c r="AP244" i="16"/>
  <c r="AP245" i="16"/>
  <c r="AP246" i="16"/>
  <c r="AP247" i="16"/>
  <c r="AP248" i="16"/>
  <c r="AP249" i="16"/>
  <c r="AP250" i="16"/>
  <c r="AP251" i="16"/>
  <c r="AP252" i="16"/>
  <c r="AP253" i="16"/>
  <c r="AP254" i="16"/>
  <c r="AP255" i="16"/>
  <c r="AP256" i="16"/>
  <c r="AP257" i="16"/>
  <c r="AP258" i="16"/>
  <c r="AP259" i="16"/>
  <c r="AP260" i="16"/>
  <c r="AP261" i="16"/>
  <c r="AP262" i="16"/>
  <c r="AP263" i="16"/>
  <c r="AP264" i="16"/>
  <c r="AP265" i="16"/>
  <c r="AP266" i="16"/>
  <c r="AP267" i="16"/>
  <c r="AP268" i="16"/>
  <c r="AP269" i="16"/>
  <c r="AP270" i="16"/>
  <c r="AP271" i="16"/>
  <c r="AP272" i="16"/>
  <c r="AP273" i="16"/>
  <c r="AP274" i="16"/>
  <c r="AP275" i="16"/>
  <c r="AP276" i="16"/>
  <c r="AP277" i="16"/>
  <c r="AP278" i="16"/>
  <c r="AP279" i="16"/>
  <c r="AP280" i="16"/>
  <c r="AP281" i="16"/>
  <c r="AP282" i="16"/>
  <c r="AP283" i="16"/>
  <c r="AP284" i="16"/>
  <c r="AP285" i="16"/>
  <c r="AP286" i="16"/>
  <c r="AP287" i="16"/>
  <c r="AP288" i="16"/>
  <c r="AP289" i="16"/>
  <c r="AP290" i="16"/>
  <c r="AP291" i="16"/>
  <c r="AP292" i="16"/>
  <c r="AP293" i="16"/>
  <c r="AP294" i="16"/>
  <c r="AP295" i="16"/>
  <c r="AP296" i="16"/>
  <c r="AP297" i="16"/>
  <c r="AP298" i="16"/>
  <c r="AP299" i="16"/>
  <c r="AP300" i="16"/>
  <c r="AP301" i="16"/>
  <c r="AP302" i="16"/>
  <c r="AP303" i="16"/>
  <c r="AP304" i="16"/>
  <c r="AP305" i="16"/>
  <c r="AP306" i="16"/>
  <c r="AP307" i="16"/>
  <c r="AP308" i="16"/>
  <c r="AP309" i="16"/>
  <c r="AP310" i="16"/>
  <c r="AP311" i="16"/>
  <c r="AP312" i="16"/>
  <c r="AP313" i="16"/>
  <c r="AP314" i="16"/>
  <c r="AP315" i="16"/>
  <c r="AP316" i="16"/>
  <c r="AP317" i="16"/>
  <c r="AP318" i="16"/>
  <c r="AP319" i="16"/>
  <c r="AP320" i="16"/>
  <c r="AP321" i="16"/>
  <c r="AP322" i="16"/>
  <c r="AP323" i="16"/>
  <c r="AP324" i="16"/>
  <c r="AP325" i="16"/>
  <c r="AP326" i="16"/>
  <c r="AP327" i="16"/>
  <c r="AP328" i="16"/>
  <c r="AP329" i="16"/>
  <c r="AP330" i="16"/>
  <c r="AP331" i="16"/>
  <c r="AP332" i="16"/>
  <c r="AP333" i="16"/>
  <c r="AP334" i="16"/>
  <c r="AP335" i="16"/>
  <c r="AP336" i="16"/>
  <c r="AP337" i="16"/>
  <c r="AP338" i="16"/>
  <c r="AP339" i="16"/>
  <c r="AP340" i="16"/>
  <c r="AP341" i="16"/>
  <c r="AP342" i="16"/>
  <c r="AP343" i="16"/>
  <c r="AP344" i="16"/>
  <c r="AP345" i="16"/>
  <c r="AP346" i="16"/>
  <c r="AP347" i="16"/>
  <c r="AP348" i="16"/>
  <c r="AP349" i="16"/>
  <c r="AP350" i="16"/>
  <c r="AP351" i="16"/>
  <c r="AP352" i="16"/>
  <c r="AP353" i="16"/>
  <c r="AP354" i="16"/>
  <c r="AP355" i="16"/>
  <c r="AP356" i="16"/>
  <c r="AP357" i="16"/>
  <c r="AP358" i="16"/>
  <c r="AP359" i="16"/>
  <c r="AP360" i="16"/>
  <c r="AP361" i="16"/>
  <c r="AP362" i="16"/>
  <c r="AP363" i="16"/>
  <c r="AP364" i="16"/>
  <c r="AP365" i="16"/>
  <c r="AP366" i="16"/>
  <c r="AP367" i="16"/>
  <c r="AP368" i="16"/>
  <c r="AP369" i="16"/>
  <c r="AP370" i="16"/>
  <c r="AP371" i="16"/>
  <c r="AP372" i="16"/>
  <c r="AP373" i="16"/>
  <c r="AP374" i="16"/>
  <c r="AP375" i="16"/>
  <c r="AP376" i="16"/>
  <c r="AP377" i="16"/>
  <c r="AP378" i="16"/>
  <c r="AP379" i="16"/>
  <c r="AP380" i="16"/>
  <c r="AP381" i="16"/>
  <c r="AP382" i="16"/>
  <c r="AP383" i="16"/>
  <c r="AP384" i="16"/>
  <c r="AP385" i="16"/>
  <c r="AP386" i="16"/>
  <c r="AP387" i="16"/>
  <c r="AP388" i="16"/>
  <c r="AP389" i="16"/>
  <c r="AP390" i="16"/>
  <c r="AP391" i="16"/>
  <c r="AP392" i="16"/>
  <c r="AP393" i="16"/>
  <c r="AP394" i="16"/>
  <c r="AP395" i="16"/>
  <c r="AP396" i="16"/>
  <c r="AP397" i="16"/>
  <c r="AP398" i="16"/>
  <c r="AP399" i="16"/>
  <c r="AP400" i="16"/>
  <c r="AP401" i="16"/>
  <c r="AP402" i="16"/>
  <c r="AP403" i="16"/>
  <c r="AP404" i="16"/>
  <c r="AP405" i="16"/>
  <c r="AP406" i="16"/>
  <c r="AP407" i="16"/>
  <c r="AP408" i="16"/>
  <c r="AP409" i="16"/>
  <c r="AP410" i="16"/>
  <c r="AP411" i="16"/>
  <c r="AP412" i="16"/>
  <c r="AP413" i="16"/>
  <c r="AP414" i="16"/>
  <c r="AP415" i="16"/>
  <c r="AP416" i="16"/>
  <c r="AP417" i="16"/>
  <c r="AP418" i="16"/>
  <c r="AP419" i="16"/>
  <c r="AP420" i="16"/>
  <c r="AP421" i="16"/>
  <c r="AP422" i="16"/>
  <c r="AP423" i="16"/>
  <c r="AP424" i="16"/>
  <c r="AP425" i="16"/>
  <c r="AP426" i="16"/>
  <c r="AP427" i="16"/>
  <c r="AP428" i="16"/>
  <c r="AP429" i="16"/>
  <c r="AP430" i="16"/>
  <c r="AP431" i="16"/>
  <c r="AP432" i="16"/>
  <c r="AP433" i="16"/>
  <c r="AP434" i="16"/>
  <c r="AP435" i="16"/>
  <c r="AP436" i="16"/>
  <c r="AP437" i="16"/>
  <c r="AP438" i="16"/>
  <c r="AP439" i="16"/>
  <c r="AP440" i="16"/>
  <c r="AP441" i="16"/>
  <c r="AP442" i="16"/>
  <c r="AP443" i="16"/>
  <c r="AP444" i="16"/>
  <c r="AP445" i="16"/>
  <c r="AP446" i="16"/>
  <c r="AP447" i="16"/>
  <c r="AP448" i="16"/>
  <c r="AP449" i="16"/>
  <c r="AP450" i="16"/>
  <c r="AP451" i="16"/>
  <c r="AP452" i="16"/>
  <c r="AP453" i="16"/>
  <c r="AP454" i="16"/>
  <c r="AP455" i="16"/>
  <c r="AP456" i="16"/>
  <c r="AP457" i="16"/>
  <c r="AP458" i="16"/>
  <c r="AP459" i="16"/>
  <c r="AP460" i="16"/>
  <c r="AP461" i="16"/>
  <c r="AP462" i="16"/>
  <c r="AP463" i="16"/>
  <c r="AP464" i="16"/>
  <c r="AP465" i="16"/>
  <c r="AP466" i="16"/>
  <c r="AP467" i="16"/>
  <c r="AP468" i="16"/>
  <c r="AP469" i="16"/>
  <c r="AP470" i="16"/>
  <c r="AP471" i="16"/>
  <c r="AP472" i="16"/>
  <c r="AP473" i="16"/>
  <c r="AP474" i="16"/>
  <c r="AP475" i="16"/>
  <c r="AP476" i="16"/>
  <c r="AP477" i="16"/>
  <c r="AP478" i="16"/>
  <c r="AP479" i="16"/>
  <c r="AP480" i="16"/>
  <c r="AP481" i="16"/>
  <c r="AP482" i="16"/>
  <c r="AP483" i="16"/>
  <c r="AP484" i="16"/>
  <c r="AP485" i="16"/>
  <c r="AP486" i="16"/>
  <c r="AP487" i="16"/>
  <c r="AP488" i="16"/>
  <c r="AP489" i="16"/>
  <c r="AP490" i="16"/>
  <c r="AP491" i="16"/>
  <c r="AP492" i="16"/>
  <c r="AP493" i="16"/>
  <c r="AP494" i="16"/>
  <c r="AP495" i="16"/>
  <c r="AP496" i="16"/>
  <c r="AP497" i="16"/>
  <c r="AP498" i="16"/>
  <c r="AP499" i="16"/>
  <c r="AP500" i="16"/>
  <c r="AP501" i="16"/>
  <c r="AP502" i="16"/>
  <c r="AP503" i="16"/>
  <c r="AP504" i="16"/>
  <c r="AP505" i="16"/>
  <c r="AP506" i="16"/>
  <c r="AP507" i="16"/>
  <c r="AP508" i="16"/>
  <c r="AP509" i="16"/>
  <c r="AP510" i="16"/>
  <c r="AP511" i="16"/>
  <c r="AP512" i="16"/>
  <c r="AP513" i="16"/>
  <c r="AP514" i="16"/>
  <c r="AP515" i="16"/>
  <c r="AP516" i="16"/>
  <c r="AP517" i="16"/>
  <c r="AP518" i="16"/>
  <c r="AP519" i="16"/>
  <c r="AP520" i="16"/>
  <c r="AP521" i="16"/>
  <c r="AP522" i="16"/>
  <c r="AP523" i="16"/>
  <c r="AP524" i="16"/>
  <c r="AP525" i="16"/>
  <c r="AP526" i="16"/>
  <c r="AP527" i="16"/>
  <c r="AP528" i="16"/>
  <c r="AP529" i="16"/>
  <c r="AP530" i="16"/>
  <c r="AP531" i="16"/>
  <c r="AP532" i="16"/>
  <c r="AP533" i="16"/>
  <c r="AP534" i="16"/>
  <c r="AP535" i="16"/>
  <c r="AP536" i="16"/>
  <c r="AP537" i="16"/>
  <c r="AP538" i="16"/>
  <c r="AP539" i="16"/>
  <c r="AP540" i="16"/>
  <c r="AP541" i="16"/>
  <c r="AP542" i="16"/>
  <c r="AP543" i="16"/>
  <c r="AP544" i="16"/>
  <c r="AP545" i="16"/>
  <c r="AP546" i="16"/>
  <c r="AP547" i="16"/>
  <c r="AP548" i="16"/>
  <c r="AP549" i="16"/>
  <c r="AP550" i="16"/>
  <c r="AP551" i="16"/>
  <c r="AP552" i="16"/>
  <c r="AP553" i="16"/>
  <c r="AP554" i="16"/>
  <c r="AP555" i="16"/>
  <c r="AP556" i="16"/>
  <c r="AP557" i="16"/>
  <c r="AP558" i="16"/>
  <c r="AP559" i="16"/>
  <c r="AP560" i="16"/>
  <c r="AP561" i="16"/>
  <c r="AP562" i="16"/>
  <c r="AP563" i="16"/>
  <c r="AP564" i="16"/>
  <c r="AP565" i="16"/>
  <c r="AP566" i="16"/>
  <c r="AP567" i="16"/>
  <c r="AP568" i="16"/>
  <c r="AP569" i="16"/>
  <c r="AP570" i="16"/>
  <c r="AP571" i="16"/>
  <c r="AP572" i="16"/>
  <c r="AP573" i="16"/>
  <c r="AP574" i="16"/>
  <c r="AP575" i="16"/>
  <c r="AP576" i="16"/>
  <c r="AP577" i="16"/>
  <c r="AP578" i="16"/>
  <c r="AP579" i="16"/>
  <c r="AP580" i="16"/>
  <c r="AP581" i="16"/>
  <c r="AP582" i="16"/>
  <c r="AP583" i="16"/>
  <c r="AP584" i="16"/>
  <c r="AP585" i="16"/>
  <c r="AP586" i="16"/>
  <c r="AP587" i="16"/>
  <c r="AP588" i="16"/>
  <c r="AP589" i="16"/>
  <c r="AP590" i="16"/>
  <c r="AP591" i="16"/>
  <c r="AP592" i="16"/>
  <c r="AP593" i="16"/>
  <c r="AP594" i="16"/>
  <c r="AP595" i="16"/>
  <c r="AP596" i="16"/>
  <c r="AP597" i="16"/>
  <c r="AP598" i="16"/>
  <c r="AP599" i="16"/>
  <c r="AP600" i="16"/>
  <c r="AP601" i="16"/>
  <c r="AP602" i="16"/>
  <c r="AP603" i="16"/>
  <c r="AP604" i="16"/>
  <c r="AP605" i="16"/>
  <c r="AP606" i="16"/>
  <c r="AP607" i="16"/>
  <c r="AP608" i="16"/>
  <c r="AP609" i="16"/>
  <c r="AP610" i="16"/>
  <c r="AP611" i="16"/>
  <c r="AP612" i="16"/>
  <c r="AP613" i="16"/>
  <c r="AP614" i="16"/>
  <c r="AP615" i="16"/>
  <c r="AP616" i="16"/>
  <c r="AP617" i="16"/>
  <c r="AP618" i="16"/>
  <c r="AP619" i="16"/>
  <c r="AP620" i="16"/>
  <c r="AP621" i="16"/>
  <c r="AP622" i="16"/>
  <c r="AP623" i="16"/>
  <c r="AP624" i="16"/>
  <c r="AP625" i="16"/>
  <c r="AP626" i="16"/>
  <c r="AP627" i="16"/>
  <c r="AP628" i="16"/>
  <c r="AP629" i="16"/>
  <c r="AP630" i="16"/>
  <c r="AP631" i="16"/>
  <c r="AP632" i="16"/>
  <c r="AP633" i="16"/>
  <c r="AP634" i="16"/>
  <c r="AP635" i="16"/>
  <c r="AP636" i="16"/>
  <c r="AP637" i="16"/>
  <c r="AP638" i="16"/>
  <c r="AP639" i="16"/>
  <c r="AP640" i="16"/>
  <c r="AP641" i="16"/>
  <c r="AP642" i="16"/>
  <c r="AP643" i="16"/>
  <c r="AP644" i="16"/>
  <c r="AP645" i="16"/>
  <c r="AP646" i="16"/>
  <c r="AP647" i="16"/>
  <c r="AP648" i="16"/>
  <c r="AP649" i="16"/>
  <c r="AP650" i="16"/>
  <c r="AP651" i="16"/>
  <c r="AP652" i="16"/>
  <c r="AP653" i="16"/>
  <c r="AP654" i="16"/>
  <c r="AP655" i="16"/>
  <c r="AP656" i="16"/>
  <c r="AP657" i="16"/>
  <c r="AP658" i="16"/>
  <c r="AP659" i="16"/>
  <c r="AP660" i="16"/>
  <c r="AP661" i="16"/>
  <c r="AP662" i="16"/>
  <c r="AP663" i="16"/>
  <c r="AP664" i="16"/>
  <c r="AP665" i="16"/>
  <c r="AP666" i="16"/>
  <c r="AP667" i="16"/>
  <c r="AP668" i="16"/>
  <c r="AP669" i="16"/>
  <c r="AP670" i="16"/>
  <c r="AP671" i="16"/>
  <c r="AP672" i="16"/>
  <c r="AP673" i="16"/>
  <c r="AP674" i="16"/>
  <c r="AP675" i="16"/>
  <c r="AP676" i="16"/>
  <c r="AP677" i="16"/>
  <c r="AP678" i="16"/>
  <c r="AP679" i="16"/>
  <c r="AP680" i="16"/>
  <c r="AP681" i="16"/>
  <c r="AP682" i="16"/>
  <c r="AP683" i="16"/>
  <c r="AP684" i="16"/>
  <c r="AP685" i="16"/>
  <c r="AP686" i="16"/>
  <c r="AP687" i="16"/>
  <c r="AP688" i="16"/>
  <c r="AP689" i="16"/>
  <c r="AP690" i="16"/>
  <c r="AP691" i="16"/>
  <c r="AP692" i="16"/>
  <c r="AP693" i="16"/>
  <c r="AP694" i="16"/>
  <c r="AP695" i="16"/>
  <c r="AP696" i="16"/>
  <c r="AP697" i="16"/>
  <c r="AP698" i="16"/>
  <c r="AP699" i="16"/>
  <c r="AP700" i="16"/>
  <c r="AP701" i="16"/>
  <c r="AP702" i="16"/>
  <c r="AP703" i="16"/>
  <c r="AP704" i="16"/>
  <c r="AP705" i="16"/>
  <c r="AP706" i="16"/>
  <c r="AP707" i="16"/>
  <c r="AP708" i="16"/>
  <c r="AP709" i="16"/>
  <c r="AP710" i="16"/>
  <c r="AP711" i="16"/>
  <c r="AP712" i="16"/>
  <c r="AP713" i="16"/>
  <c r="AP714" i="16"/>
  <c r="AP715" i="16"/>
  <c r="AP716" i="16"/>
  <c r="AP717" i="16"/>
  <c r="AP718" i="16"/>
  <c r="AP719" i="16"/>
  <c r="AP720" i="16"/>
  <c r="AP721" i="16"/>
  <c r="AP722" i="16"/>
  <c r="AP723" i="16"/>
  <c r="AP724" i="16"/>
  <c r="AP725" i="16"/>
  <c r="AP726" i="16"/>
  <c r="AP727" i="16"/>
  <c r="AP728" i="16"/>
  <c r="AP729" i="16"/>
  <c r="AP730" i="16"/>
  <c r="AP731" i="16"/>
  <c r="AP732" i="16"/>
  <c r="AP733" i="16"/>
  <c r="AP734" i="16"/>
  <c r="AP735" i="16"/>
  <c r="AP736" i="16"/>
  <c r="AP737" i="16"/>
  <c r="AP738" i="16"/>
  <c r="AP739" i="16"/>
  <c r="AP740" i="16"/>
  <c r="AP741" i="16"/>
  <c r="AP742" i="16"/>
  <c r="AP743" i="16"/>
  <c r="AP744" i="16"/>
  <c r="AP745" i="16"/>
  <c r="AP746" i="16"/>
  <c r="AP747" i="16"/>
  <c r="AP748" i="16"/>
  <c r="AP749" i="16"/>
  <c r="AP750" i="16"/>
  <c r="AP751" i="16"/>
  <c r="AP752" i="16"/>
  <c r="AP753" i="16"/>
  <c r="AP754" i="16"/>
  <c r="AP755" i="16"/>
  <c r="AP756" i="16"/>
  <c r="AP757" i="16"/>
  <c r="AP758" i="16"/>
  <c r="AP759" i="16"/>
  <c r="AP760" i="16"/>
  <c r="AP761" i="16"/>
  <c r="AP762" i="16"/>
  <c r="AP763" i="16"/>
  <c r="AP764" i="16"/>
  <c r="AP765" i="16"/>
  <c r="AP766" i="16"/>
  <c r="AP767" i="16"/>
  <c r="AP768" i="16"/>
  <c r="AP769" i="16"/>
  <c r="AP770" i="16"/>
  <c r="AP771" i="16"/>
  <c r="AP772" i="16"/>
  <c r="AP773" i="16"/>
  <c r="AP774" i="16"/>
  <c r="AP775" i="16"/>
  <c r="AP776" i="16"/>
  <c r="AP777" i="16"/>
  <c r="AP778" i="16"/>
  <c r="AP779" i="16"/>
  <c r="AP780" i="16"/>
  <c r="AP781" i="16"/>
  <c r="AP782" i="16"/>
  <c r="AP783" i="16"/>
  <c r="AP784" i="16"/>
  <c r="AP785" i="16"/>
  <c r="AP786" i="16"/>
  <c r="AP787" i="16"/>
  <c r="AP788" i="16"/>
  <c r="AP789" i="16"/>
  <c r="AP790" i="16"/>
  <c r="AP791" i="16"/>
  <c r="AP792" i="16"/>
  <c r="AP793" i="16"/>
  <c r="AP794" i="16"/>
  <c r="AP795" i="16"/>
  <c r="AP796" i="16"/>
  <c r="AP797" i="16"/>
  <c r="AP798" i="16"/>
  <c r="AP799" i="16"/>
  <c r="AP800" i="16"/>
  <c r="AP801" i="16"/>
  <c r="AP802" i="16"/>
  <c r="AP803" i="16"/>
  <c r="AP804" i="16"/>
  <c r="AP805" i="16"/>
  <c r="AP806" i="16"/>
  <c r="AP807" i="16"/>
  <c r="AP808" i="16"/>
  <c r="AP809" i="16"/>
  <c r="AP810" i="16"/>
  <c r="AP811" i="16"/>
  <c r="AP812" i="16"/>
  <c r="AP813" i="16"/>
  <c r="AP814" i="16"/>
  <c r="AP815" i="16"/>
  <c r="AP816" i="16"/>
  <c r="AP817" i="16"/>
  <c r="AP818" i="16"/>
  <c r="AP819" i="16"/>
  <c r="AP820" i="16"/>
  <c r="AP821" i="16"/>
  <c r="AP822" i="16"/>
  <c r="AP823" i="16"/>
  <c r="AP824" i="16"/>
  <c r="AP825" i="16"/>
  <c r="AP826" i="16"/>
  <c r="AP827" i="16"/>
  <c r="AP828" i="16"/>
  <c r="AP829" i="16"/>
  <c r="AP830" i="16"/>
  <c r="AP831" i="16"/>
  <c r="AP832" i="16"/>
  <c r="AP833" i="16"/>
  <c r="AP834" i="16"/>
  <c r="AP835" i="16"/>
  <c r="AP836" i="16"/>
  <c r="AP837" i="16"/>
  <c r="AP838" i="16"/>
  <c r="AP839" i="16"/>
  <c r="AP840" i="16"/>
  <c r="AP841" i="16"/>
  <c r="AP842" i="16"/>
  <c r="AP843" i="16"/>
  <c r="AP844" i="16"/>
  <c r="AP845" i="16"/>
  <c r="AP846" i="16"/>
  <c r="AP847" i="16"/>
  <c r="AP848" i="16"/>
  <c r="AP849" i="16"/>
  <c r="AP850" i="16"/>
  <c r="AP851" i="16"/>
  <c r="AP852" i="16"/>
  <c r="AP853" i="16"/>
  <c r="AP854" i="16"/>
  <c r="AP855" i="16"/>
  <c r="AP856" i="16"/>
  <c r="AP857" i="16"/>
  <c r="AP858" i="16"/>
  <c r="AP859" i="16"/>
  <c r="AP860" i="16"/>
  <c r="AP861" i="16"/>
  <c r="AP862" i="16"/>
  <c r="AP863" i="16"/>
  <c r="AP864" i="16"/>
  <c r="AP865" i="16"/>
  <c r="AP866" i="16"/>
  <c r="AP867" i="16"/>
  <c r="AP868" i="16"/>
  <c r="AP869" i="16"/>
  <c r="AP870" i="16"/>
  <c r="AP871" i="16"/>
  <c r="AP872" i="16"/>
  <c r="AP873" i="16"/>
  <c r="AP874" i="16"/>
  <c r="AP875" i="16"/>
  <c r="AP876" i="16"/>
  <c r="AP877" i="16"/>
  <c r="AP878" i="16"/>
  <c r="AP879" i="16"/>
  <c r="AP880" i="16"/>
  <c r="AP881" i="16"/>
  <c r="AP882" i="16"/>
  <c r="AP883" i="16"/>
  <c r="AP884" i="16"/>
  <c r="AP885" i="16"/>
  <c r="AP886" i="16"/>
  <c r="AP887" i="16"/>
  <c r="AP888" i="16"/>
  <c r="AP889" i="16"/>
  <c r="AP890" i="16"/>
  <c r="AP891" i="16"/>
  <c r="AP892" i="16"/>
  <c r="AP893" i="16"/>
  <c r="AP894" i="16"/>
  <c r="AP895" i="16"/>
  <c r="AP896" i="16"/>
  <c r="AP897" i="16"/>
  <c r="AP898" i="16"/>
  <c r="AP899" i="16"/>
  <c r="AP900" i="16"/>
  <c r="AP901" i="16"/>
  <c r="AP902" i="16"/>
  <c r="AP903" i="16"/>
  <c r="AP904" i="16"/>
  <c r="AP905" i="16"/>
  <c r="AP906" i="16"/>
  <c r="AP907" i="16"/>
  <c r="AP908" i="16"/>
  <c r="AP909" i="16"/>
  <c r="AP910" i="16"/>
  <c r="AP911" i="16"/>
  <c r="AP912" i="16"/>
  <c r="AP913" i="16"/>
  <c r="AP914" i="16"/>
  <c r="AP915" i="16"/>
  <c r="AP916" i="16"/>
  <c r="AP917" i="16"/>
  <c r="AP918" i="16"/>
  <c r="AP919" i="16"/>
  <c r="AP920" i="16"/>
  <c r="AP921" i="16"/>
  <c r="AP922" i="16"/>
  <c r="AP923" i="16"/>
  <c r="AP924" i="16"/>
  <c r="AP925" i="16"/>
  <c r="AP926" i="16"/>
  <c r="AP927" i="16"/>
  <c r="AP928" i="16"/>
  <c r="AP929" i="16"/>
  <c r="AP930" i="16"/>
  <c r="AP931" i="16"/>
  <c r="AP932" i="16"/>
  <c r="AP933" i="16"/>
  <c r="AP934" i="16"/>
  <c r="AP935" i="16"/>
  <c r="AP936" i="16"/>
  <c r="AP937" i="16"/>
  <c r="AP938" i="16"/>
  <c r="AP939" i="16"/>
  <c r="AP940" i="16"/>
  <c r="AP941" i="16"/>
  <c r="AP942" i="16"/>
  <c r="AP943" i="16"/>
  <c r="AP944" i="16"/>
  <c r="AP945" i="16"/>
  <c r="AP946" i="16"/>
  <c r="AP947" i="16"/>
  <c r="AP948" i="16"/>
  <c r="AP949" i="16"/>
  <c r="AP950" i="16"/>
  <c r="AP951" i="16"/>
  <c r="AP952" i="16"/>
  <c r="AP953" i="16"/>
  <c r="AP954" i="16"/>
  <c r="AP955" i="16"/>
  <c r="AP956" i="16"/>
  <c r="AP957" i="16"/>
  <c r="AP958" i="16"/>
  <c r="AP959" i="16"/>
  <c r="AP960" i="16"/>
  <c r="AP961" i="16"/>
  <c r="AP962" i="16"/>
  <c r="AP963" i="16"/>
  <c r="AP964" i="16"/>
  <c r="AP965" i="16"/>
  <c r="AP966" i="16"/>
  <c r="AP967" i="16"/>
  <c r="AP968" i="16"/>
  <c r="AP969" i="16"/>
  <c r="AP970" i="16"/>
  <c r="AP971" i="16"/>
  <c r="AP972" i="16"/>
  <c r="AP973" i="16"/>
  <c r="AP974" i="16"/>
  <c r="AP975" i="16"/>
  <c r="AP976" i="16"/>
  <c r="AP977" i="16"/>
  <c r="AP978" i="16"/>
  <c r="AP979" i="16"/>
  <c r="AP980" i="16"/>
  <c r="AP981" i="16"/>
  <c r="AP982" i="16"/>
  <c r="AP983" i="16"/>
  <c r="AP984" i="16"/>
  <c r="AP985" i="16"/>
  <c r="AP986" i="16"/>
  <c r="AP987" i="16"/>
  <c r="AP988" i="16"/>
  <c r="AP989" i="16"/>
  <c r="AP990" i="16"/>
  <c r="AP991" i="16"/>
  <c r="AP992" i="16"/>
  <c r="AP993" i="16"/>
  <c r="AP994" i="16"/>
  <c r="AP995" i="16"/>
  <c r="AP996" i="16"/>
  <c r="AP997" i="16"/>
  <c r="AP998" i="16"/>
  <c r="AP999" i="16"/>
  <c r="AP1000" i="16"/>
  <c r="D1000" i="18" l="1" a="1"/>
  <c r="D1000" i="18" s="1"/>
  <c r="D999" i="18" a="1"/>
  <c r="D999" i="18" s="1"/>
  <c r="G999" i="18" s="1"/>
  <c r="D998" i="18" a="1"/>
  <c r="D998" i="18" s="1"/>
  <c r="D997" i="18" a="1"/>
  <c r="D997" i="18" s="1"/>
  <c r="G997" i="18" s="1"/>
  <c r="D996" i="18" a="1"/>
  <c r="D996" i="18" s="1"/>
  <c r="D995" i="18" a="1"/>
  <c r="D995" i="18" s="1"/>
  <c r="G995" i="18" s="1"/>
  <c r="D994" i="18" a="1"/>
  <c r="D994" i="18" s="1"/>
  <c r="G994" i="18" s="1"/>
  <c r="D993" i="18" a="1"/>
  <c r="D993" i="18" s="1"/>
  <c r="D992" i="18" a="1"/>
  <c r="D992" i="18" s="1"/>
  <c r="D991" i="18" a="1"/>
  <c r="D991" i="18" s="1"/>
  <c r="G991" i="18" s="1"/>
  <c r="D990" i="18" a="1"/>
  <c r="D990" i="18" s="1"/>
  <c r="D989" i="18" a="1"/>
  <c r="D989" i="18" s="1"/>
  <c r="G989" i="18" s="1"/>
  <c r="D988" i="18" a="1"/>
  <c r="D988" i="18" s="1"/>
  <c r="D987" i="18" a="1"/>
  <c r="D987" i="18" s="1"/>
  <c r="G987" i="18" s="1"/>
  <c r="D986" i="18" a="1"/>
  <c r="D986" i="18" s="1"/>
  <c r="D985" i="18" a="1"/>
  <c r="D985" i="18" s="1"/>
  <c r="D984" i="18" a="1"/>
  <c r="D984" i="18" s="1"/>
  <c r="D983" i="18" a="1"/>
  <c r="D983" i="18" s="1"/>
  <c r="G983" i="18" s="1"/>
  <c r="D982" i="18" a="1"/>
  <c r="D982" i="18" s="1"/>
  <c r="D981" i="18" a="1"/>
  <c r="D981" i="18" s="1"/>
  <c r="D980" i="18" a="1"/>
  <c r="D980" i="18" s="1"/>
  <c r="D979" i="18" a="1"/>
  <c r="D979" i="18" s="1"/>
  <c r="G979" i="18" s="1"/>
  <c r="D978" i="18" a="1"/>
  <c r="D978" i="18" s="1"/>
  <c r="D977" i="18" a="1"/>
  <c r="D977" i="18" s="1"/>
  <c r="D976" i="18" a="1"/>
  <c r="D976" i="18" s="1"/>
  <c r="D975" i="18" a="1"/>
  <c r="D975" i="18" s="1"/>
  <c r="G975" i="18" s="1"/>
  <c r="D974" i="18" a="1"/>
  <c r="D974" i="18" s="1"/>
  <c r="D973" i="18" a="1"/>
  <c r="D973" i="18" s="1"/>
  <c r="D972" i="18" a="1"/>
  <c r="D972" i="18" s="1"/>
  <c r="D971" i="18" a="1"/>
  <c r="D971" i="18" s="1"/>
  <c r="G971" i="18" s="1"/>
  <c r="D970" i="18" a="1"/>
  <c r="D970" i="18" s="1"/>
  <c r="D969" i="18" a="1"/>
  <c r="D969" i="18" s="1"/>
  <c r="D968" i="18" a="1"/>
  <c r="D968" i="18" s="1"/>
  <c r="D967" i="18" a="1"/>
  <c r="D967" i="18" s="1"/>
  <c r="D966" i="18" a="1"/>
  <c r="D966" i="18" s="1"/>
  <c r="D965" i="18" a="1"/>
  <c r="D965" i="18" s="1"/>
  <c r="G965" i="18" s="1"/>
  <c r="D964" i="18" a="1"/>
  <c r="D964" i="18" s="1"/>
  <c r="D963" i="18" a="1"/>
  <c r="D963" i="18" s="1"/>
  <c r="G963" i="18" s="1"/>
  <c r="D962" i="18" a="1"/>
  <c r="D962" i="18" s="1"/>
  <c r="G962" i="18" s="1"/>
  <c r="D961" i="18" a="1"/>
  <c r="D961" i="18" s="1"/>
  <c r="D960" i="18" a="1"/>
  <c r="D960" i="18" s="1"/>
  <c r="D959" i="18" a="1"/>
  <c r="D959" i="18" s="1"/>
  <c r="G959" i="18" s="1"/>
  <c r="D958" i="18" a="1"/>
  <c r="D958" i="18" s="1"/>
  <c r="D957" i="18" a="1"/>
  <c r="D957" i="18" s="1"/>
  <c r="D956" i="18" a="1"/>
  <c r="D956" i="18" s="1"/>
  <c r="D955" i="18" a="1"/>
  <c r="D955" i="18" s="1"/>
  <c r="G955" i="18" s="1"/>
  <c r="D954" i="18" a="1"/>
  <c r="D954" i="18" s="1"/>
  <c r="G954" i="18" s="1"/>
  <c r="D953" i="18" a="1"/>
  <c r="D953" i="18" s="1"/>
  <c r="D952" i="18" a="1"/>
  <c r="D952" i="18" s="1"/>
  <c r="G952" i="18" s="1"/>
  <c r="D951" i="18" a="1"/>
  <c r="D951" i="18" s="1"/>
  <c r="D950" i="18" a="1"/>
  <c r="D950" i="18" s="1"/>
  <c r="D949" i="18" a="1"/>
  <c r="D949" i="18" s="1"/>
  <c r="G949" i="18" s="1"/>
  <c r="D948" i="18" a="1"/>
  <c r="D948" i="18" s="1"/>
  <c r="D947" i="18" a="1"/>
  <c r="D947" i="18" s="1"/>
  <c r="D946" i="18" a="1"/>
  <c r="D946" i="18" s="1"/>
  <c r="D945" i="18" a="1"/>
  <c r="D945" i="18" s="1"/>
  <c r="D944" i="18" a="1"/>
  <c r="D944" i="18" s="1"/>
  <c r="G944" i="18" s="1"/>
  <c r="D943" i="18" a="1"/>
  <c r="D943" i="18" s="1"/>
  <c r="D942" i="18" a="1"/>
  <c r="D942" i="18" s="1"/>
  <c r="D941" i="18" a="1"/>
  <c r="D941" i="18" s="1"/>
  <c r="G941" i="18" s="1"/>
  <c r="D940" i="18" a="1"/>
  <c r="D940" i="18" s="1"/>
  <c r="D939" i="18" a="1"/>
  <c r="D939" i="18" s="1"/>
  <c r="D938" i="18" a="1"/>
  <c r="D938" i="18" s="1"/>
  <c r="G938" i="18" s="1"/>
  <c r="D937" i="18" a="1"/>
  <c r="D937" i="18" s="1"/>
  <c r="D936" i="18" a="1"/>
  <c r="D936" i="18" s="1"/>
  <c r="G936" i="18" s="1"/>
  <c r="D935" i="18" a="1"/>
  <c r="D935" i="18" s="1"/>
  <c r="D934" i="18" a="1"/>
  <c r="D934" i="18" s="1"/>
  <c r="D933" i="18" a="1"/>
  <c r="D933" i="18" s="1"/>
  <c r="G933" i="18" s="1"/>
  <c r="D932" i="18" a="1"/>
  <c r="D932" i="18" s="1"/>
  <c r="D931" i="18" a="1"/>
  <c r="D931" i="18" s="1"/>
  <c r="D930" i="18" a="1"/>
  <c r="D930" i="18" s="1"/>
  <c r="D929" i="18" a="1"/>
  <c r="D929" i="18" s="1"/>
  <c r="D928" i="18" a="1"/>
  <c r="D928" i="18" s="1"/>
  <c r="D927" i="18" a="1"/>
  <c r="D927" i="18" s="1"/>
  <c r="G927" i="18" s="1"/>
  <c r="D926" i="18" a="1"/>
  <c r="D926" i="18" s="1"/>
  <c r="D925" i="18" a="1"/>
  <c r="D925" i="18" s="1"/>
  <c r="D924" i="18" a="1"/>
  <c r="D924" i="18" s="1"/>
  <c r="D923" i="18" a="1"/>
  <c r="D923" i="18" s="1"/>
  <c r="D922" i="18" a="1"/>
  <c r="D922" i="18" s="1"/>
  <c r="G922" i="18" s="1"/>
  <c r="D921" i="18" a="1"/>
  <c r="D921" i="18" s="1"/>
  <c r="D920" i="18" a="1"/>
  <c r="D920" i="18" s="1"/>
  <c r="D919" i="18" a="1"/>
  <c r="D919" i="18" s="1"/>
  <c r="G919" i="18" s="1"/>
  <c r="D918" i="18" a="1"/>
  <c r="D918" i="18" s="1"/>
  <c r="D917" i="18" a="1"/>
  <c r="D917" i="18" s="1"/>
  <c r="D916" i="18" a="1"/>
  <c r="D916" i="18" s="1"/>
  <c r="D915" i="18" a="1"/>
  <c r="D915" i="18" s="1"/>
  <c r="D914" i="18" a="1"/>
  <c r="D914" i="18" s="1"/>
  <c r="G914" i="18" s="1"/>
  <c r="D913" i="18" a="1"/>
  <c r="D913" i="18" s="1"/>
  <c r="D912" i="18" a="1"/>
  <c r="D912" i="18" s="1"/>
  <c r="D911" i="18" a="1"/>
  <c r="D911" i="18" s="1"/>
  <c r="G911" i="18" s="1"/>
  <c r="D910" i="18" a="1"/>
  <c r="D910" i="18" s="1"/>
  <c r="D909" i="18" a="1"/>
  <c r="D909" i="18" s="1"/>
  <c r="D908" i="18" a="1"/>
  <c r="D908" i="18" s="1"/>
  <c r="D907" i="18" a="1"/>
  <c r="D907" i="18" s="1"/>
  <c r="D906" i="18" a="1"/>
  <c r="D906" i="18" s="1"/>
  <c r="G906" i="18" s="1"/>
  <c r="D905" i="18" a="1"/>
  <c r="D905" i="18" s="1"/>
  <c r="D904" i="18" a="1"/>
  <c r="D904" i="18" s="1"/>
  <c r="D903" i="18" a="1"/>
  <c r="D903" i="18" s="1"/>
  <c r="G903" i="18" s="1"/>
  <c r="D902" i="18" a="1"/>
  <c r="D902" i="18" s="1"/>
  <c r="D901" i="18" a="1"/>
  <c r="D901" i="18" s="1"/>
  <c r="D900" i="18" a="1"/>
  <c r="D900" i="18" s="1"/>
  <c r="D899" i="18" a="1"/>
  <c r="D899" i="18" s="1"/>
  <c r="D898" i="18" a="1"/>
  <c r="D898" i="18" s="1"/>
  <c r="G898" i="18" s="1"/>
  <c r="D897" i="18" a="1"/>
  <c r="D897" i="18" s="1"/>
  <c r="D896" i="18" a="1"/>
  <c r="D896" i="18" s="1"/>
  <c r="D895" i="18" a="1"/>
  <c r="D895" i="18" s="1"/>
  <c r="G895" i="18" s="1"/>
  <c r="D894" i="18" a="1"/>
  <c r="D894" i="18" s="1"/>
  <c r="D893" i="18" a="1"/>
  <c r="D893" i="18" s="1"/>
  <c r="D892" i="18" a="1"/>
  <c r="D892" i="18" s="1"/>
  <c r="D891" i="18" a="1"/>
  <c r="D891" i="18" s="1"/>
  <c r="D890" i="18" a="1"/>
  <c r="D890" i="18" s="1"/>
  <c r="G890" i="18" s="1"/>
  <c r="D889" i="18" a="1"/>
  <c r="D889" i="18" s="1"/>
  <c r="D888" i="18" a="1"/>
  <c r="D888" i="18" s="1"/>
  <c r="D887" i="18" a="1"/>
  <c r="D887" i="18" s="1"/>
  <c r="G887" i="18" s="1"/>
  <c r="D886" i="18" a="1"/>
  <c r="D886" i="18" s="1"/>
  <c r="D885" i="18" a="1"/>
  <c r="D885" i="18" s="1"/>
  <c r="D884" i="18" a="1"/>
  <c r="D884" i="18" s="1"/>
  <c r="D883" i="18" a="1"/>
  <c r="D883" i="18" s="1"/>
  <c r="D882" i="18" a="1"/>
  <c r="D882" i="18" s="1"/>
  <c r="G882" i="18" s="1"/>
  <c r="D881" i="18" a="1"/>
  <c r="D881" i="18" s="1"/>
  <c r="D880" i="18" a="1"/>
  <c r="D880" i="18" s="1"/>
  <c r="D879" i="18" a="1"/>
  <c r="D879" i="18" s="1"/>
  <c r="G879" i="18" s="1"/>
  <c r="D878" i="18" a="1"/>
  <c r="D878" i="18" s="1"/>
  <c r="D877" i="18" a="1"/>
  <c r="D877" i="18" s="1"/>
  <c r="D876" i="18" a="1"/>
  <c r="D876" i="18" s="1"/>
  <c r="D875" i="18" a="1"/>
  <c r="D875" i="18" s="1"/>
  <c r="D874" i="18" a="1"/>
  <c r="D874" i="18" s="1"/>
  <c r="G874" i="18" s="1"/>
  <c r="D873" i="18" a="1"/>
  <c r="D873" i="18" s="1"/>
  <c r="D872" i="18" a="1"/>
  <c r="D872" i="18" s="1"/>
  <c r="D871" i="18" a="1"/>
  <c r="D871" i="18" s="1"/>
  <c r="G871" i="18" s="1"/>
  <c r="D870" i="18" a="1"/>
  <c r="D870" i="18" s="1"/>
  <c r="D869" i="18" a="1"/>
  <c r="D869" i="18" s="1"/>
  <c r="D868" i="18" a="1"/>
  <c r="D868" i="18" s="1"/>
  <c r="D867" i="18" a="1"/>
  <c r="D867" i="18" s="1"/>
  <c r="D866" i="18" a="1"/>
  <c r="D866" i="18" s="1"/>
  <c r="G866" i="18" s="1"/>
  <c r="D865" i="18" a="1"/>
  <c r="D865" i="18" s="1"/>
  <c r="D864" i="18" a="1"/>
  <c r="D864" i="18" s="1"/>
  <c r="D863" i="18" a="1"/>
  <c r="D863" i="18" s="1"/>
  <c r="G863" i="18" s="1"/>
  <c r="D862" i="18" a="1"/>
  <c r="D862" i="18" s="1"/>
  <c r="D861" i="18" a="1"/>
  <c r="D861" i="18" s="1"/>
  <c r="D860" i="18" a="1"/>
  <c r="D860" i="18" s="1"/>
  <c r="D859" i="18" a="1"/>
  <c r="D859" i="18" s="1"/>
  <c r="D858" i="18" a="1"/>
  <c r="D858" i="18" s="1"/>
  <c r="G858" i="18" s="1"/>
  <c r="D857" i="18" a="1"/>
  <c r="D857" i="18" s="1"/>
  <c r="D856" i="18" a="1"/>
  <c r="D856" i="18" s="1"/>
  <c r="D855" i="18" a="1"/>
  <c r="D855" i="18" s="1"/>
  <c r="G855" i="18" s="1"/>
  <c r="D854" i="18" a="1"/>
  <c r="D854" i="18" s="1"/>
  <c r="D853" i="18" a="1"/>
  <c r="D853" i="18" s="1"/>
  <c r="D852" i="18" a="1"/>
  <c r="D852" i="18" s="1"/>
  <c r="D851" i="18" a="1"/>
  <c r="D851" i="18" s="1"/>
  <c r="D850" i="18" a="1"/>
  <c r="D850" i="18" s="1"/>
  <c r="G850" i="18" s="1"/>
  <c r="D849" i="18" a="1"/>
  <c r="D849" i="18" s="1"/>
  <c r="D848" i="18" a="1"/>
  <c r="D848" i="18" s="1"/>
  <c r="D847" i="18" a="1"/>
  <c r="D847" i="18" s="1"/>
  <c r="G847" i="18" s="1"/>
  <c r="D846" i="18" a="1"/>
  <c r="D846" i="18" s="1"/>
  <c r="D845" i="18" a="1"/>
  <c r="D845" i="18" s="1"/>
  <c r="G845" i="18" s="1"/>
  <c r="D844" i="18" a="1"/>
  <c r="D844" i="18" s="1"/>
  <c r="D843" i="18" a="1"/>
  <c r="D843" i="18" s="1"/>
  <c r="D842" i="18" a="1"/>
  <c r="D842" i="18" s="1"/>
  <c r="D841" i="18" a="1"/>
  <c r="D841" i="18" s="1"/>
  <c r="D840" i="18" a="1"/>
  <c r="D840" i="18" s="1"/>
  <c r="D839" i="18" a="1"/>
  <c r="D839" i="18" s="1"/>
  <c r="D838" i="18" a="1"/>
  <c r="D838" i="18" s="1"/>
  <c r="D837" i="18" a="1"/>
  <c r="D837" i="18" s="1"/>
  <c r="G837" i="18" s="1"/>
  <c r="D836" i="18" a="1"/>
  <c r="D836" i="18" s="1"/>
  <c r="D835" i="18" a="1"/>
  <c r="D835" i="18" s="1"/>
  <c r="D834" i="18" a="1"/>
  <c r="D834" i="18" s="1"/>
  <c r="D833" i="18" a="1"/>
  <c r="D833" i="18" s="1"/>
  <c r="D832" i="18" a="1"/>
  <c r="D832" i="18" s="1"/>
  <c r="G832" i="18" s="1"/>
  <c r="D831" i="18" a="1"/>
  <c r="D831" i="18" s="1"/>
  <c r="G831" i="18" s="1"/>
  <c r="D830" i="18" a="1"/>
  <c r="D830" i="18" s="1"/>
  <c r="D829" i="18" a="1"/>
  <c r="D829" i="18" s="1"/>
  <c r="D828" i="18" a="1"/>
  <c r="D828" i="18" s="1"/>
  <c r="D827" i="18" a="1"/>
  <c r="D827" i="18" s="1"/>
  <c r="G827" i="18" s="1"/>
  <c r="D826" i="18" a="1"/>
  <c r="D826" i="18" s="1"/>
  <c r="G826" i="18" s="1"/>
  <c r="D825" i="18" a="1"/>
  <c r="D825" i="18" s="1"/>
  <c r="G825" i="18" s="1"/>
  <c r="D824" i="18" a="1"/>
  <c r="D824" i="18" s="1"/>
  <c r="D823" i="18" a="1"/>
  <c r="D823" i="18" s="1"/>
  <c r="D822" i="18" a="1"/>
  <c r="D822" i="18" s="1"/>
  <c r="D821" i="18" a="1"/>
  <c r="D821" i="18" s="1"/>
  <c r="D820" i="18" a="1"/>
  <c r="D820" i="18" s="1"/>
  <c r="G820" i="18" s="1"/>
  <c r="D819" i="18" a="1"/>
  <c r="D819" i="18" s="1"/>
  <c r="G819" i="18" s="1"/>
  <c r="D818" i="18" a="1"/>
  <c r="D818" i="18" s="1"/>
  <c r="G818" i="18" s="1"/>
  <c r="D817" i="18" a="1"/>
  <c r="D817" i="18" s="1"/>
  <c r="G817" i="18" s="1"/>
  <c r="D816" i="18" a="1"/>
  <c r="D816" i="18" s="1"/>
  <c r="D815" i="18" a="1"/>
  <c r="D815" i="18" s="1"/>
  <c r="D814" i="18" a="1"/>
  <c r="D814" i="18" s="1"/>
  <c r="D813" i="18" a="1"/>
  <c r="D813" i="18" s="1"/>
  <c r="D812" i="18" a="1"/>
  <c r="D812" i="18" s="1"/>
  <c r="D811" i="18" a="1"/>
  <c r="D811" i="18" s="1"/>
  <c r="G811" i="18" s="1"/>
  <c r="D810" i="18" a="1"/>
  <c r="D810" i="18" s="1"/>
  <c r="G810" i="18" s="1"/>
  <c r="D809" i="18" a="1"/>
  <c r="D809" i="18" s="1"/>
  <c r="G809" i="18" s="1"/>
  <c r="D808" i="18" a="1"/>
  <c r="D808" i="18" s="1"/>
  <c r="D807" i="18" a="1"/>
  <c r="D807" i="18" s="1"/>
  <c r="D806" i="18" a="1"/>
  <c r="D806" i="18" s="1"/>
  <c r="D805" i="18" a="1"/>
  <c r="D805" i="18" s="1"/>
  <c r="D804" i="18" a="1"/>
  <c r="D804" i="18" s="1"/>
  <c r="G804" i="18" s="1"/>
  <c r="D803" i="18" a="1"/>
  <c r="D803" i="18" s="1"/>
  <c r="G803" i="18" s="1"/>
  <c r="D802" i="18" a="1"/>
  <c r="D802" i="18" s="1"/>
  <c r="G802" i="18" s="1"/>
  <c r="D801" i="18" a="1"/>
  <c r="D801" i="18" s="1"/>
  <c r="G801" i="18" s="1"/>
  <c r="D800" i="18" a="1"/>
  <c r="D800" i="18" s="1"/>
  <c r="D799" i="18" a="1"/>
  <c r="D799" i="18" s="1"/>
  <c r="D798" i="18" a="1"/>
  <c r="D798" i="18" s="1"/>
  <c r="D797" i="18" a="1"/>
  <c r="D797" i="18" s="1"/>
  <c r="D796" i="18" a="1"/>
  <c r="D796" i="18" s="1"/>
  <c r="D795" i="18" a="1"/>
  <c r="D795" i="18" s="1"/>
  <c r="G795" i="18" s="1"/>
  <c r="D794" i="18" a="1"/>
  <c r="D794" i="18" s="1"/>
  <c r="G794" i="18" s="1"/>
  <c r="D793" i="18" a="1"/>
  <c r="D793" i="18" s="1"/>
  <c r="G793" i="18" s="1"/>
  <c r="D792" i="18" a="1"/>
  <c r="D792" i="18" s="1"/>
  <c r="D791" i="18" a="1"/>
  <c r="D791" i="18" s="1"/>
  <c r="D790" i="18" a="1"/>
  <c r="D790" i="18" s="1"/>
  <c r="D789" i="18" a="1"/>
  <c r="D789" i="18" s="1"/>
  <c r="D788" i="18" a="1"/>
  <c r="D788" i="18" s="1"/>
  <c r="D787" i="18" a="1"/>
  <c r="D787" i="18" s="1"/>
  <c r="G787" i="18" s="1"/>
  <c r="D786" i="18" a="1"/>
  <c r="D786" i="18" s="1"/>
  <c r="G786" i="18" s="1"/>
  <c r="D785" i="18" a="1"/>
  <c r="D785" i="18" s="1"/>
  <c r="G785" i="18" s="1"/>
  <c r="D784" i="18" a="1"/>
  <c r="D784" i="18" s="1"/>
  <c r="D783" i="18" a="1"/>
  <c r="D783" i="18" s="1"/>
  <c r="D782" i="18" a="1"/>
  <c r="D782" i="18" s="1"/>
  <c r="D781" i="18" a="1"/>
  <c r="D781" i="18" s="1"/>
  <c r="D780" i="18" a="1"/>
  <c r="D780" i="18" s="1"/>
  <c r="G780" i="18" s="1"/>
  <c r="D779" i="18" a="1"/>
  <c r="D779" i="18" s="1"/>
  <c r="G779" i="18" s="1"/>
  <c r="D778" i="18" a="1"/>
  <c r="D778" i="18" s="1"/>
  <c r="G778" i="18" s="1"/>
  <c r="D777" i="18" a="1"/>
  <c r="D777" i="18" s="1"/>
  <c r="G777" i="18" s="1"/>
  <c r="D776" i="18" a="1"/>
  <c r="D776" i="18" s="1"/>
  <c r="D775" i="18" a="1"/>
  <c r="D775" i="18" s="1"/>
  <c r="D774" i="18" a="1"/>
  <c r="D774" i="18" s="1"/>
  <c r="D773" i="18" a="1"/>
  <c r="D773" i="18" s="1"/>
  <c r="D772" i="18" a="1"/>
  <c r="D772" i="18" s="1"/>
  <c r="D771" i="18" a="1"/>
  <c r="D771" i="18" s="1"/>
  <c r="G771" i="18" s="1"/>
  <c r="D770" i="18" a="1"/>
  <c r="D770" i="18" s="1"/>
  <c r="G770" i="18" s="1"/>
  <c r="D769" i="18" a="1"/>
  <c r="D769" i="18" s="1"/>
  <c r="G769" i="18" s="1"/>
  <c r="D768" i="18" a="1"/>
  <c r="D768" i="18" s="1"/>
  <c r="D767" i="18" a="1"/>
  <c r="D767" i="18" s="1"/>
  <c r="D766" i="18" a="1"/>
  <c r="D766" i="18" s="1"/>
  <c r="D765" i="18" a="1"/>
  <c r="D765" i="18" s="1"/>
  <c r="D764" i="18" a="1"/>
  <c r="D764" i="18" s="1"/>
  <c r="G764" i="18" s="1"/>
  <c r="D763" i="18" a="1"/>
  <c r="D763" i="18" s="1"/>
  <c r="D762" i="18" a="1"/>
  <c r="D762" i="18" s="1"/>
  <c r="G762" i="18" s="1"/>
  <c r="D761" i="18" a="1"/>
  <c r="D761" i="18" s="1"/>
  <c r="D760" i="18" a="1"/>
  <c r="D760" i="18" s="1"/>
  <c r="D759" i="18" a="1"/>
  <c r="D759" i="18" s="1"/>
  <c r="D758" i="18" a="1"/>
  <c r="D758" i="18" s="1"/>
  <c r="D757" i="18" a="1"/>
  <c r="D757" i="18" s="1"/>
  <c r="D756" i="18" a="1"/>
  <c r="D756" i="18" s="1"/>
  <c r="D755" i="18" a="1"/>
  <c r="D755" i="18" s="1"/>
  <c r="G755" i="18" s="1"/>
  <c r="D754" i="18" a="1"/>
  <c r="D754" i="18" s="1"/>
  <c r="G754" i="18" s="1"/>
  <c r="D753" i="18" a="1"/>
  <c r="D753" i="18" s="1"/>
  <c r="G753" i="18" s="1"/>
  <c r="D752" i="18" a="1"/>
  <c r="D752" i="18" s="1"/>
  <c r="D751" i="18" a="1"/>
  <c r="D751" i="18" s="1"/>
  <c r="D750" i="18" a="1"/>
  <c r="D750" i="18" s="1"/>
  <c r="D749" i="18" a="1"/>
  <c r="D749" i="18" s="1"/>
  <c r="D748" i="18" a="1"/>
  <c r="D748" i="18" s="1"/>
  <c r="D747" i="18" a="1"/>
  <c r="D747" i="18" s="1"/>
  <c r="D746" i="18" a="1"/>
  <c r="D746" i="18" s="1"/>
  <c r="G746" i="18" s="1"/>
  <c r="D745" i="18" a="1"/>
  <c r="D745" i="18" s="1"/>
  <c r="G745" i="18" s="1"/>
  <c r="D744" i="18" a="1"/>
  <c r="D744" i="18" s="1"/>
  <c r="D743" i="18" a="1"/>
  <c r="D743" i="18" s="1"/>
  <c r="D742" i="18" a="1"/>
  <c r="D742" i="18" s="1"/>
  <c r="D741" i="18" a="1"/>
  <c r="D741" i="18" s="1"/>
  <c r="D740" i="18" a="1"/>
  <c r="D740" i="18" s="1"/>
  <c r="G740" i="18" s="1"/>
  <c r="D739" i="18" a="1"/>
  <c r="D739" i="18" s="1"/>
  <c r="G739" i="18" s="1"/>
  <c r="D738" i="18" a="1"/>
  <c r="D738" i="18" s="1"/>
  <c r="G738" i="18" s="1"/>
  <c r="D737" i="18" a="1"/>
  <c r="D737" i="18" s="1"/>
  <c r="G737" i="18" s="1"/>
  <c r="D736" i="18" a="1"/>
  <c r="D736" i="18" s="1"/>
  <c r="D735" i="18" a="1"/>
  <c r="D735" i="18" s="1"/>
  <c r="D734" i="18" a="1"/>
  <c r="D734" i="18" s="1"/>
  <c r="D733" i="18" a="1"/>
  <c r="D733" i="18" s="1"/>
  <c r="D732" i="18" a="1"/>
  <c r="D732" i="18" s="1"/>
  <c r="D731" i="18" a="1"/>
  <c r="D731" i="18" s="1"/>
  <c r="D730" i="18" a="1"/>
  <c r="D730" i="18" s="1"/>
  <c r="G730" i="18" s="1"/>
  <c r="D729" i="18" a="1"/>
  <c r="D729" i="18" s="1"/>
  <c r="D728" i="18" a="1"/>
  <c r="D728" i="18" s="1"/>
  <c r="D727" i="18" a="1"/>
  <c r="D727" i="18" s="1"/>
  <c r="D726" i="18" a="1"/>
  <c r="D726" i="18" s="1"/>
  <c r="D725" i="18" a="1"/>
  <c r="D725" i="18" s="1"/>
  <c r="D724" i="18" a="1"/>
  <c r="D724" i="18" s="1"/>
  <c r="D723" i="18" a="1"/>
  <c r="D723" i="18" s="1"/>
  <c r="D722" i="18" a="1"/>
  <c r="D722" i="18" s="1"/>
  <c r="G722" i="18" s="1"/>
  <c r="D721" i="18" a="1"/>
  <c r="D721" i="18" s="1"/>
  <c r="G721" i="18" s="1"/>
  <c r="D720" i="18" a="1"/>
  <c r="D720" i="18" s="1"/>
  <c r="D719" i="18" a="1"/>
  <c r="D719" i="18" s="1"/>
  <c r="D718" i="18" a="1"/>
  <c r="D718" i="18" s="1"/>
  <c r="D717" i="18" a="1"/>
  <c r="D717" i="18" s="1"/>
  <c r="D716" i="18" a="1"/>
  <c r="D716" i="18" s="1"/>
  <c r="D715" i="18" a="1"/>
  <c r="D715" i="18" s="1"/>
  <c r="G715" i="18" s="1"/>
  <c r="D714" i="18" a="1"/>
  <c r="D714" i="18" s="1"/>
  <c r="G714" i="18" s="1"/>
  <c r="D713" i="18" a="1"/>
  <c r="D713" i="18" s="1"/>
  <c r="D712" i="18" a="1"/>
  <c r="D712" i="18" s="1"/>
  <c r="D711" i="18" a="1"/>
  <c r="D711" i="18" s="1"/>
  <c r="D710" i="18" a="1"/>
  <c r="D710" i="18" s="1"/>
  <c r="G710" i="18" s="1"/>
  <c r="D709" i="18" a="1"/>
  <c r="D709" i="18" s="1"/>
  <c r="D708" i="18" a="1"/>
  <c r="D708" i="18" s="1"/>
  <c r="D707" i="18" a="1"/>
  <c r="D707" i="18" s="1"/>
  <c r="D706" i="18" a="1"/>
  <c r="D706" i="18" s="1"/>
  <c r="G706" i="18" s="1"/>
  <c r="D705" i="18" a="1"/>
  <c r="D705" i="18" s="1"/>
  <c r="G705" i="18" s="1"/>
  <c r="D704" i="18" a="1"/>
  <c r="D704" i="18" s="1"/>
  <c r="D703" i="18" a="1"/>
  <c r="D703" i="18" s="1"/>
  <c r="D702" i="18" a="1"/>
  <c r="D702" i="18" s="1"/>
  <c r="G702" i="18" s="1"/>
  <c r="D701" i="18" a="1"/>
  <c r="D701" i="18" s="1"/>
  <c r="D700" i="18" a="1"/>
  <c r="D700" i="18" s="1"/>
  <c r="D699" i="18" a="1"/>
  <c r="D699" i="18" s="1"/>
  <c r="D698" i="18" a="1"/>
  <c r="D698" i="18" s="1"/>
  <c r="D697" i="18" a="1"/>
  <c r="D697" i="18" s="1"/>
  <c r="D696" i="18" a="1"/>
  <c r="D696" i="18" s="1"/>
  <c r="G696" i="18" s="1"/>
  <c r="D695" i="18" a="1"/>
  <c r="D695" i="18" s="1"/>
  <c r="G695" i="18" s="1"/>
  <c r="D694" i="18" a="1"/>
  <c r="D694" i="18" s="1"/>
  <c r="G694" i="18" s="1"/>
  <c r="D693" i="18" a="1"/>
  <c r="D693" i="18" s="1"/>
  <c r="G693" i="18" s="1"/>
  <c r="D692" i="18" a="1"/>
  <c r="D692" i="18" s="1"/>
  <c r="D691" i="18" a="1"/>
  <c r="D691" i="18" s="1"/>
  <c r="D690" i="18" a="1"/>
  <c r="D690" i="18" s="1"/>
  <c r="D689" i="18" a="1"/>
  <c r="D689" i="18" s="1"/>
  <c r="G689" i="18" s="1"/>
  <c r="D688" i="18" a="1"/>
  <c r="D688" i="18" s="1"/>
  <c r="D687" i="18" a="1"/>
  <c r="D687" i="18" s="1"/>
  <c r="G687" i="18" s="1"/>
  <c r="D686" i="18" a="1"/>
  <c r="D686" i="18" s="1"/>
  <c r="D685" i="18" a="1"/>
  <c r="D685" i="18" s="1"/>
  <c r="G685" i="18" s="1"/>
  <c r="D684" i="18" a="1"/>
  <c r="D684" i="18" s="1"/>
  <c r="D683" i="18" a="1"/>
  <c r="D683" i="18" s="1"/>
  <c r="G683" i="18" s="1"/>
  <c r="D682" i="18" a="1"/>
  <c r="D682" i="18" s="1"/>
  <c r="D681" i="18" a="1"/>
  <c r="D681" i="18" s="1"/>
  <c r="G681" i="18" s="1"/>
  <c r="D680" i="18" a="1"/>
  <c r="D680" i="18" s="1"/>
  <c r="G680" i="18" s="1"/>
  <c r="D679" i="18" a="1"/>
  <c r="D679" i="18" s="1"/>
  <c r="D678" i="18" a="1"/>
  <c r="D678" i="18" s="1"/>
  <c r="D677" i="18" a="1"/>
  <c r="D677" i="18" s="1"/>
  <c r="D676" i="18" a="1"/>
  <c r="D676" i="18" s="1"/>
  <c r="D675" i="18" a="1"/>
  <c r="D675" i="18" s="1"/>
  <c r="D674" i="18" a="1"/>
  <c r="D674" i="18" s="1"/>
  <c r="G674" i="18" s="1"/>
  <c r="D673" i="18" a="1"/>
  <c r="D673" i="18" s="1"/>
  <c r="G673" i="18" s="1"/>
  <c r="D672" i="18" a="1"/>
  <c r="D672" i="18" s="1"/>
  <c r="D671" i="18" a="1"/>
  <c r="D671" i="18" s="1"/>
  <c r="D670" i="18" a="1"/>
  <c r="D670" i="18" s="1"/>
  <c r="D669" i="18" a="1"/>
  <c r="D669" i="18" s="1"/>
  <c r="D668" i="18" a="1"/>
  <c r="D668" i="18" s="1"/>
  <c r="G668" i="18" s="1"/>
  <c r="D667" i="18" a="1"/>
  <c r="D667" i="18" s="1"/>
  <c r="G667" i="18" s="1"/>
  <c r="D666" i="18" a="1"/>
  <c r="D666" i="18" s="1"/>
  <c r="G666" i="18" s="1"/>
  <c r="D665" i="18" a="1"/>
  <c r="D665" i="18" s="1"/>
  <c r="G665" i="18" s="1"/>
  <c r="D664" i="18" a="1"/>
  <c r="D664" i="18" s="1"/>
  <c r="D663" i="18" a="1"/>
  <c r="D663" i="18" s="1"/>
  <c r="D662" i="18" a="1"/>
  <c r="D662" i="18" s="1"/>
  <c r="G662" i="18" s="1"/>
  <c r="D661" i="18" a="1"/>
  <c r="D661" i="18" s="1"/>
  <c r="D660" i="18" a="1"/>
  <c r="D660" i="18" s="1"/>
  <c r="G660" i="18" s="1"/>
  <c r="D659" i="18" a="1"/>
  <c r="D659" i="18" s="1"/>
  <c r="G659" i="18" s="1"/>
  <c r="D658" i="18" a="1"/>
  <c r="D658" i="18" s="1"/>
  <c r="G658" i="18" s="1"/>
  <c r="D657" i="18" a="1"/>
  <c r="D657" i="18" s="1"/>
  <c r="D656" i="18" a="1"/>
  <c r="D656" i="18" s="1"/>
  <c r="D655" i="18" a="1"/>
  <c r="D655" i="18" s="1"/>
  <c r="D654" i="18" a="1"/>
  <c r="D654" i="18" s="1"/>
  <c r="D653" i="18" a="1"/>
  <c r="D653" i="18" s="1"/>
  <c r="D652" i="18" a="1"/>
  <c r="D652" i="18" s="1"/>
  <c r="G652" i="18" s="1"/>
  <c r="D651" i="18" a="1"/>
  <c r="D651" i="18" s="1"/>
  <c r="G651" i="18" s="1"/>
  <c r="D650" i="18" a="1"/>
  <c r="D650" i="18" s="1"/>
  <c r="G650" i="18" s="1"/>
  <c r="D649" i="18" a="1"/>
  <c r="D649" i="18" s="1"/>
  <c r="G649" i="18" s="1"/>
  <c r="D648" i="18" a="1"/>
  <c r="D648" i="18" s="1"/>
  <c r="D647" i="18" a="1"/>
  <c r="D647" i="18" s="1"/>
  <c r="D646" i="18" a="1"/>
  <c r="D646" i="18" s="1"/>
  <c r="D645" i="18" a="1"/>
  <c r="D645" i="18" s="1"/>
  <c r="D644" i="18" a="1"/>
  <c r="D644" i="18" s="1"/>
  <c r="D643" i="18" a="1"/>
  <c r="D643" i="18" s="1"/>
  <c r="G643" i="18" s="1"/>
  <c r="D642" i="18" a="1"/>
  <c r="D642" i="18" s="1"/>
  <c r="G642" i="18" s="1"/>
  <c r="D641" i="18" a="1"/>
  <c r="D641" i="18" s="1"/>
  <c r="G641" i="18" s="1"/>
  <c r="D640" i="18" a="1"/>
  <c r="D640" i="18" s="1"/>
  <c r="D639" i="18" a="1"/>
  <c r="D639" i="18" s="1"/>
  <c r="D638" i="18" a="1"/>
  <c r="D638" i="18" s="1"/>
  <c r="D637" i="18" a="1"/>
  <c r="D637" i="18" s="1"/>
  <c r="D636" i="18" a="1"/>
  <c r="D636" i="18" s="1"/>
  <c r="D635" i="18" a="1"/>
  <c r="D635" i="18" s="1"/>
  <c r="D634" i="18" a="1"/>
  <c r="D634" i="18" s="1"/>
  <c r="G634" i="18" s="1"/>
  <c r="D633" i="18" a="1"/>
  <c r="D633" i="18" s="1"/>
  <c r="D632" i="18" a="1"/>
  <c r="D632" i="18" s="1"/>
  <c r="D631" i="18" a="1"/>
  <c r="D631" i="18" s="1"/>
  <c r="D630" i="18" a="1"/>
  <c r="D630" i="18" s="1"/>
  <c r="G630" i="18" s="1"/>
  <c r="D629" i="18" a="1"/>
  <c r="D629" i="18" s="1"/>
  <c r="D628" i="18" a="1"/>
  <c r="D628" i="18" s="1"/>
  <c r="G628" i="18" s="1"/>
  <c r="D627" i="18" a="1"/>
  <c r="D627" i="18" s="1"/>
  <c r="D626" i="18" a="1"/>
  <c r="D626" i="18" s="1"/>
  <c r="G626" i="18" s="1"/>
  <c r="D625" i="18" a="1"/>
  <c r="D625" i="18" s="1"/>
  <c r="G625" i="18" s="1"/>
  <c r="D624" i="18" a="1"/>
  <c r="D624" i="18" s="1"/>
  <c r="D623" i="18" a="1"/>
  <c r="D623" i="18" s="1"/>
  <c r="D622" i="18" a="1"/>
  <c r="D622" i="18" s="1"/>
  <c r="D621" i="18" a="1"/>
  <c r="D621" i="18" s="1"/>
  <c r="D620" i="18" a="1"/>
  <c r="D620" i="18" s="1"/>
  <c r="D619" i="18" a="1"/>
  <c r="D619" i="18" s="1"/>
  <c r="D618" i="18" a="1"/>
  <c r="D618" i="18" s="1"/>
  <c r="G618" i="18" s="1"/>
  <c r="D617" i="18" a="1"/>
  <c r="D617" i="18" s="1"/>
  <c r="D616" i="18" a="1"/>
  <c r="D616" i="18" s="1"/>
  <c r="D615" i="18" a="1"/>
  <c r="D615" i="18" s="1"/>
  <c r="D614" i="18" a="1"/>
  <c r="D614" i="18" s="1"/>
  <c r="G614" i="18" s="1"/>
  <c r="D613" i="18" a="1"/>
  <c r="D613" i="18" s="1"/>
  <c r="D612" i="18" a="1"/>
  <c r="D612" i="18" s="1"/>
  <c r="D611" i="18" a="1"/>
  <c r="D611" i="18" s="1"/>
  <c r="G611" i="18" s="1"/>
  <c r="D610" i="18" a="1"/>
  <c r="D610" i="18" s="1"/>
  <c r="G610" i="18" s="1"/>
  <c r="D609" i="18" a="1"/>
  <c r="D609" i="18" s="1"/>
  <c r="D608" i="18" a="1"/>
  <c r="D608" i="18" s="1"/>
  <c r="D607" i="18" a="1"/>
  <c r="D607" i="18" s="1"/>
  <c r="D606" i="18" a="1"/>
  <c r="D606" i="18" s="1"/>
  <c r="G606" i="18" s="1"/>
  <c r="D605" i="18" a="1"/>
  <c r="D605" i="18" s="1"/>
  <c r="D604" i="18" a="1"/>
  <c r="D604" i="18" s="1"/>
  <c r="D603" i="18" a="1"/>
  <c r="D603" i="18" s="1"/>
  <c r="G603" i="18" s="1"/>
  <c r="D602" i="18" a="1"/>
  <c r="D602" i="18" s="1"/>
  <c r="G602" i="18" s="1"/>
  <c r="D601" i="18" a="1"/>
  <c r="D601" i="18" s="1"/>
  <c r="D600" i="18" a="1"/>
  <c r="D600" i="18" s="1"/>
  <c r="D599" i="18" a="1"/>
  <c r="D599" i="18" s="1"/>
  <c r="D598" i="18" a="1"/>
  <c r="D598" i="18" s="1"/>
  <c r="D597" i="18" a="1"/>
  <c r="D597" i="18" s="1"/>
  <c r="D596" i="18" a="1"/>
  <c r="D596" i="18" s="1"/>
  <c r="G596" i="18" s="1"/>
  <c r="D595" i="18" a="1"/>
  <c r="D595" i="18" s="1"/>
  <c r="D594" i="18" a="1"/>
  <c r="D594" i="18" s="1"/>
  <c r="G594" i="18" s="1"/>
  <c r="D593" i="18" a="1"/>
  <c r="D593" i="18" s="1"/>
  <c r="D592" i="18" a="1"/>
  <c r="D592" i="18" s="1"/>
  <c r="D591" i="18" a="1"/>
  <c r="D591" i="18" s="1"/>
  <c r="D590" i="18" a="1"/>
  <c r="D590" i="18" s="1"/>
  <c r="G590" i="18" s="1"/>
  <c r="D589" i="18" a="1"/>
  <c r="D589" i="18" s="1"/>
  <c r="D588" i="18" a="1"/>
  <c r="D588" i="18" s="1"/>
  <c r="D587" i="18" a="1"/>
  <c r="D587" i="18" s="1"/>
  <c r="D586" i="18" a="1"/>
  <c r="D586" i="18" s="1"/>
  <c r="G586" i="18" s="1"/>
  <c r="D585" i="18" a="1"/>
  <c r="D585" i="18" s="1"/>
  <c r="D584" i="18" a="1"/>
  <c r="D584" i="18" s="1"/>
  <c r="D583" i="18" a="1"/>
  <c r="D583" i="18" s="1"/>
  <c r="D582" i="18" a="1"/>
  <c r="D582" i="18" s="1"/>
  <c r="G582" i="18" s="1"/>
  <c r="D581" i="18" a="1"/>
  <c r="D581" i="18" s="1"/>
  <c r="D580" i="18" a="1"/>
  <c r="D580" i="18" s="1"/>
  <c r="D579" i="18" a="1"/>
  <c r="D579" i="18" s="1"/>
  <c r="G579" i="18" s="1"/>
  <c r="D578" i="18" a="1"/>
  <c r="D578" i="18" s="1"/>
  <c r="D577" i="18" a="1"/>
  <c r="D577" i="18" s="1"/>
  <c r="D576" i="18" a="1"/>
  <c r="D576" i="18" s="1"/>
  <c r="D575" i="18" a="1"/>
  <c r="D575" i="18" s="1"/>
  <c r="D574" i="18" a="1"/>
  <c r="D574" i="18" s="1"/>
  <c r="G574" i="18" s="1"/>
  <c r="D573" i="18" a="1"/>
  <c r="D573" i="18" s="1"/>
  <c r="D572" i="18" a="1"/>
  <c r="D572" i="18" s="1"/>
  <c r="D571" i="18" a="1"/>
  <c r="D571" i="18" s="1"/>
  <c r="G571" i="18" s="1"/>
  <c r="D570" i="18" a="1"/>
  <c r="D570" i="18" s="1"/>
  <c r="D569" i="18" a="1"/>
  <c r="D569" i="18" s="1"/>
  <c r="D568" i="18" a="1"/>
  <c r="D568" i="18" s="1"/>
  <c r="D567" i="18" a="1"/>
  <c r="D567" i="18" s="1"/>
  <c r="D566" i="18" a="1"/>
  <c r="D566" i="18" s="1"/>
  <c r="G566" i="18" s="1"/>
  <c r="D565" i="18" a="1"/>
  <c r="D565" i="18" s="1"/>
  <c r="G565" i="18" s="1"/>
  <c r="D564" i="18" a="1"/>
  <c r="D564" i="18" s="1"/>
  <c r="D563" i="18" a="1"/>
  <c r="D563" i="18" s="1"/>
  <c r="D562" i="18" a="1"/>
  <c r="D562" i="18" s="1"/>
  <c r="D561" i="18" a="1"/>
  <c r="D561" i="18" s="1"/>
  <c r="D560" i="18" a="1"/>
  <c r="D560" i="18" s="1"/>
  <c r="D559" i="18" a="1"/>
  <c r="D559" i="18" s="1"/>
  <c r="D558" i="18" a="1"/>
  <c r="D558" i="18" s="1"/>
  <c r="D557" i="18" a="1"/>
  <c r="D557" i="18" s="1"/>
  <c r="D556" i="18" a="1"/>
  <c r="D556" i="18" s="1"/>
  <c r="D555" i="18" a="1"/>
  <c r="D555" i="18" s="1"/>
  <c r="D554" i="18" a="1"/>
  <c r="D554" i="18" s="1"/>
  <c r="D553" i="18" a="1"/>
  <c r="D553" i="18" s="1"/>
  <c r="D552" i="18" a="1"/>
  <c r="D552" i="18" s="1"/>
  <c r="G552" i="18" s="1"/>
  <c r="D551" i="18" a="1"/>
  <c r="D551" i="18" s="1"/>
  <c r="D550" i="18" a="1"/>
  <c r="D550" i="18" s="1"/>
  <c r="G550" i="18" s="1"/>
  <c r="D549" i="18" a="1"/>
  <c r="D549" i="18" s="1"/>
  <c r="D548" i="18" a="1"/>
  <c r="D548" i="18" s="1"/>
  <c r="D547" i="18" a="1"/>
  <c r="D547" i="18" s="1"/>
  <c r="G547" i="18" s="1"/>
  <c r="D546" i="18" a="1"/>
  <c r="D546" i="18" s="1"/>
  <c r="D545" i="18" a="1"/>
  <c r="D545" i="18" s="1"/>
  <c r="D544" i="18" a="1"/>
  <c r="D544" i="18" s="1"/>
  <c r="D543" i="18" a="1"/>
  <c r="D543" i="18" s="1"/>
  <c r="D542" i="18" a="1"/>
  <c r="D542" i="18" s="1"/>
  <c r="G542" i="18" s="1"/>
  <c r="D541" i="18" a="1"/>
  <c r="D541" i="18" s="1"/>
  <c r="G541" i="18" s="1"/>
  <c r="D540" i="18" a="1"/>
  <c r="D540" i="18" s="1"/>
  <c r="G540" i="18" s="1"/>
  <c r="D539" i="18" a="1"/>
  <c r="D539" i="18" s="1"/>
  <c r="D538" i="18" a="1"/>
  <c r="D538" i="18" s="1"/>
  <c r="D537" i="18" a="1"/>
  <c r="D537" i="18" s="1"/>
  <c r="D536" i="18" a="1"/>
  <c r="D536" i="18" s="1"/>
  <c r="D535" i="18" a="1"/>
  <c r="D535" i="18" s="1"/>
  <c r="G535" i="18" s="1"/>
  <c r="D534" i="18" a="1"/>
  <c r="D534" i="18" s="1"/>
  <c r="D533" i="18" a="1"/>
  <c r="D533" i="18" s="1"/>
  <c r="D532" i="18" a="1"/>
  <c r="D532" i="18" s="1"/>
  <c r="G532" i="18" s="1"/>
  <c r="D531" i="18" a="1"/>
  <c r="D531" i="18" s="1"/>
  <c r="D530" i="18" a="1"/>
  <c r="D530" i="18" s="1"/>
  <c r="G530" i="18" s="1"/>
  <c r="D529" i="18" a="1"/>
  <c r="D529" i="18" s="1"/>
  <c r="D528" i="18" a="1"/>
  <c r="D528" i="18" s="1"/>
  <c r="D527" i="18" a="1"/>
  <c r="D527" i="18" s="1"/>
  <c r="G527" i="18" s="1"/>
  <c r="D526" i="18" a="1"/>
  <c r="D526" i="18" s="1"/>
  <c r="D525" i="18" a="1"/>
  <c r="D525" i="18" s="1"/>
  <c r="G525" i="18" s="1"/>
  <c r="D524" i="18" a="1"/>
  <c r="D524" i="18" s="1"/>
  <c r="G524" i="18" s="1"/>
  <c r="D523" i="18" a="1"/>
  <c r="D523" i="18" s="1"/>
  <c r="D522" i="18" a="1"/>
  <c r="D522" i="18" s="1"/>
  <c r="D521" i="18" a="1"/>
  <c r="D521" i="18" s="1"/>
  <c r="D520" i="18" a="1"/>
  <c r="D520" i="18" s="1"/>
  <c r="D519" i="18" a="1"/>
  <c r="D519" i="18" s="1"/>
  <c r="G519" i="18" s="1"/>
  <c r="D518" i="18" a="1"/>
  <c r="D518" i="18" s="1"/>
  <c r="D517" i="18" a="1"/>
  <c r="D517" i="18" s="1"/>
  <c r="G517" i="18" s="1"/>
  <c r="D516" i="18" a="1"/>
  <c r="D516" i="18" s="1"/>
  <c r="G516" i="18" s="1"/>
  <c r="D515" i="18" a="1"/>
  <c r="D515" i="18" s="1"/>
  <c r="D514" i="18" a="1"/>
  <c r="D514" i="18" s="1"/>
  <c r="D513" i="18" a="1"/>
  <c r="D513" i="18" s="1"/>
  <c r="D512" i="18" a="1"/>
  <c r="D512" i="18" s="1"/>
  <c r="D511" i="18" a="1"/>
  <c r="D511" i="18" s="1"/>
  <c r="G511" i="18" s="1"/>
  <c r="D510" i="18" a="1"/>
  <c r="D510" i="18" s="1"/>
  <c r="D509" i="18" a="1"/>
  <c r="D509" i="18" s="1"/>
  <c r="D508" i="18" a="1"/>
  <c r="D508" i="18" s="1"/>
  <c r="D507" i="18" a="1"/>
  <c r="D507" i="18" s="1"/>
  <c r="D506" i="18" a="1"/>
  <c r="D506" i="18" s="1"/>
  <c r="G506" i="18" s="1"/>
  <c r="D505" i="18" a="1"/>
  <c r="D505" i="18" s="1"/>
  <c r="D504" i="18" a="1"/>
  <c r="D504" i="18" s="1"/>
  <c r="D503" i="18" a="1"/>
  <c r="D503" i="18" s="1"/>
  <c r="D502" i="18" a="1"/>
  <c r="D502" i="18" s="1"/>
  <c r="D501" i="18" a="1"/>
  <c r="D501" i="18" s="1"/>
  <c r="D500" i="18" a="1"/>
  <c r="D500" i="18" s="1"/>
  <c r="D499" i="18" a="1"/>
  <c r="D499" i="18" s="1"/>
  <c r="D498" i="18" a="1"/>
  <c r="D498" i="18" s="1"/>
  <c r="G498" i="18" s="1"/>
  <c r="D497" i="18" a="1"/>
  <c r="D497" i="18" s="1"/>
  <c r="D496" i="18" a="1"/>
  <c r="D496" i="18" s="1"/>
  <c r="D495" i="18" a="1"/>
  <c r="D495" i="18" s="1"/>
  <c r="D494" i="18" a="1"/>
  <c r="D494" i="18" s="1"/>
  <c r="D493" i="18" a="1"/>
  <c r="D493" i="18" s="1"/>
  <c r="D492" i="18" a="1"/>
  <c r="D492" i="18" s="1"/>
  <c r="G492" i="18" s="1"/>
  <c r="D491" i="18" a="1"/>
  <c r="D491" i="18" s="1"/>
  <c r="D490" i="18" a="1"/>
  <c r="D490" i="18" s="1"/>
  <c r="G490" i="18" s="1"/>
  <c r="D489" i="18" a="1"/>
  <c r="D489" i="18" s="1"/>
  <c r="D488" i="18" a="1"/>
  <c r="D488" i="18" s="1"/>
  <c r="D487" i="18" a="1"/>
  <c r="D487" i="18" s="1"/>
  <c r="G487" i="18" s="1"/>
  <c r="D486" i="18" a="1"/>
  <c r="D486" i="18" s="1"/>
  <c r="D485" i="18" a="1"/>
  <c r="D485" i="18" s="1"/>
  <c r="D484" i="18" a="1"/>
  <c r="D484" i="18" s="1"/>
  <c r="D483" i="18" a="1"/>
  <c r="D483" i="18" s="1"/>
  <c r="D482" i="18" a="1"/>
  <c r="D482" i="18" s="1"/>
  <c r="G482" i="18" s="1"/>
  <c r="D481" i="18" a="1"/>
  <c r="D481" i="18" s="1"/>
  <c r="D480" i="18" a="1"/>
  <c r="D480" i="18" s="1"/>
  <c r="D479" i="18" a="1"/>
  <c r="D479" i="18" s="1"/>
  <c r="G479" i="18" s="1"/>
  <c r="D478" i="18" a="1"/>
  <c r="D478" i="18" s="1"/>
  <c r="D477" i="18" a="1"/>
  <c r="D477" i="18" s="1"/>
  <c r="G477" i="18" s="1"/>
  <c r="D476" i="18" a="1"/>
  <c r="D476" i="18" s="1"/>
  <c r="D475" i="18" a="1"/>
  <c r="D475" i="18" s="1"/>
  <c r="D474" i="18" a="1"/>
  <c r="D474" i="18" s="1"/>
  <c r="G474" i="18" s="1"/>
  <c r="D473" i="18" a="1"/>
  <c r="D473" i="18" s="1"/>
  <c r="D472" i="18" a="1"/>
  <c r="D472" i="18" s="1"/>
  <c r="D471" i="18" a="1"/>
  <c r="D471" i="18" s="1"/>
  <c r="D470" i="18" a="1"/>
  <c r="D470" i="18" s="1"/>
  <c r="D469" i="18" a="1"/>
  <c r="D469" i="18" s="1"/>
  <c r="D468" i="18" a="1"/>
  <c r="D468" i="18" s="1"/>
  <c r="G468" i="18" s="1"/>
  <c r="D467" i="18" a="1"/>
  <c r="D467" i="18" s="1"/>
  <c r="D466" i="18" a="1"/>
  <c r="D466" i="18" s="1"/>
  <c r="D465" i="18" a="1"/>
  <c r="D465" i="18" s="1"/>
  <c r="D464" i="18" a="1"/>
  <c r="D464" i="18" s="1"/>
  <c r="D463" i="18" a="1"/>
  <c r="D463" i="18" s="1"/>
  <c r="G463" i="18" s="1"/>
  <c r="D462" i="18" a="1"/>
  <c r="D462" i="18" s="1"/>
  <c r="D461" i="18" a="1"/>
  <c r="D461" i="18" s="1"/>
  <c r="G461" i="18" s="1"/>
  <c r="D460" i="18" a="1"/>
  <c r="D460" i="18" s="1"/>
  <c r="G460" i="18" s="1"/>
  <c r="D459" i="18" a="1"/>
  <c r="D459" i="18" s="1"/>
  <c r="D458" i="18" a="1"/>
  <c r="D458" i="18" s="1"/>
  <c r="D457" i="18" a="1"/>
  <c r="D457" i="18" s="1"/>
  <c r="D456" i="18" a="1"/>
  <c r="D456" i="18" s="1"/>
  <c r="D455" i="18" a="1"/>
  <c r="D455" i="18" s="1"/>
  <c r="G455" i="18" s="1"/>
  <c r="D454" i="18" a="1"/>
  <c r="D454" i="18" s="1"/>
  <c r="D453" i="18" a="1"/>
  <c r="D453" i="18" s="1"/>
  <c r="G453" i="18" s="1"/>
  <c r="D452" i="18" a="1"/>
  <c r="D452" i="18" s="1"/>
  <c r="G452" i="18" s="1"/>
  <c r="D451" i="18" a="1"/>
  <c r="D451" i="18" s="1"/>
  <c r="D450" i="18" a="1"/>
  <c r="D450" i="18" s="1"/>
  <c r="G450" i="18" s="1"/>
  <c r="D449" i="18" a="1"/>
  <c r="D449" i="18" s="1"/>
  <c r="D448" i="18" a="1"/>
  <c r="D448" i="18" s="1"/>
  <c r="D447" i="18" a="1"/>
  <c r="D447" i="18" s="1"/>
  <c r="G447" i="18" s="1"/>
  <c r="D446" i="18" a="1"/>
  <c r="D446" i="18" s="1"/>
  <c r="D445" i="18" a="1"/>
  <c r="D445" i="18" s="1"/>
  <c r="G445" i="18" s="1"/>
  <c r="D444" i="18" a="1"/>
  <c r="D444" i="18" s="1"/>
  <c r="D443" i="18" a="1"/>
  <c r="D443" i="18" s="1"/>
  <c r="D442" i="18" a="1"/>
  <c r="D442" i="18" s="1"/>
  <c r="D441" i="18" a="1"/>
  <c r="D441" i="18" s="1"/>
  <c r="D440" i="18" a="1"/>
  <c r="D440" i="18" s="1"/>
  <c r="D439" i="18" a="1"/>
  <c r="D439" i="18" s="1"/>
  <c r="D438" i="18" a="1"/>
  <c r="D438" i="18" s="1"/>
  <c r="D437" i="18" a="1"/>
  <c r="D437" i="18" s="1"/>
  <c r="D436" i="18" a="1"/>
  <c r="D436" i="18" s="1"/>
  <c r="D435" i="18" a="1"/>
  <c r="D435" i="18" s="1"/>
  <c r="D434" i="18" a="1"/>
  <c r="D434" i="18" s="1"/>
  <c r="D433" i="18" a="1"/>
  <c r="D433" i="18" s="1"/>
  <c r="D432" i="18" a="1"/>
  <c r="D432" i="18" s="1"/>
  <c r="D431" i="18" a="1"/>
  <c r="D431" i="18" s="1"/>
  <c r="G431" i="18" s="1"/>
  <c r="D430" i="18" a="1"/>
  <c r="D430" i="18" s="1"/>
  <c r="D429" i="18" a="1"/>
  <c r="D429" i="18" s="1"/>
  <c r="D428" i="18" a="1"/>
  <c r="D428" i="18" s="1"/>
  <c r="G428" i="18" s="1"/>
  <c r="D427" i="18" a="1"/>
  <c r="D427" i="18" s="1"/>
  <c r="D426" i="18" a="1"/>
  <c r="D426" i="18" s="1"/>
  <c r="D425" i="18" a="1"/>
  <c r="D425" i="18" s="1"/>
  <c r="D424" i="18" a="1"/>
  <c r="D424" i="18" s="1"/>
  <c r="D423" i="18" a="1"/>
  <c r="D423" i="18" s="1"/>
  <c r="G423" i="18" s="1"/>
  <c r="D422" i="18" a="1"/>
  <c r="D422" i="18" s="1"/>
  <c r="D421" i="18" a="1"/>
  <c r="D421" i="18" s="1"/>
  <c r="D420" i="18" a="1"/>
  <c r="D420" i="18" s="1"/>
  <c r="D419" i="18" a="1"/>
  <c r="D419" i="18" s="1"/>
  <c r="D418" i="18" a="1"/>
  <c r="D418" i="18" s="1"/>
  <c r="G418" i="18" s="1"/>
  <c r="D417" i="18" a="1"/>
  <c r="D417" i="18" s="1"/>
  <c r="D416" i="18" a="1"/>
  <c r="D416" i="18" s="1"/>
  <c r="D415" i="18" a="1"/>
  <c r="D415" i="18" s="1"/>
  <c r="G415" i="18" s="1"/>
  <c r="D414" i="18" a="1"/>
  <c r="D414" i="18" s="1"/>
  <c r="D413" i="18" a="1"/>
  <c r="D413" i="18" s="1"/>
  <c r="D412" i="18" a="1"/>
  <c r="D412" i="18" s="1"/>
  <c r="D411" i="18" a="1"/>
  <c r="D411" i="18" s="1"/>
  <c r="D410" i="18" a="1"/>
  <c r="D410" i="18" s="1"/>
  <c r="G410" i="18" s="1"/>
  <c r="D409" i="18" a="1"/>
  <c r="D409" i="18" s="1"/>
  <c r="D408" i="18" a="1"/>
  <c r="D408" i="18" s="1"/>
  <c r="D407" i="18" a="1"/>
  <c r="D407" i="18" s="1"/>
  <c r="G407" i="18" s="1"/>
  <c r="D406" i="18" a="1"/>
  <c r="D406" i="18" s="1"/>
  <c r="D405" i="18" a="1"/>
  <c r="D405" i="18" s="1"/>
  <c r="D404" i="18" a="1"/>
  <c r="D404" i="18" s="1"/>
  <c r="D403" i="18" a="1"/>
  <c r="D403" i="18" s="1"/>
  <c r="D402" i="18" a="1"/>
  <c r="D402" i="18" s="1"/>
  <c r="G402" i="18" s="1"/>
  <c r="D401" i="18" a="1"/>
  <c r="D401" i="18" s="1"/>
  <c r="D400" i="18" a="1"/>
  <c r="D400" i="18" s="1"/>
  <c r="G400" i="18" s="1"/>
  <c r="D399" i="18" a="1"/>
  <c r="D399" i="18" s="1"/>
  <c r="D398" i="18" a="1"/>
  <c r="D398" i="18" s="1"/>
  <c r="D397" i="18" a="1"/>
  <c r="D397" i="18" s="1"/>
  <c r="D396" i="18" a="1"/>
  <c r="D396" i="18" s="1"/>
  <c r="D395" i="18" a="1"/>
  <c r="D395" i="18" s="1"/>
  <c r="G395" i="18" s="1"/>
  <c r="D394" i="18" a="1"/>
  <c r="D394" i="18" s="1"/>
  <c r="G394" i="18" s="1"/>
  <c r="D393" i="18" a="1"/>
  <c r="D393" i="18" s="1"/>
  <c r="G393" i="18" s="1"/>
  <c r="D392" i="18" a="1"/>
  <c r="D392" i="18" s="1"/>
  <c r="D391" i="18" a="1"/>
  <c r="D391" i="18" s="1"/>
  <c r="D390" i="18" a="1"/>
  <c r="D390" i="18" s="1"/>
  <c r="G390" i="18" s="1"/>
  <c r="D389" i="18" a="1"/>
  <c r="D389" i="18" s="1"/>
  <c r="D388" i="18" a="1"/>
  <c r="D388" i="18" s="1"/>
  <c r="D387" i="18" a="1"/>
  <c r="D387" i="18" s="1"/>
  <c r="G387" i="18" s="1"/>
  <c r="D386" i="18" a="1"/>
  <c r="D386" i="18" s="1"/>
  <c r="D385" i="18" a="1"/>
  <c r="D385" i="18" s="1"/>
  <c r="G385" i="18" s="1"/>
  <c r="D384" i="18" a="1"/>
  <c r="D384" i="18" s="1"/>
  <c r="D383" i="18" a="1"/>
  <c r="D383" i="18" s="1"/>
  <c r="D382" i="18" a="1"/>
  <c r="D382" i="18" s="1"/>
  <c r="G382" i="18" s="1"/>
  <c r="D381" i="18" a="1"/>
  <c r="D381" i="18" s="1"/>
  <c r="D380" i="18" a="1"/>
  <c r="D380" i="18" s="1"/>
  <c r="D379" i="18" a="1"/>
  <c r="D379" i="18" s="1"/>
  <c r="G379" i="18" s="1"/>
  <c r="D378" i="18" a="1"/>
  <c r="D378" i="18" s="1"/>
  <c r="D377" i="18" a="1"/>
  <c r="D377" i="18" s="1"/>
  <c r="G377" i="18" s="1"/>
  <c r="D376" i="18" a="1"/>
  <c r="D376" i="18" s="1"/>
  <c r="D375" i="18" a="1"/>
  <c r="D375" i="18" s="1"/>
  <c r="D374" i="18" a="1"/>
  <c r="D374" i="18" s="1"/>
  <c r="D373" i="18" a="1"/>
  <c r="D373" i="18" s="1"/>
  <c r="D372" i="18" a="1"/>
  <c r="D372" i="18" s="1"/>
  <c r="G372" i="18" s="1"/>
  <c r="D371" i="18" a="1"/>
  <c r="D371" i="18" s="1"/>
  <c r="G371" i="18" s="1"/>
  <c r="D370" i="18" a="1"/>
  <c r="D370" i="18" s="1"/>
  <c r="G370" i="18" s="1"/>
  <c r="D369" i="18" a="1"/>
  <c r="D369" i="18" s="1"/>
  <c r="D368" i="18" a="1"/>
  <c r="D368" i="18" s="1"/>
  <c r="D367" i="18" a="1"/>
  <c r="D367" i="18" s="1"/>
  <c r="D366" i="18" a="1"/>
  <c r="D366" i="18" s="1"/>
  <c r="G366" i="18" s="1"/>
  <c r="D365" i="18" a="1"/>
  <c r="D365" i="18" s="1"/>
  <c r="D364" i="18" a="1"/>
  <c r="D364" i="18" s="1"/>
  <c r="D363" i="18" a="1"/>
  <c r="D363" i="18" s="1"/>
  <c r="G363" i="18" s="1"/>
  <c r="D362" i="18" a="1"/>
  <c r="D362" i="18" s="1"/>
  <c r="D361" i="18" a="1"/>
  <c r="D361" i="18" s="1"/>
  <c r="D360" i="18" a="1"/>
  <c r="D360" i="18" s="1"/>
  <c r="D359" i="18" a="1"/>
  <c r="D359" i="18" s="1"/>
  <c r="D358" i="18" a="1"/>
  <c r="D358" i="18" s="1"/>
  <c r="D357" i="18" a="1"/>
  <c r="D357" i="18" s="1"/>
  <c r="D356" i="18" a="1"/>
  <c r="D356" i="18" s="1"/>
  <c r="D355" i="18" a="1"/>
  <c r="D355" i="18" s="1"/>
  <c r="G355" i="18" s="1"/>
  <c r="D354" i="18" a="1"/>
  <c r="D354" i="18" s="1"/>
  <c r="D353" i="18" a="1"/>
  <c r="D353" i="18" s="1"/>
  <c r="D352" i="18" a="1"/>
  <c r="D352" i="18" s="1"/>
  <c r="D351" i="18" a="1"/>
  <c r="D351" i="18" s="1"/>
  <c r="D350" i="18" a="1"/>
  <c r="D350" i="18" s="1"/>
  <c r="D349" i="18" a="1"/>
  <c r="D349" i="18" s="1"/>
  <c r="D348" i="18" a="1"/>
  <c r="D348" i="18" s="1"/>
  <c r="D347" i="18" a="1"/>
  <c r="D347" i="18" s="1"/>
  <c r="D346" i="18" a="1"/>
  <c r="D346" i="18" s="1"/>
  <c r="D345" i="18" a="1"/>
  <c r="D345" i="18" s="1"/>
  <c r="D344" i="18" a="1"/>
  <c r="D344" i="18" s="1"/>
  <c r="D343" i="18" a="1"/>
  <c r="D343" i="18" s="1"/>
  <c r="D342" i="18" a="1"/>
  <c r="D342" i="18" s="1"/>
  <c r="D341" i="18" a="1"/>
  <c r="D341" i="18" s="1"/>
  <c r="D340" i="18" a="1"/>
  <c r="D340" i="18" s="1"/>
  <c r="G340" i="18" s="1"/>
  <c r="D339" i="18" a="1"/>
  <c r="D339" i="18" s="1"/>
  <c r="G339" i="18" s="1"/>
  <c r="D338" i="18" a="1"/>
  <c r="D338" i="18" s="1"/>
  <c r="D337" i="18" a="1"/>
  <c r="D337" i="18" s="1"/>
  <c r="D336" i="18" a="1"/>
  <c r="D336" i="18" s="1"/>
  <c r="D335" i="18" a="1"/>
  <c r="D335" i="18" s="1"/>
  <c r="D334" i="18" a="1"/>
  <c r="D334" i="18" s="1"/>
  <c r="D333" i="18" a="1"/>
  <c r="D333" i="18" s="1"/>
  <c r="D332" i="18" a="1"/>
  <c r="D332" i="18" s="1"/>
  <c r="D331" i="18" a="1"/>
  <c r="D331" i="18" s="1"/>
  <c r="D330" i="18" a="1"/>
  <c r="D330" i="18" s="1"/>
  <c r="D329" i="18" a="1"/>
  <c r="D329" i="18" s="1"/>
  <c r="D328" i="18" a="1"/>
  <c r="D328" i="18" s="1"/>
  <c r="D327" i="18" a="1"/>
  <c r="D327" i="18" s="1"/>
  <c r="D326" i="18" a="1"/>
  <c r="D326" i="18" s="1"/>
  <c r="D325" i="18" a="1"/>
  <c r="D325" i="18" s="1"/>
  <c r="D324" i="18" a="1"/>
  <c r="D324" i="18" s="1"/>
  <c r="G324" i="18" s="1"/>
  <c r="D323" i="18" a="1"/>
  <c r="D323" i="18" s="1"/>
  <c r="G323" i="18" s="1"/>
  <c r="D322" i="18" a="1"/>
  <c r="D322" i="18" s="1"/>
  <c r="D321" i="18" a="1"/>
  <c r="D321" i="18" s="1"/>
  <c r="G321" i="18" s="1"/>
  <c r="D320" i="18" a="1"/>
  <c r="D320" i="18" s="1"/>
  <c r="D319" i="18" a="1"/>
  <c r="D319" i="18" s="1"/>
  <c r="D318" i="18" a="1"/>
  <c r="D318" i="18" s="1"/>
  <c r="D317" i="18" a="1"/>
  <c r="D317" i="18" s="1"/>
  <c r="D316" i="18" a="1"/>
  <c r="D316" i="18" s="1"/>
  <c r="D315" i="18" a="1"/>
  <c r="D315" i="18" s="1"/>
  <c r="D314" i="18" a="1"/>
  <c r="D314" i="18" s="1"/>
  <c r="D313" i="18" a="1"/>
  <c r="D313" i="18" s="1"/>
  <c r="G313" i="18" s="1"/>
  <c r="D312" i="18" a="1"/>
  <c r="D312" i="18" s="1"/>
  <c r="D311" i="18" a="1"/>
  <c r="D311" i="18" s="1"/>
  <c r="D310" i="18" a="1"/>
  <c r="D310" i="18" s="1"/>
  <c r="D309" i="18" a="1"/>
  <c r="D309" i="18" s="1"/>
  <c r="D308" i="18" a="1"/>
  <c r="D308" i="18" s="1"/>
  <c r="G308" i="18" s="1"/>
  <c r="D307" i="18" a="1"/>
  <c r="D307" i="18" s="1"/>
  <c r="G307" i="18" s="1"/>
  <c r="D306" i="18" a="1"/>
  <c r="D306" i="18" s="1"/>
  <c r="D305" i="18" a="1"/>
  <c r="D305" i="18" s="1"/>
  <c r="D304" i="18" a="1"/>
  <c r="D304" i="18" s="1"/>
  <c r="D303" i="18" a="1"/>
  <c r="D303" i="18" s="1"/>
  <c r="D302" i="18" a="1"/>
  <c r="D302" i="18" s="1"/>
  <c r="D301" i="18" a="1"/>
  <c r="D301" i="18" s="1"/>
  <c r="D300" i="18" a="1"/>
  <c r="D300" i="18" s="1"/>
  <c r="D299" i="18" a="1"/>
  <c r="D299" i="18" s="1"/>
  <c r="D298" i="18" a="1"/>
  <c r="D298" i="18" s="1"/>
  <c r="G298" i="18" s="1"/>
  <c r="D297" i="18" a="1"/>
  <c r="D297" i="18" s="1"/>
  <c r="G297" i="18" s="1"/>
  <c r="D296" i="18" a="1"/>
  <c r="D296" i="18" s="1"/>
  <c r="D295" i="18" a="1"/>
  <c r="D295" i="18" s="1"/>
  <c r="D294" i="18" a="1"/>
  <c r="D294" i="18" s="1"/>
  <c r="D293" i="18" a="1"/>
  <c r="D293" i="18" s="1"/>
  <c r="D292" i="18" a="1"/>
  <c r="D292" i="18" s="1"/>
  <c r="D291" i="18" a="1"/>
  <c r="D291" i="18" s="1"/>
  <c r="G291" i="18" s="1"/>
  <c r="D290" i="18" a="1"/>
  <c r="D290" i="18" s="1"/>
  <c r="G290" i="18" s="1"/>
  <c r="D289" i="18" a="1"/>
  <c r="D289" i="18" s="1"/>
  <c r="G289" i="18" s="1"/>
  <c r="D288" i="18" a="1"/>
  <c r="D288" i="18" s="1"/>
  <c r="D287" i="18" a="1"/>
  <c r="D287" i="18" s="1"/>
  <c r="D286" i="18" a="1"/>
  <c r="D286" i="18" s="1"/>
  <c r="D285" i="18" a="1"/>
  <c r="D285" i="18" s="1"/>
  <c r="D284" i="18" a="1"/>
  <c r="D284" i="18" s="1"/>
  <c r="D283" i="18" a="1"/>
  <c r="D283" i="18" s="1"/>
  <c r="G283" i="18" s="1"/>
  <c r="D282" i="18" a="1"/>
  <c r="D282" i="18" s="1"/>
  <c r="D281" i="18" a="1"/>
  <c r="D281" i="18" s="1"/>
  <c r="G281" i="18" s="1"/>
  <c r="D280" i="18" a="1"/>
  <c r="D280" i="18" s="1"/>
  <c r="D279" i="18" a="1"/>
  <c r="D279" i="18" s="1"/>
  <c r="D278" i="18" a="1"/>
  <c r="D278" i="18" s="1"/>
  <c r="D277" i="18" a="1"/>
  <c r="D277" i="18" s="1"/>
  <c r="D276" i="18" a="1"/>
  <c r="D276" i="18" s="1"/>
  <c r="G276" i="18" s="1"/>
  <c r="D275" i="18" a="1"/>
  <c r="D275" i="18" s="1"/>
  <c r="G275" i="18" s="1"/>
  <c r="D274" i="18" a="1"/>
  <c r="D274" i="18" s="1"/>
  <c r="D273" i="18" a="1"/>
  <c r="D273" i="18" s="1"/>
  <c r="G273" i="18" s="1"/>
  <c r="D272" i="18" a="1"/>
  <c r="D272" i="18" s="1"/>
  <c r="D271" i="18" a="1"/>
  <c r="D271" i="18" s="1"/>
  <c r="D270" i="18" a="1"/>
  <c r="D270" i="18" s="1"/>
  <c r="D269" i="18" a="1"/>
  <c r="D269" i="18" s="1"/>
  <c r="D268" i="18" a="1"/>
  <c r="D268" i="18" s="1"/>
  <c r="D267" i="18" a="1"/>
  <c r="D267" i="18" s="1"/>
  <c r="D266" i="18" a="1"/>
  <c r="D266" i="18" s="1"/>
  <c r="D265" i="18" a="1"/>
  <c r="D265" i="18" s="1"/>
  <c r="G265" i="18" s="1"/>
  <c r="D264" i="18" a="1"/>
  <c r="D264" i="18" s="1"/>
  <c r="D263" i="18" a="1"/>
  <c r="D263" i="18" s="1"/>
  <c r="D262" i="18" a="1"/>
  <c r="D262" i="18" s="1"/>
  <c r="D261" i="18" a="1"/>
  <c r="D261" i="18" s="1"/>
  <c r="D260" i="18" a="1"/>
  <c r="D260" i="18" s="1"/>
  <c r="G260" i="18" s="1"/>
  <c r="D259" i="18" a="1"/>
  <c r="D259" i="18" s="1"/>
  <c r="G259" i="18" s="1"/>
  <c r="D258" i="18" a="1"/>
  <c r="D258" i="18" s="1"/>
  <c r="G258" i="18" s="1"/>
  <c r="D257" i="18" a="1"/>
  <c r="D257" i="18" s="1"/>
  <c r="G257" i="18" s="1"/>
  <c r="D256" i="18" a="1"/>
  <c r="D256" i="18" s="1"/>
  <c r="D255" i="18" a="1"/>
  <c r="D255" i="18" s="1"/>
  <c r="D254" i="18" a="1"/>
  <c r="D254" i="18" s="1"/>
  <c r="D253" i="18" a="1"/>
  <c r="D253" i="18" s="1"/>
  <c r="D252" i="18" a="1"/>
  <c r="D252" i="18" s="1"/>
  <c r="D251" i="18" a="1"/>
  <c r="D251" i="18" s="1"/>
  <c r="G251" i="18" s="1"/>
  <c r="D250" i="18" a="1"/>
  <c r="D250" i="18" s="1"/>
  <c r="G250" i="18" s="1"/>
  <c r="D249" i="18" a="1"/>
  <c r="D249" i="18" s="1"/>
  <c r="G249" i="18" s="1"/>
  <c r="D248" i="18" a="1"/>
  <c r="D248" i="18" s="1"/>
  <c r="G248" i="18" s="1"/>
  <c r="D247" i="18" a="1"/>
  <c r="D247" i="18" s="1"/>
  <c r="D246" i="18" a="1"/>
  <c r="D246" i="18" s="1"/>
  <c r="D245" i="18" a="1"/>
  <c r="D245" i="18" s="1"/>
  <c r="G245" i="18" s="1"/>
  <c r="D244" i="18" a="1"/>
  <c r="D244" i="18" s="1"/>
  <c r="G244" i="18" s="1"/>
  <c r="D243" i="18" a="1"/>
  <c r="D243" i="18" s="1"/>
  <c r="D242" i="18" a="1"/>
  <c r="D242" i="18" s="1"/>
  <c r="D241" i="18" a="1"/>
  <c r="D241" i="18" s="1"/>
  <c r="G241" i="18" s="1"/>
  <c r="D240" i="18" a="1"/>
  <c r="D240" i="18" s="1"/>
  <c r="D239" i="18" a="1"/>
  <c r="D239" i="18" s="1"/>
  <c r="D238" i="18" a="1"/>
  <c r="D238" i="18" s="1"/>
  <c r="D237" i="18" a="1"/>
  <c r="D237" i="18" s="1"/>
  <c r="D236" i="18" a="1"/>
  <c r="D236" i="18" s="1"/>
  <c r="D235" i="18" a="1"/>
  <c r="D235" i="18" s="1"/>
  <c r="D234" i="18" a="1"/>
  <c r="D234" i="18" s="1"/>
  <c r="D233" i="18" a="1"/>
  <c r="D233" i="18" s="1"/>
  <c r="G233" i="18" s="1"/>
  <c r="D232" i="18" a="1"/>
  <c r="D232" i="18" s="1"/>
  <c r="D231" i="18" a="1"/>
  <c r="D231" i="18" s="1"/>
  <c r="D230" i="18" a="1"/>
  <c r="D230" i="18" s="1"/>
  <c r="D229" i="18" a="1"/>
  <c r="D229" i="18" s="1"/>
  <c r="G229" i="18" s="1"/>
  <c r="D228" i="18" a="1"/>
  <c r="D228" i="18" s="1"/>
  <c r="D227" i="18" a="1"/>
  <c r="D227" i="18" s="1"/>
  <c r="G227" i="18" s="1"/>
  <c r="D226" i="18" a="1"/>
  <c r="D226" i="18" s="1"/>
  <c r="D225" i="18" a="1"/>
  <c r="D225" i="18" s="1"/>
  <c r="G225" i="18" s="1"/>
  <c r="D224" i="18" a="1"/>
  <c r="D224" i="18" s="1"/>
  <c r="D223" i="18" a="1"/>
  <c r="D223" i="18" s="1"/>
  <c r="D222" i="18" a="1"/>
  <c r="D222" i="18" s="1"/>
  <c r="G222" i="18" s="1"/>
  <c r="D221" i="18" a="1"/>
  <c r="D221" i="18" s="1"/>
  <c r="G221" i="18" s="1"/>
  <c r="D220" i="18" a="1"/>
  <c r="D220" i="18" s="1"/>
  <c r="D219" i="18" a="1"/>
  <c r="D219" i="18" s="1"/>
  <c r="D218" i="18" a="1"/>
  <c r="D218" i="18" s="1"/>
  <c r="G218" i="18" s="1"/>
  <c r="D217" i="18" a="1"/>
  <c r="D217" i="18" s="1"/>
  <c r="G217" i="18" s="1"/>
  <c r="D216" i="18" a="1"/>
  <c r="D216" i="18" s="1"/>
  <c r="D215" i="18" a="1"/>
  <c r="D215" i="18" s="1"/>
  <c r="D214" i="18" a="1"/>
  <c r="D214" i="18" s="1"/>
  <c r="D213" i="18" a="1"/>
  <c r="D213" i="18" s="1"/>
  <c r="D212" i="18" a="1"/>
  <c r="D212" i="18" s="1"/>
  <c r="G212" i="18" s="1"/>
  <c r="D211" i="18" a="1"/>
  <c r="D211" i="18" s="1"/>
  <c r="G211" i="18" s="1"/>
  <c r="D210" i="18" a="1"/>
  <c r="D210" i="18" s="1"/>
  <c r="D209" i="18" a="1"/>
  <c r="D209" i="18" s="1"/>
  <c r="G209" i="18" s="1"/>
  <c r="D208" i="18" a="1"/>
  <c r="D208" i="18" s="1"/>
  <c r="D207" i="18" a="1"/>
  <c r="D207" i="18" s="1"/>
  <c r="D206" i="18" a="1"/>
  <c r="D206" i="18" s="1"/>
  <c r="G206" i="18" s="1"/>
  <c r="D205" i="18" a="1"/>
  <c r="D205" i="18" s="1"/>
  <c r="G205" i="18" s="1"/>
  <c r="D204" i="18" a="1"/>
  <c r="D204" i="18" s="1"/>
  <c r="G204" i="18" s="1"/>
  <c r="D203" i="18" a="1"/>
  <c r="D203" i="18" s="1"/>
  <c r="D202" i="18" a="1"/>
  <c r="D202" i="18" s="1"/>
  <c r="G202" i="18" s="1"/>
  <c r="D201" i="18" a="1"/>
  <c r="D201" i="18" s="1"/>
  <c r="G201" i="18" s="1"/>
  <c r="D200" i="18" a="1"/>
  <c r="D200" i="18" s="1"/>
  <c r="D199" i="18" a="1"/>
  <c r="D199" i="18" s="1"/>
  <c r="D198" i="18" a="1"/>
  <c r="D198" i="18" s="1"/>
  <c r="G198" i="18" s="1"/>
  <c r="D197" i="18" a="1"/>
  <c r="D197" i="18" s="1"/>
  <c r="D196" i="18" a="1"/>
  <c r="D196" i="18" s="1"/>
  <c r="G196" i="18" s="1"/>
  <c r="D195" i="18" a="1"/>
  <c r="D195" i="18" s="1"/>
  <c r="G195" i="18" s="1"/>
  <c r="D194" i="18" a="1"/>
  <c r="D194" i="18" s="1"/>
  <c r="D193" i="18" a="1"/>
  <c r="D193" i="18" s="1"/>
  <c r="G193" i="18" s="1"/>
  <c r="D192" i="18" a="1"/>
  <c r="D192" i="18" s="1"/>
  <c r="D191" i="18" a="1"/>
  <c r="D191" i="18" s="1"/>
  <c r="D190" i="18" a="1"/>
  <c r="D190" i="18" s="1"/>
  <c r="G190" i="18" s="1"/>
  <c r="D189" i="18" a="1"/>
  <c r="D189" i="18" s="1"/>
  <c r="G189" i="18" s="1"/>
  <c r="D188" i="18" a="1"/>
  <c r="D188" i="18" s="1"/>
  <c r="G188" i="18" s="1"/>
  <c r="D187" i="18" a="1"/>
  <c r="D187" i="18" s="1"/>
  <c r="D186" i="18" a="1"/>
  <c r="D186" i="18" s="1"/>
  <c r="D185" i="18" a="1"/>
  <c r="D185" i="18" s="1"/>
  <c r="G185" i="18" s="1"/>
  <c r="D184" i="18" a="1"/>
  <c r="D184" i="18" s="1"/>
  <c r="D183" i="18" a="1"/>
  <c r="D183" i="18" s="1"/>
  <c r="G183" i="18" s="1"/>
  <c r="D182" i="18" a="1"/>
  <c r="D182" i="18" s="1"/>
  <c r="D181" i="18" a="1"/>
  <c r="D181" i="18" s="1"/>
  <c r="D180" i="18" a="1"/>
  <c r="D180" i="18" s="1"/>
  <c r="D179" i="18" a="1"/>
  <c r="D179" i="18" s="1"/>
  <c r="F441" i="18" l="1"/>
  <c r="G441" i="18"/>
  <c r="F497" i="18"/>
  <c r="G497" i="18"/>
  <c r="F553" i="18"/>
  <c r="G553" i="18"/>
  <c r="F609" i="18"/>
  <c r="G609" i="18"/>
  <c r="F761" i="18"/>
  <c r="G761" i="18"/>
  <c r="F873" i="18"/>
  <c r="G873" i="18"/>
  <c r="F929" i="18"/>
  <c r="G929" i="18"/>
  <c r="F977" i="18"/>
  <c r="G977" i="18"/>
  <c r="F993" i="18"/>
  <c r="G993" i="18"/>
  <c r="F186" i="18"/>
  <c r="G186" i="18"/>
  <c r="F194" i="18"/>
  <c r="G194" i="18"/>
  <c r="F210" i="18"/>
  <c r="G210" i="18"/>
  <c r="F226" i="18"/>
  <c r="G226" i="18"/>
  <c r="F234" i="18"/>
  <c r="G234" i="18"/>
  <c r="F242" i="18"/>
  <c r="G242" i="18"/>
  <c r="F266" i="18"/>
  <c r="G266" i="18"/>
  <c r="F274" i="18"/>
  <c r="G274" i="18"/>
  <c r="F282" i="18"/>
  <c r="G282" i="18"/>
  <c r="F306" i="18"/>
  <c r="G306" i="18"/>
  <c r="F314" i="18"/>
  <c r="G314" i="18"/>
  <c r="F322" i="18"/>
  <c r="G322" i="18"/>
  <c r="F330" i="18"/>
  <c r="G330" i="18"/>
  <c r="F338" i="18"/>
  <c r="G338" i="18"/>
  <c r="F346" i="18"/>
  <c r="G346" i="18"/>
  <c r="F354" i="18"/>
  <c r="G354" i="18"/>
  <c r="F362" i="18"/>
  <c r="G362" i="18"/>
  <c r="F378" i="18"/>
  <c r="G378" i="18"/>
  <c r="F386" i="18"/>
  <c r="G386" i="18"/>
  <c r="F426" i="18"/>
  <c r="G426" i="18"/>
  <c r="F434" i="18"/>
  <c r="G434" i="18"/>
  <c r="F442" i="18"/>
  <c r="G442" i="18"/>
  <c r="F458" i="18"/>
  <c r="G458" i="18"/>
  <c r="F466" i="18"/>
  <c r="G466" i="18"/>
  <c r="F514" i="18"/>
  <c r="G514" i="18"/>
  <c r="F522" i="18"/>
  <c r="G522" i="18"/>
  <c r="F538" i="18"/>
  <c r="G538" i="18"/>
  <c r="F546" i="18"/>
  <c r="G546" i="18"/>
  <c r="F554" i="18"/>
  <c r="G554" i="18"/>
  <c r="F562" i="18"/>
  <c r="G562" i="18"/>
  <c r="F570" i="18"/>
  <c r="G570" i="18"/>
  <c r="F578" i="18"/>
  <c r="G578" i="18"/>
  <c r="F682" i="18"/>
  <c r="G682" i="18"/>
  <c r="F690" i="18"/>
  <c r="G690" i="18"/>
  <c r="F698" i="18"/>
  <c r="G698" i="18"/>
  <c r="F834" i="18"/>
  <c r="G834" i="18"/>
  <c r="F842" i="18"/>
  <c r="G842" i="18"/>
  <c r="F930" i="18"/>
  <c r="G930" i="18"/>
  <c r="F946" i="18"/>
  <c r="G946" i="18"/>
  <c r="F970" i="18"/>
  <c r="G970" i="18"/>
  <c r="F978" i="18"/>
  <c r="G978" i="18"/>
  <c r="F986" i="18"/>
  <c r="G986" i="18"/>
  <c r="F361" i="18"/>
  <c r="G361" i="18"/>
  <c r="F409" i="18"/>
  <c r="G409" i="18"/>
  <c r="F465" i="18"/>
  <c r="G465" i="18"/>
  <c r="F521" i="18"/>
  <c r="G521" i="18"/>
  <c r="F561" i="18"/>
  <c r="G561" i="18"/>
  <c r="F593" i="18"/>
  <c r="G593" i="18"/>
  <c r="F713" i="18"/>
  <c r="G713" i="18"/>
  <c r="F881" i="18"/>
  <c r="G881" i="18"/>
  <c r="F937" i="18"/>
  <c r="G937" i="18"/>
  <c r="F179" i="18"/>
  <c r="G179" i="18"/>
  <c r="F315" i="18"/>
  <c r="G315" i="18"/>
  <c r="F411" i="18"/>
  <c r="G411" i="18"/>
  <c r="F443" i="18"/>
  <c r="G443" i="18"/>
  <c r="F475" i="18"/>
  <c r="G475" i="18"/>
  <c r="F499" i="18"/>
  <c r="G499" i="18"/>
  <c r="F523" i="18"/>
  <c r="G523" i="18"/>
  <c r="F563" i="18"/>
  <c r="G563" i="18"/>
  <c r="F587" i="18"/>
  <c r="G587" i="18"/>
  <c r="F595" i="18"/>
  <c r="G595" i="18"/>
  <c r="F619" i="18"/>
  <c r="G619" i="18"/>
  <c r="F627" i="18"/>
  <c r="G627" i="18"/>
  <c r="F635" i="18"/>
  <c r="G635" i="18"/>
  <c r="F675" i="18"/>
  <c r="G675" i="18"/>
  <c r="F691" i="18"/>
  <c r="G691" i="18"/>
  <c r="F699" i="18"/>
  <c r="G699" i="18"/>
  <c r="F707" i="18"/>
  <c r="G707" i="18"/>
  <c r="F723" i="18"/>
  <c r="G723" i="18"/>
  <c r="F731" i="18"/>
  <c r="G731" i="18"/>
  <c r="F747" i="18"/>
  <c r="G747" i="18"/>
  <c r="F763" i="18"/>
  <c r="G763" i="18"/>
  <c r="F835" i="18"/>
  <c r="G835" i="18"/>
  <c r="F843" i="18"/>
  <c r="G843" i="18"/>
  <c r="F851" i="18"/>
  <c r="G851" i="18"/>
  <c r="F859" i="18"/>
  <c r="G859" i="18"/>
  <c r="F867" i="18"/>
  <c r="G867" i="18"/>
  <c r="F875" i="18"/>
  <c r="G875" i="18"/>
  <c r="F883" i="18"/>
  <c r="G883" i="18"/>
  <c r="F891" i="18"/>
  <c r="G891" i="18"/>
  <c r="F899" i="18"/>
  <c r="G899" i="18"/>
  <c r="F907" i="18"/>
  <c r="G907" i="18"/>
  <c r="F915" i="18"/>
  <c r="G915" i="18"/>
  <c r="F923" i="18"/>
  <c r="G923" i="18"/>
  <c r="F931" i="18"/>
  <c r="G931" i="18"/>
  <c r="F939" i="18"/>
  <c r="G939" i="18"/>
  <c r="F947" i="18"/>
  <c r="G947" i="18"/>
  <c r="F353" i="18"/>
  <c r="G353" i="18"/>
  <c r="F401" i="18"/>
  <c r="G401" i="18"/>
  <c r="F457" i="18"/>
  <c r="G457" i="18"/>
  <c r="F505" i="18"/>
  <c r="G505" i="18"/>
  <c r="F577" i="18"/>
  <c r="G577" i="18"/>
  <c r="F617" i="18"/>
  <c r="G617" i="18"/>
  <c r="F857" i="18"/>
  <c r="G857" i="18"/>
  <c r="F913" i="18"/>
  <c r="G913" i="18"/>
  <c r="F985" i="18"/>
  <c r="G985" i="18"/>
  <c r="F219" i="18"/>
  <c r="G219" i="18"/>
  <c r="F267" i="18"/>
  <c r="G267" i="18"/>
  <c r="F419" i="18"/>
  <c r="G419" i="18"/>
  <c r="F451" i="18"/>
  <c r="G451" i="18"/>
  <c r="F483" i="18"/>
  <c r="G483" i="18"/>
  <c r="F539" i="18"/>
  <c r="G539" i="18"/>
  <c r="F220" i="18"/>
  <c r="G220" i="18"/>
  <c r="F228" i="18"/>
  <c r="G228" i="18"/>
  <c r="F236" i="18"/>
  <c r="G236" i="18"/>
  <c r="F252" i="18"/>
  <c r="G252" i="18"/>
  <c r="F268" i="18"/>
  <c r="G268" i="18"/>
  <c r="F284" i="18"/>
  <c r="G284" i="18"/>
  <c r="F292" i="18"/>
  <c r="G292" i="18"/>
  <c r="F300" i="18"/>
  <c r="G300" i="18"/>
  <c r="F316" i="18"/>
  <c r="G316" i="18"/>
  <c r="F332" i="18"/>
  <c r="G332" i="18"/>
  <c r="F348" i="18"/>
  <c r="G348" i="18"/>
  <c r="F356" i="18"/>
  <c r="G356" i="18"/>
  <c r="F364" i="18"/>
  <c r="G364" i="18"/>
  <c r="F380" i="18"/>
  <c r="G380" i="18"/>
  <c r="F388" i="18"/>
  <c r="G388" i="18"/>
  <c r="F396" i="18"/>
  <c r="G396" i="18"/>
  <c r="F404" i="18"/>
  <c r="G404" i="18"/>
  <c r="F412" i="18"/>
  <c r="G412" i="18"/>
  <c r="F420" i="18"/>
  <c r="G420" i="18"/>
  <c r="F436" i="18"/>
  <c r="G436" i="18"/>
  <c r="F444" i="18"/>
  <c r="G444" i="18"/>
  <c r="F476" i="18"/>
  <c r="G476" i="18"/>
  <c r="F484" i="18"/>
  <c r="G484" i="18"/>
  <c r="F500" i="18"/>
  <c r="G500" i="18"/>
  <c r="F508" i="18"/>
  <c r="G508" i="18"/>
  <c r="F548" i="18"/>
  <c r="G548" i="18"/>
  <c r="F556" i="18"/>
  <c r="G556" i="18"/>
  <c r="F564" i="18"/>
  <c r="G564" i="18"/>
  <c r="F572" i="18"/>
  <c r="G572" i="18"/>
  <c r="F580" i="18"/>
  <c r="G580" i="18"/>
  <c r="F588" i="18"/>
  <c r="G588" i="18"/>
  <c r="F604" i="18"/>
  <c r="G604" i="18"/>
  <c r="F612" i="18"/>
  <c r="G612" i="18"/>
  <c r="F620" i="18"/>
  <c r="G620" i="18"/>
  <c r="F636" i="18"/>
  <c r="G636" i="18"/>
  <c r="F644" i="18"/>
  <c r="G644" i="18"/>
  <c r="F676" i="18"/>
  <c r="G676" i="18"/>
  <c r="F684" i="18"/>
  <c r="G684" i="18"/>
  <c r="F692" i="18"/>
  <c r="G692" i="18"/>
  <c r="F700" i="18"/>
  <c r="G700" i="18"/>
  <c r="F708" i="18"/>
  <c r="G708" i="18"/>
  <c r="F716" i="18"/>
  <c r="G716" i="18"/>
  <c r="F724" i="18"/>
  <c r="G724" i="18"/>
  <c r="F732" i="18"/>
  <c r="G732" i="18"/>
  <c r="F748" i="18"/>
  <c r="G748" i="18"/>
  <c r="F756" i="18"/>
  <c r="G756" i="18"/>
  <c r="F772" i="18"/>
  <c r="G772" i="18"/>
  <c r="F788" i="18"/>
  <c r="G788" i="18"/>
  <c r="F796" i="18"/>
  <c r="G796" i="18"/>
  <c r="F812" i="18"/>
  <c r="G812" i="18"/>
  <c r="F828" i="18"/>
  <c r="G828" i="18"/>
  <c r="F836" i="18"/>
  <c r="G836" i="18"/>
  <c r="F844" i="18"/>
  <c r="G844" i="18"/>
  <c r="F852" i="18"/>
  <c r="G852" i="18"/>
  <c r="F860" i="18"/>
  <c r="G860" i="18"/>
  <c r="F868" i="18"/>
  <c r="G868" i="18"/>
  <c r="F876" i="18"/>
  <c r="G876" i="18"/>
  <c r="F884" i="18"/>
  <c r="G884" i="18"/>
  <c r="F892" i="18"/>
  <c r="G892" i="18"/>
  <c r="F900" i="18"/>
  <c r="G900" i="18"/>
  <c r="F908" i="18"/>
  <c r="G908" i="18"/>
  <c r="F916" i="18"/>
  <c r="G916" i="18"/>
  <c r="F924" i="18"/>
  <c r="G924" i="18"/>
  <c r="F932" i="18"/>
  <c r="G932" i="18"/>
  <c r="F940" i="18"/>
  <c r="G940" i="18"/>
  <c r="F948" i="18"/>
  <c r="G948" i="18"/>
  <c r="F956" i="18"/>
  <c r="G956" i="18"/>
  <c r="F964" i="18"/>
  <c r="G964" i="18"/>
  <c r="F972" i="18"/>
  <c r="G972" i="18"/>
  <c r="F980" i="18"/>
  <c r="G980" i="18"/>
  <c r="F988" i="18"/>
  <c r="G988" i="18"/>
  <c r="F996" i="18"/>
  <c r="G996" i="18"/>
  <c r="F425" i="18"/>
  <c r="G425" i="18"/>
  <c r="F481" i="18"/>
  <c r="G481" i="18"/>
  <c r="F537" i="18"/>
  <c r="G537" i="18"/>
  <c r="F657" i="18"/>
  <c r="G657" i="18"/>
  <c r="F833" i="18"/>
  <c r="G833" i="18"/>
  <c r="F905" i="18"/>
  <c r="G905" i="18"/>
  <c r="F953" i="18"/>
  <c r="G953" i="18"/>
  <c r="F299" i="18"/>
  <c r="G299" i="18"/>
  <c r="F331" i="18"/>
  <c r="G331" i="18"/>
  <c r="F427" i="18"/>
  <c r="G427" i="18"/>
  <c r="F467" i="18"/>
  <c r="G467" i="18"/>
  <c r="F507" i="18"/>
  <c r="G507" i="18"/>
  <c r="F531" i="18"/>
  <c r="G531" i="18"/>
  <c r="F180" i="18"/>
  <c r="G180" i="18"/>
  <c r="F181" i="18"/>
  <c r="G181" i="18"/>
  <c r="F197" i="18"/>
  <c r="G197" i="18"/>
  <c r="F213" i="18"/>
  <c r="G213" i="18"/>
  <c r="F237" i="18"/>
  <c r="G237" i="18"/>
  <c r="F253" i="18"/>
  <c r="G253" i="18"/>
  <c r="F261" i="18"/>
  <c r="G261" i="18"/>
  <c r="F269" i="18"/>
  <c r="G269" i="18"/>
  <c r="F277" i="18"/>
  <c r="G277" i="18"/>
  <c r="F285" i="18"/>
  <c r="G285" i="18"/>
  <c r="F293" i="18"/>
  <c r="G293" i="18"/>
  <c r="F301" i="18"/>
  <c r="G301" i="18"/>
  <c r="F309" i="18"/>
  <c r="G309" i="18"/>
  <c r="F317" i="18"/>
  <c r="G317" i="18"/>
  <c r="F325" i="18"/>
  <c r="G325" i="18"/>
  <c r="F333" i="18"/>
  <c r="G333" i="18"/>
  <c r="F341" i="18"/>
  <c r="G341" i="18"/>
  <c r="F349" i="18"/>
  <c r="G349" i="18"/>
  <c r="F357" i="18"/>
  <c r="G357" i="18"/>
  <c r="F365" i="18"/>
  <c r="G365" i="18"/>
  <c r="F373" i="18"/>
  <c r="G373" i="18"/>
  <c r="F381" i="18"/>
  <c r="G381" i="18"/>
  <c r="F389" i="18"/>
  <c r="G389" i="18"/>
  <c r="F397" i="18"/>
  <c r="G397" i="18"/>
  <c r="F405" i="18"/>
  <c r="G405" i="18"/>
  <c r="F413" i="18"/>
  <c r="G413" i="18"/>
  <c r="F421" i="18"/>
  <c r="G421" i="18"/>
  <c r="F429" i="18"/>
  <c r="G429" i="18"/>
  <c r="F437" i="18"/>
  <c r="G437" i="18"/>
  <c r="F469" i="18"/>
  <c r="G469" i="18"/>
  <c r="F485" i="18"/>
  <c r="G485" i="18"/>
  <c r="F493" i="18"/>
  <c r="G493" i="18"/>
  <c r="F501" i="18"/>
  <c r="G501" i="18"/>
  <c r="F509" i="18"/>
  <c r="G509" i="18"/>
  <c r="F533" i="18"/>
  <c r="G533" i="18"/>
  <c r="F549" i="18"/>
  <c r="G549" i="18"/>
  <c r="F557" i="18"/>
  <c r="G557" i="18"/>
  <c r="F573" i="18"/>
  <c r="G573" i="18"/>
  <c r="F581" i="18"/>
  <c r="G581" i="18"/>
  <c r="F589" i="18"/>
  <c r="G589" i="18"/>
  <c r="F597" i="18"/>
  <c r="G597" i="18"/>
  <c r="F605" i="18"/>
  <c r="G605" i="18"/>
  <c r="F613" i="18"/>
  <c r="G613" i="18"/>
  <c r="F621" i="18"/>
  <c r="G621" i="18"/>
  <c r="F629" i="18"/>
  <c r="G629" i="18"/>
  <c r="F637" i="18"/>
  <c r="G637" i="18"/>
  <c r="F645" i="18"/>
  <c r="G645" i="18"/>
  <c r="F653" i="18"/>
  <c r="G653" i="18"/>
  <c r="F661" i="18"/>
  <c r="G661" i="18"/>
  <c r="F669" i="18"/>
  <c r="G669" i="18"/>
  <c r="F677" i="18"/>
  <c r="G677" i="18"/>
  <c r="F701" i="18"/>
  <c r="G701" i="18"/>
  <c r="F709" i="18"/>
  <c r="G709" i="18"/>
  <c r="F717" i="18"/>
  <c r="G717" i="18"/>
  <c r="F725" i="18"/>
  <c r="G725" i="18"/>
  <c r="F733" i="18"/>
  <c r="G733" i="18"/>
  <c r="F741" i="18"/>
  <c r="G741" i="18"/>
  <c r="F749" i="18"/>
  <c r="G749" i="18"/>
  <c r="F757" i="18"/>
  <c r="G757" i="18"/>
  <c r="F765" i="18"/>
  <c r="G765" i="18"/>
  <c r="F773" i="18"/>
  <c r="G773" i="18"/>
  <c r="F781" i="18"/>
  <c r="G781" i="18"/>
  <c r="F789" i="18"/>
  <c r="G789" i="18"/>
  <c r="F797" i="18"/>
  <c r="G797" i="18"/>
  <c r="F805" i="18"/>
  <c r="G805" i="18"/>
  <c r="F813" i="18"/>
  <c r="G813" i="18"/>
  <c r="F821" i="18"/>
  <c r="G821" i="18"/>
  <c r="F829" i="18"/>
  <c r="G829" i="18"/>
  <c r="F853" i="18"/>
  <c r="G853" i="18"/>
  <c r="F861" i="18"/>
  <c r="G861" i="18"/>
  <c r="F869" i="18"/>
  <c r="G869" i="18"/>
  <c r="F877" i="18"/>
  <c r="G877" i="18"/>
  <c r="F885" i="18"/>
  <c r="G885" i="18"/>
  <c r="F893" i="18"/>
  <c r="G893" i="18"/>
  <c r="F901" i="18"/>
  <c r="G901" i="18"/>
  <c r="F909" i="18"/>
  <c r="G909" i="18"/>
  <c r="F917" i="18"/>
  <c r="G917" i="18"/>
  <c r="F925" i="18"/>
  <c r="G925" i="18"/>
  <c r="F957" i="18"/>
  <c r="G957" i="18"/>
  <c r="F973" i="18"/>
  <c r="G973" i="18"/>
  <c r="F981" i="18"/>
  <c r="G981" i="18"/>
  <c r="F329" i="18"/>
  <c r="G329" i="18"/>
  <c r="F369" i="18"/>
  <c r="G369" i="18"/>
  <c r="F417" i="18"/>
  <c r="G417" i="18"/>
  <c r="F489" i="18"/>
  <c r="G489" i="18"/>
  <c r="F545" i="18"/>
  <c r="G545" i="18"/>
  <c r="F601" i="18"/>
  <c r="G601" i="18"/>
  <c r="F729" i="18"/>
  <c r="G729" i="18"/>
  <c r="F841" i="18"/>
  <c r="G841" i="18"/>
  <c r="F897" i="18"/>
  <c r="G897" i="18"/>
  <c r="F969" i="18"/>
  <c r="G969" i="18"/>
  <c r="F203" i="18"/>
  <c r="G203" i="18"/>
  <c r="F243" i="18"/>
  <c r="G243" i="18"/>
  <c r="F403" i="18"/>
  <c r="G403" i="18"/>
  <c r="F435" i="18"/>
  <c r="G435" i="18"/>
  <c r="F459" i="18"/>
  <c r="G459" i="18"/>
  <c r="F491" i="18"/>
  <c r="G491" i="18"/>
  <c r="F515" i="18"/>
  <c r="G515" i="18"/>
  <c r="F555" i="18"/>
  <c r="G555" i="18"/>
  <c r="F182" i="18"/>
  <c r="G182" i="18"/>
  <c r="F214" i="18"/>
  <c r="G214" i="18"/>
  <c r="F230" i="18"/>
  <c r="G230" i="18"/>
  <c r="F238" i="18"/>
  <c r="G238" i="18"/>
  <c r="F246" i="18"/>
  <c r="G246" i="18"/>
  <c r="F254" i="18"/>
  <c r="G254" i="18"/>
  <c r="F262" i="18"/>
  <c r="G262" i="18"/>
  <c r="F270" i="18"/>
  <c r="G270" i="18"/>
  <c r="F278" i="18"/>
  <c r="G278" i="18"/>
  <c r="F286" i="18"/>
  <c r="G286" i="18"/>
  <c r="F294" i="18"/>
  <c r="G294" i="18"/>
  <c r="F302" i="18"/>
  <c r="G302" i="18"/>
  <c r="F310" i="18"/>
  <c r="G310" i="18"/>
  <c r="F318" i="18"/>
  <c r="G318" i="18"/>
  <c r="F326" i="18"/>
  <c r="G326" i="18"/>
  <c r="F334" i="18"/>
  <c r="G334" i="18"/>
  <c r="F342" i="18"/>
  <c r="G342" i="18"/>
  <c r="F350" i="18"/>
  <c r="G350" i="18"/>
  <c r="F358" i="18"/>
  <c r="G358" i="18"/>
  <c r="F374" i="18"/>
  <c r="G374" i="18"/>
  <c r="F398" i="18"/>
  <c r="G398" i="18"/>
  <c r="F406" i="18"/>
  <c r="G406" i="18"/>
  <c r="F414" i="18"/>
  <c r="G414" i="18"/>
  <c r="F422" i="18"/>
  <c r="G422" i="18"/>
  <c r="F430" i="18"/>
  <c r="G430" i="18"/>
  <c r="F438" i="18"/>
  <c r="G438" i="18"/>
  <c r="F446" i="18"/>
  <c r="G446" i="18"/>
  <c r="F454" i="18"/>
  <c r="G454" i="18"/>
  <c r="F462" i="18"/>
  <c r="G462" i="18"/>
  <c r="F470" i="18"/>
  <c r="G470" i="18"/>
  <c r="F478" i="18"/>
  <c r="G478" i="18"/>
  <c r="F486" i="18"/>
  <c r="G486" i="18"/>
  <c r="F494" i="18"/>
  <c r="G494" i="18"/>
  <c r="F502" i="18"/>
  <c r="G502" i="18"/>
  <c r="F510" i="18"/>
  <c r="G510" i="18"/>
  <c r="F518" i="18"/>
  <c r="G518" i="18"/>
  <c r="F526" i="18"/>
  <c r="G526" i="18"/>
  <c r="F534" i="18"/>
  <c r="G534" i="18"/>
  <c r="F558" i="18"/>
  <c r="G558" i="18"/>
  <c r="F598" i="18"/>
  <c r="G598" i="18"/>
  <c r="F622" i="18"/>
  <c r="G622" i="18"/>
  <c r="F638" i="18"/>
  <c r="G638" i="18"/>
  <c r="F646" i="18"/>
  <c r="G646" i="18"/>
  <c r="F654" i="18"/>
  <c r="G654" i="18"/>
  <c r="F670" i="18"/>
  <c r="G670" i="18"/>
  <c r="F678" i="18"/>
  <c r="G678" i="18"/>
  <c r="F686" i="18"/>
  <c r="G686" i="18"/>
  <c r="F718" i="18"/>
  <c r="G718" i="18"/>
  <c r="F726" i="18"/>
  <c r="G726" i="18"/>
  <c r="F734" i="18"/>
  <c r="G734" i="18"/>
  <c r="F742" i="18"/>
  <c r="G742" i="18"/>
  <c r="F750" i="18"/>
  <c r="G750" i="18"/>
  <c r="F758" i="18"/>
  <c r="G758" i="18"/>
  <c r="F766" i="18"/>
  <c r="G766" i="18"/>
  <c r="F774" i="18"/>
  <c r="G774" i="18"/>
  <c r="F782" i="18"/>
  <c r="G782" i="18"/>
  <c r="F790" i="18"/>
  <c r="G790" i="18"/>
  <c r="F798" i="18"/>
  <c r="G798" i="18"/>
  <c r="F806" i="18"/>
  <c r="G806" i="18"/>
  <c r="F814" i="18"/>
  <c r="G814" i="18"/>
  <c r="F822" i="18"/>
  <c r="G822" i="18"/>
  <c r="F830" i="18"/>
  <c r="G830" i="18"/>
  <c r="F838" i="18"/>
  <c r="G838" i="18"/>
  <c r="F846" i="18"/>
  <c r="G846" i="18"/>
  <c r="F854" i="18"/>
  <c r="G854" i="18"/>
  <c r="F862" i="18"/>
  <c r="G862" i="18"/>
  <c r="F870" i="18"/>
  <c r="G870" i="18"/>
  <c r="F878" i="18"/>
  <c r="G878" i="18"/>
  <c r="F886" i="18"/>
  <c r="G886" i="18"/>
  <c r="F894" i="18"/>
  <c r="G894" i="18"/>
  <c r="F902" i="18"/>
  <c r="G902" i="18"/>
  <c r="F910" i="18"/>
  <c r="G910" i="18"/>
  <c r="F918" i="18"/>
  <c r="G918" i="18"/>
  <c r="F926" i="18"/>
  <c r="G926" i="18"/>
  <c r="F934" i="18"/>
  <c r="G934" i="18"/>
  <c r="F942" i="18"/>
  <c r="G942" i="18"/>
  <c r="F950" i="18"/>
  <c r="G950" i="18"/>
  <c r="F958" i="18"/>
  <c r="G958" i="18"/>
  <c r="F966" i="18"/>
  <c r="G966" i="18"/>
  <c r="F974" i="18"/>
  <c r="G974" i="18"/>
  <c r="F982" i="18"/>
  <c r="G982" i="18"/>
  <c r="F990" i="18"/>
  <c r="G990" i="18"/>
  <c r="F998" i="18"/>
  <c r="G998" i="18"/>
  <c r="F337" i="18"/>
  <c r="G337" i="18"/>
  <c r="F433" i="18"/>
  <c r="G433" i="18"/>
  <c r="F473" i="18"/>
  <c r="G473" i="18"/>
  <c r="F529" i="18"/>
  <c r="G529" i="18"/>
  <c r="F585" i="18"/>
  <c r="G585" i="18"/>
  <c r="F697" i="18"/>
  <c r="G697" i="18"/>
  <c r="F849" i="18"/>
  <c r="G849" i="18"/>
  <c r="F889" i="18"/>
  <c r="G889" i="18"/>
  <c r="F945" i="18"/>
  <c r="G945" i="18"/>
  <c r="F187" i="18"/>
  <c r="G187" i="18"/>
  <c r="F235" i="18"/>
  <c r="G235" i="18"/>
  <c r="F347" i="18"/>
  <c r="G347" i="18"/>
  <c r="F191" i="18"/>
  <c r="G191" i="18"/>
  <c r="F215" i="18"/>
  <c r="G215" i="18"/>
  <c r="F239" i="18"/>
  <c r="G239" i="18"/>
  <c r="F255" i="18"/>
  <c r="G255" i="18"/>
  <c r="F271" i="18"/>
  <c r="G271" i="18"/>
  <c r="F287" i="18"/>
  <c r="G287" i="18"/>
  <c r="F303" i="18"/>
  <c r="G303" i="18"/>
  <c r="F319" i="18"/>
  <c r="G319" i="18"/>
  <c r="F327" i="18"/>
  <c r="G327" i="18"/>
  <c r="F335" i="18"/>
  <c r="G335" i="18"/>
  <c r="F343" i="18"/>
  <c r="G343" i="18"/>
  <c r="F351" i="18"/>
  <c r="G351" i="18"/>
  <c r="F359" i="18"/>
  <c r="G359" i="18"/>
  <c r="F367" i="18"/>
  <c r="G367" i="18"/>
  <c r="F375" i="18"/>
  <c r="G375" i="18"/>
  <c r="F383" i="18"/>
  <c r="G383" i="18"/>
  <c r="F391" i="18"/>
  <c r="G391" i="18"/>
  <c r="F399" i="18"/>
  <c r="G399" i="18"/>
  <c r="F439" i="18"/>
  <c r="G439" i="18"/>
  <c r="F471" i="18"/>
  <c r="G471" i="18"/>
  <c r="F495" i="18"/>
  <c r="G495" i="18"/>
  <c r="F503" i="18"/>
  <c r="G503" i="18"/>
  <c r="F543" i="18"/>
  <c r="G543" i="18"/>
  <c r="F551" i="18"/>
  <c r="G551" i="18"/>
  <c r="F559" i="18"/>
  <c r="G559" i="18"/>
  <c r="F567" i="18"/>
  <c r="G567" i="18"/>
  <c r="F575" i="18"/>
  <c r="G575" i="18"/>
  <c r="F583" i="18"/>
  <c r="G583" i="18"/>
  <c r="F591" i="18"/>
  <c r="G591" i="18"/>
  <c r="F599" i="18"/>
  <c r="G599" i="18"/>
  <c r="F607" i="18"/>
  <c r="G607" i="18"/>
  <c r="F615" i="18"/>
  <c r="G615" i="18"/>
  <c r="F623" i="18"/>
  <c r="G623" i="18"/>
  <c r="F631" i="18"/>
  <c r="G631" i="18"/>
  <c r="F639" i="18"/>
  <c r="G639" i="18"/>
  <c r="F647" i="18"/>
  <c r="G647" i="18"/>
  <c r="F655" i="18"/>
  <c r="G655" i="18"/>
  <c r="F663" i="18"/>
  <c r="G663" i="18"/>
  <c r="F671" i="18"/>
  <c r="G671" i="18"/>
  <c r="F679" i="18"/>
  <c r="G679" i="18"/>
  <c r="F703" i="18"/>
  <c r="G703" i="18"/>
  <c r="F711" i="18"/>
  <c r="G711" i="18"/>
  <c r="F719" i="18"/>
  <c r="G719" i="18"/>
  <c r="F727" i="18"/>
  <c r="G727" i="18"/>
  <c r="F735" i="18"/>
  <c r="G735" i="18"/>
  <c r="F743" i="18"/>
  <c r="G743" i="18"/>
  <c r="F751" i="18"/>
  <c r="G751" i="18"/>
  <c r="F759" i="18"/>
  <c r="G759" i="18"/>
  <c r="F767" i="18"/>
  <c r="G767" i="18"/>
  <c r="F775" i="18"/>
  <c r="G775" i="18"/>
  <c r="F783" i="18"/>
  <c r="G783" i="18"/>
  <c r="F791" i="18"/>
  <c r="G791" i="18"/>
  <c r="F799" i="18"/>
  <c r="G799" i="18"/>
  <c r="F807" i="18"/>
  <c r="G807" i="18"/>
  <c r="F815" i="18"/>
  <c r="G815" i="18"/>
  <c r="F823" i="18"/>
  <c r="G823" i="18"/>
  <c r="F839" i="18"/>
  <c r="G839" i="18"/>
  <c r="F935" i="18"/>
  <c r="G935" i="18"/>
  <c r="F943" i="18"/>
  <c r="G943" i="18"/>
  <c r="F951" i="18"/>
  <c r="G951" i="18"/>
  <c r="F967" i="18"/>
  <c r="G967" i="18"/>
  <c r="F305" i="18"/>
  <c r="G305" i="18"/>
  <c r="F345" i="18"/>
  <c r="G345" i="18"/>
  <c r="F449" i="18"/>
  <c r="G449" i="18"/>
  <c r="F513" i="18"/>
  <c r="G513" i="18"/>
  <c r="F569" i="18"/>
  <c r="G569" i="18"/>
  <c r="F633" i="18"/>
  <c r="G633" i="18"/>
  <c r="F865" i="18"/>
  <c r="G865" i="18"/>
  <c r="F921" i="18"/>
  <c r="G921" i="18"/>
  <c r="F961" i="18"/>
  <c r="G961" i="18"/>
  <c r="F199" i="18"/>
  <c r="G199" i="18"/>
  <c r="F207" i="18"/>
  <c r="G207" i="18"/>
  <c r="F223" i="18"/>
  <c r="G223" i="18"/>
  <c r="F231" i="18"/>
  <c r="G231" i="18"/>
  <c r="F247" i="18"/>
  <c r="G247" i="18"/>
  <c r="F263" i="18"/>
  <c r="G263" i="18"/>
  <c r="F279" i="18"/>
  <c r="G279" i="18"/>
  <c r="F295" i="18"/>
  <c r="G295" i="18"/>
  <c r="F311" i="18"/>
  <c r="G311" i="18"/>
  <c r="F184" i="18"/>
  <c r="G184" i="18"/>
  <c r="F192" i="18"/>
  <c r="G192" i="18"/>
  <c r="F200" i="18"/>
  <c r="G200" i="18"/>
  <c r="F208" i="18"/>
  <c r="G208" i="18"/>
  <c r="F216" i="18"/>
  <c r="G216" i="18"/>
  <c r="F224" i="18"/>
  <c r="G224" i="18"/>
  <c r="F232" i="18"/>
  <c r="G232" i="18"/>
  <c r="F240" i="18"/>
  <c r="G240" i="18"/>
  <c r="F256" i="18"/>
  <c r="G256" i="18"/>
  <c r="F264" i="18"/>
  <c r="G264" i="18"/>
  <c r="F272" i="18"/>
  <c r="G272" i="18"/>
  <c r="F280" i="18"/>
  <c r="G280" i="18"/>
  <c r="F288" i="18"/>
  <c r="G288" i="18"/>
  <c r="F296" i="18"/>
  <c r="G296" i="18"/>
  <c r="F304" i="18"/>
  <c r="G304" i="18"/>
  <c r="F312" i="18"/>
  <c r="G312" i="18"/>
  <c r="F320" i="18"/>
  <c r="G320" i="18"/>
  <c r="F328" i="18"/>
  <c r="G328" i="18"/>
  <c r="F336" i="18"/>
  <c r="G336" i="18"/>
  <c r="F344" i="18"/>
  <c r="G344" i="18"/>
  <c r="F352" i="18"/>
  <c r="G352" i="18"/>
  <c r="F360" i="18"/>
  <c r="G360" i="18"/>
  <c r="F368" i="18"/>
  <c r="G368" i="18"/>
  <c r="F376" i="18"/>
  <c r="G376" i="18"/>
  <c r="F384" i="18"/>
  <c r="G384" i="18"/>
  <c r="F392" i="18"/>
  <c r="G392" i="18"/>
  <c r="F408" i="18"/>
  <c r="G408" i="18"/>
  <c r="F416" i="18"/>
  <c r="G416" i="18"/>
  <c r="F424" i="18"/>
  <c r="G424" i="18"/>
  <c r="F432" i="18"/>
  <c r="G432" i="18"/>
  <c r="F440" i="18"/>
  <c r="G440" i="18"/>
  <c r="F448" i="18"/>
  <c r="G448" i="18"/>
  <c r="F456" i="18"/>
  <c r="G456" i="18"/>
  <c r="F464" i="18"/>
  <c r="G464" i="18"/>
  <c r="F472" i="18"/>
  <c r="G472" i="18"/>
  <c r="F480" i="18"/>
  <c r="G480" i="18"/>
  <c r="F488" i="18"/>
  <c r="G488" i="18"/>
  <c r="F496" i="18"/>
  <c r="G496" i="18"/>
  <c r="F504" i="18"/>
  <c r="G504" i="18"/>
  <c r="F512" i="18"/>
  <c r="G512" i="18"/>
  <c r="F520" i="18"/>
  <c r="G520" i="18"/>
  <c r="F528" i="18"/>
  <c r="G528" i="18"/>
  <c r="F536" i="18"/>
  <c r="G536" i="18"/>
  <c r="F544" i="18"/>
  <c r="G544" i="18"/>
  <c r="F560" i="18"/>
  <c r="G560" i="18"/>
  <c r="F568" i="18"/>
  <c r="G568" i="18"/>
  <c r="F576" i="18"/>
  <c r="G576" i="18"/>
  <c r="F584" i="18"/>
  <c r="G584" i="18"/>
  <c r="F592" i="18"/>
  <c r="G592" i="18"/>
  <c r="F600" i="18"/>
  <c r="G600" i="18"/>
  <c r="F608" i="18"/>
  <c r="G608" i="18"/>
  <c r="F616" i="18"/>
  <c r="G616" i="18"/>
  <c r="F624" i="18"/>
  <c r="G624" i="18"/>
  <c r="F632" i="18"/>
  <c r="G632" i="18"/>
  <c r="F640" i="18"/>
  <c r="G640" i="18"/>
  <c r="F648" i="18"/>
  <c r="G648" i="18"/>
  <c r="F656" i="18"/>
  <c r="G656" i="18"/>
  <c r="F664" i="18"/>
  <c r="G664" i="18"/>
  <c r="F672" i="18"/>
  <c r="G672" i="18"/>
  <c r="F688" i="18"/>
  <c r="G688" i="18"/>
  <c r="F704" i="18"/>
  <c r="G704" i="18"/>
  <c r="F712" i="18"/>
  <c r="G712" i="18"/>
  <c r="F720" i="18"/>
  <c r="G720" i="18"/>
  <c r="F728" i="18"/>
  <c r="G728" i="18"/>
  <c r="F736" i="18"/>
  <c r="G736" i="18"/>
  <c r="F744" i="18"/>
  <c r="G744" i="18"/>
  <c r="F752" i="18"/>
  <c r="G752" i="18"/>
  <c r="F760" i="18"/>
  <c r="G760" i="18"/>
  <c r="F768" i="18"/>
  <c r="G768" i="18"/>
  <c r="F776" i="18"/>
  <c r="G776" i="18"/>
  <c r="F784" i="18"/>
  <c r="G784" i="18"/>
  <c r="F792" i="18"/>
  <c r="G792" i="18"/>
  <c r="F800" i="18"/>
  <c r="G800" i="18"/>
  <c r="F808" i="18"/>
  <c r="G808" i="18"/>
  <c r="F816" i="18"/>
  <c r="G816" i="18"/>
  <c r="F824" i="18"/>
  <c r="G824" i="18"/>
  <c r="F840" i="18"/>
  <c r="G840" i="18"/>
  <c r="F848" i="18"/>
  <c r="G848" i="18"/>
  <c r="F856" i="18"/>
  <c r="G856" i="18"/>
  <c r="F864" i="18"/>
  <c r="G864" i="18"/>
  <c r="F872" i="18"/>
  <c r="G872" i="18"/>
  <c r="F880" i="18"/>
  <c r="G880" i="18"/>
  <c r="F888" i="18"/>
  <c r="G888" i="18"/>
  <c r="F896" i="18"/>
  <c r="G896" i="18"/>
  <c r="F904" i="18"/>
  <c r="G904" i="18"/>
  <c r="F912" i="18"/>
  <c r="G912" i="18"/>
  <c r="F920" i="18"/>
  <c r="G920" i="18"/>
  <c r="F928" i="18"/>
  <c r="G928" i="18"/>
  <c r="F960" i="18"/>
  <c r="G960" i="18"/>
  <c r="F968" i="18"/>
  <c r="G968" i="18"/>
  <c r="F976" i="18"/>
  <c r="G976" i="18"/>
  <c r="F984" i="18"/>
  <c r="G984" i="18"/>
  <c r="F992" i="18"/>
  <c r="G992" i="18"/>
  <c r="F1000" i="18"/>
  <c r="G1000" i="18"/>
  <c r="I185" i="18"/>
  <c r="F185" i="18"/>
  <c r="E225" i="18"/>
  <c r="F225" i="18"/>
  <c r="E249" i="18"/>
  <c r="F249" i="18"/>
  <c r="E273" i="18"/>
  <c r="F273" i="18"/>
  <c r="E297" i="18"/>
  <c r="F297" i="18"/>
  <c r="H321" i="18"/>
  <c r="F321" i="18"/>
  <c r="I377" i="18"/>
  <c r="F377" i="18"/>
  <c r="E385" i="18"/>
  <c r="F385" i="18"/>
  <c r="I393" i="18"/>
  <c r="F393" i="18"/>
  <c r="I625" i="18"/>
  <c r="F625" i="18"/>
  <c r="E641" i="18"/>
  <c r="F641" i="18"/>
  <c r="E649" i="18"/>
  <c r="F649" i="18"/>
  <c r="E665" i="18"/>
  <c r="F665" i="18"/>
  <c r="E673" i="18"/>
  <c r="F673" i="18"/>
  <c r="I681" i="18"/>
  <c r="F681" i="18"/>
  <c r="H689" i="18"/>
  <c r="F689" i="18"/>
  <c r="H705" i="18"/>
  <c r="F705" i="18"/>
  <c r="I721" i="18"/>
  <c r="F721" i="18"/>
  <c r="I737" i="18"/>
  <c r="F737" i="18"/>
  <c r="I745" i="18"/>
  <c r="F745" i="18"/>
  <c r="I753" i="18"/>
  <c r="F753" i="18"/>
  <c r="I769" i="18"/>
  <c r="F769" i="18"/>
  <c r="I777" i="18"/>
  <c r="F777" i="18"/>
  <c r="I785" i="18"/>
  <c r="F785" i="18"/>
  <c r="I793" i="18"/>
  <c r="F793" i="18"/>
  <c r="I801" i="18"/>
  <c r="F801" i="18"/>
  <c r="I809" i="18"/>
  <c r="F809" i="18"/>
  <c r="I817" i="18"/>
  <c r="F817" i="18"/>
  <c r="I825" i="18"/>
  <c r="F825" i="18"/>
  <c r="E193" i="18"/>
  <c r="F193" i="18"/>
  <c r="E233" i="18"/>
  <c r="F233" i="18"/>
  <c r="E257" i="18"/>
  <c r="F257" i="18"/>
  <c r="E289" i="18"/>
  <c r="F289" i="18"/>
  <c r="H313" i="18"/>
  <c r="F313" i="18"/>
  <c r="E202" i="18"/>
  <c r="F202" i="18"/>
  <c r="E218" i="18"/>
  <c r="F218" i="18"/>
  <c r="E250" i="18"/>
  <c r="F250" i="18"/>
  <c r="E258" i="18"/>
  <c r="F258" i="18"/>
  <c r="I290" i="18"/>
  <c r="F290" i="18"/>
  <c r="I298" i="18"/>
  <c r="F298" i="18"/>
  <c r="H370" i="18"/>
  <c r="F370" i="18"/>
  <c r="I394" i="18"/>
  <c r="F394" i="18"/>
  <c r="E402" i="18"/>
  <c r="F402" i="18"/>
  <c r="E410" i="18"/>
  <c r="F410" i="18"/>
  <c r="E418" i="18"/>
  <c r="F418" i="18"/>
  <c r="H450" i="18"/>
  <c r="F450" i="18"/>
  <c r="E474" i="18"/>
  <c r="F474" i="18"/>
  <c r="E482" i="18"/>
  <c r="F482" i="18"/>
  <c r="E490" i="18"/>
  <c r="F490" i="18"/>
  <c r="E498" i="18"/>
  <c r="F498" i="18"/>
  <c r="H506" i="18"/>
  <c r="F506" i="18"/>
  <c r="I530" i="18"/>
  <c r="F530" i="18"/>
  <c r="I586" i="18"/>
  <c r="F586" i="18"/>
  <c r="I594" i="18"/>
  <c r="F594" i="18"/>
  <c r="I602" i="18"/>
  <c r="F602" i="18"/>
  <c r="I610" i="18"/>
  <c r="F610" i="18"/>
  <c r="I618" i="18"/>
  <c r="F618" i="18"/>
  <c r="I626" i="18"/>
  <c r="F626" i="18"/>
  <c r="I634" i="18"/>
  <c r="F634" i="18"/>
  <c r="I642" i="18"/>
  <c r="F642" i="18"/>
  <c r="I650" i="18"/>
  <c r="F650" i="18"/>
  <c r="I658" i="18"/>
  <c r="F658" i="18"/>
  <c r="I666" i="18"/>
  <c r="F666" i="18"/>
  <c r="I674" i="18"/>
  <c r="F674" i="18"/>
  <c r="I706" i="18"/>
  <c r="F706" i="18"/>
  <c r="I714" i="18"/>
  <c r="F714" i="18"/>
  <c r="I722" i="18"/>
  <c r="F722" i="18"/>
  <c r="I730" i="18"/>
  <c r="F730" i="18"/>
  <c r="I738" i="18"/>
  <c r="F738" i="18"/>
  <c r="I746" i="18"/>
  <c r="F746" i="18"/>
  <c r="I754" i="18"/>
  <c r="F754" i="18"/>
  <c r="I762" i="18"/>
  <c r="F762" i="18"/>
  <c r="I770" i="18"/>
  <c r="F770" i="18"/>
  <c r="I778" i="18"/>
  <c r="F778" i="18"/>
  <c r="I786" i="18"/>
  <c r="F786" i="18"/>
  <c r="I794" i="18"/>
  <c r="F794" i="18"/>
  <c r="I802" i="18"/>
  <c r="F802" i="18"/>
  <c r="I810" i="18"/>
  <c r="F810" i="18"/>
  <c r="I818" i="18"/>
  <c r="F818" i="18"/>
  <c r="I826" i="18"/>
  <c r="F826" i="18"/>
  <c r="H850" i="18"/>
  <c r="F850" i="18"/>
  <c r="H858" i="18"/>
  <c r="F858" i="18"/>
  <c r="H866" i="18"/>
  <c r="F866" i="18"/>
  <c r="H874" i="18"/>
  <c r="F874" i="18"/>
  <c r="H882" i="18"/>
  <c r="F882" i="18"/>
  <c r="H890" i="18"/>
  <c r="F890" i="18"/>
  <c r="H898" i="18"/>
  <c r="F898" i="18"/>
  <c r="H906" i="18"/>
  <c r="F906" i="18"/>
  <c r="H914" i="18"/>
  <c r="F914" i="18"/>
  <c r="H922" i="18"/>
  <c r="F922" i="18"/>
  <c r="E938" i="18"/>
  <c r="F938" i="18"/>
  <c r="E954" i="18"/>
  <c r="F954" i="18"/>
  <c r="H962" i="18"/>
  <c r="F962" i="18"/>
  <c r="E994" i="18"/>
  <c r="F994" i="18"/>
  <c r="I222" i="18"/>
  <c r="F222" i="18"/>
  <c r="E217" i="18"/>
  <c r="F217" i="18"/>
  <c r="E241" i="18"/>
  <c r="F241" i="18"/>
  <c r="E265" i="18"/>
  <c r="F265" i="18"/>
  <c r="E281" i="18"/>
  <c r="F281" i="18"/>
  <c r="E195" i="18"/>
  <c r="F195" i="18"/>
  <c r="E211" i="18"/>
  <c r="F211" i="18"/>
  <c r="E227" i="18"/>
  <c r="F227" i="18"/>
  <c r="E251" i="18"/>
  <c r="F251" i="18"/>
  <c r="E259" i="18"/>
  <c r="F259" i="18"/>
  <c r="E275" i="18"/>
  <c r="F275" i="18"/>
  <c r="E283" i="18"/>
  <c r="F283" i="18"/>
  <c r="E291" i="18"/>
  <c r="F291" i="18"/>
  <c r="E307" i="18"/>
  <c r="F307" i="18"/>
  <c r="E323" i="18"/>
  <c r="F323" i="18"/>
  <c r="E339" i="18"/>
  <c r="F339" i="18"/>
  <c r="E355" i="18"/>
  <c r="F355" i="18"/>
  <c r="E363" i="18"/>
  <c r="F363" i="18"/>
  <c r="E371" i="18"/>
  <c r="F371" i="18"/>
  <c r="E379" i="18"/>
  <c r="F379" i="18"/>
  <c r="E387" i="18"/>
  <c r="F387" i="18"/>
  <c r="E395" i="18"/>
  <c r="F395" i="18"/>
  <c r="H547" i="18"/>
  <c r="F547" i="18"/>
  <c r="H571" i="18"/>
  <c r="F571" i="18"/>
  <c r="H579" i="18"/>
  <c r="F579" i="18"/>
  <c r="E603" i="18"/>
  <c r="F603" i="18"/>
  <c r="E611" i="18"/>
  <c r="F611" i="18"/>
  <c r="E643" i="18"/>
  <c r="F643" i="18"/>
  <c r="E651" i="18"/>
  <c r="F651" i="18"/>
  <c r="E659" i="18"/>
  <c r="F659" i="18"/>
  <c r="E667" i="18"/>
  <c r="F667" i="18"/>
  <c r="H683" i="18"/>
  <c r="F683" i="18"/>
  <c r="E715" i="18"/>
  <c r="F715" i="18"/>
  <c r="E739" i="18"/>
  <c r="F739" i="18"/>
  <c r="E755" i="18"/>
  <c r="F755" i="18"/>
  <c r="E771" i="18"/>
  <c r="F771" i="18"/>
  <c r="E779" i="18"/>
  <c r="F779" i="18"/>
  <c r="E787" i="18"/>
  <c r="F787" i="18"/>
  <c r="E795" i="18"/>
  <c r="F795" i="18"/>
  <c r="E803" i="18"/>
  <c r="F803" i="18"/>
  <c r="E811" i="18"/>
  <c r="F811" i="18"/>
  <c r="E819" i="18"/>
  <c r="F819" i="18"/>
  <c r="E827" i="18"/>
  <c r="F827" i="18"/>
  <c r="I955" i="18"/>
  <c r="F955" i="18"/>
  <c r="I963" i="18"/>
  <c r="F963" i="18"/>
  <c r="I971" i="18"/>
  <c r="F971" i="18"/>
  <c r="I979" i="18"/>
  <c r="F979" i="18"/>
  <c r="I987" i="18"/>
  <c r="F987" i="18"/>
  <c r="I995" i="18"/>
  <c r="F995" i="18"/>
  <c r="E201" i="18"/>
  <c r="F201" i="18"/>
  <c r="I196" i="18"/>
  <c r="F196" i="18"/>
  <c r="I212" i="18"/>
  <c r="F212" i="18"/>
  <c r="I276" i="18"/>
  <c r="F276" i="18"/>
  <c r="I308" i="18"/>
  <c r="F308" i="18"/>
  <c r="I324" i="18"/>
  <c r="F324" i="18"/>
  <c r="I340" i="18"/>
  <c r="F340" i="18"/>
  <c r="H372" i="18"/>
  <c r="F372" i="18"/>
  <c r="E428" i="18"/>
  <c r="F428" i="18"/>
  <c r="E452" i="18"/>
  <c r="F452" i="18"/>
  <c r="E460" i="18"/>
  <c r="F460" i="18"/>
  <c r="E468" i="18"/>
  <c r="F468" i="18"/>
  <c r="E492" i="18"/>
  <c r="F492" i="18"/>
  <c r="E516" i="18"/>
  <c r="F516" i="18"/>
  <c r="E524" i="18"/>
  <c r="F524" i="18"/>
  <c r="E532" i="18"/>
  <c r="F532" i="18"/>
  <c r="I540" i="18"/>
  <c r="F540" i="18"/>
  <c r="I596" i="18"/>
  <c r="F596" i="18"/>
  <c r="I628" i="18"/>
  <c r="F628" i="18"/>
  <c r="I652" i="18"/>
  <c r="F652" i="18"/>
  <c r="H660" i="18"/>
  <c r="F660" i="18"/>
  <c r="I668" i="18"/>
  <c r="F668" i="18"/>
  <c r="E740" i="18"/>
  <c r="F740" i="18"/>
  <c r="E764" i="18"/>
  <c r="F764" i="18"/>
  <c r="I780" i="18"/>
  <c r="F780" i="18"/>
  <c r="I804" i="18"/>
  <c r="F804" i="18"/>
  <c r="I820" i="18"/>
  <c r="F820" i="18"/>
  <c r="I183" i="18"/>
  <c r="F183" i="18"/>
  <c r="E209" i="18"/>
  <c r="F209" i="18"/>
  <c r="I188" i="18"/>
  <c r="F188" i="18"/>
  <c r="I204" i="18"/>
  <c r="F204" i="18"/>
  <c r="I244" i="18"/>
  <c r="F244" i="18"/>
  <c r="I260" i="18"/>
  <c r="F260" i="18"/>
  <c r="H189" i="18"/>
  <c r="F189" i="18"/>
  <c r="H205" i="18"/>
  <c r="F205" i="18"/>
  <c r="H221" i="18"/>
  <c r="F221" i="18"/>
  <c r="H229" i="18"/>
  <c r="F229" i="18"/>
  <c r="H245" i="18"/>
  <c r="F245" i="18"/>
  <c r="H445" i="18"/>
  <c r="F445" i="18"/>
  <c r="H453" i="18"/>
  <c r="F453" i="18"/>
  <c r="H461" i="18"/>
  <c r="F461" i="18"/>
  <c r="H477" i="18"/>
  <c r="F477" i="18"/>
  <c r="H517" i="18"/>
  <c r="F517" i="18"/>
  <c r="H525" i="18"/>
  <c r="F525" i="18"/>
  <c r="E541" i="18"/>
  <c r="F541" i="18"/>
  <c r="E565" i="18"/>
  <c r="F565" i="18"/>
  <c r="E685" i="18"/>
  <c r="F685" i="18"/>
  <c r="E693" i="18"/>
  <c r="F693" i="18"/>
  <c r="I837" i="18"/>
  <c r="F837" i="18"/>
  <c r="I845" i="18"/>
  <c r="F845" i="18"/>
  <c r="I933" i="18"/>
  <c r="F933" i="18"/>
  <c r="I941" i="18"/>
  <c r="F941" i="18"/>
  <c r="I949" i="18"/>
  <c r="F949" i="18"/>
  <c r="I965" i="18"/>
  <c r="F965" i="18"/>
  <c r="I989" i="18"/>
  <c r="F989" i="18"/>
  <c r="I997" i="18"/>
  <c r="F997" i="18"/>
  <c r="I206" i="18"/>
  <c r="F206" i="18"/>
  <c r="I366" i="18"/>
  <c r="F366" i="18"/>
  <c r="I382" i="18"/>
  <c r="F382" i="18"/>
  <c r="I390" i="18"/>
  <c r="F390" i="18"/>
  <c r="I542" i="18"/>
  <c r="F542" i="18"/>
  <c r="I550" i="18"/>
  <c r="F550" i="18"/>
  <c r="I566" i="18"/>
  <c r="F566" i="18"/>
  <c r="I574" i="18"/>
  <c r="F574" i="18"/>
  <c r="I582" i="18"/>
  <c r="F582" i="18"/>
  <c r="I590" i="18"/>
  <c r="F590" i="18"/>
  <c r="I606" i="18"/>
  <c r="F606" i="18"/>
  <c r="I614" i="18"/>
  <c r="F614" i="18"/>
  <c r="I630" i="18"/>
  <c r="F630" i="18"/>
  <c r="I662" i="18"/>
  <c r="F662" i="18"/>
  <c r="H694" i="18"/>
  <c r="F694" i="18"/>
  <c r="H702" i="18"/>
  <c r="F702" i="18"/>
  <c r="H710" i="18"/>
  <c r="F710" i="18"/>
  <c r="I190" i="18"/>
  <c r="F190" i="18"/>
  <c r="I407" i="18"/>
  <c r="F407" i="18"/>
  <c r="I415" i="18"/>
  <c r="F415" i="18"/>
  <c r="I423" i="18"/>
  <c r="F423" i="18"/>
  <c r="E431" i="18"/>
  <c r="F431" i="18"/>
  <c r="I447" i="18"/>
  <c r="F447" i="18"/>
  <c r="I455" i="18"/>
  <c r="F455" i="18"/>
  <c r="I463" i="18"/>
  <c r="F463" i="18"/>
  <c r="E479" i="18"/>
  <c r="F479" i="18"/>
  <c r="I487" i="18"/>
  <c r="F487" i="18"/>
  <c r="I511" i="18"/>
  <c r="F511" i="18"/>
  <c r="I519" i="18"/>
  <c r="F519" i="18"/>
  <c r="I527" i="18"/>
  <c r="F527" i="18"/>
  <c r="E535" i="18"/>
  <c r="F535" i="18"/>
  <c r="I687" i="18"/>
  <c r="F687" i="18"/>
  <c r="I695" i="18"/>
  <c r="F695" i="18"/>
  <c r="H831" i="18"/>
  <c r="F831" i="18"/>
  <c r="I847" i="18"/>
  <c r="F847" i="18"/>
  <c r="E855" i="18"/>
  <c r="F855" i="18"/>
  <c r="E863" i="18"/>
  <c r="F863" i="18"/>
  <c r="E871" i="18"/>
  <c r="F871" i="18"/>
  <c r="E879" i="18"/>
  <c r="F879" i="18"/>
  <c r="E887" i="18"/>
  <c r="F887" i="18"/>
  <c r="E895" i="18"/>
  <c r="F895" i="18"/>
  <c r="E903" i="18"/>
  <c r="F903" i="18"/>
  <c r="E911" i="18"/>
  <c r="F911" i="18"/>
  <c r="E919" i="18"/>
  <c r="F919" i="18"/>
  <c r="E927" i="18"/>
  <c r="F927" i="18"/>
  <c r="E959" i="18"/>
  <c r="F959" i="18"/>
  <c r="E975" i="18"/>
  <c r="F975" i="18"/>
  <c r="E983" i="18"/>
  <c r="F983" i="18"/>
  <c r="E991" i="18"/>
  <c r="F991" i="18"/>
  <c r="E999" i="18"/>
  <c r="F999" i="18"/>
  <c r="I198" i="18"/>
  <c r="F198" i="18"/>
  <c r="I248" i="18"/>
  <c r="F248" i="18"/>
  <c r="E400" i="18"/>
  <c r="F400" i="18"/>
  <c r="H552" i="18"/>
  <c r="F552" i="18"/>
  <c r="E680" i="18"/>
  <c r="F680" i="18"/>
  <c r="H696" i="18"/>
  <c r="F696" i="18"/>
  <c r="I832" i="18"/>
  <c r="F832" i="18"/>
  <c r="I936" i="18"/>
  <c r="F936" i="18"/>
  <c r="I944" i="18"/>
  <c r="F944" i="18"/>
  <c r="I952" i="18"/>
  <c r="F952" i="18"/>
  <c r="H201" i="18"/>
  <c r="I193" i="18"/>
  <c r="I201" i="18"/>
  <c r="H337" i="18"/>
  <c r="I337" i="18"/>
  <c r="E540" i="18"/>
  <c r="I217" i="18"/>
  <c r="I289" i="18"/>
  <c r="I356" i="18"/>
  <c r="H356" i="18"/>
  <c r="H405" i="18"/>
  <c r="I405" i="18"/>
  <c r="I482" i="18"/>
  <c r="I265" i="18"/>
  <c r="E390" i="18"/>
  <c r="H490" i="18"/>
  <c r="E681" i="18"/>
  <c r="H193" i="18"/>
  <c r="E447" i="18"/>
  <c r="I490" i="18"/>
  <c r="H498" i="18"/>
  <c r="E511" i="18"/>
  <c r="E181" i="18"/>
  <c r="H181" i="18"/>
  <c r="H346" i="18"/>
  <c r="I346" i="18"/>
  <c r="I374" i="18"/>
  <c r="H374" i="18"/>
  <c r="I388" i="18"/>
  <c r="H388" i="18"/>
  <c r="E388" i="18"/>
  <c r="E724" i="18"/>
  <c r="I724" i="18"/>
  <c r="H724" i="18"/>
  <c r="E732" i="18"/>
  <c r="H732" i="18"/>
  <c r="I732" i="18"/>
  <c r="I262" i="18"/>
  <c r="H262" i="18"/>
  <c r="E262" i="18"/>
  <c r="I302" i="18"/>
  <c r="H302" i="18"/>
  <c r="E302" i="18"/>
  <c r="E396" i="18"/>
  <c r="H396" i="18"/>
  <c r="I396" i="18"/>
  <c r="E748" i="18"/>
  <c r="H748" i="18"/>
  <c r="I748" i="18"/>
  <c r="H509" i="18"/>
  <c r="I509" i="18"/>
  <c r="I369" i="18"/>
  <c r="H369" i="18"/>
  <c r="E369" i="18"/>
  <c r="E758" i="18"/>
  <c r="H758" i="18"/>
  <c r="H186" i="18"/>
  <c r="I186" i="18"/>
  <c r="E186" i="18"/>
  <c r="E676" i="18"/>
  <c r="H676" i="18"/>
  <c r="I676" i="18"/>
  <c r="I230" i="18"/>
  <c r="E230" i="18"/>
  <c r="H230" i="18"/>
  <c r="E356" i="18"/>
  <c r="E574" i="18"/>
  <c r="H780" i="18"/>
  <c r="E415" i="18"/>
  <c r="I525" i="18"/>
  <c r="E423" i="18"/>
  <c r="I532" i="18"/>
  <c r="E582" i="18"/>
  <c r="H614" i="18"/>
  <c r="H209" i="18"/>
  <c r="H423" i="18"/>
  <c r="E705" i="18"/>
  <c r="I209" i="18"/>
  <c r="I297" i="18"/>
  <c r="E337" i="18"/>
  <c r="H385" i="18"/>
  <c r="H487" i="18"/>
  <c r="E566" i="18"/>
  <c r="H590" i="18"/>
  <c r="H641" i="18"/>
  <c r="I665" i="18"/>
  <c r="I705" i="18"/>
  <c r="I385" i="18"/>
  <c r="H566" i="18"/>
  <c r="I238" i="18"/>
  <c r="H238" i="18"/>
  <c r="E238" i="18"/>
  <c r="I246" i="18"/>
  <c r="E246" i="18"/>
  <c r="H246" i="18"/>
  <c r="I278" i="18"/>
  <c r="H278" i="18"/>
  <c r="E278" i="18"/>
  <c r="I286" i="18"/>
  <c r="H286" i="18"/>
  <c r="E286" i="18"/>
  <c r="H305" i="18"/>
  <c r="E305" i="18"/>
  <c r="I305" i="18"/>
  <c r="I326" i="18"/>
  <c r="E326" i="18"/>
  <c r="H326" i="18"/>
  <c r="I334" i="18"/>
  <c r="E334" i="18"/>
  <c r="H334" i="18"/>
  <c r="I350" i="18"/>
  <c r="E350" i="18"/>
  <c r="H350" i="18"/>
  <c r="H421" i="18"/>
  <c r="I421" i="18"/>
  <c r="H501" i="18"/>
  <c r="I501" i="18"/>
  <c r="H563" i="18"/>
  <c r="I563" i="18"/>
  <c r="E563" i="18"/>
  <c r="I788" i="18"/>
  <c r="H788" i="18"/>
  <c r="I254" i="18"/>
  <c r="H254" i="18"/>
  <c r="E254" i="18"/>
  <c r="I294" i="18"/>
  <c r="H294" i="18"/>
  <c r="E294" i="18"/>
  <c r="I345" i="18"/>
  <c r="H345" i="18"/>
  <c r="E345" i="18"/>
  <c r="I796" i="18"/>
  <c r="H796" i="18"/>
  <c r="I361" i="18"/>
  <c r="H361" i="18"/>
  <c r="E361" i="18"/>
  <c r="I828" i="18"/>
  <c r="H828" i="18"/>
  <c r="I214" i="18"/>
  <c r="H214" i="18"/>
  <c r="E214" i="18"/>
  <c r="E756" i="18"/>
  <c r="I756" i="18"/>
  <c r="H756" i="18"/>
  <c r="H322" i="18"/>
  <c r="I322" i="18"/>
  <c r="H329" i="18"/>
  <c r="E329" i="18"/>
  <c r="I329" i="18"/>
  <c r="I353" i="18"/>
  <c r="H353" i="18"/>
  <c r="E353" i="18"/>
  <c r="I364" i="18"/>
  <c r="E364" i="18"/>
  <c r="H364" i="18"/>
  <c r="H429" i="18"/>
  <c r="I429" i="18"/>
  <c r="I633" i="18"/>
  <c r="E633" i="18"/>
  <c r="H633" i="18"/>
  <c r="I812" i="18"/>
  <c r="H812" i="18"/>
  <c r="H330" i="18"/>
  <c r="I330" i="18"/>
  <c r="H354" i="18"/>
  <c r="I354" i="18"/>
  <c r="I358" i="18"/>
  <c r="H358" i="18"/>
  <c r="E358" i="18"/>
  <c r="E978" i="18"/>
  <c r="H978" i="18"/>
  <c r="H386" i="18"/>
  <c r="I386" i="18"/>
  <c r="I310" i="18"/>
  <c r="E310" i="18"/>
  <c r="H310" i="18"/>
  <c r="I342" i="18"/>
  <c r="H342" i="18"/>
  <c r="E342" i="18"/>
  <c r="I380" i="18"/>
  <c r="H380" i="18"/>
  <c r="E380" i="18"/>
  <c r="I270" i="18"/>
  <c r="E270" i="18"/>
  <c r="H270" i="18"/>
  <c r="I318" i="18"/>
  <c r="H318" i="18"/>
  <c r="E318" i="18"/>
  <c r="H469" i="18"/>
  <c r="I469" i="18"/>
  <c r="I561" i="18"/>
  <c r="E561" i="18"/>
  <c r="H561" i="18"/>
  <c r="I686" i="18"/>
  <c r="H686" i="18"/>
  <c r="I772" i="18"/>
  <c r="H772" i="18"/>
  <c r="I636" i="18"/>
  <c r="H636" i="18"/>
  <c r="I646" i="18"/>
  <c r="E646" i="18"/>
  <c r="E313" i="18"/>
  <c r="E321" i="18"/>
  <c r="E372" i="18"/>
  <c r="E382" i="18"/>
  <c r="H646" i="18"/>
  <c r="E847" i="18"/>
  <c r="H954" i="18"/>
  <c r="I372" i="18"/>
  <c r="I609" i="18"/>
  <c r="H609" i="18"/>
  <c r="E625" i="18"/>
  <c r="E652" i="18"/>
  <c r="I670" i="18"/>
  <c r="H670" i="18"/>
  <c r="H699" i="18"/>
  <c r="I699" i="18"/>
  <c r="E726" i="18"/>
  <c r="H726" i="18"/>
  <c r="I764" i="18"/>
  <c r="E782" i="18"/>
  <c r="H782" i="18"/>
  <c r="E831" i="18"/>
  <c r="H955" i="18"/>
  <c r="E955" i="18"/>
  <c r="E466" i="18"/>
  <c r="H466" i="18"/>
  <c r="H569" i="18"/>
  <c r="E569" i="18"/>
  <c r="I601" i="18"/>
  <c r="H601" i="18"/>
  <c r="E601" i="18"/>
  <c r="I660" i="18"/>
  <c r="E660" i="18"/>
  <c r="E798" i="18"/>
  <c r="H798" i="18"/>
  <c r="I678" i="18"/>
  <c r="H678" i="18"/>
  <c r="E678" i="18"/>
  <c r="H206" i="18"/>
  <c r="H413" i="18"/>
  <c r="I413" i="18"/>
  <c r="I313" i="18"/>
  <c r="I321" i="18"/>
  <c r="I370" i="18"/>
  <c r="E377" i="18"/>
  <c r="I461" i="18"/>
  <c r="H485" i="18"/>
  <c r="I485" i="18"/>
  <c r="H545" i="18"/>
  <c r="E545" i="18"/>
  <c r="H593" i="18"/>
  <c r="E593" i="18"/>
  <c r="E609" i="18"/>
  <c r="H620" i="18"/>
  <c r="E620" i="18"/>
  <c r="H625" i="18"/>
  <c r="E628" i="18"/>
  <c r="H652" i="18"/>
  <c r="E670" i="18"/>
  <c r="E750" i="18"/>
  <c r="H750" i="18"/>
  <c r="E806" i="18"/>
  <c r="H806" i="18"/>
  <c r="E822" i="18"/>
  <c r="H822" i="18"/>
  <c r="I831" i="18"/>
  <c r="E734" i="18"/>
  <c r="H734" i="18"/>
  <c r="E930" i="18"/>
  <c r="H930" i="18"/>
  <c r="I569" i="18"/>
  <c r="H804" i="18"/>
  <c r="H241" i="18"/>
  <c r="H257" i="18"/>
  <c r="H273" i="18"/>
  <c r="H377" i="18"/>
  <c r="I445" i="18"/>
  <c r="I545" i="18"/>
  <c r="H577" i="18"/>
  <c r="E577" i="18"/>
  <c r="I593" i="18"/>
  <c r="I620" i="18"/>
  <c r="H628" i="18"/>
  <c r="H740" i="18"/>
  <c r="E766" i="18"/>
  <c r="H766" i="18"/>
  <c r="H938" i="18"/>
  <c r="E986" i="18"/>
  <c r="H986" i="18"/>
  <c r="I471" i="18"/>
  <c r="H471" i="18"/>
  <c r="E471" i="18"/>
  <c r="E366" i="18"/>
  <c r="E506" i="18"/>
  <c r="I506" i="18"/>
  <c r="E636" i="18"/>
  <c r="H820" i="18"/>
  <c r="H190" i="18"/>
  <c r="H382" i="18"/>
  <c r="I241" i="18"/>
  <c r="I257" i="18"/>
  <c r="H398" i="18"/>
  <c r="I398" i="18"/>
  <c r="E398" i="18"/>
  <c r="E426" i="18"/>
  <c r="I426" i="18"/>
  <c r="H426" i="18"/>
  <c r="E442" i="18"/>
  <c r="I442" i="18"/>
  <c r="I577" i="18"/>
  <c r="I644" i="18"/>
  <c r="H644" i="18"/>
  <c r="E644" i="18"/>
  <c r="E662" i="18"/>
  <c r="E684" i="18"/>
  <c r="I684" i="18"/>
  <c r="H684" i="18"/>
  <c r="I689" i="18"/>
  <c r="I740" i="18"/>
  <c r="E790" i="18"/>
  <c r="H790" i="18"/>
  <c r="E946" i="18"/>
  <c r="H946" i="18"/>
  <c r="H493" i="18"/>
  <c r="I493" i="18"/>
  <c r="I553" i="18"/>
  <c r="H553" i="18"/>
  <c r="E553" i="18"/>
  <c r="E198" i="18"/>
  <c r="E206" i="18"/>
  <c r="E222" i="18"/>
  <c r="E434" i="18"/>
  <c r="I434" i="18"/>
  <c r="H764" i="18"/>
  <c r="H198" i="18"/>
  <c r="H366" i="18"/>
  <c r="H434" i="18"/>
  <c r="H265" i="18"/>
  <c r="E374" i="18"/>
  <c r="H390" i="18"/>
  <c r="H415" i="18"/>
  <c r="H442" i="18"/>
  <c r="E487" i="18"/>
  <c r="I622" i="18"/>
  <c r="H622" i="18"/>
  <c r="I654" i="18"/>
  <c r="H654" i="18"/>
  <c r="E654" i="18"/>
  <c r="H662" i="18"/>
  <c r="E718" i="18"/>
  <c r="H718" i="18"/>
  <c r="E190" i="18"/>
  <c r="H393" i="18"/>
  <c r="E393" i="18"/>
  <c r="I585" i="18"/>
  <c r="H585" i="18"/>
  <c r="E585" i="18"/>
  <c r="H222" i="18"/>
  <c r="I479" i="18"/>
  <c r="H479" i="18"/>
  <c r="H362" i="18"/>
  <c r="I362" i="18"/>
  <c r="H378" i="18"/>
  <c r="I378" i="18"/>
  <c r="H437" i="18"/>
  <c r="I437" i="18"/>
  <c r="I617" i="18"/>
  <c r="H617" i="18"/>
  <c r="E617" i="18"/>
  <c r="H668" i="18"/>
  <c r="E668" i="18"/>
  <c r="H691" i="18"/>
  <c r="E691" i="18"/>
  <c r="H713" i="18"/>
  <c r="I713" i="18"/>
  <c r="E742" i="18"/>
  <c r="H742" i="18"/>
  <c r="E774" i="18"/>
  <c r="H774" i="18"/>
  <c r="E814" i="18"/>
  <c r="H814" i="18"/>
  <c r="E830" i="18"/>
  <c r="H830" i="18"/>
  <c r="I498" i="18"/>
  <c r="H540" i="18"/>
  <c r="I641" i="18"/>
  <c r="H681" i="18"/>
  <c r="H994" i="18"/>
  <c r="I418" i="18"/>
  <c r="I453" i="18"/>
  <c r="H463" i="18"/>
  <c r="I477" i="18"/>
  <c r="I517" i="18"/>
  <c r="H527" i="18"/>
  <c r="H532" i="18"/>
  <c r="E590" i="18"/>
  <c r="E614" i="18"/>
  <c r="H240" i="18"/>
  <c r="E240" i="18"/>
  <c r="I240" i="18"/>
  <c r="H256" i="18"/>
  <c r="E256" i="18"/>
  <c r="I256" i="18"/>
  <c r="I272" i="18"/>
  <c r="H272" i="18"/>
  <c r="E272" i="18"/>
  <c r="I352" i="18"/>
  <c r="H352" i="18"/>
  <c r="E352" i="18"/>
  <c r="I179" i="18"/>
  <c r="H179" i="18"/>
  <c r="E179" i="18"/>
  <c r="H184" i="18"/>
  <c r="E184" i="18"/>
  <c r="I184" i="18"/>
  <c r="I304" i="18"/>
  <c r="H304" i="18"/>
  <c r="E304" i="18"/>
  <c r="I465" i="18"/>
  <c r="H465" i="18"/>
  <c r="E465" i="18"/>
  <c r="I608" i="18"/>
  <c r="H608" i="18"/>
  <c r="E608" i="18"/>
  <c r="I180" i="18"/>
  <c r="H180" i="18"/>
  <c r="E180" i="18"/>
  <c r="H192" i="18"/>
  <c r="E192" i="18"/>
  <c r="I192" i="18"/>
  <c r="H200" i="18"/>
  <c r="E200" i="18"/>
  <c r="I200" i="18"/>
  <c r="H208" i="18"/>
  <c r="E208" i="18"/>
  <c r="I208" i="18"/>
  <c r="H224" i="18"/>
  <c r="E224" i="18"/>
  <c r="I224" i="18"/>
  <c r="I296" i="18"/>
  <c r="H296" i="18"/>
  <c r="E296" i="18"/>
  <c r="I336" i="18"/>
  <c r="H336" i="18"/>
  <c r="E336" i="18"/>
  <c r="I392" i="18"/>
  <c r="H392" i="18"/>
  <c r="E392" i="18"/>
  <c r="H216" i="18"/>
  <c r="E216" i="18"/>
  <c r="I216" i="18"/>
  <c r="I288" i="18"/>
  <c r="H288" i="18"/>
  <c r="E288" i="18"/>
  <c r="I320" i="18"/>
  <c r="H320" i="18"/>
  <c r="E320" i="18"/>
  <c r="I384" i="18"/>
  <c r="H384" i="18"/>
  <c r="E384" i="18"/>
  <c r="I376" i="18"/>
  <c r="H376" i="18"/>
  <c r="E376" i="18"/>
  <c r="I182" i="18"/>
  <c r="H182" i="18"/>
  <c r="E182" i="18"/>
  <c r="I368" i="18"/>
  <c r="H368" i="18"/>
  <c r="E368" i="18"/>
  <c r="I360" i="18"/>
  <c r="H360" i="18"/>
  <c r="E360" i="18"/>
  <c r="I409" i="18"/>
  <c r="H409" i="18"/>
  <c r="E409" i="18"/>
  <c r="H236" i="18"/>
  <c r="E236" i="18"/>
  <c r="I242" i="18"/>
  <c r="H242" i="18"/>
  <c r="I264" i="18"/>
  <c r="H264" i="18"/>
  <c r="E264" i="18"/>
  <c r="H268" i="18"/>
  <c r="E268" i="18"/>
  <c r="I314" i="18"/>
  <c r="H314" i="18"/>
  <c r="E314" i="18"/>
  <c r="I327" i="18"/>
  <c r="H327" i="18"/>
  <c r="E327" i="18"/>
  <c r="I373" i="18"/>
  <c r="H373" i="18"/>
  <c r="E373" i="18"/>
  <c r="I401" i="18"/>
  <c r="H401" i="18"/>
  <c r="I584" i="18"/>
  <c r="E584" i="18"/>
  <c r="I181" i="18"/>
  <c r="E183" i="18"/>
  <c r="H196" i="18"/>
  <c r="E196" i="18"/>
  <c r="I199" i="18"/>
  <c r="H199" i="18"/>
  <c r="E199" i="18"/>
  <c r="H212" i="18"/>
  <c r="E212" i="18"/>
  <c r="I218" i="18"/>
  <c r="H218" i="18"/>
  <c r="I227" i="18"/>
  <c r="H227" i="18"/>
  <c r="H233" i="18"/>
  <c r="I236" i="18"/>
  <c r="I239" i="18"/>
  <c r="H239" i="18"/>
  <c r="E239" i="18"/>
  <c r="E242" i="18"/>
  <c r="I261" i="18"/>
  <c r="H261" i="18"/>
  <c r="E261" i="18"/>
  <c r="I268" i="18"/>
  <c r="H276" i="18"/>
  <c r="E276" i="18"/>
  <c r="I287" i="18"/>
  <c r="H287" i="18"/>
  <c r="E287" i="18"/>
  <c r="H308" i="18"/>
  <c r="E308" i="18"/>
  <c r="H324" i="18"/>
  <c r="E324" i="18"/>
  <c r="H340" i="18"/>
  <c r="E340" i="18"/>
  <c r="I355" i="18"/>
  <c r="H355" i="18"/>
  <c r="I363" i="18"/>
  <c r="H363" i="18"/>
  <c r="I371" i="18"/>
  <c r="H371" i="18"/>
  <c r="I379" i="18"/>
  <c r="H379" i="18"/>
  <c r="I387" i="18"/>
  <c r="H387" i="18"/>
  <c r="E401" i="18"/>
  <c r="I472" i="18"/>
  <c r="H472" i="18"/>
  <c r="E472" i="18"/>
  <c r="I503" i="18"/>
  <c r="H503" i="18"/>
  <c r="E503" i="18"/>
  <c r="I521" i="18"/>
  <c r="H521" i="18"/>
  <c r="E521" i="18"/>
  <c r="I576" i="18"/>
  <c r="E576" i="18"/>
  <c r="H576" i="18"/>
  <c r="H584" i="18"/>
  <c r="I600" i="18"/>
  <c r="H600" i="18"/>
  <c r="E600" i="18"/>
  <c r="I635" i="18"/>
  <c r="H635" i="18"/>
  <c r="E635" i="18"/>
  <c r="H711" i="18"/>
  <c r="E711" i="18"/>
  <c r="I711" i="18"/>
  <c r="I768" i="18"/>
  <c r="H768" i="18"/>
  <c r="E768" i="18"/>
  <c r="I776" i="18"/>
  <c r="H776" i="18"/>
  <c r="E776" i="18"/>
  <c r="I784" i="18"/>
  <c r="H784" i="18"/>
  <c r="E784" i="18"/>
  <c r="I792" i="18"/>
  <c r="H792" i="18"/>
  <c r="E792" i="18"/>
  <c r="I800" i="18"/>
  <c r="H800" i="18"/>
  <c r="E800" i="18"/>
  <c r="I808" i="18"/>
  <c r="H808" i="18"/>
  <c r="E808" i="18"/>
  <c r="I816" i="18"/>
  <c r="H816" i="18"/>
  <c r="E816" i="18"/>
  <c r="I824" i="18"/>
  <c r="H824" i="18"/>
  <c r="E824" i="18"/>
  <c r="I357" i="18"/>
  <c r="H357" i="18"/>
  <c r="E357" i="18"/>
  <c r="H183" i="18"/>
  <c r="I215" i="18"/>
  <c r="H215" i="18"/>
  <c r="E215" i="18"/>
  <c r="I233" i="18"/>
  <c r="I237" i="18"/>
  <c r="E237" i="18"/>
  <c r="H252" i="18"/>
  <c r="E252" i="18"/>
  <c r="I258" i="18"/>
  <c r="H258" i="18"/>
  <c r="I269" i="18"/>
  <c r="H269" i="18"/>
  <c r="E269" i="18"/>
  <c r="I280" i="18"/>
  <c r="H280" i="18"/>
  <c r="E280" i="18"/>
  <c r="H284" i="18"/>
  <c r="E284" i="18"/>
  <c r="I291" i="18"/>
  <c r="H291" i="18"/>
  <c r="I312" i="18"/>
  <c r="H312" i="18"/>
  <c r="E312" i="18"/>
  <c r="I315" i="18"/>
  <c r="H315" i="18"/>
  <c r="I328" i="18"/>
  <c r="H328" i="18"/>
  <c r="E328" i="18"/>
  <c r="I344" i="18"/>
  <c r="H344" i="18"/>
  <c r="E344" i="18"/>
  <c r="I406" i="18"/>
  <c r="H406" i="18"/>
  <c r="E406" i="18"/>
  <c r="I412" i="18"/>
  <c r="H412" i="18"/>
  <c r="I420" i="18"/>
  <c r="H420" i="18"/>
  <c r="E420" i="18"/>
  <c r="I433" i="18"/>
  <c r="H433" i="18"/>
  <c r="E433" i="18"/>
  <c r="I446" i="18"/>
  <c r="H446" i="18"/>
  <c r="E446" i="18"/>
  <c r="I473" i="18"/>
  <c r="H473" i="18"/>
  <c r="E473" i="18"/>
  <c r="I499" i="18"/>
  <c r="H499" i="18"/>
  <c r="E499" i="18"/>
  <c r="E522" i="18"/>
  <c r="I522" i="18"/>
  <c r="H522" i="18"/>
  <c r="I202" i="18"/>
  <c r="H202" i="18"/>
  <c r="I349" i="18"/>
  <c r="H349" i="18"/>
  <c r="E349" i="18"/>
  <c r="I632" i="18"/>
  <c r="H632" i="18"/>
  <c r="E632" i="18"/>
  <c r="E185" i="18"/>
  <c r="I187" i="18"/>
  <c r="H187" i="18"/>
  <c r="I197" i="18"/>
  <c r="E197" i="18"/>
  <c r="I203" i="18"/>
  <c r="H203" i="18"/>
  <c r="I213" i="18"/>
  <c r="E213" i="18"/>
  <c r="H228" i="18"/>
  <c r="E228" i="18"/>
  <c r="I234" i="18"/>
  <c r="H234" i="18"/>
  <c r="H237" i="18"/>
  <c r="I243" i="18"/>
  <c r="H243" i="18"/>
  <c r="H249" i="18"/>
  <c r="I252" i="18"/>
  <c r="I255" i="18"/>
  <c r="H255" i="18"/>
  <c r="E255" i="18"/>
  <c r="I277" i="18"/>
  <c r="H277" i="18"/>
  <c r="E277" i="18"/>
  <c r="I284" i="18"/>
  <c r="I295" i="18"/>
  <c r="H295" i="18"/>
  <c r="E295" i="18"/>
  <c r="I309" i="18"/>
  <c r="H309" i="18"/>
  <c r="E309" i="18"/>
  <c r="E315" i="18"/>
  <c r="I319" i="18"/>
  <c r="H319" i="18"/>
  <c r="E319" i="18"/>
  <c r="I325" i="18"/>
  <c r="H325" i="18"/>
  <c r="E325" i="18"/>
  <c r="I341" i="18"/>
  <c r="H341" i="18"/>
  <c r="E341" i="18"/>
  <c r="I403" i="18"/>
  <c r="H403" i="18"/>
  <c r="E403" i="18"/>
  <c r="E412" i="18"/>
  <c r="I416" i="18"/>
  <c r="H416" i="18"/>
  <c r="E416" i="18"/>
  <c r="I425" i="18"/>
  <c r="H425" i="18"/>
  <c r="E425" i="18"/>
  <c r="I491" i="18"/>
  <c r="H491" i="18"/>
  <c r="E491" i="18"/>
  <c r="I495" i="18"/>
  <c r="H495" i="18"/>
  <c r="I549" i="18"/>
  <c r="H549" i="18"/>
  <c r="H572" i="18"/>
  <c r="E572" i="18"/>
  <c r="I572" i="18"/>
  <c r="H248" i="18"/>
  <c r="E248" i="18"/>
  <c r="I251" i="18"/>
  <c r="H251" i="18"/>
  <c r="I381" i="18"/>
  <c r="H381" i="18"/>
  <c r="E381" i="18"/>
  <c r="E450" i="18"/>
  <c r="I450" i="18"/>
  <c r="I638" i="18"/>
  <c r="H638" i="18"/>
  <c r="E638" i="18"/>
  <c r="I982" i="18"/>
  <c r="H982" i="18"/>
  <c r="E982" i="18"/>
  <c r="H185" i="18"/>
  <c r="E187" i="18"/>
  <c r="I194" i="18"/>
  <c r="H194" i="18"/>
  <c r="H197" i="18"/>
  <c r="E203" i="18"/>
  <c r="I210" i="18"/>
  <c r="H210" i="18"/>
  <c r="H213" i="18"/>
  <c r="I219" i="18"/>
  <c r="H219" i="18"/>
  <c r="H225" i="18"/>
  <c r="I228" i="18"/>
  <c r="I231" i="18"/>
  <c r="H231" i="18"/>
  <c r="E231" i="18"/>
  <c r="E234" i="18"/>
  <c r="E243" i="18"/>
  <c r="I249" i="18"/>
  <c r="I253" i="18"/>
  <c r="E253" i="18"/>
  <c r="I266" i="18"/>
  <c r="H266" i="18"/>
  <c r="E266" i="18"/>
  <c r="I273" i="18"/>
  <c r="H281" i="18"/>
  <c r="I285" i="18"/>
  <c r="H285" i="18"/>
  <c r="E285" i="18"/>
  <c r="H292" i="18"/>
  <c r="E292" i="18"/>
  <c r="I299" i="18"/>
  <c r="H299" i="18"/>
  <c r="H316" i="18"/>
  <c r="E316" i="18"/>
  <c r="I331" i="18"/>
  <c r="H331" i="18"/>
  <c r="I347" i="18"/>
  <c r="H347" i="18"/>
  <c r="I399" i="18"/>
  <c r="H399" i="18"/>
  <c r="E399" i="18"/>
  <c r="I438" i="18"/>
  <c r="H438" i="18"/>
  <c r="E438" i="18"/>
  <c r="E495" i="18"/>
  <c r="E514" i="18"/>
  <c r="I514" i="18"/>
  <c r="E549" i="18"/>
  <c r="I558" i="18"/>
  <c r="H558" i="18"/>
  <c r="E558" i="18"/>
  <c r="I301" i="18"/>
  <c r="H301" i="18"/>
  <c r="E301" i="18"/>
  <c r="I311" i="18"/>
  <c r="H311" i="18"/>
  <c r="E311" i="18"/>
  <c r="I365" i="18"/>
  <c r="H365" i="18"/>
  <c r="E365" i="18"/>
  <c r="H188" i="18"/>
  <c r="E188" i="18"/>
  <c r="I191" i="18"/>
  <c r="H191" i="18"/>
  <c r="E191" i="18"/>
  <c r="E194" i="18"/>
  <c r="H204" i="18"/>
  <c r="E204" i="18"/>
  <c r="I207" i="18"/>
  <c r="H207" i="18"/>
  <c r="E207" i="18"/>
  <c r="E210" i="18"/>
  <c r="E219" i="18"/>
  <c r="I225" i="18"/>
  <c r="I229" i="18"/>
  <c r="E229" i="18"/>
  <c r="H244" i="18"/>
  <c r="E244" i="18"/>
  <c r="I250" i="18"/>
  <c r="H250" i="18"/>
  <c r="H253" i="18"/>
  <c r="I259" i="18"/>
  <c r="H259" i="18"/>
  <c r="I274" i="18"/>
  <c r="H274" i="18"/>
  <c r="E274" i="18"/>
  <c r="I281" i="18"/>
  <c r="H289" i="18"/>
  <c r="I292" i="18"/>
  <c r="E299" i="18"/>
  <c r="I303" i="18"/>
  <c r="H303" i="18"/>
  <c r="E303" i="18"/>
  <c r="I306" i="18"/>
  <c r="H306" i="18"/>
  <c r="E306" i="18"/>
  <c r="I316" i="18"/>
  <c r="E331" i="18"/>
  <c r="I335" i="18"/>
  <c r="H335" i="18"/>
  <c r="E335" i="18"/>
  <c r="I338" i="18"/>
  <c r="H338" i="18"/>
  <c r="E338" i="18"/>
  <c r="E347" i="18"/>
  <c r="I351" i="18"/>
  <c r="H351" i="18"/>
  <c r="E351" i="18"/>
  <c r="I359" i="18"/>
  <c r="H359" i="18"/>
  <c r="E359" i="18"/>
  <c r="I367" i="18"/>
  <c r="H367" i="18"/>
  <c r="E367" i="18"/>
  <c r="I375" i="18"/>
  <c r="H375" i="18"/>
  <c r="E375" i="18"/>
  <c r="I383" i="18"/>
  <c r="H383" i="18"/>
  <c r="E383" i="18"/>
  <c r="I391" i="18"/>
  <c r="H391" i="18"/>
  <c r="E391" i="18"/>
  <c r="I404" i="18"/>
  <c r="H404" i="18"/>
  <c r="E404" i="18"/>
  <c r="I439" i="18"/>
  <c r="H439" i="18"/>
  <c r="E439" i="18"/>
  <c r="I457" i="18"/>
  <c r="H457" i="18"/>
  <c r="E457" i="18"/>
  <c r="H514" i="18"/>
  <c r="I279" i="18"/>
  <c r="H279" i="18"/>
  <c r="E279" i="18"/>
  <c r="I283" i="18"/>
  <c r="H283" i="18"/>
  <c r="I502" i="18"/>
  <c r="H502" i="18"/>
  <c r="E502" i="18"/>
  <c r="I544" i="18"/>
  <c r="E544" i="18"/>
  <c r="H544" i="18"/>
  <c r="I591" i="18"/>
  <c r="H591" i="18"/>
  <c r="E591" i="18"/>
  <c r="H869" i="18"/>
  <c r="E869" i="18"/>
  <c r="I869" i="18"/>
  <c r="H220" i="18"/>
  <c r="E220" i="18"/>
  <c r="I226" i="18"/>
  <c r="H226" i="18"/>
  <c r="H232" i="18"/>
  <c r="E232" i="18"/>
  <c r="I235" i="18"/>
  <c r="H235" i="18"/>
  <c r="I247" i="18"/>
  <c r="H247" i="18"/>
  <c r="E247" i="18"/>
  <c r="I263" i="18"/>
  <c r="H263" i="18"/>
  <c r="E263" i="18"/>
  <c r="I267" i="18"/>
  <c r="H267" i="18"/>
  <c r="I282" i="18"/>
  <c r="H282" i="18"/>
  <c r="E282" i="18"/>
  <c r="I293" i="18"/>
  <c r="H293" i="18"/>
  <c r="E293" i="18"/>
  <c r="H300" i="18"/>
  <c r="E300" i="18"/>
  <c r="I317" i="18"/>
  <c r="H317" i="18"/>
  <c r="E317" i="18"/>
  <c r="H332" i="18"/>
  <c r="E332" i="18"/>
  <c r="H348" i="18"/>
  <c r="E348" i="18"/>
  <c r="I435" i="18"/>
  <c r="H435" i="18"/>
  <c r="E435" i="18"/>
  <c r="E458" i="18"/>
  <c r="I458" i="18"/>
  <c r="H458" i="18"/>
  <c r="I476" i="18"/>
  <c r="H476" i="18"/>
  <c r="I484" i="18"/>
  <c r="H484" i="18"/>
  <c r="E484" i="18"/>
  <c r="I497" i="18"/>
  <c r="H497" i="18"/>
  <c r="E497" i="18"/>
  <c r="I510" i="18"/>
  <c r="H510" i="18"/>
  <c r="E510" i="18"/>
  <c r="I533" i="18"/>
  <c r="H533" i="18"/>
  <c r="E533" i="18"/>
  <c r="I221" i="18"/>
  <c r="E221" i="18"/>
  <c r="I333" i="18"/>
  <c r="H333" i="18"/>
  <c r="E333" i="18"/>
  <c r="I343" i="18"/>
  <c r="H343" i="18"/>
  <c r="E343" i="18"/>
  <c r="I389" i="18"/>
  <c r="H389" i="18"/>
  <c r="E389" i="18"/>
  <c r="I395" i="18"/>
  <c r="H395" i="18"/>
  <c r="I932" i="18"/>
  <c r="H932" i="18"/>
  <c r="E932" i="18"/>
  <c r="I189" i="18"/>
  <c r="E189" i="18"/>
  <c r="I195" i="18"/>
  <c r="H195" i="18"/>
  <c r="I205" i="18"/>
  <c r="E205" i="18"/>
  <c r="I211" i="18"/>
  <c r="H211" i="18"/>
  <c r="H217" i="18"/>
  <c r="I220" i="18"/>
  <c r="I223" i="18"/>
  <c r="H223" i="18"/>
  <c r="E223" i="18"/>
  <c r="E226" i="18"/>
  <c r="I232" i="18"/>
  <c r="E235" i="18"/>
  <c r="I245" i="18"/>
  <c r="E245" i="18"/>
  <c r="H260" i="18"/>
  <c r="E260" i="18"/>
  <c r="E267" i="18"/>
  <c r="I271" i="18"/>
  <c r="H271" i="18"/>
  <c r="E271" i="18"/>
  <c r="I275" i="18"/>
  <c r="H275" i="18"/>
  <c r="H297" i="18"/>
  <c r="I300" i="18"/>
  <c r="I307" i="18"/>
  <c r="H307" i="18"/>
  <c r="I323" i="18"/>
  <c r="H323" i="18"/>
  <c r="I332" i="18"/>
  <c r="I339" i="18"/>
  <c r="H339" i="18"/>
  <c r="I348" i="18"/>
  <c r="H397" i="18"/>
  <c r="I397" i="18"/>
  <c r="E397" i="18"/>
  <c r="I427" i="18"/>
  <c r="H427" i="18"/>
  <c r="E427" i="18"/>
  <c r="I431" i="18"/>
  <c r="H431" i="18"/>
  <c r="E476" i="18"/>
  <c r="I480" i="18"/>
  <c r="H480" i="18"/>
  <c r="E480" i="18"/>
  <c r="I489" i="18"/>
  <c r="H489" i="18"/>
  <c r="E489" i="18"/>
  <c r="I529" i="18"/>
  <c r="H529" i="18"/>
  <c r="E529" i="18"/>
  <c r="E534" i="18"/>
  <c r="I534" i="18"/>
  <c r="H534" i="18"/>
  <c r="I424" i="18"/>
  <c r="H424" i="18"/>
  <c r="E424" i="18"/>
  <c r="I428" i="18"/>
  <c r="H428" i="18"/>
  <c r="I443" i="18"/>
  <c r="H443" i="18"/>
  <c r="E443" i="18"/>
  <c r="I454" i="18"/>
  <c r="H454" i="18"/>
  <c r="E454" i="18"/>
  <c r="I488" i="18"/>
  <c r="H488" i="18"/>
  <c r="E488" i="18"/>
  <c r="I492" i="18"/>
  <c r="H492" i="18"/>
  <c r="I507" i="18"/>
  <c r="H507" i="18"/>
  <c r="E507" i="18"/>
  <c r="I518" i="18"/>
  <c r="H518" i="18"/>
  <c r="E518" i="18"/>
  <c r="H530" i="18"/>
  <c r="E530" i="18"/>
  <c r="I587" i="18"/>
  <c r="H587" i="18"/>
  <c r="E587" i="18"/>
  <c r="I616" i="18"/>
  <c r="H616" i="18"/>
  <c r="E616" i="18"/>
  <c r="I640" i="18"/>
  <c r="H640" i="18"/>
  <c r="E640" i="18"/>
  <c r="I656" i="18"/>
  <c r="H656" i="18"/>
  <c r="E656" i="18"/>
  <c r="I677" i="18"/>
  <c r="H677" i="18"/>
  <c r="E677" i="18"/>
  <c r="I417" i="18"/>
  <c r="H417" i="18"/>
  <c r="E417" i="18"/>
  <c r="I432" i="18"/>
  <c r="H432" i="18"/>
  <c r="E432" i="18"/>
  <c r="I436" i="18"/>
  <c r="H436" i="18"/>
  <c r="I451" i="18"/>
  <c r="H451" i="18"/>
  <c r="E451" i="18"/>
  <c r="I462" i="18"/>
  <c r="H462" i="18"/>
  <c r="E462" i="18"/>
  <c r="I481" i="18"/>
  <c r="H481" i="18"/>
  <c r="E481" i="18"/>
  <c r="I496" i="18"/>
  <c r="H496" i="18"/>
  <c r="E496" i="18"/>
  <c r="I500" i="18"/>
  <c r="H500" i="18"/>
  <c r="I515" i="18"/>
  <c r="H515" i="18"/>
  <c r="E515" i="18"/>
  <c r="I526" i="18"/>
  <c r="H526" i="18"/>
  <c r="E526" i="18"/>
  <c r="H539" i="18"/>
  <c r="I539" i="18"/>
  <c r="E539" i="18"/>
  <c r="I581" i="18"/>
  <c r="H581" i="18"/>
  <c r="I653" i="18"/>
  <c r="H653" i="18"/>
  <c r="E653" i="18"/>
  <c r="E657" i="18"/>
  <c r="I657" i="18"/>
  <c r="H657" i="18"/>
  <c r="I690" i="18"/>
  <c r="H690" i="18"/>
  <c r="E690" i="18"/>
  <c r="H703" i="18"/>
  <c r="E703" i="18"/>
  <c r="I703" i="18"/>
  <c r="E290" i="18"/>
  <c r="E298" i="18"/>
  <c r="E322" i="18"/>
  <c r="E330" i="18"/>
  <c r="E346" i="18"/>
  <c r="E354" i="18"/>
  <c r="E362" i="18"/>
  <c r="E370" i="18"/>
  <c r="E378" i="18"/>
  <c r="E386" i="18"/>
  <c r="E394" i="18"/>
  <c r="H402" i="18"/>
  <c r="E407" i="18"/>
  <c r="H410" i="18"/>
  <c r="E436" i="18"/>
  <c r="I440" i="18"/>
  <c r="H440" i="18"/>
  <c r="E440" i="18"/>
  <c r="I444" i="18"/>
  <c r="H444" i="18"/>
  <c r="H447" i="18"/>
  <c r="E455" i="18"/>
  <c r="I459" i="18"/>
  <c r="H459" i="18"/>
  <c r="E459" i="18"/>
  <c r="I466" i="18"/>
  <c r="I470" i="18"/>
  <c r="H470" i="18"/>
  <c r="E470" i="18"/>
  <c r="H474" i="18"/>
  <c r="E500" i="18"/>
  <c r="I504" i="18"/>
  <c r="H504" i="18"/>
  <c r="E504" i="18"/>
  <c r="I508" i="18"/>
  <c r="H508" i="18"/>
  <c r="H511" i="18"/>
  <c r="E519" i="18"/>
  <c r="I523" i="18"/>
  <c r="H523" i="18"/>
  <c r="E523" i="18"/>
  <c r="I531" i="18"/>
  <c r="H531" i="18"/>
  <c r="E531" i="18"/>
  <c r="I546" i="18"/>
  <c r="H546" i="18"/>
  <c r="E546" i="18"/>
  <c r="I552" i="18"/>
  <c r="E552" i="18"/>
  <c r="I560" i="18"/>
  <c r="E560" i="18"/>
  <c r="H560" i="18"/>
  <c r="E581" i="18"/>
  <c r="H604" i="18"/>
  <c r="E604" i="18"/>
  <c r="I604" i="18"/>
  <c r="I623" i="18"/>
  <c r="H623" i="18"/>
  <c r="E623" i="18"/>
  <c r="I664" i="18"/>
  <c r="H664" i="18"/>
  <c r="E664" i="18"/>
  <c r="I675" i="18"/>
  <c r="H675" i="18"/>
  <c r="E675" i="18"/>
  <c r="H290" i="18"/>
  <c r="H298" i="18"/>
  <c r="H394" i="18"/>
  <c r="I400" i="18"/>
  <c r="H400" i="18"/>
  <c r="I402" i="18"/>
  <c r="H407" i="18"/>
  <c r="I410" i="18"/>
  <c r="I414" i="18"/>
  <c r="H414" i="18"/>
  <c r="E414" i="18"/>
  <c r="H418" i="18"/>
  <c r="E444" i="18"/>
  <c r="I448" i="18"/>
  <c r="H448" i="18"/>
  <c r="E448" i="18"/>
  <c r="I452" i="18"/>
  <c r="H452" i="18"/>
  <c r="H455" i="18"/>
  <c r="E463" i="18"/>
  <c r="I467" i="18"/>
  <c r="H467" i="18"/>
  <c r="E467" i="18"/>
  <c r="I474" i="18"/>
  <c r="I478" i="18"/>
  <c r="H478" i="18"/>
  <c r="E478" i="18"/>
  <c r="H482" i="18"/>
  <c r="E508" i="18"/>
  <c r="I512" i="18"/>
  <c r="H512" i="18"/>
  <c r="E512" i="18"/>
  <c r="I516" i="18"/>
  <c r="H516" i="18"/>
  <c r="H519" i="18"/>
  <c r="E527" i="18"/>
  <c r="I536" i="18"/>
  <c r="E536" i="18"/>
  <c r="H536" i="18"/>
  <c r="I624" i="18"/>
  <c r="H624" i="18"/>
  <c r="E624" i="18"/>
  <c r="I647" i="18"/>
  <c r="H647" i="18"/>
  <c r="E647" i="18"/>
  <c r="I411" i="18"/>
  <c r="H411" i="18"/>
  <c r="E411" i="18"/>
  <c r="I422" i="18"/>
  <c r="H422" i="18"/>
  <c r="E422" i="18"/>
  <c r="I441" i="18"/>
  <c r="H441" i="18"/>
  <c r="E441" i="18"/>
  <c r="I456" i="18"/>
  <c r="H456" i="18"/>
  <c r="E456" i="18"/>
  <c r="I460" i="18"/>
  <c r="H460" i="18"/>
  <c r="I475" i="18"/>
  <c r="H475" i="18"/>
  <c r="E475" i="18"/>
  <c r="I486" i="18"/>
  <c r="H486" i="18"/>
  <c r="E486" i="18"/>
  <c r="I505" i="18"/>
  <c r="H505" i="18"/>
  <c r="E505" i="18"/>
  <c r="I520" i="18"/>
  <c r="H520" i="18"/>
  <c r="E520" i="18"/>
  <c r="I524" i="18"/>
  <c r="H524" i="18"/>
  <c r="H555" i="18"/>
  <c r="I555" i="18"/>
  <c r="E555" i="18"/>
  <c r="I567" i="18"/>
  <c r="H567" i="18"/>
  <c r="E567" i="18"/>
  <c r="I597" i="18"/>
  <c r="H597" i="18"/>
  <c r="E597" i="18"/>
  <c r="I671" i="18"/>
  <c r="H671" i="18"/>
  <c r="E671" i="18"/>
  <c r="I408" i="18"/>
  <c r="H408" i="18"/>
  <c r="E408" i="18"/>
  <c r="I419" i="18"/>
  <c r="H419" i="18"/>
  <c r="E419" i="18"/>
  <c r="I430" i="18"/>
  <c r="H430" i="18"/>
  <c r="E430" i="18"/>
  <c r="I449" i="18"/>
  <c r="H449" i="18"/>
  <c r="E449" i="18"/>
  <c r="I464" i="18"/>
  <c r="H464" i="18"/>
  <c r="E464" i="18"/>
  <c r="I468" i="18"/>
  <c r="H468" i="18"/>
  <c r="I483" i="18"/>
  <c r="H483" i="18"/>
  <c r="E483" i="18"/>
  <c r="I494" i="18"/>
  <c r="H494" i="18"/>
  <c r="E494" i="18"/>
  <c r="I513" i="18"/>
  <c r="H513" i="18"/>
  <c r="E513" i="18"/>
  <c r="I528" i="18"/>
  <c r="H528" i="18"/>
  <c r="E528" i="18"/>
  <c r="I537" i="18"/>
  <c r="H537" i="18"/>
  <c r="E537" i="18"/>
  <c r="I541" i="18"/>
  <c r="H541" i="18"/>
  <c r="I568" i="18"/>
  <c r="E568" i="18"/>
  <c r="H568" i="18"/>
  <c r="I578" i="18"/>
  <c r="H578" i="18"/>
  <c r="E578" i="18"/>
  <c r="I598" i="18"/>
  <c r="H598" i="18"/>
  <c r="E598" i="18"/>
  <c r="I637" i="18"/>
  <c r="H637" i="18"/>
  <c r="E637" i="18"/>
  <c r="I672" i="18"/>
  <c r="H672" i="18"/>
  <c r="E672" i="18"/>
  <c r="H564" i="18"/>
  <c r="E564" i="18"/>
  <c r="I573" i="18"/>
  <c r="H573" i="18"/>
  <c r="I611" i="18"/>
  <c r="H611" i="18"/>
  <c r="I615" i="18"/>
  <c r="H615" i="18"/>
  <c r="E615" i="18"/>
  <c r="I629" i="18"/>
  <c r="H629" i="18"/>
  <c r="E629" i="18"/>
  <c r="I651" i="18"/>
  <c r="H651" i="18"/>
  <c r="H687" i="18"/>
  <c r="E687" i="18"/>
  <c r="I707" i="18"/>
  <c r="H707" i="18"/>
  <c r="E707" i="18"/>
  <c r="H753" i="18"/>
  <c r="E753" i="18"/>
  <c r="I760" i="18"/>
  <c r="H760" i="18"/>
  <c r="E760" i="18"/>
  <c r="H535" i="18"/>
  <c r="E550" i="18"/>
  <c r="I559" i="18"/>
  <c r="H559" i="18"/>
  <c r="E559" i="18"/>
  <c r="I564" i="18"/>
  <c r="I570" i="18"/>
  <c r="H570" i="18"/>
  <c r="E570" i="18"/>
  <c r="E573" i="18"/>
  <c r="H588" i="18"/>
  <c r="E588" i="18"/>
  <c r="I592" i="18"/>
  <c r="H592" i="18"/>
  <c r="E592" i="18"/>
  <c r="I605" i="18"/>
  <c r="H605" i="18"/>
  <c r="E605" i="18"/>
  <c r="I627" i="18"/>
  <c r="H627" i="18"/>
  <c r="I648" i="18"/>
  <c r="H648" i="18"/>
  <c r="E648" i="18"/>
  <c r="I663" i="18"/>
  <c r="H663" i="18"/>
  <c r="E663" i="18"/>
  <c r="I669" i="18"/>
  <c r="H669" i="18"/>
  <c r="E669" i="18"/>
  <c r="I741" i="18"/>
  <c r="H741" i="18"/>
  <c r="E741" i="18"/>
  <c r="I749" i="18"/>
  <c r="H749" i="18"/>
  <c r="E749" i="18"/>
  <c r="H761" i="18"/>
  <c r="E761" i="18"/>
  <c r="I761" i="18"/>
  <c r="I535" i="18"/>
  <c r="E542" i="18"/>
  <c r="E547" i="18"/>
  <c r="H550" i="18"/>
  <c r="H556" i="18"/>
  <c r="E556" i="18"/>
  <c r="I565" i="18"/>
  <c r="H565" i="18"/>
  <c r="E579" i="18"/>
  <c r="H582" i="18"/>
  <c r="I588" i="18"/>
  <c r="I595" i="18"/>
  <c r="H595" i="18"/>
  <c r="I599" i="18"/>
  <c r="H599" i="18"/>
  <c r="E599" i="18"/>
  <c r="H612" i="18"/>
  <c r="E612" i="18"/>
  <c r="I621" i="18"/>
  <c r="H621" i="18"/>
  <c r="E621" i="18"/>
  <c r="E627" i="18"/>
  <c r="E630" i="18"/>
  <c r="I639" i="18"/>
  <c r="H639" i="18"/>
  <c r="E639" i="18"/>
  <c r="I645" i="18"/>
  <c r="H645" i="18"/>
  <c r="E645" i="18"/>
  <c r="I667" i="18"/>
  <c r="H667" i="18"/>
  <c r="H673" i="18"/>
  <c r="I700" i="18"/>
  <c r="E700" i="18"/>
  <c r="H700" i="18"/>
  <c r="H542" i="18"/>
  <c r="I547" i="18"/>
  <c r="I551" i="18"/>
  <c r="H551" i="18"/>
  <c r="E551" i="18"/>
  <c r="I556" i="18"/>
  <c r="I562" i="18"/>
  <c r="H562" i="18"/>
  <c r="E562" i="18"/>
  <c r="I579" i="18"/>
  <c r="I583" i="18"/>
  <c r="H583" i="18"/>
  <c r="E583" i="18"/>
  <c r="I589" i="18"/>
  <c r="H589" i="18"/>
  <c r="E589" i="18"/>
  <c r="E595" i="18"/>
  <c r="E606" i="18"/>
  <c r="I612" i="18"/>
  <c r="I619" i="18"/>
  <c r="H619" i="18"/>
  <c r="H630" i="18"/>
  <c r="I643" i="18"/>
  <c r="H643" i="18"/>
  <c r="H649" i="18"/>
  <c r="I673" i="18"/>
  <c r="H679" i="18"/>
  <c r="I679" i="18"/>
  <c r="E679" i="18"/>
  <c r="I723" i="18"/>
  <c r="H723" i="18"/>
  <c r="I731" i="18"/>
  <c r="H731" i="18"/>
  <c r="E731" i="18"/>
  <c r="E405" i="18"/>
  <c r="E413" i="18"/>
  <c r="E421" i="18"/>
  <c r="E429" i="18"/>
  <c r="E437" i="18"/>
  <c r="E445" i="18"/>
  <c r="E453" i="18"/>
  <c r="E461" i="18"/>
  <c r="E469" i="18"/>
  <c r="E477" i="18"/>
  <c r="E485" i="18"/>
  <c r="E493" i="18"/>
  <c r="E501" i="18"/>
  <c r="E509" i="18"/>
  <c r="E517" i="18"/>
  <c r="E525" i="18"/>
  <c r="H538" i="18"/>
  <c r="E538" i="18"/>
  <c r="H543" i="18"/>
  <c r="E543" i="18"/>
  <c r="H548" i="18"/>
  <c r="E548" i="18"/>
  <c r="I557" i="18"/>
  <c r="H557" i="18"/>
  <c r="E571" i="18"/>
  <c r="H574" i="18"/>
  <c r="H580" i="18"/>
  <c r="E580" i="18"/>
  <c r="H596" i="18"/>
  <c r="E596" i="18"/>
  <c r="H606" i="18"/>
  <c r="I613" i="18"/>
  <c r="H613" i="18"/>
  <c r="E613" i="18"/>
  <c r="E619" i="18"/>
  <c r="E622" i="18"/>
  <c r="I631" i="18"/>
  <c r="H631" i="18"/>
  <c r="E631" i="18"/>
  <c r="I649" i="18"/>
  <c r="I655" i="18"/>
  <c r="H655" i="18"/>
  <c r="E655" i="18"/>
  <c r="I661" i="18"/>
  <c r="H661" i="18"/>
  <c r="E661" i="18"/>
  <c r="I682" i="18"/>
  <c r="H682" i="18"/>
  <c r="E682" i="18"/>
  <c r="I719" i="18"/>
  <c r="H719" i="18"/>
  <c r="E719" i="18"/>
  <c r="E723" i="18"/>
  <c r="I538" i="18"/>
  <c r="I543" i="18"/>
  <c r="I548" i="18"/>
  <c r="I554" i="18"/>
  <c r="H554" i="18"/>
  <c r="E554" i="18"/>
  <c r="E557" i="18"/>
  <c r="I571" i="18"/>
  <c r="I575" i="18"/>
  <c r="H575" i="18"/>
  <c r="E575" i="18"/>
  <c r="I580" i="18"/>
  <c r="I603" i="18"/>
  <c r="H603" i="18"/>
  <c r="I607" i="18"/>
  <c r="H607" i="18"/>
  <c r="E607" i="18"/>
  <c r="I659" i="18"/>
  <c r="H659" i="18"/>
  <c r="H665" i="18"/>
  <c r="I680" i="18"/>
  <c r="H680" i="18"/>
  <c r="H697" i="18"/>
  <c r="I697" i="18"/>
  <c r="E697" i="18"/>
  <c r="I685" i="18"/>
  <c r="H685" i="18"/>
  <c r="E694" i="18"/>
  <c r="I694" i="18"/>
  <c r="I715" i="18"/>
  <c r="H715" i="18"/>
  <c r="I727" i="18"/>
  <c r="H727" i="18"/>
  <c r="E727" i="18"/>
  <c r="I739" i="18"/>
  <c r="H739" i="18"/>
  <c r="I757" i="18"/>
  <c r="H757" i="18"/>
  <c r="E757" i="18"/>
  <c r="H769" i="18"/>
  <c r="E769" i="18"/>
  <c r="H777" i="18"/>
  <c r="E777" i="18"/>
  <c r="H785" i="18"/>
  <c r="E785" i="18"/>
  <c r="H793" i="18"/>
  <c r="E793" i="18"/>
  <c r="H801" i="18"/>
  <c r="E801" i="18"/>
  <c r="H809" i="18"/>
  <c r="E809" i="18"/>
  <c r="H817" i="18"/>
  <c r="E817" i="18"/>
  <c r="H825" i="18"/>
  <c r="E825" i="18"/>
  <c r="I843" i="18"/>
  <c r="H843" i="18"/>
  <c r="E843" i="18"/>
  <c r="H853" i="18"/>
  <c r="E853" i="18"/>
  <c r="I853" i="18"/>
  <c r="H917" i="18"/>
  <c r="E917" i="18"/>
  <c r="I917" i="18"/>
  <c r="H973" i="18"/>
  <c r="E973" i="18"/>
  <c r="I973" i="18"/>
  <c r="I688" i="18"/>
  <c r="E688" i="18"/>
  <c r="I701" i="18"/>
  <c r="H701" i="18"/>
  <c r="I704" i="18"/>
  <c r="H704" i="18"/>
  <c r="E704" i="18"/>
  <c r="I708" i="18"/>
  <c r="E708" i="18"/>
  <c r="I720" i="18"/>
  <c r="H720" i="18"/>
  <c r="E720" i="18"/>
  <c r="I735" i="18"/>
  <c r="H735" i="18"/>
  <c r="E735" i="18"/>
  <c r="I747" i="18"/>
  <c r="H747" i="18"/>
  <c r="I765" i="18"/>
  <c r="H765" i="18"/>
  <c r="E765" i="18"/>
  <c r="I773" i="18"/>
  <c r="H773" i="18"/>
  <c r="E773" i="18"/>
  <c r="I781" i="18"/>
  <c r="H781" i="18"/>
  <c r="E781" i="18"/>
  <c r="I789" i="18"/>
  <c r="H789" i="18"/>
  <c r="E789" i="18"/>
  <c r="I797" i="18"/>
  <c r="H797" i="18"/>
  <c r="E797" i="18"/>
  <c r="I805" i="18"/>
  <c r="H805" i="18"/>
  <c r="E805" i="18"/>
  <c r="I813" i="18"/>
  <c r="H813" i="18"/>
  <c r="E813" i="18"/>
  <c r="I821" i="18"/>
  <c r="H821" i="18"/>
  <c r="E821" i="18"/>
  <c r="I829" i="18"/>
  <c r="H829" i="18"/>
  <c r="E829" i="18"/>
  <c r="I968" i="18"/>
  <c r="H968" i="18"/>
  <c r="E968" i="18"/>
  <c r="E586" i="18"/>
  <c r="E594" i="18"/>
  <c r="E602" i="18"/>
  <c r="E610" i="18"/>
  <c r="E618" i="18"/>
  <c r="E626" i="18"/>
  <c r="E634" i="18"/>
  <c r="E642" i="18"/>
  <c r="E650" i="18"/>
  <c r="E658" i="18"/>
  <c r="E666" i="18"/>
  <c r="E674" i="18"/>
  <c r="E683" i="18"/>
  <c r="H688" i="18"/>
  <c r="I691" i="18"/>
  <c r="H695" i="18"/>
  <c r="E695" i="18"/>
  <c r="E701" i="18"/>
  <c r="H708" i="18"/>
  <c r="I712" i="18"/>
  <c r="H712" i="18"/>
  <c r="E712" i="18"/>
  <c r="I716" i="18"/>
  <c r="H716" i="18"/>
  <c r="E716" i="18"/>
  <c r="H721" i="18"/>
  <c r="E721" i="18"/>
  <c r="I728" i="18"/>
  <c r="H728" i="18"/>
  <c r="E728" i="18"/>
  <c r="I743" i="18"/>
  <c r="H743" i="18"/>
  <c r="E743" i="18"/>
  <c r="E747" i="18"/>
  <c r="I755" i="18"/>
  <c r="H755" i="18"/>
  <c r="H901" i="18"/>
  <c r="E901" i="18"/>
  <c r="I901" i="18"/>
  <c r="I958" i="18"/>
  <c r="H958" i="18"/>
  <c r="E958" i="18"/>
  <c r="H586" i="18"/>
  <c r="H594" i="18"/>
  <c r="H602" i="18"/>
  <c r="H610" i="18"/>
  <c r="H618" i="18"/>
  <c r="H626" i="18"/>
  <c r="H634" i="18"/>
  <c r="H642" i="18"/>
  <c r="H650" i="18"/>
  <c r="H658" i="18"/>
  <c r="H666" i="18"/>
  <c r="H674" i="18"/>
  <c r="I683" i="18"/>
  <c r="I692" i="18"/>
  <c r="E692" i="18"/>
  <c r="I698" i="18"/>
  <c r="H698" i="18"/>
  <c r="E698" i="18"/>
  <c r="I709" i="18"/>
  <c r="H709" i="18"/>
  <c r="E709" i="18"/>
  <c r="I717" i="18"/>
  <c r="H717" i="18"/>
  <c r="E717" i="18"/>
  <c r="H729" i="18"/>
  <c r="E729" i="18"/>
  <c r="I736" i="18"/>
  <c r="H736" i="18"/>
  <c r="E736" i="18"/>
  <c r="I751" i="18"/>
  <c r="H751" i="18"/>
  <c r="E751" i="18"/>
  <c r="I763" i="18"/>
  <c r="H763" i="18"/>
  <c r="E686" i="18"/>
  <c r="E689" i="18"/>
  <c r="H692" i="18"/>
  <c r="E702" i="18"/>
  <c r="I702" i="18"/>
  <c r="E713" i="18"/>
  <c r="I725" i="18"/>
  <c r="H725" i="18"/>
  <c r="E725" i="18"/>
  <c r="I729" i="18"/>
  <c r="H737" i="18"/>
  <c r="E737" i="18"/>
  <c r="I744" i="18"/>
  <c r="H744" i="18"/>
  <c r="E744" i="18"/>
  <c r="I759" i="18"/>
  <c r="H759" i="18"/>
  <c r="E759" i="18"/>
  <c r="E763" i="18"/>
  <c r="I771" i="18"/>
  <c r="H771" i="18"/>
  <c r="I779" i="18"/>
  <c r="H779" i="18"/>
  <c r="I787" i="18"/>
  <c r="H787" i="18"/>
  <c r="I795" i="18"/>
  <c r="H795" i="18"/>
  <c r="I803" i="18"/>
  <c r="H803" i="18"/>
  <c r="I811" i="18"/>
  <c r="H811" i="18"/>
  <c r="I819" i="18"/>
  <c r="H819" i="18"/>
  <c r="I827" i="18"/>
  <c r="H827" i="18"/>
  <c r="H885" i="18"/>
  <c r="E885" i="18"/>
  <c r="I885" i="18"/>
  <c r="I951" i="18"/>
  <c r="H951" i="18"/>
  <c r="E951" i="18"/>
  <c r="I693" i="18"/>
  <c r="H693" i="18"/>
  <c r="I696" i="18"/>
  <c r="E696" i="18"/>
  <c r="E699" i="18"/>
  <c r="E710" i="18"/>
  <c r="I710" i="18"/>
  <c r="I733" i="18"/>
  <c r="H733" i="18"/>
  <c r="E733" i="18"/>
  <c r="H745" i="18"/>
  <c r="E745" i="18"/>
  <c r="I752" i="18"/>
  <c r="H752" i="18"/>
  <c r="E752" i="18"/>
  <c r="I767" i="18"/>
  <c r="H767" i="18"/>
  <c r="E767" i="18"/>
  <c r="I775" i="18"/>
  <c r="H775" i="18"/>
  <c r="E775" i="18"/>
  <c r="I783" i="18"/>
  <c r="H783" i="18"/>
  <c r="E783" i="18"/>
  <c r="I791" i="18"/>
  <c r="H791" i="18"/>
  <c r="E791" i="18"/>
  <c r="I799" i="18"/>
  <c r="H799" i="18"/>
  <c r="E799" i="18"/>
  <c r="I807" i="18"/>
  <c r="H807" i="18"/>
  <c r="E807" i="18"/>
  <c r="I815" i="18"/>
  <c r="H815" i="18"/>
  <c r="E815" i="18"/>
  <c r="I823" i="18"/>
  <c r="H823" i="18"/>
  <c r="E823" i="18"/>
  <c r="I937" i="18"/>
  <c r="H937" i="18"/>
  <c r="E937" i="18"/>
  <c r="I718" i="18"/>
  <c r="I726" i="18"/>
  <c r="I734" i="18"/>
  <c r="I742" i="18"/>
  <c r="I750" i="18"/>
  <c r="I758" i="18"/>
  <c r="I766" i="18"/>
  <c r="I774" i="18"/>
  <c r="I782" i="18"/>
  <c r="I790" i="18"/>
  <c r="I798" i="18"/>
  <c r="I806" i="18"/>
  <c r="I814" i="18"/>
  <c r="I822" i="18"/>
  <c r="I830" i="18"/>
  <c r="I833" i="18"/>
  <c r="H833" i="18"/>
  <c r="E833" i="18"/>
  <c r="I838" i="18"/>
  <c r="H838" i="18"/>
  <c r="E838" i="18"/>
  <c r="I848" i="18"/>
  <c r="H848" i="18"/>
  <c r="E848" i="18"/>
  <c r="I859" i="18"/>
  <c r="H859" i="18"/>
  <c r="E859" i="18"/>
  <c r="I864" i="18"/>
  <c r="H864" i="18"/>
  <c r="E864" i="18"/>
  <c r="I875" i="18"/>
  <c r="H875" i="18"/>
  <c r="E875" i="18"/>
  <c r="I880" i="18"/>
  <c r="H880" i="18"/>
  <c r="E880" i="18"/>
  <c r="I891" i="18"/>
  <c r="H891" i="18"/>
  <c r="E891" i="18"/>
  <c r="I896" i="18"/>
  <c r="H896" i="18"/>
  <c r="E896" i="18"/>
  <c r="I907" i="18"/>
  <c r="H907" i="18"/>
  <c r="E907" i="18"/>
  <c r="I912" i="18"/>
  <c r="H912" i="18"/>
  <c r="E912" i="18"/>
  <c r="I923" i="18"/>
  <c r="H923" i="18"/>
  <c r="E923" i="18"/>
  <c r="I928" i="18"/>
  <c r="H928" i="18"/>
  <c r="E928" i="18"/>
  <c r="H933" i="18"/>
  <c r="E933" i="18"/>
  <c r="I942" i="18"/>
  <c r="H942" i="18"/>
  <c r="E942" i="18"/>
  <c r="I959" i="18"/>
  <c r="H959" i="18"/>
  <c r="I969" i="18"/>
  <c r="H969" i="18"/>
  <c r="E969" i="18"/>
  <c r="I983" i="18"/>
  <c r="H983" i="18"/>
  <c r="I992" i="18"/>
  <c r="H992" i="18"/>
  <c r="E992" i="18"/>
  <c r="I996" i="18"/>
  <c r="H996" i="18"/>
  <c r="E996" i="18"/>
  <c r="E834" i="18"/>
  <c r="I834" i="18"/>
  <c r="I839" i="18"/>
  <c r="H839" i="18"/>
  <c r="I844" i="18"/>
  <c r="H844" i="18"/>
  <c r="E844" i="18"/>
  <c r="I849" i="18"/>
  <c r="H849" i="18"/>
  <c r="E849" i="18"/>
  <c r="I854" i="18"/>
  <c r="H854" i="18"/>
  <c r="E854" i="18"/>
  <c r="I865" i="18"/>
  <c r="H865" i="18"/>
  <c r="E865" i="18"/>
  <c r="I870" i="18"/>
  <c r="H870" i="18"/>
  <c r="E870" i="18"/>
  <c r="I881" i="18"/>
  <c r="H881" i="18"/>
  <c r="E881" i="18"/>
  <c r="I886" i="18"/>
  <c r="H886" i="18"/>
  <c r="E886" i="18"/>
  <c r="I897" i="18"/>
  <c r="H897" i="18"/>
  <c r="E897" i="18"/>
  <c r="I902" i="18"/>
  <c r="H902" i="18"/>
  <c r="E902" i="18"/>
  <c r="I913" i="18"/>
  <c r="H913" i="18"/>
  <c r="E913" i="18"/>
  <c r="I918" i="18"/>
  <c r="H918" i="18"/>
  <c r="E918" i="18"/>
  <c r="I929" i="18"/>
  <c r="H929" i="18"/>
  <c r="E929" i="18"/>
  <c r="I943" i="18"/>
  <c r="H943" i="18"/>
  <c r="I947" i="18"/>
  <c r="H947" i="18"/>
  <c r="E947" i="18"/>
  <c r="I964" i="18"/>
  <c r="H964" i="18"/>
  <c r="E964" i="18"/>
  <c r="E970" i="18"/>
  <c r="I970" i="18"/>
  <c r="I974" i="18"/>
  <c r="H974" i="18"/>
  <c r="E974" i="18"/>
  <c r="I993" i="18"/>
  <c r="H993" i="18"/>
  <c r="E993" i="18"/>
  <c r="H997" i="18"/>
  <c r="E997" i="18"/>
  <c r="E706" i="18"/>
  <c r="E714" i="18"/>
  <c r="E722" i="18"/>
  <c r="E730" i="18"/>
  <c r="E738" i="18"/>
  <c r="E746" i="18"/>
  <c r="E754" i="18"/>
  <c r="E762" i="18"/>
  <c r="E770" i="18"/>
  <c r="E778" i="18"/>
  <c r="E786" i="18"/>
  <c r="E794" i="18"/>
  <c r="E802" i="18"/>
  <c r="E810" i="18"/>
  <c r="E818" i="18"/>
  <c r="E826" i="18"/>
  <c r="H834" i="18"/>
  <c r="E839" i="18"/>
  <c r="H845" i="18"/>
  <c r="E845" i="18"/>
  <c r="E850" i="18"/>
  <c r="I850" i="18"/>
  <c r="I855" i="18"/>
  <c r="H855" i="18"/>
  <c r="I860" i="18"/>
  <c r="H860" i="18"/>
  <c r="E860" i="18"/>
  <c r="E866" i="18"/>
  <c r="I866" i="18"/>
  <c r="I871" i="18"/>
  <c r="H871" i="18"/>
  <c r="I876" i="18"/>
  <c r="H876" i="18"/>
  <c r="E876" i="18"/>
  <c r="E882" i="18"/>
  <c r="I882" i="18"/>
  <c r="I887" i="18"/>
  <c r="H887" i="18"/>
  <c r="I892" i="18"/>
  <c r="H892" i="18"/>
  <c r="E892" i="18"/>
  <c r="E898" i="18"/>
  <c r="I898" i="18"/>
  <c r="I903" i="18"/>
  <c r="H903" i="18"/>
  <c r="I908" i="18"/>
  <c r="H908" i="18"/>
  <c r="E908" i="18"/>
  <c r="E914" i="18"/>
  <c r="I914" i="18"/>
  <c r="I919" i="18"/>
  <c r="H919" i="18"/>
  <c r="I924" i="18"/>
  <c r="H924" i="18"/>
  <c r="E924" i="18"/>
  <c r="I934" i="18"/>
  <c r="H934" i="18"/>
  <c r="E934" i="18"/>
  <c r="E943" i="18"/>
  <c r="I960" i="18"/>
  <c r="H960" i="18"/>
  <c r="E960" i="18"/>
  <c r="H965" i="18"/>
  <c r="E965" i="18"/>
  <c r="H970" i="18"/>
  <c r="I975" i="18"/>
  <c r="H975" i="18"/>
  <c r="I984" i="18"/>
  <c r="H984" i="18"/>
  <c r="E984" i="18"/>
  <c r="I988" i="18"/>
  <c r="H988" i="18"/>
  <c r="E988" i="18"/>
  <c r="H706" i="18"/>
  <c r="H714" i="18"/>
  <c r="H722" i="18"/>
  <c r="H730" i="18"/>
  <c r="H738" i="18"/>
  <c r="H746" i="18"/>
  <c r="H754" i="18"/>
  <c r="H762" i="18"/>
  <c r="H770" i="18"/>
  <c r="H778" i="18"/>
  <c r="H786" i="18"/>
  <c r="H794" i="18"/>
  <c r="H802" i="18"/>
  <c r="H810" i="18"/>
  <c r="H818" i="18"/>
  <c r="H826" i="18"/>
  <c r="I835" i="18"/>
  <c r="H835" i="18"/>
  <c r="E835" i="18"/>
  <c r="I840" i="18"/>
  <c r="H840" i="18"/>
  <c r="E840" i="18"/>
  <c r="H861" i="18"/>
  <c r="E861" i="18"/>
  <c r="H877" i="18"/>
  <c r="E877" i="18"/>
  <c r="H893" i="18"/>
  <c r="E893" i="18"/>
  <c r="H909" i="18"/>
  <c r="E909" i="18"/>
  <c r="H925" i="18"/>
  <c r="E925" i="18"/>
  <c r="I935" i="18"/>
  <c r="H935" i="18"/>
  <c r="I939" i="18"/>
  <c r="H939" i="18"/>
  <c r="E939" i="18"/>
  <c r="I948" i="18"/>
  <c r="H948" i="18"/>
  <c r="E948" i="18"/>
  <c r="I953" i="18"/>
  <c r="H953" i="18"/>
  <c r="E953" i="18"/>
  <c r="I961" i="18"/>
  <c r="H961" i="18"/>
  <c r="E961" i="18"/>
  <c r="I985" i="18"/>
  <c r="H985" i="18"/>
  <c r="E985" i="18"/>
  <c r="H989" i="18"/>
  <c r="E989" i="18"/>
  <c r="I998" i="18"/>
  <c r="H998" i="18"/>
  <c r="E998" i="18"/>
  <c r="E772" i="18"/>
  <c r="E780" i="18"/>
  <c r="E788" i="18"/>
  <c r="E796" i="18"/>
  <c r="E804" i="18"/>
  <c r="E812" i="18"/>
  <c r="E820" i="18"/>
  <c r="E828" i="18"/>
  <c r="I841" i="18"/>
  <c r="H841" i="18"/>
  <c r="E841" i="18"/>
  <c r="I846" i="18"/>
  <c r="H846" i="18"/>
  <c r="E846" i="18"/>
  <c r="I851" i="18"/>
  <c r="H851" i="18"/>
  <c r="E851" i="18"/>
  <c r="I856" i="18"/>
  <c r="H856" i="18"/>
  <c r="E856" i="18"/>
  <c r="I861" i="18"/>
  <c r="I867" i="18"/>
  <c r="H867" i="18"/>
  <c r="E867" i="18"/>
  <c r="I872" i="18"/>
  <c r="H872" i="18"/>
  <c r="E872" i="18"/>
  <c r="I877" i="18"/>
  <c r="I883" i="18"/>
  <c r="H883" i="18"/>
  <c r="E883" i="18"/>
  <c r="I888" i="18"/>
  <c r="H888" i="18"/>
  <c r="E888" i="18"/>
  <c r="I893" i="18"/>
  <c r="I899" i="18"/>
  <c r="H899" i="18"/>
  <c r="E899" i="18"/>
  <c r="I904" i="18"/>
  <c r="H904" i="18"/>
  <c r="E904" i="18"/>
  <c r="I909" i="18"/>
  <c r="I915" i="18"/>
  <c r="H915" i="18"/>
  <c r="E915" i="18"/>
  <c r="I920" i="18"/>
  <c r="H920" i="18"/>
  <c r="E920" i="18"/>
  <c r="I925" i="18"/>
  <c r="E935" i="18"/>
  <c r="H949" i="18"/>
  <c r="E949" i="18"/>
  <c r="I956" i="18"/>
  <c r="H956" i="18"/>
  <c r="E956" i="18"/>
  <c r="E962" i="18"/>
  <c r="I962" i="18"/>
  <c r="I966" i="18"/>
  <c r="H966" i="18"/>
  <c r="E966" i="18"/>
  <c r="I976" i="18"/>
  <c r="H976" i="18"/>
  <c r="E976" i="18"/>
  <c r="I980" i="18"/>
  <c r="H980" i="18"/>
  <c r="E980" i="18"/>
  <c r="I999" i="18"/>
  <c r="H999" i="18"/>
  <c r="I836" i="18"/>
  <c r="H836" i="18"/>
  <c r="E836" i="18"/>
  <c r="E842" i="18"/>
  <c r="I842" i="18"/>
  <c r="I857" i="18"/>
  <c r="H857" i="18"/>
  <c r="E857" i="18"/>
  <c r="I862" i="18"/>
  <c r="H862" i="18"/>
  <c r="E862" i="18"/>
  <c r="I873" i="18"/>
  <c r="H873" i="18"/>
  <c r="E873" i="18"/>
  <c r="I878" i="18"/>
  <c r="H878" i="18"/>
  <c r="E878" i="18"/>
  <c r="I889" i="18"/>
  <c r="H889" i="18"/>
  <c r="E889" i="18"/>
  <c r="I894" i="18"/>
  <c r="H894" i="18"/>
  <c r="E894" i="18"/>
  <c r="I905" i="18"/>
  <c r="H905" i="18"/>
  <c r="E905" i="18"/>
  <c r="I910" i="18"/>
  <c r="H910" i="18"/>
  <c r="E910" i="18"/>
  <c r="I921" i="18"/>
  <c r="H921" i="18"/>
  <c r="E921" i="18"/>
  <c r="I926" i="18"/>
  <c r="H926" i="18"/>
  <c r="E926" i="18"/>
  <c r="I931" i="18"/>
  <c r="H931" i="18"/>
  <c r="E931" i="18"/>
  <c r="I940" i="18"/>
  <c r="H940" i="18"/>
  <c r="E940" i="18"/>
  <c r="I945" i="18"/>
  <c r="H945" i="18"/>
  <c r="E945" i="18"/>
  <c r="H957" i="18"/>
  <c r="E957" i="18"/>
  <c r="I967" i="18"/>
  <c r="H967" i="18"/>
  <c r="I977" i="18"/>
  <c r="H977" i="18"/>
  <c r="E977" i="18"/>
  <c r="H981" i="18"/>
  <c r="E981" i="18"/>
  <c r="I990" i="18"/>
  <c r="H990" i="18"/>
  <c r="E990" i="18"/>
  <c r="H832" i="18"/>
  <c r="E832" i="18"/>
  <c r="H837" i="18"/>
  <c r="E837" i="18"/>
  <c r="H842" i="18"/>
  <c r="I852" i="18"/>
  <c r="H852" i="18"/>
  <c r="E852" i="18"/>
  <c r="E858" i="18"/>
  <c r="I858" i="18"/>
  <c r="I863" i="18"/>
  <c r="H863" i="18"/>
  <c r="I868" i="18"/>
  <c r="H868" i="18"/>
  <c r="E868" i="18"/>
  <c r="E874" i="18"/>
  <c r="I874" i="18"/>
  <c r="I879" i="18"/>
  <c r="H879" i="18"/>
  <c r="I884" i="18"/>
  <c r="H884" i="18"/>
  <c r="E884" i="18"/>
  <c r="E890" i="18"/>
  <c r="I890" i="18"/>
  <c r="I895" i="18"/>
  <c r="H895" i="18"/>
  <c r="I900" i="18"/>
  <c r="H900" i="18"/>
  <c r="E900" i="18"/>
  <c r="E906" i="18"/>
  <c r="I906" i="18"/>
  <c r="I911" i="18"/>
  <c r="H911" i="18"/>
  <c r="I916" i="18"/>
  <c r="H916" i="18"/>
  <c r="E916" i="18"/>
  <c r="E922" i="18"/>
  <c r="I922" i="18"/>
  <c r="I927" i="18"/>
  <c r="H927" i="18"/>
  <c r="H941" i="18"/>
  <c r="E941" i="18"/>
  <c r="I950" i="18"/>
  <c r="H950" i="18"/>
  <c r="E950" i="18"/>
  <c r="I957" i="18"/>
  <c r="E967" i="18"/>
  <c r="I972" i="18"/>
  <c r="H972" i="18"/>
  <c r="E972" i="18"/>
  <c r="I981" i="18"/>
  <c r="I991" i="18"/>
  <c r="H991" i="18"/>
  <c r="I1000" i="18"/>
  <c r="H1000" i="18"/>
  <c r="E1000" i="18"/>
  <c r="H847" i="18"/>
  <c r="I930" i="18"/>
  <c r="I938" i="18"/>
  <c r="I946" i="18"/>
  <c r="I954" i="18"/>
  <c r="I978" i="18"/>
  <c r="I986" i="18"/>
  <c r="I994" i="18"/>
  <c r="E963" i="18"/>
  <c r="E971" i="18"/>
  <c r="E979" i="18"/>
  <c r="E987" i="18"/>
  <c r="E995" i="18"/>
  <c r="E936" i="18"/>
  <c r="E944" i="18"/>
  <c r="E952" i="18"/>
  <c r="H963" i="18"/>
  <c r="H971" i="18"/>
  <c r="H979" i="18"/>
  <c r="H987" i="18"/>
  <c r="H995" i="18"/>
  <c r="H936" i="18"/>
  <c r="H944" i="18"/>
  <c r="H952" i="18"/>
  <c r="F2" i="1" l="1"/>
  <c r="AN2" i="16" a="1"/>
  <c r="AM2" i="16" a="1"/>
  <c r="AK2" i="16" a="1"/>
  <c r="Z237" i="16" s="1" a="1"/>
  <c r="Z237" i="16" s="1"/>
  <c r="AJ2" i="16" a="1"/>
  <c r="AJ2" i="16" s="1"/>
  <c r="Z197" i="16" s="1" a="1"/>
  <c r="Z197" i="16" s="1"/>
  <c r="AI2" i="16" a="1"/>
  <c r="AH2" i="16" a="1"/>
  <c r="AG2" i="16" a="1"/>
  <c r="AF2" i="16" a="1"/>
  <c r="AE2" i="16" a="1"/>
  <c r="U3" i="16" a="1"/>
  <c r="U3" i="16" s="1"/>
  <c r="U4" i="16" a="1"/>
  <c r="U4" i="16" s="1"/>
  <c r="U5" i="16" a="1"/>
  <c r="U5" i="16" s="1"/>
  <c r="U6" i="16" a="1"/>
  <c r="U6" i="16" s="1"/>
  <c r="U7" i="16" a="1"/>
  <c r="U7" i="16" s="1"/>
  <c r="U8" i="16" a="1"/>
  <c r="U8" i="16" s="1"/>
  <c r="U9" i="16" a="1"/>
  <c r="U9" i="16" s="1"/>
  <c r="U10" i="16" a="1"/>
  <c r="U10" i="16" s="1"/>
  <c r="U11" i="16" a="1"/>
  <c r="U11" i="16" s="1"/>
  <c r="U12" i="16" a="1"/>
  <c r="U12" i="16" s="1"/>
  <c r="U13" i="16" a="1"/>
  <c r="U13" i="16" s="1"/>
  <c r="U14" i="16" a="1"/>
  <c r="U14" i="16" s="1"/>
  <c r="U15" i="16" a="1"/>
  <c r="U15" i="16" s="1"/>
  <c r="U16" i="16" a="1"/>
  <c r="U16" i="16" s="1"/>
  <c r="U17" i="16" a="1"/>
  <c r="U17" i="16" s="1"/>
  <c r="U18" i="16" a="1"/>
  <c r="U18" i="16" s="1"/>
  <c r="U19" i="16" a="1"/>
  <c r="U19" i="16" s="1"/>
  <c r="U20" i="16" a="1"/>
  <c r="U20" i="16" s="1"/>
  <c r="U21" i="16" a="1"/>
  <c r="U21" i="16" s="1"/>
  <c r="U22" i="16" a="1"/>
  <c r="U22" i="16" s="1"/>
  <c r="U23" i="16" a="1"/>
  <c r="U23" i="16" s="1"/>
  <c r="U24" i="16" a="1"/>
  <c r="U24" i="16" s="1"/>
  <c r="U25" i="16" a="1"/>
  <c r="U25" i="16" s="1"/>
  <c r="U26" i="16" a="1"/>
  <c r="U26" i="16" s="1"/>
  <c r="U27" i="16" a="1"/>
  <c r="U27" i="16" s="1"/>
  <c r="U28" i="16" a="1"/>
  <c r="U28" i="16" s="1"/>
  <c r="U29" i="16" a="1"/>
  <c r="U29" i="16" s="1"/>
  <c r="U30" i="16" a="1"/>
  <c r="U30" i="16" s="1"/>
  <c r="U31" i="16" a="1"/>
  <c r="U31" i="16" s="1"/>
  <c r="U32" i="16" a="1"/>
  <c r="U32" i="16" s="1"/>
  <c r="U33" i="16" a="1"/>
  <c r="U33" i="16" s="1"/>
  <c r="U34" i="16" a="1"/>
  <c r="U34" i="16" s="1"/>
  <c r="U35" i="16" a="1"/>
  <c r="U35" i="16" s="1"/>
  <c r="U36" i="16" a="1"/>
  <c r="U36" i="16" s="1"/>
  <c r="U37" i="16" a="1"/>
  <c r="U37" i="16" s="1"/>
  <c r="U38" i="16" a="1"/>
  <c r="U38" i="16" s="1"/>
  <c r="U39" i="16" a="1"/>
  <c r="U39" i="16" s="1"/>
  <c r="U40" i="16" a="1"/>
  <c r="U40" i="16" s="1"/>
  <c r="U42" i="16" a="1"/>
  <c r="U42" i="16" s="1"/>
  <c r="U43" i="16" a="1"/>
  <c r="U43" i="16" s="1"/>
  <c r="U44" i="16" a="1"/>
  <c r="U44" i="16" s="1"/>
  <c r="U45" i="16" a="1"/>
  <c r="U45" i="16" s="1"/>
  <c r="U46" i="16" a="1"/>
  <c r="U46" i="16" s="1"/>
  <c r="U47" i="16" a="1"/>
  <c r="U47" i="16" s="1"/>
  <c r="U48" i="16" a="1"/>
  <c r="U48" i="16" s="1"/>
  <c r="U49" i="16" a="1"/>
  <c r="U49" i="16" s="1"/>
  <c r="U50" i="16" a="1"/>
  <c r="U50" i="16" s="1"/>
  <c r="U51" i="16" a="1"/>
  <c r="U51" i="16" s="1"/>
  <c r="U52" i="16" a="1"/>
  <c r="U52" i="16" s="1"/>
  <c r="U53" i="16" a="1"/>
  <c r="U53" i="16" s="1"/>
  <c r="U54" i="16" a="1"/>
  <c r="U54" i="16" s="1"/>
  <c r="U55" i="16" a="1"/>
  <c r="U55" i="16" s="1"/>
  <c r="U56" i="16" a="1"/>
  <c r="U56" i="16" s="1"/>
  <c r="U57" i="16" a="1"/>
  <c r="U57" i="16" s="1"/>
  <c r="U58" i="16" a="1"/>
  <c r="U58" i="16" s="1"/>
  <c r="U59" i="16" a="1"/>
  <c r="U59" i="16" s="1"/>
  <c r="U60" i="16" a="1"/>
  <c r="U60" i="16" s="1"/>
  <c r="U61" i="16" a="1"/>
  <c r="U61" i="16" s="1"/>
  <c r="U62" i="16" a="1"/>
  <c r="U62" i="16" s="1"/>
  <c r="U63" i="16" a="1"/>
  <c r="U63" i="16" s="1"/>
  <c r="U64" i="16" a="1"/>
  <c r="U64" i="16" s="1"/>
  <c r="U65" i="16" a="1"/>
  <c r="U65" i="16" s="1"/>
  <c r="U66" i="16" a="1"/>
  <c r="U66" i="16" s="1"/>
  <c r="U67" i="16" a="1"/>
  <c r="U67" i="16" s="1"/>
  <c r="U68" i="16" a="1"/>
  <c r="U68" i="16" s="1"/>
  <c r="U69" i="16" a="1"/>
  <c r="U69" i="16" s="1"/>
  <c r="U70" i="16" a="1"/>
  <c r="U70" i="16" s="1"/>
  <c r="U71" i="16" a="1"/>
  <c r="U71" i="16" s="1"/>
  <c r="U72" i="16" a="1"/>
  <c r="U72" i="16" s="1"/>
  <c r="U73" i="16" a="1"/>
  <c r="U73" i="16" s="1"/>
  <c r="U74" i="16" a="1"/>
  <c r="U74" i="16" s="1"/>
  <c r="U75" i="16" a="1"/>
  <c r="U75" i="16" s="1"/>
  <c r="U76" i="16" a="1"/>
  <c r="U76" i="16" s="1"/>
  <c r="U77" i="16" a="1"/>
  <c r="U77" i="16" s="1"/>
  <c r="U78" i="16" a="1"/>
  <c r="U78" i="16" s="1"/>
  <c r="U79" i="16" a="1"/>
  <c r="U79" i="16" s="1"/>
  <c r="U80" i="16" a="1"/>
  <c r="U80" i="16" s="1"/>
  <c r="U81" i="16" a="1"/>
  <c r="U81" i="16" s="1"/>
  <c r="U82" i="16" a="1"/>
  <c r="U82" i="16" s="1"/>
  <c r="U83" i="16" a="1"/>
  <c r="U83" i="16" s="1"/>
  <c r="U84" i="16" a="1"/>
  <c r="U84" i="16" s="1"/>
  <c r="U85" i="16" a="1"/>
  <c r="U85" i="16" s="1"/>
  <c r="U86" i="16" a="1"/>
  <c r="U86" i="16" s="1"/>
  <c r="U87" i="16" a="1"/>
  <c r="U87" i="16" s="1"/>
  <c r="U88" i="16" a="1"/>
  <c r="U88" i="16" s="1"/>
  <c r="U89" i="16" a="1"/>
  <c r="U89" i="16" s="1"/>
  <c r="U90" i="16" a="1"/>
  <c r="U90" i="16" s="1"/>
  <c r="U91" i="16" a="1"/>
  <c r="U91" i="16" s="1"/>
  <c r="U92" i="16" a="1"/>
  <c r="U92" i="16" s="1"/>
  <c r="U93" i="16" a="1"/>
  <c r="U93" i="16" s="1"/>
  <c r="U94" i="16" a="1"/>
  <c r="U94" i="16" s="1"/>
  <c r="U95" i="16" a="1"/>
  <c r="U95" i="16" s="1"/>
  <c r="U96" i="16" a="1"/>
  <c r="U96" i="16" s="1"/>
  <c r="U97" i="16" a="1"/>
  <c r="U97" i="16" s="1"/>
  <c r="U98" i="16" a="1"/>
  <c r="U98" i="16" s="1"/>
  <c r="U99" i="16" a="1"/>
  <c r="U99" i="16" s="1"/>
  <c r="U100" i="16" a="1"/>
  <c r="U100" i="16" s="1"/>
  <c r="U101" i="16" a="1"/>
  <c r="U101" i="16" s="1"/>
  <c r="U102" i="16" a="1"/>
  <c r="U102" i="16" s="1"/>
  <c r="U103" i="16" a="1"/>
  <c r="U103" i="16" s="1"/>
  <c r="U104" i="16" a="1"/>
  <c r="U104" i="16" s="1"/>
  <c r="U105" i="16" a="1"/>
  <c r="U105" i="16" s="1"/>
  <c r="U106" i="16" a="1"/>
  <c r="U106" i="16" s="1"/>
  <c r="U107" i="16" a="1"/>
  <c r="U107" i="16" s="1"/>
  <c r="U108" i="16" a="1"/>
  <c r="U108" i="16" s="1"/>
  <c r="U109" i="16" a="1"/>
  <c r="U109" i="16" s="1"/>
  <c r="U110" i="16" a="1"/>
  <c r="U110" i="16" s="1"/>
  <c r="U111" i="16" a="1"/>
  <c r="U111" i="16" s="1"/>
  <c r="U112" i="16" a="1"/>
  <c r="U112" i="16" s="1"/>
  <c r="U113" i="16" a="1"/>
  <c r="U113" i="16" s="1"/>
  <c r="U114" i="16" a="1"/>
  <c r="U114" i="16" s="1"/>
  <c r="U115" i="16" a="1"/>
  <c r="U115" i="16" s="1"/>
  <c r="U116" i="16" a="1"/>
  <c r="U116" i="16" s="1"/>
  <c r="U117" i="16" a="1"/>
  <c r="U117" i="16" s="1"/>
  <c r="U118" i="16" a="1"/>
  <c r="U118" i="16" s="1"/>
  <c r="U119" i="16" a="1"/>
  <c r="U119" i="16" s="1"/>
  <c r="U120" i="16" a="1"/>
  <c r="U120" i="16" s="1"/>
  <c r="U121" i="16" a="1"/>
  <c r="U121" i="16" s="1"/>
  <c r="U122" i="16" a="1"/>
  <c r="U122" i="16" s="1"/>
  <c r="U123" i="16" a="1"/>
  <c r="U123" i="16" s="1"/>
  <c r="U124" i="16" a="1"/>
  <c r="U124" i="16" s="1"/>
  <c r="U125" i="16" a="1"/>
  <c r="U125" i="16" s="1"/>
  <c r="U126" i="16" a="1"/>
  <c r="U126" i="16" s="1"/>
  <c r="U127" i="16" a="1"/>
  <c r="U127" i="16" s="1"/>
  <c r="U128" i="16" a="1"/>
  <c r="U128" i="16" s="1"/>
  <c r="U129" i="16" a="1"/>
  <c r="U129" i="16" s="1"/>
  <c r="U130" i="16" a="1"/>
  <c r="U130" i="16" s="1"/>
  <c r="U131" i="16" a="1"/>
  <c r="U131" i="16" s="1"/>
  <c r="U132" i="16" a="1"/>
  <c r="U132" i="16" s="1"/>
  <c r="U133" i="16" a="1"/>
  <c r="U133" i="16" s="1"/>
  <c r="U134" i="16" a="1"/>
  <c r="U134" i="16" s="1"/>
  <c r="U135" i="16" a="1"/>
  <c r="U135" i="16" s="1"/>
  <c r="U136" i="16" a="1"/>
  <c r="U136" i="16" s="1"/>
  <c r="U137" i="16" a="1"/>
  <c r="U137" i="16" s="1"/>
  <c r="U138" i="16" a="1"/>
  <c r="U138" i="16" s="1"/>
  <c r="U139" i="16" a="1"/>
  <c r="U139" i="16" s="1"/>
  <c r="U140" i="16" a="1"/>
  <c r="U140" i="16" s="1"/>
  <c r="U141" i="16" a="1"/>
  <c r="U141" i="16" s="1"/>
  <c r="U142" i="16" a="1"/>
  <c r="U142" i="16" s="1"/>
  <c r="U143" i="16" a="1"/>
  <c r="U143" i="16" s="1"/>
  <c r="U144" i="16" a="1"/>
  <c r="U144" i="16" s="1"/>
  <c r="U145" i="16" a="1"/>
  <c r="U145" i="16" s="1"/>
  <c r="U146" i="16" a="1"/>
  <c r="U146" i="16" s="1"/>
  <c r="U147" i="16" a="1"/>
  <c r="U147" i="16" s="1"/>
  <c r="U148" i="16" a="1"/>
  <c r="U148" i="16" s="1"/>
  <c r="U149" i="16" a="1"/>
  <c r="U149" i="16" s="1"/>
  <c r="U150" i="16" a="1"/>
  <c r="U150" i="16" s="1"/>
  <c r="U151" i="16" a="1"/>
  <c r="U151" i="16" s="1"/>
  <c r="U152" i="16" a="1"/>
  <c r="U152" i="16" s="1"/>
  <c r="U153" i="16" a="1"/>
  <c r="U153" i="16" s="1"/>
  <c r="U154" i="16" a="1"/>
  <c r="U154" i="16" s="1"/>
  <c r="U155" i="16" a="1"/>
  <c r="U155" i="16" s="1"/>
  <c r="U156" i="16" a="1"/>
  <c r="U156" i="16" s="1"/>
  <c r="U157" i="16" a="1"/>
  <c r="U157" i="16" s="1"/>
  <c r="U158" i="16" a="1"/>
  <c r="U158" i="16" s="1"/>
  <c r="U159" i="16" a="1"/>
  <c r="U159" i="16" s="1"/>
  <c r="U160" i="16" a="1"/>
  <c r="U160" i="16" s="1"/>
  <c r="U161" i="16" a="1"/>
  <c r="U161" i="16" s="1"/>
  <c r="U162" i="16" a="1"/>
  <c r="U162" i="16" s="1"/>
  <c r="U163" i="16" a="1"/>
  <c r="U163" i="16" s="1"/>
  <c r="U164" i="16" a="1"/>
  <c r="U164" i="16" s="1"/>
  <c r="U165" i="16" a="1"/>
  <c r="U165" i="16" s="1"/>
  <c r="U166" i="16" a="1"/>
  <c r="U166" i="16" s="1"/>
  <c r="U167" i="16" a="1"/>
  <c r="U167" i="16" s="1"/>
  <c r="U168" i="16" a="1"/>
  <c r="U168" i="16" s="1"/>
  <c r="U169" i="16" a="1"/>
  <c r="U169" i="16" s="1"/>
  <c r="U170" i="16" a="1"/>
  <c r="U170" i="16" s="1"/>
  <c r="U171" i="16" a="1"/>
  <c r="U171" i="16" s="1"/>
  <c r="U172" i="16" a="1"/>
  <c r="U172" i="16" s="1"/>
  <c r="U173" i="16" a="1"/>
  <c r="U173" i="16" s="1"/>
  <c r="U174" i="16" a="1"/>
  <c r="U174" i="16" s="1"/>
  <c r="U175" i="16" a="1"/>
  <c r="U175" i="16" s="1"/>
  <c r="U176" i="16" a="1"/>
  <c r="U176" i="16" s="1"/>
  <c r="U177" i="16" a="1"/>
  <c r="U177" i="16" s="1"/>
  <c r="U178" i="16" a="1"/>
  <c r="U178" i="16" s="1"/>
  <c r="U179" i="16" a="1"/>
  <c r="U179" i="16" s="1"/>
  <c r="U180" i="16" a="1"/>
  <c r="U180" i="16" s="1"/>
  <c r="U181" i="16" a="1"/>
  <c r="U181" i="16" s="1"/>
  <c r="U182" i="16" a="1"/>
  <c r="U182" i="16" s="1"/>
  <c r="U183" i="16" a="1"/>
  <c r="U183" i="16" s="1"/>
  <c r="U184" i="16" a="1"/>
  <c r="U184" i="16" s="1"/>
  <c r="U185" i="16" a="1"/>
  <c r="U185" i="16" s="1"/>
  <c r="U186" i="16" a="1"/>
  <c r="U186" i="16" s="1"/>
  <c r="U187" i="16" a="1"/>
  <c r="U187" i="16" s="1"/>
  <c r="U188" i="16" a="1"/>
  <c r="U188" i="16" s="1"/>
  <c r="U189" i="16" a="1"/>
  <c r="U189" i="16" s="1"/>
  <c r="U190" i="16" a="1"/>
  <c r="U190" i="16" s="1"/>
  <c r="U191" i="16" a="1"/>
  <c r="U191" i="16" s="1"/>
  <c r="U192" i="16" a="1"/>
  <c r="U192" i="16" s="1"/>
  <c r="U193" i="16" a="1"/>
  <c r="U193" i="16" s="1"/>
  <c r="U194" i="16" a="1"/>
  <c r="U194" i="16" s="1"/>
  <c r="U195" i="16" a="1"/>
  <c r="U195" i="16" s="1"/>
  <c r="U196" i="16" a="1"/>
  <c r="U196" i="16" s="1"/>
  <c r="U197" i="16" a="1"/>
  <c r="U197" i="16" s="1"/>
  <c r="U198" i="16" a="1"/>
  <c r="U198" i="16" s="1"/>
  <c r="U199" i="16" a="1"/>
  <c r="U199" i="16" s="1"/>
  <c r="U200" i="16" a="1"/>
  <c r="U200" i="16" s="1"/>
  <c r="U201" i="16" a="1"/>
  <c r="U201" i="16" s="1"/>
  <c r="U202" i="16" a="1"/>
  <c r="U202" i="16" s="1"/>
  <c r="U203" i="16" a="1"/>
  <c r="U203" i="16" s="1"/>
  <c r="U204" i="16" a="1"/>
  <c r="U204" i="16" s="1"/>
  <c r="U205" i="16" a="1"/>
  <c r="U205" i="16" s="1"/>
  <c r="U206" i="16" a="1"/>
  <c r="U206" i="16" s="1"/>
  <c r="U207" i="16" a="1"/>
  <c r="U207" i="16" s="1"/>
  <c r="U208" i="16" a="1"/>
  <c r="U208" i="16" s="1"/>
  <c r="U209" i="16" a="1"/>
  <c r="U209" i="16" s="1"/>
  <c r="U210" i="16" a="1"/>
  <c r="U210" i="16" s="1"/>
  <c r="U211" i="16" a="1"/>
  <c r="U211" i="16" s="1"/>
  <c r="U212" i="16" a="1"/>
  <c r="U212" i="16" s="1"/>
  <c r="U213" i="16" a="1"/>
  <c r="U213" i="16" s="1"/>
  <c r="U214" i="16" a="1"/>
  <c r="U214" i="16" s="1"/>
  <c r="U215" i="16" a="1"/>
  <c r="U215" i="16" s="1"/>
  <c r="U216" i="16" a="1"/>
  <c r="U216" i="16" s="1"/>
  <c r="U217" i="16" a="1"/>
  <c r="U217" i="16" s="1"/>
  <c r="U218" i="16" a="1"/>
  <c r="U218" i="16" s="1"/>
  <c r="U219" i="16" a="1"/>
  <c r="U219" i="16" s="1"/>
  <c r="U220" i="16" a="1"/>
  <c r="U220" i="16" s="1"/>
  <c r="U221" i="16" a="1"/>
  <c r="U221" i="16" s="1"/>
  <c r="U222" i="16" a="1"/>
  <c r="U222" i="16" s="1"/>
  <c r="U223" i="16" a="1"/>
  <c r="U223" i="16" s="1"/>
  <c r="U224" i="16" a="1"/>
  <c r="U224" i="16" s="1"/>
  <c r="U225" i="16" a="1"/>
  <c r="U225" i="16" s="1"/>
  <c r="U226" i="16" a="1"/>
  <c r="U226" i="16" s="1"/>
  <c r="U227" i="16" a="1"/>
  <c r="U227" i="16" s="1"/>
  <c r="U228" i="16" a="1"/>
  <c r="U228" i="16" s="1"/>
  <c r="U229" i="16" a="1"/>
  <c r="U229" i="16" s="1"/>
  <c r="U230" i="16" a="1"/>
  <c r="U230" i="16" s="1"/>
  <c r="U231" i="16" a="1"/>
  <c r="U231" i="16" s="1"/>
  <c r="U232" i="16" a="1"/>
  <c r="U232" i="16" s="1"/>
  <c r="U233" i="16" a="1"/>
  <c r="U233" i="16" s="1"/>
  <c r="U234" i="16" a="1"/>
  <c r="U234" i="16" s="1"/>
  <c r="U235" i="16" a="1"/>
  <c r="U235" i="16" s="1"/>
  <c r="U236" i="16" a="1"/>
  <c r="U236" i="16" s="1"/>
  <c r="U237" i="16" a="1"/>
  <c r="U237" i="16" s="1"/>
  <c r="U238" i="16" a="1"/>
  <c r="U238" i="16" s="1"/>
  <c r="U239" i="16" a="1"/>
  <c r="U239" i="16" s="1"/>
  <c r="U240" i="16" a="1"/>
  <c r="U240" i="16" s="1"/>
  <c r="U241" i="16" a="1"/>
  <c r="U241" i="16" s="1"/>
  <c r="U242" i="16" a="1"/>
  <c r="U242" i="16" s="1"/>
  <c r="U243" i="16" a="1"/>
  <c r="U243" i="16" s="1"/>
  <c r="U244" i="16" a="1"/>
  <c r="U244" i="16" s="1"/>
  <c r="U245" i="16" a="1"/>
  <c r="U245" i="16" s="1"/>
  <c r="U246" i="16" a="1"/>
  <c r="U246" i="16" s="1"/>
  <c r="U247" i="16" a="1"/>
  <c r="U247" i="16" s="1"/>
  <c r="U248" i="16" a="1"/>
  <c r="U248" i="16" s="1"/>
  <c r="U249" i="16" a="1"/>
  <c r="U249" i="16" s="1"/>
  <c r="U250" i="16" a="1"/>
  <c r="U250" i="16" s="1"/>
  <c r="U251" i="16" a="1"/>
  <c r="U251" i="16" s="1"/>
  <c r="U252" i="16" a="1"/>
  <c r="U252" i="16" s="1"/>
  <c r="U253" i="16" a="1"/>
  <c r="U253" i="16" s="1"/>
  <c r="U254" i="16" a="1"/>
  <c r="U254" i="16" s="1"/>
  <c r="U255" i="16" a="1"/>
  <c r="U255" i="16" s="1"/>
  <c r="U256" i="16" a="1"/>
  <c r="U256" i="16" s="1"/>
  <c r="U257" i="16" a="1"/>
  <c r="U257" i="16" s="1"/>
  <c r="U258" i="16" a="1"/>
  <c r="U258" i="16" s="1"/>
  <c r="U259" i="16" a="1"/>
  <c r="U259" i="16" s="1"/>
  <c r="U260" i="16" a="1"/>
  <c r="U260" i="16" s="1"/>
  <c r="U261" i="16" a="1"/>
  <c r="U261" i="16" s="1"/>
  <c r="U262" i="16" a="1"/>
  <c r="U262" i="16" s="1"/>
  <c r="U263" i="16" a="1"/>
  <c r="U263" i="16" s="1"/>
  <c r="U264" i="16" a="1"/>
  <c r="U264" i="16" s="1"/>
  <c r="U265" i="16" a="1"/>
  <c r="U265" i="16" s="1"/>
  <c r="U266" i="16" a="1"/>
  <c r="U266" i="16" s="1"/>
  <c r="U267" i="16" a="1"/>
  <c r="U267" i="16" s="1"/>
  <c r="U268" i="16" a="1"/>
  <c r="U268" i="16" s="1"/>
  <c r="U269" i="16" a="1"/>
  <c r="U269" i="16" s="1"/>
  <c r="U270" i="16" a="1"/>
  <c r="U270" i="16" s="1"/>
  <c r="U271" i="16" a="1"/>
  <c r="U271" i="16" s="1"/>
  <c r="U272" i="16" a="1"/>
  <c r="U272" i="16" s="1"/>
  <c r="U273" i="16" a="1"/>
  <c r="U273" i="16" s="1"/>
  <c r="U274" i="16" a="1"/>
  <c r="U274" i="16" s="1"/>
  <c r="U275" i="16" a="1"/>
  <c r="U275" i="16" s="1"/>
  <c r="U276" i="16" a="1"/>
  <c r="U276" i="16" s="1"/>
  <c r="U277" i="16" a="1"/>
  <c r="U277" i="16" s="1"/>
  <c r="U278" i="16" a="1"/>
  <c r="U278" i="16" s="1"/>
  <c r="U279" i="16" a="1"/>
  <c r="U279" i="16" s="1"/>
  <c r="U280" i="16" a="1"/>
  <c r="U280" i="16" s="1"/>
  <c r="U281" i="16" a="1"/>
  <c r="U281" i="16" s="1"/>
  <c r="U282" i="16" a="1"/>
  <c r="U282" i="16" s="1"/>
  <c r="U283" i="16" a="1"/>
  <c r="U283" i="16" s="1"/>
  <c r="U284" i="16" a="1"/>
  <c r="U284" i="16" s="1"/>
  <c r="U285" i="16" a="1"/>
  <c r="U285" i="16" s="1"/>
  <c r="U286" i="16" a="1"/>
  <c r="U286" i="16" s="1"/>
  <c r="U287" i="16" a="1"/>
  <c r="U287" i="16" s="1"/>
  <c r="U288" i="16" a="1"/>
  <c r="U288" i="16" s="1"/>
  <c r="U289" i="16" a="1"/>
  <c r="U289" i="16" s="1"/>
  <c r="U290" i="16" a="1"/>
  <c r="U290" i="16" s="1"/>
  <c r="U291" i="16" a="1"/>
  <c r="U291" i="16" s="1"/>
  <c r="U292" i="16" a="1"/>
  <c r="U292" i="16" s="1"/>
  <c r="U293" i="16" a="1"/>
  <c r="U293" i="16" s="1"/>
  <c r="U294" i="16" a="1"/>
  <c r="U294" i="16" s="1"/>
  <c r="U295" i="16" a="1"/>
  <c r="U295" i="16" s="1"/>
  <c r="U296" i="16" a="1"/>
  <c r="U296" i="16" s="1"/>
  <c r="U297" i="16" a="1"/>
  <c r="U297" i="16" s="1"/>
  <c r="U298" i="16" a="1"/>
  <c r="U298" i="16" s="1"/>
  <c r="U299" i="16" a="1"/>
  <c r="U299" i="16" s="1"/>
  <c r="U300" i="16" a="1"/>
  <c r="U300" i="16" s="1"/>
  <c r="U301" i="16" a="1"/>
  <c r="U301" i="16" s="1"/>
  <c r="U302" i="16" a="1"/>
  <c r="U302" i="16" s="1"/>
  <c r="U303" i="16" a="1"/>
  <c r="U303" i="16" s="1"/>
  <c r="U304" i="16" a="1"/>
  <c r="U304" i="16" s="1"/>
  <c r="U305" i="16" a="1"/>
  <c r="U305" i="16" s="1"/>
  <c r="U306" i="16" a="1"/>
  <c r="U306" i="16" s="1"/>
  <c r="U307" i="16" a="1"/>
  <c r="U307" i="16" s="1"/>
  <c r="U308" i="16" a="1"/>
  <c r="U308" i="16" s="1"/>
  <c r="U309" i="16" a="1"/>
  <c r="U309" i="16" s="1"/>
  <c r="U310" i="16" a="1"/>
  <c r="U310" i="16" s="1"/>
  <c r="U311" i="16" a="1"/>
  <c r="U311" i="16" s="1"/>
  <c r="U312" i="16" a="1"/>
  <c r="U312" i="16" s="1"/>
  <c r="U313" i="16" a="1"/>
  <c r="U313" i="16" s="1"/>
  <c r="U314" i="16" a="1"/>
  <c r="U314" i="16" s="1"/>
  <c r="U315" i="16" a="1"/>
  <c r="U315" i="16" s="1"/>
  <c r="U316" i="16" a="1"/>
  <c r="U316" i="16" s="1"/>
  <c r="U317" i="16" a="1"/>
  <c r="U317" i="16" s="1"/>
  <c r="U318" i="16" a="1"/>
  <c r="U318" i="16" s="1"/>
  <c r="U319" i="16" a="1"/>
  <c r="U319" i="16" s="1"/>
  <c r="U320" i="16" a="1"/>
  <c r="U320" i="16" s="1"/>
  <c r="U321" i="16" a="1"/>
  <c r="U321" i="16" s="1"/>
  <c r="U322" i="16" a="1"/>
  <c r="U322" i="16" s="1"/>
  <c r="U323" i="16" a="1"/>
  <c r="U323" i="16" s="1"/>
  <c r="U324" i="16" a="1"/>
  <c r="U324" i="16" s="1"/>
  <c r="U325" i="16" a="1"/>
  <c r="U325" i="16" s="1"/>
  <c r="U326" i="16" a="1"/>
  <c r="U326" i="16" s="1"/>
  <c r="U327" i="16" a="1"/>
  <c r="U327" i="16" s="1"/>
  <c r="U328" i="16" a="1"/>
  <c r="U328" i="16" s="1"/>
  <c r="U329" i="16" a="1"/>
  <c r="U329" i="16" s="1"/>
  <c r="U330" i="16" a="1"/>
  <c r="U330" i="16" s="1"/>
  <c r="U331" i="16" a="1"/>
  <c r="U331" i="16" s="1"/>
  <c r="U332" i="16" a="1"/>
  <c r="U332" i="16" s="1"/>
  <c r="U333" i="16" a="1"/>
  <c r="U333" i="16" s="1"/>
  <c r="U334" i="16" a="1"/>
  <c r="U334" i="16" s="1"/>
  <c r="U335" i="16" a="1"/>
  <c r="U335" i="16" s="1"/>
  <c r="U336" i="16" a="1"/>
  <c r="U336" i="16" s="1"/>
  <c r="U337" i="16" a="1"/>
  <c r="U337" i="16" s="1"/>
  <c r="U338" i="16" a="1"/>
  <c r="U338" i="16" s="1"/>
  <c r="U339" i="16" a="1"/>
  <c r="U339" i="16" s="1"/>
  <c r="U340" i="16" a="1"/>
  <c r="U340" i="16" s="1"/>
  <c r="U341" i="16" a="1"/>
  <c r="U341" i="16" s="1"/>
  <c r="U342" i="16" a="1"/>
  <c r="U342" i="16" s="1"/>
  <c r="U343" i="16" a="1"/>
  <c r="U343" i="16" s="1"/>
  <c r="U344" i="16" a="1"/>
  <c r="U344" i="16" s="1"/>
  <c r="U345" i="16" a="1"/>
  <c r="U345" i="16" s="1"/>
  <c r="U346" i="16" a="1"/>
  <c r="U346" i="16" s="1"/>
  <c r="U347" i="16" a="1"/>
  <c r="U347" i="16" s="1"/>
  <c r="U348" i="16" a="1"/>
  <c r="U348" i="16" s="1"/>
  <c r="U349" i="16" a="1"/>
  <c r="U349" i="16" s="1"/>
  <c r="U350" i="16" a="1"/>
  <c r="U350" i="16" s="1"/>
  <c r="U351" i="16" a="1"/>
  <c r="U351" i="16" s="1"/>
  <c r="U352" i="16" a="1"/>
  <c r="U352" i="16" s="1"/>
  <c r="U353" i="16" a="1"/>
  <c r="U353" i="16" s="1"/>
  <c r="U354" i="16" a="1"/>
  <c r="U354" i="16" s="1"/>
  <c r="U355" i="16" a="1"/>
  <c r="U355" i="16" s="1"/>
  <c r="U356" i="16" a="1"/>
  <c r="U356" i="16" s="1"/>
  <c r="U357" i="16" a="1"/>
  <c r="U357" i="16" s="1"/>
  <c r="U358" i="16" a="1"/>
  <c r="U358" i="16" s="1"/>
  <c r="U359" i="16" a="1"/>
  <c r="U359" i="16" s="1"/>
  <c r="U360" i="16" a="1"/>
  <c r="U360" i="16" s="1"/>
  <c r="U361" i="16" a="1"/>
  <c r="U361" i="16" s="1"/>
  <c r="U362" i="16" a="1"/>
  <c r="U362" i="16" s="1"/>
  <c r="U363" i="16" a="1"/>
  <c r="U363" i="16" s="1"/>
  <c r="U364" i="16" a="1"/>
  <c r="U364" i="16" s="1"/>
  <c r="U365" i="16" a="1"/>
  <c r="U365" i="16" s="1"/>
  <c r="U366" i="16" a="1"/>
  <c r="U366" i="16" s="1"/>
  <c r="U367" i="16" a="1"/>
  <c r="U367" i="16" s="1"/>
  <c r="U368" i="16" a="1"/>
  <c r="U368" i="16" s="1"/>
  <c r="U369" i="16" a="1"/>
  <c r="U369" i="16" s="1"/>
  <c r="U370" i="16" a="1"/>
  <c r="U370" i="16" s="1"/>
  <c r="U371" i="16" a="1"/>
  <c r="U371" i="16" s="1"/>
  <c r="U372" i="16" a="1"/>
  <c r="U372" i="16" s="1"/>
  <c r="U373" i="16" a="1"/>
  <c r="U373" i="16" s="1"/>
  <c r="U374" i="16" a="1"/>
  <c r="U374" i="16" s="1"/>
  <c r="U375" i="16" a="1"/>
  <c r="U375" i="16" s="1"/>
  <c r="U376" i="16" a="1"/>
  <c r="U376" i="16" s="1"/>
  <c r="U377" i="16" a="1"/>
  <c r="U377" i="16" s="1"/>
  <c r="U378" i="16" a="1"/>
  <c r="U378" i="16" s="1"/>
  <c r="U379" i="16" a="1"/>
  <c r="U379" i="16" s="1"/>
  <c r="U380" i="16" a="1"/>
  <c r="U380" i="16" s="1"/>
  <c r="U381" i="16" a="1"/>
  <c r="U381" i="16" s="1"/>
  <c r="U382" i="16" a="1"/>
  <c r="U382" i="16" s="1"/>
  <c r="U383" i="16" a="1"/>
  <c r="U383" i="16" s="1"/>
  <c r="U384" i="16" a="1"/>
  <c r="U384" i="16" s="1"/>
  <c r="U385" i="16" a="1"/>
  <c r="U385" i="16" s="1"/>
  <c r="U386" i="16" a="1"/>
  <c r="U386" i="16" s="1"/>
  <c r="U387" i="16" a="1"/>
  <c r="U387" i="16" s="1"/>
  <c r="U388" i="16" a="1"/>
  <c r="U388" i="16" s="1"/>
  <c r="U389" i="16" a="1"/>
  <c r="U389" i="16" s="1"/>
  <c r="U390" i="16" a="1"/>
  <c r="U390" i="16" s="1"/>
  <c r="U391" i="16" a="1"/>
  <c r="U391" i="16" s="1"/>
  <c r="U392" i="16" a="1"/>
  <c r="U392" i="16" s="1"/>
  <c r="U393" i="16" a="1"/>
  <c r="U393" i="16" s="1"/>
  <c r="U394" i="16" a="1"/>
  <c r="U394" i="16" s="1"/>
  <c r="U395" i="16" a="1"/>
  <c r="U395" i="16" s="1"/>
  <c r="U396" i="16" a="1"/>
  <c r="U396" i="16" s="1"/>
  <c r="U397" i="16" a="1"/>
  <c r="U397" i="16" s="1"/>
  <c r="U398" i="16" a="1"/>
  <c r="U398" i="16" s="1"/>
  <c r="U399" i="16" a="1"/>
  <c r="U399" i="16" s="1"/>
  <c r="U400" i="16" a="1"/>
  <c r="U400" i="16" s="1"/>
  <c r="U401" i="16" a="1"/>
  <c r="U401" i="16" s="1"/>
  <c r="U402" i="16" a="1"/>
  <c r="U402" i="16" s="1"/>
  <c r="U403" i="16" a="1"/>
  <c r="U403" i="16" s="1"/>
  <c r="U404" i="16" a="1"/>
  <c r="U404" i="16" s="1"/>
  <c r="U405" i="16" a="1"/>
  <c r="U405" i="16" s="1"/>
  <c r="U406" i="16" a="1"/>
  <c r="U406" i="16" s="1"/>
  <c r="U407" i="16" a="1"/>
  <c r="U407" i="16" s="1"/>
  <c r="U408" i="16" a="1"/>
  <c r="U408" i="16" s="1"/>
  <c r="U409" i="16" a="1"/>
  <c r="U409" i="16" s="1"/>
  <c r="U410" i="16" a="1"/>
  <c r="U410" i="16" s="1"/>
  <c r="U411" i="16" a="1"/>
  <c r="U411" i="16" s="1"/>
  <c r="U412" i="16" a="1"/>
  <c r="U412" i="16" s="1"/>
  <c r="U413" i="16" a="1"/>
  <c r="U413" i="16" s="1"/>
  <c r="U414" i="16" a="1"/>
  <c r="U414" i="16" s="1"/>
  <c r="U415" i="16" a="1"/>
  <c r="U415" i="16" s="1"/>
  <c r="U416" i="16" a="1"/>
  <c r="U416" i="16" s="1"/>
  <c r="U417" i="16" a="1"/>
  <c r="U417" i="16" s="1"/>
  <c r="U418" i="16" a="1"/>
  <c r="U418" i="16" s="1"/>
  <c r="U419" i="16" a="1"/>
  <c r="U419" i="16" s="1"/>
  <c r="U420" i="16" a="1"/>
  <c r="U420" i="16" s="1"/>
  <c r="U421" i="16" a="1"/>
  <c r="U421" i="16" s="1"/>
  <c r="U422" i="16" a="1"/>
  <c r="U422" i="16" s="1"/>
  <c r="U423" i="16" a="1"/>
  <c r="U423" i="16" s="1"/>
  <c r="U424" i="16" a="1"/>
  <c r="U424" i="16" s="1"/>
  <c r="U425" i="16" a="1"/>
  <c r="U425" i="16" s="1"/>
  <c r="U426" i="16" a="1"/>
  <c r="U426" i="16" s="1"/>
  <c r="U427" i="16" a="1"/>
  <c r="U427" i="16" s="1"/>
  <c r="U428" i="16" a="1"/>
  <c r="U428" i="16" s="1"/>
  <c r="U429" i="16" a="1"/>
  <c r="U429" i="16" s="1"/>
  <c r="U430" i="16" a="1"/>
  <c r="U430" i="16" s="1"/>
  <c r="U431" i="16" a="1"/>
  <c r="U431" i="16" s="1"/>
  <c r="U432" i="16" a="1"/>
  <c r="U432" i="16" s="1"/>
  <c r="U433" i="16" a="1"/>
  <c r="U433" i="16" s="1"/>
  <c r="U434" i="16" a="1"/>
  <c r="U434" i="16" s="1"/>
  <c r="U435" i="16" a="1"/>
  <c r="U435" i="16" s="1"/>
  <c r="U436" i="16" a="1"/>
  <c r="U436" i="16" s="1"/>
  <c r="U437" i="16" a="1"/>
  <c r="U437" i="16" s="1"/>
  <c r="U438" i="16" a="1"/>
  <c r="U438" i="16" s="1"/>
  <c r="U439" i="16" a="1"/>
  <c r="U439" i="16" s="1"/>
  <c r="U440" i="16" a="1"/>
  <c r="U440" i="16" s="1"/>
  <c r="U441" i="16" a="1"/>
  <c r="U441" i="16" s="1"/>
  <c r="U442" i="16" a="1"/>
  <c r="U442" i="16" s="1"/>
  <c r="U443" i="16" a="1"/>
  <c r="U443" i="16" s="1"/>
  <c r="U444" i="16" a="1"/>
  <c r="U444" i="16" s="1"/>
  <c r="U445" i="16" a="1"/>
  <c r="U445" i="16" s="1"/>
  <c r="U446" i="16" a="1"/>
  <c r="U446" i="16" s="1"/>
  <c r="U447" i="16" a="1"/>
  <c r="U447" i="16" s="1"/>
  <c r="U448" i="16" a="1"/>
  <c r="U448" i="16" s="1"/>
  <c r="U449" i="16" a="1"/>
  <c r="U449" i="16" s="1"/>
  <c r="U450" i="16" a="1"/>
  <c r="U450" i="16" s="1"/>
  <c r="U451" i="16" a="1"/>
  <c r="U451" i="16" s="1"/>
  <c r="U452" i="16" a="1"/>
  <c r="U452" i="16" s="1"/>
  <c r="U453" i="16" a="1"/>
  <c r="U453" i="16" s="1"/>
  <c r="U454" i="16" a="1"/>
  <c r="U454" i="16" s="1"/>
  <c r="U455" i="16" a="1"/>
  <c r="U455" i="16" s="1"/>
  <c r="U456" i="16" a="1"/>
  <c r="U456" i="16" s="1"/>
  <c r="U457" i="16" a="1"/>
  <c r="U457" i="16" s="1"/>
  <c r="U458" i="16" a="1"/>
  <c r="U458" i="16" s="1"/>
  <c r="U459" i="16" a="1"/>
  <c r="U459" i="16" s="1"/>
  <c r="U460" i="16" a="1"/>
  <c r="U460" i="16" s="1"/>
  <c r="U461" i="16" a="1"/>
  <c r="U461" i="16" s="1"/>
  <c r="U462" i="16" a="1"/>
  <c r="U462" i="16" s="1"/>
  <c r="U463" i="16" a="1"/>
  <c r="U463" i="16" s="1"/>
  <c r="U464" i="16" a="1"/>
  <c r="U464" i="16" s="1"/>
  <c r="U465" i="16" a="1"/>
  <c r="U465" i="16" s="1"/>
  <c r="U466" i="16" a="1"/>
  <c r="U466" i="16" s="1"/>
  <c r="U467" i="16" a="1"/>
  <c r="U467" i="16" s="1"/>
  <c r="U468" i="16" a="1"/>
  <c r="U468" i="16" s="1"/>
  <c r="U469" i="16" a="1"/>
  <c r="U469" i="16" s="1"/>
  <c r="U470" i="16" a="1"/>
  <c r="U470" i="16" s="1"/>
  <c r="U471" i="16" a="1"/>
  <c r="U471" i="16" s="1"/>
  <c r="U472" i="16" a="1"/>
  <c r="U472" i="16" s="1"/>
  <c r="U473" i="16" a="1"/>
  <c r="U473" i="16" s="1"/>
  <c r="U474" i="16" a="1"/>
  <c r="U474" i="16" s="1"/>
  <c r="U475" i="16" a="1"/>
  <c r="U475" i="16" s="1"/>
  <c r="U476" i="16" a="1"/>
  <c r="U476" i="16" s="1"/>
  <c r="U477" i="16" a="1"/>
  <c r="U477" i="16" s="1"/>
  <c r="U478" i="16" a="1"/>
  <c r="U478" i="16" s="1"/>
  <c r="U479" i="16" a="1"/>
  <c r="U479" i="16" s="1"/>
  <c r="U480" i="16" a="1"/>
  <c r="U480" i="16" s="1"/>
  <c r="U481" i="16" a="1"/>
  <c r="U481" i="16" s="1"/>
  <c r="U482" i="16" a="1"/>
  <c r="U482" i="16" s="1"/>
  <c r="U483" i="16" a="1"/>
  <c r="U483" i="16" s="1"/>
  <c r="U484" i="16" a="1"/>
  <c r="U484" i="16" s="1"/>
  <c r="U485" i="16" a="1"/>
  <c r="U485" i="16" s="1"/>
  <c r="U486" i="16" a="1"/>
  <c r="U486" i="16" s="1"/>
  <c r="U487" i="16" a="1"/>
  <c r="U487" i="16" s="1"/>
  <c r="U488" i="16" a="1"/>
  <c r="U488" i="16" s="1"/>
  <c r="U489" i="16" a="1"/>
  <c r="U489" i="16" s="1"/>
  <c r="U490" i="16" a="1"/>
  <c r="U490" i="16" s="1"/>
  <c r="U491" i="16" a="1"/>
  <c r="U491" i="16" s="1"/>
  <c r="U492" i="16" a="1"/>
  <c r="U492" i="16" s="1"/>
  <c r="U493" i="16" a="1"/>
  <c r="U493" i="16" s="1"/>
  <c r="U494" i="16" a="1"/>
  <c r="U494" i="16" s="1"/>
  <c r="U495" i="16" a="1"/>
  <c r="U495" i="16" s="1"/>
  <c r="U496" i="16" a="1"/>
  <c r="U496" i="16" s="1"/>
  <c r="U497" i="16" a="1"/>
  <c r="U497" i="16" s="1"/>
  <c r="U498" i="16" a="1"/>
  <c r="U498" i="16" s="1"/>
  <c r="U499" i="16" a="1"/>
  <c r="U499" i="16" s="1"/>
  <c r="U500" i="16" a="1"/>
  <c r="U500" i="16" s="1"/>
  <c r="U501" i="16" a="1"/>
  <c r="U501" i="16" s="1"/>
  <c r="U502" i="16" a="1"/>
  <c r="U502" i="16" s="1"/>
  <c r="U503" i="16" a="1"/>
  <c r="U503" i="16" s="1"/>
  <c r="U504" i="16" a="1"/>
  <c r="U504" i="16" s="1"/>
  <c r="U505" i="16" a="1"/>
  <c r="U505" i="16" s="1"/>
  <c r="U506" i="16" a="1"/>
  <c r="U506" i="16" s="1"/>
  <c r="U507" i="16" a="1"/>
  <c r="U507" i="16" s="1"/>
  <c r="U508" i="16" a="1"/>
  <c r="U508" i="16" s="1"/>
  <c r="U509" i="16" a="1"/>
  <c r="U509" i="16" s="1"/>
  <c r="U510" i="16" a="1"/>
  <c r="U510" i="16" s="1"/>
  <c r="U511" i="16" a="1"/>
  <c r="U511" i="16" s="1"/>
  <c r="U512" i="16" a="1"/>
  <c r="U512" i="16" s="1"/>
  <c r="U513" i="16" a="1"/>
  <c r="U513" i="16" s="1"/>
  <c r="U514" i="16" a="1"/>
  <c r="U514" i="16" s="1"/>
  <c r="U515" i="16" a="1"/>
  <c r="U515" i="16" s="1"/>
  <c r="U516" i="16" a="1"/>
  <c r="U516" i="16" s="1"/>
  <c r="U517" i="16" a="1"/>
  <c r="U517" i="16" s="1"/>
  <c r="U518" i="16" a="1"/>
  <c r="U518" i="16" s="1"/>
  <c r="U519" i="16" a="1"/>
  <c r="U519" i="16" s="1"/>
  <c r="U520" i="16" a="1"/>
  <c r="U520" i="16" s="1"/>
  <c r="U521" i="16" a="1"/>
  <c r="U521" i="16" s="1"/>
  <c r="U522" i="16" a="1"/>
  <c r="U522" i="16" s="1"/>
  <c r="U523" i="16" a="1"/>
  <c r="U523" i="16" s="1"/>
  <c r="U524" i="16" a="1"/>
  <c r="U524" i="16" s="1"/>
  <c r="U525" i="16" a="1"/>
  <c r="U525" i="16" s="1"/>
  <c r="U526" i="16" a="1"/>
  <c r="U526" i="16" s="1"/>
  <c r="U527" i="16" a="1"/>
  <c r="U527" i="16" s="1"/>
  <c r="U528" i="16" a="1"/>
  <c r="U528" i="16" s="1"/>
  <c r="U529" i="16" a="1"/>
  <c r="U529" i="16" s="1"/>
  <c r="U530" i="16" a="1"/>
  <c r="U530" i="16" s="1"/>
  <c r="U531" i="16" a="1"/>
  <c r="U531" i="16" s="1"/>
  <c r="U532" i="16" a="1"/>
  <c r="U532" i="16" s="1"/>
  <c r="U533" i="16" a="1"/>
  <c r="U533" i="16" s="1"/>
  <c r="U534" i="16" a="1"/>
  <c r="U534" i="16" s="1"/>
  <c r="U535" i="16" a="1"/>
  <c r="U535" i="16" s="1"/>
  <c r="U536" i="16" a="1"/>
  <c r="U536" i="16" s="1"/>
  <c r="U537" i="16" a="1"/>
  <c r="U537" i="16" s="1"/>
  <c r="U538" i="16" a="1"/>
  <c r="U538" i="16" s="1"/>
  <c r="U539" i="16" a="1"/>
  <c r="U539" i="16" s="1"/>
  <c r="U540" i="16" a="1"/>
  <c r="U540" i="16" s="1"/>
  <c r="U541" i="16" a="1"/>
  <c r="U541" i="16" s="1"/>
  <c r="U542" i="16" a="1"/>
  <c r="U542" i="16" s="1"/>
  <c r="U543" i="16" a="1"/>
  <c r="U543" i="16" s="1"/>
  <c r="U544" i="16" a="1"/>
  <c r="U544" i="16" s="1"/>
  <c r="U545" i="16" a="1"/>
  <c r="U545" i="16" s="1"/>
  <c r="U546" i="16" a="1"/>
  <c r="U546" i="16" s="1"/>
  <c r="U547" i="16" a="1"/>
  <c r="U547" i="16" s="1"/>
  <c r="U548" i="16" a="1"/>
  <c r="U548" i="16" s="1"/>
  <c r="U549" i="16" a="1"/>
  <c r="U549" i="16" s="1"/>
  <c r="U550" i="16" a="1"/>
  <c r="U550" i="16" s="1"/>
  <c r="U551" i="16" a="1"/>
  <c r="U551" i="16" s="1"/>
  <c r="U552" i="16" a="1"/>
  <c r="U552" i="16" s="1"/>
  <c r="U553" i="16" a="1"/>
  <c r="U553" i="16" s="1"/>
  <c r="U554" i="16" a="1"/>
  <c r="U554" i="16" s="1"/>
  <c r="U555" i="16" a="1"/>
  <c r="U555" i="16" s="1"/>
  <c r="U556" i="16" a="1"/>
  <c r="U556" i="16" s="1"/>
  <c r="U557" i="16" a="1"/>
  <c r="U557" i="16" s="1"/>
  <c r="U558" i="16" a="1"/>
  <c r="U558" i="16" s="1"/>
  <c r="U559" i="16" a="1"/>
  <c r="U559" i="16" s="1"/>
  <c r="U560" i="16" a="1"/>
  <c r="U560" i="16" s="1"/>
  <c r="U561" i="16" a="1"/>
  <c r="U561" i="16" s="1"/>
  <c r="U562" i="16" a="1"/>
  <c r="U562" i="16" s="1"/>
  <c r="U563" i="16" a="1"/>
  <c r="U563" i="16" s="1"/>
  <c r="U564" i="16" a="1"/>
  <c r="U564" i="16" s="1"/>
  <c r="U565" i="16" a="1"/>
  <c r="U565" i="16" s="1"/>
  <c r="U566" i="16" a="1"/>
  <c r="U566" i="16" s="1"/>
  <c r="U567" i="16" a="1"/>
  <c r="U567" i="16" s="1"/>
  <c r="U568" i="16" a="1"/>
  <c r="U568" i="16" s="1"/>
  <c r="U569" i="16" a="1"/>
  <c r="U569" i="16" s="1"/>
  <c r="U570" i="16" a="1"/>
  <c r="U570" i="16" s="1"/>
  <c r="U571" i="16" a="1"/>
  <c r="U571" i="16" s="1"/>
  <c r="U572" i="16" a="1"/>
  <c r="U572" i="16" s="1"/>
  <c r="U573" i="16" a="1"/>
  <c r="U573" i="16" s="1"/>
  <c r="U574" i="16" a="1"/>
  <c r="U574" i="16" s="1"/>
  <c r="U575" i="16" a="1"/>
  <c r="U575" i="16" s="1"/>
  <c r="U576" i="16" a="1"/>
  <c r="U576" i="16" s="1"/>
  <c r="U577" i="16" a="1"/>
  <c r="U577" i="16" s="1"/>
  <c r="U578" i="16" a="1"/>
  <c r="U578" i="16" s="1"/>
  <c r="U579" i="16" a="1"/>
  <c r="U579" i="16" s="1"/>
  <c r="U580" i="16" a="1"/>
  <c r="U580" i="16" s="1"/>
  <c r="U581" i="16" a="1"/>
  <c r="U581" i="16" s="1"/>
  <c r="U582" i="16" a="1"/>
  <c r="U582" i="16" s="1"/>
  <c r="U583" i="16" a="1"/>
  <c r="U583" i="16" s="1"/>
  <c r="U584" i="16" a="1"/>
  <c r="U584" i="16" s="1"/>
  <c r="U585" i="16" a="1"/>
  <c r="U585" i="16" s="1"/>
  <c r="U586" i="16" a="1"/>
  <c r="U586" i="16" s="1"/>
  <c r="U587" i="16" a="1"/>
  <c r="U587" i="16" s="1"/>
  <c r="U588" i="16" a="1"/>
  <c r="U588" i="16" s="1"/>
  <c r="U589" i="16" a="1"/>
  <c r="U589" i="16" s="1"/>
  <c r="U590" i="16" a="1"/>
  <c r="U590" i="16" s="1"/>
  <c r="U591" i="16" a="1"/>
  <c r="U591" i="16" s="1"/>
  <c r="U592" i="16" a="1"/>
  <c r="U592" i="16" s="1"/>
  <c r="U593" i="16" a="1"/>
  <c r="U593" i="16" s="1"/>
  <c r="U594" i="16" a="1"/>
  <c r="U594" i="16" s="1"/>
  <c r="U595" i="16" a="1"/>
  <c r="U595" i="16" s="1"/>
  <c r="U596" i="16" a="1"/>
  <c r="U596" i="16" s="1"/>
  <c r="U597" i="16" a="1"/>
  <c r="U597" i="16" s="1"/>
  <c r="U598" i="16" a="1"/>
  <c r="U598" i="16" s="1"/>
  <c r="U599" i="16" a="1"/>
  <c r="U599" i="16" s="1"/>
  <c r="U600" i="16" a="1"/>
  <c r="U600" i="16" s="1"/>
  <c r="U601" i="16" a="1"/>
  <c r="U601" i="16" s="1"/>
  <c r="U602" i="16" a="1"/>
  <c r="U602" i="16" s="1"/>
  <c r="U603" i="16" a="1"/>
  <c r="U603" i="16" s="1"/>
  <c r="U604" i="16" a="1"/>
  <c r="U604" i="16" s="1"/>
  <c r="U605" i="16" a="1"/>
  <c r="U605" i="16" s="1"/>
  <c r="U606" i="16" a="1"/>
  <c r="U606" i="16" s="1"/>
  <c r="U607" i="16" a="1"/>
  <c r="U607" i="16" s="1"/>
  <c r="U608" i="16" a="1"/>
  <c r="U608" i="16" s="1"/>
  <c r="U609" i="16" a="1"/>
  <c r="U609" i="16" s="1"/>
  <c r="U610" i="16" a="1"/>
  <c r="U610" i="16" s="1"/>
  <c r="U611" i="16" a="1"/>
  <c r="U611" i="16" s="1"/>
  <c r="U612" i="16" a="1"/>
  <c r="U612" i="16" s="1"/>
  <c r="U613" i="16" a="1"/>
  <c r="U613" i="16" s="1"/>
  <c r="U614" i="16" a="1"/>
  <c r="U614" i="16" s="1"/>
  <c r="U615" i="16" a="1"/>
  <c r="U615" i="16" s="1"/>
  <c r="U616" i="16" a="1"/>
  <c r="U616" i="16" s="1"/>
  <c r="U617" i="16" a="1"/>
  <c r="U617" i="16" s="1"/>
  <c r="U618" i="16" a="1"/>
  <c r="U618" i="16" s="1"/>
  <c r="U619" i="16" a="1"/>
  <c r="U619" i="16" s="1"/>
  <c r="U620" i="16" a="1"/>
  <c r="U620" i="16" s="1"/>
  <c r="U621" i="16" a="1"/>
  <c r="U621" i="16" s="1"/>
  <c r="U622" i="16" a="1"/>
  <c r="U622" i="16" s="1"/>
  <c r="U623" i="16" a="1"/>
  <c r="U623" i="16" s="1"/>
  <c r="U624" i="16" a="1"/>
  <c r="U624" i="16" s="1"/>
  <c r="U625" i="16" a="1"/>
  <c r="U625" i="16" s="1"/>
  <c r="U626" i="16" a="1"/>
  <c r="U626" i="16" s="1"/>
  <c r="U627" i="16" a="1"/>
  <c r="U627" i="16" s="1"/>
  <c r="U628" i="16" a="1"/>
  <c r="U628" i="16" s="1"/>
  <c r="U629" i="16" a="1"/>
  <c r="U629" i="16" s="1"/>
  <c r="U630" i="16" a="1"/>
  <c r="U630" i="16" s="1"/>
  <c r="U631" i="16" a="1"/>
  <c r="U631" i="16" s="1"/>
  <c r="U632" i="16" a="1"/>
  <c r="U632" i="16" s="1"/>
  <c r="U633" i="16" a="1"/>
  <c r="U633" i="16" s="1"/>
  <c r="U634" i="16" a="1"/>
  <c r="U634" i="16" s="1"/>
  <c r="U635" i="16" a="1"/>
  <c r="U635" i="16" s="1"/>
  <c r="U636" i="16" a="1"/>
  <c r="U636" i="16" s="1"/>
  <c r="U637" i="16" a="1"/>
  <c r="U637" i="16" s="1"/>
  <c r="U638" i="16" a="1"/>
  <c r="U638" i="16" s="1"/>
  <c r="U639" i="16" a="1"/>
  <c r="U639" i="16" s="1"/>
  <c r="U640" i="16" a="1"/>
  <c r="U640" i="16" s="1"/>
  <c r="U641" i="16" a="1"/>
  <c r="U641" i="16" s="1"/>
  <c r="U642" i="16" a="1"/>
  <c r="U642" i="16" s="1"/>
  <c r="U643" i="16" a="1"/>
  <c r="U643" i="16" s="1"/>
  <c r="U644" i="16" a="1"/>
  <c r="U644" i="16" s="1"/>
  <c r="U645" i="16" a="1"/>
  <c r="U645" i="16" s="1"/>
  <c r="U646" i="16" a="1"/>
  <c r="U646" i="16" s="1"/>
  <c r="U647" i="16" a="1"/>
  <c r="U647" i="16" s="1"/>
  <c r="U648" i="16" a="1"/>
  <c r="U648" i="16" s="1"/>
  <c r="U649" i="16" a="1"/>
  <c r="U649" i="16" s="1"/>
  <c r="U650" i="16" a="1"/>
  <c r="U650" i="16" s="1"/>
  <c r="U651" i="16" a="1"/>
  <c r="U651" i="16" s="1"/>
  <c r="U652" i="16" a="1"/>
  <c r="U652" i="16" s="1"/>
  <c r="U653" i="16" a="1"/>
  <c r="U653" i="16" s="1"/>
  <c r="U654" i="16" a="1"/>
  <c r="U654" i="16" s="1"/>
  <c r="U655" i="16" a="1"/>
  <c r="U655" i="16" s="1"/>
  <c r="U656" i="16" a="1"/>
  <c r="U656" i="16" s="1"/>
  <c r="U657" i="16" a="1"/>
  <c r="U657" i="16" s="1"/>
  <c r="U658" i="16" a="1"/>
  <c r="U658" i="16" s="1"/>
  <c r="U659" i="16" a="1"/>
  <c r="U659" i="16" s="1"/>
  <c r="U660" i="16" a="1"/>
  <c r="U660" i="16" s="1"/>
  <c r="U661" i="16" a="1"/>
  <c r="U661" i="16" s="1"/>
  <c r="U662" i="16" a="1"/>
  <c r="U662" i="16" s="1"/>
  <c r="U663" i="16" a="1"/>
  <c r="U663" i="16" s="1"/>
  <c r="U664" i="16" a="1"/>
  <c r="U664" i="16" s="1"/>
  <c r="U665" i="16" a="1"/>
  <c r="U665" i="16" s="1"/>
  <c r="U666" i="16" a="1"/>
  <c r="U666" i="16" s="1"/>
  <c r="U667" i="16" a="1"/>
  <c r="U667" i="16" s="1"/>
  <c r="U668" i="16" a="1"/>
  <c r="U668" i="16" s="1"/>
  <c r="U669" i="16" a="1"/>
  <c r="U669" i="16" s="1"/>
  <c r="U670" i="16" a="1"/>
  <c r="U670" i="16" s="1"/>
  <c r="U671" i="16" a="1"/>
  <c r="U671" i="16" s="1"/>
  <c r="U672" i="16" a="1"/>
  <c r="U672" i="16" s="1"/>
  <c r="U673" i="16" a="1"/>
  <c r="U673" i="16" s="1"/>
  <c r="U674" i="16" a="1"/>
  <c r="U674" i="16" s="1"/>
  <c r="U675" i="16" a="1"/>
  <c r="U675" i="16" s="1"/>
  <c r="U676" i="16" a="1"/>
  <c r="U676" i="16" s="1"/>
  <c r="U677" i="16" a="1"/>
  <c r="U677" i="16" s="1"/>
  <c r="U678" i="16" a="1"/>
  <c r="U678" i="16" s="1"/>
  <c r="U679" i="16" a="1"/>
  <c r="U679" i="16" s="1"/>
  <c r="U680" i="16" a="1"/>
  <c r="U680" i="16" s="1"/>
  <c r="U681" i="16" a="1"/>
  <c r="U681" i="16" s="1"/>
  <c r="U682" i="16" a="1"/>
  <c r="U682" i="16" s="1"/>
  <c r="U683" i="16" a="1"/>
  <c r="U683" i="16" s="1"/>
  <c r="U684" i="16" a="1"/>
  <c r="U684" i="16" s="1"/>
  <c r="U685" i="16" a="1"/>
  <c r="U685" i="16" s="1"/>
  <c r="U686" i="16" a="1"/>
  <c r="U686" i="16" s="1"/>
  <c r="U687" i="16" a="1"/>
  <c r="U687" i="16" s="1"/>
  <c r="U688" i="16" a="1"/>
  <c r="U688" i="16" s="1"/>
  <c r="U689" i="16" a="1"/>
  <c r="U689" i="16" s="1"/>
  <c r="U690" i="16" a="1"/>
  <c r="U690" i="16" s="1"/>
  <c r="U691" i="16" a="1"/>
  <c r="U691" i="16" s="1"/>
  <c r="U692" i="16" a="1"/>
  <c r="U692" i="16" s="1"/>
  <c r="U693" i="16" a="1"/>
  <c r="U693" i="16" s="1"/>
  <c r="U694" i="16" a="1"/>
  <c r="U694" i="16" s="1"/>
  <c r="U695" i="16" a="1"/>
  <c r="U695" i="16" s="1"/>
  <c r="U696" i="16" a="1"/>
  <c r="U696" i="16" s="1"/>
  <c r="U697" i="16" a="1"/>
  <c r="U697" i="16" s="1"/>
  <c r="U698" i="16" a="1"/>
  <c r="U698" i="16" s="1"/>
  <c r="U699" i="16" a="1"/>
  <c r="U699" i="16" s="1"/>
  <c r="U700" i="16" a="1"/>
  <c r="U700" i="16" s="1"/>
  <c r="U701" i="16" a="1"/>
  <c r="U701" i="16" s="1"/>
  <c r="U702" i="16" a="1"/>
  <c r="U702" i="16" s="1"/>
  <c r="U703" i="16" a="1"/>
  <c r="U703" i="16" s="1"/>
  <c r="U704" i="16" a="1"/>
  <c r="U704" i="16" s="1"/>
  <c r="U705" i="16" a="1"/>
  <c r="U705" i="16" s="1"/>
  <c r="U706" i="16" a="1"/>
  <c r="U706" i="16" s="1"/>
  <c r="U707" i="16" a="1"/>
  <c r="U707" i="16" s="1"/>
  <c r="U708" i="16" a="1"/>
  <c r="U708" i="16" s="1"/>
  <c r="U709" i="16" a="1"/>
  <c r="U709" i="16" s="1"/>
  <c r="U710" i="16" a="1"/>
  <c r="U710" i="16" s="1"/>
  <c r="U711" i="16" a="1"/>
  <c r="U711" i="16" s="1"/>
  <c r="U712" i="16" a="1"/>
  <c r="U712" i="16" s="1"/>
  <c r="U713" i="16" a="1"/>
  <c r="U713" i="16" s="1"/>
  <c r="U714" i="16" a="1"/>
  <c r="U714" i="16" s="1"/>
  <c r="U715" i="16" a="1"/>
  <c r="U715" i="16" s="1"/>
  <c r="U716" i="16" a="1"/>
  <c r="U716" i="16" s="1"/>
  <c r="U717" i="16" a="1"/>
  <c r="U717" i="16" s="1"/>
  <c r="U718" i="16" a="1"/>
  <c r="U718" i="16" s="1"/>
  <c r="U719" i="16" a="1"/>
  <c r="U719" i="16" s="1"/>
  <c r="U720" i="16" a="1"/>
  <c r="U720" i="16" s="1"/>
  <c r="U721" i="16" a="1"/>
  <c r="U721" i="16" s="1"/>
  <c r="U722" i="16" a="1"/>
  <c r="U722" i="16" s="1"/>
  <c r="U723" i="16" a="1"/>
  <c r="U723" i="16" s="1"/>
  <c r="U724" i="16" a="1"/>
  <c r="U724" i="16" s="1"/>
  <c r="U725" i="16" a="1"/>
  <c r="U725" i="16" s="1"/>
  <c r="U726" i="16" a="1"/>
  <c r="U726" i="16" s="1"/>
  <c r="U727" i="16" a="1"/>
  <c r="U727" i="16" s="1"/>
  <c r="U728" i="16" a="1"/>
  <c r="U728" i="16" s="1"/>
  <c r="U729" i="16" a="1"/>
  <c r="U729" i="16" s="1"/>
  <c r="U730" i="16" a="1"/>
  <c r="U730" i="16" s="1"/>
  <c r="U731" i="16" a="1"/>
  <c r="U731" i="16" s="1"/>
  <c r="U732" i="16" a="1"/>
  <c r="U732" i="16" s="1"/>
  <c r="U733" i="16" a="1"/>
  <c r="U733" i="16" s="1"/>
  <c r="U734" i="16" a="1"/>
  <c r="U734" i="16" s="1"/>
  <c r="U735" i="16" a="1"/>
  <c r="U735" i="16" s="1"/>
  <c r="U736" i="16" a="1"/>
  <c r="U736" i="16" s="1"/>
  <c r="U737" i="16" a="1"/>
  <c r="U737" i="16" s="1"/>
  <c r="U738" i="16" a="1"/>
  <c r="U738" i="16" s="1"/>
  <c r="U739" i="16" a="1"/>
  <c r="U739" i="16" s="1"/>
  <c r="U740" i="16" a="1"/>
  <c r="U740" i="16" s="1"/>
  <c r="U741" i="16" a="1"/>
  <c r="U741" i="16" s="1"/>
  <c r="U742" i="16" a="1"/>
  <c r="U742" i="16" s="1"/>
  <c r="U743" i="16" a="1"/>
  <c r="U743" i="16" s="1"/>
  <c r="U744" i="16" a="1"/>
  <c r="U744" i="16" s="1"/>
  <c r="U745" i="16" a="1"/>
  <c r="U745" i="16" s="1"/>
  <c r="U746" i="16" a="1"/>
  <c r="U746" i="16" s="1"/>
  <c r="U747" i="16" a="1"/>
  <c r="U747" i="16" s="1"/>
  <c r="U748" i="16" a="1"/>
  <c r="U748" i="16" s="1"/>
  <c r="U749" i="16" a="1"/>
  <c r="U749" i="16" s="1"/>
  <c r="U750" i="16" a="1"/>
  <c r="U750" i="16" s="1"/>
  <c r="U751" i="16" a="1"/>
  <c r="U751" i="16" s="1"/>
  <c r="U752" i="16" a="1"/>
  <c r="U752" i="16" s="1"/>
  <c r="U753" i="16" a="1"/>
  <c r="U753" i="16" s="1"/>
  <c r="U754" i="16" a="1"/>
  <c r="U754" i="16" s="1"/>
  <c r="U755" i="16" a="1"/>
  <c r="U755" i="16" s="1"/>
  <c r="U756" i="16" a="1"/>
  <c r="U756" i="16" s="1"/>
  <c r="U757" i="16" a="1"/>
  <c r="U757" i="16" s="1"/>
  <c r="U758" i="16" a="1"/>
  <c r="U758" i="16" s="1"/>
  <c r="U759" i="16" a="1"/>
  <c r="U759" i="16" s="1"/>
  <c r="U760" i="16" a="1"/>
  <c r="U760" i="16" s="1"/>
  <c r="U761" i="16" a="1"/>
  <c r="U761" i="16" s="1"/>
  <c r="U762" i="16" a="1"/>
  <c r="U762" i="16" s="1"/>
  <c r="U763" i="16" a="1"/>
  <c r="U763" i="16" s="1"/>
  <c r="U764" i="16" a="1"/>
  <c r="U764" i="16" s="1"/>
  <c r="U765" i="16" a="1"/>
  <c r="U765" i="16" s="1"/>
  <c r="U766" i="16" a="1"/>
  <c r="U766" i="16" s="1"/>
  <c r="U767" i="16" a="1"/>
  <c r="U767" i="16" s="1"/>
  <c r="U768" i="16" a="1"/>
  <c r="U768" i="16" s="1"/>
  <c r="U769" i="16" a="1"/>
  <c r="U769" i="16" s="1"/>
  <c r="U770" i="16" a="1"/>
  <c r="U770" i="16" s="1"/>
  <c r="U771" i="16" a="1"/>
  <c r="U771" i="16" s="1"/>
  <c r="U772" i="16" a="1"/>
  <c r="U772" i="16" s="1"/>
  <c r="U773" i="16" a="1"/>
  <c r="U773" i="16" s="1"/>
  <c r="U774" i="16" a="1"/>
  <c r="U774" i="16" s="1"/>
  <c r="U775" i="16" a="1"/>
  <c r="U775" i="16" s="1"/>
  <c r="U776" i="16" a="1"/>
  <c r="U776" i="16" s="1"/>
  <c r="U777" i="16" a="1"/>
  <c r="U777" i="16" s="1"/>
  <c r="U778" i="16" a="1"/>
  <c r="U778" i="16" s="1"/>
  <c r="U779" i="16" a="1"/>
  <c r="U779" i="16" s="1"/>
  <c r="U780" i="16" a="1"/>
  <c r="U780" i="16" s="1"/>
  <c r="U781" i="16" a="1"/>
  <c r="U781" i="16" s="1"/>
  <c r="U782" i="16" a="1"/>
  <c r="U782" i="16" s="1"/>
  <c r="U783" i="16" a="1"/>
  <c r="U783" i="16" s="1"/>
  <c r="U784" i="16" a="1"/>
  <c r="U784" i="16" s="1"/>
  <c r="U785" i="16" a="1"/>
  <c r="U785" i="16" s="1"/>
  <c r="U786" i="16" a="1"/>
  <c r="U786" i="16" s="1"/>
  <c r="U787" i="16" a="1"/>
  <c r="U787" i="16" s="1"/>
  <c r="U788" i="16" a="1"/>
  <c r="U788" i="16" s="1"/>
  <c r="U789" i="16" a="1"/>
  <c r="U789" i="16" s="1"/>
  <c r="U790" i="16" a="1"/>
  <c r="U790" i="16" s="1"/>
  <c r="U791" i="16" a="1"/>
  <c r="U791" i="16" s="1"/>
  <c r="U792" i="16" a="1"/>
  <c r="U792" i="16" s="1"/>
  <c r="U793" i="16" a="1"/>
  <c r="U793" i="16" s="1"/>
  <c r="U794" i="16" a="1"/>
  <c r="U794" i="16" s="1"/>
  <c r="U795" i="16" a="1"/>
  <c r="U795" i="16" s="1"/>
  <c r="U796" i="16" a="1"/>
  <c r="U796" i="16" s="1"/>
  <c r="U797" i="16" a="1"/>
  <c r="U797" i="16" s="1"/>
  <c r="U798" i="16" a="1"/>
  <c r="U798" i="16" s="1"/>
  <c r="U799" i="16" a="1"/>
  <c r="U799" i="16" s="1"/>
  <c r="U800" i="16" a="1"/>
  <c r="U800" i="16" s="1"/>
  <c r="U801" i="16" a="1"/>
  <c r="U801" i="16" s="1"/>
  <c r="U802" i="16" a="1"/>
  <c r="U802" i="16" s="1"/>
  <c r="U803" i="16" a="1"/>
  <c r="U803" i="16" s="1"/>
  <c r="U804" i="16" a="1"/>
  <c r="U804" i="16" s="1"/>
  <c r="U805" i="16" a="1"/>
  <c r="U805" i="16" s="1"/>
  <c r="U806" i="16" a="1"/>
  <c r="U806" i="16" s="1"/>
  <c r="U807" i="16" a="1"/>
  <c r="U807" i="16" s="1"/>
  <c r="U808" i="16" a="1"/>
  <c r="U808" i="16" s="1"/>
  <c r="U809" i="16" a="1"/>
  <c r="U809" i="16" s="1"/>
  <c r="U810" i="16" a="1"/>
  <c r="U810" i="16" s="1"/>
  <c r="U811" i="16" a="1"/>
  <c r="U811" i="16" s="1"/>
  <c r="U812" i="16" a="1"/>
  <c r="U812" i="16" s="1"/>
  <c r="U813" i="16" a="1"/>
  <c r="U813" i="16" s="1"/>
  <c r="U814" i="16" a="1"/>
  <c r="U814" i="16" s="1"/>
  <c r="U815" i="16" a="1"/>
  <c r="U815" i="16" s="1"/>
  <c r="U816" i="16" a="1"/>
  <c r="U816" i="16" s="1"/>
  <c r="U817" i="16" a="1"/>
  <c r="U817" i="16" s="1"/>
  <c r="U818" i="16" a="1"/>
  <c r="U818" i="16" s="1"/>
  <c r="U819" i="16" a="1"/>
  <c r="U819" i="16" s="1"/>
  <c r="U820" i="16" a="1"/>
  <c r="U820" i="16" s="1"/>
  <c r="U821" i="16" a="1"/>
  <c r="U821" i="16" s="1"/>
  <c r="U822" i="16" a="1"/>
  <c r="U822" i="16" s="1"/>
  <c r="U823" i="16" a="1"/>
  <c r="U823" i="16" s="1"/>
  <c r="U824" i="16" a="1"/>
  <c r="U824" i="16" s="1"/>
  <c r="U825" i="16" a="1"/>
  <c r="U825" i="16" s="1"/>
  <c r="U826" i="16" a="1"/>
  <c r="U826" i="16" s="1"/>
  <c r="U827" i="16" a="1"/>
  <c r="U827" i="16" s="1"/>
  <c r="U828" i="16" a="1"/>
  <c r="U828" i="16" s="1"/>
  <c r="U829" i="16" a="1"/>
  <c r="U829" i="16" s="1"/>
  <c r="U830" i="16" a="1"/>
  <c r="U830" i="16" s="1"/>
  <c r="U831" i="16" a="1"/>
  <c r="U831" i="16" s="1"/>
  <c r="U832" i="16" a="1"/>
  <c r="U832" i="16" s="1"/>
  <c r="U833" i="16" a="1"/>
  <c r="U833" i="16" s="1"/>
  <c r="U834" i="16" a="1"/>
  <c r="U834" i="16" s="1"/>
  <c r="U835" i="16" a="1"/>
  <c r="U835" i="16" s="1"/>
  <c r="U836" i="16" a="1"/>
  <c r="U836" i="16" s="1"/>
  <c r="U837" i="16" a="1"/>
  <c r="U837" i="16" s="1"/>
  <c r="U838" i="16" a="1"/>
  <c r="U838" i="16" s="1"/>
  <c r="U839" i="16" a="1"/>
  <c r="U839" i="16" s="1"/>
  <c r="U840" i="16" a="1"/>
  <c r="U840" i="16" s="1"/>
  <c r="U841" i="16" a="1"/>
  <c r="U841" i="16" s="1"/>
  <c r="U842" i="16" a="1"/>
  <c r="U842" i="16" s="1"/>
  <c r="U843" i="16" a="1"/>
  <c r="U843" i="16" s="1"/>
  <c r="U844" i="16" a="1"/>
  <c r="U844" i="16" s="1"/>
  <c r="U845" i="16" a="1"/>
  <c r="U845" i="16" s="1"/>
  <c r="U846" i="16" a="1"/>
  <c r="U846" i="16" s="1"/>
  <c r="U847" i="16" a="1"/>
  <c r="U847" i="16" s="1"/>
  <c r="U848" i="16" a="1"/>
  <c r="U848" i="16" s="1"/>
  <c r="U849" i="16" a="1"/>
  <c r="U849" i="16" s="1"/>
  <c r="U850" i="16" a="1"/>
  <c r="U850" i="16" s="1"/>
  <c r="U851" i="16" a="1"/>
  <c r="U851" i="16" s="1"/>
  <c r="U852" i="16" a="1"/>
  <c r="U852" i="16" s="1"/>
  <c r="U853" i="16" a="1"/>
  <c r="U853" i="16" s="1"/>
  <c r="U854" i="16" a="1"/>
  <c r="U854" i="16" s="1"/>
  <c r="U855" i="16" a="1"/>
  <c r="U855" i="16" s="1"/>
  <c r="U856" i="16" a="1"/>
  <c r="U856" i="16" s="1"/>
  <c r="U857" i="16" a="1"/>
  <c r="U857" i="16" s="1"/>
  <c r="U858" i="16" a="1"/>
  <c r="U858" i="16" s="1"/>
  <c r="U859" i="16" a="1"/>
  <c r="U859" i="16" s="1"/>
  <c r="U860" i="16" a="1"/>
  <c r="U860" i="16" s="1"/>
  <c r="U861" i="16" a="1"/>
  <c r="U861" i="16" s="1"/>
  <c r="U862" i="16" a="1"/>
  <c r="U862" i="16" s="1"/>
  <c r="U863" i="16" a="1"/>
  <c r="U863" i="16" s="1"/>
  <c r="U864" i="16" a="1"/>
  <c r="U864" i="16" s="1"/>
  <c r="U865" i="16" a="1"/>
  <c r="U865" i="16" s="1"/>
  <c r="U866" i="16" a="1"/>
  <c r="U866" i="16" s="1"/>
  <c r="U867" i="16" a="1"/>
  <c r="U867" i="16" s="1"/>
  <c r="U868" i="16" a="1"/>
  <c r="U868" i="16" s="1"/>
  <c r="U869" i="16" a="1"/>
  <c r="U869" i="16" s="1"/>
  <c r="U870" i="16" a="1"/>
  <c r="U870" i="16" s="1"/>
  <c r="U871" i="16" a="1"/>
  <c r="U871" i="16" s="1"/>
  <c r="U872" i="16" a="1"/>
  <c r="U872" i="16" s="1"/>
  <c r="U873" i="16" a="1"/>
  <c r="U873" i="16" s="1"/>
  <c r="U874" i="16" a="1"/>
  <c r="U874" i="16" s="1"/>
  <c r="U875" i="16" a="1"/>
  <c r="U875" i="16" s="1"/>
  <c r="U876" i="16" a="1"/>
  <c r="U876" i="16" s="1"/>
  <c r="U877" i="16" a="1"/>
  <c r="U877" i="16" s="1"/>
  <c r="U878" i="16" a="1"/>
  <c r="U878" i="16" s="1"/>
  <c r="U879" i="16" a="1"/>
  <c r="U879" i="16" s="1"/>
  <c r="U880" i="16" a="1"/>
  <c r="U880" i="16" s="1"/>
  <c r="U881" i="16" a="1"/>
  <c r="U881" i="16" s="1"/>
  <c r="U882" i="16" a="1"/>
  <c r="U882" i="16" s="1"/>
  <c r="U883" i="16" a="1"/>
  <c r="U883" i="16" s="1"/>
  <c r="U884" i="16" a="1"/>
  <c r="U884" i="16" s="1"/>
  <c r="U885" i="16" a="1"/>
  <c r="U885" i="16" s="1"/>
  <c r="U886" i="16" a="1"/>
  <c r="U886" i="16" s="1"/>
  <c r="U887" i="16" a="1"/>
  <c r="U887" i="16" s="1"/>
  <c r="U888" i="16" a="1"/>
  <c r="U888" i="16" s="1"/>
  <c r="U889" i="16" a="1"/>
  <c r="U889" i="16" s="1"/>
  <c r="U890" i="16" a="1"/>
  <c r="U890" i="16" s="1"/>
  <c r="U891" i="16" a="1"/>
  <c r="U891" i="16" s="1"/>
  <c r="U892" i="16" a="1"/>
  <c r="U892" i="16" s="1"/>
  <c r="U893" i="16" a="1"/>
  <c r="U893" i="16" s="1"/>
  <c r="U894" i="16" a="1"/>
  <c r="U894" i="16" s="1"/>
  <c r="U895" i="16" a="1"/>
  <c r="U895" i="16" s="1"/>
  <c r="U896" i="16" a="1"/>
  <c r="U896" i="16" s="1"/>
  <c r="U897" i="16" a="1"/>
  <c r="U897" i="16" s="1"/>
  <c r="U898" i="16" a="1"/>
  <c r="U898" i="16" s="1"/>
  <c r="U899" i="16" a="1"/>
  <c r="U899" i="16" s="1"/>
  <c r="U900" i="16" a="1"/>
  <c r="U900" i="16" s="1"/>
  <c r="U901" i="16" a="1"/>
  <c r="U901" i="16" s="1"/>
  <c r="U902" i="16" a="1"/>
  <c r="U902" i="16" s="1"/>
  <c r="U903" i="16" a="1"/>
  <c r="U903" i="16" s="1"/>
  <c r="U904" i="16" a="1"/>
  <c r="U904" i="16" s="1"/>
  <c r="U905" i="16" a="1"/>
  <c r="U905" i="16" s="1"/>
  <c r="U906" i="16" a="1"/>
  <c r="U906" i="16" s="1"/>
  <c r="U907" i="16" a="1"/>
  <c r="U907" i="16" s="1"/>
  <c r="U908" i="16" a="1"/>
  <c r="U908" i="16" s="1"/>
  <c r="U909" i="16" a="1"/>
  <c r="U909" i="16" s="1"/>
  <c r="U910" i="16" a="1"/>
  <c r="U910" i="16" s="1"/>
  <c r="U911" i="16" a="1"/>
  <c r="U911" i="16" s="1"/>
  <c r="U912" i="16" a="1"/>
  <c r="U912" i="16" s="1"/>
  <c r="U913" i="16" a="1"/>
  <c r="U913" i="16" s="1"/>
  <c r="U914" i="16" a="1"/>
  <c r="U914" i="16" s="1"/>
  <c r="U915" i="16" a="1"/>
  <c r="U915" i="16" s="1"/>
  <c r="U916" i="16" a="1"/>
  <c r="U916" i="16" s="1"/>
  <c r="U917" i="16" a="1"/>
  <c r="U917" i="16" s="1"/>
  <c r="U918" i="16" a="1"/>
  <c r="U918" i="16" s="1"/>
  <c r="U919" i="16" a="1"/>
  <c r="U919" i="16" s="1"/>
  <c r="U920" i="16" a="1"/>
  <c r="U920" i="16" s="1"/>
  <c r="U921" i="16" a="1"/>
  <c r="U921" i="16" s="1"/>
  <c r="U922" i="16" a="1"/>
  <c r="U922" i="16" s="1"/>
  <c r="U923" i="16" a="1"/>
  <c r="U923" i="16" s="1"/>
  <c r="U924" i="16" a="1"/>
  <c r="U924" i="16" s="1"/>
  <c r="U925" i="16" a="1"/>
  <c r="U925" i="16" s="1"/>
  <c r="U926" i="16" a="1"/>
  <c r="U926" i="16" s="1"/>
  <c r="U927" i="16" a="1"/>
  <c r="U927" i="16" s="1"/>
  <c r="U928" i="16" a="1"/>
  <c r="U928" i="16" s="1"/>
  <c r="U929" i="16" a="1"/>
  <c r="U929" i="16" s="1"/>
  <c r="U930" i="16" a="1"/>
  <c r="U930" i="16" s="1"/>
  <c r="U931" i="16" a="1"/>
  <c r="U931" i="16" s="1"/>
  <c r="U932" i="16" a="1"/>
  <c r="U932" i="16" s="1"/>
  <c r="U933" i="16" a="1"/>
  <c r="U933" i="16" s="1"/>
  <c r="U934" i="16" a="1"/>
  <c r="U934" i="16" s="1"/>
  <c r="U935" i="16" a="1"/>
  <c r="U935" i="16" s="1"/>
  <c r="U936" i="16" a="1"/>
  <c r="U936" i="16" s="1"/>
  <c r="U937" i="16" a="1"/>
  <c r="U937" i="16" s="1"/>
  <c r="U938" i="16" a="1"/>
  <c r="U938" i="16" s="1"/>
  <c r="U939" i="16" a="1"/>
  <c r="U939" i="16" s="1"/>
  <c r="U940" i="16" a="1"/>
  <c r="U940" i="16" s="1"/>
  <c r="U941" i="16" a="1"/>
  <c r="U941" i="16" s="1"/>
  <c r="U942" i="16" a="1"/>
  <c r="U942" i="16" s="1"/>
  <c r="U943" i="16" a="1"/>
  <c r="U943" i="16" s="1"/>
  <c r="U944" i="16" a="1"/>
  <c r="U944" i="16" s="1"/>
  <c r="U945" i="16" a="1"/>
  <c r="U945" i="16" s="1"/>
  <c r="U946" i="16" a="1"/>
  <c r="U946" i="16" s="1"/>
  <c r="U947" i="16" a="1"/>
  <c r="U947" i="16" s="1"/>
  <c r="U948" i="16" a="1"/>
  <c r="U948" i="16" s="1"/>
  <c r="U949" i="16" a="1"/>
  <c r="U949" i="16" s="1"/>
  <c r="U950" i="16" a="1"/>
  <c r="U950" i="16" s="1"/>
  <c r="U951" i="16" a="1"/>
  <c r="U951" i="16" s="1"/>
  <c r="U952" i="16" a="1"/>
  <c r="U952" i="16" s="1"/>
  <c r="U953" i="16" a="1"/>
  <c r="U953" i="16" s="1"/>
  <c r="U954" i="16" a="1"/>
  <c r="U954" i="16" s="1"/>
  <c r="U955" i="16" a="1"/>
  <c r="U955" i="16" s="1"/>
  <c r="U956" i="16" a="1"/>
  <c r="U956" i="16" s="1"/>
  <c r="U957" i="16" a="1"/>
  <c r="U957" i="16" s="1"/>
  <c r="U958" i="16" a="1"/>
  <c r="U958" i="16" s="1"/>
  <c r="U959" i="16" a="1"/>
  <c r="U959" i="16" s="1"/>
  <c r="U960" i="16" a="1"/>
  <c r="U960" i="16" s="1"/>
  <c r="U961" i="16" a="1"/>
  <c r="U961" i="16" s="1"/>
  <c r="U962" i="16" a="1"/>
  <c r="U962" i="16" s="1"/>
  <c r="U963" i="16" a="1"/>
  <c r="U963" i="16" s="1"/>
  <c r="U964" i="16" a="1"/>
  <c r="U964" i="16" s="1"/>
  <c r="U965" i="16" a="1"/>
  <c r="U965" i="16" s="1"/>
  <c r="U966" i="16" a="1"/>
  <c r="U966" i="16" s="1"/>
  <c r="U967" i="16" a="1"/>
  <c r="U967" i="16" s="1"/>
  <c r="U968" i="16" a="1"/>
  <c r="U968" i="16" s="1"/>
  <c r="U969" i="16" a="1"/>
  <c r="U969" i="16" s="1"/>
  <c r="U970" i="16" a="1"/>
  <c r="U970" i="16" s="1"/>
  <c r="U971" i="16" a="1"/>
  <c r="U971" i="16" s="1"/>
  <c r="U972" i="16" a="1"/>
  <c r="U972" i="16" s="1"/>
  <c r="U973" i="16" a="1"/>
  <c r="U973" i="16" s="1"/>
  <c r="U974" i="16" a="1"/>
  <c r="U974" i="16" s="1"/>
  <c r="U975" i="16" a="1"/>
  <c r="U975" i="16" s="1"/>
  <c r="U976" i="16" a="1"/>
  <c r="U976" i="16" s="1"/>
  <c r="U977" i="16" a="1"/>
  <c r="U977" i="16" s="1"/>
  <c r="U978" i="16" a="1"/>
  <c r="U978" i="16" s="1"/>
  <c r="U979" i="16" a="1"/>
  <c r="U979" i="16" s="1"/>
  <c r="U980" i="16" a="1"/>
  <c r="U980" i="16" s="1"/>
  <c r="U981" i="16" a="1"/>
  <c r="U981" i="16" s="1"/>
  <c r="U982" i="16" a="1"/>
  <c r="U982" i="16" s="1"/>
  <c r="U983" i="16" a="1"/>
  <c r="U983" i="16" s="1"/>
  <c r="U984" i="16" a="1"/>
  <c r="U984" i="16" s="1"/>
  <c r="U985" i="16" a="1"/>
  <c r="U985" i="16" s="1"/>
  <c r="U986" i="16" a="1"/>
  <c r="U986" i="16" s="1"/>
  <c r="U987" i="16" a="1"/>
  <c r="U987" i="16" s="1"/>
  <c r="U988" i="16" a="1"/>
  <c r="U988" i="16" s="1"/>
  <c r="U989" i="16" a="1"/>
  <c r="U989" i="16" s="1"/>
  <c r="U990" i="16" a="1"/>
  <c r="U990" i="16" s="1"/>
  <c r="U991" i="16" a="1"/>
  <c r="U991" i="16" s="1"/>
  <c r="U992" i="16" a="1"/>
  <c r="U992" i="16" s="1"/>
  <c r="U993" i="16" a="1"/>
  <c r="U993" i="16" s="1"/>
  <c r="U994" i="16" a="1"/>
  <c r="U994" i="16" s="1"/>
  <c r="U995" i="16" a="1"/>
  <c r="U995" i="16" s="1"/>
  <c r="U996" i="16" a="1"/>
  <c r="U996" i="16" s="1"/>
  <c r="U997" i="16" a="1"/>
  <c r="U997" i="16" s="1"/>
  <c r="U998" i="16" a="1"/>
  <c r="U998" i="16" s="1"/>
  <c r="U999" i="16" a="1"/>
  <c r="U999" i="16" s="1"/>
  <c r="U1000" i="16" a="1"/>
  <c r="U1000" i="16" s="1"/>
  <c r="P43" i="16" a="1"/>
  <c r="P43" i="16" s="1"/>
  <c r="P44" i="16" a="1"/>
  <c r="P44" i="16" s="1"/>
  <c r="P45" i="16" a="1"/>
  <c r="P45" i="16" s="1"/>
  <c r="P46" i="16" a="1"/>
  <c r="P46" i="16" s="1"/>
  <c r="P47" i="16" a="1"/>
  <c r="P47" i="16" s="1"/>
  <c r="P48" i="16" a="1"/>
  <c r="P48" i="16" s="1"/>
  <c r="P49" i="16" a="1"/>
  <c r="P49" i="16" s="1"/>
  <c r="P50" i="16" a="1"/>
  <c r="P50" i="16" s="1"/>
  <c r="P51" i="16" a="1"/>
  <c r="P51" i="16" s="1"/>
  <c r="P52" i="16" a="1"/>
  <c r="P52" i="16" s="1"/>
  <c r="P53" i="16" a="1"/>
  <c r="P53" i="16" s="1"/>
  <c r="P54" i="16" a="1"/>
  <c r="P54" i="16" s="1"/>
  <c r="P55" i="16" a="1"/>
  <c r="P55" i="16" s="1"/>
  <c r="P56" i="16" a="1"/>
  <c r="P56" i="16" s="1"/>
  <c r="P57" i="16" a="1"/>
  <c r="P57" i="16" s="1"/>
  <c r="P58" i="16" a="1"/>
  <c r="P58" i="16" s="1"/>
  <c r="P59" i="16" a="1"/>
  <c r="P59" i="16" s="1"/>
  <c r="P60" i="16" a="1"/>
  <c r="P60" i="16" s="1"/>
  <c r="P61" i="16" a="1"/>
  <c r="P61" i="16" s="1"/>
  <c r="P62" i="16" a="1"/>
  <c r="P62" i="16" s="1"/>
  <c r="P63" i="16" a="1"/>
  <c r="P63" i="16" s="1"/>
  <c r="P64" i="16" a="1"/>
  <c r="P64" i="16" s="1"/>
  <c r="P65" i="16" a="1"/>
  <c r="P65" i="16" s="1"/>
  <c r="P66" i="16" a="1"/>
  <c r="P66" i="16" s="1"/>
  <c r="P67" i="16" a="1"/>
  <c r="P67" i="16" s="1"/>
  <c r="P68" i="16" a="1"/>
  <c r="P68" i="16" s="1"/>
  <c r="P69" i="16" a="1"/>
  <c r="P69" i="16" s="1"/>
  <c r="P70" i="16" a="1"/>
  <c r="P70" i="16" s="1"/>
  <c r="P71" i="16" a="1"/>
  <c r="P71" i="16" s="1"/>
  <c r="P72" i="16" a="1"/>
  <c r="P72" i="16" s="1"/>
  <c r="P73" i="16" a="1"/>
  <c r="P73" i="16" s="1"/>
  <c r="P74" i="16" a="1"/>
  <c r="P74" i="16" s="1"/>
  <c r="P75" i="16" a="1"/>
  <c r="P75" i="16" s="1"/>
  <c r="P76" i="16" a="1"/>
  <c r="P76" i="16" s="1"/>
  <c r="P77" i="16" a="1"/>
  <c r="P77" i="16" s="1"/>
  <c r="P78" i="16" a="1"/>
  <c r="P78" i="16" s="1"/>
  <c r="P79" i="16" a="1"/>
  <c r="P79" i="16" s="1"/>
  <c r="P81" i="16" a="1"/>
  <c r="P81" i="16" s="1"/>
  <c r="P82" i="16" a="1"/>
  <c r="P82" i="16" s="1"/>
  <c r="P83" i="16" a="1"/>
  <c r="P83" i="16" s="1"/>
  <c r="P84" i="16" a="1"/>
  <c r="P84" i="16" s="1"/>
  <c r="P85" i="16" a="1"/>
  <c r="P85" i="16" s="1"/>
  <c r="P86" i="16" a="1"/>
  <c r="P86" i="16" s="1"/>
  <c r="P87" i="16" a="1"/>
  <c r="P87" i="16" s="1"/>
  <c r="P88" i="16" a="1"/>
  <c r="P88" i="16" s="1"/>
  <c r="P89" i="16" a="1"/>
  <c r="P89" i="16" s="1"/>
  <c r="P90" i="16" a="1"/>
  <c r="P90" i="16" s="1"/>
  <c r="P91" i="16" a="1"/>
  <c r="P91" i="16" s="1"/>
  <c r="P92" i="16" a="1"/>
  <c r="P92" i="16" s="1"/>
  <c r="P93" i="16" a="1"/>
  <c r="P93" i="16" s="1"/>
  <c r="P94" i="16" a="1"/>
  <c r="P94" i="16" s="1"/>
  <c r="P95" i="16" a="1"/>
  <c r="P95" i="16" s="1"/>
  <c r="P96" i="16" a="1"/>
  <c r="P96" i="16" s="1"/>
  <c r="P97" i="16" a="1"/>
  <c r="P97" i="16" s="1"/>
  <c r="P98" i="16" a="1"/>
  <c r="P98" i="16" s="1"/>
  <c r="P99" i="16" a="1"/>
  <c r="P99" i="16" s="1"/>
  <c r="P100" i="16" a="1"/>
  <c r="P100" i="16" s="1"/>
  <c r="P101" i="16" a="1"/>
  <c r="P101" i="16" s="1"/>
  <c r="P102" i="16" a="1"/>
  <c r="P102" i="16" s="1"/>
  <c r="P103" i="16" a="1"/>
  <c r="P103" i="16" s="1"/>
  <c r="P104" i="16" a="1"/>
  <c r="P104" i="16" s="1"/>
  <c r="P105" i="16" a="1"/>
  <c r="P105" i="16" s="1"/>
  <c r="P106" i="16" a="1"/>
  <c r="P106" i="16" s="1"/>
  <c r="P107" i="16" a="1"/>
  <c r="P107" i="16" s="1"/>
  <c r="P108" i="16" a="1"/>
  <c r="P108" i="16" s="1"/>
  <c r="P109" i="16" a="1"/>
  <c r="P109" i="16" s="1"/>
  <c r="P110" i="16" a="1"/>
  <c r="P110" i="16" s="1"/>
  <c r="P111" i="16" a="1"/>
  <c r="P111" i="16" s="1"/>
  <c r="P112" i="16" a="1"/>
  <c r="P112" i="16" s="1"/>
  <c r="P113" i="16" a="1"/>
  <c r="P113" i="16" s="1"/>
  <c r="P114" i="16" a="1"/>
  <c r="P114" i="16" s="1"/>
  <c r="P115" i="16" a="1"/>
  <c r="P115" i="16" s="1"/>
  <c r="P116" i="16" a="1"/>
  <c r="P116" i="16" s="1"/>
  <c r="P117" i="16" a="1"/>
  <c r="P117" i="16" s="1"/>
  <c r="P118" i="16" a="1"/>
  <c r="P118" i="16" s="1"/>
  <c r="P119" i="16" a="1"/>
  <c r="P119" i="16" s="1"/>
  <c r="P120" i="16" a="1"/>
  <c r="P120" i="16" s="1"/>
  <c r="P121" i="16" a="1"/>
  <c r="P121" i="16" s="1"/>
  <c r="P122" i="16" a="1"/>
  <c r="P122" i="16" s="1"/>
  <c r="P123" i="16" a="1"/>
  <c r="P123" i="16" s="1"/>
  <c r="P124" i="16" a="1"/>
  <c r="P124" i="16" s="1"/>
  <c r="P125" i="16" a="1"/>
  <c r="P125" i="16" s="1"/>
  <c r="P126" i="16" a="1"/>
  <c r="P126" i="16" s="1"/>
  <c r="P127" i="16" a="1"/>
  <c r="P127" i="16" s="1"/>
  <c r="P128" i="16" a="1"/>
  <c r="P128" i="16" s="1"/>
  <c r="P129" i="16" a="1"/>
  <c r="P129" i="16" s="1"/>
  <c r="P130" i="16" a="1"/>
  <c r="P130" i="16" s="1"/>
  <c r="P131" i="16" a="1"/>
  <c r="P131" i="16" s="1"/>
  <c r="P132" i="16" a="1"/>
  <c r="P132" i="16" s="1"/>
  <c r="P133" i="16" a="1"/>
  <c r="P133" i="16" s="1"/>
  <c r="P134" i="16" a="1"/>
  <c r="P134" i="16" s="1"/>
  <c r="P135" i="16" a="1"/>
  <c r="P135" i="16" s="1"/>
  <c r="P136" i="16" a="1"/>
  <c r="P136" i="16" s="1"/>
  <c r="P137" i="16" a="1"/>
  <c r="P137" i="16" s="1"/>
  <c r="P138" i="16" a="1"/>
  <c r="P138" i="16" s="1"/>
  <c r="P139" i="16" a="1"/>
  <c r="P139" i="16" s="1"/>
  <c r="P140" i="16" a="1"/>
  <c r="P140" i="16" s="1"/>
  <c r="P141" i="16" a="1"/>
  <c r="P141" i="16" s="1"/>
  <c r="P142" i="16" a="1"/>
  <c r="P142" i="16" s="1"/>
  <c r="P143" i="16" a="1"/>
  <c r="P143" i="16" s="1"/>
  <c r="P144" i="16" a="1"/>
  <c r="P144" i="16" s="1"/>
  <c r="P145" i="16" a="1"/>
  <c r="P145" i="16" s="1"/>
  <c r="P146" i="16" a="1"/>
  <c r="P146" i="16" s="1"/>
  <c r="P147" i="16" a="1"/>
  <c r="P147" i="16" s="1"/>
  <c r="P148" i="16" a="1"/>
  <c r="P148" i="16" s="1"/>
  <c r="P149" i="16" a="1"/>
  <c r="P149" i="16" s="1"/>
  <c r="P150" i="16" a="1"/>
  <c r="P150" i="16" s="1"/>
  <c r="P151" i="16" a="1"/>
  <c r="P151" i="16" s="1"/>
  <c r="P152" i="16" a="1"/>
  <c r="P152" i="16" s="1"/>
  <c r="P153" i="16" a="1"/>
  <c r="P153" i="16" s="1"/>
  <c r="P154" i="16" a="1"/>
  <c r="P154" i="16" s="1"/>
  <c r="P155" i="16" a="1"/>
  <c r="P155" i="16" s="1"/>
  <c r="P156" i="16" a="1"/>
  <c r="P156" i="16" s="1"/>
  <c r="P157" i="16" a="1"/>
  <c r="P157" i="16" s="1"/>
  <c r="P158" i="16" a="1"/>
  <c r="P158" i="16" s="1"/>
  <c r="P159" i="16" a="1"/>
  <c r="P159" i="16" s="1"/>
  <c r="P160" i="16" a="1"/>
  <c r="P160" i="16" s="1"/>
  <c r="P161" i="16" a="1"/>
  <c r="P161" i="16" s="1"/>
  <c r="P162" i="16" a="1"/>
  <c r="P162" i="16" s="1"/>
  <c r="P163" i="16" a="1"/>
  <c r="P163" i="16" s="1"/>
  <c r="P164" i="16" a="1"/>
  <c r="P164" i="16" s="1"/>
  <c r="P165" i="16" a="1"/>
  <c r="P165" i="16" s="1"/>
  <c r="P166" i="16" a="1"/>
  <c r="P166" i="16" s="1"/>
  <c r="P167" i="16" a="1"/>
  <c r="P167" i="16" s="1"/>
  <c r="P168" i="16" a="1"/>
  <c r="P168" i="16" s="1"/>
  <c r="P169" i="16" a="1"/>
  <c r="P169" i="16" s="1"/>
  <c r="P170" i="16" a="1"/>
  <c r="P170" i="16" s="1"/>
  <c r="P171" i="16" a="1"/>
  <c r="P171" i="16" s="1"/>
  <c r="P172" i="16" a="1"/>
  <c r="P172" i="16" s="1"/>
  <c r="P173" i="16" a="1"/>
  <c r="P173" i="16" s="1"/>
  <c r="P174" i="16" a="1"/>
  <c r="P174" i="16" s="1"/>
  <c r="P175" i="16" a="1"/>
  <c r="P175" i="16" s="1"/>
  <c r="P176" i="16" a="1"/>
  <c r="P176" i="16" s="1"/>
  <c r="P177" i="16" a="1"/>
  <c r="P177" i="16" s="1"/>
  <c r="P178" i="16" a="1"/>
  <c r="P178" i="16" s="1"/>
  <c r="P179" i="16" a="1"/>
  <c r="P179" i="16" s="1"/>
  <c r="P180" i="16" a="1"/>
  <c r="P180" i="16" s="1"/>
  <c r="P181" i="16" a="1"/>
  <c r="P181" i="16" s="1"/>
  <c r="P182" i="16" a="1"/>
  <c r="P182" i="16" s="1"/>
  <c r="P183" i="16" a="1"/>
  <c r="P183" i="16" s="1"/>
  <c r="P184" i="16" a="1"/>
  <c r="P184" i="16" s="1"/>
  <c r="P185" i="16" a="1"/>
  <c r="P185" i="16" s="1"/>
  <c r="P186" i="16" a="1"/>
  <c r="P186" i="16" s="1"/>
  <c r="P187" i="16" a="1"/>
  <c r="P187" i="16" s="1"/>
  <c r="P188" i="16" a="1"/>
  <c r="P188" i="16" s="1"/>
  <c r="P189" i="16" a="1"/>
  <c r="P189" i="16" s="1"/>
  <c r="P190" i="16" a="1"/>
  <c r="P190" i="16" s="1"/>
  <c r="P191" i="16" a="1"/>
  <c r="P191" i="16" s="1"/>
  <c r="P192" i="16" a="1"/>
  <c r="P192" i="16" s="1"/>
  <c r="P193" i="16" a="1"/>
  <c r="P193" i="16" s="1"/>
  <c r="P194" i="16" a="1"/>
  <c r="P194" i="16" s="1"/>
  <c r="P195" i="16" a="1"/>
  <c r="P195" i="16" s="1"/>
  <c r="P196" i="16" a="1"/>
  <c r="P196" i="16" s="1"/>
  <c r="P197" i="16" a="1"/>
  <c r="P197" i="16" s="1"/>
  <c r="P198" i="16" a="1"/>
  <c r="P198" i="16" s="1"/>
  <c r="P199" i="16" a="1"/>
  <c r="P199" i="16" s="1"/>
  <c r="P200" i="16" a="1"/>
  <c r="P200" i="16" s="1"/>
  <c r="P201" i="16" a="1"/>
  <c r="P201" i="16" s="1"/>
  <c r="P202" i="16" a="1"/>
  <c r="P202" i="16" s="1"/>
  <c r="P203" i="16" a="1"/>
  <c r="P203" i="16" s="1"/>
  <c r="P204" i="16" a="1"/>
  <c r="P204" i="16" s="1"/>
  <c r="P205" i="16" a="1"/>
  <c r="P205" i="16" s="1"/>
  <c r="P206" i="16" a="1"/>
  <c r="P206" i="16" s="1"/>
  <c r="P207" i="16" a="1"/>
  <c r="P207" i="16" s="1"/>
  <c r="P208" i="16" a="1"/>
  <c r="P208" i="16" s="1"/>
  <c r="P209" i="16" a="1"/>
  <c r="P209" i="16" s="1"/>
  <c r="P210" i="16" a="1"/>
  <c r="P210" i="16" s="1"/>
  <c r="P211" i="16" a="1"/>
  <c r="P211" i="16" s="1"/>
  <c r="P212" i="16" a="1"/>
  <c r="P212" i="16" s="1"/>
  <c r="P213" i="16" a="1"/>
  <c r="P213" i="16" s="1"/>
  <c r="P214" i="16" a="1"/>
  <c r="P214" i="16" s="1"/>
  <c r="P215" i="16" a="1"/>
  <c r="P215" i="16" s="1"/>
  <c r="P216" i="16" a="1"/>
  <c r="P216" i="16" s="1"/>
  <c r="P217" i="16" a="1"/>
  <c r="P217" i="16" s="1"/>
  <c r="P218" i="16" a="1"/>
  <c r="P218" i="16" s="1"/>
  <c r="P219" i="16" a="1"/>
  <c r="P219" i="16" s="1"/>
  <c r="P220" i="16" a="1"/>
  <c r="P220" i="16" s="1"/>
  <c r="P221" i="16" a="1"/>
  <c r="P221" i="16" s="1"/>
  <c r="P222" i="16" a="1"/>
  <c r="P222" i="16" s="1"/>
  <c r="P223" i="16" a="1"/>
  <c r="P223" i="16" s="1"/>
  <c r="P224" i="16" a="1"/>
  <c r="P224" i="16" s="1"/>
  <c r="P225" i="16" a="1"/>
  <c r="P225" i="16" s="1"/>
  <c r="P226" i="16" a="1"/>
  <c r="P226" i="16" s="1"/>
  <c r="P227" i="16" a="1"/>
  <c r="P227" i="16" s="1"/>
  <c r="P228" i="16" a="1"/>
  <c r="P228" i="16" s="1"/>
  <c r="P229" i="16" a="1"/>
  <c r="P229" i="16" s="1"/>
  <c r="P230" i="16" a="1"/>
  <c r="P230" i="16" s="1"/>
  <c r="P231" i="16" a="1"/>
  <c r="P231" i="16" s="1"/>
  <c r="P232" i="16" a="1"/>
  <c r="P232" i="16" s="1"/>
  <c r="P233" i="16" a="1"/>
  <c r="P233" i="16" s="1"/>
  <c r="P234" i="16" a="1"/>
  <c r="P234" i="16" s="1"/>
  <c r="P235" i="16" a="1"/>
  <c r="P235" i="16" s="1"/>
  <c r="P236" i="16" a="1"/>
  <c r="P236" i="16" s="1"/>
  <c r="P237" i="16" a="1"/>
  <c r="P237" i="16" s="1"/>
  <c r="P238" i="16" a="1"/>
  <c r="P238" i="16" s="1"/>
  <c r="P239" i="16" a="1"/>
  <c r="P239" i="16" s="1"/>
  <c r="P240" i="16" a="1"/>
  <c r="P240" i="16" s="1"/>
  <c r="P241" i="16" a="1"/>
  <c r="P241" i="16" s="1"/>
  <c r="P242" i="16" a="1"/>
  <c r="P242" i="16" s="1"/>
  <c r="P243" i="16" a="1"/>
  <c r="P243" i="16" s="1"/>
  <c r="P244" i="16" a="1"/>
  <c r="P244" i="16" s="1"/>
  <c r="P245" i="16" a="1"/>
  <c r="P245" i="16" s="1"/>
  <c r="P246" i="16" a="1"/>
  <c r="P246" i="16" s="1"/>
  <c r="P247" i="16" a="1"/>
  <c r="P247" i="16" s="1"/>
  <c r="P248" i="16" a="1"/>
  <c r="P248" i="16" s="1"/>
  <c r="P249" i="16" a="1"/>
  <c r="P249" i="16" s="1"/>
  <c r="P250" i="16" a="1"/>
  <c r="P250" i="16" s="1"/>
  <c r="P251" i="16" a="1"/>
  <c r="P251" i="16" s="1"/>
  <c r="P252" i="16" a="1"/>
  <c r="P252" i="16" s="1"/>
  <c r="P253" i="16" a="1"/>
  <c r="P253" i="16" s="1"/>
  <c r="P254" i="16" a="1"/>
  <c r="P254" i="16" s="1"/>
  <c r="P255" i="16" a="1"/>
  <c r="P255" i="16" s="1"/>
  <c r="P256" i="16" a="1"/>
  <c r="P256" i="16" s="1"/>
  <c r="P257" i="16" a="1"/>
  <c r="P257" i="16" s="1"/>
  <c r="P258" i="16" a="1"/>
  <c r="P258" i="16" s="1"/>
  <c r="P259" i="16" a="1"/>
  <c r="P259" i="16" s="1"/>
  <c r="P260" i="16" a="1"/>
  <c r="P260" i="16" s="1"/>
  <c r="P261" i="16" a="1"/>
  <c r="P261" i="16" s="1"/>
  <c r="P262" i="16" a="1"/>
  <c r="P262" i="16" s="1"/>
  <c r="P263" i="16" a="1"/>
  <c r="P263" i="16" s="1"/>
  <c r="P264" i="16" a="1"/>
  <c r="P264" i="16" s="1"/>
  <c r="P265" i="16" a="1"/>
  <c r="P265" i="16" s="1"/>
  <c r="P266" i="16" a="1"/>
  <c r="P266" i="16" s="1"/>
  <c r="P267" i="16" a="1"/>
  <c r="P267" i="16" s="1"/>
  <c r="P268" i="16" a="1"/>
  <c r="P268" i="16" s="1"/>
  <c r="P269" i="16" a="1"/>
  <c r="P269" i="16" s="1"/>
  <c r="P270" i="16" a="1"/>
  <c r="P270" i="16" s="1"/>
  <c r="P271" i="16" a="1"/>
  <c r="P271" i="16" s="1"/>
  <c r="P272" i="16" a="1"/>
  <c r="P272" i="16" s="1"/>
  <c r="P273" i="16" a="1"/>
  <c r="P273" i="16" s="1"/>
  <c r="P274" i="16" a="1"/>
  <c r="P274" i="16" s="1"/>
  <c r="P275" i="16" a="1"/>
  <c r="P275" i="16" s="1"/>
  <c r="P276" i="16" a="1"/>
  <c r="P276" i="16" s="1"/>
  <c r="P277" i="16" a="1"/>
  <c r="P277" i="16" s="1"/>
  <c r="P278" i="16" a="1"/>
  <c r="P278" i="16" s="1"/>
  <c r="P279" i="16" a="1"/>
  <c r="P279" i="16" s="1"/>
  <c r="P280" i="16" a="1"/>
  <c r="P280" i="16" s="1"/>
  <c r="P281" i="16" a="1"/>
  <c r="P281" i="16" s="1"/>
  <c r="P282" i="16" a="1"/>
  <c r="P282" i="16" s="1"/>
  <c r="P283" i="16" a="1"/>
  <c r="P283" i="16" s="1"/>
  <c r="P284" i="16" a="1"/>
  <c r="P284" i="16" s="1"/>
  <c r="P285" i="16" a="1"/>
  <c r="P285" i="16" s="1"/>
  <c r="P286" i="16" a="1"/>
  <c r="P286" i="16" s="1"/>
  <c r="P287" i="16" a="1"/>
  <c r="P287" i="16" s="1"/>
  <c r="P288" i="16" a="1"/>
  <c r="P288" i="16" s="1"/>
  <c r="P289" i="16" a="1"/>
  <c r="P289" i="16" s="1"/>
  <c r="P290" i="16" a="1"/>
  <c r="P290" i="16" s="1"/>
  <c r="P291" i="16" a="1"/>
  <c r="P291" i="16" s="1"/>
  <c r="P292" i="16" a="1"/>
  <c r="P292" i="16" s="1"/>
  <c r="P293" i="16" a="1"/>
  <c r="P293" i="16" s="1"/>
  <c r="P294" i="16" a="1"/>
  <c r="P294" i="16" s="1"/>
  <c r="P295" i="16" a="1"/>
  <c r="P295" i="16" s="1"/>
  <c r="P296" i="16" a="1"/>
  <c r="P296" i="16" s="1"/>
  <c r="P297" i="16" a="1"/>
  <c r="P297" i="16" s="1"/>
  <c r="P298" i="16" a="1"/>
  <c r="P298" i="16" s="1"/>
  <c r="P299" i="16" a="1"/>
  <c r="P299" i="16" s="1"/>
  <c r="P300" i="16" a="1"/>
  <c r="P300" i="16" s="1"/>
  <c r="P301" i="16" a="1"/>
  <c r="P301" i="16" s="1"/>
  <c r="P302" i="16" a="1"/>
  <c r="P302" i="16" s="1"/>
  <c r="P303" i="16" a="1"/>
  <c r="P303" i="16" s="1"/>
  <c r="P304" i="16" a="1"/>
  <c r="P304" i="16" s="1"/>
  <c r="P305" i="16" a="1"/>
  <c r="P305" i="16" s="1"/>
  <c r="P306" i="16" a="1"/>
  <c r="P306" i="16" s="1"/>
  <c r="P307" i="16" a="1"/>
  <c r="P307" i="16" s="1"/>
  <c r="P308" i="16" a="1"/>
  <c r="P308" i="16" s="1"/>
  <c r="P309" i="16" a="1"/>
  <c r="P309" i="16" s="1"/>
  <c r="P310" i="16" a="1"/>
  <c r="P310" i="16" s="1"/>
  <c r="P311" i="16" a="1"/>
  <c r="P311" i="16" s="1"/>
  <c r="P312" i="16" a="1"/>
  <c r="P312" i="16" s="1"/>
  <c r="P313" i="16" a="1"/>
  <c r="P313" i="16" s="1"/>
  <c r="P314" i="16" a="1"/>
  <c r="P314" i="16" s="1"/>
  <c r="P315" i="16" a="1"/>
  <c r="P315" i="16" s="1"/>
  <c r="P316" i="16" a="1"/>
  <c r="P316" i="16" s="1"/>
  <c r="P317" i="16" a="1"/>
  <c r="P317" i="16" s="1"/>
  <c r="P318" i="16" a="1"/>
  <c r="P318" i="16" s="1"/>
  <c r="P319" i="16" a="1"/>
  <c r="P319" i="16" s="1"/>
  <c r="P320" i="16" a="1"/>
  <c r="P320" i="16" s="1"/>
  <c r="P321" i="16" a="1"/>
  <c r="P321" i="16" s="1"/>
  <c r="P322" i="16" a="1"/>
  <c r="P322" i="16" s="1"/>
  <c r="P323" i="16" a="1"/>
  <c r="P323" i="16" s="1"/>
  <c r="P324" i="16" a="1"/>
  <c r="P324" i="16" s="1"/>
  <c r="P325" i="16" a="1"/>
  <c r="P325" i="16" s="1"/>
  <c r="P326" i="16" a="1"/>
  <c r="P326" i="16" s="1"/>
  <c r="P327" i="16" a="1"/>
  <c r="P327" i="16" s="1"/>
  <c r="P328" i="16" a="1"/>
  <c r="P328" i="16" s="1"/>
  <c r="P329" i="16" a="1"/>
  <c r="P329" i="16" s="1"/>
  <c r="P330" i="16" a="1"/>
  <c r="P330" i="16" s="1"/>
  <c r="P331" i="16" a="1"/>
  <c r="P331" i="16" s="1"/>
  <c r="P332" i="16" a="1"/>
  <c r="P332" i="16" s="1"/>
  <c r="P333" i="16" a="1"/>
  <c r="P333" i="16" s="1"/>
  <c r="P334" i="16" a="1"/>
  <c r="P334" i="16" s="1"/>
  <c r="P335" i="16" a="1"/>
  <c r="P335" i="16" s="1"/>
  <c r="P336" i="16" a="1"/>
  <c r="P336" i="16" s="1"/>
  <c r="P337" i="16" a="1"/>
  <c r="P337" i="16" s="1"/>
  <c r="P338" i="16" a="1"/>
  <c r="P338" i="16" s="1"/>
  <c r="P339" i="16" a="1"/>
  <c r="P339" i="16" s="1"/>
  <c r="P340" i="16" a="1"/>
  <c r="P340" i="16" s="1"/>
  <c r="P341" i="16" a="1"/>
  <c r="P341" i="16" s="1"/>
  <c r="P342" i="16" a="1"/>
  <c r="P342" i="16" s="1"/>
  <c r="P343" i="16" a="1"/>
  <c r="P343" i="16" s="1"/>
  <c r="P344" i="16" a="1"/>
  <c r="P344" i="16" s="1"/>
  <c r="P345" i="16" a="1"/>
  <c r="P345" i="16" s="1"/>
  <c r="P346" i="16" a="1"/>
  <c r="P346" i="16" s="1"/>
  <c r="P347" i="16" a="1"/>
  <c r="P347" i="16" s="1"/>
  <c r="P348" i="16" a="1"/>
  <c r="P348" i="16" s="1"/>
  <c r="P349" i="16" a="1"/>
  <c r="P349" i="16" s="1"/>
  <c r="P350" i="16" a="1"/>
  <c r="P350" i="16" s="1"/>
  <c r="P351" i="16" a="1"/>
  <c r="P351" i="16" s="1"/>
  <c r="P352" i="16" a="1"/>
  <c r="P352" i="16" s="1"/>
  <c r="P353" i="16" a="1"/>
  <c r="P353" i="16" s="1"/>
  <c r="P354" i="16" a="1"/>
  <c r="P354" i="16" s="1"/>
  <c r="P355" i="16" a="1"/>
  <c r="P355" i="16" s="1"/>
  <c r="P356" i="16" a="1"/>
  <c r="P356" i="16" s="1"/>
  <c r="P357" i="16" a="1"/>
  <c r="P357" i="16" s="1"/>
  <c r="P358" i="16" a="1"/>
  <c r="P358" i="16" s="1"/>
  <c r="P359" i="16" a="1"/>
  <c r="P359" i="16" s="1"/>
  <c r="P360" i="16" a="1"/>
  <c r="P360" i="16" s="1"/>
  <c r="P361" i="16" a="1"/>
  <c r="P361" i="16" s="1"/>
  <c r="P362" i="16" a="1"/>
  <c r="P362" i="16" s="1"/>
  <c r="P363" i="16" a="1"/>
  <c r="P363" i="16" s="1"/>
  <c r="P364" i="16" a="1"/>
  <c r="P364" i="16" s="1"/>
  <c r="P365" i="16" a="1"/>
  <c r="P365" i="16" s="1"/>
  <c r="P366" i="16" a="1"/>
  <c r="P366" i="16" s="1"/>
  <c r="P367" i="16" a="1"/>
  <c r="P367" i="16" s="1"/>
  <c r="P368" i="16" a="1"/>
  <c r="P368" i="16" s="1"/>
  <c r="P369" i="16" a="1"/>
  <c r="P369" i="16" s="1"/>
  <c r="P370" i="16" a="1"/>
  <c r="P370" i="16" s="1"/>
  <c r="P371" i="16" a="1"/>
  <c r="P371" i="16" s="1"/>
  <c r="P372" i="16" a="1"/>
  <c r="P372" i="16" s="1"/>
  <c r="P373" i="16" a="1"/>
  <c r="P373" i="16" s="1"/>
  <c r="P374" i="16" a="1"/>
  <c r="P374" i="16" s="1"/>
  <c r="P375" i="16" a="1"/>
  <c r="P375" i="16" s="1"/>
  <c r="P376" i="16" a="1"/>
  <c r="P376" i="16" s="1"/>
  <c r="P377" i="16" a="1"/>
  <c r="P377" i="16" s="1"/>
  <c r="P378" i="16" a="1"/>
  <c r="P378" i="16" s="1"/>
  <c r="P379" i="16" a="1"/>
  <c r="P379" i="16" s="1"/>
  <c r="P380" i="16" a="1"/>
  <c r="P380" i="16" s="1"/>
  <c r="P381" i="16" a="1"/>
  <c r="P381" i="16" s="1"/>
  <c r="P382" i="16" a="1"/>
  <c r="P382" i="16" s="1"/>
  <c r="P383" i="16" a="1"/>
  <c r="P383" i="16" s="1"/>
  <c r="P384" i="16" a="1"/>
  <c r="P384" i="16" s="1"/>
  <c r="P385" i="16" a="1"/>
  <c r="P385" i="16" s="1"/>
  <c r="P386" i="16" a="1"/>
  <c r="P386" i="16" s="1"/>
  <c r="P387" i="16" a="1"/>
  <c r="P387" i="16" s="1"/>
  <c r="P388" i="16" a="1"/>
  <c r="P388" i="16" s="1"/>
  <c r="P389" i="16" a="1"/>
  <c r="P389" i="16" s="1"/>
  <c r="P390" i="16" a="1"/>
  <c r="P390" i="16" s="1"/>
  <c r="P391" i="16" a="1"/>
  <c r="P391" i="16" s="1"/>
  <c r="P392" i="16" a="1"/>
  <c r="P392" i="16" s="1"/>
  <c r="P393" i="16" a="1"/>
  <c r="P393" i="16" s="1"/>
  <c r="P394" i="16" a="1"/>
  <c r="P394" i="16" s="1"/>
  <c r="P395" i="16" a="1"/>
  <c r="P395" i="16" s="1"/>
  <c r="P396" i="16" a="1"/>
  <c r="P396" i="16" s="1"/>
  <c r="P397" i="16" a="1"/>
  <c r="P397" i="16" s="1"/>
  <c r="P398" i="16" a="1"/>
  <c r="P398" i="16" s="1"/>
  <c r="P399" i="16" a="1"/>
  <c r="P399" i="16" s="1"/>
  <c r="P400" i="16" a="1"/>
  <c r="P400" i="16" s="1"/>
  <c r="P401" i="16" a="1"/>
  <c r="P401" i="16" s="1"/>
  <c r="P402" i="16" a="1"/>
  <c r="P402" i="16" s="1"/>
  <c r="P403" i="16" a="1"/>
  <c r="P403" i="16" s="1"/>
  <c r="P404" i="16" a="1"/>
  <c r="P404" i="16" s="1"/>
  <c r="P405" i="16" a="1"/>
  <c r="P405" i="16" s="1"/>
  <c r="P406" i="16" a="1"/>
  <c r="P406" i="16" s="1"/>
  <c r="P407" i="16" a="1"/>
  <c r="P407" i="16" s="1"/>
  <c r="P408" i="16" a="1"/>
  <c r="P408" i="16" s="1"/>
  <c r="P409" i="16" a="1"/>
  <c r="P409" i="16" s="1"/>
  <c r="P410" i="16" a="1"/>
  <c r="P410" i="16" s="1"/>
  <c r="P411" i="16" a="1"/>
  <c r="P411" i="16" s="1"/>
  <c r="P412" i="16" a="1"/>
  <c r="P412" i="16" s="1"/>
  <c r="P413" i="16" a="1"/>
  <c r="P413" i="16" s="1"/>
  <c r="P414" i="16" a="1"/>
  <c r="P414" i="16" s="1"/>
  <c r="P415" i="16" a="1"/>
  <c r="P415" i="16" s="1"/>
  <c r="P416" i="16" a="1"/>
  <c r="P416" i="16" s="1"/>
  <c r="P417" i="16" a="1"/>
  <c r="P417" i="16" s="1"/>
  <c r="P418" i="16" a="1"/>
  <c r="P418" i="16" s="1"/>
  <c r="P419" i="16" a="1"/>
  <c r="P419" i="16" s="1"/>
  <c r="P420" i="16" a="1"/>
  <c r="P420" i="16" s="1"/>
  <c r="P421" i="16" a="1"/>
  <c r="P421" i="16" s="1"/>
  <c r="P422" i="16" a="1"/>
  <c r="P422" i="16" s="1"/>
  <c r="P423" i="16" a="1"/>
  <c r="P423" i="16" s="1"/>
  <c r="P424" i="16" a="1"/>
  <c r="P424" i="16" s="1"/>
  <c r="P425" i="16" a="1"/>
  <c r="P425" i="16" s="1"/>
  <c r="P426" i="16" a="1"/>
  <c r="P426" i="16" s="1"/>
  <c r="P427" i="16" a="1"/>
  <c r="P427" i="16" s="1"/>
  <c r="P428" i="16" a="1"/>
  <c r="P428" i="16" s="1"/>
  <c r="P429" i="16" a="1"/>
  <c r="P429" i="16" s="1"/>
  <c r="P430" i="16" a="1"/>
  <c r="P430" i="16" s="1"/>
  <c r="P431" i="16" a="1"/>
  <c r="P431" i="16" s="1"/>
  <c r="P432" i="16" a="1"/>
  <c r="P432" i="16" s="1"/>
  <c r="P433" i="16" a="1"/>
  <c r="P433" i="16" s="1"/>
  <c r="P434" i="16" a="1"/>
  <c r="P434" i="16" s="1"/>
  <c r="P435" i="16" a="1"/>
  <c r="P435" i="16" s="1"/>
  <c r="P436" i="16" a="1"/>
  <c r="P436" i="16" s="1"/>
  <c r="P437" i="16" a="1"/>
  <c r="P437" i="16" s="1"/>
  <c r="P438" i="16" a="1"/>
  <c r="P438" i="16" s="1"/>
  <c r="P439" i="16" a="1"/>
  <c r="P439" i="16" s="1"/>
  <c r="P440" i="16" a="1"/>
  <c r="P440" i="16" s="1"/>
  <c r="P441" i="16" a="1"/>
  <c r="P441" i="16" s="1"/>
  <c r="P442" i="16" a="1"/>
  <c r="P442" i="16" s="1"/>
  <c r="P443" i="16" a="1"/>
  <c r="P443" i="16" s="1"/>
  <c r="P444" i="16" a="1"/>
  <c r="P444" i="16" s="1"/>
  <c r="P445" i="16" a="1"/>
  <c r="P445" i="16" s="1"/>
  <c r="P446" i="16" a="1"/>
  <c r="P446" i="16" s="1"/>
  <c r="P447" i="16" a="1"/>
  <c r="P447" i="16" s="1"/>
  <c r="P448" i="16" a="1"/>
  <c r="P448" i="16" s="1"/>
  <c r="P449" i="16" a="1"/>
  <c r="P449" i="16" s="1"/>
  <c r="P450" i="16" a="1"/>
  <c r="P450" i="16" s="1"/>
  <c r="P451" i="16" a="1"/>
  <c r="P451" i="16" s="1"/>
  <c r="P452" i="16" a="1"/>
  <c r="P452" i="16" s="1"/>
  <c r="P453" i="16" a="1"/>
  <c r="P453" i="16" s="1"/>
  <c r="P454" i="16" a="1"/>
  <c r="P454" i="16" s="1"/>
  <c r="P455" i="16" a="1"/>
  <c r="P455" i="16" s="1"/>
  <c r="P456" i="16" a="1"/>
  <c r="P456" i="16" s="1"/>
  <c r="P457" i="16" a="1"/>
  <c r="P457" i="16" s="1"/>
  <c r="P458" i="16" a="1"/>
  <c r="P458" i="16" s="1"/>
  <c r="P459" i="16" a="1"/>
  <c r="P459" i="16" s="1"/>
  <c r="P460" i="16" a="1"/>
  <c r="P460" i="16" s="1"/>
  <c r="P461" i="16" a="1"/>
  <c r="P461" i="16" s="1"/>
  <c r="P462" i="16" a="1"/>
  <c r="P462" i="16" s="1"/>
  <c r="P463" i="16" a="1"/>
  <c r="P463" i="16" s="1"/>
  <c r="P464" i="16" a="1"/>
  <c r="P464" i="16" s="1"/>
  <c r="P465" i="16" a="1"/>
  <c r="P465" i="16" s="1"/>
  <c r="P466" i="16" a="1"/>
  <c r="P466" i="16" s="1"/>
  <c r="P467" i="16" a="1"/>
  <c r="P467" i="16" s="1"/>
  <c r="P468" i="16" a="1"/>
  <c r="P468" i="16" s="1"/>
  <c r="P469" i="16" a="1"/>
  <c r="P469" i="16" s="1"/>
  <c r="P470" i="16" a="1"/>
  <c r="P470" i="16" s="1"/>
  <c r="P471" i="16" a="1"/>
  <c r="P471" i="16" s="1"/>
  <c r="P472" i="16" a="1"/>
  <c r="P472" i="16" s="1"/>
  <c r="P473" i="16" a="1"/>
  <c r="P473" i="16" s="1"/>
  <c r="P474" i="16" a="1"/>
  <c r="P474" i="16" s="1"/>
  <c r="P475" i="16" a="1"/>
  <c r="P475" i="16" s="1"/>
  <c r="P476" i="16" a="1"/>
  <c r="P476" i="16" s="1"/>
  <c r="P477" i="16" a="1"/>
  <c r="P477" i="16" s="1"/>
  <c r="P478" i="16" a="1"/>
  <c r="P478" i="16" s="1"/>
  <c r="P479" i="16" a="1"/>
  <c r="P479" i="16" s="1"/>
  <c r="P480" i="16" a="1"/>
  <c r="P480" i="16" s="1"/>
  <c r="P481" i="16" a="1"/>
  <c r="P481" i="16" s="1"/>
  <c r="P482" i="16" a="1"/>
  <c r="P482" i="16" s="1"/>
  <c r="P483" i="16" a="1"/>
  <c r="P483" i="16" s="1"/>
  <c r="P484" i="16" a="1"/>
  <c r="P484" i="16" s="1"/>
  <c r="P485" i="16" a="1"/>
  <c r="P485" i="16" s="1"/>
  <c r="P486" i="16" a="1"/>
  <c r="P486" i="16" s="1"/>
  <c r="P487" i="16" a="1"/>
  <c r="P487" i="16" s="1"/>
  <c r="P488" i="16" a="1"/>
  <c r="P488" i="16" s="1"/>
  <c r="P489" i="16" a="1"/>
  <c r="P489" i="16" s="1"/>
  <c r="P490" i="16" a="1"/>
  <c r="P490" i="16" s="1"/>
  <c r="P491" i="16" a="1"/>
  <c r="P491" i="16" s="1"/>
  <c r="P492" i="16" a="1"/>
  <c r="P492" i="16" s="1"/>
  <c r="P493" i="16" a="1"/>
  <c r="P493" i="16" s="1"/>
  <c r="P494" i="16" a="1"/>
  <c r="P494" i="16" s="1"/>
  <c r="P495" i="16" a="1"/>
  <c r="P495" i="16" s="1"/>
  <c r="P496" i="16" a="1"/>
  <c r="P496" i="16" s="1"/>
  <c r="P497" i="16" a="1"/>
  <c r="P497" i="16" s="1"/>
  <c r="P498" i="16" a="1"/>
  <c r="P498" i="16" s="1"/>
  <c r="P499" i="16" a="1"/>
  <c r="P499" i="16" s="1"/>
  <c r="P500" i="16" a="1"/>
  <c r="P500" i="16" s="1"/>
  <c r="P501" i="16" a="1"/>
  <c r="P501" i="16" s="1"/>
  <c r="P502" i="16" a="1"/>
  <c r="P502" i="16" s="1"/>
  <c r="P503" i="16" a="1"/>
  <c r="P503" i="16" s="1"/>
  <c r="P504" i="16" a="1"/>
  <c r="P504" i="16" s="1"/>
  <c r="P505" i="16" a="1"/>
  <c r="P505" i="16" s="1"/>
  <c r="P506" i="16" a="1"/>
  <c r="P506" i="16" s="1"/>
  <c r="P507" i="16" a="1"/>
  <c r="P507" i="16" s="1"/>
  <c r="P508" i="16" a="1"/>
  <c r="P508" i="16" s="1"/>
  <c r="P509" i="16" a="1"/>
  <c r="P509" i="16" s="1"/>
  <c r="P510" i="16" a="1"/>
  <c r="P510" i="16" s="1"/>
  <c r="P511" i="16" a="1"/>
  <c r="P511" i="16" s="1"/>
  <c r="P512" i="16" a="1"/>
  <c r="P512" i="16" s="1"/>
  <c r="P513" i="16" a="1"/>
  <c r="P513" i="16" s="1"/>
  <c r="P514" i="16" a="1"/>
  <c r="P514" i="16" s="1"/>
  <c r="P515" i="16" a="1"/>
  <c r="P515" i="16" s="1"/>
  <c r="P516" i="16" a="1"/>
  <c r="P516" i="16" s="1"/>
  <c r="P517" i="16" a="1"/>
  <c r="P517" i="16" s="1"/>
  <c r="P518" i="16" a="1"/>
  <c r="P518" i="16" s="1"/>
  <c r="P519" i="16" a="1"/>
  <c r="P519" i="16" s="1"/>
  <c r="P520" i="16" a="1"/>
  <c r="P520" i="16" s="1"/>
  <c r="P521" i="16" a="1"/>
  <c r="P521" i="16" s="1"/>
  <c r="P522" i="16" a="1"/>
  <c r="P522" i="16" s="1"/>
  <c r="P523" i="16" a="1"/>
  <c r="P523" i="16" s="1"/>
  <c r="P524" i="16" a="1"/>
  <c r="P524" i="16" s="1"/>
  <c r="P525" i="16" a="1"/>
  <c r="P525" i="16" s="1"/>
  <c r="P526" i="16" a="1"/>
  <c r="P526" i="16" s="1"/>
  <c r="P527" i="16" a="1"/>
  <c r="P527" i="16" s="1"/>
  <c r="P528" i="16" a="1"/>
  <c r="P528" i="16" s="1"/>
  <c r="P529" i="16" a="1"/>
  <c r="P529" i="16" s="1"/>
  <c r="P530" i="16" a="1"/>
  <c r="P530" i="16" s="1"/>
  <c r="P531" i="16" a="1"/>
  <c r="P531" i="16" s="1"/>
  <c r="P532" i="16" a="1"/>
  <c r="P532" i="16" s="1"/>
  <c r="P533" i="16" a="1"/>
  <c r="P533" i="16" s="1"/>
  <c r="P534" i="16" a="1"/>
  <c r="P534" i="16" s="1"/>
  <c r="P535" i="16" a="1"/>
  <c r="P535" i="16" s="1"/>
  <c r="P536" i="16" a="1"/>
  <c r="P536" i="16" s="1"/>
  <c r="P537" i="16" a="1"/>
  <c r="P537" i="16" s="1"/>
  <c r="P538" i="16" a="1"/>
  <c r="P538" i="16" s="1"/>
  <c r="P539" i="16" a="1"/>
  <c r="P539" i="16" s="1"/>
  <c r="P540" i="16" a="1"/>
  <c r="P540" i="16" s="1"/>
  <c r="P541" i="16" a="1"/>
  <c r="P541" i="16" s="1"/>
  <c r="P542" i="16" a="1"/>
  <c r="P542" i="16" s="1"/>
  <c r="P543" i="16" a="1"/>
  <c r="P543" i="16" s="1"/>
  <c r="P544" i="16" a="1"/>
  <c r="P544" i="16" s="1"/>
  <c r="P545" i="16" a="1"/>
  <c r="P545" i="16" s="1"/>
  <c r="P546" i="16" a="1"/>
  <c r="P546" i="16" s="1"/>
  <c r="P547" i="16" a="1"/>
  <c r="P547" i="16" s="1"/>
  <c r="P548" i="16" a="1"/>
  <c r="P548" i="16" s="1"/>
  <c r="P549" i="16" a="1"/>
  <c r="P549" i="16" s="1"/>
  <c r="P550" i="16" a="1"/>
  <c r="P550" i="16" s="1"/>
  <c r="P551" i="16" a="1"/>
  <c r="P551" i="16" s="1"/>
  <c r="P552" i="16" a="1"/>
  <c r="P552" i="16" s="1"/>
  <c r="P553" i="16" a="1"/>
  <c r="P553" i="16" s="1"/>
  <c r="P554" i="16" a="1"/>
  <c r="P554" i="16" s="1"/>
  <c r="P555" i="16" a="1"/>
  <c r="P555" i="16" s="1"/>
  <c r="P556" i="16" a="1"/>
  <c r="P556" i="16" s="1"/>
  <c r="P557" i="16" a="1"/>
  <c r="P557" i="16" s="1"/>
  <c r="P558" i="16" a="1"/>
  <c r="P558" i="16" s="1"/>
  <c r="P559" i="16" a="1"/>
  <c r="P559" i="16" s="1"/>
  <c r="P560" i="16" a="1"/>
  <c r="P560" i="16" s="1"/>
  <c r="P561" i="16" a="1"/>
  <c r="P561" i="16" s="1"/>
  <c r="P562" i="16" a="1"/>
  <c r="P562" i="16" s="1"/>
  <c r="P563" i="16" a="1"/>
  <c r="P563" i="16" s="1"/>
  <c r="P564" i="16" a="1"/>
  <c r="P564" i="16" s="1"/>
  <c r="P565" i="16" a="1"/>
  <c r="P565" i="16" s="1"/>
  <c r="P566" i="16" a="1"/>
  <c r="P566" i="16" s="1"/>
  <c r="P567" i="16" a="1"/>
  <c r="P567" i="16" s="1"/>
  <c r="P568" i="16" a="1"/>
  <c r="P568" i="16" s="1"/>
  <c r="P569" i="16" a="1"/>
  <c r="P569" i="16" s="1"/>
  <c r="P570" i="16" a="1"/>
  <c r="P570" i="16" s="1"/>
  <c r="P571" i="16" a="1"/>
  <c r="P571" i="16" s="1"/>
  <c r="P572" i="16" a="1"/>
  <c r="P572" i="16" s="1"/>
  <c r="P573" i="16" a="1"/>
  <c r="P573" i="16" s="1"/>
  <c r="P574" i="16" a="1"/>
  <c r="P574" i="16" s="1"/>
  <c r="P575" i="16" a="1"/>
  <c r="P575" i="16" s="1"/>
  <c r="P576" i="16" a="1"/>
  <c r="P576" i="16" s="1"/>
  <c r="P577" i="16" a="1"/>
  <c r="P577" i="16" s="1"/>
  <c r="P578" i="16" a="1"/>
  <c r="P578" i="16" s="1"/>
  <c r="P579" i="16" a="1"/>
  <c r="P579" i="16" s="1"/>
  <c r="P580" i="16" a="1"/>
  <c r="P580" i="16" s="1"/>
  <c r="P581" i="16" a="1"/>
  <c r="P581" i="16" s="1"/>
  <c r="P582" i="16" a="1"/>
  <c r="P582" i="16" s="1"/>
  <c r="P583" i="16" a="1"/>
  <c r="P583" i="16" s="1"/>
  <c r="P584" i="16" a="1"/>
  <c r="P584" i="16" s="1"/>
  <c r="P585" i="16" a="1"/>
  <c r="P585" i="16" s="1"/>
  <c r="P586" i="16" a="1"/>
  <c r="P586" i="16" s="1"/>
  <c r="P587" i="16" a="1"/>
  <c r="P587" i="16" s="1"/>
  <c r="P588" i="16" a="1"/>
  <c r="P588" i="16" s="1"/>
  <c r="P589" i="16" a="1"/>
  <c r="P589" i="16" s="1"/>
  <c r="P590" i="16" a="1"/>
  <c r="P590" i="16" s="1"/>
  <c r="P591" i="16" a="1"/>
  <c r="P591" i="16" s="1"/>
  <c r="P592" i="16" a="1"/>
  <c r="P592" i="16" s="1"/>
  <c r="P593" i="16" a="1"/>
  <c r="P593" i="16" s="1"/>
  <c r="P594" i="16" a="1"/>
  <c r="P594" i="16" s="1"/>
  <c r="P595" i="16" a="1"/>
  <c r="P595" i="16" s="1"/>
  <c r="P596" i="16" a="1"/>
  <c r="P596" i="16" s="1"/>
  <c r="P597" i="16" a="1"/>
  <c r="P597" i="16" s="1"/>
  <c r="P598" i="16" a="1"/>
  <c r="P598" i="16" s="1"/>
  <c r="P599" i="16" a="1"/>
  <c r="P599" i="16" s="1"/>
  <c r="P600" i="16" a="1"/>
  <c r="P600" i="16" s="1"/>
  <c r="P601" i="16" a="1"/>
  <c r="P601" i="16" s="1"/>
  <c r="P602" i="16" a="1"/>
  <c r="P602" i="16" s="1"/>
  <c r="P603" i="16" a="1"/>
  <c r="P603" i="16" s="1"/>
  <c r="P604" i="16" a="1"/>
  <c r="P604" i="16" s="1"/>
  <c r="P605" i="16" a="1"/>
  <c r="P605" i="16" s="1"/>
  <c r="P606" i="16" a="1"/>
  <c r="P606" i="16" s="1"/>
  <c r="P607" i="16" a="1"/>
  <c r="P607" i="16" s="1"/>
  <c r="P608" i="16" a="1"/>
  <c r="P608" i="16" s="1"/>
  <c r="P609" i="16" a="1"/>
  <c r="P609" i="16" s="1"/>
  <c r="P610" i="16" a="1"/>
  <c r="P610" i="16" s="1"/>
  <c r="P611" i="16" a="1"/>
  <c r="P611" i="16" s="1"/>
  <c r="P612" i="16" a="1"/>
  <c r="P612" i="16" s="1"/>
  <c r="P613" i="16" a="1"/>
  <c r="P613" i="16" s="1"/>
  <c r="P614" i="16" a="1"/>
  <c r="P614" i="16" s="1"/>
  <c r="P615" i="16" a="1"/>
  <c r="P615" i="16" s="1"/>
  <c r="P616" i="16" a="1"/>
  <c r="P616" i="16" s="1"/>
  <c r="P617" i="16" a="1"/>
  <c r="P617" i="16" s="1"/>
  <c r="P618" i="16" a="1"/>
  <c r="P618" i="16" s="1"/>
  <c r="P619" i="16" a="1"/>
  <c r="P619" i="16" s="1"/>
  <c r="P620" i="16" a="1"/>
  <c r="P620" i="16" s="1"/>
  <c r="P621" i="16" a="1"/>
  <c r="P621" i="16" s="1"/>
  <c r="P622" i="16" a="1"/>
  <c r="P622" i="16" s="1"/>
  <c r="P623" i="16" a="1"/>
  <c r="P623" i="16" s="1"/>
  <c r="P624" i="16" a="1"/>
  <c r="P624" i="16" s="1"/>
  <c r="P625" i="16" a="1"/>
  <c r="P625" i="16" s="1"/>
  <c r="P626" i="16" a="1"/>
  <c r="P626" i="16" s="1"/>
  <c r="P627" i="16" a="1"/>
  <c r="P627" i="16" s="1"/>
  <c r="P628" i="16" a="1"/>
  <c r="P628" i="16" s="1"/>
  <c r="P629" i="16" a="1"/>
  <c r="P629" i="16" s="1"/>
  <c r="P630" i="16" a="1"/>
  <c r="P630" i="16" s="1"/>
  <c r="P631" i="16" a="1"/>
  <c r="P631" i="16" s="1"/>
  <c r="P632" i="16" a="1"/>
  <c r="P632" i="16" s="1"/>
  <c r="P633" i="16" a="1"/>
  <c r="P633" i="16" s="1"/>
  <c r="P634" i="16" a="1"/>
  <c r="P634" i="16" s="1"/>
  <c r="P635" i="16" a="1"/>
  <c r="P635" i="16" s="1"/>
  <c r="P636" i="16" a="1"/>
  <c r="P636" i="16" s="1"/>
  <c r="P637" i="16" a="1"/>
  <c r="P637" i="16" s="1"/>
  <c r="P638" i="16" a="1"/>
  <c r="P638" i="16" s="1"/>
  <c r="P639" i="16" a="1"/>
  <c r="P639" i="16" s="1"/>
  <c r="P640" i="16" a="1"/>
  <c r="P640" i="16" s="1"/>
  <c r="P641" i="16" a="1"/>
  <c r="P641" i="16" s="1"/>
  <c r="P642" i="16" a="1"/>
  <c r="P642" i="16" s="1"/>
  <c r="P643" i="16" a="1"/>
  <c r="P643" i="16" s="1"/>
  <c r="P644" i="16" a="1"/>
  <c r="P644" i="16" s="1"/>
  <c r="P645" i="16" a="1"/>
  <c r="P645" i="16" s="1"/>
  <c r="P646" i="16" a="1"/>
  <c r="P646" i="16" s="1"/>
  <c r="P647" i="16" a="1"/>
  <c r="P647" i="16" s="1"/>
  <c r="P648" i="16" a="1"/>
  <c r="P648" i="16" s="1"/>
  <c r="P649" i="16" a="1"/>
  <c r="P649" i="16" s="1"/>
  <c r="P650" i="16" a="1"/>
  <c r="P650" i="16" s="1"/>
  <c r="P651" i="16" a="1"/>
  <c r="P651" i="16" s="1"/>
  <c r="P652" i="16" a="1"/>
  <c r="P652" i="16" s="1"/>
  <c r="P653" i="16" a="1"/>
  <c r="P653" i="16" s="1"/>
  <c r="P654" i="16" a="1"/>
  <c r="P654" i="16" s="1"/>
  <c r="P655" i="16" a="1"/>
  <c r="P655" i="16" s="1"/>
  <c r="P656" i="16" a="1"/>
  <c r="P656" i="16" s="1"/>
  <c r="P657" i="16" a="1"/>
  <c r="P657" i="16" s="1"/>
  <c r="P658" i="16" a="1"/>
  <c r="P658" i="16" s="1"/>
  <c r="P659" i="16" a="1"/>
  <c r="P659" i="16" s="1"/>
  <c r="P660" i="16" a="1"/>
  <c r="P660" i="16" s="1"/>
  <c r="P661" i="16" a="1"/>
  <c r="P661" i="16" s="1"/>
  <c r="P662" i="16" a="1"/>
  <c r="P662" i="16" s="1"/>
  <c r="P663" i="16" a="1"/>
  <c r="P663" i="16" s="1"/>
  <c r="P664" i="16" a="1"/>
  <c r="P664" i="16" s="1"/>
  <c r="P665" i="16" a="1"/>
  <c r="P665" i="16" s="1"/>
  <c r="P666" i="16" a="1"/>
  <c r="P666" i="16" s="1"/>
  <c r="P667" i="16" a="1"/>
  <c r="P667" i="16" s="1"/>
  <c r="P668" i="16" a="1"/>
  <c r="P668" i="16" s="1"/>
  <c r="P669" i="16" a="1"/>
  <c r="P669" i="16" s="1"/>
  <c r="P670" i="16" a="1"/>
  <c r="P670" i="16" s="1"/>
  <c r="P671" i="16" a="1"/>
  <c r="P671" i="16" s="1"/>
  <c r="P672" i="16" a="1"/>
  <c r="P672" i="16" s="1"/>
  <c r="P673" i="16" a="1"/>
  <c r="P673" i="16" s="1"/>
  <c r="P674" i="16" a="1"/>
  <c r="P674" i="16" s="1"/>
  <c r="P675" i="16" a="1"/>
  <c r="P675" i="16" s="1"/>
  <c r="P676" i="16" a="1"/>
  <c r="P676" i="16" s="1"/>
  <c r="P677" i="16" a="1"/>
  <c r="P677" i="16" s="1"/>
  <c r="P678" i="16" a="1"/>
  <c r="P678" i="16" s="1"/>
  <c r="P679" i="16" a="1"/>
  <c r="P679" i="16" s="1"/>
  <c r="P680" i="16" a="1"/>
  <c r="P680" i="16" s="1"/>
  <c r="P681" i="16" a="1"/>
  <c r="P681" i="16" s="1"/>
  <c r="P682" i="16" a="1"/>
  <c r="P682" i="16" s="1"/>
  <c r="P683" i="16" a="1"/>
  <c r="P683" i="16" s="1"/>
  <c r="P684" i="16" a="1"/>
  <c r="P684" i="16" s="1"/>
  <c r="P685" i="16" a="1"/>
  <c r="P685" i="16" s="1"/>
  <c r="P686" i="16" a="1"/>
  <c r="P686" i="16" s="1"/>
  <c r="P687" i="16" a="1"/>
  <c r="P687" i="16" s="1"/>
  <c r="P688" i="16" a="1"/>
  <c r="P688" i="16" s="1"/>
  <c r="P689" i="16" a="1"/>
  <c r="P689" i="16" s="1"/>
  <c r="P690" i="16" a="1"/>
  <c r="P690" i="16" s="1"/>
  <c r="P691" i="16" a="1"/>
  <c r="P691" i="16" s="1"/>
  <c r="P692" i="16" a="1"/>
  <c r="P692" i="16" s="1"/>
  <c r="P693" i="16" a="1"/>
  <c r="P693" i="16" s="1"/>
  <c r="P694" i="16" a="1"/>
  <c r="P694" i="16" s="1"/>
  <c r="P695" i="16" a="1"/>
  <c r="P695" i="16" s="1"/>
  <c r="P696" i="16" a="1"/>
  <c r="P696" i="16" s="1"/>
  <c r="P697" i="16" a="1"/>
  <c r="P697" i="16" s="1"/>
  <c r="P698" i="16" a="1"/>
  <c r="P698" i="16" s="1"/>
  <c r="P699" i="16" a="1"/>
  <c r="P699" i="16" s="1"/>
  <c r="P700" i="16" a="1"/>
  <c r="P700" i="16" s="1"/>
  <c r="P701" i="16" a="1"/>
  <c r="P701" i="16" s="1"/>
  <c r="P702" i="16" a="1"/>
  <c r="P702" i="16" s="1"/>
  <c r="P703" i="16" a="1"/>
  <c r="P703" i="16" s="1"/>
  <c r="P704" i="16" a="1"/>
  <c r="P704" i="16" s="1"/>
  <c r="P705" i="16" a="1"/>
  <c r="P705" i="16" s="1"/>
  <c r="P706" i="16" a="1"/>
  <c r="P706" i="16" s="1"/>
  <c r="P707" i="16" a="1"/>
  <c r="P707" i="16" s="1"/>
  <c r="P708" i="16" a="1"/>
  <c r="P708" i="16" s="1"/>
  <c r="P709" i="16" a="1"/>
  <c r="P709" i="16" s="1"/>
  <c r="P710" i="16" a="1"/>
  <c r="P710" i="16" s="1"/>
  <c r="P711" i="16" a="1"/>
  <c r="P711" i="16" s="1"/>
  <c r="P712" i="16" a="1"/>
  <c r="P712" i="16" s="1"/>
  <c r="P713" i="16" a="1"/>
  <c r="P713" i="16" s="1"/>
  <c r="P714" i="16" a="1"/>
  <c r="P714" i="16" s="1"/>
  <c r="P715" i="16" a="1"/>
  <c r="P715" i="16" s="1"/>
  <c r="P716" i="16" a="1"/>
  <c r="P716" i="16" s="1"/>
  <c r="P717" i="16" a="1"/>
  <c r="P717" i="16" s="1"/>
  <c r="P718" i="16" a="1"/>
  <c r="P718" i="16" s="1"/>
  <c r="P719" i="16" a="1"/>
  <c r="P719" i="16" s="1"/>
  <c r="P720" i="16" a="1"/>
  <c r="P720" i="16" s="1"/>
  <c r="P721" i="16" a="1"/>
  <c r="P721" i="16" s="1"/>
  <c r="P722" i="16" a="1"/>
  <c r="P722" i="16" s="1"/>
  <c r="P723" i="16" a="1"/>
  <c r="P723" i="16" s="1"/>
  <c r="P724" i="16" a="1"/>
  <c r="P724" i="16" s="1"/>
  <c r="P725" i="16" a="1"/>
  <c r="P725" i="16" s="1"/>
  <c r="P726" i="16" a="1"/>
  <c r="P726" i="16" s="1"/>
  <c r="P727" i="16" a="1"/>
  <c r="P727" i="16" s="1"/>
  <c r="P728" i="16" a="1"/>
  <c r="P728" i="16" s="1"/>
  <c r="P729" i="16" a="1"/>
  <c r="P729" i="16" s="1"/>
  <c r="P730" i="16" a="1"/>
  <c r="P730" i="16" s="1"/>
  <c r="P731" i="16" a="1"/>
  <c r="P731" i="16" s="1"/>
  <c r="P732" i="16" a="1"/>
  <c r="P732" i="16" s="1"/>
  <c r="P733" i="16" a="1"/>
  <c r="P733" i="16" s="1"/>
  <c r="P734" i="16" a="1"/>
  <c r="P734" i="16" s="1"/>
  <c r="P735" i="16" a="1"/>
  <c r="P735" i="16" s="1"/>
  <c r="P736" i="16" a="1"/>
  <c r="P736" i="16" s="1"/>
  <c r="P737" i="16" a="1"/>
  <c r="P737" i="16" s="1"/>
  <c r="P738" i="16" a="1"/>
  <c r="P738" i="16" s="1"/>
  <c r="P739" i="16" a="1"/>
  <c r="P739" i="16" s="1"/>
  <c r="P740" i="16" a="1"/>
  <c r="P740" i="16" s="1"/>
  <c r="P741" i="16" a="1"/>
  <c r="P741" i="16" s="1"/>
  <c r="P742" i="16" a="1"/>
  <c r="P742" i="16" s="1"/>
  <c r="P743" i="16" a="1"/>
  <c r="P743" i="16" s="1"/>
  <c r="P744" i="16" a="1"/>
  <c r="P744" i="16" s="1"/>
  <c r="P745" i="16" a="1"/>
  <c r="P745" i="16" s="1"/>
  <c r="P746" i="16" a="1"/>
  <c r="P746" i="16" s="1"/>
  <c r="P747" i="16" a="1"/>
  <c r="P747" i="16" s="1"/>
  <c r="P748" i="16" a="1"/>
  <c r="P748" i="16" s="1"/>
  <c r="P749" i="16" a="1"/>
  <c r="P749" i="16" s="1"/>
  <c r="P750" i="16" a="1"/>
  <c r="P750" i="16" s="1"/>
  <c r="P751" i="16" a="1"/>
  <c r="P751" i="16" s="1"/>
  <c r="P752" i="16" a="1"/>
  <c r="P752" i="16" s="1"/>
  <c r="P753" i="16" a="1"/>
  <c r="P753" i="16" s="1"/>
  <c r="P754" i="16" a="1"/>
  <c r="P754" i="16" s="1"/>
  <c r="P755" i="16" a="1"/>
  <c r="P755" i="16" s="1"/>
  <c r="P756" i="16" a="1"/>
  <c r="P756" i="16" s="1"/>
  <c r="P757" i="16" a="1"/>
  <c r="P757" i="16" s="1"/>
  <c r="P758" i="16" a="1"/>
  <c r="P758" i="16" s="1"/>
  <c r="P759" i="16" a="1"/>
  <c r="P759" i="16" s="1"/>
  <c r="P760" i="16" a="1"/>
  <c r="P760" i="16" s="1"/>
  <c r="P761" i="16" a="1"/>
  <c r="P761" i="16" s="1"/>
  <c r="P762" i="16" a="1"/>
  <c r="P762" i="16" s="1"/>
  <c r="P763" i="16" a="1"/>
  <c r="P763" i="16" s="1"/>
  <c r="P764" i="16" a="1"/>
  <c r="P764" i="16" s="1"/>
  <c r="P765" i="16" a="1"/>
  <c r="P765" i="16" s="1"/>
  <c r="P766" i="16" a="1"/>
  <c r="P766" i="16" s="1"/>
  <c r="P767" i="16" a="1"/>
  <c r="P767" i="16" s="1"/>
  <c r="P768" i="16" a="1"/>
  <c r="P768" i="16" s="1"/>
  <c r="P769" i="16" a="1"/>
  <c r="P769" i="16" s="1"/>
  <c r="P770" i="16" a="1"/>
  <c r="P770" i="16" s="1"/>
  <c r="P771" i="16" a="1"/>
  <c r="P771" i="16" s="1"/>
  <c r="P772" i="16" a="1"/>
  <c r="P772" i="16" s="1"/>
  <c r="P773" i="16" a="1"/>
  <c r="P773" i="16" s="1"/>
  <c r="P774" i="16" a="1"/>
  <c r="P774" i="16" s="1"/>
  <c r="P775" i="16" a="1"/>
  <c r="P775" i="16" s="1"/>
  <c r="P776" i="16" a="1"/>
  <c r="P776" i="16" s="1"/>
  <c r="P777" i="16" a="1"/>
  <c r="P777" i="16" s="1"/>
  <c r="P778" i="16" a="1"/>
  <c r="P778" i="16" s="1"/>
  <c r="P779" i="16" a="1"/>
  <c r="P779" i="16" s="1"/>
  <c r="P780" i="16" a="1"/>
  <c r="P780" i="16" s="1"/>
  <c r="P781" i="16" a="1"/>
  <c r="P781" i="16" s="1"/>
  <c r="P782" i="16" a="1"/>
  <c r="P782" i="16" s="1"/>
  <c r="P783" i="16" a="1"/>
  <c r="P783" i="16" s="1"/>
  <c r="P784" i="16" a="1"/>
  <c r="P784" i="16" s="1"/>
  <c r="P785" i="16" a="1"/>
  <c r="P785" i="16" s="1"/>
  <c r="P786" i="16" a="1"/>
  <c r="P786" i="16" s="1"/>
  <c r="P787" i="16" a="1"/>
  <c r="P787" i="16" s="1"/>
  <c r="P788" i="16" a="1"/>
  <c r="P788" i="16" s="1"/>
  <c r="P789" i="16" a="1"/>
  <c r="P789" i="16" s="1"/>
  <c r="P790" i="16" a="1"/>
  <c r="P790" i="16" s="1"/>
  <c r="P791" i="16" a="1"/>
  <c r="P791" i="16" s="1"/>
  <c r="P792" i="16" a="1"/>
  <c r="P792" i="16" s="1"/>
  <c r="P793" i="16" a="1"/>
  <c r="P793" i="16" s="1"/>
  <c r="P794" i="16" a="1"/>
  <c r="P794" i="16" s="1"/>
  <c r="P795" i="16" a="1"/>
  <c r="P795" i="16" s="1"/>
  <c r="P796" i="16" a="1"/>
  <c r="P796" i="16" s="1"/>
  <c r="P797" i="16" a="1"/>
  <c r="P797" i="16" s="1"/>
  <c r="P798" i="16" a="1"/>
  <c r="P798" i="16" s="1"/>
  <c r="P799" i="16" a="1"/>
  <c r="P799" i="16" s="1"/>
  <c r="P800" i="16" a="1"/>
  <c r="P800" i="16" s="1"/>
  <c r="P801" i="16" a="1"/>
  <c r="P801" i="16" s="1"/>
  <c r="P802" i="16" a="1"/>
  <c r="P802" i="16" s="1"/>
  <c r="P803" i="16" a="1"/>
  <c r="P803" i="16" s="1"/>
  <c r="P804" i="16" a="1"/>
  <c r="P804" i="16" s="1"/>
  <c r="P805" i="16" a="1"/>
  <c r="P805" i="16" s="1"/>
  <c r="P806" i="16" a="1"/>
  <c r="P806" i="16" s="1"/>
  <c r="P807" i="16" a="1"/>
  <c r="P807" i="16" s="1"/>
  <c r="P808" i="16" a="1"/>
  <c r="P808" i="16" s="1"/>
  <c r="P809" i="16" a="1"/>
  <c r="P809" i="16" s="1"/>
  <c r="P810" i="16" a="1"/>
  <c r="P810" i="16" s="1"/>
  <c r="P811" i="16" a="1"/>
  <c r="P811" i="16" s="1"/>
  <c r="P812" i="16" a="1"/>
  <c r="P812" i="16" s="1"/>
  <c r="P813" i="16" a="1"/>
  <c r="P813" i="16" s="1"/>
  <c r="P814" i="16" a="1"/>
  <c r="P814" i="16" s="1"/>
  <c r="P815" i="16" a="1"/>
  <c r="P815" i="16" s="1"/>
  <c r="P816" i="16" a="1"/>
  <c r="P816" i="16" s="1"/>
  <c r="P817" i="16" a="1"/>
  <c r="P817" i="16" s="1"/>
  <c r="P818" i="16" a="1"/>
  <c r="P818" i="16" s="1"/>
  <c r="P819" i="16" a="1"/>
  <c r="P819" i="16" s="1"/>
  <c r="P820" i="16" a="1"/>
  <c r="P820" i="16" s="1"/>
  <c r="P821" i="16" a="1"/>
  <c r="P821" i="16" s="1"/>
  <c r="P822" i="16" a="1"/>
  <c r="P822" i="16" s="1"/>
  <c r="P823" i="16" a="1"/>
  <c r="P823" i="16" s="1"/>
  <c r="P824" i="16" a="1"/>
  <c r="P824" i="16" s="1"/>
  <c r="P825" i="16" a="1"/>
  <c r="P825" i="16" s="1"/>
  <c r="P826" i="16" a="1"/>
  <c r="P826" i="16" s="1"/>
  <c r="P827" i="16" a="1"/>
  <c r="P827" i="16" s="1"/>
  <c r="P828" i="16" a="1"/>
  <c r="P828" i="16" s="1"/>
  <c r="P829" i="16" a="1"/>
  <c r="P829" i="16" s="1"/>
  <c r="P830" i="16" a="1"/>
  <c r="P830" i="16" s="1"/>
  <c r="P831" i="16" a="1"/>
  <c r="P831" i="16" s="1"/>
  <c r="P832" i="16" a="1"/>
  <c r="P832" i="16" s="1"/>
  <c r="P833" i="16" a="1"/>
  <c r="P833" i="16" s="1"/>
  <c r="P834" i="16" a="1"/>
  <c r="P834" i="16" s="1"/>
  <c r="P835" i="16" a="1"/>
  <c r="P835" i="16" s="1"/>
  <c r="P836" i="16" a="1"/>
  <c r="P836" i="16" s="1"/>
  <c r="P837" i="16" a="1"/>
  <c r="P837" i="16" s="1"/>
  <c r="P838" i="16" a="1"/>
  <c r="P838" i="16" s="1"/>
  <c r="P839" i="16" a="1"/>
  <c r="P839" i="16" s="1"/>
  <c r="P840" i="16" a="1"/>
  <c r="P840" i="16" s="1"/>
  <c r="P841" i="16" a="1"/>
  <c r="P841" i="16" s="1"/>
  <c r="P842" i="16" a="1"/>
  <c r="P842" i="16" s="1"/>
  <c r="P843" i="16" a="1"/>
  <c r="P843" i="16" s="1"/>
  <c r="P844" i="16" a="1"/>
  <c r="P844" i="16" s="1"/>
  <c r="P845" i="16" a="1"/>
  <c r="P845" i="16" s="1"/>
  <c r="P846" i="16" a="1"/>
  <c r="P846" i="16" s="1"/>
  <c r="P847" i="16" a="1"/>
  <c r="P847" i="16" s="1"/>
  <c r="P848" i="16" a="1"/>
  <c r="P848" i="16" s="1"/>
  <c r="P849" i="16" a="1"/>
  <c r="P849" i="16" s="1"/>
  <c r="P850" i="16" a="1"/>
  <c r="P850" i="16" s="1"/>
  <c r="P851" i="16" a="1"/>
  <c r="P851" i="16" s="1"/>
  <c r="P852" i="16" a="1"/>
  <c r="P852" i="16" s="1"/>
  <c r="P853" i="16" a="1"/>
  <c r="P853" i="16" s="1"/>
  <c r="P854" i="16" a="1"/>
  <c r="P854" i="16" s="1"/>
  <c r="P855" i="16" a="1"/>
  <c r="P855" i="16" s="1"/>
  <c r="P856" i="16" a="1"/>
  <c r="P856" i="16" s="1"/>
  <c r="P857" i="16" a="1"/>
  <c r="P857" i="16" s="1"/>
  <c r="P858" i="16" a="1"/>
  <c r="P858" i="16" s="1"/>
  <c r="P859" i="16" a="1"/>
  <c r="P859" i="16" s="1"/>
  <c r="P860" i="16" a="1"/>
  <c r="P860" i="16" s="1"/>
  <c r="P861" i="16" a="1"/>
  <c r="P861" i="16" s="1"/>
  <c r="P862" i="16" a="1"/>
  <c r="P862" i="16" s="1"/>
  <c r="P863" i="16" a="1"/>
  <c r="P863" i="16" s="1"/>
  <c r="P864" i="16" a="1"/>
  <c r="P864" i="16" s="1"/>
  <c r="P865" i="16" a="1"/>
  <c r="P865" i="16" s="1"/>
  <c r="P866" i="16" a="1"/>
  <c r="P866" i="16" s="1"/>
  <c r="P867" i="16" a="1"/>
  <c r="P867" i="16" s="1"/>
  <c r="P868" i="16" a="1"/>
  <c r="P868" i="16" s="1"/>
  <c r="P869" i="16" a="1"/>
  <c r="P869" i="16" s="1"/>
  <c r="P870" i="16" a="1"/>
  <c r="P870" i="16" s="1"/>
  <c r="P871" i="16" a="1"/>
  <c r="P871" i="16" s="1"/>
  <c r="P872" i="16" a="1"/>
  <c r="P872" i="16" s="1"/>
  <c r="P873" i="16" a="1"/>
  <c r="P873" i="16" s="1"/>
  <c r="P874" i="16" a="1"/>
  <c r="P874" i="16" s="1"/>
  <c r="P875" i="16" a="1"/>
  <c r="P875" i="16" s="1"/>
  <c r="P876" i="16" a="1"/>
  <c r="P876" i="16" s="1"/>
  <c r="P877" i="16" a="1"/>
  <c r="P877" i="16" s="1"/>
  <c r="P878" i="16" a="1"/>
  <c r="P878" i="16" s="1"/>
  <c r="P879" i="16" a="1"/>
  <c r="P879" i="16" s="1"/>
  <c r="P880" i="16" a="1"/>
  <c r="P880" i="16" s="1"/>
  <c r="P881" i="16" a="1"/>
  <c r="P881" i="16" s="1"/>
  <c r="P882" i="16" a="1"/>
  <c r="P882" i="16" s="1"/>
  <c r="P883" i="16" a="1"/>
  <c r="P883" i="16" s="1"/>
  <c r="P884" i="16" a="1"/>
  <c r="P884" i="16" s="1"/>
  <c r="P885" i="16" a="1"/>
  <c r="P885" i="16" s="1"/>
  <c r="P886" i="16" a="1"/>
  <c r="P886" i="16" s="1"/>
  <c r="P887" i="16" a="1"/>
  <c r="P887" i="16" s="1"/>
  <c r="P888" i="16" a="1"/>
  <c r="P888" i="16" s="1"/>
  <c r="P889" i="16" a="1"/>
  <c r="P889" i="16" s="1"/>
  <c r="P890" i="16" a="1"/>
  <c r="P890" i="16" s="1"/>
  <c r="P891" i="16" a="1"/>
  <c r="P891" i="16" s="1"/>
  <c r="P892" i="16" a="1"/>
  <c r="P892" i="16" s="1"/>
  <c r="P893" i="16" a="1"/>
  <c r="P893" i="16" s="1"/>
  <c r="P894" i="16" a="1"/>
  <c r="P894" i="16" s="1"/>
  <c r="P895" i="16" a="1"/>
  <c r="P895" i="16" s="1"/>
  <c r="P896" i="16" a="1"/>
  <c r="P896" i="16" s="1"/>
  <c r="P897" i="16" a="1"/>
  <c r="P897" i="16" s="1"/>
  <c r="P898" i="16" a="1"/>
  <c r="P898" i="16" s="1"/>
  <c r="P899" i="16" a="1"/>
  <c r="P899" i="16" s="1"/>
  <c r="P900" i="16" a="1"/>
  <c r="P900" i="16" s="1"/>
  <c r="P901" i="16" a="1"/>
  <c r="P901" i="16" s="1"/>
  <c r="P902" i="16" a="1"/>
  <c r="P902" i="16" s="1"/>
  <c r="P903" i="16" a="1"/>
  <c r="P903" i="16" s="1"/>
  <c r="P904" i="16" a="1"/>
  <c r="P904" i="16" s="1"/>
  <c r="P905" i="16" a="1"/>
  <c r="P905" i="16" s="1"/>
  <c r="P906" i="16" a="1"/>
  <c r="P906" i="16" s="1"/>
  <c r="P907" i="16" a="1"/>
  <c r="P907" i="16" s="1"/>
  <c r="P908" i="16" a="1"/>
  <c r="P908" i="16" s="1"/>
  <c r="P909" i="16" a="1"/>
  <c r="P909" i="16" s="1"/>
  <c r="P910" i="16" a="1"/>
  <c r="P910" i="16" s="1"/>
  <c r="P911" i="16" a="1"/>
  <c r="P911" i="16" s="1"/>
  <c r="P912" i="16" a="1"/>
  <c r="P912" i="16" s="1"/>
  <c r="P913" i="16" a="1"/>
  <c r="P913" i="16" s="1"/>
  <c r="P914" i="16" a="1"/>
  <c r="P914" i="16" s="1"/>
  <c r="P915" i="16" a="1"/>
  <c r="P915" i="16" s="1"/>
  <c r="P916" i="16" a="1"/>
  <c r="P916" i="16" s="1"/>
  <c r="P917" i="16" a="1"/>
  <c r="P917" i="16" s="1"/>
  <c r="P918" i="16" a="1"/>
  <c r="P918" i="16" s="1"/>
  <c r="P919" i="16" a="1"/>
  <c r="P919" i="16" s="1"/>
  <c r="P920" i="16" a="1"/>
  <c r="P920" i="16" s="1"/>
  <c r="P921" i="16" a="1"/>
  <c r="P921" i="16" s="1"/>
  <c r="P922" i="16" a="1"/>
  <c r="P922" i="16" s="1"/>
  <c r="P923" i="16" a="1"/>
  <c r="P923" i="16" s="1"/>
  <c r="P924" i="16" a="1"/>
  <c r="P924" i="16" s="1"/>
  <c r="P925" i="16" a="1"/>
  <c r="P925" i="16" s="1"/>
  <c r="P926" i="16" a="1"/>
  <c r="P926" i="16" s="1"/>
  <c r="P927" i="16" a="1"/>
  <c r="P927" i="16" s="1"/>
  <c r="P928" i="16" a="1"/>
  <c r="P928" i="16" s="1"/>
  <c r="P929" i="16" a="1"/>
  <c r="P929" i="16" s="1"/>
  <c r="P930" i="16" a="1"/>
  <c r="P930" i="16" s="1"/>
  <c r="P931" i="16" a="1"/>
  <c r="P931" i="16" s="1"/>
  <c r="P932" i="16" a="1"/>
  <c r="P932" i="16" s="1"/>
  <c r="P933" i="16" a="1"/>
  <c r="P933" i="16" s="1"/>
  <c r="P934" i="16" a="1"/>
  <c r="P934" i="16" s="1"/>
  <c r="P935" i="16" a="1"/>
  <c r="P935" i="16" s="1"/>
  <c r="P936" i="16" a="1"/>
  <c r="P936" i="16" s="1"/>
  <c r="P937" i="16" a="1"/>
  <c r="P937" i="16" s="1"/>
  <c r="P938" i="16" a="1"/>
  <c r="P938" i="16" s="1"/>
  <c r="P939" i="16" a="1"/>
  <c r="P939" i="16" s="1"/>
  <c r="P940" i="16" a="1"/>
  <c r="P940" i="16" s="1"/>
  <c r="P941" i="16" a="1"/>
  <c r="P941" i="16" s="1"/>
  <c r="P942" i="16" a="1"/>
  <c r="P942" i="16" s="1"/>
  <c r="P943" i="16" a="1"/>
  <c r="P943" i="16" s="1"/>
  <c r="P944" i="16" a="1"/>
  <c r="P944" i="16" s="1"/>
  <c r="P945" i="16" a="1"/>
  <c r="P945" i="16" s="1"/>
  <c r="P946" i="16" a="1"/>
  <c r="P946" i="16" s="1"/>
  <c r="P947" i="16" a="1"/>
  <c r="P947" i="16" s="1"/>
  <c r="P948" i="16" a="1"/>
  <c r="P948" i="16" s="1"/>
  <c r="P949" i="16" a="1"/>
  <c r="P949" i="16" s="1"/>
  <c r="P950" i="16" a="1"/>
  <c r="P950" i="16" s="1"/>
  <c r="P951" i="16" a="1"/>
  <c r="P951" i="16" s="1"/>
  <c r="P952" i="16" a="1"/>
  <c r="P952" i="16" s="1"/>
  <c r="P953" i="16" a="1"/>
  <c r="P953" i="16" s="1"/>
  <c r="P954" i="16" a="1"/>
  <c r="P954" i="16" s="1"/>
  <c r="P955" i="16" a="1"/>
  <c r="P955" i="16" s="1"/>
  <c r="P956" i="16" a="1"/>
  <c r="P956" i="16" s="1"/>
  <c r="P957" i="16" a="1"/>
  <c r="P957" i="16" s="1"/>
  <c r="P958" i="16" a="1"/>
  <c r="P958" i="16" s="1"/>
  <c r="P959" i="16" a="1"/>
  <c r="P959" i="16" s="1"/>
  <c r="P960" i="16" a="1"/>
  <c r="P960" i="16" s="1"/>
  <c r="P961" i="16" a="1"/>
  <c r="P961" i="16" s="1"/>
  <c r="P962" i="16" a="1"/>
  <c r="P962" i="16" s="1"/>
  <c r="P963" i="16" a="1"/>
  <c r="P963" i="16" s="1"/>
  <c r="P964" i="16" a="1"/>
  <c r="P964" i="16" s="1"/>
  <c r="P965" i="16" a="1"/>
  <c r="P965" i="16" s="1"/>
  <c r="P966" i="16" a="1"/>
  <c r="P966" i="16" s="1"/>
  <c r="P967" i="16" a="1"/>
  <c r="P967" i="16" s="1"/>
  <c r="P968" i="16" a="1"/>
  <c r="P968" i="16" s="1"/>
  <c r="P969" i="16" a="1"/>
  <c r="P969" i="16" s="1"/>
  <c r="P970" i="16" a="1"/>
  <c r="P970" i="16" s="1"/>
  <c r="P971" i="16" a="1"/>
  <c r="P971" i="16" s="1"/>
  <c r="P972" i="16" a="1"/>
  <c r="P972" i="16" s="1"/>
  <c r="P973" i="16" a="1"/>
  <c r="P973" i="16" s="1"/>
  <c r="P974" i="16" a="1"/>
  <c r="P974" i="16" s="1"/>
  <c r="P975" i="16" a="1"/>
  <c r="P975" i="16" s="1"/>
  <c r="P976" i="16" a="1"/>
  <c r="P976" i="16" s="1"/>
  <c r="P977" i="16" a="1"/>
  <c r="P977" i="16" s="1"/>
  <c r="P978" i="16" a="1"/>
  <c r="P978" i="16" s="1"/>
  <c r="P979" i="16" a="1"/>
  <c r="P979" i="16" s="1"/>
  <c r="P980" i="16" a="1"/>
  <c r="P980" i="16" s="1"/>
  <c r="P981" i="16" a="1"/>
  <c r="P981" i="16" s="1"/>
  <c r="P982" i="16" a="1"/>
  <c r="P982" i="16" s="1"/>
  <c r="P983" i="16" a="1"/>
  <c r="P983" i="16" s="1"/>
  <c r="P984" i="16" a="1"/>
  <c r="P984" i="16" s="1"/>
  <c r="P985" i="16" a="1"/>
  <c r="P985" i="16" s="1"/>
  <c r="P986" i="16" a="1"/>
  <c r="P986" i="16" s="1"/>
  <c r="P987" i="16" a="1"/>
  <c r="P987" i="16" s="1"/>
  <c r="P988" i="16" a="1"/>
  <c r="P988" i="16" s="1"/>
  <c r="P989" i="16" a="1"/>
  <c r="P989" i="16" s="1"/>
  <c r="P990" i="16" a="1"/>
  <c r="P990" i="16" s="1"/>
  <c r="P991" i="16" a="1"/>
  <c r="P991" i="16" s="1"/>
  <c r="P992" i="16" a="1"/>
  <c r="P992" i="16" s="1"/>
  <c r="P993" i="16" a="1"/>
  <c r="P993" i="16" s="1"/>
  <c r="P994" i="16" a="1"/>
  <c r="P994" i="16" s="1"/>
  <c r="P995" i="16" a="1"/>
  <c r="P995" i="16" s="1"/>
  <c r="P996" i="16" a="1"/>
  <c r="P996" i="16" s="1"/>
  <c r="P997" i="16" a="1"/>
  <c r="P997" i="16" s="1"/>
  <c r="P998" i="16" a="1"/>
  <c r="P998" i="16" s="1"/>
  <c r="P999" i="16" a="1"/>
  <c r="P999" i="16" s="1"/>
  <c r="P1000" i="16" a="1"/>
  <c r="P1000" i="16" s="1"/>
  <c r="P3" i="16" a="1"/>
  <c r="P3" i="16" s="1"/>
  <c r="P4" i="16" a="1"/>
  <c r="P4" i="16" s="1"/>
  <c r="P5" i="16" a="1"/>
  <c r="P5" i="16" s="1"/>
  <c r="P6" i="16" a="1"/>
  <c r="P6" i="16" s="1"/>
  <c r="P7" i="16" a="1"/>
  <c r="P7" i="16" s="1"/>
  <c r="P8" i="16" a="1"/>
  <c r="P8" i="16" s="1"/>
  <c r="P9" i="16" a="1"/>
  <c r="P9" i="16" s="1"/>
  <c r="P10" i="16" a="1"/>
  <c r="P10" i="16" s="1"/>
  <c r="P11" i="16" a="1"/>
  <c r="P11" i="16" s="1"/>
  <c r="P12" i="16" a="1"/>
  <c r="P12" i="16" s="1"/>
  <c r="P13" i="16" a="1"/>
  <c r="P13" i="16" s="1"/>
  <c r="P14" i="16" a="1"/>
  <c r="P14" i="16" s="1"/>
  <c r="P15" i="16" a="1"/>
  <c r="P15" i="16" s="1"/>
  <c r="P16" i="16" a="1"/>
  <c r="P16" i="16" s="1"/>
  <c r="P17" i="16" a="1"/>
  <c r="P17" i="16" s="1"/>
  <c r="P18" i="16" a="1"/>
  <c r="P18" i="16" s="1"/>
  <c r="P19" i="16" a="1"/>
  <c r="P19" i="16" s="1"/>
  <c r="P20" i="16" a="1"/>
  <c r="P20" i="16" s="1"/>
  <c r="P21" i="16" a="1"/>
  <c r="P21" i="16" s="1"/>
  <c r="P22" i="16" a="1"/>
  <c r="P22" i="16" s="1"/>
  <c r="P23" i="16" a="1"/>
  <c r="P23" i="16" s="1"/>
  <c r="P24" i="16" a="1"/>
  <c r="P24" i="16" s="1"/>
  <c r="P25" i="16" a="1"/>
  <c r="P25" i="16" s="1"/>
  <c r="P26" i="16" a="1"/>
  <c r="P26" i="16" s="1"/>
  <c r="P27" i="16" a="1"/>
  <c r="P27" i="16" s="1"/>
  <c r="P28" i="16" a="1"/>
  <c r="P28" i="16" s="1"/>
  <c r="P29" i="16" a="1"/>
  <c r="P29" i="16" s="1"/>
  <c r="P30" i="16" a="1"/>
  <c r="P30" i="16" s="1"/>
  <c r="P31" i="16" a="1"/>
  <c r="P31" i="16" s="1"/>
  <c r="P32" i="16" a="1"/>
  <c r="P32" i="16" s="1"/>
  <c r="P33" i="16" a="1"/>
  <c r="P33" i="16" s="1"/>
  <c r="P34" i="16" a="1"/>
  <c r="P34" i="16" s="1"/>
  <c r="P35" i="16" a="1"/>
  <c r="P35" i="16" s="1"/>
  <c r="P36" i="16" a="1"/>
  <c r="P36" i="16" s="1"/>
  <c r="P37" i="16" a="1"/>
  <c r="P37" i="16" s="1"/>
  <c r="P38" i="16" a="1"/>
  <c r="P38" i="16" s="1"/>
  <c r="P39" i="16" a="1"/>
  <c r="P39" i="16" s="1"/>
  <c r="P40" i="16" a="1"/>
  <c r="P40" i="16" s="1"/>
  <c r="Z343" i="16" l="1" a="1"/>
  <c r="Z343" i="16" s="1"/>
  <c r="Z351" i="16" a="1"/>
  <c r="Z351" i="16" s="1"/>
  <c r="Z344" i="16" a="1"/>
  <c r="Z344" i="16" s="1"/>
  <c r="Z352" i="16" a="1"/>
  <c r="Z352" i="16" s="1"/>
  <c r="Z345" i="16" a="1"/>
  <c r="Z345" i="16" s="1"/>
  <c r="Z346" i="16" a="1"/>
  <c r="Z346" i="16" s="1"/>
  <c r="Z347" i="16" a="1"/>
  <c r="Z347" i="16" s="1"/>
  <c r="Z348" i="16" a="1"/>
  <c r="Z348" i="16" s="1"/>
  <c r="Z349" i="16" a="1"/>
  <c r="Z349" i="16" s="1"/>
  <c r="Z342" i="16" a="1"/>
  <c r="Z342" i="16" s="1"/>
  <c r="Z350" i="16" a="1"/>
  <c r="Z350" i="16" s="1"/>
  <c r="Z126" i="16" a="1"/>
  <c r="Z126" i="16" s="1"/>
  <c r="Z127" i="16" a="1"/>
  <c r="Z127" i="16" s="1"/>
  <c r="Z128" i="16" a="1"/>
  <c r="Z128" i="16" s="1"/>
  <c r="Z129" i="16" a="1"/>
  <c r="Z129" i="16" s="1"/>
  <c r="Z130" i="16" a="1"/>
  <c r="Z130" i="16" s="1"/>
  <c r="Z123" i="16" a="1"/>
  <c r="Z123" i="16" s="1"/>
  <c r="Z124" i="16" a="1"/>
  <c r="Z124" i="16" s="1"/>
  <c r="Z125" i="16" a="1"/>
  <c r="Z125" i="16" s="1"/>
  <c r="Z84" i="16" a="1"/>
  <c r="Z84" i="16" s="1"/>
  <c r="Z91" i="16" a="1"/>
  <c r="Z91" i="16" s="1"/>
  <c r="Z90" i="16" a="1"/>
  <c r="Z90" i="16" s="1"/>
  <c r="Z85" i="16" a="1"/>
  <c r="Z85" i="16" s="1"/>
  <c r="Z86" i="16" a="1"/>
  <c r="Z86" i="16" s="1"/>
  <c r="Z87" i="16" a="1"/>
  <c r="Z87" i="16" s="1"/>
  <c r="Z88" i="16" a="1"/>
  <c r="Z88" i="16" s="1"/>
  <c r="Z89" i="16" a="1"/>
  <c r="Z89" i="16" s="1"/>
  <c r="Z54" i="16" a="1"/>
  <c r="Z54" i="16" s="1"/>
  <c r="Z62" i="16" a="1"/>
  <c r="Z62" i="16" s="1"/>
  <c r="Z55" i="16" a="1"/>
  <c r="Z55" i="16" s="1"/>
  <c r="Z63" i="16" a="1"/>
  <c r="Z63" i="16" s="1"/>
  <c r="Z56" i="16" a="1"/>
  <c r="Z56" i="16" s="1"/>
  <c r="Z64" i="16" a="1"/>
  <c r="Z64" i="16" s="1"/>
  <c r="Z49" i="16" a="1"/>
  <c r="Z49" i="16" s="1"/>
  <c r="Z57" i="16" a="1"/>
  <c r="Z57" i="16" s="1"/>
  <c r="Z50" i="16" a="1"/>
  <c r="Z50" i="16" s="1"/>
  <c r="Z58" i="16" a="1"/>
  <c r="Z58" i="16" s="1"/>
  <c r="Z51" i="16" a="1"/>
  <c r="Z51" i="16" s="1"/>
  <c r="Z59" i="16" a="1"/>
  <c r="Z59" i="16" s="1"/>
  <c r="Z52" i="16" a="1"/>
  <c r="Z52" i="16" s="1"/>
  <c r="Z60" i="16" a="1"/>
  <c r="Z60" i="16" s="1"/>
  <c r="Z53" i="16" a="1"/>
  <c r="Z53" i="16" s="1"/>
  <c r="Z61" i="16" a="1"/>
  <c r="Z61" i="16" s="1"/>
  <c r="Z6" i="16" a="1"/>
  <c r="Z6" i="16" s="1"/>
  <c r="Z11" i="16" a="1"/>
  <c r="Z11" i="16" s="1"/>
  <c r="Z7" i="16" a="1"/>
  <c r="Z7" i="16" s="1"/>
  <c r="Z8" i="16" a="1"/>
  <c r="Z8" i="16" s="1"/>
  <c r="Z9" i="16" a="1"/>
  <c r="Z9" i="16" s="1"/>
  <c r="Z10" i="16" a="1"/>
  <c r="Z10" i="16" s="1"/>
  <c r="Z12" i="16" a="1"/>
  <c r="Z12" i="16" s="1"/>
  <c r="Z13" i="16" a="1"/>
  <c r="Z13" i="16" s="1"/>
  <c r="Z121" i="16" a="1"/>
  <c r="Z121" i="16" s="1"/>
  <c r="Z122" i="16" a="1"/>
  <c r="Z122" i="16" s="1"/>
  <c r="AH2" i="16"/>
  <c r="Z119" i="16" s="1" a="1"/>
  <c r="Z119" i="16" s="1"/>
  <c r="Z120" i="16" a="1"/>
  <c r="Z120" i="16" s="1"/>
  <c r="Z82" i="16" a="1"/>
  <c r="Z82" i="16" s="1"/>
  <c r="Z83" i="16" a="1"/>
  <c r="Z83" i="16" s="1"/>
  <c r="AG2" i="16"/>
  <c r="Z80" i="16" s="1" a="1"/>
  <c r="Z80" i="16" s="1"/>
  <c r="Z81" i="16" a="1"/>
  <c r="Z81" i="16" s="1"/>
  <c r="Z47" i="16" a="1"/>
  <c r="Z47" i="16" s="1"/>
  <c r="Z48" i="16" a="1"/>
  <c r="Z48" i="16" s="1"/>
  <c r="Z45" i="16" a="1"/>
  <c r="Z45" i="16" s="1"/>
  <c r="Z46" i="16" a="1"/>
  <c r="Z46" i="16" s="1"/>
  <c r="Z42" i="16" a="1"/>
  <c r="Z42" i="16" s="1"/>
  <c r="Z43" i="16" a="1"/>
  <c r="Z43" i="16" s="1"/>
  <c r="Z44" i="16" a="1"/>
  <c r="Z44" i="16" s="1"/>
  <c r="Z4" i="16" a="1"/>
  <c r="Z4" i="16" s="1"/>
  <c r="Z5" i="16" a="1"/>
  <c r="Z5" i="16" s="1"/>
  <c r="AE2" i="16"/>
  <c r="Z2" i="16" s="1" a="1"/>
  <c r="Z2" i="16" s="1"/>
  <c r="AA2" i="16" s="1"/>
  <c r="Z3" i="16" a="1"/>
  <c r="Z3" i="16" s="1"/>
  <c r="Z338" i="16" a="1"/>
  <c r="Z338" i="16" s="1"/>
  <c r="Z339" i="16" a="1"/>
  <c r="Z339" i="16" s="1"/>
  <c r="Z340" i="16" a="1"/>
  <c r="Z340" i="16" s="1"/>
  <c r="Z341" i="16" a="1"/>
  <c r="Z341" i="16" s="1"/>
  <c r="Z337" i="16" a="1"/>
  <c r="Z337" i="16" s="1"/>
  <c r="Z336" i="16" a="1"/>
  <c r="Z336" i="16" s="1"/>
  <c r="Z334" i="16" a="1"/>
  <c r="Z334" i="16" s="1"/>
  <c r="Z335" i="16" a="1"/>
  <c r="Z335" i="16" s="1"/>
  <c r="Z330" i="16" a="1"/>
  <c r="Z330" i="16" s="1"/>
  <c r="Z331" i="16" a="1"/>
  <c r="Z331" i="16" s="1"/>
  <c r="Z332" i="16" a="1"/>
  <c r="Z332" i="16" s="1"/>
  <c r="Z333" i="16" a="1"/>
  <c r="Z333" i="16" s="1"/>
  <c r="AQ3" i="16"/>
  <c r="Z471" i="16" s="1" a="1"/>
  <c r="Z471" i="16" s="1"/>
  <c r="Z159" i="16" a="1"/>
  <c r="Z159" i="16" s="1"/>
  <c r="Z317" i="16" a="1"/>
  <c r="Z317" i="16" s="1"/>
  <c r="Z323" i="16" a="1"/>
  <c r="Z323" i="16" s="1"/>
  <c r="Z318" i="16" a="1"/>
  <c r="Z318" i="16" s="1"/>
  <c r="Z324" i="16" a="1"/>
  <c r="Z324" i="16" s="1"/>
  <c r="Z325" i="16" a="1"/>
  <c r="Z325" i="16" s="1"/>
  <c r="Z319" i="16" a="1"/>
  <c r="Z319" i="16" s="1"/>
  <c r="Z326" i="16" a="1"/>
  <c r="Z326" i="16" s="1"/>
  <c r="Z320" i="16" a="1"/>
  <c r="Z320" i="16" s="1"/>
  <c r="Z321" i="16" a="1"/>
  <c r="Z321" i="16" s="1"/>
  <c r="Z327" i="16" a="1"/>
  <c r="Z327" i="16" s="1"/>
  <c r="Z315" i="16" a="1"/>
  <c r="Z315" i="16" s="1"/>
  <c r="Z322" i="16" a="1"/>
  <c r="Z322" i="16" s="1"/>
  <c r="Z328" i="16" a="1"/>
  <c r="Z328" i="16" s="1"/>
  <c r="Z329" i="16" a="1"/>
  <c r="Z329" i="16" s="1"/>
  <c r="Z316" i="16" a="1"/>
  <c r="Z316" i="16" s="1"/>
  <c r="Z355" i="16" a="1"/>
  <c r="Z355" i="16" s="1"/>
  <c r="Z356" i="16" a="1"/>
  <c r="Z356" i="16" s="1"/>
  <c r="Z354" i="16" a="1"/>
  <c r="Z354" i="16" s="1"/>
  <c r="AP3" i="16"/>
  <c r="Z432" i="16" s="1" a="1"/>
  <c r="Z432" i="16" s="1"/>
  <c r="AR2" i="16"/>
  <c r="Z509" i="16" s="1" a="1"/>
  <c r="Z509" i="16" s="1"/>
  <c r="AS2" i="16"/>
  <c r="Z548" i="16" s="1" a="1"/>
  <c r="Z548" i="16" s="1"/>
  <c r="AN2" i="16"/>
  <c r="Z353" i="16" s="1" a="1"/>
  <c r="Z353" i="16" s="1"/>
  <c r="AK2" i="16"/>
  <c r="Z236" i="16" s="1" a="1"/>
  <c r="Z236" i="16" s="1"/>
  <c r="AM2" i="16"/>
  <c r="Z314" i="16" s="1" a="1"/>
  <c r="Z314" i="16" s="1"/>
  <c r="AI2" i="16"/>
  <c r="Z158" i="16" s="1" a="1"/>
  <c r="Z158" i="16" s="1"/>
  <c r="AF2" i="16"/>
  <c r="Z41" i="16" s="1" a="1"/>
  <c r="Z41" i="16" s="1"/>
  <c r="D2" i="16" a="1"/>
  <c r="D2" i="16" s="1"/>
  <c r="C2" i="16" a="1"/>
  <c r="B2" i="16" a="1"/>
  <c r="AB2" i="16" a="1"/>
  <c r="AB2" i="16" l="1"/>
  <c r="AQ2" i="16"/>
  <c r="Z470" i="16" s="1" a="1"/>
  <c r="Z470" i="16" s="1"/>
  <c r="AP2" i="16"/>
  <c r="Z431" i="16" s="1" a="1"/>
  <c r="Z431" i="16" s="1"/>
  <c r="U41" i="16" a="1"/>
  <c r="U41" i="16" s="1"/>
  <c r="P80" i="16" a="1"/>
  <c r="P80" i="16" s="1"/>
  <c r="C2" i="16"/>
  <c r="P42" i="16" a="1"/>
  <c r="P42" i="16" s="1"/>
  <c r="B2" i="16"/>
  <c r="C79" i="7"/>
  <c r="C80" i="7"/>
  <c r="C81" i="7"/>
  <c r="C87" i="7"/>
  <c r="C88" i="7"/>
  <c r="C89" i="7"/>
  <c r="C90" i="7"/>
  <c r="C92" i="7"/>
  <c r="C95" i="7"/>
  <c r="C96" i="7"/>
  <c r="C97" i="7"/>
  <c r="C98" i="7"/>
  <c r="C100" i="7"/>
  <c r="C103" i="7"/>
  <c r="C104" i="7"/>
  <c r="C105" i="7"/>
  <c r="C106" i="7"/>
  <c r="C111" i="7"/>
  <c r="C112" i="7"/>
  <c r="C113" i="7"/>
  <c r="C114" i="7"/>
  <c r="A3" i="12"/>
  <c r="C997" i="7"/>
  <c r="C998" i="7"/>
  <c r="C999" i="7"/>
  <c r="C77" i="7"/>
  <c r="C78" i="7"/>
  <c r="C82" i="7"/>
  <c r="C83" i="7"/>
  <c r="C84" i="7"/>
  <c r="C85" i="7"/>
  <c r="C86" i="7"/>
  <c r="C91" i="7"/>
  <c r="C93" i="7"/>
  <c r="C94" i="7"/>
  <c r="C99" i="7"/>
  <c r="C101" i="7"/>
  <c r="C102" i="7"/>
  <c r="C107" i="7"/>
  <c r="C108" i="7"/>
  <c r="C109" i="7"/>
  <c r="C110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374" i="7"/>
  <c r="C375" i="7"/>
  <c r="C376" i="7"/>
  <c r="C377" i="7"/>
  <c r="C378" i="7"/>
  <c r="C379" i="7"/>
  <c r="C380" i="7"/>
  <c r="C381" i="7"/>
  <c r="C382" i="7"/>
  <c r="C383" i="7"/>
  <c r="C384" i="7"/>
  <c r="C385" i="7"/>
  <c r="C386" i="7"/>
  <c r="C387" i="7"/>
  <c r="C388" i="7"/>
  <c r="C389" i="7"/>
  <c r="C390" i="7"/>
  <c r="C391" i="7"/>
  <c r="C392" i="7"/>
  <c r="C393" i="7"/>
  <c r="C394" i="7"/>
  <c r="C395" i="7"/>
  <c r="C396" i="7"/>
  <c r="C397" i="7"/>
  <c r="C398" i="7"/>
  <c r="C399" i="7"/>
  <c r="C400" i="7"/>
  <c r="C401" i="7"/>
  <c r="C402" i="7"/>
  <c r="C403" i="7"/>
  <c r="C404" i="7"/>
  <c r="C405" i="7"/>
  <c r="C406" i="7"/>
  <c r="C407" i="7"/>
  <c r="C408" i="7"/>
  <c r="C409" i="7"/>
  <c r="C410" i="7"/>
  <c r="C411" i="7"/>
  <c r="C412" i="7"/>
  <c r="C413" i="7"/>
  <c r="C414" i="7"/>
  <c r="C415" i="7"/>
  <c r="C416" i="7"/>
  <c r="C417" i="7"/>
  <c r="C418" i="7"/>
  <c r="C419" i="7"/>
  <c r="C420" i="7"/>
  <c r="C421" i="7"/>
  <c r="C422" i="7"/>
  <c r="C423" i="7"/>
  <c r="C424" i="7"/>
  <c r="C425" i="7"/>
  <c r="C426" i="7"/>
  <c r="C427" i="7"/>
  <c r="C428" i="7"/>
  <c r="C429" i="7"/>
  <c r="C430" i="7"/>
  <c r="C431" i="7"/>
  <c r="C432" i="7"/>
  <c r="C433" i="7"/>
  <c r="C434" i="7"/>
  <c r="C435" i="7"/>
  <c r="C436" i="7"/>
  <c r="C437" i="7"/>
  <c r="C438" i="7"/>
  <c r="C439" i="7"/>
  <c r="C440" i="7"/>
  <c r="C441" i="7"/>
  <c r="C442" i="7"/>
  <c r="C443" i="7"/>
  <c r="C444" i="7"/>
  <c r="C445" i="7"/>
  <c r="C446" i="7"/>
  <c r="C447" i="7"/>
  <c r="C448" i="7"/>
  <c r="C449" i="7"/>
  <c r="C450" i="7"/>
  <c r="C451" i="7"/>
  <c r="C452" i="7"/>
  <c r="C453" i="7"/>
  <c r="C454" i="7"/>
  <c r="C455" i="7"/>
  <c r="C456" i="7"/>
  <c r="C457" i="7"/>
  <c r="C458" i="7"/>
  <c r="C459" i="7"/>
  <c r="C460" i="7"/>
  <c r="C461" i="7"/>
  <c r="C462" i="7"/>
  <c r="C463" i="7"/>
  <c r="C464" i="7"/>
  <c r="C465" i="7"/>
  <c r="C466" i="7"/>
  <c r="C467" i="7"/>
  <c r="C468" i="7"/>
  <c r="C469" i="7"/>
  <c r="C470" i="7"/>
  <c r="C471" i="7"/>
  <c r="C472" i="7"/>
  <c r="C473" i="7"/>
  <c r="C474" i="7"/>
  <c r="C475" i="7"/>
  <c r="C476" i="7"/>
  <c r="C477" i="7"/>
  <c r="C478" i="7"/>
  <c r="C479" i="7"/>
  <c r="C480" i="7"/>
  <c r="C481" i="7"/>
  <c r="C482" i="7"/>
  <c r="C483" i="7"/>
  <c r="C484" i="7"/>
  <c r="C485" i="7"/>
  <c r="C486" i="7"/>
  <c r="C487" i="7"/>
  <c r="C488" i="7"/>
  <c r="C489" i="7"/>
  <c r="C490" i="7"/>
  <c r="C491" i="7"/>
  <c r="C492" i="7"/>
  <c r="C493" i="7"/>
  <c r="C494" i="7"/>
  <c r="C495" i="7"/>
  <c r="C496" i="7"/>
  <c r="C497" i="7"/>
  <c r="C498" i="7"/>
  <c r="C499" i="7"/>
  <c r="C500" i="7"/>
  <c r="C501" i="7"/>
  <c r="C502" i="7"/>
  <c r="C503" i="7"/>
  <c r="C504" i="7"/>
  <c r="C505" i="7"/>
  <c r="C506" i="7"/>
  <c r="C507" i="7"/>
  <c r="C508" i="7"/>
  <c r="C509" i="7"/>
  <c r="C510" i="7"/>
  <c r="C511" i="7"/>
  <c r="C512" i="7"/>
  <c r="C513" i="7"/>
  <c r="C514" i="7"/>
  <c r="C515" i="7"/>
  <c r="C516" i="7"/>
  <c r="C517" i="7"/>
  <c r="C518" i="7"/>
  <c r="C519" i="7"/>
  <c r="C520" i="7"/>
  <c r="C521" i="7"/>
  <c r="C522" i="7"/>
  <c r="C523" i="7"/>
  <c r="C524" i="7"/>
  <c r="C525" i="7"/>
  <c r="C526" i="7"/>
  <c r="C527" i="7"/>
  <c r="C528" i="7"/>
  <c r="C529" i="7"/>
  <c r="C530" i="7"/>
  <c r="C531" i="7"/>
  <c r="C532" i="7"/>
  <c r="C533" i="7"/>
  <c r="C534" i="7"/>
  <c r="C535" i="7"/>
  <c r="C536" i="7"/>
  <c r="C537" i="7"/>
  <c r="C538" i="7"/>
  <c r="C539" i="7"/>
  <c r="C540" i="7"/>
  <c r="C541" i="7"/>
  <c r="C542" i="7"/>
  <c r="C543" i="7"/>
  <c r="C544" i="7"/>
  <c r="C545" i="7"/>
  <c r="C546" i="7"/>
  <c r="C547" i="7"/>
  <c r="C548" i="7"/>
  <c r="C549" i="7"/>
  <c r="C550" i="7"/>
  <c r="C551" i="7"/>
  <c r="C552" i="7"/>
  <c r="C553" i="7"/>
  <c r="C554" i="7"/>
  <c r="C555" i="7"/>
  <c r="C556" i="7"/>
  <c r="C557" i="7"/>
  <c r="C558" i="7"/>
  <c r="C559" i="7"/>
  <c r="C560" i="7"/>
  <c r="C561" i="7"/>
  <c r="C562" i="7"/>
  <c r="C563" i="7"/>
  <c r="C564" i="7"/>
  <c r="C565" i="7"/>
  <c r="C566" i="7"/>
  <c r="C567" i="7"/>
  <c r="C568" i="7"/>
  <c r="C569" i="7"/>
  <c r="C570" i="7"/>
  <c r="C571" i="7"/>
  <c r="C572" i="7"/>
  <c r="C573" i="7"/>
  <c r="C574" i="7"/>
  <c r="C575" i="7"/>
  <c r="C576" i="7"/>
  <c r="C577" i="7"/>
  <c r="C578" i="7"/>
  <c r="C579" i="7"/>
  <c r="C580" i="7"/>
  <c r="C581" i="7"/>
  <c r="C582" i="7"/>
  <c r="C583" i="7"/>
  <c r="C584" i="7"/>
  <c r="C585" i="7"/>
  <c r="C586" i="7"/>
  <c r="C587" i="7"/>
  <c r="C588" i="7"/>
  <c r="C589" i="7"/>
  <c r="C590" i="7"/>
  <c r="C591" i="7"/>
  <c r="C592" i="7"/>
  <c r="C593" i="7"/>
  <c r="C594" i="7"/>
  <c r="C595" i="7"/>
  <c r="C596" i="7"/>
  <c r="C597" i="7"/>
  <c r="C598" i="7"/>
  <c r="C599" i="7"/>
  <c r="C600" i="7"/>
  <c r="C601" i="7"/>
  <c r="C602" i="7"/>
  <c r="C603" i="7"/>
  <c r="C604" i="7"/>
  <c r="C605" i="7"/>
  <c r="C606" i="7"/>
  <c r="C607" i="7"/>
  <c r="C608" i="7"/>
  <c r="C609" i="7"/>
  <c r="C610" i="7"/>
  <c r="C611" i="7"/>
  <c r="C612" i="7"/>
  <c r="C613" i="7"/>
  <c r="C614" i="7"/>
  <c r="C615" i="7"/>
  <c r="C616" i="7"/>
  <c r="C617" i="7"/>
  <c r="C618" i="7"/>
  <c r="C619" i="7"/>
  <c r="C620" i="7"/>
  <c r="C621" i="7"/>
  <c r="C622" i="7"/>
  <c r="C623" i="7"/>
  <c r="C624" i="7"/>
  <c r="C625" i="7"/>
  <c r="C626" i="7"/>
  <c r="C627" i="7"/>
  <c r="C628" i="7"/>
  <c r="C629" i="7"/>
  <c r="C630" i="7"/>
  <c r="C631" i="7"/>
  <c r="C632" i="7"/>
  <c r="C633" i="7"/>
  <c r="C634" i="7"/>
  <c r="C635" i="7"/>
  <c r="C636" i="7"/>
  <c r="C637" i="7"/>
  <c r="C638" i="7"/>
  <c r="C639" i="7"/>
  <c r="C640" i="7"/>
  <c r="C641" i="7"/>
  <c r="C642" i="7"/>
  <c r="C643" i="7"/>
  <c r="C644" i="7"/>
  <c r="C645" i="7"/>
  <c r="C646" i="7"/>
  <c r="C647" i="7"/>
  <c r="C648" i="7"/>
  <c r="C649" i="7"/>
  <c r="C650" i="7"/>
  <c r="C651" i="7"/>
  <c r="C652" i="7"/>
  <c r="C653" i="7"/>
  <c r="C654" i="7"/>
  <c r="C655" i="7"/>
  <c r="C656" i="7"/>
  <c r="C657" i="7"/>
  <c r="C658" i="7"/>
  <c r="C659" i="7"/>
  <c r="C660" i="7"/>
  <c r="C661" i="7"/>
  <c r="C662" i="7"/>
  <c r="C663" i="7"/>
  <c r="C664" i="7"/>
  <c r="C665" i="7"/>
  <c r="C666" i="7"/>
  <c r="C667" i="7"/>
  <c r="C668" i="7"/>
  <c r="C669" i="7"/>
  <c r="C670" i="7"/>
  <c r="C671" i="7"/>
  <c r="C672" i="7"/>
  <c r="C673" i="7"/>
  <c r="C674" i="7"/>
  <c r="C675" i="7"/>
  <c r="C676" i="7"/>
  <c r="C677" i="7"/>
  <c r="C678" i="7"/>
  <c r="C679" i="7"/>
  <c r="C680" i="7"/>
  <c r="C681" i="7"/>
  <c r="C682" i="7"/>
  <c r="C683" i="7"/>
  <c r="C684" i="7"/>
  <c r="C685" i="7"/>
  <c r="C686" i="7"/>
  <c r="C687" i="7"/>
  <c r="C688" i="7"/>
  <c r="C689" i="7"/>
  <c r="C690" i="7"/>
  <c r="C691" i="7"/>
  <c r="C692" i="7"/>
  <c r="C693" i="7"/>
  <c r="C694" i="7"/>
  <c r="C695" i="7"/>
  <c r="C696" i="7"/>
  <c r="C697" i="7"/>
  <c r="C698" i="7"/>
  <c r="C699" i="7"/>
  <c r="C700" i="7"/>
  <c r="C701" i="7"/>
  <c r="C702" i="7"/>
  <c r="C703" i="7"/>
  <c r="C704" i="7"/>
  <c r="C705" i="7"/>
  <c r="C706" i="7"/>
  <c r="C707" i="7"/>
  <c r="C708" i="7"/>
  <c r="C709" i="7"/>
  <c r="C710" i="7"/>
  <c r="C711" i="7"/>
  <c r="C712" i="7"/>
  <c r="C713" i="7"/>
  <c r="C714" i="7"/>
  <c r="C715" i="7"/>
  <c r="C716" i="7"/>
  <c r="C717" i="7"/>
  <c r="C718" i="7"/>
  <c r="C719" i="7"/>
  <c r="C720" i="7"/>
  <c r="C721" i="7"/>
  <c r="C722" i="7"/>
  <c r="C723" i="7"/>
  <c r="C724" i="7"/>
  <c r="C725" i="7"/>
  <c r="C726" i="7"/>
  <c r="C727" i="7"/>
  <c r="C728" i="7"/>
  <c r="C729" i="7"/>
  <c r="C730" i="7"/>
  <c r="C731" i="7"/>
  <c r="C732" i="7"/>
  <c r="C733" i="7"/>
  <c r="C734" i="7"/>
  <c r="C735" i="7"/>
  <c r="C736" i="7"/>
  <c r="C737" i="7"/>
  <c r="C738" i="7"/>
  <c r="C739" i="7"/>
  <c r="C740" i="7"/>
  <c r="C741" i="7"/>
  <c r="C742" i="7"/>
  <c r="C743" i="7"/>
  <c r="C744" i="7"/>
  <c r="C745" i="7"/>
  <c r="C746" i="7"/>
  <c r="C747" i="7"/>
  <c r="C748" i="7"/>
  <c r="C749" i="7"/>
  <c r="C750" i="7"/>
  <c r="C751" i="7"/>
  <c r="C752" i="7"/>
  <c r="C753" i="7"/>
  <c r="C754" i="7"/>
  <c r="C755" i="7"/>
  <c r="C756" i="7"/>
  <c r="C757" i="7"/>
  <c r="C758" i="7"/>
  <c r="C759" i="7"/>
  <c r="C760" i="7"/>
  <c r="C761" i="7"/>
  <c r="C762" i="7"/>
  <c r="C763" i="7"/>
  <c r="C764" i="7"/>
  <c r="C765" i="7"/>
  <c r="C766" i="7"/>
  <c r="C767" i="7"/>
  <c r="C768" i="7"/>
  <c r="C769" i="7"/>
  <c r="C770" i="7"/>
  <c r="C771" i="7"/>
  <c r="C772" i="7"/>
  <c r="C773" i="7"/>
  <c r="C774" i="7"/>
  <c r="C775" i="7"/>
  <c r="C776" i="7"/>
  <c r="C777" i="7"/>
  <c r="C778" i="7"/>
  <c r="C779" i="7"/>
  <c r="C780" i="7"/>
  <c r="C781" i="7"/>
  <c r="C782" i="7"/>
  <c r="C783" i="7"/>
  <c r="C784" i="7"/>
  <c r="C785" i="7"/>
  <c r="C786" i="7"/>
  <c r="C787" i="7"/>
  <c r="C788" i="7"/>
  <c r="C789" i="7"/>
  <c r="C790" i="7"/>
  <c r="C791" i="7"/>
  <c r="C792" i="7"/>
  <c r="C793" i="7"/>
  <c r="C794" i="7"/>
  <c r="C795" i="7"/>
  <c r="C796" i="7"/>
  <c r="C797" i="7"/>
  <c r="C798" i="7"/>
  <c r="C799" i="7"/>
  <c r="C800" i="7"/>
  <c r="C801" i="7"/>
  <c r="C802" i="7"/>
  <c r="C803" i="7"/>
  <c r="C804" i="7"/>
  <c r="C805" i="7"/>
  <c r="C806" i="7"/>
  <c r="C807" i="7"/>
  <c r="C808" i="7"/>
  <c r="C809" i="7"/>
  <c r="C810" i="7"/>
  <c r="C811" i="7"/>
  <c r="C812" i="7"/>
  <c r="C813" i="7"/>
  <c r="C814" i="7"/>
  <c r="C815" i="7"/>
  <c r="C816" i="7"/>
  <c r="C817" i="7"/>
  <c r="C818" i="7"/>
  <c r="C819" i="7"/>
  <c r="C820" i="7"/>
  <c r="C821" i="7"/>
  <c r="C822" i="7"/>
  <c r="C823" i="7"/>
  <c r="C824" i="7"/>
  <c r="C825" i="7"/>
  <c r="C826" i="7"/>
  <c r="C827" i="7"/>
  <c r="C828" i="7"/>
  <c r="C829" i="7"/>
  <c r="C830" i="7"/>
  <c r="C831" i="7"/>
  <c r="C832" i="7"/>
  <c r="C833" i="7"/>
  <c r="C834" i="7"/>
  <c r="C835" i="7"/>
  <c r="C836" i="7"/>
  <c r="C837" i="7"/>
  <c r="C838" i="7"/>
  <c r="C839" i="7"/>
  <c r="C840" i="7"/>
  <c r="C841" i="7"/>
  <c r="C842" i="7"/>
  <c r="C843" i="7"/>
  <c r="C844" i="7"/>
  <c r="C845" i="7"/>
  <c r="C846" i="7"/>
  <c r="C847" i="7"/>
  <c r="C848" i="7"/>
  <c r="C849" i="7"/>
  <c r="C850" i="7"/>
  <c r="C851" i="7"/>
  <c r="C852" i="7"/>
  <c r="C853" i="7"/>
  <c r="C854" i="7"/>
  <c r="C855" i="7"/>
  <c r="C856" i="7"/>
  <c r="C857" i="7"/>
  <c r="C858" i="7"/>
  <c r="C859" i="7"/>
  <c r="C860" i="7"/>
  <c r="C861" i="7"/>
  <c r="C862" i="7"/>
  <c r="C863" i="7"/>
  <c r="C864" i="7"/>
  <c r="C865" i="7"/>
  <c r="C866" i="7"/>
  <c r="C867" i="7"/>
  <c r="C868" i="7"/>
  <c r="C869" i="7"/>
  <c r="C870" i="7"/>
  <c r="C871" i="7"/>
  <c r="C872" i="7"/>
  <c r="C873" i="7"/>
  <c r="C874" i="7"/>
  <c r="C875" i="7"/>
  <c r="C876" i="7"/>
  <c r="C877" i="7"/>
  <c r="C878" i="7"/>
  <c r="C879" i="7"/>
  <c r="C880" i="7"/>
  <c r="C881" i="7"/>
  <c r="C882" i="7"/>
  <c r="C883" i="7"/>
  <c r="C884" i="7"/>
  <c r="C885" i="7"/>
  <c r="C886" i="7"/>
  <c r="C887" i="7"/>
  <c r="C888" i="7"/>
  <c r="C889" i="7"/>
  <c r="C890" i="7"/>
  <c r="C891" i="7"/>
  <c r="C892" i="7"/>
  <c r="C893" i="7"/>
  <c r="C894" i="7"/>
  <c r="C895" i="7"/>
  <c r="C896" i="7"/>
  <c r="C897" i="7"/>
  <c r="C898" i="7"/>
  <c r="C899" i="7"/>
  <c r="C900" i="7"/>
  <c r="C901" i="7"/>
  <c r="C902" i="7"/>
  <c r="C903" i="7"/>
  <c r="C904" i="7"/>
  <c r="C905" i="7"/>
  <c r="C906" i="7"/>
  <c r="C907" i="7"/>
  <c r="C908" i="7"/>
  <c r="C909" i="7"/>
  <c r="C910" i="7"/>
  <c r="C911" i="7"/>
  <c r="C912" i="7"/>
  <c r="C913" i="7"/>
  <c r="C914" i="7"/>
  <c r="C915" i="7"/>
  <c r="C916" i="7"/>
  <c r="C917" i="7"/>
  <c r="C918" i="7"/>
  <c r="C919" i="7"/>
  <c r="C920" i="7"/>
  <c r="C921" i="7"/>
  <c r="C922" i="7"/>
  <c r="C923" i="7"/>
  <c r="C924" i="7"/>
  <c r="C925" i="7"/>
  <c r="C926" i="7"/>
  <c r="C927" i="7"/>
  <c r="C928" i="7"/>
  <c r="C929" i="7"/>
  <c r="C930" i="7"/>
  <c r="C931" i="7"/>
  <c r="C932" i="7"/>
  <c r="C933" i="7"/>
  <c r="C934" i="7"/>
  <c r="C935" i="7"/>
  <c r="C936" i="7"/>
  <c r="C937" i="7"/>
  <c r="C938" i="7"/>
  <c r="C939" i="7"/>
  <c r="C940" i="7"/>
  <c r="C941" i="7"/>
  <c r="C942" i="7"/>
  <c r="C943" i="7"/>
  <c r="C944" i="7"/>
  <c r="C945" i="7"/>
  <c r="C946" i="7"/>
  <c r="C947" i="7"/>
  <c r="C948" i="7"/>
  <c r="C949" i="7"/>
  <c r="C950" i="7"/>
  <c r="C951" i="7"/>
  <c r="C952" i="7"/>
  <c r="C953" i="7"/>
  <c r="C954" i="7"/>
  <c r="C955" i="7"/>
  <c r="C956" i="7"/>
  <c r="C957" i="7"/>
  <c r="C958" i="7"/>
  <c r="C959" i="7"/>
  <c r="C960" i="7"/>
  <c r="C961" i="7"/>
  <c r="C962" i="7"/>
  <c r="C963" i="7"/>
  <c r="C964" i="7"/>
  <c r="C965" i="7"/>
  <c r="C966" i="7"/>
  <c r="C967" i="7"/>
  <c r="C968" i="7"/>
  <c r="C969" i="7"/>
  <c r="C970" i="7"/>
  <c r="C971" i="7"/>
  <c r="C972" i="7"/>
  <c r="C973" i="7"/>
  <c r="C974" i="7"/>
  <c r="C975" i="7"/>
  <c r="C976" i="7"/>
  <c r="C977" i="7"/>
  <c r="C978" i="7"/>
  <c r="C979" i="7"/>
  <c r="C980" i="7"/>
  <c r="C981" i="7"/>
  <c r="C982" i="7"/>
  <c r="C983" i="7"/>
  <c r="C984" i="7"/>
  <c r="C985" i="7"/>
  <c r="C986" i="7"/>
  <c r="C987" i="7"/>
  <c r="C988" i="7"/>
  <c r="C989" i="7"/>
  <c r="C990" i="7"/>
  <c r="C991" i="7"/>
  <c r="C992" i="7"/>
  <c r="C993" i="7"/>
  <c r="C994" i="7"/>
  <c r="C995" i="7"/>
  <c r="C996" i="7"/>
  <c r="AA3" i="16"/>
  <c r="U2" i="16" l="1" a="1"/>
  <c r="U2" i="16" s="1"/>
  <c r="V2" i="16" s="1"/>
  <c r="P2" i="16" a="1"/>
  <c r="P2" i="16" s="1"/>
  <c r="P41" i="16" a="1"/>
  <c r="P41" i="16" s="1"/>
  <c r="D189" i="11" a="1"/>
  <c r="D189" i="11" s="1"/>
  <c r="D197" i="11" a="1"/>
  <c r="D197" i="11" s="1"/>
  <c r="D205" i="11" a="1"/>
  <c r="D205" i="11" s="1"/>
  <c r="E205" i="11" s="1"/>
  <c r="D213" i="11" a="1"/>
  <c r="D213" i="11" s="1"/>
  <c r="D221" i="11" a="1"/>
  <c r="D221" i="11" s="1"/>
  <c r="D229" i="11" a="1"/>
  <c r="D229" i="11" s="1"/>
  <c r="G229" i="11" s="1"/>
  <c r="D237" i="11" a="1"/>
  <c r="D237" i="11" s="1"/>
  <c r="G237" i="11" s="1"/>
  <c r="D245" i="11" a="1"/>
  <c r="D245" i="11" s="1"/>
  <c r="F245" i="11" s="1"/>
  <c r="D253" i="11" a="1"/>
  <c r="D253" i="11" s="1"/>
  <c r="E253" i="11" s="1"/>
  <c r="D261" i="11" a="1"/>
  <c r="D261" i="11" s="1"/>
  <c r="D269" i="11" a="1"/>
  <c r="D269" i="11" s="1"/>
  <c r="E269" i="11" s="1"/>
  <c r="D277" i="11" a="1"/>
  <c r="D277" i="11" s="1"/>
  <c r="E277" i="11" s="1"/>
  <c r="D285" i="11" a="1"/>
  <c r="D285" i="11" s="1"/>
  <c r="F285" i="11" s="1"/>
  <c r="D293" i="11" a="1"/>
  <c r="D293" i="11" s="1"/>
  <c r="G293" i="11" s="1"/>
  <c r="D301" i="11" a="1"/>
  <c r="D301" i="11" s="1"/>
  <c r="D309" i="11" a="1"/>
  <c r="D309" i="11" s="1"/>
  <c r="G309" i="11" s="1"/>
  <c r="D317" i="11" a="1"/>
  <c r="D317" i="11" s="1"/>
  <c r="F317" i="11" s="1"/>
  <c r="D325" i="11" a="1"/>
  <c r="D325" i="11" s="1"/>
  <c r="F325" i="11" s="1"/>
  <c r="D333" i="11" a="1"/>
  <c r="D333" i="11" s="1"/>
  <c r="E333" i="11" s="1"/>
  <c r="D341" i="11" a="1"/>
  <c r="D341" i="11" s="1"/>
  <c r="E341" i="11" s="1"/>
  <c r="D349" i="11" a="1"/>
  <c r="D349" i="11" s="1"/>
  <c r="G349" i="11" s="1"/>
  <c r="D357" i="11" a="1"/>
  <c r="D357" i="11" s="1"/>
  <c r="F357" i="11" s="1"/>
  <c r="D365" i="11" a="1"/>
  <c r="D365" i="11" s="1"/>
  <c r="G365" i="11" s="1"/>
  <c r="D373" i="11" a="1"/>
  <c r="D373" i="11" s="1"/>
  <c r="F373" i="11" s="1"/>
  <c r="D381" i="11" a="1"/>
  <c r="D381" i="11" s="1"/>
  <c r="E381" i="11" s="1"/>
  <c r="D389" i="11" a="1"/>
  <c r="D389" i="11" s="1"/>
  <c r="D397" i="11" a="1"/>
  <c r="D397" i="11" s="1"/>
  <c r="E397" i="11" s="1"/>
  <c r="D405" i="11" a="1"/>
  <c r="D405" i="11" s="1"/>
  <c r="D413" i="11" a="1"/>
  <c r="D413" i="11" s="1"/>
  <c r="F413" i="11" s="1"/>
  <c r="D421" i="11" a="1"/>
  <c r="D421" i="11" s="1"/>
  <c r="E421" i="11" s="1"/>
  <c r="D429" i="11" a="1"/>
  <c r="D429" i="11" s="1"/>
  <c r="D437" i="11" a="1"/>
  <c r="D437" i="11" s="1"/>
  <c r="G437" i="11" s="1"/>
  <c r="D445" i="11" a="1"/>
  <c r="D445" i="11" s="1"/>
  <c r="E445" i="11" s="1"/>
  <c r="D453" i="11" a="1"/>
  <c r="D453" i="11" s="1"/>
  <c r="G453" i="11" s="1"/>
  <c r="D461" i="11" a="1"/>
  <c r="D461" i="11" s="1"/>
  <c r="E461" i="11" s="1"/>
  <c r="D469" i="11" a="1"/>
  <c r="D469" i="11" s="1"/>
  <c r="E469" i="11" s="1"/>
  <c r="D477" i="11" a="1"/>
  <c r="D477" i="11" s="1"/>
  <c r="D485" i="11" a="1"/>
  <c r="D485" i="11" s="1"/>
  <c r="G485" i="11" s="1"/>
  <c r="D493" i="11" a="1"/>
  <c r="D493" i="11" s="1"/>
  <c r="D501" i="11" a="1"/>
  <c r="D501" i="11" s="1"/>
  <c r="E501" i="11" s="1"/>
  <c r="D509" i="11" a="1"/>
  <c r="D509" i="11" s="1"/>
  <c r="F509" i="11" s="1"/>
  <c r="D517" i="11" a="1"/>
  <c r="D517" i="11" s="1"/>
  <c r="F517" i="11" s="1"/>
  <c r="D525" i="11" a="1"/>
  <c r="D525" i="11" s="1"/>
  <c r="D533" i="11" a="1"/>
  <c r="D533" i="11" s="1"/>
  <c r="G533" i="11" s="1"/>
  <c r="D541" i="11" a="1"/>
  <c r="D541" i="11" s="1"/>
  <c r="D549" i="11" a="1"/>
  <c r="D549" i="11" s="1"/>
  <c r="D557" i="11" a="1"/>
  <c r="D557" i="11" s="1"/>
  <c r="D565" i="11" a="1"/>
  <c r="D565" i="11" s="1"/>
  <c r="G565" i="11" s="1"/>
  <c r="D573" i="11" a="1"/>
  <c r="D573" i="11" s="1"/>
  <c r="E573" i="11" s="1"/>
  <c r="D581" i="11" a="1"/>
  <c r="D581" i="11" s="1"/>
  <c r="E581" i="11" s="1"/>
  <c r="D589" i="11" a="1"/>
  <c r="D589" i="11" s="1"/>
  <c r="D597" i="11" a="1"/>
  <c r="D597" i="11" s="1"/>
  <c r="E597" i="11" s="1"/>
  <c r="D605" i="11" a="1"/>
  <c r="D605" i="11" s="1"/>
  <c r="F605" i="11" s="1"/>
  <c r="D613" i="11" a="1"/>
  <c r="D613" i="11" s="1"/>
  <c r="F613" i="11" s="1"/>
  <c r="D621" i="11" a="1"/>
  <c r="D621" i="11" s="1"/>
  <c r="D629" i="11" a="1"/>
  <c r="D629" i="11" s="1"/>
  <c r="D637" i="11" a="1"/>
  <c r="D637" i="11" s="1"/>
  <c r="D645" i="11" a="1"/>
  <c r="D645" i="11" s="1"/>
  <c r="D653" i="11" a="1"/>
  <c r="D653" i="11" s="1"/>
  <c r="E653" i="11" s="1"/>
  <c r="D661" i="11" a="1"/>
  <c r="D661" i="11" s="1"/>
  <c r="D669" i="11" a="1"/>
  <c r="D669" i="11" s="1"/>
  <c r="G669" i="11" s="1"/>
  <c r="D677" i="11" a="1"/>
  <c r="D677" i="11" s="1"/>
  <c r="D685" i="11" a="1"/>
  <c r="D685" i="11" s="1"/>
  <c r="D693" i="11" a="1"/>
  <c r="D693" i="11" s="1"/>
  <c r="F693" i="11" s="1"/>
  <c r="D701" i="11" a="1"/>
  <c r="D701" i="11" s="1"/>
  <c r="E701" i="11" s="1"/>
  <c r="D709" i="11" a="1"/>
  <c r="D709" i="11" s="1"/>
  <c r="D717" i="11" a="1"/>
  <c r="D717" i="11" s="1"/>
  <c r="F717" i="11" s="1"/>
  <c r="D725" i="11" a="1"/>
  <c r="D725" i="11" s="1"/>
  <c r="E725" i="11" s="1"/>
  <c r="D733" i="11" a="1"/>
  <c r="D733" i="11" s="1"/>
  <c r="G733" i="11" s="1"/>
  <c r="D741" i="11" a="1"/>
  <c r="D741" i="11" s="1"/>
  <c r="D749" i="11" a="1"/>
  <c r="D749" i="11" s="1"/>
  <c r="D757" i="11" a="1"/>
  <c r="D757" i="11" s="1"/>
  <c r="E757" i="11" s="1"/>
  <c r="D765" i="11" a="1"/>
  <c r="D765" i="11" s="1"/>
  <c r="E765" i="11" s="1"/>
  <c r="D190" i="11" a="1"/>
  <c r="D190" i="11" s="1"/>
  <c r="G190" i="11" s="1"/>
  <c r="D198" i="11" a="1"/>
  <c r="D198" i="11" s="1"/>
  <c r="D206" i="11" a="1"/>
  <c r="D206" i="11" s="1"/>
  <c r="E206" i="11" s="1"/>
  <c r="D214" i="11" a="1"/>
  <c r="D214" i="11" s="1"/>
  <c r="G214" i="11" s="1"/>
  <c r="D222" i="11" a="1"/>
  <c r="D222" i="11" s="1"/>
  <c r="E222" i="11" s="1"/>
  <c r="D230" i="11" a="1"/>
  <c r="D230" i="11" s="1"/>
  <c r="D238" i="11" a="1"/>
  <c r="D238" i="11" s="1"/>
  <c r="D246" i="11" a="1"/>
  <c r="D246" i="11" s="1"/>
  <c r="D254" i="11" a="1"/>
  <c r="D254" i="11" s="1"/>
  <c r="E254" i="11" s="1"/>
  <c r="D262" i="11" a="1"/>
  <c r="D262" i="11" s="1"/>
  <c r="D270" i="11" a="1"/>
  <c r="D270" i="11" s="1"/>
  <c r="E270" i="11" s="1"/>
  <c r="D278" i="11" a="1"/>
  <c r="D278" i="11" s="1"/>
  <c r="E278" i="11" s="1"/>
  <c r="D286" i="11" a="1"/>
  <c r="D286" i="11" s="1"/>
  <c r="G286" i="11" s="1"/>
  <c r="D294" i="11" a="1"/>
  <c r="D294" i="11" s="1"/>
  <c r="E294" i="11" s="1"/>
  <c r="D302" i="11" a="1"/>
  <c r="D302" i="11" s="1"/>
  <c r="G302" i="11" s="1"/>
  <c r="D310" i="11" a="1"/>
  <c r="D310" i="11" s="1"/>
  <c r="D318" i="11" a="1"/>
  <c r="D318" i="11" s="1"/>
  <c r="G318" i="11" s="1"/>
  <c r="D326" i="11" a="1"/>
  <c r="D326" i="11" s="1"/>
  <c r="F326" i="11" s="1"/>
  <c r="D334" i="11" a="1"/>
  <c r="D334" i="11" s="1"/>
  <c r="D342" i="11" a="1"/>
  <c r="D342" i="11" s="1"/>
  <c r="E342" i="11" s="1"/>
  <c r="D350" i="11" a="1"/>
  <c r="D350" i="11" s="1"/>
  <c r="D358" i="11" a="1"/>
  <c r="D358" i="11" s="1"/>
  <c r="D366" i="11" a="1"/>
  <c r="D366" i="11" s="1"/>
  <c r="D374" i="11" a="1"/>
  <c r="D374" i="11" s="1"/>
  <c r="D382" i="11" a="1"/>
  <c r="D382" i="11" s="1"/>
  <c r="F382" i="11" s="1"/>
  <c r="D390" i="11" a="1"/>
  <c r="D390" i="11" s="1"/>
  <c r="E390" i="11" s="1"/>
  <c r="D398" i="11" a="1"/>
  <c r="D398" i="11" s="1"/>
  <c r="F398" i="11" s="1"/>
  <c r="D406" i="11" a="1"/>
  <c r="D406" i="11" s="1"/>
  <c r="D414" i="11" a="1"/>
  <c r="D414" i="11" s="1"/>
  <c r="F414" i="11" s="1"/>
  <c r="D422" i="11" a="1"/>
  <c r="D422" i="11" s="1"/>
  <c r="G422" i="11" s="1"/>
  <c r="D430" i="11" a="1"/>
  <c r="D430" i="11" s="1"/>
  <c r="F430" i="11" s="1"/>
  <c r="D438" i="11" a="1"/>
  <c r="D438" i="11" s="1"/>
  <c r="F438" i="11" s="1"/>
  <c r="D446" i="11" a="1"/>
  <c r="D446" i="11" s="1"/>
  <c r="D454" i="11" a="1"/>
  <c r="D454" i="11" s="1"/>
  <c r="F454" i="11" s="1"/>
  <c r="D462" i="11" a="1"/>
  <c r="D462" i="11" s="1"/>
  <c r="D470" i="11" a="1"/>
  <c r="D470" i="11" s="1"/>
  <c r="F470" i="11" s="1"/>
  <c r="D478" i="11" a="1"/>
  <c r="D478" i="11" s="1"/>
  <c r="E478" i="11" s="1"/>
  <c r="D486" i="11" a="1"/>
  <c r="D486" i="11" s="1"/>
  <c r="D494" i="11" a="1"/>
  <c r="D494" i="11" s="1"/>
  <c r="G494" i="11" s="1"/>
  <c r="D502" i="11" a="1"/>
  <c r="D502" i="11" s="1"/>
  <c r="F502" i="11" s="1"/>
  <c r="D510" i="11" a="1"/>
  <c r="D510" i="11" s="1"/>
  <c r="G510" i="11" s="1"/>
  <c r="D518" i="11" a="1"/>
  <c r="D518" i="11" s="1"/>
  <c r="D526" i="11" a="1"/>
  <c r="D526" i="11" s="1"/>
  <c r="F526" i="11" s="1"/>
  <c r="D534" i="11" a="1"/>
  <c r="D534" i="11" s="1"/>
  <c r="F534" i="11" s="1"/>
  <c r="D542" i="11" a="1"/>
  <c r="D542" i="11" s="1"/>
  <c r="F542" i="11" s="1"/>
  <c r="D550" i="11" a="1"/>
  <c r="D550" i="11" s="1"/>
  <c r="G550" i="11" s="1"/>
  <c r="D558" i="11" a="1"/>
  <c r="D558" i="11" s="1"/>
  <c r="E558" i="11" s="1"/>
  <c r="D566" i="11" a="1"/>
  <c r="D566" i="11" s="1"/>
  <c r="E566" i="11" s="1"/>
  <c r="D574" i="11" a="1"/>
  <c r="D574" i="11" s="1"/>
  <c r="D582" i="11" a="1"/>
  <c r="D582" i="11" s="1"/>
  <c r="D590" i="11" a="1"/>
  <c r="D590" i="11" s="1"/>
  <c r="E590" i="11" s="1"/>
  <c r="D598" i="11" a="1"/>
  <c r="D598" i="11" s="1"/>
  <c r="D606" i="11" a="1"/>
  <c r="D606" i="11" s="1"/>
  <c r="E606" i="11" s="1"/>
  <c r="D614" i="11" a="1"/>
  <c r="D614" i="11" s="1"/>
  <c r="D622" i="11" a="1"/>
  <c r="D622" i="11" s="1"/>
  <c r="G622" i="11" s="1"/>
  <c r="D630" i="11" a="1"/>
  <c r="D630" i="11" s="1"/>
  <c r="F630" i="11" s="1"/>
  <c r="D638" i="11" a="1"/>
  <c r="D638" i="11" s="1"/>
  <c r="D646" i="11" a="1"/>
  <c r="D646" i="11" s="1"/>
  <c r="D654" i="11" a="1"/>
  <c r="D654" i="11" s="1"/>
  <c r="D662" i="11" a="1"/>
  <c r="D662" i="11" s="1"/>
  <c r="G662" i="11" s="1"/>
  <c r="D670" i="11" a="1"/>
  <c r="D670" i="11" s="1"/>
  <c r="F670" i="11" s="1"/>
  <c r="D678" i="11" a="1"/>
  <c r="D678" i="11" s="1"/>
  <c r="F678" i="11" s="1"/>
  <c r="D686" i="11" a="1"/>
  <c r="D686" i="11" s="1"/>
  <c r="G686" i="11" s="1"/>
  <c r="D694" i="11" a="1"/>
  <c r="D694" i="11" s="1"/>
  <c r="E694" i="11" s="1"/>
  <c r="D702" i="11" a="1"/>
  <c r="D702" i="11" s="1"/>
  <c r="G702" i="11" s="1"/>
  <c r="D710" i="11" a="1"/>
  <c r="D710" i="11" s="1"/>
  <c r="D718" i="11" a="1"/>
  <c r="D718" i="11" s="1"/>
  <c r="F718" i="11" s="1"/>
  <c r="D726" i="11" a="1"/>
  <c r="D726" i="11" s="1"/>
  <c r="F726" i="11" s="1"/>
  <c r="D734" i="11" a="1"/>
  <c r="D734" i="11" s="1"/>
  <c r="E734" i="11" s="1"/>
  <c r="D742" i="11" a="1"/>
  <c r="D742" i="11" s="1"/>
  <c r="E742" i="11" s="1"/>
  <c r="D750" i="11" a="1"/>
  <c r="D750" i="11" s="1"/>
  <c r="D758" i="11" a="1"/>
  <c r="D758" i="11" s="1"/>
  <c r="F758" i="11" s="1"/>
  <c r="D766" i="11" a="1"/>
  <c r="D766" i="11" s="1"/>
  <c r="D184" i="11" a="1"/>
  <c r="D184" i="11" s="1"/>
  <c r="G184" i="11" s="1"/>
  <c r="D192" i="11" a="1"/>
  <c r="D192" i="11" s="1"/>
  <c r="D200" i="11" a="1"/>
  <c r="D200" i="11" s="1"/>
  <c r="F200" i="11" s="1"/>
  <c r="D208" i="11" a="1"/>
  <c r="D208" i="11" s="1"/>
  <c r="E208" i="11" s="1"/>
  <c r="D216" i="11" a="1"/>
  <c r="D216" i="11" s="1"/>
  <c r="G216" i="11" s="1"/>
  <c r="D224" i="11" a="1"/>
  <c r="D224" i="11" s="1"/>
  <c r="E224" i="11" s="1"/>
  <c r="D232" i="11" a="1"/>
  <c r="D232" i="11" s="1"/>
  <c r="G232" i="11" s="1"/>
  <c r="D240" i="11" a="1"/>
  <c r="D240" i="11" s="1"/>
  <c r="E240" i="11" s="1"/>
  <c r="D248" i="11" a="1"/>
  <c r="D248" i="11" s="1"/>
  <c r="E248" i="11" s="1"/>
  <c r="D256" i="11" a="1"/>
  <c r="D256" i="11" s="1"/>
  <c r="G256" i="11" s="1"/>
  <c r="D264" i="11" a="1"/>
  <c r="D264" i="11" s="1"/>
  <c r="G264" i="11" s="1"/>
  <c r="D272" i="11" a="1"/>
  <c r="D272" i="11" s="1"/>
  <c r="G272" i="11" s="1"/>
  <c r="D280" i="11" a="1"/>
  <c r="D280" i="11" s="1"/>
  <c r="D288" i="11" a="1"/>
  <c r="D288" i="11" s="1"/>
  <c r="F288" i="11" s="1"/>
  <c r="D296" i="11" a="1"/>
  <c r="D296" i="11" s="1"/>
  <c r="E296" i="11" s="1"/>
  <c r="D304" i="11" a="1"/>
  <c r="D304" i="11" s="1"/>
  <c r="F304" i="11" s="1"/>
  <c r="D312" i="11" a="1"/>
  <c r="D312" i="11" s="1"/>
  <c r="D320" i="11" a="1"/>
  <c r="D320" i="11" s="1"/>
  <c r="G320" i="11" s="1"/>
  <c r="D328" i="11" a="1"/>
  <c r="D328" i="11" s="1"/>
  <c r="G328" i="11" s="1"/>
  <c r="D336" i="11" a="1"/>
  <c r="D336" i="11" s="1"/>
  <c r="G336" i="11" s="1"/>
  <c r="D344" i="11" a="1"/>
  <c r="D344" i="11" s="1"/>
  <c r="D352" i="11" a="1"/>
  <c r="D352" i="11" s="1"/>
  <c r="D360" i="11" a="1"/>
  <c r="D360" i="11" s="1"/>
  <c r="F360" i="11" s="1"/>
  <c r="D368" i="11" a="1"/>
  <c r="D368" i="11" s="1"/>
  <c r="G368" i="11" s="1"/>
  <c r="D376" i="11" a="1"/>
  <c r="D376" i="11" s="1"/>
  <c r="D384" i="11" a="1"/>
  <c r="D384" i="11" s="1"/>
  <c r="D392" i="11" a="1"/>
  <c r="D392" i="11" s="1"/>
  <c r="D400" i="11" a="1"/>
  <c r="D400" i="11" s="1"/>
  <c r="D408" i="11" a="1"/>
  <c r="D408" i="11" s="1"/>
  <c r="E408" i="11" s="1"/>
  <c r="D416" i="11" a="1"/>
  <c r="D416" i="11" s="1"/>
  <c r="F416" i="11" s="1"/>
  <c r="D424" i="11" a="1"/>
  <c r="D424" i="11" s="1"/>
  <c r="F424" i="11" s="1"/>
  <c r="D432" i="11" a="1"/>
  <c r="D432" i="11" s="1"/>
  <c r="D440" i="11" a="1"/>
  <c r="D440" i="11" s="1"/>
  <c r="E440" i="11" s="1"/>
  <c r="D448" i="11" a="1"/>
  <c r="D448" i="11" s="1"/>
  <c r="D456" i="11" a="1"/>
  <c r="D456" i="11" s="1"/>
  <c r="E456" i="11" s="1"/>
  <c r="D464" i="11" a="1"/>
  <c r="D464" i="11" s="1"/>
  <c r="F464" i="11" s="1"/>
  <c r="D472" i="11" a="1"/>
  <c r="D472" i="11" s="1"/>
  <c r="D480" i="11" a="1"/>
  <c r="D480" i="11" s="1"/>
  <c r="F480" i="11" s="1"/>
  <c r="D488" i="11" a="1"/>
  <c r="D488" i="11" s="1"/>
  <c r="G488" i="11" s="1"/>
  <c r="D496" i="11" a="1"/>
  <c r="D496" i="11" s="1"/>
  <c r="E496" i="11" s="1"/>
  <c r="D504" i="11" a="1"/>
  <c r="D504" i="11" s="1"/>
  <c r="D512" i="11" a="1"/>
  <c r="D512" i="11" s="1"/>
  <c r="D520" i="11" a="1"/>
  <c r="D520" i="11" s="1"/>
  <c r="G520" i="11" s="1"/>
  <c r="D528" i="11" a="1"/>
  <c r="D528" i="11" s="1"/>
  <c r="D536" i="11" a="1"/>
  <c r="D536" i="11" s="1"/>
  <c r="D544" i="11" a="1"/>
  <c r="D544" i="11" s="1"/>
  <c r="G544" i="11" s="1"/>
  <c r="D552" i="11" a="1"/>
  <c r="D552" i="11" s="1"/>
  <c r="F552" i="11" s="1"/>
  <c r="D560" i="11" a="1"/>
  <c r="D560" i="11" s="1"/>
  <c r="F560" i="11" s="1"/>
  <c r="D568" i="11" a="1"/>
  <c r="D568" i="11" s="1"/>
  <c r="E568" i="11" s="1"/>
  <c r="D576" i="11" a="1"/>
  <c r="D576" i="11" s="1"/>
  <c r="E576" i="11" s="1"/>
  <c r="D584" i="11" a="1"/>
  <c r="D584" i="11" s="1"/>
  <c r="F584" i="11" s="1"/>
  <c r="D592" i="11" a="1"/>
  <c r="D592" i="11" s="1"/>
  <c r="E592" i="11" s="1"/>
  <c r="D600" i="11" a="1"/>
  <c r="D600" i="11" s="1"/>
  <c r="E600" i="11" s="1"/>
  <c r="D608" i="11" a="1"/>
  <c r="D608" i="11" s="1"/>
  <c r="F608" i="11" s="1"/>
  <c r="D616" i="11" a="1"/>
  <c r="D616" i="11" s="1"/>
  <c r="E616" i="11" s="1"/>
  <c r="D624" i="11" a="1"/>
  <c r="D624" i="11" s="1"/>
  <c r="D632" i="11" a="1"/>
  <c r="D632" i="11" s="1"/>
  <c r="D640" i="11" a="1"/>
  <c r="D640" i="11" s="1"/>
  <c r="E640" i="11" s="1"/>
  <c r="D648" i="11" a="1"/>
  <c r="D648" i="11" s="1"/>
  <c r="F648" i="11" s="1"/>
  <c r="D656" i="11" a="1"/>
  <c r="D656" i="11" s="1"/>
  <c r="G656" i="11" s="1"/>
  <c r="D664" i="11" a="1"/>
  <c r="D664" i="11" s="1"/>
  <c r="D672" i="11" a="1"/>
  <c r="D672" i="11" s="1"/>
  <c r="E672" i="11" s="1"/>
  <c r="D680" i="11" a="1"/>
  <c r="D680" i="11" s="1"/>
  <c r="G680" i="11" s="1"/>
  <c r="D688" i="11" a="1"/>
  <c r="D688" i="11" s="1"/>
  <c r="F688" i="11" s="1"/>
  <c r="D696" i="11" a="1"/>
  <c r="D696" i="11" s="1"/>
  <c r="F696" i="11" s="1"/>
  <c r="D704" i="11" a="1"/>
  <c r="D704" i="11" s="1"/>
  <c r="E704" i="11" s="1"/>
  <c r="D712" i="11" a="1"/>
  <c r="D712" i="11" s="1"/>
  <c r="D720" i="11" a="1"/>
  <c r="D720" i="11" s="1"/>
  <c r="E720" i="11" s="1"/>
  <c r="D728" i="11" a="1"/>
  <c r="D728" i="11" s="1"/>
  <c r="D736" i="11" a="1"/>
  <c r="D736" i="11" s="1"/>
  <c r="F736" i="11" s="1"/>
  <c r="D744" i="11" a="1"/>
  <c r="D744" i="11" s="1"/>
  <c r="G744" i="11" s="1"/>
  <c r="D752" i="11" a="1"/>
  <c r="D752" i="11" s="1"/>
  <c r="F752" i="11" s="1"/>
  <c r="D760" i="11" a="1"/>
  <c r="D760" i="11" s="1"/>
  <c r="D768" i="11" a="1"/>
  <c r="D768" i="11" s="1"/>
  <c r="F768" i="11" s="1"/>
  <c r="D185" i="11" a="1"/>
  <c r="D185" i="11" s="1"/>
  <c r="F185" i="11" s="1"/>
  <c r="D193" i="11" a="1"/>
  <c r="D193" i="11" s="1"/>
  <c r="D201" i="11" a="1"/>
  <c r="D201" i="11" s="1"/>
  <c r="E201" i="11" s="1"/>
  <c r="D209" i="11" a="1"/>
  <c r="D209" i="11" s="1"/>
  <c r="D217" i="11" a="1"/>
  <c r="D217" i="11" s="1"/>
  <c r="D225" i="11" a="1"/>
  <c r="D225" i="11" s="1"/>
  <c r="G225" i="11" s="1"/>
  <c r="D233" i="11" a="1"/>
  <c r="D233" i="11" s="1"/>
  <c r="F233" i="11" s="1"/>
  <c r="D241" i="11" a="1"/>
  <c r="D241" i="11" s="1"/>
  <c r="G241" i="11" s="1"/>
  <c r="D249" i="11" a="1"/>
  <c r="D249" i="11" s="1"/>
  <c r="F249" i="11" s="1"/>
  <c r="D257" i="11" a="1"/>
  <c r="D257" i="11" s="1"/>
  <c r="E257" i="11" s="1"/>
  <c r="D265" i="11" a="1"/>
  <c r="D265" i="11" s="1"/>
  <c r="D273" i="11" a="1"/>
  <c r="D273" i="11" s="1"/>
  <c r="E273" i="11" s="1"/>
  <c r="D281" i="11" a="1"/>
  <c r="D281" i="11" s="1"/>
  <c r="F281" i="11" s="1"/>
  <c r="D289" i="11" a="1"/>
  <c r="D289" i="11" s="1"/>
  <c r="E289" i="11" s="1"/>
  <c r="D297" i="11" a="1"/>
  <c r="D297" i="11" s="1"/>
  <c r="F297" i="11" s="1"/>
  <c r="D305" i="11" a="1"/>
  <c r="D305" i="11" s="1"/>
  <c r="G305" i="11" s="1"/>
  <c r="D313" i="11" a="1"/>
  <c r="D313" i="11" s="1"/>
  <c r="E313" i="11" s="1"/>
  <c r="D321" i="11" a="1"/>
  <c r="D321" i="11" s="1"/>
  <c r="E321" i="11" s="1"/>
  <c r="D329" i="11" a="1"/>
  <c r="D329" i="11" s="1"/>
  <c r="E329" i="11" s="1"/>
  <c r="D337" i="11" a="1"/>
  <c r="D337" i="11" s="1"/>
  <c r="D345" i="11" a="1"/>
  <c r="D345" i="11" s="1"/>
  <c r="F345" i="11" s="1"/>
  <c r="D353" i="11" a="1"/>
  <c r="D353" i="11" s="1"/>
  <c r="G353" i="11" s="1"/>
  <c r="D361" i="11" a="1"/>
  <c r="D361" i="11" s="1"/>
  <c r="E361" i="11" s="1"/>
  <c r="D369" i="11" a="1"/>
  <c r="D369" i="11" s="1"/>
  <c r="D377" i="11" a="1"/>
  <c r="D377" i="11" s="1"/>
  <c r="D385" i="11" a="1"/>
  <c r="D385" i="11" s="1"/>
  <c r="G385" i="11" s="1"/>
  <c r="D393" i="11" a="1"/>
  <c r="D393" i="11" s="1"/>
  <c r="D401" i="11" a="1"/>
  <c r="D401" i="11" s="1"/>
  <c r="G401" i="11" s="1"/>
  <c r="D409" i="11" a="1"/>
  <c r="D409" i="11" s="1"/>
  <c r="D417" i="11" a="1"/>
  <c r="D417" i="11" s="1"/>
  <c r="F417" i="11" s="1"/>
  <c r="D425" i="11" a="1"/>
  <c r="D425" i="11" s="1"/>
  <c r="E425" i="11" s="1"/>
  <c r="D433" i="11" a="1"/>
  <c r="D433" i="11" s="1"/>
  <c r="D441" i="11" a="1"/>
  <c r="D441" i="11" s="1"/>
  <c r="F441" i="11" s="1"/>
  <c r="D449" i="11" a="1"/>
  <c r="D449" i="11" s="1"/>
  <c r="F449" i="11" s="1"/>
  <c r="D457" i="11" a="1"/>
  <c r="D457" i="11" s="1"/>
  <c r="F457" i="11" s="1"/>
  <c r="D465" i="11" a="1"/>
  <c r="D465" i="11" s="1"/>
  <c r="D473" i="11" a="1"/>
  <c r="D473" i="11" s="1"/>
  <c r="D481" i="11" a="1"/>
  <c r="D481" i="11" s="1"/>
  <c r="D489" i="11" a="1"/>
  <c r="D489" i="11" s="1"/>
  <c r="E489" i="11" s="1"/>
  <c r="D497" i="11" a="1"/>
  <c r="D497" i="11" s="1"/>
  <c r="G497" i="11" s="1"/>
  <c r="D505" i="11" a="1"/>
  <c r="D505" i="11" s="1"/>
  <c r="F505" i="11" s="1"/>
  <c r="D513" i="11" a="1"/>
  <c r="D513" i="11" s="1"/>
  <c r="F513" i="11" s="1"/>
  <c r="D521" i="11" a="1"/>
  <c r="D521" i="11" s="1"/>
  <c r="E521" i="11" s="1"/>
  <c r="D529" i="11" a="1"/>
  <c r="D529" i="11" s="1"/>
  <c r="D537" i="11" a="1"/>
  <c r="D537" i="11" s="1"/>
  <c r="F537" i="11" s="1"/>
  <c r="D545" i="11" a="1"/>
  <c r="D545" i="11" s="1"/>
  <c r="F545" i="11" s="1"/>
  <c r="D553" i="11" a="1"/>
  <c r="D553" i="11" s="1"/>
  <c r="D561" i="11" a="1"/>
  <c r="D561" i="11" s="1"/>
  <c r="F561" i="11" s="1"/>
  <c r="D569" i="11" a="1"/>
  <c r="D569" i="11" s="1"/>
  <c r="F569" i="11" s="1"/>
  <c r="D577" i="11" a="1"/>
  <c r="D577" i="11" s="1"/>
  <c r="D585" i="11" a="1"/>
  <c r="D585" i="11" s="1"/>
  <c r="F585" i="11" s="1"/>
  <c r="D593" i="11" a="1"/>
  <c r="D593" i="11" s="1"/>
  <c r="F593" i="11" s="1"/>
  <c r="D601" i="11" a="1"/>
  <c r="D601" i="11" s="1"/>
  <c r="F601" i="11" s="1"/>
  <c r="D609" i="11" a="1"/>
  <c r="D609" i="11" s="1"/>
  <c r="E609" i="11" s="1"/>
  <c r="D617" i="11" a="1"/>
  <c r="D617" i="11" s="1"/>
  <c r="G617" i="11" s="1"/>
  <c r="D625" i="11" a="1"/>
  <c r="D625" i="11" s="1"/>
  <c r="D633" i="11" a="1"/>
  <c r="D633" i="11" s="1"/>
  <c r="F633" i="11" s="1"/>
  <c r="D641" i="11" a="1"/>
  <c r="D641" i="11" s="1"/>
  <c r="G641" i="11" s="1"/>
  <c r="D649" i="11" a="1"/>
  <c r="D649" i="11" s="1"/>
  <c r="F649" i="11" s="1"/>
  <c r="D657" i="11" a="1"/>
  <c r="D657" i="11" s="1"/>
  <c r="D665" i="11" a="1"/>
  <c r="D665" i="11" s="1"/>
  <c r="G665" i="11" s="1"/>
  <c r="D673" i="11" a="1"/>
  <c r="D673" i="11" s="1"/>
  <c r="D681" i="11" a="1"/>
  <c r="D681" i="11" s="1"/>
  <c r="F681" i="11" s="1"/>
  <c r="D689" i="11" a="1"/>
  <c r="D689" i="11" s="1"/>
  <c r="F689" i="11" s="1"/>
  <c r="D697" i="11" a="1"/>
  <c r="D697" i="11" s="1"/>
  <c r="F697" i="11" s="1"/>
  <c r="D705" i="11" a="1"/>
  <c r="D705" i="11" s="1"/>
  <c r="D713" i="11" a="1"/>
  <c r="D713" i="11" s="1"/>
  <c r="E713" i="11" s="1"/>
  <c r="D721" i="11" a="1"/>
  <c r="D721" i="11" s="1"/>
  <c r="G721" i="11" s="1"/>
  <c r="D729" i="11" a="1"/>
  <c r="D729" i="11" s="1"/>
  <c r="F729" i="11" s="1"/>
  <c r="D737" i="11" a="1"/>
  <c r="D737" i="11" s="1"/>
  <c r="F737" i="11" s="1"/>
  <c r="D745" i="11" a="1"/>
  <c r="D745" i="11" s="1"/>
  <c r="D753" i="11" a="1"/>
  <c r="D753" i="11" s="1"/>
  <c r="G753" i="11" s="1"/>
  <c r="D761" i="11" a="1"/>
  <c r="D761" i="11" s="1"/>
  <c r="F761" i="11" s="1"/>
  <c r="D769" i="11" a="1"/>
  <c r="D769" i="11" s="1"/>
  <c r="F769" i="11" s="1"/>
  <c r="D187" i="11" a="1"/>
  <c r="D187" i="11" s="1"/>
  <c r="D195" i="11" a="1"/>
  <c r="D195" i="11" s="1"/>
  <c r="E195" i="11" s="1"/>
  <c r="D203" i="11" a="1"/>
  <c r="D203" i="11" s="1"/>
  <c r="D211" i="11" a="1"/>
  <c r="D211" i="11" s="1"/>
  <c r="G211" i="11" s="1"/>
  <c r="D219" i="11" a="1"/>
  <c r="D219" i="11" s="1"/>
  <c r="F219" i="11" s="1"/>
  <c r="D227" i="11" a="1"/>
  <c r="D227" i="11" s="1"/>
  <c r="D235" i="11" a="1"/>
  <c r="D235" i="11" s="1"/>
  <c r="D243" i="11" a="1"/>
  <c r="D243" i="11" s="1"/>
  <c r="G243" i="11" s="1"/>
  <c r="D251" i="11" a="1"/>
  <c r="D251" i="11" s="1"/>
  <c r="G251" i="11" s="1"/>
  <c r="D259" i="11" a="1"/>
  <c r="D259" i="11" s="1"/>
  <c r="E259" i="11" s="1"/>
  <c r="D267" i="11" a="1"/>
  <c r="D267" i="11" s="1"/>
  <c r="D275" i="11" a="1"/>
  <c r="D275" i="11" s="1"/>
  <c r="F275" i="11" s="1"/>
  <c r="D283" i="11" a="1"/>
  <c r="D283" i="11" s="1"/>
  <c r="D291" i="11" a="1"/>
  <c r="D291" i="11" s="1"/>
  <c r="E291" i="11" s="1"/>
  <c r="D299" i="11" a="1"/>
  <c r="D299" i="11" s="1"/>
  <c r="D307" i="11" a="1"/>
  <c r="D307" i="11" s="1"/>
  <c r="G307" i="11" s="1"/>
  <c r="D315" i="11" a="1"/>
  <c r="D315" i="11" s="1"/>
  <c r="D323" i="11" a="1"/>
  <c r="D323" i="11" s="1"/>
  <c r="D331" i="11" a="1"/>
  <c r="D331" i="11" s="1"/>
  <c r="E331" i="11" s="1"/>
  <c r="D339" i="11" a="1"/>
  <c r="D339" i="11" s="1"/>
  <c r="D347" i="11" a="1"/>
  <c r="D347" i="11" s="1"/>
  <c r="G347" i="11" s="1"/>
  <c r="D355" i="11" a="1"/>
  <c r="D355" i="11" s="1"/>
  <c r="E355" i="11" s="1"/>
  <c r="D363" i="11" a="1"/>
  <c r="D363" i="11" s="1"/>
  <c r="D371" i="11" a="1"/>
  <c r="D371" i="11" s="1"/>
  <c r="D379" i="11" a="1"/>
  <c r="D379" i="11" s="1"/>
  <c r="G379" i="11" s="1"/>
  <c r="D387" i="11" a="1"/>
  <c r="D387" i="11" s="1"/>
  <c r="D395" i="11" a="1"/>
  <c r="D395" i="11" s="1"/>
  <c r="E395" i="11" s="1"/>
  <c r="D403" i="11" a="1"/>
  <c r="D403" i="11" s="1"/>
  <c r="E403" i="11" s="1"/>
  <c r="D411" i="11" a="1"/>
  <c r="D411" i="11" s="1"/>
  <c r="F411" i="11" s="1"/>
  <c r="D419" i="11" a="1"/>
  <c r="D419" i="11" s="1"/>
  <c r="E419" i="11" s="1"/>
  <c r="D427" i="11" a="1"/>
  <c r="D427" i="11" s="1"/>
  <c r="D435" i="11" a="1"/>
  <c r="D435" i="11" s="1"/>
  <c r="G435" i="11" s="1"/>
  <c r="D443" i="11" a="1"/>
  <c r="D443" i="11" s="1"/>
  <c r="D451" i="11" a="1"/>
  <c r="D451" i="11" s="1"/>
  <c r="D459" i="11" a="1"/>
  <c r="D459" i="11" s="1"/>
  <c r="D467" i="11" a="1"/>
  <c r="D467" i="11" s="1"/>
  <c r="F467" i="11" s="1"/>
  <c r="D475" i="11" a="1"/>
  <c r="D475" i="11" s="1"/>
  <c r="D483" i="11" a="1"/>
  <c r="D483" i="11" s="1"/>
  <c r="E483" i="11" s="1"/>
  <c r="D491" i="11" a="1"/>
  <c r="D491" i="11" s="1"/>
  <c r="D499" i="11" a="1"/>
  <c r="D499" i="11" s="1"/>
  <c r="D507" i="11" a="1"/>
  <c r="D507" i="11" s="1"/>
  <c r="E507" i="11" s="1"/>
  <c r="D515" i="11" a="1"/>
  <c r="D515" i="11" s="1"/>
  <c r="F515" i="11" s="1"/>
  <c r="D523" i="11" a="1"/>
  <c r="D523" i="11" s="1"/>
  <c r="F523" i="11" s="1"/>
  <c r="D531" i="11" a="1"/>
  <c r="D531" i="11" s="1"/>
  <c r="F531" i="11" s="1"/>
  <c r="D539" i="11" a="1"/>
  <c r="D539" i="11" s="1"/>
  <c r="D547" i="11" a="1"/>
  <c r="D547" i="11" s="1"/>
  <c r="D555" i="11" a="1"/>
  <c r="D555" i="11" s="1"/>
  <c r="D563" i="11" a="1"/>
  <c r="D563" i="11" s="1"/>
  <c r="F563" i="11" s="1"/>
  <c r="D571" i="11" a="1"/>
  <c r="D571" i="11" s="1"/>
  <c r="D579" i="11" a="1"/>
  <c r="D579" i="11" s="1"/>
  <c r="D587" i="11" a="1"/>
  <c r="D587" i="11" s="1"/>
  <c r="E587" i="11" s="1"/>
  <c r="D595" i="11" a="1"/>
  <c r="D595" i="11" s="1"/>
  <c r="G595" i="11" s="1"/>
  <c r="D603" i="11" a="1"/>
  <c r="D603" i="11" s="1"/>
  <c r="F603" i="11" s="1"/>
  <c r="D611" i="11" a="1"/>
  <c r="D611" i="11" s="1"/>
  <c r="D619" i="11" a="1"/>
  <c r="D619" i="11" s="1"/>
  <c r="F619" i="11" s="1"/>
  <c r="D627" i="11" a="1"/>
  <c r="D627" i="11" s="1"/>
  <c r="E627" i="11" s="1"/>
  <c r="D635" i="11" a="1"/>
  <c r="D635" i="11" s="1"/>
  <c r="D643" i="11" a="1"/>
  <c r="D643" i="11" s="1"/>
  <c r="D651" i="11" a="1"/>
  <c r="D651" i="11" s="1"/>
  <c r="G651" i="11" s="1"/>
  <c r="D659" i="11" a="1"/>
  <c r="D659" i="11" s="1"/>
  <c r="E659" i="11" s="1"/>
  <c r="D667" i="11" a="1"/>
  <c r="D667" i="11" s="1"/>
  <c r="D675" i="11" a="1"/>
  <c r="D675" i="11" s="1"/>
  <c r="D683" i="11" a="1"/>
  <c r="D683" i="11" s="1"/>
  <c r="G683" i="11" s="1"/>
  <c r="D691" i="11" a="1"/>
  <c r="D691" i="11" s="1"/>
  <c r="F691" i="11" s="1"/>
  <c r="D699" i="11" a="1"/>
  <c r="D699" i="11" s="1"/>
  <c r="F699" i="11" s="1"/>
  <c r="D707" i="11" a="1"/>
  <c r="D707" i="11" s="1"/>
  <c r="D715" i="11" a="1"/>
  <c r="D715" i="11" s="1"/>
  <c r="D723" i="11" a="1"/>
  <c r="D723" i="11" s="1"/>
  <c r="F723" i="11" s="1"/>
  <c r="D731" i="11" a="1"/>
  <c r="D731" i="11" s="1"/>
  <c r="D739" i="11" a="1"/>
  <c r="D739" i="11" s="1"/>
  <c r="E739" i="11" s="1"/>
  <c r="D747" i="11" a="1"/>
  <c r="D747" i="11" s="1"/>
  <c r="D755" i="11" a="1"/>
  <c r="D755" i="11" s="1"/>
  <c r="F755" i="11" s="1"/>
  <c r="D763" i="11" a="1"/>
  <c r="D763" i="11" s="1"/>
  <c r="D771" i="11" a="1"/>
  <c r="D771" i="11" s="1"/>
  <c r="G771" i="11" s="1"/>
  <c r="D202" i="11" a="1"/>
  <c r="D202" i="11" s="1"/>
  <c r="F202" i="11" s="1"/>
  <c r="D223" i="11" a="1"/>
  <c r="D223" i="11" s="1"/>
  <c r="G223" i="11" s="1"/>
  <c r="D244" i="11" a="1"/>
  <c r="D244" i="11" s="1"/>
  <c r="F244" i="11" s="1"/>
  <c r="D266" i="11" a="1"/>
  <c r="D266" i="11" s="1"/>
  <c r="D287" i="11" a="1"/>
  <c r="D287" i="11" s="1"/>
  <c r="D308" i="11" a="1"/>
  <c r="D308" i="11" s="1"/>
  <c r="G308" i="11" s="1"/>
  <c r="D330" i="11" a="1"/>
  <c r="D330" i="11" s="1"/>
  <c r="F330" i="11" s="1"/>
  <c r="D351" i="11" a="1"/>
  <c r="D351" i="11" s="1"/>
  <c r="D372" i="11" a="1"/>
  <c r="D372" i="11" s="1"/>
  <c r="D394" i="11" a="1"/>
  <c r="D394" i="11" s="1"/>
  <c r="F394" i="11" s="1"/>
  <c r="D415" i="11" a="1"/>
  <c r="D415" i="11" s="1"/>
  <c r="D436" i="11" a="1"/>
  <c r="D436" i="11" s="1"/>
  <c r="D458" i="11" a="1"/>
  <c r="D458" i="11" s="1"/>
  <c r="G458" i="11" s="1"/>
  <c r="D479" i="11" a="1"/>
  <c r="D479" i="11" s="1"/>
  <c r="D500" i="11" a="1"/>
  <c r="D500" i="11" s="1"/>
  <c r="E500" i="11" s="1"/>
  <c r="D522" i="11" a="1"/>
  <c r="D522" i="11" s="1"/>
  <c r="D543" i="11" a="1"/>
  <c r="D543" i="11" s="1"/>
  <c r="E543" i="11" s="1"/>
  <c r="D564" i="11" a="1"/>
  <c r="D564" i="11" s="1"/>
  <c r="D586" i="11" a="1"/>
  <c r="D586" i="11" s="1"/>
  <c r="E586" i="11" s="1"/>
  <c r="D607" i="11" a="1"/>
  <c r="D607" i="11" s="1"/>
  <c r="D628" i="11" a="1"/>
  <c r="D628" i="11" s="1"/>
  <c r="G628" i="11" s="1"/>
  <c r="D650" i="11" a="1"/>
  <c r="D650" i="11" s="1"/>
  <c r="G650" i="11" s="1"/>
  <c r="D671" i="11" a="1"/>
  <c r="D671" i="11" s="1"/>
  <c r="E671" i="11" s="1"/>
  <c r="D692" i="11" a="1"/>
  <c r="D692" i="11" s="1"/>
  <c r="F692" i="11" s="1"/>
  <c r="D714" i="11" a="1"/>
  <c r="D714" i="11" s="1"/>
  <c r="E714" i="11" s="1"/>
  <c r="D735" i="11" a="1"/>
  <c r="D735" i="11" s="1"/>
  <c r="F735" i="11" s="1"/>
  <c r="D756" i="11" a="1"/>
  <c r="D756" i="11" s="1"/>
  <c r="D774" i="11" a="1"/>
  <c r="D774" i="11" s="1"/>
  <c r="D782" i="11" a="1"/>
  <c r="D782" i="11" s="1"/>
  <c r="D790" i="11" a="1"/>
  <c r="D790" i="11" s="1"/>
  <c r="F790" i="11" s="1"/>
  <c r="D798" i="11" a="1"/>
  <c r="D798" i="11" s="1"/>
  <c r="G798" i="11" s="1"/>
  <c r="D806" i="11" a="1"/>
  <c r="D806" i="11" s="1"/>
  <c r="G806" i="11" s="1"/>
  <c r="D814" i="11" a="1"/>
  <c r="D814" i="11" s="1"/>
  <c r="F814" i="11" s="1"/>
  <c r="D822" i="11" a="1"/>
  <c r="D822" i="11" s="1"/>
  <c r="E822" i="11" s="1"/>
  <c r="D830" i="11" a="1"/>
  <c r="D830" i="11" s="1"/>
  <c r="G830" i="11" s="1"/>
  <c r="D838" i="11" a="1"/>
  <c r="D838" i="11" s="1"/>
  <c r="E838" i="11" s="1"/>
  <c r="D846" i="11" a="1"/>
  <c r="D846" i="11" s="1"/>
  <c r="F846" i="11" s="1"/>
  <c r="D854" i="11" a="1"/>
  <c r="D854" i="11" s="1"/>
  <c r="D862" i="11" a="1"/>
  <c r="D862" i="11" s="1"/>
  <c r="G862" i="11" s="1"/>
  <c r="D870" i="11" a="1"/>
  <c r="D870" i="11" s="1"/>
  <c r="E870" i="11" s="1"/>
  <c r="D878" i="11" a="1"/>
  <c r="D878" i="11" s="1"/>
  <c r="F878" i="11" s="1"/>
  <c r="D886" i="11" a="1"/>
  <c r="D886" i="11" s="1"/>
  <c r="D894" i="11" a="1"/>
  <c r="D894" i="11" s="1"/>
  <c r="G894" i="11" s="1"/>
  <c r="D902" i="11" a="1"/>
  <c r="D902" i="11" s="1"/>
  <c r="E902" i="11" s="1"/>
  <c r="D910" i="11" a="1"/>
  <c r="D910" i="11" s="1"/>
  <c r="E910" i="11" s="1"/>
  <c r="D918" i="11" a="1"/>
  <c r="D918" i="11" s="1"/>
  <c r="F918" i="11" s="1"/>
  <c r="D926" i="11" a="1"/>
  <c r="D926" i="11" s="1"/>
  <c r="E926" i="11" s="1"/>
  <c r="D934" i="11" a="1"/>
  <c r="D934" i="11" s="1"/>
  <c r="E934" i="11" s="1"/>
  <c r="D942" i="11" a="1"/>
  <c r="D942" i="11" s="1"/>
  <c r="F942" i="11" s="1"/>
  <c r="D950" i="11" a="1"/>
  <c r="D950" i="11" s="1"/>
  <c r="E950" i="11" s="1"/>
  <c r="D958" i="11" a="1"/>
  <c r="D958" i="11" s="1"/>
  <c r="G958" i="11" s="1"/>
  <c r="D966" i="11" a="1"/>
  <c r="D966" i="11" s="1"/>
  <c r="D974" i="11" a="1"/>
  <c r="D974" i="11" s="1"/>
  <c r="G974" i="11" s="1"/>
  <c r="D982" i="11" a="1"/>
  <c r="D982" i="11" s="1"/>
  <c r="D990" i="11" a="1"/>
  <c r="D990" i="11" s="1"/>
  <c r="F990" i="11" s="1"/>
  <c r="D998" i="11" a="1"/>
  <c r="D998" i="11" s="1"/>
  <c r="F998" i="11" s="1"/>
  <c r="D183" i="11" a="1"/>
  <c r="D183" i="11" s="1"/>
  <c r="E183" i="11" s="1"/>
  <c r="D204" i="11" a="1"/>
  <c r="D204" i="11" s="1"/>
  <c r="D226" i="11" a="1"/>
  <c r="D226" i="11" s="1"/>
  <c r="F226" i="11" s="1"/>
  <c r="D247" i="11" a="1"/>
  <c r="D247" i="11" s="1"/>
  <c r="F247" i="11" s="1"/>
  <c r="D268" i="11" a="1"/>
  <c r="D268" i="11" s="1"/>
  <c r="D290" i="11" a="1"/>
  <c r="D290" i="11" s="1"/>
  <c r="F290" i="11" s="1"/>
  <c r="D311" i="11" a="1"/>
  <c r="D311" i="11" s="1"/>
  <c r="F311" i="11" s="1"/>
  <c r="D332" i="11" a="1"/>
  <c r="D332" i="11" s="1"/>
  <c r="F332" i="11" s="1"/>
  <c r="D354" i="11" a="1"/>
  <c r="D354" i="11" s="1"/>
  <c r="D375" i="11" a="1"/>
  <c r="D375" i="11" s="1"/>
  <c r="D396" i="11" a="1"/>
  <c r="D396" i="11" s="1"/>
  <c r="F396" i="11" s="1"/>
  <c r="D418" i="11" a="1"/>
  <c r="D418" i="11" s="1"/>
  <c r="E418" i="11" s="1"/>
  <c r="D439" i="11" a="1"/>
  <c r="D439" i="11" s="1"/>
  <c r="D460" i="11" a="1"/>
  <c r="D460" i="11" s="1"/>
  <c r="G460" i="11" s="1"/>
  <c r="D482" i="11" a="1"/>
  <c r="D482" i="11" s="1"/>
  <c r="D503" i="11" a="1"/>
  <c r="D503" i="11" s="1"/>
  <c r="F503" i="11" s="1"/>
  <c r="D524" i="11" a="1"/>
  <c r="D524" i="11" s="1"/>
  <c r="F524" i="11" s="1"/>
  <c r="D546" i="11" a="1"/>
  <c r="D546" i="11" s="1"/>
  <c r="D567" i="11" a="1"/>
  <c r="D567" i="11" s="1"/>
  <c r="D588" i="11" a="1"/>
  <c r="D588" i="11" s="1"/>
  <c r="E588" i="11" s="1"/>
  <c r="D610" i="11" a="1"/>
  <c r="D610" i="11" s="1"/>
  <c r="G610" i="11" s="1"/>
  <c r="D631" i="11" a="1"/>
  <c r="D631" i="11" s="1"/>
  <c r="F631" i="11" s="1"/>
  <c r="D652" i="11" a="1"/>
  <c r="D652" i="11" s="1"/>
  <c r="E652" i="11" s="1"/>
  <c r="D674" i="11" a="1"/>
  <c r="D674" i="11" s="1"/>
  <c r="E674" i="11" s="1"/>
  <c r="D695" i="11" a="1"/>
  <c r="D695" i="11" s="1"/>
  <c r="D716" i="11" a="1"/>
  <c r="D716" i="11" s="1"/>
  <c r="F716" i="11" s="1"/>
  <c r="D738" i="11" a="1"/>
  <c r="D738" i="11" s="1"/>
  <c r="D759" i="11" a="1"/>
  <c r="D759" i="11" s="1"/>
  <c r="D775" i="11" a="1"/>
  <c r="D775" i="11" s="1"/>
  <c r="G775" i="11" s="1"/>
  <c r="D783" i="11" a="1"/>
  <c r="D783" i="11" s="1"/>
  <c r="E783" i="11" s="1"/>
  <c r="D791" i="11" a="1"/>
  <c r="D791" i="11" s="1"/>
  <c r="G791" i="11" s="1"/>
  <c r="D799" i="11" a="1"/>
  <c r="D799" i="11" s="1"/>
  <c r="D807" i="11" a="1"/>
  <c r="D807" i="11" s="1"/>
  <c r="D815" i="11" a="1"/>
  <c r="D815" i="11" s="1"/>
  <c r="D823" i="11" a="1"/>
  <c r="D823" i="11" s="1"/>
  <c r="E823" i="11" s="1"/>
  <c r="D831" i="11" a="1"/>
  <c r="D831" i="11" s="1"/>
  <c r="D839" i="11" a="1"/>
  <c r="D839" i="11" s="1"/>
  <c r="D847" i="11" a="1"/>
  <c r="D847" i="11" s="1"/>
  <c r="F847" i="11" s="1"/>
  <c r="D855" i="11" a="1"/>
  <c r="D855" i="11" s="1"/>
  <c r="E855" i="11" s="1"/>
  <c r="D863" i="11" a="1"/>
  <c r="D863" i="11" s="1"/>
  <c r="E863" i="11" s="1"/>
  <c r="D871" i="11" a="1"/>
  <c r="D871" i="11" s="1"/>
  <c r="E871" i="11" s="1"/>
  <c r="D879" i="11" a="1"/>
  <c r="D879" i="11" s="1"/>
  <c r="G879" i="11" s="1"/>
  <c r="D887" i="11" a="1"/>
  <c r="D887" i="11" s="1"/>
  <c r="D895" i="11" a="1"/>
  <c r="D895" i="11" s="1"/>
  <c r="E895" i="11" s="1"/>
  <c r="D903" i="11" a="1"/>
  <c r="D903" i="11" s="1"/>
  <c r="D911" i="11" a="1"/>
  <c r="D911" i="11" s="1"/>
  <c r="D919" i="11" a="1"/>
  <c r="D919" i="11" s="1"/>
  <c r="F919" i="11" s="1"/>
  <c r="D927" i="11" a="1"/>
  <c r="D927" i="11" s="1"/>
  <c r="E927" i="11" s="1"/>
  <c r="D935" i="11" a="1"/>
  <c r="D935" i="11" s="1"/>
  <c r="D943" i="11" a="1"/>
  <c r="D943" i="11" s="1"/>
  <c r="D951" i="11" a="1"/>
  <c r="D951" i="11" s="1"/>
  <c r="D959" i="11" a="1"/>
  <c r="D959" i="11" s="1"/>
  <c r="F959" i="11" s="1"/>
  <c r="D967" i="11" a="1"/>
  <c r="D967" i="11" s="1"/>
  <c r="F967" i="11" s="1"/>
  <c r="D975" i="11" a="1"/>
  <c r="D975" i="11" s="1"/>
  <c r="D983" i="11" a="1"/>
  <c r="D983" i="11" s="1"/>
  <c r="F983" i="11" s="1"/>
  <c r="D991" i="11" a="1"/>
  <c r="D991" i="11" s="1"/>
  <c r="E991" i="11" s="1"/>
  <c r="D999" i="11" a="1"/>
  <c r="D999" i="11" s="1"/>
  <c r="D186" i="11" a="1"/>
  <c r="D186" i="11" s="1"/>
  <c r="F186" i="11" s="1"/>
  <c r="D207" i="11" a="1"/>
  <c r="D207" i="11" s="1"/>
  <c r="E207" i="11" s="1"/>
  <c r="D228" i="11" a="1"/>
  <c r="D228" i="11" s="1"/>
  <c r="F228" i="11" s="1"/>
  <c r="D250" i="11" a="1"/>
  <c r="D250" i="11" s="1"/>
  <c r="D271" i="11" a="1"/>
  <c r="D271" i="11" s="1"/>
  <c r="D292" i="11" a="1"/>
  <c r="D292" i="11" s="1"/>
  <c r="D314" i="11" a="1"/>
  <c r="D314" i="11" s="1"/>
  <c r="D335" i="11" a="1"/>
  <c r="D335" i="11" s="1"/>
  <c r="F335" i="11" s="1"/>
  <c r="D356" i="11" a="1"/>
  <c r="D356" i="11" s="1"/>
  <c r="E356" i="11" s="1"/>
  <c r="D378" i="11" a="1"/>
  <c r="D378" i="11" s="1"/>
  <c r="G378" i="11" s="1"/>
  <c r="D399" i="11" a="1"/>
  <c r="D399" i="11" s="1"/>
  <c r="E399" i="11" s="1"/>
  <c r="D420" i="11" a="1"/>
  <c r="D420" i="11" s="1"/>
  <c r="F420" i="11" s="1"/>
  <c r="D442" i="11" a="1"/>
  <c r="D442" i="11" s="1"/>
  <c r="G442" i="11" s="1"/>
  <c r="D463" i="11" a="1"/>
  <c r="D463" i="11" s="1"/>
  <c r="D484" i="11" a="1"/>
  <c r="D484" i="11" s="1"/>
  <c r="E484" i="11" s="1"/>
  <c r="D506" i="11" a="1"/>
  <c r="D506" i="11" s="1"/>
  <c r="D527" i="11" a="1"/>
  <c r="D527" i="11" s="1"/>
  <c r="D548" i="11" a="1"/>
  <c r="D548" i="11" s="1"/>
  <c r="E548" i="11" s="1"/>
  <c r="D570" i="11" a="1"/>
  <c r="D570" i="11" s="1"/>
  <c r="D591" i="11" a="1"/>
  <c r="D591" i="11" s="1"/>
  <c r="E591" i="11" s="1"/>
  <c r="D612" i="11" a="1"/>
  <c r="D612" i="11" s="1"/>
  <c r="F612" i="11" s="1"/>
  <c r="D634" i="11" a="1"/>
  <c r="D634" i="11" s="1"/>
  <c r="F634" i="11" s="1"/>
  <c r="D655" i="11" a="1"/>
  <c r="D655" i="11" s="1"/>
  <c r="D676" i="11" a="1"/>
  <c r="D676" i="11" s="1"/>
  <c r="E676" i="11" s="1"/>
  <c r="D698" i="11" a="1"/>
  <c r="D698" i="11" s="1"/>
  <c r="E698" i="11" s="1"/>
  <c r="D719" i="11" a="1"/>
  <c r="D719" i="11" s="1"/>
  <c r="F719" i="11" s="1"/>
  <c r="D740" i="11" a="1"/>
  <c r="D740" i="11" s="1"/>
  <c r="G740" i="11" s="1"/>
  <c r="D762" i="11" a="1"/>
  <c r="D762" i="11" s="1"/>
  <c r="G762" i="11" s="1"/>
  <c r="D776" i="11" a="1"/>
  <c r="D776" i="11" s="1"/>
  <c r="D784" i="11" a="1"/>
  <c r="D784" i="11" s="1"/>
  <c r="E784" i="11" s="1"/>
  <c r="D792" i="11" a="1"/>
  <c r="D792" i="11" s="1"/>
  <c r="E792" i="11" s="1"/>
  <c r="D800" i="11" a="1"/>
  <c r="D800" i="11" s="1"/>
  <c r="D808" i="11" a="1"/>
  <c r="D808" i="11" s="1"/>
  <c r="D816" i="11" a="1"/>
  <c r="D816" i="11" s="1"/>
  <c r="E816" i="11" s="1"/>
  <c r="D824" i="11" a="1"/>
  <c r="D824" i="11" s="1"/>
  <c r="D832" i="11" a="1"/>
  <c r="D832" i="11" s="1"/>
  <c r="G832" i="11" s="1"/>
  <c r="D840" i="11" a="1"/>
  <c r="D840" i="11" s="1"/>
  <c r="D848" i="11" a="1"/>
  <c r="D848" i="11" s="1"/>
  <c r="D856" i="11" a="1"/>
  <c r="D856" i="11" s="1"/>
  <c r="E856" i="11" s="1"/>
  <c r="D864" i="11" a="1"/>
  <c r="D864" i="11" s="1"/>
  <c r="G864" i="11" s="1"/>
  <c r="D872" i="11" a="1"/>
  <c r="D872" i="11" s="1"/>
  <c r="D880" i="11" a="1"/>
  <c r="D880" i="11" s="1"/>
  <c r="E880" i="11" s="1"/>
  <c r="D888" i="11" a="1"/>
  <c r="D888" i="11" s="1"/>
  <c r="E888" i="11" s="1"/>
  <c r="D896" i="11" a="1"/>
  <c r="D896" i="11" s="1"/>
  <c r="G896" i="11" s="1"/>
  <c r="D904" i="11" a="1"/>
  <c r="D904" i="11" s="1"/>
  <c r="D912" i="11" a="1"/>
  <c r="D912" i="11" s="1"/>
  <c r="G912" i="11" s="1"/>
  <c r="D920" i="11" a="1"/>
  <c r="D920" i="11" s="1"/>
  <c r="D928" i="11" a="1"/>
  <c r="D928" i="11" s="1"/>
  <c r="E928" i="11" s="1"/>
  <c r="D936" i="11" a="1"/>
  <c r="D936" i="11" s="1"/>
  <c r="D944" i="11" a="1"/>
  <c r="D944" i="11" s="1"/>
  <c r="E944" i="11" s="1"/>
  <c r="D952" i="11" a="1"/>
  <c r="D952" i="11" s="1"/>
  <c r="F952" i="11" s="1"/>
  <c r="D960" i="11" a="1"/>
  <c r="D960" i="11" s="1"/>
  <c r="G960" i="11" s="1"/>
  <c r="D968" i="11" a="1"/>
  <c r="D968" i="11" s="1"/>
  <c r="G968" i="11" s="1"/>
  <c r="D976" i="11" a="1"/>
  <c r="D976" i="11" s="1"/>
  <c r="F976" i="11" s="1"/>
  <c r="D984" i="11" a="1"/>
  <c r="D984" i="11" s="1"/>
  <c r="G984" i="11" s="1"/>
  <c r="D992" i="11" a="1"/>
  <c r="D992" i="11" s="1"/>
  <c r="D1000" i="11" a="1"/>
  <c r="D1000" i="11" s="1"/>
  <c r="F1000" i="11" s="1"/>
  <c r="D188" i="11" a="1"/>
  <c r="D188" i="11" s="1"/>
  <c r="D210" i="11" a="1"/>
  <c r="D210" i="11" s="1"/>
  <c r="F210" i="11" s="1"/>
  <c r="D231" i="11" a="1"/>
  <c r="D231" i="11" s="1"/>
  <c r="E231" i="11" s="1"/>
  <c r="D252" i="11" a="1"/>
  <c r="D252" i="11" s="1"/>
  <c r="E252" i="11" s="1"/>
  <c r="D274" i="11" a="1"/>
  <c r="D274" i="11" s="1"/>
  <c r="D295" i="11" a="1"/>
  <c r="D295" i="11" s="1"/>
  <c r="E295" i="11" s="1"/>
  <c r="D316" i="11" a="1"/>
  <c r="D316" i="11" s="1"/>
  <c r="D338" i="11" a="1"/>
  <c r="D338" i="11" s="1"/>
  <c r="G338" i="11" s="1"/>
  <c r="D359" i="11" a="1"/>
  <c r="D359" i="11" s="1"/>
  <c r="D380" i="11" a="1"/>
  <c r="D380" i="11" s="1"/>
  <c r="G380" i="11" s="1"/>
  <c r="D402" i="11" a="1"/>
  <c r="D402" i="11" s="1"/>
  <c r="D423" i="11" a="1"/>
  <c r="D423" i="11" s="1"/>
  <c r="G423" i="11" s="1"/>
  <c r="D444" i="11" a="1"/>
  <c r="D444" i="11" s="1"/>
  <c r="D466" i="11" a="1"/>
  <c r="D466" i="11" s="1"/>
  <c r="E466" i="11" s="1"/>
  <c r="D487" i="11" a="1"/>
  <c r="D487" i="11" s="1"/>
  <c r="D508" i="11" a="1"/>
  <c r="D508" i="11" s="1"/>
  <c r="E508" i="11" s="1"/>
  <c r="D530" i="11" a="1"/>
  <c r="D530" i="11" s="1"/>
  <c r="D551" i="11" a="1"/>
  <c r="D551" i="11" s="1"/>
  <c r="D572" i="11" a="1"/>
  <c r="D572" i="11" s="1"/>
  <c r="F572" i="11" s="1"/>
  <c r="D594" i="11" a="1"/>
  <c r="D594" i="11" s="1"/>
  <c r="E594" i="11" s="1"/>
  <c r="D615" i="11" a="1"/>
  <c r="D615" i="11" s="1"/>
  <c r="E615" i="11" s="1"/>
  <c r="D636" i="11" a="1"/>
  <c r="D636" i="11" s="1"/>
  <c r="F636" i="11" s="1"/>
  <c r="D658" i="11" a="1"/>
  <c r="D658" i="11" s="1"/>
  <c r="F658" i="11" s="1"/>
  <c r="D679" i="11" a="1"/>
  <c r="D679" i="11" s="1"/>
  <c r="D700" i="11" a="1"/>
  <c r="D700" i="11" s="1"/>
  <c r="D722" i="11" a="1"/>
  <c r="D722" i="11" s="1"/>
  <c r="F722" i="11" s="1"/>
  <c r="D743" i="11" a="1"/>
  <c r="D743" i="11" s="1"/>
  <c r="E743" i="11" s="1"/>
  <c r="D764" i="11" a="1"/>
  <c r="D764" i="11" s="1"/>
  <c r="D777" i="11" a="1"/>
  <c r="D777" i="11" s="1"/>
  <c r="D785" i="11" a="1"/>
  <c r="D785" i="11" s="1"/>
  <c r="G785" i="11" s="1"/>
  <c r="D793" i="11" a="1"/>
  <c r="D793" i="11" s="1"/>
  <c r="D801" i="11" a="1"/>
  <c r="D801" i="11" s="1"/>
  <c r="D809" i="11" a="1"/>
  <c r="D809" i="11" s="1"/>
  <c r="D817" i="11" a="1"/>
  <c r="D817" i="11" s="1"/>
  <c r="D825" i="11" a="1"/>
  <c r="D825" i="11" s="1"/>
  <c r="E825" i="11" s="1"/>
  <c r="D833" i="11" a="1"/>
  <c r="D833" i="11" s="1"/>
  <c r="D841" i="11" a="1"/>
  <c r="D841" i="11" s="1"/>
  <c r="G841" i="11" s="1"/>
  <c r="D849" i="11" a="1"/>
  <c r="D849" i="11" s="1"/>
  <c r="D857" i="11" a="1"/>
  <c r="D857" i="11" s="1"/>
  <c r="E857" i="11" s="1"/>
  <c r="D865" i="11" a="1"/>
  <c r="D865" i="11" s="1"/>
  <c r="D873" i="11" a="1"/>
  <c r="D873" i="11" s="1"/>
  <c r="D881" i="11" a="1"/>
  <c r="D881" i="11" s="1"/>
  <c r="G881" i="11" s="1"/>
  <c r="D889" i="11" a="1"/>
  <c r="D889" i="11" s="1"/>
  <c r="D897" i="11" a="1"/>
  <c r="D897" i="11" s="1"/>
  <c r="F897" i="11" s="1"/>
  <c r="D905" i="11" a="1"/>
  <c r="D905" i="11" s="1"/>
  <c r="F905" i="11" s="1"/>
  <c r="D913" i="11" a="1"/>
  <c r="D913" i="11" s="1"/>
  <c r="F913" i="11" s="1"/>
  <c r="D921" i="11" a="1"/>
  <c r="D921" i="11" s="1"/>
  <c r="D929" i="11" a="1"/>
  <c r="D929" i="11" s="1"/>
  <c r="G929" i="11" s="1"/>
  <c r="D937" i="11" a="1"/>
  <c r="D937" i="11" s="1"/>
  <c r="G937" i="11" s="1"/>
  <c r="D945" i="11" a="1"/>
  <c r="D945" i="11" s="1"/>
  <c r="E945" i="11" s="1"/>
  <c r="D953" i="11" a="1"/>
  <c r="D953" i="11" s="1"/>
  <c r="D961" i="11" a="1"/>
  <c r="D961" i="11" s="1"/>
  <c r="G961" i="11" s="1"/>
  <c r="D969" i="11" a="1"/>
  <c r="D969" i="11" s="1"/>
  <c r="D977" i="11" a="1"/>
  <c r="D977" i="11" s="1"/>
  <c r="D985" i="11" a="1"/>
  <c r="D985" i="11" s="1"/>
  <c r="D993" i="11" a="1"/>
  <c r="D993" i="11" s="1"/>
  <c r="D1001" i="11" a="1"/>
  <c r="D1001" i="11" s="1"/>
  <c r="D191" i="11" a="1"/>
  <c r="D191" i="11" s="1"/>
  <c r="G191" i="11" s="1"/>
  <c r="D212" i="11" a="1"/>
  <c r="D212" i="11" s="1"/>
  <c r="E212" i="11" s="1"/>
  <c r="D234" i="11" a="1"/>
  <c r="D234" i="11" s="1"/>
  <c r="G234" i="11" s="1"/>
  <c r="D255" i="11" a="1"/>
  <c r="D255" i="11" s="1"/>
  <c r="F255" i="11" s="1"/>
  <c r="D276" i="11" a="1"/>
  <c r="D276" i="11" s="1"/>
  <c r="D298" i="11" a="1"/>
  <c r="D298" i="11" s="1"/>
  <c r="D319" i="11" a="1"/>
  <c r="D319" i="11" s="1"/>
  <c r="D340" i="11" a="1"/>
  <c r="D340" i="11" s="1"/>
  <c r="E340" i="11" s="1"/>
  <c r="D362" i="11" a="1"/>
  <c r="D362" i="11" s="1"/>
  <c r="D383" i="11" a="1"/>
  <c r="D383" i="11" s="1"/>
  <c r="F383" i="11" s="1"/>
  <c r="D404" i="11" a="1"/>
  <c r="D404" i="11" s="1"/>
  <c r="D426" i="11" a="1"/>
  <c r="D426" i="11" s="1"/>
  <c r="E426" i="11" s="1"/>
  <c r="D447" i="11" a="1"/>
  <c r="D447" i="11" s="1"/>
  <c r="D468" i="11" a="1"/>
  <c r="D468" i="11" s="1"/>
  <c r="D490" i="11" a="1"/>
  <c r="D490" i="11" s="1"/>
  <c r="D511" i="11" a="1"/>
  <c r="D511" i="11" s="1"/>
  <c r="D532" i="11" a="1"/>
  <c r="D532" i="11" s="1"/>
  <c r="F532" i="11" s="1"/>
  <c r="D554" i="11" a="1"/>
  <c r="D554" i="11" s="1"/>
  <c r="D575" i="11" a="1"/>
  <c r="D575" i="11" s="1"/>
  <c r="F575" i="11" s="1"/>
  <c r="D596" i="11" a="1"/>
  <c r="D596" i="11" s="1"/>
  <c r="F596" i="11" s="1"/>
  <c r="D618" i="11" a="1"/>
  <c r="D618" i="11" s="1"/>
  <c r="D639" i="11" a="1"/>
  <c r="D639" i="11" s="1"/>
  <c r="D660" i="11" a="1"/>
  <c r="D660" i="11" s="1"/>
  <c r="F660" i="11" s="1"/>
  <c r="D682" i="11" a="1"/>
  <c r="D682" i="11" s="1"/>
  <c r="D703" i="11" a="1"/>
  <c r="D703" i="11" s="1"/>
  <c r="F703" i="11" s="1"/>
  <c r="D724" i="11" a="1"/>
  <c r="D724" i="11" s="1"/>
  <c r="F724" i="11" s="1"/>
  <c r="D746" i="11" a="1"/>
  <c r="D746" i="11" s="1"/>
  <c r="D767" i="11" a="1"/>
  <c r="D767" i="11" s="1"/>
  <c r="E767" i="11" s="1"/>
  <c r="D778" i="11" a="1"/>
  <c r="D778" i="11" s="1"/>
  <c r="D786" i="11" a="1"/>
  <c r="D786" i="11" s="1"/>
  <c r="D794" i="11" a="1"/>
  <c r="D794" i="11" s="1"/>
  <c r="G794" i="11" s="1"/>
  <c r="D802" i="11" a="1"/>
  <c r="D802" i="11" s="1"/>
  <c r="F802" i="11" s="1"/>
  <c r="D810" i="11" a="1"/>
  <c r="D810" i="11" s="1"/>
  <c r="D818" i="11" a="1"/>
  <c r="D818" i="11" s="1"/>
  <c r="D826" i="11" a="1"/>
  <c r="D826" i="11" s="1"/>
  <c r="D834" i="11" a="1"/>
  <c r="D834" i="11" s="1"/>
  <c r="G834" i="11" s="1"/>
  <c r="D842" i="11" a="1"/>
  <c r="D842" i="11" s="1"/>
  <c r="D850" i="11" a="1"/>
  <c r="D850" i="11" s="1"/>
  <c r="G850" i="11" s="1"/>
  <c r="D858" i="11" a="1"/>
  <c r="D858" i="11" s="1"/>
  <c r="G858" i="11" s="1"/>
  <c r="D866" i="11" a="1"/>
  <c r="D866" i="11" s="1"/>
  <c r="G866" i="11" s="1"/>
  <c r="D874" i="11" a="1"/>
  <c r="D874" i="11" s="1"/>
  <c r="D882" i="11" a="1"/>
  <c r="D882" i="11" s="1"/>
  <c r="F882" i="11" s="1"/>
  <c r="D890" i="11" a="1"/>
  <c r="D890" i="11" s="1"/>
  <c r="F890" i="11" s="1"/>
  <c r="D898" i="11" a="1"/>
  <c r="D898" i="11" s="1"/>
  <c r="G898" i="11" s="1"/>
  <c r="D906" i="11" a="1"/>
  <c r="D906" i="11" s="1"/>
  <c r="D914" i="11" a="1"/>
  <c r="D914" i="11" s="1"/>
  <c r="D922" i="11" a="1"/>
  <c r="D922" i="11" s="1"/>
  <c r="G922" i="11" s="1"/>
  <c r="D930" i="11" a="1"/>
  <c r="D930" i="11" s="1"/>
  <c r="G930" i="11" s="1"/>
  <c r="D938" i="11" a="1"/>
  <c r="D938" i="11" s="1"/>
  <c r="D946" i="11" a="1"/>
  <c r="D946" i="11" s="1"/>
  <c r="F946" i="11" s="1"/>
  <c r="D954" i="11" a="1"/>
  <c r="D954" i="11" s="1"/>
  <c r="F954" i="11" s="1"/>
  <c r="D962" i="11" a="1"/>
  <c r="D962" i="11" s="1"/>
  <c r="G962" i="11" s="1"/>
  <c r="D970" i="11" a="1"/>
  <c r="D970" i="11" s="1"/>
  <c r="G970" i="11" s="1"/>
  <c r="D978" i="11" a="1"/>
  <c r="D978" i="11" s="1"/>
  <c r="D986" i="11" a="1"/>
  <c r="D986" i="11" s="1"/>
  <c r="F986" i="11" s="1"/>
  <c r="D994" i="11" a="1"/>
  <c r="D994" i="11" s="1"/>
  <c r="G994" i="11" s="1"/>
  <c r="D1002" i="11" a="1"/>
  <c r="D1002" i="11" s="1"/>
  <c r="D194" i="11" a="1"/>
  <c r="D194" i="11" s="1"/>
  <c r="F194" i="11" s="1"/>
  <c r="D215" i="11" a="1"/>
  <c r="D215" i="11" s="1"/>
  <c r="D236" i="11" a="1"/>
  <c r="D236" i="11" s="1"/>
  <c r="F236" i="11" s="1"/>
  <c r="D258" i="11" a="1"/>
  <c r="D258" i="11" s="1"/>
  <c r="F258" i="11" s="1"/>
  <c r="D279" i="11" a="1"/>
  <c r="D279" i="11" s="1"/>
  <c r="G279" i="11" s="1"/>
  <c r="D300" i="11" a="1"/>
  <c r="D300" i="11" s="1"/>
  <c r="D322" i="11" a="1"/>
  <c r="D322" i="11" s="1"/>
  <c r="G322" i="11" s="1"/>
  <c r="D343" i="11" a="1"/>
  <c r="D343" i="11" s="1"/>
  <c r="D364" i="11" a="1"/>
  <c r="D364" i="11" s="1"/>
  <c r="E364" i="11" s="1"/>
  <c r="D386" i="11" a="1"/>
  <c r="D386" i="11" s="1"/>
  <c r="D407" i="11" a="1"/>
  <c r="D407" i="11" s="1"/>
  <c r="D428" i="11" a="1"/>
  <c r="D428" i="11" s="1"/>
  <c r="D450" i="11" a="1"/>
  <c r="D450" i="11" s="1"/>
  <c r="E450" i="11" s="1"/>
  <c r="D471" i="11" a="1"/>
  <c r="D471" i="11" s="1"/>
  <c r="G471" i="11" s="1"/>
  <c r="D492" i="11" a="1"/>
  <c r="D492" i="11" s="1"/>
  <c r="D514" i="11" a="1"/>
  <c r="D514" i="11" s="1"/>
  <c r="E514" i="11" s="1"/>
  <c r="D535" i="11" a="1"/>
  <c r="D535" i="11" s="1"/>
  <c r="D556" i="11" a="1"/>
  <c r="D556" i="11" s="1"/>
  <c r="D578" i="11" a="1"/>
  <c r="D578" i="11" s="1"/>
  <c r="D599" i="11" a="1"/>
  <c r="D599" i="11" s="1"/>
  <c r="F599" i="11" s="1"/>
  <c r="D620" i="11" a="1"/>
  <c r="D620" i="11" s="1"/>
  <c r="D642" i="11" a="1"/>
  <c r="D642" i="11" s="1"/>
  <c r="D663" i="11" a="1"/>
  <c r="D663" i="11" s="1"/>
  <c r="F663" i="11" s="1"/>
  <c r="D684" i="11" a="1"/>
  <c r="D684" i="11" s="1"/>
  <c r="F684" i="11" s="1"/>
  <c r="D706" i="11" a="1"/>
  <c r="D706" i="11" s="1"/>
  <c r="D727" i="11" a="1"/>
  <c r="D727" i="11" s="1"/>
  <c r="G727" i="11" s="1"/>
  <c r="D748" i="11" a="1"/>
  <c r="D748" i="11" s="1"/>
  <c r="D770" i="11" a="1"/>
  <c r="D770" i="11" s="1"/>
  <c r="F770" i="11" s="1"/>
  <c r="D779" i="11" a="1"/>
  <c r="D779" i="11" s="1"/>
  <c r="E779" i="11" s="1"/>
  <c r="D787" i="11" a="1"/>
  <c r="D787" i="11" s="1"/>
  <c r="G787" i="11" s="1"/>
  <c r="D795" i="11" a="1"/>
  <c r="D795" i="11" s="1"/>
  <c r="G795" i="11" s="1"/>
  <c r="D803" i="11" a="1"/>
  <c r="D803" i="11" s="1"/>
  <c r="F803" i="11" s="1"/>
  <c r="D811" i="11" a="1"/>
  <c r="D811" i="11" s="1"/>
  <c r="D819" i="11" a="1"/>
  <c r="D819" i="11" s="1"/>
  <c r="D827" i="11" a="1"/>
  <c r="D827" i="11" s="1"/>
  <c r="D835" i="11" a="1"/>
  <c r="D835" i="11" s="1"/>
  <c r="F835" i="11" s="1"/>
  <c r="D843" i="11" a="1"/>
  <c r="D843" i="11" s="1"/>
  <c r="D851" i="11" a="1"/>
  <c r="D851" i="11" s="1"/>
  <c r="D859" i="11" a="1"/>
  <c r="D859" i="11" s="1"/>
  <c r="D867" i="11" a="1"/>
  <c r="D867" i="11" s="1"/>
  <c r="F867" i="11" s="1"/>
  <c r="D875" i="11" a="1"/>
  <c r="D875" i="11" s="1"/>
  <c r="D883" i="11" a="1"/>
  <c r="D883" i="11" s="1"/>
  <c r="F883" i="11" s="1"/>
  <c r="D891" i="11" a="1"/>
  <c r="D891" i="11" s="1"/>
  <c r="F891" i="11" s="1"/>
  <c r="D899" i="11" a="1"/>
  <c r="D899" i="11" s="1"/>
  <c r="F899" i="11" s="1"/>
  <c r="D907" i="11" a="1"/>
  <c r="D907" i="11" s="1"/>
  <c r="G907" i="11" s="1"/>
  <c r="D915" i="11" a="1"/>
  <c r="D915" i="11" s="1"/>
  <c r="F915" i="11" s="1"/>
  <c r="D923" i="11" a="1"/>
  <c r="D923" i="11" s="1"/>
  <c r="D931" i="11" a="1"/>
  <c r="D931" i="11" s="1"/>
  <c r="F931" i="11" s="1"/>
  <c r="D939" i="11" a="1"/>
  <c r="D939" i="11" s="1"/>
  <c r="F939" i="11" s="1"/>
  <c r="D947" i="11" a="1"/>
  <c r="D947" i="11" s="1"/>
  <c r="D955" i="11" a="1"/>
  <c r="D955" i="11" s="1"/>
  <c r="F955" i="11" s="1"/>
  <c r="D963" i="11" a="1"/>
  <c r="D963" i="11" s="1"/>
  <c r="F963" i="11" s="1"/>
  <c r="D971" i="11" a="1"/>
  <c r="D971" i="11" s="1"/>
  <c r="E971" i="11" s="1"/>
  <c r="D979" i="11" a="1"/>
  <c r="D979" i="11" s="1"/>
  <c r="D987" i="11" a="1"/>
  <c r="D987" i="11" s="1"/>
  <c r="E987" i="11" s="1"/>
  <c r="D995" i="11" a="1"/>
  <c r="D995" i="11" s="1"/>
  <c r="F995" i="11" s="1"/>
  <c r="D1003" i="11" a="1"/>
  <c r="D1003" i="11" s="1"/>
  <c r="F1003" i="11" s="1"/>
  <c r="D199" i="11" a="1"/>
  <c r="D199" i="11" s="1"/>
  <c r="D220" i="11" a="1"/>
  <c r="D220" i="11" s="1"/>
  <c r="E220" i="11" s="1"/>
  <c r="D242" i="11" a="1"/>
  <c r="D242" i="11" s="1"/>
  <c r="G242" i="11" s="1"/>
  <c r="D263" i="11" a="1"/>
  <c r="D263" i="11" s="1"/>
  <c r="E263" i="11" s="1"/>
  <c r="D284" i="11" a="1"/>
  <c r="D284" i="11" s="1"/>
  <c r="E284" i="11" s="1"/>
  <c r="D306" i="11" a="1"/>
  <c r="D306" i="11" s="1"/>
  <c r="E306" i="11" s="1"/>
  <c r="D327" i="11" a="1"/>
  <c r="D327" i="11" s="1"/>
  <c r="D348" i="11" a="1"/>
  <c r="D348" i="11" s="1"/>
  <c r="F348" i="11" s="1"/>
  <c r="D370" i="11" a="1"/>
  <c r="D370" i="11" s="1"/>
  <c r="D391" i="11" a="1"/>
  <c r="D391" i="11" s="1"/>
  <c r="D412" i="11" a="1"/>
  <c r="D412" i="11" s="1"/>
  <c r="D434" i="11" a="1"/>
  <c r="D434" i="11" s="1"/>
  <c r="E434" i="11" s="1"/>
  <c r="D455" i="11" a="1"/>
  <c r="D455" i="11" s="1"/>
  <c r="D476" i="11" a="1"/>
  <c r="D476" i="11" s="1"/>
  <c r="D498" i="11" a="1"/>
  <c r="D498" i="11" s="1"/>
  <c r="E498" i="11" s="1"/>
  <c r="D519" i="11" a="1"/>
  <c r="D519" i="11" s="1"/>
  <c r="F519" i="11" s="1"/>
  <c r="D540" i="11" a="1"/>
  <c r="D540" i="11" s="1"/>
  <c r="D562" i="11" a="1"/>
  <c r="D562" i="11" s="1"/>
  <c r="D583" i="11" a="1"/>
  <c r="D583" i="11" s="1"/>
  <c r="D604" i="11" a="1"/>
  <c r="D604" i="11" s="1"/>
  <c r="E604" i="11" s="1"/>
  <c r="D626" i="11" a="1"/>
  <c r="D626" i="11" s="1"/>
  <c r="D647" i="11" a="1"/>
  <c r="D647" i="11" s="1"/>
  <c r="E647" i="11" s="1"/>
  <c r="D668" i="11" a="1"/>
  <c r="D668" i="11" s="1"/>
  <c r="G668" i="11" s="1"/>
  <c r="D690" i="11" a="1"/>
  <c r="D690" i="11" s="1"/>
  <c r="F690" i="11" s="1"/>
  <c r="D711" i="11" a="1"/>
  <c r="D711" i="11" s="1"/>
  <c r="D732" i="11" a="1"/>
  <c r="D732" i="11" s="1"/>
  <c r="F732" i="11" s="1"/>
  <c r="D754" i="11" a="1"/>
  <c r="D754" i="11" s="1"/>
  <c r="G754" i="11" s="1"/>
  <c r="D773" i="11" a="1"/>
  <c r="D773" i="11" s="1"/>
  <c r="E773" i="11" s="1"/>
  <c r="D781" i="11" a="1"/>
  <c r="D781" i="11" s="1"/>
  <c r="D789" i="11" a="1"/>
  <c r="D789" i="11" s="1"/>
  <c r="F789" i="11" s="1"/>
  <c r="D797" i="11" a="1"/>
  <c r="D797" i="11" s="1"/>
  <c r="D805" i="11" a="1"/>
  <c r="D805" i="11" s="1"/>
  <c r="E805" i="11" s="1"/>
  <c r="D813" i="11" a="1"/>
  <c r="D813" i="11" s="1"/>
  <c r="D821" i="11" a="1"/>
  <c r="D821" i="11" s="1"/>
  <c r="E821" i="11" s="1"/>
  <c r="D829" i="11" a="1"/>
  <c r="D829" i="11" s="1"/>
  <c r="D837" i="11" a="1"/>
  <c r="D837" i="11" s="1"/>
  <c r="E837" i="11" s="1"/>
  <c r="D845" i="11" a="1"/>
  <c r="D845" i="11" s="1"/>
  <c r="E845" i="11" s="1"/>
  <c r="D853" i="11" a="1"/>
  <c r="D853" i="11" s="1"/>
  <c r="D861" i="11" a="1"/>
  <c r="D861" i="11" s="1"/>
  <c r="D869" i="11" a="1"/>
  <c r="D869" i="11" s="1"/>
  <c r="F869" i="11" s="1"/>
  <c r="D877" i="11" a="1"/>
  <c r="D877" i="11" s="1"/>
  <c r="D885" i="11" a="1"/>
  <c r="D885" i="11" s="1"/>
  <c r="D893" i="11" a="1"/>
  <c r="D893" i="11" s="1"/>
  <c r="D901" i="11" a="1"/>
  <c r="D901" i="11" s="1"/>
  <c r="E901" i="11" s="1"/>
  <c r="D909" i="11" a="1"/>
  <c r="D909" i="11" s="1"/>
  <c r="D917" i="11" a="1"/>
  <c r="D917" i="11" s="1"/>
  <c r="F917" i="11" s="1"/>
  <c r="D925" i="11" a="1"/>
  <c r="D925" i="11" s="1"/>
  <c r="E925" i="11" s="1"/>
  <c r="D933" i="11" a="1"/>
  <c r="D933" i="11" s="1"/>
  <c r="E933" i="11" s="1"/>
  <c r="D941" i="11" a="1"/>
  <c r="D941" i="11" s="1"/>
  <c r="D949" i="11" a="1"/>
  <c r="D949" i="11" s="1"/>
  <c r="E949" i="11" s="1"/>
  <c r="D957" i="11" a="1"/>
  <c r="D957" i="11" s="1"/>
  <c r="F957" i="11" s="1"/>
  <c r="D965" i="11" a="1"/>
  <c r="D965" i="11" s="1"/>
  <c r="E965" i="11" s="1"/>
  <c r="D973" i="11" a="1"/>
  <c r="D973" i="11" s="1"/>
  <c r="D981" i="11" a="1"/>
  <c r="D981" i="11" s="1"/>
  <c r="E981" i="11" s="1"/>
  <c r="D989" i="11" a="1"/>
  <c r="D989" i="11" s="1"/>
  <c r="E989" i="11" s="1"/>
  <c r="D997" i="11" a="1"/>
  <c r="D997" i="11" s="1"/>
  <c r="E997" i="11" s="1"/>
  <c r="D282" i="11" a="1"/>
  <c r="D282" i="11" s="1"/>
  <c r="G282" i="11" s="1"/>
  <c r="D452" i="11" a="1"/>
  <c r="D452" i="11" s="1"/>
  <c r="G452" i="11" s="1"/>
  <c r="D623" i="11" a="1"/>
  <c r="D623" i="11" s="1"/>
  <c r="E623" i="11" s="1"/>
  <c r="D780" i="11" a="1"/>
  <c r="D780" i="11" s="1"/>
  <c r="E780" i="11" s="1"/>
  <c r="D844" i="11" a="1"/>
  <c r="D844" i="11" s="1"/>
  <c r="E844" i="11" s="1"/>
  <c r="D908" i="11" a="1"/>
  <c r="D908" i="11" s="1"/>
  <c r="F908" i="11" s="1"/>
  <c r="D972" i="11" a="1"/>
  <c r="D972" i="11" s="1"/>
  <c r="D303" i="11" a="1"/>
  <c r="D303" i="11" s="1"/>
  <c r="F303" i="11" s="1"/>
  <c r="D474" i="11" a="1"/>
  <c r="D474" i="11" s="1"/>
  <c r="G474" i="11" s="1"/>
  <c r="D644" i="11" a="1"/>
  <c r="D644" i="11" s="1"/>
  <c r="F644" i="11" s="1"/>
  <c r="D788" i="11" a="1"/>
  <c r="D788" i="11" s="1"/>
  <c r="G788" i="11" s="1"/>
  <c r="D852" i="11" a="1"/>
  <c r="D852" i="11" s="1"/>
  <c r="D916" i="11" a="1"/>
  <c r="D916" i="11" s="1"/>
  <c r="F916" i="11" s="1"/>
  <c r="D980" i="11" a="1"/>
  <c r="D980" i="11" s="1"/>
  <c r="F980" i="11" s="1"/>
  <c r="D324" i="11" a="1"/>
  <c r="D324" i="11" s="1"/>
  <c r="D495" i="11" a="1"/>
  <c r="D495" i="11" s="1"/>
  <c r="F495" i="11" s="1"/>
  <c r="D666" i="11" a="1"/>
  <c r="D666" i="11" s="1"/>
  <c r="E666" i="11" s="1"/>
  <c r="D796" i="11" a="1"/>
  <c r="D796" i="11" s="1"/>
  <c r="E796" i="11" s="1"/>
  <c r="D860" i="11" a="1"/>
  <c r="D860" i="11" s="1"/>
  <c r="E860" i="11" s="1"/>
  <c r="D924" i="11" a="1"/>
  <c r="D924" i="11" s="1"/>
  <c r="F924" i="11" s="1"/>
  <c r="D988" i="11" a="1"/>
  <c r="D988" i="11" s="1"/>
  <c r="D346" i="11" a="1"/>
  <c r="D346" i="11" s="1"/>
  <c r="F346" i="11" s="1"/>
  <c r="D516" i="11" a="1"/>
  <c r="D516" i="11" s="1"/>
  <c r="D687" i="11" a="1"/>
  <c r="D687" i="11" s="1"/>
  <c r="D804" i="11" a="1"/>
  <c r="D804" i="11" s="1"/>
  <c r="F804" i="11" s="1"/>
  <c r="D868" i="11" a="1"/>
  <c r="D868" i="11" s="1"/>
  <c r="F868" i="11" s="1"/>
  <c r="D932" i="11" a="1"/>
  <c r="D932" i="11" s="1"/>
  <c r="D996" i="11" a="1"/>
  <c r="D996" i="11" s="1"/>
  <c r="G996" i="11" s="1"/>
  <c r="D196" i="11" a="1"/>
  <c r="D196" i="11" s="1"/>
  <c r="D367" i="11" a="1"/>
  <c r="D367" i="11" s="1"/>
  <c r="F367" i="11" s="1"/>
  <c r="D538" i="11" a="1"/>
  <c r="D538" i="11" s="1"/>
  <c r="G538" i="11" s="1"/>
  <c r="D708" i="11" a="1"/>
  <c r="D708" i="11" s="1"/>
  <c r="D812" i="11" a="1"/>
  <c r="D812" i="11" s="1"/>
  <c r="D876" i="11" a="1"/>
  <c r="D876" i="11" s="1"/>
  <c r="G876" i="11" s="1"/>
  <c r="D940" i="11" a="1"/>
  <c r="D940" i="11" s="1"/>
  <c r="D1004" i="11" a="1"/>
  <c r="D1004" i="11" s="1"/>
  <c r="D218" i="11" a="1"/>
  <c r="D218" i="11" s="1"/>
  <c r="F218" i="11" s="1"/>
  <c r="D388" i="11" a="1"/>
  <c r="D388" i="11" s="1"/>
  <c r="F388" i="11" s="1"/>
  <c r="D559" i="11" a="1"/>
  <c r="D559" i="11" s="1"/>
  <c r="G559" i="11" s="1"/>
  <c r="D730" i="11" a="1"/>
  <c r="D730" i="11" s="1"/>
  <c r="E730" i="11" s="1"/>
  <c r="D820" i="11" a="1"/>
  <c r="D820" i="11" s="1"/>
  <c r="E820" i="11" s="1"/>
  <c r="D884" i="11" a="1"/>
  <c r="D884" i="11" s="1"/>
  <c r="E884" i="11" s="1"/>
  <c r="D948" i="11" a="1"/>
  <c r="D948" i="11" s="1"/>
  <c r="F948" i="11" s="1"/>
  <c r="D260" i="11" a="1"/>
  <c r="D260" i="11" s="1"/>
  <c r="D431" i="11" a="1"/>
  <c r="D431" i="11" s="1"/>
  <c r="D602" i="11" a="1"/>
  <c r="D602" i="11" s="1"/>
  <c r="E602" i="11" s="1"/>
  <c r="D772" i="11" a="1"/>
  <c r="D772" i="11" s="1"/>
  <c r="D836" i="11" a="1"/>
  <c r="D836" i="11" s="1"/>
  <c r="F836" i="11" s="1"/>
  <c r="D900" i="11" a="1"/>
  <c r="D900" i="11" s="1"/>
  <c r="E900" i="11" s="1"/>
  <c r="D964" i="11" a="1"/>
  <c r="D964" i="11" s="1"/>
  <c r="D239" i="11" a="1"/>
  <c r="D239" i="11" s="1"/>
  <c r="D410" i="11" a="1"/>
  <c r="D410" i="11" s="1"/>
  <c r="E410" i="11" s="1"/>
  <c r="D580" i="11" a="1"/>
  <c r="D580" i="11" s="1"/>
  <c r="D751" i="11" a="1"/>
  <c r="D751" i="11" s="1"/>
  <c r="F751" i="11" s="1"/>
  <c r="D828" i="11" a="1"/>
  <c r="D828" i="11" s="1"/>
  <c r="F828" i="11" s="1"/>
  <c r="D892" i="11" a="1"/>
  <c r="D892" i="11" s="1"/>
  <c r="G892" i="11" s="1"/>
  <c r="D956" i="11" a="1"/>
  <c r="D956" i="11" s="1"/>
  <c r="AA4" i="16"/>
  <c r="AB3" i="16" a="1"/>
  <c r="AB3" i="16" l="1"/>
  <c r="Q2" i="16"/>
  <c r="E285" i="11"/>
  <c r="E189" i="11"/>
  <c r="G552" i="11"/>
  <c r="F381" i="11"/>
  <c r="E214" i="11"/>
  <c r="G253" i="11"/>
  <c r="F214" i="11"/>
  <c r="E221" i="11"/>
  <c r="G502" i="11"/>
  <c r="G736" i="11"/>
  <c r="E413" i="11"/>
  <c r="E374" i="11"/>
  <c r="G616" i="11"/>
  <c r="F189" i="11"/>
  <c r="E509" i="11"/>
  <c r="G189" i="11"/>
  <c r="F616" i="11"/>
  <c r="F296" i="11"/>
  <c r="E193" i="11"/>
  <c r="F573" i="11"/>
  <c r="E406" i="11"/>
  <c r="E680" i="11"/>
  <c r="F257" i="11"/>
  <c r="F637" i="11"/>
  <c r="F406" i="11"/>
  <c r="G470" i="11"/>
  <c r="G509" i="11"/>
  <c r="F680" i="11"/>
  <c r="F321" i="11"/>
  <c r="F253" i="11"/>
  <c r="E470" i="11"/>
  <c r="G573" i="11"/>
  <c r="F662" i="11"/>
  <c r="G637" i="11"/>
  <c r="G765" i="11"/>
  <c r="E317" i="11"/>
  <c r="E726" i="11"/>
  <c r="G629" i="11"/>
  <c r="F437" i="11"/>
  <c r="F501" i="11"/>
  <c r="E718" i="11"/>
  <c r="E437" i="11"/>
  <c r="E526" i="11"/>
  <c r="G416" i="11"/>
  <c r="F270" i="11"/>
  <c r="G501" i="11"/>
  <c r="E373" i="11"/>
  <c r="G741" i="11"/>
  <c r="G413" i="11"/>
  <c r="E488" i="11"/>
  <c r="F598" i="11"/>
  <c r="G445" i="11"/>
  <c r="G193" i="11"/>
  <c r="G296" i="11"/>
  <c r="F765" i="11"/>
  <c r="F488" i="11"/>
  <c r="F445" i="11"/>
  <c r="F342" i="11"/>
  <c r="E662" i="11"/>
  <c r="G534" i="11"/>
  <c r="G317" i="11"/>
  <c r="G406" i="11"/>
  <c r="F701" i="11"/>
  <c r="E424" i="11"/>
  <c r="F278" i="11"/>
  <c r="E534" i="11"/>
  <c r="G414" i="11"/>
  <c r="E688" i="11"/>
  <c r="E517" i="11"/>
  <c r="G357" i="11"/>
  <c r="E190" i="11"/>
  <c r="G382" i="11"/>
  <c r="F190" i="11"/>
  <c r="G421" i="11"/>
  <c r="E357" i="11"/>
  <c r="G425" i="11"/>
  <c r="F254" i="11"/>
  <c r="F421" i="11"/>
  <c r="E457" i="11"/>
  <c r="G325" i="11"/>
  <c r="G585" i="11"/>
  <c r="F453" i="11"/>
  <c r="F541" i="11"/>
  <c r="E758" i="11"/>
  <c r="G246" i="11"/>
  <c r="E520" i="11"/>
  <c r="E264" i="11"/>
  <c r="E785" i="11"/>
  <c r="F238" i="11"/>
  <c r="G725" i="11"/>
  <c r="E217" i="11"/>
  <c r="G737" i="11"/>
  <c r="E477" i="11"/>
  <c r="F221" i="11"/>
  <c r="E648" i="11"/>
  <c r="G285" i="11"/>
  <c r="G221" i="11"/>
  <c r="E699" i="11"/>
  <c r="G648" i="11"/>
  <c r="E541" i="11"/>
  <c r="G310" i="11"/>
  <c r="G438" i="11"/>
  <c r="E605" i="11"/>
  <c r="F374" i="11"/>
  <c r="G542" i="11"/>
  <c r="F323" i="11"/>
  <c r="E261" i="11"/>
  <c r="E304" i="11"/>
  <c r="E515" i="11"/>
  <c r="F734" i="11"/>
  <c r="G670" i="11"/>
  <c r="G304" i="11"/>
  <c r="E265" i="11"/>
  <c r="G195" i="11"/>
  <c r="G579" i="11"/>
  <c r="E585" i="11"/>
  <c r="E453" i="11"/>
  <c r="G517" i="11"/>
  <c r="G329" i="11"/>
  <c r="F713" i="11"/>
  <c r="E649" i="11"/>
  <c r="G389" i="11"/>
  <c r="G713" i="11"/>
  <c r="F195" i="11"/>
  <c r="G213" i="11"/>
  <c r="E665" i="11"/>
  <c r="F686" i="11"/>
  <c r="F277" i="11"/>
  <c r="E405" i="11"/>
  <c r="G192" i="11"/>
  <c r="G428" i="11"/>
  <c r="G238" i="11"/>
  <c r="F895" i="11"/>
  <c r="E337" i="11"/>
  <c r="F302" i="11"/>
  <c r="G430" i="11"/>
  <c r="G377" i="11"/>
  <c r="E213" i="11"/>
  <c r="E409" i="11"/>
  <c r="F914" i="11"/>
  <c r="F341" i="11"/>
  <c r="G341" i="11"/>
  <c r="G661" i="11"/>
  <c r="F725" i="11"/>
  <c r="F213" i="11"/>
  <c r="E661" i="11"/>
  <c r="E238" i="11"/>
  <c r="G558" i="11"/>
  <c r="E320" i="11"/>
  <c r="F403" i="11"/>
  <c r="G704" i="11"/>
  <c r="G576" i="11"/>
  <c r="E512" i="11"/>
  <c r="E281" i="11"/>
  <c r="F405" i="11"/>
  <c r="F469" i="11"/>
  <c r="F597" i="11"/>
  <c r="G275" i="11"/>
  <c r="G405" i="11"/>
  <c r="G597" i="11"/>
  <c r="F640" i="11"/>
  <c r="G259" i="11"/>
  <c r="F458" i="11"/>
  <c r="E414" i="11"/>
  <c r="G222" i="11"/>
  <c r="G323" i="11"/>
  <c r="G645" i="11"/>
  <c r="F265" i="11"/>
  <c r="E579" i="11"/>
  <c r="G515" i="11"/>
  <c r="G688" i="11"/>
  <c r="G457" i="11"/>
  <c r="G456" i="11"/>
  <c r="F643" i="11"/>
  <c r="F579" i="11"/>
  <c r="G722" i="11"/>
  <c r="F784" i="11"/>
  <c r="F329" i="11"/>
  <c r="F259" i="11"/>
  <c r="F581" i="11"/>
  <c r="E542" i="11"/>
  <c r="G581" i="11"/>
  <c r="G606" i="11"/>
  <c r="G752" i="11"/>
  <c r="G265" i="11"/>
  <c r="F201" i="11"/>
  <c r="E323" i="11"/>
  <c r="G373" i="11"/>
  <c r="G245" i="11"/>
  <c r="E416" i="11"/>
  <c r="E309" i="11"/>
  <c r="G918" i="11"/>
  <c r="F308" i="11"/>
  <c r="E462" i="11"/>
  <c r="G462" i="11"/>
  <c r="G654" i="11"/>
  <c r="G465" i="11"/>
  <c r="G757" i="11"/>
  <c r="F672" i="11"/>
  <c r="E544" i="11"/>
  <c r="F309" i="11"/>
  <c r="E629" i="11"/>
  <c r="E654" i="11"/>
  <c r="G254" i="11"/>
  <c r="G334" i="11"/>
  <c r="G249" i="11"/>
  <c r="F208" i="11"/>
  <c r="E788" i="11"/>
  <c r="F720" i="11"/>
  <c r="E681" i="11"/>
  <c r="E565" i="11"/>
  <c r="F629" i="11"/>
  <c r="E334" i="11"/>
  <c r="F462" i="11"/>
  <c r="F654" i="11"/>
  <c r="F766" i="11"/>
  <c r="E245" i="11"/>
  <c r="F565" i="11"/>
  <c r="F757" i="11"/>
  <c r="E249" i="11"/>
  <c r="F206" i="11"/>
  <c r="G270" i="11"/>
  <c r="E185" i="11"/>
  <c r="G398" i="11"/>
  <c r="G526" i="11"/>
  <c r="E471" i="11"/>
  <c r="F313" i="11"/>
  <c r="F778" i="11"/>
  <c r="G778" i="11"/>
  <c r="E530" i="11"/>
  <c r="G840" i="11"/>
  <c r="F840" i="11"/>
  <c r="F999" i="11"/>
  <c r="E999" i="11"/>
  <c r="G354" i="11"/>
  <c r="F354" i="11"/>
  <c r="E354" i="11"/>
  <c r="E973" i="11"/>
  <c r="G973" i="11"/>
  <c r="E618" i="11"/>
  <c r="F618" i="11"/>
  <c r="E873" i="11"/>
  <c r="F873" i="11"/>
  <c r="F359" i="11"/>
  <c r="G359" i="11"/>
  <c r="E359" i="11"/>
  <c r="F776" i="11"/>
  <c r="G776" i="11"/>
  <c r="G935" i="11"/>
  <c r="F436" i="11"/>
  <c r="E436" i="11"/>
  <c r="G436" i="11"/>
  <c r="G443" i="11"/>
  <c r="F443" i="11"/>
  <c r="E443" i="11"/>
  <c r="E187" i="11"/>
  <c r="G187" i="11"/>
  <c r="G807" i="11"/>
  <c r="F807" i="11"/>
  <c r="E807" i="11"/>
  <c r="E781" i="11"/>
  <c r="F781" i="11"/>
  <c r="G706" i="11"/>
  <c r="F706" i="11"/>
  <c r="F906" i="11"/>
  <c r="E276" i="11"/>
  <c r="F276" i="11"/>
  <c r="G700" i="11"/>
  <c r="E700" i="11"/>
  <c r="F904" i="11"/>
  <c r="G904" i="11"/>
  <c r="E904" i="11"/>
  <c r="G695" i="11"/>
  <c r="F966" i="11"/>
  <c r="G966" i="11"/>
  <c r="E966" i="11"/>
  <c r="F607" i="11"/>
  <c r="G607" i="11"/>
  <c r="E607" i="11"/>
  <c r="F763" i="11"/>
  <c r="E763" i="11"/>
  <c r="G763" i="11"/>
  <c r="F571" i="11"/>
  <c r="E571" i="11"/>
  <c r="G571" i="11"/>
  <c r="E315" i="11"/>
  <c r="G315" i="11"/>
  <c r="E769" i="11"/>
  <c r="G769" i="11"/>
  <c r="G838" i="11"/>
  <c r="G873" i="11"/>
  <c r="F271" i="11"/>
  <c r="F935" i="11"/>
  <c r="F315" i="11"/>
  <c r="F364" i="11"/>
  <c r="G507" i="11"/>
  <c r="E442" i="11"/>
  <c r="G871" i="11"/>
  <c r="G999" i="11"/>
  <c r="G699" i="11"/>
  <c r="G618" i="11"/>
  <c r="E706" i="11"/>
  <c r="F788" i="11"/>
  <c r="E626" i="11"/>
  <c r="G626" i="11"/>
  <c r="F875" i="11"/>
  <c r="E875" i="11"/>
  <c r="E535" i="11"/>
  <c r="F535" i="11"/>
  <c r="F842" i="11"/>
  <c r="G842" i="11"/>
  <c r="E842" i="11"/>
  <c r="G1001" i="11"/>
  <c r="E1001" i="11"/>
  <c r="E188" i="11"/>
  <c r="F188" i="11"/>
  <c r="G188" i="11"/>
  <c r="E612" i="11"/>
  <c r="G612" i="11"/>
  <c r="F183" i="11"/>
  <c r="G183" i="11"/>
  <c r="F774" i="11"/>
  <c r="E774" i="11"/>
  <c r="F507" i="11"/>
  <c r="G902" i="11"/>
  <c r="G513" i="11"/>
  <c r="E840" i="11"/>
  <c r="F700" i="11"/>
  <c r="F973" i="11"/>
  <c r="E695" i="11"/>
  <c r="E513" i="11"/>
  <c r="F838" i="11"/>
  <c r="F695" i="11"/>
  <c r="F902" i="11"/>
  <c r="G271" i="11"/>
  <c r="G780" i="11"/>
  <c r="F871" i="11"/>
  <c r="F187" i="11"/>
  <c r="F577" i="11"/>
  <c r="G577" i="11"/>
  <c r="E577" i="11"/>
  <c r="E909" i="11"/>
  <c r="G909" i="11"/>
  <c r="F455" i="11"/>
  <c r="F811" i="11"/>
  <c r="E811" i="11"/>
  <c r="E447" i="11"/>
  <c r="F447" i="11"/>
  <c r="G809" i="11"/>
  <c r="F809" i="11"/>
  <c r="E809" i="11"/>
  <c r="E968" i="11"/>
  <c r="F968" i="11"/>
  <c r="F442" i="11"/>
  <c r="E524" i="11"/>
  <c r="G524" i="11"/>
  <c r="F266" i="11"/>
  <c r="G266" i="11"/>
  <c r="E266" i="11"/>
  <c r="E635" i="11"/>
  <c r="F635" i="11"/>
  <c r="G635" i="11"/>
  <c r="E379" i="11"/>
  <c r="F379" i="11"/>
  <c r="F251" i="11"/>
  <c r="E251" i="11"/>
  <c r="F705" i="11"/>
  <c r="E705" i="11"/>
  <c r="G705" i="11"/>
  <c r="F641" i="11"/>
  <c r="E641" i="11"/>
  <c r="E449" i="11"/>
  <c r="G449" i="11"/>
  <c r="E385" i="11"/>
  <c r="F385" i="11"/>
  <c r="F744" i="11"/>
  <c r="E744" i="11"/>
  <c r="G774" i="11"/>
  <c r="E271" i="11"/>
  <c r="E935" i="11"/>
  <c r="E776" i="11"/>
  <c r="F193" i="11"/>
  <c r="G360" i="11"/>
  <c r="F520" i="11"/>
  <c r="F477" i="11"/>
  <c r="E310" i="11"/>
  <c r="G598" i="11"/>
  <c r="G605" i="11"/>
  <c r="F450" i="11"/>
  <c r="F232" i="11"/>
  <c r="E360" i="11"/>
  <c r="E552" i="11"/>
  <c r="G477" i="11"/>
  <c r="G342" i="11"/>
  <c r="G257" i="11"/>
  <c r="E232" i="11"/>
  <c r="G278" i="11"/>
  <c r="G381" i="11"/>
  <c r="G726" i="11"/>
  <c r="G944" i="11"/>
  <c r="G321" i="11"/>
  <c r="G424" i="11"/>
  <c r="F225" i="11"/>
  <c r="E637" i="11"/>
  <c r="E598" i="11"/>
  <c r="G701" i="11"/>
  <c r="G682" i="11"/>
  <c r="E511" i="11"/>
  <c r="E961" i="11"/>
  <c r="F930" i="11"/>
  <c r="E899" i="11"/>
  <c r="G345" i="11"/>
  <c r="E506" i="11"/>
  <c r="G537" i="11"/>
  <c r="F756" i="11"/>
  <c r="G756" i="11"/>
  <c r="E441" i="11"/>
  <c r="F352" i="11"/>
  <c r="E352" i="11"/>
  <c r="G313" i="11"/>
  <c r="G441" i="11"/>
  <c r="G288" i="11"/>
  <c r="F638" i="11"/>
  <c r="E510" i="11"/>
  <c r="E613" i="11"/>
  <c r="G613" i="11"/>
  <c r="E549" i="11"/>
  <c r="E229" i="11"/>
  <c r="F229" i="11"/>
  <c r="E283" i="11"/>
  <c r="G283" i="11"/>
  <c r="G392" i="11"/>
  <c r="E392" i="11"/>
  <c r="F694" i="11"/>
  <c r="G694" i="11"/>
  <c r="E733" i="11"/>
  <c r="F733" i="11"/>
  <c r="G480" i="11"/>
  <c r="G202" i="11"/>
  <c r="F813" i="11"/>
  <c r="F351" i="11"/>
  <c r="E351" i="11"/>
  <c r="E712" i="11"/>
  <c r="E669" i="11"/>
  <c r="F669" i="11"/>
  <c r="G206" i="11"/>
  <c r="G630" i="11"/>
  <c r="G590" i="11"/>
  <c r="G647" i="11"/>
  <c r="G224" i="11"/>
  <c r="G846" i="11"/>
  <c r="G672" i="11"/>
  <c r="G185" i="11"/>
  <c r="G875" i="11"/>
  <c r="G724" i="11"/>
  <c r="G562" i="11"/>
  <c r="G210" i="11"/>
  <c r="E455" i="11"/>
  <c r="F727" i="11"/>
  <c r="F272" i="11"/>
  <c r="E225" i="11"/>
  <c r="F377" i="11"/>
  <c r="E505" i="11"/>
  <c r="E282" i="11"/>
  <c r="E460" i="11"/>
  <c r="E939" i="11"/>
  <c r="E398" i="11"/>
  <c r="F590" i="11"/>
  <c r="F977" i="11"/>
  <c r="G977" i="11"/>
  <c r="G783" i="11"/>
  <c r="G867" i="11"/>
  <c r="E719" i="11"/>
  <c r="E736" i="11"/>
  <c r="E377" i="11"/>
  <c r="G505" i="11"/>
  <c r="G300" i="11"/>
  <c r="G352" i="11"/>
  <c r="E288" i="11"/>
  <c r="E993" i="11"/>
  <c r="F220" i="11"/>
  <c r="E799" i="11"/>
  <c r="G799" i="11"/>
  <c r="G551" i="11"/>
  <c r="E287" i="11"/>
  <c r="F521" i="11"/>
  <c r="G521" i="11"/>
  <c r="F432" i="11"/>
  <c r="G432" i="11"/>
  <c r="F478" i="11"/>
  <c r="G478" i="11"/>
  <c r="E350" i="11"/>
  <c r="F350" i="11"/>
  <c r="G350" i="11"/>
  <c r="E286" i="11"/>
  <c r="F286" i="11"/>
  <c r="F222" i="11"/>
  <c r="E325" i="11"/>
  <c r="E691" i="11"/>
  <c r="E204" i="11"/>
  <c r="E387" i="11"/>
  <c r="F387" i="11"/>
  <c r="F240" i="11"/>
  <c r="G387" i="11"/>
  <c r="G638" i="11"/>
  <c r="G718" i="11"/>
  <c r="G942" i="11"/>
  <c r="G240" i="11"/>
  <c r="G560" i="11"/>
  <c r="F224" i="11"/>
  <c r="E882" i="11"/>
  <c r="E480" i="11"/>
  <c r="E560" i="11"/>
  <c r="F334" i="11"/>
  <c r="F606" i="11"/>
  <c r="E956" i="11"/>
  <c r="F284" i="11"/>
  <c r="E608" i="11"/>
  <c r="G608" i="11"/>
  <c r="F544" i="11"/>
  <c r="E693" i="11"/>
  <c r="G693" i="11"/>
  <c r="E555" i="11"/>
  <c r="E859" i="11"/>
  <c r="G956" i="11"/>
  <c r="F796" i="11"/>
  <c r="F956" i="11"/>
  <c r="F780" i="11"/>
  <c r="F979" i="11"/>
  <c r="G979" i="11"/>
  <c r="G631" i="11"/>
  <c r="G732" i="11"/>
  <c r="F949" i="11"/>
  <c r="G383" i="11"/>
  <c r="G814" i="11"/>
  <c r="F819" i="11"/>
  <c r="E819" i="11"/>
  <c r="G566" i="11"/>
  <c r="G355" i="11"/>
  <c r="G483" i="11"/>
  <c r="G220" i="11"/>
  <c r="G351" i="11"/>
  <c r="G758" i="11"/>
  <c r="G719" i="11"/>
  <c r="G975" i="11"/>
  <c r="G640" i="11"/>
  <c r="G233" i="11"/>
  <c r="G417" i="11"/>
  <c r="G946" i="11"/>
  <c r="G636" i="11"/>
  <c r="G945" i="11"/>
  <c r="F821" i="11"/>
  <c r="E290" i="11"/>
  <c r="F295" i="11"/>
  <c r="E847" i="11"/>
  <c r="F328" i="11"/>
  <c r="F712" i="11"/>
  <c r="F880" i="11"/>
  <c r="F489" i="11"/>
  <c r="E545" i="11"/>
  <c r="F945" i="11"/>
  <c r="E631" i="11"/>
  <c r="F212" i="11"/>
  <c r="F483" i="11"/>
  <c r="E438" i="11"/>
  <c r="F510" i="11"/>
  <c r="F566" i="11"/>
  <c r="E638" i="11"/>
  <c r="E686" i="11"/>
  <c r="E642" i="11"/>
  <c r="G642" i="11"/>
  <c r="F818" i="11"/>
  <c r="G818" i="11"/>
  <c r="E818" i="11"/>
  <c r="E849" i="11"/>
  <c r="F849" i="11"/>
  <c r="F911" i="11"/>
  <c r="G911" i="11"/>
  <c r="F739" i="11"/>
  <c r="G739" i="11"/>
  <c r="F675" i="11"/>
  <c r="E675" i="11"/>
  <c r="E611" i="11"/>
  <c r="F611" i="11"/>
  <c r="E547" i="11"/>
  <c r="G547" i="11"/>
  <c r="E227" i="11"/>
  <c r="F227" i="11"/>
  <c r="E745" i="11"/>
  <c r="F745" i="11"/>
  <c r="G745" i="11"/>
  <c r="F617" i="11"/>
  <c r="E617" i="11"/>
  <c r="F553" i="11"/>
  <c r="E553" i="11"/>
  <c r="G553" i="11"/>
  <c r="E656" i="11"/>
  <c r="F656" i="11"/>
  <c r="F592" i="11"/>
  <c r="G592" i="11"/>
  <c r="E528" i="11"/>
  <c r="G528" i="11"/>
  <c r="F528" i="11"/>
  <c r="F400" i="11"/>
  <c r="G400" i="11"/>
  <c r="F336" i="11"/>
  <c r="E336" i="11"/>
  <c r="E766" i="11"/>
  <c r="G766" i="11"/>
  <c r="F702" i="11"/>
  <c r="E702" i="11"/>
  <c r="F574" i="11"/>
  <c r="E574" i="11"/>
  <c r="F446" i="11"/>
  <c r="E446" i="11"/>
  <c r="F318" i="11"/>
  <c r="E318" i="11"/>
  <c r="E741" i="11"/>
  <c r="F741" i="11"/>
  <c r="F677" i="11"/>
  <c r="E677" i="11"/>
  <c r="G677" i="11"/>
  <c r="F485" i="11"/>
  <c r="E485" i="11"/>
  <c r="E293" i="11"/>
  <c r="F293" i="11"/>
  <c r="F851" i="11"/>
  <c r="E851" i="11"/>
  <c r="G714" i="11"/>
  <c r="F785" i="11"/>
  <c r="F282" i="11"/>
  <c r="E300" i="11"/>
  <c r="E878" i="11"/>
  <c r="F673" i="11"/>
  <c r="E673" i="11"/>
  <c r="F609" i="11"/>
  <c r="G609" i="11"/>
  <c r="F353" i="11"/>
  <c r="E353" i="11"/>
  <c r="E246" i="11"/>
  <c r="F246" i="11"/>
  <c r="F349" i="11"/>
  <c r="E349" i="11"/>
  <c r="F372" i="11"/>
  <c r="G372" i="11"/>
  <c r="E372" i="11"/>
  <c r="G851" i="11"/>
  <c r="F764" i="11"/>
  <c r="E764" i="11"/>
  <c r="F448" i="11"/>
  <c r="G448" i="11"/>
  <c r="E448" i="11"/>
  <c r="E256" i="11"/>
  <c r="F256" i="11"/>
  <c r="F192" i="11"/>
  <c r="E192" i="11"/>
  <c r="F750" i="11"/>
  <c r="E750" i="11"/>
  <c r="F622" i="11"/>
  <c r="E622" i="11"/>
  <c r="F494" i="11"/>
  <c r="E494" i="11"/>
  <c r="F366" i="11"/>
  <c r="E366" i="11"/>
  <c r="E302" i="11"/>
  <c r="F533" i="11"/>
  <c r="E533" i="11"/>
  <c r="E391" i="11"/>
  <c r="F391" i="11"/>
  <c r="G367" i="11"/>
  <c r="G466" i="11"/>
  <c r="F471" i="11"/>
  <c r="F460" i="11"/>
  <c r="E998" i="11"/>
  <c r="E475" i="11"/>
  <c r="F475" i="11"/>
  <c r="G291" i="11"/>
  <c r="G411" i="11"/>
  <c r="G611" i="11"/>
  <c r="F783" i="11"/>
  <c r="F944" i="11"/>
  <c r="E724" i="11"/>
  <c r="E411" i="11"/>
  <c r="F300" i="11"/>
  <c r="E831" i="11"/>
  <c r="G473" i="11"/>
  <c r="E768" i="11"/>
  <c r="G768" i="11"/>
  <c r="F512" i="11"/>
  <c r="G512" i="11"/>
  <c r="F384" i="11"/>
  <c r="E384" i="11"/>
  <c r="G207" i="11"/>
  <c r="G419" i="11"/>
  <c r="G391" i="11"/>
  <c r="G990" i="11"/>
  <c r="G847" i="11"/>
  <c r="G816" i="11"/>
  <c r="G681" i="11"/>
  <c r="G281" i="11"/>
  <c r="G361" i="11"/>
  <c r="G545" i="11"/>
  <c r="G464" i="11"/>
  <c r="G584" i="11"/>
  <c r="G290" i="11"/>
  <c r="F466" i="11"/>
  <c r="F548" i="11"/>
  <c r="E367" i="11"/>
  <c r="E911" i="11"/>
  <c r="F264" i="11"/>
  <c r="F392" i="11"/>
  <c r="F816" i="11"/>
  <c r="E233" i="11"/>
  <c r="F289" i="11"/>
  <c r="E345" i="11"/>
  <c r="E417" i="11"/>
  <c r="E473" i="11"/>
  <c r="E946" i="11"/>
  <c r="E347" i="11"/>
  <c r="F419" i="11"/>
  <c r="F340" i="11"/>
  <c r="E324" i="11"/>
  <c r="F324" i="11"/>
  <c r="E562" i="11"/>
  <c r="F562" i="11"/>
  <c r="F787" i="11"/>
  <c r="E787" i="11"/>
  <c r="E554" i="11"/>
  <c r="F554" i="11"/>
  <c r="G554" i="11"/>
  <c r="F975" i="11"/>
  <c r="E975" i="11"/>
  <c r="F268" i="11"/>
  <c r="E268" i="11"/>
  <c r="E869" i="11"/>
  <c r="G869" i="11"/>
  <c r="G800" i="11"/>
  <c r="E800" i="11"/>
  <c r="G289" i="11"/>
  <c r="E383" i="11"/>
  <c r="F910" i="11"/>
  <c r="G910" i="11"/>
  <c r="F393" i="11"/>
  <c r="E393" i="11"/>
  <c r="G393" i="11"/>
  <c r="F496" i="11"/>
  <c r="G496" i="11"/>
  <c r="E645" i="11"/>
  <c r="F645" i="11"/>
  <c r="F197" i="11"/>
  <c r="E197" i="11"/>
  <c r="E885" i="11"/>
  <c r="G885" i="11"/>
  <c r="E977" i="11"/>
  <c r="G527" i="11"/>
  <c r="E527" i="11"/>
  <c r="G539" i="11"/>
  <c r="E539" i="11"/>
  <c r="G219" i="11"/>
  <c r="F974" i="11"/>
  <c r="E974" i="11"/>
  <c r="G782" i="11"/>
  <c r="E782" i="11"/>
  <c r="F451" i="11"/>
  <c r="E451" i="11"/>
  <c r="E624" i="11"/>
  <c r="F624" i="11"/>
  <c r="E709" i="11"/>
  <c r="F709" i="11"/>
  <c r="F389" i="11"/>
  <c r="E389" i="11"/>
  <c r="G227" i="11"/>
  <c r="G339" i="11"/>
  <c r="G451" i="11"/>
  <c r="G261" i="11"/>
  <c r="G541" i="11"/>
  <c r="G366" i="11"/>
  <c r="G446" i="11"/>
  <c r="G574" i="11"/>
  <c r="G295" i="11"/>
  <c r="G200" i="11"/>
  <c r="G734" i="11"/>
  <c r="G878" i="11"/>
  <c r="G712" i="11"/>
  <c r="G880" i="11"/>
  <c r="G201" i="11"/>
  <c r="G297" i="11"/>
  <c r="G481" i="11"/>
  <c r="G649" i="11"/>
  <c r="G949" i="11"/>
  <c r="G675" i="11"/>
  <c r="G915" i="11"/>
  <c r="G548" i="11"/>
  <c r="G384" i="11"/>
  <c r="F546" i="11"/>
  <c r="E191" i="11"/>
  <c r="E200" i="11"/>
  <c r="F615" i="11"/>
  <c r="E272" i="11"/>
  <c r="F320" i="11"/>
  <c r="F576" i="11"/>
  <c r="F704" i="11"/>
  <c r="E752" i="11"/>
  <c r="E1000" i="11"/>
  <c r="E636" i="11"/>
  <c r="E400" i="11"/>
  <c r="F361" i="11"/>
  <c r="F425" i="11"/>
  <c r="F481" i="11"/>
  <c r="E737" i="11"/>
  <c r="E913" i="11"/>
  <c r="F378" i="11"/>
  <c r="F714" i="11"/>
  <c r="F283" i="11"/>
  <c r="F355" i="11"/>
  <c r="E979" i="11"/>
  <c r="F261" i="11"/>
  <c r="F549" i="11"/>
  <c r="F661" i="11"/>
  <c r="F310" i="11"/>
  <c r="E382" i="11"/>
  <c r="E430" i="11"/>
  <c r="F558" i="11"/>
  <c r="E630" i="11"/>
  <c r="E670" i="11"/>
  <c r="E798" i="11"/>
  <c r="E942" i="11"/>
  <c r="E759" i="11"/>
  <c r="G431" i="11"/>
  <c r="G821" i="11"/>
  <c r="G849" i="11"/>
  <c r="G346" i="11"/>
  <c r="E247" i="11"/>
  <c r="F543" i="11"/>
  <c r="F428" i="11"/>
  <c r="E297" i="11"/>
  <c r="E481" i="11"/>
  <c r="E378" i="11"/>
  <c r="F347" i="11"/>
  <c r="F547" i="11"/>
  <c r="E732" i="11"/>
  <c r="E915" i="11"/>
  <c r="F368" i="11"/>
  <c r="E368" i="11"/>
  <c r="G475" i="11"/>
  <c r="G212" i="11"/>
  <c r="G197" i="11"/>
  <c r="G277" i="11"/>
  <c r="G469" i="11"/>
  <c r="G549" i="11"/>
  <c r="G374" i="11"/>
  <c r="G303" i="11"/>
  <c r="G543" i="11"/>
  <c r="G208" i="11"/>
  <c r="G750" i="11"/>
  <c r="G967" i="11"/>
  <c r="G624" i="11"/>
  <c r="G720" i="11"/>
  <c r="G217" i="11"/>
  <c r="G409" i="11"/>
  <c r="G489" i="11"/>
  <c r="G673" i="11"/>
  <c r="G882" i="11"/>
  <c r="G709" i="11"/>
  <c r="G913" i="11"/>
  <c r="F642" i="11"/>
  <c r="F207" i="11"/>
  <c r="F839" i="11"/>
  <c r="E328" i="11"/>
  <c r="F456" i="11"/>
  <c r="E584" i="11"/>
  <c r="E464" i="11"/>
  <c r="E537" i="11"/>
  <c r="E202" i="11"/>
  <c r="F291" i="11"/>
  <c r="E432" i="11"/>
  <c r="E502" i="11"/>
  <c r="E814" i="11"/>
  <c r="F626" i="11"/>
  <c r="F591" i="11"/>
  <c r="E937" i="11"/>
  <c r="F1001" i="11"/>
  <c r="F884" i="11"/>
  <c r="E970" i="11"/>
  <c r="E1003" i="11"/>
  <c r="E812" i="11"/>
  <c r="F991" i="11"/>
  <c r="G447" i="11"/>
  <c r="F767" i="11"/>
  <c r="F845" i="11"/>
  <c r="F927" i="11"/>
  <c r="F970" i="11"/>
  <c r="F812" i="11"/>
  <c r="G863" i="11"/>
  <c r="G796" i="11"/>
  <c r="G276" i="11"/>
  <c r="G455" i="11"/>
  <c r="G939" i="11"/>
  <c r="G804" i="11"/>
  <c r="G993" i="11"/>
  <c r="G194" i="11"/>
  <c r="F937" i="11"/>
  <c r="G284" i="11"/>
  <c r="G751" i="11"/>
  <c r="G906" i="11"/>
  <c r="G812" i="11"/>
  <c r="G530" i="11"/>
  <c r="F530" i="11"/>
  <c r="F602" i="11"/>
  <c r="E804" i="11"/>
  <c r="E865" i="11"/>
  <c r="E778" i="11"/>
  <c r="E906" i="11"/>
  <c r="E929" i="11"/>
  <c r="G535" i="11"/>
  <c r="G927" i="11"/>
  <c r="G1003" i="11"/>
  <c r="G781" i="11"/>
  <c r="G820" i="11"/>
  <c r="G602" i="11"/>
  <c r="F909" i="11"/>
  <c r="F799" i="11"/>
  <c r="F863" i="11"/>
  <c r="G991" i="11"/>
  <c r="G901" i="11"/>
  <c r="G811" i="11"/>
  <c r="G845" i="11"/>
  <c r="G900" i="11"/>
  <c r="G364" i="11"/>
  <c r="F674" i="11"/>
  <c r="E194" i="11"/>
  <c r="E801" i="11"/>
  <c r="E951" i="11"/>
  <c r="G951" i="11"/>
  <c r="E567" i="11"/>
  <c r="G567" i="11"/>
  <c r="F567" i="11"/>
  <c r="G790" i="11"/>
  <c r="E790" i="11"/>
  <c r="F267" i="11"/>
  <c r="E267" i="11"/>
  <c r="F209" i="11"/>
  <c r="E209" i="11"/>
  <c r="E632" i="11"/>
  <c r="F632" i="11"/>
  <c r="G632" i="11"/>
  <c r="E486" i="11"/>
  <c r="G486" i="11"/>
  <c r="F486" i="11"/>
  <c r="G593" i="11"/>
  <c r="E476" i="11"/>
  <c r="F476" i="11"/>
  <c r="G476" i="11"/>
  <c r="E978" i="11"/>
  <c r="G978" i="11"/>
  <c r="F639" i="11"/>
  <c r="G639" i="11"/>
  <c r="F953" i="11"/>
  <c r="G953" i="11"/>
  <c r="E953" i="11"/>
  <c r="F823" i="11"/>
  <c r="F459" i="11"/>
  <c r="E459" i="11"/>
  <c r="F312" i="11"/>
  <c r="E312" i="11"/>
  <c r="G312" i="11"/>
  <c r="E550" i="11"/>
  <c r="F550" i="11"/>
  <c r="G823" i="11"/>
  <c r="E215" i="11"/>
  <c r="G215" i="11"/>
  <c r="E468" i="11"/>
  <c r="F817" i="11"/>
  <c r="G817" i="11"/>
  <c r="E817" i="11"/>
  <c r="E976" i="11"/>
  <c r="G976" i="11"/>
  <c r="G267" i="11"/>
  <c r="G998" i="11"/>
  <c r="G209" i="11"/>
  <c r="G779" i="11"/>
  <c r="G868" i="11"/>
  <c r="G468" i="11"/>
  <c r="F484" i="11"/>
  <c r="E504" i="11"/>
  <c r="E760" i="11"/>
  <c r="F273" i="11"/>
  <c r="E401" i="11"/>
  <c r="F529" i="11"/>
  <c r="E210" i="11"/>
  <c r="E634" i="11"/>
  <c r="F738" i="11"/>
  <c r="F858" i="11"/>
  <c r="F742" i="11"/>
  <c r="F870" i="11"/>
  <c r="G333" i="11"/>
  <c r="G653" i="11"/>
  <c r="G1000" i="11"/>
  <c r="G884" i="11"/>
  <c r="G484" i="11"/>
  <c r="G450" i="11"/>
  <c r="E727" i="11"/>
  <c r="F943" i="11"/>
  <c r="F504" i="11"/>
  <c r="F401" i="11"/>
  <c r="E386" i="11"/>
  <c r="F844" i="11"/>
  <c r="E941" i="11"/>
  <c r="F941" i="11"/>
  <c r="E813" i="11"/>
  <c r="G813" i="11"/>
  <c r="E540" i="11"/>
  <c r="F540" i="11"/>
  <c r="G370" i="11"/>
  <c r="F370" i="11"/>
  <c r="F971" i="11"/>
  <c r="G971" i="11"/>
  <c r="F843" i="11"/>
  <c r="G843" i="11"/>
  <c r="E843" i="11"/>
  <c r="F279" i="11"/>
  <c r="F938" i="11"/>
  <c r="G938" i="11"/>
  <c r="E938" i="11"/>
  <c r="E532" i="11"/>
  <c r="G532" i="11"/>
  <c r="G615" i="11"/>
  <c r="G274" i="11"/>
  <c r="E274" i="11"/>
  <c r="F274" i="11"/>
  <c r="G936" i="11"/>
  <c r="F936" i="11"/>
  <c r="E936" i="11"/>
  <c r="F808" i="11"/>
  <c r="E808" i="11"/>
  <c r="G808" i="11"/>
  <c r="F356" i="11"/>
  <c r="G356" i="11"/>
  <c r="E967" i="11"/>
  <c r="E839" i="11"/>
  <c r="G839" i="11"/>
  <c r="E610" i="11"/>
  <c r="E806" i="11"/>
  <c r="F806" i="11"/>
  <c r="G692" i="11"/>
  <c r="E692" i="11"/>
  <c r="F522" i="11"/>
  <c r="E522" i="11"/>
  <c r="E877" i="11"/>
  <c r="F877" i="11"/>
  <c r="E711" i="11"/>
  <c r="G711" i="11"/>
  <c r="F711" i="11"/>
  <c r="E199" i="11"/>
  <c r="F199" i="11"/>
  <c r="G199" i="11"/>
  <c r="F907" i="11"/>
  <c r="E907" i="11"/>
  <c r="F779" i="11"/>
  <c r="E620" i="11"/>
  <c r="F620" i="11"/>
  <c r="F1002" i="11"/>
  <c r="G1002" i="11"/>
  <c r="E1002" i="11"/>
  <c r="F874" i="11"/>
  <c r="E874" i="11"/>
  <c r="F810" i="11"/>
  <c r="E810" i="11"/>
  <c r="E362" i="11"/>
  <c r="F362" i="11"/>
  <c r="G362" i="11"/>
  <c r="E969" i="11"/>
  <c r="G969" i="11"/>
  <c r="E841" i="11"/>
  <c r="F841" i="11"/>
  <c r="E777" i="11"/>
  <c r="F777" i="11"/>
  <c r="F444" i="11"/>
  <c r="G444" i="11"/>
  <c r="E444" i="11"/>
  <c r="F872" i="11"/>
  <c r="G872" i="11"/>
  <c r="E872" i="11"/>
  <c r="F698" i="11"/>
  <c r="G698" i="11"/>
  <c r="E186" i="11"/>
  <c r="G186" i="11"/>
  <c r="F903" i="11"/>
  <c r="G903" i="11"/>
  <c r="E775" i="11"/>
  <c r="F775" i="11"/>
  <c r="F439" i="11"/>
  <c r="E439" i="11"/>
  <c r="G268" i="11"/>
  <c r="G439" i="11"/>
  <c r="G934" i="11"/>
  <c r="G874" i="11"/>
  <c r="G819" i="11"/>
  <c r="G620" i="11"/>
  <c r="G540" i="11"/>
  <c r="G522" i="11"/>
  <c r="F191" i="11"/>
  <c r="F527" i="11"/>
  <c r="F647" i="11"/>
  <c r="E903" i="11"/>
  <c r="E308" i="11"/>
  <c r="E696" i="11"/>
  <c r="E794" i="11"/>
  <c r="F978" i="11"/>
  <c r="F653" i="11"/>
  <c r="E678" i="11"/>
  <c r="E578" i="11"/>
  <c r="F578" i="11"/>
  <c r="G889" i="11"/>
  <c r="F889" i="11"/>
  <c r="F984" i="11"/>
  <c r="E984" i="11"/>
  <c r="F479" i="11"/>
  <c r="G479" i="11"/>
  <c r="E523" i="11"/>
  <c r="G523" i="11"/>
  <c r="E465" i="11"/>
  <c r="F465" i="11"/>
  <c r="F760" i="11"/>
  <c r="G760" i="11"/>
  <c r="G376" i="11"/>
  <c r="F376" i="11"/>
  <c r="F614" i="11"/>
  <c r="G614" i="11"/>
  <c r="E614" i="11"/>
  <c r="F230" i="11"/>
  <c r="E717" i="11"/>
  <c r="G717" i="11"/>
  <c r="E589" i="11"/>
  <c r="G589" i="11"/>
  <c r="F589" i="11"/>
  <c r="E525" i="11"/>
  <c r="F525" i="11"/>
  <c r="G525" i="11"/>
  <c r="F461" i="11"/>
  <c r="F397" i="11"/>
  <c r="G269" i="11"/>
  <c r="F269" i="11"/>
  <c r="F205" i="11"/>
  <c r="G205" i="11"/>
  <c r="E490" i="11"/>
  <c r="F490" i="11"/>
  <c r="F825" i="11"/>
  <c r="E314" i="11"/>
  <c r="F314" i="11"/>
  <c r="E650" i="11"/>
  <c r="F650" i="11"/>
  <c r="E651" i="11"/>
  <c r="F651" i="11"/>
  <c r="E203" i="11"/>
  <c r="F203" i="11"/>
  <c r="G203" i="11"/>
  <c r="E529" i="11"/>
  <c r="G529" i="11"/>
  <c r="F440" i="11"/>
  <c r="G440" i="11"/>
  <c r="E358" i="11"/>
  <c r="F358" i="11"/>
  <c r="F587" i="11"/>
  <c r="E230" i="11"/>
  <c r="F876" i="11"/>
  <c r="F860" i="11"/>
  <c r="G860" i="11"/>
  <c r="E853" i="11"/>
  <c r="G853" i="11"/>
  <c r="E556" i="11"/>
  <c r="G556" i="11"/>
  <c r="F556" i="11"/>
  <c r="G914" i="11"/>
  <c r="E914" i="11"/>
  <c r="E912" i="11"/>
  <c r="F912" i="11"/>
  <c r="E879" i="11"/>
  <c r="F879" i="11"/>
  <c r="E716" i="11"/>
  <c r="G716" i="11"/>
  <c r="E546" i="11"/>
  <c r="G546" i="11"/>
  <c r="E375" i="11"/>
  <c r="G375" i="11"/>
  <c r="G204" i="11"/>
  <c r="F204" i="11"/>
  <c r="E402" i="11"/>
  <c r="F655" i="11"/>
  <c r="E655" i="11"/>
  <c r="E854" i="11"/>
  <c r="G854" i="11"/>
  <c r="F715" i="11"/>
  <c r="E715" i="11"/>
  <c r="G715" i="11"/>
  <c r="G331" i="11"/>
  <c r="F331" i="11"/>
  <c r="G657" i="11"/>
  <c r="F657" i="11"/>
  <c r="G337" i="11"/>
  <c r="F337" i="11"/>
  <c r="F184" i="11"/>
  <c r="E184" i="11"/>
  <c r="F294" i="11"/>
  <c r="G294" i="11"/>
  <c r="G964" i="11"/>
  <c r="E964" i="11"/>
  <c r="F852" i="11"/>
  <c r="E852" i="11"/>
  <c r="E789" i="11"/>
  <c r="G789" i="11"/>
  <c r="F947" i="11"/>
  <c r="E947" i="11"/>
  <c r="G947" i="11"/>
  <c r="F386" i="11"/>
  <c r="G386" i="11"/>
  <c r="G786" i="11"/>
  <c r="F786" i="11"/>
  <c r="E786" i="11"/>
  <c r="F881" i="11"/>
  <c r="E881" i="11"/>
  <c r="F380" i="11"/>
  <c r="E380" i="11"/>
  <c r="E292" i="11"/>
  <c r="G292" i="11"/>
  <c r="F815" i="11"/>
  <c r="G815" i="11"/>
  <c r="E815" i="11"/>
  <c r="G230" i="11"/>
  <c r="G461" i="11"/>
  <c r="G655" i="11"/>
  <c r="G678" i="11"/>
  <c r="G870" i="11"/>
  <c r="G696" i="11"/>
  <c r="G905" i="11"/>
  <c r="G568" i="11"/>
  <c r="G777" i="11"/>
  <c r="F215" i="11"/>
  <c r="E279" i="11"/>
  <c r="F375" i="11"/>
  <c r="E703" i="11"/>
  <c r="E376" i="11"/>
  <c r="F568" i="11"/>
  <c r="E593" i="11"/>
  <c r="E905" i="11"/>
  <c r="F969" i="11"/>
  <c r="E370" i="11"/>
  <c r="F610" i="11"/>
  <c r="E722" i="11"/>
  <c r="E883" i="11"/>
  <c r="F333" i="11"/>
  <c r="F292" i="11"/>
  <c r="F934" i="11"/>
  <c r="F407" i="11"/>
  <c r="G407" i="11"/>
  <c r="F319" i="11"/>
  <c r="E572" i="11"/>
  <c r="G572" i="11"/>
  <c r="G792" i="11"/>
  <c r="F792" i="11"/>
  <c r="E887" i="11"/>
  <c r="G887" i="11"/>
  <c r="F887" i="11"/>
  <c r="E982" i="11"/>
  <c r="G982" i="11"/>
  <c r="F982" i="11"/>
  <c r="G395" i="11"/>
  <c r="F395" i="11"/>
  <c r="E721" i="11"/>
  <c r="F721" i="11"/>
  <c r="F248" i="11"/>
  <c r="G248" i="11"/>
  <c r="F422" i="11"/>
  <c r="E422" i="11"/>
  <c r="G742" i="11"/>
  <c r="G703" i="11"/>
  <c r="G920" i="11"/>
  <c r="G738" i="11"/>
  <c r="E917" i="11"/>
  <c r="G917" i="11"/>
  <c r="F306" i="11"/>
  <c r="G306" i="11"/>
  <c r="E850" i="11"/>
  <c r="F850" i="11"/>
  <c r="F298" i="11"/>
  <c r="E298" i="11"/>
  <c r="G298" i="11"/>
  <c r="F551" i="11"/>
  <c r="E551" i="11"/>
  <c r="E848" i="11"/>
  <c r="G848" i="11"/>
  <c r="F848" i="11"/>
  <c r="F463" i="11"/>
  <c r="E463" i="11"/>
  <c r="G463" i="11"/>
  <c r="E943" i="11"/>
  <c r="G943" i="11"/>
  <c r="G459" i="11"/>
  <c r="G397" i="11"/>
  <c r="G358" i="11"/>
  <c r="G784" i="11"/>
  <c r="G273" i="11"/>
  <c r="G810" i="11"/>
  <c r="G877" i="11"/>
  <c r="G587" i="11"/>
  <c r="G883" i="11"/>
  <c r="G941" i="11"/>
  <c r="G844" i="11"/>
  <c r="G504" i="11"/>
  <c r="G634" i="11"/>
  <c r="F468" i="11"/>
  <c r="E660" i="11"/>
  <c r="E657" i="11"/>
  <c r="E639" i="11"/>
  <c r="F539" i="11"/>
  <c r="F731" i="11"/>
  <c r="E731" i="11"/>
  <c r="G731" i="11"/>
  <c r="E667" i="11"/>
  <c r="F667" i="11"/>
  <c r="E603" i="11"/>
  <c r="G603" i="11"/>
  <c r="G988" i="11"/>
  <c r="F287" i="11"/>
  <c r="G287" i="11"/>
  <c r="F771" i="11"/>
  <c r="F707" i="11"/>
  <c r="G707" i="11"/>
  <c r="E707" i="11"/>
  <c r="E643" i="11"/>
  <c r="G643" i="11"/>
  <c r="F628" i="11"/>
  <c r="E628" i="11"/>
  <c r="G667" i="11"/>
  <c r="E771" i="11"/>
  <c r="E458" i="11"/>
  <c r="F782" i="11"/>
  <c r="E846" i="11"/>
  <c r="E219" i="11"/>
  <c r="E751" i="11"/>
  <c r="G981" i="11"/>
  <c r="E495" i="11"/>
  <c r="E868" i="11"/>
  <c r="F263" i="11"/>
  <c r="F740" i="11"/>
  <c r="G995" i="11"/>
  <c r="G619" i="11"/>
  <c r="G803" i="11"/>
  <c r="G852" i="11"/>
  <c r="F853" i="11"/>
  <c r="F981" i="11"/>
  <c r="E803" i="11"/>
  <c r="E876" i="11"/>
  <c r="G857" i="11"/>
  <c r="G343" i="11"/>
  <c r="G931" i="11"/>
  <c r="E472" i="11"/>
  <c r="F583" i="11"/>
  <c r="E583" i="11"/>
  <c r="F985" i="11"/>
  <c r="E985" i="11"/>
  <c r="G985" i="11"/>
  <c r="G952" i="11"/>
  <c r="E952" i="11"/>
  <c r="E983" i="11"/>
  <c r="G983" i="11"/>
  <c r="F747" i="11"/>
  <c r="G747" i="11"/>
  <c r="E747" i="11"/>
  <c r="G299" i="11"/>
  <c r="E299" i="11"/>
  <c r="F664" i="11"/>
  <c r="G664" i="11"/>
  <c r="F557" i="11"/>
  <c r="F429" i="11"/>
  <c r="E429" i="11"/>
  <c r="F237" i="11"/>
  <c r="E237" i="11"/>
  <c r="E516" i="11"/>
  <c r="G516" i="11"/>
  <c r="F412" i="11"/>
  <c r="E412" i="11"/>
  <c r="E492" i="11"/>
  <c r="G492" i="11"/>
  <c r="F404" i="11"/>
  <c r="E404" i="11"/>
  <c r="E564" i="11"/>
  <c r="F564" i="11"/>
  <c r="F625" i="11"/>
  <c r="E625" i="11"/>
  <c r="G280" i="11"/>
  <c r="F280" i="11"/>
  <c r="E454" i="11"/>
  <c r="G454" i="11"/>
  <c r="F685" i="11"/>
  <c r="F493" i="11"/>
  <c r="E493" i="11"/>
  <c r="F301" i="11"/>
  <c r="E301" i="11"/>
  <c r="G301" i="11"/>
  <c r="G429" i="11"/>
  <c r="G493" i="11"/>
  <c r="G557" i="11"/>
  <c r="G621" i="11"/>
  <c r="G886" i="11"/>
  <c r="G888" i="11"/>
  <c r="G890" i="11"/>
  <c r="E923" i="11"/>
  <c r="E954" i="11"/>
  <c r="F555" i="11"/>
  <c r="E685" i="11"/>
  <c r="F390" i="11"/>
  <c r="E886" i="11"/>
  <c r="E893" i="11"/>
  <c r="F893" i="11"/>
  <c r="F795" i="11"/>
  <c r="E795" i="11"/>
  <c r="G746" i="11"/>
  <c r="F746" i="11"/>
  <c r="F487" i="11"/>
  <c r="E487" i="11"/>
  <c r="E570" i="11"/>
  <c r="G570" i="11"/>
  <c r="F223" i="11"/>
  <c r="E223" i="11"/>
  <c r="G344" i="11"/>
  <c r="F344" i="11"/>
  <c r="G518" i="11"/>
  <c r="F518" i="11"/>
  <c r="E518" i="11"/>
  <c r="F365" i="11"/>
  <c r="E365" i="11"/>
  <c r="G390" i="11"/>
  <c r="G311" i="11"/>
  <c r="G399" i="11"/>
  <c r="G575" i="11"/>
  <c r="G663" i="11"/>
  <c r="G555" i="11"/>
  <c r="G828" i="11"/>
  <c r="G924" i="11"/>
  <c r="G689" i="11"/>
  <c r="E575" i="11"/>
  <c r="E559" i="11"/>
  <c r="F855" i="11"/>
  <c r="E228" i="11"/>
  <c r="E344" i="11"/>
  <c r="E772" i="11"/>
  <c r="E746" i="11"/>
  <c r="E427" i="11"/>
  <c r="F886" i="11"/>
  <c r="E580" i="11"/>
  <c r="G196" i="11"/>
  <c r="E196" i="11"/>
  <c r="E829" i="11"/>
  <c r="F829" i="11"/>
  <c r="G829" i="11"/>
  <c r="F923" i="11"/>
  <c r="G923" i="11"/>
  <c r="F857" i="11"/>
  <c r="F824" i="11"/>
  <c r="E824" i="11"/>
  <c r="E791" i="11"/>
  <c r="G822" i="11"/>
  <c r="F822" i="11"/>
  <c r="E753" i="11"/>
  <c r="F305" i="11"/>
  <c r="E305" i="11"/>
  <c r="G536" i="11"/>
  <c r="F536" i="11"/>
  <c r="F646" i="11"/>
  <c r="E646" i="11"/>
  <c r="G646" i="11"/>
  <c r="E749" i="11"/>
  <c r="F749" i="11"/>
  <c r="G487" i="11"/>
  <c r="G583" i="11"/>
  <c r="G625" i="11"/>
  <c r="F492" i="11"/>
  <c r="E663" i="11"/>
  <c r="E280" i="11"/>
  <c r="E689" i="11"/>
  <c r="F772" i="11"/>
  <c r="E754" i="11"/>
  <c r="F427" i="11"/>
  <c r="E621" i="11"/>
  <c r="E1004" i="11"/>
  <c r="E972" i="11"/>
  <c r="F972" i="11"/>
  <c r="E538" i="11"/>
  <c r="F538" i="11"/>
  <c r="F826" i="11"/>
  <c r="E826" i="11"/>
  <c r="E793" i="11"/>
  <c r="G793" i="11"/>
  <c r="E740" i="11"/>
  <c r="F652" i="11"/>
  <c r="G652" i="11"/>
  <c r="F491" i="11"/>
  <c r="E491" i="11"/>
  <c r="E241" i="11"/>
  <c r="G408" i="11"/>
  <c r="F408" i="11"/>
  <c r="F710" i="11"/>
  <c r="E710" i="11"/>
  <c r="G710" i="11"/>
  <c r="G262" i="11"/>
  <c r="E262" i="11"/>
  <c r="G824" i="11"/>
  <c r="G893" i="11"/>
  <c r="G564" i="11"/>
  <c r="F399" i="11"/>
  <c r="E861" i="11"/>
  <c r="G327" i="11"/>
  <c r="E327" i="11"/>
  <c r="F827" i="11"/>
  <c r="F452" i="11"/>
  <c r="E452" i="11"/>
  <c r="F987" i="11"/>
  <c r="G987" i="11"/>
  <c r="G954" i="11"/>
  <c r="G921" i="11"/>
  <c r="F921" i="11"/>
  <c r="F950" i="11"/>
  <c r="G950" i="11"/>
  <c r="E619" i="11"/>
  <c r="F235" i="11"/>
  <c r="E235" i="11"/>
  <c r="F433" i="11"/>
  <c r="G433" i="11"/>
  <c r="F600" i="11"/>
  <c r="G600" i="11"/>
  <c r="F216" i="11"/>
  <c r="E216" i="11"/>
  <c r="G735" i="11"/>
  <c r="G826" i="11"/>
  <c r="F516" i="11"/>
  <c r="E561" i="11"/>
  <c r="F570" i="11"/>
  <c r="F932" i="11"/>
  <c r="G932" i="11"/>
  <c r="G235" i="11"/>
  <c r="G491" i="11"/>
  <c r="G404" i="11"/>
  <c r="E431" i="11"/>
  <c r="E735" i="11"/>
  <c r="F791" i="11"/>
  <c r="E664" i="11"/>
  <c r="E497" i="11"/>
  <c r="E921" i="11"/>
  <c r="F262" i="11"/>
  <c r="E957" i="11"/>
  <c r="G957" i="11"/>
  <c r="F859" i="11"/>
  <c r="G859" i="11"/>
  <c r="E658" i="11"/>
  <c r="G658" i="11"/>
  <c r="E482" i="11"/>
  <c r="F482" i="11"/>
  <c r="G482" i="11"/>
  <c r="E394" i="11"/>
  <c r="G363" i="11"/>
  <c r="F363" i="11"/>
  <c r="E363" i="11"/>
  <c r="G561" i="11"/>
  <c r="F728" i="11"/>
  <c r="E728" i="11"/>
  <c r="G728" i="11"/>
  <c r="G198" i="11"/>
  <c r="E198" i="11"/>
  <c r="E797" i="11"/>
  <c r="F797" i="11"/>
  <c r="G919" i="11"/>
  <c r="G412" i="11"/>
  <c r="E311" i="11"/>
  <c r="E919" i="11"/>
  <c r="F996" i="11"/>
  <c r="F497" i="11"/>
  <c r="F793" i="11"/>
  <c r="E557" i="11"/>
  <c r="F198" i="11"/>
  <c r="E474" i="11"/>
  <c r="F474" i="11"/>
  <c r="F242" i="11"/>
  <c r="E242" i="11"/>
  <c r="F322" i="11"/>
  <c r="F234" i="11"/>
  <c r="E234" i="11"/>
  <c r="F316" i="11"/>
  <c r="G316" i="11"/>
  <c r="E316" i="11"/>
  <c r="G228" i="11"/>
  <c r="E683" i="11"/>
  <c r="F683" i="11"/>
  <c r="F369" i="11"/>
  <c r="E369" i="11"/>
  <c r="G369" i="11"/>
  <c r="G472" i="11"/>
  <c r="F472" i="11"/>
  <c r="F582" i="11"/>
  <c r="E582" i="11"/>
  <c r="G582" i="11"/>
  <c r="G326" i="11"/>
  <c r="E326" i="11"/>
  <c r="G495" i="11"/>
  <c r="G394" i="11"/>
  <c r="E322" i="11"/>
  <c r="F754" i="11"/>
  <c r="F299" i="11"/>
  <c r="F621" i="11"/>
  <c r="G940" i="11"/>
  <c r="F940" i="11"/>
  <c r="E940" i="11"/>
  <c r="G427" i="11"/>
  <c r="G855" i="11"/>
  <c r="G749" i="11"/>
  <c r="G685" i="11"/>
  <c r="E536" i="11"/>
  <c r="F888" i="11"/>
  <c r="F241" i="11"/>
  <c r="E433" i="11"/>
  <c r="F753" i="11"/>
  <c r="E890" i="11"/>
  <c r="F964" i="11"/>
  <c r="F820" i="11"/>
  <c r="E236" i="11"/>
  <c r="F900" i="11"/>
  <c r="F759" i="11"/>
  <c r="E348" i="11"/>
  <c r="F800" i="11"/>
  <c r="E339" i="11"/>
  <c r="E595" i="11"/>
  <c r="E908" i="11"/>
  <c r="G231" i="11"/>
  <c r="G986" i="11"/>
  <c r="G531" i="11"/>
  <c r="G236" i="11"/>
  <c r="G335" i="11"/>
  <c r="G743" i="11"/>
  <c r="G802" i="11"/>
  <c r="G827" i="11"/>
  <c r="G891" i="11"/>
  <c r="G955" i="11"/>
  <c r="G805" i="11"/>
  <c r="G660" i="11"/>
  <c r="G748" i="11"/>
  <c r="G324" i="11"/>
  <c r="G396" i="11"/>
  <c r="G594" i="11"/>
  <c r="G578" i="11"/>
  <c r="G825" i="11"/>
  <c r="G897" i="11"/>
  <c r="G314" i="11"/>
  <c r="F989" i="11"/>
  <c r="E891" i="11"/>
  <c r="F231" i="11"/>
  <c r="E423" i="11"/>
  <c r="F743" i="11"/>
  <c r="F951" i="11"/>
  <c r="E260" i="11"/>
  <c r="E388" i="11"/>
  <c r="F856" i="11"/>
  <c r="F928" i="11"/>
  <c r="E748" i="11"/>
  <c r="E738" i="11"/>
  <c r="E922" i="11"/>
  <c r="E994" i="11"/>
  <c r="F252" i="11"/>
  <c r="E211" i="11"/>
  <c r="E467" i="11"/>
  <c r="E988" i="11"/>
  <c r="E924" i="11"/>
  <c r="F854" i="11"/>
  <c r="F926" i="11"/>
  <c r="G770" i="11"/>
  <c r="F831" i="11"/>
  <c r="E897" i="11"/>
  <c r="F961" i="11"/>
  <c r="E980" i="11"/>
  <c r="G467" i="11"/>
  <c r="G239" i="11"/>
  <c r="G671" i="11"/>
  <c r="G835" i="11"/>
  <c r="G899" i="11"/>
  <c r="G963" i="11"/>
  <c r="G676" i="11"/>
  <c r="G908" i="11"/>
  <c r="G972" i="11"/>
  <c r="G861" i="11"/>
  <c r="G340" i="11"/>
  <c r="G833" i="11"/>
  <c r="G506" i="11"/>
  <c r="G258" i="11"/>
  <c r="F410" i="11"/>
  <c r="F925" i="11"/>
  <c r="F997" i="11"/>
  <c r="E239" i="11"/>
  <c r="F423" i="11"/>
  <c r="E959" i="11"/>
  <c r="F260" i="11"/>
  <c r="E864" i="11"/>
  <c r="F748" i="11"/>
  <c r="F922" i="11"/>
  <c r="F994" i="11"/>
  <c r="F211" i="11"/>
  <c r="F988" i="11"/>
  <c r="E862" i="11"/>
  <c r="E599" i="11"/>
  <c r="G511" i="11"/>
  <c r="G926" i="11"/>
  <c r="G690" i="11"/>
  <c r="F500" i="11"/>
  <c r="G252" i="11"/>
  <c r="G403" i="11"/>
  <c r="G260" i="11"/>
  <c r="G247" i="11"/>
  <c r="G759" i="11"/>
  <c r="G831" i="11"/>
  <c r="G895" i="11"/>
  <c r="G959" i="11"/>
  <c r="G925" i="11"/>
  <c r="G764" i="11"/>
  <c r="G916" i="11"/>
  <c r="G980" i="11"/>
  <c r="G348" i="11"/>
  <c r="G330" i="11"/>
  <c r="G402" i="11"/>
  <c r="F861" i="11"/>
  <c r="F933" i="11"/>
  <c r="E955" i="11"/>
  <c r="F239" i="11"/>
  <c r="E319" i="11"/>
  <c r="F864" i="11"/>
  <c r="E428" i="11"/>
  <c r="E996" i="11"/>
  <c r="E835" i="11"/>
  <c r="E889" i="11"/>
  <c r="E932" i="11"/>
  <c r="F506" i="11"/>
  <c r="E858" i="11"/>
  <c r="E930" i="11"/>
  <c r="F862" i="11"/>
  <c r="G723" i="11"/>
  <c r="F511" i="11"/>
  <c r="E963" i="11"/>
  <c r="E682" i="11"/>
  <c r="E866" i="11"/>
  <c r="F798" i="11"/>
  <c r="F671" i="11"/>
  <c r="G519" i="11"/>
  <c r="G599" i="11"/>
  <c r="G856" i="11"/>
  <c r="G928" i="11"/>
  <c r="G797" i="11"/>
  <c r="G659" i="11"/>
  <c r="G1004" i="11"/>
  <c r="G588" i="11"/>
  <c r="G410" i="11"/>
  <c r="G218" i="11"/>
  <c r="F580" i="11"/>
  <c r="F885" i="11"/>
  <c r="F498" i="11"/>
  <c r="F327" i="11"/>
  <c r="E479" i="11"/>
  <c r="E519" i="11"/>
  <c r="E920" i="11"/>
  <c r="E992" i="11"/>
  <c r="F217" i="11"/>
  <c r="F409" i="11"/>
  <c r="F473" i="11"/>
  <c r="F665" i="11"/>
  <c r="E833" i="11"/>
  <c r="E218" i="11"/>
  <c r="F402" i="11"/>
  <c r="F682" i="11"/>
  <c r="F794" i="11"/>
  <c r="F866" i="11"/>
  <c r="E668" i="11"/>
  <c r="F339" i="11"/>
  <c r="F595" i="11"/>
  <c r="F676" i="11"/>
  <c r="F1004" i="11"/>
  <c r="E918" i="11"/>
  <c r="E990" i="11"/>
  <c r="G992" i="11"/>
  <c r="G933" i="11"/>
  <c r="G500" i="11"/>
  <c r="F418" i="11"/>
  <c r="G319" i="11"/>
  <c r="G948" i="11"/>
  <c r="G498" i="11"/>
  <c r="G490" i="11"/>
  <c r="G729" i="11"/>
  <c r="G418" i="11"/>
  <c r="G226" i="11"/>
  <c r="F588" i="11"/>
  <c r="E827" i="11"/>
  <c r="E303" i="11"/>
  <c r="E335" i="11"/>
  <c r="E407" i="11"/>
  <c r="E396" i="11"/>
  <c r="F920" i="11"/>
  <c r="F992" i="11"/>
  <c r="E916" i="11"/>
  <c r="E601" i="11"/>
  <c r="E729" i="11"/>
  <c r="F833" i="11"/>
  <c r="E330" i="11"/>
  <c r="E346" i="11"/>
  <c r="E690" i="11"/>
  <c r="E770" i="11"/>
  <c r="E802" i="11"/>
  <c r="E986" i="11"/>
  <c r="F668" i="11"/>
  <c r="E275" i="11"/>
  <c r="E531" i="11"/>
  <c r="F659" i="11"/>
  <c r="E948" i="11"/>
  <c r="E258" i="11"/>
  <c r="E723" i="11"/>
  <c r="F805" i="11"/>
  <c r="G601" i="11"/>
  <c r="G997" i="11"/>
  <c r="G989" i="11"/>
  <c r="G388" i="11"/>
  <c r="F594" i="11"/>
  <c r="E226" i="11"/>
  <c r="F929" i="11"/>
  <c r="E708" i="11"/>
  <c r="E892" i="11"/>
  <c r="G687" i="11"/>
  <c r="G569" i="11"/>
  <c r="G666" i="11"/>
  <c r="G730" i="11"/>
  <c r="G563" i="11"/>
  <c r="G627" i="11"/>
  <c r="G691" i="11"/>
  <c r="G755" i="11"/>
  <c r="G965" i="11"/>
  <c r="G708" i="11"/>
  <c r="G772" i="11"/>
  <c r="G836" i="11"/>
  <c r="G508" i="11"/>
  <c r="G514" i="11"/>
  <c r="F426" i="11"/>
  <c r="F627" i="11"/>
  <c r="F604" i="11"/>
  <c r="F431" i="11"/>
  <c r="F559" i="11"/>
  <c r="F679" i="11"/>
  <c r="E832" i="11"/>
  <c r="E896" i="11"/>
  <c r="E960" i="11"/>
  <c r="F196" i="11"/>
  <c r="E867" i="11"/>
  <c r="E332" i="11"/>
  <c r="E828" i="11"/>
  <c r="F730" i="11"/>
  <c r="F762" i="11"/>
  <c r="E755" i="11"/>
  <c r="E756" i="11"/>
  <c r="F708" i="11"/>
  <c r="E679" i="11"/>
  <c r="F865" i="11"/>
  <c r="F993" i="11"/>
  <c r="F892" i="11"/>
  <c r="G773" i="11"/>
  <c r="G644" i="11"/>
  <c r="F666" i="11"/>
  <c r="E343" i="11"/>
  <c r="E503" i="11"/>
  <c r="F896" i="11"/>
  <c r="F960" i="11"/>
  <c r="E834" i="11"/>
  <c r="E962" i="11"/>
  <c r="E830" i="11"/>
  <c r="E894" i="11"/>
  <c r="E958" i="11"/>
  <c r="G255" i="11"/>
  <c r="F801" i="11"/>
  <c r="E762" i="11"/>
  <c r="G623" i="11"/>
  <c r="G801" i="11"/>
  <c r="G503" i="11"/>
  <c r="G767" i="11"/>
  <c r="G332" i="11"/>
  <c r="G250" i="11"/>
  <c r="F586" i="11"/>
  <c r="F343" i="11"/>
  <c r="F623" i="11"/>
  <c r="F687" i="11"/>
  <c r="E931" i="11"/>
  <c r="F834" i="11"/>
  <c r="F898" i="11"/>
  <c r="F962" i="11"/>
  <c r="E243" i="11"/>
  <c r="E307" i="11"/>
  <c r="E371" i="11"/>
  <c r="E435" i="11"/>
  <c r="E499" i="11"/>
  <c r="E563" i="11"/>
  <c r="E684" i="11"/>
  <c r="F830" i="11"/>
  <c r="F894" i="11"/>
  <c r="F958" i="11"/>
  <c r="G674" i="11"/>
  <c r="G580" i="11"/>
  <c r="G865" i="11"/>
  <c r="E687" i="11"/>
  <c r="F832" i="11"/>
  <c r="E898" i="11"/>
  <c r="E596" i="11"/>
  <c r="G244" i="11"/>
  <c r="G604" i="11"/>
  <c r="G586" i="11"/>
  <c r="F514" i="11"/>
  <c r="F773" i="11"/>
  <c r="F837" i="11"/>
  <c r="F901" i="11"/>
  <c r="F965" i="11"/>
  <c r="F434" i="11"/>
  <c r="E255" i="11"/>
  <c r="E415" i="11"/>
  <c r="E250" i="11"/>
  <c r="E338" i="11"/>
  <c r="F243" i="11"/>
  <c r="F307" i="11"/>
  <c r="F371" i="11"/>
  <c r="F435" i="11"/>
  <c r="F499" i="11"/>
  <c r="G371" i="11"/>
  <c r="G499" i="11"/>
  <c r="G633" i="11"/>
  <c r="G697" i="11"/>
  <c r="G761" i="11"/>
  <c r="G426" i="11"/>
  <c r="F415" i="11"/>
  <c r="E420" i="11"/>
  <c r="E995" i="11"/>
  <c r="E569" i="11"/>
  <c r="E633" i="11"/>
  <c r="E697" i="11"/>
  <c r="E761" i="11"/>
  <c r="E244" i="11"/>
  <c r="F250" i="11"/>
  <c r="F338" i="11"/>
  <c r="E836" i="11"/>
  <c r="E644" i="11"/>
  <c r="G263" i="11"/>
  <c r="G415" i="11"/>
  <c r="G679" i="11"/>
  <c r="G837" i="11"/>
  <c r="G591" i="11"/>
  <c r="G684" i="11"/>
  <c r="G420" i="11"/>
  <c r="G434" i="11"/>
  <c r="G596" i="11"/>
  <c r="F508" i="11"/>
  <c r="R2" i="16" a="1"/>
  <c r="AB4" i="16" a="1"/>
  <c r="Q3" i="16"/>
  <c r="AA5" i="16"/>
  <c r="AB4" i="16" l="1"/>
  <c r="AL2" i="16" a="1"/>
  <c r="R2" i="16"/>
  <c r="W2" i="16" a="1"/>
  <c r="Q4" i="16"/>
  <c r="AA6" i="16"/>
  <c r="R3" i="16" a="1"/>
  <c r="AB5" i="16" a="1"/>
  <c r="Z297" i="16" l="1" a="1"/>
  <c r="Z297" i="16" s="1"/>
  <c r="Z298" i="16" a="1"/>
  <c r="Z298" i="16" s="1"/>
  <c r="Z295" i="16" a="1"/>
  <c r="Z295" i="16" s="1"/>
  <c r="Z296" i="16" a="1"/>
  <c r="Z296" i="16" s="1"/>
  <c r="Z293" i="16" a="1"/>
  <c r="Z293" i="16" s="1"/>
  <c r="Z294" i="16" a="1"/>
  <c r="Z294" i="16" s="1"/>
  <c r="Z291" i="16" a="1"/>
  <c r="Z291" i="16" s="1"/>
  <c r="Z292" i="16" a="1"/>
  <c r="Z292" i="16" s="1"/>
  <c r="Z283" i="16" a="1"/>
  <c r="Z283" i="16" s="1"/>
  <c r="Z284" i="16" a="1"/>
  <c r="Z284" i="16" s="1"/>
  <c r="Z285" i="16" a="1"/>
  <c r="Z285" i="16" s="1"/>
  <c r="Z286" i="16" a="1"/>
  <c r="Z286" i="16" s="1"/>
  <c r="Z287" i="16" a="1"/>
  <c r="Z287" i="16" s="1"/>
  <c r="Z290" i="16" a="1"/>
  <c r="Z290" i="16" s="1"/>
  <c r="Z288" i="16" a="1"/>
  <c r="Z288" i="16" s="1"/>
  <c r="Z289" i="16" a="1"/>
  <c r="Z289" i="16" s="1"/>
  <c r="Z282" i="16" a="1"/>
  <c r="Z282" i="16" s="1"/>
  <c r="Z281" i="16" a="1"/>
  <c r="Z281" i="16" s="1"/>
  <c r="Z278" i="16" a="1"/>
  <c r="Z278" i="16" s="1"/>
  <c r="Z280" i="16" a="1"/>
  <c r="Z280" i="16" s="1"/>
  <c r="Z279" i="16" a="1"/>
  <c r="Z279" i="16" s="1"/>
  <c r="Z276" i="16" a="1"/>
  <c r="Z276" i="16" s="1"/>
  <c r="Z277" i="16" a="1"/>
  <c r="Z277" i="16" s="1"/>
  <c r="AB5" i="16"/>
  <c r="AL2" i="16"/>
  <c r="Z275" i="16" s="1" a="1"/>
  <c r="Z275" i="16" s="1"/>
  <c r="W2" i="16"/>
  <c r="R3" i="16"/>
  <c r="AA7" i="16"/>
  <c r="AB6" i="16" a="1"/>
  <c r="R4" i="16" a="1"/>
  <c r="Q5" i="16"/>
  <c r="AB6" i="16" l="1"/>
  <c r="R4" i="16"/>
  <c r="AA8" i="16"/>
  <c r="AB7" i="16" a="1"/>
  <c r="R5" i="16" a="1"/>
  <c r="Q6" i="16"/>
  <c r="AB7" i="16" l="1"/>
  <c r="R5" i="16"/>
  <c r="R6" i="16" a="1"/>
  <c r="AA9" i="16"/>
  <c r="Q7" i="16"/>
  <c r="AB8" i="16" a="1"/>
  <c r="AB8" i="16" l="1"/>
  <c r="R6" i="16"/>
  <c r="R7" i="16" a="1"/>
  <c r="AB9" i="16" a="1"/>
  <c r="Q8" i="16"/>
  <c r="AA10" i="16"/>
  <c r="AB9" i="16" l="1"/>
  <c r="R7" i="16"/>
  <c r="AA11" i="16"/>
  <c r="R8" i="16" a="1"/>
  <c r="Q9" i="16"/>
  <c r="AB10" i="16" a="1"/>
  <c r="AB10" i="16" l="1"/>
  <c r="R8" i="16"/>
  <c r="AB11" i="16" a="1"/>
  <c r="AA12" i="16"/>
  <c r="R9" i="16" a="1"/>
  <c r="Q10" i="16"/>
  <c r="AB11" i="16" l="1"/>
  <c r="R9" i="16"/>
  <c r="AB12" i="16" a="1"/>
  <c r="Q11" i="16"/>
  <c r="AA13" i="16"/>
  <c r="R10" i="16" a="1"/>
  <c r="AB12" i="16" l="1"/>
  <c r="R10" i="16"/>
  <c r="AA14" i="16"/>
  <c r="AB13" i="16" a="1"/>
  <c r="Q12" i="16"/>
  <c r="R11" i="16" a="1"/>
  <c r="AB13" i="16" l="1"/>
  <c r="R11" i="16"/>
  <c r="AA15" i="16"/>
  <c r="R12" i="16" a="1"/>
  <c r="AB14" i="16" a="1"/>
  <c r="Q13" i="16"/>
  <c r="AB14" i="16" l="1"/>
  <c r="R12" i="16"/>
  <c r="AB15" i="16" a="1"/>
  <c r="R13" i="16" a="1"/>
  <c r="AA16" i="16"/>
  <c r="Q14" i="16"/>
  <c r="AB15" i="16" l="1"/>
  <c r="R13" i="16"/>
  <c r="AB16" i="16" a="1"/>
  <c r="R14" i="16" a="1"/>
  <c r="AA17" i="16"/>
  <c r="Q15" i="16"/>
  <c r="AB16" i="16" l="1"/>
  <c r="R14" i="16"/>
  <c r="AA18" i="16"/>
  <c r="Q16" i="16"/>
  <c r="R15" i="16" a="1"/>
  <c r="AB17" i="16" a="1"/>
  <c r="AB17" i="16" l="1"/>
  <c r="R15" i="16"/>
  <c r="AB18" i="16" a="1"/>
  <c r="R16" i="16" a="1"/>
  <c r="Q17" i="16"/>
  <c r="AA19" i="16"/>
  <c r="AB18" i="16" l="1"/>
  <c r="R16" i="16"/>
  <c r="R17" i="16" a="1"/>
  <c r="AB19" i="16" a="1"/>
  <c r="Q18" i="16"/>
  <c r="AA20" i="16"/>
  <c r="AB19" i="16" l="1"/>
  <c r="R17" i="16"/>
  <c r="AB20" i="16" a="1"/>
  <c r="AA21" i="16"/>
  <c r="R18" i="16" a="1"/>
  <c r="Q19" i="16"/>
  <c r="AB20" i="16" l="1"/>
  <c r="R18" i="16"/>
  <c r="AA22" i="16"/>
  <c r="Q20" i="16"/>
  <c r="R19" i="16" a="1"/>
  <c r="AB21" i="16" a="1"/>
  <c r="AB21" i="16" l="1"/>
  <c r="R19" i="16"/>
  <c r="Q21" i="16"/>
  <c r="AB22" i="16" a="1"/>
  <c r="R20" i="16" a="1"/>
  <c r="AA23" i="16"/>
  <c r="AB22" i="16" l="1"/>
  <c r="R20" i="16"/>
  <c r="AA24" i="16"/>
  <c r="R21" i="16" a="1"/>
  <c r="AB23" i="16" a="1"/>
  <c r="Q22" i="16"/>
  <c r="AB23" i="16" l="1"/>
  <c r="R21" i="16"/>
  <c r="AB24" i="16" a="1"/>
  <c r="AA25" i="16"/>
  <c r="Q23" i="16"/>
  <c r="R22" i="16" a="1"/>
  <c r="AB24" i="16" l="1"/>
  <c r="R22" i="16"/>
  <c r="R23" i="16" a="1"/>
  <c r="AA26" i="16"/>
  <c r="Q24" i="16"/>
  <c r="AB25" i="16" a="1"/>
  <c r="AB25" i="16" l="1"/>
  <c r="R23" i="16"/>
  <c r="AB26" i="16" a="1"/>
  <c r="R24" i="16" a="1"/>
  <c r="AA27" i="16"/>
  <c r="Q25" i="16"/>
  <c r="AB26" i="16" l="1"/>
  <c r="R24" i="16"/>
  <c r="R25" i="16" a="1"/>
  <c r="Q26" i="16"/>
  <c r="AB27" i="16" a="1"/>
  <c r="AA28" i="16"/>
  <c r="AB27" i="16" l="1"/>
  <c r="R25" i="16"/>
  <c r="AA29" i="16"/>
  <c r="Q27" i="16"/>
  <c r="AB28" i="16" a="1"/>
  <c r="R26" i="16" a="1"/>
  <c r="AB28" i="16" l="1"/>
  <c r="R26" i="16"/>
  <c r="AA30" i="16"/>
  <c r="AB29" i="16" a="1"/>
  <c r="R27" i="16" a="1"/>
  <c r="Q28" i="16"/>
  <c r="AB29" i="16" l="1"/>
  <c r="R27" i="16"/>
  <c r="AA31" i="16"/>
  <c r="AB30" i="16" a="1"/>
  <c r="Q29" i="16"/>
  <c r="R28" i="16" a="1"/>
  <c r="AB30" i="16" l="1"/>
  <c r="R28" i="16"/>
  <c r="AB31" i="16" a="1"/>
  <c r="AA32" i="16"/>
  <c r="R29" i="16" a="1"/>
  <c r="Q30" i="16"/>
  <c r="AB31" i="16" l="1"/>
  <c r="R29" i="16"/>
  <c r="AB32" i="16" a="1"/>
  <c r="R30" i="16" a="1"/>
  <c r="AA33" i="16"/>
  <c r="Q31" i="16"/>
  <c r="AB32" i="16" l="1"/>
  <c r="R30" i="16"/>
  <c r="Q32" i="16"/>
  <c r="R31" i="16" a="1"/>
  <c r="AB33" i="16" a="1"/>
  <c r="AA34" i="16"/>
  <c r="AB33" i="16" l="1"/>
  <c r="R31" i="16"/>
  <c r="AA35" i="16"/>
  <c r="R32" i="16" a="1"/>
  <c r="Q33" i="16"/>
  <c r="AB34" i="16" a="1"/>
  <c r="AB34" i="16" l="1"/>
  <c r="R32" i="16"/>
  <c r="Q34" i="16"/>
  <c r="AA36" i="16"/>
  <c r="R33" i="16" a="1"/>
  <c r="AB35" i="16" a="1"/>
  <c r="AB35" i="16" l="1"/>
  <c r="R33" i="16"/>
  <c r="AB36" i="16" a="1"/>
  <c r="AA37" i="16"/>
  <c r="R34" i="16" a="1"/>
  <c r="Q35" i="16"/>
  <c r="AB36" i="16" l="1"/>
  <c r="R34" i="16"/>
  <c r="AB37" i="16" a="1"/>
  <c r="Q36" i="16"/>
  <c r="AA38" i="16"/>
  <c r="R35" i="16" a="1"/>
  <c r="AB37" i="16" l="1"/>
  <c r="R35" i="16"/>
  <c r="Q37" i="16"/>
  <c r="R36" i="16" a="1"/>
  <c r="AB38" i="16" a="1"/>
  <c r="AA39" i="16"/>
  <c r="AB38" i="16" l="1"/>
  <c r="R36" i="16"/>
  <c r="R37" i="16" a="1"/>
  <c r="AB39" i="16" a="1"/>
  <c r="Q38" i="16"/>
  <c r="AA40" i="16"/>
  <c r="AB39" i="16" l="1"/>
  <c r="R37" i="16"/>
  <c r="R38" i="16" a="1"/>
  <c r="Q39" i="16"/>
  <c r="AB40" i="16" a="1"/>
  <c r="AA41" i="16"/>
  <c r="AB40" i="16" l="1"/>
  <c r="R38" i="16"/>
  <c r="AA42" i="16"/>
  <c r="R39" i="16" a="1"/>
  <c r="AB41" i="16" a="1"/>
  <c r="Q40" i="16"/>
  <c r="AB41" i="16" l="1"/>
  <c r="R39" i="16"/>
  <c r="Q41" i="16"/>
  <c r="AA43" i="16"/>
  <c r="AB42" i="16" a="1"/>
  <c r="R40" i="16" a="1"/>
  <c r="AB42" i="16" l="1"/>
  <c r="R40" i="16"/>
  <c r="AA44" i="16"/>
  <c r="Q42" i="16"/>
  <c r="R41" i="16" a="1"/>
  <c r="AB43" i="16" a="1"/>
  <c r="AB43" i="16" l="1"/>
  <c r="R41" i="16"/>
  <c r="AA45" i="16"/>
  <c r="Q43" i="16"/>
  <c r="R42" i="16" a="1"/>
  <c r="AB44" i="16" a="1"/>
  <c r="AB44" i="16" l="1"/>
  <c r="R42" i="16"/>
  <c r="Q44" i="16"/>
  <c r="AB45" i="16" a="1"/>
  <c r="AA46" i="16"/>
  <c r="R43" i="16" a="1"/>
  <c r="AB45" i="16" l="1"/>
  <c r="R43" i="16"/>
  <c r="Q45" i="16"/>
  <c r="AA47" i="16"/>
  <c r="AB46" i="16" a="1"/>
  <c r="R44" i="16" a="1"/>
  <c r="AB46" i="16" l="1"/>
  <c r="R44" i="16"/>
  <c r="Q46" i="16"/>
  <c r="R45" i="16" a="1"/>
  <c r="AA48" i="16"/>
  <c r="AB47" i="16" a="1"/>
  <c r="AB47" i="16" l="1"/>
  <c r="R45" i="16"/>
  <c r="AB48" i="16" a="1"/>
  <c r="AA49" i="16"/>
  <c r="R46" i="16" a="1"/>
  <c r="Q47" i="16"/>
  <c r="AB48" i="16" l="1"/>
  <c r="R46" i="16"/>
  <c r="AA50" i="16"/>
  <c r="R47" i="16" a="1"/>
  <c r="AB49" i="16" a="1"/>
  <c r="Q48" i="16"/>
  <c r="AB49" i="16" l="1"/>
  <c r="R47" i="16"/>
  <c r="AB50" i="16" a="1"/>
  <c r="Q49" i="16"/>
  <c r="AA51" i="16"/>
  <c r="R48" i="16" a="1"/>
  <c r="AB50" i="16" l="1"/>
  <c r="R48" i="16"/>
  <c r="Q50" i="16"/>
  <c r="AA52" i="16"/>
  <c r="AB51" i="16" a="1"/>
  <c r="R49" i="16" a="1"/>
  <c r="AB51" i="16" l="1"/>
  <c r="R49" i="16"/>
  <c r="AA53" i="16"/>
  <c r="Q51" i="16"/>
  <c r="AB52" i="16" a="1"/>
  <c r="R50" i="16" a="1"/>
  <c r="AB52" i="16" l="1"/>
  <c r="R50" i="16"/>
  <c r="R51" i="16" a="1"/>
  <c r="Q52" i="16"/>
  <c r="AB53" i="16" a="1"/>
  <c r="AA54" i="16"/>
  <c r="AB53" i="16" l="1"/>
  <c r="R51" i="16"/>
  <c r="AB54" i="16" a="1"/>
  <c r="R52" i="16" a="1"/>
  <c r="Q53" i="16"/>
  <c r="AA55" i="16"/>
  <c r="AB54" i="16" l="1"/>
  <c r="R52" i="16"/>
  <c r="AA56" i="16"/>
  <c r="R53" i="16" a="1"/>
  <c r="AB55" i="16" a="1"/>
  <c r="Q54" i="16"/>
  <c r="AB55" i="16" l="1"/>
  <c r="R53" i="16"/>
  <c r="Q55" i="16"/>
  <c r="R54" i="16" a="1"/>
  <c r="AA57" i="16"/>
  <c r="AB56" i="16" a="1"/>
  <c r="AB56" i="16" l="1"/>
  <c r="R54" i="16"/>
  <c r="AB57" i="16" a="1"/>
  <c r="R55" i="16" a="1"/>
  <c r="AA58" i="16"/>
  <c r="Q56" i="16"/>
  <c r="AB57" i="16" l="1"/>
  <c r="R55" i="16"/>
  <c r="AA59" i="16"/>
  <c r="Q57" i="16"/>
  <c r="R56" i="16" a="1"/>
  <c r="AB58" i="16" a="1"/>
  <c r="AB58" i="16" l="1"/>
  <c r="R56" i="16"/>
  <c r="AA60" i="16"/>
  <c r="R57" i="16" a="1"/>
  <c r="AB59" i="16" a="1"/>
  <c r="Q58" i="16"/>
  <c r="AB59" i="16" l="1"/>
  <c r="R57" i="16"/>
  <c r="R58" i="16" a="1"/>
  <c r="AA61" i="16"/>
  <c r="AB60" i="16" a="1"/>
  <c r="Q59" i="16"/>
  <c r="AB60" i="16" l="1"/>
  <c r="R58" i="16"/>
  <c r="AB61" i="16" a="1"/>
  <c r="Q60" i="16"/>
  <c r="R59" i="16" a="1"/>
  <c r="AA62" i="16"/>
  <c r="AB61" i="16" l="1"/>
  <c r="R59" i="16"/>
  <c r="AB62" i="16" a="1"/>
  <c r="Q61" i="16"/>
  <c r="R60" i="16" a="1"/>
  <c r="AA63" i="16"/>
  <c r="AB62" i="16" l="1"/>
  <c r="R60" i="16"/>
  <c r="Q62" i="16"/>
  <c r="AA64" i="16"/>
  <c r="R61" i="16" a="1"/>
  <c r="AB63" i="16" a="1"/>
  <c r="AB63" i="16" l="1"/>
  <c r="R61" i="16"/>
  <c r="AB64" i="16" a="1"/>
  <c r="R62" i="16" a="1"/>
  <c r="Q63" i="16"/>
  <c r="AA65" i="16"/>
  <c r="AB64" i="16" l="1"/>
  <c r="R62" i="16"/>
  <c r="AB65" i="16" a="1"/>
  <c r="R63" i="16" a="1"/>
  <c r="Q64" i="16"/>
  <c r="AA66" i="16"/>
  <c r="AB65" i="16" l="1"/>
  <c r="R63" i="16"/>
  <c r="AB66" i="16" a="1"/>
  <c r="Q65" i="16"/>
  <c r="R64" i="16" a="1"/>
  <c r="AA67" i="16"/>
  <c r="AB66" i="16" l="1"/>
  <c r="R64" i="16"/>
  <c r="R65" i="16" a="1"/>
  <c r="Q66" i="16"/>
  <c r="AB67" i="16" a="1"/>
  <c r="AA68" i="16"/>
  <c r="AB67" i="16" l="1"/>
  <c r="R65" i="16"/>
  <c r="AA69" i="16"/>
  <c r="AB68" i="16" a="1"/>
  <c r="R66" i="16" a="1"/>
  <c r="Q67" i="16"/>
  <c r="AB68" i="16" l="1"/>
  <c r="R66" i="16"/>
  <c r="Q68" i="16"/>
  <c r="R67" i="16" a="1"/>
  <c r="AA70" i="16"/>
  <c r="AB69" i="16" a="1"/>
  <c r="AB69" i="16" l="1"/>
  <c r="R67" i="16"/>
  <c r="Q69" i="16"/>
  <c r="R68" i="16" a="1"/>
  <c r="AB70" i="16" a="1"/>
  <c r="AA71" i="16"/>
  <c r="AB70" i="16" l="1"/>
  <c r="R68" i="16"/>
  <c r="AA72" i="16"/>
  <c r="Q70" i="16"/>
  <c r="AB71" i="16" a="1"/>
  <c r="R69" i="16" a="1"/>
  <c r="AB71" i="16" l="1"/>
  <c r="R69" i="16"/>
  <c r="R70" i="16" a="1"/>
  <c r="AA73" i="16"/>
  <c r="Q71" i="16"/>
  <c r="AB72" i="16" a="1"/>
  <c r="AB72" i="16" l="1"/>
  <c r="R70" i="16"/>
  <c r="R71" i="16" a="1"/>
  <c r="Q72" i="16"/>
  <c r="AA74" i="16"/>
  <c r="AB73" i="16" a="1"/>
  <c r="AB73" i="16" l="1"/>
  <c r="R71" i="16"/>
  <c r="R72" i="16" a="1"/>
  <c r="AB74" i="16" a="1"/>
  <c r="AA75" i="16"/>
  <c r="Q73" i="16"/>
  <c r="AB74" i="16" l="1"/>
  <c r="R72" i="16"/>
  <c r="R73" i="16" a="1"/>
  <c r="AA76" i="16"/>
  <c r="AB75" i="16" a="1"/>
  <c r="Q74" i="16"/>
  <c r="AB75" i="16" l="1"/>
  <c r="R73" i="16"/>
  <c r="AA77" i="16"/>
  <c r="R74" i="16" a="1"/>
  <c r="AB76" i="16" a="1"/>
  <c r="Q75" i="16"/>
  <c r="AB76" i="16" l="1"/>
  <c r="R74" i="16"/>
  <c r="AB77" i="16" a="1"/>
  <c r="Q76" i="16"/>
  <c r="R75" i="16" a="1"/>
  <c r="AA78" i="16"/>
  <c r="AB77" i="16" l="1"/>
  <c r="R75" i="16"/>
  <c r="R76" i="16" a="1"/>
  <c r="Q77" i="16"/>
  <c r="AA79" i="16"/>
  <c r="AB78" i="16" a="1"/>
  <c r="AB78" i="16" l="1"/>
  <c r="R76" i="16"/>
  <c r="AA80" i="16"/>
  <c r="Q78" i="16"/>
  <c r="R77" i="16" a="1"/>
  <c r="AB79" i="16" a="1"/>
  <c r="AB79" i="16" l="1"/>
  <c r="R77" i="16"/>
  <c r="AA81" i="16"/>
  <c r="R78" i="16" a="1"/>
  <c r="AB80" i="16" a="1"/>
  <c r="Q79" i="16"/>
  <c r="AB80" i="16" l="1"/>
  <c r="R78" i="16"/>
  <c r="AB81" i="16" a="1"/>
  <c r="AA82" i="16"/>
  <c r="R79" i="16" a="1"/>
  <c r="Q80" i="16"/>
  <c r="AB81" i="16" l="1"/>
  <c r="R79" i="16"/>
  <c r="R80" i="16" a="1"/>
  <c r="Q81" i="16"/>
  <c r="AA83" i="16"/>
  <c r="AB82" i="16" a="1"/>
  <c r="AB82" i="16" l="1"/>
  <c r="R80" i="16"/>
  <c r="R81" i="16" a="1"/>
  <c r="AB83" i="16" a="1"/>
  <c r="AA84" i="16"/>
  <c r="Q82" i="16"/>
  <c r="AB83" i="16" l="1"/>
  <c r="R81" i="16"/>
  <c r="Q83" i="16"/>
  <c r="AA85" i="16"/>
  <c r="R82" i="16" a="1"/>
  <c r="AB84" i="16" a="1"/>
  <c r="AB84" i="16" l="1"/>
  <c r="R82" i="16"/>
  <c r="Q84" i="16"/>
  <c r="AB85" i="16" a="1"/>
  <c r="R83" i="16" a="1"/>
  <c r="AA86" i="16"/>
  <c r="AB85" i="16" l="1"/>
  <c r="R83" i="16"/>
  <c r="Q85" i="16"/>
  <c r="AA87" i="16"/>
  <c r="R84" i="16" a="1"/>
  <c r="AB86" i="16" a="1"/>
  <c r="AB86" i="16" l="1"/>
  <c r="R84" i="16"/>
  <c r="AB87" i="16" a="1"/>
  <c r="AA88" i="16"/>
  <c r="Q86" i="16"/>
  <c r="R85" i="16" a="1"/>
  <c r="AB87" i="16" l="1"/>
  <c r="R85" i="16"/>
  <c r="Q87" i="16"/>
  <c r="AB88" i="16" a="1"/>
  <c r="R86" i="16" a="1"/>
  <c r="AA89" i="16"/>
  <c r="AB88" i="16" l="1"/>
  <c r="R86" i="16"/>
  <c r="AA90" i="16"/>
  <c r="R87" i="16" a="1"/>
  <c r="AB89" i="16" a="1"/>
  <c r="Q88" i="16"/>
  <c r="AB89" i="16" l="1"/>
  <c r="R87" i="16"/>
  <c r="AA91" i="16"/>
  <c r="AB90" i="16" a="1"/>
  <c r="R88" i="16" a="1"/>
  <c r="Q89" i="16"/>
  <c r="AB90" i="16" l="1"/>
  <c r="R88" i="16"/>
  <c r="Q90" i="16"/>
  <c r="AB91" i="16" a="1"/>
  <c r="R89" i="16" a="1"/>
  <c r="AA92" i="16"/>
  <c r="AB91" i="16" l="1"/>
  <c r="R89" i="16"/>
  <c r="AA93" i="16"/>
  <c r="Q91" i="16"/>
  <c r="AB92" i="16" a="1"/>
  <c r="R90" i="16" a="1"/>
  <c r="AB92" i="16" l="1"/>
  <c r="R90" i="16"/>
  <c r="Q92" i="16"/>
  <c r="AA94" i="16"/>
  <c r="R91" i="16" a="1"/>
  <c r="AB93" i="16" a="1"/>
  <c r="AB93" i="16" l="1"/>
  <c r="R91" i="16"/>
  <c r="R92" i="16" a="1"/>
  <c r="Q93" i="16"/>
  <c r="AA95" i="16"/>
  <c r="AB94" i="16" a="1"/>
  <c r="AB94" i="16" l="1"/>
  <c r="R92" i="16"/>
  <c r="R93" i="16" a="1"/>
  <c r="AB95" i="16" a="1"/>
  <c r="AA96" i="16"/>
  <c r="Q94" i="16"/>
  <c r="AB95" i="16" l="1"/>
  <c r="R93" i="16"/>
  <c r="Q95" i="16"/>
  <c r="R94" i="16" a="1"/>
  <c r="AA97" i="16"/>
  <c r="AB96" i="16" a="1"/>
  <c r="AB96" i="16" l="1"/>
  <c r="R94" i="16"/>
  <c r="AA98" i="16"/>
  <c r="R95" i="16" a="1"/>
  <c r="AB97" i="16" a="1"/>
  <c r="Q96" i="16"/>
  <c r="AB97" i="16" l="1"/>
  <c r="R95" i="16"/>
  <c r="Q97" i="16"/>
  <c r="AB98" i="16" a="1"/>
  <c r="R96" i="16" a="1"/>
  <c r="AA99" i="16"/>
  <c r="AB98" i="16" l="1"/>
  <c r="R96" i="16"/>
  <c r="Q98" i="16"/>
  <c r="AA100" i="16"/>
  <c r="AB99" i="16" a="1"/>
  <c r="R97" i="16" a="1"/>
  <c r="AB99" i="16" l="1"/>
  <c r="R97" i="16"/>
  <c r="AB100" i="16" a="1"/>
  <c r="R98" i="16" a="1"/>
  <c r="AA101" i="16"/>
  <c r="Q99" i="16"/>
  <c r="AB100" i="16" l="1"/>
  <c r="R98" i="16"/>
  <c r="Q100" i="16"/>
  <c r="AB101" i="16" a="1"/>
  <c r="R99" i="16" a="1"/>
  <c r="AA102" i="16"/>
  <c r="AB101" i="16" l="1"/>
  <c r="R99" i="16"/>
  <c r="AB102" i="16" a="1"/>
  <c r="Q101" i="16"/>
  <c r="R100" i="16" a="1"/>
  <c r="AA103" i="16"/>
  <c r="AB102" i="16" l="1"/>
  <c r="R100" i="16"/>
  <c r="R101" i="16" a="1"/>
  <c r="AB103" i="16" a="1"/>
  <c r="Q102" i="16"/>
  <c r="AA104" i="16"/>
  <c r="AB103" i="16" l="1"/>
  <c r="R101" i="16"/>
  <c r="Q103" i="16"/>
  <c r="AB104" i="16" a="1"/>
  <c r="R102" i="16" a="1"/>
  <c r="AA105" i="16"/>
  <c r="AB104" i="16" l="1"/>
  <c r="R102" i="16"/>
  <c r="R103" i="16" a="1"/>
  <c r="AA106" i="16"/>
  <c r="AB105" i="16" a="1"/>
  <c r="Q104" i="16"/>
  <c r="AB105" i="16" l="1"/>
  <c r="R103" i="16"/>
  <c r="Q105" i="16"/>
  <c r="AB106" i="16" a="1"/>
  <c r="R104" i="16" a="1"/>
  <c r="AA107" i="16"/>
  <c r="AB106" i="16" l="1"/>
  <c r="R104" i="16"/>
  <c r="AB107" i="16" a="1"/>
  <c r="AA108" i="16"/>
  <c r="Q106" i="16"/>
  <c r="R105" i="16" a="1"/>
  <c r="AB107" i="16" l="1"/>
  <c r="R105" i="16"/>
  <c r="Q107" i="16"/>
  <c r="AA109" i="16"/>
  <c r="AB108" i="16" a="1"/>
  <c r="R106" i="16" a="1"/>
  <c r="AB108" i="16" l="1"/>
  <c r="R106" i="16"/>
  <c r="R107" i="16" a="1"/>
  <c r="AA110" i="16"/>
  <c r="Q108" i="16"/>
  <c r="AB109" i="16" a="1"/>
  <c r="AB109" i="16" l="1"/>
  <c r="R107" i="16"/>
  <c r="Q109" i="16"/>
  <c r="AB110" i="16" a="1"/>
  <c r="R108" i="16" a="1"/>
  <c r="AA111" i="16"/>
  <c r="AB110" i="16" l="1"/>
  <c r="R108" i="16"/>
  <c r="Q110" i="16"/>
  <c r="R109" i="16" a="1"/>
  <c r="AB111" i="16" a="1"/>
  <c r="AA112" i="16"/>
  <c r="AB111" i="16" l="1"/>
  <c r="R109" i="16"/>
  <c r="AB112" i="16" a="1"/>
  <c r="R110" i="16" a="1"/>
  <c r="Q111" i="16"/>
  <c r="AA113" i="16"/>
  <c r="AB112" i="16" l="1"/>
  <c r="R110" i="16"/>
  <c r="Q112" i="16"/>
  <c r="AB113" i="16" a="1"/>
  <c r="R111" i="16" a="1"/>
  <c r="AA114" i="16"/>
  <c r="AB113" i="16" l="1"/>
  <c r="R111" i="16"/>
  <c r="AA115" i="16"/>
  <c r="R112" i="16" a="1"/>
  <c r="Q113" i="16"/>
  <c r="AB114" i="16" a="1"/>
  <c r="AB114" i="16" l="1"/>
  <c r="R112" i="16"/>
  <c r="AA116" i="16"/>
  <c r="AB115" i="16" a="1"/>
  <c r="Q114" i="16"/>
  <c r="R113" i="16" a="1"/>
  <c r="AB115" i="16" l="1"/>
  <c r="R113" i="16"/>
  <c r="AA117" i="16"/>
  <c r="R114" i="16" a="1"/>
  <c r="Q115" i="16"/>
  <c r="AB116" i="16" a="1"/>
  <c r="AB116" i="16" l="1"/>
  <c r="R114" i="16"/>
  <c r="AB117" i="16" a="1"/>
  <c r="AA118" i="16"/>
  <c r="R115" i="16" a="1"/>
  <c r="Q116" i="16"/>
  <c r="AB117" i="16" l="1"/>
  <c r="R115" i="16"/>
  <c r="R116" i="16" a="1"/>
  <c r="Q117" i="16"/>
  <c r="AB118" i="16" a="1"/>
  <c r="AA119" i="16"/>
  <c r="AB118" i="16" l="1"/>
  <c r="R116" i="16"/>
  <c r="R117" i="16" a="1"/>
  <c r="Q118" i="16"/>
  <c r="AB119" i="16" a="1"/>
  <c r="AA120" i="16"/>
  <c r="AB119" i="16" l="1"/>
  <c r="R117" i="16"/>
  <c r="Q119" i="16"/>
  <c r="R118" i="16" a="1"/>
  <c r="AA121" i="16"/>
  <c r="AB120" i="16" a="1"/>
  <c r="AB120" i="16" l="1"/>
  <c r="R118" i="16"/>
  <c r="AA122" i="16"/>
  <c r="R119" i="16" a="1"/>
  <c r="Q120" i="16"/>
  <c r="AB121" i="16" a="1"/>
  <c r="AB121" i="16" l="1"/>
  <c r="R119" i="16"/>
  <c r="R120" i="16" a="1"/>
  <c r="AA123" i="16"/>
  <c r="Q121" i="16"/>
  <c r="AB122" i="16" a="1"/>
  <c r="AB122" i="16" l="1"/>
  <c r="R120" i="16"/>
  <c r="Q122" i="16"/>
  <c r="AA124" i="16"/>
  <c r="R121" i="16" a="1"/>
  <c r="AB123" i="16" a="1"/>
  <c r="AB123" i="16" l="1"/>
  <c r="R121" i="16"/>
  <c r="AA125" i="16"/>
  <c r="R122" i="16" a="1"/>
  <c r="AB124" i="16" a="1"/>
  <c r="Q123" i="16"/>
  <c r="AB124" i="16" l="1"/>
  <c r="R122" i="16"/>
  <c r="Q124" i="16"/>
  <c r="AB125" i="16" a="1"/>
  <c r="R123" i="16" a="1"/>
  <c r="AA126" i="16"/>
  <c r="AB125" i="16" l="1"/>
  <c r="R123" i="16"/>
  <c r="Q125" i="16"/>
  <c r="R124" i="16" a="1"/>
  <c r="AB126" i="16" a="1"/>
  <c r="AA127" i="16"/>
  <c r="AB126" i="16" l="1"/>
  <c r="R124" i="16"/>
  <c r="Q126" i="16"/>
  <c r="AA128" i="16"/>
  <c r="AB127" i="16" a="1"/>
  <c r="R125" i="16" a="1"/>
  <c r="AB127" i="16" l="1"/>
  <c r="R125" i="16"/>
  <c r="AB128" i="16" a="1"/>
  <c r="AA129" i="16"/>
  <c r="Q127" i="16"/>
  <c r="R126" i="16" a="1"/>
  <c r="AB128" i="16" l="1"/>
  <c r="R126" i="16"/>
  <c r="AB129" i="16" a="1"/>
  <c r="Q128" i="16"/>
  <c r="R127" i="16" a="1"/>
  <c r="AA130" i="16"/>
  <c r="AB129" i="16" l="1"/>
  <c r="R127" i="16"/>
  <c r="R128" i="16" a="1"/>
  <c r="AA131" i="16"/>
  <c r="AB130" i="16" a="1"/>
  <c r="Q129" i="16"/>
  <c r="AB130" i="16" l="1"/>
  <c r="R128" i="16"/>
  <c r="R129" i="16" a="1"/>
  <c r="AA132" i="16"/>
  <c r="Q130" i="16"/>
  <c r="AB131" i="16" a="1"/>
  <c r="AB131" i="16" l="1"/>
  <c r="R129" i="16"/>
  <c r="R130" i="16" a="1"/>
  <c r="AB132" i="16" a="1"/>
  <c r="AA133" i="16"/>
  <c r="Q131" i="16"/>
  <c r="AB132" i="16" l="1"/>
  <c r="R130" i="16"/>
  <c r="R131" i="16" a="1"/>
  <c r="AA134" i="16"/>
  <c r="Q132" i="16"/>
  <c r="AB133" i="16" a="1"/>
  <c r="AB133" i="16" l="1"/>
  <c r="R131" i="16"/>
  <c r="Q133" i="16"/>
  <c r="AA135" i="16"/>
  <c r="R132" i="16" a="1"/>
  <c r="AB134" i="16" a="1"/>
  <c r="AB134" i="16" l="1"/>
  <c r="R132" i="16"/>
  <c r="AB135" i="16" a="1"/>
  <c r="R133" i="16" a="1"/>
  <c r="Q134" i="16"/>
  <c r="AA136" i="16"/>
  <c r="AB135" i="16" l="1"/>
  <c r="R133" i="16"/>
  <c r="Q135" i="16"/>
  <c r="R134" i="16" a="1"/>
  <c r="AA137" i="16"/>
  <c r="AB136" i="16" a="1"/>
  <c r="AB136" i="16" l="1"/>
  <c r="R134" i="16"/>
  <c r="AA138" i="16"/>
  <c r="R135" i="16" a="1"/>
  <c r="AB137" i="16" a="1"/>
  <c r="Q136" i="16"/>
  <c r="AB137" i="16" l="1"/>
  <c r="R135" i="16"/>
  <c r="R136" i="16" a="1"/>
  <c r="AA139" i="16"/>
  <c r="AB138" i="16" a="1"/>
  <c r="Q137" i="16"/>
  <c r="AB138" i="16" l="1"/>
  <c r="R136" i="16"/>
  <c r="R137" i="16" a="1"/>
  <c r="AA140" i="16"/>
  <c r="AB139" i="16" a="1"/>
  <c r="Q138" i="16"/>
  <c r="AB139" i="16" l="1"/>
  <c r="R137" i="16"/>
  <c r="Q139" i="16"/>
  <c r="AB140" i="16" a="1"/>
  <c r="R138" i="16" a="1"/>
  <c r="AA141" i="16"/>
  <c r="AB140" i="16" l="1"/>
  <c r="R138" i="16"/>
  <c r="AB141" i="16" a="1"/>
  <c r="AA142" i="16"/>
  <c r="R139" i="16" a="1"/>
  <c r="Q140" i="16"/>
  <c r="AB141" i="16" l="1"/>
  <c r="R139" i="16"/>
  <c r="Q141" i="16"/>
  <c r="AA143" i="16"/>
  <c r="AB142" i="16" a="1"/>
  <c r="R140" i="16" a="1"/>
  <c r="AB142" i="16" l="1"/>
  <c r="R140" i="16"/>
  <c r="AB143" i="16" a="1"/>
  <c r="Q142" i="16"/>
  <c r="R141" i="16" a="1"/>
  <c r="AA144" i="16"/>
  <c r="AB143" i="16" l="1"/>
  <c r="R141" i="16"/>
  <c r="Q143" i="16"/>
  <c r="R142" i="16" a="1"/>
  <c r="AB144" i="16" a="1"/>
  <c r="AA145" i="16"/>
  <c r="AB144" i="16" l="1"/>
  <c r="R142" i="16"/>
  <c r="Q144" i="16"/>
  <c r="R143" i="16" a="1"/>
  <c r="AA146" i="16"/>
  <c r="AB145" i="16" a="1"/>
  <c r="AB145" i="16" l="1"/>
  <c r="R143" i="16"/>
  <c r="Q145" i="16"/>
  <c r="AB146" i="16" a="1"/>
  <c r="R144" i="16" a="1"/>
  <c r="AA147" i="16"/>
  <c r="AB146" i="16" l="1"/>
  <c r="R144" i="16"/>
  <c r="AB147" i="16" a="1"/>
  <c r="AA148" i="16"/>
  <c r="Q146" i="16"/>
  <c r="R145" i="16" a="1"/>
  <c r="AB147" i="16" l="1"/>
  <c r="R145" i="16"/>
  <c r="Q147" i="16"/>
  <c r="AA149" i="16"/>
  <c r="AB148" i="16" a="1"/>
  <c r="R146" i="16" a="1"/>
  <c r="AB148" i="16" l="1"/>
  <c r="R146" i="16"/>
  <c r="AA150" i="16"/>
  <c r="R147" i="16" a="1"/>
  <c r="AB149" i="16" a="1"/>
  <c r="Q148" i="16"/>
  <c r="AB149" i="16" l="1"/>
  <c r="R147" i="16"/>
  <c r="Q149" i="16"/>
  <c r="R148" i="16" a="1"/>
  <c r="AA151" i="16"/>
  <c r="AB150" i="16" a="1"/>
  <c r="AB150" i="16" l="1"/>
  <c r="R148" i="16"/>
  <c r="R149" i="16" a="1"/>
  <c r="Q150" i="16"/>
  <c r="AA152" i="16"/>
  <c r="AB151" i="16" a="1"/>
  <c r="AB151" i="16" l="1"/>
  <c r="R149" i="16"/>
  <c r="R150" i="16" a="1"/>
  <c r="AB152" i="16" a="1"/>
  <c r="Q151" i="16"/>
  <c r="AA153" i="16"/>
  <c r="AB152" i="16" l="1"/>
  <c r="R150" i="16"/>
  <c r="R151" i="16" a="1"/>
  <c r="AA154" i="16"/>
  <c r="AB153" i="16" a="1"/>
  <c r="Q152" i="16"/>
  <c r="AB153" i="16" l="1"/>
  <c r="R151" i="16"/>
  <c r="R152" i="16" a="1"/>
  <c r="Q153" i="16"/>
  <c r="AB154" i="16" a="1"/>
  <c r="AA155" i="16"/>
  <c r="AB154" i="16" l="1"/>
  <c r="R152" i="16"/>
  <c r="R153" i="16" a="1"/>
  <c r="AB155" i="16" a="1"/>
  <c r="AA156" i="16"/>
  <c r="Q154" i="16"/>
  <c r="AB155" i="16" l="1"/>
  <c r="R153" i="16"/>
  <c r="AB156" i="16" a="1"/>
  <c r="AA157" i="16"/>
  <c r="R154" i="16" a="1"/>
  <c r="Q155" i="16"/>
  <c r="AB156" i="16" l="1"/>
  <c r="R154" i="16"/>
  <c r="AB157" i="16" a="1"/>
  <c r="AA158" i="16"/>
  <c r="Q156" i="16"/>
  <c r="R155" i="16" a="1"/>
  <c r="AB157" i="16" l="1"/>
  <c r="R155" i="16"/>
  <c r="AB158" i="16" a="1"/>
  <c r="R156" i="16" a="1"/>
  <c r="Q157" i="16"/>
  <c r="AA159" i="16"/>
  <c r="AB158" i="16" l="1"/>
  <c r="R156" i="16"/>
  <c r="AB159" i="16" a="1"/>
  <c r="AA160" i="16"/>
  <c r="R157" i="16" a="1"/>
  <c r="Q158" i="16"/>
  <c r="AB159" i="16" l="1"/>
  <c r="R157" i="16"/>
  <c r="AA161" i="16"/>
  <c r="R158" i="16" a="1"/>
  <c r="Q159" i="16"/>
  <c r="AB160" i="16" a="1"/>
  <c r="AB160" i="16" l="1"/>
  <c r="R158" i="16"/>
  <c r="R159" i="16" a="1"/>
  <c r="AA162" i="16"/>
  <c r="Q160" i="16"/>
  <c r="AB161" i="16" a="1"/>
  <c r="AB161" i="16" l="1"/>
  <c r="R159" i="16"/>
  <c r="AA163" i="16"/>
  <c r="R160" i="16" a="1"/>
  <c r="Q161" i="16"/>
  <c r="AB162" i="16" a="1"/>
  <c r="AB162" i="16" l="1"/>
  <c r="R160" i="16"/>
  <c r="AA164" i="16"/>
  <c r="Q162" i="16"/>
  <c r="R161" i="16" a="1"/>
  <c r="AB163" i="16" a="1"/>
  <c r="AB163" i="16" l="1"/>
  <c r="R161" i="16"/>
  <c r="Q163" i="16"/>
  <c r="AB164" i="16" a="1"/>
  <c r="R162" i="16" a="1"/>
  <c r="AA165" i="16"/>
  <c r="AB164" i="16" l="1"/>
  <c r="R162" i="16"/>
  <c r="AB165" i="16" a="1"/>
  <c r="Q164" i="16"/>
  <c r="AA166" i="16"/>
  <c r="R163" i="16" a="1"/>
  <c r="AB165" i="16" l="1"/>
  <c r="R163" i="16"/>
  <c r="AA167" i="16"/>
  <c r="AB166" i="16" a="1"/>
  <c r="Q165" i="16"/>
  <c r="R164" i="16" a="1"/>
  <c r="AB166" i="16" l="1"/>
  <c r="R164" i="16"/>
  <c r="Q166" i="16"/>
  <c r="R165" i="16" a="1"/>
  <c r="AB167" i="16" a="1"/>
  <c r="AA168" i="16"/>
  <c r="AB167" i="16" l="1"/>
  <c r="R165" i="16"/>
  <c r="Q167" i="16"/>
  <c r="AA169" i="16"/>
  <c r="R166" i="16" a="1"/>
  <c r="AB168" i="16" a="1"/>
  <c r="AB168" i="16" l="1"/>
  <c r="R166" i="16"/>
  <c r="AA170" i="16"/>
  <c r="AB169" i="16" a="1"/>
  <c r="Q168" i="16"/>
  <c r="R167" i="16" a="1"/>
  <c r="AB169" i="16" l="1"/>
  <c r="R167" i="16"/>
  <c r="AB170" i="16" a="1"/>
  <c r="AA171" i="16"/>
  <c r="R168" i="16" a="1"/>
  <c r="Q169" i="16"/>
  <c r="AB170" i="16" l="1"/>
  <c r="R168" i="16"/>
  <c r="AA172" i="16"/>
  <c r="R169" i="16" a="1"/>
  <c r="Q170" i="16"/>
  <c r="AB171" i="16" a="1"/>
  <c r="AB171" i="16" l="1"/>
  <c r="R169" i="16"/>
  <c r="AA173" i="16"/>
  <c r="R170" i="16" a="1"/>
  <c r="Q171" i="16"/>
  <c r="AB172" i="16" a="1"/>
  <c r="AB172" i="16" l="1"/>
  <c r="R170" i="16"/>
  <c r="AB173" i="16" a="1"/>
  <c r="AA174" i="16"/>
  <c r="R171" i="16" a="1"/>
  <c r="Q172" i="16"/>
  <c r="AB173" i="16" l="1"/>
  <c r="R171" i="16"/>
  <c r="Q173" i="16"/>
  <c r="AA175" i="16"/>
  <c r="AB174" i="16" a="1"/>
  <c r="R172" i="16" a="1"/>
  <c r="AB174" i="16" l="1"/>
  <c r="R172" i="16"/>
  <c r="Q174" i="16"/>
  <c r="R173" i="16" a="1"/>
  <c r="AB175" i="16" a="1"/>
  <c r="AA176" i="16"/>
  <c r="AB175" i="16" l="1"/>
  <c r="R173" i="16"/>
  <c r="Q175" i="16"/>
  <c r="R174" i="16" a="1"/>
  <c r="AA177" i="16"/>
  <c r="AB176" i="16" a="1"/>
  <c r="AB176" i="16" l="1"/>
  <c r="R174" i="16"/>
  <c r="Q176" i="16"/>
  <c r="AB177" i="16" a="1"/>
  <c r="AA178" i="16"/>
  <c r="R175" i="16" a="1"/>
  <c r="AB177" i="16" l="1"/>
  <c r="R175" i="16"/>
  <c r="AA179" i="16"/>
  <c r="Q177" i="16"/>
  <c r="AB178" i="16" a="1"/>
  <c r="R176" i="16" a="1"/>
  <c r="AB178" i="16" l="1"/>
  <c r="R176" i="16"/>
  <c r="AB179" i="16" a="1"/>
  <c r="Q178" i="16"/>
  <c r="AA180" i="16"/>
  <c r="R177" i="16" a="1"/>
  <c r="AB179" i="16" l="1"/>
  <c r="R177" i="16"/>
  <c r="AA181" i="16"/>
  <c r="AB180" i="16" a="1"/>
  <c r="Q179" i="16"/>
  <c r="R178" i="16" a="1"/>
  <c r="AB180" i="16" l="1"/>
  <c r="R178" i="16"/>
  <c r="AA182" i="16"/>
  <c r="R179" i="16" a="1"/>
  <c r="Q180" i="16"/>
  <c r="AB181" i="16" a="1"/>
  <c r="AB181" i="16" l="1"/>
  <c r="R179" i="16"/>
  <c r="R180" i="16" a="1"/>
  <c r="AA183" i="16"/>
  <c r="Q181" i="16"/>
  <c r="AB182" i="16" a="1"/>
  <c r="AB182" i="16" l="1"/>
  <c r="R180" i="16"/>
  <c r="Q182" i="16"/>
  <c r="R181" i="16" a="1"/>
  <c r="AB183" i="16" a="1"/>
  <c r="AA184" i="16"/>
  <c r="AB183" i="16" l="1"/>
  <c r="R181" i="16"/>
  <c r="AB184" i="16" a="1"/>
  <c r="AA185" i="16"/>
  <c r="Q183" i="16"/>
  <c r="R182" i="16" a="1"/>
  <c r="AB184" i="16" l="1"/>
  <c r="R182" i="16"/>
  <c r="AA186" i="16"/>
  <c r="Q184" i="16"/>
  <c r="R183" i="16" a="1"/>
  <c r="AB185" i="16" a="1"/>
  <c r="AB185" i="16" l="1"/>
  <c r="R183" i="16"/>
  <c r="R184" i="16" a="1"/>
  <c r="AA187" i="16"/>
  <c r="AB186" i="16" a="1"/>
  <c r="Q185" i="16"/>
  <c r="AB186" i="16" l="1"/>
  <c r="R184" i="16"/>
  <c r="AA188" i="16"/>
  <c r="AB187" i="16" a="1"/>
  <c r="Q186" i="16"/>
  <c r="R185" i="16" a="1"/>
  <c r="AB187" i="16" l="1"/>
  <c r="R185" i="16"/>
  <c r="AB188" i="16" a="1"/>
  <c r="R186" i="16" a="1"/>
  <c r="AA189" i="16"/>
  <c r="Q187" i="16"/>
  <c r="AB188" i="16" l="1"/>
  <c r="R186" i="16"/>
  <c r="AA190" i="16"/>
  <c r="Q188" i="16"/>
  <c r="R187" i="16" a="1"/>
  <c r="AB189" i="16" a="1"/>
  <c r="AB189" i="16" l="1"/>
  <c r="R187" i="16"/>
  <c r="Q189" i="16"/>
  <c r="AA191" i="16"/>
  <c r="R188" i="16" a="1"/>
  <c r="AB190" i="16" a="1"/>
  <c r="AB190" i="16" l="1"/>
  <c r="R188" i="16"/>
  <c r="AA192" i="16"/>
  <c r="AB191" i="16" a="1"/>
  <c r="Q190" i="16"/>
  <c r="R189" i="16" a="1"/>
  <c r="AB191" i="16" l="1"/>
  <c r="R189" i="16"/>
  <c r="R190" i="16" a="1"/>
  <c r="AB192" i="16" a="1"/>
  <c r="Q191" i="16"/>
  <c r="AA193" i="16"/>
  <c r="AB192" i="16" l="1"/>
  <c r="R190" i="16"/>
  <c r="R191" i="16" a="1"/>
  <c r="AB193" i="16" a="1"/>
  <c r="AA194" i="16"/>
  <c r="Q192" i="16"/>
  <c r="AB193" i="16" l="1"/>
  <c r="R191" i="16"/>
  <c r="Q193" i="16"/>
  <c r="R192" i="16" a="1"/>
  <c r="AA195" i="16"/>
  <c r="AB194" i="16" a="1"/>
  <c r="AB194" i="16" l="1"/>
  <c r="R192" i="16"/>
  <c r="R193" i="16" a="1"/>
  <c r="AA196" i="16"/>
  <c r="AB195" i="16" a="1"/>
  <c r="Q194" i="16"/>
  <c r="AB195" i="16" l="1"/>
  <c r="R193" i="16"/>
  <c r="R194" i="16" a="1"/>
  <c r="Q195" i="16"/>
  <c r="AB196" i="16" a="1"/>
  <c r="AA197" i="16"/>
  <c r="AB196" i="16" l="1"/>
  <c r="R194" i="16"/>
  <c r="AA198" i="16"/>
  <c r="AB197" i="16" a="1"/>
  <c r="Q196" i="16"/>
  <c r="R195" i="16" a="1"/>
  <c r="AB197" i="16" l="1"/>
  <c r="R195" i="16"/>
  <c r="Q197" i="16"/>
  <c r="AB198" i="16" a="1"/>
  <c r="R196" i="16" a="1"/>
  <c r="AA199" i="16"/>
  <c r="AB198" i="16" l="1"/>
  <c r="R196" i="16"/>
  <c r="Q198" i="16"/>
  <c r="AB199" i="16" a="1"/>
  <c r="R197" i="16" a="1"/>
  <c r="AA200" i="16"/>
  <c r="AB199" i="16" l="1"/>
  <c r="R197" i="16"/>
  <c r="Q199" i="16"/>
  <c r="AA201" i="16"/>
  <c r="AB200" i="16" a="1"/>
  <c r="R198" i="16" a="1"/>
  <c r="AB200" i="16" l="1"/>
  <c r="R198" i="16"/>
  <c r="Q200" i="16"/>
  <c r="AB201" i="16" a="1"/>
  <c r="AA202" i="16"/>
  <c r="R199" i="16" a="1"/>
  <c r="AB201" i="16" l="1"/>
  <c r="R199" i="16"/>
  <c r="Q201" i="16"/>
  <c r="R200" i="16" a="1"/>
  <c r="AA203" i="16"/>
  <c r="AB202" i="16" a="1"/>
  <c r="AB202" i="16" l="1"/>
  <c r="R200" i="16"/>
  <c r="Q202" i="16"/>
  <c r="AA204" i="16"/>
  <c r="R201" i="16" a="1"/>
  <c r="AB203" i="16" a="1"/>
  <c r="AB203" i="16" l="1"/>
  <c r="R201" i="16"/>
  <c r="AA205" i="16"/>
  <c r="AB204" i="16" a="1"/>
  <c r="R202" i="16" a="1"/>
  <c r="Q203" i="16"/>
  <c r="AB204" i="16" l="1"/>
  <c r="R202" i="16"/>
  <c r="AA206" i="16"/>
  <c r="R203" i="16" a="1"/>
  <c r="Q204" i="16"/>
  <c r="AB205" i="16" a="1"/>
  <c r="AB205" i="16" l="1"/>
  <c r="R203" i="16"/>
  <c r="Q205" i="16"/>
  <c r="AA207" i="16"/>
  <c r="AB206" i="16" a="1"/>
  <c r="R204" i="16" a="1"/>
  <c r="AB206" i="16" l="1"/>
  <c r="R204" i="16"/>
  <c r="R205" i="16" a="1"/>
  <c r="AB207" i="16" a="1"/>
  <c r="Q206" i="16"/>
  <c r="AA208" i="16"/>
  <c r="AB207" i="16" l="1"/>
  <c r="R205" i="16"/>
  <c r="AA209" i="16"/>
  <c r="R206" i="16" a="1"/>
  <c r="AB208" i="16" a="1"/>
  <c r="Q207" i="16"/>
  <c r="AB208" i="16" l="1"/>
  <c r="R206" i="16"/>
  <c r="AB209" i="16" a="1"/>
  <c r="R207" i="16" a="1"/>
  <c r="Q208" i="16"/>
  <c r="AA210" i="16"/>
  <c r="AB209" i="16" l="1"/>
  <c r="R207" i="16"/>
  <c r="R208" i="16" a="1"/>
  <c r="AB210" i="16" a="1"/>
  <c r="Q209" i="16"/>
  <c r="AA211" i="16"/>
  <c r="AB210" i="16" l="1"/>
  <c r="R208" i="16"/>
  <c r="AA212" i="16"/>
  <c r="AB211" i="16" a="1"/>
  <c r="Q210" i="16"/>
  <c r="R209" i="16" a="1"/>
  <c r="AB211" i="16" l="1"/>
  <c r="R209" i="16"/>
  <c r="AA213" i="16"/>
  <c r="Q211" i="16"/>
  <c r="R210" i="16" a="1"/>
  <c r="AB212" i="16" a="1"/>
  <c r="AB212" i="16" l="1"/>
  <c r="R210" i="16"/>
  <c r="R211" i="16" a="1"/>
  <c r="Q212" i="16"/>
  <c r="AA214" i="16"/>
  <c r="AB213" i="16" a="1"/>
  <c r="AB213" i="16" l="1"/>
  <c r="R211" i="16"/>
  <c r="Q213" i="16"/>
  <c r="R212" i="16" a="1"/>
  <c r="AB214" i="16" a="1"/>
  <c r="AA215" i="16"/>
  <c r="AB214" i="16" l="1"/>
  <c r="R212" i="16"/>
  <c r="AA216" i="16"/>
  <c r="Q214" i="16"/>
  <c r="R213" i="16" a="1"/>
  <c r="AB215" i="16" a="1"/>
  <c r="AB215" i="16" l="1"/>
  <c r="R213" i="16"/>
  <c r="AA217" i="16"/>
  <c r="R214" i="16" a="1"/>
  <c r="Q215" i="16"/>
  <c r="AB216" i="16" a="1"/>
  <c r="AB216" i="16" l="1"/>
  <c r="R214" i="16"/>
  <c r="AA218" i="16"/>
  <c r="R215" i="16" a="1"/>
  <c r="AB217" i="16" a="1"/>
  <c r="Q216" i="16"/>
  <c r="AB217" i="16" l="1"/>
  <c r="R215" i="16"/>
  <c r="AB218" i="16" a="1"/>
  <c r="Q217" i="16"/>
  <c r="R216" i="16" a="1"/>
  <c r="AA219" i="16"/>
  <c r="AB218" i="16" l="1"/>
  <c r="R216" i="16"/>
  <c r="AB219" i="16" a="1"/>
  <c r="AA220" i="16"/>
  <c r="R217" i="16" a="1"/>
  <c r="Q218" i="16"/>
  <c r="AB219" i="16" l="1"/>
  <c r="R217" i="16"/>
  <c r="R218" i="16" a="1"/>
  <c r="AB220" i="16" a="1"/>
  <c r="Q219" i="16"/>
  <c r="AA221" i="16"/>
  <c r="AB220" i="16" l="1"/>
  <c r="R218" i="16"/>
  <c r="AB221" i="16" a="1"/>
  <c r="AA222" i="16"/>
  <c r="Q220" i="16"/>
  <c r="R219" i="16" a="1"/>
  <c r="AB221" i="16" l="1"/>
  <c r="R219" i="16"/>
  <c r="AA223" i="16"/>
  <c r="AB222" i="16" a="1"/>
  <c r="R220" i="16" a="1"/>
  <c r="Q221" i="16"/>
  <c r="AB222" i="16" l="1"/>
  <c r="R220" i="16"/>
  <c r="AB223" i="16" a="1"/>
  <c r="Q222" i="16"/>
  <c r="AA224" i="16"/>
  <c r="R221" i="16" a="1"/>
  <c r="AB223" i="16" l="1"/>
  <c r="R221" i="16"/>
  <c r="AA225" i="16"/>
  <c r="Q223" i="16"/>
  <c r="R222" i="16" a="1"/>
  <c r="AB224" i="16" a="1"/>
  <c r="AB224" i="16" l="1"/>
  <c r="R222" i="16"/>
  <c r="R223" i="16" a="1"/>
  <c r="AA226" i="16"/>
  <c r="Q224" i="16"/>
  <c r="AB225" i="16" a="1"/>
  <c r="AB225" i="16" l="1"/>
  <c r="R223" i="16"/>
  <c r="AA227" i="16"/>
  <c r="R224" i="16" a="1"/>
  <c r="AB226" i="16" a="1"/>
  <c r="Q225" i="16"/>
  <c r="AB226" i="16" l="1"/>
  <c r="R224" i="16"/>
  <c r="Q226" i="16"/>
  <c r="AB227" i="16" a="1"/>
  <c r="AA228" i="16"/>
  <c r="R225" i="16" a="1"/>
  <c r="AB227" i="16" l="1"/>
  <c r="R225" i="16"/>
  <c r="AA229" i="16"/>
  <c r="Q227" i="16"/>
  <c r="R226" i="16" a="1"/>
  <c r="AB228" i="16" a="1"/>
  <c r="AB228" i="16" l="1"/>
  <c r="R226" i="16"/>
  <c r="Q228" i="16"/>
  <c r="R227" i="16" a="1"/>
  <c r="AA230" i="16"/>
  <c r="AB229" i="16" a="1"/>
  <c r="AB229" i="16" l="1"/>
  <c r="R227" i="16"/>
  <c r="AA231" i="16"/>
  <c r="R228" i="16" a="1"/>
  <c r="AB230" i="16" a="1"/>
  <c r="Q229" i="16"/>
  <c r="AB230" i="16" l="1"/>
  <c r="R228" i="16"/>
  <c r="Q230" i="16"/>
  <c r="AA232" i="16"/>
  <c r="AB231" i="16" a="1"/>
  <c r="R229" i="16" a="1"/>
  <c r="AB231" i="16" l="1"/>
  <c r="R229" i="16"/>
  <c r="R230" i="16" a="1"/>
  <c r="AA233" i="16"/>
  <c r="Q231" i="16"/>
  <c r="AB232" i="16" a="1"/>
  <c r="AB232" i="16" l="1"/>
  <c r="R230" i="16"/>
  <c r="AB233" i="16" a="1"/>
  <c r="R231" i="16" a="1"/>
  <c r="Q232" i="16"/>
  <c r="AA234" i="16"/>
  <c r="AB233" i="16" l="1"/>
  <c r="R231" i="16"/>
  <c r="R232" i="16" a="1"/>
  <c r="Q233" i="16"/>
  <c r="AB234" i="16" a="1"/>
  <c r="AA235" i="16"/>
  <c r="AB234" i="16" l="1"/>
  <c r="R232" i="16"/>
  <c r="AA236" i="16"/>
  <c r="AB235" i="16" a="1"/>
  <c r="R233" i="16" a="1"/>
  <c r="Q234" i="16"/>
  <c r="AB235" i="16" l="1"/>
  <c r="R233" i="16"/>
  <c r="Q235" i="16"/>
  <c r="AB236" i="16" a="1"/>
  <c r="R234" i="16" a="1"/>
  <c r="AA237" i="16"/>
  <c r="AB236" i="16" l="1"/>
  <c r="R234" i="16"/>
  <c r="R235" i="16" a="1"/>
  <c r="Q236" i="16"/>
  <c r="AA238" i="16"/>
  <c r="AB237" i="16" a="1"/>
  <c r="AB237" i="16" l="1"/>
  <c r="R235" i="16"/>
  <c r="AA239" i="16"/>
  <c r="AB238" i="16" a="1"/>
  <c r="R236" i="16" a="1"/>
  <c r="Q237" i="16"/>
  <c r="AB238" i="16" l="1"/>
  <c r="R236" i="16"/>
  <c r="AA240" i="16"/>
  <c r="R237" i="16" a="1"/>
  <c r="Q238" i="16"/>
  <c r="AB239" i="16" a="1"/>
  <c r="AB239" i="16" l="1"/>
  <c r="R237" i="16"/>
  <c r="AB240" i="16" a="1"/>
  <c r="Q239" i="16"/>
  <c r="AA241" i="16"/>
  <c r="R238" i="16" a="1"/>
  <c r="AB240" i="16" l="1"/>
  <c r="R238" i="16"/>
  <c r="AB241" i="16" a="1"/>
  <c r="R239" i="16" a="1"/>
  <c r="Q240" i="16"/>
  <c r="AA242" i="16"/>
  <c r="AB241" i="16" l="1"/>
  <c r="R239" i="16"/>
  <c r="AB242" i="16" a="1"/>
  <c r="Q241" i="16"/>
  <c r="R240" i="16" a="1"/>
  <c r="AA243" i="16"/>
  <c r="AB242" i="16" l="1"/>
  <c r="R240" i="16"/>
  <c r="AA244" i="16"/>
  <c r="Q242" i="16"/>
  <c r="R241" i="16" a="1"/>
  <c r="AB243" i="16" a="1"/>
  <c r="AB243" i="16" l="1"/>
  <c r="R241" i="16"/>
  <c r="R242" i="16" a="1"/>
  <c r="AA245" i="16"/>
  <c r="Q243" i="16"/>
  <c r="AB244" i="16" a="1"/>
  <c r="AB244" i="16" l="1"/>
  <c r="R242" i="16"/>
  <c r="AB245" i="16" a="1"/>
  <c r="R243" i="16" a="1"/>
  <c r="Q244" i="16"/>
  <c r="AA246" i="16"/>
  <c r="AB245" i="16" l="1"/>
  <c r="R243" i="16"/>
  <c r="R244" i="16" a="1"/>
  <c r="Q245" i="16"/>
  <c r="AA247" i="16"/>
  <c r="AB246" i="16" a="1"/>
  <c r="AB246" i="16" l="1"/>
  <c r="R244" i="16"/>
  <c r="AA248" i="16"/>
  <c r="Q246" i="16"/>
  <c r="AB247" i="16" a="1"/>
  <c r="R245" i="16" a="1"/>
  <c r="AB247" i="16" l="1"/>
  <c r="R245" i="16"/>
  <c r="AB248" i="16" a="1"/>
  <c r="AA249" i="16"/>
  <c r="Q247" i="16"/>
  <c r="R246" i="16" a="1"/>
  <c r="AB248" i="16" l="1"/>
  <c r="R246" i="16"/>
  <c r="AA250" i="16"/>
  <c r="R247" i="16" a="1"/>
  <c r="AB249" i="16" a="1"/>
  <c r="Q248" i="16"/>
  <c r="AB249" i="16" l="1"/>
  <c r="R247" i="16"/>
  <c r="Q249" i="16"/>
  <c r="AB250" i="16" a="1"/>
  <c r="R248" i="16" a="1"/>
  <c r="AA251" i="16"/>
  <c r="AB250" i="16" l="1"/>
  <c r="R248" i="16"/>
  <c r="AA252" i="16"/>
  <c r="R249" i="16" a="1"/>
  <c r="Q250" i="16"/>
  <c r="AB251" i="16" a="1"/>
  <c r="AB251" i="16" l="1"/>
  <c r="R249" i="16"/>
  <c r="AA253" i="16"/>
  <c r="Q251" i="16"/>
  <c r="R250" i="16" a="1"/>
  <c r="AB252" i="16" a="1"/>
  <c r="AB252" i="16" l="1"/>
  <c r="R250" i="16"/>
  <c r="Q252" i="16"/>
  <c r="AB253" i="16" a="1"/>
  <c r="R251" i="16" a="1"/>
  <c r="AA254" i="16"/>
  <c r="AB253" i="16" l="1"/>
  <c r="R251" i="16"/>
  <c r="R252" i="16" a="1"/>
  <c r="AA255" i="16"/>
  <c r="AB254" i="16" a="1"/>
  <c r="Q253" i="16"/>
  <c r="AB254" i="16" l="1"/>
  <c r="R252" i="16"/>
  <c r="R253" i="16" a="1"/>
  <c r="AA256" i="16"/>
  <c r="AB255" i="16" a="1"/>
  <c r="Q254" i="16"/>
  <c r="AB255" i="16" l="1"/>
  <c r="R253" i="16"/>
  <c r="AB256" i="16" a="1"/>
  <c r="Q255" i="16"/>
  <c r="R254" i="16" a="1"/>
  <c r="AA257" i="16"/>
  <c r="AB256" i="16" l="1"/>
  <c r="R254" i="16"/>
  <c r="AB257" i="16" a="1"/>
  <c r="AA258" i="16"/>
  <c r="Q256" i="16"/>
  <c r="R255" i="16" a="1"/>
  <c r="AB257" i="16" l="1"/>
  <c r="R255" i="16"/>
  <c r="R256" i="16" a="1"/>
  <c r="AB258" i="16" a="1"/>
  <c r="AA259" i="16"/>
  <c r="Q257" i="16"/>
  <c r="AB258" i="16" l="1"/>
  <c r="R256" i="16"/>
  <c r="AA260" i="16"/>
  <c r="Q258" i="16"/>
  <c r="R257" i="16" a="1"/>
  <c r="AB259" i="16" a="1"/>
  <c r="AB259" i="16" l="1"/>
  <c r="R257" i="16"/>
  <c r="Q259" i="16"/>
  <c r="R258" i="16" a="1"/>
  <c r="AB260" i="16" a="1"/>
  <c r="AA261" i="16"/>
  <c r="AB260" i="16" l="1"/>
  <c r="R258" i="16"/>
  <c r="AA262" i="16"/>
  <c r="R259" i="16" a="1"/>
  <c r="Q260" i="16"/>
  <c r="AB261" i="16" a="1"/>
  <c r="AB261" i="16" l="1"/>
  <c r="R259" i="16"/>
  <c r="R260" i="16" a="1"/>
  <c r="AA263" i="16"/>
  <c r="AB262" i="16" a="1"/>
  <c r="Q261" i="16"/>
  <c r="AB262" i="16" l="1"/>
  <c r="R260" i="16"/>
  <c r="AB263" i="16" a="1"/>
  <c r="Q262" i="16"/>
  <c r="R261" i="16" a="1"/>
  <c r="AA264" i="16"/>
  <c r="AB263" i="16" l="1"/>
  <c r="R261" i="16"/>
  <c r="AB264" i="16" a="1"/>
  <c r="R262" i="16" a="1"/>
  <c r="AA265" i="16"/>
  <c r="Q263" i="16"/>
  <c r="AB264" i="16" l="1"/>
  <c r="R262" i="16"/>
  <c r="AA266" i="16"/>
  <c r="Q264" i="16"/>
  <c r="AB265" i="16" a="1"/>
  <c r="R263" i="16" a="1"/>
  <c r="AB265" i="16" l="1"/>
  <c r="R263" i="16"/>
  <c r="R264" i="16" a="1"/>
  <c r="AA267" i="16"/>
  <c r="AB266" i="16" a="1"/>
  <c r="Q265" i="16"/>
  <c r="AB266" i="16" l="1"/>
  <c r="R264" i="16"/>
  <c r="AA268" i="16"/>
  <c r="R265" i="16" a="1"/>
  <c r="Q266" i="16"/>
  <c r="AB267" i="16" a="1"/>
  <c r="AB267" i="16" l="1"/>
  <c r="R265" i="16"/>
  <c r="AA269" i="16"/>
  <c r="AB268" i="16" a="1"/>
  <c r="Q267" i="16"/>
  <c r="R266" i="16" a="1"/>
  <c r="AB268" i="16" l="1"/>
  <c r="R266" i="16"/>
  <c r="Q268" i="16"/>
  <c r="AA270" i="16"/>
  <c r="AB269" i="16" a="1"/>
  <c r="R267" i="16" a="1"/>
  <c r="AB269" i="16" l="1"/>
  <c r="R267" i="16"/>
  <c r="Q269" i="16"/>
  <c r="R268" i="16" a="1"/>
  <c r="AB270" i="16" a="1"/>
  <c r="AA271" i="16"/>
  <c r="AB270" i="16" l="1"/>
  <c r="R268" i="16"/>
  <c r="R269" i="16" a="1"/>
  <c r="AA272" i="16"/>
  <c r="Q270" i="16"/>
  <c r="AB271" i="16" a="1"/>
  <c r="AB271" i="16" l="1"/>
  <c r="R269" i="16"/>
  <c r="Q271" i="16"/>
  <c r="AA273" i="16"/>
  <c r="R270" i="16" a="1"/>
  <c r="AB272" i="16" a="1"/>
  <c r="AB272" i="16" l="1"/>
  <c r="R270" i="16"/>
  <c r="R271" i="16" a="1"/>
  <c r="AB273" i="16" a="1"/>
  <c r="Q272" i="16"/>
  <c r="AA274" i="16"/>
  <c r="AB273" i="16" l="1"/>
  <c r="R271" i="16"/>
  <c r="R272" i="16" a="1"/>
  <c r="Q273" i="16"/>
  <c r="AB274" i="16" a="1"/>
  <c r="AA275" i="16"/>
  <c r="AB274" i="16" l="1"/>
  <c r="R272" i="16"/>
  <c r="AA276" i="16"/>
  <c r="R273" i="16" a="1"/>
  <c r="AB275" i="16" a="1"/>
  <c r="Q274" i="16"/>
  <c r="AB275" i="16" l="1"/>
  <c r="R273" i="16"/>
  <c r="Q275" i="16"/>
  <c r="AA277" i="16"/>
  <c r="AB276" i="16" a="1"/>
  <c r="R274" i="16" a="1"/>
  <c r="AB276" i="16" l="1"/>
  <c r="R274" i="16"/>
  <c r="AA278" i="16"/>
  <c r="R275" i="16" a="1"/>
  <c r="Q276" i="16"/>
  <c r="AB277" i="16" a="1"/>
  <c r="AB277" i="16" l="1"/>
  <c r="R275" i="16"/>
  <c r="AB278" i="16" a="1"/>
  <c r="R276" i="16" a="1"/>
  <c r="Q277" i="16"/>
  <c r="AA279" i="16"/>
  <c r="AB278" i="16" l="1"/>
  <c r="R276" i="16"/>
  <c r="AB279" i="16" a="1"/>
  <c r="Q278" i="16"/>
  <c r="R277" i="16" a="1"/>
  <c r="AA280" i="16"/>
  <c r="AB279" i="16" l="1"/>
  <c r="R277" i="16"/>
  <c r="R278" i="16" a="1"/>
  <c r="Q279" i="16"/>
  <c r="AB280" i="16" a="1"/>
  <c r="AA281" i="16"/>
  <c r="AB280" i="16" l="1"/>
  <c r="R278" i="16"/>
  <c r="R279" i="16" a="1"/>
  <c r="AB281" i="16" a="1"/>
  <c r="Q280" i="16"/>
  <c r="AA282" i="16"/>
  <c r="AB281" i="16" l="1"/>
  <c r="R279" i="16"/>
  <c r="AB282" i="16" a="1"/>
  <c r="AA283" i="16"/>
  <c r="Q281" i="16"/>
  <c r="R280" i="16" a="1"/>
  <c r="AB282" i="16" l="1"/>
  <c r="R280" i="16"/>
  <c r="R281" i="16" a="1"/>
  <c r="AB283" i="16" a="1"/>
  <c r="AA284" i="16"/>
  <c r="Q282" i="16"/>
  <c r="AB283" i="16" l="1"/>
  <c r="R281" i="16"/>
  <c r="Q283" i="16"/>
  <c r="R282" i="16" a="1"/>
  <c r="AB284" i="16" a="1"/>
  <c r="AA285" i="16"/>
  <c r="AB284" i="16" l="1"/>
  <c r="R282" i="16"/>
  <c r="AB285" i="16" a="1"/>
  <c r="Q284" i="16"/>
  <c r="AA286" i="16"/>
  <c r="R283" i="16" a="1"/>
  <c r="AB285" i="16" l="1"/>
  <c r="R283" i="16"/>
  <c r="R284" i="16" a="1"/>
  <c r="AB286" i="16" a="1"/>
  <c r="Q285" i="16"/>
  <c r="AA287" i="16"/>
  <c r="AB286" i="16" l="1"/>
  <c r="R284" i="16"/>
  <c r="Q286" i="16"/>
  <c r="R285" i="16" a="1"/>
  <c r="AB287" i="16" a="1"/>
  <c r="AA288" i="16"/>
  <c r="AB287" i="16" l="1"/>
  <c r="R285" i="16"/>
  <c r="R286" i="16" a="1"/>
  <c r="AA289" i="16"/>
  <c r="Q287" i="16"/>
  <c r="AB288" i="16" a="1"/>
  <c r="AB288" i="16" l="1"/>
  <c r="R286" i="16"/>
  <c r="AB289" i="16" a="1"/>
  <c r="R287" i="16" a="1"/>
  <c r="AA290" i="16"/>
  <c r="Q288" i="16"/>
  <c r="AB289" i="16" l="1"/>
  <c r="R287" i="16"/>
  <c r="Q289" i="16"/>
  <c r="R288" i="16" a="1"/>
  <c r="AB290" i="16" a="1"/>
  <c r="AA291" i="16"/>
  <c r="AB290" i="16" l="1"/>
  <c r="R288" i="16"/>
  <c r="AA292" i="16"/>
  <c r="Q290" i="16"/>
  <c r="AB291" i="16" a="1"/>
  <c r="R289" i="16" a="1"/>
  <c r="AB291" i="16" l="1"/>
  <c r="R289" i="16"/>
  <c r="R290" i="16" a="1"/>
  <c r="Q291" i="16"/>
  <c r="AA293" i="16"/>
  <c r="AB292" i="16" a="1"/>
  <c r="AB292" i="16" l="1"/>
  <c r="R290" i="16"/>
  <c r="Q292" i="16"/>
  <c r="R291" i="16" a="1"/>
  <c r="AA294" i="16"/>
  <c r="AB293" i="16" a="1"/>
  <c r="AB293" i="16" l="1"/>
  <c r="R291" i="16"/>
  <c r="Q293" i="16"/>
  <c r="R292" i="16" a="1"/>
  <c r="AA295" i="16"/>
  <c r="AB294" i="16" a="1"/>
  <c r="AB294" i="16" l="1"/>
  <c r="R292" i="16"/>
  <c r="AA296" i="16"/>
  <c r="R293" i="16" a="1"/>
  <c r="Q294" i="16"/>
  <c r="AB295" i="16" a="1"/>
  <c r="AB295" i="16" l="1"/>
  <c r="R293" i="16"/>
  <c r="Q295" i="16"/>
  <c r="AB296" i="16" a="1"/>
  <c r="AA297" i="16"/>
  <c r="R294" i="16" a="1"/>
  <c r="AB296" i="16" l="1"/>
  <c r="R294" i="16"/>
  <c r="AA298" i="16"/>
  <c r="Q296" i="16"/>
  <c r="R295" i="16" a="1"/>
  <c r="AB297" i="16" a="1"/>
  <c r="AB297" i="16" l="1"/>
  <c r="R295" i="16"/>
  <c r="AA299" i="16"/>
  <c r="AB298" i="16" a="1"/>
  <c r="Q297" i="16"/>
  <c r="R296" i="16" a="1"/>
  <c r="AB298" i="16" l="1"/>
  <c r="R296" i="16"/>
  <c r="R297" i="16" a="1"/>
  <c r="AB299" i="16" a="1"/>
  <c r="AA300" i="16"/>
  <c r="Q298" i="16"/>
  <c r="AB299" i="16" l="1"/>
  <c r="R297" i="16"/>
  <c r="AA301" i="16"/>
  <c r="R298" i="16" a="1"/>
  <c r="Q299" i="16"/>
  <c r="AB300" i="16" a="1"/>
  <c r="AB300" i="16" l="1"/>
  <c r="R298" i="16"/>
  <c r="AB301" i="16" a="1"/>
  <c r="AA302" i="16"/>
  <c r="R299" i="16" a="1"/>
  <c r="Q300" i="16"/>
  <c r="AB301" i="16" l="1"/>
  <c r="R299" i="16"/>
  <c r="R300" i="16" a="1"/>
  <c r="AB302" i="16" a="1"/>
  <c r="Q301" i="16"/>
  <c r="AA303" i="16"/>
  <c r="AB302" i="16" l="1"/>
  <c r="R300" i="16"/>
  <c r="AA304" i="16"/>
  <c r="R301" i="16" a="1"/>
  <c r="Q302" i="16"/>
  <c r="AB303" i="16" a="1"/>
  <c r="AB303" i="16" l="1"/>
  <c r="R301" i="16"/>
  <c r="AA305" i="16"/>
  <c r="Q303" i="16"/>
  <c r="R302" i="16" a="1"/>
  <c r="AB304" i="16" a="1"/>
  <c r="AB304" i="16" l="1"/>
  <c r="R302" i="16"/>
  <c r="Q304" i="16"/>
  <c r="AA306" i="16"/>
  <c r="R303" i="16" a="1"/>
  <c r="AB305" i="16" a="1"/>
  <c r="AB305" i="16" l="1"/>
  <c r="R303" i="16"/>
  <c r="Q305" i="16"/>
  <c r="AA307" i="16"/>
  <c r="R304" i="16" a="1"/>
  <c r="AB306" i="16" a="1"/>
  <c r="AB306" i="16" l="1"/>
  <c r="R304" i="16"/>
  <c r="AA308" i="16"/>
  <c r="R305" i="16" a="1"/>
  <c r="Q306" i="16"/>
  <c r="AB307" i="16" a="1"/>
  <c r="AB307" i="16" l="1"/>
  <c r="R305" i="16"/>
  <c r="R306" i="16" a="1"/>
  <c r="Q307" i="16"/>
  <c r="AB308" i="16" a="1"/>
  <c r="AA309" i="16"/>
  <c r="AB308" i="16" l="1"/>
  <c r="R306" i="16"/>
  <c r="AB309" i="16" a="1"/>
  <c r="Q308" i="16"/>
  <c r="R307" i="16" a="1"/>
  <c r="AA310" i="16"/>
  <c r="AB309" i="16" l="1"/>
  <c r="R307" i="16"/>
  <c r="Q309" i="16"/>
  <c r="R308" i="16" a="1"/>
  <c r="AB310" i="16" a="1"/>
  <c r="AA311" i="16"/>
  <c r="AB310" i="16" l="1"/>
  <c r="R308" i="16"/>
  <c r="AA312" i="16"/>
  <c r="AB311" i="16" a="1"/>
  <c r="R309" i="16" a="1"/>
  <c r="Q310" i="16"/>
  <c r="AB311" i="16" l="1"/>
  <c r="R309" i="16"/>
  <c r="Q311" i="16"/>
  <c r="R310" i="16" a="1"/>
  <c r="AA313" i="16"/>
  <c r="AB312" i="16" a="1"/>
  <c r="AB312" i="16" l="1"/>
  <c r="R310" i="16"/>
  <c r="Q312" i="16"/>
  <c r="AA314" i="16"/>
  <c r="R311" i="16" a="1"/>
  <c r="AB313" i="16" a="1"/>
  <c r="AB313" i="16" l="1"/>
  <c r="R311" i="16"/>
  <c r="Q313" i="16"/>
  <c r="AA315" i="16"/>
  <c r="R312" i="16" a="1"/>
  <c r="AB314" i="16" a="1"/>
  <c r="AB314" i="16" l="1"/>
  <c r="R312" i="16"/>
  <c r="R313" i="16" a="1"/>
  <c r="AB315" i="16" a="1"/>
  <c r="Q314" i="16"/>
  <c r="AA316" i="16"/>
  <c r="AB315" i="16" l="1"/>
  <c r="R313" i="16"/>
  <c r="AB316" i="16" a="1"/>
  <c r="Q315" i="16"/>
  <c r="AA317" i="16"/>
  <c r="R314" i="16" a="1"/>
  <c r="AB316" i="16" l="1"/>
  <c r="R314" i="16"/>
  <c r="Q316" i="16"/>
  <c r="R315" i="16" a="1"/>
  <c r="AA318" i="16"/>
  <c r="AB317" i="16" a="1"/>
  <c r="AB317" i="16" l="1"/>
  <c r="R315" i="16"/>
  <c r="Q317" i="16"/>
  <c r="R316" i="16" a="1"/>
  <c r="AB318" i="16" a="1"/>
  <c r="AA319" i="16"/>
  <c r="AB318" i="16" l="1"/>
  <c r="R316" i="16"/>
  <c r="R317" i="16" a="1"/>
  <c r="Q318" i="16"/>
  <c r="AB319" i="16" a="1"/>
  <c r="AA320" i="16"/>
  <c r="AB319" i="16" l="1"/>
  <c r="R317" i="16"/>
  <c r="R318" i="16" a="1"/>
  <c r="AB320" i="16" a="1"/>
  <c r="AA321" i="16"/>
  <c r="Q319" i="16"/>
  <c r="AB320" i="16" l="1"/>
  <c r="R318" i="16"/>
  <c r="R319" i="16" a="1"/>
  <c r="AA322" i="16"/>
  <c r="AB321" i="16" a="1"/>
  <c r="Q320" i="16"/>
  <c r="AB321" i="16" l="1"/>
  <c r="R319" i="16"/>
  <c r="AB322" i="16" a="1"/>
  <c r="AA323" i="16"/>
  <c r="Q321" i="16"/>
  <c r="R320" i="16" a="1"/>
  <c r="AB322" i="16" l="1"/>
  <c r="R320" i="16"/>
  <c r="Q322" i="16"/>
  <c r="AA324" i="16"/>
  <c r="AB323" i="16" a="1"/>
  <c r="R321" i="16" a="1"/>
  <c r="AB323" i="16" l="1"/>
  <c r="R321" i="16"/>
  <c r="Q323" i="16"/>
  <c r="R322" i="16" a="1"/>
  <c r="AB324" i="16" a="1"/>
  <c r="AA325" i="16"/>
  <c r="AB324" i="16" l="1"/>
  <c r="R322" i="16"/>
  <c r="AB325" i="16" a="1"/>
  <c r="R323" i="16" a="1"/>
  <c r="AA326" i="16"/>
  <c r="Q324" i="16"/>
  <c r="AB325" i="16" l="1"/>
  <c r="R323" i="16"/>
  <c r="AB326" i="16" a="1"/>
  <c r="Q325" i="16"/>
  <c r="AA327" i="16"/>
  <c r="R324" i="16" a="1"/>
  <c r="AB326" i="16" l="1"/>
  <c r="R324" i="16"/>
  <c r="Q326" i="16"/>
  <c r="R325" i="16" a="1"/>
  <c r="AB327" i="16" a="1"/>
  <c r="AA328" i="16"/>
  <c r="AB327" i="16" l="1"/>
  <c r="R325" i="16"/>
  <c r="AA329" i="16"/>
  <c r="Q327" i="16"/>
  <c r="AB328" i="16" a="1"/>
  <c r="R326" i="16" a="1"/>
  <c r="AB328" i="16" l="1"/>
  <c r="R326" i="16"/>
  <c r="AA330" i="16"/>
  <c r="Q328" i="16"/>
  <c r="R327" i="16" a="1"/>
  <c r="AB329" i="16" a="1"/>
  <c r="AB329" i="16" l="1"/>
  <c r="R327" i="16"/>
  <c r="Q329" i="16"/>
  <c r="AB330" i="16" a="1"/>
  <c r="AA331" i="16"/>
  <c r="R328" i="16" a="1"/>
  <c r="AB330" i="16" l="1"/>
  <c r="R328" i="16"/>
  <c r="AB331" i="16" a="1"/>
  <c r="Q330" i="16"/>
  <c r="AA332" i="16"/>
  <c r="R329" i="16" a="1"/>
  <c r="AB331" i="16" l="1"/>
  <c r="R329" i="16"/>
  <c r="AA333" i="16"/>
  <c r="Q331" i="16"/>
  <c r="AB332" i="16" a="1"/>
  <c r="R330" i="16" a="1"/>
  <c r="AB332" i="16" l="1"/>
  <c r="R330" i="16"/>
  <c r="AB333" i="16" a="1"/>
  <c r="Q332" i="16"/>
  <c r="AA334" i="16"/>
  <c r="R331" i="16" a="1"/>
  <c r="AB333" i="16" l="1"/>
  <c r="R331" i="16"/>
  <c r="R332" i="16" a="1"/>
  <c r="AB334" i="16" a="1"/>
  <c r="Q333" i="16"/>
  <c r="AA335" i="16"/>
  <c r="AB334" i="16" l="1"/>
  <c r="R332" i="16"/>
  <c r="AA336" i="16"/>
  <c r="Q334" i="16"/>
  <c r="R333" i="16" a="1"/>
  <c r="AB335" i="16" a="1"/>
  <c r="AB335" i="16" l="1"/>
  <c r="R333" i="16"/>
  <c r="R334" i="16" a="1"/>
  <c r="AA337" i="16"/>
  <c r="AB336" i="16" a="1"/>
  <c r="Q335" i="16"/>
  <c r="AB336" i="16" l="1"/>
  <c r="R334" i="16"/>
  <c r="AB337" i="16" a="1"/>
  <c r="R335" i="16" a="1"/>
  <c r="Q336" i="16"/>
  <c r="AA338" i="16"/>
  <c r="AB337" i="16" l="1"/>
  <c r="R335" i="16"/>
  <c r="R336" i="16" a="1"/>
  <c r="AA339" i="16"/>
  <c r="Q337" i="16"/>
  <c r="AB338" i="16" a="1"/>
  <c r="AB338" i="16" l="1"/>
  <c r="R336" i="16"/>
  <c r="AA340" i="16"/>
  <c r="R337" i="16" a="1"/>
  <c r="AB339" i="16" a="1"/>
  <c r="Q338" i="16"/>
  <c r="AB339" i="16" l="1"/>
  <c r="R337" i="16"/>
  <c r="Q339" i="16"/>
  <c r="R338" i="16" a="1"/>
  <c r="AB340" i="16" a="1"/>
  <c r="AA341" i="16"/>
  <c r="AB340" i="16" l="1"/>
  <c r="R338" i="16"/>
  <c r="AA342" i="16"/>
  <c r="R339" i="16" a="1"/>
  <c r="AB341" i="16" a="1"/>
  <c r="Q340" i="16"/>
  <c r="AB341" i="16" l="1"/>
  <c r="R339" i="16"/>
  <c r="AB342" i="16" a="1"/>
  <c r="Q341" i="16"/>
  <c r="AA343" i="16"/>
  <c r="R340" i="16" a="1"/>
  <c r="AB342" i="16" l="1"/>
  <c r="R340" i="16"/>
  <c r="AB343" i="16" a="1"/>
  <c r="AA344" i="16"/>
  <c r="R341" i="16" a="1"/>
  <c r="Q342" i="16"/>
  <c r="AB343" i="16" l="1"/>
  <c r="R341" i="16"/>
  <c r="AB344" i="16" a="1"/>
  <c r="AA345" i="16"/>
  <c r="R342" i="16" a="1"/>
  <c r="Q343" i="16"/>
  <c r="AB344" i="16" l="1"/>
  <c r="R342" i="16"/>
  <c r="R343" i="16" a="1"/>
  <c r="AB345" i="16" a="1"/>
  <c r="Q344" i="16"/>
  <c r="AA346" i="16"/>
  <c r="AB345" i="16" l="1"/>
  <c r="R343" i="16"/>
  <c r="AB346" i="16" a="1"/>
  <c r="Q345" i="16"/>
  <c r="R344" i="16" a="1"/>
  <c r="AA347" i="16"/>
  <c r="AB346" i="16" l="1"/>
  <c r="R344" i="16"/>
  <c r="AB347" i="16" a="1"/>
  <c r="Q346" i="16"/>
  <c r="R345" i="16" a="1"/>
  <c r="AA348" i="16"/>
  <c r="AB347" i="16" l="1"/>
  <c r="R345" i="16"/>
  <c r="Q347" i="16"/>
  <c r="AB348" i="16" a="1"/>
  <c r="R346" i="16" a="1"/>
  <c r="AA349" i="16"/>
  <c r="AB348" i="16" l="1"/>
  <c r="R346" i="16"/>
  <c r="R347" i="16" a="1"/>
  <c r="Q348" i="16"/>
  <c r="AB349" i="16" a="1"/>
  <c r="AA350" i="16"/>
  <c r="AB349" i="16" l="1"/>
  <c r="R347" i="16"/>
  <c r="Q349" i="16"/>
  <c r="R348" i="16" a="1"/>
  <c r="AB350" i="16" a="1"/>
  <c r="AA351" i="16"/>
  <c r="AB350" i="16" l="1"/>
  <c r="R348" i="16"/>
  <c r="Q350" i="16"/>
  <c r="R349" i="16" a="1"/>
  <c r="AB351" i="16" a="1"/>
  <c r="AA352" i="16"/>
  <c r="AB351" i="16" l="1"/>
  <c r="R349" i="16"/>
  <c r="R350" i="16" a="1"/>
  <c r="Q351" i="16"/>
  <c r="AB352" i="16" a="1"/>
  <c r="AA353" i="16"/>
  <c r="AB352" i="16" l="1"/>
  <c r="R350" i="16"/>
  <c r="AA354" i="16"/>
  <c r="AB353" i="16" a="1"/>
  <c r="R351" i="16" a="1"/>
  <c r="Q352" i="16"/>
  <c r="AB353" i="16" l="1"/>
  <c r="R351" i="16"/>
  <c r="AA355" i="16"/>
  <c r="Q353" i="16"/>
  <c r="R352" i="16" a="1"/>
  <c r="AB354" i="16" a="1"/>
  <c r="AB354" i="16" l="1"/>
  <c r="R352" i="16"/>
  <c r="Q354" i="16"/>
  <c r="AB355" i="16" a="1"/>
  <c r="R353" i="16" a="1"/>
  <c r="AA356" i="16"/>
  <c r="AB355" i="16" l="1"/>
  <c r="R353" i="16"/>
  <c r="AB356" i="16" a="1"/>
  <c r="Q355" i="16"/>
  <c r="AA357" i="16"/>
  <c r="R354" i="16" a="1"/>
  <c r="AB356" i="16" l="1"/>
  <c r="R354" i="16"/>
  <c r="Q356" i="16"/>
  <c r="AB357" i="16" a="1"/>
  <c r="R355" i="16" a="1"/>
  <c r="AA358" i="16"/>
  <c r="AB357" i="16" l="1"/>
  <c r="R355" i="16"/>
  <c r="R356" i="16" a="1"/>
  <c r="Q357" i="16"/>
  <c r="AA359" i="16"/>
  <c r="AB358" i="16" a="1"/>
  <c r="AB358" i="16" l="1"/>
  <c r="R356" i="16"/>
  <c r="AB359" i="16" a="1"/>
  <c r="Q358" i="16"/>
  <c r="R357" i="16" a="1"/>
  <c r="AA360" i="16"/>
  <c r="AB359" i="16" l="1"/>
  <c r="R357" i="16"/>
  <c r="AB360" i="16" a="1"/>
  <c r="Q359" i="16"/>
  <c r="R358" i="16" a="1"/>
  <c r="AA361" i="16"/>
  <c r="AB360" i="16" l="1"/>
  <c r="R358" i="16"/>
  <c r="AA362" i="16"/>
  <c r="Q360" i="16"/>
  <c r="AB361" i="16" a="1"/>
  <c r="R359" i="16" a="1"/>
  <c r="AB361" i="16" l="1"/>
  <c r="R359" i="16"/>
  <c r="R360" i="16" a="1"/>
  <c r="AA363" i="16"/>
  <c r="Q361" i="16"/>
  <c r="AB362" i="16" a="1"/>
  <c r="AB362" i="16" l="1"/>
  <c r="R360" i="16"/>
  <c r="R361" i="16" a="1"/>
  <c r="Q362" i="16"/>
  <c r="AA364" i="16"/>
  <c r="AB363" i="16" a="1"/>
  <c r="AB363" i="16" l="1"/>
  <c r="R361" i="16"/>
  <c r="R362" i="16" a="1"/>
  <c r="AB364" i="16" a="1"/>
  <c r="AA365" i="16"/>
  <c r="Q363" i="16"/>
  <c r="AB364" i="16" l="1"/>
  <c r="R362" i="16"/>
  <c r="AA366" i="16"/>
  <c r="R363" i="16" a="1"/>
  <c r="AB365" i="16" a="1"/>
  <c r="Q364" i="16"/>
  <c r="AB365" i="16" l="1"/>
  <c r="R363" i="16"/>
  <c r="R364" i="16" a="1"/>
  <c r="AA367" i="16"/>
  <c r="Q365" i="16"/>
  <c r="AB366" i="16" a="1"/>
  <c r="AB366" i="16" l="1"/>
  <c r="R364" i="16"/>
  <c r="AB367" i="16" a="1"/>
  <c r="Q366" i="16"/>
  <c r="R365" i="16" a="1"/>
  <c r="AA368" i="16"/>
  <c r="AB367" i="16" l="1"/>
  <c r="R365" i="16"/>
  <c r="AA369" i="16"/>
  <c r="Q367" i="16"/>
  <c r="R366" i="16" a="1"/>
  <c r="AB368" i="16" a="1"/>
  <c r="AB368" i="16" l="1"/>
  <c r="R366" i="16"/>
  <c r="AA370" i="16"/>
  <c r="R367" i="16" a="1"/>
  <c r="AB369" i="16" a="1"/>
  <c r="Q368" i="16"/>
  <c r="AB369" i="16" l="1"/>
  <c r="R367" i="16"/>
  <c r="AA371" i="16"/>
  <c r="AB370" i="16" a="1"/>
  <c r="R368" i="16" a="1"/>
  <c r="Q369" i="16"/>
  <c r="AB370" i="16" l="1"/>
  <c r="R368" i="16"/>
  <c r="AB371" i="16" a="1"/>
  <c r="Q370" i="16"/>
  <c r="R369" i="16" a="1"/>
  <c r="AA372" i="16"/>
  <c r="AB371" i="16" l="1"/>
  <c r="R369" i="16"/>
  <c r="Q371" i="16"/>
  <c r="AB372" i="16" a="1"/>
  <c r="R370" i="16" a="1"/>
  <c r="AA373" i="16"/>
  <c r="AB372" i="16" l="1"/>
  <c r="R370" i="16"/>
  <c r="AA374" i="16"/>
  <c r="Q372" i="16"/>
  <c r="R371" i="16" a="1"/>
  <c r="AB373" i="16" a="1"/>
  <c r="AB373" i="16" l="1"/>
  <c r="R371" i="16"/>
  <c r="AB374" i="16" a="1"/>
  <c r="Q373" i="16"/>
  <c r="AA375" i="16"/>
  <c r="R372" i="16" a="1"/>
  <c r="AB374" i="16" l="1"/>
  <c r="R372" i="16"/>
  <c r="R373" i="16" a="1"/>
  <c r="Q374" i="16"/>
  <c r="AB375" i="16" a="1"/>
  <c r="AA376" i="16"/>
  <c r="AB375" i="16" l="1"/>
  <c r="R373" i="16"/>
  <c r="Q375" i="16"/>
  <c r="R374" i="16" a="1"/>
  <c r="AB376" i="16" a="1"/>
  <c r="AA377" i="16"/>
  <c r="AB376" i="16" l="1"/>
  <c r="R374" i="16"/>
  <c r="R375" i="16" a="1"/>
  <c r="AA378" i="16"/>
  <c r="Q376" i="16"/>
  <c r="AB377" i="16" a="1"/>
  <c r="AB377" i="16" l="1"/>
  <c r="R375" i="16"/>
  <c r="AA379" i="16"/>
  <c r="R376" i="16" a="1"/>
  <c r="Q377" i="16"/>
  <c r="AB378" i="16" a="1"/>
  <c r="AB378" i="16" l="1"/>
  <c r="R376" i="16"/>
  <c r="AB379" i="16" a="1"/>
  <c r="AA380" i="16"/>
  <c r="R377" i="16" a="1"/>
  <c r="Q378" i="16"/>
  <c r="AB379" i="16" l="1"/>
  <c r="R377" i="16"/>
  <c r="Q379" i="16"/>
  <c r="AA381" i="16"/>
  <c r="AB380" i="16" a="1"/>
  <c r="R378" i="16" a="1"/>
  <c r="AB380" i="16" l="1"/>
  <c r="R378" i="16"/>
  <c r="R379" i="16" a="1"/>
  <c r="AB381" i="16" a="1"/>
  <c r="AA382" i="16"/>
  <c r="Q380" i="16"/>
  <c r="AB381" i="16" l="1"/>
  <c r="R379" i="16"/>
  <c r="Q381" i="16"/>
  <c r="AA383" i="16"/>
  <c r="AB382" i="16" a="1"/>
  <c r="R380" i="16" a="1"/>
  <c r="AB382" i="16" l="1"/>
  <c r="R380" i="16"/>
  <c r="AA384" i="16"/>
  <c r="R381" i="16" a="1"/>
  <c r="Q382" i="16"/>
  <c r="AB383" i="16" a="1"/>
  <c r="AB383" i="16" l="1"/>
  <c r="R381" i="16"/>
  <c r="R382" i="16" a="1"/>
  <c r="AA385" i="16"/>
  <c r="AB384" i="16" a="1"/>
  <c r="Q383" i="16"/>
  <c r="AB384" i="16" l="1"/>
  <c r="R382" i="16"/>
  <c r="R383" i="16" a="1"/>
  <c r="AB385" i="16" a="1"/>
  <c r="AA386" i="16"/>
  <c r="Q384" i="16"/>
  <c r="AB385" i="16" l="1"/>
  <c r="R383" i="16"/>
  <c r="Q385" i="16"/>
  <c r="AB386" i="16" a="1"/>
  <c r="AA387" i="16"/>
  <c r="R384" i="16" a="1"/>
  <c r="AB386" i="16" l="1"/>
  <c r="R384" i="16"/>
  <c r="Q386" i="16"/>
  <c r="AB387" i="16" a="1"/>
  <c r="R385" i="16" a="1"/>
  <c r="AA388" i="16"/>
  <c r="AB387" i="16" l="1"/>
  <c r="R385" i="16"/>
  <c r="R386" i="16" a="1"/>
  <c r="Q387" i="16"/>
  <c r="AB388" i="16" a="1"/>
  <c r="AA389" i="16"/>
  <c r="AB388" i="16" l="1"/>
  <c r="R386" i="16"/>
  <c r="AB389" i="16" a="1"/>
  <c r="R387" i="16" a="1"/>
  <c r="AA390" i="16"/>
  <c r="Q388" i="16"/>
  <c r="AB389" i="16" l="1"/>
  <c r="R387" i="16"/>
  <c r="AB390" i="16" a="1"/>
  <c r="Q389" i="16"/>
  <c r="R388" i="16" a="1"/>
  <c r="AA391" i="16"/>
  <c r="AB390" i="16" l="1"/>
  <c r="R388" i="16"/>
  <c r="Q390" i="16"/>
  <c r="R389" i="16" a="1"/>
  <c r="AB391" i="16" a="1"/>
  <c r="AA392" i="16"/>
  <c r="AB391" i="16" l="1"/>
  <c r="R389" i="16"/>
  <c r="AB392" i="16" a="1"/>
  <c r="Q391" i="16"/>
  <c r="R390" i="16" a="1"/>
  <c r="AA393" i="16"/>
  <c r="AB392" i="16" l="1"/>
  <c r="R390" i="16"/>
  <c r="R391" i="16" a="1"/>
  <c r="AA394" i="16"/>
  <c r="AB393" i="16" a="1"/>
  <c r="Q392" i="16"/>
  <c r="AB393" i="16" l="1"/>
  <c r="R391" i="16"/>
  <c r="AA395" i="16"/>
  <c r="R392" i="16" a="1"/>
  <c r="AB394" i="16" a="1"/>
  <c r="Q393" i="16"/>
  <c r="AB394" i="16" l="1"/>
  <c r="R392" i="16"/>
  <c r="Q394" i="16"/>
  <c r="AB395" i="16" a="1"/>
  <c r="R393" i="16" a="1"/>
  <c r="AA396" i="16"/>
  <c r="AB395" i="16" l="1"/>
  <c r="R393" i="16"/>
  <c r="AA397" i="16"/>
  <c r="Q395" i="16"/>
  <c r="R394" i="16" a="1"/>
  <c r="AB396" i="16" a="1"/>
  <c r="AB396" i="16" l="1"/>
  <c r="R394" i="16"/>
  <c r="R395" i="16" a="1"/>
  <c r="AB397" i="16" a="1"/>
  <c r="Q396" i="16"/>
  <c r="AA398" i="16"/>
  <c r="AB397" i="16" l="1"/>
  <c r="R395" i="16"/>
  <c r="R396" i="16" a="1"/>
  <c r="Q397" i="16"/>
  <c r="AB398" i="16" a="1"/>
  <c r="AA399" i="16"/>
  <c r="AB398" i="16" l="1"/>
  <c r="R396" i="16"/>
  <c r="AB399" i="16" a="1"/>
  <c r="R397" i="16" a="1"/>
  <c r="AA400" i="16"/>
  <c r="Q398" i="16"/>
  <c r="AB399" i="16" l="1"/>
  <c r="R397" i="16"/>
  <c r="Q399" i="16"/>
  <c r="AB400" i="16" a="1"/>
  <c r="R398" i="16" a="1"/>
  <c r="AA401" i="16"/>
  <c r="AB400" i="16" l="1"/>
  <c r="R398" i="16"/>
  <c r="AB401" i="16" a="1"/>
  <c r="Q400" i="16"/>
  <c r="R399" i="16" a="1"/>
  <c r="AA402" i="16"/>
  <c r="AB401" i="16" l="1"/>
  <c r="R399" i="16"/>
  <c r="Q401" i="16"/>
  <c r="AB402" i="16" a="1"/>
  <c r="AA403" i="16"/>
  <c r="R400" i="16" a="1"/>
  <c r="AB402" i="16" l="1"/>
  <c r="R400" i="16"/>
  <c r="R401" i="16" a="1"/>
  <c r="AA404" i="16"/>
  <c r="AB403" i="16" a="1"/>
  <c r="Q402" i="16"/>
  <c r="AB403" i="16" l="1"/>
  <c r="R401" i="16"/>
  <c r="R402" i="16" a="1"/>
  <c r="AB404" i="16" a="1"/>
  <c r="AA405" i="16"/>
  <c r="Q403" i="16"/>
  <c r="AB404" i="16" l="1"/>
  <c r="R402" i="16"/>
  <c r="AA406" i="16"/>
  <c r="R403" i="16" a="1"/>
  <c r="AB405" i="16" a="1"/>
  <c r="Q404" i="16"/>
  <c r="AB405" i="16" l="1"/>
  <c r="R403" i="16"/>
  <c r="R404" i="16" a="1"/>
  <c r="AB406" i="16" a="1"/>
  <c r="Q405" i="16"/>
  <c r="AA407" i="16"/>
  <c r="AB406" i="16" l="1"/>
  <c r="R404" i="16"/>
  <c r="AA408" i="16"/>
  <c r="AB407" i="16" a="1"/>
  <c r="Q406" i="16"/>
  <c r="R405" i="16" a="1"/>
  <c r="AB407" i="16" l="1"/>
  <c r="R405" i="16"/>
  <c r="Q407" i="16"/>
  <c r="AB408" i="16" a="1"/>
  <c r="AA409" i="16"/>
  <c r="R406" i="16" a="1"/>
  <c r="AB408" i="16" l="1"/>
  <c r="R406" i="16"/>
  <c r="Q408" i="16"/>
  <c r="AB409" i="16" a="1"/>
  <c r="R407" i="16" a="1"/>
  <c r="AA410" i="16"/>
  <c r="AB409" i="16" l="1"/>
  <c r="R407" i="16"/>
  <c r="AA411" i="16"/>
  <c r="R408" i="16" a="1"/>
  <c r="Q409" i="16"/>
  <c r="AB410" i="16" a="1"/>
  <c r="AB410" i="16" l="1"/>
  <c r="R408" i="16"/>
  <c r="AA412" i="16"/>
  <c r="AB411" i="16" a="1"/>
  <c r="R409" i="16" a="1"/>
  <c r="Q410" i="16"/>
  <c r="AB411" i="16" l="1"/>
  <c r="R409" i="16"/>
  <c r="Q411" i="16"/>
  <c r="AB412" i="16" a="1"/>
  <c r="AA413" i="16"/>
  <c r="R410" i="16" a="1"/>
  <c r="AB412" i="16" l="1"/>
  <c r="R410" i="16"/>
  <c r="R411" i="16" a="1"/>
  <c r="AA414" i="16"/>
  <c r="AB413" i="16" a="1"/>
  <c r="Q412" i="16"/>
  <c r="AB413" i="16" l="1"/>
  <c r="R411" i="16"/>
  <c r="AB414" i="16" a="1"/>
  <c r="R412" i="16" a="1"/>
  <c r="Q413" i="16"/>
  <c r="AA415" i="16"/>
  <c r="AB414" i="16" l="1"/>
  <c r="R412" i="16"/>
  <c r="Q414" i="16"/>
  <c r="AA416" i="16"/>
  <c r="AB415" i="16" a="1"/>
  <c r="R413" i="16" a="1"/>
  <c r="AB415" i="16" l="1"/>
  <c r="R413" i="16"/>
  <c r="Q415" i="16"/>
  <c r="R414" i="16" a="1"/>
  <c r="AB416" i="16" a="1"/>
  <c r="AA417" i="16"/>
  <c r="AB416" i="16" l="1"/>
  <c r="R414" i="16"/>
  <c r="AB417" i="16" a="1"/>
  <c r="R415" i="16" a="1"/>
  <c r="AA418" i="16"/>
  <c r="Q416" i="16"/>
  <c r="AB417" i="16" l="1"/>
  <c r="R415" i="16"/>
  <c r="AB418" i="16" a="1"/>
  <c r="R416" i="16" a="1"/>
  <c r="AA419" i="16"/>
  <c r="Q417" i="16"/>
  <c r="AB418" i="16" l="1"/>
  <c r="R416" i="16"/>
  <c r="AA420" i="16"/>
  <c r="Q418" i="16"/>
  <c r="AB419" i="16" a="1"/>
  <c r="R417" i="16" a="1"/>
  <c r="AB419" i="16" l="1"/>
  <c r="R417" i="16"/>
  <c r="Q419" i="16"/>
  <c r="AB420" i="16" a="1"/>
  <c r="R418" i="16" a="1"/>
  <c r="AA421" i="16"/>
  <c r="AB420" i="16" l="1"/>
  <c r="R418" i="16"/>
  <c r="AA422" i="16"/>
  <c r="R419" i="16" a="1"/>
  <c r="AB421" i="16" a="1"/>
  <c r="Q420" i="16"/>
  <c r="AB421" i="16" l="1"/>
  <c r="R419" i="16"/>
  <c r="AB422" i="16" a="1"/>
  <c r="AA423" i="16"/>
  <c r="R420" i="16" a="1"/>
  <c r="Q421" i="16"/>
  <c r="AB422" i="16" l="1"/>
  <c r="R420" i="16"/>
  <c r="Q422" i="16"/>
  <c r="AB423" i="16" a="1"/>
  <c r="AA424" i="16"/>
  <c r="R421" i="16" a="1"/>
  <c r="AB423" i="16" l="1"/>
  <c r="R421" i="16"/>
  <c r="Q423" i="16"/>
  <c r="R422" i="16" a="1"/>
  <c r="AB424" i="16" a="1"/>
  <c r="AA425" i="16"/>
  <c r="AB424" i="16" l="1"/>
  <c r="R422" i="16"/>
  <c r="AA426" i="16"/>
  <c r="R423" i="16" a="1"/>
  <c r="AB425" i="16" a="1"/>
  <c r="Q424" i="16"/>
  <c r="AB425" i="16" l="1"/>
  <c r="R423" i="16"/>
  <c r="R424" i="16" a="1"/>
  <c r="AB426" i="16" a="1"/>
  <c r="AA427" i="16"/>
  <c r="Q425" i="16"/>
  <c r="AB426" i="16" l="1"/>
  <c r="R424" i="16"/>
  <c r="R425" i="16" a="1"/>
  <c r="Q426" i="16"/>
  <c r="AB427" i="16" a="1"/>
  <c r="AA428" i="16"/>
  <c r="AB427" i="16" l="1"/>
  <c r="R425" i="16"/>
  <c r="AB428" i="16" a="1"/>
  <c r="AA429" i="16"/>
  <c r="R426" i="16" a="1"/>
  <c r="Q427" i="16"/>
  <c r="AB428" i="16" l="1"/>
  <c r="R426" i="16"/>
  <c r="Q428" i="16"/>
  <c r="R427" i="16" a="1"/>
  <c r="AB429" i="16" a="1"/>
  <c r="AA430" i="16"/>
  <c r="AB429" i="16" l="1"/>
  <c r="R427" i="16"/>
  <c r="Q429" i="16"/>
  <c r="AB430" i="16" a="1"/>
  <c r="AA431" i="16"/>
  <c r="R428" i="16" a="1"/>
  <c r="AB430" i="16" l="1"/>
  <c r="R428" i="16"/>
  <c r="AA432" i="16"/>
  <c r="R429" i="16" a="1"/>
  <c r="AB431" i="16" a="1"/>
  <c r="Q430" i="16"/>
  <c r="AB431" i="16" l="1"/>
  <c r="R429" i="16"/>
  <c r="Q431" i="16"/>
  <c r="AB432" i="16" a="1"/>
  <c r="R430" i="16" a="1"/>
  <c r="AA433" i="16"/>
  <c r="AB432" i="16" l="1"/>
  <c r="R430" i="16"/>
  <c r="Q432" i="16"/>
  <c r="AB433" i="16" a="1"/>
  <c r="R431" i="16" a="1"/>
  <c r="AA434" i="16"/>
  <c r="AB433" i="16" l="1"/>
  <c r="R431" i="16"/>
  <c r="AB434" i="16" a="1"/>
  <c r="AA435" i="16"/>
  <c r="R432" i="16" a="1"/>
  <c r="Q433" i="16"/>
  <c r="AB434" i="16" l="1"/>
  <c r="R432" i="16"/>
  <c r="AA436" i="16"/>
  <c r="Q434" i="16"/>
  <c r="R433" i="16" a="1"/>
  <c r="AB435" i="16" a="1"/>
  <c r="AB435" i="16" l="1"/>
  <c r="R433" i="16"/>
  <c r="Q435" i="16"/>
  <c r="R434" i="16" a="1"/>
  <c r="AA437" i="16"/>
  <c r="AB436" i="16" a="1"/>
  <c r="AB436" i="16" l="1"/>
  <c r="R434" i="16"/>
  <c r="AB437" i="16" a="1"/>
  <c r="AA438" i="16"/>
  <c r="R435" i="16" a="1"/>
  <c r="Q436" i="16"/>
  <c r="AB437" i="16" l="1"/>
  <c r="R435" i="16"/>
  <c r="AB438" i="16" a="1"/>
  <c r="AA439" i="16"/>
  <c r="Q437" i="16"/>
  <c r="R436" i="16" a="1"/>
  <c r="AB438" i="16" l="1"/>
  <c r="R436" i="16"/>
  <c r="AA440" i="16"/>
  <c r="AB439" i="16" a="1"/>
  <c r="Q438" i="16"/>
  <c r="R437" i="16" a="1"/>
  <c r="AB439" i="16" l="1"/>
  <c r="R437" i="16"/>
  <c r="Q439" i="16"/>
  <c r="AA441" i="16"/>
  <c r="R438" i="16" a="1"/>
  <c r="AB440" i="16" a="1"/>
  <c r="AB440" i="16" l="1"/>
  <c r="R438" i="16"/>
  <c r="AA442" i="16"/>
  <c r="R439" i="16" a="1"/>
  <c r="Q440" i="16"/>
  <c r="AB441" i="16" a="1"/>
  <c r="AB441" i="16" l="1"/>
  <c r="R439" i="16"/>
  <c r="AB442" i="16" a="1"/>
  <c r="Q441" i="16"/>
  <c r="R440" i="16" a="1"/>
  <c r="AA443" i="16"/>
  <c r="AB442" i="16" l="1"/>
  <c r="R440" i="16"/>
  <c r="R441" i="16" a="1"/>
  <c r="AB443" i="16" a="1"/>
  <c r="AA444" i="16"/>
  <c r="Q442" i="16"/>
  <c r="AB443" i="16" l="1"/>
  <c r="R441" i="16"/>
  <c r="Q443" i="16"/>
  <c r="R442" i="16" a="1"/>
  <c r="AB444" i="16" a="1"/>
  <c r="AA445" i="16"/>
  <c r="AB444" i="16" l="1"/>
  <c r="R442" i="16"/>
  <c r="Q444" i="16"/>
  <c r="AA446" i="16"/>
  <c r="R443" i="16" a="1"/>
  <c r="AB445" i="16" a="1"/>
  <c r="AB445" i="16" l="1"/>
  <c r="R443" i="16"/>
  <c r="Q445" i="16"/>
  <c r="AA447" i="16"/>
  <c r="AB446" i="16" a="1"/>
  <c r="R444" i="16" a="1"/>
  <c r="AB446" i="16" l="1"/>
  <c r="R444" i="16"/>
  <c r="R445" i="16" a="1"/>
  <c r="AA448" i="16"/>
  <c r="AB447" i="16" a="1"/>
  <c r="Q446" i="16"/>
  <c r="AB447" i="16" l="1"/>
  <c r="R445" i="16"/>
  <c r="AA449" i="16"/>
  <c r="AB448" i="16" a="1"/>
  <c r="R446" i="16" a="1"/>
  <c r="Q447" i="16"/>
  <c r="AB448" i="16" l="1"/>
  <c r="R446" i="16"/>
  <c r="AB449" i="16" a="1"/>
  <c r="AA450" i="16"/>
  <c r="R447" i="16" a="1"/>
  <c r="Q448" i="16"/>
  <c r="AB449" i="16" l="1"/>
  <c r="R447" i="16"/>
  <c r="R448" i="16" a="1"/>
  <c r="Q449" i="16"/>
  <c r="AB450" i="16" a="1"/>
  <c r="AA451" i="16"/>
  <c r="AB450" i="16" l="1"/>
  <c r="R448" i="16"/>
  <c r="AB451" i="16" a="1"/>
  <c r="Q450" i="16"/>
  <c r="R449" i="16" a="1"/>
  <c r="AA452" i="16"/>
  <c r="AB451" i="16" l="1"/>
  <c r="R449" i="16"/>
  <c r="R450" i="16" a="1"/>
  <c r="Q451" i="16"/>
  <c r="AA453" i="16"/>
  <c r="AB452" i="16" a="1"/>
  <c r="AB452" i="16" l="1"/>
  <c r="R450" i="16"/>
  <c r="R451" i="16" a="1"/>
  <c r="AA454" i="16"/>
  <c r="Q452" i="16"/>
  <c r="AB453" i="16" a="1"/>
  <c r="AB453" i="16" l="1"/>
  <c r="R451" i="16"/>
  <c r="AA455" i="16"/>
  <c r="R452" i="16" a="1"/>
  <c r="AB454" i="16" a="1"/>
  <c r="Q453" i="16"/>
  <c r="AB454" i="16" l="1"/>
  <c r="R452" i="16"/>
  <c r="AB455" i="16" a="1"/>
  <c r="AA456" i="16"/>
  <c r="R453" i="16" a="1"/>
  <c r="Q454" i="16"/>
  <c r="AB455" i="16" l="1"/>
  <c r="R453" i="16"/>
  <c r="AA457" i="16"/>
  <c r="Q455" i="16"/>
  <c r="R454" i="16" a="1"/>
  <c r="AB456" i="16" a="1"/>
  <c r="AB456" i="16" l="1"/>
  <c r="R454" i="16"/>
  <c r="AB457" i="16" a="1"/>
  <c r="R455" i="16" a="1"/>
  <c r="Q456" i="16"/>
  <c r="AA458" i="16"/>
  <c r="AB457" i="16" l="1"/>
  <c r="R455" i="16"/>
  <c r="Q457" i="16"/>
  <c r="R456" i="16" a="1"/>
  <c r="AB458" i="16" a="1"/>
  <c r="AA459" i="16"/>
  <c r="AB458" i="16" l="1"/>
  <c r="R456" i="16"/>
  <c r="AA460" i="16"/>
  <c r="R457" i="16" a="1"/>
  <c r="Q458" i="16"/>
  <c r="AB459" i="16" a="1"/>
  <c r="AB459" i="16" l="1"/>
  <c r="R457" i="16"/>
  <c r="R458" i="16" a="1"/>
  <c r="AA461" i="16"/>
  <c r="AB460" i="16" a="1"/>
  <c r="Q459" i="16"/>
  <c r="AB460" i="16" l="1"/>
  <c r="R458" i="16"/>
  <c r="Q460" i="16"/>
  <c r="AB461" i="16" a="1"/>
  <c r="AA462" i="16"/>
  <c r="R459" i="16" a="1"/>
  <c r="AB461" i="16" l="1"/>
  <c r="R459" i="16"/>
  <c r="AA463" i="16"/>
  <c r="AB462" i="16" a="1"/>
  <c r="R460" i="16" a="1"/>
  <c r="Q461" i="16"/>
  <c r="AB462" i="16" l="1"/>
  <c r="R460" i="16"/>
  <c r="Q462" i="16"/>
  <c r="AA464" i="16"/>
  <c r="R461" i="16" a="1"/>
  <c r="AB463" i="16" a="1"/>
  <c r="AB463" i="16" l="1"/>
  <c r="R461" i="16"/>
  <c r="AB464" i="16" a="1"/>
  <c r="AA465" i="16"/>
  <c r="R462" i="16" a="1"/>
  <c r="Q463" i="16"/>
  <c r="AB464" i="16" l="1"/>
  <c r="R462" i="16"/>
  <c r="Q464" i="16"/>
  <c r="AB465" i="16" a="1"/>
  <c r="R463" i="16" a="1"/>
  <c r="AA466" i="16"/>
  <c r="AB465" i="16" l="1"/>
  <c r="R463" i="16"/>
  <c r="AB466" i="16" a="1"/>
  <c r="AA467" i="16"/>
  <c r="Q465" i="16"/>
  <c r="R464" i="16" a="1"/>
  <c r="AB466" i="16" l="1"/>
  <c r="R464" i="16"/>
  <c r="AB467" i="16" a="1"/>
  <c r="AA468" i="16"/>
  <c r="Q466" i="16"/>
  <c r="R465" i="16" a="1"/>
  <c r="AB467" i="16" l="1"/>
  <c r="R465" i="16"/>
  <c r="AA469" i="16"/>
  <c r="AB468" i="16" a="1"/>
  <c r="R466" i="16" a="1"/>
  <c r="Q467" i="16"/>
  <c r="AB468" i="16" l="1"/>
  <c r="R466" i="16"/>
  <c r="AB469" i="16" a="1"/>
  <c r="R467" i="16" a="1"/>
  <c r="AA470" i="16"/>
  <c r="Q468" i="16"/>
  <c r="AB469" i="16" l="1"/>
  <c r="R467" i="16"/>
  <c r="AA471" i="16"/>
  <c r="R468" i="16" a="1"/>
  <c r="AB470" i="16" a="1"/>
  <c r="Q469" i="16"/>
  <c r="AB470" i="16" l="1"/>
  <c r="R468" i="16"/>
  <c r="R469" i="16" a="1"/>
  <c r="Q470" i="16"/>
  <c r="AA472" i="16"/>
  <c r="AB471" i="16" a="1"/>
  <c r="AB471" i="16" l="1"/>
  <c r="R469" i="16"/>
  <c r="AA473" i="16"/>
  <c r="Q471" i="16"/>
  <c r="AB472" i="16" a="1"/>
  <c r="R470" i="16" a="1"/>
  <c r="AB472" i="16" l="1"/>
  <c r="R470" i="16"/>
  <c r="Q472" i="16"/>
  <c r="AA474" i="16"/>
  <c r="R471" i="16" a="1"/>
  <c r="AB473" i="16" a="1"/>
  <c r="AB473" i="16" l="1"/>
  <c r="R471" i="16"/>
  <c r="Q473" i="16"/>
  <c r="R472" i="16" a="1"/>
  <c r="AB474" i="16" a="1"/>
  <c r="AA475" i="16"/>
  <c r="AB474" i="16" l="1"/>
  <c r="R472" i="16"/>
  <c r="AA476" i="16"/>
  <c r="R473" i="16" a="1"/>
  <c r="AB475" i="16" a="1"/>
  <c r="Q474" i="16"/>
  <c r="AB475" i="16" l="1"/>
  <c r="R473" i="16"/>
  <c r="AA477" i="16"/>
  <c r="R474" i="16" a="1"/>
  <c r="Q475" i="16"/>
  <c r="AB476" i="16" a="1"/>
  <c r="AB476" i="16" l="1"/>
  <c r="R474" i="16"/>
  <c r="AA478" i="16"/>
  <c r="R475" i="16" a="1"/>
  <c r="Q476" i="16"/>
  <c r="AB477" i="16" a="1"/>
  <c r="AB477" i="16" l="1"/>
  <c r="R475" i="16"/>
  <c r="AA479" i="16"/>
  <c r="AB478" i="16" a="1"/>
  <c r="R476" i="16" a="1"/>
  <c r="Q477" i="16"/>
  <c r="AB478" i="16" l="1"/>
  <c r="R476" i="16"/>
  <c r="R477" i="16" a="1"/>
  <c r="AB479" i="16" a="1"/>
  <c r="AA480" i="16"/>
  <c r="Q478" i="16"/>
  <c r="AB479" i="16" l="1"/>
  <c r="R477" i="16"/>
  <c r="Q479" i="16"/>
  <c r="AB480" i="16" a="1"/>
  <c r="AA481" i="16"/>
  <c r="R478" i="16" a="1"/>
  <c r="AB480" i="16" l="1"/>
  <c r="R478" i="16"/>
  <c r="Q480" i="16"/>
  <c r="AB481" i="16" a="1"/>
  <c r="R479" i="16" a="1"/>
  <c r="AA482" i="16"/>
  <c r="AB481" i="16" l="1"/>
  <c r="R479" i="16"/>
  <c r="AB482" i="16" a="1"/>
  <c r="R480" i="16" a="1"/>
  <c r="Q481" i="16"/>
  <c r="AA483" i="16"/>
  <c r="AB482" i="16" l="1"/>
  <c r="R480" i="16"/>
  <c r="AB483" i="16" a="1"/>
  <c r="Q482" i="16"/>
  <c r="AA484" i="16"/>
  <c r="R481" i="16" a="1"/>
  <c r="AB483" i="16" l="1"/>
  <c r="R481" i="16"/>
  <c r="Q483" i="16"/>
  <c r="AA485" i="16"/>
  <c r="AB484" i="16" a="1"/>
  <c r="R482" i="16" a="1"/>
  <c r="AB484" i="16" l="1"/>
  <c r="R482" i="16"/>
  <c r="AA486" i="16"/>
  <c r="R483" i="16" a="1"/>
  <c r="AB485" i="16" a="1"/>
  <c r="Q484" i="16"/>
  <c r="AB485" i="16" l="1"/>
  <c r="R483" i="16"/>
  <c r="Q485" i="16"/>
  <c r="AB486" i="16" a="1"/>
  <c r="AA487" i="16"/>
  <c r="R484" i="16" a="1"/>
  <c r="AB486" i="16" l="1"/>
  <c r="R484" i="16"/>
  <c r="R485" i="16" a="1"/>
  <c r="AA488" i="16"/>
  <c r="Q486" i="16"/>
  <c r="AB487" i="16" a="1"/>
  <c r="AB487" i="16" l="1"/>
  <c r="R485" i="16"/>
  <c r="R486" i="16" a="1"/>
  <c r="Q487" i="16"/>
  <c r="AA489" i="16"/>
  <c r="AB488" i="16" a="1"/>
  <c r="AB488" i="16" l="1"/>
  <c r="R486" i="16"/>
  <c r="AA490" i="16"/>
  <c r="AB489" i="16" a="1"/>
  <c r="R487" i="16" a="1"/>
  <c r="Q488" i="16"/>
  <c r="AB489" i="16" l="1"/>
  <c r="R487" i="16"/>
  <c r="Q489" i="16"/>
  <c r="AB490" i="16" a="1"/>
  <c r="R488" i="16" a="1"/>
  <c r="AA491" i="16"/>
  <c r="AB490" i="16" l="1"/>
  <c r="R488" i="16"/>
  <c r="AB491" i="16" a="1"/>
  <c r="Q490" i="16"/>
  <c r="AA492" i="16"/>
  <c r="R489" i="16" a="1"/>
  <c r="AB491" i="16" l="1"/>
  <c r="R489" i="16"/>
  <c r="Q491" i="16"/>
  <c r="R490" i="16" a="1"/>
  <c r="AB492" i="16" a="1"/>
  <c r="AA493" i="16"/>
  <c r="AB492" i="16" l="1"/>
  <c r="R490" i="16"/>
  <c r="AB493" i="16" a="1"/>
  <c r="AA494" i="16"/>
  <c r="R491" i="16" a="1"/>
  <c r="Q492" i="16"/>
  <c r="AB493" i="16" l="1"/>
  <c r="R491" i="16"/>
  <c r="R492" i="16" a="1"/>
  <c r="AA495" i="16"/>
  <c r="AB494" i="16" a="1"/>
  <c r="Q493" i="16"/>
  <c r="AB494" i="16" l="1"/>
  <c r="R492" i="16"/>
  <c r="AA496" i="16"/>
  <c r="AB495" i="16" a="1"/>
  <c r="R493" i="16" a="1"/>
  <c r="Q494" i="16"/>
  <c r="AB495" i="16" l="1"/>
  <c r="R493" i="16"/>
  <c r="R494" i="16" a="1"/>
  <c r="Q495" i="16"/>
  <c r="AB496" i="16" a="1"/>
  <c r="AA497" i="16"/>
  <c r="AB496" i="16" l="1"/>
  <c r="R494" i="16"/>
  <c r="R495" i="16" a="1"/>
  <c r="Q496" i="16"/>
  <c r="AB497" i="16" a="1"/>
  <c r="AA498" i="16"/>
  <c r="AB497" i="16" l="1"/>
  <c r="R495" i="16"/>
  <c r="Q497" i="16"/>
  <c r="R496" i="16" a="1"/>
  <c r="AB498" i="16" a="1"/>
  <c r="AA499" i="16"/>
  <c r="AB498" i="16" l="1"/>
  <c r="R496" i="16"/>
  <c r="R497" i="16" a="1"/>
  <c r="AA500" i="16"/>
  <c r="Q498" i="16"/>
  <c r="AB499" i="16" a="1"/>
  <c r="AB499" i="16" l="1"/>
  <c r="R497" i="16"/>
  <c r="R498" i="16" a="1"/>
  <c r="Q499" i="16"/>
  <c r="AA501" i="16"/>
  <c r="AB500" i="16" a="1"/>
  <c r="AB500" i="16" l="1"/>
  <c r="R498" i="16"/>
  <c r="AB501" i="16" a="1"/>
  <c r="R499" i="16" a="1"/>
  <c r="AA502" i="16"/>
  <c r="Q500" i="16"/>
  <c r="AB501" i="16" l="1"/>
  <c r="R499" i="16"/>
  <c r="R500" i="16" a="1"/>
  <c r="AB502" i="16" a="1"/>
  <c r="AA503" i="16"/>
  <c r="Q501" i="16"/>
  <c r="AB502" i="16" l="1"/>
  <c r="R500" i="16"/>
  <c r="AB503" i="16" a="1"/>
  <c r="AA504" i="16"/>
  <c r="R501" i="16" a="1"/>
  <c r="Q502" i="16"/>
  <c r="AB503" i="16" l="1"/>
  <c r="R501" i="16"/>
  <c r="R502" i="16" a="1"/>
  <c r="Q503" i="16"/>
  <c r="AB504" i="16" a="1"/>
  <c r="AA505" i="16"/>
  <c r="AB504" i="16" l="1"/>
  <c r="R502" i="16"/>
  <c r="AA506" i="16"/>
  <c r="Q504" i="16"/>
  <c r="AB505" i="16" a="1"/>
  <c r="R503" i="16" a="1"/>
  <c r="AB505" i="16" l="1"/>
  <c r="R503" i="16"/>
  <c r="AB506" i="16" a="1"/>
  <c r="Q505" i="16"/>
  <c r="AA507" i="16"/>
  <c r="R504" i="16" a="1"/>
  <c r="AB506" i="16" l="1"/>
  <c r="R504" i="16"/>
  <c r="Q506" i="16"/>
  <c r="AB507" i="16" a="1"/>
  <c r="R505" i="16" a="1"/>
  <c r="AA508" i="16"/>
  <c r="AB507" i="16" l="1"/>
  <c r="R505" i="16"/>
  <c r="R506" i="16" a="1"/>
  <c r="AA509" i="16"/>
  <c r="AB508" i="16" a="1"/>
  <c r="Q507" i="16"/>
  <c r="AB508" i="16" l="1"/>
  <c r="R506" i="16"/>
  <c r="Q508" i="16"/>
  <c r="AA510" i="16"/>
  <c r="R507" i="16" a="1"/>
  <c r="AB509" i="16" a="1"/>
  <c r="AB509" i="16" l="1"/>
  <c r="R507" i="16"/>
  <c r="AA511" i="16"/>
  <c r="Q509" i="16"/>
  <c r="AB510" i="16" a="1"/>
  <c r="R508" i="16" a="1"/>
  <c r="AB510" i="16" l="1"/>
  <c r="R508" i="16"/>
  <c r="AB511" i="16" a="1"/>
  <c r="R509" i="16" a="1"/>
  <c r="Q510" i="16"/>
  <c r="AA512" i="16"/>
  <c r="AB511" i="16" l="1"/>
  <c r="R509" i="16"/>
  <c r="R510" i="16" a="1"/>
  <c r="AB512" i="16" a="1"/>
  <c r="AA513" i="16"/>
  <c r="Q511" i="16"/>
  <c r="AB512" i="16" l="1"/>
  <c r="R510" i="16"/>
  <c r="AA514" i="16"/>
  <c r="Q512" i="16"/>
  <c r="AB513" i="16" a="1"/>
  <c r="R511" i="16" a="1"/>
  <c r="AB513" i="16" l="1"/>
  <c r="R511" i="16"/>
  <c r="AA515" i="16"/>
  <c r="AB514" i="16" a="1"/>
  <c r="R512" i="16" a="1"/>
  <c r="Q513" i="16"/>
  <c r="AB514" i="16" l="1"/>
  <c r="R512" i="16"/>
  <c r="AB515" i="16" a="1"/>
  <c r="R513" i="16" a="1"/>
  <c r="AA516" i="16"/>
  <c r="Q514" i="16"/>
  <c r="AB515" i="16" l="1"/>
  <c r="R513" i="16"/>
  <c r="R514" i="16" a="1"/>
  <c r="AA517" i="16"/>
  <c r="AB516" i="16" a="1"/>
  <c r="Q515" i="16"/>
  <c r="AB516" i="16" l="1"/>
  <c r="R514" i="16"/>
  <c r="AB517" i="16" a="1"/>
  <c r="AA518" i="16"/>
  <c r="Q516" i="16"/>
  <c r="R515" i="16" a="1"/>
  <c r="AB517" i="16" l="1"/>
  <c r="R515" i="16"/>
  <c r="Q517" i="16"/>
  <c r="AA519" i="16"/>
  <c r="R516" i="16" a="1"/>
  <c r="AB518" i="16" a="1"/>
  <c r="AB518" i="16" l="1"/>
  <c r="R516" i="16"/>
  <c r="R517" i="16" a="1"/>
  <c r="AA520" i="16"/>
  <c r="AB519" i="16" a="1"/>
  <c r="Q518" i="16"/>
  <c r="AB519" i="16" l="1"/>
  <c r="R517" i="16"/>
  <c r="R518" i="16" a="1"/>
  <c r="AB520" i="16" a="1"/>
  <c r="Q519" i="16"/>
  <c r="AA521" i="16"/>
  <c r="AB520" i="16" l="1"/>
  <c r="R518" i="16"/>
  <c r="AA522" i="16"/>
  <c r="Q520" i="16"/>
  <c r="R519" i="16" a="1"/>
  <c r="AB521" i="16" a="1"/>
  <c r="AB521" i="16" l="1"/>
  <c r="R519" i="16"/>
  <c r="AA523" i="16"/>
  <c r="Q521" i="16"/>
  <c r="R520" i="16" a="1"/>
  <c r="AB522" i="16" a="1"/>
  <c r="AB522" i="16" l="1"/>
  <c r="R520" i="16"/>
  <c r="Q522" i="16"/>
  <c r="AB523" i="16" a="1"/>
  <c r="R521" i="16" a="1"/>
  <c r="AA524" i="16"/>
  <c r="AB523" i="16" l="1"/>
  <c r="R521" i="16"/>
  <c r="AB524" i="16" a="1"/>
  <c r="Q523" i="16"/>
  <c r="AA525" i="16"/>
  <c r="R522" i="16" a="1"/>
  <c r="AB524" i="16" l="1"/>
  <c r="R522" i="16"/>
  <c r="R523" i="16" a="1"/>
  <c r="AA526" i="16"/>
  <c r="Q524" i="16"/>
  <c r="AB525" i="16" a="1"/>
  <c r="AB525" i="16" l="1"/>
  <c r="R523" i="16"/>
  <c r="Q525" i="16"/>
  <c r="R524" i="16" a="1"/>
  <c r="AA527" i="16"/>
  <c r="AB526" i="16" a="1"/>
  <c r="AB526" i="16" l="1"/>
  <c r="R524" i="16"/>
  <c r="AA528" i="16"/>
  <c r="AB527" i="16" a="1"/>
  <c r="Q526" i="16"/>
  <c r="R525" i="16" a="1"/>
  <c r="AB527" i="16" l="1"/>
  <c r="R525" i="16"/>
  <c r="AB528" i="16" a="1"/>
  <c r="Q527" i="16"/>
  <c r="R526" i="16" a="1"/>
  <c r="AA529" i="16"/>
  <c r="AB528" i="16" l="1"/>
  <c r="R526" i="16"/>
  <c r="Q528" i="16"/>
  <c r="AA530" i="16"/>
  <c r="R527" i="16" a="1"/>
  <c r="AB529" i="16" a="1"/>
  <c r="AB529" i="16" l="1"/>
  <c r="R527" i="16"/>
  <c r="AA531" i="16"/>
  <c r="Q529" i="16"/>
  <c r="AB530" i="16" a="1"/>
  <c r="R528" i="16" a="1"/>
  <c r="AB530" i="16" l="1"/>
  <c r="R528" i="16"/>
  <c r="AA532" i="16"/>
  <c r="R529" i="16" a="1"/>
  <c r="AB531" i="16" a="1"/>
  <c r="Q530" i="16"/>
  <c r="AB531" i="16" l="1"/>
  <c r="R529" i="16"/>
  <c r="AA533" i="16"/>
  <c r="AB532" i="16" a="1"/>
  <c r="R530" i="16" a="1"/>
  <c r="Q531" i="16"/>
  <c r="AB532" i="16" l="1"/>
  <c r="R530" i="16"/>
  <c r="AB533" i="16" a="1"/>
  <c r="AA534" i="16"/>
  <c r="R531" i="16" a="1"/>
  <c r="Q532" i="16"/>
  <c r="AB533" i="16" l="1"/>
  <c r="R531" i="16"/>
  <c r="Q533" i="16"/>
  <c r="AB534" i="16" a="1"/>
  <c r="R532" i="16" a="1"/>
  <c r="AA535" i="16"/>
  <c r="AB534" i="16" l="1"/>
  <c r="R532" i="16"/>
  <c r="AA536" i="16"/>
  <c r="AB535" i="16" a="1"/>
  <c r="R533" i="16" a="1"/>
  <c r="Q534" i="16"/>
  <c r="AB535" i="16" l="1"/>
  <c r="R533" i="16"/>
  <c r="AA537" i="16"/>
  <c r="AB536" i="16" a="1"/>
  <c r="R534" i="16" a="1"/>
  <c r="Q535" i="16"/>
  <c r="AB536" i="16" l="1"/>
  <c r="R534" i="16"/>
  <c r="Q536" i="16"/>
  <c r="AA538" i="16"/>
  <c r="R535" i="16" a="1"/>
  <c r="AB537" i="16" a="1"/>
  <c r="AB537" i="16" l="1"/>
  <c r="R535" i="16"/>
  <c r="R536" i="16" a="1"/>
  <c r="AB538" i="16" a="1"/>
  <c r="AA539" i="16"/>
  <c r="Q537" i="16"/>
  <c r="AB538" i="16" l="1"/>
  <c r="R536" i="16"/>
  <c r="AA540" i="16"/>
  <c r="AB539" i="16" a="1"/>
  <c r="R537" i="16" a="1"/>
  <c r="Q538" i="16"/>
  <c r="AB539" i="16" l="1"/>
  <c r="R537" i="16"/>
  <c r="AA541" i="16"/>
  <c r="R538" i="16" a="1"/>
  <c r="Q539" i="16"/>
  <c r="AB540" i="16" a="1"/>
  <c r="AB540" i="16" l="1"/>
  <c r="R538" i="16"/>
  <c r="AA542" i="16"/>
  <c r="R539" i="16" a="1"/>
  <c r="Q540" i="16"/>
  <c r="AB541" i="16" a="1"/>
  <c r="AB541" i="16" l="1"/>
  <c r="R539" i="16"/>
  <c r="AB542" i="16" a="1"/>
  <c r="R540" i="16" a="1"/>
  <c r="AA543" i="16"/>
  <c r="Q541" i="16"/>
  <c r="AB542" i="16" l="1"/>
  <c r="R540" i="16"/>
  <c r="R541" i="16" a="1"/>
  <c r="AB543" i="16" a="1"/>
  <c r="AA544" i="16"/>
  <c r="Q542" i="16"/>
  <c r="AB543" i="16" l="1"/>
  <c r="R541" i="16"/>
  <c r="AA545" i="16"/>
  <c r="R542" i="16" a="1"/>
  <c r="Q543" i="16"/>
  <c r="AB544" i="16" a="1"/>
  <c r="AB544" i="16" l="1"/>
  <c r="R542" i="16"/>
  <c r="AB545" i="16" a="1"/>
  <c r="AA546" i="16"/>
  <c r="Q544" i="16"/>
  <c r="R543" i="16" a="1"/>
  <c r="AB545" i="16" l="1"/>
  <c r="R543" i="16"/>
  <c r="AB546" i="16" a="1"/>
  <c r="Q545" i="16"/>
  <c r="AA547" i="16"/>
  <c r="R544" i="16" a="1"/>
  <c r="AB546" i="16" l="1"/>
  <c r="R544" i="16"/>
  <c r="AB547" i="16" a="1"/>
  <c r="Q546" i="16"/>
  <c r="AA548" i="16"/>
  <c r="R545" i="16" a="1"/>
  <c r="AB547" i="16" l="1"/>
  <c r="R545" i="16"/>
  <c r="AA549" i="16"/>
  <c r="R546" i="16" a="1"/>
  <c r="Q547" i="16"/>
  <c r="AB548" i="16" a="1"/>
  <c r="AB548" i="16" l="1"/>
  <c r="R546" i="16"/>
  <c r="R547" i="16" a="1"/>
  <c r="Q548" i="16"/>
  <c r="AB549" i="16" a="1"/>
  <c r="AA550" i="16"/>
  <c r="AB549" i="16" l="1"/>
  <c r="R547" i="16"/>
  <c r="Q549" i="16"/>
  <c r="AA551" i="16"/>
  <c r="R548" i="16" a="1"/>
  <c r="AB550" i="16" a="1"/>
  <c r="AB550" i="16" l="1"/>
  <c r="R548" i="16"/>
  <c r="R549" i="16" a="1"/>
  <c r="Q550" i="16"/>
  <c r="AA552" i="16"/>
  <c r="AB551" i="16" a="1"/>
  <c r="AB551" i="16" l="1"/>
  <c r="R549" i="16"/>
  <c r="Q551" i="16"/>
  <c r="R550" i="16" a="1"/>
  <c r="AB552" i="16" a="1"/>
  <c r="AA553" i="16"/>
  <c r="AB552" i="16" l="1"/>
  <c r="R550" i="16"/>
  <c r="AB553" i="16" a="1"/>
  <c r="R551" i="16" a="1"/>
  <c r="AA554" i="16"/>
  <c r="Q552" i="16"/>
  <c r="AB553" i="16" l="1"/>
  <c r="R551" i="16"/>
  <c r="AA555" i="16"/>
  <c r="Q553" i="16"/>
  <c r="AB554" i="16" a="1"/>
  <c r="R552" i="16" a="1"/>
  <c r="AB554" i="16" l="1"/>
  <c r="R552" i="16"/>
  <c r="AA556" i="16"/>
  <c r="AB555" i="16" a="1"/>
  <c r="R553" i="16" a="1"/>
  <c r="Q554" i="16"/>
  <c r="AB555" i="16" l="1"/>
  <c r="R553" i="16"/>
  <c r="AA557" i="16"/>
  <c r="AB556" i="16" a="1"/>
  <c r="Q555" i="16"/>
  <c r="R554" i="16" a="1"/>
  <c r="AB556" i="16" l="1"/>
  <c r="R554" i="16"/>
  <c r="AA558" i="16"/>
  <c r="R555" i="16" a="1"/>
  <c r="Q556" i="16"/>
  <c r="AB557" i="16" a="1"/>
  <c r="AB557" i="16" l="1"/>
  <c r="R555" i="16"/>
  <c r="R556" i="16" a="1"/>
  <c r="AA559" i="16"/>
  <c r="AB558" i="16" a="1"/>
  <c r="Q557" i="16"/>
  <c r="AB558" i="16" l="1"/>
  <c r="R556" i="16"/>
  <c r="Q558" i="16"/>
  <c r="AB559" i="16" a="1"/>
  <c r="AA560" i="16"/>
  <c r="R557" i="16" a="1"/>
  <c r="AB559" i="16" l="1"/>
  <c r="R557" i="16"/>
  <c r="R558" i="16" a="1"/>
  <c r="AB560" i="16" a="1"/>
  <c r="AA561" i="16"/>
  <c r="Q559" i="16"/>
  <c r="AB560" i="16" l="1"/>
  <c r="R558" i="16"/>
  <c r="R559" i="16" a="1"/>
  <c r="Q560" i="16"/>
  <c r="AB561" i="16" a="1"/>
  <c r="AA562" i="16"/>
  <c r="AB561" i="16" l="1"/>
  <c r="R559" i="16"/>
  <c r="R560" i="16" a="1"/>
  <c r="AA563" i="16"/>
  <c r="AB562" i="16" a="1"/>
  <c r="Q561" i="16"/>
  <c r="AB562" i="16" l="1"/>
  <c r="R560" i="16"/>
  <c r="Q562" i="16"/>
  <c r="R561" i="16" a="1"/>
  <c r="AA564" i="16"/>
  <c r="AB563" i="16" a="1"/>
  <c r="AB563" i="16" l="1"/>
  <c r="R561" i="16"/>
  <c r="R562" i="16" a="1"/>
  <c r="AA565" i="16"/>
  <c r="Q563" i="16"/>
  <c r="AB564" i="16" a="1"/>
  <c r="AB564" i="16" l="1"/>
  <c r="R562" i="16"/>
  <c r="AB565" i="16" a="1"/>
  <c r="AA566" i="16"/>
  <c r="R563" i="16" a="1"/>
  <c r="Q564" i="16"/>
  <c r="AB565" i="16" l="1"/>
  <c r="R563" i="16"/>
  <c r="AA567" i="16"/>
  <c r="Q565" i="16"/>
  <c r="AB566" i="16" a="1"/>
  <c r="R564" i="16" a="1"/>
  <c r="AB566" i="16" l="1"/>
  <c r="R564" i="16"/>
  <c r="AA568" i="16"/>
  <c r="R565" i="16" a="1"/>
  <c r="AB567" i="16" a="1"/>
  <c r="Q566" i="16"/>
  <c r="AB567" i="16" l="1"/>
  <c r="R565" i="16"/>
  <c r="AB568" i="16" a="1"/>
  <c r="R566" i="16" a="1"/>
  <c r="AA569" i="16"/>
  <c r="Q567" i="16"/>
  <c r="AB568" i="16" l="1"/>
  <c r="R566" i="16"/>
  <c r="AB569" i="16" a="1"/>
  <c r="Q568" i="16"/>
  <c r="R567" i="16" a="1"/>
  <c r="AA570" i="16"/>
  <c r="AB569" i="16" l="1"/>
  <c r="R567" i="16"/>
  <c r="AA571" i="16"/>
  <c r="AB570" i="16" a="1"/>
  <c r="R568" i="16" a="1"/>
  <c r="Q569" i="16"/>
  <c r="AB570" i="16" l="1"/>
  <c r="R568" i="16"/>
  <c r="Q570" i="16"/>
  <c r="AB571" i="16" a="1"/>
  <c r="AA572" i="16"/>
  <c r="R569" i="16" a="1"/>
  <c r="AB571" i="16" l="1"/>
  <c r="R569" i="16"/>
  <c r="AA573" i="16"/>
  <c r="Q571" i="16"/>
  <c r="AB572" i="16" a="1"/>
  <c r="R570" i="16" a="1"/>
  <c r="AB572" i="16" l="1"/>
  <c r="R570" i="16"/>
  <c r="AB573" i="16" a="1"/>
  <c r="R571" i="16" a="1"/>
  <c r="Q572" i="16"/>
  <c r="AA574" i="16"/>
  <c r="AB573" i="16" l="1"/>
  <c r="R571" i="16"/>
  <c r="AA575" i="16"/>
  <c r="AB574" i="16" a="1"/>
  <c r="R572" i="16" a="1"/>
  <c r="Q573" i="16"/>
  <c r="AB574" i="16" l="1"/>
  <c r="R572" i="16"/>
  <c r="Q574" i="16"/>
  <c r="AB575" i="16" a="1"/>
  <c r="R573" i="16" a="1"/>
  <c r="AA576" i="16"/>
  <c r="AB575" i="16" l="1"/>
  <c r="R573" i="16"/>
  <c r="R574" i="16" a="1"/>
  <c r="AB576" i="16" a="1"/>
  <c r="AA577" i="16"/>
  <c r="Q575" i="16"/>
  <c r="AB576" i="16" l="1"/>
  <c r="R574" i="16"/>
  <c r="AA578" i="16"/>
  <c r="Q576" i="16"/>
  <c r="AB577" i="16" a="1"/>
  <c r="R575" i="16" a="1"/>
  <c r="AB577" i="16" l="1"/>
  <c r="R575" i="16"/>
  <c r="R576" i="16" a="1"/>
  <c r="Q577" i="16"/>
  <c r="AA579" i="16"/>
  <c r="AB578" i="16" a="1"/>
  <c r="AB578" i="16" l="1"/>
  <c r="R576" i="16"/>
  <c r="Q578" i="16"/>
  <c r="R577" i="16" a="1"/>
  <c r="AB579" i="16" a="1"/>
  <c r="AA580" i="16"/>
  <c r="AB579" i="16" l="1"/>
  <c r="R577" i="16"/>
  <c r="Q579" i="16"/>
  <c r="AB580" i="16" a="1"/>
  <c r="R578" i="16" a="1"/>
  <c r="AA581" i="16"/>
  <c r="AB580" i="16" l="1"/>
  <c r="R578" i="16"/>
  <c r="AB581" i="16" a="1"/>
  <c r="R579" i="16" a="1"/>
  <c r="AA582" i="16"/>
  <c r="Q580" i="16"/>
  <c r="AB581" i="16" l="1"/>
  <c r="R579" i="16"/>
  <c r="Q581" i="16"/>
  <c r="R580" i="16" a="1"/>
  <c r="AA583" i="16"/>
  <c r="AB582" i="16" a="1"/>
  <c r="AB582" i="16" l="1"/>
  <c r="R580" i="16"/>
  <c r="AB583" i="16" a="1"/>
  <c r="Q582" i="16"/>
  <c r="AA584" i="16"/>
  <c r="R581" i="16" a="1"/>
  <c r="AB583" i="16" l="1"/>
  <c r="R581" i="16"/>
  <c r="R582" i="16" a="1"/>
  <c r="AA585" i="16"/>
  <c r="Q583" i="16"/>
  <c r="AB584" i="16" a="1"/>
  <c r="AB584" i="16" l="1"/>
  <c r="R582" i="16"/>
  <c r="AA586" i="16"/>
  <c r="AB585" i="16" a="1"/>
  <c r="R583" i="16" a="1"/>
  <c r="Q584" i="16"/>
  <c r="AB585" i="16" l="1"/>
  <c r="R583" i="16"/>
  <c r="R584" i="16" a="1"/>
  <c r="Q585" i="16"/>
  <c r="AB586" i="16" a="1"/>
  <c r="AA587" i="16"/>
  <c r="AB586" i="16" l="1"/>
  <c r="R584" i="16"/>
  <c r="AB587" i="16" a="1"/>
  <c r="R585" i="16" a="1"/>
  <c r="AA588" i="16"/>
  <c r="Q586" i="16"/>
  <c r="AB587" i="16" l="1"/>
  <c r="R585" i="16"/>
  <c r="AA589" i="16"/>
  <c r="AB588" i="16" a="1"/>
  <c r="R586" i="16" a="1"/>
  <c r="Q587" i="16"/>
  <c r="AB588" i="16" l="1"/>
  <c r="R586" i="16"/>
  <c r="AA590" i="16"/>
  <c r="AB589" i="16" a="1"/>
  <c r="R587" i="16" a="1"/>
  <c r="Q588" i="16"/>
  <c r="AB589" i="16" l="1"/>
  <c r="R587" i="16"/>
  <c r="Q589" i="16"/>
  <c r="AA591" i="16"/>
  <c r="R588" i="16" a="1"/>
  <c r="AB590" i="16" a="1"/>
  <c r="AB590" i="16" l="1"/>
  <c r="R588" i="16"/>
  <c r="R589" i="16" a="1"/>
  <c r="AB591" i="16" a="1"/>
  <c r="AA592" i="16"/>
  <c r="Q590" i="16"/>
  <c r="AB591" i="16" l="1"/>
  <c r="R589" i="16"/>
  <c r="R590" i="16" a="1"/>
  <c r="AB592" i="16" a="1"/>
  <c r="AA593" i="16"/>
  <c r="Q591" i="16"/>
  <c r="AB592" i="16" l="1"/>
  <c r="R590" i="16"/>
  <c r="AA594" i="16"/>
  <c r="Q592" i="16"/>
  <c r="AB593" i="16" a="1"/>
  <c r="R591" i="16" a="1"/>
  <c r="AB593" i="16" l="1"/>
  <c r="R591" i="16"/>
  <c r="R592" i="16" a="1"/>
  <c r="AA595" i="16"/>
  <c r="AB594" i="16" a="1"/>
  <c r="Q593" i="16"/>
  <c r="AB594" i="16" l="1"/>
  <c r="R592" i="16"/>
  <c r="AB595" i="16" a="1"/>
  <c r="AA596" i="16"/>
  <c r="Q594" i="16"/>
  <c r="R593" i="16" a="1"/>
  <c r="AB595" i="16" l="1"/>
  <c r="R593" i="16"/>
  <c r="Q595" i="16"/>
  <c r="AA597" i="16"/>
  <c r="AB596" i="16" a="1"/>
  <c r="R594" i="16" a="1"/>
  <c r="AB596" i="16" l="1"/>
  <c r="R594" i="16"/>
  <c r="AB597" i="16" a="1"/>
  <c r="AA598" i="16"/>
  <c r="R595" i="16" a="1"/>
  <c r="Q596" i="16"/>
  <c r="AB597" i="16" l="1"/>
  <c r="R595" i="16"/>
  <c r="R596" i="16" a="1"/>
  <c r="AA599" i="16"/>
  <c r="Q597" i="16"/>
  <c r="AB598" i="16" a="1"/>
  <c r="AB598" i="16" l="1"/>
  <c r="R596" i="16"/>
  <c r="Q598" i="16"/>
  <c r="AA600" i="16"/>
  <c r="AB599" i="16" a="1"/>
  <c r="R597" i="16" a="1"/>
  <c r="AB599" i="16" l="1"/>
  <c r="R597" i="16"/>
  <c r="AB600" i="16" a="1"/>
  <c r="R598" i="16" a="1"/>
  <c r="Q599" i="16"/>
  <c r="AA601" i="16"/>
  <c r="AB600" i="16" l="1"/>
  <c r="R598" i="16"/>
  <c r="AA602" i="16"/>
  <c r="Q600" i="16"/>
  <c r="R599" i="16" a="1"/>
  <c r="AB601" i="16" a="1"/>
  <c r="AB601" i="16" l="1"/>
  <c r="R599" i="16"/>
  <c r="R600" i="16" a="1"/>
  <c r="AA603" i="16"/>
  <c r="AB602" i="16" a="1"/>
  <c r="Q601" i="16"/>
  <c r="AB602" i="16" l="1"/>
  <c r="R600" i="16"/>
  <c r="Q602" i="16"/>
  <c r="AA604" i="16"/>
  <c r="AB603" i="16" a="1"/>
  <c r="R601" i="16" a="1"/>
  <c r="AB603" i="16" l="1"/>
  <c r="R601" i="16"/>
  <c r="R602" i="16" a="1"/>
  <c r="AA605" i="16"/>
  <c r="AB604" i="16" a="1"/>
  <c r="Q603" i="16"/>
  <c r="AB604" i="16" l="1"/>
  <c r="R602" i="16"/>
  <c r="R603" i="16" a="1"/>
  <c r="Q604" i="16"/>
  <c r="AA606" i="16"/>
  <c r="AB605" i="16" a="1"/>
  <c r="AB605" i="16" l="1"/>
  <c r="R603" i="16"/>
  <c r="AB606" i="16" a="1"/>
  <c r="R604" i="16" a="1"/>
  <c r="Q605" i="16"/>
  <c r="AA607" i="16"/>
  <c r="AB606" i="16" l="1"/>
  <c r="R604" i="16"/>
  <c r="AB607" i="16" a="1"/>
  <c r="AA608" i="16"/>
  <c r="Q606" i="16"/>
  <c r="R605" i="16" a="1"/>
  <c r="AB607" i="16" l="1"/>
  <c r="R605" i="16"/>
  <c r="Q607" i="16"/>
  <c r="AB608" i="16" a="1"/>
  <c r="R606" i="16" a="1"/>
  <c r="AA609" i="16"/>
  <c r="AB608" i="16" l="1"/>
  <c r="R606" i="16"/>
  <c r="AA610" i="16"/>
  <c r="Q608" i="16"/>
  <c r="R607" i="16" a="1"/>
  <c r="AB609" i="16" a="1"/>
  <c r="AB609" i="16" l="1"/>
  <c r="R607" i="16"/>
  <c r="AA611" i="16"/>
  <c r="AB610" i="16" a="1"/>
  <c r="Q609" i="16"/>
  <c r="R608" i="16" a="1"/>
  <c r="AB610" i="16" l="1"/>
  <c r="R608" i="16"/>
  <c r="Q610" i="16"/>
  <c r="R609" i="16" a="1"/>
  <c r="AB611" i="16" a="1"/>
  <c r="AA612" i="16"/>
  <c r="AB611" i="16" l="1"/>
  <c r="R609" i="16"/>
  <c r="AA613" i="16"/>
  <c r="AB612" i="16" a="1"/>
  <c r="Q611" i="16"/>
  <c r="R610" i="16" a="1"/>
  <c r="AB612" i="16" l="1"/>
  <c r="R610" i="16"/>
  <c r="R611" i="16" a="1"/>
  <c r="Q612" i="16"/>
  <c r="AB613" i="16" a="1"/>
  <c r="AA614" i="16"/>
  <c r="AB613" i="16" l="1"/>
  <c r="R611" i="16"/>
  <c r="AA615" i="16"/>
  <c r="R612" i="16" a="1"/>
  <c r="AB614" i="16" a="1"/>
  <c r="Q613" i="16"/>
  <c r="AB614" i="16" l="1"/>
  <c r="R612" i="16"/>
  <c r="Q614" i="16"/>
  <c r="R613" i="16" a="1"/>
  <c r="AA616" i="16"/>
  <c r="AB615" i="16" a="1"/>
  <c r="AB615" i="16" l="1"/>
  <c r="R613" i="16"/>
  <c r="AA617" i="16"/>
  <c r="Q615" i="16"/>
  <c r="AB616" i="16" a="1"/>
  <c r="R614" i="16" a="1"/>
  <c r="AB616" i="16" l="1"/>
  <c r="R614" i="16"/>
  <c r="R615" i="16" a="1"/>
  <c r="AB617" i="16" a="1"/>
  <c r="AA618" i="16"/>
  <c r="Q616" i="16"/>
  <c r="AB617" i="16" l="1"/>
  <c r="R615" i="16"/>
  <c r="R616" i="16" a="1"/>
  <c r="Q617" i="16"/>
  <c r="AA619" i="16"/>
  <c r="AB618" i="16" a="1"/>
  <c r="AB618" i="16" l="1"/>
  <c r="R616" i="16"/>
  <c r="AB619" i="16" a="1"/>
  <c r="R617" i="16" a="1"/>
  <c r="Q618" i="16"/>
  <c r="AA620" i="16"/>
  <c r="AB619" i="16" l="1"/>
  <c r="R617" i="16"/>
  <c r="AB620" i="16" a="1"/>
  <c r="AA621" i="16"/>
  <c r="Q619" i="16"/>
  <c r="R618" i="16" a="1"/>
  <c r="AB620" i="16" l="1"/>
  <c r="R618" i="16"/>
  <c r="R619" i="16" a="1"/>
  <c r="Q620" i="16"/>
  <c r="AA622" i="16"/>
  <c r="AB621" i="16" a="1"/>
  <c r="AB621" i="16" l="1"/>
  <c r="R619" i="16"/>
  <c r="AB622" i="16" a="1"/>
  <c r="R620" i="16" a="1"/>
  <c r="Q621" i="16"/>
  <c r="AA623" i="16"/>
  <c r="AB622" i="16" l="1"/>
  <c r="R620" i="16"/>
  <c r="AB623" i="16" a="1"/>
  <c r="AA624" i="16"/>
  <c r="Q622" i="16"/>
  <c r="R621" i="16" a="1"/>
  <c r="AB623" i="16" l="1"/>
  <c r="R621" i="16"/>
  <c r="R622" i="16" a="1"/>
  <c r="Q623" i="16"/>
  <c r="AB624" i="16" a="1"/>
  <c r="AA625" i="16"/>
  <c r="AB624" i="16" l="1"/>
  <c r="R622" i="16"/>
  <c r="R623" i="16" a="1"/>
  <c r="AB625" i="16" a="1"/>
  <c r="Q624" i="16"/>
  <c r="AA626" i="16"/>
  <c r="AB625" i="16" l="1"/>
  <c r="R623" i="16"/>
  <c r="R624" i="16" a="1"/>
  <c r="Q625" i="16"/>
  <c r="AA627" i="16"/>
  <c r="AB626" i="16" a="1"/>
  <c r="AB626" i="16" l="1"/>
  <c r="R624" i="16"/>
  <c r="Q626" i="16"/>
  <c r="AA628" i="16"/>
  <c r="AB627" i="16" a="1"/>
  <c r="R625" i="16" a="1"/>
  <c r="AB627" i="16" l="1"/>
  <c r="R625" i="16"/>
  <c r="R626" i="16" a="1"/>
  <c r="AB628" i="16" a="1"/>
  <c r="Q627" i="16"/>
  <c r="AA629" i="16"/>
  <c r="AB628" i="16" l="1"/>
  <c r="R626" i="16"/>
  <c r="Q628" i="16"/>
  <c r="AB629" i="16" a="1"/>
  <c r="AA630" i="16"/>
  <c r="R627" i="16" a="1"/>
  <c r="AB629" i="16" l="1"/>
  <c r="R627" i="16"/>
  <c r="R628" i="16" a="1"/>
  <c r="Q629" i="16"/>
  <c r="AA631" i="16"/>
  <c r="AB630" i="16" a="1"/>
  <c r="AB630" i="16" l="1"/>
  <c r="R628" i="16"/>
  <c r="R629" i="16" a="1"/>
  <c r="Q630" i="16"/>
  <c r="AB631" i="16" a="1"/>
  <c r="AA632" i="16"/>
  <c r="AB631" i="16" l="1"/>
  <c r="R629" i="16"/>
  <c r="Q631" i="16"/>
  <c r="R630" i="16" a="1"/>
  <c r="AA633" i="16"/>
  <c r="AB632" i="16" a="1"/>
  <c r="AB632" i="16" l="1"/>
  <c r="R630" i="16"/>
  <c r="Q632" i="16"/>
  <c r="AB633" i="16" a="1"/>
  <c r="R631" i="16" a="1"/>
  <c r="AA634" i="16"/>
  <c r="AB633" i="16" l="1"/>
  <c r="R631" i="16"/>
  <c r="AB634" i="16" a="1"/>
  <c r="R632" i="16" a="1"/>
  <c r="Q633" i="16"/>
  <c r="AA635" i="16"/>
  <c r="AB634" i="16" l="1"/>
  <c r="R632" i="16"/>
  <c r="Q634" i="16"/>
  <c r="AA636" i="16"/>
  <c r="R633" i="16" a="1"/>
  <c r="AB635" i="16" a="1"/>
  <c r="AB635" i="16" l="1"/>
  <c r="R633" i="16"/>
  <c r="R634" i="16" a="1"/>
  <c r="AA637" i="16"/>
  <c r="Q635" i="16"/>
  <c r="AB636" i="16" a="1"/>
  <c r="AB636" i="16" l="1"/>
  <c r="R634" i="16"/>
  <c r="AB637" i="16" a="1"/>
  <c r="R635" i="16" a="1"/>
  <c r="AA638" i="16"/>
  <c r="Q636" i="16"/>
  <c r="AB637" i="16" l="1"/>
  <c r="R635" i="16"/>
  <c r="R636" i="16" a="1"/>
  <c r="Q637" i="16"/>
  <c r="AB638" i="16" a="1"/>
  <c r="AA639" i="16"/>
  <c r="AB638" i="16" l="1"/>
  <c r="R636" i="16"/>
  <c r="R637" i="16" a="1"/>
  <c r="AA640" i="16"/>
  <c r="AB639" i="16" a="1"/>
  <c r="Q638" i="16"/>
  <c r="AB639" i="16" l="1"/>
  <c r="R637" i="16"/>
  <c r="AB640" i="16" a="1"/>
  <c r="Q639" i="16"/>
  <c r="AA641" i="16"/>
  <c r="R638" i="16" a="1"/>
  <c r="AB640" i="16" l="1"/>
  <c r="R638" i="16"/>
  <c r="Q640" i="16"/>
  <c r="AB641" i="16" a="1"/>
  <c r="R639" i="16" a="1"/>
  <c r="AA642" i="16"/>
  <c r="AB641" i="16" l="1"/>
  <c r="R639" i="16"/>
  <c r="Q641" i="16"/>
  <c r="R640" i="16" a="1"/>
  <c r="AB642" i="16" a="1"/>
  <c r="AA643" i="16"/>
  <c r="AB642" i="16" l="1"/>
  <c r="R640" i="16"/>
  <c r="Q642" i="16"/>
  <c r="R641" i="16" a="1"/>
  <c r="AB643" i="16" a="1"/>
  <c r="AA644" i="16"/>
  <c r="AB643" i="16" l="1"/>
  <c r="R641" i="16"/>
  <c r="R642" i="16" a="1"/>
  <c r="Q643" i="16"/>
  <c r="AA645" i="16"/>
  <c r="AB644" i="16" a="1"/>
  <c r="AB644" i="16" l="1"/>
  <c r="R642" i="16"/>
  <c r="Q644" i="16"/>
  <c r="AA646" i="16"/>
  <c r="R643" i="16" a="1"/>
  <c r="AB645" i="16" a="1"/>
  <c r="AB645" i="16" l="1"/>
  <c r="R643" i="16"/>
  <c r="Q645" i="16"/>
  <c r="AA647" i="16"/>
  <c r="R644" i="16" a="1"/>
  <c r="AB646" i="16" a="1"/>
  <c r="AB646" i="16" l="1"/>
  <c r="R644" i="16"/>
  <c r="R645" i="16" a="1"/>
  <c r="AB647" i="16" a="1"/>
  <c r="Q646" i="16"/>
  <c r="AA648" i="16"/>
  <c r="AB647" i="16" l="1"/>
  <c r="R645" i="16"/>
  <c r="AA649" i="16"/>
  <c r="AB648" i="16" a="1"/>
  <c r="R646" i="16" a="1"/>
  <c r="Q647" i="16"/>
  <c r="AB648" i="16" l="1"/>
  <c r="R646" i="16"/>
  <c r="R647" i="16" a="1"/>
  <c r="AA650" i="16"/>
  <c r="Q648" i="16"/>
  <c r="AB649" i="16" a="1"/>
  <c r="AB649" i="16" l="1"/>
  <c r="R647" i="16"/>
  <c r="AA651" i="16"/>
  <c r="AB650" i="16" a="1"/>
  <c r="Q649" i="16"/>
  <c r="R648" i="16" a="1"/>
  <c r="AB650" i="16" l="1"/>
  <c r="R648" i="16"/>
  <c r="Q650" i="16"/>
  <c r="R649" i="16" a="1"/>
  <c r="AB651" i="16" a="1"/>
  <c r="AA652" i="16"/>
  <c r="AB651" i="16" l="1"/>
  <c r="R649" i="16"/>
  <c r="AA653" i="16"/>
  <c r="Q651" i="16"/>
  <c r="AB652" i="16" a="1"/>
  <c r="R650" i="16" a="1"/>
  <c r="AB652" i="16" l="1"/>
  <c r="R650" i="16"/>
  <c r="R651" i="16" a="1"/>
  <c r="AB653" i="16" a="1"/>
  <c r="Q652" i="16"/>
  <c r="AA654" i="16"/>
  <c r="AB653" i="16" l="1"/>
  <c r="R651" i="16"/>
  <c r="Q653" i="16"/>
  <c r="AA655" i="16"/>
  <c r="R652" i="16" a="1"/>
  <c r="AB654" i="16" a="1"/>
  <c r="AB654" i="16" l="1"/>
  <c r="R652" i="16"/>
  <c r="AA656" i="16"/>
  <c r="Q654" i="16"/>
  <c r="AB655" i="16" a="1"/>
  <c r="R653" i="16" a="1"/>
  <c r="AB655" i="16" l="1"/>
  <c r="R653" i="16"/>
  <c r="R654" i="16" a="1"/>
  <c r="AB656" i="16" a="1"/>
  <c r="AA657" i="16"/>
  <c r="Q655" i="16"/>
  <c r="AB656" i="16" l="1"/>
  <c r="R654" i="16"/>
  <c r="R655" i="16" a="1"/>
  <c r="AA658" i="16"/>
  <c r="AB657" i="16" a="1"/>
  <c r="Q656" i="16"/>
  <c r="AB657" i="16" l="1"/>
  <c r="R655" i="16"/>
  <c r="R656" i="16" a="1"/>
  <c r="AA659" i="16"/>
  <c r="AB658" i="16" a="1"/>
  <c r="Q657" i="16"/>
  <c r="AB658" i="16" l="1"/>
  <c r="R656" i="16"/>
  <c r="AA660" i="16"/>
  <c r="AB659" i="16" a="1"/>
  <c r="R657" i="16" a="1"/>
  <c r="Q658" i="16"/>
  <c r="AB659" i="16" l="1"/>
  <c r="R657" i="16"/>
  <c r="Q659" i="16"/>
  <c r="R658" i="16" a="1"/>
  <c r="AA661" i="16"/>
  <c r="AB660" i="16" a="1"/>
  <c r="AB660" i="16" l="1"/>
  <c r="R658" i="16"/>
  <c r="Q660" i="16"/>
  <c r="AB661" i="16" a="1"/>
  <c r="AA662" i="16"/>
  <c r="R659" i="16" a="1"/>
  <c r="AB661" i="16" l="1"/>
  <c r="R659" i="16"/>
  <c r="AA663" i="16"/>
  <c r="R660" i="16" a="1"/>
  <c r="AB662" i="16" a="1"/>
  <c r="Q661" i="16"/>
  <c r="AB662" i="16" l="1"/>
  <c r="R660" i="16"/>
  <c r="Q662" i="16"/>
  <c r="AA664" i="16"/>
  <c r="R661" i="16" a="1"/>
  <c r="AB663" i="16" a="1"/>
  <c r="AB663" i="16" l="1"/>
  <c r="R661" i="16"/>
  <c r="R662" i="16" a="1"/>
  <c r="Q663" i="16"/>
  <c r="AB664" i="16" a="1"/>
  <c r="AA665" i="16"/>
  <c r="AB664" i="16" l="1"/>
  <c r="R662" i="16"/>
  <c r="R663" i="16" a="1"/>
  <c r="AB665" i="16" a="1"/>
  <c r="Q664" i="16"/>
  <c r="AA666" i="16"/>
  <c r="AB665" i="16" l="1"/>
  <c r="R663" i="16"/>
  <c r="Q665" i="16"/>
  <c r="R664" i="16" a="1"/>
  <c r="AA667" i="16"/>
  <c r="AB666" i="16" a="1"/>
  <c r="AB666" i="16" l="1"/>
  <c r="R664" i="16"/>
  <c r="Q666" i="16"/>
  <c r="R665" i="16" a="1"/>
  <c r="AB667" i="16" a="1"/>
  <c r="AA668" i="16"/>
  <c r="AB667" i="16" l="1"/>
  <c r="R665" i="16"/>
  <c r="AA669" i="16"/>
  <c r="AB668" i="16" a="1"/>
  <c r="Q667" i="16"/>
  <c r="R666" i="16" a="1"/>
  <c r="AB668" i="16" l="1"/>
  <c r="R666" i="16"/>
  <c r="AA670" i="16"/>
  <c r="R667" i="16" a="1"/>
  <c r="Q668" i="16"/>
  <c r="AB669" i="16" a="1"/>
  <c r="AB669" i="16" l="1"/>
  <c r="R667" i="16"/>
  <c r="AA671" i="16"/>
  <c r="R668" i="16" a="1"/>
  <c r="Q669" i="16"/>
  <c r="AB670" i="16" a="1"/>
  <c r="AB670" i="16" l="1"/>
  <c r="R668" i="16"/>
  <c r="AB671" i="16" a="1"/>
  <c r="Q670" i="16"/>
  <c r="AA672" i="16"/>
  <c r="R669" i="16" a="1"/>
  <c r="AB671" i="16" l="1"/>
  <c r="R669" i="16"/>
  <c r="AA673" i="16"/>
  <c r="Q671" i="16"/>
  <c r="AB672" i="16" a="1"/>
  <c r="R670" i="16" a="1"/>
  <c r="AB672" i="16" l="1"/>
  <c r="R670" i="16"/>
  <c r="Q672" i="16"/>
  <c r="AA674" i="16"/>
  <c r="AB673" i="16" a="1"/>
  <c r="R671" i="16" a="1"/>
  <c r="AB673" i="16" l="1"/>
  <c r="R671" i="16"/>
  <c r="AB674" i="16" a="1"/>
  <c r="AA675" i="16"/>
  <c r="Q673" i="16"/>
  <c r="R672" i="16" a="1"/>
  <c r="AB674" i="16" l="1"/>
  <c r="R672" i="16"/>
  <c r="R673" i="16" a="1"/>
  <c r="AB675" i="16" a="1"/>
  <c r="AA676" i="16"/>
  <c r="Q674" i="16"/>
  <c r="AB675" i="16" l="1"/>
  <c r="R673" i="16"/>
  <c r="R674" i="16" a="1"/>
  <c r="AA677" i="16"/>
  <c r="Q675" i="16"/>
  <c r="AB676" i="16" a="1"/>
  <c r="AB676" i="16" l="1"/>
  <c r="R674" i="16"/>
  <c r="R675" i="16" a="1"/>
  <c r="AB677" i="16" a="1"/>
  <c r="Q676" i="16"/>
  <c r="AA678" i="16"/>
  <c r="AB677" i="16" l="1"/>
  <c r="R675" i="16"/>
  <c r="AA679" i="16"/>
  <c r="Q677" i="16"/>
  <c r="AB678" i="16" a="1"/>
  <c r="R676" i="16" a="1"/>
  <c r="AB678" i="16" l="1"/>
  <c r="R676" i="16"/>
  <c r="AB679" i="16" a="1"/>
  <c r="Q678" i="16"/>
  <c r="R677" i="16" a="1"/>
  <c r="AA680" i="16"/>
  <c r="AB679" i="16" l="1"/>
  <c r="R677" i="16"/>
  <c r="R678" i="16" a="1"/>
  <c r="AA681" i="16"/>
  <c r="Q679" i="16"/>
  <c r="AB680" i="16" a="1"/>
  <c r="AB680" i="16" l="1"/>
  <c r="R678" i="16"/>
  <c r="Q680" i="16"/>
  <c r="AA682" i="16"/>
  <c r="R679" i="16" a="1"/>
  <c r="AB681" i="16" a="1"/>
  <c r="AB681" i="16" l="1"/>
  <c r="R679" i="16"/>
  <c r="AB682" i="16" a="1"/>
  <c r="R680" i="16" a="1"/>
  <c r="AA683" i="16"/>
  <c r="Q681" i="16"/>
  <c r="AB682" i="16" l="1"/>
  <c r="R680" i="16"/>
  <c r="Q682" i="16"/>
  <c r="R681" i="16" a="1"/>
  <c r="AB683" i="16" a="1"/>
  <c r="AA684" i="16"/>
  <c r="AB683" i="16" l="1"/>
  <c r="R681" i="16"/>
  <c r="AB684" i="16" a="1"/>
  <c r="R682" i="16" a="1"/>
  <c r="AA685" i="16"/>
  <c r="Q683" i="16"/>
  <c r="AB684" i="16" l="1"/>
  <c r="R682" i="16"/>
  <c r="AB685" i="16" a="1"/>
  <c r="R683" i="16" a="1"/>
  <c r="AA686" i="16"/>
  <c r="Q684" i="16"/>
  <c r="AB685" i="16" l="1"/>
  <c r="R683" i="16"/>
  <c r="AB686" i="16" a="1"/>
  <c r="AA687" i="16"/>
  <c r="Q685" i="16"/>
  <c r="R684" i="16" a="1"/>
  <c r="AB686" i="16" l="1"/>
  <c r="R684" i="16"/>
  <c r="AA688" i="16"/>
  <c r="AB687" i="16" a="1"/>
  <c r="Q686" i="16"/>
  <c r="R685" i="16" a="1"/>
  <c r="AB687" i="16" l="1"/>
  <c r="R685" i="16"/>
  <c r="AB688" i="16" a="1"/>
  <c r="AA689" i="16"/>
  <c r="Q687" i="16"/>
  <c r="R686" i="16" a="1"/>
  <c r="AB688" i="16" l="1"/>
  <c r="R686" i="16"/>
  <c r="R687" i="16" a="1"/>
  <c r="AB689" i="16" a="1"/>
  <c r="AA690" i="16"/>
  <c r="Q688" i="16"/>
  <c r="AB689" i="16" l="1"/>
  <c r="R687" i="16"/>
  <c r="AA691" i="16"/>
  <c r="R688" i="16" a="1"/>
  <c r="AB690" i="16" a="1"/>
  <c r="Q689" i="16"/>
  <c r="AB690" i="16" l="1"/>
  <c r="R688" i="16"/>
  <c r="AB691" i="16" a="1"/>
  <c r="R689" i="16" a="1"/>
  <c r="Q690" i="16"/>
  <c r="AA692" i="16"/>
  <c r="AB691" i="16" l="1"/>
  <c r="R689" i="16"/>
  <c r="AA693" i="16"/>
  <c r="Q691" i="16"/>
  <c r="R690" i="16" a="1"/>
  <c r="AB692" i="16" a="1"/>
  <c r="AB692" i="16" l="1"/>
  <c r="R690" i="16"/>
  <c r="AA694" i="16"/>
  <c r="R691" i="16" a="1"/>
  <c r="AB693" i="16" a="1"/>
  <c r="Q692" i="16"/>
  <c r="AB693" i="16" l="1"/>
  <c r="R691" i="16"/>
  <c r="Q693" i="16"/>
  <c r="AA695" i="16"/>
  <c r="R692" i="16" a="1"/>
  <c r="AB694" i="16" a="1"/>
  <c r="AB694" i="16" l="1"/>
  <c r="R692" i="16"/>
  <c r="Q694" i="16"/>
  <c r="AA696" i="16"/>
  <c r="R693" i="16" a="1"/>
  <c r="AB695" i="16" a="1"/>
  <c r="AB695" i="16" l="1"/>
  <c r="R693" i="16"/>
  <c r="AA697" i="16"/>
  <c r="Q695" i="16"/>
  <c r="R694" i="16" a="1"/>
  <c r="AB696" i="16" a="1"/>
  <c r="AB696" i="16" l="1"/>
  <c r="R694" i="16"/>
  <c r="Q696" i="16"/>
  <c r="R695" i="16" a="1"/>
  <c r="AB697" i="16" a="1"/>
  <c r="AA698" i="16"/>
  <c r="AB697" i="16" l="1"/>
  <c r="R695" i="16"/>
  <c r="Q697" i="16"/>
  <c r="AA699" i="16"/>
  <c r="AB698" i="16" a="1"/>
  <c r="R696" i="16" a="1"/>
  <c r="AB698" i="16" l="1"/>
  <c r="R696" i="16"/>
  <c r="R697" i="16" a="1"/>
  <c r="Q698" i="16"/>
  <c r="AB699" i="16" a="1"/>
  <c r="AA700" i="16"/>
  <c r="AB699" i="16" l="1"/>
  <c r="R697" i="16"/>
  <c r="Q699" i="16"/>
  <c r="AA701" i="16"/>
  <c r="AB700" i="16" a="1"/>
  <c r="R698" i="16" a="1"/>
  <c r="AB700" i="16" l="1"/>
  <c r="R698" i="16"/>
  <c r="AB701" i="16" a="1"/>
  <c r="AA702" i="16"/>
  <c r="Q700" i="16"/>
  <c r="R699" i="16" a="1"/>
  <c r="AB701" i="16" l="1"/>
  <c r="R699" i="16"/>
  <c r="R700" i="16" a="1"/>
  <c r="AB702" i="16" a="1"/>
  <c r="AA703" i="16"/>
  <c r="Q701" i="16"/>
  <c r="AB702" i="16" l="1"/>
  <c r="R700" i="16"/>
  <c r="AB703" i="16" a="1"/>
  <c r="Q702" i="16"/>
  <c r="R701" i="16" a="1"/>
  <c r="AA704" i="16"/>
  <c r="AB703" i="16" l="1"/>
  <c r="R701" i="16"/>
  <c r="Q703" i="16"/>
  <c r="R702" i="16" a="1"/>
  <c r="AB704" i="16" a="1"/>
  <c r="AA705" i="16"/>
  <c r="AB704" i="16" l="1"/>
  <c r="R702" i="16"/>
  <c r="AA706" i="16"/>
  <c r="Q704" i="16"/>
  <c r="AB705" i="16" a="1"/>
  <c r="R703" i="16" a="1"/>
  <c r="AB705" i="16" l="1"/>
  <c r="R703" i="16"/>
  <c r="R704" i="16" a="1"/>
  <c r="AB706" i="16" a="1"/>
  <c r="AA707" i="16"/>
  <c r="Q705" i="16"/>
  <c r="AB706" i="16" l="1"/>
  <c r="R704" i="16"/>
  <c r="AB707" i="16" a="1"/>
  <c r="Q706" i="16"/>
  <c r="AA708" i="16"/>
  <c r="R705" i="16" a="1"/>
  <c r="AB707" i="16" l="1"/>
  <c r="R705" i="16"/>
  <c r="Q707" i="16"/>
  <c r="AB708" i="16" a="1"/>
  <c r="R706" i="16" a="1"/>
  <c r="AA709" i="16"/>
  <c r="AB708" i="16" l="1"/>
  <c r="R706" i="16"/>
  <c r="AB709" i="16" a="1"/>
  <c r="R707" i="16" a="1"/>
  <c r="Q708" i="16"/>
  <c r="AA710" i="16"/>
  <c r="AB709" i="16" l="1"/>
  <c r="R707" i="16"/>
  <c r="R708" i="16" a="1"/>
  <c r="AA711" i="16"/>
  <c r="AB710" i="16" a="1"/>
  <c r="Q709" i="16"/>
  <c r="AB710" i="16" l="1"/>
  <c r="R708" i="16"/>
  <c r="AA712" i="16"/>
  <c r="R709" i="16" a="1"/>
  <c r="AB711" i="16" a="1"/>
  <c r="Q710" i="16"/>
  <c r="AB711" i="16" l="1"/>
  <c r="R709" i="16"/>
  <c r="AA713" i="16"/>
  <c r="Q711" i="16"/>
  <c r="R710" i="16" a="1"/>
  <c r="AB712" i="16" a="1"/>
  <c r="AB712" i="16" l="1"/>
  <c r="R710" i="16"/>
  <c r="R711" i="16" a="1"/>
  <c r="AA714" i="16"/>
  <c r="AB713" i="16" a="1"/>
  <c r="Q712" i="16"/>
  <c r="AB713" i="16" l="1"/>
  <c r="R711" i="16"/>
  <c r="R712" i="16" a="1"/>
  <c r="AA715" i="16"/>
  <c r="AB714" i="16" a="1"/>
  <c r="Q713" i="16"/>
  <c r="AB714" i="16" l="1"/>
  <c r="R712" i="16"/>
  <c r="Q714" i="16"/>
  <c r="R713" i="16" a="1"/>
  <c r="AA716" i="16"/>
  <c r="AB715" i="16" a="1"/>
  <c r="AB715" i="16" l="1"/>
  <c r="R713" i="16"/>
  <c r="R714" i="16" a="1"/>
  <c r="AA717" i="16"/>
  <c r="AB716" i="16" a="1"/>
  <c r="Q715" i="16"/>
  <c r="AB716" i="16" l="1"/>
  <c r="R714" i="16"/>
  <c r="R715" i="16" a="1"/>
  <c r="AA718" i="16"/>
  <c r="Q716" i="16"/>
  <c r="AB717" i="16" a="1"/>
  <c r="AB717" i="16" l="1"/>
  <c r="R715" i="16"/>
  <c r="AA719" i="16"/>
  <c r="Q717" i="16"/>
  <c r="AB718" i="16" a="1"/>
  <c r="R716" i="16" a="1"/>
  <c r="AB718" i="16" l="1"/>
  <c r="R716" i="16"/>
  <c r="AA720" i="16"/>
  <c r="R717" i="16" a="1"/>
  <c r="Q718" i="16"/>
  <c r="AB719" i="16" a="1"/>
  <c r="AB719" i="16" l="1"/>
  <c r="R717" i="16"/>
  <c r="Q719" i="16"/>
  <c r="AA721" i="16"/>
  <c r="AB720" i="16" a="1"/>
  <c r="R718" i="16" a="1"/>
  <c r="AB720" i="16" l="1"/>
  <c r="R718" i="16"/>
  <c r="AA722" i="16"/>
  <c r="R719" i="16" a="1"/>
  <c r="AB721" i="16" a="1"/>
  <c r="Q720" i="16"/>
  <c r="AB721" i="16" l="1"/>
  <c r="R719" i="16"/>
  <c r="R720" i="16" a="1"/>
  <c r="AB722" i="16" a="1"/>
  <c r="Q721" i="16"/>
  <c r="AA723" i="16"/>
  <c r="AB722" i="16" l="1"/>
  <c r="R720" i="16"/>
  <c r="AB723" i="16" a="1"/>
  <c r="AA724" i="16"/>
  <c r="R721" i="16" a="1"/>
  <c r="Q722" i="16"/>
  <c r="AB723" i="16" l="1"/>
  <c r="R721" i="16"/>
  <c r="AB724" i="16" a="1"/>
  <c r="Q723" i="16"/>
  <c r="R722" i="16" a="1"/>
  <c r="AA725" i="16"/>
  <c r="AB724" i="16" l="1"/>
  <c r="R722" i="16"/>
  <c r="Q724" i="16"/>
  <c r="AA726" i="16"/>
  <c r="R723" i="16" a="1"/>
  <c r="AB725" i="16" a="1"/>
  <c r="AB725" i="16" l="1"/>
  <c r="R723" i="16"/>
  <c r="AB726" i="16" a="1"/>
  <c r="Q725" i="16"/>
  <c r="AA727" i="16"/>
  <c r="R724" i="16" a="1"/>
  <c r="AB726" i="16" l="1"/>
  <c r="R724" i="16"/>
  <c r="AB727" i="16" a="1"/>
  <c r="Q726" i="16"/>
  <c r="R725" i="16" a="1"/>
  <c r="AA728" i="16"/>
  <c r="AB727" i="16" l="1"/>
  <c r="R725" i="16"/>
  <c r="AB728" i="16" a="1"/>
  <c r="Q727" i="16"/>
  <c r="AA729" i="16"/>
  <c r="R726" i="16" a="1"/>
  <c r="AB728" i="16" l="1"/>
  <c r="R726" i="16"/>
  <c r="AA730" i="16"/>
  <c r="AB729" i="16" a="1"/>
  <c r="R727" i="16" a="1"/>
  <c r="Q728" i="16"/>
  <c r="AB729" i="16" l="1"/>
  <c r="R727" i="16"/>
  <c r="AA731" i="16"/>
  <c r="AB730" i="16" a="1"/>
  <c r="Q729" i="16"/>
  <c r="R728" i="16" a="1"/>
  <c r="AB730" i="16" l="1"/>
  <c r="R728" i="16"/>
  <c r="R729" i="16" a="1"/>
  <c r="AB731" i="16" a="1"/>
  <c r="Q730" i="16"/>
  <c r="AA732" i="16"/>
  <c r="AB731" i="16" l="1"/>
  <c r="R729" i="16"/>
  <c r="R730" i="16" a="1"/>
  <c r="AB732" i="16" a="1"/>
  <c r="AA733" i="16"/>
  <c r="Q731" i="16"/>
  <c r="AB732" i="16" l="1"/>
  <c r="R730" i="16"/>
  <c r="R731" i="16" a="1"/>
  <c r="AB733" i="16" a="1"/>
  <c r="AA734" i="16"/>
  <c r="Q732" i="16"/>
  <c r="AB733" i="16" l="1"/>
  <c r="R731" i="16"/>
  <c r="AA735" i="16"/>
  <c r="R732" i="16" a="1"/>
  <c r="AB734" i="16" a="1"/>
  <c r="Q733" i="16"/>
  <c r="AB734" i="16" l="1"/>
  <c r="R732" i="16"/>
  <c r="AB735" i="16" a="1"/>
  <c r="R733" i="16" a="1"/>
  <c r="AA736" i="16"/>
  <c r="Q734" i="16"/>
  <c r="AB735" i="16" l="1"/>
  <c r="R733" i="16"/>
  <c r="AB736" i="16" a="1"/>
  <c r="Q735" i="16"/>
  <c r="AA737" i="16"/>
  <c r="R734" i="16" a="1"/>
  <c r="AB736" i="16" l="1"/>
  <c r="R734" i="16"/>
  <c r="Q736" i="16"/>
  <c r="AA738" i="16"/>
  <c r="AB737" i="16" a="1"/>
  <c r="R735" i="16" a="1"/>
  <c r="AB737" i="16" l="1"/>
  <c r="R735" i="16"/>
  <c r="AA739" i="16"/>
  <c r="R736" i="16" a="1"/>
  <c r="AB738" i="16" a="1"/>
  <c r="Q737" i="16"/>
  <c r="AB738" i="16" l="1"/>
  <c r="R736" i="16"/>
  <c r="Q738" i="16"/>
  <c r="AB739" i="16" a="1"/>
  <c r="R737" i="16" a="1"/>
  <c r="AA740" i="16"/>
  <c r="AB739" i="16" l="1"/>
  <c r="R737" i="16"/>
  <c r="AB740" i="16" a="1"/>
  <c r="Q739" i="16"/>
  <c r="AA741" i="16"/>
  <c r="R738" i="16" a="1"/>
  <c r="AB740" i="16" l="1"/>
  <c r="R738" i="16"/>
  <c r="AA742" i="16"/>
  <c r="R739" i="16" a="1"/>
  <c r="AB741" i="16" a="1"/>
  <c r="Q740" i="16"/>
  <c r="AB741" i="16" l="1"/>
  <c r="R739" i="16"/>
  <c r="Q741" i="16"/>
  <c r="AA743" i="16"/>
  <c r="AB742" i="16" a="1"/>
  <c r="R740" i="16" a="1"/>
  <c r="AB742" i="16" l="1"/>
  <c r="R740" i="16"/>
  <c r="AB743" i="16" a="1"/>
  <c r="Q742" i="16"/>
  <c r="AA744" i="16"/>
  <c r="R741" i="16" a="1"/>
  <c r="AB743" i="16" l="1"/>
  <c r="R741" i="16"/>
  <c r="Q743" i="16"/>
  <c r="AA745" i="16"/>
  <c r="R742" i="16" a="1"/>
  <c r="AB744" i="16" a="1"/>
  <c r="AB744" i="16" l="1"/>
  <c r="R742" i="16"/>
  <c r="Q744" i="16"/>
  <c r="R743" i="16" a="1"/>
  <c r="AA746" i="16"/>
  <c r="AB745" i="16" a="1"/>
  <c r="AB745" i="16" l="1"/>
  <c r="R743" i="16"/>
  <c r="AA747" i="16"/>
  <c r="Q745" i="16"/>
  <c r="R744" i="16" a="1"/>
  <c r="AB746" i="16" a="1"/>
  <c r="AB746" i="16" l="1"/>
  <c r="R744" i="16"/>
  <c r="Q746" i="16"/>
  <c r="AB747" i="16" a="1"/>
  <c r="R745" i="16" a="1"/>
  <c r="AA748" i="16"/>
  <c r="AB747" i="16" l="1"/>
  <c r="R745" i="16"/>
  <c r="R746" i="16" a="1"/>
  <c r="AA749" i="16"/>
  <c r="Q747" i="16"/>
  <c r="AB748" i="16" a="1"/>
  <c r="AB748" i="16" l="1"/>
  <c r="R746" i="16"/>
  <c r="Q748" i="16"/>
  <c r="R747" i="16" a="1"/>
  <c r="AA750" i="16"/>
  <c r="AB749" i="16" a="1"/>
  <c r="AB749" i="16" l="1"/>
  <c r="R747" i="16"/>
  <c r="AB750" i="16" a="1"/>
  <c r="R748" i="16" a="1"/>
  <c r="Q749" i="16"/>
  <c r="AA751" i="16"/>
  <c r="AB750" i="16" l="1"/>
  <c r="R748" i="16"/>
  <c r="AB751" i="16" a="1"/>
  <c r="AA752" i="16"/>
  <c r="Q750" i="16"/>
  <c r="R749" i="16" a="1"/>
  <c r="AB751" i="16" l="1"/>
  <c r="R749" i="16"/>
  <c r="Q751" i="16"/>
  <c r="R750" i="16" a="1"/>
  <c r="AA753" i="16"/>
  <c r="AB752" i="16" a="1"/>
  <c r="AB752" i="16" l="1"/>
  <c r="R750" i="16"/>
  <c r="AB753" i="16" a="1"/>
  <c r="AA754" i="16"/>
  <c r="R751" i="16" a="1"/>
  <c r="Q752" i="16"/>
  <c r="AB753" i="16" l="1"/>
  <c r="R751" i="16"/>
  <c r="AB754" i="16" a="1"/>
  <c r="AA755" i="16"/>
  <c r="R752" i="16" a="1"/>
  <c r="Q753" i="16"/>
  <c r="AB754" i="16" l="1"/>
  <c r="R752" i="16"/>
  <c r="AB755" i="16" a="1"/>
  <c r="Q754" i="16"/>
  <c r="R753" i="16" a="1"/>
  <c r="AA756" i="16"/>
  <c r="AB755" i="16" l="1"/>
  <c r="R753" i="16"/>
  <c r="R754" i="16" a="1"/>
  <c r="Q755" i="16"/>
  <c r="AB756" i="16" a="1"/>
  <c r="AA757" i="16"/>
  <c r="AB756" i="16" l="1"/>
  <c r="R754" i="16"/>
  <c r="AB757" i="16" a="1"/>
  <c r="Q756" i="16"/>
  <c r="R755" i="16" a="1"/>
  <c r="AA758" i="16"/>
  <c r="AB757" i="16" l="1"/>
  <c r="R755" i="16"/>
  <c r="R756" i="16" a="1"/>
  <c r="Q757" i="16"/>
  <c r="AA759" i="16"/>
  <c r="AB758" i="16" a="1"/>
  <c r="AB758" i="16" l="1"/>
  <c r="R756" i="16"/>
  <c r="AA760" i="16"/>
  <c r="R757" i="16" a="1"/>
  <c r="AB759" i="16" a="1"/>
  <c r="Q758" i="16"/>
  <c r="AB759" i="16" l="1"/>
  <c r="R757" i="16"/>
  <c r="AA761" i="16"/>
  <c r="R758" i="16" a="1"/>
  <c r="AB760" i="16" a="1"/>
  <c r="Q759" i="16"/>
  <c r="AB760" i="16" l="1"/>
  <c r="R758" i="16"/>
  <c r="R759" i="16" a="1"/>
  <c r="Q760" i="16"/>
  <c r="AB761" i="16" a="1"/>
  <c r="AA762" i="16"/>
  <c r="AB761" i="16" l="1"/>
  <c r="R759" i="16"/>
  <c r="Q761" i="16"/>
  <c r="AB762" i="16" a="1"/>
  <c r="R760" i="16" a="1"/>
  <c r="AA763" i="16"/>
  <c r="AB762" i="16" l="1"/>
  <c r="R760" i="16"/>
  <c r="AB763" i="16" a="1"/>
  <c r="Q762" i="16"/>
  <c r="R761" i="16" a="1"/>
  <c r="AA764" i="16"/>
  <c r="AB763" i="16" l="1"/>
  <c r="R761" i="16"/>
  <c r="Q763" i="16"/>
  <c r="AB764" i="16" a="1"/>
  <c r="R762" i="16" a="1"/>
  <c r="AA765" i="16"/>
  <c r="AB764" i="16" l="1"/>
  <c r="R762" i="16"/>
  <c r="R763" i="16" a="1"/>
  <c r="AA766" i="16"/>
  <c r="AB765" i="16" a="1"/>
  <c r="Q764" i="16"/>
  <c r="AB765" i="16" l="1"/>
  <c r="R763" i="16"/>
  <c r="AB766" i="16" a="1"/>
  <c r="R764" i="16" a="1"/>
  <c r="Q765" i="16"/>
  <c r="AA767" i="16"/>
  <c r="AB766" i="16" l="1"/>
  <c r="R764" i="16"/>
  <c r="AA768" i="16"/>
  <c r="AB767" i="16" a="1"/>
  <c r="R765" i="16" a="1"/>
  <c r="Q766" i="16"/>
  <c r="AB767" i="16" l="1"/>
  <c r="R765" i="16"/>
  <c r="R766" i="16" a="1"/>
  <c r="Q767" i="16"/>
  <c r="AA769" i="16"/>
  <c r="AB768" i="16" a="1"/>
  <c r="AB768" i="16" l="1"/>
  <c r="R766" i="16"/>
  <c r="AA770" i="16"/>
  <c r="R767" i="16" a="1"/>
  <c r="AB769" i="16" a="1"/>
  <c r="Q768" i="16"/>
  <c r="AB769" i="16" l="1"/>
  <c r="R767" i="16"/>
  <c r="AB770" i="16" a="1"/>
  <c r="Q769" i="16"/>
  <c r="R768" i="16" a="1"/>
  <c r="AA771" i="16"/>
  <c r="AB770" i="16" l="1"/>
  <c r="R768" i="16"/>
  <c r="AA772" i="16"/>
  <c r="Q770" i="16"/>
  <c r="AB771" i="16" a="1"/>
  <c r="R769" i="16" a="1"/>
  <c r="AB771" i="16" l="1"/>
  <c r="R769" i="16"/>
  <c r="AA773" i="16"/>
  <c r="AB772" i="16" a="1"/>
  <c r="Q771" i="16"/>
  <c r="R770" i="16" a="1"/>
  <c r="AB772" i="16" l="1"/>
  <c r="R770" i="16"/>
  <c r="AA774" i="16"/>
  <c r="AB773" i="16" a="1"/>
  <c r="R771" i="16" a="1"/>
  <c r="Q772" i="16"/>
  <c r="AB773" i="16" l="1"/>
  <c r="R771" i="16"/>
  <c r="R772" i="16" a="1"/>
  <c r="Q773" i="16"/>
  <c r="AB774" i="16" a="1"/>
  <c r="AA775" i="16"/>
  <c r="AB774" i="16" l="1"/>
  <c r="R772" i="16"/>
  <c r="AB775" i="16" a="1"/>
  <c r="R773" i="16" a="1"/>
  <c r="Q774" i="16"/>
  <c r="AA776" i="16"/>
  <c r="AB775" i="16" l="1"/>
  <c r="R773" i="16"/>
  <c r="Q775" i="16"/>
  <c r="AA777" i="16"/>
  <c r="AB776" i="16" a="1"/>
  <c r="R774" i="16" a="1"/>
  <c r="AB776" i="16" l="1"/>
  <c r="R774" i="16"/>
  <c r="AB777" i="16" a="1"/>
  <c r="R775" i="16" a="1"/>
  <c r="Q776" i="16"/>
  <c r="AA778" i="16"/>
  <c r="AB777" i="16" l="1"/>
  <c r="R775" i="16"/>
  <c r="AA779" i="16"/>
  <c r="R776" i="16" a="1"/>
  <c r="AB778" i="16" a="1"/>
  <c r="Q777" i="16"/>
  <c r="AB778" i="16" l="1"/>
  <c r="R776" i="16"/>
  <c r="Q778" i="16"/>
  <c r="R777" i="16" a="1"/>
  <c r="AA780" i="16"/>
  <c r="AB779" i="16" a="1"/>
  <c r="AB779" i="16" l="1"/>
  <c r="R777" i="16"/>
  <c r="R778" i="16" a="1"/>
  <c r="AA781" i="16"/>
  <c r="AB780" i="16" a="1"/>
  <c r="Q779" i="16"/>
  <c r="AB780" i="16" l="1"/>
  <c r="R778" i="16"/>
  <c r="Q780" i="16"/>
  <c r="AB781" i="16" a="1"/>
  <c r="AA782" i="16"/>
  <c r="R779" i="16" a="1"/>
  <c r="AB781" i="16" l="1"/>
  <c r="R779" i="16"/>
  <c r="AA783" i="16"/>
  <c r="R780" i="16" a="1"/>
  <c r="Q781" i="16"/>
  <c r="AB782" i="16" a="1"/>
  <c r="AB782" i="16" l="1"/>
  <c r="R780" i="16"/>
  <c r="AA784" i="16"/>
  <c r="Q782" i="16"/>
  <c r="AB783" i="16" a="1"/>
  <c r="R781" i="16" a="1"/>
  <c r="AB783" i="16" l="1"/>
  <c r="R781" i="16"/>
  <c r="AA785" i="16"/>
  <c r="Q783" i="16"/>
  <c r="R782" i="16" a="1"/>
  <c r="AB784" i="16" a="1"/>
  <c r="AB784" i="16" l="1"/>
  <c r="R782" i="16"/>
  <c r="R783" i="16" a="1"/>
  <c r="AB785" i="16" a="1"/>
  <c r="AA786" i="16"/>
  <c r="Q784" i="16"/>
  <c r="AB785" i="16" l="1"/>
  <c r="R783" i="16"/>
  <c r="AB786" i="16" a="1"/>
  <c r="R784" i="16" a="1"/>
  <c r="AA787" i="16"/>
  <c r="Q785" i="16"/>
  <c r="AB786" i="16" l="1"/>
  <c r="R784" i="16"/>
  <c r="AB787" i="16" a="1"/>
  <c r="Q786" i="16"/>
  <c r="R785" i="16" a="1"/>
  <c r="AA788" i="16"/>
  <c r="AB787" i="16" l="1"/>
  <c r="R785" i="16"/>
  <c r="Q787" i="16"/>
  <c r="AA789" i="16"/>
  <c r="R786" i="16" a="1"/>
  <c r="AB788" i="16" a="1"/>
  <c r="AB788" i="16" l="1"/>
  <c r="R786" i="16"/>
  <c r="AB789" i="16" a="1"/>
  <c r="Q788" i="16"/>
  <c r="R787" i="16" a="1"/>
  <c r="AA790" i="16"/>
  <c r="AB789" i="16" l="1"/>
  <c r="R787" i="16"/>
  <c r="AB790" i="16" a="1"/>
  <c r="R788" i="16" a="1"/>
  <c r="AA791" i="16"/>
  <c r="Q789" i="16"/>
  <c r="AB790" i="16" l="1"/>
  <c r="R788" i="16"/>
  <c r="AB791" i="16" a="1"/>
  <c r="AA792" i="16"/>
  <c r="R789" i="16" a="1"/>
  <c r="Q790" i="16"/>
  <c r="AB791" i="16" l="1"/>
  <c r="R789" i="16"/>
  <c r="Q791" i="16"/>
  <c r="AA793" i="16"/>
  <c r="AB792" i="16" a="1"/>
  <c r="R790" i="16" a="1"/>
  <c r="AB792" i="16" l="1"/>
  <c r="R790" i="16"/>
  <c r="AB793" i="16" a="1"/>
  <c r="R791" i="16" a="1"/>
  <c r="Q792" i="16"/>
  <c r="AA794" i="16"/>
  <c r="AB793" i="16" l="1"/>
  <c r="R791" i="16"/>
  <c r="AB794" i="16" a="1"/>
  <c r="R792" i="16" a="1"/>
  <c r="AA795" i="16"/>
  <c r="Q793" i="16"/>
  <c r="AB794" i="16" l="1"/>
  <c r="R792" i="16"/>
  <c r="Q794" i="16"/>
  <c r="AA796" i="16"/>
  <c r="R793" i="16" a="1"/>
  <c r="AB795" i="16" a="1"/>
  <c r="AB795" i="16" l="1"/>
  <c r="R793" i="16"/>
  <c r="R794" i="16" a="1"/>
  <c r="AB796" i="16" a="1"/>
  <c r="Q795" i="16"/>
  <c r="AA797" i="16"/>
  <c r="AB796" i="16" l="1"/>
  <c r="R794" i="16"/>
  <c r="AA798" i="16"/>
  <c r="Q796" i="16"/>
  <c r="R795" i="16" a="1"/>
  <c r="AB797" i="16" a="1"/>
  <c r="AB797" i="16" l="1"/>
  <c r="R795" i="16"/>
  <c r="Q797" i="16"/>
  <c r="R796" i="16" a="1"/>
  <c r="AA799" i="16"/>
  <c r="AB798" i="16" a="1"/>
  <c r="AB798" i="16" l="1"/>
  <c r="R796" i="16"/>
  <c r="AB799" i="16" a="1"/>
  <c r="AA800" i="16"/>
  <c r="R797" i="16" a="1"/>
  <c r="Q798" i="16"/>
  <c r="AB799" i="16" l="1"/>
  <c r="R797" i="16"/>
  <c r="R798" i="16" a="1"/>
  <c r="Q799" i="16"/>
  <c r="AA801" i="16"/>
  <c r="AB800" i="16" a="1"/>
  <c r="AB800" i="16" l="1"/>
  <c r="R798" i="16"/>
  <c r="R799" i="16" a="1"/>
  <c r="AB801" i="16" a="1"/>
  <c r="AA802" i="16"/>
  <c r="Q800" i="16"/>
  <c r="AB801" i="16" l="1"/>
  <c r="R799" i="16"/>
  <c r="R800" i="16" a="1"/>
  <c r="AA803" i="16"/>
  <c r="Q801" i="16"/>
  <c r="AB802" i="16" a="1"/>
  <c r="AB802" i="16" l="1"/>
  <c r="R800" i="16"/>
  <c r="Q802" i="16"/>
  <c r="AB803" i="16" a="1"/>
  <c r="AA804" i="16"/>
  <c r="R801" i="16" a="1"/>
  <c r="AB803" i="16" l="1"/>
  <c r="R801" i="16"/>
  <c r="R802" i="16" a="1"/>
  <c r="AA805" i="16"/>
  <c r="AB804" i="16" a="1"/>
  <c r="Q803" i="16"/>
  <c r="AB804" i="16" l="1"/>
  <c r="R802" i="16"/>
  <c r="Q804" i="16"/>
  <c r="R803" i="16" a="1"/>
  <c r="AB805" i="16" a="1"/>
  <c r="AA806" i="16"/>
  <c r="AB805" i="16" l="1"/>
  <c r="R803" i="16"/>
  <c r="AB806" i="16" a="1"/>
  <c r="R804" i="16" a="1"/>
  <c r="AA807" i="16"/>
  <c r="Q805" i="16"/>
  <c r="AB806" i="16" l="1"/>
  <c r="R804" i="16"/>
  <c r="AA808" i="16"/>
  <c r="Q806" i="16"/>
  <c r="AB807" i="16" a="1"/>
  <c r="R805" i="16" a="1"/>
  <c r="AB807" i="16" l="1"/>
  <c r="R805" i="16"/>
  <c r="R806" i="16" a="1"/>
  <c r="AB808" i="16" a="1"/>
  <c r="Q807" i="16"/>
  <c r="AA809" i="16"/>
  <c r="AB808" i="16" l="1"/>
  <c r="R806" i="16"/>
  <c r="AB809" i="16" a="1"/>
  <c r="AA810" i="16"/>
  <c r="Q808" i="16"/>
  <c r="R807" i="16" a="1"/>
  <c r="AB809" i="16" l="1"/>
  <c r="R807" i="16"/>
  <c r="AB810" i="16" a="1"/>
  <c r="Q809" i="16"/>
  <c r="R808" i="16" a="1"/>
  <c r="AA811" i="16"/>
  <c r="AB810" i="16" l="1"/>
  <c r="R808" i="16"/>
  <c r="Q810" i="16"/>
  <c r="AA812" i="16"/>
  <c r="R809" i="16" a="1"/>
  <c r="AB811" i="16" a="1"/>
  <c r="AB811" i="16" l="1"/>
  <c r="R809" i="16"/>
  <c r="R810" i="16" a="1"/>
  <c r="AA813" i="16"/>
  <c r="AB812" i="16" a="1"/>
  <c r="Q811" i="16"/>
  <c r="AB812" i="16" l="1"/>
  <c r="R810" i="16"/>
  <c r="AA814" i="16"/>
  <c r="AB813" i="16" a="1"/>
  <c r="Q812" i="16"/>
  <c r="R811" i="16" a="1"/>
  <c r="AB813" i="16" l="1"/>
  <c r="R811" i="16"/>
  <c r="Q813" i="16"/>
  <c r="AB814" i="16" a="1"/>
  <c r="AA815" i="16"/>
  <c r="R812" i="16" a="1"/>
  <c r="AB814" i="16" l="1"/>
  <c r="R812" i="16"/>
  <c r="Q814" i="16"/>
  <c r="AB815" i="16" a="1"/>
  <c r="AA816" i="16"/>
  <c r="R813" i="16" a="1"/>
  <c r="AB815" i="16" l="1"/>
  <c r="R813" i="16"/>
  <c r="AA817" i="16"/>
  <c r="AB816" i="16" a="1"/>
  <c r="R814" i="16" a="1"/>
  <c r="Q815" i="16"/>
  <c r="AB816" i="16" l="1"/>
  <c r="R814" i="16"/>
  <c r="AB817" i="16" a="1"/>
  <c r="R815" i="16" a="1"/>
  <c r="AA818" i="16"/>
  <c r="Q816" i="16"/>
  <c r="AB817" i="16" l="1"/>
  <c r="R815" i="16"/>
  <c r="R816" i="16" a="1"/>
  <c r="AA819" i="16"/>
  <c r="AB818" i="16" a="1"/>
  <c r="Q817" i="16"/>
  <c r="AB818" i="16" l="1"/>
  <c r="R816" i="16"/>
  <c r="AA820" i="16"/>
  <c r="R817" i="16" a="1"/>
  <c r="Q818" i="16"/>
  <c r="AB819" i="16" a="1"/>
  <c r="AB819" i="16" l="1"/>
  <c r="R817" i="16"/>
  <c r="AA821" i="16"/>
  <c r="R818" i="16" a="1"/>
  <c r="AB820" i="16" a="1"/>
  <c r="Q819" i="16"/>
  <c r="AB820" i="16" l="1"/>
  <c r="R818" i="16"/>
  <c r="R819" i="16" a="1"/>
  <c r="AB821" i="16" a="1"/>
  <c r="AA822" i="16"/>
  <c r="Q820" i="16"/>
  <c r="AB821" i="16" l="1"/>
  <c r="R819" i="16"/>
  <c r="AA823" i="16"/>
  <c r="R820" i="16" a="1"/>
  <c r="AB822" i="16" a="1"/>
  <c r="Q821" i="16"/>
  <c r="AB822" i="16" l="1"/>
  <c r="R820" i="16"/>
  <c r="AB823" i="16" a="1"/>
  <c r="AA824" i="16"/>
  <c r="R821" i="16" a="1"/>
  <c r="Q822" i="16"/>
  <c r="AB823" i="16" l="1"/>
  <c r="R821" i="16"/>
  <c r="AB824" i="16" a="1"/>
  <c r="R822" i="16" a="1"/>
  <c r="Q823" i="16"/>
  <c r="AA825" i="16"/>
  <c r="AB824" i="16" l="1"/>
  <c r="R822" i="16"/>
  <c r="AA826" i="16"/>
  <c r="Q824" i="16"/>
  <c r="AB825" i="16" a="1"/>
  <c r="R823" i="16" a="1"/>
  <c r="AB825" i="16" l="1"/>
  <c r="R823" i="16"/>
  <c r="Q825" i="16"/>
  <c r="AA827" i="16"/>
  <c r="R824" i="16" a="1"/>
  <c r="AB826" i="16" a="1"/>
  <c r="AB826" i="16" l="1"/>
  <c r="R824" i="16"/>
  <c r="R825" i="16" a="1"/>
  <c r="AA828" i="16"/>
  <c r="Q826" i="16"/>
  <c r="AB827" i="16" a="1"/>
  <c r="AB827" i="16" l="1"/>
  <c r="R825" i="16"/>
  <c r="AB828" i="16" a="1"/>
  <c r="AA829" i="16"/>
  <c r="Q827" i="16"/>
  <c r="R826" i="16" a="1"/>
  <c r="AB828" i="16" l="1"/>
  <c r="R826" i="16"/>
  <c r="Q828" i="16"/>
  <c r="AA830" i="16"/>
  <c r="R827" i="16" a="1"/>
  <c r="AB829" i="16" a="1"/>
  <c r="AB829" i="16" l="1"/>
  <c r="R827" i="16"/>
  <c r="AA831" i="16"/>
  <c r="R828" i="16" a="1"/>
  <c r="AB830" i="16" a="1"/>
  <c r="Q829" i="16"/>
  <c r="AB830" i="16" l="1"/>
  <c r="R828" i="16"/>
  <c r="AA832" i="16"/>
  <c r="AB831" i="16" a="1"/>
  <c r="R829" i="16" a="1"/>
  <c r="Q830" i="16"/>
  <c r="AB831" i="16" l="1"/>
  <c r="R829" i="16"/>
  <c r="AA833" i="16"/>
  <c r="AB832" i="16" a="1"/>
  <c r="Q831" i="16"/>
  <c r="R830" i="16" a="1"/>
  <c r="AB832" i="16" l="1"/>
  <c r="R830" i="16"/>
  <c r="Q832" i="16"/>
  <c r="AB833" i="16" a="1"/>
  <c r="AA834" i="16"/>
  <c r="R831" i="16" a="1"/>
  <c r="AB833" i="16" l="1"/>
  <c r="R831" i="16"/>
  <c r="Q833" i="16"/>
  <c r="R832" i="16" a="1"/>
  <c r="AA835" i="16"/>
  <c r="AB834" i="16" a="1"/>
  <c r="AB834" i="16" l="1"/>
  <c r="R832" i="16"/>
  <c r="Q834" i="16"/>
  <c r="AA836" i="16"/>
  <c r="AB835" i="16" a="1"/>
  <c r="R833" i="16" a="1"/>
  <c r="AB835" i="16" l="1"/>
  <c r="R833" i="16"/>
  <c r="R834" i="16" a="1"/>
  <c r="Q835" i="16"/>
  <c r="AA837" i="16"/>
  <c r="AB836" i="16" a="1"/>
  <c r="AB836" i="16" l="1"/>
  <c r="R834" i="16"/>
  <c r="AA838" i="16"/>
  <c r="AB837" i="16" a="1"/>
  <c r="R835" i="16" a="1"/>
  <c r="Q836" i="16"/>
  <c r="AB837" i="16" l="1"/>
  <c r="R835" i="16"/>
  <c r="Q837" i="16"/>
  <c r="R836" i="16" a="1"/>
  <c r="AB838" i="16" a="1"/>
  <c r="AA839" i="16"/>
  <c r="AB838" i="16" l="1"/>
  <c r="R836" i="16"/>
  <c r="Q838" i="16"/>
  <c r="AA840" i="16"/>
  <c r="R837" i="16" a="1"/>
  <c r="AB839" i="16" a="1"/>
  <c r="AB839" i="16" l="1"/>
  <c r="R837" i="16"/>
  <c r="AB840" i="16" a="1"/>
  <c r="R838" i="16" a="1"/>
  <c r="Q839" i="16"/>
  <c r="AA841" i="16"/>
  <c r="AB840" i="16" l="1"/>
  <c r="R838" i="16"/>
  <c r="AA842" i="16"/>
  <c r="Q840" i="16"/>
  <c r="R839" i="16" a="1"/>
  <c r="AB841" i="16" a="1"/>
  <c r="AB841" i="16" l="1"/>
  <c r="R839" i="16"/>
  <c r="AA843" i="16"/>
  <c r="R840" i="16" a="1"/>
  <c r="AB842" i="16" a="1"/>
  <c r="Q841" i="16"/>
  <c r="AB842" i="16" l="1"/>
  <c r="R840" i="16"/>
  <c r="R841" i="16" a="1"/>
  <c r="AB843" i="16" a="1"/>
  <c r="AA844" i="16"/>
  <c r="Q842" i="16"/>
  <c r="AB843" i="16" l="1"/>
  <c r="R841" i="16"/>
  <c r="AA845" i="16"/>
  <c r="R842" i="16" a="1"/>
  <c r="Q843" i="16"/>
  <c r="AB844" i="16" a="1"/>
  <c r="AB844" i="16" l="1"/>
  <c r="R842" i="16"/>
  <c r="Q844" i="16"/>
  <c r="AA846" i="16"/>
  <c r="AB845" i="16" a="1"/>
  <c r="R843" i="16" a="1"/>
  <c r="AB845" i="16" l="1"/>
  <c r="R843" i="16"/>
  <c r="AB846" i="16" a="1"/>
  <c r="Q845" i="16"/>
  <c r="AA847" i="16"/>
  <c r="R844" i="16" a="1"/>
  <c r="AB846" i="16" l="1"/>
  <c r="R844" i="16"/>
  <c r="Q846" i="16"/>
  <c r="R845" i="16" a="1"/>
  <c r="AB847" i="16" a="1"/>
  <c r="AA848" i="16"/>
  <c r="AB847" i="16" l="1"/>
  <c r="R845" i="16"/>
  <c r="AB848" i="16" a="1"/>
  <c r="R846" i="16" a="1"/>
  <c r="Q847" i="16"/>
  <c r="AA849" i="16"/>
  <c r="AB848" i="16" l="1"/>
  <c r="R846" i="16"/>
  <c r="AA850" i="16"/>
  <c r="R847" i="16" a="1"/>
  <c r="AB849" i="16" a="1"/>
  <c r="Q848" i="16"/>
  <c r="AB849" i="16" l="1"/>
  <c r="R847" i="16"/>
  <c r="R848" i="16" a="1"/>
  <c r="Q849" i="16"/>
  <c r="AA851" i="16"/>
  <c r="AB850" i="16" a="1"/>
  <c r="AB850" i="16" l="1"/>
  <c r="R848" i="16"/>
  <c r="Q850" i="16"/>
  <c r="R849" i="16" a="1"/>
  <c r="AB851" i="16" a="1"/>
  <c r="AA852" i="16"/>
  <c r="AB851" i="16" l="1"/>
  <c r="R849" i="16"/>
  <c r="AA853" i="16"/>
  <c r="Q851" i="16"/>
  <c r="R850" i="16" a="1"/>
  <c r="AB852" i="16" a="1"/>
  <c r="AB852" i="16" l="1"/>
  <c r="R850" i="16"/>
  <c r="Q852" i="16"/>
  <c r="R851" i="16" a="1"/>
  <c r="AA854" i="16"/>
  <c r="AB853" i="16" a="1"/>
  <c r="AB853" i="16" l="1"/>
  <c r="R851" i="16"/>
  <c r="R852" i="16" a="1"/>
  <c r="AB854" i="16" a="1"/>
  <c r="AA855" i="16"/>
  <c r="Q853" i="16"/>
  <c r="AB854" i="16" l="1"/>
  <c r="R852" i="16"/>
  <c r="R853" i="16" a="1"/>
  <c r="AA856" i="16"/>
  <c r="Q854" i="16"/>
  <c r="AB855" i="16" a="1"/>
  <c r="AB855" i="16" l="1"/>
  <c r="R853" i="16"/>
  <c r="AB856" i="16" a="1"/>
  <c r="R854" i="16" a="1"/>
  <c r="AA857" i="16"/>
  <c r="Q855" i="16"/>
  <c r="AB856" i="16" l="1"/>
  <c r="R854" i="16"/>
  <c r="AA858" i="16"/>
  <c r="AB857" i="16" a="1"/>
  <c r="Q856" i="16"/>
  <c r="R855" i="16" a="1"/>
  <c r="AB857" i="16" l="1"/>
  <c r="R855" i="16"/>
  <c r="AB858" i="16" a="1"/>
  <c r="R856" i="16" a="1"/>
  <c r="AA859" i="16"/>
  <c r="Q857" i="16"/>
  <c r="AB858" i="16" l="1"/>
  <c r="R856" i="16"/>
  <c r="AA860" i="16"/>
  <c r="R857" i="16" a="1"/>
  <c r="Q858" i="16"/>
  <c r="AB859" i="16" a="1"/>
  <c r="AB859" i="16" l="1"/>
  <c r="R857" i="16"/>
  <c r="R858" i="16" a="1"/>
  <c r="AB860" i="16" a="1"/>
  <c r="Q859" i="16"/>
  <c r="AA861" i="16"/>
  <c r="AB860" i="16" l="1"/>
  <c r="R858" i="16"/>
  <c r="AA862" i="16"/>
  <c r="R859" i="16" a="1"/>
  <c r="AB861" i="16" a="1"/>
  <c r="Q860" i="16"/>
  <c r="AB861" i="16" l="1"/>
  <c r="R859" i="16"/>
  <c r="AA863" i="16"/>
  <c r="AB862" i="16" a="1"/>
  <c r="R860" i="16" a="1"/>
  <c r="Q861" i="16"/>
  <c r="AB862" i="16" l="1"/>
  <c r="R860" i="16"/>
  <c r="AB863" i="16" a="1"/>
  <c r="AA864" i="16"/>
  <c r="R861" i="16" a="1"/>
  <c r="Q862" i="16"/>
  <c r="AB863" i="16" l="1"/>
  <c r="R861" i="16"/>
  <c r="R862" i="16" a="1"/>
  <c r="AA865" i="16"/>
  <c r="AB864" i="16" a="1"/>
  <c r="Q863" i="16"/>
  <c r="AB864" i="16" l="1"/>
  <c r="R862" i="16"/>
  <c r="Q864" i="16"/>
  <c r="AA866" i="16"/>
  <c r="R863" i="16" a="1"/>
  <c r="AB865" i="16" a="1"/>
  <c r="AB865" i="16" l="1"/>
  <c r="R863" i="16"/>
  <c r="AB866" i="16" a="1"/>
  <c r="R864" i="16" a="1"/>
  <c r="Q865" i="16"/>
  <c r="AA867" i="16"/>
  <c r="AB866" i="16" l="1"/>
  <c r="R864" i="16"/>
  <c r="R865" i="16" a="1"/>
  <c r="Q866" i="16"/>
  <c r="AA868" i="16"/>
  <c r="AB867" i="16" a="1"/>
  <c r="AB867" i="16" l="1"/>
  <c r="R865" i="16"/>
  <c r="Q867" i="16"/>
  <c r="R866" i="16" a="1"/>
  <c r="AB868" i="16" a="1"/>
  <c r="AA869" i="16"/>
  <c r="AB868" i="16" l="1"/>
  <c r="R866" i="16"/>
  <c r="AA870" i="16"/>
  <c r="R867" i="16" a="1"/>
  <c r="AB869" i="16" a="1"/>
  <c r="Q868" i="16"/>
  <c r="AB869" i="16" l="1"/>
  <c r="R867" i="16"/>
  <c r="R868" i="16" a="1"/>
  <c r="Q869" i="16"/>
  <c r="AA871" i="16"/>
  <c r="AB870" i="16" a="1"/>
  <c r="AB870" i="16" l="1"/>
  <c r="R868" i="16"/>
  <c r="R869" i="16" a="1"/>
  <c r="Q870" i="16"/>
  <c r="AB871" i="16" a="1"/>
  <c r="AA872" i="16"/>
  <c r="AB871" i="16" l="1"/>
  <c r="R869" i="16"/>
  <c r="Q871" i="16"/>
  <c r="AA873" i="16"/>
  <c r="R870" i="16" a="1"/>
  <c r="AB872" i="16" a="1"/>
  <c r="AB872" i="16" l="1"/>
  <c r="R870" i="16"/>
  <c r="AA874" i="16"/>
  <c r="Q872" i="16"/>
  <c r="R871" i="16" a="1"/>
  <c r="AB873" i="16" a="1"/>
  <c r="AB873" i="16" l="1"/>
  <c r="R871" i="16"/>
  <c r="R872" i="16" a="1"/>
  <c r="Q873" i="16"/>
  <c r="AB874" i="16" a="1"/>
  <c r="AA875" i="16"/>
  <c r="AB874" i="16" l="1"/>
  <c r="R872" i="16"/>
  <c r="AA876" i="16"/>
  <c r="R873" i="16" a="1"/>
  <c r="Q874" i="16"/>
  <c r="AB875" i="16" a="1"/>
  <c r="AB875" i="16" l="1"/>
  <c r="R873" i="16"/>
  <c r="R874" i="16" a="1"/>
  <c r="Q875" i="16"/>
  <c r="AA877" i="16"/>
  <c r="AB876" i="16" a="1"/>
  <c r="AB876" i="16" l="1"/>
  <c r="R874" i="16"/>
  <c r="R875" i="16" a="1"/>
  <c r="Q876" i="16"/>
  <c r="AA878" i="16"/>
  <c r="AB877" i="16" a="1"/>
  <c r="AB877" i="16" l="1"/>
  <c r="R875" i="16"/>
  <c r="AB878" i="16" a="1"/>
  <c r="R876" i="16" a="1"/>
  <c r="Q877" i="16"/>
  <c r="AA879" i="16"/>
  <c r="AB878" i="16" l="1"/>
  <c r="R876" i="16"/>
  <c r="Q878" i="16"/>
  <c r="R877" i="16" a="1"/>
  <c r="AB879" i="16" a="1"/>
  <c r="AA880" i="16"/>
  <c r="AB879" i="16" l="1"/>
  <c r="R877" i="16"/>
  <c r="R878" i="16" a="1"/>
  <c r="AB880" i="16" a="1"/>
  <c r="AA881" i="16"/>
  <c r="Q879" i="16"/>
  <c r="AB880" i="16" l="1"/>
  <c r="R878" i="16"/>
  <c r="R879" i="16" a="1"/>
  <c r="AA882" i="16"/>
  <c r="Q880" i="16"/>
  <c r="AB881" i="16" a="1"/>
  <c r="AB881" i="16" l="1"/>
  <c r="R879" i="16"/>
  <c r="R880" i="16" a="1"/>
  <c r="AB882" i="16" a="1"/>
  <c r="Q881" i="16"/>
  <c r="AA883" i="16"/>
  <c r="AB882" i="16" l="1"/>
  <c r="R880" i="16"/>
  <c r="R881" i="16" a="1"/>
  <c r="AA884" i="16"/>
  <c r="AB883" i="16" a="1"/>
  <c r="Q882" i="16"/>
  <c r="AB883" i="16" l="1"/>
  <c r="R881" i="16"/>
  <c r="AB884" i="16" a="1"/>
  <c r="Q883" i="16"/>
  <c r="R882" i="16" a="1"/>
  <c r="AA885" i="16"/>
  <c r="AB884" i="16" l="1"/>
  <c r="R882" i="16"/>
  <c r="AB885" i="16" a="1"/>
  <c r="AA886" i="16"/>
  <c r="R883" i="16" a="1"/>
  <c r="Q884" i="16"/>
  <c r="AB885" i="16" l="1"/>
  <c r="R883" i="16"/>
  <c r="AA887" i="16"/>
  <c r="AB886" i="16" a="1"/>
  <c r="R884" i="16" a="1"/>
  <c r="Q885" i="16"/>
  <c r="AB886" i="16" l="1"/>
  <c r="R884" i="16"/>
  <c r="AA888" i="16"/>
  <c r="AB887" i="16" a="1"/>
  <c r="R885" i="16" a="1"/>
  <c r="Q886" i="16"/>
  <c r="AB887" i="16" l="1"/>
  <c r="R885" i="16"/>
  <c r="R886" i="16" a="1"/>
  <c r="AA889" i="16"/>
  <c r="AB888" i="16" a="1"/>
  <c r="Q887" i="16"/>
  <c r="AB888" i="16" l="1"/>
  <c r="R886" i="16"/>
  <c r="R887" i="16" a="1"/>
  <c r="AB889" i="16" a="1"/>
  <c r="Q888" i="16"/>
  <c r="AA890" i="16"/>
  <c r="AB889" i="16" l="1"/>
  <c r="R887" i="16"/>
  <c r="Q889" i="16"/>
  <c r="AB890" i="16" a="1"/>
  <c r="R888" i="16" a="1"/>
  <c r="AA891" i="16"/>
  <c r="AB890" i="16" l="1"/>
  <c r="R888" i="16"/>
  <c r="R889" i="16" a="1"/>
  <c r="AB891" i="16" a="1"/>
  <c r="Q890" i="16"/>
  <c r="AA892" i="16"/>
  <c r="AB891" i="16" l="1"/>
  <c r="R889" i="16"/>
  <c r="R890" i="16" a="1"/>
  <c r="AA893" i="16"/>
  <c r="AB892" i="16" a="1"/>
  <c r="Q891" i="16"/>
  <c r="AB892" i="16" l="1"/>
  <c r="R890" i="16"/>
  <c r="AB893" i="16" a="1"/>
  <c r="Q892" i="16"/>
  <c r="R891" i="16" a="1"/>
  <c r="AA894" i="16"/>
  <c r="AB893" i="16" l="1"/>
  <c r="R891" i="16"/>
  <c r="Q893" i="16"/>
  <c r="AA895" i="16"/>
  <c r="AB894" i="16" a="1"/>
  <c r="R892" i="16" a="1"/>
  <c r="AB894" i="16" l="1"/>
  <c r="R892" i="16"/>
  <c r="AA896" i="16"/>
  <c r="R893" i="16" a="1"/>
  <c r="AB895" i="16" a="1"/>
  <c r="Q894" i="16"/>
  <c r="AB895" i="16" l="1"/>
  <c r="R893" i="16"/>
  <c r="Q895" i="16"/>
  <c r="R894" i="16" a="1"/>
  <c r="AA897" i="16"/>
  <c r="AB896" i="16" a="1"/>
  <c r="AB896" i="16" l="1"/>
  <c r="R894" i="16"/>
  <c r="AB897" i="16" a="1"/>
  <c r="R895" i="16" a="1"/>
  <c r="Q896" i="16"/>
  <c r="AA898" i="16"/>
  <c r="AB897" i="16" l="1"/>
  <c r="R895" i="16"/>
  <c r="Q897" i="16"/>
  <c r="AA899" i="16"/>
  <c r="R896" i="16" a="1"/>
  <c r="AB898" i="16" a="1"/>
  <c r="AB898" i="16" l="1"/>
  <c r="R896" i="16"/>
  <c r="AB899" i="16" a="1"/>
  <c r="R897" i="16" a="1"/>
  <c r="AA900" i="16"/>
  <c r="Q898" i="16"/>
  <c r="AB899" i="16" l="1"/>
  <c r="R897" i="16"/>
  <c r="Q899" i="16"/>
  <c r="AB900" i="16" a="1"/>
  <c r="AA901" i="16"/>
  <c r="R898" i="16" a="1"/>
  <c r="AB900" i="16" l="1"/>
  <c r="R898" i="16"/>
  <c r="AA902" i="16"/>
  <c r="R899" i="16" a="1"/>
  <c r="AB901" i="16" a="1"/>
  <c r="Q900" i="16"/>
  <c r="AB901" i="16" l="1"/>
  <c r="R899" i="16"/>
  <c r="AB902" i="16" a="1"/>
  <c r="Q901" i="16"/>
  <c r="R900" i="16" a="1"/>
  <c r="AA903" i="16"/>
  <c r="AB902" i="16" l="1"/>
  <c r="R900" i="16"/>
  <c r="AA904" i="16"/>
  <c r="Q902" i="16"/>
  <c r="R901" i="16" a="1"/>
  <c r="AB903" i="16" a="1"/>
  <c r="AB903" i="16" l="1"/>
  <c r="R901" i="16"/>
  <c r="Q903" i="16"/>
  <c r="R902" i="16" a="1"/>
  <c r="AA905" i="16"/>
  <c r="AB904" i="16" a="1"/>
  <c r="AB904" i="16" l="1"/>
  <c r="R902" i="16"/>
  <c r="AB905" i="16" a="1"/>
  <c r="AA906" i="16"/>
  <c r="Q904" i="16"/>
  <c r="R903" i="16" a="1"/>
  <c r="AB905" i="16" l="1"/>
  <c r="R903" i="16"/>
  <c r="Q905" i="16"/>
  <c r="AB906" i="16" a="1"/>
  <c r="AA907" i="16"/>
  <c r="R904" i="16" a="1"/>
  <c r="AB906" i="16" l="1"/>
  <c r="R904" i="16"/>
  <c r="AA908" i="16"/>
  <c r="R905" i="16" a="1"/>
  <c r="Q906" i="16"/>
  <c r="AB907" i="16" a="1"/>
  <c r="AB907" i="16" l="1"/>
  <c r="R905" i="16"/>
  <c r="R906" i="16" a="1"/>
  <c r="AA909" i="16"/>
  <c r="Q907" i="16"/>
  <c r="AB908" i="16" a="1"/>
  <c r="AB908" i="16" l="1"/>
  <c r="R906" i="16"/>
  <c r="AB909" i="16" a="1"/>
  <c r="AA910" i="16"/>
  <c r="R907" i="16" a="1"/>
  <c r="Q908" i="16"/>
  <c r="AB909" i="16" l="1"/>
  <c r="R907" i="16"/>
  <c r="R908" i="16" a="1"/>
  <c r="AB910" i="16" a="1"/>
  <c r="AA911" i="16"/>
  <c r="Q909" i="16"/>
  <c r="AB910" i="16" l="1"/>
  <c r="R908" i="16"/>
  <c r="Q910" i="16"/>
  <c r="R909" i="16" a="1"/>
  <c r="AB911" i="16" a="1"/>
  <c r="AA912" i="16"/>
  <c r="AB911" i="16" l="1"/>
  <c r="R909" i="16"/>
  <c r="AB912" i="16" a="1"/>
  <c r="AA913" i="16"/>
  <c r="R910" i="16" a="1"/>
  <c r="Q911" i="16"/>
  <c r="AB912" i="16" l="1"/>
  <c r="R910" i="16"/>
  <c r="AB913" i="16" a="1"/>
  <c r="Q912" i="16"/>
  <c r="R911" i="16" a="1"/>
  <c r="AA914" i="16"/>
  <c r="AB913" i="16" l="1"/>
  <c r="R911" i="16"/>
  <c r="AB914" i="16" a="1"/>
  <c r="AA915" i="16"/>
  <c r="Q913" i="16"/>
  <c r="R912" i="16" a="1"/>
  <c r="AB914" i="16" l="1"/>
  <c r="R912" i="16"/>
  <c r="Q914" i="16"/>
  <c r="AB915" i="16" a="1"/>
  <c r="R913" i="16" a="1"/>
  <c r="AA916" i="16"/>
  <c r="AB915" i="16" l="1"/>
  <c r="R913" i="16"/>
  <c r="AB916" i="16" a="1"/>
  <c r="AA917" i="16"/>
  <c r="Q915" i="16"/>
  <c r="R914" i="16" a="1"/>
  <c r="AB916" i="16" l="1"/>
  <c r="R914" i="16"/>
  <c r="Q916" i="16"/>
  <c r="AB917" i="16" a="1"/>
  <c r="R915" i="16" a="1"/>
  <c r="AA918" i="16"/>
  <c r="AB917" i="16" l="1"/>
  <c r="R915" i="16"/>
  <c r="Q917" i="16"/>
  <c r="AA919" i="16"/>
  <c r="R916" i="16" a="1"/>
  <c r="AB918" i="16" a="1"/>
  <c r="AB918" i="16" l="1"/>
  <c r="R916" i="16"/>
  <c r="AB919" i="16" a="1"/>
  <c r="R917" i="16" a="1"/>
  <c r="Q918" i="16"/>
  <c r="AA920" i="16"/>
  <c r="AB919" i="16" l="1"/>
  <c r="R917" i="16"/>
  <c r="R918" i="16" a="1"/>
  <c r="AB920" i="16" a="1"/>
  <c r="AA921" i="16"/>
  <c r="Q919" i="16"/>
  <c r="AB920" i="16" l="1"/>
  <c r="R918" i="16"/>
  <c r="AA922" i="16"/>
  <c r="AB921" i="16" a="1"/>
  <c r="R919" i="16" a="1"/>
  <c r="Q920" i="16"/>
  <c r="AB921" i="16" l="1"/>
  <c r="R919" i="16"/>
  <c r="AA923" i="16"/>
  <c r="AB922" i="16" a="1"/>
  <c r="Q921" i="16"/>
  <c r="R920" i="16" a="1"/>
  <c r="AB922" i="16" l="1"/>
  <c r="R920" i="16"/>
  <c r="Q922" i="16"/>
  <c r="AA924" i="16"/>
  <c r="AB923" i="16" a="1"/>
  <c r="R921" i="16" a="1"/>
  <c r="AB923" i="16" l="1"/>
  <c r="R921" i="16"/>
  <c r="Q923" i="16"/>
  <c r="AA925" i="16"/>
  <c r="AB924" i="16" a="1"/>
  <c r="R922" i="16" a="1"/>
  <c r="AB924" i="16" l="1"/>
  <c r="R922" i="16"/>
  <c r="AA926" i="16"/>
  <c r="AB925" i="16" a="1"/>
  <c r="Q924" i="16"/>
  <c r="R923" i="16" a="1"/>
  <c r="AB925" i="16" l="1"/>
  <c r="R923" i="16"/>
  <c r="AA927" i="16"/>
  <c r="Q925" i="16"/>
  <c r="AB926" i="16" a="1"/>
  <c r="R924" i="16" a="1"/>
  <c r="AB926" i="16" l="1"/>
  <c r="R924" i="16"/>
  <c r="Q926" i="16"/>
  <c r="AB927" i="16" a="1"/>
  <c r="R925" i="16" a="1"/>
  <c r="AA928" i="16"/>
  <c r="AB927" i="16" l="1"/>
  <c r="R925" i="16"/>
  <c r="AB928" i="16" a="1"/>
  <c r="AA929" i="16"/>
  <c r="Q927" i="16"/>
  <c r="R926" i="16" a="1"/>
  <c r="AB928" i="16" l="1"/>
  <c r="R926" i="16"/>
  <c r="AA930" i="16"/>
  <c r="R927" i="16" a="1"/>
  <c r="Q928" i="16"/>
  <c r="AB929" i="16" a="1"/>
  <c r="AB929" i="16" l="1"/>
  <c r="R927" i="16"/>
  <c r="Q929" i="16"/>
  <c r="AB930" i="16" a="1"/>
  <c r="R928" i="16" a="1"/>
  <c r="AA931" i="16"/>
  <c r="AB930" i="16" l="1"/>
  <c r="R928" i="16"/>
  <c r="R929" i="16" a="1"/>
  <c r="AA932" i="16"/>
  <c r="AB931" i="16" a="1"/>
  <c r="Q930" i="16"/>
  <c r="AB931" i="16" l="1"/>
  <c r="R929" i="16"/>
  <c r="AB932" i="16" a="1"/>
  <c r="Q931" i="16"/>
  <c r="AA933" i="16"/>
  <c r="R930" i="16" a="1"/>
  <c r="AB932" i="16" l="1"/>
  <c r="R930" i="16"/>
  <c r="AB933" i="16" a="1"/>
  <c r="Q932" i="16"/>
  <c r="AA934" i="16"/>
  <c r="R931" i="16" a="1"/>
  <c r="AB933" i="16" l="1"/>
  <c r="R931" i="16"/>
  <c r="R932" i="16" a="1"/>
  <c r="AB934" i="16" a="1"/>
  <c r="Q933" i="16"/>
  <c r="AA935" i="16"/>
  <c r="AB934" i="16" l="1"/>
  <c r="R932" i="16"/>
  <c r="AB935" i="16" a="1"/>
  <c r="Q934" i="16"/>
  <c r="R933" i="16" a="1"/>
  <c r="AA936" i="16"/>
  <c r="AB935" i="16" l="1"/>
  <c r="R933" i="16"/>
  <c r="Q935" i="16"/>
  <c r="AB936" i="16" a="1"/>
  <c r="R934" i="16" a="1"/>
  <c r="AA937" i="16"/>
  <c r="AB936" i="16" l="1"/>
  <c r="R934" i="16"/>
  <c r="AA938" i="16"/>
  <c r="AB937" i="16" a="1"/>
  <c r="R935" i="16" a="1"/>
  <c r="Q936" i="16"/>
  <c r="AB937" i="16" l="1"/>
  <c r="R935" i="16"/>
  <c r="R936" i="16" a="1"/>
  <c r="AA939" i="16"/>
  <c r="AB938" i="16" a="1"/>
  <c r="Q937" i="16"/>
  <c r="AB938" i="16" l="1"/>
  <c r="R936" i="16"/>
  <c r="AB939" i="16" a="1"/>
  <c r="Q938" i="16"/>
  <c r="AA940" i="16"/>
  <c r="R937" i="16" a="1"/>
  <c r="AB939" i="16" l="1"/>
  <c r="R937" i="16"/>
  <c r="AA941" i="16"/>
  <c r="R938" i="16" a="1"/>
  <c r="AB940" i="16" a="1"/>
  <c r="Q939" i="16"/>
  <c r="AB940" i="16" l="1"/>
  <c r="R938" i="16"/>
  <c r="Q940" i="16"/>
  <c r="AB941" i="16" a="1"/>
  <c r="R939" i="16" a="1"/>
  <c r="AA942" i="16"/>
  <c r="AB941" i="16" l="1"/>
  <c r="R939" i="16"/>
  <c r="Q941" i="16"/>
  <c r="AB942" i="16" a="1"/>
  <c r="AA943" i="16"/>
  <c r="R940" i="16" a="1"/>
  <c r="AB942" i="16" l="1"/>
  <c r="R940" i="16"/>
  <c r="R941" i="16" a="1"/>
  <c r="AB943" i="16" a="1"/>
  <c r="Q942" i="16"/>
  <c r="AA944" i="16"/>
  <c r="AB943" i="16" l="1"/>
  <c r="R941" i="16"/>
  <c r="Q943" i="16"/>
  <c r="AB944" i="16" a="1"/>
  <c r="AA945" i="16"/>
  <c r="R942" i="16" a="1"/>
  <c r="AB944" i="16" l="1"/>
  <c r="R942" i="16"/>
  <c r="AB945" i="16" a="1"/>
  <c r="Q944" i="16"/>
  <c r="R943" i="16" a="1"/>
  <c r="AA946" i="16"/>
  <c r="AB945" i="16" l="1"/>
  <c r="R943" i="16"/>
  <c r="R944" i="16" a="1"/>
  <c r="AA947" i="16"/>
  <c r="AB946" i="16" a="1"/>
  <c r="Q945" i="16"/>
  <c r="AB946" i="16" l="1"/>
  <c r="R944" i="16"/>
  <c r="AB947" i="16" a="1"/>
  <c r="R945" i="16" a="1"/>
  <c r="AA948" i="16"/>
  <c r="Q946" i="16"/>
  <c r="AB947" i="16" l="1"/>
  <c r="R945" i="16"/>
  <c r="AB948" i="16" a="1"/>
  <c r="Q947" i="16"/>
  <c r="R946" i="16" a="1"/>
  <c r="AA949" i="16"/>
  <c r="AB948" i="16" l="1"/>
  <c r="R946" i="16"/>
  <c r="AB949" i="16" a="1"/>
  <c r="Q948" i="16"/>
  <c r="R947" i="16" a="1"/>
  <c r="AA950" i="16"/>
  <c r="AB949" i="16" l="1"/>
  <c r="R947" i="16"/>
  <c r="R948" i="16" a="1"/>
  <c r="Q949" i="16"/>
  <c r="AB950" i="16" a="1"/>
  <c r="AA951" i="16"/>
  <c r="AB950" i="16" l="1"/>
  <c r="R948" i="16"/>
  <c r="R949" i="16" a="1"/>
  <c r="AB951" i="16" a="1"/>
  <c r="Q950" i="16"/>
  <c r="AA952" i="16"/>
  <c r="AB951" i="16" l="1"/>
  <c r="R949" i="16"/>
  <c r="Q951" i="16"/>
  <c r="AA953" i="16"/>
  <c r="AB952" i="16" a="1"/>
  <c r="R950" i="16" a="1"/>
  <c r="AB952" i="16" l="1"/>
  <c r="R950" i="16"/>
  <c r="R951" i="16" a="1"/>
  <c r="AB953" i="16" a="1"/>
  <c r="AA954" i="16"/>
  <c r="Q952" i="16"/>
  <c r="AB953" i="16" l="1"/>
  <c r="R951" i="16"/>
  <c r="AA955" i="16"/>
  <c r="AB954" i="16" a="1"/>
  <c r="R952" i="16" a="1"/>
  <c r="Q953" i="16"/>
  <c r="AB954" i="16" l="1"/>
  <c r="R952" i="16"/>
  <c r="AA956" i="16"/>
  <c r="Q954" i="16"/>
  <c r="R953" i="16" a="1"/>
  <c r="AB955" i="16" a="1"/>
  <c r="AB955" i="16" l="1"/>
  <c r="R953" i="16"/>
  <c r="AB956" i="16" a="1"/>
  <c r="Q955" i="16"/>
  <c r="AA957" i="16"/>
  <c r="R954" i="16" a="1"/>
  <c r="AB956" i="16" l="1"/>
  <c r="R954" i="16"/>
  <c r="AA958" i="16"/>
  <c r="Q956" i="16"/>
  <c r="R955" i="16" a="1"/>
  <c r="AB957" i="16" a="1"/>
  <c r="AB957" i="16" l="1"/>
  <c r="R955" i="16"/>
  <c r="AB958" i="16" a="1"/>
  <c r="Q957" i="16"/>
  <c r="AA959" i="16"/>
  <c r="R956" i="16" a="1"/>
  <c r="AB958" i="16" l="1"/>
  <c r="R956" i="16"/>
  <c r="AB959" i="16" a="1"/>
  <c r="AA960" i="16"/>
  <c r="R957" i="16" a="1"/>
  <c r="Q958" i="16"/>
  <c r="AB959" i="16" l="1"/>
  <c r="R957" i="16"/>
  <c r="R958" i="16" a="1"/>
  <c r="Q959" i="16"/>
  <c r="AB960" i="16" a="1"/>
  <c r="AA961" i="16"/>
  <c r="AB960" i="16" l="1"/>
  <c r="R958" i="16"/>
  <c r="AA962" i="16"/>
  <c r="AB961" i="16" a="1"/>
  <c r="Q960" i="16"/>
  <c r="R959" i="16" a="1"/>
  <c r="AB961" i="16" l="1"/>
  <c r="R959" i="16"/>
  <c r="Q961" i="16"/>
  <c r="AB962" i="16" a="1"/>
  <c r="AA963" i="16"/>
  <c r="R960" i="16" a="1"/>
  <c r="AB962" i="16" l="1"/>
  <c r="R960" i="16"/>
  <c r="AA964" i="16"/>
  <c r="R961" i="16" a="1"/>
  <c r="Q962" i="16"/>
  <c r="AB963" i="16" a="1"/>
  <c r="AB963" i="16" l="1"/>
  <c r="R961" i="16"/>
  <c r="AB964" i="16" a="1"/>
  <c r="AA965" i="16"/>
  <c r="R962" i="16" a="1"/>
  <c r="Q963" i="16"/>
  <c r="AB964" i="16" l="1"/>
  <c r="R962" i="16"/>
  <c r="Q964" i="16"/>
  <c r="AA966" i="16"/>
  <c r="R963" i="16" a="1"/>
  <c r="AB965" i="16" a="1"/>
  <c r="AB965" i="16" l="1"/>
  <c r="R963" i="16"/>
  <c r="R964" i="16" a="1"/>
  <c r="AB966" i="16" a="1"/>
  <c r="AA967" i="16"/>
  <c r="Q965" i="16"/>
  <c r="AB966" i="16" l="1"/>
  <c r="R964" i="16"/>
  <c r="AB967" i="16" a="1"/>
  <c r="Q966" i="16"/>
  <c r="AA968" i="16"/>
  <c r="R965" i="16" a="1"/>
  <c r="AB967" i="16" l="1"/>
  <c r="R965" i="16"/>
  <c r="AA969" i="16"/>
  <c r="R966" i="16" a="1"/>
  <c r="Q967" i="16"/>
  <c r="AB968" i="16" a="1"/>
  <c r="AB968" i="16" l="1"/>
  <c r="R966" i="16"/>
  <c r="AA970" i="16"/>
  <c r="R967" i="16" a="1"/>
  <c r="AB969" i="16" a="1"/>
  <c r="Q968" i="16"/>
  <c r="AB969" i="16" l="1"/>
  <c r="R967" i="16"/>
  <c r="R968" i="16" a="1"/>
  <c r="Q969" i="16"/>
  <c r="AA971" i="16"/>
  <c r="AB970" i="16" a="1"/>
  <c r="AB970" i="16" l="1"/>
  <c r="R968" i="16"/>
  <c r="AB971" i="16" a="1"/>
  <c r="R969" i="16" a="1"/>
  <c r="Q970" i="16"/>
  <c r="AA972" i="16"/>
  <c r="AB971" i="16" l="1"/>
  <c r="R969" i="16"/>
  <c r="AB972" i="16" a="1"/>
  <c r="AA973" i="16"/>
  <c r="Q971" i="16"/>
  <c r="R970" i="16" a="1"/>
  <c r="AB972" i="16" l="1"/>
  <c r="R970" i="16"/>
  <c r="Q972" i="16"/>
  <c r="R971" i="16" a="1"/>
  <c r="AB973" i="16" a="1"/>
  <c r="AA974" i="16"/>
  <c r="AB973" i="16" l="1"/>
  <c r="R971" i="16"/>
  <c r="R972" i="16" a="1"/>
  <c r="AA975" i="16"/>
  <c r="Q973" i="16"/>
  <c r="AB974" i="16" a="1"/>
  <c r="AB974" i="16" l="1"/>
  <c r="R972" i="16"/>
  <c r="AB975" i="16" a="1"/>
  <c r="AA976" i="16"/>
  <c r="R973" i="16" a="1"/>
  <c r="Q974" i="16"/>
  <c r="AB975" i="16" l="1"/>
  <c r="R973" i="16"/>
  <c r="Q975" i="16"/>
  <c r="AB976" i="16" a="1"/>
  <c r="R974" i="16" a="1"/>
  <c r="AA977" i="16"/>
  <c r="AB976" i="16" l="1"/>
  <c r="R974" i="16"/>
  <c r="R975" i="16" a="1"/>
  <c r="Q976" i="16"/>
  <c r="AB977" i="16" a="1"/>
  <c r="AA978" i="16"/>
  <c r="AB977" i="16" l="1"/>
  <c r="R975" i="16"/>
  <c r="AA979" i="16"/>
  <c r="R976" i="16" a="1"/>
  <c r="AB978" i="16" a="1"/>
  <c r="Q977" i="16"/>
  <c r="AB978" i="16" l="1"/>
  <c r="R976" i="16"/>
  <c r="AB979" i="16" a="1"/>
  <c r="AA980" i="16"/>
  <c r="Q978" i="16"/>
  <c r="R977" i="16" a="1"/>
  <c r="AB979" i="16" l="1"/>
  <c r="R977" i="16"/>
  <c r="Q979" i="16"/>
  <c r="AB980" i="16" a="1"/>
  <c r="R978" i="16" a="1"/>
  <c r="AA981" i="16"/>
  <c r="AB980" i="16" l="1"/>
  <c r="R978" i="16"/>
  <c r="AA982" i="16"/>
  <c r="AB981" i="16" a="1"/>
  <c r="Q980" i="16"/>
  <c r="R979" i="16" a="1"/>
  <c r="AB981" i="16" l="1"/>
  <c r="R979" i="16"/>
  <c r="AA983" i="16"/>
  <c r="R980" i="16" a="1"/>
  <c r="AB982" i="16" a="1"/>
  <c r="Q981" i="16"/>
  <c r="AB982" i="16" l="1"/>
  <c r="R980" i="16"/>
  <c r="R981" i="16" a="1"/>
  <c r="AB983" i="16" a="1"/>
  <c r="Q982" i="16"/>
  <c r="AA984" i="16"/>
  <c r="AB983" i="16" l="1"/>
  <c r="R981" i="16"/>
  <c r="Q983" i="16"/>
  <c r="AB984" i="16" a="1"/>
  <c r="R982" i="16" a="1"/>
  <c r="AA985" i="16"/>
  <c r="AB984" i="16" l="1"/>
  <c r="R982" i="16"/>
  <c r="AA986" i="16"/>
  <c r="R983" i="16" a="1"/>
  <c r="AB985" i="16" a="1"/>
  <c r="Q984" i="16"/>
  <c r="AB985" i="16" l="1"/>
  <c r="R983" i="16"/>
  <c r="AA987" i="16"/>
  <c r="Q985" i="16"/>
  <c r="AB986" i="16" a="1"/>
  <c r="R984" i="16" a="1"/>
  <c r="AB986" i="16" l="1"/>
  <c r="R984" i="16"/>
  <c r="AA988" i="16"/>
  <c r="AB987" i="16" a="1"/>
  <c r="R985" i="16" a="1"/>
  <c r="Q986" i="16"/>
  <c r="AB987" i="16" l="1"/>
  <c r="R985" i="16"/>
  <c r="AA989" i="16"/>
  <c r="R986" i="16" a="1"/>
  <c r="Q987" i="16"/>
  <c r="AB988" i="16" a="1"/>
  <c r="AB988" i="16" l="1"/>
  <c r="R986" i="16"/>
  <c r="R987" i="16" a="1"/>
  <c r="Q988" i="16"/>
  <c r="AB989" i="16" a="1"/>
  <c r="AA990" i="16"/>
  <c r="AB989" i="16" l="1"/>
  <c r="R987" i="16"/>
  <c r="AB990" i="16" a="1"/>
  <c r="AA991" i="16"/>
  <c r="R988" i="16" a="1"/>
  <c r="Q989" i="16"/>
  <c r="AB990" i="16" l="1"/>
  <c r="R988" i="16"/>
  <c r="AA992" i="16"/>
  <c r="R989" i="16" a="1"/>
  <c r="AB991" i="16" a="1"/>
  <c r="Q990" i="16"/>
  <c r="AB991" i="16" l="1"/>
  <c r="R989" i="16"/>
  <c r="AA993" i="16"/>
  <c r="R990" i="16" a="1"/>
  <c r="Q991" i="16"/>
  <c r="AB992" i="16" a="1"/>
  <c r="AB992" i="16" l="1"/>
  <c r="R990" i="16"/>
  <c r="AA994" i="16"/>
  <c r="AB993" i="16" a="1"/>
  <c r="R991" i="16" a="1"/>
  <c r="Q992" i="16"/>
  <c r="AB993" i="16" l="1"/>
  <c r="R991" i="16"/>
  <c r="AB994" i="16" a="1"/>
  <c r="R992" i="16" a="1"/>
  <c r="Q993" i="16"/>
  <c r="AA995" i="16"/>
  <c r="AB994" i="16" l="1"/>
  <c r="R992" i="16"/>
  <c r="AB995" i="16" a="1"/>
  <c r="Q994" i="16"/>
  <c r="R993" i="16" a="1"/>
  <c r="AA996" i="16"/>
  <c r="AB995" i="16" l="1"/>
  <c r="R993" i="16"/>
  <c r="AA997" i="16"/>
  <c r="R994" i="16" a="1"/>
  <c r="Q995" i="16"/>
  <c r="AB996" i="16" a="1"/>
  <c r="AB996" i="16" l="1"/>
  <c r="R994" i="16"/>
  <c r="Q996" i="16"/>
  <c r="AB997" i="16" a="1"/>
  <c r="AA998" i="16"/>
  <c r="R995" i="16" a="1"/>
  <c r="AB997" i="16" l="1"/>
  <c r="R995" i="16"/>
  <c r="AB998" i="16" a="1"/>
  <c r="AA999" i="16"/>
  <c r="R996" i="16" a="1"/>
  <c r="Q997" i="16"/>
  <c r="AB998" i="16" l="1"/>
  <c r="R996" i="16"/>
  <c r="AA1000" i="16"/>
  <c r="AB999" i="16" a="1"/>
  <c r="Q998" i="16"/>
  <c r="R997" i="16" a="1"/>
  <c r="AB999" i="16" l="1"/>
  <c r="R997" i="16"/>
  <c r="Q999" i="16"/>
  <c r="AB1000" i="16" a="1"/>
  <c r="R998" i="16" a="1"/>
  <c r="AB1000" i="16" l="1"/>
  <c r="G2" i="16" s="1" a="1"/>
  <c r="G2" i="16" s="1"/>
  <c r="R998" i="16"/>
  <c r="R999" i="16" a="1"/>
  <c r="V3" i="16"/>
  <c r="Q1000" i="16"/>
  <c r="R999" i="16" l="1"/>
  <c r="V4" i="16"/>
  <c r="W3" i="16" a="1"/>
  <c r="R1000" i="16" a="1"/>
  <c r="W3" i="16" l="1"/>
  <c r="R1000" i="16"/>
  <c r="W4" i="16" a="1"/>
  <c r="V5" i="16"/>
  <c r="W4" i="16" l="1"/>
  <c r="E2" i="16" a="1"/>
  <c r="E2" i="16" s="1"/>
  <c r="W5" i="16" a="1"/>
  <c r="V6" i="16"/>
  <c r="W5" i="16" l="1"/>
  <c r="V7" i="16"/>
  <c r="W6" i="16" a="1"/>
  <c r="W6" i="16" l="1"/>
  <c r="W7" i="16" a="1"/>
  <c r="V8" i="16"/>
  <c r="W7" i="16" l="1"/>
  <c r="V9" i="16"/>
  <c r="W8" i="16" a="1"/>
  <c r="W8" i="16" l="1"/>
  <c r="V10" i="16"/>
  <c r="W9" i="16" a="1"/>
  <c r="W9" i="16" l="1"/>
  <c r="V11" i="16"/>
  <c r="W10" i="16" a="1"/>
  <c r="W10" i="16" l="1"/>
  <c r="W11" i="16" a="1"/>
  <c r="V12" i="16"/>
  <c r="W11" i="16" l="1"/>
  <c r="W12" i="16" a="1"/>
  <c r="V13" i="16"/>
  <c r="W12" i="16" l="1"/>
  <c r="V14" i="16"/>
  <c r="W13" i="16" a="1"/>
  <c r="W13" i="16" l="1"/>
  <c r="W14" i="16" a="1"/>
  <c r="V15" i="16"/>
  <c r="W14" i="16" l="1"/>
  <c r="V16" i="16"/>
  <c r="W15" i="16" a="1"/>
  <c r="W15" i="16" l="1"/>
  <c r="V17" i="16"/>
  <c r="W16" i="16" a="1"/>
  <c r="W16" i="16" l="1"/>
  <c r="W17" i="16" a="1"/>
  <c r="V18" i="16"/>
  <c r="W17" i="16" l="1"/>
  <c r="V19" i="16"/>
  <c r="W18" i="16" a="1"/>
  <c r="W18" i="16" l="1"/>
  <c r="V20" i="16"/>
  <c r="W19" i="16" a="1"/>
  <c r="W19" i="16" l="1"/>
  <c r="W20" i="16" a="1"/>
  <c r="V21" i="16"/>
  <c r="W20" i="16" l="1"/>
  <c r="W21" i="16" a="1"/>
  <c r="V22" i="16"/>
  <c r="W21" i="16" l="1"/>
  <c r="V23" i="16"/>
  <c r="W22" i="16" a="1"/>
  <c r="W22" i="16" l="1"/>
  <c r="V24" i="16"/>
  <c r="W23" i="16" a="1"/>
  <c r="W23" i="16" l="1"/>
  <c r="W24" i="16" a="1"/>
  <c r="V25" i="16"/>
  <c r="W24" i="16" l="1"/>
  <c r="W25" i="16" a="1"/>
  <c r="V26" i="16"/>
  <c r="W25" i="16" l="1"/>
  <c r="V27" i="16"/>
  <c r="W26" i="16" a="1"/>
  <c r="W26" i="16" l="1"/>
  <c r="W27" i="16" a="1"/>
  <c r="V28" i="16"/>
  <c r="W27" i="16" l="1"/>
  <c r="W28" i="16" a="1"/>
  <c r="V29" i="16"/>
  <c r="W28" i="16" l="1"/>
  <c r="W29" i="16" a="1"/>
  <c r="V30" i="16"/>
  <c r="W29" i="16" l="1"/>
  <c r="V31" i="16"/>
  <c r="W30" i="16" a="1"/>
  <c r="W30" i="16" l="1"/>
  <c r="W31" i="16" a="1"/>
  <c r="V32" i="16"/>
  <c r="W31" i="16" l="1"/>
  <c r="V33" i="16"/>
  <c r="W32" i="16" a="1"/>
  <c r="W32" i="16" l="1"/>
  <c r="W33" i="16" a="1"/>
  <c r="V34" i="16"/>
  <c r="W33" i="16" l="1"/>
  <c r="W34" i="16" a="1"/>
  <c r="V35" i="16"/>
  <c r="W34" i="16" l="1"/>
  <c r="W35" i="16" a="1"/>
  <c r="V36" i="16"/>
  <c r="W35" i="16" l="1"/>
  <c r="V37" i="16"/>
  <c r="W36" i="16" a="1"/>
  <c r="W36" i="16" l="1"/>
  <c r="V38" i="16"/>
  <c r="W37" i="16" a="1"/>
  <c r="W37" i="16" l="1"/>
  <c r="W38" i="16" a="1"/>
  <c r="V39" i="16"/>
  <c r="W38" i="16" l="1"/>
  <c r="W39" i="16" a="1"/>
  <c r="V40" i="16"/>
  <c r="W39" i="16" l="1"/>
  <c r="W40" i="16" a="1"/>
  <c r="V41" i="16"/>
  <c r="W40" i="16" l="1"/>
  <c r="V42" i="16"/>
  <c r="W41" i="16" a="1"/>
  <c r="W41" i="16" l="1"/>
  <c r="W42" i="16" a="1"/>
  <c r="V43" i="16"/>
  <c r="W42" i="16" l="1"/>
  <c r="W43" i="16" a="1"/>
  <c r="V44" i="16"/>
  <c r="W43" i="16" l="1"/>
  <c r="W44" i="16" a="1"/>
  <c r="V45" i="16"/>
  <c r="W44" i="16" l="1"/>
  <c r="V46" i="16"/>
  <c r="W45" i="16" a="1"/>
  <c r="W45" i="16" l="1"/>
  <c r="W46" i="16" a="1"/>
  <c r="V47" i="16"/>
  <c r="W46" i="16" l="1"/>
  <c r="V48" i="16"/>
  <c r="W47" i="16" a="1"/>
  <c r="W47" i="16" l="1"/>
  <c r="V49" i="16"/>
  <c r="W48" i="16" a="1"/>
  <c r="W48" i="16" l="1"/>
  <c r="V50" i="16"/>
  <c r="W49" i="16" a="1"/>
  <c r="W49" i="16" l="1"/>
  <c r="V51" i="16"/>
  <c r="W50" i="16" a="1"/>
  <c r="W50" i="16" l="1"/>
  <c r="V52" i="16"/>
  <c r="W51" i="16" a="1"/>
  <c r="W51" i="16" l="1"/>
  <c r="V53" i="16"/>
  <c r="W52" i="16" a="1"/>
  <c r="W52" i="16" l="1"/>
  <c r="V54" i="16"/>
  <c r="W53" i="16" a="1"/>
  <c r="W53" i="16" l="1"/>
  <c r="V55" i="16"/>
  <c r="W54" i="16" a="1"/>
  <c r="W54" i="16" l="1"/>
  <c r="W55" i="16" a="1"/>
  <c r="V56" i="16"/>
  <c r="W55" i="16" l="1"/>
  <c r="W56" i="16" a="1"/>
  <c r="V57" i="16"/>
  <c r="W56" i="16" l="1"/>
  <c r="W57" i="16" a="1"/>
  <c r="V58" i="16"/>
  <c r="W57" i="16" l="1"/>
  <c r="W58" i="16" a="1"/>
  <c r="V59" i="16"/>
  <c r="W58" i="16" l="1"/>
  <c r="W59" i="16" a="1"/>
  <c r="V60" i="16"/>
  <c r="W59" i="16" l="1"/>
  <c r="V61" i="16"/>
  <c r="W60" i="16" a="1"/>
  <c r="W60" i="16" l="1"/>
  <c r="W61" i="16" a="1"/>
  <c r="V62" i="16"/>
  <c r="W61" i="16" l="1"/>
  <c r="W62" i="16" a="1"/>
  <c r="V63" i="16"/>
  <c r="W62" i="16" l="1"/>
  <c r="W63" i="16" a="1"/>
  <c r="V64" i="16"/>
  <c r="W63" i="16" l="1"/>
  <c r="W64" i="16" a="1"/>
  <c r="V65" i="16"/>
  <c r="W64" i="16" l="1"/>
  <c r="W65" i="16" a="1"/>
  <c r="V66" i="16"/>
  <c r="W65" i="16" l="1"/>
  <c r="V67" i="16"/>
  <c r="W66" i="16" a="1"/>
  <c r="W66" i="16" l="1"/>
  <c r="W67" i="16" a="1"/>
  <c r="V68" i="16"/>
  <c r="W67" i="16" l="1"/>
  <c r="W68" i="16" a="1"/>
  <c r="V69" i="16"/>
  <c r="W68" i="16" l="1"/>
  <c r="W69" i="16" a="1"/>
  <c r="V70" i="16"/>
  <c r="W69" i="16" l="1"/>
  <c r="W70" i="16" a="1"/>
  <c r="V71" i="16"/>
  <c r="W70" i="16" l="1"/>
  <c r="W71" i="16" a="1"/>
  <c r="V72" i="16"/>
  <c r="W71" i="16" l="1"/>
  <c r="W72" i="16" a="1"/>
  <c r="V73" i="16"/>
  <c r="W72" i="16" l="1"/>
  <c r="W73" i="16" a="1"/>
  <c r="V74" i="16"/>
  <c r="W73" i="16" l="1"/>
  <c r="W74" i="16" a="1"/>
  <c r="V75" i="16"/>
  <c r="W74" i="16" l="1"/>
  <c r="V76" i="16"/>
  <c r="W75" i="16" a="1"/>
  <c r="W75" i="16" l="1"/>
  <c r="V77" i="16"/>
  <c r="W76" i="16" a="1"/>
  <c r="W76" i="16" l="1"/>
  <c r="W77" i="16" a="1"/>
  <c r="V78" i="16"/>
  <c r="W77" i="16" l="1"/>
  <c r="V79" i="16"/>
  <c r="W78" i="16" a="1"/>
  <c r="W78" i="16" l="1"/>
  <c r="V80" i="16"/>
  <c r="W79" i="16" a="1"/>
  <c r="W79" i="16" l="1"/>
  <c r="W80" i="16" a="1"/>
  <c r="V81" i="16"/>
  <c r="W80" i="16" l="1"/>
  <c r="V82" i="16"/>
  <c r="W81" i="16" a="1"/>
  <c r="W81" i="16" l="1"/>
  <c r="W82" i="16" a="1"/>
  <c r="V83" i="16"/>
  <c r="W82" i="16" l="1"/>
  <c r="V84" i="16"/>
  <c r="W83" i="16" a="1"/>
  <c r="W83" i="16" l="1"/>
  <c r="W84" i="16" a="1"/>
  <c r="V85" i="16"/>
  <c r="W84" i="16" l="1"/>
  <c r="V86" i="16"/>
  <c r="W85" i="16" a="1"/>
  <c r="W85" i="16" l="1"/>
  <c r="W86" i="16" a="1"/>
  <c r="V87" i="16"/>
  <c r="W86" i="16" l="1"/>
  <c r="W87" i="16" a="1"/>
  <c r="V88" i="16"/>
  <c r="W87" i="16" l="1"/>
  <c r="W88" i="16" a="1"/>
  <c r="V89" i="16"/>
  <c r="W88" i="16" l="1"/>
  <c r="V90" i="16"/>
  <c r="W89" i="16" a="1"/>
  <c r="W89" i="16" l="1"/>
  <c r="W90" i="16" a="1"/>
  <c r="V91" i="16"/>
  <c r="W90" i="16" l="1"/>
  <c r="W91" i="16" a="1"/>
  <c r="V92" i="16"/>
  <c r="W91" i="16" l="1"/>
  <c r="V93" i="16"/>
  <c r="W92" i="16" a="1"/>
  <c r="W92" i="16" l="1"/>
  <c r="W93" i="16" a="1"/>
  <c r="V94" i="16"/>
  <c r="W93" i="16" l="1"/>
  <c r="V95" i="16"/>
  <c r="W94" i="16" a="1"/>
  <c r="W94" i="16" l="1"/>
  <c r="W95" i="16" a="1"/>
  <c r="V96" i="16"/>
  <c r="W95" i="16" l="1"/>
  <c r="W96" i="16" a="1"/>
  <c r="V97" i="16"/>
  <c r="W96" i="16" l="1"/>
  <c r="W97" i="16" a="1"/>
  <c r="V98" i="16"/>
  <c r="W97" i="16" l="1"/>
  <c r="W98" i="16" a="1"/>
  <c r="V99" i="16"/>
  <c r="W98" i="16" l="1"/>
  <c r="W99" i="16" a="1"/>
  <c r="V100" i="16"/>
  <c r="W99" i="16" l="1"/>
  <c r="V101" i="16"/>
  <c r="W100" i="16" a="1"/>
  <c r="W100" i="16" l="1"/>
  <c r="W101" i="16" a="1"/>
  <c r="V102" i="16"/>
  <c r="W101" i="16" l="1"/>
  <c r="V103" i="16"/>
  <c r="W102" i="16" a="1"/>
  <c r="W102" i="16" l="1"/>
  <c r="V104" i="16"/>
  <c r="W103" i="16" a="1"/>
  <c r="W103" i="16" l="1"/>
  <c r="V105" i="16"/>
  <c r="W104" i="16" a="1"/>
  <c r="W104" i="16" l="1"/>
  <c r="V106" i="16"/>
  <c r="W105" i="16" a="1"/>
  <c r="W105" i="16" l="1"/>
  <c r="V107" i="16"/>
  <c r="W106" i="16" a="1"/>
  <c r="W106" i="16" l="1"/>
  <c r="V108" i="16"/>
  <c r="W107" i="16" a="1"/>
  <c r="W107" i="16" l="1"/>
  <c r="W108" i="16" a="1"/>
  <c r="V109" i="16"/>
  <c r="W108" i="16" l="1"/>
  <c r="W109" i="16" a="1"/>
  <c r="V110" i="16"/>
  <c r="W109" i="16" l="1"/>
  <c r="W110" i="16" a="1"/>
  <c r="V111" i="16"/>
  <c r="W110" i="16" l="1"/>
  <c r="W111" i="16" a="1"/>
  <c r="V112" i="16"/>
  <c r="W111" i="16" l="1"/>
  <c r="V113" i="16"/>
  <c r="W112" i="16" a="1"/>
  <c r="W112" i="16" l="1"/>
  <c r="W113" i="16" a="1"/>
  <c r="V114" i="16"/>
  <c r="W113" i="16" l="1"/>
  <c r="W114" i="16" a="1"/>
  <c r="V115" i="16"/>
  <c r="W114" i="16" l="1"/>
  <c r="V116" i="16"/>
  <c r="W115" i="16" a="1"/>
  <c r="W115" i="16" l="1"/>
  <c r="W116" i="16" a="1"/>
  <c r="V117" i="16"/>
  <c r="W116" i="16" l="1"/>
  <c r="W117" i="16" a="1"/>
  <c r="V118" i="16"/>
  <c r="W117" i="16" l="1"/>
  <c r="W118" i="16" a="1"/>
  <c r="V119" i="16"/>
  <c r="W118" i="16" l="1"/>
  <c r="W119" i="16" a="1"/>
  <c r="V120" i="16"/>
  <c r="W119" i="16" l="1"/>
  <c r="W120" i="16" a="1"/>
  <c r="V121" i="16"/>
  <c r="W120" i="16" l="1"/>
  <c r="V122" i="16"/>
  <c r="W121" i="16" a="1"/>
  <c r="W121" i="16" l="1"/>
  <c r="W122" i="16" a="1"/>
  <c r="V123" i="16"/>
  <c r="W122" i="16" l="1"/>
  <c r="W123" i="16" a="1"/>
  <c r="V124" i="16"/>
  <c r="W123" i="16" l="1"/>
  <c r="V125" i="16"/>
  <c r="W124" i="16" a="1"/>
  <c r="W124" i="16" l="1"/>
  <c r="V126" i="16"/>
  <c r="W125" i="16" a="1"/>
  <c r="W125" i="16" l="1"/>
  <c r="W126" i="16" a="1"/>
  <c r="V127" i="16"/>
  <c r="W126" i="16" l="1"/>
  <c r="W127" i="16" a="1"/>
  <c r="V128" i="16"/>
  <c r="W127" i="16" l="1"/>
  <c r="W128" i="16" a="1"/>
  <c r="V129" i="16"/>
  <c r="W128" i="16" l="1"/>
  <c r="W129" i="16" a="1"/>
  <c r="V130" i="16"/>
  <c r="W129" i="16" l="1"/>
  <c r="V131" i="16"/>
  <c r="W130" i="16" a="1"/>
  <c r="W130" i="16" l="1"/>
  <c r="V132" i="16"/>
  <c r="W131" i="16" a="1"/>
  <c r="W131" i="16" l="1"/>
  <c r="V133" i="16"/>
  <c r="W132" i="16" a="1"/>
  <c r="W132" i="16" l="1"/>
  <c r="V134" i="16"/>
  <c r="W133" i="16" a="1"/>
  <c r="W133" i="16" l="1"/>
  <c r="W134" i="16" a="1"/>
  <c r="V135" i="16"/>
  <c r="W134" i="16" l="1"/>
  <c r="W135" i="16" a="1"/>
  <c r="V136" i="16"/>
  <c r="W135" i="16" l="1"/>
  <c r="V137" i="16"/>
  <c r="W136" i="16" a="1"/>
  <c r="W136" i="16" l="1"/>
  <c r="W137" i="16" a="1"/>
  <c r="V138" i="16"/>
  <c r="W137" i="16" l="1"/>
  <c r="V139" i="16"/>
  <c r="W138" i="16" a="1"/>
  <c r="W138" i="16" l="1"/>
  <c r="W139" i="16" a="1"/>
  <c r="V140" i="16"/>
  <c r="W139" i="16" l="1"/>
  <c r="W140" i="16" a="1"/>
  <c r="V141" i="16"/>
  <c r="W140" i="16" l="1"/>
  <c r="W141" i="16" a="1"/>
  <c r="V142" i="16"/>
  <c r="W141" i="16" l="1"/>
  <c r="V143" i="16"/>
  <c r="W142" i="16" a="1"/>
  <c r="W142" i="16" l="1"/>
  <c r="V144" i="16"/>
  <c r="W143" i="16" a="1"/>
  <c r="W143" i="16" l="1"/>
  <c r="W144" i="16" a="1"/>
  <c r="V145" i="16"/>
  <c r="W144" i="16" l="1"/>
  <c r="W145" i="16" a="1"/>
  <c r="V146" i="16"/>
  <c r="W145" i="16" l="1"/>
  <c r="W146" i="16" a="1"/>
  <c r="V147" i="16"/>
  <c r="W146" i="16" l="1"/>
  <c r="W147" i="16" a="1"/>
  <c r="V148" i="16"/>
  <c r="W147" i="16" l="1"/>
  <c r="W148" i="16" a="1"/>
  <c r="V149" i="16"/>
  <c r="W148" i="16" l="1"/>
  <c r="W149" i="16" a="1"/>
  <c r="V150" i="16"/>
  <c r="W149" i="16" l="1"/>
  <c r="W150" i="16" a="1"/>
  <c r="V151" i="16"/>
  <c r="W150" i="16" l="1"/>
  <c r="W151" i="16" a="1"/>
  <c r="V152" i="16"/>
  <c r="W151" i="16" l="1"/>
  <c r="W152" i="16" a="1"/>
  <c r="V153" i="16"/>
  <c r="W152" i="16" l="1"/>
  <c r="W153" i="16" a="1"/>
  <c r="V154" i="16"/>
  <c r="W153" i="16" l="1"/>
  <c r="W154" i="16" a="1"/>
  <c r="V155" i="16"/>
  <c r="W154" i="16" l="1"/>
  <c r="W155" i="16" a="1"/>
  <c r="V156" i="16"/>
  <c r="W155" i="16" l="1"/>
  <c r="W156" i="16" a="1"/>
  <c r="V157" i="16"/>
  <c r="W156" i="16" l="1"/>
  <c r="V158" i="16"/>
  <c r="W157" i="16" a="1"/>
  <c r="W157" i="16" l="1"/>
  <c r="V159" i="16"/>
  <c r="W158" i="16" a="1"/>
  <c r="W158" i="16" l="1"/>
  <c r="V160" i="16"/>
  <c r="W159" i="16" a="1"/>
  <c r="W159" i="16" l="1"/>
  <c r="V161" i="16"/>
  <c r="W160" i="16" a="1"/>
  <c r="W160" i="16" l="1"/>
  <c r="V162" i="16"/>
  <c r="W161" i="16" a="1"/>
  <c r="W161" i="16" l="1"/>
  <c r="W162" i="16" a="1"/>
  <c r="V163" i="16"/>
  <c r="W162" i="16" l="1"/>
  <c r="W163" i="16" a="1"/>
  <c r="V164" i="16"/>
  <c r="W163" i="16" l="1"/>
  <c r="W164" i="16" a="1"/>
  <c r="V165" i="16"/>
  <c r="W164" i="16" l="1"/>
  <c r="W165" i="16" a="1"/>
  <c r="V166" i="16"/>
  <c r="W165" i="16" l="1"/>
  <c r="V167" i="16"/>
  <c r="W166" i="16" a="1"/>
  <c r="W166" i="16" l="1"/>
  <c r="V168" i="16"/>
  <c r="W167" i="16" a="1"/>
  <c r="W167" i="16" l="1"/>
  <c r="V169" i="16"/>
  <c r="W168" i="16" a="1"/>
  <c r="W168" i="16" l="1"/>
  <c r="V170" i="16"/>
  <c r="W169" i="16" a="1"/>
  <c r="W169" i="16" l="1"/>
  <c r="V171" i="16"/>
  <c r="W170" i="16" a="1"/>
  <c r="W170" i="16" l="1"/>
  <c r="W171" i="16" a="1"/>
  <c r="V172" i="16"/>
  <c r="W171" i="16" l="1"/>
  <c r="W172" i="16" a="1"/>
  <c r="V173" i="16"/>
  <c r="W172" i="16" l="1"/>
  <c r="V174" i="16"/>
  <c r="W173" i="16" a="1"/>
  <c r="W173" i="16" l="1"/>
  <c r="W174" i="16" a="1"/>
  <c r="V175" i="16"/>
  <c r="W174" i="16" l="1"/>
  <c r="V176" i="16"/>
  <c r="W175" i="16" a="1"/>
  <c r="W175" i="16" l="1"/>
  <c r="V177" i="16"/>
  <c r="W176" i="16" a="1"/>
  <c r="W176" i="16" l="1"/>
  <c r="V178" i="16"/>
  <c r="W177" i="16" a="1"/>
  <c r="W177" i="16" l="1"/>
  <c r="V179" i="16"/>
  <c r="W178" i="16" a="1"/>
  <c r="W178" i="16" l="1"/>
  <c r="V180" i="16"/>
  <c r="W179" i="16" a="1"/>
  <c r="W179" i="16" l="1"/>
  <c r="W180" i="16" a="1"/>
  <c r="V181" i="16"/>
  <c r="W180" i="16" l="1"/>
  <c r="W181" i="16" a="1"/>
  <c r="V182" i="16"/>
  <c r="W181" i="16" l="1"/>
  <c r="W182" i="16" a="1"/>
  <c r="V183" i="16"/>
  <c r="W182" i="16" l="1"/>
  <c r="V184" i="16"/>
  <c r="W183" i="16" a="1"/>
  <c r="W183" i="16" l="1"/>
  <c r="W184" i="16" a="1"/>
  <c r="V185" i="16"/>
  <c r="W184" i="16" l="1"/>
  <c r="V186" i="16"/>
  <c r="W185" i="16" a="1"/>
  <c r="W185" i="16" l="1"/>
  <c r="V187" i="16"/>
  <c r="W186" i="16" a="1"/>
  <c r="W186" i="16" l="1"/>
  <c r="W187" i="16" a="1"/>
  <c r="V188" i="16"/>
  <c r="W187" i="16" l="1"/>
  <c r="W188" i="16" a="1"/>
  <c r="V189" i="16"/>
  <c r="W188" i="16" l="1"/>
  <c r="W189" i="16" a="1"/>
  <c r="V190" i="16"/>
  <c r="W189" i="16" l="1"/>
  <c r="V191" i="16"/>
  <c r="W190" i="16" a="1"/>
  <c r="W190" i="16" l="1"/>
  <c r="W191" i="16" a="1"/>
  <c r="V192" i="16"/>
  <c r="W191" i="16" l="1"/>
  <c r="V193" i="16"/>
  <c r="W192" i="16" a="1"/>
  <c r="W192" i="16" l="1"/>
  <c r="V194" i="16"/>
  <c r="W193" i="16" a="1"/>
  <c r="W193" i="16" l="1"/>
  <c r="W194" i="16" a="1"/>
  <c r="V195" i="16"/>
  <c r="W194" i="16" l="1"/>
  <c r="W195" i="16" a="1"/>
  <c r="V196" i="16"/>
  <c r="W195" i="16" l="1"/>
  <c r="W196" i="16" a="1"/>
  <c r="V197" i="16"/>
  <c r="W196" i="16" l="1"/>
  <c r="V198" i="16"/>
  <c r="W197" i="16" a="1"/>
  <c r="W197" i="16" l="1"/>
  <c r="W198" i="16" a="1"/>
  <c r="V199" i="16"/>
  <c r="W198" i="16" l="1"/>
  <c r="W199" i="16" a="1"/>
  <c r="V200" i="16"/>
  <c r="W199" i="16" l="1"/>
  <c r="W200" i="16" a="1"/>
  <c r="V201" i="16"/>
  <c r="W200" i="16" l="1"/>
  <c r="V202" i="16"/>
  <c r="W201" i="16" a="1"/>
  <c r="W201" i="16" l="1"/>
  <c r="W202" i="16" a="1"/>
  <c r="V203" i="16"/>
  <c r="W202" i="16" l="1"/>
  <c r="V204" i="16"/>
  <c r="W203" i="16" a="1"/>
  <c r="W203" i="16" l="1"/>
  <c r="V205" i="16"/>
  <c r="W204" i="16" a="1"/>
  <c r="W204" i="16" l="1"/>
  <c r="V206" i="16"/>
  <c r="W205" i="16" a="1"/>
  <c r="W205" i="16" l="1"/>
  <c r="W206" i="16" a="1"/>
  <c r="V207" i="16"/>
  <c r="W206" i="16" l="1"/>
  <c r="W207" i="16" a="1"/>
  <c r="V208" i="16"/>
  <c r="W207" i="16" l="1"/>
  <c r="W208" i="16" a="1"/>
  <c r="V209" i="16"/>
  <c r="W208" i="16" l="1"/>
  <c r="W209" i="16" a="1"/>
  <c r="V210" i="16"/>
  <c r="W209" i="16" l="1"/>
  <c r="V211" i="16"/>
  <c r="W210" i="16" a="1"/>
  <c r="W210" i="16" l="1"/>
  <c r="V212" i="16"/>
  <c r="W211" i="16" a="1"/>
  <c r="W211" i="16" l="1"/>
  <c r="W212" i="16" a="1"/>
  <c r="V213" i="16"/>
  <c r="W212" i="16" l="1"/>
  <c r="W213" i="16" a="1"/>
  <c r="V214" i="16"/>
  <c r="W213" i="16" l="1"/>
  <c r="V215" i="16"/>
  <c r="W214" i="16" a="1"/>
  <c r="W214" i="16" l="1"/>
  <c r="V216" i="16"/>
  <c r="W215" i="16" a="1"/>
  <c r="W215" i="16" l="1"/>
  <c r="W216" i="16" a="1"/>
  <c r="V217" i="16"/>
  <c r="W216" i="16" l="1"/>
  <c r="W217" i="16" a="1"/>
  <c r="V218" i="16"/>
  <c r="W217" i="16" l="1"/>
  <c r="V219" i="16"/>
  <c r="W218" i="16" a="1"/>
  <c r="W218" i="16" l="1"/>
  <c r="W219" i="16" a="1"/>
  <c r="V220" i="16"/>
  <c r="W219" i="16" l="1"/>
  <c r="W220" i="16" a="1"/>
  <c r="V221" i="16"/>
  <c r="W220" i="16" l="1"/>
  <c r="W221" i="16" a="1"/>
  <c r="V222" i="16"/>
  <c r="W221" i="16" l="1"/>
  <c r="V223" i="16"/>
  <c r="W222" i="16" a="1"/>
  <c r="W222" i="16" l="1"/>
  <c r="W223" i="16" a="1"/>
  <c r="V224" i="16"/>
  <c r="W223" i="16" l="1"/>
  <c r="W224" i="16" a="1"/>
  <c r="V225" i="16"/>
  <c r="W224" i="16" l="1"/>
  <c r="V226" i="16"/>
  <c r="W225" i="16" a="1"/>
  <c r="W225" i="16" l="1"/>
  <c r="W226" i="16" a="1"/>
  <c r="V227" i="16"/>
  <c r="W226" i="16" l="1"/>
  <c r="V228" i="16"/>
  <c r="W227" i="16" a="1"/>
  <c r="W227" i="16" l="1"/>
  <c r="V229" i="16"/>
  <c r="W228" i="16" a="1"/>
  <c r="W228" i="16" l="1"/>
  <c r="W229" i="16" a="1"/>
  <c r="V230" i="16"/>
  <c r="W229" i="16" l="1"/>
  <c r="W230" i="16" a="1"/>
  <c r="V231" i="16"/>
  <c r="W230" i="16" l="1"/>
  <c r="V232" i="16"/>
  <c r="W231" i="16" a="1"/>
  <c r="W231" i="16" l="1"/>
  <c r="V233" i="16"/>
  <c r="W232" i="16" a="1"/>
  <c r="W232" i="16" l="1"/>
  <c r="V234" i="16"/>
  <c r="W233" i="16" a="1"/>
  <c r="W233" i="16" l="1"/>
  <c r="V235" i="16"/>
  <c r="W234" i="16" a="1"/>
  <c r="W234" i="16" l="1"/>
  <c r="V236" i="16"/>
  <c r="W235" i="16" a="1"/>
  <c r="W235" i="16" l="1"/>
  <c r="W236" i="16" a="1"/>
  <c r="V237" i="16"/>
  <c r="W236" i="16" l="1"/>
  <c r="V238" i="16"/>
  <c r="W237" i="16" a="1"/>
  <c r="W237" i="16" l="1"/>
  <c r="W238" i="16" a="1"/>
  <c r="V239" i="16"/>
  <c r="W238" i="16" l="1"/>
  <c r="W239" i="16" a="1"/>
  <c r="V240" i="16"/>
  <c r="W239" i="16" l="1"/>
  <c r="W240" i="16" a="1"/>
  <c r="V241" i="16"/>
  <c r="W240" i="16" l="1"/>
  <c r="W241" i="16" a="1"/>
  <c r="V242" i="16"/>
  <c r="W241" i="16" l="1"/>
  <c r="V243" i="16"/>
  <c r="W242" i="16" a="1"/>
  <c r="W242" i="16" l="1"/>
  <c r="W243" i="16" a="1"/>
  <c r="V244" i="16"/>
  <c r="W243" i="16" l="1"/>
  <c r="W244" i="16" a="1"/>
  <c r="V245" i="16"/>
  <c r="W244" i="16" l="1"/>
  <c r="W245" i="16" a="1"/>
  <c r="V246" i="16"/>
  <c r="W245" i="16" l="1"/>
  <c r="W246" i="16" a="1"/>
  <c r="V247" i="16"/>
  <c r="W246" i="16" l="1"/>
  <c r="V248" i="16"/>
  <c r="W247" i="16" a="1"/>
  <c r="W247" i="16" l="1"/>
  <c r="W248" i="16" a="1"/>
  <c r="V249" i="16"/>
  <c r="W248" i="16" l="1"/>
  <c r="W249" i="16" a="1"/>
  <c r="V250" i="16"/>
  <c r="W249" i="16" l="1"/>
  <c r="W250" i="16" a="1"/>
  <c r="V251" i="16"/>
  <c r="W250" i="16" l="1"/>
  <c r="V252" i="16"/>
  <c r="W251" i="16" a="1"/>
  <c r="W251" i="16" l="1"/>
  <c r="W252" i="16" a="1"/>
  <c r="V253" i="16"/>
  <c r="W252" i="16" l="1"/>
  <c r="W253" i="16" a="1"/>
  <c r="V254" i="16"/>
  <c r="W253" i="16" l="1"/>
  <c r="W254" i="16" a="1"/>
  <c r="V255" i="16"/>
  <c r="W254" i="16" l="1"/>
  <c r="W255" i="16" a="1"/>
  <c r="V256" i="16"/>
  <c r="W255" i="16" l="1"/>
  <c r="W256" i="16" a="1"/>
  <c r="V257" i="16"/>
  <c r="W256" i="16" l="1"/>
  <c r="W257" i="16" a="1"/>
  <c r="V258" i="16"/>
  <c r="W257" i="16" l="1"/>
  <c r="W258" i="16" a="1"/>
  <c r="V259" i="16"/>
  <c r="W258" i="16" l="1"/>
  <c r="V260" i="16"/>
  <c r="W259" i="16" a="1"/>
  <c r="W259" i="16" l="1"/>
  <c r="W260" i="16" a="1"/>
  <c r="V261" i="16"/>
  <c r="W260" i="16" l="1"/>
  <c r="W261" i="16" a="1"/>
  <c r="V262" i="16"/>
  <c r="W261" i="16" l="1"/>
  <c r="W262" i="16" a="1"/>
  <c r="V263" i="16"/>
  <c r="W262" i="16" l="1"/>
  <c r="W263" i="16" a="1"/>
  <c r="V264" i="16"/>
  <c r="W263" i="16" l="1"/>
  <c r="V265" i="16"/>
  <c r="W264" i="16" a="1"/>
  <c r="W264" i="16" l="1"/>
  <c r="V266" i="16"/>
  <c r="W265" i="16" a="1"/>
  <c r="W265" i="16" l="1"/>
  <c r="W266" i="16" a="1"/>
  <c r="V267" i="16"/>
  <c r="W266" i="16" l="1"/>
  <c r="W267" i="16" a="1"/>
  <c r="V268" i="16"/>
  <c r="W267" i="16" l="1"/>
  <c r="W268" i="16" a="1"/>
  <c r="V269" i="16"/>
  <c r="W268" i="16" l="1"/>
  <c r="V270" i="16"/>
  <c r="W269" i="16" a="1"/>
  <c r="W269" i="16" l="1"/>
  <c r="V271" i="16"/>
  <c r="W270" i="16" a="1"/>
  <c r="W270" i="16" l="1"/>
  <c r="W271" i="16" a="1"/>
  <c r="V272" i="16"/>
  <c r="W271" i="16" l="1"/>
  <c r="W272" i="16" a="1"/>
  <c r="V273" i="16"/>
  <c r="W272" i="16" l="1"/>
  <c r="W273" i="16" a="1"/>
  <c r="V274" i="16"/>
  <c r="W273" i="16" l="1"/>
  <c r="W274" i="16" a="1"/>
  <c r="V275" i="16"/>
  <c r="W274" i="16" l="1"/>
  <c r="W275" i="16" a="1"/>
  <c r="V276" i="16"/>
  <c r="W275" i="16" l="1"/>
  <c r="V277" i="16"/>
  <c r="W276" i="16" a="1"/>
  <c r="W276" i="16" l="1"/>
  <c r="V278" i="16"/>
  <c r="W277" i="16" a="1"/>
  <c r="W277" i="16" l="1"/>
  <c r="W278" i="16" a="1"/>
  <c r="V279" i="16"/>
  <c r="W278" i="16" l="1"/>
  <c r="W279" i="16" a="1"/>
  <c r="V280" i="16"/>
  <c r="W279" i="16" l="1"/>
  <c r="W280" i="16" a="1"/>
  <c r="V281" i="16"/>
  <c r="W280" i="16" l="1"/>
  <c r="W281" i="16" a="1"/>
  <c r="V282" i="16"/>
  <c r="W281" i="16" l="1"/>
  <c r="V283" i="16"/>
  <c r="W282" i="16" a="1"/>
  <c r="W282" i="16" l="1"/>
  <c r="V284" i="16"/>
  <c r="W283" i="16" a="1"/>
  <c r="W283" i="16" l="1"/>
  <c r="W284" i="16" a="1"/>
  <c r="V285" i="16"/>
  <c r="W284" i="16" l="1"/>
  <c r="W285" i="16" a="1"/>
  <c r="V286" i="16"/>
  <c r="W285" i="16" l="1"/>
  <c r="W286" i="16" a="1"/>
  <c r="V287" i="16"/>
  <c r="W286" i="16" l="1"/>
  <c r="W287" i="16" a="1"/>
  <c r="V288" i="16"/>
  <c r="W287" i="16" l="1"/>
  <c r="W288" i="16" a="1"/>
  <c r="V289" i="16"/>
  <c r="W288" i="16" l="1"/>
  <c r="V290" i="16"/>
  <c r="W289" i="16" a="1"/>
  <c r="W289" i="16" l="1"/>
  <c r="W290" i="16" a="1"/>
  <c r="V291" i="16"/>
  <c r="W290" i="16" l="1"/>
  <c r="V292" i="16"/>
  <c r="W291" i="16" a="1"/>
  <c r="W291" i="16" l="1"/>
  <c r="V293" i="16"/>
  <c r="W292" i="16" a="1"/>
  <c r="W292" i="16" l="1"/>
  <c r="W293" i="16" a="1"/>
  <c r="V294" i="16"/>
  <c r="W293" i="16" l="1"/>
  <c r="V295" i="16"/>
  <c r="W294" i="16" a="1"/>
  <c r="W294" i="16" l="1"/>
  <c r="W295" i="16" a="1"/>
  <c r="V296" i="16"/>
  <c r="W295" i="16" l="1"/>
  <c r="W296" i="16" a="1"/>
  <c r="V297" i="16"/>
  <c r="W296" i="16" l="1"/>
  <c r="W297" i="16" a="1"/>
  <c r="V298" i="16"/>
  <c r="W297" i="16" l="1"/>
  <c r="W298" i="16" a="1"/>
  <c r="V299" i="16"/>
  <c r="W298" i="16" l="1"/>
  <c r="W299" i="16" a="1"/>
  <c r="V300" i="16"/>
  <c r="W299" i="16" l="1"/>
  <c r="V301" i="16"/>
  <c r="W300" i="16" a="1"/>
  <c r="W300" i="16" l="1"/>
  <c r="W301" i="16" a="1"/>
  <c r="V302" i="16"/>
  <c r="W301" i="16" l="1"/>
  <c r="V303" i="16"/>
  <c r="W302" i="16" a="1"/>
  <c r="W302" i="16" l="1"/>
  <c r="W303" i="16" a="1"/>
  <c r="V304" i="16"/>
  <c r="W303" i="16" l="1"/>
  <c r="W304" i="16" a="1"/>
  <c r="V305" i="16"/>
  <c r="W304" i="16" l="1"/>
  <c r="V306" i="16"/>
  <c r="W305" i="16" a="1"/>
  <c r="W305" i="16" l="1"/>
  <c r="W306" i="16" a="1"/>
  <c r="V307" i="16"/>
  <c r="W306" i="16" l="1"/>
  <c r="V308" i="16"/>
  <c r="W307" i="16" a="1"/>
  <c r="W307" i="16" l="1"/>
  <c r="W308" i="16" a="1"/>
  <c r="V309" i="16"/>
  <c r="W308" i="16" l="1"/>
  <c r="W309" i="16" a="1"/>
  <c r="V310" i="16"/>
  <c r="W309" i="16" l="1"/>
  <c r="W310" i="16" a="1"/>
  <c r="V311" i="16"/>
  <c r="W310" i="16" l="1"/>
  <c r="W311" i="16" a="1"/>
  <c r="V312" i="16"/>
  <c r="W311" i="16" l="1"/>
  <c r="W312" i="16" a="1"/>
  <c r="V313" i="16"/>
  <c r="W312" i="16" l="1"/>
  <c r="W313" i="16" a="1"/>
  <c r="V314" i="16"/>
  <c r="W313" i="16" l="1"/>
  <c r="W314" i="16" a="1"/>
  <c r="V315" i="16"/>
  <c r="W314" i="16" l="1"/>
  <c r="V316" i="16"/>
  <c r="W315" i="16" a="1"/>
  <c r="W315" i="16" l="1"/>
  <c r="V317" i="16"/>
  <c r="W316" i="16" a="1"/>
  <c r="W316" i="16" l="1"/>
  <c r="V318" i="16"/>
  <c r="W317" i="16" a="1"/>
  <c r="W317" i="16" l="1"/>
  <c r="W318" i="16" a="1"/>
  <c r="V319" i="16"/>
  <c r="W318" i="16" l="1"/>
  <c r="V320" i="16"/>
  <c r="W319" i="16" a="1"/>
  <c r="W319" i="16" l="1"/>
  <c r="V321" i="16"/>
  <c r="W320" i="16" a="1"/>
  <c r="W320" i="16" l="1"/>
  <c r="W321" i="16" a="1"/>
  <c r="V322" i="16"/>
  <c r="W321" i="16" l="1"/>
  <c r="W322" i="16" a="1"/>
  <c r="V323" i="16"/>
  <c r="W322" i="16" l="1"/>
  <c r="W323" i="16" a="1"/>
  <c r="V324" i="16"/>
  <c r="W323" i="16" l="1"/>
  <c r="W324" i="16" a="1"/>
  <c r="V325" i="16"/>
  <c r="W324" i="16" l="1"/>
  <c r="W325" i="16" a="1"/>
  <c r="V326" i="16"/>
  <c r="W325" i="16" l="1"/>
  <c r="V327" i="16"/>
  <c r="W326" i="16" a="1"/>
  <c r="W326" i="16" l="1"/>
  <c r="W327" i="16" a="1"/>
  <c r="V328" i="16"/>
  <c r="W327" i="16" l="1"/>
  <c r="W328" i="16" a="1"/>
  <c r="V329" i="16"/>
  <c r="W328" i="16" l="1"/>
  <c r="W329" i="16" a="1"/>
  <c r="V330" i="16"/>
  <c r="W329" i="16" l="1"/>
  <c r="V331" i="16"/>
  <c r="W330" i="16" a="1"/>
  <c r="W330" i="16" l="1"/>
  <c r="V332" i="16"/>
  <c r="W331" i="16" a="1"/>
  <c r="W331" i="16" l="1"/>
  <c r="V333" i="16"/>
  <c r="W332" i="16" a="1"/>
  <c r="W332" i="16" l="1"/>
  <c r="W333" i="16" a="1"/>
  <c r="V334" i="16"/>
  <c r="W333" i="16" l="1"/>
  <c r="V335" i="16"/>
  <c r="W334" i="16" a="1"/>
  <c r="W334" i="16" l="1"/>
  <c r="W335" i="16" a="1"/>
  <c r="V336" i="16"/>
  <c r="W335" i="16" l="1"/>
  <c r="W336" i="16" a="1"/>
  <c r="V337" i="16"/>
  <c r="W336" i="16" l="1"/>
  <c r="V338" i="16"/>
  <c r="W337" i="16" a="1"/>
  <c r="W337" i="16" l="1"/>
  <c r="W338" i="16" a="1"/>
  <c r="V339" i="16"/>
  <c r="W338" i="16" l="1"/>
  <c r="W339" i="16" a="1"/>
  <c r="V340" i="16"/>
  <c r="W339" i="16" l="1"/>
  <c r="W340" i="16" a="1"/>
  <c r="V341" i="16"/>
  <c r="W340" i="16" l="1"/>
  <c r="V342" i="16"/>
  <c r="W341" i="16" a="1"/>
  <c r="W341" i="16" l="1"/>
  <c r="V343" i="16"/>
  <c r="W342" i="16" a="1"/>
  <c r="W342" i="16" l="1"/>
  <c r="W343" i="16" a="1"/>
  <c r="V344" i="16"/>
  <c r="W343" i="16" l="1"/>
  <c r="W344" i="16" a="1"/>
  <c r="V345" i="16"/>
  <c r="W344" i="16" l="1"/>
  <c r="W345" i="16" a="1"/>
  <c r="V346" i="16"/>
  <c r="W345" i="16" l="1"/>
  <c r="V347" i="16"/>
  <c r="W346" i="16" a="1"/>
  <c r="W346" i="16" l="1"/>
  <c r="W347" i="16" a="1"/>
  <c r="V348" i="16"/>
  <c r="W347" i="16" l="1"/>
  <c r="V349" i="16"/>
  <c r="W348" i="16" a="1"/>
  <c r="W348" i="16" l="1"/>
  <c r="V350" i="16"/>
  <c r="W349" i="16" a="1"/>
  <c r="W349" i="16" l="1"/>
  <c r="W350" i="16" a="1"/>
  <c r="V351" i="16"/>
  <c r="W350" i="16" l="1"/>
  <c r="W351" i="16" a="1"/>
  <c r="V352" i="16"/>
  <c r="W351" i="16" l="1"/>
  <c r="V353" i="16"/>
  <c r="W352" i="16" a="1"/>
  <c r="W352" i="16" l="1"/>
  <c r="W353" i="16" a="1"/>
  <c r="V354" i="16"/>
  <c r="W353" i="16" l="1"/>
  <c r="W354" i="16" a="1"/>
  <c r="V355" i="16"/>
  <c r="W354" i="16" l="1"/>
  <c r="V356" i="16"/>
  <c r="W355" i="16" a="1"/>
  <c r="W355" i="16" l="1"/>
  <c r="W356" i="16" a="1"/>
  <c r="V357" i="16"/>
  <c r="W356" i="16" l="1"/>
  <c r="W357" i="16" a="1"/>
  <c r="V358" i="16"/>
  <c r="W357" i="16" l="1"/>
  <c r="W358" i="16" a="1"/>
  <c r="V359" i="16"/>
  <c r="W358" i="16" l="1"/>
  <c r="W359" i="16" a="1"/>
  <c r="V360" i="16"/>
  <c r="W359" i="16" l="1"/>
  <c r="V361" i="16"/>
  <c r="W360" i="16" a="1"/>
  <c r="W360" i="16" l="1"/>
  <c r="V362" i="16"/>
  <c r="W361" i="16" a="1"/>
  <c r="W361" i="16" l="1"/>
  <c r="W362" i="16" a="1"/>
  <c r="V363" i="16"/>
  <c r="W362" i="16" l="1"/>
  <c r="W363" i="16" a="1"/>
  <c r="V364" i="16"/>
  <c r="W363" i="16" l="1"/>
  <c r="V365" i="16"/>
  <c r="W364" i="16" a="1"/>
  <c r="W364" i="16" l="1"/>
  <c r="V366" i="16"/>
  <c r="W365" i="16" a="1"/>
  <c r="W365" i="16" l="1"/>
  <c r="W366" i="16" a="1"/>
  <c r="V367" i="16"/>
  <c r="W366" i="16" l="1"/>
  <c r="W367" i="16" a="1"/>
  <c r="V368" i="16"/>
  <c r="W367" i="16" l="1"/>
  <c r="V369" i="16"/>
  <c r="W368" i="16" a="1"/>
  <c r="W368" i="16" l="1"/>
  <c r="V370" i="16"/>
  <c r="W369" i="16" a="1"/>
  <c r="W369" i="16" l="1"/>
  <c r="V371" i="16"/>
  <c r="W370" i="16" a="1"/>
  <c r="W370" i="16" l="1"/>
  <c r="V372" i="16"/>
  <c r="W371" i="16" a="1"/>
  <c r="W371" i="16" l="1"/>
  <c r="W372" i="16" a="1"/>
  <c r="V373" i="16"/>
  <c r="W372" i="16" l="1"/>
  <c r="V374" i="16"/>
  <c r="W373" i="16" a="1"/>
  <c r="W373" i="16" l="1"/>
  <c r="V375" i="16"/>
  <c r="W374" i="16" a="1"/>
  <c r="W374" i="16" l="1"/>
  <c r="V376" i="16"/>
  <c r="W375" i="16" a="1"/>
  <c r="W375" i="16" l="1"/>
  <c r="W376" i="16" a="1"/>
  <c r="V377" i="16"/>
  <c r="W376" i="16" l="1"/>
  <c r="W377" i="16" a="1"/>
  <c r="V378" i="16"/>
  <c r="W377" i="16" l="1"/>
  <c r="W378" i="16" a="1"/>
  <c r="V379" i="16"/>
  <c r="W378" i="16" l="1"/>
  <c r="V380" i="16"/>
  <c r="W379" i="16" a="1"/>
  <c r="W379" i="16" l="1"/>
  <c r="W380" i="16" a="1"/>
  <c r="V381" i="16"/>
  <c r="W380" i="16" l="1"/>
  <c r="W381" i="16" a="1"/>
  <c r="V382" i="16"/>
  <c r="W381" i="16" l="1"/>
  <c r="W382" i="16" a="1"/>
  <c r="V383" i="16"/>
  <c r="W382" i="16" l="1"/>
  <c r="W383" i="16" a="1"/>
  <c r="V384" i="16"/>
  <c r="W383" i="16" l="1"/>
  <c r="W384" i="16" a="1"/>
  <c r="V385" i="16"/>
  <c r="W384" i="16" l="1"/>
  <c r="W385" i="16" a="1"/>
  <c r="V386" i="16"/>
  <c r="W385" i="16" l="1"/>
  <c r="W386" i="16" a="1"/>
  <c r="V387" i="16"/>
  <c r="W386" i="16" l="1"/>
  <c r="W387" i="16" a="1"/>
  <c r="V388" i="16"/>
  <c r="W387" i="16" l="1"/>
  <c r="W388" i="16" a="1"/>
  <c r="V389" i="16"/>
  <c r="W388" i="16" l="1"/>
  <c r="V390" i="16"/>
  <c r="W389" i="16" a="1"/>
  <c r="W389" i="16" l="1"/>
  <c r="V391" i="16"/>
  <c r="W390" i="16" a="1"/>
  <c r="W390" i="16" l="1"/>
  <c r="V392" i="16"/>
  <c r="W391" i="16" a="1"/>
  <c r="W391" i="16" l="1"/>
  <c r="V393" i="16"/>
  <c r="W392" i="16" a="1"/>
  <c r="W392" i="16" l="1"/>
  <c r="V394" i="16"/>
  <c r="W393" i="16" a="1"/>
  <c r="W393" i="16" l="1"/>
  <c r="W394" i="16" a="1"/>
  <c r="V395" i="16"/>
  <c r="W394" i="16" l="1"/>
  <c r="W395" i="16" a="1"/>
  <c r="V396" i="16"/>
  <c r="W395" i="16" l="1"/>
  <c r="V397" i="16"/>
  <c r="W396" i="16" a="1"/>
  <c r="W396" i="16" l="1"/>
  <c r="W397" i="16" a="1"/>
  <c r="V398" i="16"/>
  <c r="W397" i="16" l="1"/>
  <c r="W398" i="16" a="1"/>
  <c r="V399" i="16"/>
  <c r="W398" i="16" l="1"/>
  <c r="W399" i="16" a="1"/>
  <c r="V400" i="16"/>
  <c r="W399" i="16" l="1"/>
  <c r="W400" i="16" a="1"/>
  <c r="V401" i="16"/>
  <c r="W400" i="16" l="1"/>
  <c r="W401" i="16" a="1"/>
  <c r="V402" i="16"/>
  <c r="W401" i="16" l="1"/>
  <c r="V403" i="16"/>
  <c r="W402" i="16" a="1"/>
  <c r="W402" i="16" l="1"/>
  <c r="V404" i="16"/>
  <c r="W403" i="16" a="1"/>
  <c r="W403" i="16" l="1"/>
  <c r="W404" i="16" a="1"/>
  <c r="V405" i="16"/>
  <c r="W404" i="16" l="1"/>
  <c r="W405" i="16" a="1"/>
  <c r="V406" i="16"/>
  <c r="W405" i="16" l="1"/>
  <c r="W406" i="16" a="1"/>
  <c r="V407" i="16"/>
  <c r="W406" i="16" l="1"/>
  <c r="W407" i="16" a="1"/>
  <c r="V408" i="16"/>
  <c r="W407" i="16" l="1"/>
  <c r="W408" i="16" a="1"/>
  <c r="V409" i="16"/>
  <c r="W408" i="16" l="1"/>
  <c r="V410" i="16"/>
  <c r="W409" i="16" a="1"/>
  <c r="W409" i="16" l="1"/>
  <c r="W410" i="16" a="1"/>
  <c r="V411" i="16"/>
  <c r="W410" i="16" l="1"/>
  <c r="V412" i="16"/>
  <c r="W411" i="16" a="1"/>
  <c r="W411" i="16" l="1"/>
  <c r="W412" i="16" a="1"/>
  <c r="V413" i="16"/>
  <c r="W412" i="16" l="1"/>
  <c r="W413" i="16" a="1"/>
  <c r="V414" i="16"/>
  <c r="W413" i="16" l="1"/>
  <c r="V415" i="16"/>
  <c r="W414" i="16" a="1"/>
  <c r="W414" i="16" l="1"/>
  <c r="V416" i="16"/>
  <c r="W415" i="16" a="1"/>
  <c r="W415" i="16" l="1"/>
  <c r="V417" i="16"/>
  <c r="W416" i="16" a="1"/>
  <c r="W416" i="16" l="1"/>
  <c r="W417" i="16" a="1"/>
  <c r="V418" i="16"/>
  <c r="W417" i="16" l="1"/>
  <c r="W418" i="16" a="1"/>
  <c r="V419" i="16"/>
  <c r="W418" i="16" l="1"/>
  <c r="V420" i="16"/>
  <c r="W419" i="16" a="1"/>
  <c r="W419" i="16" l="1"/>
  <c r="W420" i="16" a="1"/>
  <c r="V421" i="16"/>
  <c r="W420" i="16" l="1"/>
  <c r="W421" i="16" a="1"/>
  <c r="V422" i="16"/>
  <c r="W421" i="16" l="1"/>
  <c r="W422" i="16" a="1"/>
  <c r="V423" i="16"/>
  <c r="W422" i="16" l="1"/>
  <c r="W423" i="16" a="1"/>
  <c r="V424" i="16"/>
  <c r="W423" i="16" l="1"/>
  <c r="W424" i="16" a="1"/>
  <c r="V425" i="16"/>
  <c r="W424" i="16" l="1"/>
  <c r="W425" i="16" a="1"/>
  <c r="V426" i="16"/>
  <c r="W425" i="16" l="1"/>
  <c r="W426" i="16" a="1"/>
  <c r="V427" i="16"/>
  <c r="W426" i="16" l="1"/>
  <c r="W427" i="16" a="1"/>
  <c r="V428" i="16"/>
  <c r="W427" i="16" l="1"/>
  <c r="W428" i="16" a="1"/>
  <c r="V429" i="16"/>
  <c r="W428" i="16" l="1"/>
  <c r="W429" i="16" a="1"/>
  <c r="V430" i="16"/>
  <c r="W429" i="16" l="1"/>
  <c r="W430" i="16" a="1"/>
  <c r="V431" i="16"/>
  <c r="W430" i="16" l="1"/>
  <c r="V432" i="16"/>
  <c r="W431" i="16" a="1"/>
  <c r="W431" i="16" l="1"/>
  <c r="V433" i="16"/>
  <c r="W432" i="16" a="1"/>
  <c r="W432" i="16" l="1"/>
  <c r="W433" i="16" a="1"/>
  <c r="V434" i="16"/>
  <c r="W433" i="16" l="1"/>
  <c r="V435" i="16"/>
  <c r="W434" i="16" a="1"/>
  <c r="W434" i="16" l="1"/>
  <c r="V436" i="16"/>
  <c r="W435" i="16" a="1"/>
  <c r="W435" i="16" l="1"/>
  <c r="W436" i="16" a="1"/>
  <c r="V437" i="16"/>
  <c r="W436" i="16" l="1"/>
  <c r="W437" i="16" a="1"/>
  <c r="V438" i="16"/>
  <c r="W437" i="16" l="1"/>
  <c r="V439" i="16"/>
  <c r="W438" i="16" a="1"/>
  <c r="W438" i="16" l="1"/>
  <c r="W439" i="16" a="1"/>
  <c r="V440" i="16"/>
  <c r="W439" i="16" l="1"/>
  <c r="W440" i="16" a="1"/>
  <c r="V441" i="16"/>
  <c r="W440" i="16" l="1"/>
  <c r="V442" i="16"/>
  <c r="W441" i="16" a="1"/>
  <c r="W441" i="16" l="1"/>
  <c r="W442" i="16" a="1"/>
  <c r="V443" i="16"/>
  <c r="W442" i="16" l="1"/>
  <c r="W443" i="16" a="1"/>
  <c r="V444" i="16"/>
  <c r="W443" i="16" l="1"/>
  <c r="W444" i="16" a="1"/>
  <c r="V445" i="16"/>
  <c r="W444" i="16" l="1"/>
  <c r="V446" i="16"/>
  <c r="W445" i="16" a="1"/>
  <c r="W445" i="16" l="1"/>
  <c r="V447" i="16"/>
  <c r="W446" i="16" a="1"/>
  <c r="W446" i="16" l="1"/>
  <c r="W447" i="16" a="1"/>
  <c r="V448" i="16"/>
  <c r="W447" i="16" l="1"/>
  <c r="W448" i="16" a="1"/>
  <c r="V449" i="16"/>
  <c r="W448" i="16" l="1"/>
  <c r="V450" i="16"/>
  <c r="W449" i="16" a="1"/>
  <c r="W449" i="16" l="1"/>
  <c r="V451" i="16"/>
  <c r="W450" i="16" a="1"/>
  <c r="W450" i="16" l="1"/>
  <c r="W451" i="16" a="1"/>
  <c r="V452" i="16"/>
  <c r="W451" i="16" l="1"/>
  <c r="W452" i="16" a="1"/>
  <c r="V453" i="16"/>
  <c r="W452" i="16" l="1"/>
  <c r="V454" i="16"/>
  <c r="W453" i="16" a="1"/>
  <c r="W453" i="16" l="1"/>
  <c r="W454" i="16" a="1"/>
  <c r="V455" i="16"/>
  <c r="W454" i="16" l="1"/>
  <c r="W455" i="16" a="1"/>
  <c r="V456" i="16"/>
  <c r="W455" i="16" l="1"/>
  <c r="W456" i="16" a="1"/>
  <c r="V457" i="16"/>
  <c r="W456" i="16" l="1"/>
  <c r="V458" i="16"/>
  <c r="W457" i="16" a="1"/>
  <c r="W457" i="16" l="1"/>
  <c r="W458" i="16" a="1"/>
  <c r="V459" i="16"/>
  <c r="W458" i="16" l="1"/>
  <c r="W459" i="16" a="1"/>
  <c r="V460" i="16"/>
  <c r="W459" i="16" l="1"/>
  <c r="W460" i="16" a="1"/>
  <c r="V461" i="16"/>
  <c r="W460" i="16" l="1"/>
  <c r="V462" i="16"/>
  <c r="W461" i="16" a="1"/>
  <c r="W461" i="16" l="1"/>
  <c r="W462" i="16" a="1"/>
  <c r="V463" i="16"/>
  <c r="W462" i="16" l="1"/>
  <c r="W463" i="16" a="1"/>
  <c r="V464" i="16"/>
  <c r="W463" i="16" l="1"/>
  <c r="W464" i="16" a="1"/>
  <c r="V465" i="16"/>
  <c r="W464" i="16" l="1"/>
  <c r="V466" i="16"/>
  <c r="W465" i="16" a="1"/>
  <c r="W465" i="16" l="1"/>
  <c r="W466" i="16" a="1"/>
  <c r="V467" i="16"/>
  <c r="W466" i="16" l="1"/>
  <c r="W467" i="16" a="1"/>
  <c r="V468" i="16"/>
  <c r="W467" i="16" l="1"/>
  <c r="V469" i="16"/>
  <c r="W468" i="16" a="1"/>
  <c r="W468" i="16" l="1"/>
  <c r="W469" i="16" a="1"/>
  <c r="V470" i="16"/>
  <c r="W469" i="16" l="1"/>
  <c r="V471" i="16"/>
  <c r="W470" i="16" a="1"/>
  <c r="W470" i="16" l="1"/>
  <c r="W471" i="16" a="1"/>
  <c r="V472" i="16"/>
  <c r="W471" i="16" l="1"/>
  <c r="W472" i="16" a="1"/>
  <c r="V473" i="16"/>
  <c r="W472" i="16" l="1"/>
  <c r="V474" i="16"/>
  <c r="W473" i="16" a="1"/>
  <c r="W473" i="16" l="1"/>
  <c r="W474" i="16" a="1"/>
  <c r="V475" i="16"/>
  <c r="W474" i="16" l="1"/>
  <c r="W475" i="16" a="1"/>
  <c r="V476" i="16"/>
  <c r="W475" i="16" l="1"/>
  <c r="W476" i="16" a="1"/>
  <c r="V477" i="16"/>
  <c r="W476" i="16" l="1"/>
  <c r="W477" i="16" a="1"/>
  <c r="V478" i="16"/>
  <c r="W477" i="16" l="1"/>
  <c r="W478" i="16" a="1"/>
  <c r="V479" i="16"/>
  <c r="W478" i="16" l="1"/>
  <c r="V480" i="16"/>
  <c r="W479" i="16" a="1"/>
  <c r="W479" i="16" l="1"/>
  <c r="W480" i="16" a="1"/>
  <c r="V481" i="16"/>
  <c r="W480" i="16" l="1"/>
  <c r="W481" i="16" a="1"/>
  <c r="V482" i="16"/>
  <c r="W481" i="16" l="1"/>
  <c r="V483" i="16"/>
  <c r="W482" i="16" a="1"/>
  <c r="W482" i="16" l="1"/>
  <c r="W483" i="16" a="1"/>
  <c r="V484" i="16"/>
  <c r="W483" i="16" l="1"/>
  <c r="V485" i="16"/>
  <c r="W484" i="16" a="1"/>
  <c r="W484" i="16" l="1"/>
  <c r="W485" i="16" a="1"/>
  <c r="V486" i="16"/>
  <c r="W485" i="16" l="1"/>
  <c r="W486" i="16" a="1"/>
  <c r="V487" i="16"/>
  <c r="W486" i="16" l="1"/>
  <c r="W487" i="16" a="1"/>
  <c r="V488" i="16"/>
  <c r="W487" i="16" l="1"/>
  <c r="W488" i="16" a="1"/>
  <c r="V489" i="16"/>
  <c r="W488" i="16" l="1"/>
  <c r="V490" i="16"/>
  <c r="W489" i="16" a="1"/>
  <c r="W489" i="16" l="1"/>
  <c r="W490" i="16" a="1"/>
  <c r="V491" i="16"/>
  <c r="W490" i="16" l="1"/>
  <c r="W491" i="16" a="1"/>
  <c r="V492" i="16"/>
  <c r="W491" i="16" l="1"/>
  <c r="V493" i="16"/>
  <c r="W492" i="16" a="1"/>
  <c r="W492" i="16" l="1"/>
  <c r="W493" i="16" a="1"/>
  <c r="V494" i="16"/>
  <c r="W493" i="16" l="1"/>
  <c r="W494" i="16" a="1"/>
  <c r="V495" i="16"/>
  <c r="W494" i="16" l="1"/>
  <c r="V496" i="16"/>
  <c r="W495" i="16" a="1"/>
  <c r="W495" i="16" l="1"/>
  <c r="V497" i="16"/>
  <c r="W496" i="16" a="1"/>
  <c r="W496" i="16" l="1"/>
  <c r="W497" i="16" a="1"/>
  <c r="V498" i="16"/>
  <c r="W497" i="16" l="1"/>
  <c r="W498" i="16" a="1"/>
  <c r="V499" i="16"/>
  <c r="W498" i="16" l="1"/>
  <c r="V500" i="16"/>
  <c r="W499" i="16" a="1"/>
  <c r="W499" i="16" l="1"/>
  <c r="W500" i="16" a="1"/>
  <c r="V501" i="16"/>
  <c r="W500" i="16" l="1"/>
  <c r="W501" i="16" a="1"/>
  <c r="V502" i="16"/>
  <c r="W501" i="16" l="1"/>
  <c r="W502" i="16" a="1"/>
  <c r="V503" i="16"/>
  <c r="W502" i="16" l="1"/>
  <c r="W503" i="16" a="1"/>
  <c r="V504" i="16"/>
  <c r="W503" i="16" l="1"/>
  <c r="V505" i="16"/>
  <c r="W504" i="16" a="1"/>
  <c r="W504" i="16" l="1"/>
  <c r="V506" i="16"/>
  <c r="W505" i="16" a="1"/>
  <c r="W505" i="16" l="1"/>
  <c r="V507" i="16"/>
  <c r="W506" i="16" a="1"/>
  <c r="W506" i="16" l="1"/>
  <c r="V508" i="16"/>
  <c r="W507" i="16" a="1"/>
  <c r="W507" i="16" l="1"/>
  <c r="W508" i="16" a="1"/>
  <c r="V509" i="16"/>
  <c r="W508" i="16" l="1"/>
  <c r="W509" i="16" a="1"/>
  <c r="V510" i="16"/>
  <c r="W509" i="16" l="1"/>
  <c r="V511" i="16"/>
  <c r="W510" i="16" a="1"/>
  <c r="W510" i="16" l="1"/>
  <c r="W511" i="16" a="1"/>
  <c r="V512" i="16"/>
  <c r="W511" i="16" l="1"/>
  <c r="V513" i="16"/>
  <c r="W512" i="16" a="1"/>
  <c r="W512" i="16" l="1"/>
  <c r="W513" i="16" a="1"/>
  <c r="V514" i="16"/>
  <c r="W513" i="16" l="1"/>
  <c r="V515" i="16"/>
  <c r="W514" i="16" a="1"/>
  <c r="W514" i="16" l="1"/>
  <c r="V516" i="16"/>
  <c r="W515" i="16" a="1"/>
  <c r="W515" i="16" l="1"/>
  <c r="W516" i="16" a="1"/>
  <c r="V517" i="16"/>
  <c r="W516" i="16" l="1"/>
  <c r="W517" i="16" a="1"/>
  <c r="V518" i="16"/>
  <c r="W517" i="16" l="1"/>
  <c r="W518" i="16" a="1"/>
  <c r="V519" i="16"/>
  <c r="W518" i="16" l="1"/>
  <c r="V520" i="16"/>
  <c r="W519" i="16" a="1"/>
  <c r="W519" i="16" l="1"/>
  <c r="W520" i="16" a="1"/>
  <c r="V521" i="16"/>
  <c r="W520" i="16" l="1"/>
  <c r="W521" i="16" a="1"/>
  <c r="V522" i="16"/>
  <c r="W521" i="16" l="1"/>
  <c r="W522" i="16" a="1"/>
  <c r="V523" i="16"/>
  <c r="W522" i="16" l="1"/>
  <c r="W523" i="16" a="1"/>
  <c r="V524" i="16"/>
  <c r="W523" i="16" l="1"/>
  <c r="W524" i="16" a="1"/>
  <c r="V525" i="16"/>
  <c r="W524" i="16" l="1"/>
  <c r="W525" i="16" a="1"/>
  <c r="V526" i="16"/>
  <c r="W525" i="16" l="1"/>
  <c r="W526" i="16" a="1"/>
  <c r="V527" i="16"/>
  <c r="W526" i="16" l="1"/>
  <c r="W527" i="16" a="1"/>
  <c r="V528" i="16"/>
  <c r="W527" i="16" l="1"/>
  <c r="W528" i="16" a="1"/>
  <c r="V529" i="16"/>
  <c r="W528" i="16" l="1"/>
  <c r="W529" i="16" a="1"/>
  <c r="V530" i="16"/>
  <c r="W529" i="16" l="1"/>
  <c r="W530" i="16" a="1"/>
  <c r="V531" i="16"/>
  <c r="W530" i="16" l="1"/>
  <c r="W531" i="16" a="1"/>
  <c r="V532" i="16"/>
  <c r="W531" i="16" l="1"/>
  <c r="W532" i="16" a="1"/>
  <c r="V533" i="16"/>
  <c r="W532" i="16" l="1"/>
  <c r="W533" i="16" a="1"/>
  <c r="V534" i="16"/>
  <c r="W533" i="16" l="1"/>
  <c r="W534" i="16" a="1"/>
  <c r="V535" i="16"/>
  <c r="W534" i="16" l="1"/>
  <c r="V536" i="16"/>
  <c r="W535" i="16" a="1"/>
  <c r="W535" i="16" l="1"/>
  <c r="V537" i="16"/>
  <c r="W536" i="16" a="1"/>
  <c r="W536" i="16" l="1"/>
  <c r="W537" i="16" a="1"/>
  <c r="V538" i="16"/>
  <c r="W537" i="16" l="1"/>
  <c r="V539" i="16"/>
  <c r="W538" i="16" a="1"/>
  <c r="W538" i="16" l="1"/>
  <c r="V540" i="16"/>
  <c r="W539" i="16" a="1"/>
  <c r="W539" i="16" l="1"/>
  <c r="V541" i="16"/>
  <c r="W540" i="16" a="1"/>
  <c r="W540" i="16" l="1"/>
  <c r="W541" i="16" a="1"/>
  <c r="V542" i="16"/>
  <c r="W541" i="16" l="1"/>
  <c r="W542" i="16" a="1"/>
  <c r="V543" i="16"/>
  <c r="W542" i="16" l="1"/>
  <c r="W543" i="16" a="1"/>
  <c r="V544" i="16"/>
  <c r="W543" i="16" l="1"/>
  <c r="V545" i="16"/>
  <c r="W544" i="16" a="1"/>
  <c r="W544" i="16" l="1"/>
  <c r="W545" i="16" a="1"/>
  <c r="V546" i="16"/>
  <c r="W545" i="16" l="1"/>
  <c r="W546" i="16" a="1"/>
  <c r="V547" i="16"/>
  <c r="W546" i="16" l="1"/>
  <c r="W547" i="16" a="1"/>
  <c r="V548" i="16"/>
  <c r="W547" i="16" l="1"/>
  <c r="V549" i="16"/>
  <c r="W548" i="16" a="1"/>
  <c r="W548" i="16" l="1"/>
  <c r="V550" i="16"/>
  <c r="W549" i="16" a="1"/>
  <c r="W549" i="16" l="1"/>
  <c r="W550" i="16" a="1"/>
  <c r="V551" i="16"/>
  <c r="W550" i="16" l="1"/>
  <c r="V552" i="16"/>
  <c r="W551" i="16" a="1"/>
  <c r="W551" i="16" l="1"/>
  <c r="W552" i="16" a="1"/>
  <c r="V553" i="16"/>
  <c r="W552" i="16" l="1"/>
  <c r="V554" i="16"/>
  <c r="W553" i="16" a="1"/>
  <c r="W553" i="16" l="1"/>
  <c r="W554" i="16" a="1"/>
  <c r="V555" i="16"/>
  <c r="W554" i="16" l="1"/>
  <c r="W555" i="16" a="1"/>
  <c r="V556" i="16"/>
  <c r="W555" i="16" l="1"/>
  <c r="V557" i="16"/>
  <c r="W556" i="16" a="1"/>
  <c r="W556" i="16" l="1"/>
  <c r="W557" i="16" a="1"/>
  <c r="V558" i="16"/>
  <c r="W557" i="16" l="1"/>
  <c r="V559" i="16"/>
  <c r="W558" i="16" a="1"/>
  <c r="W558" i="16" l="1"/>
  <c r="W559" i="16" a="1"/>
  <c r="V560" i="16"/>
  <c r="W559" i="16" l="1"/>
  <c r="W560" i="16" a="1"/>
  <c r="V561" i="16"/>
  <c r="W560" i="16" l="1"/>
  <c r="W561" i="16" a="1"/>
  <c r="V562" i="16"/>
  <c r="W561" i="16" l="1"/>
  <c r="W562" i="16" a="1"/>
  <c r="V563" i="16"/>
  <c r="W562" i="16" l="1"/>
  <c r="W563" i="16" a="1"/>
  <c r="V564" i="16"/>
  <c r="W563" i="16" l="1"/>
  <c r="V565" i="16"/>
  <c r="W564" i="16" a="1"/>
  <c r="W564" i="16" l="1"/>
  <c r="W565" i="16" a="1"/>
  <c r="V566" i="16"/>
  <c r="W565" i="16" l="1"/>
  <c r="W566" i="16" a="1"/>
  <c r="V567" i="16"/>
  <c r="W566" i="16" l="1"/>
  <c r="W567" i="16" a="1"/>
  <c r="V568" i="16"/>
  <c r="W567" i="16" l="1"/>
  <c r="W568" i="16" a="1"/>
  <c r="V569" i="16"/>
  <c r="W568" i="16" l="1"/>
  <c r="W569" i="16" a="1"/>
  <c r="V570" i="16"/>
  <c r="W569" i="16" l="1"/>
  <c r="W570" i="16" a="1"/>
  <c r="V571" i="16"/>
  <c r="W570" i="16" l="1"/>
  <c r="V572" i="16"/>
  <c r="W571" i="16" a="1"/>
  <c r="W571" i="16" l="1"/>
  <c r="V573" i="16"/>
  <c r="W572" i="16" a="1"/>
  <c r="W572" i="16" l="1"/>
  <c r="W573" i="16" a="1"/>
  <c r="V574" i="16"/>
  <c r="W573" i="16" l="1"/>
  <c r="V575" i="16"/>
  <c r="W574" i="16" a="1"/>
  <c r="W574" i="16" l="1"/>
  <c r="V576" i="16"/>
  <c r="W575" i="16" a="1"/>
  <c r="W575" i="16" l="1"/>
  <c r="V577" i="16"/>
  <c r="W576" i="16" a="1"/>
  <c r="W576" i="16" l="1"/>
  <c r="W577" i="16" a="1"/>
  <c r="V578" i="16"/>
  <c r="W577" i="16" l="1"/>
  <c r="W578" i="16" a="1"/>
  <c r="V579" i="16"/>
  <c r="W578" i="16" l="1"/>
  <c r="V580" i="16"/>
  <c r="W579" i="16" a="1"/>
  <c r="W579" i="16" l="1"/>
  <c r="W580" i="16" a="1"/>
  <c r="V581" i="16"/>
  <c r="W580" i="16" l="1"/>
  <c r="V582" i="16"/>
  <c r="W581" i="16" a="1"/>
  <c r="W581" i="16" l="1"/>
  <c r="V583" i="16"/>
  <c r="W582" i="16" a="1"/>
  <c r="W582" i="16" l="1"/>
  <c r="V584" i="16"/>
  <c r="W583" i="16" a="1"/>
  <c r="W583" i="16" l="1"/>
  <c r="W584" i="16" a="1"/>
  <c r="V585" i="16"/>
  <c r="W584" i="16" l="1"/>
  <c r="V586" i="16"/>
  <c r="W585" i="16" a="1"/>
  <c r="W585" i="16" l="1"/>
  <c r="V587" i="16"/>
  <c r="W586" i="16" a="1"/>
  <c r="W586" i="16" l="1"/>
  <c r="W587" i="16" a="1"/>
  <c r="V588" i="16"/>
  <c r="W587" i="16" l="1"/>
  <c r="W588" i="16" a="1"/>
  <c r="V589" i="16"/>
  <c r="W588" i="16" l="1"/>
  <c r="W589" i="16" a="1"/>
  <c r="V590" i="16"/>
  <c r="W589" i="16" l="1"/>
  <c r="V591" i="16"/>
  <c r="W590" i="16" a="1"/>
  <c r="W590" i="16" l="1"/>
  <c r="W591" i="16" a="1"/>
  <c r="V592" i="16"/>
  <c r="W591" i="16" l="1"/>
  <c r="W592" i="16" a="1"/>
  <c r="V593" i="16"/>
  <c r="W592" i="16" l="1"/>
  <c r="V594" i="16"/>
  <c r="W593" i="16" a="1"/>
  <c r="W593" i="16" l="1"/>
  <c r="W594" i="16" a="1"/>
  <c r="V595" i="16"/>
  <c r="W594" i="16" l="1"/>
  <c r="V596" i="16"/>
  <c r="W595" i="16" a="1"/>
  <c r="W595" i="16" l="1"/>
  <c r="V597" i="16"/>
  <c r="W596" i="16" a="1"/>
  <c r="W596" i="16" l="1"/>
  <c r="V598" i="16"/>
  <c r="W597" i="16" a="1"/>
  <c r="W597" i="16" l="1"/>
  <c r="W598" i="16" a="1"/>
  <c r="V599" i="16"/>
  <c r="W598" i="16" l="1"/>
  <c r="W599" i="16" a="1"/>
  <c r="V600" i="16"/>
  <c r="W599" i="16" l="1"/>
  <c r="W600" i="16" a="1"/>
  <c r="V601" i="16"/>
  <c r="W600" i="16" l="1"/>
  <c r="V602" i="16"/>
  <c r="W601" i="16" a="1"/>
  <c r="W601" i="16" l="1"/>
  <c r="W602" i="16" a="1"/>
  <c r="V603" i="16"/>
  <c r="W602" i="16" l="1"/>
  <c r="W603" i="16" a="1"/>
  <c r="V604" i="16"/>
  <c r="W603" i="16" l="1"/>
  <c r="W604" i="16" a="1"/>
  <c r="V605" i="16"/>
  <c r="W604" i="16" l="1"/>
  <c r="W605" i="16" a="1"/>
  <c r="V606" i="16"/>
  <c r="W605" i="16" l="1"/>
  <c r="V607" i="16"/>
  <c r="W606" i="16" a="1"/>
  <c r="W606" i="16" l="1"/>
  <c r="V608" i="16"/>
  <c r="W607" i="16" a="1"/>
  <c r="W607" i="16" l="1"/>
  <c r="V609" i="16"/>
  <c r="W608" i="16" a="1"/>
  <c r="W608" i="16" l="1"/>
  <c r="W609" i="16" a="1"/>
  <c r="V610" i="16"/>
  <c r="W609" i="16" l="1"/>
  <c r="W610" i="16" a="1"/>
  <c r="V611" i="16"/>
  <c r="W610" i="16" l="1"/>
  <c r="W611" i="16" a="1"/>
  <c r="V612" i="16"/>
  <c r="W611" i="16" l="1"/>
  <c r="W612" i="16" a="1"/>
  <c r="V613" i="16"/>
  <c r="W612" i="16" l="1"/>
  <c r="W613" i="16" a="1"/>
  <c r="V614" i="16"/>
  <c r="W613" i="16" l="1"/>
  <c r="W614" i="16" a="1"/>
  <c r="V615" i="16"/>
  <c r="W614" i="16" l="1"/>
  <c r="V616" i="16"/>
  <c r="W615" i="16" a="1"/>
  <c r="W615" i="16" l="1"/>
  <c r="W616" i="16" a="1"/>
  <c r="V617" i="16"/>
  <c r="W616" i="16" l="1"/>
  <c r="W617" i="16" a="1"/>
  <c r="V618" i="16"/>
  <c r="W617" i="16" l="1"/>
  <c r="V619" i="16"/>
  <c r="W618" i="16" a="1"/>
  <c r="W618" i="16" l="1"/>
  <c r="W619" i="16" a="1"/>
  <c r="V620" i="16"/>
  <c r="W619" i="16" l="1"/>
  <c r="V621" i="16"/>
  <c r="W620" i="16" a="1"/>
  <c r="W620" i="16" l="1"/>
  <c r="W621" i="16" a="1"/>
  <c r="V622" i="16"/>
  <c r="W621" i="16" l="1"/>
  <c r="W622" i="16" a="1"/>
  <c r="V623" i="16"/>
  <c r="W622" i="16" l="1"/>
  <c r="W623" i="16" a="1"/>
  <c r="V624" i="16"/>
  <c r="W623" i="16" l="1"/>
  <c r="W624" i="16" a="1"/>
  <c r="V625" i="16"/>
  <c r="W624" i="16" l="1"/>
  <c r="V626" i="16"/>
  <c r="W625" i="16" a="1"/>
  <c r="W625" i="16" l="1"/>
  <c r="V627" i="16"/>
  <c r="W626" i="16" a="1"/>
  <c r="W626" i="16" l="1"/>
  <c r="W627" i="16" a="1"/>
  <c r="V628" i="16"/>
  <c r="W627" i="16" l="1"/>
  <c r="W628" i="16" a="1"/>
  <c r="V629" i="16"/>
  <c r="W628" i="16" l="1"/>
  <c r="W629" i="16" a="1"/>
  <c r="V630" i="16"/>
  <c r="W629" i="16" l="1"/>
  <c r="W630" i="16" a="1"/>
  <c r="V631" i="16"/>
  <c r="W630" i="16" l="1"/>
  <c r="W631" i="16" a="1"/>
  <c r="V632" i="16"/>
  <c r="W631" i="16" l="1"/>
  <c r="W632" i="16" a="1"/>
  <c r="V633" i="16"/>
  <c r="W632" i="16" l="1"/>
  <c r="V634" i="16"/>
  <c r="W633" i="16" a="1"/>
  <c r="W633" i="16" l="1"/>
  <c r="W634" i="16" a="1"/>
  <c r="V635" i="16"/>
  <c r="W634" i="16" l="1"/>
  <c r="W635" i="16" a="1"/>
  <c r="V636" i="16"/>
  <c r="W635" i="16" l="1"/>
  <c r="W636" i="16" a="1"/>
  <c r="V637" i="16"/>
  <c r="W636" i="16" l="1"/>
  <c r="V638" i="16"/>
  <c r="W637" i="16" a="1"/>
  <c r="W637" i="16" l="1"/>
  <c r="W638" i="16" a="1"/>
  <c r="V639" i="16"/>
  <c r="W638" i="16" l="1"/>
  <c r="V640" i="16"/>
  <c r="W639" i="16" a="1"/>
  <c r="W639" i="16" l="1"/>
  <c r="W640" i="16" a="1"/>
  <c r="V641" i="16"/>
  <c r="W640" i="16" l="1"/>
  <c r="V642" i="16"/>
  <c r="W641" i="16" a="1"/>
  <c r="W641" i="16" l="1"/>
  <c r="W642" i="16" a="1"/>
  <c r="V643" i="16"/>
  <c r="W642" i="16" l="1"/>
  <c r="W643" i="16" a="1"/>
  <c r="V644" i="16"/>
  <c r="W643" i="16" l="1"/>
  <c r="W644" i="16" a="1"/>
  <c r="V645" i="16"/>
  <c r="W644" i="16" l="1"/>
  <c r="W645" i="16" a="1"/>
  <c r="V646" i="16"/>
  <c r="W645" i="16" l="1"/>
  <c r="W646" i="16" a="1"/>
  <c r="V647" i="16"/>
  <c r="W646" i="16" l="1"/>
  <c r="V648" i="16"/>
  <c r="W647" i="16" a="1"/>
  <c r="W647" i="16" l="1"/>
  <c r="W648" i="16" a="1"/>
  <c r="V649" i="16"/>
  <c r="W648" i="16" l="1"/>
  <c r="V650" i="16"/>
  <c r="W649" i="16" a="1"/>
  <c r="W649" i="16" l="1"/>
  <c r="W650" i="16" a="1"/>
  <c r="V651" i="16"/>
  <c r="W650" i="16" l="1"/>
  <c r="V652" i="16"/>
  <c r="W651" i="16" a="1"/>
  <c r="W651" i="16" l="1"/>
  <c r="V653" i="16"/>
  <c r="W652" i="16" a="1"/>
  <c r="W652" i="16" l="1"/>
  <c r="W653" i="16" a="1"/>
  <c r="V654" i="16"/>
  <c r="W653" i="16" l="1"/>
  <c r="W654" i="16" a="1"/>
  <c r="V655" i="16"/>
  <c r="W654" i="16" l="1"/>
  <c r="W655" i="16" a="1"/>
  <c r="V656" i="16"/>
  <c r="W655" i="16" l="1"/>
  <c r="V657" i="16"/>
  <c r="W656" i="16" a="1"/>
  <c r="W656" i="16" l="1"/>
  <c r="W657" i="16" a="1"/>
  <c r="V658" i="16"/>
  <c r="W657" i="16" l="1"/>
  <c r="V659" i="16"/>
  <c r="W658" i="16" a="1"/>
  <c r="W658" i="16" l="1"/>
  <c r="W659" i="16" a="1"/>
  <c r="V660" i="16"/>
  <c r="W659" i="16" l="1"/>
  <c r="W660" i="16" a="1"/>
  <c r="V661" i="16"/>
  <c r="W660" i="16" l="1"/>
  <c r="V662" i="16"/>
  <c r="W661" i="16" a="1"/>
  <c r="W661" i="16" l="1"/>
  <c r="W662" i="16" a="1"/>
  <c r="V663" i="16"/>
  <c r="W662" i="16" l="1"/>
  <c r="W663" i="16" a="1"/>
  <c r="V664" i="16"/>
  <c r="W663" i="16" l="1"/>
  <c r="W664" i="16" a="1"/>
  <c r="V665" i="16"/>
  <c r="W664" i="16" l="1"/>
  <c r="W665" i="16" a="1"/>
  <c r="V666" i="16"/>
  <c r="W665" i="16" l="1"/>
  <c r="V667" i="16"/>
  <c r="W666" i="16" a="1"/>
  <c r="W666" i="16" l="1"/>
  <c r="W667" i="16" a="1"/>
  <c r="V668" i="16"/>
  <c r="W667" i="16" l="1"/>
  <c r="W668" i="16" a="1"/>
  <c r="V669" i="16"/>
  <c r="W668" i="16" l="1"/>
  <c r="V670" i="16"/>
  <c r="W669" i="16" a="1"/>
  <c r="W669" i="16" l="1"/>
  <c r="W670" i="16" a="1"/>
  <c r="V671" i="16"/>
  <c r="W670" i="16" l="1"/>
  <c r="W671" i="16" a="1"/>
  <c r="V672" i="16"/>
  <c r="W671" i="16" l="1"/>
  <c r="V673" i="16"/>
  <c r="W672" i="16" a="1"/>
  <c r="W672" i="16" l="1"/>
  <c r="W673" i="16" a="1"/>
  <c r="V674" i="16"/>
  <c r="W673" i="16" l="1"/>
  <c r="W674" i="16" a="1"/>
  <c r="V675" i="16"/>
  <c r="W674" i="16" l="1"/>
  <c r="W675" i="16" a="1"/>
  <c r="V676" i="16"/>
  <c r="W675" i="16" l="1"/>
  <c r="V677" i="16"/>
  <c r="W676" i="16" a="1"/>
  <c r="W676" i="16" l="1"/>
  <c r="W677" i="16" a="1"/>
  <c r="V678" i="16"/>
  <c r="W677" i="16" l="1"/>
  <c r="V679" i="16"/>
  <c r="W678" i="16" a="1"/>
  <c r="W678" i="16" l="1"/>
  <c r="V680" i="16"/>
  <c r="W679" i="16" a="1"/>
  <c r="W679" i="16" l="1"/>
  <c r="W680" i="16" a="1"/>
  <c r="V681" i="16"/>
  <c r="W680" i="16" l="1"/>
  <c r="W681" i="16" a="1"/>
  <c r="V682" i="16"/>
  <c r="W681" i="16" l="1"/>
  <c r="V683" i="16"/>
  <c r="W682" i="16" a="1"/>
  <c r="W682" i="16" l="1"/>
  <c r="W683" i="16" a="1"/>
  <c r="V684" i="16"/>
  <c r="W683" i="16" l="1"/>
  <c r="W684" i="16" a="1"/>
  <c r="V685" i="16"/>
  <c r="W684" i="16" l="1"/>
  <c r="V686" i="16"/>
  <c r="W685" i="16" a="1"/>
  <c r="W685" i="16" l="1"/>
  <c r="V687" i="16"/>
  <c r="W686" i="16" a="1"/>
  <c r="W686" i="16" l="1"/>
  <c r="W687" i="16" a="1"/>
  <c r="V688" i="16"/>
  <c r="W687" i="16" l="1"/>
  <c r="W688" i="16" a="1"/>
  <c r="V689" i="16"/>
  <c r="W688" i="16" l="1"/>
  <c r="W689" i="16" a="1"/>
  <c r="V690" i="16"/>
  <c r="W689" i="16" l="1"/>
  <c r="W690" i="16" a="1"/>
  <c r="V691" i="16"/>
  <c r="W690" i="16" l="1"/>
  <c r="W691" i="16" a="1"/>
  <c r="V692" i="16"/>
  <c r="W691" i="16" l="1"/>
  <c r="W692" i="16" a="1"/>
  <c r="V693" i="16"/>
  <c r="W692" i="16" l="1"/>
  <c r="W693" i="16" a="1"/>
  <c r="V694" i="16"/>
  <c r="W693" i="16" l="1"/>
  <c r="W694" i="16" a="1"/>
  <c r="V695" i="16"/>
  <c r="W694" i="16" l="1"/>
  <c r="W695" i="16" a="1"/>
  <c r="V696" i="16"/>
  <c r="W695" i="16" l="1"/>
  <c r="W696" i="16" a="1"/>
  <c r="V697" i="16"/>
  <c r="W696" i="16" l="1"/>
  <c r="W697" i="16" a="1"/>
  <c r="V698" i="16"/>
  <c r="W697" i="16" l="1"/>
  <c r="V699" i="16"/>
  <c r="W698" i="16" a="1"/>
  <c r="W698" i="16" l="1"/>
  <c r="W699" i="16" a="1"/>
  <c r="V700" i="16"/>
  <c r="W699" i="16" l="1"/>
  <c r="W700" i="16" a="1"/>
  <c r="V701" i="16"/>
  <c r="W700" i="16" l="1"/>
  <c r="V702" i="16"/>
  <c r="W701" i="16" a="1"/>
  <c r="W701" i="16" l="1"/>
  <c r="W702" i="16" a="1"/>
  <c r="V703" i="16"/>
  <c r="W702" i="16" l="1"/>
  <c r="V704" i="16"/>
  <c r="W703" i="16" a="1"/>
  <c r="W703" i="16" l="1"/>
  <c r="V705" i="16"/>
  <c r="W704" i="16" a="1"/>
  <c r="W704" i="16" l="1"/>
  <c r="V706" i="16"/>
  <c r="W705" i="16" a="1"/>
  <c r="W705" i="16" l="1"/>
  <c r="V707" i="16"/>
  <c r="W706" i="16" a="1"/>
  <c r="W706" i="16" l="1"/>
  <c r="V708" i="16"/>
  <c r="W707" i="16" a="1"/>
  <c r="W707" i="16" l="1"/>
  <c r="W708" i="16" a="1"/>
  <c r="V709" i="16"/>
  <c r="W708" i="16" l="1"/>
  <c r="V710" i="16"/>
  <c r="W709" i="16" a="1"/>
  <c r="W709" i="16" l="1"/>
  <c r="W710" i="16" a="1"/>
  <c r="V711" i="16"/>
  <c r="W710" i="16" l="1"/>
  <c r="W711" i="16" a="1"/>
  <c r="V712" i="16"/>
  <c r="W711" i="16" l="1"/>
  <c r="W712" i="16" a="1"/>
  <c r="V713" i="16"/>
  <c r="W712" i="16" l="1"/>
  <c r="W713" i="16" a="1"/>
  <c r="V714" i="16"/>
  <c r="W713" i="16" l="1"/>
  <c r="W714" i="16" a="1"/>
  <c r="V715" i="16"/>
  <c r="W714" i="16" l="1"/>
  <c r="W715" i="16" a="1"/>
  <c r="V716" i="16"/>
  <c r="W715" i="16" l="1"/>
  <c r="W716" i="16" a="1"/>
  <c r="V717" i="16"/>
  <c r="W716" i="16" l="1"/>
  <c r="V718" i="16"/>
  <c r="W717" i="16" a="1"/>
  <c r="W717" i="16" l="1"/>
  <c r="V719" i="16"/>
  <c r="W718" i="16" a="1"/>
  <c r="W718" i="16" l="1"/>
  <c r="W719" i="16" a="1"/>
  <c r="V720" i="16"/>
  <c r="W719" i="16" l="1"/>
  <c r="V721" i="16"/>
  <c r="W720" i="16" a="1"/>
  <c r="W720" i="16" l="1"/>
  <c r="V722" i="16"/>
  <c r="W721" i="16" a="1"/>
  <c r="W721" i="16" l="1"/>
  <c r="V723" i="16"/>
  <c r="W722" i="16" a="1"/>
  <c r="W722" i="16" l="1"/>
  <c r="V724" i="16"/>
  <c r="W723" i="16" a="1"/>
  <c r="W723" i="16" l="1"/>
  <c r="V725" i="16"/>
  <c r="W724" i="16" a="1"/>
  <c r="W724" i="16" l="1"/>
  <c r="W725" i="16" a="1"/>
  <c r="V726" i="16"/>
  <c r="W725" i="16" l="1"/>
  <c r="W726" i="16" a="1"/>
  <c r="V727" i="16"/>
  <c r="W726" i="16" l="1"/>
  <c r="W727" i="16" a="1"/>
  <c r="V728" i="16"/>
  <c r="W727" i="16" l="1"/>
  <c r="W728" i="16" a="1"/>
  <c r="V729" i="16"/>
  <c r="W728" i="16" l="1"/>
  <c r="W729" i="16" a="1"/>
  <c r="V730" i="16"/>
  <c r="W729" i="16" l="1"/>
  <c r="V731" i="16"/>
  <c r="W730" i="16" a="1"/>
  <c r="W730" i="16" l="1"/>
  <c r="W731" i="16" a="1"/>
  <c r="V732" i="16"/>
  <c r="W731" i="16" l="1"/>
  <c r="V733" i="16"/>
  <c r="W732" i="16" a="1"/>
  <c r="W732" i="16" l="1"/>
  <c r="V734" i="16"/>
  <c r="W733" i="16" a="1"/>
  <c r="W733" i="16" l="1"/>
  <c r="V735" i="16"/>
  <c r="W734" i="16" a="1"/>
  <c r="W734" i="16" l="1"/>
  <c r="W735" i="16" a="1"/>
  <c r="V736" i="16"/>
  <c r="W735" i="16" l="1"/>
  <c r="W736" i="16" a="1"/>
  <c r="V737" i="16"/>
  <c r="W736" i="16" l="1"/>
  <c r="V738" i="16"/>
  <c r="W737" i="16" a="1"/>
  <c r="W737" i="16" l="1"/>
  <c r="W738" i="16" a="1"/>
  <c r="V739" i="16"/>
  <c r="W738" i="16" l="1"/>
  <c r="V740" i="16"/>
  <c r="W739" i="16" a="1"/>
  <c r="W739" i="16" l="1"/>
  <c r="W740" i="16" a="1"/>
  <c r="V741" i="16"/>
  <c r="W740" i="16" l="1"/>
  <c r="V742" i="16"/>
  <c r="W741" i="16" a="1"/>
  <c r="W741" i="16" l="1"/>
  <c r="W742" i="16" a="1"/>
  <c r="V743" i="16"/>
  <c r="W742" i="16" l="1"/>
  <c r="W743" i="16" a="1"/>
  <c r="V744" i="16"/>
  <c r="W743" i="16" l="1"/>
  <c r="W744" i="16" a="1"/>
  <c r="V745" i="16"/>
  <c r="W744" i="16" l="1"/>
  <c r="W745" i="16" a="1"/>
  <c r="V746" i="16"/>
  <c r="W745" i="16" l="1"/>
  <c r="W746" i="16" a="1"/>
  <c r="V747" i="16"/>
  <c r="W746" i="16" l="1"/>
  <c r="V748" i="16"/>
  <c r="W747" i="16" a="1"/>
  <c r="W747" i="16" l="1"/>
  <c r="W748" i="16" a="1"/>
  <c r="V749" i="16"/>
  <c r="W748" i="16" l="1"/>
  <c r="W749" i="16" a="1"/>
  <c r="V750" i="16"/>
  <c r="W749" i="16" l="1"/>
  <c r="V751" i="16"/>
  <c r="W750" i="16" a="1"/>
  <c r="W750" i="16" l="1"/>
  <c r="W751" i="16" a="1"/>
  <c r="V752" i="16"/>
  <c r="W751" i="16" l="1"/>
  <c r="V753" i="16"/>
  <c r="W752" i="16" a="1"/>
  <c r="W752" i="16" l="1"/>
  <c r="W753" i="16" a="1"/>
  <c r="V754" i="16"/>
  <c r="W753" i="16" l="1"/>
  <c r="W754" i="16" a="1"/>
  <c r="V755" i="16"/>
  <c r="W754" i="16" l="1"/>
  <c r="W755" i="16" a="1"/>
  <c r="V756" i="16"/>
  <c r="W755" i="16" l="1"/>
  <c r="W756" i="16" a="1"/>
  <c r="V757" i="16"/>
  <c r="W756" i="16" l="1"/>
  <c r="W757" i="16" a="1"/>
  <c r="V758" i="16"/>
  <c r="W757" i="16" l="1"/>
  <c r="V759" i="16"/>
  <c r="W758" i="16" a="1"/>
  <c r="W758" i="16" l="1"/>
  <c r="V760" i="16"/>
  <c r="W759" i="16" a="1"/>
  <c r="W759" i="16" l="1"/>
  <c r="W760" i="16" a="1"/>
  <c r="V761" i="16"/>
  <c r="W760" i="16" l="1"/>
  <c r="V762" i="16"/>
  <c r="W761" i="16" a="1"/>
  <c r="W761" i="16" l="1"/>
  <c r="W762" i="16" a="1"/>
  <c r="V763" i="16"/>
  <c r="W762" i="16" l="1"/>
  <c r="W763" i="16" a="1"/>
  <c r="V764" i="16"/>
  <c r="W763" i="16" l="1"/>
  <c r="W764" i="16" a="1"/>
  <c r="V765" i="16"/>
  <c r="W764" i="16" l="1"/>
  <c r="W765" i="16" a="1"/>
  <c r="V766" i="16"/>
  <c r="W765" i="16" l="1"/>
  <c r="W766" i="16" a="1"/>
  <c r="V767" i="16"/>
  <c r="W766" i="16" l="1"/>
  <c r="W767" i="16" a="1"/>
  <c r="V768" i="16"/>
  <c r="W767" i="16" l="1"/>
  <c r="V769" i="16"/>
  <c r="W768" i="16" a="1"/>
  <c r="W768" i="16" l="1"/>
  <c r="V770" i="16"/>
  <c r="W769" i="16" a="1"/>
  <c r="W769" i="16" l="1"/>
  <c r="W770" i="16" a="1"/>
  <c r="V771" i="16"/>
  <c r="W770" i="16" l="1"/>
  <c r="V772" i="16"/>
  <c r="W771" i="16" a="1"/>
  <c r="W771" i="16" l="1"/>
  <c r="V773" i="16"/>
  <c r="W772" i="16" a="1"/>
  <c r="W772" i="16" l="1"/>
  <c r="V774" i="16"/>
  <c r="W773" i="16" a="1"/>
  <c r="W773" i="16" l="1"/>
  <c r="W774" i="16" a="1"/>
  <c r="V775" i="16"/>
  <c r="W774" i="16" l="1"/>
  <c r="W775" i="16" a="1"/>
  <c r="V776" i="16"/>
  <c r="W775" i="16" l="1"/>
  <c r="W776" i="16" a="1"/>
  <c r="V777" i="16"/>
  <c r="W776" i="16" l="1"/>
  <c r="V778" i="16"/>
  <c r="W777" i="16" a="1"/>
  <c r="W777" i="16" l="1"/>
  <c r="V779" i="16"/>
  <c r="W778" i="16" a="1"/>
  <c r="W778" i="16" l="1"/>
  <c r="W779" i="16" a="1"/>
  <c r="V780" i="16"/>
  <c r="W779" i="16" l="1"/>
  <c r="V781" i="16"/>
  <c r="W780" i="16" a="1"/>
  <c r="W780" i="16" l="1"/>
  <c r="W781" i="16" a="1"/>
  <c r="V782" i="16"/>
  <c r="W781" i="16" l="1"/>
  <c r="W782" i="16" a="1"/>
  <c r="V783" i="16"/>
  <c r="W782" i="16" l="1"/>
  <c r="W783" i="16" a="1"/>
  <c r="V784" i="16"/>
  <c r="W783" i="16" l="1"/>
  <c r="V785" i="16"/>
  <c r="W784" i="16" a="1"/>
  <c r="W784" i="16" l="1"/>
  <c r="W785" i="16" a="1"/>
  <c r="V786" i="16"/>
  <c r="W785" i="16" l="1"/>
  <c r="W786" i="16" a="1"/>
  <c r="V787" i="16"/>
  <c r="W786" i="16" l="1"/>
  <c r="W787" i="16" a="1"/>
  <c r="V788" i="16"/>
  <c r="W787" i="16" l="1"/>
  <c r="V789" i="16"/>
  <c r="W788" i="16" a="1"/>
  <c r="W788" i="16" l="1"/>
  <c r="W789" i="16" a="1"/>
  <c r="V790" i="16"/>
  <c r="W789" i="16" l="1"/>
  <c r="W790" i="16" a="1"/>
  <c r="V791" i="16"/>
  <c r="W790" i="16" l="1"/>
  <c r="V792" i="16"/>
  <c r="W791" i="16" a="1"/>
  <c r="W791" i="16" l="1"/>
  <c r="W792" i="16" a="1"/>
  <c r="V793" i="16"/>
  <c r="W792" i="16" l="1"/>
  <c r="W793" i="16" a="1"/>
  <c r="V794" i="16"/>
  <c r="W793" i="16" l="1"/>
  <c r="W794" i="16" a="1"/>
  <c r="V795" i="16"/>
  <c r="W794" i="16" l="1"/>
  <c r="V796" i="16"/>
  <c r="W795" i="16" a="1"/>
  <c r="W795" i="16" l="1"/>
  <c r="W796" i="16" a="1"/>
  <c r="V797" i="16"/>
  <c r="W796" i="16" l="1"/>
  <c r="V798" i="16"/>
  <c r="W797" i="16" a="1"/>
  <c r="W797" i="16" l="1"/>
  <c r="V799" i="16"/>
  <c r="W798" i="16" a="1"/>
  <c r="W798" i="16" l="1"/>
  <c r="W799" i="16" a="1"/>
  <c r="V800" i="16"/>
  <c r="W799" i="16" l="1"/>
  <c r="V801" i="16"/>
  <c r="W800" i="16" a="1"/>
  <c r="W800" i="16" l="1"/>
  <c r="V802" i="16"/>
  <c r="W801" i="16" a="1"/>
  <c r="W801" i="16" l="1"/>
  <c r="W802" i="16" a="1"/>
  <c r="V803" i="16"/>
  <c r="W802" i="16" l="1"/>
  <c r="W803" i="16" a="1"/>
  <c r="V804" i="16"/>
  <c r="W803" i="16" l="1"/>
  <c r="W804" i="16" a="1"/>
  <c r="V805" i="16"/>
  <c r="W804" i="16" l="1"/>
  <c r="W805" i="16" a="1"/>
  <c r="V806" i="16"/>
  <c r="W805" i="16" l="1"/>
  <c r="V807" i="16"/>
  <c r="W806" i="16" a="1"/>
  <c r="W806" i="16" l="1"/>
  <c r="W807" i="16" a="1"/>
  <c r="V808" i="16"/>
  <c r="W807" i="16" l="1"/>
  <c r="W808" i="16" a="1"/>
  <c r="V809" i="16"/>
  <c r="W808" i="16" l="1"/>
  <c r="V810" i="16"/>
  <c r="W809" i="16" a="1"/>
  <c r="W809" i="16" l="1"/>
  <c r="W810" i="16" a="1"/>
  <c r="V811" i="16"/>
  <c r="W810" i="16" l="1"/>
  <c r="V812" i="16"/>
  <c r="W811" i="16" a="1"/>
  <c r="W811" i="16" l="1"/>
  <c r="W812" i="16" a="1"/>
  <c r="V813" i="16"/>
  <c r="W812" i="16" l="1"/>
  <c r="V814" i="16"/>
  <c r="W813" i="16" a="1"/>
  <c r="W813" i="16" l="1"/>
  <c r="V815" i="16"/>
  <c r="W814" i="16" a="1"/>
  <c r="W814" i="16" l="1"/>
  <c r="V816" i="16"/>
  <c r="W815" i="16" a="1"/>
  <c r="W815" i="16" l="1"/>
  <c r="V817" i="16"/>
  <c r="W816" i="16" a="1"/>
  <c r="W816" i="16" l="1"/>
  <c r="W817" i="16" a="1"/>
  <c r="V818" i="16"/>
  <c r="W817" i="16" l="1"/>
  <c r="W818" i="16" a="1"/>
  <c r="V819" i="16"/>
  <c r="W818" i="16" l="1"/>
  <c r="V820" i="16"/>
  <c r="W819" i="16" a="1"/>
  <c r="W819" i="16" l="1"/>
  <c r="W820" i="16" a="1"/>
  <c r="V821" i="16"/>
  <c r="W820" i="16" l="1"/>
  <c r="V822" i="16"/>
  <c r="W821" i="16" a="1"/>
  <c r="W821" i="16" l="1"/>
  <c r="V823" i="16"/>
  <c r="W822" i="16" a="1"/>
  <c r="W822" i="16" l="1"/>
  <c r="W823" i="16" a="1"/>
  <c r="V824" i="16"/>
  <c r="W823" i="16" l="1"/>
  <c r="W824" i="16" a="1"/>
  <c r="V825" i="16"/>
  <c r="W824" i="16" l="1"/>
  <c r="V826" i="16"/>
  <c r="W825" i="16" a="1"/>
  <c r="W825" i="16" l="1"/>
  <c r="V827" i="16"/>
  <c r="W826" i="16" a="1"/>
  <c r="W826" i="16" l="1"/>
  <c r="W827" i="16" a="1"/>
  <c r="V828" i="16"/>
  <c r="W827" i="16" l="1"/>
  <c r="V829" i="16"/>
  <c r="W828" i="16" a="1"/>
  <c r="W828" i="16" l="1"/>
  <c r="V830" i="16"/>
  <c r="W829" i="16" a="1"/>
  <c r="W829" i="16" l="1"/>
  <c r="W830" i="16" a="1"/>
  <c r="V831" i="16"/>
  <c r="W830" i="16" l="1"/>
  <c r="V832" i="16"/>
  <c r="W831" i="16" a="1"/>
  <c r="W831" i="16" l="1"/>
  <c r="V833" i="16"/>
  <c r="W832" i="16" a="1"/>
  <c r="W832" i="16" l="1"/>
  <c r="V834" i="16"/>
  <c r="W833" i="16" a="1"/>
  <c r="W833" i="16" l="1"/>
  <c r="W834" i="16" a="1"/>
  <c r="V835" i="16"/>
  <c r="W834" i="16" l="1"/>
  <c r="W835" i="16" a="1"/>
  <c r="V836" i="16"/>
  <c r="W835" i="16" l="1"/>
  <c r="W836" i="16" a="1"/>
  <c r="V837" i="16"/>
  <c r="W836" i="16" l="1"/>
  <c r="W837" i="16" a="1"/>
  <c r="V838" i="16"/>
  <c r="W837" i="16" l="1"/>
  <c r="W838" i="16" a="1"/>
  <c r="V839" i="16"/>
  <c r="W838" i="16" l="1"/>
  <c r="W839" i="16" a="1"/>
  <c r="V840" i="16"/>
  <c r="W839" i="16" l="1"/>
  <c r="W840" i="16" a="1"/>
  <c r="V841" i="16"/>
  <c r="W840" i="16" l="1"/>
  <c r="V842" i="16"/>
  <c r="W841" i="16" a="1"/>
  <c r="W841" i="16" l="1"/>
  <c r="W842" i="16" a="1"/>
  <c r="V843" i="16"/>
  <c r="W842" i="16" l="1"/>
  <c r="W843" i="16" a="1"/>
  <c r="V844" i="16"/>
  <c r="W843" i="16" l="1"/>
  <c r="V845" i="16"/>
  <c r="W844" i="16" a="1"/>
  <c r="W844" i="16" l="1"/>
  <c r="W845" i="16" a="1"/>
  <c r="V846" i="16"/>
  <c r="W845" i="16" l="1"/>
  <c r="W846" i="16" a="1"/>
  <c r="V847" i="16"/>
  <c r="W846" i="16" l="1"/>
  <c r="W847" i="16" a="1"/>
  <c r="V848" i="16"/>
  <c r="W847" i="16" l="1"/>
  <c r="W848" i="16" a="1"/>
  <c r="V849" i="16"/>
  <c r="W848" i="16" l="1"/>
  <c r="W849" i="16" a="1"/>
  <c r="V850" i="16"/>
  <c r="W849" i="16" l="1"/>
  <c r="W850" i="16" a="1"/>
  <c r="V851" i="16"/>
  <c r="W850" i="16" l="1"/>
  <c r="W851" i="16" a="1"/>
  <c r="V852" i="16"/>
  <c r="W851" i="16" l="1"/>
  <c r="V853" i="16"/>
  <c r="W852" i="16" a="1"/>
  <c r="W852" i="16" l="1"/>
  <c r="W853" i="16" a="1"/>
  <c r="V854" i="16"/>
  <c r="W853" i="16" l="1"/>
  <c r="W854" i="16" a="1"/>
  <c r="V855" i="16"/>
  <c r="W854" i="16" l="1"/>
  <c r="W855" i="16" a="1"/>
  <c r="V856" i="16"/>
  <c r="W855" i="16" l="1"/>
  <c r="V857" i="16"/>
  <c r="W856" i="16" a="1"/>
  <c r="W856" i="16" l="1"/>
  <c r="W857" i="16" a="1"/>
  <c r="V858" i="16"/>
  <c r="W857" i="16" l="1"/>
  <c r="V859" i="16"/>
  <c r="W858" i="16" a="1"/>
  <c r="W858" i="16" l="1"/>
  <c r="W859" i="16" a="1"/>
  <c r="V860" i="16"/>
  <c r="W859" i="16" l="1"/>
  <c r="W860" i="16" a="1"/>
  <c r="V861" i="16"/>
  <c r="W860" i="16" l="1"/>
  <c r="W861" i="16" a="1"/>
  <c r="V862" i="16"/>
  <c r="W861" i="16" l="1"/>
  <c r="V863" i="16"/>
  <c r="W862" i="16" a="1"/>
  <c r="W862" i="16" l="1"/>
  <c r="V864" i="16"/>
  <c r="W863" i="16" a="1"/>
  <c r="W863" i="16" l="1"/>
  <c r="W864" i="16" a="1"/>
  <c r="V865" i="16"/>
  <c r="W864" i="16" l="1"/>
  <c r="V866" i="16"/>
  <c r="W865" i="16" a="1"/>
  <c r="W865" i="16" l="1"/>
  <c r="V867" i="16"/>
  <c r="W866" i="16" a="1"/>
  <c r="W866" i="16" l="1"/>
  <c r="V868" i="16"/>
  <c r="W867" i="16" a="1"/>
  <c r="W867" i="16" l="1"/>
  <c r="W868" i="16" a="1"/>
  <c r="V869" i="16"/>
  <c r="W868" i="16" l="1"/>
  <c r="V870" i="16"/>
  <c r="W869" i="16" a="1"/>
  <c r="W869" i="16" l="1"/>
  <c r="V871" i="16"/>
  <c r="W870" i="16" a="1"/>
  <c r="W870" i="16" l="1"/>
  <c r="W871" i="16" a="1"/>
  <c r="V872" i="16"/>
  <c r="W871" i="16" l="1"/>
  <c r="V873" i="16"/>
  <c r="W872" i="16" a="1"/>
  <c r="W872" i="16" l="1"/>
  <c r="W873" i="16" a="1"/>
  <c r="V874" i="16"/>
  <c r="W873" i="16" l="1"/>
  <c r="V875" i="16"/>
  <c r="W874" i="16" a="1"/>
  <c r="W874" i="16" l="1"/>
  <c r="W875" i="16" a="1"/>
  <c r="V876" i="16"/>
  <c r="W875" i="16" l="1"/>
  <c r="W876" i="16" a="1"/>
  <c r="V877" i="16"/>
  <c r="W876" i="16" l="1"/>
  <c r="V878" i="16"/>
  <c r="W877" i="16" a="1"/>
  <c r="W877" i="16" l="1"/>
  <c r="W878" i="16" a="1"/>
  <c r="V879" i="16"/>
  <c r="W878" i="16" l="1"/>
  <c r="V880" i="16"/>
  <c r="W879" i="16" a="1"/>
  <c r="W879" i="16" l="1"/>
  <c r="V881" i="16"/>
  <c r="W880" i="16" a="1"/>
  <c r="W880" i="16" l="1"/>
  <c r="W881" i="16" a="1"/>
  <c r="V882" i="16"/>
  <c r="W881" i="16" l="1"/>
  <c r="V883" i="16"/>
  <c r="W882" i="16" a="1"/>
  <c r="W882" i="16" l="1"/>
  <c r="W883" i="16" a="1"/>
  <c r="V884" i="16"/>
  <c r="W883" i="16" l="1"/>
  <c r="W884" i="16" a="1"/>
  <c r="V885" i="16"/>
  <c r="W884" i="16" l="1"/>
  <c r="W885" i="16" a="1"/>
  <c r="V886" i="16"/>
  <c r="W885" i="16" l="1"/>
  <c r="W886" i="16" a="1"/>
  <c r="V887" i="16"/>
  <c r="W886" i="16" l="1"/>
  <c r="W887" i="16" a="1"/>
  <c r="V888" i="16"/>
  <c r="W887" i="16" l="1"/>
  <c r="W888" i="16" a="1"/>
  <c r="V889" i="16"/>
  <c r="W888" i="16" l="1"/>
  <c r="W889" i="16" a="1"/>
  <c r="V890" i="16"/>
  <c r="W889" i="16" l="1"/>
  <c r="W890" i="16" a="1"/>
  <c r="V891" i="16"/>
  <c r="W890" i="16" l="1"/>
  <c r="W891" i="16" a="1"/>
  <c r="V892" i="16"/>
  <c r="W891" i="16" l="1"/>
  <c r="V893" i="16"/>
  <c r="W892" i="16" a="1"/>
  <c r="W892" i="16" l="1"/>
  <c r="V894" i="16"/>
  <c r="W893" i="16" a="1"/>
  <c r="W893" i="16" l="1"/>
  <c r="W894" i="16" a="1"/>
  <c r="V895" i="16"/>
  <c r="W894" i="16" l="1"/>
  <c r="V896" i="16"/>
  <c r="W895" i="16" a="1"/>
  <c r="W895" i="16" l="1"/>
  <c r="V897" i="16"/>
  <c r="W896" i="16" a="1"/>
  <c r="W896" i="16" l="1"/>
  <c r="W897" i="16" a="1"/>
  <c r="V898" i="16"/>
  <c r="W897" i="16" l="1"/>
  <c r="V899" i="16"/>
  <c r="W898" i="16" a="1"/>
  <c r="W898" i="16" l="1"/>
  <c r="W899" i="16" a="1"/>
  <c r="V900" i="16"/>
  <c r="W899" i="16" l="1"/>
  <c r="W900" i="16" a="1"/>
  <c r="V901" i="16"/>
  <c r="W900" i="16" l="1"/>
  <c r="W901" i="16" a="1"/>
  <c r="V902" i="16"/>
  <c r="W901" i="16" l="1"/>
  <c r="W902" i="16" a="1"/>
  <c r="V903" i="16"/>
  <c r="W902" i="16" l="1"/>
  <c r="W903" i="16" a="1"/>
  <c r="V904" i="16"/>
  <c r="W903" i="16" l="1"/>
  <c r="V905" i="16"/>
  <c r="W904" i="16" a="1"/>
  <c r="W904" i="16" l="1"/>
  <c r="V906" i="16"/>
  <c r="W905" i="16" a="1"/>
  <c r="W905" i="16" l="1"/>
  <c r="V907" i="16"/>
  <c r="W906" i="16" a="1"/>
  <c r="W906" i="16" l="1"/>
  <c r="V908" i="16"/>
  <c r="W907" i="16" a="1"/>
  <c r="W907" i="16" l="1"/>
  <c r="V909" i="16"/>
  <c r="W908" i="16" a="1"/>
  <c r="W908" i="16" l="1"/>
  <c r="V910" i="16"/>
  <c r="W909" i="16" a="1"/>
  <c r="W909" i="16" l="1"/>
  <c r="W910" i="16" a="1"/>
  <c r="V911" i="16"/>
  <c r="W910" i="16" l="1"/>
  <c r="W911" i="16" a="1"/>
  <c r="V912" i="16"/>
  <c r="W911" i="16" l="1"/>
  <c r="W912" i="16" a="1"/>
  <c r="V913" i="16"/>
  <c r="W912" i="16" l="1"/>
  <c r="W913" i="16" a="1"/>
  <c r="V914" i="16"/>
  <c r="W913" i="16" l="1"/>
  <c r="W914" i="16" a="1"/>
  <c r="V915" i="16"/>
  <c r="W914" i="16" l="1"/>
  <c r="W915" i="16" a="1"/>
  <c r="V916" i="16"/>
  <c r="W915" i="16" l="1"/>
  <c r="V917" i="16"/>
  <c r="W916" i="16" a="1"/>
  <c r="W916" i="16" l="1"/>
  <c r="W917" i="16" a="1"/>
  <c r="V918" i="16"/>
  <c r="W917" i="16" l="1"/>
  <c r="V919" i="16"/>
  <c r="W918" i="16" a="1"/>
  <c r="W918" i="16" l="1"/>
  <c r="V920" i="16"/>
  <c r="W919" i="16" a="1"/>
  <c r="W919" i="16" l="1"/>
  <c r="V921" i="16"/>
  <c r="W920" i="16" a="1"/>
  <c r="W920" i="16" l="1"/>
  <c r="W921" i="16" a="1"/>
  <c r="V922" i="16"/>
  <c r="W921" i="16" l="1"/>
  <c r="V923" i="16"/>
  <c r="W922" i="16" a="1"/>
  <c r="W922" i="16" l="1"/>
  <c r="W923" i="16" a="1"/>
  <c r="V924" i="16"/>
  <c r="W923" i="16" l="1"/>
  <c r="W924" i="16" a="1"/>
  <c r="V925" i="16"/>
  <c r="W924" i="16" l="1"/>
  <c r="W925" i="16" a="1"/>
  <c r="V926" i="16"/>
  <c r="W925" i="16" l="1"/>
  <c r="W926" i="16" a="1"/>
  <c r="V927" i="16"/>
  <c r="W926" i="16" l="1"/>
  <c r="W927" i="16" a="1"/>
  <c r="V928" i="16"/>
  <c r="W927" i="16" l="1"/>
  <c r="W928" i="16" a="1"/>
  <c r="V929" i="16"/>
  <c r="W928" i="16" l="1"/>
  <c r="W929" i="16" a="1"/>
  <c r="V930" i="16"/>
  <c r="W929" i="16" l="1"/>
  <c r="W930" i="16" a="1"/>
  <c r="V931" i="16"/>
  <c r="W930" i="16" l="1"/>
  <c r="W931" i="16" a="1"/>
  <c r="V932" i="16"/>
  <c r="W931" i="16" l="1"/>
  <c r="W932" i="16" a="1"/>
  <c r="V933" i="16"/>
  <c r="W932" i="16" l="1"/>
  <c r="W933" i="16" a="1"/>
  <c r="V934" i="16"/>
  <c r="W933" i="16" l="1"/>
  <c r="V935" i="16"/>
  <c r="W934" i="16" a="1"/>
  <c r="W934" i="16" l="1"/>
  <c r="V936" i="16"/>
  <c r="W935" i="16" a="1"/>
  <c r="W935" i="16" l="1"/>
  <c r="W936" i="16" a="1"/>
  <c r="V937" i="16"/>
  <c r="W936" i="16" l="1"/>
  <c r="V938" i="16"/>
  <c r="W937" i="16" a="1"/>
  <c r="W937" i="16" l="1"/>
  <c r="W938" i="16" a="1"/>
  <c r="V939" i="16"/>
  <c r="W938" i="16" l="1"/>
  <c r="W939" i="16" a="1"/>
  <c r="V940" i="16"/>
  <c r="W939" i="16" l="1"/>
  <c r="W940" i="16" a="1"/>
  <c r="V941" i="16"/>
  <c r="W940" i="16" l="1"/>
  <c r="W941" i="16" a="1"/>
  <c r="V942" i="16"/>
  <c r="W941" i="16" l="1"/>
  <c r="V943" i="16"/>
  <c r="W942" i="16" a="1"/>
  <c r="W942" i="16" l="1"/>
  <c r="W943" i="16" a="1"/>
  <c r="V944" i="16"/>
  <c r="W943" i="16" l="1"/>
  <c r="W944" i="16" a="1"/>
  <c r="V945" i="16"/>
  <c r="W944" i="16" l="1"/>
  <c r="W945" i="16" a="1"/>
  <c r="V946" i="16"/>
  <c r="W945" i="16" l="1"/>
  <c r="V947" i="16"/>
  <c r="W946" i="16" a="1"/>
  <c r="W946" i="16" l="1"/>
  <c r="W947" i="16" a="1"/>
  <c r="V948" i="16"/>
  <c r="W947" i="16" l="1"/>
  <c r="W948" i="16" a="1"/>
  <c r="V949" i="16"/>
  <c r="W948" i="16" l="1"/>
  <c r="V950" i="16"/>
  <c r="W949" i="16" a="1"/>
  <c r="W949" i="16" l="1"/>
  <c r="W950" i="16" a="1"/>
  <c r="V951" i="16"/>
  <c r="W950" i="16" l="1"/>
  <c r="W951" i="16" a="1"/>
  <c r="V952" i="16"/>
  <c r="W951" i="16" l="1"/>
  <c r="V953" i="16"/>
  <c r="W952" i="16" a="1"/>
  <c r="W952" i="16" l="1"/>
  <c r="V954" i="16"/>
  <c r="W953" i="16" a="1"/>
  <c r="W953" i="16" l="1"/>
  <c r="V955" i="16"/>
  <c r="W954" i="16" a="1"/>
  <c r="W954" i="16" l="1"/>
  <c r="W955" i="16" a="1"/>
  <c r="V956" i="16"/>
  <c r="W955" i="16" l="1"/>
  <c r="V957" i="16"/>
  <c r="W956" i="16" a="1"/>
  <c r="W956" i="16" l="1"/>
  <c r="W957" i="16" a="1"/>
  <c r="V958" i="16"/>
  <c r="W957" i="16" l="1"/>
  <c r="W958" i="16" a="1"/>
  <c r="V959" i="16"/>
  <c r="W958" i="16" l="1"/>
  <c r="V960" i="16"/>
  <c r="W959" i="16" a="1"/>
  <c r="W959" i="16" l="1"/>
  <c r="V961" i="16"/>
  <c r="W960" i="16" a="1"/>
  <c r="W960" i="16" l="1"/>
  <c r="V962" i="16"/>
  <c r="W961" i="16" a="1"/>
  <c r="W961" i="16" l="1"/>
  <c r="V963" i="16"/>
  <c r="W962" i="16" a="1"/>
  <c r="W962" i="16" l="1"/>
  <c r="W963" i="16" a="1"/>
  <c r="V964" i="16"/>
  <c r="W963" i="16" l="1"/>
  <c r="W964" i="16" a="1"/>
  <c r="V965" i="16"/>
  <c r="W964" i="16" l="1"/>
  <c r="V966" i="16"/>
  <c r="W965" i="16" a="1"/>
  <c r="W965" i="16" l="1"/>
  <c r="W966" i="16" a="1"/>
  <c r="V967" i="16"/>
  <c r="W966" i="16" l="1"/>
  <c r="V968" i="16"/>
  <c r="W967" i="16" a="1"/>
  <c r="W967" i="16" l="1"/>
  <c r="W968" i="16" a="1"/>
  <c r="V969" i="16"/>
  <c r="W968" i="16" l="1"/>
  <c r="W969" i="16" a="1"/>
  <c r="V970" i="16"/>
  <c r="W969" i="16" l="1"/>
  <c r="W970" i="16" a="1"/>
  <c r="V971" i="16"/>
  <c r="W970" i="16" l="1"/>
  <c r="W971" i="16" a="1"/>
  <c r="V972" i="16"/>
  <c r="W971" i="16" l="1"/>
  <c r="W972" i="16" a="1"/>
  <c r="V973" i="16"/>
  <c r="W972" i="16" l="1"/>
  <c r="W973" i="16" a="1"/>
  <c r="V974" i="16"/>
  <c r="W973" i="16" l="1"/>
  <c r="W974" i="16" a="1"/>
  <c r="V975" i="16"/>
  <c r="W974" i="16" l="1"/>
  <c r="W975" i="16" a="1"/>
  <c r="V976" i="16"/>
  <c r="W975" i="16" l="1"/>
  <c r="W976" i="16" a="1"/>
  <c r="V977" i="16"/>
  <c r="W976" i="16" l="1"/>
  <c r="V978" i="16"/>
  <c r="W977" i="16" a="1"/>
  <c r="W977" i="16" l="1"/>
  <c r="W978" i="16" a="1"/>
  <c r="V979" i="16"/>
  <c r="W978" i="16" l="1"/>
  <c r="W979" i="16" a="1"/>
  <c r="V980" i="16"/>
  <c r="W979" i="16" l="1"/>
  <c r="W980" i="16" a="1"/>
  <c r="V981" i="16"/>
  <c r="W980" i="16" l="1"/>
  <c r="W981" i="16" a="1"/>
  <c r="V982" i="16"/>
  <c r="W981" i="16" l="1"/>
  <c r="V983" i="16"/>
  <c r="W982" i="16" a="1"/>
  <c r="W982" i="16" l="1"/>
  <c r="W983" i="16" a="1"/>
  <c r="V984" i="16"/>
  <c r="W983" i="16" l="1"/>
  <c r="V985" i="16"/>
  <c r="W984" i="16" a="1"/>
  <c r="W984" i="16" l="1"/>
  <c r="W985" i="16" a="1"/>
  <c r="V986" i="16"/>
  <c r="W985" i="16" l="1"/>
  <c r="V987" i="16"/>
  <c r="W986" i="16" a="1"/>
  <c r="W986" i="16" l="1"/>
  <c r="W987" i="16" a="1"/>
  <c r="V988" i="16"/>
  <c r="W987" i="16" l="1"/>
  <c r="W988" i="16" a="1"/>
  <c r="V989" i="16"/>
  <c r="W988" i="16" l="1"/>
  <c r="W989" i="16" a="1"/>
  <c r="V990" i="16"/>
  <c r="W989" i="16" l="1"/>
  <c r="V991" i="16"/>
  <c r="W990" i="16" a="1"/>
  <c r="W990" i="16" l="1"/>
  <c r="W991" i="16" a="1"/>
  <c r="V992" i="16"/>
  <c r="W991" i="16" l="1"/>
  <c r="W992" i="16" a="1"/>
  <c r="V993" i="16"/>
  <c r="W992" i="16" l="1"/>
  <c r="W993" i="16" a="1"/>
  <c r="V994" i="16"/>
  <c r="W993" i="16" l="1"/>
  <c r="V995" i="16"/>
  <c r="W994" i="16" a="1"/>
  <c r="W994" i="16" l="1"/>
  <c r="V996" i="16"/>
  <c r="W995" i="16" a="1"/>
  <c r="W995" i="16" l="1"/>
  <c r="W996" i="16" a="1"/>
  <c r="V997" i="16"/>
  <c r="W996" i="16" l="1"/>
  <c r="W997" i="16" a="1"/>
  <c r="V998" i="16"/>
  <c r="W997" i="16" l="1"/>
  <c r="W998" i="16" a="1"/>
  <c r="V999" i="16"/>
  <c r="W998" i="16" l="1"/>
  <c r="V1000" i="16"/>
  <c r="W999" i="16" a="1"/>
  <c r="W999" i="16" l="1"/>
  <c r="W1000" i="16" a="1"/>
  <c r="W1000" i="16" l="1"/>
  <c r="F2" i="16" s="1" a="1"/>
  <c r="F2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<sst xmlns="http://schemas.openxmlformats.org/spreadsheetml/2006/main" count="1204" uniqueCount="485">
  <si>
    <t>Ventilation system name</t>
  </si>
  <si>
    <t>Heating system name</t>
  </si>
  <si>
    <t>Cooling system name</t>
  </si>
  <si>
    <t>thermalMassHeatCapacity</t>
  </si>
  <si>
    <t>outputCapacity</t>
  </si>
  <si>
    <t>bodyMass</t>
  </si>
  <si>
    <t>energySource</t>
  </si>
  <si>
    <t>heatTransferDimension</t>
  </si>
  <si>
    <t>heatTransferMedium</t>
  </si>
  <si>
    <t>numberOfPanels</t>
  </si>
  <si>
    <t>numberOfSections</t>
  </si>
  <si>
    <t>placementType</t>
  </si>
  <si>
    <t>temperatureClassification</t>
  </si>
  <si>
    <t>thermalEfficiency</t>
  </si>
  <si>
    <t>closeOffRating</t>
  </si>
  <si>
    <t>flowCoefficient</t>
  </si>
  <si>
    <t>size</t>
  </si>
  <si>
    <t>testPressure</t>
  </si>
  <si>
    <t>valveMechanism</t>
  </si>
  <si>
    <t>valveOperation</t>
  </si>
  <si>
    <t>valvePattern</t>
  </si>
  <si>
    <t>workingPressure</t>
  </si>
  <si>
    <t>airFlowRateMax</t>
  </si>
  <si>
    <t>bladeAction</t>
  </si>
  <si>
    <t>bladeEdge</t>
  </si>
  <si>
    <t>bladeShape</t>
  </si>
  <si>
    <t>bladeThickness</t>
  </si>
  <si>
    <t>faceArea</t>
  </si>
  <si>
    <t>frameDepth</t>
  </si>
  <si>
    <t>frameThickness</t>
  </si>
  <si>
    <t>frameType</t>
  </si>
  <si>
    <t>leakageFullyClosed</t>
  </si>
  <si>
    <t>nominalAirFlowRate</t>
  </si>
  <si>
    <t>numberOfBlades</t>
  </si>
  <si>
    <t>openPressureDrop</t>
  </si>
  <si>
    <t>operation</t>
  </si>
  <si>
    <t>operationTemperatureMax</t>
  </si>
  <si>
    <t>operationTemperatureMin</t>
  </si>
  <si>
    <t>orientation</t>
  </si>
  <si>
    <t>temperatureRating</t>
  </si>
  <si>
    <t>workingPressureMax</t>
  </si>
  <si>
    <t>capacityControlType</t>
  </si>
  <si>
    <t>motorDriveType</t>
  </si>
  <si>
    <t>nominalPowerRate</t>
  </si>
  <si>
    <t>nominalRotationSpeed</t>
  </si>
  <si>
    <t>nominalStaticPressure</t>
  </si>
  <si>
    <t>nominalTotalPressure</t>
  </si>
  <si>
    <t>operationalRiterial</t>
  </si>
  <si>
    <t>hasDefrost</t>
  </si>
  <si>
    <t>heatTransferTypeEnum</t>
  </si>
  <si>
    <t>primaryAirFlowRateMax</t>
  </si>
  <si>
    <t>primaryAirFlowRateMin</t>
  </si>
  <si>
    <t>secondaryAirFlowRateMax</t>
  </si>
  <si>
    <t>secondaryAirFlowRateMin</t>
  </si>
  <si>
    <t>C</t>
  </si>
  <si>
    <t>T</t>
  </si>
  <si>
    <t>airVolume</t>
  </si>
  <si>
    <t>subSystemOf</t>
  </si>
  <si>
    <t>isContainedIn</t>
  </si>
  <si>
    <t>id</t>
  </si>
  <si>
    <t>Temperature</t>
  </si>
  <si>
    <t>OpeningPosition</t>
  </si>
  <si>
    <t>type</t>
  </si>
  <si>
    <t>Energy</t>
  </si>
  <si>
    <t>Motion</t>
  </si>
  <si>
    <t>DirectNormalIrradiation</t>
  </si>
  <si>
    <t>Humidity</t>
  </si>
  <si>
    <t>Light</t>
  </si>
  <si>
    <t>Price</t>
  </si>
  <si>
    <t>Smoke</t>
  </si>
  <si>
    <t>Pressure</t>
  </si>
  <si>
    <t>Power</t>
  </si>
  <si>
    <t>Occupancy</t>
  </si>
  <si>
    <t>property_class</t>
  </si>
  <si>
    <t>hasProperty</t>
  </si>
  <si>
    <t>isExternal</t>
  </si>
  <si>
    <t>mechanicalOperated</t>
  </si>
  <si>
    <t>roughness</t>
  </si>
  <si>
    <t>shadingDeviceType</t>
  </si>
  <si>
    <t>solarReflectance</t>
  </si>
  <si>
    <t>solarTransmittance</t>
  </si>
  <si>
    <t>thermalTransmittance</t>
  </si>
  <si>
    <t>visibleLightReflectance</t>
  </si>
  <si>
    <t>visibleLightTransmittance</t>
  </si>
  <si>
    <t>Co2</t>
  </si>
  <si>
    <t>HF04</t>
  </si>
  <si>
    <t>system_names</t>
  </si>
  <si>
    <t>ventilation_system_names</t>
  </si>
  <si>
    <t>heating_system_names</t>
  </si>
  <si>
    <t>cooling_system_names</t>
  </si>
  <si>
    <t>heating_cooling_system_names</t>
  </si>
  <si>
    <t>HD01</t>
  </si>
  <si>
    <t>cooling_coil</t>
  </si>
  <si>
    <t>heating_coil</t>
  </si>
  <si>
    <t>Cooling</t>
  </si>
  <si>
    <t>Cooling;HF04</t>
  </si>
  <si>
    <t>HF04;HD01</t>
  </si>
  <si>
    <t>BTA004</t>
  </si>
  <si>
    <t>all_flow_systems</t>
  </si>
  <si>
    <t>building_space</t>
  </si>
  <si>
    <t>damper</t>
  </si>
  <si>
    <t>space_heater</t>
  </si>
  <si>
    <t>valve</t>
  </si>
  <si>
    <t>coil</t>
  </si>
  <si>
    <t>air_to_air_heat_recovery</t>
  </si>
  <si>
    <t>fan</t>
  </si>
  <si>
    <t>controller</t>
  </si>
  <si>
    <t>sensor</t>
  </si>
  <si>
    <t>meter</t>
  </si>
  <si>
    <t>HF04_heat_exchanger</t>
  </si>
  <si>
    <t>fan_supply_pressure</t>
  </si>
  <si>
    <t>supply_fan</t>
  </si>
  <si>
    <t>BTA001</t>
  </si>
  <si>
    <t>heat_exchanger_power</t>
  </si>
  <si>
    <t>BTA002</t>
  </si>
  <si>
    <t>fan_power</t>
  </si>
  <si>
    <t>BTA003</t>
  </si>
  <si>
    <t>cooling_coil_power</t>
  </si>
  <si>
    <t>heating_coil_power</t>
  </si>
  <si>
    <t>supply_pressure</t>
  </si>
  <si>
    <t>BTA005</t>
  </si>
  <si>
    <t>exhaust_pressure</t>
  </si>
  <si>
    <t>BTA006</t>
  </si>
  <si>
    <t>exhaust_fan</t>
  </si>
  <si>
    <t>exhaust_fan_power</t>
  </si>
  <si>
    <t>exhaust_fan_pressure</t>
  </si>
  <si>
    <t>HF04_reheated_air_temperature</t>
  </si>
  <si>
    <t>HF04_heated_air_temperature</t>
  </si>
  <si>
    <t>HF04_exhaust_temperature</t>
  </si>
  <si>
    <t>HF04_exhaust_temperature_after_reheater</t>
  </si>
  <si>
    <t>HF04_supply_air_temperature</t>
  </si>
  <si>
    <t>HF04_intake_air_temperature</t>
  </si>
  <si>
    <t>BPA001</t>
  </si>
  <si>
    <t>intake_pressure</t>
  </si>
  <si>
    <t>BPA002</t>
  </si>
  <si>
    <t>BPA004_exhaust</t>
  </si>
  <si>
    <t>BPA003_supply</t>
  </si>
  <si>
    <t>BPA003_exhaust</t>
  </si>
  <si>
    <t>BPA004_exhaust_fan</t>
  </si>
  <si>
    <t>csv filename</t>
  </si>
  <si>
    <t>airFlowRateMin</t>
  </si>
  <si>
    <t>nominalLatentCapacity</t>
  </si>
  <si>
    <t>nominalSensibleCapacity</t>
  </si>
  <si>
    <t>nominalUa</t>
  </si>
  <si>
    <t>/Twin4build-Case-Studies/DP37/data/Time series/HF04/OD095_01_032A_J95_HF04_BPA001_S1.plc_SENSOR_VALUE.csv</t>
  </si>
  <si>
    <t>/Twin4build-Case-Studies/DP37/data/Time series/HF04/OD095_01_032A_J95_HF04_BPA002_S1.plc_SENSOR_VALUE.csv</t>
  </si>
  <si>
    <t>/Twin4build-Case-Studies/DP37/data/Time series/HF04/OD095_01_032A_J95_HF04_BPA003_S1.plc_SENSOR_VALUE.csv</t>
  </si>
  <si>
    <t>/Twin4build-Case-Studies/DP37/data/Time series/HF04/OD095_01_032A_J95_HF04_BPA004_S1.plc_SENSOR_VALUE.csv</t>
  </si>
  <si>
    <t>/Twin4build-Case-Studies/DP37/data/Time series/HF04/OD095_01_032A_J95_HF04_BPA005_S1.plc_SENSOR_VALUE.csv</t>
  </si>
  <si>
    <t>/Twin4build-Case-Studies/DP37/data/Time series/HF04/OD095_01_032A_J95_HF04_BPA006_S1.plc_SENSOR_VALUE.csv</t>
  </si>
  <si>
    <t>/Twin4build-Case-Studies/DP37/data/Time series/HF04/OD095_01_032A_J95_HF04_BTA001_S1.plc_SENSOR_VALUE.csv</t>
  </si>
  <si>
    <t>/Twin4build-Case-Studies/DP37/data/Time series/HF04/OD095_01_032A_J95_HF04_BTA002_S1.plc_SENSOR_VALUE.csv</t>
  </si>
  <si>
    <t>/Twin4build-Case-Studies/DP37/data/Time series/HF04/OD095_01_032A_J95_HF04_BTA003_S1.plc_SENSOR_VALUE.csv</t>
  </si>
  <si>
    <t>/Twin4build-Case-Studies/DP37/data/Time series/HF04/OD095_01_032A_J95_HF04_BTA004_S1.plc_SENSOR_VALUE.csv</t>
  </si>
  <si>
    <t>/Twin4build-Case-Studies/DP37/data/Time series/HF04/OD095_01_032A_J95_HF04_BTA005_S1.plc_SENSOR_VALUE.csv</t>
  </si>
  <si>
    <t>/Twin4build-Case-Studies/DP37/data/Time series/HF04/OD095_01_032A_J95_HF04_BTA006_S1.plc_SENSOR_VALUE.csv</t>
  </si>
  <si>
    <t>supply_fan_flow</t>
  </si>
  <si>
    <t>exhaust_fan_flow</t>
  </si>
  <si>
    <t>fan_supply_pressure;fan_power;supply_fan_flow</t>
  </si>
  <si>
    <t>exhaust_fan_pressure;exhaust_fan_power;exhaust_fan_flow</t>
  </si>
  <si>
    <t>exhaust_filter_pressure</t>
  </si>
  <si>
    <t>supply_filter_pressure</t>
  </si>
  <si>
    <t>HF04_intake_air_temperature;HF04_reheated_air_temperature;HF04_exhaust_temperature;HF04_exhaust_temperature_after_reheater</t>
  </si>
  <si>
    <t>observes</t>
  </si>
  <si>
    <t>controls</t>
  </si>
  <si>
    <t>hasProfile</t>
  </si>
  <si>
    <t>connectedTo</t>
  </si>
  <si>
    <t>OUTDOOR</t>
  </si>
  <si>
    <t>outdoor_environment</t>
  </si>
  <si>
    <t>isReverse</t>
  </si>
  <si>
    <t>hasFluidSuppliedBy</t>
  </si>
  <si>
    <t>hasFluidReturnedBy</t>
  </si>
  <si>
    <t>hasFluidSuppliedBy (airside)</t>
  </si>
  <si>
    <t>hasFluidSuppliedBy (waterside)</t>
  </si>
  <si>
    <t>coil_airside</t>
  </si>
  <si>
    <t>coil_waterside</t>
  </si>
  <si>
    <t>air_to_air_heat_recovery_supply</t>
  </si>
  <si>
    <t>air_to_air_heat_recovery_exhaust</t>
  </si>
  <si>
    <t>heating_coil (airside)</t>
  </si>
  <si>
    <t>cooling_coil (airside)</t>
  </si>
  <si>
    <t>HF04_heat_exchanger (supply)</t>
  </si>
  <si>
    <t>HF04_heat_exchanger (exhaust)</t>
  </si>
  <si>
    <t>rule</t>
  </si>
  <si>
    <t>Like 029</t>
  </si>
  <si>
    <t>Only ventilation - constant open damper - C1_ACTUATOR - S1 looks strange</t>
  </si>
  <si>
    <t>19 deg setpoint - no heating - Bad temp readings - could be fixed - vent only by co2</t>
  </si>
  <si>
    <t>Constant 0.3 C1 damper opening ventilation. Fully open valve position all time due to high setpoint possibly underdimentioned space heater</t>
  </si>
  <si>
    <t>Constant open damper at 1 - C1_ACTUATOR - S1 looks strange - has space heater</t>
  </si>
  <si>
    <t>Space_1;outdoor_environment</t>
  </si>
  <si>
    <t>Space_1</t>
  </si>
  <si>
    <t>Space_1_temperature_property;Space_1_co2_property</t>
  </si>
  <si>
    <t>Space_1_room_supply_damper</t>
  </si>
  <si>
    <t>Space_1_occupancy_profile</t>
  </si>
  <si>
    <t>Space_1_supply_damper_position_property</t>
  </si>
  <si>
    <t>Space_1_room_exhaust_damper</t>
  </si>
  <si>
    <t>Space_1_exhaust_damper_position_property</t>
  </si>
  <si>
    <t>Space_1_space_heater</t>
  </si>
  <si>
    <t>Space_1_space_heater_valve</t>
  </si>
  <si>
    <t>Space_1_radiator_heat_property</t>
  </si>
  <si>
    <t>Space_1_radiator_valve_position_property</t>
  </si>
  <si>
    <t>Space_1_temperature_controller</t>
  </si>
  <si>
    <t>Space_1_temperature_property</t>
  </si>
  <si>
    <t>Space_1_temperature_heating_setpoint</t>
  </si>
  <si>
    <t>Space_1_co2_controller</t>
  </si>
  <si>
    <t>Space_1_co2_property</t>
  </si>
  <si>
    <t>Space_1_supply_damper_position_property;Space_1_exhaust_damper_position_property</t>
  </si>
  <si>
    <t>Space_1_co2_setpoint</t>
  </si>
  <si>
    <t>Space_1_damper_heating_controller</t>
  </si>
  <si>
    <t>Space_1_temperature_cooling_setpoint</t>
  </si>
  <si>
    <t>Space_1_co2_sensor</t>
  </si>
  <si>
    <t>Space_1_damper_position_sensor</t>
  </si>
  <si>
    <t>Space_1_temperature_sensor</t>
  </si>
  <si>
    <t>Space_1_valve_position_sensor</t>
  </si>
  <si>
    <t>Space_2</t>
  </si>
  <si>
    <t>Space_2_temperature_property;Space_2_co2_property</t>
  </si>
  <si>
    <t>Space_2_room_supply_damper</t>
  </si>
  <si>
    <t>Space_2_occupancy_profile</t>
  </si>
  <si>
    <t>Space_2_supply_damper_position_property</t>
  </si>
  <si>
    <t>Space_2_room_exhaust_damper</t>
  </si>
  <si>
    <t>Space_2_exhaust_damper_position_property</t>
  </si>
  <si>
    <t>Space_2_damper_heating_controller</t>
  </si>
  <si>
    <t>Space_2_temperature_property</t>
  </si>
  <si>
    <t>Space_2_supply_damper_position_property;Space_2_exhaust_damper_position_property</t>
  </si>
  <si>
    <t>Space_2_temperature_heating_setpoint</t>
  </si>
  <si>
    <t>Space_2_damper_position_sensor</t>
  </si>
  <si>
    <t>Space_2_temperature_sensor</t>
  </si>
  <si>
    <t>Space_2_co2_property</t>
  </si>
  <si>
    <t>Space_2_radiator_heat_property</t>
  </si>
  <si>
    <t>Space_2_radiator_valve_position_property</t>
  </si>
  <si>
    <t>Space_3</t>
  </si>
  <si>
    <t>Space_3_temperature_property;Space_3_co2_property</t>
  </si>
  <si>
    <t>Space_3_room_supply_damper</t>
  </si>
  <si>
    <t>Space_3_occupancy_profile</t>
  </si>
  <si>
    <t>Space_3;outdoor_environment;Space_1</t>
  </si>
  <si>
    <t>Space_3_supply_damper_position_property</t>
  </si>
  <si>
    <t>Space_3_room_exhaust_damper</t>
  </si>
  <si>
    <t>Space_3_exhaust_damper_position_property</t>
  </si>
  <si>
    <t>Space_3_space_heater</t>
  </si>
  <si>
    <t>Space_3_space_heater_valve</t>
  </si>
  <si>
    <t>Space_3_radiator_heat_property</t>
  </si>
  <si>
    <t>Space_3_radiator_valve_position_property</t>
  </si>
  <si>
    <t>Space_3_temperature_controller</t>
  </si>
  <si>
    <t>Space_3_temperature_property</t>
  </si>
  <si>
    <t>Space_3_temperature_heating_setpoint</t>
  </si>
  <si>
    <t>Space_3_co2_controller</t>
  </si>
  <si>
    <t>Space_3_co2_property</t>
  </si>
  <si>
    <t>Space_3_supply_damper_position_property;Space_3_exhaust_damper_position_property</t>
  </si>
  <si>
    <t>Space_3_co2_setpoint</t>
  </si>
  <si>
    <t>Space_3_damper_heating_controller</t>
  </si>
  <si>
    <t>Space_3_temperature_cooling_setpoint</t>
  </si>
  <si>
    <t>Space_3_co2_sensor</t>
  </si>
  <si>
    <t>Space_3_damper_position_sensor</t>
  </si>
  <si>
    <t>Space_3_temperature_sensor</t>
  </si>
  <si>
    <t>Space_3_valve_position_sensor</t>
  </si>
  <si>
    <t>Space_4</t>
  </si>
  <si>
    <t>Space_4_temperature_property;Space_4_co2_property</t>
  </si>
  <si>
    <t>Space_4_room_supply_damper</t>
  </si>
  <si>
    <t>Space_4_occupancy_profile</t>
  </si>
  <si>
    <t>Space_4_supply_damper_position_property</t>
  </si>
  <si>
    <t>Space_4_room_exhaust_damper</t>
  </si>
  <si>
    <t>Space_4_exhaust_damper_position_property</t>
  </si>
  <si>
    <t>Space_4_space_heater</t>
  </si>
  <si>
    <t>Space_4_space_heater_valve</t>
  </si>
  <si>
    <t>Space_4_radiator_heat_property</t>
  </si>
  <si>
    <t>Space_4_radiator_valve_position_property</t>
  </si>
  <si>
    <t>Space_4_temperature_controller</t>
  </si>
  <si>
    <t>Space_4_temperature_property</t>
  </si>
  <si>
    <t>Space_4_temperature_heating_setpoint</t>
  </si>
  <si>
    <t>Space_4_damper_heating_controller</t>
  </si>
  <si>
    <t>Space_4_supply_damper_position_property;Space_4_exhaust_damper_position_property</t>
  </si>
  <si>
    <t>Space_4_temperature_cooling_setpoint</t>
  </si>
  <si>
    <t>Space_4_co2_setpoint</t>
  </si>
  <si>
    <t>Space_4_co2_sensor</t>
  </si>
  <si>
    <t>Space_4_co2_property</t>
  </si>
  <si>
    <t>Space_4_damper_position_sensor</t>
  </si>
  <si>
    <t>Space_4_temperature_sensor</t>
  </si>
  <si>
    <t>Space_4_valve_position_sensor</t>
  </si>
  <si>
    <t>Space_1;Space_5;outdoor_environment</t>
  </si>
  <si>
    <t>Space_5;outdoor_environment;Space_1</t>
  </si>
  <si>
    <t>Space_5</t>
  </si>
  <si>
    <t>Space_5_temperature_property;Space_5_co2_property</t>
  </si>
  <si>
    <t>Space_5_room_supply_damper</t>
  </si>
  <si>
    <t>Space_5_occupancy_profile</t>
  </si>
  <si>
    <t>Space_5_supply_damper_position_property</t>
  </si>
  <si>
    <t>Space_5_room_exhaust_damper</t>
  </si>
  <si>
    <t>Space_5_exhaust_damper_position_property</t>
  </si>
  <si>
    <t>Space_5_space_heater</t>
  </si>
  <si>
    <t>Space_5_space_heater_valve</t>
  </si>
  <si>
    <t>Space_5_radiator_heat_property</t>
  </si>
  <si>
    <t>Space_5_radiator_valve_position_property</t>
  </si>
  <si>
    <t>Space_5_temperature_controller</t>
  </si>
  <si>
    <t>Space_5_temperature_property</t>
  </si>
  <si>
    <t>Space_5_temperature_heating_setpoint</t>
  </si>
  <si>
    <t>Space_5_co2_controller</t>
  </si>
  <si>
    <t>Space_5_co2_property</t>
  </si>
  <si>
    <t>Space_5_supply_damper_position_property;Space_5_exhaust_damper_position_property</t>
  </si>
  <si>
    <t>Space_5_co2_setpoint</t>
  </si>
  <si>
    <t>Space_5_damper_heating_controller</t>
  </si>
  <si>
    <t>Space_5_temperature_cooling_setpoint</t>
  </si>
  <si>
    <t>Space_5_co2_sensor</t>
  </si>
  <si>
    <t>Space_5_damper_position_sensor</t>
  </si>
  <si>
    <t>Space_5_temperature_sensor</t>
  </si>
  <si>
    <t>Space_5_valve_position_sensor</t>
  </si>
  <si>
    <t>Space_6</t>
  </si>
  <si>
    <t>Space_6_temperature_property;Space_6_co2_property</t>
  </si>
  <si>
    <t>Space_6_room_supply_damper</t>
  </si>
  <si>
    <t>Space_6_occupancy_profile</t>
  </si>
  <si>
    <t>Space_6_supply_damper_position_property</t>
  </si>
  <si>
    <t>Space_6_room_exhaust_damper</t>
  </si>
  <si>
    <t>Space_6_exhaust_damper_position_property</t>
  </si>
  <si>
    <t>Space_6_space_heater</t>
  </si>
  <si>
    <t>Space_6_space_heater_valve</t>
  </si>
  <si>
    <t>Space_6_radiator_heat_property</t>
  </si>
  <si>
    <t>Space_6_radiator_valve_position_property</t>
  </si>
  <si>
    <t>Space_6_temperature_controller</t>
  </si>
  <si>
    <t>Space_6_temperature_property</t>
  </si>
  <si>
    <t>Space_6_temperature_heating_setpoint</t>
  </si>
  <si>
    <t>Space_6_damper_heating_controller</t>
  </si>
  <si>
    <t>Space_6_supply_damper_position_property;Space_6_exhaust_damper_position_property</t>
  </si>
  <si>
    <t>Space_6_temperature_cooling_setpoint</t>
  </si>
  <si>
    <t>Space_6_co2_setpoint</t>
  </si>
  <si>
    <t>Space_6_co2_sensor</t>
  </si>
  <si>
    <t>Space_6_co2_property</t>
  </si>
  <si>
    <t>Space_6_damper_position_sensor</t>
  </si>
  <si>
    <t>Space_6_temperature_sensor</t>
  </si>
  <si>
    <t>Space_6_valve_position_sensor</t>
  </si>
  <si>
    <t>Space_8</t>
  </si>
  <si>
    <t>Space_8_temperature_property;Space_8_co2_property</t>
  </si>
  <si>
    <t>Space_8_room_supply_damper</t>
  </si>
  <si>
    <t>Space_8_occupancy_profile</t>
  </si>
  <si>
    <t>Space_8_supply_damper_position_property</t>
  </si>
  <si>
    <t>Space_8_room_exhaust_damper</t>
  </si>
  <si>
    <t>Space_8_exhaust_damper_position_property</t>
  </si>
  <si>
    <t>Space_8_space_heater</t>
  </si>
  <si>
    <t>Space_8_space_heater_valve</t>
  </si>
  <si>
    <t>Space_8_radiator_heat_property</t>
  </si>
  <si>
    <t>Space_8_radiator_valve_position_property</t>
  </si>
  <si>
    <t>Space_8_temperature_property</t>
  </si>
  <si>
    <t>Space_8_temperature_heating_setpoint</t>
  </si>
  <si>
    <t>Space_8_co2_controller</t>
  </si>
  <si>
    <t>Space_8_co2_property</t>
  </si>
  <si>
    <t>Space_8_supply_damper_position_property;Space_8_exhaust_damper_position_property</t>
  </si>
  <si>
    <t>Space_8_co2_setpoint</t>
  </si>
  <si>
    <t>Space_8_damper_heating_controller</t>
  </si>
  <si>
    <t>Space_8_temperature_cooling_setpoint</t>
  </si>
  <si>
    <t>Space_8_co2_sensor</t>
  </si>
  <si>
    <t>Space_8_damper_position_sensor</t>
  </si>
  <si>
    <t>Space_8_temperature_sensor</t>
  </si>
  <si>
    <t>Space_8_valve_position_sensor</t>
  </si>
  <si>
    <t>Space_9</t>
  </si>
  <si>
    <t>Space_9_temperature_property;Space_9_co2_property</t>
  </si>
  <si>
    <t>Space_9_room_supply_damper</t>
  </si>
  <si>
    <t>Space_9_occupancy_profile</t>
  </si>
  <si>
    <t>Space_9_supply_damper_position_property</t>
  </si>
  <si>
    <t>Space_9_room_exhaust_damper</t>
  </si>
  <si>
    <t>Space_9_exhaust_damper_position_property</t>
  </si>
  <si>
    <t>Space_9_space_heater</t>
  </si>
  <si>
    <t>Space_9_space_heater_valve</t>
  </si>
  <si>
    <t>Space_9_radiator_heat_property</t>
  </si>
  <si>
    <t>Space_9_radiator_valve_position_property</t>
  </si>
  <si>
    <t>Space_9_temperature_heating_controller</t>
  </si>
  <si>
    <t>Space_9_temperature_property</t>
  </si>
  <si>
    <t>Space_9_temperature_heating_setpoint</t>
  </si>
  <si>
    <t>Space_9_co2_controller</t>
  </si>
  <si>
    <t>Space_9_co2_property</t>
  </si>
  <si>
    <t>Space_9_supply_damper_position_property;Space_9_exhaust_damper_position_property</t>
  </si>
  <si>
    <t>Space_9_co2_setpoint</t>
  </si>
  <si>
    <t>Space_9_damper_heating_controller</t>
  </si>
  <si>
    <t>Space_9_temperature_cooling_setpoint</t>
  </si>
  <si>
    <t>Space_9_co2_sensor</t>
  </si>
  <si>
    <t>Space_9_damper_position_sensor</t>
  </si>
  <si>
    <t>Space_9_temperature_sensor</t>
  </si>
  <si>
    <t>Space_9_valve_position_sensor</t>
  </si>
  <si>
    <t>Space_10</t>
  </si>
  <si>
    <t>Space_10_temperature_property;Space_10_co2_property</t>
  </si>
  <si>
    <t>Space_10_room_supply_damper</t>
  </si>
  <si>
    <t>Space_10_occupancy_profile</t>
  </si>
  <si>
    <t>outdoor_environment;Space_10;Space_1</t>
  </si>
  <si>
    <t>Space_10_supply_damper_position_property</t>
  </si>
  <si>
    <t>Space_10_room_exhaust_damper</t>
  </si>
  <si>
    <t>Space_10_exhaust_damper_position_property</t>
  </si>
  <si>
    <t>Space_10_space_heater</t>
  </si>
  <si>
    <t>Space_10_space_heater_valve</t>
  </si>
  <si>
    <t>Space_10_radiator_heat_property</t>
  </si>
  <si>
    <t>Space_10_radiator_valve_position_property</t>
  </si>
  <si>
    <t>Space_10_temperature_heating_controller</t>
  </si>
  <si>
    <t>Space_10_temperature_property</t>
  </si>
  <si>
    <t>Space_10_temperature_heating_setpoint</t>
  </si>
  <si>
    <t>Space_10_co2_controller</t>
  </si>
  <si>
    <t>Space_10_co2_property</t>
  </si>
  <si>
    <t>Space_10_supply_damper_position_property;Space_10_exhaust_damper_position_property</t>
  </si>
  <si>
    <t>Space_10_co2_setpoint</t>
  </si>
  <si>
    <t>Space_10_damper_heating_controller</t>
  </si>
  <si>
    <t>Space_10_temperature_cooling_setpoint</t>
  </si>
  <si>
    <t>Space_10_co2_sensor</t>
  </si>
  <si>
    <t>Space_10_damper_position_sensor</t>
  </si>
  <si>
    <t>Space_10_temperature_sensor</t>
  </si>
  <si>
    <t>Space_10_valve_position_sensor</t>
  </si>
  <si>
    <t>outdoor_environment;Space_9;Space_11;Space_1</t>
  </si>
  <si>
    <t>Space_11</t>
  </si>
  <si>
    <t>Space_11_temperature_property;Space_11_co2_property</t>
  </si>
  <si>
    <t>Space_11_room_supply_damper</t>
  </si>
  <si>
    <t>Space_11_occupancy_profile</t>
  </si>
  <si>
    <t>Space_11_supply_damper_position_property</t>
  </si>
  <si>
    <t>Space_11_room_exhaust_damper</t>
  </si>
  <si>
    <t>Space_11_exhaust_damper_position_property</t>
  </si>
  <si>
    <t>Space_11_space_heater</t>
  </si>
  <si>
    <t>Space_11_space_heater_valve</t>
  </si>
  <si>
    <t>Space_11_radiator_heat_property</t>
  </si>
  <si>
    <t>Space_11_radiator_valve_position_property</t>
  </si>
  <si>
    <t>Space_11_temperature_heating_controller</t>
  </si>
  <si>
    <t>Space_11_temperature_property</t>
  </si>
  <si>
    <t>Space_11_temperature_heating_setpoint</t>
  </si>
  <si>
    <t>Space_11_co2_controller</t>
  </si>
  <si>
    <t>Space_11_co2_property</t>
  </si>
  <si>
    <t>Space_11_supply_damper_position_property;Space_11_exhaust_damper_position_property</t>
  </si>
  <si>
    <t>Space_11_co2_setpoint</t>
  </si>
  <si>
    <t>Space_11_damper_heating_controller</t>
  </si>
  <si>
    <t>Space_11_temperature_cooling_setpoint</t>
  </si>
  <si>
    <t>Space_11_co2_sensor</t>
  </si>
  <si>
    <t>Space_11_damper_position_sensor</t>
  </si>
  <si>
    <t>Space_11_temperature_sensor</t>
  </si>
  <si>
    <t>Space_11_valve_position_sensor</t>
  </si>
  <si>
    <t>Space_12</t>
  </si>
  <si>
    <t>Space_12_temperature_property;Space_12_co2_property</t>
  </si>
  <si>
    <t>Space_12_room_supply_damper</t>
  </si>
  <si>
    <t>Space_12_occupancy_profile</t>
  </si>
  <si>
    <t>Space_12_supply_damper_position_property</t>
  </si>
  <si>
    <t>Space_12_room_exhaust_damper</t>
  </si>
  <si>
    <t>Space_12_exhaust_damper_position_property</t>
  </si>
  <si>
    <t>Space_12_space_heater</t>
  </si>
  <si>
    <t>Space_12_space_heater_valve</t>
  </si>
  <si>
    <t>Space_12_radiator_heat_property</t>
  </si>
  <si>
    <t>Space_12_radiator_valve_position_property</t>
  </si>
  <si>
    <t>Space_12_temperature_heating_controller</t>
  </si>
  <si>
    <t>Space_12_temperature_property</t>
  </si>
  <si>
    <t>Space_12_temperature_heating_setpoint</t>
  </si>
  <si>
    <t>Space_12_co2_controller</t>
  </si>
  <si>
    <t>Space_12_co2_property</t>
  </si>
  <si>
    <t>Space_12_supply_damper_position_property;Space_12_exhaust_damper_position_property</t>
  </si>
  <si>
    <t>Space_12_co2_setpoint</t>
  </si>
  <si>
    <t>Space_12_damper_heating_controller</t>
  </si>
  <si>
    <t>Space_12_temperature_cooling_setpoint</t>
  </si>
  <si>
    <t>Space_12_co2_sensor</t>
  </si>
  <si>
    <t>Space_12_damper_position_sensor</t>
  </si>
  <si>
    <t>Space_12_temperature_sensor</t>
  </si>
  <si>
    <t>Space_12_valve_position_sensor</t>
  </si>
  <si>
    <t>outdoor_environment;Space_11;Space_1</t>
  </si>
  <si>
    <t>outdoor_environment;Space_10;Space_12;Space_1</t>
  </si>
  <si>
    <t>Space_9_room_exhaust_damper;Space_10_room_exhaust_damper;Space_11_room_exhaust_damper;Space_12_room_exhaust_damper</t>
  </si>
  <si>
    <t>Space_8_temperature_controller</t>
  </si>
  <si>
    <t>/Twin4build-Case-Studies/DP37/data/Time series/Rooms/OD095_01_Space_8/OD095_01_Space_8_L95_LC02_BQA010_S2.plc_SENSOR_VALUE.csv</t>
  </si>
  <si>
    <t>/Twin4build-Case-Studies/DP37/data/Time series/Rooms/OD095_01_Space_8/OD095_01_Space_8_L95_LC02_QNB021_C1.plc_ACTUATOR_VALUE.csv</t>
  </si>
  <si>
    <t>/Twin4build-Case-Studies/DP37/data/Time series/Rooms/OD095_01_Space_8/OD095_01_Space_8_L95_LC02_BQA010_S1.plc_SENSOR_VALUE.csv</t>
  </si>
  <si>
    <t>/Twin4build-Case-Studies/DP37/data/Time series/Rooms/OD095_01_Space_8/OD095_01_Space_8_L95_LC02_QNA019_C1.plc_ACTUATOR_VALUE.csv</t>
  </si>
  <si>
    <t>Space_7</t>
  </si>
  <si>
    <t>Space_7_temperature_property;Space_7_co2_property</t>
  </si>
  <si>
    <t>Space_7_room_supply_damper</t>
  </si>
  <si>
    <t>Space_7_occupancy_profile</t>
  </si>
  <si>
    <t>Space_1;Space_7;outdoor_environment</t>
  </si>
  <si>
    <t>Space_9;Space_7;Space_8;Space_6;Space_4;outdoor_environment;Space_10;Space_11;Space_12;Space_3;Space_5;Space_2</t>
  </si>
  <si>
    <t>Space_7_supply_damper_position_property</t>
  </si>
  <si>
    <t>Space_7_room_exhaust_damper</t>
  </si>
  <si>
    <t>Space_7_exhaust_damper_position_property</t>
  </si>
  <si>
    <t>Space_7_space_heater</t>
  </si>
  <si>
    <t>Space_7_space_heater_valve</t>
  </si>
  <si>
    <t>Space_7_radiator_heat_property</t>
  </si>
  <si>
    <t>Space_7_radiator_valve_position_property</t>
  </si>
  <si>
    <t>Space_7_temperature_controller</t>
  </si>
  <si>
    <t>Space_7_temperature_property</t>
  </si>
  <si>
    <t>Space_7_temperature_heating_setpoint</t>
  </si>
  <si>
    <t>Space_7_co2_controller</t>
  </si>
  <si>
    <t>Space_7_co2_property</t>
  </si>
  <si>
    <t>Space_7_supply_damper_position_property;Space_7_exhaust_damper_position_property</t>
  </si>
  <si>
    <t>Space_7_co2_setpoint</t>
  </si>
  <si>
    <t>Space_7_damper_heating_controller</t>
  </si>
  <si>
    <t>Space_7_temperature_cooling_setpoint</t>
  </si>
  <si>
    <t>Space_7_co2_sensor</t>
  </si>
  <si>
    <t>Space_7_damper_position_sensor</t>
  </si>
  <si>
    <t>Space_7_temperature_sensor</t>
  </si>
  <si>
    <t>Space_7_valve_position_sensor</t>
  </si>
  <si>
    <t>Space_8;Space_1;outdoor_environment</t>
  </si>
  <si>
    <t>Space_4_space_heater_added</t>
  </si>
  <si>
    <t>Space_4_space_heater_valve_added</t>
  </si>
  <si>
    <t>Space_4_radiator_heat_property_added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</si>
</sst>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</fills>
  <borders count="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2" xfId="0" applyFont="1" applyBorder="1"/>
    <xf numFmtId="0" fontId="1" fillId="2" borderId="2" xfId="0" applyFont="1" applyFill="1" applyBorder="1"/>
    <xf numFmtId="0" fontId="1" fillId="0" borderId="0" xfId="0" applyFont="1"/>
    <xf numFmtId="0" fontId="1" fillId="2" borderId="4" xfId="0" applyFont="1" applyFill="1" applyBorder="1"/>
    <xf numFmtId="0" fontId="1" fillId="2" borderId="3" xfId="0" applyFont="1" applyFill="1" applyBorder="1"/>
    <xf numFmtId="0" fontId="3" fillId="0" borderId="0" xfId="0" applyFont="1"/>
    <xf numFmtId="0" fontId="1" fillId="3" borderId="6" xfId="0" applyFont="1" applyFill="1" applyBorder="1"/>
    <xf numFmtId="0" fontId="1" fillId="3" borderId="5" xfId="0" applyFont="1" applyFill="1" applyBorder="1"/>
    <xf numFmtId="0" fontId="0" fillId="0" borderId="2" xfId="0" applyBorder="1"/>
    <xf numFmtId="0" fontId="1" fillId="4" borderId="2" xfId="0" applyFont="1" applyFill="1" applyBorder="1"/>
    <xf numFmtId="0" fontId="1" fillId="5" borderId="2" xfId="0" applyFont="1" applyFill="1" applyBorder="1"/>
    <xf numFmtId="0" fontId="1" fillId="0" borderId="5" xfId="0" applyFont="1" applyBorder="1"/>
    <xf numFmtId="0" fontId="5" fillId="0" borderId="2" xfId="0" applyFont="1" applyBorder="1"/>
    <xf numFmtId="0" fontId="4" fillId="0" borderId="2" xfId="0" applyFont="1" applyBorder="1"/>
    <xf numFmtId="0" fontId="4" fillId="0" borderId="0" xfId="0" applyFont="1"/>
    <xf numFmtId="0" fontId="0" fillId="0" borderId="7" xfId="0" applyBorder="1"/>
    <xf numFmtId="0" fontId="0" fillId="4" borderId="0" xfId="0" applyFill="1"/>
    <xf numFmtId="0" fontId="0" fillId="6" borderId="0" xfId="0" applyFill="1"/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C59A0176-8242-4B78-BA83-4694D5066F9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Relationship Id="rId1" Type="http://schemas.openxmlformats.org/officeDocument/2006/relationships/externalLinkPath" Target="file:///C:\Users\jabj\OneDrive%20-%20Syddansk%20Universitet\PhD_Project_Jakob\Twin4build\python\BuildingEnergyModel\Twin4build-Case-Studies\LBNL\configuration_template_LBN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ystem"/>
      <sheetName val="BuildingSpace"/>
      <sheetName val="Damper"/>
      <sheetName val="SpaceHeater"/>
      <sheetName val="Valve"/>
      <sheetName val="Pump"/>
      <sheetName val="Coil"/>
      <sheetName val="AirToAirHeatRecovery"/>
      <sheetName val="Fan"/>
      <sheetName val="SetpointController"/>
      <sheetName val="Schedule"/>
      <sheetName val="RulebasedController"/>
      <sheetName val="ShadingDevice"/>
      <sheetName val="Sensor"/>
      <sheetName val="Meter"/>
      <sheetName val="Property"/>
      <sheetName val="named_ranges"/>
      <sheetName val="Controller_options"/>
    </sheetNames>
    <sheetDataSet>
      <sheetData sheetId="0">
        <row r="1">
          <cell r="A1" t="str">
            <v>Ventilation system name</v>
          </cell>
          <cell r="B1" t="str">
            <v>Heating system name</v>
          </cell>
          <cell r="C1" t="str">
            <v>Cooling system name</v>
          </cell>
        </row>
        <row r="2">
          <cell r="A2" t="str">
            <v>VE02</v>
          </cell>
          <cell r="B2" t="str">
            <v>VA01</v>
          </cell>
        </row>
      </sheetData>
      <sheetData sheetId="1">
        <row r="1">
          <cell r="A1" t="str">
            <v>id</v>
          </cell>
        </row>
      </sheetData>
      <sheetData sheetId="2">
        <row r="1">
          <cell r="A1" t="str">
            <v>id</v>
          </cell>
        </row>
      </sheetData>
      <sheetData sheetId="3">
        <row r="1">
          <cell r="A1" t="str">
            <v>id</v>
          </cell>
        </row>
      </sheetData>
      <sheetData sheetId="4">
        <row r="1">
          <cell r="A1" t="str">
            <v>id</v>
          </cell>
        </row>
        <row r="2">
          <cell r="A2" t="str">
            <v>valve</v>
          </cell>
        </row>
        <row r="3">
          <cell r="A3" t="str">
            <v>check valve</v>
          </cell>
        </row>
      </sheetData>
      <sheetData sheetId="5"/>
      <sheetData sheetId="6">
        <row r="1">
          <cell r="A1" t="str">
            <v>id</v>
          </cell>
        </row>
        <row r="2">
          <cell r="A2" t="str">
            <v>heating coil</v>
          </cell>
        </row>
      </sheetData>
      <sheetData sheetId="7">
        <row r="1">
          <cell r="A1" t="str">
            <v>id</v>
          </cell>
        </row>
      </sheetData>
      <sheetData sheetId="8">
        <row r="1">
          <cell r="A1" t="str">
            <v>id</v>
          </cell>
        </row>
        <row r="2">
          <cell r="A2" t="str">
            <v>fan</v>
          </cell>
        </row>
      </sheetData>
      <sheetData sheetId="9">
        <row r="1">
          <cell r="A1" t="str">
            <v>id</v>
          </cell>
        </row>
        <row r="2">
          <cell r="A2" t="str">
            <v>controller</v>
          </cell>
        </row>
        <row r="3">
          <cell r="A3"/>
        </row>
        <row r="4">
          <cell r="A4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  <row r="27">
          <cell r="A27"/>
        </row>
        <row r="28">
          <cell r="A28"/>
        </row>
        <row r="29">
          <cell r="A29"/>
        </row>
        <row r="30">
          <cell r="A30"/>
        </row>
        <row r="31">
          <cell r="A31"/>
        </row>
        <row r="32">
          <cell r="A32"/>
        </row>
        <row r="33">
          <cell r="A33"/>
        </row>
        <row r="34">
          <cell r="A34"/>
        </row>
        <row r="35">
          <cell r="A35"/>
        </row>
        <row r="36">
          <cell r="A36"/>
        </row>
        <row r="37">
          <cell r="A37"/>
        </row>
        <row r="38">
          <cell r="A38"/>
        </row>
        <row r="39">
          <cell r="A39"/>
        </row>
        <row r="40">
          <cell r="A40"/>
        </row>
        <row r="41">
          <cell r="A41"/>
        </row>
        <row r="42">
          <cell r="A42"/>
        </row>
        <row r="43">
          <cell r="A43"/>
        </row>
        <row r="44">
          <cell r="A44"/>
        </row>
        <row r="45">
          <cell r="A45"/>
        </row>
        <row r="46">
          <cell r="A46"/>
        </row>
        <row r="47">
          <cell r="A47"/>
        </row>
        <row r="48">
          <cell r="A48"/>
        </row>
        <row r="49">
          <cell r="A49"/>
        </row>
        <row r="50">
          <cell r="A50"/>
        </row>
        <row r="51">
          <cell r="A51"/>
        </row>
        <row r="52">
          <cell r="A52"/>
        </row>
        <row r="53">
          <cell r="A53"/>
        </row>
        <row r="54">
          <cell r="A54"/>
        </row>
        <row r="55">
          <cell r="A55"/>
        </row>
        <row r="56">
          <cell r="A56"/>
        </row>
        <row r="57">
          <cell r="A57"/>
        </row>
        <row r="58">
          <cell r="A58"/>
        </row>
        <row r="59">
          <cell r="A59"/>
        </row>
        <row r="60">
          <cell r="A60"/>
        </row>
        <row r="61">
          <cell r="A61"/>
        </row>
        <row r="62">
          <cell r="A62"/>
        </row>
        <row r="63">
          <cell r="A63"/>
        </row>
        <row r="64">
          <cell r="A64"/>
        </row>
        <row r="65">
          <cell r="A65"/>
        </row>
        <row r="66">
          <cell r="A66"/>
        </row>
        <row r="67">
          <cell r="A67"/>
        </row>
        <row r="68">
          <cell r="A68"/>
        </row>
        <row r="69">
          <cell r="A69"/>
        </row>
        <row r="70">
          <cell r="A70"/>
        </row>
        <row r="71">
          <cell r="A71"/>
        </row>
        <row r="72">
          <cell r="A72"/>
        </row>
        <row r="73">
          <cell r="A73"/>
        </row>
        <row r="74">
          <cell r="A74"/>
        </row>
        <row r="75">
          <cell r="A75"/>
        </row>
        <row r="76">
          <cell r="A76"/>
        </row>
        <row r="77">
          <cell r="A77"/>
        </row>
        <row r="78">
          <cell r="A78"/>
        </row>
        <row r="79">
          <cell r="A79"/>
        </row>
        <row r="80">
          <cell r="A80"/>
        </row>
        <row r="81">
          <cell r="A81"/>
        </row>
        <row r="82">
          <cell r="A82"/>
        </row>
        <row r="83">
          <cell r="A83"/>
        </row>
        <row r="84">
          <cell r="A84"/>
        </row>
        <row r="85">
          <cell r="A85"/>
        </row>
        <row r="86">
          <cell r="A86"/>
        </row>
        <row r="87">
          <cell r="A87"/>
        </row>
        <row r="88">
          <cell r="A88"/>
        </row>
        <row r="89">
          <cell r="A89"/>
        </row>
        <row r="90">
          <cell r="A90"/>
        </row>
        <row r="91">
          <cell r="A91"/>
        </row>
        <row r="92">
          <cell r="A92"/>
        </row>
        <row r="93">
          <cell r="A93"/>
        </row>
        <row r="94">
          <cell r="A94"/>
        </row>
        <row r="95">
          <cell r="A95"/>
        </row>
        <row r="96">
          <cell r="A96"/>
        </row>
        <row r="97">
          <cell r="A97"/>
        </row>
        <row r="98">
          <cell r="A98"/>
        </row>
        <row r="99">
          <cell r="A99"/>
        </row>
        <row r="100">
          <cell r="A100"/>
        </row>
        <row r="101">
          <cell r="A101"/>
        </row>
        <row r="102">
          <cell r="A102"/>
        </row>
        <row r="103">
          <cell r="A103"/>
        </row>
        <row r="104">
          <cell r="A104"/>
        </row>
        <row r="105">
          <cell r="A105"/>
        </row>
        <row r="106">
          <cell r="A106"/>
        </row>
        <row r="107">
          <cell r="A107"/>
        </row>
        <row r="108">
          <cell r="A108"/>
        </row>
        <row r="109">
          <cell r="A109"/>
        </row>
        <row r="110">
          <cell r="A110"/>
        </row>
        <row r="111">
          <cell r="A111"/>
        </row>
        <row r="112">
          <cell r="A112"/>
        </row>
        <row r="113">
          <cell r="A113"/>
        </row>
        <row r="114">
          <cell r="A114"/>
        </row>
        <row r="115">
          <cell r="A115"/>
        </row>
        <row r="116">
          <cell r="A116"/>
        </row>
        <row r="117">
          <cell r="A117"/>
        </row>
        <row r="118">
          <cell r="A118"/>
        </row>
        <row r="119">
          <cell r="A119"/>
        </row>
        <row r="120">
          <cell r="A120"/>
        </row>
        <row r="121">
          <cell r="A121"/>
        </row>
        <row r="122">
          <cell r="A122"/>
        </row>
        <row r="123">
          <cell r="A123"/>
        </row>
        <row r="124">
          <cell r="A124"/>
        </row>
        <row r="125">
          <cell r="A125"/>
        </row>
        <row r="126">
          <cell r="A126"/>
        </row>
        <row r="127">
          <cell r="A127"/>
        </row>
        <row r="128">
          <cell r="A128"/>
        </row>
        <row r="129">
          <cell r="A129"/>
        </row>
        <row r="130">
          <cell r="A130"/>
        </row>
        <row r="131">
          <cell r="A131"/>
        </row>
        <row r="132">
          <cell r="A132"/>
        </row>
        <row r="133">
          <cell r="A133"/>
        </row>
        <row r="134">
          <cell r="A134"/>
        </row>
        <row r="135">
          <cell r="A135"/>
        </row>
        <row r="136">
          <cell r="A136"/>
        </row>
        <row r="137">
          <cell r="A137"/>
        </row>
        <row r="138">
          <cell r="A138"/>
        </row>
        <row r="139">
          <cell r="A139"/>
        </row>
        <row r="140">
          <cell r="A140"/>
        </row>
        <row r="141">
          <cell r="A141"/>
        </row>
        <row r="142">
          <cell r="A142"/>
        </row>
        <row r="143">
          <cell r="A143"/>
        </row>
        <row r="144">
          <cell r="A144"/>
        </row>
        <row r="145">
          <cell r="A145"/>
        </row>
        <row r="146">
          <cell r="A146"/>
        </row>
        <row r="147">
          <cell r="A147"/>
        </row>
        <row r="148">
          <cell r="A148"/>
        </row>
        <row r="149">
          <cell r="A149"/>
        </row>
        <row r="150">
          <cell r="A150"/>
        </row>
        <row r="151">
          <cell r="A151"/>
        </row>
        <row r="152">
          <cell r="A152"/>
        </row>
        <row r="153">
          <cell r="A153"/>
        </row>
        <row r="154">
          <cell r="A154"/>
        </row>
        <row r="155">
          <cell r="A155"/>
        </row>
        <row r="156">
          <cell r="A156"/>
        </row>
        <row r="157">
          <cell r="A157"/>
        </row>
        <row r="158">
          <cell r="A158"/>
        </row>
        <row r="159">
          <cell r="A159"/>
        </row>
        <row r="160">
          <cell r="A160"/>
        </row>
        <row r="161">
          <cell r="A161"/>
        </row>
        <row r="162">
          <cell r="A162"/>
        </row>
        <row r="163">
          <cell r="A163"/>
        </row>
        <row r="164">
          <cell r="A164"/>
        </row>
        <row r="165">
          <cell r="A165"/>
        </row>
        <row r="166">
          <cell r="A166"/>
        </row>
        <row r="167">
          <cell r="A167"/>
        </row>
        <row r="168">
          <cell r="A168"/>
        </row>
        <row r="169">
          <cell r="A169"/>
        </row>
        <row r="170">
          <cell r="A170"/>
        </row>
        <row r="171">
          <cell r="A171"/>
        </row>
        <row r="172">
          <cell r="A172"/>
        </row>
        <row r="173">
          <cell r="A173"/>
        </row>
        <row r="174">
          <cell r="A174"/>
        </row>
        <row r="175">
          <cell r="A175"/>
        </row>
        <row r="176">
          <cell r="A176"/>
        </row>
        <row r="177">
          <cell r="A177"/>
        </row>
        <row r="178">
          <cell r="A178"/>
        </row>
        <row r="179">
          <cell r="A179"/>
        </row>
        <row r="180">
          <cell r="A180"/>
        </row>
        <row r="181">
          <cell r="A181"/>
        </row>
        <row r="182">
          <cell r="A182"/>
        </row>
        <row r="183">
          <cell r="A183"/>
        </row>
        <row r="184">
          <cell r="A184"/>
        </row>
        <row r="185">
          <cell r="A185"/>
        </row>
        <row r="186">
          <cell r="A186"/>
        </row>
        <row r="187">
          <cell r="A187"/>
        </row>
        <row r="188">
          <cell r="A188"/>
        </row>
        <row r="189">
          <cell r="A189"/>
        </row>
        <row r="190">
          <cell r="A190"/>
        </row>
        <row r="191">
          <cell r="A191"/>
        </row>
        <row r="192">
          <cell r="A192"/>
        </row>
        <row r="193">
          <cell r="A193"/>
        </row>
        <row r="194">
          <cell r="A194"/>
        </row>
        <row r="195">
          <cell r="A195"/>
        </row>
        <row r="196">
          <cell r="A196"/>
        </row>
        <row r="197">
          <cell r="A197"/>
        </row>
        <row r="198">
          <cell r="A198"/>
        </row>
        <row r="199">
          <cell r="A199"/>
        </row>
        <row r="200">
          <cell r="A200"/>
        </row>
        <row r="201">
          <cell r="A201"/>
        </row>
        <row r="202">
          <cell r="A202"/>
        </row>
        <row r="203">
          <cell r="A203"/>
        </row>
        <row r="204">
          <cell r="A204"/>
        </row>
        <row r="205">
          <cell r="A205"/>
        </row>
        <row r="206">
          <cell r="A206"/>
        </row>
        <row r="207">
          <cell r="A207"/>
        </row>
        <row r="208">
          <cell r="A208"/>
        </row>
        <row r="209">
          <cell r="A209"/>
        </row>
        <row r="210">
          <cell r="A210"/>
        </row>
        <row r="211">
          <cell r="A211"/>
        </row>
        <row r="212">
          <cell r="A212"/>
        </row>
        <row r="213">
          <cell r="A213"/>
        </row>
        <row r="214">
          <cell r="A214"/>
        </row>
        <row r="215">
          <cell r="A215"/>
        </row>
        <row r="216">
          <cell r="A216"/>
        </row>
        <row r="217">
          <cell r="A217"/>
        </row>
        <row r="218">
          <cell r="A218"/>
        </row>
        <row r="219">
          <cell r="A219"/>
        </row>
        <row r="220">
          <cell r="A220"/>
        </row>
        <row r="221">
          <cell r="A221"/>
        </row>
        <row r="222">
          <cell r="A222"/>
        </row>
        <row r="223">
          <cell r="A223"/>
        </row>
        <row r="224">
          <cell r="A224"/>
        </row>
        <row r="225">
          <cell r="A225"/>
        </row>
        <row r="226">
          <cell r="A226"/>
        </row>
        <row r="227">
          <cell r="A227"/>
        </row>
        <row r="228">
          <cell r="A228"/>
        </row>
        <row r="229">
          <cell r="A229"/>
        </row>
        <row r="230">
          <cell r="A230"/>
        </row>
        <row r="231">
          <cell r="A231"/>
        </row>
        <row r="232">
          <cell r="A232"/>
        </row>
        <row r="233">
          <cell r="A233"/>
        </row>
        <row r="234">
          <cell r="A234"/>
        </row>
        <row r="235">
          <cell r="A235"/>
        </row>
        <row r="236">
          <cell r="A236"/>
        </row>
        <row r="237">
          <cell r="A237"/>
        </row>
        <row r="238">
          <cell r="A238"/>
        </row>
        <row r="239">
          <cell r="A239"/>
        </row>
        <row r="240">
          <cell r="A240"/>
        </row>
        <row r="241">
          <cell r="A241"/>
        </row>
        <row r="242">
          <cell r="A242"/>
        </row>
        <row r="243">
          <cell r="A243"/>
        </row>
        <row r="244">
          <cell r="A244"/>
        </row>
        <row r="245">
          <cell r="A245"/>
        </row>
        <row r="246">
          <cell r="A246"/>
        </row>
        <row r="247">
          <cell r="A247"/>
        </row>
        <row r="248">
          <cell r="A248"/>
        </row>
        <row r="249">
          <cell r="A249"/>
        </row>
        <row r="250">
          <cell r="A250"/>
        </row>
        <row r="251">
          <cell r="A251"/>
        </row>
        <row r="252">
          <cell r="A252"/>
        </row>
        <row r="253">
          <cell r="A253"/>
        </row>
        <row r="254">
          <cell r="A254"/>
        </row>
        <row r="255">
          <cell r="A255"/>
        </row>
        <row r="256">
          <cell r="A256"/>
        </row>
        <row r="257">
          <cell r="A257"/>
        </row>
        <row r="258">
          <cell r="A258"/>
        </row>
        <row r="259">
          <cell r="A259"/>
        </row>
        <row r="260">
          <cell r="A260"/>
        </row>
        <row r="261">
          <cell r="A261"/>
        </row>
        <row r="262">
          <cell r="A262"/>
        </row>
        <row r="263">
          <cell r="A263"/>
        </row>
        <row r="264">
          <cell r="A264"/>
        </row>
        <row r="265">
          <cell r="A265"/>
        </row>
        <row r="266">
          <cell r="A266"/>
        </row>
        <row r="267">
          <cell r="A267"/>
        </row>
        <row r="268">
          <cell r="A268"/>
        </row>
        <row r="269">
          <cell r="A269"/>
        </row>
        <row r="270">
          <cell r="A270"/>
        </row>
        <row r="271">
          <cell r="A271"/>
        </row>
        <row r="272">
          <cell r="A272"/>
        </row>
        <row r="273">
          <cell r="A273"/>
        </row>
        <row r="274">
          <cell r="A274"/>
        </row>
        <row r="275">
          <cell r="A275"/>
        </row>
        <row r="276">
          <cell r="A276"/>
        </row>
        <row r="277">
          <cell r="A277"/>
        </row>
        <row r="278">
          <cell r="A278"/>
        </row>
        <row r="279">
          <cell r="A279"/>
        </row>
        <row r="280">
          <cell r="A280"/>
        </row>
        <row r="281">
          <cell r="A281"/>
        </row>
        <row r="282">
          <cell r="A282"/>
        </row>
        <row r="283">
          <cell r="A283"/>
        </row>
        <row r="284">
          <cell r="A284"/>
        </row>
        <row r="285">
          <cell r="A285"/>
        </row>
        <row r="286">
          <cell r="A286"/>
        </row>
        <row r="287">
          <cell r="A287"/>
        </row>
        <row r="288">
          <cell r="A288"/>
        </row>
        <row r="289">
          <cell r="A289"/>
        </row>
        <row r="290">
          <cell r="A290"/>
        </row>
        <row r="291">
          <cell r="A291"/>
        </row>
        <row r="292">
          <cell r="A292"/>
        </row>
        <row r="293">
          <cell r="A293"/>
        </row>
        <row r="294">
          <cell r="A294"/>
        </row>
        <row r="295">
          <cell r="A295"/>
        </row>
        <row r="296">
          <cell r="A296"/>
        </row>
        <row r="297">
          <cell r="A297"/>
        </row>
        <row r="298">
          <cell r="A298"/>
        </row>
        <row r="299">
          <cell r="A299"/>
        </row>
        <row r="300">
          <cell r="A300"/>
        </row>
        <row r="301">
          <cell r="A301"/>
        </row>
        <row r="302">
          <cell r="A302"/>
        </row>
        <row r="303">
          <cell r="A303"/>
        </row>
        <row r="304">
          <cell r="A304"/>
        </row>
        <row r="305">
          <cell r="A305"/>
        </row>
        <row r="306">
          <cell r="A306"/>
        </row>
        <row r="307">
          <cell r="A307"/>
        </row>
        <row r="308">
          <cell r="A308"/>
        </row>
        <row r="309">
          <cell r="A309"/>
        </row>
        <row r="310">
          <cell r="A310"/>
        </row>
        <row r="311">
          <cell r="A311"/>
        </row>
        <row r="312">
          <cell r="A312"/>
        </row>
        <row r="313">
          <cell r="A313"/>
        </row>
        <row r="314">
          <cell r="A314"/>
        </row>
        <row r="315">
          <cell r="A315"/>
        </row>
        <row r="316">
          <cell r="A316"/>
        </row>
        <row r="317">
          <cell r="A317"/>
        </row>
        <row r="318">
          <cell r="A318"/>
        </row>
        <row r="319">
          <cell r="A319"/>
        </row>
        <row r="320">
          <cell r="A320"/>
        </row>
        <row r="321">
          <cell r="A321"/>
        </row>
        <row r="322">
          <cell r="A322"/>
        </row>
        <row r="323">
          <cell r="A323"/>
        </row>
        <row r="324">
          <cell r="A324"/>
        </row>
        <row r="325">
          <cell r="A325"/>
        </row>
        <row r="326">
          <cell r="A326"/>
        </row>
        <row r="327">
          <cell r="A327"/>
        </row>
        <row r="328">
          <cell r="A328"/>
        </row>
        <row r="329">
          <cell r="A329"/>
        </row>
        <row r="330">
          <cell r="A330"/>
        </row>
        <row r="331">
          <cell r="A331"/>
        </row>
        <row r="332">
          <cell r="A332"/>
        </row>
        <row r="333">
          <cell r="A333"/>
        </row>
        <row r="334">
          <cell r="A334"/>
        </row>
        <row r="335">
          <cell r="A335"/>
        </row>
        <row r="336">
          <cell r="A336"/>
        </row>
        <row r="337">
          <cell r="A337"/>
        </row>
        <row r="338">
          <cell r="A338"/>
        </row>
        <row r="339">
          <cell r="A339"/>
        </row>
        <row r="340">
          <cell r="A340"/>
        </row>
        <row r="341">
          <cell r="A341"/>
        </row>
        <row r="342">
          <cell r="A342"/>
        </row>
        <row r="343">
          <cell r="A343"/>
        </row>
        <row r="344">
          <cell r="A344"/>
        </row>
        <row r="345">
          <cell r="A345"/>
        </row>
        <row r="346">
          <cell r="A346"/>
        </row>
        <row r="347">
          <cell r="A347"/>
        </row>
        <row r="348">
          <cell r="A348"/>
        </row>
        <row r="349">
          <cell r="A349"/>
        </row>
        <row r="350">
          <cell r="A350"/>
        </row>
        <row r="351">
          <cell r="A351"/>
        </row>
        <row r="352">
          <cell r="A352"/>
        </row>
        <row r="353">
          <cell r="A353"/>
        </row>
        <row r="354">
          <cell r="A354"/>
        </row>
        <row r="355">
          <cell r="A355"/>
        </row>
        <row r="356">
          <cell r="A356"/>
        </row>
        <row r="357">
          <cell r="A357"/>
        </row>
        <row r="358">
          <cell r="A358"/>
        </row>
        <row r="359">
          <cell r="A359"/>
        </row>
        <row r="360">
          <cell r="A360"/>
        </row>
        <row r="361">
          <cell r="A361"/>
        </row>
        <row r="362">
          <cell r="A362"/>
        </row>
        <row r="363">
          <cell r="A363"/>
        </row>
        <row r="364">
          <cell r="A364"/>
        </row>
        <row r="365">
          <cell r="A365"/>
        </row>
        <row r="366">
          <cell r="A366"/>
        </row>
        <row r="367">
          <cell r="A367"/>
        </row>
        <row r="368">
          <cell r="A368"/>
        </row>
        <row r="369">
          <cell r="A369"/>
        </row>
        <row r="370">
          <cell r="A370"/>
        </row>
        <row r="371">
          <cell r="A371"/>
        </row>
        <row r="372">
          <cell r="A372"/>
        </row>
        <row r="373">
          <cell r="A373"/>
        </row>
        <row r="374">
          <cell r="A374"/>
        </row>
        <row r="375">
          <cell r="A375"/>
        </row>
        <row r="376">
          <cell r="A376"/>
        </row>
        <row r="377">
          <cell r="A377"/>
        </row>
        <row r="378">
          <cell r="A378"/>
        </row>
        <row r="379">
          <cell r="A379"/>
        </row>
        <row r="380">
          <cell r="A380"/>
        </row>
        <row r="381">
          <cell r="A381"/>
        </row>
        <row r="382">
          <cell r="A382"/>
        </row>
        <row r="383">
          <cell r="A383"/>
        </row>
        <row r="384">
          <cell r="A384"/>
        </row>
        <row r="385">
          <cell r="A385"/>
        </row>
        <row r="386">
          <cell r="A386"/>
        </row>
        <row r="387">
          <cell r="A387"/>
        </row>
        <row r="388">
          <cell r="A388"/>
        </row>
        <row r="389">
          <cell r="A389"/>
        </row>
        <row r="390">
          <cell r="A390"/>
        </row>
        <row r="391">
          <cell r="A391"/>
        </row>
        <row r="392">
          <cell r="A392"/>
        </row>
        <row r="393">
          <cell r="A393"/>
        </row>
        <row r="394">
          <cell r="A394"/>
        </row>
        <row r="395">
          <cell r="A395"/>
        </row>
        <row r="396">
          <cell r="A396"/>
        </row>
        <row r="397">
          <cell r="A397"/>
        </row>
        <row r="398">
          <cell r="A398"/>
        </row>
        <row r="399">
          <cell r="A399"/>
        </row>
        <row r="400">
          <cell r="A400"/>
        </row>
        <row r="401">
          <cell r="A401"/>
        </row>
        <row r="402">
          <cell r="A402"/>
        </row>
        <row r="403">
          <cell r="A403"/>
        </row>
        <row r="404">
          <cell r="A404"/>
        </row>
        <row r="405">
          <cell r="A405"/>
        </row>
        <row r="406">
          <cell r="A406"/>
        </row>
        <row r="407">
          <cell r="A407"/>
        </row>
        <row r="408">
          <cell r="A408"/>
        </row>
        <row r="409">
          <cell r="A409"/>
        </row>
        <row r="410">
          <cell r="A410"/>
        </row>
        <row r="411">
          <cell r="A411"/>
        </row>
        <row r="412">
          <cell r="A412"/>
        </row>
        <row r="413">
          <cell r="A413"/>
        </row>
        <row r="414">
          <cell r="A414"/>
        </row>
        <row r="415">
          <cell r="A415"/>
        </row>
        <row r="416">
          <cell r="A416"/>
        </row>
        <row r="417">
          <cell r="A417"/>
        </row>
        <row r="418">
          <cell r="A418"/>
        </row>
        <row r="419">
          <cell r="A419"/>
        </row>
        <row r="420">
          <cell r="A420"/>
        </row>
        <row r="421">
          <cell r="A421"/>
        </row>
        <row r="422">
          <cell r="A422"/>
        </row>
        <row r="423">
          <cell r="A423"/>
        </row>
        <row r="424">
          <cell r="A424"/>
        </row>
        <row r="425">
          <cell r="A425"/>
        </row>
        <row r="426">
          <cell r="A426"/>
        </row>
        <row r="427">
          <cell r="A427"/>
        </row>
        <row r="428">
          <cell r="A428"/>
        </row>
        <row r="429">
          <cell r="A429"/>
        </row>
        <row r="430">
          <cell r="A430"/>
        </row>
        <row r="431">
          <cell r="A431"/>
        </row>
        <row r="432">
          <cell r="A432"/>
        </row>
        <row r="433">
          <cell r="A433"/>
        </row>
        <row r="434">
          <cell r="A434"/>
        </row>
        <row r="435">
          <cell r="A435"/>
        </row>
        <row r="436">
          <cell r="A436"/>
        </row>
        <row r="437">
          <cell r="A437"/>
        </row>
        <row r="438">
          <cell r="A438"/>
        </row>
        <row r="439">
          <cell r="A439"/>
        </row>
        <row r="440">
          <cell r="A440"/>
        </row>
        <row r="441">
          <cell r="A441"/>
        </row>
        <row r="442">
          <cell r="A442"/>
        </row>
        <row r="443">
          <cell r="A443"/>
        </row>
        <row r="444">
          <cell r="A444"/>
        </row>
        <row r="445">
          <cell r="A445"/>
        </row>
        <row r="446">
          <cell r="A446"/>
        </row>
        <row r="447">
          <cell r="A447"/>
        </row>
        <row r="448">
          <cell r="A448"/>
        </row>
        <row r="449">
          <cell r="A449"/>
        </row>
        <row r="450">
          <cell r="A450"/>
        </row>
        <row r="451">
          <cell r="A451"/>
        </row>
        <row r="452">
          <cell r="A452"/>
        </row>
        <row r="453">
          <cell r="A453"/>
        </row>
        <row r="454">
          <cell r="A454"/>
        </row>
        <row r="455">
          <cell r="A455"/>
        </row>
        <row r="456">
          <cell r="A456"/>
        </row>
        <row r="457">
          <cell r="A457"/>
        </row>
        <row r="458">
          <cell r="A458"/>
        </row>
        <row r="459">
          <cell r="A459"/>
        </row>
        <row r="460">
          <cell r="A460"/>
        </row>
        <row r="461">
          <cell r="A461"/>
        </row>
        <row r="462">
          <cell r="A462"/>
        </row>
        <row r="463">
          <cell r="A463"/>
        </row>
        <row r="464">
          <cell r="A464"/>
        </row>
        <row r="465">
          <cell r="A465"/>
        </row>
        <row r="466">
          <cell r="A466"/>
        </row>
        <row r="467">
          <cell r="A467"/>
        </row>
        <row r="468">
          <cell r="A468"/>
        </row>
        <row r="469">
          <cell r="A469"/>
        </row>
        <row r="470">
          <cell r="A470"/>
        </row>
        <row r="471">
          <cell r="A471"/>
        </row>
        <row r="472">
          <cell r="A472"/>
        </row>
        <row r="473">
          <cell r="A473"/>
        </row>
        <row r="474">
          <cell r="A474"/>
        </row>
        <row r="475">
          <cell r="A475"/>
        </row>
        <row r="476">
          <cell r="A476"/>
        </row>
        <row r="477">
          <cell r="A477"/>
        </row>
        <row r="478">
          <cell r="A478"/>
        </row>
        <row r="479">
          <cell r="A479"/>
        </row>
        <row r="480">
          <cell r="A480"/>
        </row>
        <row r="481">
          <cell r="A481"/>
        </row>
        <row r="482">
          <cell r="A482"/>
        </row>
        <row r="483">
          <cell r="A483"/>
        </row>
        <row r="484">
          <cell r="A484"/>
        </row>
        <row r="485">
          <cell r="A485"/>
        </row>
        <row r="486">
          <cell r="A486"/>
        </row>
        <row r="487">
          <cell r="A487"/>
        </row>
        <row r="488">
          <cell r="A488"/>
        </row>
        <row r="489">
          <cell r="A489"/>
        </row>
        <row r="490">
          <cell r="A490"/>
        </row>
        <row r="491">
          <cell r="A491"/>
        </row>
        <row r="492">
          <cell r="A492"/>
        </row>
        <row r="493">
          <cell r="A493"/>
        </row>
        <row r="494">
          <cell r="A494"/>
        </row>
        <row r="495">
          <cell r="A495"/>
        </row>
        <row r="496">
          <cell r="A496"/>
        </row>
        <row r="497">
          <cell r="A497"/>
        </row>
        <row r="498">
          <cell r="A498"/>
        </row>
        <row r="499">
          <cell r="A499"/>
        </row>
        <row r="500">
          <cell r="A500"/>
        </row>
        <row r="501">
          <cell r="A501"/>
        </row>
        <row r="502">
          <cell r="A502"/>
        </row>
        <row r="503">
          <cell r="A503"/>
        </row>
        <row r="504">
          <cell r="A504"/>
        </row>
        <row r="505">
          <cell r="A505"/>
        </row>
        <row r="506">
          <cell r="A506"/>
        </row>
        <row r="507">
          <cell r="A507"/>
        </row>
        <row r="508">
          <cell r="A508"/>
        </row>
        <row r="509">
          <cell r="A509"/>
        </row>
        <row r="510">
          <cell r="A510"/>
        </row>
        <row r="511">
          <cell r="A511"/>
        </row>
        <row r="512">
          <cell r="A512"/>
        </row>
        <row r="513">
          <cell r="A513"/>
        </row>
        <row r="514">
          <cell r="A514"/>
        </row>
        <row r="515">
          <cell r="A515"/>
        </row>
        <row r="516">
          <cell r="A516"/>
        </row>
        <row r="517">
          <cell r="A517"/>
        </row>
        <row r="518">
          <cell r="A518"/>
        </row>
        <row r="519">
          <cell r="A519"/>
        </row>
        <row r="520">
          <cell r="A520"/>
        </row>
        <row r="521">
          <cell r="A521"/>
        </row>
        <row r="522">
          <cell r="A522"/>
        </row>
        <row r="523">
          <cell r="A523"/>
        </row>
        <row r="524">
          <cell r="A524"/>
        </row>
        <row r="525">
          <cell r="A525"/>
        </row>
        <row r="526">
          <cell r="A526"/>
        </row>
        <row r="527">
          <cell r="A527"/>
        </row>
        <row r="528">
          <cell r="A528"/>
        </row>
        <row r="529">
          <cell r="A529"/>
        </row>
        <row r="530">
          <cell r="A530"/>
        </row>
        <row r="531">
          <cell r="A531"/>
        </row>
        <row r="532">
          <cell r="A532"/>
        </row>
        <row r="533">
          <cell r="A533"/>
        </row>
        <row r="534">
          <cell r="A534"/>
        </row>
        <row r="535">
          <cell r="A535"/>
        </row>
        <row r="536">
          <cell r="A536"/>
        </row>
        <row r="537">
          <cell r="A537"/>
        </row>
        <row r="538">
          <cell r="A538"/>
        </row>
        <row r="539">
          <cell r="A539"/>
        </row>
        <row r="540">
          <cell r="A540"/>
        </row>
        <row r="541">
          <cell r="A541"/>
        </row>
        <row r="542">
          <cell r="A542"/>
        </row>
        <row r="543">
          <cell r="A543"/>
        </row>
        <row r="544">
          <cell r="A544"/>
        </row>
        <row r="545">
          <cell r="A545"/>
        </row>
        <row r="546">
          <cell r="A546"/>
        </row>
        <row r="547">
          <cell r="A547"/>
        </row>
        <row r="548">
          <cell r="A548"/>
        </row>
        <row r="549">
          <cell r="A549"/>
        </row>
        <row r="550">
          <cell r="A550"/>
        </row>
        <row r="551">
          <cell r="A551"/>
        </row>
        <row r="552">
          <cell r="A552"/>
        </row>
        <row r="553">
          <cell r="A553"/>
        </row>
        <row r="554">
          <cell r="A554"/>
        </row>
        <row r="555">
          <cell r="A555"/>
        </row>
        <row r="556">
          <cell r="A556"/>
        </row>
        <row r="557">
          <cell r="A557"/>
        </row>
        <row r="558">
          <cell r="A558"/>
        </row>
        <row r="559">
          <cell r="A559"/>
        </row>
        <row r="560">
          <cell r="A560"/>
        </row>
        <row r="561">
          <cell r="A561"/>
        </row>
        <row r="562">
          <cell r="A562"/>
        </row>
        <row r="563">
          <cell r="A563"/>
        </row>
        <row r="564">
          <cell r="A564"/>
        </row>
        <row r="565">
          <cell r="A565"/>
        </row>
        <row r="566">
          <cell r="A566"/>
        </row>
        <row r="567">
          <cell r="A567"/>
        </row>
        <row r="568">
          <cell r="A568"/>
        </row>
        <row r="569">
          <cell r="A569"/>
        </row>
        <row r="570">
          <cell r="A570"/>
        </row>
        <row r="571">
          <cell r="A571"/>
        </row>
        <row r="572">
          <cell r="A572"/>
        </row>
        <row r="573">
          <cell r="A573"/>
        </row>
        <row r="574">
          <cell r="A574"/>
        </row>
        <row r="575">
          <cell r="A575"/>
        </row>
        <row r="576">
          <cell r="A576"/>
        </row>
        <row r="577">
          <cell r="A577"/>
        </row>
        <row r="578">
          <cell r="A578"/>
        </row>
        <row r="579">
          <cell r="A579"/>
        </row>
        <row r="580">
          <cell r="A580"/>
        </row>
        <row r="581">
          <cell r="A581"/>
        </row>
        <row r="582">
          <cell r="A582"/>
        </row>
        <row r="583">
          <cell r="A583"/>
        </row>
        <row r="584">
          <cell r="A584"/>
        </row>
        <row r="585">
          <cell r="A585"/>
        </row>
        <row r="586">
          <cell r="A586"/>
        </row>
        <row r="587">
          <cell r="A587"/>
        </row>
        <row r="588">
          <cell r="A588"/>
        </row>
        <row r="589">
          <cell r="A589"/>
        </row>
        <row r="590">
          <cell r="A590"/>
        </row>
        <row r="591">
          <cell r="A591"/>
        </row>
        <row r="592">
          <cell r="A592"/>
        </row>
        <row r="593">
          <cell r="A593"/>
        </row>
        <row r="594">
          <cell r="A594"/>
        </row>
        <row r="595">
          <cell r="A595"/>
        </row>
        <row r="596">
          <cell r="A596"/>
        </row>
        <row r="597">
          <cell r="A597"/>
        </row>
        <row r="598">
          <cell r="A598"/>
        </row>
        <row r="599">
          <cell r="A599"/>
        </row>
        <row r="600">
          <cell r="A600"/>
        </row>
        <row r="601">
          <cell r="A601"/>
        </row>
        <row r="602">
          <cell r="A602"/>
        </row>
        <row r="603">
          <cell r="A603"/>
        </row>
        <row r="604">
          <cell r="A604"/>
        </row>
        <row r="605">
          <cell r="A605"/>
        </row>
        <row r="606">
          <cell r="A606"/>
        </row>
        <row r="607">
          <cell r="A607"/>
        </row>
        <row r="608">
          <cell r="A608"/>
        </row>
        <row r="609">
          <cell r="A609"/>
        </row>
        <row r="610">
          <cell r="A610"/>
        </row>
        <row r="611">
          <cell r="A611"/>
        </row>
        <row r="612">
          <cell r="A612"/>
        </row>
        <row r="613">
          <cell r="A613"/>
        </row>
        <row r="614">
          <cell r="A614"/>
        </row>
        <row r="615">
          <cell r="A615"/>
        </row>
        <row r="616">
          <cell r="A616"/>
        </row>
        <row r="617">
          <cell r="A617"/>
        </row>
        <row r="618">
          <cell r="A618"/>
        </row>
        <row r="619">
          <cell r="A619"/>
        </row>
        <row r="620">
          <cell r="A620"/>
        </row>
        <row r="621">
          <cell r="A621"/>
        </row>
        <row r="622">
          <cell r="A622"/>
        </row>
        <row r="623">
          <cell r="A623"/>
        </row>
        <row r="624">
          <cell r="A624"/>
        </row>
        <row r="625">
          <cell r="A625"/>
        </row>
        <row r="626">
          <cell r="A626"/>
        </row>
        <row r="627">
          <cell r="A627"/>
        </row>
        <row r="628">
          <cell r="A628"/>
        </row>
        <row r="629">
          <cell r="A629"/>
        </row>
        <row r="630">
          <cell r="A630"/>
        </row>
        <row r="631">
          <cell r="A631"/>
        </row>
        <row r="632">
          <cell r="A632"/>
        </row>
        <row r="633">
          <cell r="A633"/>
        </row>
        <row r="634">
          <cell r="A634"/>
        </row>
        <row r="635">
          <cell r="A635"/>
        </row>
        <row r="636">
          <cell r="A636"/>
        </row>
        <row r="637">
          <cell r="A637"/>
        </row>
        <row r="638">
          <cell r="A638"/>
        </row>
        <row r="639">
          <cell r="A639"/>
        </row>
        <row r="640">
          <cell r="A640"/>
        </row>
        <row r="641">
          <cell r="A641"/>
        </row>
        <row r="642">
          <cell r="A642"/>
        </row>
        <row r="643">
          <cell r="A643"/>
        </row>
        <row r="644">
          <cell r="A644"/>
        </row>
        <row r="645">
          <cell r="A645"/>
        </row>
        <row r="646">
          <cell r="A646"/>
        </row>
        <row r="647">
          <cell r="A647"/>
        </row>
        <row r="648">
          <cell r="A648"/>
        </row>
        <row r="649">
          <cell r="A649"/>
        </row>
        <row r="650">
          <cell r="A650"/>
        </row>
        <row r="651">
          <cell r="A651"/>
        </row>
        <row r="652">
          <cell r="A652"/>
        </row>
        <row r="653">
          <cell r="A653"/>
        </row>
        <row r="654">
          <cell r="A654"/>
        </row>
        <row r="655">
          <cell r="A655"/>
        </row>
        <row r="656">
          <cell r="A656"/>
        </row>
        <row r="657">
          <cell r="A657"/>
        </row>
        <row r="658">
          <cell r="A658"/>
        </row>
        <row r="659">
          <cell r="A659"/>
        </row>
        <row r="660">
          <cell r="A660"/>
        </row>
        <row r="661">
          <cell r="A661"/>
        </row>
        <row r="662">
          <cell r="A662"/>
        </row>
        <row r="663">
          <cell r="A663"/>
        </row>
        <row r="664">
          <cell r="A664"/>
        </row>
        <row r="665">
          <cell r="A665"/>
        </row>
        <row r="666">
          <cell r="A666"/>
        </row>
        <row r="667">
          <cell r="A667"/>
        </row>
        <row r="668">
          <cell r="A668"/>
        </row>
        <row r="669">
          <cell r="A669"/>
        </row>
        <row r="670">
          <cell r="A670"/>
        </row>
        <row r="671">
          <cell r="A671"/>
        </row>
        <row r="672">
          <cell r="A672"/>
        </row>
        <row r="673">
          <cell r="A673"/>
        </row>
        <row r="674">
          <cell r="A674"/>
        </row>
        <row r="675">
          <cell r="A675"/>
        </row>
        <row r="676">
          <cell r="A676"/>
        </row>
        <row r="677">
          <cell r="A677"/>
        </row>
        <row r="678">
          <cell r="A678"/>
        </row>
        <row r="679">
          <cell r="A679"/>
        </row>
        <row r="680">
          <cell r="A680"/>
        </row>
        <row r="681">
          <cell r="A681"/>
        </row>
        <row r="682">
          <cell r="A682"/>
        </row>
        <row r="683">
          <cell r="A683"/>
        </row>
        <row r="684">
          <cell r="A684"/>
        </row>
        <row r="685">
          <cell r="A685"/>
        </row>
        <row r="686">
          <cell r="A686"/>
        </row>
        <row r="687">
          <cell r="A687"/>
        </row>
        <row r="688">
          <cell r="A688"/>
        </row>
        <row r="689">
          <cell r="A689"/>
        </row>
        <row r="690">
          <cell r="A690"/>
        </row>
        <row r="691">
          <cell r="A691"/>
        </row>
        <row r="692">
          <cell r="A692"/>
        </row>
        <row r="693">
          <cell r="A693"/>
        </row>
        <row r="694">
          <cell r="A694"/>
        </row>
        <row r="695">
          <cell r="A695"/>
        </row>
        <row r="696">
          <cell r="A696"/>
        </row>
        <row r="697">
          <cell r="A697"/>
        </row>
        <row r="698">
          <cell r="A698"/>
        </row>
        <row r="699">
          <cell r="A699"/>
        </row>
        <row r="700">
          <cell r="A700"/>
        </row>
        <row r="701">
          <cell r="A701"/>
        </row>
        <row r="702">
          <cell r="A702"/>
        </row>
        <row r="703">
          <cell r="A703"/>
        </row>
        <row r="704">
          <cell r="A704"/>
        </row>
        <row r="705">
          <cell r="A705"/>
        </row>
        <row r="706">
          <cell r="A706"/>
        </row>
        <row r="707">
          <cell r="A707"/>
        </row>
        <row r="708">
          <cell r="A708"/>
        </row>
        <row r="709">
          <cell r="A709"/>
        </row>
        <row r="710">
          <cell r="A710"/>
        </row>
        <row r="711">
          <cell r="A711"/>
        </row>
        <row r="712">
          <cell r="A712"/>
        </row>
        <row r="713">
          <cell r="A713"/>
        </row>
        <row r="714">
          <cell r="A714"/>
        </row>
        <row r="715">
          <cell r="A715"/>
        </row>
        <row r="716">
          <cell r="A716"/>
        </row>
        <row r="717">
          <cell r="A717"/>
        </row>
        <row r="718">
          <cell r="A718"/>
        </row>
        <row r="719">
          <cell r="A719"/>
        </row>
        <row r="720">
          <cell r="A720"/>
        </row>
        <row r="721">
          <cell r="A721"/>
        </row>
        <row r="722">
          <cell r="A722"/>
        </row>
        <row r="723">
          <cell r="A723"/>
        </row>
        <row r="724">
          <cell r="A724"/>
        </row>
        <row r="725">
          <cell r="A725"/>
        </row>
        <row r="726">
          <cell r="A726"/>
        </row>
        <row r="727">
          <cell r="A727"/>
        </row>
        <row r="728">
          <cell r="A728"/>
        </row>
        <row r="729">
          <cell r="A729"/>
        </row>
        <row r="730">
          <cell r="A730"/>
        </row>
        <row r="731">
          <cell r="A731"/>
        </row>
        <row r="732">
          <cell r="A732"/>
        </row>
        <row r="733">
          <cell r="A733"/>
        </row>
        <row r="734">
          <cell r="A734"/>
        </row>
        <row r="735">
          <cell r="A735"/>
        </row>
        <row r="736">
          <cell r="A736"/>
        </row>
        <row r="737">
          <cell r="A737"/>
        </row>
        <row r="738">
          <cell r="A738"/>
        </row>
        <row r="739">
          <cell r="A739"/>
        </row>
        <row r="740">
          <cell r="A740"/>
        </row>
        <row r="741">
          <cell r="A741"/>
        </row>
        <row r="742">
          <cell r="A742"/>
        </row>
        <row r="743">
          <cell r="A743"/>
        </row>
        <row r="744">
          <cell r="A744"/>
        </row>
        <row r="745">
          <cell r="A745"/>
        </row>
        <row r="746">
          <cell r="A746"/>
        </row>
        <row r="747">
          <cell r="A747"/>
        </row>
        <row r="748">
          <cell r="A748"/>
        </row>
        <row r="749">
          <cell r="A749"/>
        </row>
        <row r="750">
          <cell r="A750"/>
        </row>
        <row r="751">
          <cell r="A751"/>
        </row>
        <row r="752">
          <cell r="A752"/>
        </row>
        <row r="753">
          <cell r="A753"/>
        </row>
        <row r="754">
          <cell r="A754"/>
        </row>
        <row r="755">
          <cell r="A755"/>
        </row>
        <row r="756">
          <cell r="A756"/>
        </row>
        <row r="757">
          <cell r="A757"/>
        </row>
        <row r="758">
          <cell r="A758"/>
        </row>
        <row r="759">
          <cell r="A759"/>
        </row>
        <row r="760">
          <cell r="A760"/>
        </row>
        <row r="761">
          <cell r="A761"/>
        </row>
        <row r="762">
          <cell r="A762"/>
        </row>
        <row r="763">
          <cell r="A763"/>
        </row>
        <row r="764">
          <cell r="A764"/>
        </row>
        <row r="765">
          <cell r="A765"/>
        </row>
        <row r="766">
          <cell r="A766"/>
        </row>
        <row r="767">
          <cell r="A767"/>
        </row>
        <row r="768">
          <cell r="A768"/>
        </row>
        <row r="769">
          <cell r="A769"/>
        </row>
        <row r="770">
          <cell r="A770"/>
        </row>
        <row r="771">
          <cell r="A771"/>
        </row>
        <row r="772">
          <cell r="A772"/>
        </row>
        <row r="773">
          <cell r="A773"/>
        </row>
        <row r="774">
          <cell r="A774"/>
        </row>
        <row r="775">
          <cell r="A775"/>
        </row>
        <row r="776">
          <cell r="A776"/>
        </row>
        <row r="777">
          <cell r="A777"/>
        </row>
        <row r="778">
          <cell r="A778"/>
        </row>
        <row r="779">
          <cell r="A779"/>
        </row>
        <row r="780">
          <cell r="A780"/>
        </row>
        <row r="781">
          <cell r="A781"/>
        </row>
        <row r="782">
          <cell r="A782"/>
        </row>
        <row r="783">
          <cell r="A783"/>
        </row>
        <row r="784">
          <cell r="A784"/>
        </row>
        <row r="785">
          <cell r="A785"/>
        </row>
        <row r="786">
          <cell r="A786"/>
        </row>
        <row r="787">
          <cell r="A787"/>
        </row>
        <row r="788">
          <cell r="A788"/>
        </row>
        <row r="789">
          <cell r="A789"/>
        </row>
        <row r="790">
          <cell r="A790"/>
        </row>
        <row r="791">
          <cell r="A791"/>
        </row>
        <row r="792">
          <cell r="A792"/>
        </row>
        <row r="793">
          <cell r="A793"/>
        </row>
        <row r="794">
          <cell r="A794"/>
        </row>
        <row r="795">
          <cell r="A795"/>
        </row>
        <row r="796">
          <cell r="A796"/>
        </row>
        <row r="797">
          <cell r="A797"/>
        </row>
        <row r="798">
          <cell r="A798"/>
        </row>
        <row r="799">
          <cell r="A799"/>
        </row>
        <row r="800">
          <cell r="A800"/>
        </row>
        <row r="801">
          <cell r="A801"/>
        </row>
        <row r="802">
          <cell r="A802"/>
        </row>
        <row r="803">
          <cell r="A803"/>
        </row>
        <row r="804">
          <cell r="A804"/>
        </row>
        <row r="805">
          <cell r="A805"/>
        </row>
        <row r="806">
          <cell r="A806"/>
        </row>
        <row r="807">
          <cell r="A807"/>
        </row>
        <row r="808">
          <cell r="A808"/>
        </row>
        <row r="809">
          <cell r="A809"/>
        </row>
        <row r="810">
          <cell r="A810"/>
        </row>
        <row r="811">
          <cell r="A811"/>
        </row>
        <row r="812">
          <cell r="A812"/>
        </row>
        <row r="813">
          <cell r="A813"/>
        </row>
        <row r="814">
          <cell r="A814"/>
        </row>
        <row r="815">
          <cell r="A815"/>
        </row>
        <row r="816">
          <cell r="A816"/>
        </row>
        <row r="817">
          <cell r="A817"/>
        </row>
        <row r="818">
          <cell r="A818"/>
        </row>
        <row r="819">
          <cell r="A819"/>
        </row>
        <row r="820">
          <cell r="A820"/>
        </row>
        <row r="821">
          <cell r="A821"/>
        </row>
        <row r="822">
          <cell r="A822"/>
        </row>
        <row r="823">
          <cell r="A823"/>
        </row>
        <row r="824">
          <cell r="A824"/>
        </row>
        <row r="825">
          <cell r="A825"/>
        </row>
        <row r="826">
          <cell r="A826"/>
        </row>
        <row r="827">
          <cell r="A827"/>
        </row>
        <row r="828">
          <cell r="A828"/>
        </row>
        <row r="829">
          <cell r="A829"/>
        </row>
        <row r="830">
          <cell r="A830"/>
        </row>
        <row r="831">
          <cell r="A831"/>
        </row>
        <row r="832">
          <cell r="A832"/>
        </row>
        <row r="833">
          <cell r="A833"/>
        </row>
        <row r="834">
          <cell r="A834"/>
        </row>
        <row r="835">
          <cell r="A835"/>
        </row>
        <row r="836">
          <cell r="A836"/>
        </row>
        <row r="837">
          <cell r="A837"/>
        </row>
        <row r="838">
          <cell r="A838"/>
        </row>
        <row r="839">
          <cell r="A839"/>
        </row>
        <row r="840">
          <cell r="A840"/>
        </row>
        <row r="841">
          <cell r="A841"/>
        </row>
        <row r="842">
          <cell r="A842"/>
        </row>
        <row r="843">
          <cell r="A843"/>
        </row>
        <row r="844">
          <cell r="A844"/>
        </row>
        <row r="845">
          <cell r="A845"/>
        </row>
        <row r="846">
          <cell r="A846"/>
        </row>
        <row r="847">
          <cell r="A847"/>
        </row>
        <row r="848">
          <cell r="A848"/>
        </row>
        <row r="849">
          <cell r="A849"/>
        </row>
        <row r="850">
          <cell r="A850"/>
        </row>
        <row r="851">
          <cell r="A851"/>
        </row>
        <row r="852">
          <cell r="A852"/>
        </row>
        <row r="853">
          <cell r="A853"/>
        </row>
        <row r="854">
          <cell r="A854"/>
        </row>
        <row r="855">
          <cell r="A855"/>
        </row>
        <row r="856">
          <cell r="A856"/>
        </row>
        <row r="857">
          <cell r="A857"/>
        </row>
        <row r="858">
          <cell r="A858"/>
        </row>
        <row r="859">
          <cell r="A859"/>
        </row>
        <row r="860">
          <cell r="A860"/>
        </row>
        <row r="861">
          <cell r="A861"/>
        </row>
        <row r="862">
          <cell r="A862"/>
        </row>
        <row r="863">
          <cell r="A863"/>
        </row>
        <row r="864">
          <cell r="A864"/>
        </row>
        <row r="865">
          <cell r="A865"/>
        </row>
        <row r="866">
          <cell r="A866"/>
        </row>
        <row r="867">
          <cell r="A867"/>
        </row>
        <row r="868">
          <cell r="A868"/>
        </row>
        <row r="869">
          <cell r="A869"/>
        </row>
        <row r="870">
          <cell r="A870"/>
        </row>
        <row r="871">
          <cell r="A871"/>
        </row>
        <row r="872">
          <cell r="A872"/>
        </row>
        <row r="873">
          <cell r="A873"/>
        </row>
        <row r="874">
          <cell r="A874"/>
        </row>
        <row r="875">
          <cell r="A875"/>
        </row>
        <row r="876">
          <cell r="A876"/>
        </row>
        <row r="877">
          <cell r="A877"/>
        </row>
        <row r="878">
          <cell r="A878"/>
        </row>
        <row r="879">
          <cell r="A879"/>
        </row>
        <row r="880">
          <cell r="A880"/>
        </row>
        <row r="881">
          <cell r="A881"/>
        </row>
        <row r="882">
          <cell r="A882"/>
        </row>
        <row r="883">
          <cell r="A883"/>
        </row>
        <row r="884">
          <cell r="A884"/>
        </row>
        <row r="885">
          <cell r="A885"/>
        </row>
        <row r="886">
          <cell r="A886"/>
        </row>
        <row r="887">
          <cell r="A887"/>
        </row>
        <row r="888">
          <cell r="A888"/>
        </row>
        <row r="889">
          <cell r="A889"/>
        </row>
        <row r="890">
          <cell r="A890"/>
        </row>
        <row r="891">
          <cell r="A891"/>
        </row>
        <row r="892">
          <cell r="A892"/>
        </row>
        <row r="893">
          <cell r="A893"/>
        </row>
        <row r="894">
          <cell r="A894"/>
        </row>
        <row r="895">
          <cell r="A895"/>
        </row>
        <row r="896">
          <cell r="A896"/>
        </row>
        <row r="897">
          <cell r="A897"/>
        </row>
        <row r="898">
          <cell r="A898"/>
        </row>
        <row r="899">
          <cell r="A899"/>
        </row>
        <row r="900">
          <cell r="A900"/>
        </row>
        <row r="901">
          <cell r="A901"/>
        </row>
        <row r="902">
          <cell r="A902"/>
        </row>
        <row r="903">
          <cell r="A903"/>
        </row>
        <row r="904">
          <cell r="A904"/>
        </row>
        <row r="905">
          <cell r="A905"/>
        </row>
        <row r="906">
          <cell r="A906"/>
        </row>
        <row r="907">
          <cell r="A907"/>
        </row>
        <row r="908">
          <cell r="A908"/>
        </row>
        <row r="909">
          <cell r="A909"/>
        </row>
        <row r="910">
          <cell r="A910"/>
        </row>
        <row r="911">
          <cell r="A911"/>
        </row>
        <row r="912">
          <cell r="A912"/>
        </row>
        <row r="913">
          <cell r="A913"/>
        </row>
        <row r="914">
          <cell r="A914"/>
        </row>
        <row r="915">
          <cell r="A915"/>
        </row>
        <row r="916">
          <cell r="A916"/>
        </row>
        <row r="917">
          <cell r="A917"/>
        </row>
        <row r="918">
          <cell r="A918"/>
        </row>
        <row r="919">
          <cell r="A919"/>
        </row>
        <row r="920">
          <cell r="A920"/>
        </row>
        <row r="921">
          <cell r="A921"/>
        </row>
        <row r="922">
          <cell r="A922"/>
        </row>
        <row r="923">
          <cell r="A923"/>
        </row>
        <row r="924">
          <cell r="A924"/>
        </row>
        <row r="925">
          <cell r="A925"/>
        </row>
        <row r="926">
          <cell r="A926"/>
        </row>
        <row r="927">
          <cell r="A927"/>
        </row>
        <row r="928">
          <cell r="A928"/>
        </row>
        <row r="929">
          <cell r="A929"/>
        </row>
        <row r="930">
          <cell r="A930"/>
        </row>
        <row r="931">
          <cell r="A931"/>
        </row>
        <row r="932">
          <cell r="A932"/>
        </row>
        <row r="933">
          <cell r="A933"/>
        </row>
        <row r="934">
          <cell r="A934"/>
        </row>
        <row r="935">
          <cell r="A935"/>
        </row>
        <row r="936">
          <cell r="A936"/>
        </row>
        <row r="937">
          <cell r="A937"/>
        </row>
        <row r="938">
          <cell r="A938"/>
        </row>
        <row r="939">
          <cell r="A939"/>
        </row>
        <row r="940">
          <cell r="A940"/>
        </row>
        <row r="941">
          <cell r="A941"/>
        </row>
        <row r="942">
          <cell r="A942"/>
        </row>
        <row r="943">
          <cell r="A943"/>
        </row>
        <row r="944">
          <cell r="A944"/>
        </row>
        <row r="945">
          <cell r="A945"/>
        </row>
        <row r="946">
          <cell r="A946"/>
        </row>
        <row r="947">
          <cell r="A947"/>
        </row>
        <row r="948">
          <cell r="A948"/>
        </row>
        <row r="949">
          <cell r="A949"/>
        </row>
        <row r="950">
          <cell r="A950"/>
        </row>
        <row r="951">
          <cell r="A951"/>
        </row>
        <row r="952">
          <cell r="A952"/>
        </row>
        <row r="953">
          <cell r="A953"/>
        </row>
        <row r="954">
          <cell r="A954"/>
        </row>
        <row r="955">
          <cell r="A955"/>
        </row>
        <row r="956">
          <cell r="A956"/>
        </row>
        <row r="957">
          <cell r="A957"/>
        </row>
        <row r="958">
          <cell r="A958"/>
        </row>
        <row r="959">
          <cell r="A959"/>
        </row>
        <row r="960">
          <cell r="A960"/>
        </row>
        <row r="961">
          <cell r="A961"/>
        </row>
        <row r="962">
          <cell r="A962"/>
        </row>
        <row r="963">
          <cell r="A963"/>
        </row>
        <row r="964">
          <cell r="A964"/>
        </row>
        <row r="965">
          <cell r="A965"/>
        </row>
        <row r="966">
          <cell r="A966"/>
        </row>
        <row r="967">
          <cell r="A967"/>
        </row>
        <row r="968">
          <cell r="A968"/>
        </row>
        <row r="969">
          <cell r="A969"/>
        </row>
        <row r="970">
          <cell r="A970"/>
        </row>
        <row r="971">
          <cell r="A971"/>
        </row>
        <row r="972">
          <cell r="A972"/>
        </row>
        <row r="973">
          <cell r="A973"/>
        </row>
        <row r="974">
          <cell r="A974"/>
        </row>
        <row r="975">
          <cell r="A975"/>
        </row>
        <row r="976">
          <cell r="A976"/>
        </row>
        <row r="977">
          <cell r="A977"/>
        </row>
        <row r="978">
          <cell r="A978"/>
        </row>
        <row r="979">
          <cell r="A979"/>
        </row>
        <row r="980">
          <cell r="A980"/>
        </row>
        <row r="981">
          <cell r="A981"/>
        </row>
        <row r="982">
          <cell r="A982"/>
        </row>
        <row r="983">
          <cell r="A983"/>
        </row>
        <row r="984">
          <cell r="A984"/>
        </row>
        <row r="985">
          <cell r="A985"/>
        </row>
        <row r="986">
          <cell r="A986"/>
        </row>
        <row r="987">
          <cell r="A987"/>
        </row>
        <row r="988">
          <cell r="A988"/>
        </row>
        <row r="989">
          <cell r="A989"/>
        </row>
        <row r="990">
          <cell r="A990"/>
        </row>
        <row r="991">
          <cell r="A991"/>
        </row>
        <row r="992">
          <cell r="A992"/>
        </row>
        <row r="993">
          <cell r="A993"/>
        </row>
        <row r="994">
          <cell r="A994"/>
        </row>
        <row r="995">
          <cell r="A995"/>
        </row>
        <row r="996">
          <cell r="A996"/>
        </row>
        <row r="997">
          <cell r="A997"/>
        </row>
        <row r="998">
          <cell r="A998"/>
        </row>
        <row r="999">
          <cell r="A999"/>
        </row>
        <row r="1000">
          <cell r="A1000"/>
        </row>
      </sheetData>
      <sheetData sheetId="10"/>
      <sheetData sheetId="11"/>
      <sheetData sheetId="12"/>
      <sheetData sheetId="13">
        <row r="1">
          <cell r="A1" t="str">
            <v>id</v>
          </cell>
        </row>
        <row r="2">
          <cell r="A2" t="str">
            <v>fan inlet air temperature sensor</v>
          </cell>
        </row>
        <row r="3">
          <cell r="A3" t="str">
            <v>coil outlet air temperature sensor</v>
          </cell>
        </row>
        <row r="4">
          <cell r="A4" t="str">
            <v>coil inlet water temperature sensor</v>
          </cell>
        </row>
        <row r="5">
          <cell r="A5" t="str">
            <v>valve position sensor</v>
          </cell>
        </row>
        <row r="6">
          <cell r="A6" t="str">
            <v>coil outlet water temperature sensor</v>
          </cell>
        </row>
        <row r="7">
          <cell r="A7" t="str">
            <v>supply water temperature sensor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</sheetData>
      <sheetData sheetId="14">
        <row r="1">
          <cell r="A1" t="str">
            <v>id</v>
          </cell>
        </row>
        <row r="2">
          <cell r="A2" t="str">
            <v>fan flow meter</v>
          </cell>
        </row>
        <row r="3">
          <cell r="A3" t="str">
            <v>fan power meter</v>
          </cell>
        </row>
        <row r="4">
          <cell r="A4"/>
        </row>
        <row r="5">
          <cell r="A5"/>
        </row>
        <row r="6">
          <cell r="A6"/>
        </row>
      </sheetData>
      <sheetData sheetId="15">
        <row r="2">
          <cell r="A2" t="str">
            <v>valve position property</v>
          </cell>
        </row>
        <row r="3">
          <cell r="A3" t="str">
            <v>coil outlet air temperature property</v>
          </cell>
        </row>
        <row r="4">
          <cell r="A4" t="str">
            <v>fan inlet air temperature property</v>
          </cell>
        </row>
        <row r="5">
          <cell r="A5" t="str">
            <v>coil outlet water temperature property</v>
          </cell>
        </row>
        <row r="6">
          <cell r="A6" t="str">
            <v>coil inlet water temperature property</v>
          </cell>
        </row>
        <row r="7">
          <cell r="A7" t="str">
            <v>return air temperature property</v>
          </cell>
        </row>
        <row r="8">
          <cell r="A8" t="str">
            <v>fan flow property</v>
          </cell>
        </row>
        <row r="9">
          <cell r="A9" t="str">
            <v>fan power property</v>
          </cell>
        </row>
        <row r="10">
          <cell r="A10" t="str">
            <v>supply water temperature property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16">
        <row r="1">
          <cell r="E1" t="str">
            <v>system_names</v>
          </cell>
          <cell r="F1" t="str">
            <v>heating_cooling_system_names</v>
          </cell>
          <cell r="G1" t="str">
            <v>all_flow_systems</v>
          </cell>
        </row>
        <row r="2">
          <cell r="A2" t="str">
            <v>Temperature</v>
          </cell>
          <cell r="E2" t="str">
            <v>VE02</v>
          </cell>
          <cell r="F2" t="str">
            <v>VA01</v>
          </cell>
          <cell r="G2" t="str">
            <v>valve</v>
          </cell>
        </row>
        <row r="3">
          <cell r="A3" t="str">
            <v>Smoke</v>
          </cell>
          <cell r="E3" t="str">
            <v>VA01</v>
          </cell>
          <cell r="F3" t="str">
            <v/>
          </cell>
          <cell r="G3" t="str">
            <v>check valve</v>
          </cell>
        </row>
        <row r="4">
          <cell r="A4" t="str">
            <v>Price</v>
          </cell>
          <cell r="E4" t="str">
            <v/>
          </cell>
          <cell r="F4" t="str">
            <v/>
          </cell>
          <cell r="G4" t="str">
            <v>heating coil</v>
          </cell>
        </row>
        <row r="5">
          <cell r="A5" t="str">
            <v>Pressure</v>
          </cell>
          <cell r="E5" t="str">
            <v/>
          </cell>
          <cell r="F5" t="str">
            <v/>
          </cell>
          <cell r="G5" t="str">
            <v>fan</v>
          </cell>
        </row>
        <row r="6">
          <cell r="A6" t="str">
            <v>Power</v>
          </cell>
          <cell r="E6" t="str">
            <v/>
          </cell>
          <cell r="F6" t="str">
            <v/>
          </cell>
          <cell r="G6" t="str">
            <v>controller</v>
          </cell>
        </row>
        <row r="7">
          <cell r="A7" t="str">
            <v>Occupancy</v>
          </cell>
          <cell r="E7" t="str">
            <v/>
          </cell>
          <cell r="F7" t="str">
            <v/>
          </cell>
          <cell r="G7" t="str">
            <v>fan inlet air temperature sensor</v>
          </cell>
        </row>
        <row r="8">
          <cell r="A8" t="str">
            <v>Motion</v>
          </cell>
          <cell r="E8" t="str">
            <v/>
          </cell>
          <cell r="F8" t="str">
            <v/>
          </cell>
          <cell r="G8" t="str">
            <v>coil outlet air temperature sensor</v>
          </cell>
        </row>
        <row r="9">
          <cell r="A9" t="str">
            <v>Light</v>
          </cell>
          <cell r="E9" t="str">
            <v/>
          </cell>
          <cell r="F9" t="str">
            <v/>
          </cell>
          <cell r="G9" t="str">
            <v>coil inlet water temperature sensor</v>
          </cell>
        </row>
        <row r="10">
          <cell r="A10" t="str">
            <v>Humidity</v>
          </cell>
          <cell r="E10" t="str">
            <v/>
          </cell>
          <cell r="F10" t="str">
            <v/>
          </cell>
          <cell r="G10" t="str">
            <v>valve position sensor</v>
          </cell>
        </row>
        <row r="11">
          <cell r="A11" t="str">
            <v>Energy</v>
          </cell>
          <cell r="E11" t="str">
            <v/>
          </cell>
          <cell r="F11" t="str">
            <v/>
          </cell>
          <cell r="G11" t="str">
            <v>coil outlet water temperature sensor</v>
          </cell>
        </row>
        <row r="12">
          <cell r="A12" t="str">
            <v>DirectNormalIrradiation</v>
          </cell>
          <cell r="E12" t="str">
            <v/>
          </cell>
          <cell r="F12" t="str">
            <v/>
          </cell>
          <cell r="G12" t="str">
            <v>supply water temperature sensor</v>
          </cell>
        </row>
        <row r="13">
          <cell r="A13" t="str">
            <v>Co2</v>
          </cell>
          <cell r="E13" t="str">
            <v/>
          </cell>
          <cell r="F13" t="str">
            <v/>
          </cell>
          <cell r="G13" t="str">
            <v>fan flow meter</v>
          </cell>
        </row>
        <row r="14">
          <cell r="A14" t="str">
            <v>OpeningPosition</v>
          </cell>
          <cell r="E14" t="str">
            <v/>
          </cell>
          <cell r="F14" t="str">
            <v/>
          </cell>
          <cell r="G14" t="str">
            <v>fan power meter</v>
          </cell>
        </row>
        <row r="15">
          <cell r="A15" t="str">
            <v>Flow</v>
          </cell>
          <cell r="E15" t="str">
            <v/>
          </cell>
          <cell r="F15" t="str">
            <v/>
          </cell>
          <cell r="G15" t="str">
            <v>pump</v>
          </cell>
        </row>
        <row r="16">
          <cell r="E16" t="str">
            <v/>
          </cell>
          <cell r="F16" t="str">
            <v/>
          </cell>
          <cell r="G16" t="str">
            <v>heating coil (airside)</v>
          </cell>
        </row>
        <row r="17">
          <cell r="E17" t="str">
            <v/>
          </cell>
          <cell r="F17" t="str">
            <v/>
          </cell>
          <cell r="G17" t="str">
            <v>heating coil (waterside)</v>
          </cell>
        </row>
        <row r="18">
          <cell r="E18" t="str">
            <v/>
          </cell>
          <cell r="F18" t="str">
            <v/>
          </cell>
        </row>
        <row r="19">
          <cell r="E19" t="str">
            <v/>
          </cell>
          <cell r="F19" t="str">
            <v/>
          </cell>
        </row>
        <row r="20">
          <cell r="E20" t="str">
            <v/>
          </cell>
          <cell r="F20" t="str">
            <v/>
          </cell>
        </row>
        <row r="21">
          <cell r="E21" t="str">
            <v/>
          </cell>
          <cell r="F21" t="str">
            <v/>
          </cell>
        </row>
        <row r="22">
          <cell r="E22" t="str">
            <v/>
          </cell>
          <cell r="F22" t="str">
            <v/>
          </cell>
        </row>
        <row r="23">
          <cell r="E23" t="str">
            <v/>
          </cell>
          <cell r="F23" t="str">
            <v/>
          </cell>
        </row>
        <row r="24">
          <cell r="E24" t="str">
            <v/>
          </cell>
          <cell r="F24" t="str">
            <v/>
          </cell>
        </row>
        <row r="25">
          <cell r="E25" t="str">
            <v/>
          </cell>
          <cell r="F25" t="str">
            <v/>
          </cell>
        </row>
        <row r="26">
          <cell r="E26" t="str">
            <v/>
          </cell>
          <cell r="F26" t="str">
            <v/>
          </cell>
        </row>
        <row r="27">
          <cell r="E27" t="str">
            <v/>
          </cell>
          <cell r="F27" t="str">
            <v/>
          </cell>
        </row>
        <row r="28">
          <cell r="E28" t="str">
            <v/>
          </cell>
          <cell r="F28" t="str">
            <v/>
          </cell>
        </row>
        <row r="29">
          <cell r="E29" t="str">
            <v/>
          </cell>
          <cell r="F29" t="str">
            <v/>
          </cell>
        </row>
        <row r="30">
          <cell r="E30" t="str">
            <v/>
          </cell>
          <cell r="F30" t="str">
            <v/>
          </cell>
        </row>
        <row r="31">
          <cell r="E31" t="str">
            <v/>
          </cell>
          <cell r="F31" t="str">
            <v/>
          </cell>
        </row>
        <row r="32">
          <cell r="E32" t="str">
            <v/>
          </cell>
          <cell r="F32" t="str">
            <v/>
          </cell>
        </row>
        <row r="33">
          <cell r="E33" t="str">
            <v/>
          </cell>
          <cell r="F33" t="str">
            <v/>
          </cell>
        </row>
        <row r="34">
          <cell r="E34" t="str">
            <v/>
          </cell>
          <cell r="F34" t="str">
            <v/>
          </cell>
        </row>
        <row r="35">
          <cell r="E35" t="str">
            <v/>
          </cell>
          <cell r="F35" t="str">
            <v/>
          </cell>
        </row>
        <row r="36">
          <cell r="E36" t="str">
            <v/>
          </cell>
          <cell r="F36" t="str">
            <v/>
          </cell>
        </row>
        <row r="37">
          <cell r="E37" t="str">
            <v/>
          </cell>
          <cell r="F37" t="str">
            <v/>
          </cell>
        </row>
        <row r="38">
          <cell r="E38" t="str">
            <v/>
          </cell>
          <cell r="F38" t="str">
            <v/>
          </cell>
        </row>
        <row r="39">
          <cell r="E39" t="str">
            <v/>
          </cell>
          <cell r="F39" t="str">
            <v/>
          </cell>
        </row>
        <row r="40">
          <cell r="E40" t="str">
            <v/>
          </cell>
          <cell r="F40" t="str">
            <v/>
          </cell>
        </row>
        <row r="41">
          <cell r="E41" t="str">
            <v/>
          </cell>
          <cell r="F41" t="str">
            <v/>
          </cell>
        </row>
        <row r="42">
          <cell r="E42" t="str">
            <v/>
          </cell>
          <cell r="F42" t="str">
            <v/>
          </cell>
        </row>
        <row r="43">
          <cell r="E43" t="str">
            <v/>
          </cell>
          <cell r="F43" t="str">
            <v/>
          </cell>
        </row>
        <row r="44">
          <cell r="E44" t="str">
            <v/>
          </cell>
          <cell r="F44" t="str">
            <v/>
          </cell>
        </row>
        <row r="45">
          <cell r="E45" t="str">
            <v/>
          </cell>
          <cell r="F45" t="str">
            <v/>
          </cell>
        </row>
        <row r="46">
          <cell r="E46" t="str">
            <v/>
          </cell>
          <cell r="F46" t="str">
            <v/>
          </cell>
        </row>
        <row r="47">
          <cell r="E47" t="str">
            <v/>
          </cell>
          <cell r="F47" t="str">
            <v/>
          </cell>
        </row>
        <row r="48">
          <cell r="E48" t="str">
            <v/>
          </cell>
          <cell r="F48" t="str">
            <v/>
          </cell>
        </row>
        <row r="49">
          <cell r="E49" t="str">
            <v/>
          </cell>
          <cell r="F49" t="str">
            <v/>
          </cell>
        </row>
        <row r="50">
          <cell r="E50" t="str">
            <v/>
          </cell>
          <cell r="F50" t="str">
            <v/>
          </cell>
        </row>
        <row r="51">
          <cell r="E51" t="str">
            <v/>
          </cell>
          <cell r="F51" t="str">
            <v/>
          </cell>
        </row>
        <row r="52">
          <cell r="E52" t="str">
            <v/>
          </cell>
          <cell r="F52" t="str">
            <v/>
          </cell>
        </row>
        <row r="53">
          <cell r="E53" t="str">
            <v/>
          </cell>
          <cell r="F53" t="str">
            <v/>
          </cell>
        </row>
        <row r="54">
          <cell r="E54" t="str">
            <v/>
          </cell>
          <cell r="F54" t="str">
            <v/>
          </cell>
        </row>
        <row r="55">
          <cell r="E55" t="str">
            <v/>
          </cell>
          <cell r="F55" t="str">
            <v/>
          </cell>
        </row>
        <row r="56">
          <cell r="E56" t="str">
            <v/>
          </cell>
          <cell r="F56" t="str">
            <v/>
          </cell>
        </row>
        <row r="57">
          <cell r="E57" t="str">
            <v/>
          </cell>
          <cell r="F57" t="str">
            <v/>
          </cell>
        </row>
        <row r="58">
          <cell r="E58" t="str">
            <v/>
          </cell>
          <cell r="F58" t="str">
            <v/>
          </cell>
        </row>
        <row r="59">
          <cell r="E59" t="str">
            <v/>
          </cell>
          <cell r="F59" t="str">
            <v/>
          </cell>
        </row>
        <row r="60">
          <cell r="E60" t="str">
            <v/>
          </cell>
          <cell r="F60" t="str">
            <v/>
          </cell>
        </row>
        <row r="61">
          <cell r="E61" t="str">
            <v/>
          </cell>
          <cell r="F61" t="str">
            <v/>
          </cell>
        </row>
        <row r="62">
          <cell r="E62" t="str">
            <v/>
          </cell>
          <cell r="F62" t="str">
            <v/>
          </cell>
        </row>
        <row r="63">
          <cell r="E63" t="str">
            <v/>
          </cell>
          <cell r="F63" t="str">
            <v/>
          </cell>
        </row>
        <row r="64">
          <cell r="E64" t="str">
            <v/>
          </cell>
          <cell r="F64" t="str">
            <v/>
          </cell>
        </row>
        <row r="65">
          <cell r="E65" t="str">
            <v/>
          </cell>
          <cell r="F65" t="str">
            <v/>
          </cell>
        </row>
        <row r="66">
          <cell r="E66" t="str">
            <v/>
          </cell>
          <cell r="F66" t="str">
            <v/>
          </cell>
        </row>
        <row r="67">
          <cell r="E67" t="str">
            <v/>
          </cell>
          <cell r="F67" t="str">
            <v/>
          </cell>
        </row>
        <row r="68">
          <cell r="E68" t="str">
            <v/>
          </cell>
          <cell r="F68" t="str">
            <v/>
          </cell>
        </row>
        <row r="69">
          <cell r="E69" t="str">
            <v/>
          </cell>
          <cell r="F69" t="str">
            <v/>
          </cell>
        </row>
        <row r="70">
          <cell r="E70" t="str">
            <v/>
          </cell>
          <cell r="F70" t="str">
            <v/>
          </cell>
        </row>
        <row r="71">
          <cell r="E71" t="str">
            <v/>
          </cell>
          <cell r="F71" t="str">
            <v/>
          </cell>
        </row>
        <row r="72">
          <cell r="E72" t="str">
            <v/>
          </cell>
          <cell r="F72" t="str">
            <v/>
          </cell>
        </row>
        <row r="73">
          <cell r="E73" t="str">
            <v/>
          </cell>
          <cell r="F73" t="str">
            <v/>
          </cell>
        </row>
        <row r="74">
          <cell r="E74" t="str">
            <v/>
          </cell>
          <cell r="F74" t="str">
            <v/>
          </cell>
        </row>
        <row r="75">
          <cell r="E75" t="str">
            <v/>
          </cell>
          <cell r="F75" t="str">
            <v/>
          </cell>
        </row>
        <row r="76">
          <cell r="E76" t="str">
            <v/>
          </cell>
          <cell r="F76" t="str">
            <v/>
          </cell>
        </row>
        <row r="77">
          <cell r="E77" t="str">
            <v/>
          </cell>
          <cell r="F77" t="str">
            <v/>
          </cell>
        </row>
        <row r="78">
          <cell r="E78" t="str">
            <v/>
          </cell>
          <cell r="F78" t="str">
            <v/>
          </cell>
        </row>
        <row r="79">
          <cell r="E79" t="str">
            <v/>
          </cell>
          <cell r="F79" t="str">
            <v/>
          </cell>
        </row>
        <row r="80">
          <cell r="E80" t="str">
            <v/>
          </cell>
          <cell r="F80" t="str">
            <v/>
          </cell>
        </row>
        <row r="81">
          <cell r="E81" t="str">
            <v/>
          </cell>
          <cell r="F81" t="str">
            <v/>
          </cell>
        </row>
        <row r="82">
          <cell r="E82" t="str">
            <v/>
          </cell>
          <cell r="F82" t="str">
            <v/>
          </cell>
        </row>
        <row r="83">
          <cell r="E83" t="str">
            <v/>
          </cell>
          <cell r="F83" t="str">
            <v/>
          </cell>
        </row>
        <row r="84">
          <cell r="E84" t="str">
            <v/>
          </cell>
          <cell r="F84" t="str">
            <v/>
          </cell>
        </row>
        <row r="85">
          <cell r="E85" t="str">
            <v/>
          </cell>
          <cell r="F85" t="str">
            <v/>
          </cell>
        </row>
        <row r="86">
          <cell r="E86" t="str">
            <v/>
          </cell>
          <cell r="F86" t="str">
            <v/>
          </cell>
        </row>
        <row r="87">
          <cell r="E87" t="str">
            <v/>
          </cell>
          <cell r="F87" t="str">
            <v/>
          </cell>
        </row>
        <row r="88">
          <cell r="E88" t="str">
            <v/>
          </cell>
          <cell r="F88" t="str">
            <v/>
          </cell>
        </row>
        <row r="89">
          <cell r="E89" t="str">
            <v/>
          </cell>
          <cell r="F89" t="str">
            <v/>
          </cell>
        </row>
        <row r="90">
          <cell r="E90" t="str">
            <v/>
          </cell>
          <cell r="F90" t="str">
            <v/>
          </cell>
        </row>
        <row r="91">
          <cell r="E91" t="str">
            <v/>
          </cell>
          <cell r="F91" t="str">
            <v/>
          </cell>
        </row>
        <row r="92">
          <cell r="E92" t="str">
            <v/>
          </cell>
          <cell r="F92" t="str">
            <v/>
          </cell>
        </row>
        <row r="93">
          <cell r="E93" t="str">
            <v/>
          </cell>
          <cell r="F93" t="str">
            <v/>
          </cell>
        </row>
        <row r="94">
          <cell r="E94" t="str">
            <v/>
          </cell>
          <cell r="F94" t="str">
            <v/>
          </cell>
        </row>
        <row r="95">
          <cell r="E95" t="str">
            <v/>
          </cell>
          <cell r="F95" t="str">
            <v/>
          </cell>
        </row>
        <row r="96">
          <cell r="E96" t="str">
            <v/>
          </cell>
          <cell r="F96" t="str">
            <v/>
          </cell>
        </row>
        <row r="97">
          <cell r="E97" t="str">
            <v/>
          </cell>
          <cell r="F97" t="str">
            <v/>
          </cell>
        </row>
        <row r="98">
          <cell r="E98" t="str">
            <v/>
          </cell>
          <cell r="F98" t="str">
            <v/>
          </cell>
        </row>
        <row r="99">
          <cell r="E99" t="str">
            <v/>
          </cell>
          <cell r="F99" t="str">
            <v/>
          </cell>
        </row>
        <row r="100">
          <cell r="E100" t="str">
            <v/>
          </cell>
          <cell r="F100" t="str">
            <v/>
          </cell>
        </row>
        <row r="101">
          <cell r="E101" t="str">
            <v/>
          </cell>
          <cell r="F101" t="str">
            <v/>
          </cell>
        </row>
        <row r="102">
          <cell r="E102" t="str">
            <v/>
          </cell>
          <cell r="F102" t="str">
            <v/>
          </cell>
        </row>
        <row r="103">
          <cell r="E103" t="str">
            <v/>
          </cell>
          <cell r="F103" t="str">
            <v/>
          </cell>
        </row>
        <row r="104">
          <cell r="E104" t="str">
            <v/>
          </cell>
          <cell r="F104" t="str">
            <v/>
          </cell>
        </row>
        <row r="105">
          <cell r="E105" t="str">
            <v/>
          </cell>
          <cell r="F105" t="str">
            <v/>
          </cell>
        </row>
        <row r="106">
          <cell r="E106" t="str">
            <v/>
          </cell>
          <cell r="F106" t="str">
            <v/>
          </cell>
        </row>
        <row r="107">
          <cell r="E107" t="str">
            <v/>
          </cell>
          <cell r="F107" t="str">
            <v/>
          </cell>
        </row>
        <row r="108">
          <cell r="E108" t="str">
            <v/>
          </cell>
          <cell r="F108" t="str">
            <v/>
          </cell>
        </row>
        <row r="109">
          <cell r="E109" t="str">
            <v/>
          </cell>
          <cell r="F109" t="str">
            <v/>
          </cell>
        </row>
        <row r="110">
          <cell r="E110" t="str">
            <v/>
          </cell>
          <cell r="F110" t="str">
            <v/>
          </cell>
        </row>
        <row r="111">
          <cell r="E111" t="str">
            <v/>
          </cell>
          <cell r="F111" t="str">
            <v/>
          </cell>
        </row>
        <row r="112">
          <cell r="E112" t="str">
            <v/>
          </cell>
          <cell r="F112" t="str">
            <v/>
          </cell>
        </row>
        <row r="113">
          <cell r="E113" t="str">
            <v/>
          </cell>
          <cell r="F113" t="str">
            <v/>
          </cell>
        </row>
        <row r="114">
          <cell r="E114" t="str">
            <v/>
          </cell>
          <cell r="F114" t="str">
            <v/>
          </cell>
        </row>
        <row r="115">
          <cell r="E115" t="str">
            <v/>
          </cell>
          <cell r="F115" t="str">
            <v/>
          </cell>
        </row>
        <row r="116">
          <cell r="E116" t="str">
            <v/>
          </cell>
          <cell r="F116" t="str">
            <v/>
          </cell>
        </row>
        <row r="117">
          <cell r="E117" t="str">
            <v/>
          </cell>
          <cell r="F117" t="str">
            <v/>
          </cell>
        </row>
        <row r="118">
          <cell r="E118" t="str">
            <v/>
          </cell>
          <cell r="F118" t="str">
            <v/>
          </cell>
        </row>
        <row r="119">
          <cell r="E119" t="str">
            <v/>
          </cell>
          <cell r="F119" t="str">
            <v/>
          </cell>
        </row>
        <row r="120">
          <cell r="E120" t="str">
            <v/>
          </cell>
          <cell r="F120" t="str">
            <v/>
          </cell>
        </row>
        <row r="121">
          <cell r="E121" t="str">
            <v/>
          </cell>
          <cell r="F121" t="str">
            <v/>
          </cell>
        </row>
        <row r="122">
          <cell r="E122" t="str">
            <v/>
          </cell>
          <cell r="F122" t="str">
            <v/>
          </cell>
        </row>
        <row r="123">
          <cell r="E123" t="str">
            <v/>
          </cell>
          <cell r="F123" t="str">
            <v/>
          </cell>
        </row>
        <row r="124">
          <cell r="E124" t="str">
            <v/>
          </cell>
          <cell r="F124" t="str">
            <v/>
          </cell>
        </row>
        <row r="125">
          <cell r="E125" t="str">
            <v/>
          </cell>
          <cell r="F125" t="str">
            <v/>
          </cell>
        </row>
        <row r="126">
          <cell r="E126" t="str">
            <v/>
          </cell>
          <cell r="F126" t="str">
            <v/>
          </cell>
        </row>
        <row r="127">
          <cell r="E127" t="str">
            <v/>
          </cell>
          <cell r="F127" t="str">
            <v/>
          </cell>
        </row>
        <row r="128">
          <cell r="E128" t="str">
            <v/>
          </cell>
          <cell r="F128" t="str">
            <v/>
          </cell>
        </row>
        <row r="129">
          <cell r="E129" t="str">
            <v/>
          </cell>
          <cell r="F129" t="str">
            <v/>
          </cell>
        </row>
        <row r="130">
          <cell r="E130" t="str">
            <v/>
          </cell>
          <cell r="F130" t="str">
            <v/>
          </cell>
        </row>
        <row r="131">
          <cell r="E131" t="str">
            <v/>
          </cell>
          <cell r="F131" t="str">
            <v/>
          </cell>
        </row>
        <row r="132">
          <cell r="E132" t="str">
            <v/>
          </cell>
          <cell r="F132" t="str">
            <v/>
          </cell>
        </row>
        <row r="133">
          <cell r="E133" t="str">
            <v/>
          </cell>
          <cell r="F133" t="str">
            <v/>
          </cell>
        </row>
        <row r="134">
          <cell r="E134" t="str">
            <v/>
          </cell>
          <cell r="F134" t="str">
            <v/>
          </cell>
        </row>
        <row r="135">
          <cell r="E135" t="str">
            <v/>
          </cell>
          <cell r="F135" t="str">
            <v/>
          </cell>
        </row>
        <row r="136">
          <cell r="E136" t="str">
            <v/>
          </cell>
          <cell r="F136" t="str">
            <v/>
          </cell>
        </row>
        <row r="137">
          <cell r="E137" t="str">
            <v/>
          </cell>
          <cell r="F137" t="str">
            <v/>
          </cell>
        </row>
        <row r="138">
          <cell r="E138" t="str">
            <v/>
          </cell>
          <cell r="F138" t="str">
            <v/>
          </cell>
        </row>
        <row r="139">
          <cell r="E139" t="str">
            <v/>
          </cell>
          <cell r="F139" t="str">
            <v/>
          </cell>
        </row>
        <row r="140">
          <cell r="E140" t="str">
            <v/>
          </cell>
          <cell r="F140" t="str">
            <v/>
          </cell>
        </row>
        <row r="141">
          <cell r="E141" t="str">
            <v/>
          </cell>
          <cell r="F141" t="str">
            <v/>
          </cell>
        </row>
        <row r="142">
          <cell r="E142" t="str">
            <v/>
          </cell>
          <cell r="F142" t="str">
            <v/>
          </cell>
        </row>
        <row r="143">
          <cell r="E143" t="str">
            <v/>
          </cell>
          <cell r="F143" t="str">
            <v/>
          </cell>
        </row>
        <row r="144">
          <cell r="E144" t="str">
            <v/>
          </cell>
          <cell r="F144" t="str">
            <v/>
          </cell>
        </row>
        <row r="145">
          <cell r="E145" t="str">
            <v/>
          </cell>
          <cell r="F145" t="str">
            <v/>
          </cell>
        </row>
        <row r="146">
          <cell r="E146" t="str">
            <v/>
          </cell>
          <cell r="F146" t="str">
            <v/>
          </cell>
        </row>
        <row r="147">
          <cell r="E147" t="str">
            <v/>
          </cell>
          <cell r="F147" t="str">
            <v/>
          </cell>
        </row>
        <row r="148">
          <cell r="E148" t="str">
            <v/>
          </cell>
          <cell r="F148" t="str">
            <v/>
          </cell>
        </row>
        <row r="149">
          <cell r="E149" t="str">
            <v/>
          </cell>
          <cell r="F149" t="str">
            <v/>
          </cell>
        </row>
        <row r="150">
          <cell r="E150" t="str">
            <v/>
          </cell>
          <cell r="F150" t="str">
            <v/>
          </cell>
        </row>
        <row r="151">
          <cell r="E151" t="str">
            <v/>
          </cell>
          <cell r="F151" t="str">
            <v/>
          </cell>
        </row>
        <row r="152">
          <cell r="E152" t="str">
            <v/>
          </cell>
          <cell r="F152" t="str">
            <v/>
          </cell>
        </row>
        <row r="153">
          <cell r="E153" t="str">
            <v/>
          </cell>
          <cell r="F153" t="str">
            <v/>
          </cell>
        </row>
        <row r="154">
          <cell r="E154" t="str">
            <v/>
          </cell>
          <cell r="F154" t="str">
            <v/>
          </cell>
        </row>
        <row r="155">
          <cell r="E155" t="str">
            <v/>
          </cell>
          <cell r="F155" t="str">
            <v/>
          </cell>
        </row>
        <row r="156">
          <cell r="E156" t="str">
            <v/>
          </cell>
          <cell r="F156" t="str">
            <v/>
          </cell>
        </row>
        <row r="157">
          <cell r="E157" t="str">
            <v/>
          </cell>
          <cell r="F157" t="str">
            <v/>
          </cell>
        </row>
        <row r="158">
          <cell r="E158" t="str">
            <v/>
          </cell>
          <cell r="F158" t="str">
            <v/>
          </cell>
        </row>
        <row r="159">
          <cell r="E159" t="str">
            <v/>
          </cell>
          <cell r="F159" t="str">
            <v/>
          </cell>
        </row>
        <row r="160">
          <cell r="E160" t="str">
            <v/>
          </cell>
          <cell r="F160" t="str">
            <v/>
          </cell>
        </row>
        <row r="161">
          <cell r="E161" t="str">
            <v/>
          </cell>
          <cell r="F161" t="str">
            <v/>
          </cell>
        </row>
        <row r="162">
          <cell r="E162" t="str">
            <v/>
          </cell>
          <cell r="F162" t="str">
            <v/>
          </cell>
        </row>
        <row r="163">
          <cell r="E163" t="str">
            <v/>
          </cell>
          <cell r="F163" t="str">
            <v/>
          </cell>
        </row>
        <row r="164">
          <cell r="E164" t="str">
            <v/>
          </cell>
          <cell r="F164" t="str">
            <v/>
          </cell>
        </row>
        <row r="165">
          <cell r="E165" t="str">
            <v/>
          </cell>
          <cell r="F165" t="str">
            <v/>
          </cell>
        </row>
        <row r="166">
          <cell r="E166" t="str">
            <v/>
          </cell>
          <cell r="F166" t="str">
            <v/>
          </cell>
        </row>
        <row r="167">
          <cell r="E167" t="str">
            <v/>
          </cell>
          <cell r="F167" t="str">
            <v/>
          </cell>
        </row>
        <row r="168">
          <cell r="E168" t="str">
            <v/>
          </cell>
          <cell r="F168" t="str">
            <v/>
          </cell>
        </row>
        <row r="169">
          <cell r="E169" t="str">
            <v/>
          </cell>
          <cell r="F169" t="str">
            <v/>
          </cell>
        </row>
        <row r="170">
          <cell r="E170" t="str">
            <v/>
          </cell>
          <cell r="F170" t="str">
            <v/>
          </cell>
        </row>
        <row r="171">
          <cell r="E171" t="str">
            <v/>
          </cell>
          <cell r="F171" t="str">
            <v/>
          </cell>
        </row>
        <row r="172">
          <cell r="E172" t="str">
            <v/>
          </cell>
          <cell r="F172" t="str">
            <v/>
          </cell>
        </row>
        <row r="173">
          <cell r="E173" t="str">
            <v/>
          </cell>
          <cell r="F173" t="str">
            <v/>
          </cell>
        </row>
        <row r="174">
          <cell r="E174" t="str">
            <v/>
          </cell>
          <cell r="F174" t="str">
            <v/>
          </cell>
        </row>
        <row r="175">
          <cell r="E175" t="str">
            <v/>
          </cell>
          <cell r="F175" t="str">
            <v/>
          </cell>
        </row>
        <row r="176">
          <cell r="E176" t="str">
            <v/>
          </cell>
          <cell r="F176" t="str">
            <v/>
          </cell>
        </row>
        <row r="177">
          <cell r="E177" t="str">
            <v/>
          </cell>
          <cell r="F177" t="str">
            <v/>
          </cell>
        </row>
        <row r="178">
          <cell r="E178" t="str">
            <v/>
          </cell>
          <cell r="F178" t="str">
            <v/>
          </cell>
        </row>
        <row r="179">
          <cell r="E179" t="str">
            <v/>
          </cell>
          <cell r="F179" t="str">
            <v/>
          </cell>
        </row>
        <row r="180">
          <cell r="E180" t="str">
            <v/>
          </cell>
          <cell r="F180" t="str">
            <v/>
          </cell>
        </row>
        <row r="181">
          <cell r="E181" t="str">
            <v/>
          </cell>
          <cell r="F181" t="str">
            <v/>
          </cell>
        </row>
        <row r="182">
          <cell r="E182" t="str">
            <v/>
          </cell>
          <cell r="F182" t="str">
            <v/>
          </cell>
        </row>
        <row r="183">
          <cell r="E183" t="str">
            <v/>
          </cell>
          <cell r="F183" t="str">
            <v/>
          </cell>
        </row>
        <row r="184">
          <cell r="E184" t="str">
            <v/>
          </cell>
          <cell r="F184" t="str">
            <v/>
          </cell>
        </row>
        <row r="185">
          <cell r="E185" t="str">
            <v/>
          </cell>
          <cell r="F185" t="str">
            <v/>
          </cell>
        </row>
        <row r="186">
          <cell r="E186" t="str">
            <v/>
          </cell>
          <cell r="F186" t="str">
            <v/>
          </cell>
        </row>
        <row r="187">
          <cell r="E187" t="str">
            <v/>
          </cell>
          <cell r="F187" t="str">
            <v/>
          </cell>
        </row>
        <row r="188">
          <cell r="E188" t="str">
            <v/>
          </cell>
          <cell r="F188" t="str">
            <v/>
          </cell>
        </row>
        <row r="189">
          <cell r="E189" t="str">
            <v/>
          </cell>
          <cell r="F189" t="str">
            <v/>
          </cell>
        </row>
        <row r="190">
          <cell r="E190" t="str">
            <v/>
          </cell>
          <cell r="F190" t="str">
            <v/>
          </cell>
        </row>
        <row r="191">
          <cell r="E191" t="str">
            <v/>
          </cell>
          <cell r="F191" t="str">
            <v/>
          </cell>
        </row>
        <row r="192">
          <cell r="E192" t="str">
            <v/>
          </cell>
          <cell r="F192" t="str">
            <v/>
          </cell>
        </row>
        <row r="193">
          <cell r="E193" t="str">
            <v/>
          </cell>
          <cell r="F193" t="str">
            <v/>
          </cell>
        </row>
        <row r="194">
          <cell r="E194" t="str">
            <v/>
          </cell>
          <cell r="F194" t="str">
            <v/>
          </cell>
        </row>
        <row r="195">
          <cell r="E195" t="str">
            <v/>
          </cell>
          <cell r="F195" t="str">
            <v/>
          </cell>
        </row>
        <row r="196">
          <cell r="E196" t="str">
            <v/>
          </cell>
          <cell r="F196" t="str">
            <v/>
          </cell>
        </row>
        <row r="197">
          <cell r="E197" t="str">
            <v/>
          </cell>
          <cell r="F197" t="str">
            <v/>
          </cell>
        </row>
        <row r="198">
          <cell r="E198" t="str">
            <v/>
          </cell>
          <cell r="F198" t="str">
            <v/>
          </cell>
        </row>
        <row r="199">
          <cell r="E199" t="str">
            <v/>
          </cell>
          <cell r="F199" t="str">
            <v/>
          </cell>
        </row>
        <row r="200">
          <cell r="E200" t="str">
            <v/>
          </cell>
          <cell r="F200" t="str">
            <v/>
          </cell>
        </row>
        <row r="201">
          <cell r="E201" t="str">
            <v/>
          </cell>
          <cell r="F201" t="str">
            <v/>
          </cell>
        </row>
        <row r="202">
          <cell r="E202" t="str">
            <v/>
          </cell>
          <cell r="F202" t="str">
            <v/>
          </cell>
        </row>
        <row r="203">
          <cell r="E203" t="str">
            <v/>
          </cell>
          <cell r="F203" t="str">
            <v/>
          </cell>
        </row>
        <row r="204">
          <cell r="E204" t="str">
            <v/>
          </cell>
          <cell r="F204" t="str">
            <v/>
          </cell>
        </row>
        <row r="205">
          <cell r="E205" t="str">
            <v/>
          </cell>
          <cell r="F205" t="str">
            <v/>
          </cell>
        </row>
        <row r="206">
          <cell r="E206" t="str">
            <v/>
          </cell>
          <cell r="F206" t="str">
            <v/>
          </cell>
        </row>
        <row r="207">
          <cell r="E207" t="str">
            <v/>
          </cell>
          <cell r="F207" t="str">
            <v/>
          </cell>
        </row>
        <row r="208">
          <cell r="E208" t="str">
            <v/>
          </cell>
          <cell r="F208" t="str">
            <v/>
          </cell>
        </row>
        <row r="209">
          <cell r="E209" t="str">
            <v/>
          </cell>
          <cell r="F209" t="str">
            <v/>
          </cell>
        </row>
        <row r="210">
          <cell r="E210" t="str">
            <v/>
          </cell>
          <cell r="F210" t="str">
            <v/>
          </cell>
        </row>
        <row r="211">
          <cell r="E211" t="str">
            <v/>
          </cell>
          <cell r="F211" t="str">
            <v/>
          </cell>
        </row>
        <row r="212">
          <cell r="E212" t="str">
            <v/>
          </cell>
          <cell r="F212" t="str">
            <v/>
          </cell>
        </row>
        <row r="213">
          <cell r="E213" t="str">
            <v/>
          </cell>
          <cell r="F213" t="str">
            <v/>
          </cell>
        </row>
        <row r="214">
          <cell r="E214" t="str">
            <v/>
          </cell>
          <cell r="F214" t="str">
            <v/>
          </cell>
        </row>
        <row r="215">
          <cell r="E215" t="str">
            <v/>
          </cell>
          <cell r="F215" t="str">
            <v/>
          </cell>
        </row>
        <row r="216">
          <cell r="E216" t="str">
            <v/>
          </cell>
          <cell r="F216" t="str">
            <v/>
          </cell>
        </row>
        <row r="217">
          <cell r="E217" t="str">
            <v/>
          </cell>
          <cell r="F217" t="str">
            <v/>
          </cell>
        </row>
        <row r="218">
          <cell r="E218" t="str">
            <v/>
          </cell>
          <cell r="F218" t="str">
            <v/>
          </cell>
        </row>
        <row r="219">
          <cell r="E219" t="str">
            <v/>
          </cell>
          <cell r="F219" t="str">
            <v/>
          </cell>
        </row>
        <row r="220">
          <cell r="E220" t="str">
            <v/>
          </cell>
          <cell r="F220" t="str">
            <v/>
          </cell>
        </row>
        <row r="221">
          <cell r="E221" t="str">
            <v/>
          </cell>
          <cell r="F221" t="str">
            <v/>
          </cell>
        </row>
        <row r="222">
          <cell r="E222" t="str">
            <v/>
          </cell>
          <cell r="F222" t="str">
            <v/>
          </cell>
        </row>
        <row r="223">
          <cell r="E223" t="str">
            <v/>
          </cell>
          <cell r="F223" t="str">
            <v/>
          </cell>
        </row>
        <row r="224">
          <cell r="E224" t="str">
            <v/>
          </cell>
          <cell r="F224" t="str">
            <v/>
          </cell>
        </row>
        <row r="225">
          <cell r="E225" t="str">
            <v/>
          </cell>
          <cell r="F225" t="str">
            <v/>
          </cell>
        </row>
        <row r="226">
          <cell r="E226" t="str">
            <v/>
          </cell>
          <cell r="F226" t="str">
            <v/>
          </cell>
        </row>
        <row r="227">
          <cell r="E227" t="str">
            <v/>
          </cell>
          <cell r="F227" t="str">
            <v/>
          </cell>
        </row>
        <row r="228">
          <cell r="E228" t="str">
            <v/>
          </cell>
          <cell r="F228" t="str">
            <v/>
          </cell>
        </row>
        <row r="229">
          <cell r="E229" t="str">
            <v/>
          </cell>
          <cell r="F229" t="str">
            <v/>
          </cell>
        </row>
        <row r="230">
          <cell r="E230" t="str">
            <v/>
          </cell>
          <cell r="F230" t="str">
            <v/>
          </cell>
        </row>
        <row r="231">
          <cell r="E231" t="str">
            <v/>
          </cell>
          <cell r="F231" t="str">
            <v/>
          </cell>
        </row>
        <row r="232">
          <cell r="E232" t="str">
            <v/>
          </cell>
          <cell r="F232" t="str">
            <v/>
          </cell>
        </row>
        <row r="233">
          <cell r="E233" t="str">
            <v/>
          </cell>
          <cell r="F233" t="str">
            <v/>
          </cell>
        </row>
        <row r="234">
          <cell r="E234" t="str">
            <v/>
          </cell>
          <cell r="F234" t="str">
            <v/>
          </cell>
        </row>
        <row r="235">
          <cell r="E235" t="str">
            <v/>
          </cell>
          <cell r="F235" t="str">
            <v/>
          </cell>
        </row>
        <row r="236">
          <cell r="E236" t="str">
            <v/>
          </cell>
          <cell r="F236" t="str">
            <v/>
          </cell>
        </row>
        <row r="237">
          <cell r="E237" t="str">
            <v/>
          </cell>
          <cell r="F237" t="str">
            <v/>
          </cell>
        </row>
        <row r="238">
          <cell r="E238" t="str">
            <v/>
          </cell>
          <cell r="F238" t="str">
            <v/>
          </cell>
        </row>
        <row r="239">
          <cell r="E239" t="str">
            <v/>
          </cell>
          <cell r="F239" t="str">
            <v/>
          </cell>
        </row>
        <row r="240">
          <cell r="E240" t="str">
            <v/>
          </cell>
          <cell r="F240" t="str">
            <v/>
          </cell>
        </row>
        <row r="241">
          <cell r="E241" t="str">
            <v/>
          </cell>
          <cell r="F241" t="str">
            <v/>
          </cell>
        </row>
        <row r="242">
          <cell r="E242" t="str">
            <v/>
          </cell>
          <cell r="F242" t="str">
            <v/>
          </cell>
        </row>
        <row r="243">
          <cell r="E243" t="str">
            <v/>
          </cell>
          <cell r="F243" t="str">
            <v/>
          </cell>
        </row>
        <row r="244">
          <cell r="E244" t="str">
            <v/>
          </cell>
          <cell r="F244" t="str">
            <v/>
          </cell>
        </row>
        <row r="245">
          <cell r="E245" t="str">
            <v/>
          </cell>
          <cell r="F245" t="str">
            <v/>
          </cell>
        </row>
        <row r="246">
          <cell r="E246" t="str">
            <v/>
          </cell>
          <cell r="F246" t="str">
            <v/>
          </cell>
        </row>
        <row r="247">
          <cell r="E247" t="str">
            <v/>
          </cell>
          <cell r="F247" t="str">
            <v/>
          </cell>
        </row>
        <row r="248">
          <cell r="E248" t="str">
            <v/>
          </cell>
          <cell r="F248" t="str">
            <v/>
          </cell>
        </row>
        <row r="249">
          <cell r="E249" t="str">
            <v/>
          </cell>
          <cell r="F249" t="str">
            <v/>
          </cell>
        </row>
        <row r="250">
          <cell r="E250" t="str">
            <v/>
          </cell>
          <cell r="F250" t="str">
            <v/>
          </cell>
        </row>
        <row r="251">
          <cell r="E251" t="str">
            <v/>
          </cell>
          <cell r="F251" t="str">
            <v/>
          </cell>
        </row>
        <row r="252">
          <cell r="E252" t="str">
            <v/>
          </cell>
          <cell r="F252" t="str">
            <v/>
          </cell>
        </row>
        <row r="253">
          <cell r="E253" t="str">
            <v/>
          </cell>
          <cell r="F253" t="str">
            <v/>
          </cell>
        </row>
        <row r="254">
          <cell r="E254" t="str">
            <v/>
          </cell>
          <cell r="F254" t="str">
            <v/>
          </cell>
        </row>
        <row r="255">
          <cell r="E255" t="str">
            <v/>
          </cell>
          <cell r="F255" t="str">
            <v/>
          </cell>
        </row>
        <row r="256">
          <cell r="E256" t="str">
            <v/>
          </cell>
          <cell r="F256" t="str">
            <v/>
          </cell>
        </row>
        <row r="257">
          <cell r="E257" t="str">
            <v/>
          </cell>
          <cell r="F257" t="str">
            <v/>
          </cell>
        </row>
        <row r="258">
          <cell r="E258" t="str">
            <v/>
          </cell>
          <cell r="F258" t="str">
            <v/>
          </cell>
        </row>
        <row r="259">
          <cell r="E259" t="str">
            <v/>
          </cell>
          <cell r="F259" t="str">
            <v/>
          </cell>
        </row>
        <row r="260">
          <cell r="E260" t="str">
            <v/>
          </cell>
          <cell r="F260" t="str">
            <v/>
          </cell>
        </row>
        <row r="261">
          <cell r="E261" t="str">
            <v/>
          </cell>
          <cell r="F261" t="str">
            <v/>
          </cell>
        </row>
        <row r="262">
          <cell r="E262" t="str">
            <v/>
          </cell>
          <cell r="F262" t="str">
            <v/>
          </cell>
        </row>
        <row r="263">
          <cell r="E263" t="str">
            <v/>
          </cell>
          <cell r="F263" t="str">
            <v/>
          </cell>
        </row>
        <row r="264">
          <cell r="E264" t="str">
            <v/>
          </cell>
          <cell r="F264" t="str">
            <v/>
          </cell>
        </row>
        <row r="265">
          <cell r="E265" t="str">
            <v/>
          </cell>
          <cell r="F265" t="str">
            <v/>
          </cell>
        </row>
        <row r="266">
          <cell r="E266" t="str">
            <v/>
          </cell>
          <cell r="F266" t="str">
            <v/>
          </cell>
        </row>
        <row r="267">
          <cell r="E267" t="str">
            <v/>
          </cell>
          <cell r="F267" t="str">
            <v/>
          </cell>
        </row>
        <row r="268">
          <cell r="E268" t="str">
            <v/>
          </cell>
          <cell r="F268" t="str">
            <v/>
          </cell>
        </row>
        <row r="269">
          <cell r="E269" t="str">
            <v/>
          </cell>
          <cell r="F269" t="str">
            <v/>
          </cell>
        </row>
        <row r="270">
          <cell r="E270" t="str">
            <v/>
          </cell>
          <cell r="F270" t="str">
            <v/>
          </cell>
        </row>
        <row r="271">
          <cell r="E271" t="str">
            <v/>
          </cell>
          <cell r="F271" t="str">
            <v/>
          </cell>
        </row>
        <row r="272">
          <cell r="E272" t="str">
            <v/>
          </cell>
          <cell r="F272" t="str">
            <v/>
          </cell>
        </row>
        <row r="273">
          <cell r="E273" t="str">
            <v/>
          </cell>
          <cell r="F273" t="str">
            <v/>
          </cell>
        </row>
        <row r="274">
          <cell r="E274" t="str">
            <v/>
          </cell>
          <cell r="F274" t="str">
            <v/>
          </cell>
        </row>
        <row r="275">
          <cell r="E275" t="str">
            <v/>
          </cell>
          <cell r="F275" t="str">
            <v/>
          </cell>
        </row>
        <row r="276">
          <cell r="E276" t="str">
            <v/>
          </cell>
          <cell r="F276" t="str">
            <v/>
          </cell>
        </row>
        <row r="277">
          <cell r="E277" t="str">
            <v/>
          </cell>
          <cell r="F277" t="str">
            <v/>
          </cell>
        </row>
        <row r="278">
          <cell r="E278" t="str">
            <v/>
          </cell>
          <cell r="F278" t="str">
            <v/>
          </cell>
        </row>
        <row r="279">
          <cell r="E279" t="str">
            <v/>
          </cell>
          <cell r="F279" t="str">
            <v/>
          </cell>
        </row>
        <row r="280">
          <cell r="E280" t="str">
            <v/>
          </cell>
          <cell r="F280" t="str">
            <v/>
          </cell>
        </row>
        <row r="281">
          <cell r="E281" t="str">
            <v/>
          </cell>
          <cell r="F281" t="str">
            <v/>
          </cell>
        </row>
        <row r="282">
          <cell r="E282" t="str">
            <v/>
          </cell>
          <cell r="F282" t="str">
            <v/>
          </cell>
        </row>
        <row r="283">
          <cell r="E283" t="str">
            <v/>
          </cell>
          <cell r="F283" t="str">
            <v/>
          </cell>
        </row>
        <row r="284">
          <cell r="E284" t="str">
            <v/>
          </cell>
          <cell r="F284" t="str">
            <v/>
          </cell>
        </row>
        <row r="285">
          <cell r="E285" t="str">
            <v/>
          </cell>
          <cell r="F285" t="str">
            <v/>
          </cell>
        </row>
        <row r="286">
          <cell r="E286" t="str">
            <v/>
          </cell>
          <cell r="F286" t="str">
            <v/>
          </cell>
        </row>
        <row r="287">
          <cell r="E287" t="str">
            <v/>
          </cell>
          <cell r="F287" t="str">
            <v/>
          </cell>
        </row>
        <row r="288">
          <cell r="E288" t="str">
            <v/>
          </cell>
          <cell r="F288" t="str">
            <v/>
          </cell>
        </row>
        <row r="289">
          <cell r="E289" t="str">
            <v/>
          </cell>
          <cell r="F289" t="str">
            <v/>
          </cell>
        </row>
        <row r="290">
          <cell r="E290" t="str">
            <v/>
          </cell>
          <cell r="F290" t="str">
            <v/>
          </cell>
        </row>
        <row r="291">
          <cell r="E291" t="str">
            <v/>
          </cell>
          <cell r="F291" t="str">
            <v/>
          </cell>
        </row>
        <row r="292">
          <cell r="E292" t="str">
            <v/>
          </cell>
          <cell r="F292" t="str">
            <v/>
          </cell>
        </row>
        <row r="293">
          <cell r="E293" t="str">
            <v/>
          </cell>
          <cell r="F293" t="str">
            <v/>
          </cell>
        </row>
        <row r="294">
          <cell r="E294" t="str">
            <v/>
          </cell>
          <cell r="F294" t="str">
            <v/>
          </cell>
        </row>
        <row r="295">
          <cell r="E295" t="str">
            <v/>
          </cell>
          <cell r="F295" t="str">
            <v/>
          </cell>
        </row>
        <row r="296">
          <cell r="E296" t="str">
            <v/>
          </cell>
          <cell r="F296" t="str">
            <v/>
          </cell>
        </row>
        <row r="297">
          <cell r="E297" t="str">
            <v/>
          </cell>
          <cell r="F297" t="str">
            <v/>
          </cell>
        </row>
        <row r="298">
          <cell r="E298" t="str">
            <v/>
          </cell>
          <cell r="F298" t="str">
            <v/>
          </cell>
        </row>
        <row r="299">
          <cell r="E299" t="str">
            <v/>
          </cell>
          <cell r="F299" t="str">
            <v/>
          </cell>
        </row>
        <row r="300">
          <cell r="E300" t="str">
            <v/>
          </cell>
          <cell r="F300" t="str">
            <v/>
          </cell>
        </row>
        <row r="301">
          <cell r="E301" t="str">
            <v/>
          </cell>
          <cell r="F301" t="str">
            <v/>
          </cell>
        </row>
        <row r="302">
          <cell r="E302" t="str">
            <v/>
          </cell>
          <cell r="F302" t="str">
            <v/>
          </cell>
        </row>
        <row r="303">
          <cell r="E303" t="str">
            <v/>
          </cell>
          <cell r="F303" t="str">
            <v/>
          </cell>
        </row>
        <row r="304">
          <cell r="E304" t="str">
            <v/>
          </cell>
          <cell r="F304" t="str">
            <v/>
          </cell>
        </row>
        <row r="305">
          <cell r="E305" t="str">
            <v/>
          </cell>
          <cell r="F305" t="str">
            <v/>
          </cell>
        </row>
        <row r="306">
          <cell r="E306" t="str">
            <v/>
          </cell>
          <cell r="F306" t="str">
            <v/>
          </cell>
        </row>
        <row r="307">
          <cell r="E307" t="str">
            <v/>
          </cell>
          <cell r="F307" t="str">
            <v/>
          </cell>
        </row>
        <row r="308">
          <cell r="E308" t="str">
            <v/>
          </cell>
          <cell r="F308" t="str">
            <v/>
          </cell>
        </row>
        <row r="309">
          <cell r="E309" t="str">
            <v/>
          </cell>
          <cell r="F309" t="str">
            <v/>
          </cell>
        </row>
        <row r="310">
          <cell r="E310" t="str">
            <v/>
          </cell>
          <cell r="F310" t="str">
            <v/>
          </cell>
        </row>
        <row r="311">
          <cell r="E311" t="str">
            <v/>
          </cell>
          <cell r="F311" t="str">
            <v/>
          </cell>
        </row>
        <row r="312">
          <cell r="E312" t="str">
            <v/>
          </cell>
          <cell r="F312" t="str">
            <v/>
          </cell>
        </row>
        <row r="313">
          <cell r="E313" t="str">
            <v/>
          </cell>
          <cell r="F313" t="str">
            <v/>
          </cell>
        </row>
        <row r="314">
          <cell r="E314" t="str">
            <v/>
          </cell>
          <cell r="F314" t="str">
            <v/>
          </cell>
        </row>
        <row r="315">
          <cell r="E315" t="str">
            <v/>
          </cell>
          <cell r="F315" t="str">
            <v/>
          </cell>
        </row>
        <row r="316">
          <cell r="E316" t="str">
            <v/>
          </cell>
          <cell r="F316" t="str">
            <v/>
          </cell>
        </row>
        <row r="317">
          <cell r="E317" t="str">
            <v/>
          </cell>
          <cell r="F317" t="str">
            <v/>
          </cell>
        </row>
        <row r="318">
          <cell r="E318" t="str">
            <v/>
          </cell>
          <cell r="F318" t="str">
            <v/>
          </cell>
        </row>
        <row r="319">
          <cell r="E319" t="str">
            <v/>
          </cell>
          <cell r="F319" t="str">
            <v/>
          </cell>
        </row>
        <row r="320">
          <cell r="E320" t="str">
            <v/>
          </cell>
          <cell r="F320" t="str">
            <v/>
          </cell>
        </row>
        <row r="321">
          <cell r="E321" t="str">
            <v/>
          </cell>
          <cell r="F321" t="str">
            <v/>
          </cell>
        </row>
        <row r="322">
          <cell r="E322" t="str">
            <v/>
          </cell>
          <cell r="F322" t="str">
            <v/>
          </cell>
        </row>
        <row r="323">
          <cell r="E323" t="str">
            <v/>
          </cell>
          <cell r="F323" t="str">
            <v/>
          </cell>
        </row>
        <row r="324">
          <cell r="E324" t="str">
            <v/>
          </cell>
          <cell r="F324" t="str">
            <v/>
          </cell>
        </row>
        <row r="325">
          <cell r="E325" t="str">
            <v/>
          </cell>
          <cell r="F325" t="str">
            <v/>
          </cell>
        </row>
        <row r="326">
          <cell r="E326" t="str">
            <v/>
          </cell>
          <cell r="F326" t="str">
            <v/>
          </cell>
        </row>
        <row r="327">
          <cell r="E327" t="str">
            <v/>
          </cell>
          <cell r="F327" t="str">
            <v/>
          </cell>
        </row>
        <row r="328">
          <cell r="E328" t="str">
            <v/>
          </cell>
          <cell r="F328" t="str">
            <v/>
          </cell>
        </row>
        <row r="329">
          <cell r="E329" t="str">
            <v/>
          </cell>
          <cell r="F329" t="str">
            <v/>
          </cell>
        </row>
        <row r="330">
          <cell r="E330" t="str">
            <v/>
          </cell>
          <cell r="F330" t="str">
            <v/>
          </cell>
        </row>
        <row r="331">
          <cell r="E331" t="str">
            <v/>
          </cell>
          <cell r="F331" t="str">
            <v/>
          </cell>
        </row>
        <row r="332">
          <cell r="E332" t="str">
            <v/>
          </cell>
          <cell r="F332" t="str">
            <v/>
          </cell>
        </row>
        <row r="333">
          <cell r="E333" t="str">
            <v/>
          </cell>
          <cell r="F333" t="str">
            <v/>
          </cell>
        </row>
        <row r="334">
          <cell r="E334" t="str">
            <v/>
          </cell>
          <cell r="F334" t="str">
            <v/>
          </cell>
        </row>
        <row r="335">
          <cell r="E335" t="str">
            <v/>
          </cell>
          <cell r="F335" t="str">
            <v/>
          </cell>
        </row>
        <row r="336">
          <cell r="E336" t="str">
            <v/>
          </cell>
          <cell r="F336" t="str">
            <v/>
          </cell>
        </row>
        <row r="337">
          <cell r="E337" t="str">
            <v/>
          </cell>
          <cell r="F337" t="str">
            <v/>
          </cell>
        </row>
        <row r="338">
          <cell r="E338" t="str">
            <v/>
          </cell>
          <cell r="F338" t="str">
            <v/>
          </cell>
        </row>
        <row r="339">
          <cell r="E339" t="str">
            <v/>
          </cell>
          <cell r="F339" t="str">
            <v/>
          </cell>
        </row>
        <row r="340">
          <cell r="E340" t="str">
            <v/>
          </cell>
          <cell r="F340" t="str">
            <v/>
          </cell>
        </row>
        <row r="341">
          <cell r="E341" t="str">
            <v/>
          </cell>
          <cell r="F341" t="str">
            <v/>
          </cell>
        </row>
        <row r="342">
          <cell r="E342" t="str">
            <v/>
          </cell>
          <cell r="F342" t="str">
            <v/>
          </cell>
        </row>
        <row r="343">
          <cell r="E343" t="str">
            <v/>
          </cell>
          <cell r="F343" t="str">
            <v/>
          </cell>
        </row>
        <row r="344">
          <cell r="E344" t="str">
            <v/>
          </cell>
          <cell r="F344" t="str">
            <v/>
          </cell>
        </row>
        <row r="345">
          <cell r="E345" t="str">
            <v/>
          </cell>
          <cell r="F345" t="str">
            <v/>
          </cell>
        </row>
        <row r="346">
          <cell r="E346" t="str">
            <v/>
          </cell>
          <cell r="F346" t="str">
            <v/>
          </cell>
        </row>
        <row r="347">
          <cell r="E347" t="str">
            <v/>
          </cell>
          <cell r="F347" t="str">
            <v/>
          </cell>
        </row>
        <row r="348">
          <cell r="E348" t="str">
            <v/>
          </cell>
          <cell r="F348" t="str">
            <v/>
          </cell>
        </row>
        <row r="349">
          <cell r="E349" t="str">
            <v/>
          </cell>
          <cell r="F349" t="str">
            <v/>
          </cell>
        </row>
        <row r="350">
          <cell r="E350" t="str">
            <v/>
          </cell>
          <cell r="F350" t="str">
            <v/>
          </cell>
        </row>
        <row r="351">
          <cell r="E351" t="str">
            <v/>
          </cell>
          <cell r="F351" t="str">
            <v/>
          </cell>
        </row>
        <row r="352">
          <cell r="E352" t="str">
            <v/>
          </cell>
          <cell r="F352" t="str">
            <v/>
          </cell>
        </row>
        <row r="353">
          <cell r="E353" t="str">
            <v/>
          </cell>
          <cell r="F353" t="str">
            <v/>
          </cell>
        </row>
        <row r="354">
          <cell r="E354" t="str">
            <v/>
          </cell>
          <cell r="F354" t="str">
            <v/>
          </cell>
        </row>
        <row r="355">
          <cell r="E355" t="str">
            <v/>
          </cell>
          <cell r="F355" t="str">
            <v/>
          </cell>
        </row>
        <row r="356">
          <cell r="E356" t="str">
            <v/>
          </cell>
          <cell r="F356" t="str">
            <v/>
          </cell>
        </row>
        <row r="357">
          <cell r="E357" t="str">
            <v/>
          </cell>
          <cell r="F357" t="str">
            <v/>
          </cell>
        </row>
        <row r="358">
          <cell r="E358" t="str">
            <v/>
          </cell>
          <cell r="F358" t="str">
            <v/>
          </cell>
        </row>
        <row r="359">
          <cell r="E359" t="str">
            <v/>
          </cell>
          <cell r="F359" t="str">
            <v/>
          </cell>
        </row>
        <row r="360">
          <cell r="E360" t="str">
            <v/>
          </cell>
          <cell r="F360" t="str">
            <v/>
          </cell>
        </row>
        <row r="361">
          <cell r="E361" t="str">
            <v/>
          </cell>
          <cell r="F361" t="str">
            <v/>
          </cell>
        </row>
        <row r="362">
          <cell r="E362" t="str">
            <v/>
          </cell>
          <cell r="F362" t="str">
            <v/>
          </cell>
        </row>
        <row r="363">
          <cell r="E363" t="str">
            <v/>
          </cell>
          <cell r="F363" t="str">
            <v/>
          </cell>
        </row>
        <row r="364">
          <cell r="E364" t="str">
            <v/>
          </cell>
          <cell r="F364" t="str">
            <v/>
          </cell>
        </row>
        <row r="365">
          <cell r="E365" t="str">
            <v/>
          </cell>
          <cell r="F365" t="str">
            <v/>
          </cell>
        </row>
        <row r="366">
          <cell r="E366" t="str">
            <v/>
          </cell>
          <cell r="F366" t="str">
            <v/>
          </cell>
        </row>
        <row r="367">
          <cell r="E367" t="str">
            <v/>
          </cell>
          <cell r="F367" t="str">
            <v/>
          </cell>
        </row>
        <row r="368">
          <cell r="E368" t="str">
            <v/>
          </cell>
          <cell r="F368" t="str">
            <v/>
          </cell>
        </row>
        <row r="369">
          <cell r="E369" t="str">
            <v/>
          </cell>
          <cell r="F369" t="str">
            <v/>
          </cell>
        </row>
        <row r="370">
          <cell r="E370" t="str">
            <v/>
          </cell>
          <cell r="F370" t="str">
            <v/>
          </cell>
        </row>
        <row r="371">
          <cell r="E371" t="str">
            <v/>
          </cell>
          <cell r="F371" t="str">
            <v/>
          </cell>
        </row>
        <row r="372">
          <cell r="E372" t="str">
            <v/>
          </cell>
          <cell r="F372" t="str">
            <v/>
          </cell>
        </row>
        <row r="373">
          <cell r="E373" t="str">
            <v/>
          </cell>
          <cell r="F373" t="str">
            <v/>
          </cell>
        </row>
        <row r="374">
          <cell r="E374" t="str">
            <v/>
          </cell>
          <cell r="F374" t="str">
            <v/>
          </cell>
        </row>
        <row r="375">
          <cell r="E375" t="str">
            <v/>
          </cell>
          <cell r="F375" t="str">
            <v/>
          </cell>
        </row>
        <row r="376">
          <cell r="E376" t="str">
            <v/>
          </cell>
          <cell r="F376" t="str">
            <v/>
          </cell>
        </row>
        <row r="377">
          <cell r="E377" t="str">
            <v/>
          </cell>
          <cell r="F377" t="str">
            <v/>
          </cell>
        </row>
        <row r="378">
          <cell r="E378" t="str">
            <v/>
          </cell>
          <cell r="F378" t="str">
            <v/>
          </cell>
        </row>
        <row r="379">
          <cell r="E379" t="str">
            <v/>
          </cell>
          <cell r="F379" t="str">
            <v/>
          </cell>
        </row>
        <row r="380">
          <cell r="E380" t="str">
            <v/>
          </cell>
          <cell r="F380" t="str">
            <v/>
          </cell>
        </row>
        <row r="381">
          <cell r="E381" t="str">
            <v/>
          </cell>
          <cell r="F381" t="str">
            <v/>
          </cell>
        </row>
        <row r="382">
          <cell r="E382" t="str">
            <v/>
          </cell>
          <cell r="F382" t="str">
            <v/>
          </cell>
        </row>
        <row r="383">
          <cell r="E383" t="str">
            <v/>
          </cell>
          <cell r="F383" t="str">
            <v/>
          </cell>
        </row>
        <row r="384">
          <cell r="E384" t="str">
            <v/>
          </cell>
          <cell r="F384" t="str">
            <v/>
          </cell>
        </row>
        <row r="385">
          <cell r="E385" t="str">
            <v/>
          </cell>
          <cell r="F385" t="str">
            <v/>
          </cell>
        </row>
        <row r="386">
          <cell r="E386" t="str">
            <v/>
          </cell>
          <cell r="F386" t="str">
            <v/>
          </cell>
        </row>
        <row r="387">
          <cell r="E387" t="str">
            <v/>
          </cell>
          <cell r="F387" t="str">
            <v/>
          </cell>
        </row>
        <row r="388">
          <cell r="E388" t="str">
            <v/>
          </cell>
          <cell r="F388" t="str">
            <v/>
          </cell>
        </row>
        <row r="389">
          <cell r="E389" t="str">
            <v/>
          </cell>
          <cell r="F389" t="str">
            <v/>
          </cell>
        </row>
        <row r="390">
          <cell r="E390" t="str">
            <v/>
          </cell>
          <cell r="F390" t="str">
            <v/>
          </cell>
        </row>
        <row r="391">
          <cell r="E391" t="str">
            <v/>
          </cell>
          <cell r="F391" t="str">
            <v/>
          </cell>
        </row>
        <row r="392">
          <cell r="E392" t="str">
            <v/>
          </cell>
          <cell r="F392" t="str">
            <v/>
          </cell>
        </row>
        <row r="393">
          <cell r="E393" t="str">
            <v/>
          </cell>
          <cell r="F393" t="str">
            <v/>
          </cell>
        </row>
        <row r="394">
          <cell r="E394" t="str">
            <v/>
          </cell>
          <cell r="F394" t="str">
            <v/>
          </cell>
        </row>
        <row r="395">
          <cell r="E395" t="str">
            <v/>
          </cell>
          <cell r="F395" t="str">
            <v/>
          </cell>
        </row>
        <row r="396">
          <cell r="E396" t="str">
            <v/>
          </cell>
          <cell r="F396" t="str">
            <v/>
          </cell>
        </row>
        <row r="397">
          <cell r="E397" t="str">
            <v/>
          </cell>
          <cell r="F397" t="str">
            <v/>
          </cell>
        </row>
        <row r="398">
          <cell r="E398" t="str">
            <v/>
          </cell>
          <cell r="F398" t="str">
            <v/>
          </cell>
        </row>
        <row r="399">
          <cell r="E399" t="str">
            <v/>
          </cell>
          <cell r="F399" t="str">
            <v/>
          </cell>
        </row>
        <row r="400">
          <cell r="E400" t="str">
            <v/>
          </cell>
          <cell r="F400" t="str">
            <v/>
          </cell>
        </row>
        <row r="401">
          <cell r="E401" t="str">
            <v/>
          </cell>
          <cell r="F401" t="str">
            <v/>
          </cell>
        </row>
        <row r="402">
          <cell r="E402" t="str">
            <v/>
          </cell>
          <cell r="F402" t="str">
            <v/>
          </cell>
        </row>
        <row r="403">
          <cell r="E403" t="str">
            <v/>
          </cell>
          <cell r="F403" t="str">
            <v/>
          </cell>
        </row>
        <row r="404">
          <cell r="E404" t="str">
            <v/>
          </cell>
          <cell r="F404" t="str">
            <v/>
          </cell>
        </row>
        <row r="405">
          <cell r="E405" t="str">
            <v/>
          </cell>
          <cell r="F405" t="str">
            <v/>
          </cell>
        </row>
        <row r="406">
          <cell r="E406" t="str">
            <v/>
          </cell>
          <cell r="F406" t="str">
            <v/>
          </cell>
        </row>
        <row r="407">
          <cell r="E407" t="str">
            <v/>
          </cell>
          <cell r="F407" t="str">
            <v/>
          </cell>
        </row>
        <row r="408">
          <cell r="E408" t="str">
            <v/>
          </cell>
          <cell r="F408" t="str">
            <v/>
          </cell>
        </row>
        <row r="409">
          <cell r="E409" t="str">
            <v/>
          </cell>
          <cell r="F409" t="str">
            <v/>
          </cell>
        </row>
        <row r="410">
          <cell r="E410" t="str">
            <v/>
          </cell>
          <cell r="F410" t="str">
            <v/>
          </cell>
        </row>
        <row r="411">
          <cell r="E411" t="str">
            <v/>
          </cell>
          <cell r="F411" t="str">
            <v/>
          </cell>
        </row>
        <row r="412">
          <cell r="E412" t="str">
            <v/>
          </cell>
          <cell r="F412" t="str">
            <v/>
          </cell>
        </row>
        <row r="413">
          <cell r="E413" t="str">
            <v/>
          </cell>
          <cell r="F413" t="str">
            <v/>
          </cell>
        </row>
        <row r="414">
          <cell r="E414" t="str">
            <v/>
          </cell>
          <cell r="F414" t="str">
            <v/>
          </cell>
        </row>
        <row r="415">
          <cell r="E415" t="str">
            <v/>
          </cell>
          <cell r="F415" t="str">
            <v/>
          </cell>
        </row>
        <row r="416">
          <cell r="E416" t="str">
            <v/>
          </cell>
          <cell r="F416" t="str">
            <v/>
          </cell>
        </row>
        <row r="417">
          <cell r="E417" t="str">
            <v/>
          </cell>
          <cell r="F417" t="str">
            <v/>
          </cell>
        </row>
        <row r="418">
          <cell r="E418" t="str">
            <v/>
          </cell>
          <cell r="F418" t="str">
            <v/>
          </cell>
        </row>
        <row r="419">
          <cell r="E419" t="str">
            <v/>
          </cell>
          <cell r="F419" t="str">
            <v/>
          </cell>
        </row>
        <row r="420">
          <cell r="E420" t="str">
            <v/>
          </cell>
          <cell r="F420" t="str">
            <v/>
          </cell>
        </row>
        <row r="421">
          <cell r="E421" t="str">
            <v/>
          </cell>
          <cell r="F421" t="str">
            <v/>
          </cell>
        </row>
        <row r="422">
          <cell r="E422" t="str">
            <v/>
          </cell>
          <cell r="F422" t="str">
            <v/>
          </cell>
        </row>
        <row r="423">
          <cell r="E423" t="str">
            <v/>
          </cell>
          <cell r="F423" t="str">
            <v/>
          </cell>
        </row>
        <row r="424">
          <cell r="E424" t="str">
            <v/>
          </cell>
          <cell r="F424" t="str">
            <v/>
          </cell>
        </row>
        <row r="425">
          <cell r="E425" t="str">
            <v/>
          </cell>
          <cell r="F425" t="str">
            <v/>
          </cell>
        </row>
        <row r="426">
          <cell r="E426" t="str">
            <v/>
          </cell>
          <cell r="F426" t="str">
            <v/>
          </cell>
        </row>
        <row r="427">
          <cell r="E427" t="str">
            <v/>
          </cell>
          <cell r="F427" t="str">
            <v/>
          </cell>
        </row>
        <row r="428">
          <cell r="E428" t="str">
            <v/>
          </cell>
          <cell r="F428" t="str">
            <v/>
          </cell>
        </row>
        <row r="429">
          <cell r="E429" t="str">
            <v/>
          </cell>
          <cell r="F429" t="str">
            <v/>
          </cell>
        </row>
        <row r="430">
          <cell r="E430" t="str">
            <v/>
          </cell>
          <cell r="F430" t="str">
            <v/>
          </cell>
        </row>
        <row r="431">
          <cell r="E431" t="str">
            <v/>
          </cell>
          <cell r="F431" t="str">
            <v/>
          </cell>
        </row>
        <row r="432">
          <cell r="E432" t="str">
            <v/>
          </cell>
          <cell r="F432" t="str">
            <v/>
          </cell>
        </row>
        <row r="433">
          <cell r="E433" t="str">
            <v/>
          </cell>
          <cell r="F433" t="str">
            <v/>
          </cell>
        </row>
        <row r="434">
          <cell r="E434" t="str">
            <v/>
          </cell>
          <cell r="F434" t="str">
            <v/>
          </cell>
        </row>
        <row r="435">
          <cell r="E435" t="str">
            <v/>
          </cell>
          <cell r="F435" t="str">
            <v/>
          </cell>
        </row>
        <row r="436">
          <cell r="E436" t="str">
            <v/>
          </cell>
          <cell r="F436" t="str">
            <v/>
          </cell>
        </row>
        <row r="437">
          <cell r="E437" t="str">
            <v/>
          </cell>
          <cell r="F437" t="str">
            <v/>
          </cell>
        </row>
        <row r="438">
          <cell r="E438" t="str">
            <v/>
          </cell>
          <cell r="F438" t="str">
            <v/>
          </cell>
        </row>
        <row r="439">
          <cell r="E439" t="str">
            <v/>
          </cell>
          <cell r="F439" t="str">
            <v/>
          </cell>
        </row>
        <row r="440">
          <cell r="E440" t="str">
            <v/>
          </cell>
          <cell r="F440" t="str">
            <v/>
          </cell>
        </row>
        <row r="441">
          <cell r="E441" t="str">
            <v/>
          </cell>
          <cell r="F441" t="str">
            <v/>
          </cell>
        </row>
        <row r="442">
          <cell r="E442" t="str">
            <v/>
          </cell>
          <cell r="F442" t="str">
            <v/>
          </cell>
        </row>
        <row r="443">
          <cell r="E443" t="str">
            <v/>
          </cell>
          <cell r="F443" t="str">
            <v/>
          </cell>
        </row>
        <row r="444">
          <cell r="E444" t="str">
            <v/>
          </cell>
          <cell r="F444" t="str">
            <v/>
          </cell>
        </row>
        <row r="445">
          <cell r="E445" t="str">
            <v/>
          </cell>
          <cell r="F445" t="str">
            <v/>
          </cell>
        </row>
        <row r="446">
          <cell r="E446" t="str">
            <v/>
          </cell>
          <cell r="F446" t="str">
            <v/>
          </cell>
        </row>
        <row r="447">
          <cell r="E447" t="str">
            <v/>
          </cell>
          <cell r="F447" t="str">
            <v/>
          </cell>
        </row>
        <row r="448">
          <cell r="E448" t="str">
            <v/>
          </cell>
          <cell r="F448" t="str">
            <v/>
          </cell>
        </row>
        <row r="449">
          <cell r="E449" t="str">
            <v/>
          </cell>
          <cell r="F449" t="str">
            <v/>
          </cell>
        </row>
        <row r="450">
          <cell r="E450" t="str">
            <v/>
          </cell>
          <cell r="F450" t="str">
            <v/>
          </cell>
        </row>
        <row r="451">
          <cell r="E451" t="str">
            <v/>
          </cell>
          <cell r="F451" t="str">
            <v/>
          </cell>
        </row>
        <row r="452">
          <cell r="E452" t="str">
            <v/>
          </cell>
          <cell r="F452" t="str">
            <v/>
          </cell>
        </row>
        <row r="453">
          <cell r="E453" t="str">
            <v/>
          </cell>
          <cell r="F453" t="str">
            <v/>
          </cell>
        </row>
        <row r="454">
          <cell r="E454" t="str">
            <v/>
          </cell>
          <cell r="F454" t="str">
            <v/>
          </cell>
        </row>
        <row r="455">
          <cell r="E455" t="str">
            <v/>
          </cell>
          <cell r="F455" t="str">
            <v/>
          </cell>
        </row>
        <row r="456">
          <cell r="E456" t="str">
            <v/>
          </cell>
          <cell r="F456" t="str">
            <v/>
          </cell>
        </row>
        <row r="457">
          <cell r="E457" t="str">
            <v/>
          </cell>
          <cell r="F457" t="str">
            <v/>
          </cell>
        </row>
        <row r="458">
          <cell r="E458" t="str">
            <v/>
          </cell>
          <cell r="F458" t="str">
            <v/>
          </cell>
        </row>
        <row r="459">
          <cell r="E459" t="str">
            <v/>
          </cell>
          <cell r="F459" t="str">
            <v/>
          </cell>
        </row>
        <row r="460">
          <cell r="E460" t="str">
            <v/>
          </cell>
          <cell r="F460" t="str">
            <v/>
          </cell>
        </row>
        <row r="461">
          <cell r="E461" t="str">
            <v/>
          </cell>
          <cell r="F461" t="str">
            <v/>
          </cell>
        </row>
        <row r="462">
          <cell r="E462" t="str">
            <v/>
          </cell>
          <cell r="F462" t="str">
            <v/>
          </cell>
        </row>
        <row r="463">
          <cell r="E463" t="str">
            <v/>
          </cell>
          <cell r="F463" t="str">
            <v/>
          </cell>
        </row>
        <row r="464">
          <cell r="E464" t="str">
            <v/>
          </cell>
          <cell r="F464" t="str">
            <v/>
          </cell>
        </row>
        <row r="465">
          <cell r="E465" t="str">
            <v/>
          </cell>
          <cell r="F465" t="str">
            <v/>
          </cell>
        </row>
        <row r="466">
          <cell r="E466" t="str">
            <v/>
          </cell>
          <cell r="F466" t="str">
            <v/>
          </cell>
        </row>
        <row r="467">
          <cell r="E467" t="str">
            <v/>
          </cell>
          <cell r="F467" t="str">
            <v/>
          </cell>
        </row>
        <row r="468">
          <cell r="E468" t="str">
            <v/>
          </cell>
          <cell r="F468" t="str">
            <v/>
          </cell>
        </row>
        <row r="469">
          <cell r="E469" t="str">
            <v/>
          </cell>
          <cell r="F469" t="str">
            <v/>
          </cell>
        </row>
        <row r="470">
          <cell r="E470" t="str">
            <v/>
          </cell>
          <cell r="F470" t="str">
            <v/>
          </cell>
        </row>
        <row r="471">
          <cell r="E471" t="str">
            <v/>
          </cell>
          <cell r="F471" t="str">
            <v/>
          </cell>
        </row>
        <row r="472">
          <cell r="E472" t="str">
            <v/>
          </cell>
          <cell r="F472" t="str">
            <v/>
          </cell>
        </row>
        <row r="473">
          <cell r="E473" t="str">
            <v/>
          </cell>
          <cell r="F473" t="str">
            <v/>
          </cell>
        </row>
        <row r="474">
          <cell r="E474" t="str">
            <v/>
          </cell>
          <cell r="F474" t="str">
            <v/>
          </cell>
        </row>
        <row r="475">
          <cell r="E475" t="str">
            <v/>
          </cell>
          <cell r="F475" t="str">
            <v/>
          </cell>
        </row>
        <row r="476">
          <cell r="E476" t="str">
            <v/>
          </cell>
          <cell r="F476" t="str">
            <v/>
          </cell>
        </row>
        <row r="477">
          <cell r="E477" t="str">
            <v/>
          </cell>
          <cell r="F477" t="str">
            <v/>
          </cell>
        </row>
        <row r="478">
          <cell r="E478" t="str">
            <v/>
          </cell>
          <cell r="F478" t="str">
            <v/>
          </cell>
        </row>
        <row r="479">
          <cell r="E479" t="str">
            <v/>
          </cell>
          <cell r="F479" t="str">
            <v/>
          </cell>
        </row>
        <row r="480">
          <cell r="E480" t="str">
            <v/>
          </cell>
          <cell r="F480" t="str">
            <v/>
          </cell>
        </row>
        <row r="481">
          <cell r="E481" t="str">
            <v/>
          </cell>
          <cell r="F481" t="str">
            <v/>
          </cell>
        </row>
        <row r="482">
          <cell r="E482" t="str">
            <v/>
          </cell>
          <cell r="F482" t="str">
            <v/>
          </cell>
        </row>
        <row r="483">
          <cell r="E483" t="str">
            <v/>
          </cell>
          <cell r="F483" t="str">
            <v/>
          </cell>
        </row>
        <row r="484">
          <cell r="E484" t="str">
            <v/>
          </cell>
          <cell r="F484" t="str">
            <v/>
          </cell>
        </row>
        <row r="485">
          <cell r="E485" t="str">
            <v/>
          </cell>
          <cell r="F485" t="str">
            <v/>
          </cell>
        </row>
        <row r="486">
          <cell r="E486" t="str">
            <v/>
          </cell>
          <cell r="F486" t="str">
            <v/>
          </cell>
        </row>
        <row r="487">
          <cell r="E487" t="str">
            <v/>
          </cell>
          <cell r="F487" t="str">
            <v/>
          </cell>
        </row>
        <row r="488">
          <cell r="E488" t="str">
            <v/>
          </cell>
          <cell r="F488" t="str">
            <v/>
          </cell>
        </row>
        <row r="489">
          <cell r="E489" t="str">
            <v/>
          </cell>
          <cell r="F489" t="str">
            <v/>
          </cell>
        </row>
        <row r="490">
          <cell r="E490" t="str">
            <v/>
          </cell>
          <cell r="F490" t="str">
            <v/>
          </cell>
        </row>
        <row r="491">
          <cell r="E491" t="str">
            <v/>
          </cell>
          <cell r="F491" t="str">
            <v/>
          </cell>
        </row>
        <row r="492">
          <cell r="E492" t="str">
            <v/>
          </cell>
          <cell r="F492" t="str">
            <v/>
          </cell>
        </row>
        <row r="493">
          <cell r="E493" t="str">
            <v/>
          </cell>
          <cell r="F493" t="str">
            <v/>
          </cell>
        </row>
        <row r="494">
          <cell r="E494" t="str">
            <v/>
          </cell>
          <cell r="F494" t="str">
            <v/>
          </cell>
        </row>
        <row r="495">
          <cell r="E495" t="str">
            <v/>
          </cell>
          <cell r="F495" t="str">
            <v/>
          </cell>
        </row>
        <row r="496">
          <cell r="E496" t="str">
            <v/>
          </cell>
          <cell r="F496" t="str">
            <v/>
          </cell>
        </row>
        <row r="497">
          <cell r="E497" t="str">
            <v/>
          </cell>
          <cell r="F497" t="str">
            <v/>
          </cell>
        </row>
        <row r="498">
          <cell r="E498" t="str">
            <v/>
          </cell>
          <cell r="F498" t="str">
            <v/>
          </cell>
        </row>
        <row r="499">
          <cell r="E499" t="str">
            <v/>
          </cell>
          <cell r="F499" t="str">
            <v/>
          </cell>
        </row>
        <row r="500">
          <cell r="E500" t="str">
            <v/>
          </cell>
          <cell r="F500" t="str">
            <v/>
          </cell>
        </row>
        <row r="501">
          <cell r="E501" t="str">
            <v/>
          </cell>
          <cell r="F501" t="str">
            <v/>
          </cell>
        </row>
        <row r="502">
          <cell r="E502" t="str">
            <v/>
          </cell>
          <cell r="F502" t="str">
            <v/>
          </cell>
        </row>
        <row r="503">
          <cell r="E503" t="str">
            <v/>
          </cell>
          <cell r="F503" t="str">
            <v/>
          </cell>
        </row>
        <row r="504">
          <cell r="E504" t="str">
            <v/>
          </cell>
          <cell r="F504" t="str">
            <v/>
          </cell>
        </row>
        <row r="505">
          <cell r="E505" t="str">
            <v/>
          </cell>
          <cell r="F505" t="str">
            <v/>
          </cell>
        </row>
        <row r="506">
          <cell r="E506" t="str">
            <v/>
          </cell>
          <cell r="F506" t="str">
            <v/>
          </cell>
        </row>
        <row r="507">
          <cell r="E507" t="str">
            <v/>
          </cell>
          <cell r="F507" t="str">
            <v/>
          </cell>
        </row>
        <row r="508">
          <cell r="E508" t="str">
            <v/>
          </cell>
          <cell r="F508" t="str">
            <v/>
          </cell>
        </row>
        <row r="509">
          <cell r="E509" t="str">
            <v/>
          </cell>
          <cell r="F509" t="str">
            <v/>
          </cell>
        </row>
        <row r="510">
          <cell r="E510" t="str">
            <v/>
          </cell>
          <cell r="F510" t="str">
            <v/>
          </cell>
        </row>
        <row r="511">
          <cell r="E511" t="str">
            <v/>
          </cell>
          <cell r="F511" t="str">
            <v/>
          </cell>
        </row>
        <row r="512">
          <cell r="E512" t="str">
            <v/>
          </cell>
          <cell r="F512" t="str">
            <v/>
          </cell>
        </row>
        <row r="513">
          <cell r="E513" t="str">
            <v/>
          </cell>
          <cell r="F513" t="str">
            <v/>
          </cell>
        </row>
        <row r="514">
          <cell r="E514" t="str">
            <v/>
          </cell>
          <cell r="F514" t="str">
            <v/>
          </cell>
        </row>
        <row r="515">
          <cell r="E515" t="str">
            <v/>
          </cell>
          <cell r="F515" t="str">
            <v/>
          </cell>
        </row>
        <row r="516">
          <cell r="E516" t="str">
            <v/>
          </cell>
          <cell r="F516" t="str">
            <v/>
          </cell>
        </row>
        <row r="517">
          <cell r="E517" t="str">
            <v/>
          </cell>
          <cell r="F517" t="str">
            <v/>
          </cell>
        </row>
        <row r="518">
          <cell r="E518" t="str">
            <v/>
          </cell>
          <cell r="F518" t="str">
            <v/>
          </cell>
        </row>
        <row r="519">
          <cell r="E519" t="str">
            <v/>
          </cell>
          <cell r="F519" t="str">
            <v/>
          </cell>
        </row>
        <row r="520">
          <cell r="E520" t="str">
            <v/>
          </cell>
          <cell r="F520" t="str">
            <v/>
          </cell>
        </row>
        <row r="521">
          <cell r="E521" t="str">
            <v/>
          </cell>
          <cell r="F521" t="str">
            <v/>
          </cell>
        </row>
        <row r="522">
          <cell r="E522" t="str">
            <v/>
          </cell>
          <cell r="F522" t="str">
            <v/>
          </cell>
        </row>
        <row r="523">
          <cell r="E523" t="str">
            <v/>
          </cell>
          <cell r="F523" t="str">
            <v/>
          </cell>
        </row>
        <row r="524">
          <cell r="E524" t="str">
            <v/>
          </cell>
          <cell r="F524" t="str">
            <v/>
          </cell>
        </row>
        <row r="525">
          <cell r="E525" t="str">
            <v/>
          </cell>
          <cell r="F525" t="str">
            <v/>
          </cell>
        </row>
        <row r="526">
          <cell r="E526" t="str">
            <v/>
          </cell>
          <cell r="F526" t="str">
            <v/>
          </cell>
        </row>
        <row r="527">
          <cell r="E527" t="str">
            <v/>
          </cell>
          <cell r="F527" t="str">
            <v/>
          </cell>
        </row>
        <row r="528">
          <cell r="E528" t="str">
            <v/>
          </cell>
          <cell r="F528" t="str">
            <v/>
          </cell>
        </row>
        <row r="529">
          <cell r="E529" t="str">
            <v/>
          </cell>
          <cell r="F529" t="str">
            <v/>
          </cell>
        </row>
        <row r="530">
          <cell r="E530" t="str">
            <v/>
          </cell>
          <cell r="F530" t="str">
            <v/>
          </cell>
        </row>
        <row r="531">
          <cell r="E531" t="str">
            <v/>
          </cell>
          <cell r="F531" t="str">
            <v/>
          </cell>
        </row>
        <row r="532">
          <cell r="E532" t="str">
            <v/>
          </cell>
          <cell r="F532" t="str">
            <v/>
          </cell>
        </row>
        <row r="533">
          <cell r="E533" t="str">
            <v/>
          </cell>
          <cell r="F533" t="str">
            <v/>
          </cell>
        </row>
        <row r="534">
          <cell r="E534" t="str">
            <v/>
          </cell>
          <cell r="F534" t="str">
            <v/>
          </cell>
        </row>
        <row r="535">
          <cell r="E535" t="str">
            <v/>
          </cell>
          <cell r="F535" t="str">
            <v/>
          </cell>
        </row>
        <row r="536">
          <cell r="E536" t="str">
            <v/>
          </cell>
          <cell r="F536" t="str">
            <v/>
          </cell>
        </row>
        <row r="537">
          <cell r="E537" t="str">
            <v/>
          </cell>
          <cell r="F537" t="str">
            <v/>
          </cell>
        </row>
        <row r="538">
          <cell r="E538" t="str">
            <v/>
          </cell>
          <cell r="F538" t="str">
            <v/>
          </cell>
        </row>
        <row r="539">
          <cell r="E539" t="str">
            <v/>
          </cell>
          <cell r="F539" t="str">
            <v/>
          </cell>
        </row>
        <row r="540">
          <cell r="E540" t="str">
            <v/>
          </cell>
          <cell r="F540" t="str">
            <v/>
          </cell>
        </row>
        <row r="541">
          <cell r="E541" t="str">
            <v/>
          </cell>
          <cell r="F541" t="str">
            <v/>
          </cell>
        </row>
        <row r="542">
          <cell r="E542" t="str">
            <v/>
          </cell>
          <cell r="F542" t="str">
            <v/>
          </cell>
        </row>
        <row r="543">
          <cell r="E543" t="str">
            <v/>
          </cell>
          <cell r="F543" t="str">
            <v/>
          </cell>
        </row>
        <row r="544">
          <cell r="E544" t="str">
            <v/>
          </cell>
          <cell r="F544" t="str">
            <v/>
          </cell>
        </row>
        <row r="545">
          <cell r="E545" t="str">
            <v/>
          </cell>
          <cell r="F545" t="str">
            <v/>
          </cell>
        </row>
        <row r="546">
          <cell r="E546" t="str">
            <v/>
          </cell>
          <cell r="F546" t="str">
            <v/>
          </cell>
        </row>
        <row r="547">
          <cell r="E547" t="str">
            <v/>
          </cell>
          <cell r="F547" t="str">
            <v/>
          </cell>
        </row>
        <row r="548">
          <cell r="E548" t="str">
            <v/>
          </cell>
          <cell r="F548" t="str">
            <v/>
          </cell>
        </row>
        <row r="549">
          <cell r="E549" t="str">
            <v/>
          </cell>
          <cell r="F549" t="str">
            <v/>
          </cell>
        </row>
        <row r="550">
          <cell r="E550" t="str">
            <v/>
          </cell>
          <cell r="F550" t="str">
            <v/>
          </cell>
        </row>
        <row r="551">
          <cell r="E551" t="str">
            <v/>
          </cell>
          <cell r="F551" t="str">
            <v/>
          </cell>
        </row>
        <row r="552">
          <cell r="E552" t="str">
            <v/>
          </cell>
          <cell r="F552" t="str">
            <v/>
          </cell>
        </row>
        <row r="553">
          <cell r="E553" t="str">
            <v/>
          </cell>
          <cell r="F553" t="str">
            <v/>
          </cell>
        </row>
        <row r="554">
          <cell r="E554" t="str">
            <v/>
          </cell>
          <cell r="F554" t="str">
            <v/>
          </cell>
        </row>
        <row r="555">
          <cell r="E555" t="str">
            <v/>
          </cell>
          <cell r="F555" t="str">
            <v/>
          </cell>
        </row>
        <row r="556">
          <cell r="E556" t="str">
            <v/>
          </cell>
          <cell r="F556" t="str">
            <v/>
          </cell>
        </row>
        <row r="557">
          <cell r="E557" t="str">
            <v/>
          </cell>
          <cell r="F557" t="str">
            <v/>
          </cell>
        </row>
        <row r="558">
          <cell r="E558" t="str">
            <v/>
          </cell>
          <cell r="F558" t="str">
            <v/>
          </cell>
        </row>
        <row r="559">
          <cell r="E559" t="str">
            <v/>
          </cell>
          <cell r="F559" t="str">
            <v/>
          </cell>
        </row>
        <row r="560">
          <cell r="E560" t="str">
            <v/>
          </cell>
          <cell r="F560" t="str">
            <v/>
          </cell>
        </row>
        <row r="561">
          <cell r="E561" t="str">
            <v/>
          </cell>
          <cell r="F561" t="str">
            <v/>
          </cell>
        </row>
        <row r="562">
          <cell r="E562" t="str">
            <v/>
          </cell>
          <cell r="F562" t="str">
            <v/>
          </cell>
        </row>
        <row r="563">
          <cell r="E563" t="str">
            <v/>
          </cell>
          <cell r="F563" t="str">
            <v/>
          </cell>
        </row>
        <row r="564">
          <cell r="E564" t="str">
            <v/>
          </cell>
          <cell r="F564" t="str">
            <v/>
          </cell>
        </row>
        <row r="565">
          <cell r="E565" t="str">
            <v/>
          </cell>
          <cell r="F565" t="str">
            <v/>
          </cell>
        </row>
        <row r="566">
          <cell r="E566" t="str">
            <v/>
          </cell>
          <cell r="F566" t="str">
            <v/>
          </cell>
        </row>
        <row r="567">
          <cell r="E567" t="str">
            <v/>
          </cell>
          <cell r="F567" t="str">
            <v/>
          </cell>
        </row>
        <row r="568">
          <cell r="E568" t="str">
            <v/>
          </cell>
          <cell r="F568" t="str">
            <v/>
          </cell>
        </row>
        <row r="569">
          <cell r="E569" t="str">
            <v/>
          </cell>
          <cell r="F569" t="str">
            <v/>
          </cell>
        </row>
        <row r="570">
          <cell r="E570" t="str">
            <v/>
          </cell>
          <cell r="F570" t="str">
            <v/>
          </cell>
        </row>
        <row r="571">
          <cell r="E571" t="str">
            <v/>
          </cell>
          <cell r="F571" t="str">
            <v/>
          </cell>
        </row>
        <row r="572">
          <cell r="E572" t="str">
            <v/>
          </cell>
          <cell r="F572" t="str">
            <v/>
          </cell>
        </row>
        <row r="573">
          <cell r="E573" t="str">
            <v/>
          </cell>
          <cell r="F573" t="str">
            <v/>
          </cell>
        </row>
        <row r="574">
          <cell r="E574" t="str">
            <v/>
          </cell>
          <cell r="F574" t="str">
            <v/>
          </cell>
        </row>
        <row r="575">
          <cell r="E575" t="str">
            <v/>
          </cell>
          <cell r="F575" t="str">
            <v/>
          </cell>
        </row>
        <row r="576">
          <cell r="E576" t="str">
            <v/>
          </cell>
          <cell r="F576" t="str">
            <v/>
          </cell>
        </row>
        <row r="577">
          <cell r="E577" t="str">
            <v/>
          </cell>
          <cell r="F577" t="str">
            <v/>
          </cell>
        </row>
        <row r="578">
          <cell r="E578" t="str">
            <v/>
          </cell>
          <cell r="F578" t="str">
            <v/>
          </cell>
        </row>
        <row r="579">
          <cell r="E579" t="str">
            <v/>
          </cell>
          <cell r="F579" t="str">
            <v/>
          </cell>
        </row>
        <row r="580">
          <cell r="E580" t="str">
            <v/>
          </cell>
          <cell r="F580" t="str">
            <v/>
          </cell>
        </row>
        <row r="581">
          <cell r="E581" t="str">
            <v/>
          </cell>
          <cell r="F581" t="str">
            <v/>
          </cell>
        </row>
        <row r="582">
          <cell r="E582" t="str">
            <v/>
          </cell>
          <cell r="F582" t="str">
            <v/>
          </cell>
        </row>
        <row r="583">
          <cell r="E583" t="str">
            <v/>
          </cell>
          <cell r="F583" t="str">
            <v/>
          </cell>
        </row>
        <row r="584">
          <cell r="E584" t="str">
            <v/>
          </cell>
          <cell r="F584" t="str">
            <v/>
          </cell>
        </row>
        <row r="585">
          <cell r="E585" t="str">
            <v/>
          </cell>
          <cell r="F585" t="str">
            <v/>
          </cell>
        </row>
        <row r="586">
          <cell r="E586" t="str">
            <v/>
          </cell>
          <cell r="F586" t="str">
            <v/>
          </cell>
        </row>
        <row r="587">
          <cell r="E587" t="str">
            <v/>
          </cell>
          <cell r="F587" t="str">
            <v/>
          </cell>
        </row>
        <row r="588">
          <cell r="E588" t="str">
            <v/>
          </cell>
          <cell r="F588" t="str">
            <v/>
          </cell>
        </row>
        <row r="589">
          <cell r="E589" t="str">
            <v/>
          </cell>
          <cell r="F589" t="str">
            <v/>
          </cell>
        </row>
        <row r="590">
          <cell r="E590" t="str">
            <v/>
          </cell>
          <cell r="F590" t="str">
            <v/>
          </cell>
        </row>
        <row r="591">
          <cell r="E591" t="str">
            <v/>
          </cell>
          <cell r="F591" t="str">
            <v/>
          </cell>
        </row>
        <row r="592">
          <cell r="E592" t="str">
            <v/>
          </cell>
          <cell r="F592" t="str">
            <v/>
          </cell>
        </row>
        <row r="593">
          <cell r="E593" t="str">
            <v/>
          </cell>
          <cell r="F593" t="str">
            <v/>
          </cell>
        </row>
        <row r="594">
          <cell r="E594" t="str">
            <v/>
          </cell>
          <cell r="F594" t="str">
            <v/>
          </cell>
        </row>
        <row r="595">
          <cell r="E595" t="str">
            <v/>
          </cell>
          <cell r="F595" t="str">
            <v/>
          </cell>
        </row>
        <row r="596">
          <cell r="E596" t="str">
            <v/>
          </cell>
          <cell r="F596" t="str">
            <v/>
          </cell>
        </row>
        <row r="597">
          <cell r="E597" t="str">
            <v/>
          </cell>
          <cell r="F597" t="str">
            <v/>
          </cell>
        </row>
        <row r="598">
          <cell r="E598" t="str">
            <v/>
          </cell>
          <cell r="F598" t="str">
            <v/>
          </cell>
        </row>
        <row r="599">
          <cell r="E599" t="str">
            <v/>
          </cell>
          <cell r="F599" t="str">
            <v/>
          </cell>
        </row>
        <row r="600">
          <cell r="E600" t="str">
            <v/>
          </cell>
          <cell r="F600" t="str">
            <v/>
          </cell>
        </row>
        <row r="601">
          <cell r="E601" t="str">
            <v/>
          </cell>
          <cell r="F601" t="str">
            <v/>
          </cell>
        </row>
        <row r="602">
          <cell r="E602" t="str">
            <v/>
          </cell>
          <cell r="F602" t="str">
            <v/>
          </cell>
        </row>
        <row r="603">
          <cell r="E603" t="str">
            <v/>
          </cell>
          <cell r="F603" t="str">
            <v/>
          </cell>
        </row>
        <row r="604">
          <cell r="E604" t="str">
            <v/>
          </cell>
          <cell r="F604" t="str">
            <v/>
          </cell>
        </row>
        <row r="605">
          <cell r="E605" t="str">
            <v/>
          </cell>
          <cell r="F605" t="str">
            <v/>
          </cell>
        </row>
        <row r="606">
          <cell r="E606" t="str">
            <v/>
          </cell>
          <cell r="F606" t="str">
            <v/>
          </cell>
        </row>
        <row r="607">
          <cell r="E607" t="str">
            <v/>
          </cell>
          <cell r="F607" t="str">
            <v/>
          </cell>
        </row>
        <row r="608">
          <cell r="E608" t="str">
            <v/>
          </cell>
          <cell r="F608" t="str">
            <v/>
          </cell>
        </row>
        <row r="609">
          <cell r="E609" t="str">
            <v/>
          </cell>
          <cell r="F609" t="str">
            <v/>
          </cell>
        </row>
        <row r="610">
          <cell r="E610" t="str">
            <v/>
          </cell>
          <cell r="F610" t="str">
            <v/>
          </cell>
        </row>
        <row r="611">
          <cell r="E611" t="str">
            <v/>
          </cell>
          <cell r="F611" t="str">
            <v/>
          </cell>
        </row>
        <row r="612">
          <cell r="E612" t="str">
            <v/>
          </cell>
          <cell r="F612" t="str">
            <v/>
          </cell>
        </row>
        <row r="613">
          <cell r="E613" t="str">
            <v/>
          </cell>
          <cell r="F613" t="str">
            <v/>
          </cell>
        </row>
        <row r="614">
          <cell r="E614" t="str">
            <v/>
          </cell>
          <cell r="F614" t="str">
            <v/>
          </cell>
        </row>
        <row r="615">
          <cell r="E615" t="str">
            <v/>
          </cell>
          <cell r="F615" t="str">
            <v/>
          </cell>
        </row>
        <row r="616">
          <cell r="E616" t="str">
            <v/>
          </cell>
          <cell r="F616" t="str">
            <v/>
          </cell>
        </row>
        <row r="617">
          <cell r="E617" t="str">
            <v/>
          </cell>
          <cell r="F617" t="str">
            <v/>
          </cell>
        </row>
        <row r="618">
          <cell r="E618" t="str">
            <v/>
          </cell>
          <cell r="F618" t="str">
            <v/>
          </cell>
        </row>
        <row r="619">
          <cell r="E619" t="str">
            <v/>
          </cell>
          <cell r="F619" t="str">
            <v/>
          </cell>
        </row>
        <row r="620">
          <cell r="E620" t="str">
            <v/>
          </cell>
          <cell r="F620" t="str">
            <v/>
          </cell>
        </row>
        <row r="621">
          <cell r="E621" t="str">
            <v/>
          </cell>
          <cell r="F621" t="str">
            <v/>
          </cell>
        </row>
        <row r="622">
          <cell r="E622" t="str">
            <v/>
          </cell>
          <cell r="F622" t="str">
            <v/>
          </cell>
        </row>
        <row r="623">
          <cell r="E623" t="str">
            <v/>
          </cell>
          <cell r="F623" t="str">
            <v/>
          </cell>
        </row>
        <row r="624">
          <cell r="E624" t="str">
            <v/>
          </cell>
          <cell r="F624" t="str">
            <v/>
          </cell>
        </row>
        <row r="625">
          <cell r="E625" t="str">
            <v/>
          </cell>
          <cell r="F625" t="str">
            <v/>
          </cell>
        </row>
        <row r="626">
          <cell r="E626" t="str">
            <v/>
          </cell>
          <cell r="F626" t="str">
            <v/>
          </cell>
        </row>
        <row r="627">
          <cell r="E627" t="str">
            <v/>
          </cell>
          <cell r="F627" t="str">
            <v/>
          </cell>
        </row>
        <row r="628">
          <cell r="E628" t="str">
            <v/>
          </cell>
          <cell r="F628" t="str">
            <v/>
          </cell>
        </row>
        <row r="629">
          <cell r="E629" t="str">
            <v/>
          </cell>
          <cell r="F629" t="str">
            <v/>
          </cell>
        </row>
        <row r="630">
          <cell r="E630" t="str">
            <v/>
          </cell>
          <cell r="F630" t="str">
            <v/>
          </cell>
        </row>
        <row r="631">
          <cell r="E631" t="str">
            <v/>
          </cell>
          <cell r="F631" t="str">
            <v/>
          </cell>
        </row>
        <row r="632">
          <cell r="E632" t="str">
            <v/>
          </cell>
          <cell r="F632" t="str">
            <v/>
          </cell>
        </row>
        <row r="633">
          <cell r="E633" t="str">
            <v/>
          </cell>
          <cell r="F633" t="str">
            <v/>
          </cell>
        </row>
        <row r="634">
          <cell r="E634" t="str">
            <v/>
          </cell>
          <cell r="F634" t="str">
            <v/>
          </cell>
        </row>
        <row r="635">
          <cell r="E635" t="str">
            <v/>
          </cell>
          <cell r="F635" t="str">
            <v/>
          </cell>
        </row>
        <row r="636">
          <cell r="E636" t="str">
            <v/>
          </cell>
          <cell r="F636" t="str">
            <v/>
          </cell>
        </row>
        <row r="637">
          <cell r="E637" t="str">
            <v/>
          </cell>
          <cell r="F637" t="str">
            <v/>
          </cell>
        </row>
        <row r="638">
          <cell r="E638" t="str">
            <v/>
          </cell>
          <cell r="F638" t="str">
            <v/>
          </cell>
        </row>
        <row r="639">
          <cell r="E639" t="str">
            <v/>
          </cell>
          <cell r="F639" t="str">
            <v/>
          </cell>
        </row>
        <row r="640">
          <cell r="E640" t="str">
            <v/>
          </cell>
          <cell r="F640" t="str">
            <v/>
          </cell>
        </row>
        <row r="641">
          <cell r="E641" t="str">
            <v/>
          </cell>
          <cell r="F641" t="str">
            <v/>
          </cell>
        </row>
        <row r="642">
          <cell r="E642" t="str">
            <v/>
          </cell>
          <cell r="F642" t="str">
            <v/>
          </cell>
        </row>
        <row r="643">
          <cell r="E643" t="str">
            <v/>
          </cell>
          <cell r="F643" t="str">
            <v/>
          </cell>
        </row>
        <row r="644">
          <cell r="E644" t="str">
            <v/>
          </cell>
          <cell r="F644" t="str">
            <v/>
          </cell>
        </row>
        <row r="645">
          <cell r="E645" t="str">
            <v/>
          </cell>
          <cell r="F645" t="str">
            <v/>
          </cell>
        </row>
        <row r="646">
          <cell r="E646" t="str">
            <v/>
          </cell>
          <cell r="F646" t="str">
            <v/>
          </cell>
        </row>
        <row r="647">
          <cell r="E647" t="str">
            <v/>
          </cell>
          <cell r="F647" t="str">
            <v/>
          </cell>
        </row>
        <row r="648">
          <cell r="E648" t="str">
            <v/>
          </cell>
          <cell r="F648" t="str">
            <v/>
          </cell>
        </row>
        <row r="649">
          <cell r="E649" t="str">
            <v/>
          </cell>
          <cell r="F649" t="str">
            <v/>
          </cell>
        </row>
        <row r="650">
          <cell r="E650" t="str">
            <v/>
          </cell>
          <cell r="F650" t="str">
            <v/>
          </cell>
        </row>
        <row r="651">
          <cell r="E651" t="str">
            <v/>
          </cell>
          <cell r="F651" t="str">
            <v/>
          </cell>
        </row>
        <row r="652">
          <cell r="E652" t="str">
            <v/>
          </cell>
          <cell r="F652" t="str">
            <v/>
          </cell>
        </row>
        <row r="653">
          <cell r="E653" t="str">
            <v/>
          </cell>
          <cell r="F653" t="str">
            <v/>
          </cell>
        </row>
        <row r="654">
          <cell r="E654" t="str">
            <v/>
          </cell>
          <cell r="F654" t="str">
            <v/>
          </cell>
        </row>
        <row r="655">
          <cell r="E655" t="str">
            <v/>
          </cell>
          <cell r="F655" t="str">
            <v/>
          </cell>
        </row>
        <row r="656">
          <cell r="E656" t="str">
            <v/>
          </cell>
          <cell r="F656" t="str">
            <v/>
          </cell>
        </row>
        <row r="657">
          <cell r="E657" t="str">
            <v/>
          </cell>
          <cell r="F657" t="str">
            <v/>
          </cell>
        </row>
        <row r="658">
          <cell r="E658" t="str">
            <v/>
          </cell>
          <cell r="F658" t="str">
            <v/>
          </cell>
        </row>
        <row r="659">
          <cell r="E659" t="str">
            <v/>
          </cell>
          <cell r="F659" t="str">
            <v/>
          </cell>
        </row>
        <row r="660">
          <cell r="E660" t="str">
            <v/>
          </cell>
          <cell r="F660" t="str">
            <v/>
          </cell>
        </row>
        <row r="661">
          <cell r="E661" t="str">
            <v/>
          </cell>
          <cell r="F661" t="str">
            <v/>
          </cell>
        </row>
        <row r="662">
          <cell r="E662" t="str">
            <v/>
          </cell>
          <cell r="F662" t="str">
            <v/>
          </cell>
        </row>
        <row r="663">
          <cell r="E663" t="str">
            <v/>
          </cell>
          <cell r="F663" t="str">
            <v/>
          </cell>
        </row>
        <row r="664">
          <cell r="E664" t="str">
            <v/>
          </cell>
          <cell r="F664" t="str">
            <v/>
          </cell>
        </row>
        <row r="665">
          <cell r="E665" t="str">
            <v/>
          </cell>
          <cell r="F665" t="str">
            <v/>
          </cell>
        </row>
        <row r="666">
          <cell r="E666" t="str">
            <v/>
          </cell>
          <cell r="F666" t="str">
            <v/>
          </cell>
        </row>
        <row r="667">
          <cell r="E667" t="str">
            <v/>
          </cell>
          <cell r="F667" t="str">
            <v/>
          </cell>
        </row>
        <row r="668">
          <cell r="E668" t="str">
            <v/>
          </cell>
          <cell r="F668" t="str">
            <v/>
          </cell>
        </row>
        <row r="669">
          <cell r="E669" t="str">
            <v/>
          </cell>
          <cell r="F669" t="str">
            <v/>
          </cell>
        </row>
        <row r="670">
          <cell r="E670" t="str">
            <v/>
          </cell>
          <cell r="F670" t="str">
            <v/>
          </cell>
        </row>
        <row r="671">
          <cell r="E671" t="str">
            <v/>
          </cell>
          <cell r="F671" t="str">
            <v/>
          </cell>
        </row>
        <row r="672">
          <cell r="E672" t="str">
            <v/>
          </cell>
          <cell r="F672" t="str">
            <v/>
          </cell>
        </row>
        <row r="673">
          <cell r="E673" t="str">
            <v/>
          </cell>
          <cell r="F673" t="str">
            <v/>
          </cell>
        </row>
        <row r="674">
          <cell r="E674" t="str">
            <v/>
          </cell>
          <cell r="F674" t="str">
            <v/>
          </cell>
        </row>
        <row r="675">
          <cell r="E675" t="str">
            <v/>
          </cell>
          <cell r="F675" t="str">
            <v/>
          </cell>
        </row>
        <row r="676">
          <cell r="E676" t="str">
            <v/>
          </cell>
          <cell r="F676" t="str">
            <v/>
          </cell>
        </row>
        <row r="677">
          <cell r="E677" t="str">
            <v/>
          </cell>
          <cell r="F677" t="str">
            <v/>
          </cell>
        </row>
        <row r="678">
          <cell r="E678" t="str">
            <v/>
          </cell>
          <cell r="F678" t="str">
            <v/>
          </cell>
        </row>
        <row r="679">
          <cell r="E679" t="str">
            <v/>
          </cell>
          <cell r="F679" t="str">
            <v/>
          </cell>
        </row>
        <row r="680">
          <cell r="E680" t="str">
            <v/>
          </cell>
          <cell r="F680" t="str">
            <v/>
          </cell>
        </row>
        <row r="681">
          <cell r="E681" t="str">
            <v/>
          </cell>
          <cell r="F681" t="str">
            <v/>
          </cell>
        </row>
        <row r="682">
          <cell r="E682" t="str">
            <v/>
          </cell>
          <cell r="F682" t="str">
            <v/>
          </cell>
        </row>
        <row r="683">
          <cell r="E683" t="str">
            <v/>
          </cell>
          <cell r="F683" t="str">
            <v/>
          </cell>
        </row>
        <row r="684">
          <cell r="E684" t="str">
            <v/>
          </cell>
          <cell r="F684" t="str">
            <v/>
          </cell>
        </row>
        <row r="685">
          <cell r="E685" t="str">
            <v/>
          </cell>
          <cell r="F685" t="str">
            <v/>
          </cell>
        </row>
        <row r="686">
          <cell r="E686" t="str">
            <v/>
          </cell>
          <cell r="F686" t="str">
            <v/>
          </cell>
        </row>
        <row r="687">
          <cell r="E687" t="str">
            <v/>
          </cell>
          <cell r="F687" t="str">
            <v/>
          </cell>
        </row>
        <row r="688">
          <cell r="E688" t="str">
            <v/>
          </cell>
          <cell r="F688" t="str">
            <v/>
          </cell>
        </row>
        <row r="689">
          <cell r="E689" t="str">
            <v/>
          </cell>
          <cell r="F689" t="str">
            <v/>
          </cell>
        </row>
        <row r="690">
          <cell r="E690" t="str">
            <v/>
          </cell>
          <cell r="F690" t="str">
            <v/>
          </cell>
        </row>
        <row r="691">
          <cell r="E691" t="str">
            <v/>
          </cell>
          <cell r="F691" t="str">
            <v/>
          </cell>
        </row>
        <row r="692">
          <cell r="E692" t="str">
            <v/>
          </cell>
          <cell r="F692" t="str">
            <v/>
          </cell>
        </row>
        <row r="693">
          <cell r="E693" t="str">
            <v/>
          </cell>
          <cell r="F693" t="str">
            <v/>
          </cell>
        </row>
        <row r="694">
          <cell r="E694" t="str">
            <v/>
          </cell>
          <cell r="F694" t="str">
            <v/>
          </cell>
        </row>
        <row r="695">
          <cell r="E695" t="str">
            <v/>
          </cell>
          <cell r="F695" t="str">
            <v/>
          </cell>
        </row>
        <row r="696">
          <cell r="E696" t="str">
            <v/>
          </cell>
          <cell r="F696" t="str">
            <v/>
          </cell>
        </row>
        <row r="697">
          <cell r="E697" t="str">
            <v/>
          </cell>
          <cell r="F697" t="str">
            <v/>
          </cell>
        </row>
        <row r="698">
          <cell r="E698" t="str">
            <v/>
          </cell>
          <cell r="F698" t="str">
            <v/>
          </cell>
        </row>
        <row r="699">
          <cell r="E699" t="str">
            <v/>
          </cell>
          <cell r="F699" t="str">
            <v/>
          </cell>
        </row>
        <row r="700">
          <cell r="E700" t="str">
            <v/>
          </cell>
          <cell r="F700" t="str">
            <v/>
          </cell>
        </row>
        <row r="701">
          <cell r="E701" t="str">
            <v/>
          </cell>
          <cell r="F701" t="str">
            <v/>
          </cell>
        </row>
        <row r="702">
          <cell r="E702" t="str">
            <v/>
          </cell>
          <cell r="F702" t="str">
            <v/>
          </cell>
        </row>
        <row r="703">
          <cell r="E703" t="str">
            <v/>
          </cell>
          <cell r="F703" t="str">
            <v/>
          </cell>
        </row>
        <row r="704">
          <cell r="E704" t="str">
            <v/>
          </cell>
          <cell r="F704" t="str">
            <v/>
          </cell>
        </row>
        <row r="705">
          <cell r="E705" t="str">
            <v/>
          </cell>
          <cell r="F705" t="str">
            <v/>
          </cell>
        </row>
        <row r="706">
          <cell r="E706" t="str">
            <v/>
          </cell>
          <cell r="F706" t="str">
            <v/>
          </cell>
        </row>
        <row r="707">
          <cell r="E707" t="str">
            <v/>
          </cell>
          <cell r="F707" t="str">
            <v/>
          </cell>
        </row>
        <row r="708">
          <cell r="E708" t="str">
            <v/>
          </cell>
          <cell r="F708" t="str">
            <v/>
          </cell>
        </row>
        <row r="709">
          <cell r="E709" t="str">
            <v/>
          </cell>
          <cell r="F709" t="str">
            <v/>
          </cell>
        </row>
        <row r="710">
          <cell r="E710" t="str">
            <v/>
          </cell>
          <cell r="F710" t="str">
            <v/>
          </cell>
        </row>
        <row r="711">
          <cell r="E711" t="str">
            <v/>
          </cell>
          <cell r="F711" t="str">
            <v/>
          </cell>
        </row>
        <row r="712">
          <cell r="E712" t="str">
            <v/>
          </cell>
          <cell r="F712" t="str">
            <v/>
          </cell>
        </row>
        <row r="713">
          <cell r="E713" t="str">
            <v/>
          </cell>
          <cell r="F713" t="str">
            <v/>
          </cell>
        </row>
        <row r="714">
          <cell r="E714" t="str">
            <v/>
          </cell>
          <cell r="F714" t="str">
            <v/>
          </cell>
        </row>
        <row r="715">
          <cell r="E715" t="str">
            <v/>
          </cell>
          <cell r="F715" t="str">
            <v/>
          </cell>
        </row>
        <row r="716">
          <cell r="E716" t="str">
            <v/>
          </cell>
          <cell r="F716" t="str">
            <v/>
          </cell>
        </row>
        <row r="717">
          <cell r="E717" t="str">
            <v/>
          </cell>
          <cell r="F717" t="str">
            <v/>
          </cell>
        </row>
        <row r="718">
          <cell r="E718" t="str">
            <v/>
          </cell>
          <cell r="F718" t="str">
            <v/>
          </cell>
        </row>
        <row r="719">
          <cell r="E719" t="str">
            <v/>
          </cell>
          <cell r="F719" t="str">
            <v/>
          </cell>
        </row>
        <row r="720">
          <cell r="E720" t="str">
            <v/>
          </cell>
          <cell r="F720" t="str">
            <v/>
          </cell>
        </row>
        <row r="721">
          <cell r="E721" t="str">
            <v/>
          </cell>
          <cell r="F721" t="str">
            <v/>
          </cell>
        </row>
        <row r="722">
          <cell r="E722" t="str">
            <v/>
          </cell>
          <cell r="F722" t="str">
            <v/>
          </cell>
        </row>
        <row r="723">
          <cell r="E723" t="str">
            <v/>
          </cell>
          <cell r="F723" t="str">
            <v/>
          </cell>
        </row>
        <row r="724">
          <cell r="E724" t="str">
            <v/>
          </cell>
          <cell r="F724" t="str">
            <v/>
          </cell>
        </row>
        <row r="725">
          <cell r="E725" t="str">
            <v/>
          </cell>
          <cell r="F725" t="str">
            <v/>
          </cell>
        </row>
        <row r="726">
          <cell r="E726" t="str">
            <v/>
          </cell>
          <cell r="F726" t="str">
            <v/>
          </cell>
        </row>
        <row r="727">
          <cell r="E727" t="str">
            <v/>
          </cell>
          <cell r="F727" t="str">
            <v/>
          </cell>
        </row>
        <row r="728">
          <cell r="E728" t="str">
            <v/>
          </cell>
          <cell r="F728" t="str">
            <v/>
          </cell>
        </row>
        <row r="729">
          <cell r="E729" t="str">
            <v/>
          </cell>
          <cell r="F729" t="str">
            <v/>
          </cell>
        </row>
        <row r="730">
          <cell r="E730" t="str">
            <v/>
          </cell>
          <cell r="F730" t="str">
            <v/>
          </cell>
        </row>
        <row r="731">
          <cell r="E731" t="str">
            <v/>
          </cell>
          <cell r="F731" t="str">
            <v/>
          </cell>
        </row>
        <row r="732">
          <cell r="E732" t="str">
            <v/>
          </cell>
          <cell r="F732" t="str">
            <v/>
          </cell>
        </row>
        <row r="733">
          <cell r="E733" t="str">
            <v/>
          </cell>
          <cell r="F733" t="str">
            <v/>
          </cell>
        </row>
        <row r="734">
          <cell r="E734" t="str">
            <v/>
          </cell>
          <cell r="F734" t="str">
            <v/>
          </cell>
        </row>
        <row r="735">
          <cell r="E735" t="str">
            <v/>
          </cell>
          <cell r="F735" t="str">
            <v/>
          </cell>
        </row>
        <row r="736">
          <cell r="E736" t="str">
            <v/>
          </cell>
          <cell r="F736" t="str">
            <v/>
          </cell>
        </row>
        <row r="737">
          <cell r="E737" t="str">
            <v/>
          </cell>
          <cell r="F737" t="str">
            <v/>
          </cell>
        </row>
        <row r="738">
          <cell r="E738" t="str">
            <v/>
          </cell>
          <cell r="F738" t="str">
            <v/>
          </cell>
        </row>
        <row r="739">
          <cell r="E739" t="str">
            <v/>
          </cell>
          <cell r="F739" t="str">
            <v/>
          </cell>
        </row>
        <row r="740">
          <cell r="E740" t="str">
            <v/>
          </cell>
          <cell r="F740" t="str">
            <v/>
          </cell>
        </row>
        <row r="741">
          <cell r="E741" t="str">
            <v/>
          </cell>
          <cell r="F741" t="str">
            <v/>
          </cell>
        </row>
        <row r="742">
          <cell r="E742" t="str">
            <v/>
          </cell>
          <cell r="F742" t="str">
            <v/>
          </cell>
        </row>
        <row r="743">
          <cell r="E743" t="str">
            <v/>
          </cell>
          <cell r="F743" t="str">
            <v/>
          </cell>
        </row>
        <row r="744">
          <cell r="E744" t="str">
            <v/>
          </cell>
          <cell r="F744" t="str">
            <v/>
          </cell>
        </row>
        <row r="745">
          <cell r="E745" t="str">
            <v/>
          </cell>
          <cell r="F745" t="str">
            <v/>
          </cell>
        </row>
        <row r="746">
          <cell r="E746" t="str">
            <v/>
          </cell>
          <cell r="F746" t="str">
            <v/>
          </cell>
        </row>
        <row r="747">
          <cell r="E747" t="str">
            <v/>
          </cell>
          <cell r="F747" t="str">
            <v/>
          </cell>
        </row>
        <row r="748">
          <cell r="E748" t="str">
            <v/>
          </cell>
          <cell r="F748" t="str">
            <v/>
          </cell>
        </row>
        <row r="749">
          <cell r="E749" t="str">
            <v/>
          </cell>
          <cell r="F749" t="str">
            <v/>
          </cell>
        </row>
        <row r="750">
          <cell r="E750" t="str">
            <v/>
          </cell>
          <cell r="F750" t="str">
            <v/>
          </cell>
        </row>
        <row r="751">
          <cell r="E751" t="str">
            <v/>
          </cell>
          <cell r="F751" t="str">
            <v/>
          </cell>
        </row>
        <row r="752">
          <cell r="E752" t="str">
            <v/>
          </cell>
          <cell r="F752" t="str">
            <v/>
          </cell>
        </row>
        <row r="753">
          <cell r="E753" t="str">
            <v/>
          </cell>
          <cell r="F753" t="str">
            <v/>
          </cell>
        </row>
        <row r="754">
          <cell r="E754" t="str">
            <v/>
          </cell>
          <cell r="F754" t="str">
            <v/>
          </cell>
        </row>
        <row r="755">
          <cell r="E755" t="str">
            <v/>
          </cell>
          <cell r="F755" t="str">
            <v/>
          </cell>
        </row>
        <row r="756">
          <cell r="E756" t="str">
            <v/>
          </cell>
          <cell r="F756" t="str">
            <v/>
          </cell>
        </row>
        <row r="757">
          <cell r="E757" t="str">
            <v/>
          </cell>
          <cell r="F757" t="str">
            <v/>
          </cell>
        </row>
        <row r="758">
          <cell r="E758" t="str">
            <v/>
          </cell>
          <cell r="F758" t="str">
            <v/>
          </cell>
        </row>
        <row r="759">
          <cell r="E759" t="str">
            <v/>
          </cell>
          <cell r="F759" t="str">
            <v/>
          </cell>
        </row>
        <row r="760">
          <cell r="E760" t="str">
            <v/>
          </cell>
          <cell r="F760" t="str">
            <v/>
          </cell>
        </row>
        <row r="761">
          <cell r="E761" t="str">
            <v/>
          </cell>
          <cell r="F761" t="str">
            <v/>
          </cell>
        </row>
        <row r="762">
          <cell r="E762" t="str">
            <v/>
          </cell>
          <cell r="F762" t="str">
            <v/>
          </cell>
        </row>
        <row r="763">
          <cell r="E763" t="str">
            <v/>
          </cell>
          <cell r="F763" t="str">
            <v/>
          </cell>
        </row>
        <row r="764">
          <cell r="E764" t="str">
            <v/>
          </cell>
          <cell r="F764" t="str">
            <v/>
          </cell>
        </row>
        <row r="765">
          <cell r="E765" t="str">
            <v/>
          </cell>
          <cell r="F765" t="str">
            <v/>
          </cell>
        </row>
        <row r="766">
          <cell r="E766" t="str">
            <v/>
          </cell>
          <cell r="F766" t="str">
            <v/>
          </cell>
        </row>
        <row r="767">
          <cell r="E767" t="str">
            <v/>
          </cell>
          <cell r="F767" t="str">
            <v/>
          </cell>
        </row>
        <row r="768">
          <cell r="E768" t="str">
            <v/>
          </cell>
          <cell r="F768" t="str">
            <v/>
          </cell>
        </row>
        <row r="769">
          <cell r="E769" t="str">
            <v/>
          </cell>
          <cell r="F769" t="str">
            <v/>
          </cell>
        </row>
        <row r="770">
          <cell r="E770" t="str">
            <v/>
          </cell>
          <cell r="F770" t="str">
            <v/>
          </cell>
        </row>
        <row r="771">
          <cell r="E771" t="str">
            <v/>
          </cell>
          <cell r="F771" t="str">
            <v/>
          </cell>
        </row>
        <row r="772">
          <cell r="E772" t="str">
            <v/>
          </cell>
          <cell r="F772" t="str">
            <v/>
          </cell>
        </row>
        <row r="773">
          <cell r="E773" t="str">
            <v/>
          </cell>
          <cell r="F773" t="str">
            <v/>
          </cell>
        </row>
        <row r="774">
          <cell r="E774" t="str">
            <v/>
          </cell>
          <cell r="F774" t="str">
            <v/>
          </cell>
        </row>
        <row r="775">
          <cell r="E775" t="str">
            <v/>
          </cell>
          <cell r="F775" t="str">
            <v/>
          </cell>
        </row>
        <row r="776">
          <cell r="E776" t="str">
            <v/>
          </cell>
          <cell r="F776" t="str">
            <v/>
          </cell>
        </row>
        <row r="777">
          <cell r="E777" t="str">
            <v/>
          </cell>
          <cell r="F777" t="str">
            <v/>
          </cell>
        </row>
        <row r="778">
          <cell r="E778" t="str">
            <v/>
          </cell>
          <cell r="F778" t="str">
            <v/>
          </cell>
        </row>
        <row r="779">
          <cell r="E779" t="str">
            <v/>
          </cell>
          <cell r="F779" t="str">
            <v/>
          </cell>
        </row>
        <row r="780">
          <cell r="E780" t="str">
            <v/>
          </cell>
          <cell r="F780" t="str">
            <v/>
          </cell>
        </row>
        <row r="781">
          <cell r="E781" t="str">
            <v/>
          </cell>
          <cell r="F781" t="str">
            <v/>
          </cell>
        </row>
        <row r="782">
          <cell r="E782" t="str">
            <v/>
          </cell>
          <cell r="F782" t="str">
            <v/>
          </cell>
        </row>
        <row r="783">
          <cell r="E783" t="str">
            <v/>
          </cell>
          <cell r="F783" t="str">
            <v/>
          </cell>
        </row>
        <row r="784">
          <cell r="E784" t="str">
            <v/>
          </cell>
          <cell r="F784" t="str">
            <v/>
          </cell>
        </row>
        <row r="785">
          <cell r="E785" t="str">
            <v/>
          </cell>
          <cell r="F785" t="str">
            <v/>
          </cell>
        </row>
        <row r="786">
          <cell r="E786" t="str">
            <v/>
          </cell>
          <cell r="F786" t="str">
            <v/>
          </cell>
        </row>
        <row r="787">
          <cell r="E787" t="str">
            <v/>
          </cell>
          <cell r="F787" t="str">
            <v/>
          </cell>
        </row>
        <row r="788">
          <cell r="E788" t="str">
            <v/>
          </cell>
          <cell r="F788" t="str">
            <v/>
          </cell>
        </row>
        <row r="789">
          <cell r="E789" t="str">
            <v/>
          </cell>
          <cell r="F789" t="str">
            <v/>
          </cell>
        </row>
        <row r="790">
          <cell r="E790" t="str">
            <v/>
          </cell>
          <cell r="F790" t="str">
            <v/>
          </cell>
        </row>
        <row r="791">
          <cell r="E791" t="str">
            <v/>
          </cell>
          <cell r="F791" t="str">
            <v/>
          </cell>
        </row>
        <row r="792">
          <cell r="E792" t="str">
            <v/>
          </cell>
          <cell r="F792" t="str">
            <v/>
          </cell>
        </row>
        <row r="793">
          <cell r="E793" t="str">
            <v/>
          </cell>
          <cell r="F793" t="str">
            <v/>
          </cell>
        </row>
        <row r="794">
          <cell r="E794" t="str">
            <v/>
          </cell>
          <cell r="F794" t="str">
            <v/>
          </cell>
        </row>
        <row r="795">
          <cell r="E795" t="str">
            <v/>
          </cell>
          <cell r="F795" t="str">
            <v/>
          </cell>
        </row>
        <row r="796">
          <cell r="E796" t="str">
            <v/>
          </cell>
          <cell r="F796" t="str">
            <v/>
          </cell>
        </row>
        <row r="797">
          <cell r="E797" t="str">
            <v/>
          </cell>
          <cell r="F797" t="str">
            <v/>
          </cell>
        </row>
        <row r="798">
          <cell r="E798" t="str">
            <v/>
          </cell>
          <cell r="F798" t="str">
            <v/>
          </cell>
        </row>
        <row r="799">
          <cell r="E799" t="str">
            <v/>
          </cell>
          <cell r="F799" t="str">
            <v/>
          </cell>
        </row>
        <row r="800">
          <cell r="E800" t="str">
            <v/>
          </cell>
          <cell r="F800" t="str">
            <v/>
          </cell>
        </row>
        <row r="801">
          <cell r="E801" t="str">
            <v/>
          </cell>
          <cell r="F801" t="str">
            <v/>
          </cell>
        </row>
        <row r="802">
          <cell r="E802" t="str">
            <v/>
          </cell>
          <cell r="F802" t="str">
            <v/>
          </cell>
        </row>
        <row r="803">
          <cell r="E803" t="str">
            <v/>
          </cell>
          <cell r="F803" t="str">
            <v/>
          </cell>
        </row>
        <row r="804">
          <cell r="E804" t="str">
            <v/>
          </cell>
          <cell r="F804" t="str">
            <v/>
          </cell>
        </row>
        <row r="805">
          <cell r="E805" t="str">
            <v/>
          </cell>
          <cell r="F805" t="str">
            <v/>
          </cell>
        </row>
        <row r="806">
          <cell r="E806" t="str">
            <v/>
          </cell>
          <cell r="F806" t="str">
            <v/>
          </cell>
        </row>
        <row r="807">
          <cell r="E807" t="str">
            <v/>
          </cell>
          <cell r="F807" t="str">
            <v/>
          </cell>
        </row>
        <row r="808">
          <cell r="E808" t="str">
            <v/>
          </cell>
          <cell r="F808" t="str">
            <v/>
          </cell>
        </row>
        <row r="809">
          <cell r="E809" t="str">
            <v/>
          </cell>
          <cell r="F809" t="str">
            <v/>
          </cell>
        </row>
        <row r="810">
          <cell r="E810" t="str">
            <v/>
          </cell>
          <cell r="F810" t="str">
            <v/>
          </cell>
        </row>
        <row r="811">
          <cell r="E811" t="str">
            <v/>
          </cell>
          <cell r="F811" t="str">
            <v/>
          </cell>
        </row>
        <row r="812">
          <cell r="E812" t="str">
            <v/>
          </cell>
          <cell r="F812" t="str">
            <v/>
          </cell>
        </row>
        <row r="813">
          <cell r="E813" t="str">
            <v/>
          </cell>
          <cell r="F813" t="str">
            <v/>
          </cell>
        </row>
        <row r="814">
          <cell r="E814" t="str">
            <v/>
          </cell>
          <cell r="F814" t="str">
            <v/>
          </cell>
        </row>
        <row r="815">
          <cell r="E815" t="str">
            <v/>
          </cell>
          <cell r="F815" t="str">
            <v/>
          </cell>
        </row>
        <row r="816">
          <cell r="E816" t="str">
            <v/>
          </cell>
          <cell r="F816" t="str">
            <v/>
          </cell>
        </row>
        <row r="817">
          <cell r="E817" t="str">
            <v/>
          </cell>
          <cell r="F817" t="str">
            <v/>
          </cell>
        </row>
        <row r="818">
          <cell r="E818" t="str">
            <v/>
          </cell>
          <cell r="F818" t="str">
            <v/>
          </cell>
        </row>
        <row r="819">
          <cell r="E819" t="str">
            <v/>
          </cell>
          <cell r="F819" t="str">
            <v/>
          </cell>
        </row>
        <row r="820">
          <cell r="E820" t="str">
            <v/>
          </cell>
          <cell r="F820" t="str">
            <v/>
          </cell>
        </row>
        <row r="821">
          <cell r="E821" t="str">
            <v/>
          </cell>
          <cell r="F821" t="str">
            <v/>
          </cell>
        </row>
        <row r="822">
          <cell r="E822" t="str">
            <v/>
          </cell>
          <cell r="F822" t="str">
            <v/>
          </cell>
        </row>
        <row r="823">
          <cell r="E823" t="str">
            <v/>
          </cell>
          <cell r="F823" t="str">
            <v/>
          </cell>
        </row>
        <row r="824">
          <cell r="E824" t="str">
            <v/>
          </cell>
          <cell r="F824" t="str">
            <v/>
          </cell>
        </row>
        <row r="825">
          <cell r="E825" t="str">
            <v/>
          </cell>
          <cell r="F825" t="str">
            <v/>
          </cell>
        </row>
        <row r="826">
          <cell r="E826" t="str">
            <v/>
          </cell>
          <cell r="F826" t="str">
            <v/>
          </cell>
        </row>
        <row r="827">
          <cell r="E827" t="str">
            <v/>
          </cell>
          <cell r="F827" t="str">
            <v/>
          </cell>
        </row>
        <row r="828">
          <cell r="E828" t="str">
            <v/>
          </cell>
          <cell r="F828" t="str">
            <v/>
          </cell>
        </row>
        <row r="829">
          <cell r="E829" t="str">
            <v/>
          </cell>
          <cell r="F829" t="str">
            <v/>
          </cell>
        </row>
        <row r="830">
          <cell r="E830" t="str">
            <v/>
          </cell>
          <cell r="F830" t="str">
            <v/>
          </cell>
        </row>
        <row r="831">
          <cell r="E831" t="str">
            <v/>
          </cell>
          <cell r="F831" t="str">
            <v/>
          </cell>
        </row>
        <row r="832">
          <cell r="E832" t="str">
            <v/>
          </cell>
          <cell r="F832" t="str">
            <v/>
          </cell>
        </row>
        <row r="833">
          <cell r="E833" t="str">
            <v/>
          </cell>
          <cell r="F833" t="str">
            <v/>
          </cell>
        </row>
        <row r="834">
          <cell r="E834" t="str">
            <v/>
          </cell>
          <cell r="F834" t="str">
            <v/>
          </cell>
        </row>
        <row r="835">
          <cell r="E835" t="str">
            <v/>
          </cell>
          <cell r="F835" t="str">
            <v/>
          </cell>
        </row>
        <row r="836">
          <cell r="E836" t="str">
            <v/>
          </cell>
          <cell r="F836" t="str">
            <v/>
          </cell>
        </row>
        <row r="837">
          <cell r="E837" t="str">
            <v/>
          </cell>
          <cell r="F837" t="str">
            <v/>
          </cell>
        </row>
        <row r="838">
          <cell r="E838" t="str">
            <v/>
          </cell>
          <cell r="F838" t="str">
            <v/>
          </cell>
        </row>
        <row r="839">
          <cell r="E839" t="str">
            <v/>
          </cell>
          <cell r="F839" t="str">
            <v/>
          </cell>
        </row>
        <row r="840">
          <cell r="E840" t="str">
            <v/>
          </cell>
          <cell r="F840" t="str">
            <v/>
          </cell>
        </row>
        <row r="841">
          <cell r="E841" t="str">
            <v/>
          </cell>
          <cell r="F841" t="str">
            <v/>
          </cell>
        </row>
        <row r="842">
          <cell r="E842" t="str">
            <v/>
          </cell>
          <cell r="F842" t="str">
            <v/>
          </cell>
        </row>
        <row r="843">
          <cell r="E843" t="str">
            <v/>
          </cell>
          <cell r="F843" t="str">
            <v/>
          </cell>
        </row>
        <row r="844">
          <cell r="E844" t="str">
            <v/>
          </cell>
          <cell r="F844" t="str">
            <v/>
          </cell>
        </row>
        <row r="845">
          <cell r="E845" t="str">
            <v/>
          </cell>
          <cell r="F845" t="str">
            <v/>
          </cell>
        </row>
        <row r="846">
          <cell r="E846" t="str">
            <v/>
          </cell>
          <cell r="F846" t="str">
            <v/>
          </cell>
        </row>
        <row r="847">
          <cell r="E847" t="str">
            <v/>
          </cell>
          <cell r="F847" t="str">
            <v/>
          </cell>
        </row>
        <row r="848">
          <cell r="E848" t="str">
            <v/>
          </cell>
          <cell r="F848" t="str">
            <v/>
          </cell>
        </row>
        <row r="849">
          <cell r="E849" t="str">
            <v/>
          </cell>
          <cell r="F849" t="str">
            <v/>
          </cell>
        </row>
        <row r="850">
          <cell r="E850" t="str">
            <v/>
          </cell>
          <cell r="F850" t="str">
            <v/>
          </cell>
        </row>
        <row r="851">
          <cell r="E851" t="str">
            <v/>
          </cell>
          <cell r="F851" t="str">
            <v/>
          </cell>
        </row>
        <row r="852">
          <cell r="E852" t="str">
            <v/>
          </cell>
          <cell r="F852" t="str">
            <v/>
          </cell>
        </row>
        <row r="853">
          <cell r="E853" t="str">
            <v/>
          </cell>
          <cell r="F853" t="str">
            <v/>
          </cell>
        </row>
        <row r="854">
          <cell r="E854" t="str">
            <v/>
          </cell>
          <cell r="F854" t="str">
            <v/>
          </cell>
        </row>
        <row r="855">
          <cell r="E855" t="str">
            <v/>
          </cell>
          <cell r="F855" t="str">
            <v/>
          </cell>
        </row>
        <row r="856">
          <cell r="E856" t="str">
            <v/>
          </cell>
          <cell r="F856" t="str">
            <v/>
          </cell>
        </row>
        <row r="857">
          <cell r="E857" t="str">
            <v/>
          </cell>
          <cell r="F857" t="str">
            <v/>
          </cell>
        </row>
        <row r="858">
          <cell r="E858" t="str">
            <v/>
          </cell>
          <cell r="F858" t="str">
            <v/>
          </cell>
        </row>
        <row r="859">
          <cell r="E859" t="str">
            <v/>
          </cell>
          <cell r="F859" t="str">
            <v/>
          </cell>
        </row>
        <row r="860">
          <cell r="E860" t="str">
            <v/>
          </cell>
          <cell r="F860" t="str">
            <v/>
          </cell>
        </row>
        <row r="861">
          <cell r="E861" t="str">
            <v/>
          </cell>
          <cell r="F861" t="str">
            <v/>
          </cell>
        </row>
        <row r="862">
          <cell r="E862" t="str">
            <v/>
          </cell>
          <cell r="F862" t="str">
            <v/>
          </cell>
        </row>
        <row r="863">
          <cell r="E863" t="str">
            <v/>
          </cell>
          <cell r="F863" t="str">
            <v/>
          </cell>
        </row>
        <row r="864">
          <cell r="E864" t="str">
            <v/>
          </cell>
          <cell r="F864" t="str">
            <v/>
          </cell>
        </row>
        <row r="865">
          <cell r="E865" t="str">
            <v/>
          </cell>
          <cell r="F865" t="str">
            <v/>
          </cell>
        </row>
        <row r="866">
          <cell r="E866" t="str">
            <v/>
          </cell>
          <cell r="F866" t="str">
            <v/>
          </cell>
        </row>
        <row r="867">
          <cell r="E867" t="str">
            <v/>
          </cell>
          <cell r="F867" t="str">
            <v/>
          </cell>
        </row>
        <row r="868">
          <cell r="E868" t="str">
            <v/>
          </cell>
          <cell r="F868" t="str">
            <v/>
          </cell>
        </row>
        <row r="869">
          <cell r="E869" t="str">
            <v/>
          </cell>
          <cell r="F869" t="str">
            <v/>
          </cell>
        </row>
        <row r="870">
          <cell r="E870" t="str">
            <v/>
          </cell>
          <cell r="F870" t="str">
            <v/>
          </cell>
        </row>
        <row r="871">
          <cell r="E871" t="str">
            <v/>
          </cell>
          <cell r="F871" t="str">
            <v/>
          </cell>
        </row>
        <row r="872">
          <cell r="E872" t="str">
            <v/>
          </cell>
          <cell r="F872" t="str">
            <v/>
          </cell>
        </row>
        <row r="873">
          <cell r="E873" t="str">
            <v/>
          </cell>
          <cell r="F873" t="str">
            <v/>
          </cell>
        </row>
        <row r="874">
          <cell r="E874" t="str">
            <v/>
          </cell>
          <cell r="F874" t="str">
            <v/>
          </cell>
        </row>
        <row r="875">
          <cell r="E875" t="str">
            <v/>
          </cell>
          <cell r="F875" t="str">
            <v/>
          </cell>
        </row>
        <row r="876">
          <cell r="E876" t="str">
            <v/>
          </cell>
          <cell r="F876" t="str">
            <v/>
          </cell>
        </row>
        <row r="877">
          <cell r="E877" t="str">
            <v/>
          </cell>
          <cell r="F877" t="str">
            <v/>
          </cell>
        </row>
        <row r="878">
          <cell r="E878" t="str">
            <v/>
          </cell>
          <cell r="F878" t="str">
            <v/>
          </cell>
        </row>
        <row r="879">
          <cell r="E879" t="str">
            <v/>
          </cell>
          <cell r="F879" t="str">
            <v/>
          </cell>
        </row>
        <row r="880">
          <cell r="E880" t="str">
            <v/>
          </cell>
          <cell r="F880" t="str">
            <v/>
          </cell>
        </row>
        <row r="881">
          <cell r="E881" t="str">
            <v/>
          </cell>
          <cell r="F881" t="str">
            <v/>
          </cell>
        </row>
        <row r="882">
          <cell r="E882" t="str">
            <v/>
          </cell>
          <cell r="F882" t="str">
            <v/>
          </cell>
        </row>
        <row r="883">
          <cell r="E883" t="str">
            <v/>
          </cell>
          <cell r="F883" t="str">
            <v/>
          </cell>
        </row>
        <row r="884">
          <cell r="E884" t="str">
            <v/>
          </cell>
          <cell r="F884" t="str">
            <v/>
          </cell>
        </row>
        <row r="885">
          <cell r="E885" t="str">
            <v/>
          </cell>
          <cell r="F885" t="str">
            <v/>
          </cell>
        </row>
        <row r="886">
          <cell r="E886" t="str">
            <v/>
          </cell>
          <cell r="F886" t="str">
            <v/>
          </cell>
        </row>
        <row r="887">
          <cell r="E887" t="str">
            <v/>
          </cell>
          <cell r="F887" t="str">
            <v/>
          </cell>
        </row>
        <row r="888">
          <cell r="E888" t="str">
            <v/>
          </cell>
          <cell r="F888" t="str">
            <v/>
          </cell>
        </row>
        <row r="889">
          <cell r="E889" t="str">
            <v/>
          </cell>
          <cell r="F889" t="str">
            <v/>
          </cell>
        </row>
        <row r="890">
          <cell r="E890" t="str">
            <v/>
          </cell>
          <cell r="F890" t="str">
            <v/>
          </cell>
        </row>
        <row r="891">
          <cell r="E891" t="str">
            <v/>
          </cell>
          <cell r="F891" t="str">
            <v/>
          </cell>
        </row>
        <row r="892">
          <cell r="E892" t="str">
            <v/>
          </cell>
          <cell r="F892" t="str">
            <v/>
          </cell>
        </row>
        <row r="893">
          <cell r="E893" t="str">
            <v/>
          </cell>
          <cell r="F893" t="str">
            <v/>
          </cell>
        </row>
        <row r="894">
          <cell r="E894" t="str">
            <v/>
          </cell>
          <cell r="F894" t="str">
            <v/>
          </cell>
        </row>
        <row r="895">
          <cell r="E895" t="str">
            <v/>
          </cell>
          <cell r="F895" t="str">
            <v/>
          </cell>
        </row>
        <row r="896">
          <cell r="E896" t="str">
            <v/>
          </cell>
          <cell r="F896" t="str">
            <v/>
          </cell>
        </row>
        <row r="897">
          <cell r="E897" t="str">
            <v/>
          </cell>
          <cell r="F897" t="str">
            <v/>
          </cell>
        </row>
        <row r="898">
          <cell r="E898" t="str">
            <v/>
          </cell>
          <cell r="F898" t="str">
            <v/>
          </cell>
        </row>
        <row r="899">
          <cell r="E899" t="str">
            <v/>
          </cell>
          <cell r="F899" t="str">
            <v/>
          </cell>
        </row>
        <row r="900">
          <cell r="E900" t="str">
            <v/>
          </cell>
          <cell r="F900" t="str">
            <v/>
          </cell>
        </row>
        <row r="901">
          <cell r="E901" t="str">
            <v/>
          </cell>
          <cell r="F901" t="str">
            <v/>
          </cell>
        </row>
        <row r="902">
          <cell r="E902" t="str">
            <v/>
          </cell>
          <cell r="F902" t="str">
            <v/>
          </cell>
        </row>
        <row r="903">
          <cell r="E903" t="str">
            <v/>
          </cell>
          <cell r="F903" t="str">
            <v/>
          </cell>
        </row>
        <row r="904">
          <cell r="E904" t="str">
            <v/>
          </cell>
          <cell r="F904" t="str">
            <v/>
          </cell>
        </row>
        <row r="905">
          <cell r="E905" t="str">
            <v/>
          </cell>
          <cell r="F905" t="str">
            <v/>
          </cell>
        </row>
        <row r="906">
          <cell r="E906" t="str">
            <v/>
          </cell>
          <cell r="F906" t="str">
            <v/>
          </cell>
        </row>
        <row r="907">
          <cell r="E907" t="str">
            <v/>
          </cell>
          <cell r="F907" t="str">
            <v/>
          </cell>
        </row>
        <row r="908">
          <cell r="E908" t="str">
            <v/>
          </cell>
          <cell r="F908" t="str">
            <v/>
          </cell>
        </row>
        <row r="909">
          <cell r="E909" t="str">
            <v/>
          </cell>
          <cell r="F909" t="str">
            <v/>
          </cell>
        </row>
        <row r="910">
          <cell r="E910" t="str">
            <v/>
          </cell>
          <cell r="F910" t="str">
            <v/>
          </cell>
        </row>
        <row r="911">
          <cell r="E911" t="str">
            <v/>
          </cell>
          <cell r="F911" t="str">
            <v/>
          </cell>
        </row>
        <row r="912">
          <cell r="E912" t="str">
            <v/>
          </cell>
          <cell r="F912" t="str">
            <v/>
          </cell>
        </row>
        <row r="913">
          <cell r="E913" t="str">
            <v/>
          </cell>
          <cell r="F913" t="str">
            <v/>
          </cell>
        </row>
        <row r="914">
          <cell r="E914" t="str">
            <v/>
          </cell>
          <cell r="F914" t="str">
            <v/>
          </cell>
        </row>
        <row r="915">
          <cell r="E915" t="str">
            <v/>
          </cell>
          <cell r="F915" t="str">
            <v/>
          </cell>
        </row>
        <row r="916">
          <cell r="E916" t="str">
            <v/>
          </cell>
          <cell r="F916" t="str">
            <v/>
          </cell>
        </row>
        <row r="917">
          <cell r="E917" t="str">
            <v/>
          </cell>
          <cell r="F917" t="str">
            <v/>
          </cell>
        </row>
        <row r="918">
          <cell r="E918" t="str">
            <v/>
          </cell>
          <cell r="F918" t="str">
            <v/>
          </cell>
        </row>
        <row r="919">
          <cell r="E919" t="str">
            <v/>
          </cell>
          <cell r="F919" t="str">
            <v/>
          </cell>
        </row>
        <row r="920">
          <cell r="E920" t="str">
            <v/>
          </cell>
          <cell r="F920" t="str">
            <v/>
          </cell>
        </row>
        <row r="921">
          <cell r="E921" t="str">
            <v/>
          </cell>
          <cell r="F921" t="str">
            <v/>
          </cell>
        </row>
        <row r="922">
          <cell r="E922" t="str">
            <v/>
          </cell>
          <cell r="F922" t="str">
            <v/>
          </cell>
        </row>
        <row r="923">
          <cell r="E923" t="str">
            <v/>
          </cell>
          <cell r="F923" t="str">
            <v/>
          </cell>
        </row>
        <row r="924">
          <cell r="E924" t="str">
            <v/>
          </cell>
          <cell r="F924" t="str">
            <v/>
          </cell>
        </row>
        <row r="925">
          <cell r="E925" t="str">
            <v/>
          </cell>
          <cell r="F925" t="str">
            <v/>
          </cell>
        </row>
        <row r="926">
          <cell r="E926" t="str">
            <v/>
          </cell>
          <cell r="F926" t="str">
            <v/>
          </cell>
        </row>
        <row r="927">
          <cell r="E927" t="str">
            <v/>
          </cell>
          <cell r="F927" t="str">
            <v/>
          </cell>
        </row>
        <row r="928">
          <cell r="E928" t="str">
            <v/>
          </cell>
          <cell r="F928" t="str">
            <v/>
          </cell>
        </row>
        <row r="929">
          <cell r="E929" t="str">
            <v/>
          </cell>
          <cell r="F929" t="str">
            <v/>
          </cell>
        </row>
        <row r="930">
          <cell r="E930" t="str">
            <v/>
          </cell>
          <cell r="F930" t="str">
            <v/>
          </cell>
        </row>
        <row r="931">
          <cell r="E931" t="str">
            <v/>
          </cell>
          <cell r="F931" t="str">
            <v/>
          </cell>
        </row>
        <row r="932">
          <cell r="E932" t="str">
            <v/>
          </cell>
          <cell r="F932" t="str">
            <v/>
          </cell>
        </row>
        <row r="933">
          <cell r="E933" t="str">
            <v/>
          </cell>
          <cell r="F933" t="str">
            <v/>
          </cell>
        </row>
        <row r="934">
          <cell r="E934" t="str">
            <v/>
          </cell>
          <cell r="F934" t="str">
            <v/>
          </cell>
        </row>
        <row r="935">
          <cell r="E935" t="str">
            <v/>
          </cell>
          <cell r="F935" t="str">
            <v/>
          </cell>
        </row>
        <row r="936">
          <cell r="E936" t="str">
            <v/>
          </cell>
          <cell r="F936" t="str">
            <v/>
          </cell>
        </row>
        <row r="937">
          <cell r="E937" t="str">
            <v/>
          </cell>
          <cell r="F937" t="str">
            <v/>
          </cell>
        </row>
        <row r="938">
          <cell r="E938" t="str">
            <v/>
          </cell>
          <cell r="F938" t="str">
            <v/>
          </cell>
        </row>
        <row r="939">
          <cell r="E939" t="str">
            <v/>
          </cell>
          <cell r="F939" t="str">
            <v/>
          </cell>
        </row>
        <row r="940">
          <cell r="E940" t="str">
            <v/>
          </cell>
          <cell r="F940" t="str">
            <v/>
          </cell>
        </row>
        <row r="941">
          <cell r="E941" t="str">
            <v/>
          </cell>
          <cell r="F941" t="str">
            <v/>
          </cell>
        </row>
        <row r="942">
          <cell r="E942" t="str">
            <v/>
          </cell>
          <cell r="F942" t="str">
            <v/>
          </cell>
        </row>
        <row r="943">
          <cell r="E943" t="str">
            <v/>
          </cell>
          <cell r="F943" t="str">
            <v/>
          </cell>
        </row>
        <row r="944">
          <cell r="E944" t="str">
            <v/>
          </cell>
          <cell r="F944" t="str">
            <v/>
          </cell>
        </row>
        <row r="945">
          <cell r="E945" t="str">
            <v/>
          </cell>
          <cell r="F945" t="str">
            <v/>
          </cell>
        </row>
        <row r="946">
          <cell r="E946" t="str">
            <v/>
          </cell>
          <cell r="F946" t="str">
            <v/>
          </cell>
        </row>
        <row r="947">
          <cell r="E947" t="str">
            <v/>
          </cell>
          <cell r="F947" t="str">
            <v/>
          </cell>
        </row>
        <row r="948">
          <cell r="E948" t="str">
            <v/>
          </cell>
          <cell r="F948" t="str">
            <v/>
          </cell>
        </row>
        <row r="949">
          <cell r="E949" t="str">
            <v/>
          </cell>
          <cell r="F949" t="str">
            <v/>
          </cell>
        </row>
        <row r="950">
          <cell r="E950" t="str">
            <v/>
          </cell>
          <cell r="F950" t="str">
            <v/>
          </cell>
        </row>
        <row r="951">
          <cell r="E951" t="str">
            <v/>
          </cell>
          <cell r="F951" t="str">
            <v/>
          </cell>
        </row>
        <row r="952">
          <cell r="E952" t="str">
            <v/>
          </cell>
          <cell r="F952" t="str">
            <v/>
          </cell>
        </row>
        <row r="953">
          <cell r="E953" t="str">
            <v/>
          </cell>
          <cell r="F953" t="str">
            <v/>
          </cell>
        </row>
        <row r="954">
          <cell r="E954" t="str">
            <v/>
          </cell>
          <cell r="F954" t="str">
            <v/>
          </cell>
        </row>
        <row r="955">
          <cell r="E955" t="str">
            <v/>
          </cell>
          <cell r="F955" t="str">
            <v/>
          </cell>
        </row>
        <row r="956">
          <cell r="E956" t="str">
            <v/>
          </cell>
          <cell r="F956" t="str">
            <v/>
          </cell>
        </row>
        <row r="957">
          <cell r="E957" t="str">
            <v/>
          </cell>
          <cell r="F957" t="str">
            <v/>
          </cell>
        </row>
        <row r="958">
          <cell r="E958" t="str">
            <v/>
          </cell>
          <cell r="F958" t="str">
            <v/>
          </cell>
        </row>
        <row r="959">
          <cell r="E959" t="str">
            <v/>
          </cell>
          <cell r="F959" t="str">
            <v/>
          </cell>
        </row>
        <row r="960">
          <cell r="E960" t="str">
            <v/>
          </cell>
          <cell r="F960" t="str">
            <v/>
          </cell>
        </row>
        <row r="961">
          <cell r="E961" t="str">
            <v/>
          </cell>
          <cell r="F961" t="str">
            <v/>
          </cell>
        </row>
        <row r="962">
          <cell r="E962" t="str">
            <v/>
          </cell>
          <cell r="F962" t="str">
            <v/>
          </cell>
        </row>
        <row r="963">
          <cell r="E963" t="str">
            <v/>
          </cell>
          <cell r="F963" t="str">
            <v/>
          </cell>
        </row>
        <row r="964">
          <cell r="E964" t="str">
            <v/>
          </cell>
          <cell r="F964" t="str">
            <v/>
          </cell>
        </row>
        <row r="965">
          <cell r="E965" t="str">
            <v/>
          </cell>
          <cell r="F965" t="str">
            <v/>
          </cell>
        </row>
        <row r="966">
          <cell r="E966" t="str">
            <v/>
          </cell>
          <cell r="F966" t="str">
            <v/>
          </cell>
        </row>
        <row r="967">
          <cell r="E967" t="str">
            <v/>
          </cell>
          <cell r="F967" t="str">
            <v/>
          </cell>
        </row>
        <row r="968">
          <cell r="E968" t="str">
            <v/>
          </cell>
          <cell r="F968" t="str">
            <v/>
          </cell>
        </row>
        <row r="969">
          <cell r="E969" t="str">
            <v/>
          </cell>
          <cell r="F969" t="str">
            <v/>
          </cell>
        </row>
        <row r="970">
          <cell r="E970" t="str">
            <v/>
          </cell>
          <cell r="F970" t="str">
            <v/>
          </cell>
        </row>
        <row r="971">
          <cell r="E971" t="str">
            <v/>
          </cell>
          <cell r="F971" t="str">
            <v/>
          </cell>
        </row>
        <row r="972">
          <cell r="E972" t="str">
            <v/>
          </cell>
          <cell r="F972" t="str">
            <v/>
          </cell>
        </row>
        <row r="973">
          <cell r="E973" t="str">
            <v/>
          </cell>
          <cell r="F973" t="str">
            <v/>
          </cell>
        </row>
        <row r="974">
          <cell r="E974" t="str">
            <v/>
          </cell>
          <cell r="F974" t="str">
            <v/>
          </cell>
        </row>
        <row r="975">
          <cell r="E975" t="str">
            <v/>
          </cell>
          <cell r="F975" t="str">
            <v/>
          </cell>
        </row>
        <row r="976">
          <cell r="E976" t="str">
            <v/>
          </cell>
          <cell r="F976" t="str">
            <v/>
          </cell>
        </row>
        <row r="977">
          <cell r="E977" t="str">
            <v/>
          </cell>
          <cell r="F977" t="str">
            <v/>
          </cell>
        </row>
        <row r="978">
          <cell r="E978" t="str">
            <v/>
          </cell>
          <cell r="F978" t="str">
            <v/>
          </cell>
        </row>
        <row r="979">
          <cell r="E979" t="str">
            <v/>
          </cell>
          <cell r="F979" t="str">
            <v/>
          </cell>
        </row>
        <row r="980">
          <cell r="E980" t="str">
            <v/>
          </cell>
          <cell r="F980" t="str">
            <v/>
          </cell>
        </row>
        <row r="981">
          <cell r="E981" t="str">
            <v/>
          </cell>
          <cell r="F981" t="str">
            <v/>
          </cell>
        </row>
        <row r="982">
          <cell r="E982" t="str">
            <v/>
          </cell>
          <cell r="F982" t="str">
            <v/>
          </cell>
        </row>
        <row r="983">
          <cell r="E983" t="str">
            <v/>
          </cell>
          <cell r="F983" t="str">
            <v/>
          </cell>
        </row>
        <row r="984">
          <cell r="E984" t="str">
            <v/>
          </cell>
          <cell r="F984" t="str">
            <v/>
          </cell>
        </row>
        <row r="985">
          <cell r="E985" t="str">
            <v/>
          </cell>
          <cell r="F985" t="str">
            <v/>
          </cell>
        </row>
        <row r="986">
          <cell r="E986" t="str">
            <v/>
          </cell>
          <cell r="F986" t="str">
            <v/>
          </cell>
        </row>
        <row r="987">
          <cell r="E987" t="str">
            <v/>
          </cell>
          <cell r="F987" t="str">
            <v/>
          </cell>
        </row>
        <row r="988">
          <cell r="E988" t="str">
            <v/>
          </cell>
          <cell r="F988" t="str">
            <v/>
          </cell>
        </row>
        <row r="989">
          <cell r="E989" t="str">
            <v/>
          </cell>
          <cell r="F989" t="str">
            <v/>
          </cell>
        </row>
        <row r="990">
          <cell r="E990" t="str">
            <v/>
          </cell>
          <cell r="F990" t="str">
            <v/>
          </cell>
        </row>
        <row r="991">
          <cell r="E991" t="str">
            <v/>
          </cell>
          <cell r="F991" t="str">
            <v/>
          </cell>
        </row>
        <row r="992">
          <cell r="E992" t="str">
            <v/>
          </cell>
          <cell r="F992" t="str">
            <v/>
          </cell>
        </row>
        <row r="993">
          <cell r="E993" t="str">
            <v/>
          </cell>
          <cell r="F993" t="str">
            <v/>
          </cell>
        </row>
        <row r="994">
          <cell r="E994" t="str">
            <v/>
          </cell>
          <cell r="F994" t="str">
            <v/>
          </cell>
        </row>
        <row r="995">
          <cell r="E995" t="str">
            <v/>
          </cell>
          <cell r="F995" t="str">
            <v/>
          </cell>
        </row>
        <row r="996">
          <cell r="E996" t="str">
            <v/>
          </cell>
          <cell r="F996" t="str">
            <v/>
          </cell>
        </row>
        <row r="997">
          <cell r="E997" t="str">
            <v/>
          </cell>
          <cell r="F997" t="str">
            <v/>
          </cell>
        </row>
        <row r="998">
          <cell r="E998" t="str">
            <v/>
          </cell>
          <cell r="F998" t="str">
            <v/>
          </cell>
        </row>
        <row r="999">
          <cell r="E999" t="str">
            <v/>
          </cell>
          <cell r="F999" t="str">
            <v/>
          </cell>
        </row>
      </sheetData>
      <sheetData sheetId="17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0F6D5-8A47-48C4-A8B6-AFC37A61DB0A}">
  <sheetPr codeName="Sheet1"/>
  <dimension ref="A1:C2"/>
  <sheetViews>
    <sheetView workbookViewId="0">
      <selection activeCell="C2" sqref="C2"/>
    </sheetView>
  </sheetViews>
  <sheetFormatPr defaultColWidth="8.85546875" defaultRowHeight="15" x14ac:dyDescent="0.25"/>
  <cols>
    <col min="1" max="1" width="23.42578125" bestFit="1" customWidth="1"/>
    <col min="2" max="2" width="20.28515625" bestFit="1" customWidth="1"/>
    <col min="3" max="3" width="20.140625" bestFit="1" customWidth="1"/>
  </cols>
  <sheetData>
    <row r="1" spans="1:3" ht="15.75" thickBot="1" x14ac:dyDescent="0.3">
      <c r="A1" s="2" t="s">
        <v>0</v>
      </c>
      <c r="B1" s="2" t="s">
        <v>1</v>
      </c>
      <c r="C1" s="2" t="s">
        <v>2</v>
      </c>
    </row>
    <row r="2" spans="1:3" x14ac:dyDescent="0.25">
      <c r="A2" t="s">
        <v>85</v>
      </c>
      <c r="B2" t="s">
        <v>91</v>
      </c>
      <c r="C2" t="s">
        <v>94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391AB-9A45-440E-B7CA-6D31485712DF}">
  <sheetPr codeName="Sheet2"/>
  <dimension ref="A1:G14"/>
  <sheetViews>
    <sheetView workbookViewId="0">
      <selection activeCell="C22" sqref="C22"/>
    </sheetView>
  </sheetViews>
  <sheetFormatPr defaultColWidth="8.85546875" defaultRowHeight="15" x14ac:dyDescent="0.25"/>
  <cols>
    <col min="1" max="1" width="17.42578125" style="1" customWidth="1"/>
    <col min="2" max="2" width="65.7109375" bestFit="1" customWidth="1"/>
    <col min="3" max="3" width="76.28515625" bestFit="1" customWidth="1"/>
    <col min="4" max="5" width="65.7109375" customWidth="1"/>
    <col min="6" max="6" width="26.28515625" bestFit="1" customWidth="1"/>
    <col min="7" max="7" width="13.140625" bestFit="1" customWidth="1"/>
  </cols>
  <sheetData>
    <row r="1" spans="1:7" ht="15.75" thickBot="1" x14ac:dyDescent="0.3">
      <c r="A1" s="6" t="s">
        <v>59</v>
      </c>
      <c r="B1" s="3" t="s">
        <v>74</v>
      </c>
      <c r="C1" s="5" t="s">
        <v>166</v>
      </c>
      <c r="D1" s="11" t="s">
        <v>170</v>
      </c>
      <c r="E1" s="11" t="s">
        <v>165</v>
      </c>
      <c r="F1" s="5" t="s">
        <v>56</v>
      </c>
    </row>
    <row r="2" spans="1:7" x14ac:dyDescent="0.25">
      <c r="A2" s="1" t="s">
        <v>349</v>
      </c>
      <c r="B2" s="7" t="s">
        <v>350</v>
      </c>
      <c r="C2" s="7" t="s">
        <v>377</v>
      </c>
      <c r="D2" t="s">
        <v>351</v>
      </c>
      <c r="E2" t="s">
        <v>352</v>
      </c>
      <c r="F2">
        <f>19.3*2.7</f>
        <v>52.110000000000007</v>
      </c>
    </row>
    <row r="3" spans="1:7" x14ac:dyDescent="0.25">
      <c r="A3" s="1" t="s">
        <v>373</v>
      </c>
      <c r="B3" s="7" t="s">
        <v>374</v>
      </c>
      <c r="C3" s="7" t="s">
        <v>398</v>
      </c>
      <c r="D3" s="7" t="s">
        <v>375</v>
      </c>
      <c r="E3" s="7" t="s">
        <v>376</v>
      </c>
      <c r="F3">
        <f>19.3*2.7</f>
        <v>52.110000000000007</v>
      </c>
    </row>
    <row r="4" spans="1:7" x14ac:dyDescent="0.25">
      <c r="A4" s="1" t="s">
        <v>399</v>
      </c>
      <c r="B4" s="7" t="s">
        <v>400</v>
      </c>
      <c r="C4" s="7" t="s">
        <v>448</v>
      </c>
      <c r="D4" s="7" t="s">
        <v>401</v>
      </c>
      <c r="E4" s="7" t="s">
        <v>402</v>
      </c>
      <c r="F4">
        <v>47.25</v>
      </c>
    </row>
    <row r="5" spans="1:7" x14ac:dyDescent="0.25">
      <c r="A5" s="1" t="s">
        <v>423</v>
      </c>
      <c r="B5" s="7" t="s">
        <v>424</v>
      </c>
      <c r="C5" s="7" t="s">
        <v>447</v>
      </c>
      <c r="D5" s="7" t="s">
        <v>425</v>
      </c>
      <c r="E5" s="7" t="s">
        <v>426</v>
      </c>
      <c r="F5">
        <v>82.89</v>
      </c>
    </row>
    <row r="6" spans="1:7" x14ac:dyDescent="0.25">
      <c r="A6" s="1" t="s">
        <v>455</v>
      </c>
      <c r="B6" s="7" t="s">
        <v>456</v>
      </c>
      <c r="C6" s="7" t="s">
        <v>481</v>
      </c>
      <c r="D6" s="7" t="s">
        <v>457</v>
      </c>
      <c r="E6" s="7" t="s">
        <v>458</v>
      </c>
      <c r="F6">
        <v>125.82</v>
      </c>
    </row>
    <row r="7" spans="1:7" x14ac:dyDescent="0.25">
      <c r="A7" s="1" t="s">
        <v>303</v>
      </c>
      <c r="B7" s="7" t="s">
        <v>304</v>
      </c>
      <c r="C7" s="7" t="s">
        <v>277</v>
      </c>
      <c r="D7" s="7" t="s">
        <v>305</v>
      </c>
      <c r="E7" s="7" t="s">
        <v>306</v>
      </c>
      <c r="F7">
        <v>147.15</v>
      </c>
      <c r="G7" t="s">
        <v>187</v>
      </c>
    </row>
    <row r="8" spans="1:7" x14ac:dyDescent="0.25">
      <c r="A8" s="1" t="s">
        <v>326</v>
      </c>
      <c r="B8" s="7" t="s">
        <v>327</v>
      </c>
      <c r="C8" s="7" t="s">
        <v>459</v>
      </c>
      <c r="D8" s="7" t="s">
        <v>328</v>
      </c>
      <c r="E8" s="7" t="s">
        <v>329</v>
      </c>
      <c r="F8">
        <v>125.82</v>
      </c>
      <c r="G8" t="s">
        <v>183</v>
      </c>
    </row>
    <row r="9" spans="1:7" x14ac:dyDescent="0.25">
      <c r="A9" s="1" t="s">
        <v>229</v>
      </c>
      <c r="B9" s="7" t="s">
        <v>230</v>
      </c>
      <c r="C9" s="7" t="s">
        <v>278</v>
      </c>
      <c r="D9" s="7" t="s">
        <v>231</v>
      </c>
      <c r="E9" s="7" t="s">
        <v>232</v>
      </c>
      <c r="F9">
        <v>62.1</v>
      </c>
      <c r="G9" t="s">
        <v>183</v>
      </c>
    </row>
    <row r="10" spans="1:7" x14ac:dyDescent="0.25">
      <c r="A10" s="1" t="s">
        <v>279</v>
      </c>
      <c r="B10" s="7" t="s">
        <v>280</v>
      </c>
      <c r="C10" s="7" t="s">
        <v>233</v>
      </c>
      <c r="D10" s="7" t="s">
        <v>281</v>
      </c>
      <c r="E10" s="7" t="s">
        <v>282</v>
      </c>
      <c r="F10">
        <f>19.3*2.7</f>
        <v>52.110000000000007</v>
      </c>
      <c r="G10" s="7" t="s">
        <v>183</v>
      </c>
    </row>
    <row r="11" spans="1:7" x14ac:dyDescent="0.25">
      <c r="A11" s="1" t="s">
        <v>254</v>
      </c>
      <c r="B11" s="7" t="s">
        <v>255</v>
      </c>
      <c r="C11" s="7" t="s">
        <v>188</v>
      </c>
      <c r="D11" s="7" t="s">
        <v>256</v>
      </c>
      <c r="E11" s="7" t="s">
        <v>257</v>
      </c>
      <c r="F11">
        <v>79.22</v>
      </c>
      <c r="G11" s="7" t="s">
        <v>186</v>
      </c>
    </row>
    <row r="12" spans="1:7" x14ac:dyDescent="0.25">
      <c r="A12" s="1" t="s">
        <v>213</v>
      </c>
      <c r="B12" s="7" t="s">
        <v>214</v>
      </c>
      <c r="C12" s="7" t="s">
        <v>188</v>
      </c>
      <c r="D12" s="7" t="s">
        <v>215</v>
      </c>
      <c r="E12" s="7" t="s">
        <v>216</v>
      </c>
      <c r="F12">
        <v>42.12</v>
      </c>
      <c r="G12" t="s">
        <v>184</v>
      </c>
    </row>
    <row r="13" spans="1:7" x14ac:dyDescent="0.25">
      <c r="A13" s="1" t="s">
        <v>189</v>
      </c>
      <c r="B13" t="s">
        <v>190</v>
      </c>
      <c r="C13" t="s">
        <v>460</v>
      </c>
      <c r="D13" t="s">
        <v>191</v>
      </c>
      <c r="E13" t="s">
        <v>192</v>
      </c>
      <c r="F13">
        <v>221.94</v>
      </c>
      <c r="G13" t="s">
        <v>185</v>
      </c>
    </row>
    <row r="14" spans="1:7" x14ac:dyDescent="0.25">
      <c r="B14" s="7"/>
      <c r="C14" s="7"/>
      <c r="D14" s="7"/>
      <c r="E14" s="7"/>
    </row>
  </sheetData>
  <phoneticPr fontId="2" type="noConversion"/>
  <dataValidations count="5">
    <dataValidation type="custom" showInputMessage="1" showErrorMessage="1" sqref="F51 F54 F18:F19" xr:uid="{ACBC5361-640C-4BD8-BD59-5A9DDF1C4769}">
      <formula1>count_name_occurences(F18)&lt;=1</formula1>
    </dataValidation>
    <dataValidation type="custom" allowBlank="1" showInputMessage="1" showErrorMessage="1" sqref="A10 A14:A1048576 A12 A2:A8" xr:uid="{DED46077-9915-4A1A-B8F1-BF324FF70A27}">
      <formula1>count_name_occurences(A2)&lt;=1</formula1>
    </dataValidation>
    <dataValidation type="list" showInputMessage="1" showErrorMessage="1" sqref="B2:B1048576" xr:uid="{BF7E6F6D-F265-420E-BC52-984822F8C0DB}">
      <formula1>property_instance</formula1>
    </dataValidation>
    <dataValidation type="list" showInputMessage="1" showErrorMessage="1" sqref="C2:D1048576" xr:uid="{69A2CEA9-C890-4759-80A4-B7743DB492DC}">
      <formula1>all_flow_systems</formula1>
    </dataValidation>
    <dataValidation type="list" showInputMessage="1" showErrorMessage="1" sqref="E2:E1048576" xr:uid="{4226F04A-6DD7-4A04-92C6-F1B7E08B152F}">
      <formula1>schedule_names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7EB8B-49DD-40FE-8CAD-B5A7A33DF8B7}">
  <sheetPr codeName="Sheet3"/>
  <dimension ref="A1:Z25"/>
  <sheetViews>
    <sheetView tabSelected="1" zoomScaleNormal="100" workbookViewId="0">
      <selection activeCell="A25" sqref="A25"/>
    </sheetView>
  </sheetViews>
  <sheetFormatPr defaultColWidth="8.85546875" defaultRowHeight="15" x14ac:dyDescent="0.25"/>
  <cols>
    <col min="1" max="1" width="27.28515625" style="1" bestFit="1" customWidth="1"/>
    <col min="2" max="2" width="23.42578125" bestFit="1" customWidth="1"/>
    <col min="3" max="3" width="15.140625" bestFit="1" customWidth="1"/>
    <col min="4" max="5" width="45.28515625" bestFit="1" customWidth="1"/>
    <col min="6" max="6" width="39.140625" bestFit="1" customWidth="1"/>
    <col min="7" max="7" width="15.42578125" bestFit="1" customWidth="1"/>
    <col min="8" max="8" width="11.7109375" bestFit="1" customWidth="1"/>
    <col min="9" max="9" width="14.140625" customWidth="1"/>
    <col min="10" max="10" width="11.42578125" bestFit="1" customWidth="1"/>
    <col min="11" max="11" width="14.7109375" bestFit="1" customWidth="1"/>
    <col min="12" max="12" width="14.140625" bestFit="1" customWidth="1"/>
    <col min="15" max="15" width="15" bestFit="1" customWidth="1"/>
    <col min="16" max="16" width="10.42578125" bestFit="1" customWidth="1"/>
    <col min="17" max="17" width="18.42578125" bestFit="1" customWidth="1"/>
    <col min="18" max="19" width="19.42578125" bestFit="1" customWidth="1"/>
    <col min="20" max="21" width="17.85546875" bestFit="1" customWidth="1"/>
    <col min="22" max="23" width="25.42578125" bestFit="1" customWidth="1"/>
    <col min="24" max="24" width="11" bestFit="1" customWidth="1"/>
    <col min="25" max="25" width="18.140625" bestFit="1" customWidth="1"/>
    <col min="26" max="26" width="19.85546875" bestFit="1" customWidth="1"/>
  </cols>
  <sheetData>
    <row r="1" spans="1:26" ht="15.75" thickBot="1" x14ac:dyDescent="0.3">
      <c r="A1" s="6" t="s">
        <v>59</v>
      </c>
      <c r="B1" s="3" t="s">
        <v>57</v>
      </c>
      <c r="C1" s="3" t="s">
        <v>58</v>
      </c>
      <c r="D1" s="11" t="s">
        <v>170</v>
      </c>
      <c r="E1" s="11" t="s">
        <v>171</v>
      </c>
      <c r="F1" s="11" t="s">
        <v>74</v>
      </c>
      <c r="G1" s="2" t="s">
        <v>22</v>
      </c>
      <c r="H1" s="2" t="s">
        <v>23</v>
      </c>
      <c r="I1" s="2" t="s">
        <v>24</v>
      </c>
      <c r="J1" s="2" t="s">
        <v>25</v>
      </c>
      <c r="K1" s="2" t="s">
        <v>26</v>
      </c>
      <c r="L1" s="2" t="s">
        <v>14</v>
      </c>
      <c r="M1" s="2" t="s">
        <v>27</v>
      </c>
      <c r="N1" s="2" t="s">
        <v>28</v>
      </c>
      <c r="O1" s="2" t="s">
        <v>29</v>
      </c>
      <c r="P1" s="2" t="s">
        <v>30</v>
      </c>
      <c r="Q1" s="2" t="s">
        <v>31</v>
      </c>
      <c r="R1" s="3" t="s">
        <v>32</v>
      </c>
      <c r="S1" s="2" t="s">
        <v>33</v>
      </c>
      <c r="T1" s="2" t="s">
        <v>34</v>
      </c>
      <c r="U1" s="2" t="s">
        <v>35</v>
      </c>
      <c r="V1" s="2" t="s">
        <v>36</v>
      </c>
      <c r="W1" s="2" t="s">
        <v>37</v>
      </c>
      <c r="X1" s="2" t="s">
        <v>38</v>
      </c>
      <c r="Y1" s="2" t="s">
        <v>39</v>
      </c>
      <c r="Z1" s="2" t="s">
        <v>40</v>
      </c>
    </row>
    <row r="2" spans="1:26" x14ac:dyDescent="0.25">
      <c r="A2" s="1" t="s">
        <v>351</v>
      </c>
      <c r="B2" t="s">
        <v>85</v>
      </c>
      <c r="C2" t="s">
        <v>349</v>
      </c>
      <c r="D2" t="s">
        <v>136</v>
      </c>
      <c r="F2" t="s">
        <v>353</v>
      </c>
      <c r="R2">
        <f>304/3600*1.225</f>
        <v>0.10344444444444445</v>
      </c>
    </row>
    <row r="3" spans="1:26" x14ac:dyDescent="0.25">
      <c r="A3" s="1" t="s">
        <v>354</v>
      </c>
      <c r="B3" t="s">
        <v>85</v>
      </c>
      <c r="C3" t="s">
        <v>349</v>
      </c>
      <c r="E3" t="s">
        <v>349</v>
      </c>
      <c r="F3" t="s">
        <v>355</v>
      </c>
      <c r="R3">
        <f>301/3600*1.225</f>
        <v>0.10242361111111112</v>
      </c>
    </row>
    <row r="4" spans="1:26" x14ac:dyDescent="0.25">
      <c r="A4" s="1" t="s">
        <v>375</v>
      </c>
      <c r="B4" t="s">
        <v>85</v>
      </c>
      <c r="C4" t="s">
        <v>373</v>
      </c>
      <c r="D4" t="s">
        <v>136</v>
      </c>
      <c r="F4" t="s">
        <v>378</v>
      </c>
      <c r="R4">
        <f>308/3600*1.225</f>
        <v>0.10480555555555555</v>
      </c>
    </row>
    <row r="5" spans="1:26" x14ac:dyDescent="0.25">
      <c r="A5" s="1" t="s">
        <v>379</v>
      </c>
      <c r="B5" t="s">
        <v>85</v>
      </c>
      <c r="C5" t="s">
        <v>373</v>
      </c>
      <c r="E5" t="s">
        <v>373</v>
      </c>
      <c r="F5" t="s">
        <v>380</v>
      </c>
      <c r="R5">
        <f>299/3600*1.225</f>
        <v>0.10174305555555556</v>
      </c>
    </row>
    <row r="6" spans="1:26" x14ac:dyDescent="0.25">
      <c r="A6" s="1" t="s">
        <v>401</v>
      </c>
      <c r="B6" t="s">
        <v>85</v>
      </c>
      <c r="C6" t="s">
        <v>399</v>
      </c>
      <c r="D6" t="s">
        <v>136</v>
      </c>
      <c r="F6" t="s">
        <v>403</v>
      </c>
      <c r="R6">
        <f>271/3600*1.225</f>
        <v>9.2215277777777785E-2</v>
      </c>
    </row>
    <row r="7" spans="1:26" x14ac:dyDescent="0.25">
      <c r="A7" s="1" t="s">
        <v>404</v>
      </c>
      <c r="B7" t="s">
        <v>85</v>
      </c>
      <c r="C7" t="s">
        <v>399</v>
      </c>
      <c r="E7" t="s">
        <v>399</v>
      </c>
      <c r="F7" t="s">
        <v>405</v>
      </c>
      <c r="R7">
        <f>273/3600*1.225</f>
        <v>9.2895833333333344E-2</v>
      </c>
    </row>
    <row r="8" spans="1:26" x14ac:dyDescent="0.25">
      <c r="A8" s="1" t="s">
        <v>425</v>
      </c>
      <c r="B8" t="s">
        <v>85</v>
      </c>
      <c r="C8" t="s">
        <v>423</v>
      </c>
      <c r="D8" t="s">
        <v>136</v>
      </c>
      <c r="F8" t="s">
        <v>427</v>
      </c>
      <c r="R8">
        <f>294/3600*1.225</f>
        <v>0.10004166666666667</v>
      </c>
    </row>
    <row r="9" spans="1:26" x14ac:dyDescent="0.25">
      <c r="A9" s="1" t="s">
        <v>428</v>
      </c>
      <c r="B9" t="s">
        <v>85</v>
      </c>
      <c r="C9" t="s">
        <v>423</v>
      </c>
      <c r="E9" t="s">
        <v>423</v>
      </c>
      <c r="F9" t="s">
        <v>429</v>
      </c>
      <c r="R9">
        <f>476/3600*1.225</f>
        <v>0.16197222222222221</v>
      </c>
    </row>
    <row r="10" spans="1:26" x14ac:dyDescent="0.25">
      <c r="A10" s="1" t="s">
        <v>457</v>
      </c>
      <c r="B10" t="s">
        <v>85</v>
      </c>
      <c r="C10" t="s">
        <v>455</v>
      </c>
      <c r="D10" t="s">
        <v>136</v>
      </c>
      <c r="F10" t="s">
        <v>461</v>
      </c>
      <c r="R10">
        <v>0.17047916666666668</v>
      </c>
    </row>
    <row r="11" spans="1:26" x14ac:dyDescent="0.25">
      <c r="A11" s="1" t="s">
        <v>462</v>
      </c>
      <c r="B11" t="s">
        <v>85</v>
      </c>
      <c r="C11" t="s">
        <v>455</v>
      </c>
      <c r="E11" t="s">
        <v>455</v>
      </c>
      <c r="F11" t="s">
        <v>463</v>
      </c>
      <c r="R11">
        <v>0.15993055555555558</v>
      </c>
    </row>
    <row r="12" spans="1:26" x14ac:dyDescent="0.25">
      <c r="A12" s="1" t="s">
        <v>305</v>
      </c>
      <c r="B12" t="s">
        <v>85</v>
      </c>
      <c r="C12" t="s">
        <v>303</v>
      </c>
      <c r="D12" t="s">
        <v>136</v>
      </c>
      <c r="F12" t="s">
        <v>307</v>
      </c>
      <c r="R12">
        <v>0.32734722222222229</v>
      </c>
    </row>
    <row r="13" spans="1:26" x14ac:dyDescent="0.25">
      <c r="A13" s="1" t="s">
        <v>308</v>
      </c>
      <c r="B13" t="s">
        <v>85</v>
      </c>
      <c r="C13" t="s">
        <v>303</v>
      </c>
      <c r="E13" t="s">
        <v>303</v>
      </c>
      <c r="F13" t="s">
        <v>309</v>
      </c>
      <c r="R13">
        <v>0.15550694444444446</v>
      </c>
    </row>
    <row r="14" spans="1:26" x14ac:dyDescent="0.25">
      <c r="A14" s="1" t="s">
        <v>328</v>
      </c>
      <c r="B14" t="s">
        <v>85</v>
      </c>
      <c r="C14" t="s">
        <v>326</v>
      </c>
      <c r="D14" t="s">
        <v>136</v>
      </c>
      <c r="F14" t="s">
        <v>330</v>
      </c>
      <c r="R14">
        <v>0.16979861111111111</v>
      </c>
    </row>
    <row r="15" spans="1:26" x14ac:dyDescent="0.25">
      <c r="A15" s="1" t="s">
        <v>331</v>
      </c>
      <c r="B15" t="s">
        <v>85</v>
      </c>
      <c r="C15" t="s">
        <v>326</v>
      </c>
      <c r="E15" t="s">
        <v>326</v>
      </c>
      <c r="F15" t="s">
        <v>332</v>
      </c>
      <c r="R15">
        <v>0.15959027777777779</v>
      </c>
    </row>
    <row r="16" spans="1:26" x14ac:dyDescent="0.25">
      <c r="A16" s="1" t="s">
        <v>231</v>
      </c>
      <c r="B16" t="s">
        <v>85</v>
      </c>
      <c r="C16" t="s">
        <v>229</v>
      </c>
      <c r="D16" t="s">
        <v>136</v>
      </c>
      <c r="F16" t="s">
        <v>234</v>
      </c>
      <c r="R16">
        <v>0.12930555555555556</v>
      </c>
    </row>
    <row r="17" spans="1:18" x14ac:dyDescent="0.25">
      <c r="A17" s="1" t="s">
        <v>235</v>
      </c>
      <c r="B17" t="s">
        <v>85</v>
      </c>
      <c r="C17" t="s">
        <v>229</v>
      </c>
      <c r="E17" t="s">
        <v>229</v>
      </c>
      <c r="F17" t="s">
        <v>236</v>
      </c>
      <c r="R17">
        <v>0.12045833333333333</v>
      </c>
    </row>
    <row r="18" spans="1:18" x14ac:dyDescent="0.25">
      <c r="A18" s="1" t="s">
        <v>281</v>
      </c>
      <c r="B18" t="s">
        <v>85</v>
      </c>
      <c r="C18" t="s">
        <v>279</v>
      </c>
      <c r="D18" t="s">
        <v>136</v>
      </c>
      <c r="F18" t="s">
        <v>283</v>
      </c>
      <c r="R18">
        <v>0.11297222222222222</v>
      </c>
    </row>
    <row r="19" spans="1:18" x14ac:dyDescent="0.25">
      <c r="A19" s="1" t="s">
        <v>284</v>
      </c>
      <c r="B19" t="s">
        <v>85</v>
      </c>
      <c r="C19" t="s">
        <v>279</v>
      </c>
      <c r="E19" t="s">
        <v>279</v>
      </c>
      <c r="F19" t="s">
        <v>285</v>
      </c>
      <c r="R19">
        <v>0.10174305555555556</v>
      </c>
    </row>
    <row r="20" spans="1:18" x14ac:dyDescent="0.25">
      <c r="A20" s="1" t="s">
        <v>256</v>
      </c>
      <c r="B20" t="s">
        <v>85</v>
      </c>
      <c r="C20" t="s">
        <v>254</v>
      </c>
      <c r="D20" t="s">
        <v>136</v>
      </c>
      <c r="F20" t="s">
        <v>258</v>
      </c>
      <c r="R20">
        <v>0.30216666666666669</v>
      </c>
    </row>
    <row r="21" spans="1:18" x14ac:dyDescent="0.25">
      <c r="A21" s="1" t="s">
        <v>259</v>
      </c>
      <c r="B21" t="s">
        <v>85</v>
      </c>
      <c r="C21" t="s">
        <v>254</v>
      </c>
      <c r="E21" t="s">
        <v>254</v>
      </c>
      <c r="F21" t="s">
        <v>260</v>
      </c>
      <c r="R21">
        <v>0.23343055555555559</v>
      </c>
    </row>
    <row r="22" spans="1:18" x14ac:dyDescent="0.25">
      <c r="A22" s="1" t="s">
        <v>215</v>
      </c>
      <c r="B22" t="s">
        <v>85</v>
      </c>
      <c r="C22" t="s">
        <v>213</v>
      </c>
      <c r="D22" t="s">
        <v>136</v>
      </c>
      <c r="F22" t="s">
        <v>217</v>
      </c>
      <c r="R22">
        <v>5.3423611111111116E-2</v>
      </c>
    </row>
    <row r="23" spans="1:18" x14ac:dyDescent="0.25">
      <c r="A23" s="1" t="s">
        <v>218</v>
      </c>
      <c r="B23" t="s">
        <v>85</v>
      </c>
      <c r="C23" t="s">
        <v>213</v>
      </c>
      <c r="E23" t="s">
        <v>213</v>
      </c>
      <c r="F23" t="s">
        <v>219</v>
      </c>
      <c r="R23">
        <v>4.9000000000000002E-2</v>
      </c>
    </row>
    <row r="24" spans="1:18" x14ac:dyDescent="0.25">
      <c r="A24" s="1" t="s">
        <v>191</v>
      </c>
      <c r="B24" t="s">
        <v>85</v>
      </c>
      <c r="C24" t="s">
        <v>189</v>
      </c>
      <c r="D24" t="s">
        <v>136</v>
      </c>
      <c r="F24" t="s">
        <v>193</v>
      </c>
      <c r="R24">
        <v>0.90377777777777779</v>
      </c>
    </row>
    <row r="25" spans="1:18" x14ac:dyDescent="0.25">
      <c r="A25" s="1" t="s">
        <v>194</v>
      </c>
      <c r="B25" t="s">
        <v>85</v>
      </c>
      <c r="C25" t="s">
        <v>189</v>
      </c>
      <c r="E25" t="s">
        <v>189</v>
      </c>
      <c r="F25" t="s">
        <v>195</v>
      </c>
      <c r="R25">
        <v>0.94018750000000006</v>
      </c>
    </row>
  </sheetData>
  <phoneticPr fontId="2" type="noConversion"/>
  <dataValidations count="5">
    <dataValidation type="list" showInputMessage="1" showErrorMessage="1" sqref="B13:B1048576 B2:B11" xr:uid="{822F429E-761E-40DF-83F8-557B76A92FBC}">
      <formula1>ventilation_system_names</formula1>
    </dataValidation>
    <dataValidation type="list" allowBlank="1" showInputMessage="1" showErrorMessage="1" sqref="S11:S13" xr:uid="{BB45A9A0-8EB5-4032-90F2-CDDD4809E054}">
      <formula1>$P$11:$P$14</formula1>
    </dataValidation>
    <dataValidation type="list" allowBlank="1" showInputMessage="1" showErrorMessage="1" sqref="C2:C1048576" xr:uid="{89B57641-DFAD-4729-8A4B-61C914339752}">
      <formula1>space_names</formula1>
    </dataValidation>
    <dataValidation type="list" showInputMessage="1" showErrorMessage="1" sqref="F2:F1048576" xr:uid="{7358227A-5FC0-425B-BAE0-1F0BF0553776}">
      <formula1>property_instance</formula1>
    </dataValidation>
    <dataValidation type="list" showInputMessage="1" showErrorMessage="1" sqref="D2:E1048576" xr:uid="{622E0901-DC6A-4278-B433-4BB18F763116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9D35B-B713-4EC3-BA55-A4EE8F2F331C}">
  <sheetPr codeName="Sheet4"/>
  <dimension ref="A1:P13"/>
  <sheetViews>
    <sheetView zoomScaleNormal="100" workbookViewId="0">
      <selection activeCell="A13" sqref="A13:XFD13"/>
    </sheetView>
  </sheetViews>
  <sheetFormatPr defaultColWidth="8.85546875" defaultRowHeight="15" x14ac:dyDescent="0.25"/>
  <cols>
    <col min="1" max="1" width="28.140625" style="1" bestFit="1" customWidth="1"/>
    <col min="2" max="2" width="20.28515625" bestFit="1" customWidth="1"/>
    <col min="3" max="3" width="20.28515625" customWidth="1"/>
    <col min="4" max="4" width="28.28515625" bestFit="1" customWidth="1"/>
    <col min="5" max="5" width="31.7109375" bestFit="1" customWidth="1"/>
    <col min="6" max="6" width="24.42578125" bestFit="1" customWidth="1"/>
    <col min="7" max="7" width="14.42578125" bestFit="1" customWidth="1"/>
    <col min="8" max="8" width="22.28515625" bestFit="1" customWidth="1"/>
    <col min="9" max="9" width="20" bestFit="1" customWidth="1"/>
    <col min="10" max="10" width="16.140625" bestFit="1" customWidth="1"/>
    <col min="11" max="11" width="17.85546875" bestFit="1" customWidth="1"/>
    <col min="12" max="12" width="14.42578125" bestFit="1" customWidth="1"/>
    <col min="13" max="13" width="14.85546875" bestFit="1" customWidth="1"/>
    <col min="14" max="14" width="24.42578125" bestFit="1" customWidth="1"/>
    <col min="15" max="15" width="16.7109375" bestFit="1" customWidth="1"/>
    <col min="16" max="16" width="24.42578125" bestFit="1" customWidth="1"/>
  </cols>
  <sheetData>
    <row r="1" spans="1:16" ht="15.75" thickBot="1" x14ac:dyDescent="0.3">
      <c r="A1" s="6" t="s">
        <v>59</v>
      </c>
      <c r="B1" s="3" t="s">
        <v>57</v>
      </c>
      <c r="C1" s="3" t="s">
        <v>58</v>
      </c>
      <c r="D1" s="11" t="s">
        <v>170</v>
      </c>
      <c r="E1" s="11" t="s">
        <v>74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4</v>
      </c>
      <c r="M1" s="2" t="s">
        <v>11</v>
      </c>
      <c r="N1" s="3" t="s">
        <v>12</v>
      </c>
      <c r="O1" s="2" t="s">
        <v>13</v>
      </c>
      <c r="P1" s="3" t="s">
        <v>3</v>
      </c>
    </row>
    <row r="2" spans="1:16" x14ac:dyDescent="0.25">
      <c r="A2" s="1" t="s">
        <v>356</v>
      </c>
      <c r="B2" t="s">
        <v>91</v>
      </c>
      <c r="C2" t="s">
        <v>349</v>
      </c>
      <c r="D2" t="s">
        <v>357</v>
      </c>
      <c r="E2" t="s">
        <v>358</v>
      </c>
    </row>
    <row r="3" spans="1:16" x14ac:dyDescent="0.25">
      <c r="A3" s="1" t="s">
        <v>381</v>
      </c>
      <c r="B3" t="s">
        <v>91</v>
      </c>
      <c r="C3" t="s">
        <v>373</v>
      </c>
      <c r="D3" t="s">
        <v>382</v>
      </c>
      <c r="E3" t="s">
        <v>383</v>
      </c>
    </row>
    <row r="4" spans="1:16" x14ac:dyDescent="0.25">
      <c r="A4" s="1" t="s">
        <v>406</v>
      </c>
      <c r="B4" t="s">
        <v>91</v>
      </c>
      <c r="C4" t="s">
        <v>399</v>
      </c>
      <c r="D4" t="s">
        <v>407</v>
      </c>
      <c r="E4" t="s">
        <v>408</v>
      </c>
    </row>
    <row r="5" spans="1:16" x14ac:dyDescent="0.25">
      <c r="A5" s="1" t="s">
        <v>430</v>
      </c>
      <c r="B5" t="s">
        <v>91</v>
      </c>
      <c r="C5" t="s">
        <v>423</v>
      </c>
      <c r="D5" t="s">
        <v>431</v>
      </c>
      <c r="E5" t="s">
        <v>432</v>
      </c>
    </row>
    <row r="6" spans="1:16" x14ac:dyDescent="0.25">
      <c r="A6" s="1" t="s">
        <v>464</v>
      </c>
      <c r="B6" t="s">
        <v>91</v>
      </c>
      <c r="C6" t="s">
        <v>455</v>
      </c>
      <c r="D6" t="s">
        <v>465</v>
      </c>
      <c r="E6" t="s">
        <v>466</v>
      </c>
    </row>
    <row r="7" spans="1:16" x14ac:dyDescent="0.25">
      <c r="A7" s="1" t="s">
        <v>310</v>
      </c>
      <c r="B7" t="s">
        <v>91</v>
      </c>
      <c r="C7" t="s">
        <v>303</v>
      </c>
      <c r="D7" t="s">
        <v>311</v>
      </c>
      <c r="E7" t="s">
        <v>312</v>
      </c>
    </row>
    <row r="8" spans="1:16" x14ac:dyDescent="0.25">
      <c r="A8" s="1" t="s">
        <v>333</v>
      </c>
      <c r="B8" t="s">
        <v>91</v>
      </c>
      <c r="C8" t="s">
        <v>326</v>
      </c>
      <c r="D8" t="s">
        <v>334</v>
      </c>
      <c r="E8" t="s">
        <v>335</v>
      </c>
    </row>
    <row r="9" spans="1:16" x14ac:dyDescent="0.25">
      <c r="A9" s="1" t="s">
        <v>237</v>
      </c>
      <c r="B9" t="s">
        <v>91</v>
      </c>
      <c r="C9" t="s">
        <v>229</v>
      </c>
      <c r="D9" t="s">
        <v>238</v>
      </c>
      <c r="E9" t="s">
        <v>239</v>
      </c>
    </row>
    <row r="10" spans="1:16" x14ac:dyDescent="0.25">
      <c r="A10" s="1" t="s">
        <v>286</v>
      </c>
      <c r="B10" t="s">
        <v>91</v>
      </c>
      <c r="C10" t="s">
        <v>279</v>
      </c>
      <c r="D10" t="s">
        <v>287</v>
      </c>
      <c r="E10" t="s">
        <v>288</v>
      </c>
    </row>
    <row r="11" spans="1:16" x14ac:dyDescent="0.25">
      <c r="A11" s="1" t="s">
        <v>261</v>
      </c>
      <c r="B11" t="s">
        <v>91</v>
      </c>
      <c r="C11" t="s">
        <v>254</v>
      </c>
      <c r="D11" t="s">
        <v>262</v>
      </c>
      <c r="E11" t="s">
        <v>263</v>
      </c>
    </row>
    <row r="12" spans="1:16" x14ac:dyDescent="0.25">
      <c r="A12" s="1" t="s">
        <v>196</v>
      </c>
      <c r="B12" t="s">
        <v>91</v>
      </c>
      <c r="C12" t="s">
        <v>189</v>
      </c>
      <c r="D12" t="s">
        <v>197</v>
      </c>
      <c r="E12" t="s">
        <v>198</v>
      </c>
    </row>
    <row r="13" spans="1:16" x14ac:dyDescent="0.25">
      <c r="A13" s="1" t="s">
        <v>482</v>
      </c>
      <c r="B13" t="s">
        <v>91</v>
      </c>
      <c r="C13" t="s">
        <v>254</v>
      </c>
      <c r="D13" t="s">
        <v>483</v>
      </c>
      <c r="E13" t="s">
        <v>484</v>
      </c>
    </row>
  </sheetData>
  <phoneticPr fontId="2" type="noConversion"/>
  <dataValidations count="4">
    <dataValidation type="list" showInputMessage="1" showErrorMessage="1" sqref="B47:B1048576 B2:B45" xr:uid="{CDBF1DD2-FE2B-4960-AE5E-D5DDA44A6748}">
      <formula1>heating_system_names</formula1>
    </dataValidation>
    <dataValidation type="list" allowBlank="1" showInputMessage="1" showErrorMessage="1" sqref="C2:C1048576" xr:uid="{A1AF1509-DD86-4708-A16C-CE99B4DB6F9D}">
      <formula1>space_names</formula1>
    </dataValidation>
    <dataValidation type="list" showInputMessage="1" showErrorMessage="1" sqref="E2:E1048576" xr:uid="{A776758B-9CED-4764-A463-A1798814F39D}">
      <formula1>property_instance</formula1>
    </dataValidation>
    <dataValidation type="list" showInputMessage="1" showErrorMessage="1" sqref="D2:D1048576" xr:uid="{4DAC1719-4DAA-402C-9863-41B6ACD57D3E}">
      <formula1>all_flow_systems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312A3-2F1C-41E0-AB34-E38166B9C92A}">
  <sheetPr codeName="Sheet5"/>
  <dimension ref="A1:N999"/>
  <sheetViews>
    <sheetView workbookViewId="0">
      <selection activeCell="A13" sqref="A13:XFD13"/>
    </sheetView>
  </sheetViews>
  <sheetFormatPr defaultColWidth="8.85546875" defaultRowHeight="15" x14ac:dyDescent="0.25"/>
  <cols>
    <col min="1" max="1" width="34.140625" style="1" bestFit="1" customWidth="1"/>
    <col min="2" max="2" width="14.7109375" bestFit="1" customWidth="1"/>
    <col min="3" max="3" width="18.42578125" bestFit="1" customWidth="1"/>
    <col min="4" max="5" width="75.28515625" bestFit="1" customWidth="1"/>
    <col min="6" max="6" width="40.42578125" bestFit="1" customWidth="1"/>
    <col min="7" max="7" width="14.140625" bestFit="1" customWidth="1"/>
    <col min="8" max="8" width="15" bestFit="1" customWidth="1"/>
    <col min="10" max="10" width="12.140625" bestFit="1" customWidth="1"/>
    <col min="11" max="11" width="16" bestFit="1" customWidth="1"/>
    <col min="12" max="12" width="14.85546875" bestFit="1" customWidth="1"/>
    <col min="13" max="13" width="12.28515625" bestFit="1" customWidth="1"/>
    <col min="14" max="14" width="16" bestFit="1" customWidth="1"/>
  </cols>
  <sheetData>
    <row r="1" spans="1:14" ht="15.75" thickBot="1" x14ac:dyDescent="0.3">
      <c r="A1" s="6" t="s">
        <v>59</v>
      </c>
      <c r="B1" s="3" t="s">
        <v>57</v>
      </c>
      <c r="C1" s="3" t="s">
        <v>58</v>
      </c>
      <c r="D1" s="11" t="s">
        <v>170</v>
      </c>
      <c r="E1" s="11" t="s">
        <v>171</v>
      </c>
      <c r="F1" s="11" t="s">
        <v>74</v>
      </c>
      <c r="G1" s="2" t="s">
        <v>14</v>
      </c>
      <c r="H1" s="3" t="s">
        <v>15</v>
      </c>
      <c r="I1" s="2" t="s">
        <v>16</v>
      </c>
      <c r="J1" s="3" t="s">
        <v>17</v>
      </c>
      <c r="K1" s="2" t="s">
        <v>18</v>
      </c>
      <c r="L1" s="2" t="s">
        <v>19</v>
      </c>
      <c r="M1" s="2" t="s">
        <v>20</v>
      </c>
      <c r="N1" s="2" t="s">
        <v>21</v>
      </c>
    </row>
    <row r="2" spans="1:14" x14ac:dyDescent="0.25">
      <c r="A2" s="1" t="s">
        <v>357</v>
      </c>
      <c r="B2" t="s">
        <v>91</v>
      </c>
      <c r="C2" t="s">
        <v>349</v>
      </c>
      <c r="F2" s="7" t="s">
        <v>359</v>
      </c>
      <c r="H2">
        <v>0.56999999999999995</v>
      </c>
    </row>
    <row r="3" spans="1:14" x14ac:dyDescent="0.25">
      <c r="A3" s="1" t="s">
        <v>382</v>
      </c>
      <c r="B3" t="s">
        <v>91</v>
      </c>
      <c r="C3" t="s">
        <v>373</v>
      </c>
      <c r="F3" t="s">
        <v>384</v>
      </c>
      <c r="H3">
        <v>0.56999999999999995</v>
      </c>
    </row>
    <row r="4" spans="1:14" x14ac:dyDescent="0.25">
      <c r="A4" s="1" t="s">
        <v>407</v>
      </c>
      <c r="B4" t="s">
        <v>91</v>
      </c>
      <c r="C4" t="s">
        <v>399</v>
      </c>
      <c r="F4" t="s">
        <v>409</v>
      </c>
      <c r="H4">
        <v>0.56999999999999995</v>
      </c>
    </row>
    <row r="5" spans="1:14" x14ac:dyDescent="0.25">
      <c r="A5" s="1" t="s">
        <v>431</v>
      </c>
      <c r="B5" t="s">
        <v>91</v>
      </c>
      <c r="C5" t="s">
        <v>423</v>
      </c>
      <c r="F5" t="s">
        <v>433</v>
      </c>
      <c r="H5">
        <v>0.56999999999999995</v>
      </c>
    </row>
    <row r="6" spans="1:14" x14ac:dyDescent="0.25">
      <c r="A6" s="1" t="s">
        <v>465</v>
      </c>
      <c r="B6" t="s">
        <v>91</v>
      </c>
      <c r="C6" t="s">
        <v>455</v>
      </c>
      <c r="F6" t="s">
        <v>467</v>
      </c>
      <c r="H6">
        <v>0.56999999999999995</v>
      </c>
    </row>
    <row r="7" spans="1:14" x14ac:dyDescent="0.25">
      <c r="A7" s="1" t="s">
        <v>311</v>
      </c>
      <c r="B7" t="s">
        <v>91</v>
      </c>
      <c r="C7" t="s">
        <v>303</v>
      </c>
      <c r="F7" t="s">
        <v>313</v>
      </c>
      <c r="H7">
        <v>0.56999999999999995</v>
      </c>
    </row>
    <row r="8" spans="1:14" x14ac:dyDescent="0.25">
      <c r="A8" s="1" t="s">
        <v>334</v>
      </c>
      <c r="B8" t="s">
        <v>91</v>
      </c>
      <c r="C8" t="s">
        <v>326</v>
      </c>
      <c r="F8" t="s">
        <v>336</v>
      </c>
      <c r="H8">
        <v>0.56999999999999995</v>
      </c>
    </row>
    <row r="9" spans="1:14" x14ac:dyDescent="0.25">
      <c r="A9" s="1" t="s">
        <v>238</v>
      </c>
      <c r="B9" t="s">
        <v>91</v>
      </c>
      <c r="C9" t="s">
        <v>229</v>
      </c>
      <c r="F9" t="s">
        <v>240</v>
      </c>
      <c r="H9">
        <v>0.56999999999999995</v>
      </c>
    </row>
    <row r="10" spans="1:14" x14ac:dyDescent="0.25">
      <c r="A10" s="1" t="s">
        <v>287</v>
      </c>
      <c r="B10" t="s">
        <v>91</v>
      </c>
      <c r="C10" t="s">
        <v>279</v>
      </c>
      <c r="F10" t="s">
        <v>289</v>
      </c>
      <c r="H10">
        <v>0.56999999999999995</v>
      </c>
    </row>
    <row r="11" spans="1:14" x14ac:dyDescent="0.25">
      <c r="A11" s="1" t="s">
        <v>262</v>
      </c>
      <c r="B11" t="s">
        <v>91</v>
      </c>
      <c r="C11" t="s">
        <v>254</v>
      </c>
      <c r="F11" t="s">
        <v>264</v>
      </c>
      <c r="H11">
        <v>0.56999999999999995</v>
      </c>
    </row>
    <row r="12" spans="1:14" x14ac:dyDescent="0.25">
      <c r="A12" s="1" t="s">
        <v>197</v>
      </c>
      <c r="B12" t="s">
        <v>91</v>
      </c>
      <c r="C12" t="s">
        <v>189</v>
      </c>
      <c r="F12" t="s">
        <v>199</v>
      </c>
      <c r="H12">
        <v>0.56999999999999995</v>
      </c>
    </row>
    <row r="13" spans="1:14" x14ac:dyDescent="0.25">
      <c r="A13" s="1" t="s">
        <v>483</v>
      </c>
      <c r="B13" t="s">
        <v>91</v>
      </c>
      <c r="C13" t="s">
        <v>254</v>
      </c>
    </row>
    <row r="77" spans="3:3" x14ac:dyDescent="0.25">
      <c r="C77" t="str">
        <f>IF(SpaceHeater!A77&lt;&gt;"",SpaceHeater!A77,"")</f>
        <v/>
      </c>
    </row>
    <row r="78" spans="3:3" x14ac:dyDescent="0.25">
      <c r="C78" t="str">
        <f>IF(SpaceHeater!A78&lt;&gt;"",SpaceHeater!A78,"")</f>
        <v/>
      </c>
    </row>
    <row r="79" spans="3:3" x14ac:dyDescent="0.25">
      <c r="C79" t="str">
        <f>IF(SpaceHeater!A79&lt;&gt;"",SpaceHeater!A79,"")</f>
        <v/>
      </c>
    </row>
    <row r="80" spans="3:3" x14ac:dyDescent="0.25">
      <c r="C80" t="str">
        <f>IF(SpaceHeater!A80&lt;&gt;"",SpaceHeater!A80,"")</f>
        <v/>
      </c>
    </row>
    <row r="81" spans="3:3" x14ac:dyDescent="0.25">
      <c r="C81" t="str">
        <f>IF(SpaceHeater!A81&lt;&gt;"",SpaceHeater!A81,"")</f>
        <v/>
      </c>
    </row>
    <row r="82" spans="3:3" x14ac:dyDescent="0.25">
      <c r="C82" t="str">
        <f>IF(SpaceHeater!A82&lt;&gt;"",SpaceHeater!A82,"")</f>
        <v/>
      </c>
    </row>
    <row r="83" spans="3:3" x14ac:dyDescent="0.25">
      <c r="C83" t="str">
        <f>IF(SpaceHeater!A83&lt;&gt;"",SpaceHeater!A83,"")</f>
        <v/>
      </c>
    </row>
    <row r="84" spans="3:3" x14ac:dyDescent="0.25">
      <c r="C84" t="str">
        <f>IF(SpaceHeater!A84&lt;&gt;"",SpaceHeater!A84,"")</f>
        <v/>
      </c>
    </row>
    <row r="85" spans="3:3" x14ac:dyDescent="0.25">
      <c r="C85" t="str">
        <f>IF(SpaceHeater!A85&lt;&gt;"",SpaceHeater!A85,"")</f>
        <v/>
      </c>
    </row>
    <row r="86" spans="3:3" x14ac:dyDescent="0.25">
      <c r="C86" t="str">
        <f>IF(SpaceHeater!A86&lt;&gt;"",SpaceHeater!A86,"")</f>
        <v/>
      </c>
    </row>
    <row r="87" spans="3:3" x14ac:dyDescent="0.25">
      <c r="C87" t="str">
        <f>IF(SpaceHeater!A87&lt;&gt;"",SpaceHeater!A87,"")</f>
        <v/>
      </c>
    </row>
    <row r="88" spans="3:3" x14ac:dyDescent="0.25">
      <c r="C88" t="str">
        <f>IF(SpaceHeater!A88&lt;&gt;"",SpaceHeater!A88,"")</f>
        <v/>
      </c>
    </row>
    <row r="89" spans="3:3" x14ac:dyDescent="0.25">
      <c r="C89" t="str">
        <f>IF(SpaceHeater!A89&lt;&gt;"",SpaceHeater!A89,"")</f>
        <v/>
      </c>
    </row>
    <row r="90" spans="3:3" x14ac:dyDescent="0.25">
      <c r="C90" t="str">
        <f>IF(SpaceHeater!A90&lt;&gt;"",SpaceHeater!A90,"")</f>
        <v/>
      </c>
    </row>
    <row r="91" spans="3:3" x14ac:dyDescent="0.25">
      <c r="C91" t="str">
        <f>IF(SpaceHeater!A91&lt;&gt;"",SpaceHeater!A91,"")</f>
        <v/>
      </c>
    </row>
    <row r="92" spans="3:3" x14ac:dyDescent="0.25">
      <c r="C92" t="str">
        <f>IF(SpaceHeater!A92&lt;&gt;"",SpaceHeater!A92,"")</f>
        <v/>
      </c>
    </row>
    <row r="93" spans="3:3" x14ac:dyDescent="0.25">
      <c r="C93" t="str">
        <f>IF(SpaceHeater!A93&lt;&gt;"",SpaceHeater!A93,"")</f>
        <v/>
      </c>
    </row>
    <row r="94" spans="3:3" x14ac:dyDescent="0.25">
      <c r="C94" t="str">
        <f>IF(SpaceHeater!A94&lt;&gt;"",SpaceHeater!A94,"")</f>
        <v/>
      </c>
    </row>
    <row r="95" spans="3:3" x14ac:dyDescent="0.25">
      <c r="C95" t="str">
        <f>IF(SpaceHeater!A95&lt;&gt;"",SpaceHeater!A95,"")</f>
        <v/>
      </c>
    </row>
    <row r="96" spans="3:3" x14ac:dyDescent="0.25">
      <c r="C96" t="str">
        <f>IF(SpaceHeater!A96&lt;&gt;"",SpaceHeater!A96,"")</f>
        <v/>
      </c>
    </row>
    <row r="97" spans="3:3" x14ac:dyDescent="0.25">
      <c r="C97" t="str">
        <f>IF(SpaceHeater!A97&lt;&gt;"",SpaceHeater!A97,"")</f>
        <v/>
      </c>
    </row>
    <row r="98" spans="3:3" x14ac:dyDescent="0.25">
      <c r="C98" t="str">
        <f>IF(SpaceHeater!A98&lt;&gt;"",SpaceHeater!A98,"")</f>
        <v/>
      </c>
    </row>
    <row r="99" spans="3:3" x14ac:dyDescent="0.25">
      <c r="C99" t="str">
        <f>IF(SpaceHeater!A99&lt;&gt;"",SpaceHeater!A99,"")</f>
        <v/>
      </c>
    </row>
    <row r="100" spans="3:3" x14ac:dyDescent="0.25">
      <c r="C100" t="str">
        <f>IF(SpaceHeater!A100&lt;&gt;"",SpaceHeater!A100,"")</f>
        <v/>
      </c>
    </row>
    <row r="101" spans="3:3" x14ac:dyDescent="0.25">
      <c r="C101" t="str">
        <f>IF(SpaceHeater!A101&lt;&gt;"",SpaceHeater!A101,"")</f>
        <v/>
      </c>
    </row>
    <row r="102" spans="3:3" x14ac:dyDescent="0.25">
      <c r="C102" t="str">
        <f>IF(SpaceHeater!A102&lt;&gt;"",SpaceHeater!A102,"")</f>
        <v/>
      </c>
    </row>
    <row r="103" spans="3:3" x14ac:dyDescent="0.25">
      <c r="C103" t="str">
        <f>IF(SpaceHeater!A103&lt;&gt;"",SpaceHeater!A103,"")</f>
        <v/>
      </c>
    </row>
    <row r="104" spans="3:3" x14ac:dyDescent="0.25">
      <c r="C104" t="str">
        <f>IF(SpaceHeater!A104&lt;&gt;"",SpaceHeater!A104,"")</f>
        <v/>
      </c>
    </row>
    <row r="105" spans="3:3" x14ac:dyDescent="0.25">
      <c r="C105" t="str">
        <f>IF(SpaceHeater!A105&lt;&gt;"",SpaceHeater!A105,"")</f>
        <v/>
      </c>
    </row>
    <row r="106" spans="3:3" x14ac:dyDescent="0.25">
      <c r="C106" t="str">
        <f>IF(SpaceHeater!A106&lt;&gt;"",SpaceHeater!A106,"")</f>
        <v/>
      </c>
    </row>
    <row r="107" spans="3:3" x14ac:dyDescent="0.25">
      <c r="C107" t="str">
        <f>IF(SpaceHeater!A107&lt;&gt;"",SpaceHeater!A107,"")</f>
        <v/>
      </c>
    </row>
    <row r="108" spans="3:3" x14ac:dyDescent="0.25">
      <c r="C108" t="str">
        <f>IF(SpaceHeater!A108&lt;&gt;"",SpaceHeater!A108,"")</f>
        <v/>
      </c>
    </row>
    <row r="109" spans="3:3" x14ac:dyDescent="0.25">
      <c r="C109" t="str">
        <f>IF(SpaceHeater!A109&lt;&gt;"",SpaceHeater!A109,"")</f>
        <v/>
      </c>
    </row>
    <row r="110" spans="3:3" x14ac:dyDescent="0.25">
      <c r="C110" t="str">
        <f>IF(SpaceHeater!A110&lt;&gt;"",SpaceHeater!A110,"")</f>
        <v/>
      </c>
    </row>
    <row r="111" spans="3:3" x14ac:dyDescent="0.25">
      <c r="C111" t="str">
        <f>IF(SpaceHeater!A111&lt;&gt;"",SpaceHeater!A111,"")</f>
        <v/>
      </c>
    </row>
    <row r="112" spans="3:3" x14ac:dyDescent="0.25">
      <c r="C112" t="str">
        <f>IF(SpaceHeater!A112&lt;&gt;"",SpaceHeater!A112,"")</f>
        <v/>
      </c>
    </row>
    <row r="113" spans="3:3" x14ac:dyDescent="0.25">
      <c r="C113" t="str">
        <f>IF(SpaceHeater!A113&lt;&gt;"",SpaceHeater!A113,"")</f>
        <v/>
      </c>
    </row>
    <row r="114" spans="3:3" x14ac:dyDescent="0.25">
      <c r="C114" t="str">
        <f>IF(SpaceHeater!A114&lt;&gt;"",SpaceHeater!A114,"")</f>
        <v/>
      </c>
    </row>
    <row r="115" spans="3:3" x14ac:dyDescent="0.25">
      <c r="C115" t="str">
        <f>IF(SpaceHeater!A115&lt;&gt;"",SpaceHeater!A115,"")</f>
        <v/>
      </c>
    </row>
    <row r="116" spans="3:3" x14ac:dyDescent="0.25">
      <c r="C116" t="str">
        <f>IF(SpaceHeater!A116&lt;&gt;"",SpaceHeater!A116,"")</f>
        <v/>
      </c>
    </row>
    <row r="117" spans="3:3" x14ac:dyDescent="0.25">
      <c r="C117" t="str">
        <f>IF(SpaceHeater!A117&lt;&gt;"",SpaceHeater!A117,"")</f>
        <v/>
      </c>
    </row>
    <row r="118" spans="3:3" x14ac:dyDescent="0.25">
      <c r="C118" t="str">
        <f>IF(SpaceHeater!A118&lt;&gt;"",SpaceHeater!A118,"")</f>
        <v/>
      </c>
    </row>
    <row r="119" spans="3:3" x14ac:dyDescent="0.25">
      <c r="C119" t="str">
        <f>IF(SpaceHeater!A119&lt;&gt;"",SpaceHeater!A119,"")</f>
        <v/>
      </c>
    </row>
    <row r="120" spans="3:3" x14ac:dyDescent="0.25">
      <c r="C120" t="str">
        <f>IF(SpaceHeater!A120&lt;&gt;"",SpaceHeater!A120,"")</f>
        <v/>
      </c>
    </row>
    <row r="121" spans="3:3" x14ac:dyDescent="0.25">
      <c r="C121" t="str">
        <f>IF(SpaceHeater!A121&lt;&gt;"",SpaceHeater!A121,"")</f>
        <v/>
      </c>
    </row>
    <row r="122" spans="3:3" x14ac:dyDescent="0.25">
      <c r="C122" t="str">
        <f>IF(SpaceHeater!A122&lt;&gt;"",SpaceHeater!A122,"")</f>
        <v/>
      </c>
    </row>
    <row r="123" spans="3:3" x14ac:dyDescent="0.25">
      <c r="C123" t="str">
        <f>IF(SpaceHeater!A123&lt;&gt;"",SpaceHeater!A123,"")</f>
        <v/>
      </c>
    </row>
    <row r="124" spans="3:3" x14ac:dyDescent="0.25">
      <c r="C124" t="str">
        <f>IF(SpaceHeater!A124&lt;&gt;"",SpaceHeater!A124,"")</f>
        <v/>
      </c>
    </row>
    <row r="125" spans="3:3" x14ac:dyDescent="0.25">
      <c r="C125" t="str">
        <f>IF(SpaceHeater!A125&lt;&gt;"",SpaceHeater!A125,"")</f>
        <v/>
      </c>
    </row>
    <row r="126" spans="3:3" x14ac:dyDescent="0.25">
      <c r="C126" t="str">
        <f>IF(SpaceHeater!A126&lt;&gt;"",SpaceHeater!A126,"")</f>
        <v/>
      </c>
    </row>
    <row r="127" spans="3:3" x14ac:dyDescent="0.25">
      <c r="C127" t="str">
        <f>IF(SpaceHeater!A127&lt;&gt;"",SpaceHeater!A127,"")</f>
        <v/>
      </c>
    </row>
    <row r="128" spans="3:3" x14ac:dyDescent="0.25">
      <c r="C128" t="str">
        <f>IF(SpaceHeater!A128&lt;&gt;"",SpaceHeater!A128,"")</f>
        <v/>
      </c>
    </row>
    <row r="129" spans="3:3" x14ac:dyDescent="0.25">
      <c r="C129" t="str">
        <f>IF(SpaceHeater!A129&lt;&gt;"",SpaceHeater!A129,"")</f>
        <v/>
      </c>
    </row>
    <row r="130" spans="3:3" x14ac:dyDescent="0.25">
      <c r="C130" t="str">
        <f>IF(SpaceHeater!A130&lt;&gt;"",SpaceHeater!A130,"")</f>
        <v/>
      </c>
    </row>
    <row r="131" spans="3:3" x14ac:dyDescent="0.25">
      <c r="C131" t="str">
        <f>IF(SpaceHeater!A131&lt;&gt;"",SpaceHeater!A131,"")</f>
        <v/>
      </c>
    </row>
    <row r="132" spans="3:3" x14ac:dyDescent="0.25">
      <c r="C132" t="str">
        <f>IF(SpaceHeater!A132&lt;&gt;"",SpaceHeater!A132,"")</f>
        <v/>
      </c>
    </row>
    <row r="133" spans="3:3" x14ac:dyDescent="0.25">
      <c r="C133" t="str">
        <f>IF(SpaceHeater!A133&lt;&gt;"",SpaceHeater!A133,"")</f>
        <v/>
      </c>
    </row>
    <row r="134" spans="3:3" x14ac:dyDescent="0.25">
      <c r="C134" t="str">
        <f>IF(SpaceHeater!A134&lt;&gt;"",SpaceHeater!A134,"")</f>
        <v/>
      </c>
    </row>
    <row r="135" spans="3:3" x14ac:dyDescent="0.25">
      <c r="C135" t="str">
        <f>IF(SpaceHeater!A135&lt;&gt;"",SpaceHeater!A135,"")</f>
        <v/>
      </c>
    </row>
    <row r="136" spans="3:3" x14ac:dyDescent="0.25">
      <c r="C136" t="str">
        <f>IF(SpaceHeater!A136&lt;&gt;"",SpaceHeater!A136,"")</f>
        <v/>
      </c>
    </row>
    <row r="137" spans="3:3" x14ac:dyDescent="0.25">
      <c r="C137" t="str">
        <f>IF(SpaceHeater!A137&lt;&gt;"",SpaceHeater!A137,"")</f>
        <v/>
      </c>
    </row>
    <row r="138" spans="3:3" x14ac:dyDescent="0.25">
      <c r="C138" t="str">
        <f>IF(SpaceHeater!A138&lt;&gt;"",SpaceHeater!A138,"")</f>
        <v/>
      </c>
    </row>
    <row r="139" spans="3:3" x14ac:dyDescent="0.25">
      <c r="C139" t="str">
        <f>IF(SpaceHeater!A139&lt;&gt;"",SpaceHeater!A139,"")</f>
        <v/>
      </c>
    </row>
    <row r="140" spans="3:3" x14ac:dyDescent="0.25">
      <c r="C140" t="str">
        <f>IF(SpaceHeater!A140&lt;&gt;"",SpaceHeater!A140,"")</f>
        <v/>
      </c>
    </row>
    <row r="141" spans="3:3" x14ac:dyDescent="0.25">
      <c r="C141" t="str">
        <f>IF(SpaceHeater!A141&lt;&gt;"",SpaceHeater!A141,"")</f>
        <v/>
      </c>
    </row>
    <row r="142" spans="3:3" x14ac:dyDescent="0.25">
      <c r="C142" t="str">
        <f>IF(SpaceHeater!A142&lt;&gt;"",SpaceHeater!A142,"")</f>
        <v/>
      </c>
    </row>
    <row r="143" spans="3:3" x14ac:dyDescent="0.25">
      <c r="C143" t="str">
        <f>IF(SpaceHeater!A143&lt;&gt;"",SpaceHeater!A143,"")</f>
        <v/>
      </c>
    </row>
    <row r="144" spans="3:3" x14ac:dyDescent="0.25">
      <c r="C144" t="str">
        <f>IF(SpaceHeater!A144&lt;&gt;"",SpaceHeater!A144,"")</f>
        <v/>
      </c>
    </row>
    <row r="145" spans="3:3" x14ac:dyDescent="0.25">
      <c r="C145" t="str">
        <f>IF(SpaceHeater!A145&lt;&gt;"",SpaceHeater!A145,"")</f>
        <v/>
      </c>
    </row>
    <row r="146" spans="3:3" x14ac:dyDescent="0.25">
      <c r="C146" t="str">
        <f>IF(SpaceHeater!A146&lt;&gt;"",SpaceHeater!A146,"")</f>
        <v/>
      </c>
    </row>
    <row r="147" spans="3:3" x14ac:dyDescent="0.25">
      <c r="C147" t="str">
        <f>IF(SpaceHeater!A147&lt;&gt;"",SpaceHeater!A147,"")</f>
        <v/>
      </c>
    </row>
    <row r="148" spans="3:3" x14ac:dyDescent="0.25">
      <c r="C148" t="str">
        <f>IF(SpaceHeater!A148&lt;&gt;"",SpaceHeater!A148,"")</f>
        <v/>
      </c>
    </row>
    <row r="149" spans="3:3" x14ac:dyDescent="0.25">
      <c r="C149" t="str">
        <f>IF(SpaceHeater!A149&lt;&gt;"",SpaceHeater!A149,"")</f>
        <v/>
      </c>
    </row>
    <row r="150" spans="3:3" x14ac:dyDescent="0.25">
      <c r="C150" t="str">
        <f>IF(SpaceHeater!A150&lt;&gt;"",SpaceHeater!A150,"")</f>
        <v/>
      </c>
    </row>
    <row r="151" spans="3:3" x14ac:dyDescent="0.25">
      <c r="C151" t="str">
        <f>IF(SpaceHeater!A151&lt;&gt;"",SpaceHeater!A151,"")</f>
        <v/>
      </c>
    </row>
    <row r="152" spans="3:3" x14ac:dyDescent="0.25">
      <c r="C152" t="str">
        <f>IF(SpaceHeater!A152&lt;&gt;"",SpaceHeater!A152,"")</f>
        <v/>
      </c>
    </row>
    <row r="153" spans="3:3" x14ac:dyDescent="0.25">
      <c r="C153" t="str">
        <f>IF(SpaceHeater!A153&lt;&gt;"",SpaceHeater!A153,"")</f>
        <v/>
      </c>
    </row>
    <row r="154" spans="3:3" x14ac:dyDescent="0.25">
      <c r="C154" t="str">
        <f>IF(SpaceHeater!A154&lt;&gt;"",SpaceHeater!A154,"")</f>
        <v/>
      </c>
    </row>
    <row r="155" spans="3:3" x14ac:dyDescent="0.25">
      <c r="C155" t="str">
        <f>IF(SpaceHeater!A155&lt;&gt;"",SpaceHeater!A155,"")</f>
        <v/>
      </c>
    </row>
    <row r="156" spans="3:3" x14ac:dyDescent="0.25">
      <c r="C156" t="str">
        <f>IF(SpaceHeater!A156&lt;&gt;"",SpaceHeater!A156,"")</f>
        <v/>
      </c>
    </row>
    <row r="157" spans="3:3" x14ac:dyDescent="0.25">
      <c r="C157" t="str">
        <f>IF(SpaceHeater!A157&lt;&gt;"",SpaceHeater!A157,"")</f>
        <v/>
      </c>
    </row>
    <row r="158" spans="3:3" x14ac:dyDescent="0.25">
      <c r="C158" t="str">
        <f>IF(SpaceHeater!A158&lt;&gt;"",SpaceHeater!A158,"")</f>
        <v/>
      </c>
    </row>
    <row r="159" spans="3:3" x14ac:dyDescent="0.25">
      <c r="C159" t="str">
        <f>IF(SpaceHeater!A159&lt;&gt;"",SpaceHeater!A159,"")</f>
        <v/>
      </c>
    </row>
    <row r="160" spans="3:3" x14ac:dyDescent="0.25">
      <c r="C160" t="str">
        <f>IF(SpaceHeater!A160&lt;&gt;"",SpaceHeater!A160,"")</f>
        <v/>
      </c>
    </row>
    <row r="161" spans="3:3" x14ac:dyDescent="0.25">
      <c r="C161" t="str">
        <f>IF(SpaceHeater!A161&lt;&gt;"",SpaceHeater!A161,"")</f>
        <v/>
      </c>
    </row>
    <row r="162" spans="3:3" x14ac:dyDescent="0.25">
      <c r="C162" t="str">
        <f>IF(SpaceHeater!A162&lt;&gt;"",SpaceHeater!A162,"")</f>
        <v/>
      </c>
    </row>
    <row r="163" spans="3:3" x14ac:dyDescent="0.25">
      <c r="C163" t="str">
        <f>IF(SpaceHeater!A163&lt;&gt;"",SpaceHeater!A163,"")</f>
        <v/>
      </c>
    </row>
    <row r="164" spans="3:3" x14ac:dyDescent="0.25">
      <c r="C164" t="str">
        <f>IF(SpaceHeater!A164&lt;&gt;"",SpaceHeater!A164,"")</f>
        <v/>
      </c>
    </row>
    <row r="165" spans="3:3" x14ac:dyDescent="0.25">
      <c r="C165" t="str">
        <f>IF(SpaceHeater!A165&lt;&gt;"",SpaceHeater!A165,"")</f>
        <v/>
      </c>
    </row>
    <row r="166" spans="3:3" x14ac:dyDescent="0.25">
      <c r="C166" t="str">
        <f>IF(SpaceHeater!A166&lt;&gt;"",SpaceHeater!A166,"")</f>
        <v/>
      </c>
    </row>
    <row r="167" spans="3:3" x14ac:dyDescent="0.25">
      <c r="C167" t="str">
        <f>IF(SpaceHeater!A167&lt;&gt;"",SpaceHeater!A167,"")</f>
        <v/>
      </c>
    </row>
    <row r="168" spans="3:3" x14ac:dyDescent="0.25">
      <c r="C168" t="str">
        <f>IF(SpaceHeater!A168&lt;&gt;"",SpaceHeater!A168,"")</f>
        <v/>
      </c>
    </row>
    <row r="169" spans="3:3" x14ac:dyDescent="0.25">
      <c r="C169" t="str">
        <f>IF(SpaceHeater!A169&lt;&gt;"",SpaceHeater!A169,"")</f>
        <v/>
      </c>
    </row>
    <row r="170" spans="3:3" x14ac:dyDescent="0.25">
      <c r="C170" t="str">
        <f>IF(SpaceHeater!A170&lt;&gt;"",SpaceHeater!A170,"")</f>
        <v/>
      </c>
    </row>
    <row r="171" spans="3:3" x14ac:dyDescent="0.25">
      <c r="C171" t="str">
        <f>IF(SpaceHeater!A171&lt;&gt;"",SpaceHeater!A171,"")</f>
        <v/>
      </c>
    </row>
    <row r="172" spans="3:3" x14ac:dyDescent="0.25">
      <c r="C172" t="str">
        <f>IF(SpaceHeater!A172&lt;&gt;"",SpaceHeater!A172,"")</f>
        <v/>
      </c>
    </row>
    <row r="173" spans="3:3" x14ac:dyDescent="0.25">
      <c r="C173" t="str">
        <f>IF(SpaceHeater!A173&lt;&gt;"",SpaceHeater!A173,"")</f>
        <v/>
      </c>
    </row>
    <row r="174" spans="3:3" x14ac:dyDescent="0.25">
      <c r="C174" t="str">
        <f>IF(SpaceHeater!A174&lt;&gt;"",SpaceHeater!A174,"")</f>
        <v/>
      </c>
    </row>
    <row r="175" spans="3:3" x14ac:dyDescent="0.25">
      <c r="C175" t="str">
        <f>IF(SpaceHeater!A175&lt;&gt;"",SpaceHeater!A175,"")</f>
        <v/>
      </c>
    </row>
    <row r="176" spans="3:3" x14ac:dyDescent="0.25">
      <c r="C176" t="str">
        <f>IF(SpaceHeater!A176&lt;&gt;"",SpaceHeater!A176,"")</f>
        <v/>
      </c>
    </row>
    <row r="177" spans="3:3" x14ac:dyDescent="0.25">
      <c r="C177" t="str">
        <f>IF(SpaceHeater!A177&lt;&gt;"",SpaceHeater!A177,"")</f>
        <v/>
      </c>
    </row>
    <row r="178" spans="3:3" x14ac:dyDescent="0.25">
      <c r="C178" t="str">
        <f>IF(SpaceHeater!A178&lt;&gt;"",SpaceHeater!A178,"")</f>
        <v/>
      </c>
    </row>
    <row r="179" spans="3:3" x14ac:dyDescent="0.25">
      <c r="C179" t="str">
        <f>IF(SpaceHeater!A179&lt;&gt;"",SpaceHeater!A179,"")</f>
        <v/>
      </c>
    </row>
    <row r="180" spans="3:3" x14ac:dyDescent="0.25">
      <c r="C180" t="str">
        <f>IF(SpaceHeater!A180&lt;&gt;"",SpaceHeater!A180,"")</f>
        <v/>
      </c>
    </row>
    <row r="181" spans="3:3" x14ac:dyDescent="0.25">
      <c r="C181" t="str">
        <f>IF(SpaceHeater!A181&lt;&gt;"",SpaceHeater!A181,"")</f>
        <v/>
      </c>
    </row>
    <row r="182" spans="3:3" x14ac:dyDescent="0.25">
      <c r="C182" t="str">
        <f>IF(SpaceHeater!A182&lt;&gt;"",SpaceHeater!A182,"")</f>
        <v/>
      </c>
    </row>
    <row r="183" spans="3:3" x14ac:dyDescent="0.25">
      <c r="C183" t="str">
        <f>IF(SpaceHeater!A183&lt;&gt;"",SpaceHeater!A183,"")</f>
        <v/>
      </c>
    </row>
    <row r="184" spans="3:3" x14ac:dyDescent="0.25">
      <c r="C184" t="str">
        <f>IF(SpaceHeater!A184&lt;&gt;"",SpaceHeater!A184,"")</f>
        <v/>
      </c>
    </row>
    <row r="185" spans="3:3" x14ac:dyDescent="0.25">
      <c r="C185" t="str">
        <f>IF(SpaceHeater!A185&lt;&gt;"",SpaceHeater!A185,"")</f>
        <v/>
      </c>
    </row>
    <row r="186" spans="3:3" x14ac:dyDescent="0.25">
      <c r="C186" t="str">
        <f>IF(SpaceHeater!A186&lt;&gt;"",SpaceHeater!A186,"")</f>
        <v/>
      </c>
    </row>
    <row r="187" spans="3:3" x14ac:dyDescent="0.25">
      <c r="C187" t="str">
        <f>IF(SpaceHeater!A187&lt;&gt;"",SpaceHeater!A187,"")</f>
        <v/>
      </c>
    </row>
    <row r="188" spans="3:3" x14ac:dyDescent="0.25">
      <c r="C188" t="str">
        <f>IF(SpaceHeater!A188&lt;&gt;"",SpaceHeater!A188,"")</f>
        <v/>
      </c>
    </row>
    <row r="189" spans="3:3" x14ac:dyDescent="0.25">
      <c r="C189" t="str">
        <f>IF(SpaceHeater!A189&lt;&gt;"",SpaceHeater!A189,"")</f>
        <v/>
      </c>
    </row>
    <row r="190" spans="3:3" x14ac:dyDescent="0.25">
      <c r="C190" t="str">
        <f>IF(SpaceHeater!A190&lt;&gt;"",SpaceHeater!A190,"")</f>
        <v/>
      </c>
    </row>
    <row r="191" spans="3:3" x14ac:dyDescent="0.25">
      <c r="C191" t="str">
        <f>IF(SpaceHeater!A191&lt;&gt;"",SpaceHeater!A191,"")</f>
        <v/>
      </c>
    </row>
    <row r="192" spans="3:3" x14ac:dyDescent="0.25">
      <c r="C192" t="str">
        <f>IF(SpaceHeater!A192&lt;&gt;"",SpaceHeater!A192,"")</f>
        <v/>
      </c>
    </row>
    <row r="193" spans="3:3" x14ac:dyDescent="0.25">
      <c r="C193" t="str">
        <f>IF(SpaceHeater!A193&lt;&gt;"",SpaceHeater!A193,"")</f>
        <v/>
      </c>
    </row>
    <row r="194" spans="3:3" x14ac:dyDescent="0.25">
      <c r="C194" t="str">
        <f>IF(SpaceHeater!A194&lt;&gt;"",SpaceHeater!A194,"")</f>
        <v/>
      </c>
    </row>
    <row r="195" spans="3:3" x14ac:dyDescent="0.25">
      <c r="C195" t="str">
        <f>IF(SpaceHeater!A195&lt;&gt;"",SpaceHeater!A195,"")</f>
        <v/>
      </c>
    </row>
    <row r="196" spans="3:3" x14ac:dyDescent="0.25">
      <c r="C196" t="str">
        <f>IF(SpaceHeater!A196&lt;&gt;"",SpaceHeater!A196,"")</f>
        <v/>
      </c>
    </row>
    <row r="197" spans="3:3" x14ac:dyDescent="0.25">
      <c r="C197" t="str">
        <f>IF(SpaceHeater!A197&lt;&gt;"",SpaceHeater!A197,"")</f>
        <v/>
      </c>
    </row>
    <row r="198" spans="3:3" x14ac:dyDescent="0.25">
      <c r="C198" t="str">
        <f>IF(SpaceHeater!A198&lt;&gt;"",SpaceHeater!A198,"")</f>
        <v/>
      </c>
    </row>
    <row r="199" spans="3:3" x14ac:dyDescent="0.25">
      <c r="C199" t="str">
        <f>IF(SpaceHeater!A199&lt;&gt;"",SpaceHeater!A199,"")</f>
        <v/>
      </c>
    </row>
    <row r="200" spans="3:3" x14ac:dyDescent="0.25">
      <c r="C200" t="str">
        <f>IF(SpaceHeater!A200&lt;&gt;"",SpaceHeater!A200,"")</f>
        <v/>
      </c>
    </row>
    <row r="201" spans="3:3" x14ac:dyDescent="0.25">
      <c r="C201" t="str">
        <f>IF(SpaceHeater!A201&lt;&gt;"",SpaceHeater!A201,"")</f>
        <v/>
      </c>
    </row>
    <row r="202" spans="3:3" x14ac:dyDescent="0.25">
      <c r="C202" t="str">
        <f>IF(SpaceHeater!A202&lt;&gt;"",SpaceHeater!A202,"")</f>
        <v/>
      </c>
    </row>
    <row r="203" spans="3:3" x14ac:dyDescent="0.25">
      <c r="C203" t="str">
        <f>IF(SpaceHeater!A203&lt;&gt;"",SpaceHeater!A203,"")</f>
        <v/>
      </c>
    </row>
    <row r="204" spans="3:3" x14ac:dyDescent="0.25">
      <c r="C204" t="str">
        <f>IF(SpaceHeater!A204&lt;&gt;"",SpaceHeater!A204,"")</f>
        <v/>
      </c>
    </row>
    <row r="205" spans="3:3" x14ac:dyDescent="0.25">
      <c r="C205" t="str">
        <f>IF(SpaceHeater!A205&lt;&gt;"",SpaceHeater!A205,"")</f>
        <v/>
      </c>
    </row>
    <row r="206" spans="3:3" x14ac:dyDescent="0.25">
      <c r="C206" t="str">
        <f>IF(SpaceHeater!A206&lt;&gt;"",SpaceHeater!A206,"")</f>
        <v/>
      </c>
    </row>
    <row r="207" spans="3:3" x14ac:dyDescent="0.25">
      <c r="C207" t="str">
        <f>IF(SpaceHeater!A207&lt;&gt;"",SpaceHeater!A207,"")</f>
        <v/>
      </c>
    </row>
    <row r="208" spans="3:3" x14ac:dyDescent="0.25">
      <c r="C208" t="str">
        <f>IF(SpaceHeater!A208&lt;&gt;"",SpaceHeater!A208,"")</f>
        <v/>
      </c>
    </row>
    <row r="209" spans="3:3" x14ac:dyDescent="0.25">
      <c r="C209" t="str">
        <f>IF(SpaceHeater!A209&lt;&gt;"",SpaceHeater!A209,"")</f>
        <v/>
      </c>
    </row>
    <row r="210" spans="3:3" x14ac:dyDescent="0.25">
      <c r="C210" t="str">
        <f>IF(SpaceHeater!A210&lt;&gt;"",SpaceHeater!A210,"")</f>
        <v/>
      </c>
    </row>
    <row r="211" spans="3:3" x14ac:dyDescent="0.25">
      <c r="C211" t="str">
        <f>IF(SpaceHeater!A211&lt;&gt;"",SpaceHeater!A211,"")</f>
        <v/>
      </c>
    </row>
    <row r="212" spans="3:3" x14ac:dyDescent="0.25">
      <c r="C212" t="str">
        <f>IF(SpaceHeater!A212&lt;&gt;"",SpaceHeater!A212,"")</f>
        <v/>
      </c>
    </row>
    <row r="213" spans="3:3" x14ac:dyDescent="0.25">
      <c r="C213" t="str">
        <f>IF(SpaceHeater!A213&lt;&gt;"",SpaceHeater!A213,"")</f>
        <v/>
      </c>
    </row>
    <row r="214" spans="3:3" x14ac:dyDescent="0.25">
      <c r="C214" t="str">
        <f>IF(SpaceHeater!A214&lt;&gt;"",SpaceHeater!A214,"")</f>
        <v/>
      </c>
    </row>
    <row r="215" spans="3:3" x14ac:dyDescent="0.25">
      <c r="C215" t="str">
        <f>IF(SpaceHeater!A215&lt;&gt;"",SpaceHeater!A215,"")</f>
        <v/>
      </c>
    </row>
    <row r="216" spans="3:3" x14ac:dyDescent="0.25">
      <c r="C216" t="str">
        <f>IF(SpaceHeater!A216&lt;&gt;"",SpaceHeater!A216,"")</f>
        <v/>
      </c>
    </row>
    <row r="217" spans="3:3" x14ac:dyDescent="0.25">
      <c r="C217" t="str">
        <f>IF(SpaceHeater!A217&lt;&gt;"",SpaceHeater!A217,"")</f>
        <v/>
      </c>
    </row>
    <row r="218" spans="3:3" x14ac:dyDescent="0.25">
      <c r="C218" t="str">
        <f>IF(SpaceHeater!A218&lt;&gt;"",SpaceHeater!A218,"")</f>
        <v/>
      </c>
    </row>
    <row r="219" spans="3:3" x14ac:dyDescent="0.25">
      <c r="C219" t="str">
        <f>IF(SpaceHeater!A219&lt;&gt;"",SpaceHeater!A219,"")</f>
        <v/>
      </c>
    </row>
    <row r="220" spans="3:3" x14ac:dyDescent="0.25">
      <c r="C220" t="str">
        <f>IF(SpaceHeater!A220&lt;&gt;"",SpaceHeater!A220,"")</f>
        <v/>
      </c>
    </row>
    <row r="221" spans="3:3" x14ac:dyDescent="0.25">
      <c r="C221" t="str">
        <f>IF(SpaceHeater!A221&lt;&gt;"",SpaceHeater!A221,"")</f>
        <v/>
      </c>
    </row>
    <row r="222" spans="3:3" x14ac:dyDescent="0.25">
      <c r="C222" t="str">
        <f>IF(SpaceHeater!A222&lt;&gt;"",SpaceHeater!A222,"")</f>
        <v/>
      </c>
    </row>
    <row r="223" spans="3:3" x14ac:dyDescent="0.25">
      <c r="C223" t="str">
        <f>IF(SpaceHeater!A223&lt;&gt;"",SpaceHeater!A223,"")</f>
        <v/>
      </c>
    </row>
    <row r="224" spans="3:3" x14ac:dyDescent="0.25">
      <c r="C224" t="str">
        <f>IF(SpaceHeater!A224&lt;&gt;"",SpaceHeater!A224,"")</f>
        <v/>
      </c>
    </row>
    <row r="225" spans="3:3" x14ac:dyDescent="0.25">
      <c r="C225" t="str">
        <f>IF(SpaceHeater!A225&lt;&gt;"",SpaceHeater!A225,"")</f>
        <v/>
      </c>
    </row>
    <row r="226" spans="3:3" x14ac:dyDescent="0.25">
      <c r="C226" t="str">
        <f>IF(SpaceHeater!A226&lt;&gt;"",SpaceHeater!A226,"")</f>
        <v/>
      </c>
    </row>
    <row r="227" spans="3:3" x14ac:dyDescent="0.25">
      <c r="C227" t="str">
        <f>IF(SpaceHeater!A227&lt;&gt;"",SpaceHeater!A227,"")</f>
        <v/>
      </c>
    </row>
    <row r="228" spans="3:3" x14ac:dyDescent="0.25">
      <c r="C228" t="str">
        <f>IF(SpaceHeater!A228&lt;&gt;"",SpaceHeater!A228,"")</f>
        <v/>
      </c>
    </row>
    <row r="229" spans="3:3" x14ac:dyDescent="0.25">
      <c r="C229" t="str">
        <f>IF(SpaceHeater!A229&lt;&gt;"",SpaceHeater!A229,"")</f>
        <v/>
      </c>
    </row>
    <row r="230" spans="3:3" x14ac:dyDescent="0.25">
      <c r="C230" t="str">
        <f>IF(SpaceHeater!A230&lt;&gt;"",SpaceHeater!A230,"")</f>
        <v/>
      </c>
    </row>
    <row r="231" spans="3:3" x14ac:dyDescent="0.25">
      <c r="C231" t="str">
        <f>IF(SpaceHeater!A231&lt;&gt;"",SpaceHeater!A231,"")</f>
        <v/>
      </c>
    </row>
    <row r="232" spans="3:3" x14ac:dyDescent="0.25">
      <c r="C232" t="str">
        <f>IF(SpaceHeater!A232&lt;&gt;"",SpaceHeater!A232,"")</f>
        <v/>
      </c>
    </row>
    <row r="233" spans="3:3" x14ac:dyDescent="0.25">
      <c r="C233" t="str">
        <f>IF(SpaceHeater!A233&lt;&gt;"",SpaceHeater!A233,"")</f>
        <v/>
      </c>
    </row>
    <row r="234" spans="3:3" x14ac:dyDescent="0.25">
      <c r="C234" t="str">
        <f>IF(SpaceHeater!A234&lt;&gt;"",SpaceHeater!A234,"")</f>
        <v/>
      </c>
    </row>
    <row r="235" spans="3:3" x14ac:dyDescent="0.25">
      <c r="C235" t="str">
        <f>IF(SpaceHeater!A235&lt;&gt;"",SpaceHeater!A235,"")</f>
        <v/>
      </c>
    </row>
    <row r="236" spans="3:3" x14ac:dyDescent="0.25">
      <c r="C236" t="str">
        <f>IF(SpaceHeater!A236&lt;&gt;"",SpaceHeater!A236,"")</f>
        <v/>
      </c>
    </row>
    <row r="237" spans="3:3" x14ac:dyDescent="0.25">
      <c r="C237" t="str">
        <f>IF(SpaceHeater!A237&lt;&gt;"",SpaceHeater!A237,"")</f>
        <v/>
      </c>
    </row>
    <row r="238" spans="3:3" x14ac:dyDescent="0.25">
      <c r="C238" t="str">
        <f>IF(SpaceHeater!A238&lt;&gt;"",SpaceHeater!A238,"")</f>
        <v/>
      </c>
    </row>
    <row r="239" spans="3:3" x14ac:dyDescent="0.25">
      <c r="C239" t="str">
        <f>IF(SpaceHeater!A239&lt;&gt;"",SpaceHeater!A239,"")</f>
        <v/>
      </c>
    </row>
    <row r="240" spans="3:3" x14ac:dyDescent="0.25">
      <c r="C240" t="str">
        <f>IF(SpaceHeater!A240&lt;&gt;"",SpaceHeater!A240,"")</f>
        <v/>
      </c>
    </row>
    <row r="241" spans="3:3" x14ac:dyDescent="0.25">
      <c r="C241" t="str">
        <f>IF(SpaceHeater!A241&lt;&gt;"",SpaceHeater!A241,"")</f>
        <v/>
      </c>
    </row>
    <row r="242" spans="3:3" x14ac:dyDescent="0.25">
      <c r="C242" t="str">
        <f>IF(SpaceHeater!A242&lt;&gt;"",SpaceHeater!A242,"")</f>
        <v/>
      </c>
    </row>
    <row r="243" spans="3:3" x14ac:dyDescent="0.25">
      <c r="C243" t="str">
        <f>IF(SpaceHeater!A243&lt;&gt;"",SpaceHeater!A243,"")</f>
        <v/>
      </c>
    </row>
    <row r="244" spans="3:3" x14ac:dyDescent="0.25">
      <c r="C244" t="str">
        <f>IF(SpaceHeater!A244&lt;&gt;"",SpaceHeater!A244,"")</f>
        <v/>
      </c>
    </row>
    <row r="245" spans="3:3" x14ac:dyDescent="0.25">
      <c r="C245" t="str">
        <f>IF(SpaceHeater!A245&lt;&gt;"",SpaceHeater!A245,"")</f>
        <v/>
      </c>
    </row>
    <row r="246" spans="3:3" x14ac:dyDescent="0.25">
      <c r="C246" t="str">
        <f>IF(SpaceHeater!A246&lt;&gt;"",SpaceHeater!A246,"")</f>
        <v/>
      </c>
    </row>
    <row r="247" spans="3:3" x14ac:dyDescent="0.25">
      <c r="C247" t="str">
        <f>IF(SpaceHeater!A247&lt;&gt;"",SpaceHeater!A247,"")</f>
        <v/>
      </c>
    </row>
    <row r="248" spans="3:3" x14ac:dyDescent="0.25">
      <c r="C248" t="str">
        <f>IF(SpaceHeater!A248&lt;&gt;"",SpaceHeater!A248,"")</f>
        <v/>
      </c>
    </row>
    <row r="249" spans="3:3" x14ac:dyDescent="0.25">
      <c r="C249" t="str">
        <f>IF(SpaceHeater!A249&lt;&gt;"",SpaceHeater!A249,"")</f>
        <v/>
      </c>
    </row>
    <row r="250" spans="3:3" x14ac:dyDescent="0.25">
      <c r="C250" t="str">
        <f>IF(SpaceHeater!A250&lt;&gt;"",SpaceHeater!A250,"")</f>
        <v/>
      </c>
    </row>
    <row r="251" spans="3:3" x14ac:dyDescent="0.25">
      <c r="C251" t="str">
        <f>IF(SpaceHeater!A251&lt;&gt;"",SpaceHeater!A251,"")</f>
        <v/>
      </c>
    </row>
    <row r="252" spans="3:3" x14ac:dyDescent="0.25">
      <c r="C252" t="str">
        <f>IF(SpaceHeater!A252&lt;&gt;"",SpaceHeater!A252,"")</f>
        <v/>
      </c>
    </row>
    <row r="253" spans="3:3" x14ac:dyDescent="0.25">
      <c r="C253" t="str">
        <f>IF(SpaceHeater!A253&lt;&gt;"",SpaceHeater!A253,"")</f>
        <v/>
      </c>
    </row>
    <row r="254" spans="3:3" x14ac:dyDescent="0.25">
      <c r="C254" t="str">
        <f>IF(SpaceHeater!A254&lt;&gt;"",SpaceHeater!A254,"")</f>
        <v/>
      </c>
    </row>
    <row r="255" spans="3:3" x14ac:dyDescent="0.25">
      <c r="C255" t="str">
        <f>IF(SpaceHeater!A255&lt;&gt;"",SpaceHeater!A255,"")</f>
        <v/>
      </c>
    </row>
    <row r="256" spans="3:3" x14ac:dyDescent="0.25">
      <c r="C256" t="str">
        <f>IF(SpaceHeater!A256&lt;&gt;"",SpaceHeater!A256,"")</f>
        <v/>
      </c>
    </row>
    <row r="257" spans="3:3" x14ac:dyDescent="0.25">
      <c r="C257" t="str">
        <f>IF(SpaceHeater!A257&lt;&gt;"",SpaceHeater!A257,"")</f>
        <v/>
      </c>
    </row>
    <row r="258" spans="3:3" x14ac:dyDescent="0.25">
      <c r="C258" t="str">
        <f>IF(SpaceHeater!A258&lt;&gt;"",SpaceHeater!A258,"")</f>
        <v/>
      </c>
    </row>
    <row r="259" spans="3:3" x14ac:dyDescent="0.25">
      <c r="C259" t="str">
        <f>IF(SpaceHeater!A259&lt;&gt;"",SpaceHeater!A259,"")</f>
        <v/>
      </c>
    </row>
    <row r="260" spans="3:3" x14ac:dyDescent="0.25">
      <c r="C260" t="str">
        <f>IF(SpaceHeater!A260&lt;&gt;"",SpaceHeater!A260,"")</f>
        <v/>
      </c>
    </row>
    <row r="261" spans="3:3" x14ac:dyDescent="0.25">
      <c r="C261" t="str">
        <f>IF(SpaceHeater!A261&lt;&gt;"",SpaceHeater!A261,"")</f>
        <v/>
      </c>
    </row>
    <row r="262" spans="3:3" x14ac:dyDescent="0.25">
      <c r="C262" t="str">
        <f>IF(SpaceHeater!A262&lt;&gt;"",SpaceHeater!A262,"")</f>
        <v/>
      </c>
    </row>
    <row r="263" spans="3:3" x14ac:dyDescent="0.25">
      <c r="C263" t="str">
        <f>IF(SpaceHeater!A263&lt;&gt;"",SpaceHeater!A263,"")</f>
        <v/>
      </c>
    </row>
    <row r="264" spans="3:3" x14ac:dyDescent="0.25">
      <c r="C264" t="str">
        <f>IF(SpaceHeater!A264&lt;&gt;"",SpaceHeater!A264,"")</f>
        <v/>
      </c>
    </row>
    <row r="265" spans="3:3" x14ac:dyDescent="0.25">
      <c r="C265" t="str">
        <f>IF(SpaceHeater!A265&lt;&gt;"",SpaceHeater!A265,"")</f>
        <v/>
      </c>
    </row>
    <row r="266" spans="3:3" x14ac:dyDescent="0.25">
      <c r="C266" t="str">
        <f>IF(SpaceHeater!A266&lt;&gt;"",SpaceHeater!A266,"")</f>
        <v/>
      </c>
    </row>
    <row r="267" spans="3:3" x14ac:dyDescent="0.25">
      <c r="C267" t="str">
        <f>IF(SpaceHeater!A267&lt;&gt;"",SpaceHeater!A267,"")</f>
        <v/>
      </c>
    </row>
    <row r="268" spans="3:3" x14ac:dyDescent="0.25">
      <c r="C268" t="str">
        <f>IF(SpaceHeater!A268&lt;&gt;"",SpaceHeater!A268,"")</f>
        <v/>
      </c>
    </row>
    <row r="269" spans="3:3" x14ac:dyDescent="0.25">
      <c r="C269" t="str">
        <f>IF(SpaceHeater!A269&lt;&gt;"",SpaceHeater!A269,"")</f>
        <v/>
      </c>
    </row>
    <row r="270" spans="3:3" x14ac:dyDescent="0.25">
      <c r="C270" t="str">
        <f>IF(SpaceHeater!A270&lt;&gt;"",SpaceHeater!A270,"")</f>
        <v/>
      </c>
    </row>
    <row r="271" spans="3:3" x14ac:dyDescent="0.25">
      <c r="C271" t="str">
        <f>IF(SpaceHeater!A271&lt;&gt;"",SpaceHeater!A271,"")</f>
        <v/>
      </c>
    </row>
    <row r="272" spans="3:3" x14ac:dyDescent="0.25">
      <c r="C272" t="str">
        <f>IF(SpaceHeater!A272&lt;&gt;"",SpaceHeater!A272,"")</f>
        <v/>
      </c>
    </row>
    <row r="273" spans="3:3" x14ac:dyDescent="0.25">
      <c r="C273" t="str">
        <f>IF(SpaceHeater!A273&lt;&gt;"",SpaceHeater!A273,"")</f>
        <v/>
      </c>
    </row>
    <row r="274" spans="3:3" x14ac:dyDescent="0.25">
      <c r="C274" t="str">
        <f>IF(SpaceHeater!A274&lt;&gt;"",SpaceHeater!A274,"")</f>
        <v/>
      </c>
    </row>
    <row r="275" spans="3:3" x14ac:dyDescent="0.25">
      <c r="C275" t="str">
        <f>IF(SpaceHeater!A275&lt;&gt;"",SpaceHeater!A275,"")</f>
        <v/>
      </c>
    </row>
    <row r="276" spans="3:3" x14ac:dyDescent="0.25">
      <c r="C276" t="str">
        <f>IF(SpaceHeater!A276&lt;&gt;"",SpaceHeater!A276,"")</f>
        <v/>
      </c>
    </row>
    <row r="277" spans="3:3" x14ac:dyDescent="0.25">
      <c r="C277" t="str">
        <f>IF(SpaceHeater!A277&lt;&gt;"",SpaceHeater!A277,"")</f>
        <v/>
      </c>
    </row>
    <row r="278" spans="3:3" x14ac:dyDescent="0.25">
      <c r="C278" t="str">
        <f>IF(SpaceHeater!A278&lt;&gt;"",SpaceHeater!A278,"")</f>
        <v/>
      </c>
    </row>
    <row r="279" spans="3:3" x14ac:dyDescent="0.25">
      <c r="C279" t="str">
        <f>IF(SpaceHeater!A279&lt;&gt;"",SpaceHeater!A279,"")</f>
        <v/>
      </c>
    </row>
    <row r="280" spans="3:3" x14ac:dyDescent="0.25">
      <c r="C280" t="str">
        <f>IF(SpaceHeater!A280&lt;&gt;"",SpaceHeater!A280,"")</f>
        <v/>
      </c>
    </row>
    <row r="281" spans="3:3" x14ac:dyDescent="0.25">
      <c r="C281" t="str">
        <f>IF(SpaceHeater!A281&lt;&gt;"",SpaceHeater!A281,"")</f>
        <v/>
      </c>
    </row>
    <row r="282" spans="3:3" x14ac:dyDescent="0.25">
      <c r="C282" t="str">
        <f>IF(SpaceHeater!A282&lt;&gt;"",SpaceHeater!A282,"")</f>
        <v/>
      </c>
    </row>
    <row r="283" spans="3:3" x14ac:dyDescent="0.25">
      <c r="C283" t="str">
        <f>IF(SpaceHeater!A283&lt;&gt;"",SpaceHeater!A283,"")</f>
        <v/>
      </c>
    </row>
    <row r="284" spans="3:3" x14ac:dyDescent="0.25">
      <c r="C284" t="str">
        <f>IF(SpaceHeater!A284&lt;&gt;"",SpaceHeater!A284,"")</f>
        <v/>
      </c>
    </row>
    <row r="285" spans="3:3" x14ac:dyDescent="0.25">
      <c r="C285" t="str">
        <f>IF(SpaceHeater!A285&lt;&gt;"",SpaceHeater!A285,"")</f>
        <v/>
      </c>
    </row>
    <row r="286" spans="3:3" x14ac:dyDescent="0.25">
      <c r="C286" t="str">
        <f>IF(SpaceHeater!A286&lt;&gt;"",SpaceHeater!A286,"")</f>
        <v/>
      </c>
    </row>
    <row r="287" spans="3:3" x14ac:dyDescent="0.25">
      <c r="C287" t="str">
        <f>IF(SpaceHeater!A287&lt;&gt;"",SpaceHeater!A287,"")</f>
        <v/>
      </c>
    </row>
    <row r="288" spans="3:3" x14ac:dyDescent="0.25">
      <c r="C288" t="str">
        <f>IF(SpaceHeater!A288&lt;&gt;"",SpaceHeater!A288,"")</f>
        <v/>
      </c>
    </row>
    <row r="289" spans="3:3" x14ac:dyDescent="0.25">
      <c r="C289" t="str">
        <f>IF(SpaceHeater!A289&lt;&gt;"",SpaceHeater!A289,"")</f>
        <v/>
      </c>
    </row>
    <row r="290" spans="3:3" x14ac:dyDescent="0.25">
      <c r="C290" t="str">
        <f>IF(SpaceHeater!A290&lt;&gt;"",SpaceHeater!A290,"")</f>
        <v/>
      </c>
    </row>
    <row r="291" spans="3:3" x14ac:dyDescent="0.25">
      <c r="C291" t="str">
        <f>IF(SpaceHeater!A291&lt;&gt;"",SpaceHeater!A291,"")</f>
        <v/>
      </c>
    </row>
    <row r="292" spans="3:3" x14ac:dyDescent="0.25">
      <c r="C292" t="str">
        <f>IF(SpaceHeater!A292&lt;&gt;"",SpaceHeater!A292,"")</f>
        <v/>
      </c>
    </row>
    <row r="293" spans="3:3" x14ac:dyDescent="0.25">
      <c r="C293" t="str">
        <f>IF(SpaceHeater!A293&lt;&gt;"",SpaceHeater!A293,"")</f>
        <v/>
      </c>
    </row>
    <row r="294" spans="3:3" x14ac:dyDescent="0.25">
      <c r="C294" t="str">
        <f>IF(SpaceHeater!A294&lt;&gt;"",SpaceHeater!A294,"")</f>
        <v/>
      </c>
    </row>
    <row r="295" spans="3:3" x14ac:dyDescent="0.25">
      <c r="C295" t="str">
        <f>IF(SpaceHeater!A295&lt;&gt;"",SpaceHeater!A295,"")</f>
        <v/>
      </c>
    </row>
    <row r="296" spans="3:3" x14ac:dyDescent="0.25">
      <c r="C296" t="str">
        <f>IF(SpaceHeater!A296&lt;&gt;"",SpaceHeater!A296,"")</f>
        <v/>
      </c>
    </row>
    <row r="297" spans="3:3" x14ac:dyDescent="0.25">
      <c r="C297" t="str">
        <f>IF(SpaceHeater!A297&lt;&gt;"",SpaceHeater!A297,"")</f>
        <v/>
      </c>
    </row>
    <row r="298" spans="3:3" x14ac:dyDescent="0.25">
      <c r="C298" t="str">
        <f>IF(SpaceHeater!A298&lt;&gt;"",SpaceHeater!A298,"")</f>
        <v/>
      </c>
    </row>
    <row r="299" spans="3:3" x14ac:dyDescent="0.25">
      <c r="C299" t="str">
        <f>IF(SpaceHeater!A299&lt;&gt;"",SpaceHeater!A299,"")</f>
        <v/>
      </c>
    </row>
    <row r="300" spans="3:3" x14ac:dyDescent="0.25">
      <c r="C300" t="str">
        <f>IF(SpaceHeater!A300&lt;&gt;"",SpaceHeater!A300,"")</f>
        <v/>
      </c>
    </row>
    <row r="301" spans="3:3" x14ac:dyDescent="0.25">
      <c r="C301" t="str">
        <f>IF(SpaceHeater!A301&lt;&gt;"",SpaceHeater!A301,"")</f>
        <v/>
      </c>
    </row>
    <row r="302" spans="3:3" x14ac:dyDescent="0.25">
      <c r="C302" t="str">
        <f>IF(SpaceHeater!A302&lt;&gt;"",SpaceHeater!A302,"")</f>
        <v/>
      </c>
    </row>
    <row r="303" spans="3:3" x14ac:dyDescent="0.25">
      <c r="C303" t="str">
        <f>IF(SpaceHeater!A303&lt;&gt;"",SpaceHeater!A303,"")</f>
        <v/>
      </c>
    </row>
    <row r="304" spans="3:3" x14ac:dyDescent="0.25">
      <c r="C304" t="str">
        <f>IF(SpaceHeater!A304&lt;&gt;"",SpaceHeater!A304,"")</f>
        <v/>
      </c>
    </row>
    <row r="305" spans="3:3" x14ac:dyDescent="0.25">
      <c r="C305" t="str">
        <f>IF(SpaceHeater!A305&lt;&gt;"",SpaceHeater!A305,"")</f>
        <v/>
      </c>
    </row>
    <row r="306" spans="3:3" x14ac:dyDescent="0.25">
      <c r="C306" t="str">
        <f>IF(SpaceHeater!A306&lt;&gt;"",SpaceHeater!A306,"")</f>
        <v/>
      </c>
    </row>
    <row r="307" spans="3:3" x14ac:dyDescent="0.25">
      <c r="C307" t="str">
        <f>IF(SpaceHeater!A307&lt;&gt;"",SpaceHeater!A307,"")</f>
        <v/>
      </c>
    </row>
    <row r="308" spans="3:3" x14ac:dyDescent="0.25">
      <c r="C308" t="str">
        <f>IF(SpaceHeater!A308&lt;&gt;"",SpaceHeater!A308,"")</f>
        <v/>
      </c>
    </row>
    <row r="309" spans="3:3" x14ac:dyDescent="0.25">
      <c r="C309" t="str">
        <f>IF(SpaceHeater!A309&lt;&gt;"",SpaceHeater!A309,"")</f>
        <v/>
      </c>
    </row>
    <row r="310" spans="3:3" x14ac:dyDescent="0.25">
      <c r="C310" t="str">
        <f>IF(SpaceHeater!A310&lt;&gt;"",SpaceHeater!A310,"")</f>
        <v/>
      </c>
    </row>
    <row r="311" spans="3:3" x14ac:dyDescent="0.25">
      <c r="C311" t="str">
        <f>IF(SpaceHeater!A311&lt;&gt;"",SpaceHeater!A311,"")</f>
        <v/>
      </c>
    </row>
    <row r="312" spans="3:3" x14ac:dyDescent="0.25">
      <c r="C312" t="str">
        <f>IF(SpaceHeater!A312&lt;&gt;"",SpaceHeater!A312,"")</f>
        <v/>
      </c>
    </row>
    <row r="313" spans="3:3" x14ac:dyDescent="0.25">
      <c r="C313" t="str">
        <f>IF(SpaceHeater!A313&lt;&gt;"",SpaceHeater!A313,"")</f>
        <v/>
      </c>
    </row>
    <row r="314" spans="3:3" x14ac:dyDescent="0.25">
      <c r="C314" t="str">
        <f>IF(SpaceHeater!A314&lt;&gt;"",SpaceHeater!A314,"")</f>
        <v/>
      </c>
    </row>
    <row r="315" spans="3:3" x14ac:dyDescent="0.25">
      <c r="C315" t="str">
        <f>IF(SpaceHeater!A315&lt;&gt;"",SpaceHeater!A315,"")</f>
        <v/>
      </c>
    </row>
    <row r="316" spans="3:3" x14ac:dyDescent="0.25">
      <c r="C316" t="str">
        <f>IF(SpaceHeater!A316&lt;&gt;"",SpaceHeater!A316,"")</f>
        <v/>
      </c>
    </row>
    <row r="317" spans="3:3" x14ac:dyDescent="0.25">
      <c r="C317" t="str">
        <f>IF(SpaceHeater!A317&lt;&gt;"",SpaceHeater!A317,"")</f>
        <v/>
      </c>
    </row>
    <row r="318" spans="3:3" x14ac:dyDescent="0.25">
      <c r="C318" t="str">
        <f>IF(SpaceHeater!A318&lt;&gt;"",SpaceHeater!A318,"")</f>
        <v/>
      </c>
    </row>
    <row r="319" spans="3:3" x14ac:dyDescent="0.25">
      <c r="C319" t="str">
        <f>IF(SpaceHeater!A319&lt;&gt;"",SpaceHeater!A319,"")</f>
        <v/>
      </c>
    </row>
    <row r="320" spans="3:3" x14ac:dyDescent="0.25">
      <c r="C320" t="str">
        <f>IF(SpaceHeater!A320&lt;&gt;"",SpaceHeater!A320,"")</f>
        <v/>
      </c>
    </row>
    <row r="321" spans="3:3" x14ac:dyDescent="0.25">
      <c r="C321" t="str">
        <f>IF(SpaceHeater!A321&lt;&gt;"",SpaceHeater!A321,"")</f>
        <v/>
      </c>
    </row>
    <row r="322" spans="3:3" x14ac:dyDescent="0.25">
      <c r="C322" t="str">
        <f>IF(SpaceHeater!A322&lt;&gt;"",SpaceHeater!A322,"")</f>
        <v/>
      </c>
    </row>
    <row r="323" spans="3:3" x14ac:dyDescent="0.25">
      <c r="C323" t="str">
        <f>IF(SpaceHeater!A323&lt;&gt;"",SpaceHeater!A323,"")</f>
        <v/>
      </c>
    </row>
    <row r="324" spans="3:3" x14ac:dyDescent="0.25">
      <c r="C324" t="str">
        <f>IF(SpaceHeater!A324&lt;&gt;"",SpaceHeater!A324,"")</f>
        <v/>
      </c>
    </row>
    <row r="325" spans="3:3" x14ac:dyDescent="0.25">
      <c r="C325" t="str">
        <f>IF(SpaceHeater!A325&lt;&gt;"",SpaceHeater!A325,"")</f>
        <v/>
      </c>
    </row>
    <row r="326" spans="3:3" x14ac:dyDescent="0.25">
      <c r="C326" t="str">
        <f>IF(SpaceHeater!A326&lt;&gt;"",SpaceHeater!A326,"")</f>
        <v/>
      </c>
    </row>
    <row r="327" spans="3:3" x14ac:dyDescent="0.25">
      <c r="C327" t="str">
        <f>IF(SpaceHeater!A327&lt;&gt;"",SpaceHeater!A327,"")</f>
        <v/>
      </c>
    </row>
    <row r="328" spans="3:3" x14ac:dyDescent="0.25">
      <c r="C328" t="str">
        <f>IF(SpaceHeater!A328&lt;&gt;"",SpaceHeater!A328,"")</f>
        <v/>
      </c>
    </row>
    <row r="329" spans="3:3" x14ac:dyDescent="0.25">
      <c r="C329" t="str">
        <f>IF(SpaceHeater!A329&lt;&gt;"",SpaceHeater!A329,"")</f>
        <v/>
      </c>
    </row>
    <row r="330" spans="3:3" x14ac:dyDescent="0.25">
      <c r="C330" t="str">
        <f>IF(SpaceHeater!A330&lt;&gt;"",SpaceHeater!A330,"")</f>
        <v/>
      </c>
    </row>
    <row r="331" spans="3:3" x14ac:dyDescent="0.25">
      <c r="C331" t="str">
        <f>IF(SpaceHeater!A331&lt;&gt;"",SpaceHeater!A331,"")</f>
        <v/>
      </c>
    </row>
    <row r="332" spans="3:3" x14ac:dyDescent="0.25">
      <c r="C332" t="str">
        <f>IF(SpaceHeater!A332&lt;&gt;"",SpaceHeater!A332,"")</f>
        <v/>
      </c>
    </row>
    <row r="333" spans="3:3" x14ac:dyDescent="0.25">
      <c r="C333" t="str">
        <f>IF(SpaceHeater!A333&lt;&gt;"",SpaceHeater!A333,"")</f>
        <v/>
      </c>
    </row>
    <row r="334" spans="3:3" x14ac:dyDescent="0.25">
      <c r="C334" t="str">
        <f>IF(SpaceHeater!A334&lt;&gt;"",SpaceHeater!A334,"")</f>
        <v/>
      </c>
    </row>
    <row r="335" spans="3:3" x14ac:dyDescent="0.25">
      <c r="C335" t="str">
        <f>IF(SpaceHeater!A335&lt;&gt;"",SpaceHeater!A335,"")</f>
        <v/>
      </c>
    </row>
    <row r="336" spans="3:3" x14ac:dyDescent="0.25">
      <c r="C336" t="str">
        <f>IF(SpaceHeater!A336&lt;&gt;"",SpaceHeater!A336,"")</f>
        <v/>
      </c>
    </row>
    <row r="337" spans="3:3" x14ac:dyDescent="0.25">
      <c r="C337" t="str">
        <f>IF(SpaceHeater!A337&lt;&gt;"",SpaceHeater!A337,"")</f>
        <v/>
      </c>
    </row>
    <row r="338" spans="3:3" x14ac:dyDescent="0.25">
      <c r="C338" t="str">
        <f>IF(SpaceHeater!A338&lt;&gt;"",SpaceHeater!A338,"")</f>
        <v/>
      </c>
    </row>
    <row r="339" spans="3:3" x14ac:dyDescent="0.25">
      <c r="C339" t="str">
        <f>IF(SpaceHeater!A339&lt;&gt;"",SpaceHeater!A339,"")</f>
        <v/>
      </c>
    </row>
    <row r="340" spans="3:3" x14ac:dyDescent="0.25">
      <c r="C340" t="str">
        <f>IF(SpaceHeater!A340&lt;&gt;"",SpaceHeater!A340,"")</f>
        <v/>
      </c>
    </row>
    <row r="341" spans="3:3" x14ac:dyDescent="0.25">
      <c r="C341" t="str">
        <f>IF(SpaceHeater!A341&lt;&gt;"",SpaceHeater!A341,"")</f>
        <v/>
      </c>
    </row>
    <row r="342" spans="3:3" x14ac:dyDescent="0.25">
      <c r="C342" t="str">
        <f>IF(SpaceHeater!A342&lt;&gt;"",SpaceHeater!A342,"")</f>
        <v/>
      </c>
    </row>
    <row r="343" spans="3:3" x14ac:dyDescent="0.25">
      <c r="C343" t="str">
        <f>IF(SpaceHeater!A343&lt;&gt;"",SpaceHeater!A343,"")</f>
        <v/>
      </c>
    </row>
    <row r="344" spans="3:3" x14ac:dyDescent="0.25">
      <c r="C344" t="str">
        <f>IF(SpaceHeater!A344&lt;&gt;"",SpaceHeater!A344,"")</f>
        <v/>
      </c>
    </row>
    <row r="345" spans="3:3" x14ac:dyDescent="0.25">
      <c r="C345" t="str">
        <f>IF(SpaceHeater!A345&lt;&gt;"",SpaceHeater!A345,"")</f>
        <v/>
      </c>
    </row>
    <row r="346" spans="3:3" x14ac:dyDescent="0.25">
      <c r="C346" t="str">
        <f>IF(SpaceHeater!A346&lt;&gt;"",SpaceHeater!A346,"")</f>
        <v/>
      </c>
    </row>
    <row r="347" spans="3:3" x14ac:dyDescent="0.25">
      <c r="C347" t="str">
        <f>IF(SpaceHeater!A347&lt;&gt;"",SpaceHeater!A347,"")</f>
        <v/>
      </c>
    </row>
    <row r="348" spans="3:3" x14ac:dyDescent="0.25">
      <c r="C348" t="str">
        <f>IF(SpaceHeater!A348&lt;&gt;"",SpaceHeater!A348,"")</f>
        <v/>
      </c>
    </row>
    <row r="349" spans="3:3" x14ac:dyDescent="0.25">
      <c r="C349" t="str">
        <f>IF(SpaceHeater!A349&lt;&gt;"",SpaceHeater!A349,"")</f>
        <v/>
      </c>
    </row>
    <row r="350" spans="3:3" x14ac:dyDescent="0.25">
      <c r="C350" t="str">
        <f>IF(SpaceHeater!A350&lt;&gt;"",SpaceHeater!A350,"")</f>
        <v/>
      </c>
    </row>
    <row r="351" spans="3:3" x14ac:dyDescent="0.25">
      <c r="C351" t="str">
        <f>IF(SpaceHeater!A351&lt;&gt;"",SpaceHeater!A351,"")</f>
        <v/>
      </c>
    </row>
    <row r="352" spans="3:3" x14ac:dyDescent="0.25">
      <c r="C352" t="str">
        <f>IF(SpaceHeater!A352&lt;&gt;"",SpaceHeater!A352,"")</f>
        <v/>
      </c>
    </row>
    <row r="353" spans="3:3" x14ac:dyDescent="0.25">
      <c r="C353" t="str">
        <f>IF(SpaceHeater!A353&lt;&gt;"",SpaceHeater!A353,"")</f>
        <v/>
      </c>
    </row>
    <row r="354" spans="3:3" x14ac:dyDescent="0.25">
      <c r="C354" t="str">
        <f>IF(SpaceHeater!A354&lt;&gt;"",SpaceHeater!A354,"")</f>
        <v/>
      </c>
    </row>
    <row r="355" spans="3:3" x14ac:dyDescent="0.25">
      <c r="C355" t="str">
        <f>IF(SpaceHeater!A355&lt;&gt;"",SpaceHeater!A355,"")</f>
        <v/>
      </c>
    </row>
    <row r="356" spans="3:3" x14ac:dyDescent="0.25">
      <c r="C356" t="str">
        <f>IF(SpaceHeater!A356&lt;&gt;"",SpaceHeater!A356,"")</f>
        <v/>
      </c>
    </row>
    <row r="357" spans="3:3" x14ac:dyDescent="0.25">
      <c r="C357" t="str">
        <f>IF(SpaceHeater!A357&lt;&gt;"",SpaceHeater!A357,"")</f>
        <v/>
      </c>
    </row>
    <row r="358" spans="3:3" x14ac:dyDescent="0.25">
      <c r="C358" t="str">
        <f>IF(SpaceHeater!A358&lt;&gt;"",SpaceHeater!A358,"")</f>
        <v/>
      </c>
    </row>
    <row r="359" spans="3:3" x14ac:dyDescent="0.25">
      <c r="C359" t="str">
        <f>IF(SpaceHeater!A359&lt;&gt;"",SpaceHeater!A359,"")</f>
        <v/>
      </c>
    </row>
    <row r="360" spans="3:3" x14ac:dyDescent="0.25">
      <c r="C360" t="str">
        <f>IF(SpaceHeater!A360&lt;&gt;"",SpaceHeater!A360,"")</f>
        <v/>
      </c>
    </row>
    <row r="361" spans="3:3" x14ac:dyDescent="0.25">
      <c r="C361" t="str">
        <f>IF(SpaceHeater!A361&lt;&gt;"",SpaceHeater!A361,"")</f>
        <v/>
      </c>
    </row>
    <row r="362" spans="3:3" x14ac:dyDescent="0.25">
      <c r="C362" t="str">
        <f>IF(SpaceHeater!A362&lt;&gt;"",SpaceHeater!A362,"")</f>
        <v/>
      </c>
    </row>
    <row r="363" spans="3:3" x14ac:dyDescent="0.25">
      <c r="C363" t="str">
        <f>IF(SpaceHeater!A363&lt;&gt;"",SpaceHeater!A363,"")</f>
        <v/>
      </c>
    </row>
    <row r="364" spans="3:3" x14ac:dyDescent="0.25">
      <c r="C364" t="str">
        <f>IF(SpaceHeater!A364&lt;&gt;"",SpaceHeater!A364,"")</f>
        <v/>
      </c>
    </row>
    <row r="365" spans="3:3" x14ac:dyDescent="0.25">
      <c r="C365" t="str">
        <f>IF(SpaceHeater!A365&lt;&gt;"",SpaceHeater!A365,"")</f>
        <v/>
      </c>
    </row>
    <row r="366" spans="3:3" x14ac:dyDescent="0.25">
      <c r="C366" t="str">
        <f>IF(SpaceHeater!A366&lt;&gt;"",SpaceHeater!A366,"")</f>
        <v/>
      </c>
    </row>
    <row r="367" spans="3:3" x14ac:dyDescent="0.25">
      <c r="C367" t="str">
        <f>IF(SpaceHeater!A367&lt;&gt;"",SpaceHeater!A367,"")</f>
        <v/>
      </c>
    </row>
    <row r="368" spans="3:3" x14ac:dyDescent="0.25">
      <c r="C368" t="str">
        <f>IF(SpaceHeater!A368&lt;&gt;"",SpaceHeater!A368,"")</f>
        <v/>
      </c>
    </row>
    <row r="369" spans="3:3" x14ac:dyDescent="0.25">
      <c r="C369" t="str">
        <f>IF(SpaceHeater!A369&lt;&gt;"",SpaceHeater!A369,"")</f>
        <v/>
      </c>
    </row>
    <row r="370" spans="3:3" x14ac:dyDescent="0.25">
      <c r="C370" t="str">
        <f>IF(SpaceHeater!A370&lt;&gt;"",SpaceHeater!A370,"")</f>
        <v/>
      </c>
    </row>
    <row r="371" spans="3:3" x14ac:dyDescent="0.25">
      <c r="C371" t="str">
        <f>IF(SpaceHeater!A371&lt;&gt;"",SpaceHeater!A371,"")</f>
        <v/>
      </c>
    </row>
    <row r="372" spans="3:3" x14ac:dyDescent="0.25">
      <c r="C372" t="str">
        <f>IF(SpaceHeater!A372&lt;&gt;"",SpaceHeater!A372,"")</f>
        <v/>
      </c>
    </row>
    <row r="373" spans="3:3" x14ac:dyDescent="0.25">
      <c r="C373" t="str">
        <f>IF(SpaceHeater!A373&lt;&gt;"",SpaceHeater!A373,"")</f>
        <v/>
      </c>
    </row>
    <row r="374" spans="3:3" x14ac:dyDescent="0.25">
      <c r="C374" t="str">
        <f>IF(SpaceHeater!A374&lt;&gt;"",SpaceHeater!A374,"")</f>
        <v/>
      </c>
    </row>
    <row r="375" spans="3:3" x14ac:dyDescent="0.25">
      <c r="C375" t="str">
        <f>IF(SpaceHeater!A375&lt;&gt;"",SpaceHeater!A375,"")</f>
        <v/>
      </c>
    </row>
    <row r="376" spans="3:3" x14ac:dyDescent="0.25">
      <c r="C376" t="str">
        <f>IF(SpaceHeater!A376&lt;&gt;"",SpaceHeater!A376,"")</f>
        <v/>
      </c>
    </row>
    <row r="377" spans="3:3" x14ac:dyDescent="0.25">
      <c r="C377" t="str">
        <f>IF(SpaceHeater!A377&lt;&gt;"",SpaceHeater!A377,"")</f>
        <v/>
      </c>
    </row>
    <row r="378" spans="3:3" x14ac:dyDescent="0.25">
      <c r="C378" t="str">
        <f>IF(SpaceHeater!A378&lt;&gt;"",SpaceHeater!A378,"")</f>
        <v/>
      </c>
    </row>
    <row r="379" spans="3:3" x14ac:dyDescent="0.25">
      <c r="C379" t="str">
        <f>IF(SpaceHeater!A379&lt;&gt;"",SpaceHeater!A379,"")</f>
        <v/>
      </c>
    </row>
    <row r="380" spans="3:3" x14ac:dyDescent="0.25">
      <c r="C380" t="str">
        <f>IF(SpaceHeater!A380&lt;&gt;"",SpaceHeater!A380,"")</f>
        <v/>
      </c>
    </row>
    <row r="381" spans="3:3" x14ac:dyDescent="0.25">
      <c r="C381" t="str">
        <f>IF(SpaceHeater!A381&lt;&gt;"",SpaceHeater!A381,"")</f>
        <v/>
      </c>
    </row>
    <row r="382" spans="3:3" x14ac:dyDescent="0.25">
      <c r="C382" t="str">
        <f>IF(SpaceHeater!A382&lt;&gt;"",SpaceHeater!A382,"")</f>
        <v/>
      </c>
    </row>
    <row r="383" spans="3:3" x14ac:dyDescent="0.25">
      <c r="C383" t="str">
        <f>IF(SpaceHeater!A383&lt;&gt;"",SpaceHeater!A383,"")</f>
        <v/>
      </c>
    </row>
    <row r="384" spans="3:3" x14ac:dyDescent="0.25">
      <c r="C384" t="str">
        <f>IF(SpaceHeater!A384&lt;&gt;"",SpaceHeater!A384,"")</f>
        <v/>
      </c>
    </row>
    <row r="385" spans="3:3" x14ac:dyDescent="0.25">
      <c r="C385" t="str">
        <f>IF(SpaceHeater!A385&lt;&gt;"",SpaceHeater!A385,"")</f>
        <v/>
      </c>
    </row>
    <row r="386" spans="3:3" x14ac:dyDescent="0.25">
      <c r="C386" t="str">
        <f>IF(SpaceHeater!A386&lt;&gt;"",SpaceHeater!A386,"")</f>
        <v/>
      </c>
    </row>
    <row r="387" spans="3:3" x14ac:dyDescent="0.25">
      <c r="C387" t="str">
        <f>IF(SpaceHeater!A387&lt;&gt;"",SpaceHeater!A387,"")</f>
        <v/>
      </c>
    </row>
    <row r="388" spans="3:3" x14ac:dyDescent="0.25">
      <c r="C388" t="str">
        <f>IF(SpaceHeater!A388&lt;&gt;"",SpaceHeater!A388,"")</f>
        <v/>
      </c>
    </row>
    <row r="389" spans="3:3" x14ac:dyDescent="0.25">
      <c r="C389" t="str">
        <f>IF(SpaceHeater!A389&lt;&gt;"",SpaceHeater!A389,"")</f>
        <v/>
      </c>
    </row>
    <row r="390" spans="3:3" x14ac:dyDescent="0.25">
      <c r="C390" t="str">
        <f>IF(SpaceHeater!A390&lt;&gt;"",SpaceHeater!A390,"")</f>
        <v/>
      </c>
    </row>
    <row r="391" spans="3:3" x14ac:dyDescent="0.25">
      <c r="C391" t="str">
        <f>IF(SpaceHeater!A391&lt;&gt;"",SpaceHeater!A391,"")</f>
        <v/>
      </c>
    </row>
    <row r="392" spans="3:3" x14ac:dyDescent="0.25">
      <c r="C392" t="str">
        <f>IF(SpaceHeater!A392&lt;&gt;"",SpaceHeater!A392,"")</f>
        <v/>
      </c>
    </row>
    <row r="393" spans="3:3" x14ac:dyDescent="0.25">
      <c r="C393" t="str">
        <f>IF(SpaceHeater!A393&lt;&gt;"",SpaceHeater!A393,"")</f>
        <v/>
      </c>
    </row>
    <row r="394" spans="3:3" x14ac:dyDescent="0.25">
      <c r="C394" t="str">
        <f>IF(SpaceHeater!A394&lt;&gt;"",SpaceHeater!A394,"")</f>
        <v/>
      </c>
    </row>
    <row r="395" spans="3:3" x14ac:dyDescent="0.25">
      <c r="C395" t="str">
        <f>IF(SpaceHeater!A395&lt;&gt;"",SpaceHeater!A395,"")</f>
        <v/>
      </c>
    </row>
    <row r="396" spans="3:3" x14ac:dyDescent="0.25">
      <c r="C396" t="str">
        <f>IF(SpaceHeater!A396&lt;&gt;"",SpaceHeater!A396,"")</f>
        <v/>
      </c>
    </row>
    <row r="397" spans="3:3" x14ac:dyDescent="0.25">
      <c r="C397" t="str">
        <f>IF(SpaceHeater!A397&lt;&gt;"",SpaceHeater!A397,"")</f>
        <v/>
      </c>
    </row>
    <row r="398" spans="3:3" x14ac:dyDescent="0.25">
      <c r="C398" t="str">
        <f>IF(SpaceHeater!A398&lt;&gt;"",SpaceHeater!A398,"")</f>
        <v/>
      </c>
    </row>
    <row r="399" spans="3:3" x14ac:dyDescent="0.25">
      <c r="C399" t="str">
        <f>IF(SpaceHeater!A399&lt;&gt;"",SpaceHeater!A399,"")</f>
        <v/>
      </c>
    </row>
    <row r="400" spans="3:3" x14ac:dyDescent="0.25">
      <c r="C400" t="str">
        <f>IF(SpaceHeater!A400&lt;&gt;"",SpaceHeater!A400,"")</f>
        <v/>
      </c>
    </row>
    <row r="401" spans="3:3" x14ac:dyDescent="0.25">
      <c r="C401" t="str">
        <f>IF(SpaceHeater!A401&lt;&gt;"",SpaceHeater!A401,"")</f>
        <v/>
      </c>
    </row>
    <row r="402" spans="3:3" x14ac:dyDescent="0.25">
      <c r="C402" t="str">
        <f>IF(SpaceHeater!A402&lt;&gt;"",SpaceHeater!A402,"")</f>
        <v/>
      </c>
    </row>
    <row r="403" spans="3:3" x14ac:dyDescent="0.25">
      <c r="C403" t="str">
        <f>IF(SpaceHeater!A403&lt;&gt;"",SpaceHeater!A403,"")</f>
        <v/>
      </c>
    </row>
    <row r="404" spans="3:3" x14ac:dyDescent="0.25">
      <c r="C404" t="str">
        <f>IF(SpaceHeater!A404&lt;&gt;"",SpaceHeater!A404,"")</f>
        <v/>
      </c>
    </row>
    <row r="405" spans="3:3" x14ac:dyDescent="0.25">
      <c r="C405" t="str">
        <f>IF(SpaceHeater!A405&lt;&gt;"",SpaceHeater!A405,"")</f>
        <v/>
      </c>
    </row>
    <row r="406" spans="3:3" x14ac:dyDescent="0.25">
      <c r="C406" t="str">
        <f>IF(SpaceHeater!A406&lt;&gt;"",SpaceHeater!A406,"")</f>
        <v/>
      </c>
    </row>
    <row r="407" spans="3:3" x14ac:dyDescent="0.25">
      <c r="C407" t="str">
        <f>IF(SpaceHeater!A407&lt;&gt;"",SpaceHeater!A407,"")</f>
        <v/>
      </c>
    </row>
    <row r="408" spans="3:3" x14ac:dyDescent="0.25">
      <c r="C408" t="str">
        <f>IF(SpaceHeater!A408&lt;&gt;"",SpaceHeater!A408,"")</f>
        <v/>
      </c>
    </row>
    <row r="409" spans="3:3" x14ac:dyDescent="0.25">
      <c r="C409" t="str">
        <f>IF(SpaceHeater!A409&lt;&gt;"",SpaceHeater!A409,"")</f>
        <v/>
      </c>
    </row>
    <row r="410" spans="3:3" x14ac:dyDescent="0.25">
      <c r="C410" t="str">
        <f>IF(SpaceHeater!A410&lt;&gt;"",SpaceHeater!A410,"")</f>
        <v/>
      </c>
    </row>
    <row r="411" spans="3:3" x14ac:dyDescent="0.25">
      <c r="C411" t="str">
        <f>IF(SpaceHeater!A411&lt;&gt;"",SpaceHeater!A411,"")</f>
        <v/>
      </c>
    </row>
    <row r="412" spans="3:3" x14ac:dyDescent="0.25">
      <c r="C412" t="str">
        <f>IF(SpaceHeater!A412&lt;&gt;"",SpaceHeater!A412,"")</f>
        <v/>
      </c>
    </row>
    <row r="413" spans="3:3" x14ac:dyDescent="0.25">
      <c r="C413" t="str">
        <f>IF(SpaceHeater!A413&lt;&gt;"",SpaceHeater!A413,"")</f>
        <v/>
      </c>
    </row>
    <row r="414" spans="3:3" x14ac:dyDescent="0.25">
      <c r="C414" t="str">
        <f>IF(SpaceHeater!A414&lt;&gt;"",SpaceHeater!A414,"")</f>
        <v/>
      </c>
    </row>
    <row r="415" spans="3:3" x14ac:dyDescent="0.25">
      <c r="C415" t="str">
        <f>IF(SpaceHeater!A415&lt;&gt;"",SpaceHeater!A415,"")</f>
        <v/>
      </c>
    </row>
    <row r="416" spans="3:3" x14ac:dyDescent="0.25">
      <c r="C416" t="str">
        <f>IF(SpaceHeater!A416&lt;&gt;"",SpaceHeater!A416,"")</f>
        <v/>
      </c>
    </row>
    <row r="417" spans="3:3" x14ac:dyDescent="0.25">
      <c r="C417" t="str">
        <f>IF(SpaceHeater!A417&lt;&gt;"",SpaceHeater!A417,"")</f>
        <v/>
      </c>
    </row>
    <row r="418" spans="3:3" x14ac:dyDescent="0.25">
      <c r="C418" t="str">
        <f>IF(SpaceHeater!A418&lt;&gt;"",SpaceHeater!A418,"")</f>
        <v/>
      </c>
    </row>
    <row r="419" spans="3:3" x14ac:dyDescent="0.25">
      <c r="C419" t="str">
        <f>IF(SpaceHeater!A419&lt;&gt;"",SpaceHeater!A419,"")</f>
        <v/>
      </c>
    </row>
    <row r="420" spans="3:3" x14ac:dyDescent="0.25">
      <c r="C420" t="str">
        <f>IF(SpaceHeater!A420&lt;&gt;"",SpaceHeater!A420,"")</f>
        <v/>
      </c>
    </row>
    <row r="421" spans="3:3" x14ac:dyDescent="0.25">
      <c r="C421" t="str">
        <f>IF(SpaceHeater!A421&lt;&gt;"",SpaceHeater!A421,"")</f>
        <v/>
      </c>
    </row>
    <row r="422" spans="3:3" x14ac:dyDescent="0.25">
      <c r="C422" t="str">
        <f>IF(SpaceHeater!A422&lt;&gt;"",SpaceHeater!A422,"")</f>
        <v/>
      </c>
    </row>
    <row r="423" spans="3:3" x14ac:dyDescent="0.25">
      <c r="C423" t="str">
        <f>IF(SpaceHeater!A423&lt;&gt;"",SpaceHeater!A423,"")</f>
        <v/>
      </c>
    </row>
    <row r="424" spans="3:3" x14ac:dyDescent="0.25">
      <c r="C424" t="str">
        <f>IF(SpaceHeater!A424&lt;&gt;"",SpaceHeater!A424,"")</f>
        <v/>
      </c>
    </row>
    <row r="425" spans="3:3" x14ac:dyDescent="0.25">
      <c r="C425" t="str">
        <f>IF(SpaceHeater!A425&lt;&gt;"",SpaceHeater!A425,"")</f>
        <v/>
      </c>
    </row>
    <row r="426" spans="3:3" x14ac:dyDescent="0.25">
      <c r="C426" t="str">
        <f>IF(SpaceHeater!A426&lt;&gt;"",SpaceHeater!A426,"")</f>
        <v/>
      </c>
    </row>
    <row r="427" spans="3:3" x14ac:dyDescent="0.25">
      <c r="C427" t="str">
        <f>IF(SpaceHeater!A427&lt;&gt;"",SpaceHeater!A427,"")</f>
        <v/>
      </c>
    </row>
    <row r="428" spans="3:3" x14ac:dyDescent="0.25">
      <c r="C428" t="str">
        <f>IF(SpaceHeater!A428&lt;&gt;"",SpaceHeater!A428,"")</f>
        <v/>
      </c>
    </row>
    <row r="429" spans="3:3" x14ac:dyDescent="0.25">
      <c r="C429" t="str">
        <f>IF(SpaceHeater!A429&lt;&gt;"",SpaceHeater!A429,"")</f>
        <v/>
      </c>
    </row>
    <row r="430" spans="3:3" x14ac:dyDescent="0.25">
      <c r="C430" t="str">
        <f>IF(SpaceHeater!A430&lt;&gt;"",SpaceHeater!A430,"")</f>
        <v/>
      </c>
    </row>
    <row r="431" spans="3:3" x14ac:dyDescent="0.25">
      <c r="C431" t="str">
        <f>IF(SpaceHeater!A431&lt;&gt;"",SpaceHeater!A431,"")</f>
        <v/>
      </c>
    </row>
    <row r="432" spans="3:3" x14ac:dyDescent="0.25">
      <c r="C432" t="str">
        <f>IF(SpaceHeater!A432&lt;&gt;"",SpaceHeater!A432,"")</f>
        <v/>
      </c>
    </row>
    <row r="433" spans="3:3" x14ac:dyDescent="0.25">
      <c r="C433" t="str">
        <f>IF(SpaceHeater!A433&lt;&gt;"",SpaceHeater!A433,"")</f>
        <v/>
      </c>
    </row>
    <row r="434" spans="3:3" x14ac:dyDescent="0.25">
      <c r="C434" t="str">
        <f>IF(SpaceHeater!A434&lt;&gt;"",SpaceHeater!A434,"")</f>
        <v/>
      </c>
    </row>
    <row r="435" spans="3:3" x14ac:dyDescent="0.25">
      <c r="C435" t="str">
        <f>IF(SpaceHeater!A435&lt;&gt;"",SpaceHeater!A435,"")</f>
        <v/>
      </c>
    </row>
    <row r="436" spans="3:3" x14ac:dyDescent="0.25">
      <c r="C436" t="str">
        <f>IF(SpaceHeater!A436&lt;&gt;"",SpaceHeater!A436,"")</f>
        <v/>
      </c>
    </row>
    <row r="437" spans="3:3" x14ac:dyDescent="0.25">
      <c r="C437" t="str">
        <f>IF(SpaceHeater!A437&lt;&gt;"",SpaceHeater!A437,"")</f>
        <v/>
      </c>
    </row>
    <row r="438" spans="3:3" x14ac:dyDescent="0.25">
      <c r="C438" t="str">
        <f>IF(SpaceHeater!A438&lt;&gt;"",SpaceHeater!A438,"")</f>
        <v/>
      </c>
    </row>
    <row r="439" spans="3:3" x14ac:dyDescent="0.25">
      <c r="C439" t="str">
        <f>IF(SpaceHeater!A439&lt;&gt;"",SpaceHeater!A439,"")</f>
        <v/>
      </c>
    </row>
    <row r="440" spans="3:3" x14ac:dyDescent="0.25">
      <c r="C440" t="str">
        <f>IF(SpaceHeater!A440&lt;&gt;"",SpaceHeater!A440,"")</f>
        <v/>
      </c>
    </row>
    <row r="441" spans="3:3" x14ac:dyDescent="0.25">
      <c r="C441" t="str">
        <f>IF(SpaceHeater!A441&lt;&gt;"",SpaceHeater!A441,"")</f>
        <v/>
      </c>
    </row>
    <row r="442" spans="3:3" x14ac:dyDescent="0.25">
      <c r="C442" t="str">
        <f>IF(SpaceHeater!A442&lt;&gt;"",SpaceHeater!A442,"")</f>
        <v/>
      </c>
    </row>
    <row r="443" spans="3:3" x14ac:dyDescent="0.25">
      <c r="C443" t="str">
        <f>IF(SpaceHeater!A443&lt;&gt;"",SpaceHeater!A443,"")</f>
        <v/>
      </c>
    </row>
    <row r="444" spans="3:3" x14ac:dyDescent="0.25">
      <c r="C444" t="str">
        <f>IF(SpaceHeater!A444&lt;&gt;"",SpaceHeater!A444,"")</f>
        <v/>
      </c>
    </row>
    <row r="445" spans="3:3" x14ac:dyDescent="0.25">
      <c r="C445" t="str">
        <f>IF(SpaceHeater!A445&lt;&gt;"",SpaceHeater!A445,"")</f>
        <v/>
      </c>
    </row>
    <row r="446" spans="3:3" x14ac:dyDescent="0.25">
      <c r="C446" t="str">
        <f>IF(SpaceHeater!A446&lt;&gt;"",SpaceHeater!A446,"")</f>
        <v/>
      </c>
    </row>
    <row r="447" spans="3:3" x14ac:dyDescent="0.25">
      <c r="C447" t="str">
        <f>IF(SpaceHeater!A447&lt;&gt;"",SpaceHeater!A447,"")</f>
        <v/>
      </c>
    </row>
    <row r="448" spans="3:3" x14ac:dyDescent="0.25">
      <c r="C448" t="str">
        <f>IF(SpaceHeater!A448&lt;&gt;"",SpaceHeater!A448,"")</f>
        <v/>
      </c>
    </row>
    <row r="449" spans="3:3" x14ac:dyDescent="0.25">
      <c r="C449" t="str">
        <f>IF(SpaceHeater!A449&lt;&gt;"",SpaceHeater!A449,"")</f>
        <v/>
      </c>
    </row>
    <row r="450" spans="3:3" x14ac:dyDescent="0.25">
      <c r="C450" t="str">
        <f>IF(SpaceHeater!A450&lt;&gt;"",SpaceHeater!A450,"")</f>
        <v/>
      </c>
    </row>
    <row r="451" spans="3:3" x14ac:dyDescent="0.25">
      <c r="C451" t="str">
        <f>IF(SpaceHeater!A451&lt;&gt;"",SpaceHeater!A451,"")</f>
        <v/>
      </c>
    </row>
    <row r="452" spans="3:3" x14ac:dyDescent="0.25">
      <c r="C452" t="str">
        <f>IF(SpaceHeater!A452&lt;&gt;"",SpaceHeater!A452,"")</f>
        <v/>
      </c>
    </row>
    <row r="453" spans="3:3" x14ac:dyDescent="0.25">
      <c r="C453" t="str">
        <f>IF(SpaceHeater!A453&lt;&gt;"",SpaceHeater!A453,"")</f>
        <v/>
      </c>
    </row>
    <row r="454" spans="3:3" x14ac:dyDescent="0.25">
      <c r="C454" t="str">
        <f>IF(SpaceHeater!A454&lt;&gt;"",SpaceHeater!A454,"")</f>
        <v/>
      </c>
    </row>
    <row r="455" spans="3:3" x14ac:dyDescent="0.25">
      <c r="C455" t="str">
        <f>IF(SpaceHeater!A455&lt;&gt;"",SpaceHeater!A455,"")</f>
        <v/>
      </c>
    </row>
    <row r="456" spans="3:3" x14ac:dyDescent="0.25">
      <c r="C456" t="str">
        <f>IF(SpaceHeater!A456&lt;&gt;"",SpaceHeater!A456,"")</f>
        <v/>
      </c>
    </row>
    <row r="457" spans="3:3" x14ac:dyDescent="0.25">
      <c r="C457" t="str">
        <f>IF(SpaceHeater!A457&lt;&gt;"",SpaceHeater!A457,"")</f>
        <v/>
      </c>
    </row>
    <row r="458" spans="3:3" x14ac:dyDescent="0.25">
      <c r="C458" t="str">
        <f>IF(SpaceHeater!A458&lt;&gt;"",SpaceHeater!A458,"")</f>
        <v/>
      </c>
    </row>
    <row r="459" spans="3:3" x14ac:dyDescent="0.25">
      <c r="C459" t="str">
        <f>IF(SpaceHeater!A459&lt;&gt;"",SpaceHeater!A459,"")</f>
        <v/>
      </c>
    </row>
    <row r="460" spans="3:3" x14ac:dyDescent="0.25">
      <c r="C460" t="str">
        <f>IF(SpaceHeater!A460&lt;&gt;"",SpaceHeater!A460,"")</f>
        <v/>
      </c>
    </row>
    <row r="461" spans="3:3" x14ac:dyDescent="0.25">
      <c r="C461" t="str">
        <f>IF(SpaceHeater!A461&lt;&gt;"",SpaceHeater!A461,"")</f>
        <v/>
      </c>
    </row>
    <row r="462" spans="3:3" x14ac:dyDescent="0.25">
      <c r="C462" t="str">
        <f>IF(SpaceHeater!A462&lt;&gt;"",SpaceHeater!A462,"")</f>
        <v/>
      </c>
    </row>
    <row r="463" spans="3:3" x14ac:dyDescent="0.25">
      <c r="C463" t="str">
        <f>IF(SpaceHeater!A463&lt;&gt;"",SpaceHeater!A463,"")</f>
        <v/>
      </c>
    </row>
    <row r="464" spans="3:3" x14ac:dyDescent="0.25">
      <c r="C464" t="str">
        <f>IF(SpaceHeater!A464&lt;&gt;"",SpaceHeater!A464,"")</f>
        <v/>
      </c>
    </row>
    <row r="465" spans="3:3" x14ac:dyDescent="0.25">
      <c r="C465" t="str">
        <f>IF(SpaceHeater!A465&lt;&gt;"",SpaceHeater!A465,"")</f>
        <v/>
      </c>
    </row>
    <row r="466" spans="3:3" x14ac:dyDescent="0.25">
      <c r="C466" t="str">
        <f>IF(SpaceHeater!A466&lt;&gt;"",SpaceHeater!A466,"")</f>
        <v/>
      </c>
    </row>
    <row r="467" spans="3:3" x14ac:dyDescent="0.25">
      <c r="C467" t="str">
        <f>IF(SpaceHeater!A467&lt;&gt;"",SpaceHeater!A467,"")</f>
        <v/>
      </c>
    </row>
    <row r="468" spans="3:3" x14ac:dyDescent="0.25">
      <c r="C468" t="str">
        <f>IF(SpaceHeater!A468&lt;&gt;"",SpaceHeater!A468,"")</f>
        <v/>
      </c>
    </row>
    <row r="469" spans="3:3" x14ac:dyDescent="0.25">
      <c r="C469" t="str">
        <f>IF(SpaceHeater!A469&lt;&gt;"",SpaceHeater!A469,"")</f>
        <v/>
      </c>
    </row>
    <row r="470" spans="3:3" x14ac:dyDescent="0.25">
      <c r="C470" t="str">
        <f>IF(SpaceHeater!A470&lt;&gt;"",SpaceHeater!A470,"")</f>
        <v/>
      </c>
    </row>
    <row r="471" spans="3:3" x14ac:dyDescent="0.25">
      <c r="C471" t="str">
        <f>IF(SpaceHeater!A471&lt;&gt;"",SpaceHeater!A471,"")</f>
        <v/>
      </c>
    </row>
    <row r="472" spans="3:3" x14ac:dyDescent="0.25">
      <c r="C472" t="str">
        <f>IF(SpaceHeater!A472&lt;&gt;"",SpaceHeater!A472,"")</f>
        <v/>
      </c>
    </row>
    <row r="473" spans="3:3" x14ac:dyDescent="0.25">
      <c r="C473" t="str">
        <f>IF(SpaceHeater!A473&lt;&gt;"",SpaceHeater!A473,"")</f>
        <v/>
      </c>
    </row>
    <row r="474" spans="3:3" x14ac:dyDescent="0.25">
      <c r="C474" t="str">
        <f>IF(SpaceHeater!A474&lt;&gt;"",SpaceHeater!A474,"")</f>
        <v/>
      </c>
    </row>
    <row r="475" spans="3:3" x14ac:dyDescent="0.25">
      <c r="C475" t="str">
        <f>IF(SpaceHeater!A475&lt;&gt;"",SpaceHeater!A475,"")</f>
        <v/>
      </c>
    </row>
    <row r="476" spans="3:3" x14ac:dyDescent="0.25">
      <c r="C476" t="str">
        <f>IF(SpaceHeater!A476&lt;&gt;"",SpaceHeater!A476,"")</f>
        <v/>
      </c>
    </row>
    <row r="477" spans="3:3" x14ac:dyDescent="0.25">
      <c r="C477" t="str">
        <f>IF(SpaceHeater!A477&lt;&gt;"",SpaceHeater!A477,"")</f>
        <v/>
      </c>
    </row>
    <row r="478" spans="3:3" x14ac:dyDescent="0.25">
      <c r="C478" t="str">
        <f>IF(SpaceHeater!A478&lt;&gt;"",SpaceHeater!A478,"")</f>
        <v/>
      </c>
    </row>
    <row r="479" spans="3:3" x14ac:dyDescent="0.25">
      <c r="C479" t="str">
        <f>IF(SpaceHeater!A479&lt;&gt;"",SpaceHeater!A479,"")</f>
        <v/>
      </c>
    </row>
    <row r="480" spans="3:3" x14ac:dyDescent="0.25">
      <c r="C480" t="str">
        <f>IF(SpaceHeater!A480&lt;&gt;"",SpaceHeater!A480,"")</f>
        <v/>
      </c>
    </row>
    <row r="481" spans="3:3" x14ac:dyDescent="0.25">
      <c r="C481" t="str">
        <f>IF(SpaceHeater!A481&lt;&gt;"",SpaceHeater!A481,"")</f>
        <v/>
      </c>
    </row>
    <row r="482" spans="3:3" x14ac:dyDescent="0.25">
      <c r="C482" t="str">
        <f>IF(SpaceHeater!A482&lt;&gt;"",SpaceHeater!A482,"")</f>
        <v/>
      </c>
    </row>
    <row r="483" spans="3:3" x14ac:dyDescent="0.25">
      <c r="C483" t="str">
        <f>IF(SpaceHeater!A483&lt;&gt;"",SpaceHeater!A483,"")</f>
        <v/>
      </c>
    </row>
    <row r="484" spans="3:3" x14ac:dyDescent="0.25">
      <c r="C484" t="str">
        <f>IF(SpaceHeater!A484&lt;&gt;"",SpaceHeater!A484,"")</f>
        <v/>
      </c>
    </row>
    <row r="485" spans="3:3" x14ac:dyDescent="0.25">
      <c r="C485" t="str">
        <f>IF(SpaceHeater!A485&lt;&gt;"",SpaceHeater!A485,"")</f>
        <v/>
      </c>
    </row>
    <row r="486" spans="3:3" x14ac:dyDescent="0.25">
      <c r="C486" t="str">
        <f>IF(SpaceHeater!A486&lt;&gt;"",SpaceHeater!A486,"")</f>
        <v/>
      </c>
    </row>
    <row r="487" spans="3:3" x14ac:dyDescent="0.25">
      <c r="C487" t="str">
        <f>IF(SpaceHeater!A487&lt;&gt;"",SpaceHeater!A487,"")</f>
        <v/>
      </c>
    </row>
    <row r="488" spans="3:3" x14ac:dyDescent="0.25">
      <c r="C488" t="str">
        <f>IF(SpaceHeater!A488&lt;&gt;"",SpaceHeater!A488,"")</f>
        <v/>
      </c>
    </row>
    <row r="489" spans="3:3" x14ac:dyDescent="0.25">
      <c r="C489" t="str">
        <f>IF(SpaceHeater!A489&lt;&gt;"",SpaceHeater!A489,"")</f>
        <v/>
      </c>
    </row>
    <row r="490" spans="3:3" x14ac:dyDescent="0.25">
      <c r="C490" t="str">
        <f>IF(SpaceHeater!A490&lt;&gt;"",SpaceHeater!A490,"")</f>
        <v/>
      </c>
    </row>
    <row r="491" spans="3:3" x14ac:dyDescent="0.25">
      <c r="C491" t="str">
        <f>IF(SpaceHeater!A491&lt;&gt;"",SpaceHeater!A491,"")</f>
        <v/>
      </c>
    </row>
    <row r="492" spans="3:3" x14ac:dyDescent="0.25">
      <c r="C492" t="str">
        <f>IF(SpaceHeater!A492&lt;&gt;"",SpaceHeater!A492,"")</f>
        <v/>
      </c>
    </row>
    <row r="493" spans="3:3" x14ac:dyDescent="0.25">
      <c r="C493" t="str">
        <f>IF(SpaceHeater!A493&lt;&gt;"",SpaceHeater!A493,"")</f>
        <v/>
      </c>
    </row>
    <row r="494" spans="3:3" x14ac:dyDescent="0.25">
      <c r="C494" t="str">
        <f>IF(SpaceHeater!A494&lt;&gt;"",SpaceHeater!A494,"")</f>
        <v/>
      </c>
    </row>
    <row r="495" spans="3:3" x14ac:dyDescent="0.25">
      <c r="C495" t="str">
        <f>IF(SpaceHeater!A495&lt;&gt;"",SpaceHeater!A495,"")</f>
        <v/>
      </c>
    </row>
    <row r="496" spans="3:3" x14ac:dyDescent="0.25">
      <c r="C496" t="str">
        <f>IF(SpaceHeater!A496&lt;&gt;"",SpaceHeater!A496,"")</f>
        <v/>
      </c>
    </row>
    <row r="497" spans="3:3" x14ac:dyDescent="0.25">
      <c r="C497" t="str">
        <f>IF(SpaceHeater!A497&lt;&gt;"",SpaceHeater!A497,"")</f>
        <v/>
      </c>
    </row>
    <row r="498" spans="3:3" x14ac:dyDescent="0.25">
      <c r="C498" t="str">
        <f>IF(SpaceHeater!A498&lt;&gt;"",SpaceHeater!A498,"")</f>
        <v/>
      </c>
    </row>
    <row r="499" spans="3:3" x14ac:dyDescent="0.25">
      <c r="C499" t="str">
        <f>IF(SpaceHeater!A499&lt;&gt;"",SpaceHeater!A499,"")</f>
        <v/>
      </c>
    </row>
    <row r="500" spans="3:3" x14ac:dyDescent="0.25">
      <c r="C500" t="str">
        <f>IF(SpaceHeater!A500&lt;&gt;"",SpaceHeater!A500,"")</f>
        <v/>
      </c>
    </row>
    <row r="501" spans="3:3" x14ac:dyDescent="0.25">
      <c r="C501" t="str">
        <f>IF(SpaceHeater!A501&lt;&gt;"",SpaceHeater!A501,"")</f>
        <v/>
      </c>
    </row>
    <row r="502" spans="3:3" x14ac:dyDescent="0.25">
      <c r="C502" t="str">
        <f>IF(SpaceHeater!A502&lt;&gt;"",SpaceHeater!A502,"")</f>
        <v/>
      </c>
    </row>
    <row r="503" spans="3:3" x14ac:dyDescent="0.25">
      <c r="C503" t="str">
        <f>IF(SpaceHeater!A503&lt;&gt;"",SpaceHeater!A503,"")</f>
        <v/>
      </c>
    </row>
    <row r="504" spans="3:3" x14ac:dyDescent="0.25">
      <c r="C504" t="str">
        <f>IF(SpaceHeater!A504&lt;&gt;"",SpaceHeater!A504,"")</f>
        <v/>
      </c>
    </row>
    <row r="505" spans="3:3" x14ac:dyDescent="0.25">
      <c r="C505" t="str">
        <f>IF(SpaceHeater!A505&lt;&gt;"",SpaceHeater!A505,"")</f>
        <v/>
      </c>
    </row>
    <row r="506" spans="3:3" x14ac:dyDescent="0.25">
      <c r="C506" t="str">
        <f>IF(SpaceHeater!A506&lt;&gt;"",SpaceHeater!A506,"")</f>
        <v/>
      </c>
    </row>
    <row r="507" spans="3:3" x14ac:dyDescent="0.25">
      <c r="C507" t="str">
        <f>IF(SpaceHeater!A507&lt;&gt;"",SpaceHeater!A507,"")</f>
        <v/>
      </c>
    </row>
    <row r="508" spans="3:3" x14ac:dyDescent="0.25">
      <c r="C508" t="str">
        <f>IF(SpaceHeater!A508&lt;&gt;"",SpaceHeater!A508,"")</f>
        <v/>
      </c>
    </row>
    <row r="509" spans="3:3" x14ac:dyDescent="0.25">
      <c r="C509" t="str">
        <f>IF(SpaceHeater!A509&lt;&gt;"",SpaceHeater!A509,"")</f>
        <v/>
      </c>
    </row>
    <row r="510" spans="3:3" x14ac:dyDescent="0.25">
      <c r="C510" t="str">
        <f>IF(SpaceHeater!A510&lt;&gt;"",SpaceHeater!A510,"")</f>
        <v/>
      </c>
    </row>
    <row r="511" spans="3:3" x14ac:dyDescent="0.25">
      <c r="C511" t="str">
        <f>IF(SpaceHeater!A511&lt;&gt;"",SpaceHeater!A511,"")</f>
        <v/>
      </c>
    </row>
    <row r="512" spans="3:3" x14ac:dyDescent="0.25">
      <c r="C512" t="str">
        <f>IF(SpaceHeater!A512&lt;&gt;"",SpaceHeater!A512,"")</f>
        <v/>
      </c>
    </row>
    <row r="513" spans="3:3" x14ac:dyDescent="0.25">
      <c r="C513" t="str">
        <f>IF(SpaceHeater!A513&lt;&gt;"",SpaceHeater!A513,"")</f>
        <v/>
      </c>
    </row>
    <row r="514" spans="3:3" x14ac:dyDescent="0.25">
      <c r="C514" t="str">
        <f>IF(SpaceHeater!A514&lt;&gt;"",SpaceHeater!A514,"")</f>
        <v/>
      </c>
    </row>
    <row r="515" spans="3:3" x14ac:dyDescent="0.25">
      <c r="C515" t="str">
        <f>IF(SpaceHeater!A515&lt;&gt;"",SpaceHeater!A515,"")</f>
        <v/>
      </c>
    </row>
    <row r="516" spans="3:3" x14ac:dyDescent="0.25">
      <c r="C516" t="str">
        <f>IF(SpaceHeater!A516&lt;&gt;"",SpaceHeater!A516,"")</f>
        <v/>
      </c>
    </row>
    <row r="517" spans="3:3" x14ac:dyDescent="0.25">
      <c r="C517" t="str">
        <f>IF(SpaceHeater!A517&lt;&gt;"",SpaceHeater!A517,"")</f>
        <v/>
      </c>
    </row>
    <row r="518" spans="3:3" x14ac:dyDescent="0.25">
      <c r="C518" t="str">
        <f>IF(SpaceHeater!A518&lt;&gt;"",SpaceHeater!A518,"")</f>
        <v/>
      </c>
    </row>
    <row r="519" spans="3:3" x14ac:dyDescent="0.25">
      <c r="C519" t="str">
        <f>IF(SpaceHeater!A519&lt;&gt;"",SpaceHeater!A519,"")</f>
        <v/>
      </c>
    </row>
    <row r="520" spans="3:3" x14ac:dyDescent="0.25">
      <c r="C520" t="str">
        <f>IF(SpaceHeater!A520&lt;&gt;"",SpaceHeater!A520,"")</f>
        <v/>
      </c>
    </row>
    <row r="521" spans="3:3" x14ac:dyDescent="0.25">
      <c r="C521" t="str">
        <f>IF(SpaceHeater!A521&lt;&gt;"",SpaceHeater!A521,"")</f>
        <v/>
      </c>
    </row>
    <row r="522" spans="3:3" x14ac:dyDescent="0.25">
      <c r="C522" t="str">
        <f>IF(SpaceHeater!A522&lt;&gt;"",SpaceHeater!A522,"")</f>
        <v/>
      </c>
    </row>
    <row r="523" spans="3:3" x14ac:dyDescent="0.25">
      <c r="C523" t="str">
        <f>IF(SpaceHeater!A523&lt;&gt;"",SpaceHeater!A523,"")</f>
        <v/>
      </c>
    </row>
    <row r="524" spans="3:3" x14ac:dyDescent="0.25">
      <c r="C524" t="str">
        <f>IF(SpaceHeater!A524&lt;&gt;"",SpaceHeater!A524,"")</f>
        <v/>
      </c>
    </row>
    <row r="525" spans="3:3" x14ac:dyDescent="0.25">
      <c r="C525" t="str">
        <f>IF(SpaceHeater!A525&lt;&gt;"",SpaceHeater!A525,"")</f>
        <v/>
      </c>
    </row>
    <row r="526" spans="3:3" x14ac:dyDescent="0.25">
      <c r="C526" t="str">
        <f>IF(SpaceHeater!A526&lt;&gt;"",SpaceHeater!A526,"")</f>
        <v/>
      </c>
    </row>
    <row r="527" spans="3:3" x14ac:dyDescent="0.25">
      <c r="C527" t="str">
        <f>IF(SpaceHeater!A527&lt;&gt;"",SpaceHeater!A527,"")</f>
        <v/>
      </c>
    </row>
    <row r="528" spans="3:3" x14ac:dyDescent="0.25">
      <c r="C528" t="str">
        <f>IF(SpaceHeater!A528&lt;&gt;"",SpaceHeater!A528,"")</f>
        <v/>
      </c>
    </row>
    <row r="529" spans="3:3" x14ac:dyDescent="0.25">
      <c r="C529" t="str">
        <f>IF(SpaceHeater!A529&lt;&gt;"",SpaceHeater!A529,"")</f>
        <v/>
      </c>
    </row>
    <row r="530" spans="3:3" x14ac:dyDescent="0.25">
      <c r="C530" t="str">
        <f>IF(SpaceHeater!A530&lt;&gt;"",SpaceHeater!A530,"")</f>
        <v/>
      </c>
    </row>
    <row r="531" spans="3:3" x14ac:dyDescent="0.25">
      <c r="C531" t="str">
        <f>IF(SpaceHeater!A531&lt;&gt;"",SpaceHeater!A531,"")</f>
        <v/>
      </c>
    </row>
    <row r="532" spans="3:3" x14ac:dyDescent="0.25">
      <c r="C532" t="str">
        <f>IF(SpaceHeater!A532&lt;&gt;"",SpaceHeater!A532,"")</f>
        <v/>
      </c>
    </row>
    <row r="533" spans="3:3" x14ac:dyDescent="0.25">
      <c r="C533" t="str">
        <f>IF(SpaceHeater!A533&lt;&gt;"",SpaceHeater!A533,"")</f>
        <v/>
      </c>
    </row>
    <row r="534" spans="3:3" x14ac:dyDescent="0.25">
      <c r="C534" t="str">
        <f>IF(SpaceHeater!A534&lt;&gt;"",SpaceHeater!A534,"")</f>
        <v/>
      </c>
    </row>
    <row r="535" spans="3:3" x14ac:dyDescent="0.25">
      <c r="C535" t="str">
        <f>IF(SpaceHeater!A535&lt;&gt;"",SpaceHeater!A535,"")</f>
        <v/>
      </c>
    </row>
    <row r="536" spans="3:3" x14ac:dyDescent="0.25">
      <c r="C536" t="str">
        <f>IF(SpaceHeater!A536&lt;&gt;"",SpaceHeater!A536,"")</f>
        <v/>
      </c>
    </row>
    <row r="537" spans="3:3" x14ac:dyDescent="0.25">
      <c r="C537" t="str">
        <f>IF(SpaceHeater!A537&lt;&gt;"",SpaceHeater!A537,"")</f>
        <v/>
      </c>
    </row>
    <row r="538" spans="3:3" x14ac:dyDescent="0.25">
      <c r="C538" t="str">
        <f>IF(SpaceHeater!A538&lt;&gt;"",SpaceHeater!A538,"")</f>
        <v/>
      </c>
    </row>
    <row r="539" spans="3:3" x14ac:dyDescent="0.25">
      <c r="C539" t="str">
        <f>IF(SpaceHeater!A539&lt;&gt;"",SpaceHeater!A539,"")</f>
        <v/>
      </c>
    </row>
    <row r="540" spans="3:3" x14ac:dyDescent="0.25">
      <c r="C540" t="str">
        <f>IF(SpaceHeater!A540&lt;&gt;"",SpaceHeater!A540,"")</f>
        <v/>
      </c>
    </row>
    <row r="541" spans="3:3" x14ac:dyDescent="0.25">
      <c r="C541" t="str">
        <f>IF(SpaceHeater!A541&lt;&gt;"",SpaceHeater!A541,"")</f>
        <v/>
      </c>
    </row>
    <row r="542" spans="3:3" x14ac:dyDescent="0.25">
      <c r="C542" t="str">
        <f>IF(SpaceHeater!A542&lt;&gt;"",SpaceHeater!A542,"")</f>
        <v/>
      </c>
    </row>
    <row r="543" spans="3:3" x14ac:dyDescent="0.25">
      <c r="C543" t="str">
        <f>IF(SpaceHeater!A543&lt;&gt;"",SpaceHeater!A543,"")</f>
        <v/>
      </c>
    </row>
    <row r="544" spans="3:3" x14ac:dyDescent="0.25">
      <c r="C544" t="str">
        <f>IF(SpaceHeater!A544&lt;&gt;"",SpaceHeater!A544,"")</f>
        <v/>
      </c>
    </row>
    <row r="545" spans="3:3" x14ac:dyDescent="0.25">
      <c r="C545" t="str">
        <f>IF(SpaceHeater!A545&lt;&gt;"",SpaceHeater!A545,"")</f>
        <v/>
      </c>
    </row>
    <row r="546" spans="3:3" x14ac:dyDescent="0.25">
      <c r="C546" t="str">
        <f>IF(SpaceHeater!A546&lt;&gt;"",SpaceHeater!A546,"")</f>
        <v/>
      </c>
    </row>
    <row r="547" spans="3:3" x14ac:dyDescent="0.25">
      <c r="C547" t="str">
        <f>IF(SpaceHeater!A547&lt;&gt;"",SpaceHeater!A547,"")</f>
        <v/>
      </c>
    </row>
    <row r="548" spans="3:3" x14ac:dyDescent="0.25">
      <c r="C548" t="str">
        <f>IF(SpaceHeater!A548&lt;&gt;"",SpaceHeater!A548,"")</f>
        <v/>
      </c>
    </row>
    <row r="549" spans="3:3" x14ac:dyDescent="0.25">
      <c r="C549" t="str">
        <f>IF(SpaceHeater!A549&lt;&gt;"",SpaceHeater!A549,"")</f>
        <v/>
      </c>
    </row>
    <row r="550" spans="3:3" x14ac:dyDescent="0.25">
      <c r="C550" t="str">
        <f>IF(SpaceHeater!A550&lt;&gt;"",SpaceHeater!A550,"")</f>
        <v/>
      </c>
    </row>
    <row r="551" spans="3:3" x14ac:dyDescent="0.25">
      <c r="C551" t="str">
        <f>IF(SpaceHeater!A551&lt;&gt;"",SpaceHeater!A551,"")</f>
        <v/>
      </c>
    </row>
    <row r="552" spans="3:3" x14ac:dyDescent="0.25">
      <c r="C552" t="str">
        <f>IF(SpaceHeater!A552&lt;&gt;"",SpaceHeater!A552,"")</f>
        <v/>
      </c>
    </row>
    <row r="553" spans="3:3" x14ac:dyDescent="0.25">
      <c r="C553" t="str">
        <f>IF(SpaceHeater!A553&lt;&gt;"",SpaceHeater!A553,"")</f>
        <v/>
      </c>
    </row>
    <row r="554" spans="3:3" x14ac:dyDescent="0.25">
      <c r="C554" t="str">
        <f>IF(SpaceHeater!A554&lt;&gt;"",SpaceHeater!A554,"")</f>
        <v/>
      </c>
    </row>
    <row r="555" spans="3:3" x14ac:dyDescent="0.25">
      <c r="C555" t="str">
        <f>IF(SpaceHeater!A555&lt;&gt;"",SpaceHeater!A555,"")</f>
        <v/>
      </c>
    </row>
    <row r="556" spans="3:3" x14ac:dyDescent="0.25">
      <c r="C556" t="str">
        <f>IF(SpaceHeater!A556&lt;&gt;"",SpaceHeater!A556,"")</f>
        <v/>
      </c>
    </row>
    <row r="557" spans="3:3" x14ac:dyDescent="0.25">
      <c r="C557" t="str">
        <f>IF(SpaceHeater!A557&lt;&gt;"",SpaceHeater!A557,"")</f>
        <v/>
      </c>
    </row>
    <row r="558" spans="3:3" x14ac:dyDescent="0.25">
      <c r="C558" t="str">
        <f>IF(SpaceHeater!A558&lt;&gt;"",SpaceHeater!A558,"")</f>
        <v/>
      </c>
    </row>
    <row r="559" spans="3:3" x14ac:dyDescent="0.25">
      <c r="C559" t="str">
        <f>IF(SpaceHeater!A559&lt;&gt;"",SpaceHeater!A559,"")</f>
        <v/>
      </c>
    </row>
    <row r="560" spans="3:3" x14ac:dyDescent="0.25">
      <c r="C560" t="str">
        <f>IF(SpaceHeater!A560&lt;&gt;"",SpaceHeater!A560,"")</f>
        <v/>
      </c>
    </row>
    <row r="561" spans="3:3" x14ac:dyDescent="0.25">
      <c r="C561" t="str">
        <f>IF(SpaceHeater!A561&lt;&gt;"",SpaceHeater!A561,"")</f>
        <v/>
      </c>
    </row>
    <row r="562" spans="3:3" x14ac:dyDescent="0.25">
      <c r="C562" t="str">
        <f>IF(SpaceHeater!A562&lt;&gt;"",SpaceHeater!A562,"")</f>
        <v/>
      </c>
    </row>
    <row r="563" spans="3:3" x14ac:dyDescent="0.25">
      <c r="C563" t="str">
        <f>IF(SpaceHeater!A563&lt;&gt;"",SpaceHeater!A563,"")</f>
        <v/>
      </c>
    </row>
    <row r="564" spans="3:3" x14ac:dyDescent="0.25">
      <c r="C564" t="str">
        <f>IF(SpaceHeater!A564&lt;&gt;"",SpaceHeater!A564,"")</f>
        <v/>
      </c>
    </row>
    <row r="565" spans="3:3" x14ac:dyDescent="0.25">
      <c r="C565" t="str">
        <f>IF(SpaceHeater!A565&lt;&gt;"",SpaceHeater!A565,"")</f>
        <v/>
      </c>
    </row>
    <row r="566" spans="3:3" x14ac:dyDescent="0.25">
      <c r="C566" t="str">
        <f>IF(SpaceHeater!A566&lt;&gt;"",SpaceHeater!A566,"")</f>
        <v/>
      </c>
    </row>
    <row r="567" spans="3:3" x14ac:dyDescent="0.25">
      <c r="C567" t="str">
        <f>IF(SpaceHeater!A567&lt;&gt;"",SpaceHeater!A567,"")</f>
        <v/>
      </c>
    </row>
    <row r="568" spans="3:3" x14ac:dyDescent="0.25">
      <c r="C568" t="str">
        <f>IF(SpaceHeater!A568&lt;&gt;"",SpaceHeater!A568,"")</f>
        <v/>
      </c>
    </row>
    <row r="569" spans="3:3" x14ac:dyDescent="0.25">
      <c r="C569" t="str">
        <f>IF(SpaceHeater!A569&lt;&gt;"",SpaceHeater!A569,"")</f>
        <v/>
      </c>
    </row>
    <row r="570" spans="3:3" x14ac:dyDescent="0.25">
      <c r="C570" t="str">
        <f>IF(SpaceHeater!A570&lt;&gt;"",SpaceHeater!A570,"")</f>
        <v/>
      </c>
    </row>
    <row r="571" spans="3:3" x14ac:dyDescent="0.25">
      <c r="C571" t="str">
        <f>IF(SpaceHeater!A571&lt;&gt;"",SpaceHeater!A571,"")</f>
        <v/>
      </c>
    </row>
    <row r="572" spans="3:3" x14ac:dyDescent="0.25">
      <c r="C572" t="str">
        <f>IF(SpaceHeater!A572&lt;&gt;"",SpaceHeater!A572,"")</f>
        <v/>
      </c>
    </row>
    <row r="573" spans="3:3" x14ac:dyDescent="0.25">
      <c r="C573" t="str">
        <f>IF(SpaceHeater!A573&lt;&gt;"",SpaceHeater!A573,"")</f>
        <v/>
      </c>
    </row>
    <row r="574" spans="3:3" x14ac:dyDescent="0.25">
      <c r="C574" t="str">
        <f>IF(SpaceHeater!A574&lt;&gt;"",SpaceHeater!A574,"")</f>
        <v/>
      </c>
    </row>
    <row r="575" spans="3:3" x14ac:dyDescent="0.25">
      <c r="C575" t="str">
        <f>IF(SpaceHeater!A575&lt;&gt;"",SpaceHeater!A575,"")</f>
        <v/>
      </c>
    </row>
    <row r="576" spans="3:3" x14ac:dyDescent="0.25">
      <c r="C576" t="str">
        <f>IF(SpaceHeater!A576&lt;&gt;"",SpaceHeater!A576,"")</f>
        <v/>
      </c>
    </row>
    <row r="577" spans="3:3" x14ac:dyDescent="0.25">
      <c r="C577" t="str">
        <f>IF(SpaceHeater!A577&lt;&gt;"",SpaceHeater!A577,"")</f>
        <v/>
      </c>
    </row>
    <row r="578" spans="3:3" x14ac:dyDescent="0.25">
      <c r="C578" t="str">
        <f>IF(SpaceHeater!A578&lt;&gt;"",SpaceHeater!A578,"")</f>
        <v/>
      </c>
    </row>
    <row r="579" spans="3:3" x14ac:dyDescent="0.25">
      <c r="C579" t="str">
        <f>IF(SpaceHeater!A579&lt;&gt;"",SpaceHeater!A579,"")</f>
        <v/>
      </c>
    </row>
    <row r="580" spans="3:3" x14ac:dyDescent="0.25">
      <c r="C580" t="str">
        <f>IF(SpaceHeater!A580&lt;&gt;"",SpaceHeater!A580,"")</f>
        <v/>
      </c>
    </row>
    <row r="581" spans="3:3" x14ac:dyDescent="0.25">
      <c r="C581" t="str">
        <f>IF(SpaceHeater!A581&lt;&gt;"",SpaceHeater!A581,"")</f>
        <v/>
      </c>
    </row>
    <row r="582" spans="3:3" x14ac:dyDescent="0.25">
      <c r="C582" t="str">
        <f>IF(SpaceHeater!A582&lt;&gt;"",SpaceHeater!A582,"")</f>
        <v/>
      </c>
    </row>
    <row r="583" spans="3:3" x14ac:dyDescent="0.25">
      <c r="C583" t="str">
        <f>IF(SpaceHeater!A583&lt;&gt;"",SpaceHeater!A583,"")</f>
        <v/>
      </c>
    </row>
    <row r="584" spans="3:3" x14ac:dyDescent="0.25">
      <c r="C584" t="str">
        <f>IF(SpaceHeater!A584&lt;&gt;"",SpaceHeater!A584,"")</f>
        <v/>
      </c>
    </row>
    <row r="585" spans="3:3" x14ac:dyDescent="0.25">
      <c r="C585" t="str">
        <f>IF(SpaceHeater!A585&lt;&gt;"",SpaceHeater!A585,"")</f>
        <v/>
      </c>
    </row>
    <row r="586" spans="3:3" x14ac:dyDescent="0.25">
      <c r="C586" t="str">
        <f>IF(SpaceHeater!A586&lt;&gt;"",SpaceHeater!A586,"")</f>
        <v/>
      </c>
    </row>
    <row r="587" spans="3:3" x14ac:dyDescent="0.25">
      <c r="C587" t="str">
        <f>IF(SpaceHeater!A587&lt;&gt;"",SpaceHeater!A587,"")</f>
        <v/>
      </c>
    </row>
    <row r="588" spans="3:3" x14ac:dyDescent="0.25">
      <c r="C588" t="str">
        <f>IF(SpaceHeater!A588&lt;&gt;"",SpaceHeater!A588,"")</f>
        <v/>
      </c>
    </row>
    <row r="589" spans="3:3" x14ac:dyDescent="0.25">
      <c r="C589" t="str">
        <f>IF(SpaceHeater!A589&lt;&gt;"",SpaceHeater!A589,"")</f>
        <v/>
      </c>
    </row>
    <row r="590" spans="3:3" x14ac:dyDescent="0.25">
      <c r="C590" t="str">
        <f>IF(SpaceHeater!A590&lt;&gt;"",SpaceHeater!A590,"")</f>
        <v/>
      </c>
    </row>
    <row r="591" spans="3:3" x14ac:dyDescent="0.25">
      <c r="C591" t="str">
        <f>IF(SpaceHeater!A591&lt;&gt;"",SpaceHeater!A591,"")</f>
        <v/>
      </c>
    </row>
    <row r="592" spans="3:3" x14ac:dyDescent="0.25">
      <c r="C592" t="str">
        <f>IF(SpaceHeater!A592&lt;&gt;"",SpaceHeater!A592,"")</f>
        <v/>
      </c>
    </row>
    <row r="593" spans="3:3" x14ac:dyDescent="0.25">
      <c r="C593" t="str">
        <f>IF(SpaceHeater!A593&lt;&gt;"",SpaceHeater!A593,"")</f>
        <v/>
      </c>
    </row>
    <row r="594" spans="3:3" x14ac:dyDescent="0.25">
      <c r="C594" t="str">
        <f>IF(SpaceHeater!A594&lt;&gt;"",SpaceHeater!A594,"")</f>
        <v/>
      </c>
    </row>
    <row r="595" spans="3:3" x14ac:dyDescent="0.25">
      <c r="C595" t="str">
        <f>IF(SpaceHeater!A595&lt;&gt;"",SpaceHeater!A595,"")</f>
        <v/>
      </c>
    </row>
    <row r="596" spans="3:3" x14ac:dyDescent="0.25">
      <c r="C596" t="str">
        <f>IF(SpaceHeater!A596&lt;&gt;"",SpaceHeater!A596,"")</f>
        <v/>
      </c>
    </row>
    <row r="597" spans="3:3" x14ac:dyDescent="0.25">
      <c r="C597" t="str">
        <f>IF(SpaceHeater!A597&lt;&gt;"",SpaceHeater!A597,"")</f>
        <v/>
      </c>
    </row>
    <row r="598" spans="3:3" x14ac:dyDescent="0.25">
      <c r="C598" t="str">
        <f>IF(SpaceHeater!A598&lt;&gt;"",SpaceHeater!A598,"")</f>
        <v/>
      </c>
    </row>
    <row r="599" spans="3:3" x14ac:dyDescent="0.25">
      <c r="C599" t="str">
        <f>IF(SpaceHeater!A599&lt;&gt;"",SpaceHeater!A599,"")</f>
        <v/>
      </c>
    </row>
    <row r="600" spans="3:3" x14ac:dyDescent="0.25">
      <c r="C600" t="str">
        <f>IF(SpaceHeater!A600&lt;&gt;"",SpaceHeater!A600,"")</f>
        <v/>
      </c>
    </row>
    <row r="601" spans="3:3" x14ac:dyDescent="0.25">
      <c r="C601" t="str">
        <f>IF(SpaceHeater!A601&lt;&gt;"",SpaceHeater!A601,"")</f>
        <v/>
      </c>
    </row>
    <row r="602" spans="3:3" x14ac:dyDescent="0.25">
      <c r="C602" t="str">
        <f>IF(SpaceHeater!A602&lt;&gt;"",SpaceHeater!A602,"")</f>
        <v/>
      </c>
    </row>
    <row r="603" spans="3:3" x14ac:dyDescent="0.25">
      <c r="C603" t="str">
        <f>IF(SpaceHeater!A603&lt;&gt;"",SpaceHeater!A603,"")</f>
        <v/>
      </c>
    </row>
    <row r="604" spans="3:3" x14ac:dyDescent="0.25">
      <c r="C604" t="str">
        <f>IF(SpaceHeater!A604&lt;&gt;"",SpaceHeater!A604,"")</f>
        <v/>
      </c>
    </row>
    <row r="605" spans="3:3" x14ac:dyDescent="0.25">
      <c r="C605" t="str">
        <f>IF(SpaceHeater!A605&lt;&gt;"",SpaceHeater!A605,"")</f>
        <v/>
      </c>
    </row>
    <row r="606" spans="3:3" x14ac:dyDescent="0.25">
      <c r="C606" t="str">
        <f>IF(SpaceHeater!A606&lt;&gt;"",SpaceHeater!A606,"")</f>
        <v/>
      </c>
    </row>
    <row r="607" spans="3:3" x14ac:dyDescent="0.25">
      <c r="C607" t="str">
        <f>IF(SpaceHeater!A607&lt;&gt;"",SpaceHeater!A607,"")</f>
        <v/>
      </c>
    </row>
    <row r="608" spans="3:3" x14ac:dyDescent="0.25">
      <c r="C608" t="str">
        <f>IF(SpaceHeater!A608&lt;&gt;"",SpaceHeater!A608,"")</f>
        <v/>
      </c>
    </row>
    <row r="609" spans="3:3" x14ac:dyDescent="0.25">
      <c r="C609" t="str">
        <f>IF(SpaceHeater!A609&lt;&gt;"",SpaceHeater!A609,"")</f>
        <v/>
      </c>
    </row>
    <row r="610" spans="3:3" x14ac:dyDescent="0.25">
      <c r="C610" t="str">
        <f>IF(SpaceHeater!A610&lt;&gt;"",SpaceHeater!A610,"")</f>
        <v/>
      </c>
    </row>
    <row r="611" spans="3:3" x14ac:dyDescent="0.25">
      <c r="C611" t="str">
        <f>IF(SpaceHeater!A611&lt;&gt;"",SpaceHeater!A611,"")</f>
        <v/>
      </c>
    </row>
    <row r="612" spans="3:3" x14ac:dyDescent="0.25">
      <c r="C612" t="str">
        <f>IF(SpaceHeater!A612&lt;&gt;"",SpaceHeater!A612,"")</f>
        <v/>
      </c>
    </row>
    <row r="613" spans="3:3" x14ac:dyDescent="0.25">
      <c r="C613" t="str">
        <f>IF(SpaceHeater!A613&lt;&gt;"",SpaceHeater!A613,"")</f>
        <v/>
      </c>
    </row>
    <row r="614" spans="3:3" x14ac:dyDescent="0.25">
      <c r="C614" t="str">
        <f>IF(SpaceHeater!A614&lt;&gt;"",SpaceHeater!A614,"")</f>
        <v/>
      </c>
    </row>
    <row r="615" spans="3:3" x14ac:dyDescent="0.25">
      <c r="C615" t="str">
        <f>IF(SpaceHeater!A615&lt;&gt;"",SpaceHeater!A615,"")</f>
        <v/>
      </c>
    </row>
    <row r="616" spans="3:3" x14ac:dyDescent="0.25">
      <c r="C616" t="str">
        <f>IF(SpaceHeater!A616&lt;&gt;"",SpaceHeater!A616,"")</f>
        <v/>
      </c>
    </row>
    <row r="617" spans="3:3" x14ac:dyDescent="0.25">
      <c r="C617" t="str">
        <f>IF(SpaceHeater!A617&lt;&gt;"",SpaceHeater!A617,"")</f>
        <v/>
      </c>
    </row>
    <row r="618" spans="3:3" x14ac:dyDescent="0.25">
      <c r="C618" t="str">
        <f>IF(SpaceHeater!A618&lt;&gt;"",SpaceHeater!A618,"")</f>
        <v/>
      </c>
    </row>
    <row r="619" spans="3:3" x14ac:dyDescent="0.25">
      <c r="C619" t="str">
        <f>IF(SpaceHeater!A619&lt;&gt;"",SpaceHeater!A619,"")</f>
        <v/>
      </c>
    </row>
    <row r="620" spans="3:3" x14ac:dyDescent="0.25">
      <c r="C620" t="str">
        <f>IF(SpaceHeater!A620&lt;&gt;"",SpaceHeater!A620,"")</f>
        <v/>
      </c>
    </row>
    <row r="621" spans="3:3" x14ac:dyDescent="0.25">
      <c r="C621" t="str">
        <f>IF(SpaceHeater!A621&lt;&gt;"",SpaceHeater!A621,"")</f>
        <v/>
      </c>
    </row>
    <row r="622" spans="3:3" x14ac:dyDescent="0.25">
      <c r="C622" t="str">
        <f>IF(SpaceHeater!A622&lt;&gt;"",SpaceHeater!A622,"")</f>
        <v/>
      </c>
    </row>
    <row r="623" spans="3:3" x14ac:dyDescent="0.25">
      <c r="C623" t="str">
        <f>IF(SpaceHeater!A623&lt;&gt;"",SpaceHeater!A623,"")</f>
        <v/>
      </c>
    </row>
    <row r="624" spans="3:3" x14ac:dyDescent="0.25">
      <c r="C624" t="str">
        <f>IF(SpaceHeater!A624&lt;&gt;"",SpaceHeater!A624,"")</f>
        <v/>
      </c>
    </row>
    <row r="625" spans="3:3" x14ac:dyDescent="0.25">
      <c r="C625" t="str">
        <f>IF(SpaceHeater!A625&lt;&gt;"",SpaceHeater!A625,"")</f>
        <v/>
      </c>
    </row>
    <row r="626" spans="3:3" x14ac:dyDescent="0.25">
      <c r="C626" t="str">
        <f>IF(SpaceHeater!A626&lt;&gt;"",SpaceHeater!A626,"")</f>
        <v/>
      </c>
    </row>
    <row r="627" spans="3:3" x14ac:dyDescent="0.25">
      <c r="C627" t="str">
        <f>IF(SpaceHeater!A627&lt;&gt;"",SpaceHeater!A627,"")</f>
        <v/>
      </c>
    </row>
    <row r="628" spans="3:3" x14ac:dyDescent="0.25">
      <c r="C628" t="str">
        <f>IF(SpaceHeater!A628&lt;&gt;"",SpaceHeater!A628,"")</f>
        <v/>
      </c>
    </row>
    <row r="629" spans="3:3" x14ac:dyDescent="0.25">
      <c r="C629" t="str">
        <f>IF(SpaceHeater!A629&lt;&gt;"",SpaceHeater!A629,"")</f>
        <v/>
      </c>
    </row>
    <row r="630" spans="3:3" x14ac:dyDescent="0.25">
      <c r="C630" t="str">
        <f>IF(SpaceHeater!A630&lt;&gt;"",SpaceHeater!A630,"")</f>
        <v/>
      </c>
    </row>
    <row r="631" spans="3:3" x14ac:dyDescent="0.25">
      <c r="C631" t="str">
        <f>IF(SpaceHeater!A631&lt;&gt;"",SpaceHeater!A631,"")</f>
        <v/>
      </c>
    </row>
    <row r="632" spans="3:3" x14ac:dyDescent="0.25">
      <c r="C632" t="str">
        <f>IF(SpaceHeater!A632&lt;&gt;"",SpaceHeater!A632,"")</f>
        <v/>
      </c>
    </row>
    <row r="633" spans="3:3" x14ac:dyDescent="0.25">
      <c r="C633" t="str">
        <f>IF(SpaceHeater!A633&lt;&gt;"",SpaceHeater!A633,"")</f>
        <v/>
      </c>
    </row>
    <row r="634" spans="3:3" x14ac:dyDescent="0.25">
      <c r="C634" t="str">
        <f>IF(SpaceHeater!A634&lt;&gt;"",SpaceHeater!A634,"")</f>
        <v/>
      </c>
    </row>
    <row r="635" spans="3:3" x14ac:dyDescent="0.25">
      <c r="C635" t="str">
        <f>IF(SpaceHeater!A635&lt;&gt;"",SpaceHeater!A635,"")</f>
        <v/>
      </c>
    </row>
    <row r="636" spans="3:3" x14ac:dyDescent="0.25">
      <c r="C636" t="str">
        <f>IF(SpaceHeater!A636&lt;&gt;"",SpaceHeater!A636,"")</f>
        <v/>
      </c>
    </row>
    <row r="637" spans="3:3" x14ac:dyDescent="0.25">
      <c r="C637" t="str">
        <f>IF(SpaceHeater!A637&lt;&gt;"",SpaceHeater!A637,"")</f>
        <v/>
      </c>
    </row>
    <row r="638" spans="3:3" x14ac:dyDescent="0.25">
      <c r="C638" t="str">
        <f>IF(SpaceHeater!A638&lt;&gt;"",SpaceHeater!A638,"")</f>
        <v/>
      </c>
    </row>
    <row r="639" spans="3:3" x14ac:dyDescent="0.25">
      <c r="C639" t="str">
        <f>IF(SpaceHeater!A639&lt;&gt;"",SpaceHeater!A639,"")</f>
        <v/>
      </c>
    </row>
    <row r="640" spans="3:3" x14ac:dyDescent="0.25">
      <c r="C640" t="str">
        <f>IF(SpaceHeater!A640&lt;&gt;"",SpaceHeater!A640,"")</f>
        <v/>
      </c>
    </row>
    <row r="641" spans="3:3" x14ac:dyDescent="0.25">
      <c r="C641" t="str">
        <f>IF(SpaceHeater!A641&lt;&gt;"",SpaceHeater!A641,"")</f>
        <v/>
      </c>
    </row>
    <row r="642" spans="3:3" x14ac:dyDescent="0.25">
      <c r="C642" t="str">
        <f>IF(SpaceHeater!A642&lt;&gt;"",SpaceHeater!A642,"")</f>
        <v/>
      </c>
    </row>
    <row r="643" spans="3:3" x14ac:dyDescent="0.25">
      <c r="C643" t="str">
        <f>IF(SpaceHeater!A643&lt;&gt;"",SpaceHeater!A643,"")</f>
        <v/>
      </c>
    </row>
    <row r="644" spans="3:3" x14ac:dyDescent="0.25">
      <c r="C644" t="str">
        <f>IF(SpaceHeater!A644&lt;&gt;"",SpaceHeater!A644,"")</f>
        <v/>
      </c>
    </row>
    <row r="645" spans="3:3" x14ac:dyDescent="0.25">
      <c r="C645" t="str">
        <f>IF(SpaceHeater!A645&lt;&gt;"",SpaceHeater!A645,"")</f>
        <v/>
      </c>
    </row>
    <row r="646" spans="3:3" x14ac:dyDescent="0.25">
      <c r="C646" t="str">
        <f>IF(SpaceHeater!A646&lt;&gt;"",SpaceHeater!A646,"")</f>
        <v/>
      </c>
    </row>
    <row r="647" spans="3:3" x14ac:dyDescent="0.25">
      <c r="C647" t="str">
        <f>IF(SpaceHeater!A647&lt;&gt;"",SpaceHeater!A647,"")</f>
        <v/>
      </c>
    </row>
    <row r="648" spans="3:3" x14ac:dyDescent="0.25">
      <c r="C648" t="str">
        <f>IF(SpaceHeater!A648&lt;&gt;"",SpaceHeater!A648,"")</f>
        <v/>
      </c>
    </row>
    <row r="649" spans="3:3" x14ac:dyDescent="0.25">
      <c r="C649" t="str">
        <f>IF(SpaceHeater!A649&lt;&gt;"",SpaceHeater!A649,"")</f>
        <v/>
      </c>
    </row>
    <row r="650" spans="3:3" x14ac:dyDescent="0.25">
      <c r="C650" t="str">
        <f>IF(SpaceHeater!A650&lt;&gt;"",SpaceHeater!A650,"")</f>
        <v/>
      </c>
    </row>
    <row r="651" spans="3:3" x14ac:dyDescent="0.25">
      <c r="C651" t="str">
        <f>IF(SpaceHeater!A651&lt;&gt;"",SpaceHeater!A651,"")</f>
        <v/>
      </c>
    </row>
    <row r="652" spans="3:3" x14ac:dyDescent="0.25">
      <c r="C652" t="str">
        <f>IF(SpaceHeater!A652&lt;&gt;"",SpaceHeater!A652,"")</f>
        <v/>
      </c>
    </row>
    <row r="653" spans="3:3" x14ac:dyDescent="0.25">
      <c r="C653" t="str">
        <f>IF(SpaceHeater!A653&lt;&gt;"",SpaceHeater!A653,"")</f>
        <v/>
      </c>
    </row>
    <row r="654" spans="3:3" x14ac:dyDescent="0.25">
      <c r="C654" t="str">
        <f>IF(SpaceHeater!A654&lt;&gt;"",SpaceHeater!A654,"")</f>
        <v/>
      </c>
    </row>
    <row r="655" spans="3:3" x14ac:dyDescent="0.25">
      <c r="C655" t="str">
        <f>IF(SpaceHeater!A655&lt;&gt;"",SpaceHeater!A655,"")</f>
        <v/>
      </c>
    </row>
    <row r="656" spans="3:3" x14ac:dyDescent="0.25">
      <c r="C656" t="str">
        <f>IF(SpaceHeater!A656&lt;&gt;"",SpaceHeater!A656,"")</f>
        <v/>
      </c>
    </row>
    <row r="657" spans="3:3" x14ac:dyDescent="0.25">
      <c r="C657" t="str">
        <f>IF(SpaceHeater!A657&lt;&gt;"",SpaceHeater!A657,"")</f>
        <v/>
      </c>
    </row>
    <row r="658" spans="3:3" x14ac:dyDescent="0.25">
      <c r="C658" t="str">
        <f>IF(SpaceHeater!A658&lt;&gt;"",SpaceHeater!A658,"")</f>
        <v/>
      </c>
    </row>
    <row r="659" spans="3:3" x14ac:dyDescent="0.25">
      <c r="C659" t="str">
        <f>IF(SpaceHeater!A659&lt;&gt;"",SpaceHeater!A659,"")</f>
        <v/>
      </c>
    </row>
    <row r="660" spans="3:3" x14ac:dyDescent="0.25">
      <c r="C660" t="str">
        <f>IF(SpaceHeater!A660&lt;&gt;"",SpaceHeater!A660,"")</f>
        <v/>
      </c>
    </row>
    <row r="661" spans="3:3" x14ac:dyDescent="0.25">
      <c r="C661" t="str">
        <f>IF(SpaceHeater!A661&lt;&gt;"",SpaceHeater!A661,"")</f>
        <v/>
      </c>
    </row>
    <row r="662" spans="3:3" x14ac:dyDescent="0.25">
      <c r="C662" t="str">
        <f>IF(SpaceHeater!A662&lt;&gt;"",SpaceHeater!A662,"")</f>
        <v/>
      </c>
    </row>
    <row r="663" spans="3:3" x14ac:dyDescent="0.25">
      <c r="C663" t="str">
        <f>IF(SpaceHeater!A663&lt;&gt;"",SpaceHeater!A663,"")</f>
        <v/>
      </c>
    </row>
    <row r="664" spans="3:3" x14ac:dyDescent="0.25">
      <c r="C664" t="str">
        <f>IF(SpaceHeater!A664&lt;&gt;"",SpaceHeater!A664,"")</f>
        <v/>
      </c>
    </row>
    <row r="665" spans="3:3" x14ac:dyDescent="0.25">
      <c r="C665" t="str">
        <f>IF(SpaceHeater!A665&lt;&gt;"",SpaceHeater!A665,"")</f>
        <v/>
      </c>
    </row>
    <row r="666" spans="3:3" x14ac:dyDescent="0.25">
      <c r="C666" t="str">
        <f>IF(SpaceHeater!A666&lt;&gt;"",SpaceHeater!A666,"")</f>
        <v/>
      </c>
    </row>
    <row r="667" spans="3:3" x14ac:dyDescent="0.25">
      <c r="C667" t="str">
        <f>IF(SpaceHeater!A667&lt;&gt;"",SpaceHeater!A667,"")</f>
        <v/>
      </c>
    </row>
    <row r="668" spans="3:3" x14ac:dyDescent="0.25">
      <c r="C668" t="str">
        <f>IF(SpaceHeater!A668&lt;&gt;"",SpaceHeater!A668,"")</f>
        <v/>
      </c>
    </row>
    <row r="669" spans="3:3" x14ac:dyDescent="0.25">
      <c r="C669" t="str">
        <f>IF(SpaceHeater!A669&lt;&gt;"",SpaceHeater!A669,"")</f>
        <v/>
      </c>
    </row>
    <row r="670" spans="3:3" x14ac:dyDescent="0.25">
      <c r="C670" t="str">
        <f>IF(SpaceHeater!A670&lt;&gt;"",SpaceHeater!A670,"")</f>
        <v/>
      </c>
    </row>
    <row r="671" spans="3:3" x14ac:dyDescent="0.25">
      <c r="C671" t="str">
        <f>IF(SpaceHeater!A671&lt;&gt;"",SpaceHeater!A671,"")</f>
        <v/>
      </c>
    </row>
    <row r="672" spans="3:3" x14ac:dyDescent="0.25">
      <c r="C672" t="str">
        <f>IF(SpaceHeater!A672&lt;&gt;"",SpaceHeater!A672,"")</f>
        <v/>
      </c>
    </row>
    <row r="673" spans="3:3" x14ac:dyDescent="0.25">
      <c r="C673" t="str">
        <f>IF(SpaceHeater!A673&lt;&gt;"",SpaceHeater!A673,"")</f>
        <v/>
      </c>
    </row>
    <row r="674" spans="3:3" x14ac:dyDescent="0.25">
      <c r="C674" t="str">
        <f>IF(SpaceHeater!A674&lt;&gt;"",SpaceHeater!A674,"")</f>
        <v/>
      </c>
    </row>
    <row r="675" spans="3:3" x14ac:dyDescent="0.25">
      <c r="C675" t="str">
        <f>IF(SpaceHeater!A675&lt;&gt;"",SpaceHeater!A675,"")</f>
        <v/>
      </c>
    </row>
    <row r="676" spans="3:3" x14ac:dyDescent="0.25">
      <c r="C676" t="str">
        <f>IF(SpaceHeater!A676&lt;&gt;"",SpaceHeater!A676,"")</f>
        <v/>
      </c>
    </row>
    <row r="677" spans="3:3" x14ac:dyDescent="0.25">
      <c r="C677" t="str">
        <f>IF(SpaceHeater!A677&lt;&gt;"",SpaceHeater!A677,"")</f>
        <v/>
      </c>
    </row>
    <row r="678" spans="3:3" x14ac:dyDescent="0.25">
      <c r="C678" t="str">
        <f>IF(SpaceHeater!A678&lt;&gt;"",SpaceHeater!A678,"")</f>
        <v/>
      </c>
    </row>
    <row r="679" spans="3:3" x14ac:dyDescent="0.25">
      <c r="C679" t="str">
        <f>IF(SpaceHeater!A679&lt;&gt;"",SpaceHeater!A679,"")</f>
        <v/>
      </c>
    </row>
    <row r="680" spans="3:3" x14ac:dyDescent="0.25">
      <c r="C680" t="str">
        <f>IF(SpaceHeater!A680&lt;&gt;"",SpaceHeater!A680,"")</f>
        <v/>
      </c>
    </row>
    <row r="681" spans="3:3" x14ac:dyDescent="0.25">
      <c r="C681" t="str">
        <f>IF(SpaceHeater!A681&lt;&gt;"",SpaceHeater!A681,"")</f>
        <v/>
      </c>
    </row>
    <row r="682" spans="3:3" x14ac:dyDescent="0.25">
      <c r="C682" t="str">
        <f>IF(SpaceHeater!A682&lt;&gt;"",SpaceHeater!A682,"")</f>
        <v/>
      </c>
    </row>
    <row r="683" spans="3:3" x14ac:dyDescent="0.25">
      <c r="C683" t="str">
        <f>IF(SpaceHeater!A683&lt;&gt;"",SpaceHeater!A683,"")</f>
        <v/>
      </c>
    </row>
    <row r="684" spans="3:3" x14ac:dyDescent="0.25">
      <c r="C684" t="str">
        <f>IF(SpaceHeater!A684&lt;&gt;"",SpaceHeater!A684,"")</f>
        <v/>
      </c>
    </row>
    <row r="685" spans="3:3" x14ac:dyDescent="0.25">
      <c r="C685" t="str">
        <f>IF(SpaceHeater!A685&lt;&gt;"",SpaceHeater!A685,"")</f>
        <v/>
      </c>
    </row>
    <row r="686" spans="3:3" x14ac:dyDescent="0.25">
      <c r="C686" t="str">
        <f>IF(SpaceHeater!A686&lt;&gt;"",SpaceHeater!A686,"")</f>
        <v/>
      </c>
    </row>
    <row r="687" spans="3:3" x14ac:dyDescent="0.25">
      <c r="C687" t="str">
        <f>IF(SpaceHeater!A687&lt;&gt;"",SpaceHeater!A687,"")</f>
        <v/>
      </c>
    </row>
    <row r="688" spans="3:3" x14ac:dyDescent="0.25">
      <c r="C688" t="str">
        <f>IF(SpaceHeater!A688&lt;&gt;"",SpaceHeater!A688,"")</f>
        <v/>
      </c>
    </row>
    <row r="689" spans="3:3" x14ac:dyDescent="0.25">
      <c r="C689" t="str">
        <f>IF(SpaceHeater!A689&lt;&gt;"",SpaceHeater!A689,"")</f>
        <v/>
      </c>
    </row>
    <row r="690" spans="3:3" x14ac:dyDescent="0.25">
      <c r="C690" t="str">
        <f>IF(SpaceHeater!A690&lt;&gt;"",SpaceHeater!A690,"")</f>
        <v/>
      </c>
    </row>
    <row r="691" spans="3:3" x14ac:dyDescent="0.25">
      <c r="C691" t="str">
        <f>IF(SpaceHeater!A691&lt;&gt;"",SpaceHeater!A691,"")</f>
        <v/>
      </c>
    </row>
    <row r="692" spans="3:3" x14ac:dyDescent="0.25">
      <c r="C692" t="str">
        <f>IF(SpaceHeater!A692&lt;&gt;"",SpaceHeater!A692,"")</f>
        <v/>
      </c>
    </row>
    <row r="693" spans="3:3" x14ac:dyDescent="0.25">
      <c r="C693" t="str">
        <f>IF(SpaceHeater!A693&lt;&gt;"",SpaceHeater!A693,"")</f>
        <v/>
      </c>
    </row>
    <row r="694" spans="3:3" x14ac:dyDescent="0.25">
      <c r="C694" t="str">
        <f>IF(SpaceHeater!A694&lt;&gt;"",SpaceHeater!A694,"")</f>
        <v/>
      </c>
    </row>
    <row r="695" spans="3:3" x14ac:dyDescent="0.25">
      <c r="C695" t="str">
        <f>IF(SpaceHeater!A695&lt;&gt;"",SpaceHeater!A695,"")</f>
        <v/>
      </c>
    </row>
    <row r="696" spans="3:3" x14ac:dyDescent="0.25">
      <c r="C696" t="str">
        <f>IF(SpaceHeater!A696&lt;&gt;"",SpaceHeater!A696,"")</f>
        <v/>
      </c>
    </row>
    <row r="697" spans="3:3" x14ac:dyDescent="0.25">
      <c r="C697" t="str">
        <f>IF(SpaceHeater!A697&lt;&gt;"",SpaceHeater!A697,"")</f>
        <v/>
      </c>
    </row>
    <row r="698" spans="3:3" x14ac:dyDescent="0.25">
      <c r="C698" t="str">
        <f>IF(SpaceHeater!A698&lt;&gt;"",SpaceHeater!A698,"")</f>
        <v/>
      </c>
    </row>
    <row r="699" spans="3:3" x14ac:dyDescent="0.25">
      <c r="C699" t="str">
        <f>IF(SpaceHeater!A699&lt;&gt;"",SpaceHeater!A699,"")</f>
        <v/>
      </c>
    </row>
    <row r="700" spans="3:3" x14ac:dyDescent="0.25">
      <c r="C700" t="str">
        <f>IF(SpaceHeater!A700&lt;&gt;"",SpaceHeater!A700,"")</f>
        <v/>
      </c>
    </row>
    <row r="701" spans="3:3" x14ac:dyDescent="0.25">
      <c r="C701" t="str">
        <f>IF(SpaceHeater!A701&lt;&gt;"",SpaceHeater!A701,"")</f>
        <v/>
      </c>
    </row>
    <row r="702" spans="3:3" x14ac:dyDescent="0.25">
      <c r="C702" t="str">
        <f>IF(SpaceHeater!A702&lt;&gt;"",SpaceHeater!A702,"")</f>
        <v/>
      </c>
    </row>
    <row r="703" spans="3:3" x14ac:dyDescent="0.25">
      <c r="C703" t="str">
        <f>IF(SpaceHeater!A703&lt;&gt;"",SpaceHeater!A703,"")</f>
        <v/>
      </c>
    </row>
    <row r="704" spans="3:3" x14ac:dyDescent="0.25">
      <c r="C704" t="str">
        <f>IF(SpaceHeater!A704&lt;&gt;"",SpaceHeater!A704,"")</f>
        <v/>
      </c>
    </row>
    <row r="705" spans="3:3" x14ac:dyDescent="0.25">
      <c r="C705" t="str">
        <f>IF(SpaceHeater!A705&lt;&gt;"",SpaceHeater!A705,"")</f>
        <v/>
      </c>
    </row>
    <row r="706" spans="3:3" x14ac:dyDescent="0.25">
      <c r="C706" t="str">
        <f>IF(SpaceHeater!A706&lt;&gt;"",SpaceHeater!A706,"")</f>
        <v/>
      </c>
    </row>
    <row r="707" spans="3:3" x14ac:dyDescent="0.25">
      <c r="C707" t="str">
        <f>IF(SpaceHeater!A707&lt;&gt;"",SpaceHeater!A707,"")</f>
        <v/>
      </c>
    </row>
    <row r="708" spans="3:3" x14ac:dyDescent="0.25">
      <c r="C708" t="str">
        <f>IF(SpaceHeater!A708&lt;&gt;"",SpaceHeater!A708,"")</f>
        <v/>
      </c>
    </row>
    <row r="709" spans="3:3" x14ac:dyDescent="0.25">
      <c r="C709" t="str">
        <f>IF(SpaceHeater!A709&lt;&gt;"",SpaceHeater!A709,"")</f>
        <v/>
      </c>
    </row>
    <row r="710" spans="3:3" x14ac:dyDescent="0.25">
      <c r="C710" t="str">
        <f>IF(SpaceHeater!A710&lt;&gt;"",SpaceHeater!A710,"")</f>
        <v/>
      </c>
    </row>
    <row r="711" spans="3:3" x14ac:dyDescent="0.25">
      <c r="C711" t="str">
        <f>IF(SpaceHeater!A711&lt;&gt;"",SpaceHeater!A711,"")</f>
        <v/>
      </c>
    </row>
    <row r="712" spans="3:3" x14ac:dyDescent="0.25">
      <c r="C712" t="str">
        <f>IF(SpaceHeater!A712&lt;&gt;"",SpaceHeater!A712,"")</f>
        <v/>
      </c>
    </row>
    <row r="713" spans="3:3" x14ac:dyDescent="0.25">
      <c r="C713" t="str">
        <f>IF(SpaceHeater!A713&lt;&gt;"",SpaceHeater!A713,"")</f>
        <v/>
      </c>
    </row>
    <row r="714" spans="3:3" x14ac:dyDescent="0.25">
      <c r="C714" t="str">
        <f>IF(SpaceHeater!A714&lt;&gt;"",SpaceHeater!A714,"")</f>
        <v/>
      </c>
    </row>
    <row r="715" spans="3:3" x14ac:dyDescent="0.25">
      <c r="C715" t="str">
        <f>IF(SpaceHeater!A715&lt;&gt;"",SpaceHeater!A715,"")</f>
        <v/>
      </c>
    </row>
    <row r="716" spans="3:3" x14ac:dyDescent="0.25">
      <c r="C716" t="str">
        <f>IF(SpaceHeater!A716&lt;&gt;"",SpaceHeater!A716,"")</f>
        <v/>
      </c>
    </row>
    <row r="717" spans="3:3" x14ac:dyDescent="0.25">
      <c r="C717" t="str">
        <f>IF(SpaceHeater!A717&lt;&gt;"",SpaceHeater!A717,"")</f>
        <v/>
      </c>
    </row>
    <row r="718" spans="3:3" x14ac:dyDescent="0.25">
      <c r="C718" t="str">
        <f>IF(SpaceHeater!A718&lt;&gt;"",SpaceHeater!A718,"")</f>
        <v/>
      </c>
    </row>
    <row r="719" spans="3:3" x14ac:dyDescent="0.25">
      <c r="C719" t="str">
        <f>IF(SpaceHeater!A719&lt;&gt;"",SpaceHeater!A719,"")</f>
        <v/>
      </c>
    </row>
    <row r="720" spans="3:3" x14ac:dyDescent="0.25">
      <c r="C720" t="str">
        <f>IF(SpaceHeater!A720&lt;&gt;"",SpaceHeater!A720,"")</f>
        <v/>
      </c>
    </row>
    <row r="721" spans="3:3" x14ac:dyDescent="0.25">
      <c r="C721" t="str">
        <f>IF(SpaceHeater!A721&lt;&gt;"",SpaceHeater!A721,"")</f>
        <v/>
      </c>
    </row>
    <row r="722" spans="3:3" x14ac:dyDescent="0.25">
      <c r="C722" t="str">
        <f>IF(SpaceHeater!A722&lt;&gt;"",SpaceHeater!A722,"")</f>
        <v/>
      </c>
    </row>
    <row r="723" spans="3:3" x14ac:dyDescent="0.25">
      <c r="C723" t="str">
        <f>IF(SpaceHeater!A723&lt;&gt;"",SpaceHeater!A723,"")</f>
        <v/>
      </c>
    </row>
    <row r="724" spans="3:3" x14ac:dyDescent="0.25">
      <c r="C724" t="str">
        <f>IF(SpaceHeater!A724&lt;&gt;"",SpaceHeater!A724,"")</f>
        <v/>
      </c>
    </row>
    <row r="725" spans="3:3" x14ac:dyDescent="0.25">
      <c r="C725" t="str">
        <f>IF(SpaceHeater!A725&lt;&gt;"",SpaceHeater!A725,"")</f>
        <v/>
      </c>
    </row>
    <row r="726" spans="3:3" x14ac:dyDescent="0.25">
      <c r="C726" t="str">
        <f>IF(SpaceHeater!A726&lt;&gt;"",SpaceHeater!A726,"")</f>
        <v/>
      </c>
    </row>
    <row r="727" spans="3:3" x14ac:dyDescent="0.25">
      <c r="C727" t="str">
        <f>IF(SpaceHeater!A727&lt;&gt;"",SpaceHeater!A727,"")</f>
        <v/>
      </c>
    </row>
    <row r="728" spans="3:3" x14ac:dyDescent="0.25">
      <c r="C728" t="str">
        <f>IF(SpaceHeater!A728&lt;&gt;"",SpaceHeater!A728,"")</f>
        <v/>
      </c>
    </row>
    <row r="729" spans="3:3" x14ac:dyDescent="0.25">
      <c r="C729" t="str">
        <f>IF(SpaceHeater!A729&lt;&gt;"",SpaceHeater!A729,"")</f>
        <v/>
      </c>
    </row>
    <row r="730" spans="3:3" x14ac:dyDescent="0.25">
      <c r="C730" t="str">
        <f>IF(SpaceHeater!A730&lt;&gt;"",SpaceHeater!A730,"")</f>
        <v/>
      </c>
    </row>
    <row r="731" spans="3:3" x14ac:dyDescent="0.25">
      <c r="C731" t="str">
        <f>IF(SpaceHeater!A731&lt;&gt;"",SpaceHeater!A731,"")</f>
        <v/>
      </c>
    </row>
    <row r="732" spans="3:3" x14ac:dyDescent="0.25">
      <c r="C732" t="str">
        <f>IF(SpaceHeater!A732&lt;&gt;"",SpaceHeater!A732,"")</f>
        <v/>
      </c>
    </row>
    <row r="733" spans="3:3" x14ac:dyDescent="0.25">
      <c r="C733" t="str">
        <f>IF(SpaceHeater!A733&lt;&gt;"",SpaceHeater!A733,"")</f>
        <v/>
      </c>
    </row>
    <row r="734" spans="3:3" x14ac:dyDescent="0.25">
      <c r="C734" t="str">
        <f>IF(SpaceHeater!A734&lt;&gt;"",SpaceHeater!A734,"")</f>
        <v/>
      </c>
    </row>
    <row r="735" spans="3:3" x14ac:dyDescent="0.25">
      <c r="C735" t="str">
        <f>IF(SpaceHeater!A735&lt;&gt;"",SpaceHeater!A735,"")</f>
        <v/>
      </c>
    </row>
    <row r="736" spans="3:3" x14ac:dyDescent="0.25">
      <c r="C736" t="str">
        <f>IF(SpaceHeater!A736&lt;&gt;"",SpaceHeater!A736,"")</f>
        <v/>
      </c>
    </row>
    <row r="737" spans="3:3" x14ac:dyDescent="0.25">
      <c r="C737" t="str">
        <f>IF(SpaceHeater!A737&lt;&gt;"",SpaceHeater!A737,"")</f>
        <v/>
      </c>
    </row>
    <row r="738" spans="3:3" x14ac:dyDescent="0.25">
      <c r="C738" t="str">
        <f>IF(SpaceHeater!A738&lt;&gt;"",SpaceHeater!A738,"")</f>
        <v/>
      </c>
    </row>
    <row r="739" spans="3:3" x14ac:dyDescent="0.25">
      <c r="C739" t="str">
        <f>IF(SpaceHeater!A739&lt;&gt;"",SpaceHeater!A739,"")</f>
        <v/>
      </c>
    </row>
    <row r="740" spans="3:3" x14ac:dyDescent="0.25">
      <c r="C740" t="str">
        <f>IF(SpaceHeater!A740&lt;&gt;"",SpaceHeater!A740,"")</f>
        <v/>
      </c>
    </row>
    <row r="741" spans="3:3" x14ac:dyDescent="0.25">
      <c r="C741" t="str">
        <f>IF(SpaceHeater!A741&lt;&gt;"",SpaceHeater!A741,"")</f>
        <v/>
      </c>
    </row>
    <row r="742" spans="3:3" x14ac:dyDescent="0.25">
      <c r="C742" t="str">
        <f>IF(SpaceHeater!A742&lt;&gt;"",SpaceHeater!A742,"")</f>
        <v/>
      </c>
    </row>
    <row r="743" spans="3:3" x14ac:dyDescent="0.25">
      <c r="C743" t="str">
        <f>IF(SpaceHeater!A743&lt;&gt;"",SpaceHeater!A743,"")</f>
        <v/>
      </c>
    </row>
    <row r="744" spans="3:3" x14ac:dyDescent="0.25">
      <c r="C744" t="str">
        <f>IF(SpaceHeater!A744&lt;&gt;"",SpaceHeater!A744,"")</f>
        <v/>
      </c>
    </row>
    <row r="745" spans="3:3" x14ac:dyDescent="0.25">
      <c r="C745" t="str">
        <f>IF(SpaceHeater!A745&lt;&gt;"",SpaceHeater!A745,"")</f>
        <v/>
      </c>
    </row>
    <row r="746" spans="3:3" x14ac:dyDescent="0.25">
      <c r="C746" t="str">
        <f>IF(SpaceHeater!A746&lt;&gt;"",SpaceHeater!A746,"")</f>
        <v/>
      </c>
    </row>
    <row r="747" spans="3:3" x14ac:dyDescent="0.25">
      <c r="C747" t="str">
        <f>IF(SpaceHeater!A747&lt;&gt;"",SpaceHeater!A747,"")</f>
        <v/>
      </c>
    </row>
    <row r="748" spans="3:3" x14ac:dyDescent="0.25">
      <c r="C748" t="str">
        <f>IF(SpaceHeater!A748&lt;&gt;"",SpaceHeater!A748,"")</f>
        <v/>
      </c>
    </row>
    <row r="749" spans="3:3" x14ac:dyDescent="0.25">
      <c r="C749" t="str">
        <f>IF(SpaceHeater!A749&lt;&gt;"",SpaceHeater!A749,"")</f>
        <v/>
      </c>
    </row>
    <row r="750" spans="3:3" x14ac:dyDescent="0.25">
      <c r="C750" t="str">
        <f>IF(SpaceHeater!A750&lt;&gt;"",SpaceHeater!A750,"")</f>
        <v/>
      </c>
    </row>
    <row r="751" spans="3:3" x14ac:dyDescent="0.25">
      <c r="C751" t="str">
        <f>IF(SpaceHeater!A751&lt;&gt;"",SpaceHeater!A751,"")</f>
        <v/>
      </c>
    </row>
    <row r="752" spans="3:3" x14ac:dyDescent="0.25">
      <c r="C752" t="str">
        <f>IF(SpaceHeater!A752&lt;&gt;"",SpaceHeater!A752,"")</f>
        <v/>
      </c>
    </row>
    <row r="753" spans="3:3" x14ac:dyDescent="0.25">
      <c r="C753" t="str">
        <f>IF(SpaceHeater!A753&lt;&gt;"",SpaceHeater!A753,"")</f>
        <v/>
      </c>
    </row>
    <row r="754" spans="3:3" x14ac:dyDescent="0.25">
      <c r="C754" t="str">
        <f>IF(SpaceHeater!A754&lt;&gt;"",SpaceHeater!A754,"")</f>
        <v/>
      </c>
    </row>
    <row r="755" spans="3:3" x14ac:dyDescent="0.25">
      <c r="C755" t="str">
        <f>IF(SpaceHeater!A755&lt;&gt;"",SpaceHeater!A755,"")</f>
        <v/>
      </c>
    </row>
    <row r="756" spans="3:3" x14ac:dyDescent="0.25">
      <c r="C756" t="str">
        <f>IF(SpaceHeater!A756&lt;&gt;"",SpaceHeater!A756,"")</f>
        <v/>
      </c>
    </row>
    <row r="757" spans="3:3" x14ac:dyDescent="0.25">
      <c r="C757" t="str">
        <f>IF(SpaceHeater!A757&lt;&gt;"",SpaceHeater!A757,"")</f>
        <v/>
      </c>
    </row>
    <row r="758" spans="3:3" x14ac:dyDescent="0.25">
      <c r="C758" t="str">
        <f>IF(SpaceHeater!A758&lt;&gt;"",SpaceHeater!A758,"")</f>
        <v/>
      </c>
    </row>
    <row r="759" spans="3:3" x14ac:dyDescent="0.25">
      <c r="C759" t="str">
        <f>IF(SpaceHeater!A759&lt;&gt;"",SpaceHeater!A759,"")</f>
        <v/>
      </c>
    </row>
    <row r="760" spans="3:3" x14ac:dyDescent="0.25">
      <c r="C760" t="str">
        <f>IF(SpaceHeater!A760&lt;&gt;"",SpaceHeater!A760,"")</f>
        <v/>
      </c>
    </row>
    <row r="761" spans="3:3" x14ac:dyDescent="0.25">
      <c r="C761" t="str">
        <f>IF(SpaceHeater!A761&lt;&gt;"",SpaceHeater!A761,"")</f>
        <v/>
      </c>
    </row>
    <row r="762" spans="3:3" x14ac:dyDescent="0.25">
      <c r="C762" t="str">
        <f>IF(SpaceHeater!A762&lt;&gt;"",SpaceHeater!A762,"")</f>
        <v/>
      </c>
    </row>
    <row r="763" spans="3:3" x14ac:dyDescent="0.25">
      <c r="C763" t="str">
        <f>IF(SpaceHeater!A763&lt;&gt;"",SpaceHeater!A763,"")</f>
        <v/>
      </c>
    </row>
    <row r="764" spans="3:3" x14ac:dyDescent="0.25">
      <c r="C764" t="str">
        <f>IF(SpaceHeater!A764&lt;&gt;"",SpaceHeater!A764,"")</f>
        <v/>
      </c>
    </row>
    <row r="765" spans="3:3" x14ac:dyDescent="0.25">
      <c r="C765" t="str">
        <f>IF(SpaceHeater!A765&lt;&gt;"",SpaceHeater!A765,"")</f>
        <v/>
      </c>
    </row>
    <row r="766" spans="3:3" x14ac:dyDescent="0.25">
      <c r="C766" t="str">
        <f>IF(SpaceHeater!A766&lt;&gt;"",SpaceHeater!A766,"")</f>
        <v/>
      </c>
    </row>
    <row r="767" spans="3:3" x14ac:dyDescent="0.25">
      <c r="C767" t="str">
        <f>IF(SpaceHeater!A767&lt;&gt;"",SpaceHeater!A767,"")</f>
        <v/>
      </c>
    </row>
    <row r="768" spans="3:3" x14ac:dyDescent="0.25">
      <c r="C768" t="str">
        <f>IF(SpaceHeater!A768&lt;&gt;"",SpaceHeater!A768,"")</f>
        <v/>
      </c>
    </row>
    <row r="769" spans="3:3" x14ac:dyDescent="0.25">
      <c r="C769" t="str">
        <f>IF(SpaceHeater!A769&lt;&gt;"",SpaceHeater!A769,"")</f>
        <v/>
      </c>
    </row>
    <row r="770" spans="3:3" x14ac:dyDescent="0.25">
      <c r="C770" t="str">
        <f>IF(SpaceHeater!A770&lt;&gt;"",SpaceHeater!A770,"")</f>
        <v/>
      </c>
    </row>
    <row r="771" spans="3:3" x14ac:dyDescent="0.25">
      <c r="C771" t="str">
        <f>IF(SpaceHeater!A771&lt;&gt;"",SpaceHeater!A771,"")</f>
        <v/>
      </c>
    </row>
    <row r="772" spans="3:3" x14ac:dyDescent="0.25">
      <c r="C772" t="str">
        <f>IF(SpaceHeater!A772&lt;&gt;"",SpaceHeater!A772,"")</f>
        <v/>
      </c>
    </row>
    <row r="773" spans="3:3" x14ac:dyDescent="0.25">
      <c r="C773" t="str">
        <f>IF(SpaceHeater!A773&lt;&gt;"",SpaceHeater!A773,"")</f>
        <v/>
      </c>
    </row>
    <row r="774" spans="3:3" x14ac:dyDescent="0.25">
      <c r="C774" t="str">
        <f>IF(SpaceHeater!A774&lt;&gt;"",SpaceHeater!A774,"")</f>
        <v/>
      </c>
    </row>
    <row r="775" spans="3:3" x14ac:dyDescent="0.25">
      <c r="C775" t="str">
        <f>IF(SpaceHeater!A775&lt;&gt;"",SpaceHeater!A775,"")</f>
        <v/>
      </c>
    </row>
    <row r="776" spans="3:3" x14ac:dyDescent="0.25">
      <c r="C776" t="str">
        <f>IF(SpaceHeater!A776&lt;&gt;"",SpaceHeater!A776,"")</f>
        <v/>
      </c>
    </row>
    <row r="777" spans="3:3" x14ac:dyDescent="0.25">
      <c r="C777" t="str">
        <f>IF(SpaceHeater!A777&lt;&gt;"",SpaceHeater!A777,"")</f>
        <v/>
      </c>
    </row>
    <row r="778" spans="3:3" x14ac:dyDescent="0.25">
      <c r="C778" t="str">
        <f>IF(SpaceHeater!A778&lt;&gt;"",SpaceHeater!A778,"")</f>
        <v/>
      </c>
    </row>
    <row r="779" spans="3:3" x14ac:dyDescent="0.25">
      <c r="C779" t="str">
        <f>IF(SpaceHeater!A779&lt;&gt;"",SpaceHeater!A779,"")</f>
        <v/>
      </c>
    </row>
    <row r="780" spans="3:3" x14ac:dyDescent="0.25">
      <c r="C780" t="str">
        <f>IF(SpaceHeater!A780&lt;&gt;"",SpaceHeater!A780,"")</f>
        <v/>
      </c>
    </row>
    <row r="781" spans="3:3" x14ac:dyDescent="0.25">
      <c r="C781" t="str">
        <f>IF(SpaceHeater!A781&lt;&gt;"",SpaceHeater!A781,"")</f>
        <v/>
      </c>
    </row>
    <row r="782" spans="3:3" x14ac:dyDescent="0.25">
      <c r="C782" t="str">
        <f>IF(SpaceHeater!A782&lt;&gt;"",SpaceHeater!A782,"")</f>
        <v/>
      </c>
    </row>
    <row r="783" spans="3:3" x14ac:dyDescent="0.25">
      <c r="C783" t="str">
        <f>IF(SpaceHeater!A783&lt;&gt;"",SpaceHeater!A783,"")</f>
        <v/>
      </c>
    </row>
    <row r="784" spans="3:3" x14ac:dyDescent="0.25">
      <c r="C784" t="str">
        <f>IF(SpaceHeater!A784&lt;&gt;"",SpaceHeater!A784,"")</f>
        <v/>
      </c>
    </row>
    <row r="785" spans="3:3" x14ac:dyDescent="0.25">
      <c r="C785" t="str">
        <f>IF(SpaceHeater!A785&lt;&gt;"",SpaceHeater!A785,"")</f>
        <v/>
      </c>
    </row>
    <row r="786" spans="3:3" x14ac:dyDescent="0.25">
      <c r="C786" t="str">
        <f>IF(SpaceHeater!A786&lt;&gt;"",SpaceHeater!A786,"")</f>
        <v/>
      </c>
    </row>
    <row r="787" spans="3:3" x14ac:dyDescent="0.25">
      <c r="C787" t="str">
        <f>IF(SpaceHeater!A787&lt;&gt;"",SpaceHeater!A787,"")</f>
        <v/>
      </c>
    </row>
    <row r="788" spans="3:3" x14ac:dyDescent="0.25">
      <c r="C788" t="str">
        <f>IF(SpaceHeater!A788&lt;&gt;"",SpaceHeater!A788,"")</f>
        <v/>
      </c>
    </row>
    <row r="789" spans="3:3" x14ac:dyDescent="0.25">
      <c r="C789" t="str">
        <f>IF(SpaceHeater!A789&lt;&gt;"",SpaceHeater!A789,"")</f>
        <v/>
      </c>
    </row>
    <row r="790" spans="3:3" x14ac:dyDescent="0.25">
      <c r="C790" t="str">
        <f>IF(SpaceHeater!A790&lt;&gt;"",SpaceHeater!A790,"")</f>
        <v/>
      </c>
    </row>
    <row r="791" spans="3:3" x14ac:dyDescent="0.25">
      <c r="C791" t="str">
        <f>IF(SpaceHeater!A791&lt;&gt;"",SpaceHeater!A791,"")</f>
        <v/>
      </c>
    </row>
    <row r="792" spans="3:3" x14ac:dyDescent="0.25">
      <c r="C792" t="str">
        <f>IF(SpaceHeater!A792&lt;&gt;"",SpaceHeater!A792,"")</f>
        <v/>
      </c>
    </row>
    <row r="793" spans="3:3" x14ac:dyDescent="0.25">
      <c r="C793" t="str">
        <f>IF(SpaceHeater!A793&lt;&gt;"",SpaceHeater!A793,"")</f>
        <v/>
      </c>
    </row>
    <row r="794" spans="3:3" x14ac:dyDescent="0.25">
      <c r="C794" t="str">
        <f>IF(SpaceHeater!A794&lt;&gt;"",SpaceHeater!A794,"")</f>
        <v/>
      </c>
    </row>
    <row r="795" spans="3:3" x14ac:dyDescent="0.25">
      <c r="C795" t="str">
        <f>IF(SpaceHeater!A795&lt;&gt;"",SpaceHeater!A795,"")</f>
        <v/>
      </c>
    </row>
    <row r="796" spans="3:3" x14ac:dyDescent="0.25">
      <c r="C796" t="str">
        <f>IF(SpaceHeater!A796&lt;&gt;"",SpaceHeater!A796,"")</f>
        <v/>
      </c>
    </row>
    <row r="797" spans="3:3" x14ac:dyDescent="0.25">
      <c r="C797" t="str">
        <f>IF(SpaceHeater!A797&lt;&gt;"",SpaceHeater!A797,"")</f>
        <v/>
      </c>
    </row>
    <row r="798" spans="3:3" x14ac:dyDescent="0.25">
      <c r="C798" t="str">
        <f>IF(SpaceHeater!A798&lt;&gt;"",SpaceHeater!A798,"")</f>
        <v/>
      </c>
    </row>
    <row r="799" spans="3:3" x14ac:dyDescent="0.25">
      <c r="C799" t="str">
        <f>IF(SpaceHeater!A799&lt;&gt;"",SpaceHeater!A799,"")</f>
        <v/>
      </c>
    </row>
    <row r="800" spans="3:3" x14ac:dyDescent="0.25">
      <c r="C800" t="str">
        <f>IF(SpaceHeater!A800&lt;&gt;"",SpaceHeater!A800,"")</f>
        <v/>
      </c>
    </row>
    <row r="801" spans="3:3" x14ac:dyDescent="0.25">
      <c r="C801" t="str">
        <f>IF(SpaceHeater!A801&lt;&gt;"",SpaceHeater!A801,"")</f>
        <v/>
      </c>
    </row>
    <row r="802" spans="3:3" x14ac:dyDescent="0.25">
      <c r="C802" t="str">
        <f>IF(SpaceHeater!A802&lt;&gt;"",SpaceHeater!A802,"")</f>
        <v/>
      </c>
    </row>
    <row r="803" spans="3:3" x14ac:dyDescent="0.25">
      <c r="C803" t="str">
        <f>IF(SpaceHeater!A803&lt;&gt;"",SpaceHeater!A803,"")</f>
        <v/>
      </c>
    </row>
    <row r="804" spans="3:3" x14ac:dyDescent="0.25">
      <c r="C804" t="str">
        <f>IF(SpaceHeater!A804&lt;&gt;"",SpaceHeater!A804,"")</f>
        <v/>
      </c>
    </row>
    <row r="805" spans="3:3" x14ac:dyDescent="0.25">
      <c r="C805" t="str">
        <f>IF(SpaceHeater!A805&lt;&gt;"",SpaceHeater!A805,"")</f>
        <v/>
      </c>
    </row>
    <row r="806" spans="3:3" x14ac:dyDescent="0.25">
      <c r="C806" t="str">
        <f>IF(SpaceHeater!A806&lt;&gt;"",SpaceHeater!A806,"")</f>
        <v/>
      </c>
    </row>
    <row r="807" spans="3:3" x14ac:dyDescent="0.25">
      <c r="C807" t="str">
        <f>IF(SpaceHeater!A807&lt;&gt;"",SpaceHeater!A807,"")</f>
        <v/>
      </c>
    </row>
    <row r="808" spans="3:3" x14ac:dyDescent="0.25">
      <c r="C808" t="str">
        <f>IF(SpaceHeater!A808&lt;&gt;"",SpaceHeater!A808,"")</f>
        <v/>
      </c>
    </row>
    <row r="809" spans="3:3" x14ac:dyDescent="0.25">
      <c r="C809" t="str">
        <f>IF(SpaceHeater!A809&lt;&gt;"",SpaceHeater!A809,"")</f>
        <v/>
      </c>
    </row>
    <row r="810" spans="3:3" x14ac:dyDescent="0.25">
      <c r="C810" t="str">
        <f>IF(SpaceHeater!A810&lt;&gt;"",SpaceHeater!A810,"")</f>
        <v/>
      </c>
    </row>
    <row r="811" spans="3:3" x14ac:dyDescent="0.25">
      <c r="C811" t="str">
        <f>IF(SpaceHeater!A811&lt;&gt;"",SpaceHeater!A811,"")</f>
        <v/>
      </c>
    </row>
    <row r="812" spans="3:3" x14ac:dyDescent="0.25">
      <c r="C812" t="str">
        <f>IF(SpaceHeater!A812&lt;&gt;"",SpaceHeater!A812,"")</f>
        <v/>
      </c>
    </row>
    <row r="813" spans="3:3" x14ac:dyDescent="0.25">
      <c r="C813" t="str">
        <f>IF(SpaceHeater!A813&lt;&gt;"",SpaceHeater!A813,"")</f>
        <v/>
      </c>
    </row>
    <row r="814" spans="3:3" x14ac:dyDescent="0.25">
      <c r="C814" t="str">
        <f>IF(SpaceHeater!A814&lt;&gt;"",SpaceHeater!A814,"")</f>
        <v/>
      </c>
    </row>
    <row r="815" spans="3:3" x14ac:dyDescent="0.25">
      <c r="C815" t="str">
        <f>IF(SpaceHeater!A815&lt;&gt;"",SpaceHeater!A815,"")</f>
        <v/>
      </c>
    </row>
    <row r="816" spans="3:3" x14ac:dyDescent="0.25">
      <c r="C816" t="str">
        <f>IF(SpaceHeater!A816&lt;&gt;"",SpaceHeater!A816,"")</f>
        <v/>
      </c>
    </row>
    <row r="817" spans="3:3" x14ac:dyDescent="0.25">
      <c r="C817" t="str">
        <f>IF(SpaceHeater!A817&lt;&gt;"",SpaceHeater!A817,"")</f>
        <v/>
      </c>
    </row>
    <row r="818" spans="3:3" x14ac:dyDescent="0.25">
      <c r="C818" t="str">
        <f>IF(SpaceHeater!A818&lt;&gt;"",SpaceHeater!A818,"")</f>
        <v/>
      </c>
    </row>
    <row r="819" spans="3:3" x14ac:dyDescent="0.25">
      <c r="C819" t="str">
        <f>IF(SpaceHeater!A819&lt;&gt;"",SpaceHeater!A819,"")</f>
        <v/>
      </c>
    </row>
    <row r="820" spans="3:3" x14ac:dyDescent="0.25">
      <c r="C820" t="str">
        <f>IF(SpaceHeater!A820&lt;&gt;"",SpaceHeater!A820,"")</f>
        <v/>
      </c>
    </row>
    <row r="821" spans="3:3" x14ac:dyDescent="0.25">
      <c r="C821" t="str">
        <f>IF(SpaceHeater!A821&lt;&gt;"",SpaceHeater!A821,"")</f>
        <v/>
      </c>
    </row>
    <row r="822" spans="3:3" x14ac:dyDescent="0.25">
      <c r="C822" t="str">
        <f>IF(SpaceHeater!A822&lt;&gt;"",SpaceHeater!A822,"")</f>
        <v/>
      </c>
    </row>
    <row r="823" spans="3:3" x14ac:dyDescent="0.25">
      <c r="C823" t="str">
        <f>IF(SpaceHeater!A823&lt;&gt;"",SpaceHeater!A823,"")</f>
        <v/>
      </c>
    </row>
    <row r="824" spans="3:3" x14ac:dyDescent="0.25">
      <c r="C824" t="str">
        <f>IF(SpaceHeater!A824&lt;&gt;"",SpaceHeater!A824,"")</f>
        <v/>
      </c>
    </row>
    <row r="825" spans="3:3" x14ac:dyDescent="0.25">
      <c r="C825" t="str">
        <f>IF(SpaceHeater!A825&lt;&gt;"",SpaceHeater!A825,"")</f>
        <v/>
      </c>
    </row>
    <row r="826" spans="3:3" x14ac:dyDescent="0.25">
      <c r="C826" t="str">
        <f>IF(SpaceHeater!A826&lt;&gt;"",SpaceHeater!A826,"")</f>
        <v/>
      </c>
    </row>
    <row r="827" spans="3:3" x14ac:dyDescent="0.25">
      <c r="C827" t="str">
        <f>IF(SpaceHeater!A827&lt;&gt;"",SpaceHeater!A827,"")</f>
        <v/>
      </c>
    </row>
    <row r="828" spans="3:3" x14ac:dyDescent="0.25">
      <c r="C828" t="str">
        <f>IF(SpaceHeater!A828&lt;&gt;"",SpaceHeater!A828,"")</f>
        <v/>
      </c>
    </row>
    <row r="829" spans="3:3" x14ac:dyDescent="0.25">
      <c r="C829" t="str">
        <f>IF(SpaceHeater!A829&lt;&gt;"",SpaceHeater!A829,"")</f>
        <v/>
      </c>
    </row>
    <row r="830" spans="3:3" x14ac:dyDescent="0.25">
      <c r="C830" t="str">
        <f>IF(SpaceHeater!A830&lt;&gt;"",SpaceHeater!A830,"")</f>
        <v/>
      </c>
    </row>
    <row r="831" spans="3:3" x14ac:dyDescent="0.25">
      <c r="C831" t="str">
        <f>IF(SpaceHeater!A831&lt;&gt;"",SpaceHeater!A831,"")</f>
        <v/>
      </c>
    </row>
    <row r="832" spans="3:3" x14ac:dyDescent="0.25">
      <c r="C832" t="str">
        <f>IF(SpaceHeater!A832&lt;&gt;"",SpaceHeater!A832,"")</f>
        <v/>
      </c>
    </row>
    <row r="833" spans="3:3" x14ac:dyDescent="0.25">
      <c r="C833" t="str">
        <f>IF(SpaceHeater!A833&lt;&gt;"",SpaceHeater!A833,"")</f>
        <v/>
      </c>
    </row>
    <row r="834" spans="3:3" x14ac:dyDescent="0.25">
      <c r="C834" t="str">
        <f>IF(SpaceHeater!A834&lt;&gt;"",SpaceHeater!A834,"")</f>
        <v/>
      </c>
    </row>
    <row r="835" spans="3:3" x14ac:dyDescent="0.25">
      <c r="C835" t="str">
        <f>IF(SpaceHeater!A835&lt;&gt;"",SpaceHeater!A835,"")</f>
        <v/>
      </c>
    </row>
    <row r="836" spans="3:3" x14ac:dyDescent="0.25">
      <c r="C836" t="str">
        <f>IF(SpaceHeater!A836&lt;&gt;"",SpaceHeater!A836,"")</f>
        <v/>
      </c>
    </row>
    <row r="837" spans="3:3" x14ac:dyDescent="0.25">
      <c r="C837" t="str">
        <f>IF(SpaceHeater!A837&lt;&gt;"",SpaceHeater!A837,"")</f>
        <v/>
      </c>
    </row>
    <row r="838" spans="3:3" x14ac:dyDescent="0.25">
      <c r="C838" t="str">
        <f>IF(SpaceHeater!A838&lt;&gt;"",SpaceHeater!A838,"")</f>
        <v/>
      </c>
    </row>
    <row r="839" spans="3:3" x14ac:dyDescent="0.25">
      <c r="C839" t="str">
        <f>IF(SpaceHeater!A839&lt;&gt;"",SpaceHeater!A839,"")</f>
        <v/>
      </c>
    </row>
    <row r="840" spans="3:3" x14ac:dyDescent="0.25">
      <c r="C840" t="str">
        <f>IF(SpaceHeater!A840&lt;&gt;"",SpaceHeater!A840,"")</f>
        <v/>
      </c>
    </row>
    <row r="841" spans="3:3" x14ac:dyDescent="0.25">
      <c r="C841" t="str">
        <f>IF(SpaceHeater!A841&lt;&gt;"",SpaceHeater!A841,"")</f>
        <v/>
      </c>
    </row>
    <row r="842" spans="3:3" x14ac:dyDescent="0.25">
      <c r="C842" t="str">
        <f>IF(SpaceHeater!A842&lt;&gt;"",SpaceHeater!A842,"")</f>
        <v/>
      </c>
    </row>
    <row r="843" spans="3:3" x14ac:dyDescent="0.25">
      <c r="C843" t="str">
        <f>IF(SpaceHeater!A843&lt;&gt;"",SpaceHeater!A843,"")</f>
        <v/>
      </c>
    </row>
    <row r="844" spans="3:3" x14ac:dyDescent="0.25">
      <c r="C844" t="str">
        <f>IF(SpaceHeater!A844&lt;&gt;"",SpaceHeater!A844,"")</f>
        <v/>
      </c>
    </row>
    <row r="845" spans="3:3" x14ac:dyDescent="0.25">
      <c r="C845" t="str">
        <f>IF(SpaceHeater!A845&lt;&gt;"",SpaceHeater!A845,"")</f>
        <v/>
      </c>
    </row>
    <row r="846" spans="3:3" x14ac:dyDescent="0.25">
      <c r="C846" t="str">
        <f>IF(SpaceHeater!A846&lt;&gt;"",SpaceHeater!A846,"")</f>
        <v/>
      </c>
    </row>
    <row r="847" spans="3:3" x14ac:dyDescent="0.25">
      <c r="C847" t="str">
        <f>IF(SpaceHeater!A847&lt;&gt;"",SpaceHeater!A847,"")</f>
        <v/>
      </c>
    </row>
    <row r="848" spans="3:3" x14ac:dyDescent="0.25">
      <c r="C848" t="str">
        <f>IF(SpaceHeater!A848&lt;&gt;"",SpaceHeater!A848,"")</f>
        <v/>
      </c>
    </row>
    <row r="849" spans="3:3" x14ac:dyDescent="0.25">
      <c r="C849" t="str">
        <f>IF(SpaceHeater!A849&lt;&gt;"",SpaceHeater!A849,"")</f>
        <v/>
      </c>
    </row>
    <row r="850" spans="3:3" x14ac:dyDescent="0.25">
      <c r="C850" t="str">
        <f>IF(SpaceHeater!A850&lt;&gt;"",SpaceHeater!A850,"")</f>
        <v/>
      </c>
    </row>
    <row r="851" spans="3:3" x14ac:dyDescent="0.25">
      <c r="C851" t="str">
        <f>IF(SpaceHeater!A851&lt;&gt;"",SpaceHeater!A851,"")</f>
        <v/>
      </c>
    </row>
    <row r="852" spans="3:3" x14ac:dyDescent="0.25">
      <c r="C852" t="str">
        <f>IF(SpaceHeater!A852&lt;&gt;"",SpaceHeater!A852,"")</f>
        <v/>
      </c>
    </row>
    <row r="853" spans="3:3" x14ac:dyDescent="0.25">
      <c r="C853" t="str">
        <f>IF(SpaceHeater!A853&lt;&gt;"",SpaceHeater!A853,"")</f>
        <v/>
      </c>
    </row>
    <row r="854" spans="3:3" x14ac:dyDescent="0.25">
      <c r="C854" t="str">
        <f>IF(SpaceHeater!A854&lt;&gt;"",SpaceHeater!A854,"")</f>
        <v/>
      </c>
    </row>
    <row r="855" spans="3:3" x14ac:dyDescent="0.25">
      <c r="C855" t="str">
        <f>IF(SpaceHeater!A855&lt;&gt;"",SpaceHeater!A855,"")</f>
        <v/>
      </c>
    </row>
    <row r="856" spans="3:3" x14ac:dyDescent="0.25">
      <c r="C856" t="str">
        <f>IF(SpaceHeater!A856&lt;&gt;"",SpaceHeater!A856,"")</f>
        <v/>
      </c>
    </row>
    <row r="857" spans="3:3" x14ac:dyDescent="0.25">
      <c r="C857" t="str">
        <f>IF(SpaceHeater!A857&lt;&gt;"",SpaceHeater!A857,"")</f>
        <v/>
      </c>
    </row>
    <row r="858" spans="3:3" x14ac:dyDescent="0.25">
      <c r="C858" t="str">
        <f>IF(SpaceHeater!A858&lt;&gt;"",SpaceHeater!A858,"")</f>
        <v/>
      </c>
    </row>
    <row r="859" spans="3:3" x14ac:dyDescent="0.25">
      <c r="C859" t="str">
        <f>IF(SpaceHeater!A859&lt;&gt;"",SpaceHeater!A859,"")</f>
        <v/>
      </c>
    </row>
    <row r="860" spans="3:3" x14ac:dyDescent="0.25">
      <c r="C860" t="str">
        <f>IF(SpaceHeater!A860&lt;&gt;"",SpaceHeater!A860,"")</f>
        <v/>
      </c>
    </row>
    <row r="861" spans="3:3" x14ac:dyDescent="0.25">
      <c r="C861" t="str">
        <f>IF(SpaceHeater!A861&lt;&gt;"",SpaceHeater!A861,"")</f>
        <v/>
      </c>
    </row>
    <row r="862" spans="3:3" x14ac:dyDescent="0.25">
      <c r="C862" t="str">
        <f>IF(SpaceHeater!A862&lt;&gt;"",SpaceHeater!A862,"")</f>
        <v/>
      </c>
    </row>
    <row r="863" spans="3:3" x14ac:dyDescent="0.25">
      <c r="C863" t="str">
        <f>IF(SpaceHeater!A863&lt;&gt;"",SpaceHeater!A863,"")</f>
        <v/>
      </c>
    </row>
    <row r="864" spans="3:3" x14ac:dyDescent="0.25">
      <c r="C864" t="str">
        <f>IF(SpaceHeater!A864&lt;&gt;"",SpaceHeater!A864,"")</f>
        <v/>
      </c>
    </row>
    <row r="865" spans="3:3" x14ac:dyDescent="0.25">
      <c r="C865" t="str">
        <f>IF(SpaceHeater!A865&lt;&gt;"",SpaceHeater!A865,"")</f>
        <v/>
      </c>
    </row>
    <row r="866" spans="3:3" x14ac:dyDescent="0.25">
      <c r="C866" t="str">
        <f>IF(SpaceHeater!A866&lt;&gt;"",SpaceHeater!A866,"")</f>
        <v/>
      </c>
    </row>
    <row r="867" spans="3:3" x14ac:dyDescent="0.25">
      <c r="C867" t="str">
        <f>IF(SpaceHeater!A867&lt;&gt;"",SpaceHeater!A867,"")</f>
        <v/>
      </c>
    </row>
    <row r="868" spans="3:3" x14ac:dyDescent="0.25">
      <c r="C868" t="str">
        <f>IF(SpaceHeater!A868&lt;&gt;"",SpaceHeater!A868,"")</f>
        <v/>
      </c>
    </row>
    <row r="869" spans="3:3" x14ac:dyDescent="0.25">
      <c r="C869" t="str">
        <f>IF(SpaceHeater!A869&lt;&gt;"",SpaceHeater!A869,"")</f>
        <v/>
      </c>
    </row>
    <row r="870" spans="3:3" x14ac:dyDescent="0.25">
      <c r="C870" t="str">
        <f>IF(SpaceHeater!A870&lt;&gt;"",SpaceHeater!A870,"")</f>
        <v/>
      </c>
    </row>
    <row r="871" spans="3:3" x14ac:dyDescent="0.25">
      <c r="C871" t="str">
        <f>IF(SpaceHeater!A871&lt;&gt;"",SpaceHeater!A871,"")</f>
        <v/>
      </c>
    </row>
    <row r="872" spans="3:3" x14ac:dyDescent="0.25">
      <c r="C872" t="str">
        <f>IF(SpaceHeater!A872&lt;&gt;"",SpaceHeater!A872,"")</f>
        <v/>
      </c>
    </row>
    <row r="873" spans="3:3" x14ac:dyDescent="0.25">
      <c r="C873" t="str">
        <f>IF(SpaceHeater!A873&lt;&gt;"",SpaceHeater!A873,"")</f>
        <v/>
      </c>
    </row>
    <row r="874" spans="3:3" x14ac:dyDescent="0.25">
      <c r="C874" t="str">
        <f>IF(SpaceHeater!A874&lt;&gt;"",SpaceHeater!A874,"")</f>
        <v/>
      </c>
    </row>
    <row r="875" spans="3:3" x14ac:dyDescent="0.25">
      <c r="C875" t="str">
        <f>IF(SpaceHeater!A875&lt;&gt;"",SpaceHeater!A875,"")</f>
        <v/>
      </c>
    </row>
    <row r="876" spans="3:3" x14ac:dyDescent="0.25">
      <c r="C876" t="str">
        <f>IF(SpaceHeater!A876&lt;&gt;"",SpaceHeater!A876,"")</f>
        <v/>
      </c>
    </row>
    <row r="877" spans="3:3" x14ac:dyDescent="0.25">
      <c r="C877" t="str">
        <f>IF(SpaceHeater!A877&lt;&gt;"",SpaceHeater!A877,"")</f>
        <v/>
      </c>
    </row>
    <row r="878" spans="3:3" x14ac:dyDescent="0.25">
      <c r="C878" t="str">
        <f>IF(SpaceHeater!A878&lt;&gt;"",SpaceHeater!A878,"")</f>
        <v/>
      </c>
    </row>
    <row r="879" spans="3:3" x14ac:dyDescent="0.25">
      <c r="C879" t="str">
        <f>IF(SpaceHeater!A879&lt;&gt;"",SpaceHeater!A879,"")</f>
        <v/>
      </c>
    </row>
    <row r="880" spans="3:3" x14ac:dyDescent="0.25">
      <c r="C880" t="str">
        <f>IF(SpaceHeater!A880&lt;&gt;"",SpaceHeater!A880,"")</f>
        <v/>
      </c>
    </row>
    <row r="881" spans="3:3" x14ac:dyDescent="0.25">
      <c r="C881" t="str">
        <f>IF(SpaceHeater!A881&lt;&gt;"",SpaceHeater!A881,"")</f>
        <v/>
      </c>
    </row>
    <row r="882" spans="3:3" x14ac:dyDescent="0.25">
      <c r="C882" t="str">
        <f>IF(SpaceHeater!A882&lt;&gt;"",SpaceHeater!A882,"")</f>
        <v/>
      </c>
    </row>
    <row r="883" spans="3:3" x14ac:dyDescent="0.25">
      <c r="C883" t="str">
        <f>IF(SpaceHeater!A883&lt;&gt;"",SpaceHeater!A883,"")</f>
        <v/>
      </c>
    </row>
    <row r="884" spans="3:3" x14ac:dyDescent="0.25">
      <c r="C884" t="str">
        <f>IF(SpaceHeater!A884&lt;&gt;"",SpaceHeater!A884,"")</f>
        <v/>
      </c>
    </row>
    <row r="885" spans="3:3" x14ac:dyDescent="0.25">
      <c r="C885" t="str">
        <f>IF(SpaceHeater!A885&lt;&gt;"",SpaceHeater!A885,"")</f>
        <v/>
      </c>
    </row>
    <row r="886" spans="3:3" x14ac:dyDescent="0.25">
      <c r="C886" t="str">
        <f>IF(SpaceHeater!A886&lt;&gt;"",SpaceHeater!A886,"")</f>
        <v/>
      </c>
    </row>
    <row r="887" spans="3:3" x14ac:dyDescent="0.25">
      <c r="C887" t="str">
        <f>IF(SpaceHeater!A887&lt;&gt;"",SpaceHeater!A887,"")</f>
        <v/>
      </c>
    </row>
    <row r="888" spans="3:3" x14ac:dyDescent="0.25">
      <c r="C888" t="str">
        <f>IF(SpaceHeater!A888&lt;&gt;"",SpaceHeater!A888,"")</f>
        <v/>
      </c>
    </row>
    <row r="889" spans="3:3" x14ac:dyDescent="0.25">
      <c r="C889" t="str">
        <f>IF(SpaceHeater!A889&lt;&gt;"",SpaceHeater!A889,"")</f>
        <v/>
      </c>
    </row>
    <row r="890" spans="3:3" x14ac:dyDescent="0.25">
      <c r="C890" t="str">
        <f>IF(SpaceHeater!A890&lt;&gt;"",SpaceHeater!A890,"")</f>
        <v/>
      </c>
    </row>
    <row r="891" spans="3:3" x14ac:dyDescent="0.25">
      <c r="C891" t="str">
        <f>IF(SpaceHeater!A891&lt;&gt;"",SpaceHeater!A891,"")</f>
        <v/>
      </c>
    </row>
    <row r="892" spans="3:3" x14ac:dyDescent="0.25">
      <c r="C892" t="str">
        <f>IF(SpaceHeater!A892&lt;&gt;"",SpaceHeater!A892,"")</f>
        <v/>
      </c>
    </row>
    <row r="893" spans="3:3" x14ac:dyDescent="0.25">
      <c r="C893" t="str">
        <f>IF(SpaceHeater!A893&lt;&gt;"",SpaceHeater!A893,"")</f>
        <v/>
      </c>
    </row>
    <row r="894" spans="3:3" x14ac:dyDescent="0.25">
      <c r="C894" t="str">
        <f>IF(SpaceHeater!A894&lt;&gt;"",SpaceHeater!A894,"")</f>
        <v/>
      </c>
    </row>
    <row r="895" spans="3:3" x14ac:dyDescent="0.25">
      <c r="C895" t="str">
        <f>IF(SpaceHeater!A895&lt;&gt;"",SpaceHeater!A895,"")</f>
        <v/>
      </c>
    </row>
    <row r="896" spans="3:3" x14ac:dyDescent="0.25">
      <c r="C896" t="str">
        <f>IF(SpaceHeater!A896&lt;&gt;"",SpaceHeater!A896,"")</f>
        <v/>
      </c>
    </row>
    <row r="897" spans="3:3" x14ac:dyDescent="0.25">
      <c r="C897" t="str">
        <f>IF(SpaceHeater!A897&lt;&gt;"",SpaceHeater!A897,"")</f>
        <v/>
      </c>
    </row>
    <row r="898" spans="3:3" x14ac:dyDescent="0.25">
      <c r="C898" t="str">
        <f>IF(SpaceHeater!A898&lt;&gt;"",SpaceHeater!A898,"")</f>
        <v/>
      </c>
    </row>
    <row r="899" spans="3:3" x14ac:dyDescent="0.25">
      <c r="C899" t="str">
        <f>IF(SpaceHeater!A899&lt;&gt;"",SpaceHeater!A899,"")</f>
        <v/>
      </c>
    </row>
    <row r="900" spans="3:3" x14ac:dyDescent="0.25">
      <c r="C900" t="str">
        <f>IF(SpaceHeater!A900&lt;&gt;"",SpaceHeater!A900,"")</f>
        <v/>
      </c>
    </row>
    <row r="901" spans="3:3" x14ac:dyDescent="0.25">
      <c r="C901" t="str">
        <f>IF(SpaceHeater!A901&lt;&gt;"",SpaceHeater!A901,"")</f>
        <v/>
      </c>
    </row>
    <row r="902" spans="3:3" x14ac:dyDescent="0.25">
      <c r="C902" t="str">
        <f>IF(SpaceHeater!A902&lt;&gt;"",SpaceHeater!A902,"")</f>
        <v/>
      </c>
    </row>
    <row r="903" spans="3:3" x14ac:dyDescent="0.25">
      <c r="C903" t="str">
        <f>IF(SpaceHeater!A903&lt;&gt;"",SpaceHeater!A903,"")</f>
        <v/>
      </c>
    </row>
    <row r="904" spans="3:3" x14ac:dyDescent="0.25">
      <c r="C904" t="str">
        <f>IF(SpaceHeater!A904&lt;&gt;"",SpaceHeater!A904,"")</f>
        <v/>
      </c>
    </row>
    <row r="905" spans="3:3" x14ac:dyDescent="0.25">
      <c r="C905" t="str">
        <f>IF(SpaceHeater!A905&lt;&gt;"",SpaceHeater!A905,"")</f>
        <v/>
      </c>
    </row>
    <row r="906" spans="3:3" x14ac:dyDescent="0.25">
      <c r="C906" t="str">
        <f>IF(SpaceHeater!A906&lt;&gt;"",SpaceHeater!A906,"")</f>
        <v/>
      </c>
    </row>
    <row r="907" spans="3:3" x14ac:dyDescent="0.25">
      <c r="C907" t="str">
        <f>IF(SpaceHeater!A907&lt;&gt;"",SpaceHeater!A907,"")</f>
        <v/>
      </c>
    </row>
    <row r="908" spans="3:3" x14ac:dyDescent="0.25">
      <c r="C908" t="str">
        <f>IF(SpaceHeater!A908&lt;&gt;"",SpaceHeater!A908,"")</f>
        <v/>
      </c>
    </row>
    <row r="909" spans="3:3" x14ac:dyDescent="0.25">
      <c r="C909" t="str">
        <f>IF(SpaceHeater!A909&lt;&gt;"",SpaceHeater!A909,"")</f>
        <v/>
      </c>
    </row>
    <row r="910" spans="3:3" x14ac:dyDescent="0.25">
      <c r="C910" t="str">
        <f>IF(SpaceHeater!A910&lt;&gt;"",SpaceHeater!A910,"")</f>
        <v/>
      </c>
    </row>
    <row r="911" spans="3:3" x14ac:dyDescent="0.25">
      <c r="C911" t="str">
        <f>IF(SpaceHeater!A911&lt;&gt;"",SpaceHeater!A911,"")</f>
        <v/>
      </c>
    </row>
    <row r="912" spans="3:3" x14ac:dyDescent="0.25">
      <c r="C912" t="str">
        <f>IF(SpaceHeater!A912&lt;&gt;"",SpaceHeater!A912,"")</f>
        <v/>
      </c>
    </row>
    <row r="913" spans="3:3" x14ac:dyDescent="0.25">
      <c r="C913" t="str">
        <f>IF(SpaceHeater!A913&lt;&gt;"",SpaceHeater!A913,"")</f>
        <v/>
      </c>
    </row>
    <row r="914" spans="3:3" x14ac:dyDescent="0.25">
      <c r="C914" t="str">
        <f>IF(SpaceHeater!A914&lt;&gt;"",SpaceHeater!A914,"")</f>
        <v/>
      </c>
    </row>
    <row r="915" spans="3:3" x14ac:dyDescent="0.25">
      <c r="C915" t="str">
        <f>IF(SpaceHeater!A915&lt;&gt;"",SpaceHeater!A915,"")</f>
        <v/>
      </c>
    </row>
    <row r="916" spans="3:3" x14ac:dyDescent="0.25">
      <c r="C916" t="str">
        <f>IF(SpaceHeater!A916&lt;&gt;"",SpaceHeater!A916,"")</f>
        <v/>
      </c>
    </row>
    <row r="917" spans="3:3" x14ac:dyDescent="0.25">
      <c r="C917" t="str">
        <f>IF(SpaceHeater!A917&lt;&gt;"",SpaceHeater!A917,"")</f>
        <v/>
      </c>
    </row>
    <row r="918" spans="3:3" x14ac:dyDescent="0.25">
      <c r="C918" t="str">
        <f>IF(SpaceHeater!A918&lt;&gt;"",SpaceHeater!A918,"")</f>
        <v/>
      </c>
    </row>
    <row r="919" spans="3:3" x14ac:dyDescent="0.25">
      <c r="C919" t="str">
        <f>IF(SpaceHeater!A919&lt;&gt;"",SpaceHeater!A919,"")</f>
        <v/>
      </c>
    </row>
    <row r="920" spans="3:3" x14ac:dyDescent="0.25">
      <c r="C920" t="str">
        <f>IF(SpaceHeater!A920&lt;&gt;"",SpaceHeater!A920,"")</f>
        <v/>
      </c>
    </row>
    <row r="921" spans="3:3" x14ac:dyDescent="0.25">
      <c r="C921" t="str">
        <f>IF(SpaceHeater!A921&lt;&gt;"",SpaceHeater!A921,"")</f>
        <v/>
      </c>
    </row>
    <row r="922" spans="3:3" x14ac:dyDescent="0.25">
      <c r="C922" t="str">
        <f>IF(SpaceHeater!A922&lt;&gt;"",SpaceHeater!A922,"")</f>
        <v/>
      </c>
    </row>
    <row r="923" spans="3:3" x14ac:dyDescent="0.25">
      <c r="C923" t="str">
        <f>IF(SpaceHeater!A923&lt;&gt;"",SpaceHeater!A923,"")</f>
        <v/>
      </c>
    </row>
    <row r="924" spans="3:3" x14ac:dyDescent="0.25">
      <c r="C924" t="str">
        <f>IF(SpaceHeater!A924&lt;&gt;"",SpaceHeater!A924,"")</f>
        <v/>
      </c>
    </row>
    <row r="925" spans="3:3" x14ac:dyDescent="0.25">
      <c r="C925" t="str">
        <f>IF(SpaceHeater!A925&lt;&gt;"",SpaceHeater!A925,"")</f>
        <v/>
      </c>
    </row>
    <row r="926" spans="3:3" x14ac:dyDescent="0.25">
      <c r="C926" t="str">
        <f>IF(SpaceHeater!A926&lt;&gt;"",SpaceHeater!A926,"")</f>
        <v/>
      </c>
    </row>
    <row r="927" spans="3:3" x14ac:dyDescent="0.25">
      <c r="C927" t="str">
        <f>IF(SpaceHeater!A927&lt;&gt;"",SpaceHeater!A927,"")</f>
        <v/>
      </c>
    </row>
    <row r="928" spans="3:3" x14ac:dyDescent="0.25">
      <c r="C928" t="str">
        <f>IF(SpaceHeater!A928&lt;&gt;"",SpaceHeater!A928,"")</f>
        <v/>
      </c>
    </row>
    <row r="929" spans="3:3" x14ac:dyDescent="0.25">
      <c r="C929" t="str">
        <f>IF(SpaceHeater!A929&lt;&gt;"",SpaceHeater!A929,"")</f>
        <v/>
      </c>
    </row>
    <row r="930" spans="3:3" x14ac:dyDescent="0.25">
      <c r="C930" t="str">
        <f>IF(SpaceHeater!A930&lt;&gt;"",SpaceHeater!A930,"")</f>
        <v/>
      </c>
    </row>
    <row r="931" spans="3:3" x14ac:dyDescent="0.25">
      <c r="C931" t="str">
        <f>IF(SpaceHeater!A931&lt;&gt;"",SpaceHeater!A931,"")</f>
        <v/>
      </c>
    </row>
    <row r="932" spans="3:3" x14ac:dyDescent="0.25">
      <c r="C932" t="str">
        <f>IF(SpaceHeater!A932&lt;&gt;"",SpaceHeater!A932,"")</f>
        <v/>
      </c>
    </row>
    <row r="933" spans="3:3" x14ac:dyDescent="0.25">
      <c r="C933" t="str">
        <f>IF(SpaceHeater!A933&lt;&gt;"",SpaceHeater!A933,"")</f>
        <v/>
      </c>
    </row>
    <row r="934" spans="3:3" x14ac:dyDescent="0.25">
      <c r="C934" t="str">
        <f>IF(SpaceHeater!A934&lt;&gt;"",SpaceHeater!A934,"")</f>
        <v/>
      </c>
    </row>
    <row r="935" spans="3:3" x14ac:dyDescent="0.25">
      <c r="C935" t="str">
        <f>IF(SpaceHeater!A935&lt;&gt;"",SpaceHeater!A935,"")</f>
        <v/>
      </c>
    </row>
    <row r="936" spans="3:3" x14ac:dyDescent="0.25">
      <c r="C936" t="str">
        <f>IF(SpaceHeater!A936&lt;&gt;"",SpaceHeater!A936,"")</f>
        <v/>
      </c>
    </row>
    <row r="937" spans="3:3" x14ac:dyDescent="0.25">
      <c r="C937" t="str">
        <f>IF(SpaceHeater!A937&lt;&gt;"",SpaceHeater!A937,"")</f>
        <v/>
      </c>
    </row>
    <row r="938" spans="3:3" x14ac:dyDescent="0.25">
      <c r="C938" t="str">
        <f>IF(SpaceHeater!A938&lt;&gt;"",SpaceHeater!A938,"")</f>
        <v/>
      </c>
    </row>
    <row r="939" spans="3:3" x14ac:dyDescent="0.25">
      <c r="C939" t="str">
        <f>IF(SpaceHeater!A939&lt;&gt;"",SpaceHeater!A939,"")</f>
        <v/>
      </c>
    </row>
    <row r="940" spans="3:3" x14ac:dyDescent="0.25">
      <c r="C940" t="str">
        <f>IF(SpaceHeater!A940&lt;&gt;"",SpaceHeater!A940,"")</f>
        <v/>
      </c>
    </row>
    <row r="941" spans="3:3" x14ac:dyDescent="0.25">
      <c r="C941" t="str">
        <f>IF(SpaceHeater!A941&lt;&gt;"",SpaceHeater!A941,"")</f>
        <v/>
      </c>
    </row>
    <row r="942" spans="3:3" x14ac:dyDescent="0.25">
      <c r="C942" t="str">
        <f>IF(SpaceHeater!A942&lt;&gt;"",SpaceHeater!A942,"")</f>
        <v/>
      </c>
    </row>
    <row r="943" spans="3:3" x14ac:dyDescent="0.25">
      <c r="C943" t="str">
        <f>IF(SpaceHeater!A943&lt;&gt;"",SpaceHeater!A943,"")</f>
        <v/>
      </c>
    </row>
    <row r="944" spans="3:3" x14ac:dyDescent="0.25">
      <c r="C944" t="str">
        <f>IF(SpaceHeater!A944&lt;&gt;"",SpaceHeater!A944,"")</f>
        <v/>
      </c>
    </row>
    <row r="945" spans="3:3" x14ac:dyDescent="0.25">
      <c r="C945" t="str">
        <f>IF(SpaceHeater!A945&lt;&gt;"",SpaceHeater!A945,"")</f>
        <v/>
      </c>
    </row>
    <row r="946" spans="3:3" x14ac:dyDescent="0.25">
      <c r="C946" t="str">
        <f>IF(SpaceHeater!A946&lt;&gt;"",SpaceHeater!A946,"")</f>
        <v/>
      </c>
    </row>
    <row r="947" spans="3:3" x14ac:dyDescent="0.25">
      <c r="C947" t="str">
        <f>IF(SpaceHeater!A947&lt;&gt;"",SpaceHeater!A947,"")</f>
        <v/>
      </c>
    </row>
    <row r="948" spans="3:3" x14ac:dyDescent="0.25">
      <c r="C948" t="str">
        <f>IF(SpaceHeater!A948&lt;&gt;"",SpaceHeater!A948,"")</f>
        <v/>
      </c>
    </row>
    <row r="949" spans="3:3" x14ac:dyDescent="0.25">
      <c r="C949" t="str">
        <f>IF(SpaceHeater!A949&lt;&gt;"",SpaceHeater!A949,"")</f>
        <v/>
      </c>
    </row>
    <row r="950" spans="3:3" x14ac:dyDescent="0.25">
      <c r="C950" t="str">
        <f>IF(SpaceHeater!A950&lt;&gt;"",SpaceHeater!A950,"")</f>
        <v/>
      </c>
    </row>
    <row r="951" spans="3:3" x14ac:dyDescent="0.25">
      <c r="C951" t="str">
        <f>IF(SpaceHeater!A951&lt;&gt;"",SpaceHeater!A951,"")</f>
        <v/>
      </c>
    </row>
    <row r="952" spans="3:3" x14ac:dyDescent="0.25">
      <c r="C952" t="str">
        <f>IF(SpaceHeater!A952&lt;&gt;"",SpaceHeater!A952,"")</f>
        <v/>
      </c>
    </row>
    <row r="953" spans="3:3" x14ac:dyDescent="0.25">
      <c r="C953" t="str">
        <f>IF(SpaceHeater!A953&lt;&gt;"",SpaceHeater!A953,"")</f>
        <v/>
      </c>
    </row>
    <row r="954" spans="3:3" x14ac:dyDescent="0.25">
      <c r="C954" t="str">
        <f>IF(SpaceHeater!A954&lt;&gt;"",SpaceHeater!A954,"")</f>
        <v/>
      </c>
    </row>
    <row r="955" spans="3:3" x14ac:dyDescent="0.25">
      <c r="C955" t="str">
        <f>IF(SpaceHeater!A955&lt;&gt;"",SpaceHeater!A955,"")</f>
        <v/>
      </c>
    </row>
    <row r="956" spans="3:3" x14ac:dyDescent="0.25">
      <c r="C956" t="str">
        <f>IF(SpaceHeater!A956&lt;&gt;"",SpaceHeater!A956,"")</f>
        <v/>
      </c>
    </row>
    <row r="957" spans="3:3" x14ac:dyDescent="0.25">
      <c r="C957" t="str">
        <f>IF(SpaceHeater!A957&lt;&gt;"",SpaceHeater!A957,"")</f>
        <v/>
      </c>
    </row>
    <row r="958" spans="3:3" x14ac:dyDescent="0.25">
      <c r="C958" t="str">
        <f>IF(SpaceHeater!A958&lt;&gt;"",SpaceHeater!A958,"")</f>
        <v/>
      </c>
    </row>
    <row r="959" spans="3:3" x14ac:dyDescent="0.25">
      <c r="C959" t="str">
        <f>IF(SpaceHeater!A959&lt;&gt;"",SpaceHeater!A959,"")</f>
        <v/>
      </c>
    </row>
    <row r="960" spans="3:3" x14ac:dyDescent="0.25">
      <c r="C960" t="str">
        <f>IF(SpaceHeater!A960&lt;&gt;"",SpaceHeater!A960,"")</f>
        <v/>
      </c>
    </row>
    <row r="961" spans="3:3" x14ac:dyDescent="0.25">
      <c r="C961" t="str">
        <f>IF(SpaceHeater!A961&lt;&gt;"",SpaceHeater!A961,"")</f>
        <v/>
      </c>
    </row>
    <row r="962" spans="3:3" x14ac:dyDescent="0.25">
      <c r="C962" t="str">
        <f>IF(SpaceHeater!A962&lt;&gt;"",SpaceHeater!A962,"")</f>
        <v/>
      </c>
    </row>
    <row r="963" spans="3:3" x14ac:dyDescent="0.25">
      <c r="C963" t="str">
        <f>IF(SpaceHeater!A963&lt;&gt;"",SpaceHeater!A963,"")</f>
        <v/>
      </c>
    </row>
    <row r="964" spans="3:3" x14ac:dyDescent="0.25">
      <c r="C964" t="str">
        <f>IF(SpaceHeater!A964&lt;&gt;"",SpaceHeater!A964,"")</f>
        <v/>
      </c>
    </row>
    <row r="965" spans="3:3" x14ac:dyDescent="0.25">
      <c r="C965" t="str">
        <f>IF(SpaceHeater!A965&lt;&gt;"",SpaceHeater!A965,"")</f>
        <v/>
      </c>
    </row>
    <row r="966" spans="3:3" x14ac:dyDescent="0.25">
      <c r="C966" t="str">
        <f>IF(SpaceHeater!A966&lt;&gt;"",SpaceHeater!A966,"")</f>
        <v/>
      </c>
    </row>
    <row r="967" spans="3:3" x14ac:dyDescent="0.25">
      <c r="C967" t="str">
        <f>IF(SpaceHeater!A967&lt;&gt;"",SpaceHeater!A967,"")</f>
        <v/>
      </c>
    </row>
    <row r="968" spans="3:3" x14ac:dyDescent="0.25">
      <c r="C968" t="str">
        <f>IF(SpaceHeater!A968&lt;&gt;"",SpaceHeater!A968,"")</f>
        <v/>
      </c>
    </row>
    <row r="969" spans="3:3" x14ac:dyDescent="0.25">
      <c r="C969" t="str">
        <f>IF(SpaceHeater!A969&lt;&gt;"",SpaceHeater!A969,"")</f>
        <v/>
      </c>
    </row>
    <row r="970" spans="3:3" x14ac:dyDescent="0.25">
      <c r="C970" t="str">
        <f>IF(SpaceHeater!A970&lt;&gt;"",SpaceHeater!A970,"")</f>
        <v/>
      </c>
    </row>
    <row r="971" spans="3:3" x14ac:dyDescent="0.25">
      <c r="C971" t="str">
        <f>IF(SpaceHeater!A971&lt;&gt;"",SpaceHeater!A971,"")</f>
        <v/>
      </c>
    </row>
    <row r="972" spans="3:3" x14ac:dyDescent="0.25">
      <c r="C972" t="str">
        <f>IF(SpaceHeater!A972&lt;&gt;"",SpaceHeater!A972,"")</f>
        <v/>
      </c>
    </row>
    <row r="973" spans="3:3" x14ac:dyDescent="0.25">
      <c r="C973" t="str">
        <f>IF(SpaceHeater!A973&lt;&gt;"",SpaceHeater!A973,"")</f>
        <v/>
      </c>
    </row>
    <row r="974" spans="3:3" x14ac:dyDescent="0.25">
      <c r="C974" t="str">
        <f>IF(SpaceHeater!A974&lt;&gt;"",SpaceHeater!A974,"")</f>
        <v/>
      </c>
    </row>
    <row r="975" spans="3:3" x14ac:dyDescent="0.25">
      <c r="C975" t="str">
        <f>IF(SpaceHeater!A975&lt;&gt;"",SpaceHeater!A975,"")</f>
        <v/>
      </c>
    </row>
    <row r="976" spans="3:3" x14ac:dyDescent="0.25">
      <c r="C976" t="str">
        <f>IF(SpaceHeater!A976&lt;&gt;"",SpaceHeater!A976,"")</f>
        <v/>
      </c>
    </row>
    <row r="977" spans="3:3" x14ac:dyDescent="0.25">
      <c r="C977" t="str">
        <f>IF(SpaceHeater!A977&lt;&gt;"",SpaceHeater!A977,"")</f>
        <v/>
      </c>
    </row>
    <row r="978" spans="3:3" x14ac:dyDescent="0.25">
      <c r="C978" t="str">
        <f>IF(SpaceHeater!A978&lt;&gt;"",SpaceHeater!A978,"")</f>
        <v/>
      </c>
    </row>
    <row r="979" spans="3:3" x14ac:dyDescent="0.25">
      <c r="C979" t="str">
        <f>IF(SpaceHeater!A979&lt;&gt;"",SpaceHeater!A979,"")</f>
        <v/>
      </c>
    </row>
    <row r="980" spans="3:3" x14ac:dyDescent="0.25">
      <c r="C980" t="str">
        <f>IF(SpaceHeater!A980&lt;&gt;"",SpaceHeater!A980,"")</f>
        <v/>
      </c>
    </row>
    <row r="981" spans="3:3" x14ac:dyDescent="0.25">
      <c r="C981" t="str">
        <f>IF(SpaceHeater!A981&lt;&gt;"",SpaceHeater!A981,"")</f>
        <v/>
      </c>
    </row>
    <row r="982" spans="3:3" x14ac:dyDescent="0.25">
      <c r="C982" t="str">
        <f>IF(SpaceHeater!A982&lt;&gt;"",SpaceHeater!A982,"")</f>
        <v/>
      </c>
    </row>
    <row r="983" spans="3:3" x14ac:dyDescent="0.25">
      <c r="C983" t="str">
        <f>IF(SpaceHeater!A983&lt;&gt;"",SpaceHeater!A983,"")</f>
        <v/>
      </c>
    </row>
    <row r="984" spans="3:3" x14ac:dyDescent="0.25">
      <c r="C984" t="str">
        <f>IF(SpaceHeater!A984&lt;&gt;"",SpaceHeater!A984,"")</f>
        <v/>
      </c>
    </row>
    <row r="985" spans="3:3" x14ac:dyDescent="0.25">
      <c r="C985" t="str">
        <f>IF(SpaceHeater!A985&lt;&gt;"",SpaceHeater!A985,"")</f>
        <v/>
      </c>
    </row>
    <row r="986" spans="3:3" x14ac:dyDescent="0.25">
      <c r="C986" t="str">
        <f>IF(SpaceHeater!A986&lt;&gt;"",SpaceHeater!A986,"")</f>
        <v/>
      </c>
    </row>
    <row r="987" spans="3:3" x14ac:dyDescent="0.25">
      <c r="C987" t="str">
        <f>IF(SpaceHeater!A987&lt;&gt;"",SpaceHeater!A987,"")</f>
        <v/>
      </c>
    </row>
    <row r="988" spans="3:3" x14ac:dyDescent="0.25">
      <c r="C988" t="str">
        <f>IF(SpaceHeater!A988&lt;&gt;"",SpaceHeater!A988,"")</f>
        <v/>
      </c>
    </row>
    <row r="989" spans="3:3" x14ac:dyDescent="0.25">
      <c r="C989" t="str">
        <f>IF(SpaceHeater!A989&lt;&gt;"",SpaceHeater!A989,"")</f>
        <v/>
      </c>
    </row>
    <row r="990" spans="3:3" x14ac:dyDescent="0.25">
      <c r="C990" t="str">
        <f>IF(SpaceHeater!A990&lt;&gt;"",SpaceHeater!A990,"")</f>
        <v/>
      </c>
    </row>
    <row r="991" spans="3:3" x14ac:dyDescent="0.25">
      <c r="C991" t="str">
        <f>IF(SpaceHeater!A991&lt;&gt;"",SpaceHeater!A991,"")</f>
        <v/>
      </c>
    </row>
    <row r="992" spans="3:3" x14ac:dyDescent="0.25">
      <c r="C992" t="str">
        <f>IF(SpaceHeater!A992&lt;&gt;"",SpaceHeater!A992,"")</f>
        <v/>
      </c>
    </row>
    <row r="993" spans="3:3" x14ac:dyDescent="0.25">
      <c r="C993" t="str">
        <f>IF(SpaceHeater!A993&lt;&gt;"",SpaceHeater!A993,"")</f>
        <v/>
      </c>
    </row>
    <row r="994" spans="3:3" x14ac:dyDescent="0.25">
      <c r="C994" t="str">
        <f>IF(SpaceHeater!A994&lt;&gt;"",SpaceHeater!A994,"")</f>
        <v/>
      </c>
    </row>
    <row r="995" spans="3:3" x14ac:dyDescent="0.25">
      <c r="C995" t="str">
        <f>IF(SpaceHeater!A995&lt;&gt;"",SpaceHeater!A995,"")</f>
        <v/>
      </c>
    </row>
    <row r="996" spans="3:3" x14ac:dyDescent="0.25">
      <c r="C996" t="str">
        <f>IF(SpaceHeater!A996&lt;&gt;"",SpaceHeater!A996,"")</f>
        <v/>
      </c>
    </row>
    <row r="997" spans="3:3" x14ac:dyDescent="0.25">
      <c r="C997" t="str">
        <f>IF(SpaceHeater!A997&lt;&gt;"",SpaceHeater!A997,"")</f>
        <v/>
      </c>
    </row>
    <row r="998" spans="3:3" x14ac:dyDescent="0.25">
      <c r="C998" t="str">
        <f>IF(SpaceHeater!A998&lt;&gt;"",SpaceHeater!A998,"")</f>
        <v/>
      </c>
    </row>
    <row r="999" spans="3:3" x14ac:dyDescent="0.25">
      <c r="C999" t="str">
        <f>IF(SpaceHeater!A999&lt;&gt;"",SpaceHeater!A999,"")</f>
        <v/>
      </c>
    </row>
  </sheetData>
  <dataValidations count="6">
    <dataValidation showInputMessage="1" showErrorMessage="1" sqref="C1000:C1048576" xr:uid="{5F303923-A133-43EE-BF6A-9A627B0041CB}"/>
    <dataValidation type="list" allowBlank="1" showInputMessage="1" showErrorMessage="1" sqref="C2" xr:uid="{1E56B6AE-414D-4687-AC21-23587563AD36}">
      <formula1>space_names</formula1>
    </dataValidation>
    <dataValidation type="list" showInputMessage="1" showErrorMessage="1" sqref="C3:C999" xr:uid="{619C179E-8A78-48AD-AB79-85B7AC4D1CCA}">
      <formula1>space_names</formula1>
    </dataValidation>
    <dataValidation type="list" showInputMessage="1" showErrorMessage="1" sqref="B2:B1048576" xr:uid="{CE64F4C1-9BD4-4D3E-822C-42B3E366AA4F}">
      <formula1>heating_cooling_system_names</formula1>
    </dataValidation>
    <dataValidation type="list" showInputMessage="1" showErrorMessage="1" sqref="F2:F1048576" xr:uid="{1D2E0CB7-91BB-43AD-B69E-CF9F03C2CEC4}">
      <formula1>property_instance</formula1>
    </dataValidation>
    <dataValidation type="list" showInputMessage="1" showErrorMessage="1" sqref="D2:E1048576" xr:uid="{E5DACFDF-A050-4B78-865E-5C724D8D221D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F1C9A-4BFE-4DCE-88D1-63E4B7D79F67}">
  <sheetPr codeName="Sheet18"/>
  <dimension ref="A1:M1"/>
  <sheetViews>
    <sheetView workbookViewId="0">
      <selection activeCell="C26" sqref="C26"/>
    </sheetView>
  </sheetViews>
  <sheetFormatPr defaultColWidth="8.85546875" defaultRowHeight="15" x14ac:dyDescent="0.25"/>
  <cols>
    <col min="2" max="2" width="12.7109375" bestFit="1" customWidth="1"/>
    <col min="3" max="4" width="42.28515625" bestFit="1" customWidth="1"/>
    <col min="5" max="5" width="11.7109375" bestFit="1" customWidth="1"/>
    <col min="6" max="6" width="14.140625" bestFit="1" customWidth="1"/>
    <col min="7" max="7" width="15" bestFit="1" customWidth="1"/>
    <col min="9" max="9" width="12.140625" bestFit="1" customWidth="1"/>
    <col min="10" max="10" width="16.140625" bestFit="1" customWidth="1"/>
    <col min="11" max="11" width="14.85546875" bestFit="1" customWidth="1"/>
    <col min="12" max="12" width="12.28515625" bestFit="1" customWidth="1"/>
    <col min="13" max="13" width="16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170</v>
      </c>
      <c r="D1" s="11" t="s">
        <v>171</v>
      </c>
      <c r="E1" s="11" t="s">
        <v>74</v>
      </c>
      <c r="F1" s="2"/>
      <c r="G1" s="3"/>
      <c r="H1" s="2"/>
      <c r="I1" s="3"/>
      <c r="J1" s="2"/>
      <c r="K1" s="2"/>
      <c r="L1" s="2"/>
      <c r="M1" s="2"/>
    </row>
  </sheetData>
  <dataValidations count="3">
    <dataValidation type="list" showInputMessage="1" showErrorMessage="1" sqref="E2:E1048576" xr:uid="{0B2C4B63-EA27-4672-B4CD-76D734B3D9CD}">
      <formula1>property_instance</formula1>
    </dataValidation>
    <dataValidation type="list" showInputMessage="1" showErrorMessage="1" sqref="C2:D1048576" xr:uid="{AE7574CD-907E-4F5C-8531-AFC689CEF255}">
      <formula1>all_flow_systems</formula1>
    </dataValidation>
    <dataValidation type="list" showInputMessage="1" showErrorMessage="1" sqref="B2:B1048576" xr:uid="{A9458025-EF97-443D-B02D-CA7697C15E9D}">
      <formula1>heating_cooling_system_names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B0EA7-434A-4CA3-97FE-A57E5232E2E7}">
  <sheetPr codeName="Sheet6"/>
  <dimension ref="A1:M3"/>
  <sheetViews>
    <sheetView workbookViewId="0">
      <selection activeCell="F13" sqref="F13"/>
    </sheetView>
  </sheetViews>
  <sheetFormatPr defaultColWidth="8.85546875" defaultRowHeight="15" x14ac:dyDescent="0.25"/>
  <cols>
    <col min="1" max="1" width="24.7109375" style="1" bestFit="1" customWidth="1"/>
    <col min="2" max="2" width="21.140625" bestFit="1" customWidth="1"/>
    <col min="3" max="4" width="43.28515625" bestFit="1" customWidth="1"/>
    <col min="5" max="5" width="45" bestFit="1" customWidth="1"/>
    <col min="6" max="6" width="15.42578125" bestFit="1" customWidth="1"/>
    <col min="7" max="7" width="15.140625" bestFit="1" customWidth="1"/>
    <col min="8" max="8" width="21.7109375" bestFit="1" customWidth="1"/>
    <col min="9" max="9" width="25.42578125" bestFit="1" customWidth="1"/>
    <col min="10" max="10" width="10.42578125" bestFit="1" customWidth="1"/>
    <col min="11" max="11" width="25.42578125" bestFit="1" customWidth="1"/>
    <col min="12" max="12" width="25.140625" bestFit="1" customWidth="1"/>
    <col min="13" max="13" width="14.855468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172</v>
      </c>
      <c r="D1" s="11" t="s">
        <v>173</v>
      </c>
      <c r="E1" s="11" t="s">
        <v>74</v>
      </c>
      <c r="F1" s="3" t="s">
        <v>22</v>
      </c>
      <c r="G1" s="2" t="s">
        <v>140</v>
      </c>
      <c r="H1" s="2" t="s">
        <v>141</v>
      </c>
      <c r="I1" s="3" t="s">
        <v>142</v>
      </c>
      <c r="J1" s="11" t="s">
        <v>143</v>
      </c>
      <c r="K1" s="2" t="s">
        <v>36</v>
      </c>
      <c r="L1" s="2" t="s">
        <v>37</v>
      </c>
      <c r="M1" s="2" t="s">
        <v>11</v>
      </c>
    </row>
    <row r="2" spans="1:13" x14ac:dyDescent="0.25">
      <c r="A2" s="17" t="s">
        <v>92</v>
      </c>
      <c r="B2" t="s">
        <v>95</v>
      </c>
      <c r="C2" s="7" t="s">
        <v>116</v>
      </c>
      <c r="D2" s="7"/>
      <c r="E2" s="7" t="s">
        <v>117</v>
      </c>
      <c r="F2">
        <v>3.0555555555555558</v>
      </c>
      <c r="I2">
        <v>6226</v>
      </c>
      <c r="J2" s="18"/>
    </row>
    <row r="3" spans="1:13" x14ac:dyDescent="0.25">
      <c r="A3" s="1" t="s">
        <v>93</v>
      </c>
      <c r="B3" t="s">
        <v>96</v>
      </c>
      <c r="C3" t="s">
        <v>111</v>
      </c>
      <c r="E3" t="s">
        <v>118</v>
      </c>
      <c r="F3">
        <v>3.0555555555555558</v>
      </c>
      <c r="I3">
        <v>2386</v>
      </c>
      <c r="J3" s="18"/>
    </row>
  </sheetData>
  <phoneticPr fontId="2" type="noConversion"/>
  <dataValidations count="3">
    <dataValidation type="list" showInputMessage="1" showErrorMessage="1" sqref="B2:B1048576" xr:uid="{0AA01105-48B7-4C7B-B480-266C229553D1}">
      <formula1>system_names</formula1>
    </dataValidation>
    <dataValidation type="list" showInputMessage="1" showErrorMessage="1" sqref="E2:E1048576" xr:uid="{715748BA-3B18-4CDA-8BC1-2FA73F7B2E8A}">
      <formula1>property_instance</formula1>
    </dataValidation>
    <dataValidation type="list" showInputMessage="1" showErrorMessage="1" sqref="C2:D1048576" xr:uid="{97A342B7-0E2B-4F37-AB74-751DA6ADC601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142E3-535E-45D7-B544-7DE9118FD57D}">
  <sheetPr codeName="Sheet7"/>
  <dimension ref="A1:M11"/>
  <sheetViews>
    <sheetView workbookViewId="0">
      <selection activeCell="D31" sqref="D31"/>
    </sheetView>
  </sheetViews>
  <sheetFormatPr defaultColWidth="8.85546875" defaultRowHeight="15" x14ac:dyDescent="0.25"/>
  <cols>
    <col min="1" max="1" width="27.140625" style="1" bestFit="1" customWidth="1"/>
    <col min="2" max="2" width="18" bestFit="1" customWidth="1"/>
    <col min="3" max="4" width="26.42578125" bestFit="1" customWidth="1"/>
    <col min="5" max="5" width="123.42578125" bestFit="1" customWidth="1"/>
    <col min="6" max="6" width="10.42578125" bestFit="1" customWidth="1"/>
    <col min="7" max="7" width="22" bestFit="1" customWidth="1"/>
    <col min="8" max="8" width="25.42578125" bestFit="1" customWidth="1"/>
    <col min="9" max="9" width="25.140625" bestFit="1" customWidth="1"/>
    <col min="10" max="10" width="22.85546875" bestFit="1" customWidth="1"/>
    <col min="11" max="11" width="22.42578125" bestFit="1" customWidth="1"/>
    <col min="12" max="12" width="25" bestFit="1" customWidth="1"/>
    <col min="13" max="14" width="24.7109375" bestFit="1" customWidth="1"/>
  </cols>
  <sheetData>
    <row r="1" spans="1:13" ht="15.75" thickBot="1" x14ac:dyDescent="0.3">
      <c r="A1" s="6" t="s">
        <v>59</v>
      </c>
      <c r="B1" s="3" t="s">
        <v>57</v>
      </c>
      <c r="C1" s="11" t="s">
        <v>170</v>
      </c>
      <c r="D1" s="11" t="s">
        <v>171</v>
      </c>
      <c r="E1" s="11" t="s">
        <v>74</v>
      </c>
      <c r="F1" s="2" t="s">
        <v>48</v>
      </c>
      <c r="G1" s="2" t="s">
        <v>49</v>
      </c>
      <c r="H1" s="2" t="s">
        <v>36</v>
      </c>
      <c r="I1" s="2" t="s">
        <v>37</v>
      </c>
      <c r="J1" s="3" t="s">
        <v>50</v>
      </c>
      <c r="K1" s="2" t="s">
        <v>51</v>
      </c>
      <c r="L1" s="3" t="s">
        <v>52</v>
      </c>
      <c r="M1" s="2" t="s">
        <v>53</v>
      </c>
    </row>
    <row r="2" spans="1:13" x14ac:dyDescent="0.25">
      <c r="A2" s="1" t="s">
        <v>109</v>
      </c>
      <c r="B2" t="s">
        <v>85</v>
      </c>
      <c r="C2" t="s">
        <v>112</v>
      </c>
      <c r="D2" t="s">
        <v>137</v>
      </c>
      <c r="E2" s="7" t="s">
        <v>162</v>
      </c>
      <c r="H2">
        <v>22</v>
      </c>
      <c r="I2">
        <v>-8.5</v>
      </c>
      <c r="J2">
        <v>3.0555555555555558</v>
      </c>
      <c r="L2">
        <v>3.0555555555555558</v>
      </c>
    </row>
    <row r="8" spans="1:13" x14ac:dyDescent="0.25">
      <c r="G8" s="7"/>
    </row>
    <row r="9" spans="1:13" x14ac:dyDescent="0.25">
      <c r="G9" s="7"/>
    </row>
    <row r="10" spans="1:13" x14ac:dyDescent="0.25">
      <c r="G10" s="7"/>
    </row>
    <row r="11" spans="1:13" x14ac:dyDescent="0.25">
      <c r="G11" s="7"/>
    </row>
  </sheetData>
  <phoneticPr fontId="2" type="noConversion"/>
  <dataValidations count="3">
    <dataValidation type="list" showInputMessage="1" showErrorMessage="1" sqref="B2:B1048576" xr:uid="{164381D2-0FCF-4A4E-A4F9-78C16B3F8259}">
      <formula1>ventilation_system_names</formula1>
    </dataValidation>
    <dataValidation showInputMessage="1" showErrorMessage="1" sqref="E3:E1048576" xr:uid="{7B0207D7-F0F5-45A7-B38C-70BCADF38C7F}"/>
    <dataValidation type="list" showInputMessage="1" showErrorMessage="1" sqref="C2:D1048576" xr:uid="{9302DAE3-A63D-437D-B3FC-F0F5F2B9BE5A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999C7-12DB-42EA-8FDC-B5FA87CE6F00}">
  <sheetPr codeName="Sheet8"/>
  <dimension ref="A1:O3"/>
  <sheetViews>
    <sheetView workbookViewId="0">
      <selection activeCell="D7" sqref="D7"/>
    </sheetView>
  </sheetViews>
  <sheetFormatPr defaultColWidth="8.85546875" defaultRowHeight="15" x14ac:dyDescent="0.25"/>
  <cols>
    <col min="1" max="1" width="22.42578125" style="1" bestFit="1" customWidth="1"/>
    <col min="2" max="2" width="18" bestFit="1" customWidth="1"/>
    <col min="3" max="4" width="46.140625" customWidth="1"/>
    <col min="5" max="5" width="47.28515625" bestFit="1" customWidth="1"/>
    <col min="6" max="6" width="19.28515625" bestFit="1" customWidth="1"/>
    <col min="7" max="7" width="15.42578125" bestFit="1" customWidth="1"/>
    <col min="8" max="8" width="19.42578125" bestFit="1" customWidth="1"/>
    <col min="9" max="9" width="18.28515625" bestFit="1" customWidth="1"/>
    <col min="10" max="10" width="21.85546875" bestFit="1" customWidth="1"/>
    <col min="11" max="11" width="21.140625" bestFit="1" customWidth="1"/>
    <col min="12" max="12" width="20.7109375" bestFit="1" customWidth="1"/>
    <col min="13" max="13" width="25.42578125" bestFit="1" customWidth="1"/>
    <col min="14" max="14" width="25.140625" bestFit="1" customWidth="1"/>
    <col min="15" max="15" width="18" bestFit="1" customWidth="1"/>
  </cols>
  <sheetData>
    <row r="1" spans="1:15" ht="15.75" thickBot="1" x14ac:dyDescent="0.3">
      <c r="A1" s="6" t="s">
        <v>59</v>
      </c>
      <c r="B1" s="3" t="s">
        <v>57</v>
      </c>
      <c r="C1" s="11" t="s">
        <v>170</v>
      </c>
      <c r="D1" s="11" t="s">
        <v>171</v>
      </c>
      <c r="E1" s="11" t="s">
        <v>74</v>
      </c>
      <c r="F1" s="2" t="s">
        <v>41</v>
      </c>
      <c r="G1" s="2" t="s">
        <v>42</v>
      </c>
      <c r="H1" s="3" t="s">
        <v>32</v>
      </c>
      <c r="I1" s="3" t="s">
        <v>43</v>
      </c>
      <c r="J1" s="2" t="s">
        <v>44</v>
      </c>
      <c r="K1" s="2" t="s">
        <v>45</v>
      </c>
      <c r="L1" s="2" t="s">
        <v>46</v>
      </c>
      <c r="M1" s="2" t="s">
        <v>36</v>
      </c>
      <c r="N1" s="2" t="s">
        <v>37</v>
      </c>
      <c r="O1" s="2" t="s">
        <v>47</v>
      </c>
    </row>
    <row r="2" spans="1:15" x14ac:dyDescent="0.25">
      <c r="A2" s="1" t="s">
        <v>111</v>
      </c>
      <c r="B2" t="s">
        <v>85</v>
      </c>
      <c r="C2" t="s">
        <v>114</v>
      </c>
      <c r="E2" t="s">
        <v>158</v>
      </c>
      <c r="H2">
        <v>3.0555555555555558</v>
      </c>
      <c r="I2">
        <v>3.07</v>
      </c>
    </row>
    <row r="3" spans="1:15" x14ac:dyDescent="0.25">
      <c r="A3" s="1" t="s">
        <v>123</v>
      </c>
      <c r="B3" t="s">
        <v>85</v>
      </c>
      <c r="D3" t="s">
        <v>122</v>
      </c>
      <c r="E3" t="s">
        <v>159</v>
      </c>
      <c r="H3">
        <v>3.0555555555555558</v>
      </c>
      <c r="I3">
        <v>3.07</v>
      </c>
    </row>
  </sheetData>
  <dataValidations count="3">
    <dataValidation type="list" showInputMessage="1" showErrorMessage="1" sqref="B2:B1048576" xr:uid="{70F53CDF-A29A-496C-89E3-BA66AEA18CC4}">
      <formula1>ventilation_system_names</formula1>
    </dataValidation>
    <dataValidation type="list" showInputMessage="1" showErrorMessage="1" sqref="E2:E1048576" xr:uid="{345821BA-D34E-4327-8CDA-F37CFCAF3794}">
      <formula1>property_instance</formula1>
    </dataValidation>
    <dataValidation type="list" showInputMessage="1" showErrorMessage="1" sqref="C2:D1048576" xr:uid="{23C68D58-107E-4D68-B299-E860C352D507}">
      <formula1>all_flow_systems</formula1>
    </dataValidation>
  </dataValidation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EF019-D7A4-42FF-B5C0-3702855A99F7}">
  <sheetPr codeName="Sheet9"/>
  <dimension ref="A1:G1004"/>
  <sheetViews>
    <sheetView topLeftCell="F1" workbookViewId="0">
      <selection activeCell="G21" sqref="G21"/>
    </sheetView>
  </sheetViews>
  <sheetFormatPr defaultColWidth="8.85546875" defaultRowHeight="15" x14ac:dyDescent="0.25"/>
  <cols>
    <col min="1" max="1" width="35.7109375" bestFit="1" customWidth="1"/>
    <col min="2" max="2" width="26" customWidth="1"/>
    <col min="3" max="3" width="18" bestFit="1" customWidth="1"/>
    <col min="4" max="4" width="31.42578125" bestFit="1" customWidth="1"/>
    <col min="5" max="5" width="76.7109375" bestFit="1" customWidth="1"/>
    <col min="6" max="6" width="34.42578125" bestFit="1" customWidth="1"/>
    <col min="7" max="7" width="9.42578125" bestFit="1" customWidth="1"/>
  </cols>
  <sheetData>
    <row r="1" spans="1:7" ht="15.75" thickBot="1" x14ac:dyDescent="0.3">
      <c r="A1" s="6" t="s">
        <v>59</v>
      </c>
      <c r="B1" s="3" t="s">
        <v>57</v>
      </c>
      <c r="C1" s="3" t="s">
        <v>58</v>
      </c>
      <c r="D1" s="3" t="s">
        <v>163</v>
      </c>
      <c r="E1" s="3" t="s">
        <v>164</v>
      </c>
      <c r="F1" s="3" t="s">
        <v>165</v>
      </c>
      <c r="G1" s="3" t="s">
        <v>169</v>
      </c>
    </row>
    <row r="2" spans="1:7" x14ac:dyDescent="0.25">
      <c r="A2" s="1" t="s">
        <v>360</v>
      </c>
      <c r="B2" t="s">
        <v>85</v>
      </c>
      <c r="C2" t="s">
        <v>349</v>
      </c>
      <c r="D2" t="s">
        <v>361</v>
      </c>
      <c r="E2" t="s">
        <v>359</v>
      </c>
      <c r="F2" t="s">
        <v>362</v>
      </c>
      <c r="G2" t="b">
        <v>1</v>
      </c>
    </row>
    <row r="3" spans="1:7" x14ac:dyDescent="0.25">
      <c r="A3" s="1" t="s">
        <v>363</v>
      </c>
      <c r="B3" t="s">
        <v>85</v>
      </c>
      <c r="C3" t="s">
        <v>349</v>
      </c>
      <c r="D3" t="s">
        <v>364</v>
      </c>
      <c r="E3" t="s">
        <v>365</v>
      </c>
      <c r="F3" t="s">
        <v>366</v>
      </c>
      <c r="G3" t="b">
        <v>0</v>
      </c>
    </row>
    <row r="4" spans="1:7" x14ac:dyDescent="0.25">
      <c r="A4" s="1" t="s">
        <v>385</v>
      </c>
      <c r="B4" t="s">
        <v>85</v>
      </c>
      <c r="C4" t="s">
        <v>373</v>
      </c>
      <c r="D4" t="s">
        <v>386</v>
      </c>
      <c r="E4" t="s">
        <v>384</v>
      </c>
      <c r="F4" t="s">
        <v>387</v>
      </c>
      <c r="G4" t="b">
        <v>1</v>
      </c>
    </row>
    <row r="5" spans="1:7" x14ac:dyDescent="0.25">
      <c r="A5" s="1" t="s">
        <v>388</v>
      </c>
      <c r="B5" t="s">
        <v>85</v>
      </c>
      <c r="C5" t="s">
        <v>373</v>
      </c>
      <c r="D5" t="s">
        <v>389</v>
      </c>
      <c r="E5" t="s">
        <v>390</v>
      </c>
      <c r="F5" t="s">
        <v>391</v>
      </c>
      <c r="G5" t="b">
        <v>0</v>
      </c>
    </row>
    <row r="6" spans="1:7" x14ac:dyDescent="0.25">
      <c r="A6" s="1" t="s">
        <v>410</v>
      </c>
      <c r="B6" t="s">
        <v>85</v>
      </c>
      <c r="C6" t="s">
        <v>399</v>
      </c>
      <c r="D6" t="s">
        <v>411</v>
      </c>
      <c r="E6" t="s">
        <v>409</v>
      </c>
      <c r="F6" t="s">
        <v>412</v>
      </c>
      <c r="G6" t="b">
        <v>1</v>
      </c>
    </row>
    <row r="7" spans="1:7" x14ac:dyDescent="0.25">
      <c r="A7" s="1" t="s">
        <v>413</v>
      </c>
      <c r="B7" t="s">
        <v>85</v>
      </c>
      <c r="C7" t="s">
        <v>399</v>
      </c>
      <c r="D7" t="s">
        <v>414</v>
      </c>
      <c r="E7" t="s">
        <v>415</v>
      </c>
      <c r="F7" t="s">
        <v>416</v>
      </c>
      <c r="G7" t="b">
        <v>0</v>
      </c>
    </row>
    <row r="8" spans="1:7" x14ac:dyDescent="0.25">
      <c r="A8" s="1" t="s">
        <v>434</v>
      </c>
      <c r="B8" t="s">
        <v>85</v>
      </c>
      <c r="C8" t="s">
        <v>423</v>
      </c>
      <c r="D8" t="s">
        <v>435</v>
      </c>
      <c r="E8" t="s">
        <v>433</v>
      </c>
      <c r="F8" t="s">
        <v>436</v>
      </c>
      <c r="G8" t="b">
        <v>1</v>
      </c>
    </row>
    <row r="9" spans="1:7" x14ac:dyDescent="0.25">
      <c r="A9" s="1" t="s">
        <v>437</v>
      </c>
      <c r="B9" t="s">
        <v>85</v>
      </c>
      <c r="C9" t="s">
        <v>423</v>
      </c>
      <c r="D9" t="s">
        <v>438</v>
      </c>
      <c r="E9" t="s">
        <v>439</v>
      </c>
      <c r="F9" t="s">
        <v>440</v>
      </c>
      <c r="G9" t="b">
        <v>0</v>
      </c>
    </row>
    <row r="10" spans="1:7" x14ac:dyDescent="0.25">
      <c r="A10" s="1" t="s">
        <v>468</v>
      </c>
      <c r="B10" t="s">
        <v>85</v>
      </c>
      <c r="C10" t="s">
        <v>455</v>
      </c>
      <c r="D10" t="s">
        <v>469</v>
      </c>
      <c r="E10" t="s">
        <v>467</v>
      </c>
      <c r="F10" t="s">
        <v>470</v>
      </c>
      <c r="G10" t="b">
        <v>1</v>
      </c>
    </row>
    <row r="11" spans="1:7" x14ac:dyDescent="0.25">
      <c r="A11" s="1" t="s">
        <v>471</v>
      </c>
      <c r="B11" t="s">
        <v>85</v>
      </c>
      <c r="C11" t="s">
        <v>455</v>
      </c>
      <c r="D11" t="s">
        <v>472</v>
      </c>
      <c r="E11" t="s">
        <v>473</v>
      </c>
      <c r="F11" t="s">
        <v>474</v>
      </c>
      <c r="G11" t="b">
        <v>0</v>
      </c>
    </row>
    <row r="12" spans="1:7" x14ac:dyDescent="0.25">
      <c r="A12" s="1" t="s">
        <v>314</v>
      </c>
      <c r="B12" t="s">
        <v>85</v>
      </c>
      <c r="C12" t="s">
        <v>303</v>
      </c>
      <c r="D12" t="s">
        <v>315</v>
      </c>
      <c r="E12" t="s">
        <v>313</v>
      </c>
      <c r="F12" t="s">
        <v>316</v>
      </c>
      <c r="G12" t="b">
        <v>1</v>
      </c>
    </row>
    <row r="13" spans="1:7" x14ac:dyDescent="0.25">
      <c r="A13" s="1" t="s">
        <v>450</v>
      </c>
      <c r="B13" t="s">
        <v>85</v>
      </c>
      <c r="C13" t="s">
        <v>326</v>
      </c>
      <c r="D13" t="s">
        <v>337</v>
      </c>
      <c r="E13" t="s">
        <v>336</v>
      </c>
      <c r="F13" t="s">
        <v>338</v>
      </c>
      <c r="G13" t="b">
        <v>1</v>
      </c>
    </row>
    <row r="14" spans="1:7" x14ac:dyDescent="0.25">
      <c r="A14" s="1" t="s">
        <v>339</v>
      </c>
      <c r="B14" t="s">
        <v>85</v>
      </c>
      <c r="C14" t="s">
        <v>326</v>
      </c>
      <c r="D14" t="s">
        <v>340</v>
      </c>
      <c r="E14" t="s">
        <v>341</v>
      </c>
      <c r="F14" t="s">
        <v>342</v>
      </c>
      <c r="G14" t="b">
        <v>0</v>
      </c>
    </row>
    <row r="15" spans="1:7" x14ac:dyDescent="0.25">
      <c r="A15" s="1" t="s">
        <v>241</v>
      </c>
      <c r="B15" t="s">
        <v>85</v>
      </c>
      <c r="C15" t="s">
        <v>229</v>
      </c>
      <c r="D15" t="s">
        <v>242</v>
      </c>
      <c r="E15" t="s">
        <v>240</v>
      </c>
      <c r="F15" t="s">
        <v>243</v>
      </c>
      <c r="G15" t="b">
        <v>1</v>
      </c>
    </row>
    <row r="16" spans="1:7" x14ac:dyDescent="0.25">
      <c r="A16" s="1" t="s">
        <v>244</v>
      </c>
      <c r="B16" t="s">
        <v>85</v>
      </c>
      <c r="C16" t="s">
        <v>229</v>
      </c>
      <c r="D16" t="s">
        <v>245</v>
      </c>
      <c r="E16" t="s">
        <v>246</v>
      </c>
      <c r="F16" t="s">
        <v>247</v>
      </c>
      <c r="G16" t="b">
        <v>0</v>
      </c>
    </row>
    <row r="17" spans="1:7" x14ac:dyDescent="0.25">
      <c r="A17" s="1" t="s">
        <v>290</v>
      </c>
      <c r="B17" t="s">
        <v>85</v>
      </c>
      <c r="C17" t="s">
        <v>279</v>
      </c>
      <c r="D17" t="s">
        <v>291</v>
      </c>
      <c r="E17" t="s">
        <v>289</v>
      </c>
      <c r="F17" t="s">
        <v>292</v>
      </c>
      <c r="G17" t="b">
        <v>1</v>
      </c>
    </row>
    <row r="18" spans="1:7" x14ac:dyDescent="0.25">
      <c r="A18" s="1" t="s">
        <v>293</v>
      </c>
      <c r="B18" t="s">
        <v>85</v>
      </c>
      <c r="C18" t="s">
        <v>279</v>
      </c>
      <c r="D18" t="s">
        <v>294</v>
      </c>
      <c r="E18" t="s">
        <v>295</v>
      </c>
      <c r="F18" t="s">
        <v>296</v>
      </c>
      <c r="G18" t="b">
        <v>0</v>
      </c>
    </row>
    <row r="19" spans="1:7" x14ac:dyDescent="0.25">
      <c r="A19" s="1" t="s">
        <v>265</v>
      </c>
      <c r="B19" t="s">
        <v>85</v>
      </c>
      <c r="C19" t="s">
        <v>254</v>
      </c>
      <c r="D19" t="s">
        <v>266</v>
      </c>
      <c r="E19" t="s">
        <v>264</v>
      </c>
      <c r="F19" t="s">
        <v>267</v>
      </c>
      <c r="G19" t="b">
        <v>1</v>
      </c>
    </row>
    <row r="20" spans="1:7" x14ac:dyDescent="0.25">
      <c r="A20" s="1" t="s">
        <v>200</v>
      </c>
      <c r="B20" t="s">
        <v>85</v>
      </c>
      <c r="C20" t="s">
        <v>189</v>
      </c>
      <c r="D20" t="s">
        <v>201</v>
      </c>
      <c r="E20" t="s">
        <v>199</v>
      </c>
      <c r="F20" t="s">
        <v>202</v>
      </c>
      <c r="G20" t="b">
        <v>1</v>
      </c>
    </row>
    <row r="21" spans="1:7" x14ac:dyDescent="0.25">
      <c r="A21" s="1" t="s">
        <v>203</v>
      </c>
      <c r="B21" t="s">
        <v>85</v>
      </c>
      <c r="C21" t="s">
        <v>189</v>
      </c>
      <c r="D21" t="s">
        <v>204</v>
      </c>
      <c r="E21" t="s">
        <v>205</v>
      </c>
      <c r="F21" t="s">
        <v>206</v>
      </c>
      <c r="G21" t="b">
        <v>0</v>
      </c>
    </row>
    <row r="22" spans="1:7" x14ac:dyDescent="0.25">
      <c r="A22" s="1"/>
    </row>
    <row r="23" spans="1:7" x14ac:dyDescent="0.25">
      <c r="A23" s="1"/>
    </row>
    <row r="24" spans="1:7" x14ac:dyDescent="0.25">
      <c r="A24" s="1"/>
    </row>
    <row r="25" spans="1:7" x14ac:dyDescent="0.25">
      <c r="A25" s="1"/>
    </row>
    <row r="26" spans="1:7" x14ac:dyDescent="0.25">
      <c r="A26" s="1"/>
    </row>
    <row r="27" spans="1:7" x14ac:dyDescent="0.25">
      <c r="A27" s="1"/>
    </row>
    <row r="28" spans="1:7" x14ac:dyDescent="0.25">
      <c r="A28" s="1"/>
    </row>
    <row r="29" spans="1:7" x14ac:dyDescent="0.25">
      <c r="A29" s="1"/>
    </row>
    <row r="30" spans="1:7" x14ac:dyDescent="0.25">
      <c r="A30" s="1"/>
    </row>
    <row r="31" spans="1:7" x14ac:dyDescent="0.25">
      <c r="A31" s="1"/>
    </row>
    <row r="32" spans="1:7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7" x14ac:dyDescent="0.25">
      <c r="A177" s="1"/>
    </row>
    <row r="178" spans="1:7" x14ac:dyDescent="0.25">
      <c r="A178" s="1"/>
    </row>
    <row r="179" spans="1:7" x14ac:dyDescent="0.25">
      <c r="A179" s="1"/>
    </row>
    <row r="180" spans="1:7" x14ac:dyDescent="0.25">
      <c r="A180" s="1"/>
    </row>
    <row r="181" spans="1:7" x14ac:dyDescent="0.25">
      <c r="A181" s="1"/>
    </row>
    <row r="182" spans="1:7" x14ac:dyDescent="0.25">
      <c r="A182" s="1"/>
    </row>
    <row r="183" spans="1:7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ref="E183:E246" ca="1" si="0">IF(D183="T", 0.05, IF(D183="C", -0.01, ""))</f>
        <v/>
      </c>
      <c r="F183" t="str">
        <f t="shared" ref="F183:F246" ca="1" si="1">IF(D183="T", 0.05, IF(D183="C", 0, ""))</f>
        <v/>
      </c>
      <c r="G183" t="str">
        <f t="shared" ref="G183:G246" ca="1" si="2">IF(D183="T", 0, IF(D183="C", 0, ""))</f>
        <v/>
      </c>
    </row>
    <row r="184" spans="1:7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</row>
    <row r="185" spans="1:7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</row>
    <row r="186" spans="1:7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</row>
    <row r="187" spans="1:7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</row>
    <row r="188" spans="1:7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</row>
    <row r="189" spans="1:7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</row>
    <row r="190" spans="1:7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</row>
    <row r="191" spans="1:7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</row>
    <row r="192" spans="1:7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</row>
    <row r="193" spans="1:7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</row>
    <row r="194" spans="1:7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</row>
    <row r="195" spans="1:7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</row>
    <row r="196" spans="1:7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</row>
    <row r="197" spans="1:7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</row>
    <row r="198" spans="1:7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</row>
    <row r="199" spans="1:7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</row>
    <row r="200" spans="1:7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</row>
    <row r="201" spans="1:7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</row>
    <row r="202" spans="1:7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</row>
    <row r="203" spans="1:7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</row>
    <row r="204" spans="1:7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</row>
    <row r="205" spans="1:7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</row>
    <row r="206" spans="1:7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</row>
    <row r="207" spans="1:7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</row>
    <row r="208" spans="1:7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</row>
    <row r="209" spans="1:7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</row>
    <row r="210" spans="1:7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</row>
    <row r="211" spans="1:7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</row>
    <row r="212" spans="1:7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</row>
    <row r="213" spans="1:7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</row>
    <row r="214" spans="1:7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</row>
    <row r="215" spans="1:7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</row>
    <row r="216" spans="1:7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</row>
    <row r="217" spans="1:7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</row>
    <row r="218" spans="1:7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</row>
    <row r="219" spans="1:7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</row>
    <row r="220" spans="1:7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</row>
    <row r="221" spans="1:7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</row>
    <row r="222" spans="1:7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</row>
    <row r="223" spans="1:7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</row>
    <row r="224" spans="1:7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</row>
    <row r="225" spans="1:7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</row>
    <row r="226" spans="1:7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</row>
    <row r="227" spans="1:7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</row>
    <row r="228" spans="1:7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</row>
    <row r="229" spans="1:7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</row>
    <row r="230" spans="1:7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</row>
    <row r="231" spans="1:7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</row>
    <row r="232" spans="1:7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</row>
    <row r="233" spans="1:7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</row>
    <row r="234" spans="1:7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</row>
    <row r="235" spans="1:7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</row>
    <row r="236" spans="1:7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</row>
    <row r="237" spans="1:7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</row>
    <row r="238" spans="1:7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</row>
    <row r="239" spans="1:7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</row>
    <row r="240" spans="1:7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</row>
    <row r="241" spans="1:7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</row>
    <row r="242" spans="1:7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</row>
    <row r="243" spans="1:7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ca="1" si="0"/>
        <v/>
      </c>
      <c r="F243" t="str">
        <f t="shared" ca="1" si="1"/>
        <v/>
      </c>
      <c r="G243" t="str">
        <f t="shared" ca="1" si="2"/>
        <v/>
      </c>
    </row>
    <row r="244" spans="1:7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0"/>
        <v/>
      </c>
      <c r="F244" t="str">
        <f t="shared" ca="1" si="1"/>
        <v/>
      </c>
      <c r="G244" t="str">
        <f t="shared" ca="1" si="2"/>
        <v/>
      </c>
    </row>
    <row r="245" spans="1:7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0"/>
        <v/>
      </c>
      <c r="F245" t="str">
        <f t="shared" ca="1" si="1"/>
        <v/>
      </c>
      <c r="G245" t="str">
        <f t="shared" ca="1" si="2"/>
        <v/>
      </c>
    </row>
    <row r="246" spans="1:7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0"/>
        <v/>
      </c>
      <c r="F246" t="str">
        <f t="shared" ca="1" si="1"/>
        <v/>
      </c>
      <c r="G246" t="str">
        <f t="shared" ca="1" si="2"/>
        <v/>
      </c>
    </row>
    <row r="247" spans="1:7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ref="E247:E310" ca="1" si="3">IF(D247="T", 0.05, IF(D247="C", -0.01, ""))</f>
        <v/>
      </c>
      <c r="F247" t="str">
        <f t="shared" ref="F247:F310" ca="1" si="4">IF(D247="T", 0.05, IF(D247="C", 0, ""))</f>
        <v/>
      </c>
      <c r="G247" t="str">
        <f t="shared" ref="G247:G310" ca="1" si="5">IF(D247="T", 0, IF(D247="C", 0, ""))</f>
        <v/>
      </c>
    </row>
    <row r="248" spans="1:7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3"/>
        <v/>
      </c>
      <c r="F248" t="str">
        <f t="shared" ca="1" si="4"/>
        <v/>
      </c>
      <c r="G248" t="str">
        <f t="shared" ca="1" si="5"/>
        <v/>
      </c>
    </row>
    <row r="249" spans="1:7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3"/>
        <v/>
      </c>
      <c r="F249" t="str">
        <f t="shared" ca="1" si="4"/>
        <v/>
      </c>
      <c r="G249" t="str">
        <f t="shared" ca="1" si="5"/>
        <v/>
      </c>
    </row>
    <row r="250" spans="1:7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3"/>
        <v/>
      </c>
      <c r="F250" t="str">
        <f t="shared" ca="1" si="4"/>
        <v/>
      </c>
      <c r="G250" t="str">
        <f t="shared" ca="1" si="5"/>
        <v/>
      </c>
    </row>
    <row r="251" spans="1:7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3"/>
        <v/>
      </c>
      <c r="F251" t="str">
        <f t="shared" ca="1" si="4"/>
        <v/>
      </c>
      <c r="G251" t="str">
        <f t="shared" ca="1" si="5"/>
        <v/>
      </c>
    </row>
    <row r="252" spans="1:7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3"/>
        <v/>
      </c>
      <c r="F252" t="str">
        <f t="shared" ca="1" si="4"/>
        <v/>
      </c>
      <c r="G252" t="str">
        <f t="shared" ca="1" si="5"/>
        <v/>
      </c>
    </row>
    <row r="253" spans="1:7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3"/>
        <v/>
      </c>
      <c r="F253" t="str">
        <f t="shared" ca="1" si="4"/>
        <v/>
      </c>
      <c r="G253" t="str">
        <f t="shared" ca="1" si="5"/>
        <v/>
      </c>
    </row>
    <row r="254" spans="1:7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3"/>
        <v/>
      </c>
      <c r="F254" t="str">
        <f t="shared" ca="1" si="4"/>
        <v/>
      </c>
      <c r="G254" t="str">
        <f t="shared" ca="1" si="5"/>
        <v/>
      </c>
    </row>
    <row r="255" spans="1:7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3"/>
        <v/>
      </c>
      <c r="F255" t="str">
        <f t="shared" ca="1" si="4"/>
        <v/>
      </c>
      <c r="G255" t="str">
        <f t="shared" ca="1" si="5"/>
        <v/>
      </c>
    </row>
    <row r="256" spans="1:7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3"/>
        <v/>
      </c>
      <c r="F256" t="str">
        <f t="shared" ca="1" si="4"/>
        <v/>
      </c>
      <c r="G256" t="str">
        <f t="shared" ca="1" si="5"/>
        <v/>
      </c>
    </row>
    <row r="257" spans="1:7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3"/>
        <v/>
      </c>
      <c r="F257" t="str">
        <f t="shared" ca="1" si="4"/>
        <v/>
      </c>
      <c r="G257" t="str">
        <f t="shared" ca="1" si="5"/>
        <v/>
      </c>
    </row>
    <row r="258" spans="1:7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3"/>
        <v/>
      </c>
      <c r="F258" t="str">
        <f t="shared" ca="1" si="4"/>
        <v/>
      </c>
      <c r="G258" t="str">
        <f t="shared" ca="1" si="5"/>
        <v/>
      </c>
    </row>
    <row r="259" spans="1:7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3"/>
        <v/>
      </c>
      <c r="F259" t="str">
        <f t="shared" ca="1" si="4"/>
        <v/>
      </c>
      <c r="G259" t="str">
        <f t="shared" ca="1" si="5"/>
        <v/>
      </c>
    </row>
    <row r="260" spans="1:7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3"/>
        <v/>
      </c>
      <c r="F260" t="str">
        <f t="shared" ca="1" si="4"/>
        <v/>
      </c>
      <c r="G260" t="str">
        <f t="shared" ca="1" si="5"/>
        <v/>
      </c>
    </row>
    <row r="261" spans="1:7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3"/>
        <v/>
      </c>
      <c r="F261" t="str">
        <f t="shared" ca="1" si="4"/>
        <v/>
      </c>
      <c r="G261" t="str">
        <f t="shared" ca="1" si="5"/>
        <v/>
      </c>
    </row>
    <row r="262" spans="1:7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3"/>
        <v/>
      </c>
      <c r="F262" t="str">
        <f t="shared" ca="1" si="4"/>
        <v/>
      </c>
      <c r="G262" t="str">
        <f t="shared" ca="1" si="5"/>
        <v/>
      </c>
    </row>
    <row r="263" spans="1:7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3"/>
        <v/>
      </c>
      <c r="F263" t="str">
        <f t="shared" ca="1" si="4"/>
        <v/>
      </c>
      <c r="G263" t="str">
        <f t="shared" ca="1" si="5"/>
        <v/>
      </c>
    </row>
    <row r="264" spans="1:7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3"/>
        <v/>
      </c>
      <c r="F264" t="str">
        <f t="shared" ca="1" si="4"/>
        <v/>
      </c>
      <c r="G264" t="str">
        <f t="shared" ca="1" si="5"/>
        <v/>
      </c>
    </row>
    <row r="265" spans="1:7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3"/>
        <v/>
      </c>
      <c r="F265" t="str">
        <f t="shared" ca="1" si="4"/>
        <v/>
      </c>
      <c r="G265" t="str">
        <f t="shared" ca="1" si="5"/>
        <v/>
      </c>
    </row>
    <row r="266" spans="1:7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3"/>
        <v/>
      </c>
      <c r="F266" t="str">
        <f t="shared" ca="1" si="4"/>
        <v/>
      </c>
      <c r="G266" t="str">
        <f t="shared" ca="1" si="5"/>
        <v/>
      </c>
    </row>
    <row r="267" spans="1:7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3"/>
        <v/>
      </c>
      <c r="F267" t="str">
        <f t="shared" ca="1" si="4"/>
        <v/>
      </c>
      <c r="G267" t="str">
        <f t="shared" ca="1" si="5"/>
        <v/>
      </c>
    </row>
    <row r="268" spans="1:7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3"/>
        <v/>
      </c>
      <c r="F268" t="str">
        <f t="shared" ca="1" si="4"/>
        <v/>
      </c>
      <c r="G268" t="str">
        <f t="shared" ca="1" si="5"/>
        <v/>
      </c>
    </row>
    <row r="269" spans="1:7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3"/>
        <v/>
      </c>
      <c r="F269" t="str">
        <f t="shared" ca="1" si="4"/>
        <v/>
      </c>
      <c r="G269" t="str">
        <f t="shared" ca="1" si="5"/>
        <v/>
      </c>
    </row>
    <row r="270" spans="1:7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3"/>
        <v/>
      </c>
      <c r="F270" t="str">
        <f t="shared" ca="1" si="4"/>
        <v/>
      </c>
      <c r="G270" t="str">
        <f t="shared" ca="1" si="5"/>
        <v/>
      </c>
    </row>
    <row r="271" spans="1:7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3"/>
        <v/>
      </c>
      <c r="F271" t="str">
        <f t="shared" ca="1" si="4"/>
        <v/>
      </c>
      <c r="G271" t="str">
        <f t="shared" ca="1" si="5"/>
        <v/>
      </c>
    </row>
    <row r="272" spans="1:7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3"/>
        <v/>
      </c>
      <c r="F272" t="str">
        <f t="shared" ca="1" si="4"/>
        <v/>
      </c>
      <c r="G272" t="str">
        <f t="shared" ca="1" si="5"/>
        <v/>
      </c>
    </row>
    <row r="273" spans="1:7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3"/>
        <v/>
      </c>
      <c r="F273" t="str">
        <f t="shared" ca="1" si="4"/>
        <v/>
      </c>
      <c r="G273" t="str">
        <f t="shared" ca="1" si="5"/>
        <v/>
      </c>
    </row>
    <row r="274" spans="1:7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3"/>
        <v/>
      </c>
      <c r="F274" t="str">
        <f t="shared" ca="1" si="4"/>
        <v/>
      </c>
      <c r="G274" t="str">
        <f t="shared" ca="1" si="5"/>
        <v/>
      </c>
    </row>
    <row r="275" spans="1:7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3"/>
        <v/>
      </c>
      <c r="F275" t="str">
        <f t="shared" ca="1" si="4"/>
        <v/>
      </c>
      <c r="G275" t="str">
        <f t="shared" ca="1" si="5"/>
        <v/>
      </c>
    </row>
    <row r="276" spans="1:7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3"/>
        <v/>
      </c>
      <c r="F276" t="str">
        <f t="shared" ca="1" si="4"/>
        <v/>
      </c>
      <c r="G276" t="str">
        <f t="shared" ca="1" si="5"/>
        <v/>
      </c>
    </row>
    <row r="277" spans="1:7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3"/>
        <v/>
      </c>
      <c r="F277" t="str">
        <f t="shared" ca="1" si="4"/>
        <v/>
      </c>
      <c r="G277" t="str">
        <f t="shared" ca="1" si="5"/>
        <v/>
      </c>
    </row>
    <row r="278" spans="1:7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3"/>
        <v/>
      </c>
      <c r="F278" t="str">
        <f t="shared" ca="1" si="4"/>
        <v/>
      </c>
      <c r="G278" t="str">
        <f t="shared" ca="1" si="5"/>
        <v/>
      </c>
    </row>
    <row r="279" spans="1:7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3"/>
        <v/>
      </c>
      <c r="F279" t="str">
        <f t="shared" ca="1" si="4"/>
        <v/>
      </c>
      <c r="G279" t="str">
        <f t="shared" ca="1" si="5"/>
        <v/>
      </c>
    </row>
    <row r="280" spans="1:7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3"/>
        <v/>
      </c>
      <c r="F280" t="str">
        <f t="shared" ca="1" si="4"/>
        <v/>
      </c>
      <c r="G280" t="str">
        <f t="shared" ca="1" si="5"/>
        <v/>
      </c>
    </row>
    <row r="281" spans="1:7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3"/>
        <v/>
      </c>
      <c r="F281" t="str">
        <f t="shared" ca="1" si="4"/>
        <v/>
      </c>
      <c r="G281" t="str">
        <f t="shared" ca="1" si="5"/>
        <v/>
      </c>
    </row>
    <row r="282" spans="1:7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3"/>
        <v/>
      </c>
      <c r="F282" t="str">
        <f t="shared" ca="1" si="4"/>
        <v/>
      </c>
      <c r="G282" t="str">
        <f t="shared" ca="1" si="5"/>
        <v/>
      </c>
    </row>
    <row r="283" spans="1:7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3"/>
        <v/>
      </c>
      <c r="F283" t="str">
        <f t="shared" ca="1" si="4"/>
        <v/>
      </c>
      <c r="G283" t="str">
        <f t="shared" ca="1" si="5"/>
        <v/>
      </c>
    </row>
    <row r="284" spans="1:7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3"/>
        <v/>
      </c>
      <c r="F284" t="str">
        <f t="shared" ca="1" si="4"/>
        <v/>
      </c>
      <c r="G284" t="str">
        <f t="shared" ca="1" si="5"/>
        <v/>
      </c>
    </row>
    <row r="285" spans="1:7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3"/>
        <v/>
      </c>
      <c r="F285" t="str">
        <f t="shared" ca="1" si="4"/>
        <v/>
      </c>
      <c r="G285" t="str">
        <f t="shared" ca="1" si="5"/>
        <v/>
      </c>
    </row>
    <row r="286" spans="1:7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3"/>
        <v/>
      </c>
      <c r="F286" t="str">
        <f t="shared" ca="1" si="4"/>
        <v/>
      </c>
      <c r="G286" t="str">
        <f t="shared" ca="1" si="5"/>
        <v/>
      </c>
    </row>
    <row r="287" spans="1:7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3"/>
        <v/>
      </c>
      <c r="F287" t="str">
        <f t="shared" ca="1" si="4"/>
        <v/>
      </c>
      <c r="G287" t="str">
        <f t="shared" ca="1" si="5"/>
        <v/>
      </c>
    </row>
    <row r="288" spans="1:7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3"/>
        <v/>
      </c>
      <c r="F288" t="str">
        <f t="shared" ca="1" si="4"/>
        <v/>
      </c>
      <c r="G288" t="str">
        <f t="shared" ca="1" si="5"/>
        <v/>
      </c>
    </row>
    <row r="289" spans="1:7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3"/>
        <v/>
      </c>
      <c r="F289" t="str">
        <f t="shared" ca="1" si="4"/>
        <v/>
      </c>
      <c r="G289" t="str">
        <f t="shared" ca="1" si="5"/>
        <v/>
      </c>
    </row>
    <row r="290" spans="1:7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3"/>
        <v/>
      </c>
      <c r="F290" t="str">
        <f t="shared" ca="1" si="4"/>
        <v/>
      </c>
      <c r="G290" t="str">
        <f t="shared" ca="1" si="5"/>
        <v/>
      </c>
    </row>
    <row r="291" spans="1:7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3"/>
        <v/>
      </c>
      <c r="F291" t="str">
        <f t="shared" ca="1" si="4"/>
        <v/>
      </c>
      <c r="G291" t="str">
        <f t="shared" ca="1" si="5"/>
        <v/>
      </c>
    </row>
    <row r="292" spans="1:7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3"/>
        <v/>
      </c>
      <c r="F292" t="str">
        <f t="shared" ca="1" si="4"/>
        <v/>
      </c>
      <c r="G292" t="str">
        <f t="shared" ca="1" si="5"/>
        <v/>
      </c>
    </row>
    <row r="293" spans="1:7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3"/>
        <v/>
      </c>
      <c r="F293" t="str">
        <f t="shared" ca="1" si="4"/>
        <v/>
      </c>
      <c r="G293" t="str">
        <f t="shared" ca="1" si="5"/>
        <v/>
      </c>
    </row>
    <row r="294" spans="1:7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3"/>
        <v/>
      </c>
      <c r="F294" t="str">
        <f t="shared" ca="1" si="4"/>
        <v/>
      </c>
      <c r="G294" t="str">
        <f t="shared" ca="1" si="5"/>
        <v/>
      </c>
    </row>
    <row r="295" spans="1:7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3"/>
        <v/>
      </c>
      <c r="F295" t="str">
        <f t="shared" ca="1" si="4"/>
        <v/>
      </c>
      <c r="G295" t="str">
        <f t="shared" ca="1" si="5"/>
        <v/>
      </c>
    </row>
    <row r="296" spans="1:7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3"/>
        <v/>
      </c>
      <c r="F296" t="str">
        <f t="shared" ca="1" si="4"/>
        <v/>
      </c>
      <c r="G296" t="str">
        <f t="shared" ca="1" si="5"/>
        <v/>
      </c>
    </row>
    <row r="297" spans="1:7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3"/>
        <v/>
      </c>
      <c r="F297" t="str">
        <f t="shared" ca="1" si="4"/>
        <v/>
      </c>
      <c r="G297" t="str">
        <f t="shared" ca="1" si="5"/>
        <v/>
      </c>
    </row>
    <row r="298" spans="1:7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3"/>
        <v/>
      </c>
      <c r="F298" t="str">
        <f t="shared" ca="1" si="4"/>
        <v/>
      </c>
      <c r="G298" t="str">
        <f t="shared" ca="1" si="5"/>
        <v/>
      </c>
    </row>
    <row r="299" spans="1:7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3"/>
        <v/>
      </c>
      <c r="F299" t="str">
        <f t="shared" ca="1" si="4"/>
        <v/>
      </c>
      <c r="G299" t="str">
        <f t="shared" ca="1" si="5"/>
        <v/>
      </c>
    </row>
    <row r="300" spans="1:7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3"/>
        <v/>
      </c>
      <c r="F300" t="str">
        <f t="shared" ca="1" si="4"/>
        <v/>
      </c>
      <c r="G300" t="str">
        <f t="shared" ca="1" si="5"/>
        <v/>
      </c>
    </row>
    <row r="301" spans="1:7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3"/>
        <v/>
      </c>
      <c r="F301" t="str">
        <f t="shared" ca="1" si="4"/>
        <v/>
      </c>
      <c r="G301" t="str">
        <f t="shared" ca="1" si="5"/>
        <v/>
      </c>
    </row>
    <row r="302" spans="1:7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3"/>
        <v/>
      </c>
      <c r="F302" t="str">
        <f t="shared" ca="1" si="4"/>
        <v/>
      </c>
      <c r="G302" t="str">
        <f t="shared" ca="1" si="5"/>
        <v/>
      </c>
    </row>
    <row r="303" spans="1:7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3"/>
        <v/>
      </c>
      <c r="F303" t="str">
        <f t="shared" ca="1" si="4"/>
        <v/>
      </c>
      <c r="G303" t="str">
        <f t="shared" ca="1" si="5"/>
        <v/>
      </c>
    </row>
    <row r="304" spans="1:7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3"/>
        <v/>
      </c>
      <c r="F304" t="str">
        <f t="shared" ca="1" si="4"/>
        <v/>
      </c>
      <c r="G304" t="str">
        <f t="shared" ca="1" si="5"/>
        <v/>
      </c>
    </row>
    <row r="305" spans="1:7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3"/>
        <v/>
      </c>
      <c r="F305" t="str">
        <f t="shared" ca="1" si="4"/>
        <v/>
      </c>
      <c r="G305" t="str">
        <f t="shared" ca="1" si="5"/>
        <v/>
      </c>
    </row>
    <row r="306" spans="1:7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3"/>
        <v/>
      </c>
      <c r="F306" t="str">
        <f t="shared" ca="1" si="4"/>
        <v/>
      </c>
      <c r="G306" t="str">
        <f t="shared" ca="1" si="5"/>
        <v/>
      </c>
    </row>
    <row r="307" spans="1:7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ca="1" si="3"/>
        <v/>
      </c>
      <c r="F307" t="str">
        <f t="shared" ca="1" si="4"/>
        <v/>
      </c>
      <c r="G307" t="str">
        <f t="shared" ca="1" si="5"/>
        <v/>
      </c>
    </row>
    <row r="308" spans="1:7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3"/>
        <v/>
      </c>
      <c r="F308" t="str">
        <f t="shared" ca="1" si="4"/>
        <v/>
      </c>
      <c r="G308" t="str">
        <f t="shared" ca="1" si="5"/>
        <v/>
      </c>
    </row>
    <row r="309" spans="1:7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3"/>
        <v/>
      </c>
      <c r="F309" t="str">
        <f t="shared" ca="1" si="4"/>
        <v/>
      </c>
      <c r="G309" t="str">
        <f t="shared" ca="1" si="5"/>
        <v/>
      </c>
    </row>
    <row r="310" spans="1:7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3"/>
        <v/>
      </c>
      <c r="F310" t="str">
        <f t="shared" ca="1" si="4"/>
        <v/>
      </c>
      <c r="G310" t="str">
        <f t="shared" ca="1" si="5"/>
        <v/>
      </c>
    </row>
    <row r="311" spans="1:7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ref="E311:E374" ca="1" si="6">IF(D311="T", 0.05, IF(D311="C", -0.01, ""))</f>
        <v/>
      </c>
      <c r="F311" t="str">
        <f t="shared" ref="F311:F374" ca="1" si="7">IF(D311="T", 0.05, IF(D311="C", 0, ""))</f>
        <v/>
      </c>
      <c r="G311" t="str">
        <f t="shared" ref="G311:G374" ca="1" si="8">IF(D311="T", 0, IF(D311="C", 0, ""))</f>
        <v/>
      </c>
    </row>
    <row r="312" spans="1:7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6"/>
        <v/>
      </c>
      <c r="F312" t="str">
        <f t="shared" ca="1" si="7"/>
        <v/>
      </c>
      <c r="G312" t="str">
        <f t="shared" ca="1" si="8"/>
        <v/>
      </c>
    </row>
    <row r="313" spans="1:7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6"/>
        <v/>
      </c>
      <c r="F313" t="str">
        <f t="shared" ca="1" si="7"/>
        <v/>
      </c>
      <c r="G313" t="str">
        <f t="shared" ca="1" si="8"/>
        <v/>
      </c>
    </row>
    <row r="314" spans="1:7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6"/>
        <v/>
      </c>
      <c r="F314" t="str">
        <f t="shared" ca="1" si="7"/>
        <v/>
      </c>
      <c r="G314" t="str">
        <f t="shared" ca="1" si="8"/>
        <v/>
      </c>
    </row>
    <row r="315" spans="1:7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6"/>
        <v/>
      </c>
      <c r="F315" t="str">
        <f t="shared" ca="1" si="7"/>
        <v/>
      </c>
      <c r="G315" t="str">
        <f t="shared" ca="1" si="8"/>
        <v/>
      </c>
    </row>
    <row r="316" spans="1:7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6"/>
        <v/>
      </c>
      <c r="F316" t="str">
        <f t="shared" ca="1" si="7"/>
        <v/>
      </c>
      <c r="G316" t="str">
        <f t="shared" ca="1" si="8"/>
        <v/>
      </c>
    </row>
    <row r="317" spans="1:7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6"/>
        <v/>
      </c>
      <c r="F317" t="str">
        <f t="shared" ca="1" si="7"/>
        <v/>
      </c>
      <c r="G317" t="str">
        <f t="shared" ca="1" si="8"/>
        <v/>
      </c>
    </row>
    <row r="318" spans="1:7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6"/>
        <v/>
      </c>
      <c r="F318" t="str">
        <f t="shared" ca="1" si="7"/>
        <v/>
      </c>
      <c r="G318" t="str">
        <f t="shared" ca="1" si="8"/>
        <v/>
      </c>
    </row>
    <row r="319" spans="1:7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6"/>
        <v/>
      </c>
      <c r="F319" t="str">
        <f t="shared" ca="1" si="7"/>
        <v/>
      </c>
      <c r="G319" t="str">
        <f t="shared" ca="1" si="8"/>
        <v/>
      </c>
    </row>
    <row r="320" spans="1:7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6"/>
        <v/>
      </c>
      <c r="F320" t="str">
        <f t="shared" ca="1" si="7"/>
        <v/>
      </c>
      <c r="G320" t="str">
        <f t="shared" ca="1" si="8"/>
        <v/>
      </c>
    </row>
    <row r="321" spans="1:7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6"/>
        <v/>
      </c>
      <c r="F321" t="str">
        <f t="shared" ca="1" si="7"/>
        <v/>
      </c>
      <c r="G321" t="str">
        <f t="shared" ca="1" si="8"/>
        <v/>
      </c>
    </row>
    <row r="322" spans="1:7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6"/>
        <v/>
      </c>
      <c r="F322" t="str">
        <f t="shared" ca="1" si="7"/>
        <v/>
      </c>
      <c r="G322" t="str">
        <f t="shared" ca="1" si="8"/>
        <v/>
      </c>
    </row>
    <row r="323" spans="1:7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6"/>
        <v/>
      </c>
      <c r="F323" t="str">
        <f t="shared" ca="1" si="7"/>
        <v/>
      </c>
      <c r="G323" t="str">
        <f t="shared" ca="1" si="8"/>
        <v/>
      </c>
    </row>
    <row r="324" spans="1:7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6"/>
        <v/>
      </c>
      <c r="F324" t="str">
        <f t="shared" ca="1" si="7"/>
        <v/>
      </c>
      <c r="G324" t="str">
        <f t="shared" ca="1" si="8"/>
        <v/>
      </c>
    </row>
    <row r="325" spans="1:7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6"/>
        <v/>
      </c>
      <c r="F325" t="str">
        <f t="shared" ca="1" si="7"/>
        <v/>
      </c>
      <c r="G325" t="str">
        <f t="shared" ca="1" si="8"/>
        <v/>
      </c>
    </row>
    <row r="326" spans="1:7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6"/>
        <v/>
      </c>
      <c r="F326" t="str">
        <f t="shared" ca="1" si="7"/>
        <v/>
      </c>
      <c r="G326" t="str">
        <f t="shared" ca="1" si="8"/>
        <v/>
      </c>
    </row>
    <row r="327" spans="1:7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6"/>
        <v/>
      </c>
      <c r="F327" t="str">
        <f t="shared" ca="1" si="7"/>
        <v/>
      </c>
      <c r="G327" t="str">
        <f t="shared" ca="1" si="8"/>
        <v/>
      </c>
    </row>
    <row r="328" spans="1:7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6"/>
        <v/>
      </c>
      <c r="F328" t="str">
        <f t="shared" ca="1" si="7"/>
        <v/>
      </c>
      <c r="G328" t="str">
        <f t="shared" ca="1" si="8"/>
        <v/>
      </c>
    </row>
    <row r="329" spans="1:7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6"/>
        <v/>
      </c>
      <c r="F329" t="str">
        <f t="shared" ca="1" si="7"/>
        <v/>
      </c>
      <c r="G329" t="str">
        <f t="shared" ca="1" si="8"/>
        <v/>
      </c>
    </row>
    <row r="330" spans="1:7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6"/>
        <v/>
      </c>
      <c r="F330" t="str">
        <f t="shared" ca="1" si="7"/>
        <v/>
      </c>
      <c r="G330" t="str">
        <f t="shared" ca="1" si="8"/>
        <v/>
      </c>
    </row>
    <row r="331" spans="1:7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6"/>
        <v/>
      </c>
      <c r="F331" t="str">
        <f t="shared" ca="1" si="7"/>
        <v/>
      </c>
      <c r="G331" t="str">
        <f t="shared" ca="1" si="8"/>
        <v/>
      </c>
    </row>
    <row r="332" spans="1:7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6"/>
        <v/>
      </c>
      <c r="F332" t="str">
        <f t="shared" ca="1" si="7"/>
        <v/>
      </c>
      <c r="G332" t="str">
        <f t="shared" ca="1" si="8"/>
        <v/>
      </c>
    </row>
    <row r="333" spans="1:7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6"/>
        <v/>
      </c>
      <c r="F333" t="str">
        <f t="shared" ca="1" si="7"/>
        <v/>
      </c>
      <c r="G333" t="str">
        <f t="shared" ca="1" si="8"/>
        <v/>
      </c>
    </row>
    <row r="334" spans="1:7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6"/>
        <v/>
      </c>
      <c r="F334" t="str">
        <f t="shared" ca="1" si="7"/>
        <v/>
      </c>
      <c r="G334" t="str">
        <f t="shared" ca="1" si="8"/>
        <v/>
      </c>
    </row>
    <row r="335" spans="1:7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6"/>
        <v/>
      </c>
      <c r="F335" t="str">
        <f t="shared" ca="1" si="7"/>
        <v/>
      </c>
      <c r="G335" t="str">
        <f t="shared" ca="1" si="8"/>
        <v/>
      </c>
    </row>
    <row r="336" spans="1:7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6"/>
        <v/>
      </c>
      <c r="F336" t="str">
        <f t="shared" ca="1" si="7"/>
        <v/>
      </c>
      <c r="G336" t="str">
        <f t="shared" ca="1" si="8"/>
        <v/>
      </c>
    </row>
    <row r="337" spans="1:7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6"/>
        <v/>
      </c>
      <c r="F337" t="str">
        <f t="shared" ca="1" si="7"/>
        <v/>
      </c>
      <c r="G337" t="str">
        <f t="shared" ca="1" si="8"/>
        <v/>
      </c>
    </row>
    <row r="338" spans="1:7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6"/>
        <v/>
      </c>
      <c r="F338" t="str">
        <f t="shared" ca="1" si="7"/>
        <v/>
      </c>
      <c r="G338" t="str">
        <f t="shared" ca="1" si="8"/>
        <v/>
      </c>
    </row>
    <row r="339" spans="1:7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6"/>
        <v/>
      </c>
      <c r="F339" t="str">
        <f t="shared" ca="1" si="7"/>
        <v/>
      </c>
      <c r="G339" t="str">
        <f t="shared" ca="1" si="8"/>
        <v/>
      </c>
    </row>
    <row r="340" spans="1:7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6"/>
        <v/>
      </c>
      <c r="F340" t="str">
        <f t="shared" ca="1" si="7"/>
        <v/>
      </c>
      <c r="G340" t="str">
        <f t="shared" ca="1" si="8"/>
        <v/>
      </c>
    </row>
    <row r="341" spans="1:7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6"/>
        <v/>
      </c>
      <c r="F341" t="str">
        <f t="shared" ca="1" si="7"/>
        <v/>
      </c>
      <c r="G341" t="str">
        <f t="shared" ca="1" si="8"/>
        <v/>
      </c>
    </row>
    <row r="342" spans="1:7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6"/>
        <v/>
      </c>
      <c r="F342" t="str">
        <f t="shared" ca="1" si="7"/>
        <v/>
      </c>
      <c r="G342" t="str">
        <f t="shared" ca="1" si="8"/>
        <v/>
      </c>
    </row>
    <row r="343" spans="1:7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6"/>
        <v/>
      </c>
      <c r="F343" t="str">
        <f t="shared" ca="1" si="7"/>
        <v/>
      </c>
      <c r="G343" t="str">
        <f t="shared" ca="1" si="8"/>
        <v/>
      </c>
    </row>
    <row r="344" spans="1:7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6"/>
        <v/>
      </c>
      <c r="F344" t="str">
        <f t="shared" ca="1" si="7"/>
        <v/>
      </c>
      <c r="G344" t="str">
        <f t="shared" ca="1" si="8"/>
        <v/>
      </c>
    </row>
    <row r="345" spans="1:7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6"/>
        <v/>
      </c>
      <c r="F345" t="str">
        <f t="shared" ca="1" si="7"/>
        <v/>
      </c>
      <c r="G345" t="str">
        <f t="shared" ca="1" si="8"/>
        <v/>
      </c>
    </row>
    <row r="346" spans="1:7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6"/>
        <v/>
      </c>
      <c r="F346" t="str">
        <f t="shared" ca="1" si="7"/>
        <v/>
      </c>
      <c r="G346" t="str">
        <f t="shared" ca="1" si="8"/>
        <v/>
      </c>
    </row>
    <row r="347" spans="1:7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6"/>
        <v/>
      </c>
      <c r="F347" t="str">
        <f t="shared" ca="1" si="7"/>
        <v/>
      </c>
      <c r="G347" t="str">
        <f t="shared" ca="1" si="8"/>
        <v/>
      </c>
    </row>
    <row r="348" spans="1:7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6"/>
        <v/>
      </c>
      <c r="F348" t="str">
        <f t="shared" ca="1" si="7"/>
        <v/>
      </c>
      <c r="G348" t="str">
        <f t="shared" ca="1" si="8"/>
        <v/>
      </c>
    </row>
    <row r="349" spans="1:7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6"/>
        <v/>
      </c>
      <c r="F349" t="str">
        <f t="shared" ca="1" si="7"/>
        <v/>
      </c>
      <c r="G349" t="str">
        <f t="shared" ca="1" si="8"/>
        <v/>
      </c>
    </row>
    <row r="350" spans="1:7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6"/>
        <v/>
      </c>
      <c r="F350" t="str">
        <f t="shared" ca="1" si="7"/>
        <v/>
      </c>
      <c r="G350" t="str">
        <f t="shared" ca="1" si="8"/>
        <v/>
      </c>
    </row>
    <row r="351" spans="1:7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6"/>
        <v/>
      </c>
      <c r="F351" t="str">
        <f t="shared" ca="1" si="7"/>
        <v/>
      </c>
      <c r="G351" t="str">
        <f t="shared" ca="1" si="8"/>
        <v/>
      </c>
    </row>
    <row r="352" spans="1:7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6"/>
        <v/>
      </c>
      <c r="F352" t="str">
        <f t="shared" ca="1" si="7"/>
        <v/>
      </c>
      <c r="G352" t="str">
        <f t="shared" ca="1" si="8"/>
        <v/>
      </c>
    </row>
    <row r="353" spans="1:7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6"/>
        <v/>
      </c>
      <c r="F353" t="str">
        <f t="shared" ca="1" si="7"/>
        <v/>
      </c>
      <c r="G353" t="str">
        <f t="shared" ca="1" si="8"/>
        <v/>
      </c>
    </row>
    <row r="354" spans="1:7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6"/>
        <v/>
      </c>
      <c r="F354" t="str">
        <f t="shared" ca="1" si="7"/>
        <v/>
      </c>
      <c r="G354" t="str">
        <f t="shared" ca="1" si="8"/>
        <v/>
      </c>
    </row>
    <row r="355" spans="1:7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6"/>
        <v/>
      </c>
      <c r="F355" t="str">
        <f t="shared" ca="1" si="7"/>
        <v/>
      </c>
      <c r="G355" t="str">
        <f t="shared" ca="1" si="8"/>
        <v/>
      </c>
    </row>
    <row r="356" spans="1:7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6"/>
        <v/>
      </c>
      <c r="F356" t="str">
        <f t="shared" ca="1" si="7"/>
        <v/>
      </c>
      <c r="G356" t="str">
        <f t="shared" ca="1" si="8"/>
        <v/>
      </c>
    </row>
    <row r="357" spans="1:7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6"/>
        <v/>
      </c>
      <c r="F357" t="str">
        <f t="shared" ca="1" si="7"/>
        <v/>
      </c>
      <c r="G357" t="str">
        <f t="shared" ca="1" si="8"/>
        <v/>
      </c>
    </row>
    <row r="358" spans="1:7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6"/>
        <v/>
      </c>
      <c r="F358" t="str">
        <f t="shared" ca="1" si="7"/>
        <v/>
      </c>
      <c r="G358" t="str">
        <f t="shared" ca="1" si="8"/>
        <v/>
      </c>
    </row>
    <row r="359" spans="1:7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6"/>
        <v/>
      </c>
      <c r="F359" t="str">
        <f t="shared" ca="1" si="7"/>
        <v/>
      </c>
      <c r="G359" t="str">
        <f t="shared" ca="1" si="8"/>
        <v/>
      </c>
    </row>
    <row r="360" spans="1:7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6"/>
        <v/>
      </c>
      <c r="F360" t="str">
        <f t="shared" ca="1" si="7"/>
        <v/>
      </c>
      <c r="G360" t="str">
        <f t="shared" ca="1" si="8"/>
        <v/>
      </c>
    </row>
    <row r="361" spans="1:7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6"/>
        <v/>
      </c>
      <c r="F361" t="str">
        <f t="shared" ca="1" si="7"/>
        <v/>
      </c>
      <c r="G361" t="str">
        <f t="shared" ca="1" si="8"/>
        <v/>
      </c>
    </row>
    <row r="362" spans="1:7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6"/>
        <v/>
      </c>
      <c r="F362" t="str">
        <f t="shared" ca="1" si="7"/>
        <v/>
      </c>
      <c r="G362" t="str">
        <f t="shared" ca="1" si="8"/>
        <v/>
      </c>
    </row>
    <row r="363" spans="1:7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6"/>
        <v/>
      </c>
      <c r="F363" t="str">
        <f t="shared" ca="1" si="7"/>
        <v/>
      </c>
      <c r="G363" t="str">
        <f t="shared" ca="1" si="8"/>
        <v/>
      </c>
    </row>
    <row r="364" spans="1:7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6"/>
        <v/>
      </c>
      <c r="F364" t="str">
        <f t="shared" ca="1" si="7"/>
        <v/>
      </c>
      <c r="G364" t="str">
        <f t="shared" ca="1" si="8"/>
        <v/>
      </c>
    </row>
    <row r="365" spans="1:7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6"/>
        <v/>
      </c>
      <c r="F365" t="str">
        <f t="shared" ca="1" si="7"/>
        <v/>
      </c>
      <c r="G365" t="str">
        <f t="shared" ca="1" si="8"/>
        <v/>
      </c>
    </row>
    <row r="366" spans="1:7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6"/>
        <v/>
      </c>
      <c r="F366" t="str">
        <f t="shared" ca="1" si="7"/>
        <v/>
      </c>
      <c r="G366" t="str">
        <f t="shared" ca="1" si="8"/>
        <v/>
      </c>
    </row>
    <row r="367" spans="1:7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6"/>
        <v/>
      </c>
      <c r="F367" t="str">
        <f t="shared" ca="1" si="7"/>
        <v/>
      </c>
      <c r="G367" t="str">
        <f t="shared" ca="1" si="8"/>
        <v/>
      </c>
    </row>
    <row r="368" spans="1:7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6"/>
        <v/>
      </c>
      <c r="F368" t="str">
        <f t="shared" ca="1" si="7"/>
        <v/>
      </c>
      <c r="G368" t="str">
        <f t="shared" ca="1" si="8"/>
        <v/>
      </c>
    </row>
    <row r="369" spans="1:7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6"/>
        <v/>
      </c>
      <c r="F369" t="str">
        <f t="shared" ca="1" si="7"/>
        <v/>
      </c>
      <c r="G369" t="str">
        <f t="shared" ca="1" si="8"/>
        <v/>
      </c>
    </row>
    <row r="370" spans="1:7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6"/>
        <v/>
      </c>
      <c r="F370" t="str">
        <f t="shared" ca="1" si="7"/>
        <v/>
      </c>
      <c r="G370" t="str">
        <f t="shared" ca="1" si="8"/>
        <v/>
      </c>
    </row>
    <row r="371" spans="1:7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ca="1" si="6"/>
        <v/>
      </c>
      <c r="F371" t="str">
        <f t="shared" ca="1" si="7"/>
        <v/>
      </c>
      <c r="G371" t="str">
        <f t="shared" ca="1" si="8"/>
        <v/>
      </c>
    </row>
    <row r="372" spans="1:7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6"/>
        <v/>
      </c>
      <c r="F372" t="str">
        <f t="shared" ca="1" si="7"/>
        <v/>
      </c>
      <c r="G372" t="str">
        <f t="shared" ca="1" si="8"/>
        <v/>
      </c>
    </row>
    <row r="373" spans="1:7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6"/>
        <v/>
      </c>
      <c r="F373" t="str">
        <f t="shared" ca="1" si="7"/>
        <v/>
      </c>
      <c r="G373" t="str">
        <f t="shared" ca="1" si="8"/>
        <v/>
      </c>
    </row>
    <row r="374" spans="1:7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6"/>
        <v/>
      </c>
      <c r="F374" t="str">
        <f t="shared" ca="1" si="7"/>
        <v/>
      </c>
      <c r="G374" t="str">
        <f t="shared" ca="1" si="8"/>
        <v/>
      </c>
    </row>
    <row r="375" spans="1:7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ref="E375:E438" ca="1" si="9">IF(D375="T", 0.05, IF(D375="C", -0.01, ""))</f>
        <v/>
      </c>
      <c r="F375" t="str">
        <f t="shared" ref="F375:F438" ca="1" si="10">IF(D375="T", 0.05, IF(D375="C", 0, ""))</f>
        <v/>
      </c>
      <c r="G375" t="str">
        <f t="shared" ref="G375:G438" ca="1" si="11">IF(D375="T", 0, IF(D375="C", 0, ""))</f>
        <v/>
      </c>
    </row>
    <row r="376" spans="1:7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9"/>
        <v/>
      </c>
      <c r="F376" t="str">
        <f t="shared" ca="1" si="10"/>
        <v/>
      </c>
      <c r="G376" t="str">
        <f t="shared" ca="1" si="11"/>
        <v/>
      </c>
    </row>
    <row r="377" spans="1:7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9"/>
        <v/>
      </c>
      <c r="F377" t="str">
        <f t="shared" ca="1" si="10"/>
        <v/>
      </c>
      <c r="G377" t="str">
        <f t="shared" ca="1" si="11"/>
        <v/>
      </c>
    </row>
    <row r="378" spans="1:7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9"/>
        <v/>
      </c>
      <c r="F378" t="str">
        <f t="shared" ca="1" si="10"/>
        <v/>
      </c>
      <c r="G378" t="str">
        <f t="shared" ca="1" si="11"/>
        <v/>
      </c>
    </row>
    <row r="379" spans="1:7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9"/>
        <v/>
      </c>
      <c r="F379" t="str">
        <f t="shared" ca="1" si="10"/>
        <v/>
      </c>
      <c r="G379" t="str">
        <f t="shared" ca="1" si="11"/>
        <v/>
      </c>
    </row>
    <row r="380" spans="1:7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9"/>
        <v/>
      </c>
      <c r="F380" t="str">
        <f t="shared" ca="1" si="10"/>
        <v/>
      </c>
      <c r="G380" t="str">
        <f t="shared" ca="1" si="11"/>
        <v/>
      </c>
    </row>
    <row r="381" spans="1:7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9"/>
        <v/>
      </c>
      <c r="F381" t="str">
        <f t="shared" ca="1" si="10"/>
        <v/>
      </c>
      <c r="G381" t="str">
        <f t="shared" ca="1" si="11"/>
        <v/>
      </c>
    </row>
    <row r="382" spans="1:7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9"/>
        <v/>
      </c>
      <c r="F382" t="str">
        <f t="shared" ca="1" si="10"/>
        <v/>
      </c>
      <c r="G382" t="str">
        <f t="shared" ca="1" si="11"/>
        <v/>
      </c>
    </row>
    <row r="383" spans="1:7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9"/>
        <v/>
      </c>
      <c r="F383" t="str">
        <f t="shared" ca="1" si="10"/>
        <v/>
      </c>
      <c r="G383" t="str">
        <f t="shared" ca="1" si="11"/>
        <v/>
      </c>
    </row>
    <row r="384" spans="1:7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9"/>
        <v/>
      </c>
      <c r="F384" t="str">
        <f t="shared" ca="1" si="10"/>
        <v/>
      </c>
      <c r="G384" t="str">
        <f t="shared" ca="1" si="11"/>
        <v/>
      </c>
    </row>
    <row r="385" spans="1:7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9"/>
        <v/>
      </c>
      <c r="F385" t="str">
        <f t="shared" ca="1" si="10"/>
        <v/>
      </c>
      <c r="G385" t="str">
        <f t="shared" ca="1" si="11"/>
        <v/>
      </c>
    </row>
    <row r="386" spans="1:7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9"/>
        <v/>
      </c>
      <c r="F386" t="str">
        <f t="shared" ca="1" si="10"/>
        <v/>
      </c>
      <c r="G386" t="str">
        <f t="shared" ca="1" si="11"/>
        <v/>
      </c>
    </row>
    <row r="387" spans="1:7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9"/>
        <v/>
      </c>
      <c r="F387" t="str">
        <f t="shared" ca="1" si="10"/>
        <v/>
      </c>
      <c r="G387" t="str">
        <f t="shared" ca="1" si="11"/>
        <v/>
      </c>
    </row>
    <row r="388" spans="1:7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9"/>
        <v/>
      </c>
      <c r="F388" t="str">
        <f t="shared" ca="1" si="10"/>
        <v/>
      </c>
      <c r="G388" t="str">
        <f t="shared" ca="1" si="11"/>
        <v/>
      </c>
    </row>
    <row r="389" spans="1:7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9"/>
        <v/>
      </c>
      <c r="F389" t="str">
        <f t="shared" ca="1" si="10"/>
        <v/>
      </c>
      <c r="G389" t="str">
        <f t="shared" ca="1" si="11"/>
        <v/>
      </c>
    </row>
    <row r="390" spans="1:7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9"/>
        <v/>
      </c>
      <c r="F390" t="str">
        <f t="shared" ca="1" si="10"/>
        <v/>
      </c>
      <c r="G390" t="str">
        <f t="shared" ca="1" si="11"/>
        <v/>
      </c>
    </row>
    <row r="391" spans="1:7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9"/>
        <v/>
      </c>
      <c r="F391" t="str">
        <f t="shared" ca="1" si="10"/>
        <v/>
      </c>
      <c r="G391" t="str">
        <f t="shared" ca="1" si="11"/>
        <v/>
      </c>
    </row>
    <row r="392" spans="1:7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9"/>
        <v/>
      </c>
      <c r="F392" t="str">
        <f t="shared" ca="1" si="10"/>
        <v/>
      </c>
      <c r="G392" t="str">
        <f t="shared" ca="1" si="11"/>
        <v/>
      </c>
    </row>
    <row r="393" spans="1:7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9"/>
        <v/>
      </c>
      <c r="F393" t="str">
        <f t="shared" ca="1" si="10"/>
        <v/>
      </c>
      <c r="G393" t="str">
        <f t="shared" ca="1" si="11"/>
        <v/>
      </c>
    </row>
    <row r="394" spans="1:7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9"/>
        <v/>
      </c>
      <c r="F394" t="str">
        <f t="shared" ca="1" si="10"/>
        <v/>
      </c>
      <c r="G394" t="str">
        <f t="shared" ca="1" si="11"/>
        <v/>
      </c>
    </row>
    <row r="395" spans="1:7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9"/>
        <v/>
      </c>
      <c r="F395" t="str">
        <f t="shared" ca="1" si="10"/>
        <v/>
      </c>
      <c r="G395" t="str">
        <f t="shared" ca="1" si="11"/>
        <v/>
      </c>
    </row>
    <row r="396" spans="1:7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9"/>
        <v/>
      </c>
      <c r="F396" t="str">
        <f t="shared" ca="1" si="10"/>
        <v/>
      </c>
      <c r="G396" t="str">
        <f t="shared" ca="1" si="11"/>
        <v/>
      </c>
    </row>
    <row r="397" spans="1:7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9"/>
        <v/>
      </c>
      <c r="F397" t="str">
        <f t="shared" ca="1" si="10"/>
        <v/>
      </c>
      <c r="G397" t="str">
        <f t="shared" ca="1" si="11"/>
        <v/>
      </c>
    </row>
    <row r="398" spans="1:7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9"/>
        <v/>
      </c>
      <c r="F398" t="str">
        <f t="shared" ca="1" si="10"/>
        <v/>
      </c>
      <c r="G398" t="str">
        <f t="shared" ca="1" si="11"/>
        <v/>
      </c>
    </row>
    <row r="399" spans="1:7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9"/>
        <v/>
      </c>
      <c r="F399" t="str">
        <f t="shared" ca="1" si="10"/>
        <v/>
      </c>
      <c r="G399" t="str">
        <f t="shared" ca="1" si="11"/>
        <v/>
      </c>
    </row>
    <row r="400" spans="1:7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9"/>
        <v/>
      </c>
      <c r="F400" t="str">
        <f t="shared" ca="1" si="10"/>
        <v/>
      </c>
      <c r="G400" t="str">
        <f t="shared" ca="1" si="11"/>
        <v/>
      </c>
    </row>
    <row r="401" spans="1:7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9"/>
        <v/>
      </c>
      <c r="F401" t="str">
        <f t="shared" ca="1" si="10"/>
        <v/>
      </c>
      <c r="G401" t="str">
        <f t="shared" ca="1" si="11"/>
        <v/>
      </c>
    </row>
    <row r="402" spans="1:7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9"/>
        <v/>
      </c>
      <c r="F402" t="str">
        <f t="shared" ca="1" si="10"/>
        <v/>
      </c>
      <c r="G402" t="str">
        <f t="shared" ca="1" si="11"/>
        <v/>
      </c>
    </row>
    <row r="403" spans="1:7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9"/>
        <v/>
      </c>
      <c r="F403" t="str">
        <f t="shared" ca="1" si="10"/>
        <v/>
      </c>
      <c r="G403" t="str">
        <f t="shared" ca="1" si="11"/>
        <v/>
      </c>
    </row>
    <row r="404" spans="1:7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9"/>
        <v/>
      </c>
      <c r="F404" t="str">
        <f t="shared" ca="1" si="10"/>
        <v/>
      </c>
      <c r="G404" t="str">
        <f t="shared" ca="1" si="11"/>
        <v/>
      </c>
    </row>
    <row r="405" spans="1:7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9"/>
        <v/>
      </c>
      <c r="F405" t="str">
        <f t="shared" ca="1" si="10"/>
        <v/>
      </c>
      <c r="G405" t="str">
        <f t="shared" ca="1" si="11"/>
        <v/>
      </c>
    </row>
    <row r="406" spans="1:7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9"/>
        <v/>
      </c>
      <c r="F406" t="str">
        <f t="shared" ca="1" si="10"/>
        <v/>
      </c>
      <c r="G406" t="str">
        <f t="shared" ca="1" si="11"/>
        <v/>
      </c>
    </row>
    <row r="407" spans="1:7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9"/>
        <v/>
      </c>
      <c r="F407" t="str">
        <f t="shared" ca="1" si="10"/>
        <v/>
      </c>
      <c r="G407" t="str">
        <f t="shared" ca="1" si="11"/>
        <v/>
      </c>
    </row>
    <row r="408" spans="1:7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9"/>
        <v/>
      </c>
      <c r="F408" t="str">
        <f t="shared" ca="1" si="10"/>
        <v/>
      </c>
      <c r="G408" t="str">
        <f t="shared" ca="1" si="11"/>
        <v/>
      </c>
    </row>
    <row r="409" spans="1:7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9"/>
        <v/>
      </c>
      <c r="F409" t="str">
        <f t="shared" ca="1" si="10"/>
        <v/>
      </c>
      <c r="G409" t="str">
        <f t="shared" ca="1" si="11"/>
        <v/>
      </c>
    </row>
    <row r="410" spans="1:7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9"/>
        <v/>
      </c>
      <c r="F410" t="str">
        <f t="shared" ca="1" si="10"/>
        <v/>
      </c>
      <c r="G410" t="str">
        <f t="shared" ca="1" si="11"/>
        <v/>
      </c>
    </row>
    <row r="411" spans="1:7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9"/>
        <v/>
      </c>
      <c r="F411" t="str">
        <f t="shared" ca="1" si="10"/>
        <v/>
      </c>
      <c r="G411" t="str">
        <f t="shared" ca="1" si="11"/>
        <v/>
      </c>
    </row>
    <row r="412" spans="1:7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9"/>
        <v/>
      </c>
      <c r="F412" t="str">
        <f t="shared" ca="1" si="10"/>
        <v/>
      </c>
      <c r="G412" t="str">
        <f t="shared" ca="1" si="11"/>
        <v/>
      </c>
    </row>
    <row r="413" spans="1:7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9"/>
        <v/>
      </c>
      <c r="F413" t="str">
        <f t="shared" ca="1" si="10"/>
        <v/>
      </c>
      <c r="G413" t="str">
        <f t="shared" ca="1" si="11"/>
        <v/>
      </c>
    </row>
    <row r="414" spans="1:7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9"/>
        <v/>
      </c>
      <c r="F414" t="str">
        <f t="shared" ca="1" si="10"/>
        <v/>
      </c>
      <c r="G414" t="str">
        <f t="shared" ca="1" si="11"/>
        <v/>
      </c>
    </row>
    <row r="415" spans="1:7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9"/>
        <v/>
      </c>
      <c r="F415" t="str">
        <f t="shared" ca="1" si="10"/>
        <v/>
      </c>
      <c r="G415" t="str">
        <f t="shared" ca="1" si="11"/>
        <v/>
      </c>
    </row>
    <row r="416" spans="1:7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9"/>
        <v/>
      </c>
      <c r="F416" t="str">
        <f t="shared" ca="1" si="10"/>
        <v/>
      </c>
      <c r="G416" t="str">
        <f t="shared" ca="1" si="11"/>
        <v/>
      </c>
    </row>
    <row r="417" spans="1:7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9"/>
        <v/>
      </c>
      <c r="F417" t="str">
        <f t="shared" ca="1" si="10"/>
        <v/>
      </c>
      <c r="G417" t="str">
        <f t="shared" ca="1" si="11"/>
        <v/>
      </c>
    </row>
    <row r="418" spans="1:7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9"/>
        <v/>
      </c>
      <c r="F418" t="str">
        <f t="shared" ca="1" si="10"/>
        <v/>
      </c>
      <c r="G418" t="str">
        <f t="shared" ca="1" si="11"/>
        <v/>
      </c>
    </row>
    <row r="419" spans="1:7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9"/>
        <v/>
      </c>
      <c r="F419" t="str">
        <f t="shared" ca="1" si="10"/>
        <v/>
      </c>
      <c r="G419" t="str">
        <f t="shared" ca="1" si="11"/>
        <v/>
      </c>
    </row>
    <row r="420" spans="1:7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9"/>
        <v/>
      </c>
      <c r="F420" t="str">
        <f t="shared" ca="1" si="10"/>
        <v/>
      </c>
      <c r="G420" t="str">
        <f t="shared" ca="1" si="11"/>
        <v/>
      </c>
    </row>
    <row r="421" spans="1:7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9"/>
        <v/>
      </c>
      <c r="F421" t="str">
        <f t="shared" ca="1" si="10"/>
        <v/>
      </c>
      <c r="G421" t="str">
        <f t="shared" ca="1" si="11"/>
        <v/>
      </c>
    </row>
    <row r="422" spans="1:7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9"/>
        <v/>
      </c>
      <c r="F422" t="str">
        <f t="shared" ca="1" si="10"/>
        <v/>
      </c>
      <c r="G422" t="str">
        <f t="shared" ca="1" si="11"/>
        <v/>
      </c>
    </row>
    <row r="423" spans="1:7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9"/>
        <v/>
      </c>
      <c r="F423" t="str">
        <f t="shared" ca="1" si="10"/>
        <v/>
      </c>
      <c r="G423" t="str">
        <f t="shared" ca="1" si="11"/>
        <v/>
      </c>
    </row>
    <row r="424" spans="1:7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9"/>
        <v/>
      </c>
      <c r="F424" t="str">
        <f t="shared" ca="1" si="10"/>
        <v/>
      </c>
      <c r="G424" t="str">
        <f t="shared" ca="1" si="11"/>
        <v/>
      </c>
    </row>
    <row r="425" spans="1:7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9"/>
        <v/>
      </c>
      <c r="F425" t="str">
        <f t="shared" ca="1" si="10"/>
        <v/>
      </c>
      <c r="G425" t="str">
        <f t="shared" ca="1" si="11"/>
        <v/>
      </c>
    </row>
    <row r="426" spans="1:7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9"/>
        <v/>
      </c>
      <c r="F426" t="str">
        <f t="shared" ca="1" si="10"/>
        <v/>
      </c>
      <c r="G426" t="str">
        <f t="shared" ca="1" si="11"/>
        <v/>
      </c>
    </row>
    <row r="427" spans="1:7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9"/>
        <v/>
      </c>
      <c r="F427" t="str">
        <f t="shared" ca="1" si="10"/>
        <v/>
      </c>
      <c r="G427" t="str">
        <f t="shared" ca="1" si="11"/>
        <v/>
      </c>
    </row>
    <row r="428" spans="1:7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9"/>
        <v/>
      </c>
      <c r="F428" t="str">
        <f t="shared" ca="1" si="10"/>
        <v/>
      </c>
      <c r="G428" t="str">
        <f t="shared" ca="1" si="11"/>
        <v/>
      </c>
    </row>
    <row r="429" spans="1:7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9"/>
        <v/>
      </c>
      <c r="F429" t="str">
        <f t="shared" ca="1" si="10"/>
        <v/>
      </c>
      <c r="G429" t="str">
        <f t="shared" ca="1" si="11"/>
        <v/>
      </c>
    </row>
    <row r="430" spans="1:7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9"/>
        <v/>
      </c>
      <c r="F430" t="str">
        <f t="shared" ca="1" si="10"/>
        <v/>
      </c>
      <c r="G430" t="str">
        <f t="shared" ca="1" si="11"/>
        <v/>
      </c>
    </row>
    <row r="431" spans="1:7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9"/>
        <v/>
      </c>
      <c r="F431" t="str">
        <f t="shared" ca="1" si="10"/>
        <v/>
      </c>
      <c r="G431" t="str">
        <f t="shared" ca="1" si="11"/>
        <v/>
      </c>
    </row>
    <row r="432" spans="1:7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9"/>
        <v/>
      </c>
      <c r="F432" t="str">
        <f t="shared" ca="1" si="10"/>
        <v/>
      </c>
      <c r="G432" t="str">
        <f t="shared" ca="1" si="11"/>
        <v/>
      </c>
    </row>
    <row r="433" spans="1:7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9"/>
        <v/>
      </c>
      <c r="F433" t="str">
        <f t="shared" ca="1" si="10"/>
        <v/>
      </c>
      <c r="G433" t="str">
        <f t="shared" ca="1" si="11"/>
        <v/>
      </c>
    </row>
    <row r="434" spans="1:7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9"/>
        <v/>
      </c>
      <c r="F434" t="str">
        <f t="shared" ca="1" si="10"/>
        <v/>
      </c>
      <c r="G434" t="str">
        <f t="shared" ca="1" si="11"/>
        <v/>
      </c>
    </row>
    <row r="435" spans="1:7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ca="1" si="9"/>
        <v/>
      </c>
      <c r="F435" t="str">
        <f t="shared" ca="1" si="10"/>
        <v/>
      </c>
      <c r="G435" t="str">
        <f t="shared" ca="1" si="11"/>
        <v/>
      </c>
    </row>
    <row r="436" spans="1:7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9"/>
        <v/>
      </c>
      <c r="F436" t="str">
        <f t="shared" ca="1" si="10"/>
        <v/>
      </c>
      <c r="G436" t="str">
        <f t="shared" ca="1" si="11"/>
        <v/>
      </c>
    </row>
    <row r="437" spans="1:7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9"/>
        <v/>
      </c>
      <c r="F437" t="str">
        <f t="shared" ca="1" si="10"/>
        <v/>
      </c>
      <c r="G437" t="str">
        <f t="shared" ca="1" si="11"/>
        <v/>
      </c>
    </row>
    <row r="438" spans="1:7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9"/>
        <v/>
      </c>
      <c r="F438" t="str">
        <f t="shared" ca="1" si="10"/>
        <v/>
      </c>
      <c r="G438" t="str">
        <f t="shared" ca="1" si="11"/>
        <v/>
      </c>
    </row>
    <row r="439" spans="1:7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ref="E439:E502" ca="1" si="12">IF(D439="T", 0.05, IF(D439="C", -0.01, ""))</f>
        <v/>
      </c>
      <c r="F439" t="str">
        <f t="shared" ref="F439:F502" ca="1" si="13">IF(D439="T", 0.05, IF(D439="C", 0, ""))</f>
        <v/>
      </c>
      <c r="G439" t="str">
        <f t="shared" ref="G439:G502" ca="1" si="14">IF(D439="T", 0, IF(D439="C", 0, ""))</f>
        <v/>
      </c>
    </row>
    <row r="440" spans="1:7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12"/>
        <v/>
      </c>
      <c r="F440" t="str">
        <f t="shared" ca="1" si="13"/>
        <v/>
      </c>
      <c r="G440" t="str">
        <f t="shared" ca="1" si="14"/>
        <v/>
      </c>
    </row>
    <row r="441" spans="1:7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12"/>
        <v/>
      </c>
      <c r="F441" t="str">
        <f t="shared" ca="1" si="13"/>
        <v/>
      </c>
      <c r="G441" t="str">
        <f t="shared" ca="1" si="14"/>
        <v/>
      </c>
    </row>
    <row r="442" spans="1:7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12"/>
        <v/>
      </c>
      <c r="F442" t="str">
        <f t="shared" ca="1" si="13"/>
        <v/>
      </c>
      <c r="G442" t="str">
        <f t="shared" ca="1" si="14"/>
        <v/>
      </c>
    </row>
    <row r="443" spans="1:7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12"/>
        <v/>
      </c>
      <c r="F443" t="str">
        <f t="shared" ca="1" si="13"/>
        <v/>
      </c>
      <c r="G443" t="str">
        <f t="shared" ca="1" si="14"/>
        <v/>
      </c>
    </row>
    <row r="444" spans="1:7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12"/>
        <v/>
      </c>
      <c r="F444" t="str">
        <f t="shared" ca="1" si="13"/>
        <v/>
      </c>
      <c r="G444" t="str">
        <f t="shared" ca="1" si="14"/>
        <v/>
      </c>
    </row>
    <row r="445" spans="1:7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12"/>
        <v/>
      </c>
      <c r="F445" t="str">
        <f t="shared" ca="1" si="13"/>
        <v/>
      </c>
      <c r="G445" t="str">
        <f t="shared" ca="1" si="14"/>
        <v/>
      </c>
    </row>
    <row r="446" spans="1:7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12"/>
        <v/>
      </c>
      <c r="F446" t="str">
        <f t="shared" ca="1" si="13"/>
        <v/>
      </c>
      <c r="G446" t="str">
        <f t="shared" ca="1" si="14"/>
        <v/>
      </c>
    </row>
    <row r="447" spans="1:7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12"/>
        <v/>
      </c>
      <c r="F447" t="str">
        <f t="shared" ca="1" si="13"/>
        <v/>
      </c>
      <c r="G447" t="str">
        <f t="shared" ca="1" si="14"/>
        <v/>
      </c>
    </row>
    <row r="448" spans="1:7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12"/>
        <v/>
      </c>
      <c r="F448" t="str">
        <f t="shared" ca="1" si="13"/>
        <v/>
      </c>
      <c r="G448" t="str">
        <f t="shared" ca="1" si="14"/>
        <v/>
      </c>
    </row>
    <row r="449" spans="1:7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12"/>
        <v/>
      </c>
      <c r="F449" t="str">
        <f t="shared" ca="1" si="13"/>
        <v/>
      </c>
      <c r="G449" t="str">
        <f t="shared" ca="1" si="14"/>
        <v/>
      </c>
    </row>
    <row r="450" spans="1:7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12"/>
        <v/>
      </c>
      <c r="F450" t="str">
        <f t="shared" ca="1" si="13"/>
        <v/>
      </c>
      <c r="G450" t="str">
        <f t="shared" ca="1" si="14"/>
        <v/>
      </c>
    </row>
    <row r="451" spans="1:7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12"/>
        <v/>
      </c>
      <c r="F451" t="str">
        <f t="shared" ca="1" si="13"/>
        <v/>
      </c>
      <c r="G451" t="str">
        <f t="shared" ca="1" si="14"/>
        <v/>
      </c>
    </row>
    <row r="452" spans="1:7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12"/>
        <v/>
      </c>
      <c r="F452" t="str">
        <f t="shared" ca="1" si="13"/>
        <v/>
      </c>
      <c r="G452" t="str">
        <f t="shared" ca="1" si="14"/>
        <v/>
      </c>
    </row>
    <row r="453" spans="1:7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12"/>
        <v/>
      </c>
      <c r="F453" t="str">
        <f t="shared" ca="1" si="13"/>
        <v/>
      </c>
      <c r="G453" t="str">
        <f t="shared" ca="1" si="14"/>
        <v/>
      </c>
    </row>
    <row r="454" spans="1:7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12"/>
        <v/>
      </c>
      <c r="F454" t="str">
        <f t="shared" ca="1" si="13"/>
        <v/>
      </c>
      <c r="G454" t="str">
        <f t="shared" ca="1" si="14"/>
        <v/>
      </c>
    </row>
    <row r="455" spans="1:7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12"/>
        <v/>
      </c>
      <c r="F455" t="str">
        <f t="shared" ca="1" si="13"/>
        <v/>
      </c>
      <c r="G455" t="str">
        <f t="shared" ca="1" si="14"/>
        <v/>
      </c>
    </row>
    <row r="456" spans="1:7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12"/>
        <v/>
      </c>
      <c r="F456" t="str">
        <f t="shared" ca="1" si="13"/>
        <v/>
      </c>
      <c r="G456" t="str">
        <f t="shared" ca="1" si="14"/>
        <v/>
      </c>
    </row>
    <row r="457" spans="1:7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12"/>
        <v/>
      </c>
      <c r="F457" t="str">
        <f t="shared" ca="1" si="13"/>
        <v/>
      </c>
      <c r="G457" t="str">
        <f t="shared" ca="1" si="14"/>
        <v/>
      </c>
    </row>
    <row r="458" spans="1:7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12"/>
        <v/>
      </c>
      <c r="F458" t="str">
        <f t="shared" ca="1" si="13"/>
        <v/>
      </c>
      <c r="G458" t="str">
        <f t="shared" ca="1" si="14"/>
        <v/>
      </c>
    </row>
    <row r="459" spans="1:7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12"/>
        <v/>
      </c>
      <c r="F459" t="str">
        <f t="shared" ca="1" si="13"/>
        <v/>
      </c>
      <c r="G459" t="str">
        <f t="shared" ca="1" si="14"/>
        <v/>
      </c>
    </row>
    <row r="460" spans="1:7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12"/>
        <v/>
      </c>
      <c r="F460" t="str">
        <f t="shared" ca="1" si="13"/>
        <v/>
      </c>
      <c r="G460" t="str">
        <f t="shared" ca="1" si="14"/>
        <v/>
      </c>
    </row>
    <row r="461" spans="1:7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12"/>
        <v/>
      </c>
      <c r="F461" t="str">
        <f t="shared" ca="1" si="13"/>
        <v/>
      </c>
      <c r="G461" t="str">
        <f t="shared" ca="1" si="14"/>
        <v/>
      </c>
    </row>
    <row r="462" spans="1:7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12"/>
        <v/>
      </c>
      <c r="F462" t="str">
        <f t="shared" ca="1" si="13"/>
        <v/>
      </c>
      <c r="G462" t="str">
        <f t="shared" ca="1" si="14"/>
        <v/>
      </c>
    </row>
    <row r="463" spans="1:7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12"/>
        <v/>
      </c>
      <c r="F463" t="str">
        <f t="shared" ca="1" si="13"/>
        <v/>
      </c>
      <c r="G463" t="str">
        <f t="shared" ca="1" si="14"/>
        <v/>
      </c>
    </row>
    <row r="464" spans="1:7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12"/>
        <v/>
      </c>
      <c r="F464" t="str">
        <f t="shared" ca="1" si="13"/>
        <v/>
      </c>
      <c r="G464" t="str">
        <f t="shared" ca="1" si="14"/>
        <v/>
      </c>
    </row>
    <row r="465" spans="1:7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12"/>
        <v/>
      </c>
      <c r="F465" t="str">
        <f t="shared" ca="1" si="13"/>
        <v/>
      </c>
      <c r="G465" t="str">
        <f t="shared" ca="1" si="14"/>
        <v/>
      </c>
    </row>
    <row r="466" spans="1:7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12"/>
        <v/>
      </c>
      <c r="F466" t="str">
        <f t="shared" ca="1" si="13"/>
        <v/>
      </c>
      <c r="G466" t="str">
        <f t="shared" ca="1" si="14"/>
        <v/>
      </c>
    </row>
    <row r="467" spans="1:7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12"/>
        <v/>
      </c>
      <c r="F467" t="str">
        <f t="shared" ca="1" si="13"/>
        <v/>
      </c>
      <c r="G467" t="str">
        <f t="shared" ca="1" si="14"/>
        <v/>
      </c>
    </row>
    <row r="468" spans="1:7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12"/>
        <v/>
      </c>
      <c r="F468" t="str">
        <f t="shared" ca="1" si="13"/>
        <v/>
      </c>
      <c r="G468" t="str">
        <f t="shared" ca="1" si="14"/>
        <v/>
      </c>
    </row>
    <row r="469" spans="1:7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12"/>
        <v/>
      </c>
      <c r="F469" t="str">
        <f t="shared" ca="1" si="13"/>
        <v/>
      </c>
      <c r="G469" t="str">
        <f t="shared" ca="1" si="14"/>
        <v/>
      </c>
    </row>
    <row r="470" spans="1:7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12"/>
        <v/>
      </c>
      <c r="F470" t="str">
        <f t="shared" ca="1" si="13"/>
        <v/>
      </c>
      <c r="G470" t="str">
        <f t="shared" ca="1" si="14"/>
        <v/>
      </c>
    </row>
    <row r="471" spans="1:7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12"/>
        <v/>
      </c>
      <c r="F471" t="str">
        <f t="shared" ca="1" si="13"/>
        <v/>
      </c>
      <c r="G471" t="str">
        <f t="shared" ca="1" si="14"/>
        <v/>
      </c>
    </row>
    <row r="472" spans="1:7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12"/>
        <v/>
      </c>
      <c r="F472" t="str">
        <f t="shared" ca="1" si="13"/>
        <v/>
      </c>
      <c r="G472" t="str">
        <f t="shared" ca="1" si="14"/>
        <v/>
      </c>
    </row>
    <row r="473" spans="1:7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12"/>
        <v/>
      </c>
      <c r="F473" t="str">
        <f t="shared" ca="1" si="13"/>
        <v/>
      </c>
      <c r="G473" t="str">
        <f t="shared" ca="1" si="14"/>
        <v/>
      </c>
    </row>
    <row r="474" spans="1:7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12"/>
        <v/>
      </c>
      <c r="F474" t="str">
        <f t="shared" ca="1" si="13"/>
        <v/>
      </c>
      <c r="G474" t="str">
        <f t="shared" ca="1" si="14"/>
        <v/>
      </c>
    </row>
    <row r="475" spans="1:7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12"/>
        <v/>
      </c>
      <c r="F475" t="str">
        <f t="shared" ca="1" si="13"/>
        <v/>
      </c>
      <c r="G475" t="str">
        <f t="shared" ca="1" si="14"/>
        <v/>
      </c>
    </row>
    <row r="476" spans="1:7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12"/>
        <v/>
      </c>
      <c r="F476" t="str">
        <f t="shared" ca="1" si="13"/>
        <v/>
      </c>
      <c r="G476" t="str">
        <f t="shared" ca="1" si="14"/>
        <v/>
      </c>
    </row>
    <row r="477" spans="1:7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12"/>
        <v/>
      </c>
      <c r="F477" t="str">
        <f t="shared" ca="1" si="13"/>
        <v/>
      </c>
      <c r="G477" t="str">
        <f t="shared" ca="1" si="14"/>
        <v/>
      </c>
    </row>
    <row r="478" spans="1:7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12"/>
        <v/>
      </c>
      <c r="F478" t="str">
        <f t="shared" ca="1" si="13"/>
        <v/>
      </c>
      <c r="G478" t="str">
        <f t="shared" ca="1" si="14"/>
        <v/>
      </c>
    </row>
    <row r="479" spans="1:7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12"/>
        <v/>
      </c>
      <c r="F479" t="str">
        <f t="shared" ca="1" si="13"/>
        <v/>
      </c>
      <c r="G479" t="str">
        <f t="shared" ca="1" si="14"/>
        <v/>
      </c>
    </row>
    <row r="480" spans="1:7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12"/>
        <v/>
      </c>
      <c r="F480" t="str">
        <f t="shared" ca="1" si="13"/>
        <v/>
      </c>
      <c r="G480" t="str">
        <f t="shared" ca="1" si="14"/>
        <v/>
      </c>
    </row>
    <row r="481" spans="1:7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12"/>
        <v/>
      </c>
      <c r="F481" t="str">
        <f t="shared" ca="1" si="13"/>
        <v/>
      </c>
      <c r="G481" t="str">
        <f t="shared" ca="1" si="14"/>
        <v/>
      </c>
    </row>
    <row r="482" spans="1:7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12"/>
        <v/>
      </c>
      <c r="F482" t="str">
        <f t="shared" ca="1" si="13"/>
        <v/>
      </c>
      <c r="G482" t="str">
        <f t="shared" ca="1" si="14"/>
        <v/>
      </c>
    </row>
    <row r="483" spans="1:7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12"/>
        <v/>
      </c>
      <c r="F483" t="str">
        <f t="shared" ca="1" si="13"/>
        <v/>
      </c>
      <c r="G483" t="str">
        <f t="shared" ca="1" si="14"/>
        <v/>
      </c>
    </row>
    <row r="484" spans="1:7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12"/>
        <v/>
      </c>
      <c r="F484" t="str">
        <f t="shared" ca="1" si="13"/>
        <v/>
      </c>
      <c r="G484" t="str">
        <f t="shared" ca="1" si="14"/>
        <v/>
      </c>
    </row>
    <row r="485" spans="1:7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12"/>
        <v/>
      </c>
      <c r="F485" t="str">
        <f t="shared" ca="1" si="13"/>
        <v/>
      </c>
      <c r="G485" t="str">
        <f t="shared" ca="1" si="14"/>
        <v/>
      </c>
    </row>
    <row r="486" spans="1:7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12"/>
        <v/>
      </c>
      <c r="F486" t="str">
        <f t="shared" ca="1" si="13"/>
        <v/>
      </c>
      <c r="G486" t="str">
        <f t="shared" ca="1" si="14"/>
        <v/>
      </c>
    </row>
    <row r="487" spans="1:7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12"/>
        <v/>
      </c>
      <c r="F487" t="str">
        <f t="shared" ca="1" si="13"/>
        <v/>
      </c>
      <c r="G487" t="str">
        <f t="shared" ca="1" si="14"/>
        <v/>
      </c>
    </row>
    <row r="488" spans="1:7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12"/>
        <v/>
      </c>
      <c r="F488" t="str">
        <f t="shared" ca="1" si="13"/>
        <v/>
      </c>
      <c r="G488" t="str">
        <f t="shared" ca="1" si="14"/>
        <v/>
      </c>
    </row>
    <row r="489" spans="1:7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12"/>
        <v/>
      </c>
      <c r="F489" t="str">
        <f t="shared" ca="1" si="13"/>
        <v/>
      </c>
      <c r="G489" t="str">
        <f t="shared" ca="1" si="14"/>
        <v/>
      </c>
    </row>
    <row r="490" spans="1:7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12"/>
        <v/>
      </c>
      <c r="F490" t="str">
        <f t="shared" ca="1" si="13"/>
        <v/>
      </c>
      <c r="G490" t="str">
        <f t="shared" ca="1" si="14"/>
        <v/>
      </c>
    </row>
    <row r="491" spans="1:7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12"/>
        <v/>
      </c>
      <c r="F491" t="str">
        <f t="shared" ca="1" si="13"/>
        <v/>
      </c>
      <c r="G491" t="str">
        <f t="shared" ca="1" si="14"/>
        <v/>
      </c>
    </row>
    <row r="492" spans="1:7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12"/>
        <v/>
      </c>
      <c r="F492" t="str">
        <f t="shared" ca="1" si="13"/>
        <v/>
      </c>
      <c r="G492" t="str">
        <f t="shared" ca="1" si="14"/>
        <v/>
      </c>
    </row>
    <row r="493" spans="1:7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12"/>
        <v/>
      </c>
      <c r="F493" t="str">
        <f t="shared" ca="1" si="13"/>
        <v/>
      </c>
      <c r="G493" t="str">
        <f t="shared" ca="1" si="14"/>
        <v/>
      </c>
    </row>
    <row r="494" spans="1:7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12"/>
        <v/>
      </c>
      <c r="F494" t="str">
        <f t="shared" ca="1" si="13"/>
        <v/>
      </c>
      <c r="G494" t="str">
        <f t="shared" ca="1" si="14"/>
        <v/>
      </c>
    </row>
    <row r="495" spans="1:7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12"/>
        <v/>
      </c>
      <c r="F495" t="str">
        <f t="shared" ca="1" si="13"/>
        <v/>
      </c>
      <c r="G495" t="str">
        <f t="shared" ca="1" si="14"/>
        <v/>
      </c>
    </row>
    <row r="496" spans="1:7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12"/>
        <v/>
      </c>
      <c r="F496" t="str">
        <f t="shared" ca="1" si="13"/>
        <v/>
      </c>
      <c r="G496" t="str">
        <f t="shared" ca="1" si="14"/>
        <v/>
      </c>
    </row>
    <row r="497" spans="1:7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12"/>
        <v/>
      </c>
      <c r="F497" t="str">
        <f t="shared" ca="1" si="13"/>
        <v/>
      </c>
      <c r="G497" t="str">
        <f t="shared" ca="1" si="14"/>
        <v/>
      </c>
    </row>
    <row r="498" spans="1:7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12"/>
        <v/>
      </c>
      <c r="F498" t="str">
        <f t="shared" ca="1" si="13"/>
        <v/>
      </c>
      <c r="G498" t="str">
        <f t="shared" ca="1" si="14"/>
        <v/>
      </c>
    </row>
    <row r="499" spans="1:7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ca="1" si="12"/>
        <v/>
      </c>
      <c r="F499" t="str">
        <f t="shared" ca="1" si="13"/>
        <v/>
      </c>
      <c r="G499" t="str">
        <f t="shared" ca="1" si="14"/>
        <v/>
      </c>
    </row>
    <row r="500" spans="1:7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12"/>
        <v/>
      </c>
      <c r="F500" t="str">
        <f t="shared" ca="1" si="13"/>
        <v/>
      </c>
      <c r="G500" t="str">
        <f t="shared" ca="1" si="14"/>
        <v/>
      </c>
    </row>
    <row r="501" spans="1:7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12"/>
        <v/>
      </c>
      <c r="F501" t="str">
        <f t="shared" ca="1" si="13"/>
        <v/>
      </c>
      <c r="G501" t="str">
        <f t="shared" ca="1" si="14"/>
        <v/>
      </c>
    </row>
    <row r="502" spans="1:7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12"/>
        <v/>
      </c>
      <c r="F502" t="str">
        <f t="shared" ca="1" si="13"/>
        <v/>
      </c>
      <c r="G502" t="str">
        <f t="shared" ca="1" si="14"/>
        <v/>
      </c>
    </row>
    <row r="503" spans="1:7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ref="E503:E566" ca="1" si="15">IF(D503="T", 0.05, IF(D503="C", -0.01, ""))</f>
        <v/>
      </c>
      <c r="F503" t="str">
        <f t="shared" ref="F503:F566" ca="1" si="16">IF(D503="T", 0.05, IF(D503="C", 0, ""))</f>
        <v/>
      </c>
      <c r="G503" t="str">
        <f t="shared" ref="G503:G566" ca="1" si="17">IF(D503="T", 0, IF(D503="C", 0, ""))</f>
        <v/>
      </c>
    </row>
    <row r="504" spans="1:7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15"/>
        <v/>
      </c>
      <c r="F504" t="str">
        <f t="shared" ca="1" si="16"/>
        <v/>
      </c>
      <c r="G504" t="str">
        <f t="shared" ca="1" si="17"/>
        <v/>
      </c>
    </row>
    <row r="505" spans="1:7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15"/>
        <v/>
      </c>
      <c r="F505" t="str">
        <f t="shared" ca="1" si="16"/>
        <v/>
      </c>
      <c r="G505" t="str">
        <f t="shared" ca="1" si="17"/>
        <v/>
      </c>
    </row>
    <row r="506" spans="1:7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15"/>
        <v/>
      </c>
      <c r="F506" t="str">
        <f t="shared" ca="1" si="16"/>
        <v/>
      </c>
      <c r="G506" t="str">
        <f t="shared" ca="1" si="17"/>
        <v/>
      </c>
    </row>
    <row r="507" spans="1:7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15"/>
        <v/>
      </c>
      <c r="F507" t="str">
        <f t="shared" ca="1" si="16"/>
        <v/>
      </c>
      <c r="G507" t="str">
        <f t="shared" ca="1" si="17"/>
        <v/>
      </c>
    </row>
    <row r="508" spans="1:7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15"/>
        <v/>
      </c>
      <c r="F508" t="str">
        <f t="shared" ca="1" si="16"/>
        <v/>
      </c>
      <c r="G508" t="str">
        <f t="shared" ca="1" si="17"/>
        <v/>
      </c>
    </row>
    <row r="509" spans="1:7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15"/>
        <v/>
      </c>
      <c r="F509" t="str">
        <f t="shared" ca="1" si="16"/>
        <v/>
      </c>
      <c r="G509" t="str">
        <f t="shared" ca="1" si="17"/>
        <v/>
      </c>
    </row>
    <row r="510" spans="1:7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15"/>
        <v/>
      </c>
      <c r="F510" t="str">
        <f t="shared" ca="1" si="16"/>
        <v/>
      </c>
      <c r="G510" t="str">
        <f t="shared" ca="1" si="17"/>
        <v/>
      </c>
    </row>
    <row r="511" spans="1:7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15"/>
        <v/>
      </c>
      <c r="F511" t="str">
        <f t="shared" ca="1" si="16"/>
        <v/>
      </c>
      <c r="G511" t="str">
        <f t="shared" ca="1" si="17"/>
        <v/>
      </c>
    </row>
    <row r="512" spans="1:7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15"/>
        <v/>
      </c>
      <c r="F512" t="str">
        <f t="shared" ca="1" si="16"/>
        <v/>
      </c>
      <c r="G512" t="str">
        <f t="shared" ca="1" si="17"/>
        <v/>
      </c>
    </row>
    <row r="513" spans="1:7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15"/>
        <v/>
      </c>
      <c r="F513" t="str">
        <f t="shared" ca="1" si="16"/>
        <v/>
      </c>
      <c r="G513" t="str">
        <f t="shared" ca="1" si="17"/>
        <v/>
      </c>
    </row>
    <row r="514" spans="1:7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15"/>
        <v/>
      </c>
      <c r="F514" t="str">
        <f t="shared" ca="1" si="16"/>
        <v/>
      </c>
      <c r="G514" t="str">
        <f t="shared" ca="1" si="17"/>
        <v/>
      </c>
    </row>
    <row r="515" spans="1:7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15"/>
        <v/>
      </c>
      <c r="F515" t="str">
        <f t="shared" ca="1" si="16"/>
        <v/>
      </c>
      <c r="G515" t="str">
        <f t="shared" ca="1" si="17"/>
        <v/>
      </c>
    </row>
    <row r="516" spans="1:7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15"/>
        <v/>
      </c>
      <c r="F516" t="str">
        <f t="shared" ca="1" si="16"/>
        <v/>
      </c>
      <c r="G516" t="str">
        <f t="shared" ca="1" si="17"/>
        <v/>
      </c>
    </row>
    <row r="517" spans="1:7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15"/>
        <v/>
      </c>
      <c r="F517" t="str">
        <f t="shared" ca="1" si="16"/>
        <v/>
      </c>
      <c r="G517" t="str">
        <f t="shared" ca="1" si="17"/>
        <v/>
      </c>
    </row>
    <row r="518" spans="1:7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15"/>
        <v/>
      </c>
      <c r="F518" t="str">
        <f t="shared" ca="1" si="16"/>
        <v/>
      </c>
      <c r="G518" t="str">
        <f t="shared" ca="1" si="17"/>
        <v/>
      </c>
    </row>
    <row r="519" spans="1:7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15"/>
        <v/>
      </c>
      <c r="F519" t="str">
        <f t="shared" ca="1" si="16"/>
        <v/>
      </c>
      <c r="G519" t="str">
        <f t="shared" ca="1" si="17"/>
        <v/>
      </c>
    </row>
    <row r="520" spans="1:7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15"/>
        <v/>
      </c>
      <c r="F520" t="str">
        <f t="shared" ca="1" si="16"/>
        <v/>
      </c>
      <c r="G520" t="str">
        <f t="shared" ca="1" si="17"/>
        <v/>
      </c>
    </row>
    <row r="521" spans="1:7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15"/>
        <v/>
      </c>
      <c r="F521" t="str">
        <f t="shared" ca="1" si="16"/>
        <v/>
      </c>
      <c r="G521" t="str">
        <f t="shared" ca="1" si="17"/>
        <v/>
      </c>
    </row>
    <row r="522" spans="1:7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15"/>
        <v/>
      </c>
      <c r="F522" t="str">
        <f t="shared" ca="1" si="16"/>
        <v/>
      </c>
      <c r="G522" t="str">
        <f t="shared" ca="1" si="17"/>
        <v/>
      </c>
    </row>
    <row r="523" spans="1:7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15"/>
        <v/>
      </c>
      <c r="F523" t="str">
        <f t="shared" ca="1" si="16"/>
        <v/>
      </c>
      <c r="G523" t="str">
        <f t="shared" ca="1" si="17"/>
        <v/>
      </c>
    </row>
    <row r="524" spans="1:7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15"/>
        <v/>
      </c>
      <c r="F524" t="str">
        <f t="shared" ca="1" si="16"/>
        <v/>
      </c>
      <c r="G524" t="str">
        <f t="shared" ca="1" si="17"/>
        <v/>
      </c>
    </row>
    <row r="525" spans="1:7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15"/>
        <v/>
      </c>
      <c r="F525" t="str">
        <f t="shared" ca="1" si="16"/>
        <v/>
      </c>
      <c r="G525" t="str">
        <f t="shared" ca="1" si="17"/>
        <v/>
      </c>
    </row>
    <row r="526" spans="1:7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15"/>
        <v/>
      </c>
      <c r="F526" t="str">
        <f t="shared" ca="1" si="16"/>
        <v/>
      </c>
      <c r="G526" t="str">
        <f t="shared" ca="1" si="17"/>
        <v/>
      </c>
    </row>
    <row r="527" spans="1:7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15"/>
        <v/>
      </c>
      <c r="F527" t="str">
        <f t="shared" ca="1" si="16"/>
        <v/>
      </c>
      <c r="G527" t="str">
        <f t="shared" ca="1" si="17"/>
        <v/>
      </c>
    </row>
    <row r="528" spans="1:7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15"/>
        <v/>
      </c>
      <c r="F528" t="str">
        <f t="shared" ca="1" si="16"/>
        <v/>
      </c>
      <c r="G528" t="str">
        <f t="shared" ca="1" si="17"/>
        <v/>
      </c>
    </row>
    <row r="529" spans="1:7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15"/>
        <v/>
      </c>
      <c r="F529" t="str">
        <f t="shared" ca="1" si="16"/>
        <v/>
      </c>
      <c r="G529" t="str">
        <f t="shared" ca="1" si="17"/>
        <v/>
      </c>
    </row>
    <row r="530" spans="1:7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15"/>
        <v/>
      </c>
      <c r="F530" t="str">
        <f t="shared" ca="1" si="16"/>
        <v/>
      </c>
      <c r="G530" t="str">
        <f t="shared" ca="1" si="17"/>
        <v/>
      </c>
    </row>
    <row r="531" spans="1:7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15"/>
        <v/>
      </c>
      <c r="F531" t="str">
        <f t="shared" ca="1" si="16"/>
        <v/>
      </c>
      <c r="G531" t="str">
        <f t="shared" ca="1" si="17"/>
        <v/>
      </c>
    </row>
    <row r="532" spans="1:7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15"/>
        <v/>
      </c>
      <c r="F532" t="str">
        <f t="shared" ca="1" si="16"/>
        <v/>
      </c>
      <c r="G532" t="str">
        <f t="shared" ca="1" si="17"/>
        <v/>
      </c>
    </row>
    <row r="533" spans="1:7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15"/>
        <v/>
      </c>
      <c r="F533" t="str">
        <f t="shared" ca="1" si="16"/>
        <v/>
      </c>
      <c r="G533" t="str">
        <f t="shared" ca="1" si="17"/>
        <v/>
      </c>
    </row>
    <row r="534" spans="1:7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15"/>
        <v/>
      </c>
      <c r="F534" t="str">
        <f t="shared" ca="1" si="16"/>
        <v/>
      </c>
      <c r="G534" t="str">
        <f t="shared" ca="1" si="17"/>
        <v/>
      </c>
    </row>
    <row r="535" spans="1:7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15"/>
        <v/>
      </c>
      <c r="F535" t="str">
        <f t="shared" ca="1" si="16"/>
        <v/>
      </c>
      <c r="G535" t="str">
        <f t="shared" ca="1" si="17"/>
        <v/>
      </c>
    </row>
    <row r="536" spans="1:7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15"/>
        <v/>
      </c>
      <c r="F536" t="str">
        <f t="shared" ca="1" si="16"/>
        <v/>
      </c>
      <c r="G536" t="str">
        <f t="shared" ca="1" si="17"/>
        <v/>
      </c>
    </row>
    <row r="537" spans="1:7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15"/>
        <v/>
      </c>
      <c r="F537" t="str">
        <f t="shared" ca="1" si="16"/>
        <v/>
      </c>
      <c r="G537" t="str">
        <f t="shared" ca="1" si="17"/>
        <v/>
      </c>
    </row>
    <row r="538" spans="1:7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15"/>
        <v/>
      </c>
      <c r="F538" t="str">
        <f t="shared" ca="1" si="16"/>
        <v/>
      </c>
      <c r="G538" t="str">
        <f t="shared" ca="1" si="17"/>
        <v/>
      </c>
    </row>
    <row r="539" spans="1:7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15"/>
        <v/>
      </c>
      <c r="F539" t="str">
        <f t="shared" ca="1" si="16"/>
        <v/>
      </c>
      <c r="G539" t="str">
        <f t="shared" ca="1" si="17"/>
        <v/>
      </c>
    </row>
    <row r="540" spans="1:7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15"/>
        <v/>
      </c>
      <c r="F540" t="str">
        <f t="shared" ca="1" si="16"/>
        <v/>
      </c>
      <c r="G540" t="str">
        <f t="shared" ca="1" si="17"/>
        <v/>
      </c>
    </row>
    <row r="541" spans="1:7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15"/>
        <v/>
      </c>
      <c r="F541" t="str">
        <f t="shared" ca="1" si="16"/>
        <v/>
      </c>
      <c r="G541" t="str">
        <f t="shared" ca="1" si="17"/>
        <v/>
      </c>
    </row>
    <row r="542" spans="1:7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15"/>
        <v/>
      </c>
      <c r="F542" t="str">
        <f t="shared" ca="1" si="16"/>
        <v/>
      </c>
      <c r="G542" t="str">
        <f t="shared" ca="1" si="17"/>
        <v/>
      </c>
    </row>
    <row r="543" spans="1:7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15"/>
        <v/>
      </c>
      <c r="F543" t="str">
        <f t="shared" ca="1" si="16"/>
        <v/>
      </c>
      <c r="G543" t="str">
        <f t="shared" ca="1" si="17"/>
        <v/>
      </c>
    </row>
    <row r="544" spans="1:7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15"/>
        <v/>
      </c>
      <c r="F544" t="str">
        <f t="shared" ca="1" si="16"/>
        <v/>
      </c>
      <c r="G544" t="str">
        <f t="shared" ca="1" si="17"/>
        <v/>
      </c>
    </row>
    <row r="545" spans="1:7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15"/>
        <v/>
      </c>
      <c r="F545" t="str">
        <f t="shared" ca="1" si="16"/>
        <v/>
      </c>
      <c r="G545" t="str">
        <f t="shared" ca="1" si="17"/>
        <v/>
      </c>
    </row>
    <row r="546" spans="1:7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15"/>
        <v/>
      </c>
      <c r="F546" t="str">
        <f t="shared" ca="1" si="16"/>
        <v/>
      </c>
      <c r="G546" t="str">
        <f t="shared" ca="1" si="17"/>
        <v/>
      </c>
    </row>
    <row r="547" spans="1:7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15"/>
        <v/>
      </c>
      <c r="F547" t="str">
        <f t="shared" ca="1" si="16"/>
        <v/>
      </c>
      <c r="G547" t="str">
        <f t="shared" ca="1" si="17"/>
        <v/>
      </c>
    </row>
    <row r="548" spans="1:7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15"/>
        <v/>
      </c>
      <c r="F548" t="str">
        <f t="shared" ca="1" si="16"/>
        <v/>
      </c>
      <c r="G548" t="str">
        <f t="shared" ca="1" si="17"/>
        <v/>
      </c>
    </row>
    <row r="549" spans="1:7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15"/>
        <v/>
      </c>
      <c r="F549" t="str">
        <f t="shared" ca="1" si="16"/>
        <v/>
      </c>
      <c r="G549" t="str">
        <f t="shared" ca="1" si="17"/>
        <v/>
      </c>
    </row>
    <row r="550" spans="1:7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15"/>
        <v/>
      </c>
      <c r="F550" t="str">
        <f t="shared" ca="1" si="16"/>
        <v/>
      </c>
      <c r="G550" t="str">
        <f t="shared" ca="1" si="17"/>
        <v/>
      </c>
    </row>
    <row r="551" spans="1:7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15"/>
        <v/>
      </c>
      <c r="F551" t="str">
        <f t="shared" ca="1" si="16"/>
        <v/>
      </c>
      <c r="G551" t="str">
        <f t="shared" ca="1" si="17"/>
        <v/>
      </c>
    </row>
    <row r="552" spans="1:7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15"/>
        <v/>
      </c>
      <c r="F552" t="str">
        <f t="shared" ca="1" si="16"/>
        <v/>
      </c>
      <c r="G552" t="str">
        <f t="shared" ca="1" si="17"/>
        <v/>
      </c>
    </row>
    <row r="553" spans="1:7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15"/>
        <v/>
      </c>
      <c r="F553" t="str">
        <f t="shared" ca="1" si="16"/>
        <v/>
      </c>
      <c r="G553" t="str">
        <f t="shared" ca="1" si="17"/>
        <v/>
      </c>
    </row>
    <row r="554" spans="1:7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15"/>
        <v/>
      </c>
      <c r="F554" t="str">
        <f t="shared" ca="1" si="16"/>
        <v/>
      </c>
      <c r="G554" t="str">
        <f t="shared" ca="1" si="17"/>
        <v/>
      </c>
    </row>
    <row r="555" spans="1:7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15"/>
        <v/>
      </c>
      <c r="F555" t="str">
        <f t="shared" ca="1" si="16"/>
        <v/>
      </c>
      <c r="G555" t="str">
        <f t="shared" ca="1" si="17"/>
        <v/>
      </c>
    </row>
    <row r="556" spans="1:7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15"/>
        <v/>
      </c>
      <c r="F556" t="str">
        <f t="shared" ca="1" si="16"/>
        <v/>
      </c>
      <c r="G556" t="str">
        <f t="shared" ca="1" si="17"/>
        <v/>
      </c>
    </row>
    <row r="557" spans="1:7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15"/>
        <v/>
      </c>
      <c r="F557" t="str">
        <f t="shared" ca="1" si="16"/>
        <v/>
      </c>
      <c r="G557" t="str">
        <f t="shared" ca="1" si="17"/>
        <v/>
      </c>
    </row>
    <row r="558" spans="1:7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15"/>
        <v/>
      </c>
      <c r="F558" t="str">
        <f t="shared" ca="1" si="16"/>
        <v/>
      </c>
      <c r="G558" t="str">
        <f t="shared" ca="1" si="17"/>
        <v/>
      </c>
    </row>
    <row r="559" spans="1:7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15"/>
        <v/>
      </c>
      <c r="F559" t="str">
        <f t="shared" ca="1" si="16"/>
        <v/>
      </c>
      <c r="G559" t="str">
        <f t="shared" ca="1" si="17"/>
        <v/>
      </c>
    </row>
    <row r="560" spans="1:7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15"/>
        <v/>
      </c>
      <c r="F560" t="str">
        <f t="shared" ca="1" si="16"/>
        <v/>
      </c>
      <c r="G560" t="str">
        <f t="shared" ca="1" si="17"/>
        <v/>
      </c>
    </row>
    <row r="561" spans="1:7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15"/>
        <v/>
      </c>
      <c r="F561" t="str">
        <f t="shared" ca="1" si="16"/>
        <v/>
      </c>
      <c r="G561" t="str">
        <f t="shared" ca="1" si="17"/>
        <v/>
      </c>
    </row>
    <row r="562" spans="1:7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15"/>
        <v/>
      </c>
      <c r="F562" t="str">
        <f t="shared" ca="1" si="16"/>
        <v/>
      </c>
      <c r="G562" t="str">
        <f t="shared" ca="1" si="17"/>
        <v/>
      </c>
    </row>
    <row r="563" spans="1:7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ca="1" si="15"/>
        <v/>
      </c>
      <c r="F563" t="str">
        <f t="shared" ca="1" si="16"/>
        <v/>
      </c>
      <c r="G563" t="str">
        <f t="shared" ca="1" si="17"/>
        <v/>
      </c>
    </row>
    <row r="564" spans="1:7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15"/>
        <v/>
      </c>
      <c r="F564" t="str">
        <f t="shared" ca="1" si="16"/>
        <v/>
      </c>
      <c r="G564" t="str">
        <f t="shared" ca="1" si="17"/>
        <v/>
      </c>
    </row>
    <row r="565" spans="1:7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15"/>
        <v/>
      </c>
      <c r="F565" t="str">
        <f t="shared" ca="1" si="16"/>
        <v/>
      </c>
      <c r="G565" t="str">
        <f t="shared" ca="1" si="17"/>
        <v/>
      </c>
    </row>
    <row r="566" spans="1:7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15"/>
        <v/>
      </c>
      <c r="F566" t="str">
        <f t="shared" ca="1" si="16"/>
        <v/>
      </c>
      <c r="G566" t="str">
        <f t="shared" ca="1" si="17"/>
        <v/>
      </c>
    </row>
    <row r="567" spans="1:7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ref="E567:E630" ca="1" si="18">IF(D567="T", 0.05, IF(D567="C", -0.01, ""))</f>
        <v/>
      </c>
      <c r="F567" t="str">
        <f t="shared" ref="F567:F630" ca="1" si="19">IF(D567="T", 0.05, IF(D567="C", 0, ""))</f>
        <v/>
      </c>
      <c r="G567" t="str">
        <f t="shared" ref="G567:G630" ca="1" si="20">IF(D567="T", 0, IF(D567="C", 0, ""))</f>
        <v/>
      </c>
    </row>
    <row r="568" spans="1:7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18"/>
        <v/>
      </c>
      <c r="F568" t="str">
        <f t="shared" ca="1" si="19"/>
        <v/>
      </c>
      <c r="G568" t="str">
        <f t="shared" ca="1" si="20"/>
        <v/>
      </c>
    </row>
    <row r="569" spans="1:7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18"/>
        <v/>
      </c>
      <c r="F569" t="str">
        <f t="shared" ca="1" si="19"/>
        <v/>
      </c>
      <c r="G569" t="str">
        <f t="shared" ca="1" si="20"/>
        <v/>
      </c>
    </row>
    <row r="570" spans="1:7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18"/>
        <v/>
      </c>
      <c r="F570" t="str">
        <f t="shared" ca="1" si="19"/>
        <v/>
      </c>
      <c r="G570" t="str">
        <f t="shared" ca="1" si="20"/>
        <v/>
      </c>
    </row>
    <row r="571" spans="1:7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18"/>
        <v/>
      </c>
      <c r="F571" t="str">
        <f t="shared" ca="1" si="19"/>
        <v/>
      </c>
      <c r="G571" t="str">
        <f t="shared" ca="1" si="20"/>
        <v/>
      </c>
    </row>
    <row r="572" spans="1:7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18"/>
        <v/>
      </c>
      <c r="F572" t="str">
        <f t="shared" ca="1" si="19"/>
        <v/>
      </c>
      <c r="G572" t="str">
        <f t="shared" ca="1" si="20"/>
        <v/>
      </c>
    </row>
    <row r="573" spans="1:7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18"/>
        <v/>
      </c>
      <c r="F573" t="str">
        <f t="shared" ca="1" si="19"/>
        <v/>
      </c>
      <c r="G573" t="str">
        <f t="shared" ca="1" si="20"/>
        <v/>
      </c>
    </row>
    <row r="574" spans="1:7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18"/>
        <v/>
      </c>
      <c r="F574" t="str">
        <f t="shared" ca="1" si="19"/>
        <v/>
      </c>
      <c r="G574" t="str">
        <f t="shared" ca="1" si="20"/>
        <v/>
      </c>
    </row>
    <row r="575" spans="1:7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18"/>
        <v/>
      </c>
      <c r="F575" t="str">
        <f t="shared" ca="1" si="19"/>
        <v/>
      </c>
      <c r="G575" t="str">
        <f t="shared" ca="1" si="20"/>
        <v/>
      </c>
    </row>
    <row r="576" spans="1:7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18"/>
        <v/>
      </c>
      <c r="F576" t="str">
        <f t="shared" ca="1" si="19"/>
        <v/>
      </c>
      <c r="G576" t="str">
        <f t="shared" ca="1" si="20"/>
        <v/>
      </c>
    </row>
    <row r="577" spans="1:7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18"/>
        <v/>
      </c>
      <c r="F577" t="str">
        <f t="shared" ca="1" si="19"/>
        <v/>
      </c>
      <c r="G577" t="str">
        <f t="shared" ca="1" si="20"/>
        <v/>
      </c>
    </row>
    <row r="578" spans="1:7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18"/>
        <v/>
      </c>
      <c r="F578" t="str">
        <f t="shared" ca="1" si="19"/>
        <v/>
      </c>
      <c r="G578" t="str">
        <f t="shared" ca="1" si="20"/>
        <v/>
      </c>
    </row>
    <row r="579" spans="1:7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18"/>
        <v/>
      </c>
      <c r="F579" t="str">
        <f t="shared" ca="1" si="19"/>
        <v/>
      </c>
      <c r="G579" t="str">
        <f t="shared" ca="1" si="20"/>
        <v/>
      </c>
    </row>
    <row r="580" spans="1:7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18"/>
        <v/>
      </c>
      <c r="F580" t="str">
        <f t="shared" ca="1" si="19"/>
        <v/>
      </c>
      <c r="G580" t="str">
        <f t="shared" ca="1" si="20"/>
        <v/>
      </c>
    </row>
    <row r="581" spans="1:7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18"/>
        <v/>
      </c>
      <c r="F581" t="str">
        <f t="shared" ca="1" si="19"/>
        <v/>
      </c>
      <c r="G581" t="str">
        <f t="shared" ca="1" si="20"/>
        <v/>
      </c>
    </row>
    <row r="582" spans="1:7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18"/>
        <v/>
      </c>
      <c r="F582" t="str">
        <f t="shared" ca="1" si="19"/>
        <v/>
      </c>
      <c r="G582" t="str">
        <f t="shared" ca="1" si="20"/>
        <v/>
      </c>
    </row>
    <row r="583" spans="1:7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18"/>
        <v/>
      </c>
      <c r="F583" t="str">
        <f t="shared" ca="1" si="19"/>
        <v/>
      </c>
      <c r="G583" t="str">
        <f t="shared" ca="1" si="20"/>
        <v/>
      </c>
    </row>
    <row r="584" spans="1:7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18"/>
        <v/>
      </c>
      <c r="F584" t="str">
        <f t="shared" ca="1" si="19"/>
        <v/>
      </c>
      <c r="G584" t="str">
        <f t="shared" ca="1" si="20"/>
        <v/>
      </c>
    </row>
    <row r="585" spans="1:7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18"/>
        <v/>
      </c>
      <c r="F585" t="str">
        <f t="shared" ca="1" si="19"/>
        <v/>
      </c>
      <c r="G585" t="str">
        <f t="shared" ca="1" si="20"/>
        <v/>
      </c>
    </row>
    <row r="586" spans="1:7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18"/>
        <v/>
      </c>
      <c r="F586" t="str">
        <f t="shared" ca="1" si="19"/>
        <v/>
      </c>
      <c r="G586" t="str">
        <f t="shared" ca="1" si="20"/>
        <v/>
      </c>
    </row>
    <row r="587" spans="1:7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18"/>
        <v/>
      </c>
      <c r="F587" t="str">
        <f t="shared" ca="1" si="19"/>
        <v/>
      </c>
      <c r="G587" t="str">
        <f t="shared" ca="1" si="20"/>
        <v/>
      </c>
    </row>
    <row r="588" spans="1:7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18"/>
        <v/>
      </c>
      <c r="F588" t="str">
        <f t="shared" ca="1" si="19"/>
        <v/>
      </c>
      <c r="G588" t="str">
        <f t="shared" ca="1" si="20"/>
        <v/>
      </c>
    </row>
    <row r="589" spans="1:7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18"/>
        <v/>
      </c>
      <c r="F589" t="str">
        <f t="shared" ca="1" si="19"/>
        <v/>
      </c>
      <c r="G589" t="str">
        <f t="shared" ca="1" si="20"/>
        <v/>
      </c>
    </row>
    <row r="590" spans="1:7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18"/>
        <v/>
      </c>
      <c r="F590" t="str">
        <f t="shared" ca="1" si="19"/>
        <v/>
      </c>
      <c r="G590" t="str">
        <f t="shared" ca="1" si="20"/>
        <v/>
      </c>
    </row>
    <row r="591" spans="1:7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18"/>
        <v/>
      </c>
      <c r="F591" t="str">
        <f t="shared" ca="1" si="19"/>
        <v/>
      </c>
      <c r="G591" t="str">
        <f t="shared" ca="1" si="20"/>
        <v/>
      </c>
    </row>
    <row r="592" spans="1:7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18"/>
        <v/>
      </c>
      <c r="F592" t="str">
        <f t="shared" ca="1" si="19"/>
        <v/>
      </c>
      <c r="G592" t="str">
        <f t="shared" ca="1" si="20"/>
        <v/>
      </c>
    </row>
    <row r="593" spans="1:7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18"/>
        <v/>
      </c>
      <c r="F593" t="str">
        <f t="shared" ca="1" si="19"/>
        <v/>
      </c>
      <c r="G593" t="str">
        <f t="shared" ca="1" si="20"/>
        <v/>
      </c>
    </row>
    <row r="594" spans="1:7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18"/>
        <v/>
      </c>
      <c r="F594" t="str">
        <f t="shared" ca="1" si="19"/>
        <v/>
      </c>
      <c r="G594" t="str">
        <f t="shared" ca="1" si="20"/>
        <v/>
      </c>
    </row>
    <row r="595" spans="1:7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18"/>
        <v/>
      </c>
      <c r="F595" t="str">
        <f t="shared" ca="1" si="19"/>
        <v/>
      </c>
      <c r="G595" t="str">
        <f t="shared" ca="1" si="20"/>
        <v/>
      </c>
    </row>
    <row r="596" spans="1:7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18"/>
        <v/>
      </c>
      <c r="F596" t="str">
        <f t="shared" ca="1" si="19"/>
        <v/>
      </c>
      <c r="G596" t="str">
        <f t="shared" ca="1" si="20"/>
        <v/>
      </c>
    </row>
    <row r="597" spans="1:7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18"/>
        <v/>
      </c>
      <c r="F597" t="str">
        <f t="shared" ca="1" si="19"/>
        <v/>
      </c>
      <c r="G597" t="str">
        <f t="shared" ca="1" si="20"/>
        <v/>
      </c>
    </row>
    <row r="598" spans="1:7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18"/>
        <v/>
      </c>
      <c r="F598" t="str">
        <f t="shared" ca="1" si="19"/>
        <v/>
      </c>
      <c r="G598" t="str">
        <f t="shared" ca="1" si="20"/>
        <v/>
      </c>
    </row>
    <row r="599" spans="1:7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18"/>
        <v/>
      </c>
      <c r="F599" t="str">
        <f t="shared" ca="1" si="19"/>
        <v/>
      </c>
      <c r="G599" t="str">
        <f t="shared" ca="1" si="20"/>
        <v/>
      </c>
    </row>
    <row r="600" spans="1:7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18"/>
        <v/>
      </c>
      <c r="F600" t="str">
        <f t="shared" ca="1" si="19"/>
        <v/>
      </c>
      <c r="G600" t="str">
        <f t="shared" ca="1" si="20"/>
        <v/>
      </c>
    </row>
    <row r="601" spans="1:7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18"/>
        <v/>
      </c>
      <c r="F601" t="str">
        <f t="shared" ca="1" si="19"/>
        <v/>
      </c>
      <c r="G601" t="str">
        <f t="shared" ca="1" si="20"/>
        <v/>
      </c>
    </row>
    <row r="602" spans="1:7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18"/>
        <v/>
      </c>
      <c r="F602" t="str">
        <f t="shared" ca="1" si="19"/>
        <v/>
      </c>
      <c r="G602" t="str">
        <f t="shared" ca="1" si="20"/>
        <v/>
      </c>
    </row>
    <row r="603" spans="1:7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18"/>
        <v/>
      </c>
      <c r="F603" t="str">
        <f t="shared" ca="1" si="19"/>
        <v/>
      </c>
      <c r="G603" t="str">
        <f t="shared" ca="1" si="20"/>
        <v/>
      </c>
    </row>
    <row r="604" spans="1:7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18"/>
        <v/>
      </c>
      <c r="F604" t="str">
        <f t="shared" ca="1" si="19"/>
        <v/>
      </c>
      <c r="G604" t="str">
        <f t="shared" ca="1" si="20"/>
        <v/>
      </c>
    </row>
    <row r="605" spans="1:7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18"/>
        <v/>
      </c>
      <c r="F605" t="str">
        <f t="shared" ca="1" si="19"/>
        <v/>
      </c>
      <c r="G605" t="str">
        <f t="shared" ca="1" si="20"/>
        <v/>
      </c>
    </row>
    <row r="606" spans="1:7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18"/>
        <v/>
      </c>
      <c r="F606" t="str">
        <f t="shared" ca="1" si="19"/>
        <v/>
      </c>
      <c r="G606" t="str">
        <f t="shared" ca="1" si="20"/>
        <v/>
      </c>
    </row>
    <row r="607" spans="1:7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18"/>
        <v/>
      </c>
      <c r="F607" t="str">
        <f t="shared" ca="1" si="19"/>
        <v/>
      </c>
      <c r="G607" t="str">
        <f t="shared" ca="1" si="20"/>
        <v/>
      </c>
    </row>
    <row r="608" spans="1:7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18"/>
        <v/>
      </c>
      <c r="F608" t="str">
        <f t="shared" ca="1" si="19"/>
        <v/>
      </c>
      <c r="G608" t="str">
        <f t="shared" ca="1" si="20"/>
        <v/>
      </c>
    </row>
    <row r="609" spans="1:7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18"/>
        <v/>
      </c>
      <c r="F609" t="str">
        <f t="shared" ca="1" si="19"/>
        <v/>
      </c>
      <c r="G609" t="str">
        <f t="shared" ca="1" si="20"/>
        <v/>
      </c>
    </row>
    <row r="610" spans="1:7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18"/>
        <v/>
      </c>
      <c r="F610" t="str">
        <f t="shared" ca="1" si="19"/>
        <v/>
      </c>
      <c r="G610" t="str">
        <f t="shared" ca="1" si="20"/>
        <v/>
      </c>
    </row>
    <row r="611" spans="1:7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18"/>
        <v/>
      </c>
      <c r="F611" t="str">
        <f t="shared" ca="1" si="19"/>
        <v/>
      </c>
      <c r="G611" t="str">
        <f t="shared" ca="1" si="20"/>
        <v/>
      </c>
    </row>
    <row r="612" spans="1:7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18"/>
        <v/>
      </c>
      <c r="F612" t="str">
        <f t="shared" ca="1" si="19"/>
        <v/>
      </c>
      <c r="G612" t="str">
        <f t="shared" ca="1" si="20"/>
        <v/>
      </c>
    </row>
    <row r="613" spans="1:7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18"/>
        <v/>
      </c>
      <c r="F613" t="str">
        <f t="shared" ca="1" si="19"/>
        <v/>
      </c>
      <c r="G613" t="str">
        <f t="shared" ca="1" si="20"/>
        <v/>
      </c>
    </row>
    <row r="614" spans="1:7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18"/>
        <v/>
      </c>
      <c r="F614" t="str">
        <f t="shared" ca="1" si="19"/>
        <v/>
      </c>
      <c r="G614" t="str">
        <f t="shared" ca="1" si="20"/>
        <v/>
      </c>
    </row>
    <row r="615" spans="1:7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18"/>
        <v/>
      </c>
      <c r="F615" t="str">
        <f t="shared" ca="1" si="19"/>
        <v/>
      </c>
      <c r="G615" t="str">
        <f t="shared" ca="1" si="20"/>
        <v/>
      </c>
    </row>
    <row r="616" spans="1:7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18"/>
        <v/>
      </c>
      <c r="F616" t="str">
        <f t="shared" ca="1" si="19"/>
        <v/>
      </c>
      <c r="G616" t="str">
        <f t="shared" ca="1" si="20"/>
        <v/>
      </c>
    </row>
    <row r="617" spans="1:7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18"/>
        <v/>
      </c>
      <c r="F617" t="str">
        <f t="shared" ca="1" si="19"/>
        <v/>
      </c>
      <c r="G617" t="str">
        <f t="shared" ca="1" si="20"/>
        <v/>
      </c>
    </row>
    <row r="618" spans="1:7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18"/>
        <v/>
      </c>
      <c r="F618" t="str">
        <f t="shared" ca="1" si="19"/>
        <v/>
      </c>
      <c r="G618" t="str">
        <f t="shared" ca="1" si="20"/>
        <v/>
      </c>
    </row>
    <row r="619" spans="1:7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18"/>
        <v/>
      </c>
      <c r="F619" t="str">
        <f t="shared" ca="1" si="19"/>
        <v/>
      </c>
      <c r="G619" t="str">
        <f t="shared" ca="1" si="20"/>
        <v/>
      </c>
    </row>
    <row r="620" spans="1:7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18"/>
        <v/>
      </c>
      <c r="F620" t="str">
        <f t="shared" ca="1" si="19"/>
        <v/>
      </c>
      <c r="G620" t="str">
        <f t="shared" ca="1" si="20"/>
        <v/>
      </c>
    </row>
    <row r="621" spans="1:7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18"/>
        <v/>
      </c>
      <c r="F621" t="str">
        <f t="shared" ca="1" si="19"/>
        <v/>
      </c>
      <c r="G621" t="str">
        <f t="shared" ca="1" si="20"/>
        <v/>
      </c>
    </row>
    <row r="622" spans="1:7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18"/>
        <v/>
      </c>
      <c r="F622" t="str">
        <f t="shared" ca="1" si="19"/>
        <v/>
      </c>
      <c r="G622" t="str">
        <f t="shared" ca="1" si="20"/>
        <v/>
      </c>
    </row>
    <row r="623" spans="1:7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18"/>
        <v/>
      </c>
      <c r="F623" t="str">
        <f t="shared" ca="1" si="19"/>
        <v/>
      </c>
      <c r="G623" t="str">
        <f t="shared" ca="1" si="20"/>
        <v/>
      </c>
    </row>
    <row r="624" spans="1:7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18"/>
        <v/>
      </c>
      <c r="F624" t="str">
        <f t="shared" ca="1" si="19"/>
        <v/>
      </c>
      <c r="G624" t="str">
        <f t="shared" ca="1" si="20"/>
        <v/>
      </c>
    </row>
    <row r="625" spans="1:7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18"/>
        <v/>
      </c>
      <c r="F625" t="str">
        <f t="shared" ca="1" si="19"/>
        <v/>
      </c>
      <c r="G625" t="str">
        <f t="shared" ca="1" si="20"/>
        <v/>
      </c>
    </row>
    <row r="626" spans="1:7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18"/>
        <v/>
      </c>
      <c r="F626" t="str">
        <f t="shared" ca="1" si="19"/>
        <v/>
      </c>
      <c r="G626" t="str">
        <f t="shared" ca="1" si="20"/>
        <v/>
      </c>
    </row>
    <row r="627" spans="1:7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ca="1" si="18"/>
        <v/>
      </c>
      <c r="F627" t="str">
        <f t="shared" ca="1" si="19"/>
        <v/>
      </c>
      <c r="G627" t="str">
        <f t="shared" ca="1" si="20"/>
        <v/>
      </c>
    </row>
    <row r="628" spans="1:7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18"/>
        <v/>
      </c>
      <c r="F628" t="str">
        <f t="shared" ca="1" si="19"/>
        <v/>
      </c>
      <c r="G628" t="str">
        <f t="shared" ca="1" si="20"/>
        <v/>
      </c>
    </row>
    <row r="629" spans="1:7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18"/>
        <v/>
      </c>
      <c r="F629" t="str">
        <f t="shared" ca="1" si="19"/>
        <v/>
      </c>
      <c r="G629" t="str">
        <f t="shared" ca="1" si="20"/>
        <v/>
      </c>
    </row>
    <row r="630" spans="1:7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18"/>
        <v/>
      </c>
      <c r="F630" t="str">
        <f t="shared" ca="1" si="19"/>
        <v/>
      </c>
      <c r="G630" t="str">
        <f t="shared" ca="1" si="20"/>
        <v/>
      </c>
    </row>
    <row r="631" spans="1:7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ref="E631:E694" ca="1" si="21">IF(D631="T", 0.05, IF(D631="C", -0.01, ""))</f>
        <v/>
      </c>
      <c r="F631" t="str">
        <f t="shared" ref="F631:F694" ca="1" si="22">IF(D631="T", 0.05, IF(D631="C", 0, ""))</f>
        <v/>
      </c>
      <c r="G631" t="str">
        <f t="shared" ref="G631:G694" ca="1" si="23">IF(D631="T", 0, IF(D631="C", 0, ""))</f>
        <v/>
      </c>
    </row>
    <row r="632" spans="1:7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21"/>
        <v/>
      </c>
      <c r="F632" t="str">
        <f t="shared" ca="1" si="22"/>
        <v/>
      </c>
      <c r="G632" t="str">
        <f t="shared" ca="1" si="23"/>
        <v/>
      </c>
    </row>
    <row r="633" spans="1:7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21"/>
        <v/>
      </c>
      <c r="F633" t="str">
        <f t="shared" ca="1" si="22"/>
        <v/>
      </c>
      <c r="G633" t="str">
        <f t="shared" ca="1" si="23"/>
        <v/>
      </c>
    </row>
    <row r="634" spans="1:7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21"/>
        <v/>
      </c>
      <c r="F634" t="str">
        <f t="shared" ca="1" si="22"/>
        <v/>
      </c>
      <c r="G634" t="str">
        <f t="shared" ca="1" si="23"/>
        <v/>
      </c>
    </row>
    <row r="635" spans="1:7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21"/>
        <v/>
      </c>
      <c r="F635" t="str">
        <f t="shared" ca="1" si="22"/>
        <v/>
      </c>
      <c r="G635" t="str">
        <f t="shared" ca="1" si="23"/>
        <v/>
      </c>
    </row>
    <row r="636" spans="1:7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21"/>
        <v/>
      </c>
      <c r="F636" t="str">
        <f t="shared" ca="1" si="22"/>
        <v/>
      </c>
      <c r="G636" t="str">
        <f t="shared" ca="1" si="23"/>
        <v/>
      </c>
    </row>
    <row r="637" spans="1:7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21"/>
        <v/>
      </c>
      <c r="F637" t="str">
        <f t="shared" ca="1" si="22"/>
        <v/>
      </c>
      <c r="G637" t="str">
        <f t="shared" ca="1" si="23"/>
        <v/>
      </c>
    </row>
    <row r="638" spans="1:7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21"/>
        <v/>
      </c>
      <c r="F638" t="str">
        <f t="shared" ca="1" si="22"/>
        <v/>
      </c>
      <c r="G638" t="str">
        <f t="shared" ca="1" si="23"/>
        <v/>
      </c>
    </row>
    <row r="639" spans="1:7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21"/>
        <v/>
      </c>
      <c r="F639" t="str">
        <f t="shared" ca="1" si="22"/>
        <v/>
      </c>
      <c r="G639" t="str">
        <f t="shared" ca="1" si="23"/>
        <v/>
      </c>
    </row>
    <row r="640" spans="1:7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21"/>
        <v/>
      </c>
      <c r="F640" t="str">
        <f t="shared" ca="1" si="22"/>
        <v/>
      </c>
      <c r="G640" t="str">
        <f t="shared" ca="1" si="23"/>
        <v/>
      </c>
    </row>
    <row r="641" spans="1:7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21"/>
        <v/>
      </c>
      <c r="F641" t="str">
        <f t="shared" ca="1" si="22"/>
        <v/>
      </c>
      <c r="G641" t="str">
        <f t="shared" ca="1" si="23"/>
        <v/>
      </c>
    </row>
    <row r="642" spans="1:7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21"/>
        <v/>
      </c>
      <c r="F642" t="str">
        <f t="shared" ca="1" si="22"/>
        <v/>
      </c>
      <c r="G642" t="str">
        <f t="shared" ca="1" si="23"/>
        <v/>
      </c>
    </row>
    <row r="643" spans="1:7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21"/>
        <v/>
      </c>
      <c r="F643" t="str">
        <f t="shared" ca="1" si="22"/>
        <v/>
      </c>
      <c r="G643" t="str">
        <f t="shared" ca="1" si="23"/>
        <v/>
      </c>
    </row>
    <row r="644" spans="1:7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21"/>
        <v/>
      </c>
      <c r="F644" t="str">
        <f t="shared" ca="1" si="22"/>
        <v/>
      </c>
      <c r="G644" t="str">
        <f t="shared" ca="1" si="23"/>
        <v/>
      </c>
    </row>
    <row r="645" spans="1:7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21"/>
        <v/>
      </c>
      <c r="F645" t="str">
        <f t="shared" ca="1" si="22"/>
        <v/>
      </c>
      <c r="G645" t="str">
        <f t="shared" ca="1" si="23"/>
        <v/>
      </c>
    </row>
    <row r="646" spans="1:7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21"/>
        <v/>
      </c>
      <c r="F646" t="str">
        <f t="shared" ca="1" si="22"/>
        <v/>
      </c>
      <c r="G646" t="str">
        <f t="shared" ca="1" si="23"/>
        <v/>
      </c>
    </row>
    <row r="647" spans="1:7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21"/>
        <v/>
      </c>
      <c r="F647" t="str">
        <f t="shared" ca="1" si="22"/>
        <v/>
      </c>
      <c r="G647" t="str">
        <f t="shared" ca="1" si="23"/>
        <v/>
      </c>
    </row>
    <row r="648" spans="1:7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21"/>
        <v/>
      </c>
      <c r="F648" t="str">
        <f t="shared" ca="1" si="22"/>
        <v/>
      </c>
      <c r="G648" t="str">
        <f t="shared" ca="1" si="23"/>
        <v/>
      </c>
    </row>
    <row r="649" spans="1:7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21"/>
        <v/>
      </c>
      <c r="F649" t="str">
        <f t="shared" ca="1" si="22"/>
        <v/>
      </c>
      <c r="G649" t="str">
        <f t="shared" ca="1" si="23"/>
        <v/>
      </c>
    </row>
    <row r="650" spans="1:7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21"/>
        <v/>
      </c>
      <c r="F650" t="str">
        <f t="shared" ca="1" si="22"/>
        <v/>
      </c>
      <c r="G650" t="str">
        <f t="shared" ca="1" si="23"/>
        <v/>
      </c>
    </row>
    <row r="651" spans="1:7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21"/>
        <v/>
      </c>
      <c r="F651" t="str">
        <f t="shared" ca="1" si="22"/>
        <v/>
      </c>
      <c r="G651" t="str">
        <f t="shared" ca="1" si="23"/>
        <v/>
      </c>
    </row>
    <row r="652" spans="1:7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21"/>
        <v/>
      </c>
      <c r="F652" t="str">
        <f t="shared" ca="1" si="22"/>
        <v/>
      </c>
      <c r="G652" t="str">
        <f t="shared" ca="1" si="23"/>
        <v/>
      </c>
    </row>
    <row r="653" spans="1:7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21"/>
        <v/>
      </c>
      <c r="F653" t="str">
        <f t="shared" ca="1" si="22"/>
        <v/>
      </c>
      <c r="G653" t="str">
        <f t="shared" ca="1" si="23"/>
        <v/>
      </c>
    </row>
    <row r="654" spans="1:7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21"/>
        <v/>
      </c>
      <c r="F654" t="str">
        <f t="shared" ca="1" si="22"/>
        <v/>
      </c>
      <c r="G654" t="str">
        <f t="shared" ca="1" si="23"/>
        <v/>
      </c>
    </row>
    <row r="655" spans="1:7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21"/>
        <v/>
      </c>
      <c r="F655" t="str">
        <f t="shared" ca="1" si="22"/>
        <v/>
      </c>
      <c r="G655" t="str">
        <f t="shared" ca="1" si="23"/>
        <v/>
      </c>
    </row>
    <row r="656" spans="1:7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21"/>
        <v/>
      </c>
      <c r="F656" t="str">
        <f t="shared" ca="1" si="22"/>
        <v/>
      </c>
      <c r="G656" t="str">
        <f t="shared" ca="1" si="23"/>
        <v/>
      </c>
    </row>
    <row r="657" spans="1:7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21"/>
        <v/>
      </c>
      <c r="F657" t="str">
        <f t="shared" ca="1" si="22"/>
        <v/>
      </c>
      <c r="G657" t="str">
        <f t="shared" ca="1" si="23"/>
        <v/>
      </c>
    </row>
    <row r="658" spans="1:7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21"/>
        <v/>
      </c>
      <c r="F658" t="str">
        <f t="shared" ca="1" si="22"/>
        <v/>
      </c>
      <c r="G658" t="str">
        <f t="shared" ca="1" si="23"/>
        <v/>
      </c>
    </row>
    <row r="659" spans="1:7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21"/>
        <v/>
      </c>
      <c r="F659" t="str">
        <f t="shared" ca="1" si="22"/>
        <v/>
      </c>
      <c r="G659" t="str">
        <f t="shared" ca="1" si="23"/>
        <v/>
      </c>
    </row>
    <row r="660" spans="1:7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21"/>
        <v/>
      </c>
      <c r="F660" t="str">
        <f t="shared" ca="1" si="22"/>
        <v/>
      </c>
      <c r="G660" t="str">
        <f t="shared" ca="1" si="23"/>
        <v/>
      </c>
    </row>
    <row r="661" spans="1:7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21"/>
        <v/>
      </c>
      <c r="F661" t="str">
        <f t="shared" ca="1" si="22"/>
        <v/>
      </c>
      <c r="G661" t="str">
        <f t="shared" ca="1" si="23"/>
        <v/>
      </c>
    </row>
    <row r="662" spans="1:7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21"/>
        <v/>
      </c>
      <c r="F662" t="str">
        <f t="shared" ca="1" si="22"/>
        <v/>
      </c>
      <c r="G662" t="str">
        <f t="shared" ca="1" si="23"/>
        <v/>
      </c>
    </row>
    <row r="663" spans="1:7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21"/>
        <v/>
      </c>
      <c r="F663" t="str">
        <f t="shared" ca="1" si="22"/>
        <v/>
      </c>
      <c r="G663" t="str">
        <f t="shared" ca="1" si="23"/>
        <v/>
      </c>
    </row>
    <row r="664" spans="1:7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21"/>
        <v/>
      </c>
      <c r="F664" t="str">
        <f t="shared" ca="1" si="22"/>
        <v/>
      </c>
      <c r="G664" t="str">
        <f t="shared" ca="1" si="23"/>
        <v/>
      </c>
    </row>
    <row r="665" spans="1:7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21"/>
        <v/>
      </c>
      <c r="F665" t="str">
        <f t="shared" ca="1" si="22"/>
        <v/>
      </c>
      <c r="G665" t="str">
        <f t="shared" ca="1" si="23"/>
        <v/>
      </c>
    </row>
    <row r="666" spans="1:7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21"/>
        <v/>
      </c>
      <c r="F666" t="str">
        <f t="shared" ca="1" si="22"/>
        <v/>
      </c>
      <c r="G666" t="str">
        <f t="shared" ca="1" si="23"/>
        <v/>
      </c>
    </row>
    <row r="667" spans="1:7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21"/>
        <v/>
      </c>
      <c r="F667" t="str">
        <f t="shared" ca="1" si="22"/>
        <v/>
      </c>
      <c r="G667" t="str">
        <f t="shared" ca="1" si="23"/>
        <v/>
      </c>
    </row>
    <row r="668" spans="1:7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21"/>
        <v/>
      </c>
      <c r="F668" t="str">
        <f t="shared" ca="1" si="22"/>
        <v/>
      </c>
      <c r="G668" t="str">
        <f t="shared" ca="1" si="23"/>
        <v/>
      </c>
    </row>
    <row r="669" spans="1:7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21"/>
        <v/>
      </c>
      <c r="F669" t="str">
        <f t="shared" ca="1" si="22"/>
        <v/>
      </c>
      <c r="G669" t="str">
        <f t="shared" ca="1" si="23"/>
        <v/>
      </c>
    </row>
    <row r="670" spans="1:7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21"/>
        <v/>
      </c>
      <c r="F670" t="str">
        <f t="shared" ca="1" si="22"/>
        <v/>
      </c>
      <c r="G670" t="str">
        <f t="shared" ca="1" si="23"/>
        <v/>
      </c>
    </row>
    <row r="671" spans="1:7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21"/>
        <v/>
      </c>
      <c r="F671" t="str">
        <f t="shared" ca="1" si="22"/>
        <v/>
      </c>
      <c r="G671" t="str">
        <f t="shared" ca="1" si="23"/>
        <v/>
      </c>
    </row>
    <row r="672" spans="1:7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21"/>
        <v/>
      </c>
      <c r="F672" t="str">
        <f t="shared" ca="1" si="22"/>
        <v/>
      </c>
      <c r="G672" t="str">
        <f t="shared" ca="1" si="23"/>
        <v/>
      </c>
    </row>
    <row r="673" spans="1:7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21"/>
        <v/>
      </c>
      <c r="F673" t="str">
        <f t="shared" ca="1" si="22"/>
        <v/>
      </c>
      <c r="G673" t="str">
        <f t="shared" ca="1" si="23"/>
        <v/>
      </c>
    </row>
    <row r="674" spans="1:7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21"/>
        <v/>
      </c>
      <c r="F674" t="str">
        <f t="shared" ca="1" si="22"/>
        <v/>
      </c>
      <c r="G674" t="str">
        <f t="shared" ca="1" si="23"/>
        <v/>
      </c>
    </row>
    <row r="675" spans="1:7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21"/>
        <v/>
      </c>
      <c r="F675" t="str">
        <f t="shared" ca="1" si="22"/>
        <v/>
      </c>
      <c r="G675" t="str">
        <f t="shared" ca="1" si="23"/>
        <v/>
      </c>
    </row>
    <row r="676" spans="1:7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21"/>
        <v/>
      </c>
      <c r="F676" t="str">
        <f t="shared" ca="1" si="22"/>
        <v/>
      </c>
      <c r="G676" t="str">
        <f t="shared" ca="1" si="23"/>
        <v/>
      </c>
    </row>
    <row r="677" spans="1:7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21"/>
        <v/>
      </c>
      <c r="F677" t="str">
        <f t="shared" ca="1" si="22"/>
        <v/>
      </c>
      <c r="G677" t="str">
        <f t="shared" ca="1" si="23"/>
        <v/>
      </c>
    </row>
    <row r="678" spans="1:7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21"/>
        <v/>
      </c>
      <c r="F678" t="str">
        <f t="shared" ca="1" si="22"/>
        <v/>
      </c>
      <c r="G678" t="str">
        <f t="shared" ca="1" si="23"/>
        <v/>
      </c>
    </row>
    <row r="679" spans="1:7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21"/>
        <v/>
      </c>
      <c r="F679" t="str">
        <f t="shared" ca="1" si="22"/>
        <v/>
      </c>
      <c r="G679" t="str">
        <f t="shared" ca="1" si="23"/>
        <v/>
      </c>
    </row>
    <row r="680" spans="1:7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21"/>
        <v/>
      </c>
      <c r="F680" t="str">
        <f t="shared" ca="1" si="22"/>
        <v/>
      </c>
      <c r="G680" t="str">
        <f t="shared" ca="1" si="23"/>
        <v/>
      </c>
    </row>
    <row r="681" spans="1:7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21"/>
        <v/>
      </c>
      <c r="F681" t="str">
        <f t="shared" ca="1" si="22"/>
        <v/>
      </c>
      <c r="G681" t="str">
        <f t="shared" ca="1" si="23"/>
        <v/>
      </c>
    </row>
    <row r="682" spans="1:7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21"/>
        <v/>
      </c>
      <c r="F682" t="str">
        <f t="shared" ca="1" si="22"/>
        <v/>
      </c>
      <c r="G682" t="str">
        <f t="shared" ca="1" si="23"/>
        <v/>
      </c>
    </row>
    <row r="683" spans="1:7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21"/>
        <v/>
      </c>
      <c r="F683" t="str">
        <f t="shared" ca="1" si="22"/>
        <v/>
      </c>
      <c r="G683" t="str">
        <f t="shared" ca="1" si="23"/>
        <v/>
      </c>
    </row>
    <row r="684" spans="1:7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21"/>
        <v/>
      </c>
      <c r="F684" t="str">
        <f t="shared" ca="1" si="22"/>
        <v/>
      </c>
      <c r="G684" t="str">
        <f t="shared" ca="1" si="23"/>
        <v/>
      </c>
    </row>
    <row r="685" spans="1:7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21"/>
        <v/>
      </c>
      <c r="F685" t="str">
        <f t="shared" ca="1" si="22"/>
        <v/>
      </c>
      <c r="G685" t="str">
        <f t="shared" ca="1" si="23"/>
        <v/>
      </c>
    </row>
    <row r="686" spans="1:7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21"/>
        <v/>
      </c>
      <c r="F686" t="str">
        <f t="shared" ca="1" si="22"/>
        <v/>
      </c>
      <c r="G686" t="str">
        <f t="shared" ca="1" si="23"/>
        <v/>
      </c>
    </row>
    <row r="687" spans="1:7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21"/>
        <v/>
      </c>
      <c r="F687" t="str">
        <f t="shared" ca="1" si="22"/>
        <v/>
      </c>
      <c r="G687" t="str">
        <f t="shared" ca="1" si="23"/>
        <v/>
      </c>
    </row>
    <row r="688" spans="1:7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21"/>
        <v/>
      </c>
      <c r="F688" t="str">
        <f t="shared" ca="1" si="22"/>
        <v/>
      </c>
      <c r="G688" t="str">
        <f t="shared" ca="1" si="23"/>
        <v/>
      </c>
    </row>
    <row r="689" spans="1:7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21"/>
        <v/>
      </c>
      <c r="F689" t="str">
        <f t="shared" ca="1" si="22"/>
        <v/>
      </c>
      <c r="G689" t="str">
        <f t="shared" ca="1" si="23"/>
        <v/>
      </c>
    </row>
    <row r="690" spans="1:7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21"/>
        <v/>
      </c>
      <c r="F690" t="str">
        <f t="shared" ca="1" si="22"/>
        <v/>
      </c>
      <c r="G690" t="str">
        <f t="shared" ca="1" si="23"/>
        <v/>
      </c>
    </row>
    <row r="691" spans="1:7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ca="1" si="21"/>
        <v/>
      </c>
      <c r="F691" t="str">
        <f t="shared" ca="1" si="22"/>
        <v/>
      </c>
      <c r="G691" t="str">
        <f t="shared" ca="1" si="23"/>
        <v/>
      </c>
    </row>
    <row r="692" spans="1:7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21"/>
        <v/>
      </c>
      <c r="F692" t="str">
        <f t="shared" ca="1" si="22"/>
        <v/>
      </c>
      <c r="G692" t="str">
        <f t="shared" ca="1" si="23"/>
        <v/>
      </c>
    </row>
    <row r="693" spans="1:7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21"/>
        <v/>
      </c>
      <c r="F693" t="str">
        <f t="shared" ca="1" si="22"/>
        <v/>
      </c>
      <c r="G693" t="str">
        <f t="shared" ca="1" si="23"/>
        <v/>
      </c>
    </row>
    <row r="694" spans="1:7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21"/>
        <v/>
      </c>
      <c r="F694" t="str">
        <f t="shared" ca="1" si="22"/>
        <v/>
      </c>
      <c r="G694" t="str">
        <f t="shared" ca="1" si="23"/>
        <v/>
      </c>
    </row>
    <row r="695" spans="1:7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ref="E695:E758" ca="1" si="24">IF(D695="T", 0.05, IF(D695="C", -0.01, ""))</f>
        <v/>
      </c>
      <c r="F695" t="str">
        <f t="shared" ref="F695:F758" ca="1" si="25">IF(D695="T", 0.05, IF(D695="C", 0, ""))</f>
        <v/>
      </c>
      <c r="G695" t="str">
        <f t="shared" ref="G695:G758" ca="1" si="26">IF(D695="T", 0, IF(D695="C", 0, ""))</f>
        <v/>
      </c>
    </row>
    <row r="696" spans="1:7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24"/>
        <v/>
      </c>
      <c r="F696" t="str">
        <f t="shared" ca="1" si="25"/>
        <v/>
      </c>
      <c r="G696" t="str">
        <f t="shared" ca="1" si="26"/>
        <v/>
      </c>
    </row>
    <row r="697" spans="1:7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24"/>
        <v/>
      </c>
      <c r="F697" t="str">
        <f t="shared" ca="1" si="25"/>
        <v/>
      </c>
      <c r="G697" t="str">
        <f t="shared" ca="1" si="26"/>
        <v/>
      </c>
    </row>
    <row r="698" spans="1:7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24"/>
        <v/>
      </c>
      <c r="F698" t="str">
        <f t="shared" ca="1" si="25"/>
        <v/>
      </c>
      <c r="G698" t="str">
        <f t="shared" ca="1" si="26"/>
        <v/>
      </c>
    </row>
    <row r="699" spans="1:7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24"/>
        <v/>
      </c>
      <c r="F699" t="str">
        <f t="shared" ca="1" si="25"/>
        <v/>
      </c>
      <c r="G699" t="str">
        <f t="shared" ca="1" si="26"/>
        <v/>
      </c>
    </row>
    <row r="700" spans="1:7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24"/>
        <v/>
      </c>
      <c r="F700" t="str">
        <f t="shared" ca="1" si="25"/>
        <v/>
      </c>
      <c r="G700" t="str">
        <f t="shared" ca="1" si="26"/>
        <v/>
      </c>
    </row>
    <row r="701" spans="1:7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24"/>
        <v/>
      </c>
      <c r="F701" t="str">
        <f t="shared" ca="1" si="25"/>
        <v/>
      </c>
      <c r="G701" t="str">
        <f t="shared" ca="1" si="26"/>
        <v/>
      </c>
    </row>
    <row r="702" spans="1:7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24"/>
        <v/>
      </c>
      <c r="F702" t="str">
        <f t="shared" ca="1" si="25"/>
        <v/>
      </c>
      <c r="G702" t="str">
        <f t="shared" ca="1" si="26"/>
        <v/>
      </c>
    </row>
    <row r="703" spans="1:7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24"/>
        <v/>
      </c>
      <c r="F703" t="str">
        <f t="shared" ca="1" si="25"/>
        <v/>
      </c>
      <c r="G703" t="str">
        <f t="shared" ca="1" si="26"/>
        <v/>
      </c>
    </row>
    <row r="704" spans="1:7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24"/>
        <v/>
      </c>
      <c r="F704" t="str">
        <f t="shared" ca="1" si="25"/>
        <v/>
      </c>
      <c r="G704" t="str">
        <f t="shared" ca="1" si="26"/>
        <v/>
      </c>
    </row>
    <row r="705" spans="1:7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24"/>
        <v/>
      </c>
      <c r="F705" t="str">
        <f t="shared" ca="1" si="25"/>
        <v/>
      </c>
      <c r="G705" t="str">
        <f t="shared" ca="1" si="26"/>
        <v/>
      </c>
    </row>
    <row r="706" spans="1:7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24"/>
        <v/>
      </c>
      <c r="F706" t="str">
        <f t="shared" ca="1" si="25"/>
        <v/>
      </c>
      <c r="G706" t="str">
        <f t="shared" ca="1" si="26"/>
        <v/>
      </c>
    </row>
    <row r="707" spans="1:7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24"/>
        <v/>
      </c>
      <c r="F707" t="str">
        <f t="shared" ca="1" si="25"/>
        <v/>
      </c>
      <c r="G707" t="str">
        <f t="shared" ca="1" si="26"/>
        <v/>
      </c>
    </row>
    <row r="708" spans="1:7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24"/>
        <v/>
      </c>
      <c r="F708" t="str">
        <f t="shared" ca="1" si="25"/>
        <v/>
      </c>
      <c r="G708" t="str">
        <f t="shared" ca="1" si="26"/>
        <v/>
      </c>
    </row>
    <row r="709" spans="1:7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24"/>
        <v/>
      </c>
      <c r="F709" t="str">
        <f t="shared" ca="1" si="25"/>
        <v/>
      </c>
      <c r="G709" t="str">
        <f t="shared" ca="1" si="26"/>
        <v/>
      </c>
    </row>
    <row r="710" spans="1:7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24"/>
        <v/>
      </c>
      <c r="F710" t="str">
        <f t="shared" ca="1" si="25"/>
        <v/>
      </c>
      <c r="G710" t="str">
        <f t="shared" ca="1" si="26"/>
        <v/>
      </c>
    </row>
    <row r="711" spans="1:7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24"/>
        <v/>
      </c>
      <c r="F711" t="str">
        <f t="shared" ca="1" si="25"/>
        <v/>
      </c>
      <c r="G711" t="str">
        <f t="shared" ca="1" si="26"/>
        <v/>
      </c>
    </row>
    <row r="712" spans="1:7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24"/>
        <v/>
      </c>
      <c r="F712" t="str">
        <f t="shared" ca="1" si="25"/>
        <v/>
      </c>
      <c r="G712" t="str">
        <f t="shared" ca="1" si="26"/>
        <v/>
      </c>
    </row>
    <row r="713" spans="1:7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24"/>
        <v/>
      </c>
      <c r="F713" t="str">
        <f t="shared" ca="1" si="25"/>
        <v/>
      </c>
      <c r="G713" t="str">
        <f t="shared" ca="1" si="26"/>
        <v/>
      </c>
    </row>
    <row r="714" spans="1:7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24"/>
        <v/>
      </c>
      <c r="F714" t="str">
        <f t="shared" ca="1" si="25"/>
        <v/>
      </c>
      <c r="G714" t="str">
        <f t="shared" ca="1" si="26"/>
        <v/>
      </c>
    </row>
    <row r="715" spans="1:7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24"/>
        <v/>
      </c>
      <c r="F715" t="str">
        <f t="shared" ca="1" si="25"/>
        <v/>
      </c>
      <c r="G715" t="str">
        <f t="shared" ca="1" si="26"/>
        <v/>
      </c>
    </row>
    <row r="716" spans="1:7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24"/>
        <v/>
      </c>
      <c r="F716" t="str">
        <f t="shared" ca="1" si="25"/>
        <v/>
      </c>
      <c r="G716" t="str">
        <f t="shared" ca="1" si="26"/>
        <v/>
      </c>
    </row>
    <row r="717" spans="1:7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24"/>
        <v/>
      </c>
      <c r="F717" t="str">
        <f t="shared" ca="1" si="25"/>
        <v/>
      </c>
      <c r="G717" t="str">
        <f t="shared" ca="1" si="26"/>
        <v/>
      </c>
    </row>
    <row r="718" spans="1:7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24"/>
        <v/>
      </c>
      <c r="F718" t="str">
        <f t="shared" ca="1" si="25"/>
        <v/>
      </c>
      <c r="G718" t="str">
        <f t="shared" ca="1" si="26"/>
        <v/>
      </c>
    </row>
    <row r="719" spans="1:7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24"/>
        <v/>
      </c>
      <c r="F719" t="str">
        <f t="shared" ca="1" si="25"/>
        <v/>
      </c>
      <c r="G719" t="str">
        <f t="shared" ca="1" si="26"/>
        <v/>
      </c>
    </row>
    <row r="720" spans="1:7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24"/>
        <v/>
      </c>
      <c r="F720" t="str">
        <f t="shared" ca="1" si="25"/>
        <v/>
      </c>
      <c r="G720" t="str">
        <f t="shared" ca="1" si="26"/>
        <v/>
      </c>
    </row>
    <row r="721" spans="1:7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24"/>
        <v/>
      </c>
      <c r="F721" t="str">
        <f t="shared" ca="1" si="25"/>
        <v/>
      </c>
      <c r="G721" t="str">
        <f t="shared" ca="1" si="26"/>
        <v/>
      </c>
    </row>
    <row r="722" spans="1:7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24"/>
        <v/>
      </c>
      <c r="F722" t="str">
        <f t="shared" ca="1" si="25"/>
        <v/>
      </c>
      <c r="G722" t="str">
        <f t="shared" ca="1" si="26"/>
        <v/>
      </c>
    </row>
    <row r="723" spans="1:7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24"/>
        <v/>
      </c>
      <c r="F723" t="str">
        <f t="shared" ca="1" si="25"/>
        <v/>
      </c>
      <c r="G723" t="str">
        <f t="shared" ca="1" si="26"/>
        <v/>
      </c>
    </row>
    <row r="724" spans="1:7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24"/>
        <v/>
      </c>
      <c r="F724" t="str">
        <f t="shared" ca="1" si="25"/>
        <v/>
      </c>
      <c r="G724" t="str">
        <f t="shared" ca="1" si="26"/>
        <v/>
      </c>
    </row>
    <row r="725" spans="1:7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24"/>
        <v/>
      </c>
      <c r="F725" t="str">
        <f t="shared" ca="1" si="25"/>
        <v/>
      </c>
      <c r="G725" t="str">
        <f t="shared" ca="1" si="26"/>
        <v/>
      </c>
    </row>
    <row r="726" spans="1:7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24"/>
        <v/>
      </c>
      <c r="F726" t="str">
        <f t="shared" ca="1" si="25"/>
        <v/>
      </c>
      <c r="G726" t="str">
        <f t="shared" ca="1" si="26"/>
        <v/>
      </c>
    </row>
    <row r="727" spans="1:7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24"/>
        <v/>
      </c>
      <c r="F727" t="str">
        <f t="shared" ca="1" si="25"/>
        <v/>
      </c>
      <c r="G727" t="str">
        <f t="shared" ca="1" si="26"/>
        <v/>
      </c>
    </row>
    <row r="728" spans="1:7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24"/>
        <v/>
      </c>
      <c r="F728" t="str">
        <f t="shared" ca="1" si="25"/>
        <v/>
      </c>
      <c r="G728" t="str">
        <f t="shared" ca="1" si="26"/>
        <v/>
      </c>
    </row>
    <row r="729" spans="1:7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24"/>
        <v/>
      </c>
      <c r="F729" t="str">
        <f t="shared" ca="1" si="25"/>
        <v/>
      </c>
      <c r="G729" t="str">
        <f t="shared" ca="1" si="26"/>
        <v/>
      </c>
    </row>
    <row r="730" spans="1:7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24"/>
        <v/>
      </c>
      <c r="F730" t="str">
        <f t="shared" ca="1" si="25"/>
        <v/>
      </c>
      <c r="G730" t="str">
        <f t="shared" ca="1" si="26"/>
        <v/>
      </c>
    </row>
    <row r="731" spans="1:7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24"/>
        <v/>
      </c>
      <c r="F731" t="str">
        <f t="shared" ca="1" si="25"/>
        <v/>
      </c>
      <c r="G731" t="str">
        <f t="shared" ca="1" si="26"/>
        <v/>
      </c>
    </row>
    <row r="732" spans="1:7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24"/>
        <v/>
      </c>
      <c r="F732" t="str">
        <f t="shared" ca="1" si="25"/>
        <v/>
      </c>
      <c r="G732" t="str">
        <f t="shared" ca="1" si="26"/>
        <v/>
      </c>
    </row>
    <row r="733" spans="1:7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24"/>
        <v/>
      </c>
      <c r="F733" t="str">
        <f t="shared" ca="1" si="25"/>
        <v/>
      </c>
      <c r="G733" t="str">
        <f t="shared" ca="1" si="26"/>
        <v/>
      </c>
    </row>
    <row r="734" spans="1:7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24"/>
        <v/>
      </c>
      <c r="F734" t="str">
        <f t="shared" ca="1" si="25"/>
        <v/>
      </c>
      <c r="G734" t="str">
        <f t="shared" ca="1" si="26"/>
        <v/>
      </c>
    </row>
    <row r="735" spans="1:7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24"/>
        <v/>
      </c>
      <c r="F735" t="str">
        <f t="shared" ca="1" si="25"/>
        <v/>
      </c>
      <c r="G735" t="str">
        <f t="shared" ca="1" si="26"/>
        <v/>
      </c>
    </row>
    <row r="736" spans="1:7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24"/>
        <v/>
      </c>
      <c r="F736" t="str">
        <f t="shared" ca="1" si="25"/>
        <v/>
      </c>
      <c r="G736" t="str">
        <f t="shared" ca="1" si="26"/>
        <v/>
      </c>
    </row>
    <row r="737" spans="1:7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24"/>
        <v/>
      </c>
      <c r="F737" t="str">
        <f t="shared" ca="1" si="25"/>
        <v/>
      </c>
      <c r="G737" t="str">
        <f t="shared" ca="1" si="26"/>
        <v/>
      </c>
    </row>
    <row r="738" spans="1:7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24"/>
        <v/>
      </c>
      <c r="F738" t="str">
        <f t="shared" ca="1" si="25"/>
        <v/>
      </c>
      <c r="G738" t="str">
        <f t="shared" ca="1" si="26"/>
        <v/>
      </c>
    </row>
    <row r="739" spans="1:7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24"/>
        <v/>
      </c>
      <c r="F739" t="str">
        <f t="shared" ca="1" si="25"/>
        <v/>
      </c>
      <c r="G739" t="str">
        <f t="shared" ca="1" si="26"/>
        <v/>
      </c>
    </row>
    <row r="740" spans="1:7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24"/>
        <v/>
      </c>
      <c r="F740" t="str">
        <f t="shared" ca="1" si="25"/>
        <v/>
      </c>
      <c r="G740" t="str">
        <f t="shared" ca="1" si="26"/>
        <v/>
      </c>
    </row>
    <row r="741" spans="1:7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24"/>
        <v/>
      </c>
      <c r="F741" t="str">
        <f t="shared" ca="1" si="25"/>
        <v/>
      </c>
      <c r="G741" t="str">
        <f t="shared" ca="1" si="26"/>
        <v/>
      </c>
    </row>
    <row r="742" spans="1:7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24"/>
        <v/>
      </c>
      <c r="F742" t="str">
        <f t="shared" ca="1" si="25"/>
        <v/>
      </c>
      <c r="G742" t="str">
        <f t="shared" ca="1" si="26"/>
        <v/>
      </c>
    </row>
    <row r="743" spans="1:7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24"/>
        <v/>
      </c>
      <c r="F743" t="str">
        <f t="shared" ca="1" si="25"/>
        <v/>
      </c>
      <c r="G743" t="str">
        <f t="shared" ca="1" si="26"/>
        <v/>
      </c>
    </row>
    <row r="744" spans="1:7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24"/>
        <v/>
      </c>
      <c r="F744" t="str">
        <f t="shared" ca="1" si="25"/>
        <v/>
      </c>
      <c r="G744" t="str">
        <f t="shared" ca="1" si="26"/>
        <v/>
      </c>
    </row>
    <row r="745" spans="1:7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24"/>
        <v/>
      </c>
      <c r="F745" t="str">
        <f t="shared" ca="1" si="25"/>
        <v/>
      </c>
      <c r="G745" t="str">
        <f t="shared" ca="1" si="26"/>
        <v/>
      </c>
    </row>
    <row r="746" spans="1:7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24"/>
        <v/>
      </c>
      <c r="F746" t="str">
        <f t="shared" ca="1" si="25"/>
        <v/>
      </c>
      <c r="G746" t="str">
        <f t="shared" ca="1" si="26"/>
        <v/>
      </c>
    </row>
    <row r="747" spans="1:7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24"/>
        <v/>
      </c>
      <c r="F747" t="str">
        <f t="shared" ca="1" si="25"/>
        <v/>
      </c>
      <c r="G747" t="str">
        <f t="shared" ca="1" si="26"/>
        <v/>
      </c>
    </row>
    <row r="748" spans="1:7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24"/>
        <v/>
      </c>
      <c r="F748" t="str">
        <f t="shared" ca="1" si="25"/>
        <v/>
      </c>
      <c r="G748" t="str">
        <f t="shared" ca="1" si="26"/>
        <v/>
      </c>
    </row>
    <row r="749" spans="1:7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24"/>
        <v/>
      </c>
      <c r="F749" t="str">
        <f t="shared" ca="1" si="25"/>
        <v/>
      </c>
      <c r="G749" t="str">
        <f t="shared" ca="1" si="26"/>
        <v/>
      </c>
    </row>
    <row r="750" spans="1:7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24"/>
        <v/>
      </c>
      <c r="F750" t="str">
        <f t="shared" ca="1" si="25"/>
        <v/>
      </c>
      <c r="G750" t="str">
        <f t="shared" ca="1" si="26"/>
        <v/>
      </c>
    </row>
    <row r="751" spans="1:7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24"/>
        <v/>
      </c>
      <c r="F751" t="str">
        <f t="shared" ca="1" si="25"/>
        <v/>
      </c>
      <c r="G751" t="str">
        <f t="shared" ca="1" si="26"/>
        <v/>
      </c>
    </row>
    <row r="752" spans="1:7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24"/>
        <v/>
      </c>
      <c r="F752" t="str">
        <f t="shared" ca="1" si="25"/>
        <v/>
      </c>
      <c r="G752" t="str">
        <f t="shared" ca="1" si="26"/>
        <v/>
      </c>
    </row>
    <row r="753" spans="1:7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24"/>
        <v/>
      </c>
      <c r="F753" t="str">
        <f t="shared" ca="1" si="25"/>
        <v/>
      </c>
      <c r="G753" t="str">
        <f t="shared" ca="1" si="26"/>
        <v/>
      </c>
    </row>
    <row r="754" spans="1:7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24"/>
        <v/>
      </c>
      <c r="F754" t="str">
        <f t="shared" ca="1" si="25"/>
        <v/>
      </c>
      <c r="G754" t="str">
        <f t="shared" ca="1" si="26"/>
        <v/>
      </c>
    </row>
    <row r="755" spans="1:7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ca="1" si="24"/>
        <v/>
      </c>
      <c r="F755" t="str">
        <f t="shared" ca="1" si="25"/>
        <v/>
      </c>
      <c r="G755" t="str">
        <f t="shared" ca="1" si="26"/>
        <v/>
      </c>
    </row>
    <row r="756" spans="1:7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24"/>
        <v/>
      </c>
      <c r="F756" t="str">
        <f t="shared" ca="1" si="25"/>
        <v/>
      </c>
      <c r="G756" t="str">
        <f t="shared" ca="1" si="26"/>
        <v/>
      </c>
    </row>
    <row r="757" spans="1:7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24"/>
        <v/>
      </c>
      <c r="F757" t="str">
        <f t="shared" ca="1" si="25"/>
        <v/>
      </c>
      <c r="G757" t="str">
        <f t="shared" ca="1" si="26"/>
        <v/>
      </c>
    </row>
    <row r="758" spans="1:7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24"/>
        <v/>
      </c>
      <c r="F758" t="str">
        <f t="shared" ca="1" si="25"/>
        <v/>
      </c>
      <c r="G758" t="str">
        <f t="shared" ca="1" si="26"/>
        <v/>
      </c>
    </row>
    <row r="759" spans="1:7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ref="E759:E822" ca="1" si="27">IF(D759="T", 0.05, IF(D759="C", -0.01, ""))</f>
        <v/>
      </c>
      <c r="F759" t="str">
        <f t="shared" ref="F759:F822" ca="1" si="28">IF(D759="T", 0.05, IF(D759="C", 0, ""))</f>
        <v/>
      </c>
      <c r="G759" t="str">
        <f t="shared" ref="G759:G822" ca="1" si="29">IF(D759="T", 0, IF(D759="C", 0, ""))</f>
        <v/>
      </c>
    </row>
    <row r="760" spans="1:7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27"/>
        <v/>
      </c>
      <c r="F760" t="str">
        <f t="shared" ca="1" si="28"/>
        <v/>
      </c>
      <c r="G760" t="str">
        <f t="shared" ca="1" si="29"/>
        <v/>
      </c>
    </row>
    <row r="761" spans="1:7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27"/>
        <v/>
      </c>
      <c r="F761" t="str">
        <f t="shared" ca="1" si="28"/>
        <v/>
      </c>
      <c r="G761" t="str">
        <f t="shared" ca="1" si="29"/>
        <v/>
      </c>
    </row>
    <row r="762" spans="1:7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27"/>
        <v/>
      </c>
      <c r="F762" t="str">
        <f t="shared" ca="1" si="28"/>
        <v/>
      </c>
      <c r="G762" t="str">
        <f t="shared" ca="1" si="29"/>
        <v/>
      </c>
    </row>
    <row r="763" spans="1:7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27"/>
        <v/>
      </c>
      <c r="F763" t="str">
        <f t="shared" ca="1" si="28"/>
        <v/>
      </c>
      <c r="G763" t="str">
        <f t="shared" ca="1" si="29"/>
        <v/>
      </c>
    </row>
    <row r="764" spans="1:7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27"/>
        <v/>
      </c>
      <c r="F764" t="str">
        <f t="shared" ca="1" si="28"/>
        <v/>
      </c>
      <c r="G764" t="str">
        <f t="shared" ca="1" si="29"/>
        <v/>
      </c>
    </row>
    <row r="765" spans="1:7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27"/>
        <v/>
      </c>
      <c r="F765" t="str">
        <f t="shared" ca="1" si="28"/>
        <v/>
      </c>
      <c r="G765" t="str">
        <f t="shared" ca="1" si="29"/>
        <v/>
      </c>
    </row>
    <row r="766" spans="1:7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27"/>
        <v/>
      </c>
      <c r="F766" t="str">
        <f t="shared" ca="1" si="28"/>
        <v/>
      </c>
      <c r="G766" t="str">
        <f t="shared" ca="1" si="29"/>
        <v/>
      </c>
    </row>
    <row r="767" spans="1:7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27"/>
        <v/>
      </c>
      <c r="F767" t="str">
        <f t="shared" ca="1" si="28"/>
        <v/>
      </c>
      <c r="G767" t="str">
        <f t="shared" ca="1" si="29"/>
        <v/>
      </c>
    </row>
    <row r="768" spans="1:7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27"/>
        <v/>
      </c>
      <c r="F768" t="str">
        <f t="shared" ca="1" si="28"/>
        <v/>
      </c>
      <c r="G768" t="str">
        <f t="shared" ca="1" si="29"/>
        <v/>
      </c>
    </row>
    <row r="769" spans="1:7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27"/>
        <v/>
      </c>
      <c r="F769" t="str">
        <f t="shared" ca="1" si="28"/>
        <v/>
      </c>
      <c r="G769" t="str">
        <f t="shared" ca="1" si="29"/>
        <v/>
      </c>
    </row>
    <row r="770" spans="1:7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27"/>
        <v/>
      </c>
      <c r="F770" t="str">
        <f t="shared" ca="1" si="28"/>
        <v/>
      </c>
      <c r="G770" t="str">
        <f t="shared" ca="1" si="29"/>
        <v/>
      </c>
    </row>
    <row r="771" spans="1:7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27"/>
        <v/>
      </c>
      <c r="F771" t="str">
        <f t="shared" ca="1" si="28"/>
        <v/>
      </c>
      <c r="G771" t="str">
        <f t="shared" ca="1" si="29"/>
        <v/>
      </c>
    </row>
    <row r="772" spans="1:7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27"/>
        <v/>
      </c>
      <c r="F772" t="str">
        <f t="shared" ca="1" si="28"/>
        <v/>
      </c>
      <c r="G772" t="str">
        <f t="shared" ca="1" si="29"/>
        <v/>
      </c>
    </row>
    <row r="773" spans="1:7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27"/>
        <v/>
      </c>
      <c r="F773" t="str">
        <f t="shared" ca="1" si="28"/>
        <v/>
      </c>
      <c r="G773" t="str">
        <f t="shared" ca="1" si="29"/>
        <v/>
      </c>
    </row>
    <row r="774" spans="1:7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27"/>
        <v/>
      </c>
      <c r="F774" t="str">
        <f t="shared" ca="1" si="28"/>
        <v/>
      </c>
      <c r="G774" t="str">
        <f t="shared" ca="1" si="29"/>
        <v/>
      </c>
    </row>
    <row r="775" spans="1:7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27"/>
        <v/>
      </c>
      <c r="F775" t="str">
        <f t="shared" ca="1" si="28"/>
        <v/>
      </c>
      <c r="G775" t="str">
        <f t="shared" ca="1" si="29"/>
        <v/>
      </c>
    </row>
    <row r="776" spans="1:7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27"/>
        <v/>
      </c>
      <c r="F776" t="str">
        <f t="shared" ca="1" si="28"/>
        <v/>
      </c>
      <c r="G776" t="str">
        <f t="shared" ca="1" si="29"/>
        <v/>
      </c>
    </row>
    <row r="777" spans="1:7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27"/>
        <v/>
      </c>
      <c r="F777" t="str">
        <f t="shared" ca="1" si="28"/>
        <v/>
      </c>
      <c r="G777" t="str">
        <f t="shared" ca="1" si="29"/>
        <v/>
      </c>
    </row>
    <row r="778" spans="1:7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27"/>
        <v/>
      </c>
      <c r="F778" t="str">
        <f t="shared" ca="1" si="28"/>
        <v/>
      </c>
      <c r="G778" t="str">
        <f t="shared" ca="1" si="29"/>
        <v/>
      </c>
    </row>
    <row r="779" spans="1:7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27"/>
        <v/>
      </c>
      <c r="F779" t="str">
        <f t="shared" ca="1" si="28"/>
        <v/>
      </c>
      <c r="G779" t="str">
        <f t="shared" ca="1" si="29"/>
        <v/>
      </c>
    </row>
    <row r="780" spans="1:7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27"/>
        <v/>
      </c>
      <c r="F780" t="str">
        <f t="shared" ca="1" si="28"/>
        <v/>
      </c>
      <c r="G780" t="str">
        <f t="shared" ca="1" si="29"/>
        <v/>
      </c>
    </row>
    <row r="781" spans="1:7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27"/>
        <v/>
      </c>
      <c r="F781" t="str">
        <f t="shared" ca="1" si="28"/>
        <v/>
      </c>
      <c r="G781" t="str">
        <f t="shared" ca="1" si="29"/>
        <v/>
      </c>
    </row>
    <row r="782" spans="1:7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27"/>
        <v/>
      </c>
      <c r="F782" t="str">
        <f t="shared" ca="1" si="28"/>
        <v/>
      </c>
      <c r="G782" t="str">
        <f t="shared" ca="1" si="29"/>
        <v/>
      </c>
    </row>
    <row r="783" spans="1:7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27"/>
        <v/>
      </c>
      <c r="F783" t="str">
        <f t="shared" ca="1" si="28"/>
        <v/>
      </c>
      <c r="G783" t="str">
        <f t="shared" ca="1" si="29"/>
        <v/>
      </c>
    </row>
    <row r="784" spans="1:7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27"/>
        <v/>
      </c>
      <c r="F784" t="str">
        <f t="shared" ca="1" si="28"/>
        <v/>
      </c>
      <c r="G784" t="str">
        <f t="shared" ca="1" si="29"/>
        <v/>
      </c>
    </row>
    <row r="785" spans="1:7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27"/>
        <v/>
      </c>
      <c r="F785" t="str">
        <f t="shared" ca="1" si="28"/>
        <v/>
      </c>
      <c r="G785" t="str">
        <f t="shared" ca="1" si="29"/>
        <v/>
      </c>
    </row>
    <row r="786" spans="1:7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27"/>
        <v/>
      </c>
      <c r="F786" t="str">
        <f t="shared" ca="1" si="28"/>
        <v/>
      </c>
      <c r="G786" t="str">
        <f t="shared" ca="1" si="29"/>
        <v/>
      </c>
    </row>
    <row r="787" spans="1:7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27"/>
        <v/>
      </c>
      <c r="F787" t="str">
        <f t="shared" ca="1" si="28"/>
        <v/>
      </c>
      <c r="G787" t="str">
        <f t="shared" ca="1" si="29"/>
        <v/>
      </c>
    </row>
    <row r="788" spans="1:7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27"/>
        <v/>
      </c>
      <c r="F788" t="str">
        <f t="shared" ca="1" si="28"/>
        <v/>
      </c>
      <c r="G788" t="str">
        <f t="shared" ca="1" si="29"/>
        <v/>
      </c>
    </row>
    <row r="789" spans="1:7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27"/>
        <v/>
      </c>
      <c r="F789" t="str">
        <f t="shared" ca="1" si="28"/>
        <v/>
      </c>
      <c r="G789" t="str">
        <f t="shared" ca="1" si="29"/>
        <v/>
      </c>
    </row>
    <row r="790" spans="1:7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27"/>
        <v/>
      </c>
      <c r="F790" t="str">
        <f t="shared" ca="1" si="28"/>
        <v/>
      </c>
      <c r="G790" t="str">
        <f t="shared" ca="1" si="29"/>
        <v/>
      </c>
    </row>
    <row r="791" spans="1:7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27"/>
        <v/>
      </c>
      <c r="F791" t="str">
        <f t="shared" ca="1" si="28"/>
        <v/>
      </c>
      <c r="G791" t="str">
        <f t="shared" ca="1" si="29"/>
        <v/>
      </c>
    </row>
    <row r="792" spans="1:7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27"/>
        <v/>
      </c>
      <c r="F792" t="str">
        <f t="shared" ca="1" si="28"/>
        <v/>
      </c>
      <c r="G792" t="str">
        <f t="shared" ca="1" si="29"/>
        <v/>
      </c>
    </row>
    <row r="793" spans="1:7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27"/>
        <v/>
      </c>
      <c r="F793" t="str">
        <f t="shared" ca="1" si="28"/>
        <v/>
      </c>
      <c r="G793" t="str">
        <f t="shared" ca="1" si="29"/>
        <v/>
      </c>
    </row>
    <row r="794" spans="1:7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27"/>
        <v/>
      </c>
      <c r="F794" t="str">
        <f t="shared" ca="1" si="28"/>
        <v/>
      </c>
      <c r="G794" t="str">
        <f t="shared" ca="1" si="29"/>
        <v/>
      </c>
    </row>
    <row r="795" spans="1:7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27"/>
        <v/>
      </c>
      <c r="F795" t="str">
        <f t="shared" ca="1" si="28"/>
        <v/>
      </c>
      <c r="G795" t="str">
        <f t="shared" ca="1" si="29"/>
        <v/>
      </c>
    </row>
    <row r="796" spans="1:7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27"/>
        <v/>
      </c>
      <c r="F796" t="str">
        <f t="shared" ca="1" si="28"/>
        <v/>
      </c>
      <c r="G796" t="str">
        <f t="shared" ca="1" si="29"/>
        <v/>
      </c>
    </row>
    <row r="797" spans="1:7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27"/>
        <v/>
      </c>
      <c r="F797" t="str">
        <f t="shared" ca="1" si="28"/>
        <v/>
      </c>
      <c r="G797" t="str">
        <f t="shared" ca="1" si="29"/>
        <v/>
      </c>
    </row>
    <row r="798" spans="1:7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27"/>
        <v/>
      </c>
      <c r="F798" t="str">
        <f t="shared" ca="1" si="28"/>
        <v/>
      </c>
      <c r="G798" t="str">
        <f t="shared" ca="1" si="29"/>
        <v/>
      </c>
    </row>
    <row r="799" spans="1:7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27"/>
        <v/>
      </c>
      <c r="F799" t="str">
        <f t="shared" ca="1" si="28"/>
        <v/>
      </c>
      <c r="G799" t="str">
        <f t="shared" ca="1" si="29"/>
        <v/>
      </c>
    </row>
    <row r="800" spans="1:7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27"/>
        <v/>
      </c>
      <c r="F800" t="str">
        <f t="shared" ca="1" si="28"/>
        <v/>
      </c>
      <c r="G800" t="str">
        <f t="shared" ca="1" si="29"/>
        <v/>
      </c>
    </row>
    <row r="801" spans="1:7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27"/>
        <v/>
      </c>
      <c r="F801" t="str">
        <f t="shared" ca="1" si="28"/>
        <v/>
      </c>
      <c r="G801" t="str">
        <f t="shared" ca="1" si="29"/>
        <v/>
      </c>
    </row>
    <row r="802" spans="1:7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27"/>
        <v/>
      </c>
      <c r="F802" t="str">
        <f t="shared" ca="1" si="28"/>
        <v/>
      </c>
      <c r="G802" t="str">
        <f t="shared" ca="1" si="29"/>
        <v/>
      </c>
    </row>
    <row r="803" spans="1:7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27"/>
        <v/>
      </c>
      <c r="F803" t="str">
        <f t="shared" ca="1" si="28"/>
        <v/>
      </c>
      <c r="G803" t="str">
        <f t="shared" ca="1" si="29"/>
        <v/>
      </c>
    </row>
    <row r="804" spans="1:7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27"/>
        <v/>
      </c>
      <c r="F804" t="str">
        <f t="shared" ca="1" si="28"/>
        <v/>
      </c>
      <c r="G804" t="str">
        <f t="shared" ca="1" si="29"/>
        <v/>
      </c>
    </row>
    <row r="805" spans="1:7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27"/>
        <v/>
      </c>
      <c r="F805" t="str">
        <f t="shared" ca="1" si="28"/>
        <v/>
      </c>
      <c r="G805" t="str">
        <f t="shared" ca="1" si="29"/>
        <v/>
      </c>
    </row>
    <row r="806" spans="1:7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27"/>
        <v/>
      </c>
      <c r="F806" t="str">
        <f t="shared" ca="1" si="28"/>
        <v/>
      </c>
      <c r="G806" t="str">
        <f t="shared" ca="1" si="29"/>
        <v/>
      </c>
    </row>
    <row r="807" spans="1:7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27"/>
        <v/>
      </c>
      <c r="F807" t="str">
        <f t="shared" ca="1" si="28"/>
        <v/>
      </c>
      <c r="G807" t="str">
        <f t="shared" ca="1" si="29"/>
        <v/>
      </c>
    </row>
    <row r="808" spans="1:7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27"/>
        <v/>
      </c>
      <c r="F808" t="str">
        <f t="shared" ca="1" si="28"/>
        <v/>
      </c>
      <c r="G808" t="str">
        <f t="shared" ca="1" si="29"/>
        <v/>
      </c>
    </row>
    <row r="809" spans="1:7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27"/>
        <v/>
      </c>
      <c r="F809" t="str">
        <f t="shared" ca="1" si="28"/>
        <v/>
      </c>
      <c r="G809" t="str">
        <f t="shared" ca="1" si="29"/>
        <v/>
      </c>
    </row>
    <row r="810" spans="1:7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27"/>
        <v/>
      </c>
      <c r="F810" t="str">
        <f t="shared" ca="1" si="28"/>
        <v/>
      </c>
      <c r="G810" t="str">
        <f t="shared" ca="1" si="29"/>
        <v/>
      </c>
    </row>
    <row r="811" spans="1:7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27"/>
        <v/>
      </c>
      <c r="F811" t="str">
        <f t="shared" ca="1" si="28"/>
        <v/>
      </c>
      <c r="G811" t="str">
        <f t="shared" ca="1" si="29"/>
        <v/>
      </c>
    </row>
    <row r="812" spans="1:7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27"/>
        <v/>
      </c>
      <c r="F812" t="str">
        <f t="shared" ca="1" si="28"/>
        <v/>
      </c>
      <c r="G812" t="str">
        <f t="shared" ca="1" si="29"/>
        <v/>
      </c>
    </row>
    <row r="813" spans="1:7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27"/>
        <v/>
      </c>
      <c r="F813" t="str">
        <f t="shared" ca="1" si="28"/>
        <v/>
      </c>
      <c r="G813" t="str">
        <f t="shared" ca="1" si="29"/>
        <v/>
      </c>
    </row>
    <row r="814" spans="1:7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27"/>
        <v/>
      </c>
      <c r="F814" t="str">
        <f t="shared" ca="1" si="28"/>
        <v/>
      </c>
      <c r="G814" t="str">
        <f t="shared" ca="1" si="29"/>
        <v/>
      </c>
    </row>
    <row r="815" spans="1:7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27"/>
        <v/>
      </c>
      <c r="F815" t="str">
        <f t="shared" ca="1" si="28"/>
        <v/>
      </c>
      <c r="G815" t="str">
        <f t="shared" ca="1" si="29"/>
        <v/>
      </c>
    </row>
    <row r="816" spans="1:7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27"/>
        <v/>
      </c>
      <c r="F816" t="str">
        <f t="shared" ca="1" si="28"/>
        <v/>
      </c>
      <c r="G816" t="str">
        <f t="shared" ca="1" si="29"/>
        <v/>
      </c>
    </row>
    <row r="817" spans="1:7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27"/>
        <v/>
      </c>
      <c r="F817" t="str">
        <f t="shared" ca="1" si="28"/>
        <v/>
      </c>
      <c r="G817" t="str">
        <f t="shared" ca="1" si="29"/>
        <v/>
      </c>
    </row>
    <row r="818" spans="1:7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27"/>
        <v/>
      </c>
      <c r="F818" t="str">
        <f t="shared" ca="1" si="28"/>
        <v/>
      </c>
      <c r="G818" t="str">
        <f t="shared" ca="1" si="29"/>
        <v/>
      </c>
    </row>
    <row r="819" spans="1:7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ca="1" si="27"/>
        <v/>
      </c>
      <c r="F819" t="str">
        <f t="shared" ca="1" si="28"/>
        <v/>
      </c>
      <c r="G819" t="str">
        <f t="shared" ca="1" si="29"/>
        <v/>
      </c>
    </row>
    <row r="820" spans="1:7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27"/>
        <v/>
      </c>
      <c r="F820" t="str">
        <f t="shared" ca="1" si="28"/>
        <v/>
      </c>
      <c r="G820" t="str">
        <f t="shared" ca="1" si="29"/>
        <v/>
      </c>
    </row>
    <row r="821" spans="1:7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27"/>
        <v/>
      </c>
      <c r="F821" t="str">
        <f t="shared" ca="1" si="28"/>
        <v/>
      </c>
      <c r="G821" t="str">
        <f t="shared" ca="1" si="29"/>
        <v/>
      </c>
    </row>
    <row r="822" spans="1:7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27"/>
        <v/>
      </c>
      <c r="F822" t="str">
        <f t="shared" ca="1" si="28"/>
        <v/>
      </c>
      <c r="G822" t="str">
        <f t="shared" ca="1" si="29"/>
        <v/>
      </c>
    </row>
    <row r="823" spans="1:7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ref="E823:E886" ca="1" si="30">IF(D823="T", 0.05, IF(D823="C", -0.01, ""))</f>
        <v/>
      </c>
      <c r="F823" t="str">
        <f t="shared" ref="F823:F886" ca="1" si="31">IF(D823="T", 0.05, IF(D823="C", 0, ""))</f>
        <v/>
      </c>
      <c r="G823" t="str">
        <f t="shared" ref="G823:G886" ca="1" si="32">IF(D823="T", 0, IF(D823="C", 0, ""))</f>
        <v/>
      </c>
    </row>
    <row r="824" spans="1:7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30"/>
        <v/>
      </c>
      <c r="F824" t="str">
        <f t="shared" ca="1" si="31"/>
        <v/>
      </c>
      <c r="G824" t="str">
        <f t="shared" ca="1" si="32"/>
        <v/>
      </c>
    </row>
    <row r="825" spans="1:7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30"/>
        <v/>
      </c>
      <c r="F825" t="str">
        <f t="shared" ca="1" si="31"/>
        <v/>
      </c>
      <c r="G825" t="str">
        <f t="shared" ca="1" si="32"/>
        <v/>
      </c>
    </row>
    <row r="826" spans="1:7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30"/>
        <v/>
      </c>
      <c r="F826" t="str">
        <f t="shared" ca="1" si="31"/>
        <v/>
      </c>
      <c r="G826" t="str">
        <f t="shared" ca="1" si="32"/>
        <v/>
      </c>
    </row>
    <row r="827" spans="1:7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30"/>
        <v/>
      </c>
      <c r="F827" t="str">
        <f t="shared" ca="1" si="31"/>
        <v/>
      </c>
      <c r="G827" t="str">
        <f t="shared" ca="1" si="32"/>
        <v/>
      </c>
    </row>
    <row r="828" spans="1:7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30"/>
        <v/>
      </c>
      <c r="F828" t="str">
        <f t="shared" ca="1" si="31"/>
        <v/>
      </c>
      <c r="G828" t="str">
        <f t="shared" ca="1" si="32"/>
        <v/>
      </c>
    </row>
    <row r="829" spans="1:7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30"/>
        <v/>
      </c>
      <c r="F829" t="str">
        <f t="shared" ca="1" si="31"/>
        <v/>
      </c>
      <c r="G829" t="str">
        <f t="shared" ca="1" si="32"/>
        <v/>
      </c>
    </row>
    <row r="830" spans="1:7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30"/>
        <v/>
      </c>
      <c r="F830" t="str">
        <f t="shared" ca="1" si="31"/>
        <v/>
      </c>
      <c r="G830" t="str">
        <f t="shared" ca="1" si="32"/>
        <v/>
      </c>
    </row>
    <row r="831" spans="1:7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30"/>
        <v/>
      </c>
      <c r="F831" t="str">
        <f t="shared" ca="1" si="31"/>
        <v/>
      </c>
      <c r="G831" t="str">
        <f t="shared" ca="1" si="32"/>
        <v/>
      </c>
    </row>
    <row r="832" spans="1:7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30"/>
        <v/>
      </c>
      <c r="F832" t="str">
        <f t="shared" ca="1" si="31"/>
        <v/>
      </c>
      <c r="G832" t="str">
        <f t="shared" ca="1" si="32"/>
        <v/>
      </c>
    </row>
    <row r="833" spans="1:7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30"/>
        <v/>
      </c>
      <c r="F833" t="str">
        <f t="shared" ca="1" si="31"/>
        <v/>
      </c>
      <c r="G833" t="str">
        <f t="shared" ca="1" si="32"/>
        <v/>
      </c>
    </row>
    <row r="834" spans="1:7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30"/>
        <v/>
      </c>
      <c r="F834" t="str">
        <f t="shared" ca="1" si="31"/>
        <v/>
      </c>
      <c r="G834" t="str">
        <f t="shared" ca="1" si="32"/>
        <v/>
      </c>
    </row>
    <row r="835" spans="1:7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30"/>
        <v/>
      </c>
      <c r="F835" t="str">
        <f t="shared" ca="1" si="31"/>
        <v/>
      </c>
      <c r="G835" t="str">
        <f t="shared" ca="1" si="32"/>
        <v/>
      </c>
    </row>
    <row r="836" spans="1:7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30"/>
        <v/>
      </c>
      <c r="F836" t="str">
        <f t="shared" ca="1" si="31"/>
        <v/>
      </c>
      <c r="G836" t="str">
        <f t="shared" ca="1" si="32"/>
        <v/>
      </c>
    </row>
    <row r="837" spans="1:7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30"/>
        <v/>
      </c>
      <c r="F837" t="str">
        <f t="shared" ca="1" si="31"/>
        <v/>
      </c>
      <c r="G837" t="str">
        <f t="shared" ca="1" si="32"/>
        <v/>
      </c>
    </row>
    <row r="838" spans="1:7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30"/>
        <v/>
      </c>
      <c r="F838" t="str">
        <f t="shared" ca="1" si="31"/>
        <v/>
      </c>
      <c r="G838" t="str">
        <f t="shared" ca="1" si="32"/>
        <v/>
      </c>
    </row>
    <row r="839" spans="1:7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30"/>
        <v/>
      </c>
      <c r="F839" t="str">
        <f t="shared" ca="1" si="31"/>
        <v/>
      </c>
      <c r="G839" t="str">
        <f t="shared" ca="1" si="32"/>
        <v/>
      </c>
    </row>
    <row r="840" spans="1:7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30"/>
        <v/>
      </c>
      <c r="F840" t="str">
        <f t="shared" ca="1" si="31"/>
        <v/>
      </c>
      <c r="G840" t="str">
        <f t="shared" ca="1" si="32"/>
        <v/>
      </c>
    </row>
    <row r="841" spans="1:7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30"/>
        <v/>
      </c>
      <c r="F841" t="str">
        <f t="shared" ca="1" si="31"/>
        <v/>
      </c>
      <c r="G841" t="str">
        <f t="shared" ca="1" si="32"/>
        <v/>
      </c>
    </row>
    <row r="842" spans="1:7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30"/>
        <v/>
      </c>
      <c r="F842" t="str">
        <f t="shared" ca="1" si="31"/>
        <v/>
      </c>
      <c r="G842" t="str">
        <f t="shared" ca="1" si="32"/>
        <v/>
      </c>
    </row>
    <row r="843" spans="1:7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30"/>
        <v/>
      </c>
      <c r="F843" t="str">
        <f t="shared" ca="1" si="31"/>
        <v/>
      </c>
      <c r="G843" t="str">
        <f t="shared" ca="1" si="32"/>
        <v/>
      </c>
    </row>
    <row r="844" spans="1:7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30"/>
        <v/>
      </c>
      <c r="F844" t="str">
        <f t="shared" ca="1" si="31"/>
        <v/>
      </c>
      <c r="G844" t="str">
        <f t="shared" ca="1" si="32"/>
        <v/>
      </c>
    </row>
    <row r="845" spans="1:7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30"/>
        <v/>
      </c>
      <c r="F845" t="str">
        <f t="shared" ca="1" si="31"/>
        <v/>
      </c>
      <c r="G845" t="str">
        <f t="shared" ca="1" si="32"/>
        <v/>
      </c>
    </row>
    <row r="846" spans="1:7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30"/>
        <v/>
      </c>
      <c r="F846" t="str">
        <f t="shared" ca="1" si="31"/>
        <v/>
      </c>
      <c r="G846" t="str">
        <f t="shared" ca="1" si="32"/>
        <v/>
      </c>
    </row>
    <row r="847" spans="1:7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30"/>
        <v/>
      </c>
      <c r="F847" t="str">
        <f t="shared" ca="1" si="31"/>
        <v/>
      </c>
      <c r="G847" t="str">
        <f t="shared" ca="1" si="32"/>
        <v/>
      </c>
    </row>
    <row r="848" spans="1:7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30"/>
        <v/>
      </c>
      <c r="F848" t="str">
        <f t="shared" ca="1" si="31"/>
        <v/>
      </c>
      <c r="G848" t="str">
        <f t="shared" ca="1" si="32"/>
        <v/>
      </c>
    </row>
    <row r="849" spans="1:7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30"/>
        <v/>
      </c>
      <c r="F849" t="str">
        <f t="shared" ca="1" si="31"/>
        <v/>
      </c>
      <c r="G849" t="str">
        <f t="shared" ca="1" si="32"/>
        <v/>
      </c>
    </row>
    <row r="850" spans="1:7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30"/>
        <v/>
      </c>
      <c r="F850" t="str">
        <f t="shared" ca="1" si="31"/>
        <v/>
      </c>
      <c r="G850" t="str">
        <f t="shared" ca="1" si="32"/>
        <v/>
      </c>
    </row>
    <row r="851" spans="1:7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30"/>
        <v/>
      </c>
      <c r="F851" t="str">
        <f t="shared" ca="1" si="31"/>
        <v/>
      </c>
      <c r="G851" t="str">
        <f t="shared" ca="1" si="32"/>
        <v/>
      </c>
    </row>
    <row r="852" spans="1:7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30"/>
        <v/>
      </c>
      <c r="F852" t="str">
        <f t="shared" ca="1" si="31"/>
        <v/>
      </c>
      <c r="G852" t="str">
        <f t="shared" ca="1" si="32"/>
        <v/>
      </c>
    </row>
    <row r="853" spans="1:7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30"/>
        <v/>
      </c>
      <c r="F853" t="str">
        <f t="shared" ca="1" si="31"/>
        <v/>
      </c>
      <c r="G853" t="str">
        <f t="shared" ca="1" si="32"/>
        <v/>
      </c>
    </row>
    <row r="854" spans="1:7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30"/>
        <v/>
      </c>
      <c r="F854" t="str">
        <f t="shared" ca="1" si="31"/>
        <v/>
      </c>
      <c r="G854" t="str">
        <f t="shared" ca="1" si="32"/>
        <v/>
      </c>
    </row>
    <row r="855" spans="1:7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30"/>
        <v/>
      </c>
      <c r="F855" t="str">
        <f t="shared" ca="1" si="31"/>
        <v/>
      </c>
      <c r="G855" t="str">
        <f t="shared" ca="1" si="32"/>
        <v/>
      </c>
    </row>
    <row r="856" spans="1:7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30"/>
        <v/>
      </c>
      <c r="F856" t="str">
        <f t="shared" ca="1" si="31"/>
        <v/>
      </c>
      <c r="G856" t="str">
        <f t="shared" ca="1" si="32"/>
        <v/>
      </c>
    </row>
    <row r="857" spans="1:7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30"/>
        <v/>
      </c>
      <c r="F857" t="str">
        <f t="shared" ca="1" si="31"/>
        <v/>
      </c>
      <c r="G857" t="str">
        <f t="shared" ca="1" si="32"/>
        <v/>
      </c>
    </row>
    <row r="858" spans="1:7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30"/>
        <v/>
      </c>
      <c r="F858" t="str">
        <f t="shared" ca="1" si="31"/>
        <v/>
      </c>
      <c r="G858" t="str">
        <f t="shared" ca="1" si="32"/>
        <v/>
      </c>
    </row>
    <row r="859" spans="1:7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30"/>
        <v/>
      </c>
      <c r="F859" t="str">
        <f t="shared" ca="1" si="31"/>
        <v/>
      </c>
      <c r="G859" t="str">
        <f t="shared" ca="1" si="32"/>
        <v/>
      </c>
    </row>
    <row r="860" spans="1:7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30"/>
        <v/>
      </c>
      <c r="F860" t="str">
        <f t="shared" ca="1" si="31"/>
        <v/>
      </c>
      <c r="G860" t="str">
        <f t="shared" ca="1" si="32"/>
        <v/>
      </c>
    </row>
    <row r="861" spans="1:7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30"/>
        <v/>
      </c>
      <c r="F861" t="str">
        <f t="shared" ca="1" si="31"/>
        <v/>
      </c>
      <c r="G861" t="str">
        <f t="shared" ca="1" si="32"/>
        <v/>
      </c>
    </row>
    <row r="862" spans="1:7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30"/>
        <v/>
      </c>
      <c r="F862" t="str">
        <f t="shared" ca="1" si="31"/>
        <v/>
      </c>
      <c r="G862" t="str">
        <f t="shared" ca="1" si="32"/>
        <v/>
      </c>
    </row>
    <row r="863" spans="1:7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30"/>
        <v/>
      </c>
      <c r="F863" t="str">
        <f t="shared" ca="1" si="31"/>
        <v/>
      </c>
      <c r="G863" t="str">
        <f t="shared" ca="1" si="32"/>
        <v/>
      </c>
    </row>
    <row r="864" spans="1:7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30"/>
        <v/>
      </c>
      <c r="F864" t="str">
        <f t="shared" ca="1" si="31"/>
        <v/>
      </c>
      <c r="G864" t="str">
        <f t="shared" ca="1" si="32"/>
        <v/>
      </c>
    </row>
    <row r="865" spans="1:7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30"/>
        <v/>
      </c>
      <c r="F865" t="str">
        <f t="shared" ca="1" si="31"/>
        <v/>
      </c>
      <c r="G865" t="str">
        <f t="shared" ca="1" si="32"/>
        <v/>
      </c>
    </row>
    <row r="866" spans="1:7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30"/>
        <v/>
      </c>
      <c r="F866" t="str">
        <f t="shared" ca="1" si="31"/>
        <v/>
      </c>
      <c r="G866" t="str">
        <f t="shared" ca="1" si="32"/>
        <v/>
      </c>
    </row>
    <row r="867" spans="1:7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30"/>
        <v/>
      </c>
      <c r="F867" t="str">
        <f t="shared" ca="1" si="31"/>
        <v/>
      </c>
      <c r="G867" t="str">
        <f t="shared" ca="1" si="32"/>
        <v/>
      </c>
    </row>
    <row r="868" spans="1:7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30"/>
        <v/>
      </c>
      <c r="F868" t="str">
        <f t="shared" ca="1" si="31"/>
        <v/>
      </c>
      <c r="G868" t="str">
        <f t="shared" ca="1" si="32"/>
        <v/>
      </c>
    </row>
    <row r="869" spans="1:7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30"/>
        <v/>
      </c>
      <c r="F869" t="str">
        <f t="shared" ca="1" si="31"/>
        <v/>
      </c>
      <c r="G869" t="str">
        <f t="shared" ca="1" si="32"/>
        <v/>
      </c>
    </row>
    <row r="870" spans="1:7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30"/>
        <v/>
      </c>
      <c r="F870" t="str">
        <f t="shared" ca="1" si="31"/>
        <v/>
      </c>
      <c r="G870" t="str">
        <f t="shared" ca="1" si="32"/>
        <v/>
      </c>
    </row>
    <row r="871" spans="1:7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30"/>
        <v/>
      </c>
      <c r="F871" t="str">
        <f t="shared" ca="1" si="31"/>
        <v/>
      </c>
      <c r="G871" t="str">
        <f t="shared" ca="1" si="32"/>
        <v/>
      </c>
    </row>
    <row r="872" spans="1:7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30"/>
        <v/>
      </c>
      <c r="F872" t="str">
        <f t="shared" ca="1" si="31"/>
        <v/>
      </c>
      <c r="G872" t="str">
        <f t="shared" ca="1" si="32"/>
        <v/>
      </c>
    </row>
    <row r="873" spans="1:7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30"/>
        <v/>
      </c>
      <c r="F873" t="str">
        <f t="shared" ca="1" si="31"/>
        <v/>
      </c>
      <c r="G873" t="str">
        <f t="shared" ca="1" si="32"/>
        <v/>
      </c>
    </row>
    <row r="874" spans="1:7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30"/>
        <v/>
      </c>
      <c r="F874" t="str">
        <f t="shared" ca="1" si="31"/>
        <v/>
      </c>
      <c r="G874" t="str">
        <f t="shared" ca="1" si="32"/>
        <v/>
      </c>
    </row>
    <row r="875" spans="1:7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30"/>
        <v/>
      </c>
      <c r="F875" t="str">
        <f t="shared" ca="1" si="31"/>
        <v/>
      </c>
      <c r="G875" t="str">
        <f t="shared" ca="1" si="32"/>
        <v/>
      </c>
    </row>
    <row r="876" spans="1:7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30"/>
        <v/>
      </c>
      <c r="F876" t="str">
        <f t="shared" ca="1" si="31"/>
        <v/>
      </c>
      <c r="G876" t="str">
        <f t="shared" ca="1" si="32"/>
        <v/>
      </c>
    </row>
    <row r="877" spans="1:7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30"/>
        <v/>
      </c>
      <c r="F877" t="str">
        <f t="shared" ca="1" si="31"/>
        <v/>
      </c>
      <c r="G877" t="str">
        <f t="shared" ca="1" si="32"/>
        <v/>
      </c>
    </row>
    <row r="878" spans="1:7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30"/>
        <v/>
      </c>
      <c r="F878" t="str">
        <f t="shared" ca="1" si="31"/>
        <v/>
      </c>
      <c r="G878" t="str">
        <f t="shared" ca="1" si="32"/>
        <v/>
      </c>
    </row>
    <row r="879" spans="1:7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30"/>
        <v/>
      </c>
      <c r="F879" t="str">
        <f t="shared" ca="1" si="31"/>
        <v/>
      </c>
      <c r="G879" t="str">
        <f t="shared" ca="1" si="32"/>
        <v/>
      </c>
    </row>
    <row r="880" spans="1:7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30"/>
        <v/>
      </c>
      <c r="F880" t="str">
        <f t="shared" ca="1" si="31"/>
        <v/>
      </c>
      <c r="G880" t="str">
        <f t="shared" ca="1" si="32"/>
        <v/>
      </c>
    </row>
    <row r="881" spans="1:7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30"/>
        <v/>
      </c>
      <c r="F881" t="str">
        <f t="shared" ca="1" si="31"/>
        <v/>
      </c>
      <c r="G881" t="str">
        <f t="shared" ca="1" si="32"/>
        <v/>
      </c>
    </row>
    <row r="882" spans="1:7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30"/>
        <v/>
      </c>
      <c r="F882" t="str">
        <f t="shared" ca="1" si="31"/>
        <v/>
      </c>
      <c r="G882" t="str">
        <f t="shared" ca="1" si="32"/>
        <v/>
      </c>
    </row>
    <row r="883" spans="1:7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ca="1" si="30"/>
        <v/>
      </c>
      <c r="F883" t="str">
        <f t="shared" ca="1" si="31"/>
        <v/>
      </c>
      <c r="G883" t="str">
        <f t="shared" ca="1" si="32"/>
        <v/>
      </c>
    </row>
    <row r="884" spans="1:7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30"/>
        <v/>
      </c>
      <c r="F884" t="str">
        <f t="shared" ca="1" si="31"/>
        <v/>
      </c>
      <c r="G884" t="str">
        <f t="shared" ca="1" si="32"/>
        <v/>
      </c>
    </row>
    <row r="885" spans="1:7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30"/>
        <v/>
      </c>
      <c r="F885" t="str">
        <f t="shared" ca="1" si="31"/>
        <v/>
      </c>
      <c r="G885" t="str">
        <f t="shared" ca="1" si="32"/>
        <v/>
      </c>
    </row>
    <row r="886" spans="1:7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30"/>
        <v/>
      </c>
      <c r="F886" t="str">
        <f t="shared" ca="1" si="31"/>
        <v/>
      </c>
      <c r="G886" t="str">
        <f t="shared" ca="1" si="32"/>
        <v/>
      </c>
    </row>
    <row r="887" spans="1:7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ref="E887:E950" ca="1" si="33">IF(D887="T", 0.05, IF(D887="C", -0.01, ""))</f>
        <v/>
      </c>
      <c r="F887" t="str">
        <f t="shared" ref="F887:F950" ca="1" si="34">IF(D887="T", 0.05, IF(D887="C", 0, ""))</f>
        <v/>
      </c>
      <c r="G887" t="str">
        <f t="shared" ref="G887:G950" ca="1" si="35">IF(D887="T", 0, IF(D887="C", 0, ""))</f>
        <v/>
      </c>
    </row>
    <row r="888" spans="1:7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33"/>
        <v/>
      </c>
      <c r="F888" t="str">
        <f t="shared" ca="1" si="34"/>
        <v/>
      </c>
      <c r="G888" t="str">
        <f t="shared" ca="1" si="35"/>
        <v/>
      </c>
    </row>
    <row r="889" spans="1:7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33"/>
        <v/>
      </c>
      <c r="F889" t="str">
        <f t="shared" ca="1" si="34"/>
        <v/>
      </c>
      <c r="G889" t="str">
        <f t="shared" ca="1" si="35"/>
        <v/>
      </c>
    </row>
    <row r="890" spans="1:7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33"/>
        <v/>
      </c>
      <c r="F890" t="str">
        <f t="shared" ca="1" si="34"/>
        <v/>
      </c>
      <c r="G890" t="str">
        <f t="shared" ca="1" si="35"/>
        <v/>
      </c>
    </row>
    <row r="891" spans="1:7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33"/>
        <v/>
      </c>
      <c r="F891" t="str">
        <f t="shared" ca="1" si="34"/>
        <v/>
      </c>
      <c r="G891" t="str">
        <f t="shared" ca="1" si="35"/>
        <v/>
      </c>
    </row>
    <row r="892" spans="1:7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33"/>
        <v/>
      </c>
      <c r="F892" t="str">
        <f t="shared" ca="1" si="34"/>
        <v/>
      </c>
      <c r="G892" t="str">
        <f t="shared" ca="1" si="35"/>
        <v/>
      </c>
    </row>
    <row r="893" spans="1:7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33"/>
        <v/>
      </c>
      <c r="F893" t="str">
        <f t="shared" ca="1" si="34"/>
        <v/>
      </c>
      <c r="G893" t="str">
        <f t="shared" ca="1" si="35"/>
        <v/>
      </c>
    </row>
    <row r="894" spans="1:7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33"/>
        <v/>
      </c>
      <c r="F894" t="str">
        <f t="shared" ca="1" si="34"/>
        <v/>
      </c>
      <c r="G894" t="str">
        <f t="shared" ca="1" si="35"/>
        <v/>
      </c>
    </row>
    <row r="895" spans="1:7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33"/>
        <v/>
      </c>
      <c r="F895" t="str">
        <f t="shared" ca="1" si="34"/>
        <v/>
      </c>
      <c r="G895" t="str">
        <f t="shared" ca="1" si="35"/>
        <v/>
      </c>
    </row>
    <row r="896" spans="1:7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33"/>
        <v/>
      </c>
      <c r="F896" t="str">
        <f t="shared" ca="1" si="34"/>
        <v/>
      </c>
      <c r="G896" t="str">
        <f t="shared" ca="1" si="35"/>
        <v/>
      </c>
    </row>
    <row r="897" spans="1:7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33"/>
        <v/>
      </c>
      <c r="F897" t="str">
        <f t="shared" ca="1" si="34"/>
        <v/>
      </c>
      <c r="G897" t="str">
        <f t="shared" ca="1" si="35"/>
        <v/>
      </c>
    </row>
    <row r="898" spans="1:7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33"/>
        <v/>
      </c>
      <c r="F898" t="str">
        <f t="shared" ca="1" si="34"/>
        <v/>
      </c>
      <c r="G898" t="str">
        <f t="shared" ca="1" si="35"/>
        <v/>
      </c>
    </row>
    <row r="899" spans="1:7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33"/>
        <v/>
      </c>
      <c r="F899" t="str">
        <f t="shared" ca="1" si="34"/>
        <v/>
      </c>
      <c r="G899" t="str">
        <f t="shared" ca="1" si="35"/>
        <v/>
      </c>
    </row>
    <row r="900" spans="1:7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33"/>
        <v/>
      </c>
      <c r="F900" t="str">
        <f t="shared" ca="1" si="34"/>
        <v/>
      </c>
      <c r="G900" t="str">
        <f t="shared" ca="1" si="35"/>
        <v/>
      </c>
    </row>
    <row r="901" spans="1:7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33"/>
        <v/>
      </c>
      <c r="F901" t="str">
        <f t="shared" ca="1" si="34"/>
        <v/>
      </c>
      <c r="G901" t="str">
        <f t="shared" ca="1" si="35"/>
        <v/>
      </c>
    </row>
    <row r="902" spans="1:7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33"/>
        <v/>
      </c>
      <c r="F902" t="str">
        <f t="shared" ca="1" si="34"/>
        <v/>
      </c>
      <c r="G902" t="str">
        <f t="shared" ca="1" si="35"/>
        <v/>
      </c>
    </row>
    <row r="903" spans="1:7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33"/>
        <v/>
      </c>
      <c r="F903" t="str">
        <f t="shared" ca="1" si="34"/>
        <v/>
      </c>
      <c r="G903" t="str">
        <f t="shared" ca="1" si="35"/>
        <v/>
      </c>
    </row>
    <row r="904" spans="1:7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33"/>
        <v/>
      </c>
      <c r="F904" t="str">
        <f t="shared" ca="1" si="34"/>
        <v/>
      </c>
      <c r="G904" t="str">
        <f t="shared" ca="1" si="35"/>
        <v/>
      </c>
    </row>
    <row r="905" spans="1:7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33"/>
        <v/>
      </c>
      <c r="F905" t="str">
        <f t="shared" ca="1" si="34"/>
        <v/>
      </c>
      <c r="G905" t="str">
        <f t="shared" ca="1" si="35"/>
        <v/>
      </c>
    </row>
    <row r="906" spans="1:7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33"/>
        <v/>
      </c>
      <c r="F906" t="str">
        <f t="shared" ca="1" si="34"/>
        <v/>
      </c>
      <c r="G906" t="str">
        <f t="shared" ca="1" si="35"/>
        <v/>
      </c>
    </row>
    <row r="907" spans="1:7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33"/>
        <v/>
      </c>
      <c r="F907" t="str">
        <f t="shared" ca="1" si="34"/>
        <v/>
      </c>
      <c r="G907" t="str">
        <f t="shared" ca="1" si="35"/>
        <v/>
      </c>
    </row>
    <row r="908" spans="1:7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33"/>
        <v/>
      </c>
      <c r="F908" t="str">
        <f t="shared" ca="1" si="34"/>
        <v/>
      </c>
      <c r="G908" t="str">
        <f t="shared" ca="1" si="35"/>
        <v/>
      </c>
    </row>
    <row r="909" spans="1:7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33"/>
        <v/>
      </c>
      <c r="F909" t="str">
        <f t="shared" ca="1" si="34"/>
        <v/>
      </c>
      <c r="G909" t="str">
        <f t="shared" ca="1" si="35"/>
        <v/>
      </c>
    </row>
    <row r="910" spans="1:7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33"/>
        <v/>
      </c>
      <c r="F910" t="str">
        <f t="shared" ca="1" si="34"/>
        <v/>
      </c>
      <c r="G910" t="str">
        <f t="shared" ca="1" si="35"/>
        <v/>
      </c>
    </row>
    <row r="911" spans="1:7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33"/>
        <v/>
      </c>
      <c r="F911" t="str">
        <f t="shared" ca="1" si="34"/>
        <v/>
      </c>
      <c r="G911" t="str">
        <f t="shared" ca="1" si="35"/>
        <v/>
      </c>
    </row>
    <row r="912" spans="1:7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33"/>
        <v/>
      </c>
      <c r="F912" t="str">
        <f t="shared" ca="1" si="34"/>
        <v/>
      </c>
      <c r="G912" t="str">
        <f t="shared" ca="1" si="35"/>
        <v/>
      </c>
    </row>
    <row r="913" spans="1:7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33"/>
        <v/>
      </c>
      <c r="F913" t="str">
        <f t="shared" ca="1" si="34"/>
        <v/>
      </c>
      <c r="G913" t="str">
        <f t="shared" ca="1" si="35"/>
        <v/>
      </c>
    </row>
    <row r="914" spans="1:7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33"/>
        <v/>
      </c>
      <c r="F914" t="str">
        <f t="shared" ca="1" si="34"/>
        <v/>
      </c>
      <c r="G914" t="str">
        <f t="shared" ca="1" si="35"/>
        <v/>
      </c>
    </row>
    <row r="915" spans="1:7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33"/>
        <v/>
      </c>
      <c r="F915" t="str">
        <f t="shared" ca="1" si="34"/>
        <v/>
      </c>
      <c r="G915" t="str">
        <f t="shared" ca="1" si="35"/>
        <v/>
      </c>
    </row>
    <row r="916" spans="1:7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33"/>
        <v/>
      </c>
      <c r="F916" t="str">
        <f t="shared" ca="1" si="34"/>
        <v/>
      </c>
      <c r="G916" t="str">
        <f t="shared" ca="1" si="35"/>
        <v/>
      </c>
    </row>
    <row r="917" spans="1:7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33"/>
        <v/>
      </c>
      <c r="F917" t="str">
        <f t="shared" ca="1" si="34"/>
        <v/>
      </c>
      <c r="G917" t="str">
        <f t="shared" ca="1" si="35"/>
        <v/>
      </c>
    </row>
    <row r="918" spans="1:7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33"/>
        <v/>
      </c>
      <c r="F918" t="str">
        <f t="shared" ca="1" si="34"/>
        <v/>
      </c>
      <c r="G918" t="str">
        <f t="shared" ca="1" si="35"/>
        <v/>
      </c>
    </row>
    <row r="919" spans="1:7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33"/>
        <v/>
      </c>
      <c r="F919" t="str">
        <f t="shared" ca="1" si="34"/>
        <v/>
      </c>
      <c r="G919" t="str">
        <f t="shared" ca="1" si="35"/>
        <v/>
      </c>
    </row>
    <row r="920" spans="1:7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33"/>
        <v/>
      </c>
      <c r="F920" t="str">
        <f t="shared" ca="1" si="34"/>
        <v/>
      </c>
      <c r="G920" t="str">
        <f t="shared" ca="1" si="35"/>
        <v/>
      </c>
    </row>
    <row r="921" spans="1:7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33"/>
        <v/>
      </c>
      <c r="F921" t="str">
        <f t="shared" ca="1" si="34"/>
        <v/>
      </c>
      <c r="G921" t="str">
        <f t="shared" ca="1" si="35"/>
        <v/>
      </c>
    </row>
    <row r="922" spans="1:7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33"/>
        <v/>
      </c>
      <c r="F922" t="str">
        <f t="shared" ca="1" si="34"/>
        <v/>
      </c>
      <c r="G922" t="str">
        <f t="shared" ca="1" si="35"/>
        <v/>
      </c>
    </row>
    <row r="923" spans="1:7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33"/>
        <v/>
      </c>
      <c r="F923" t="str">
        <f t="shared" ca="1" si="34"/>
        <v/>
      </c>
      <c r="G923" t="str">
        <f t="shared" ca="1" si="35"/>
        <v/>
      </c>
    </row>
    <row r="924" spans="1:7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33"/>
        <v/>
      </c>
      <c r="F924" t="str">
        <f t="shared" ca="1" si="34"/>
        <v/>
      </c>
      <c r="G924" t="str">
        <f t="shared" ca="1" si="35"/>
        <v/>
      </c>
    </row>
    <row r="925" spans="1:7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33"/>
        <v/>
      </c>
      <c r="F925" t="str">
        <f t="shared" ca="1" si="34"/>
        <v/>
      </c>
      <c r="G925" t="str">
        <f t="shared" ca="1" si="35"/>
        <v/>
      </c>
    </row>
    <row r="926" spans="1:7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33"/>
        <v/>
      </c>
      <c r="F926" t="str">
        <f t="shared" ca="1" si="34"/>
        <v/>
      </c>
      <c r="G926" t="str">
        <f t="shared" ca="1" si="35"/>
        <v/>
      </c>
    </row>
    <row r="927" spans="1:7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33"/>
        <v/>
      </c>
      <c r="F927" t="str">
        <f t="shared" ca="1" si="34"/>
        <v/>
      </c>
      <c r="G927" t="str">
        <f t="shared" ca="1" si="35"/>
        <v/>
      </c>
    </row>
    <row r="928" spans="1:7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33"/>
        <v/>
      </c>
      <c r="F928" t="str">
        <f t="shared" ca="1" si="34"/>
        <v/>
      </c>
      <c r="G928" t="str">
        <f t="shared" ca="1" si="35"/>
        <v/>
      </c>
    </row>
    <row r="929" spans="1:7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33"/>
        <v/>
      </c>
      <c r="F929" t="str">
        <f t="shared" ca="1" si="34"/>
        <v/>
      </c>
      <c r="G929" t="str">
        <f t="shared" ca="1" si="35"/>
        <v/>
      </c>
    </row>
    <row r="930" spans="1:7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33"/>
        <v/>
      </c>
      <c r="F930" t="str">
        <f t="shared" ca="1" si="34"/>
        <v/>
      </c>
      <c r="G930" t="str">
        <f t="shared" ca="1" si="35"/>
        <v/>
      </c>
    </row>
    <row r="931" spans="1:7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33"/>
        <v/>
      </c>
      <c r="F931" t="str">
        <f t="shared" ca="1" si="34"/>
        <v/>
      </c>
      <c r="G931" t="str">
        <f t="shared" ca="1" si="35"/>
        <v/>
      </c>
    </row>
    <row r="932" spans="1:7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33"/>
        <v/>
      </c>
      <c r="F932" t="str">
        <f t="shared" ca="1" si="34"/>
        <v/>
      </c>
      <c r="G932" t="str">
        <f t="shared" ca="1" si="35"/>
        <v/>
      </c>
    </row>
    <row r="933" spans="1:7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33"/>
        <v/>
      </c>
      <c r="F933" t="str">
        <f t="shared" ca="1" si="34"/>
        <v/>
      </c>
      <c r="G933" t="str">
        <f t="shared" ca="1" si="35"/>
        <v/>
      </c>
    </row>
    <row r="934" spans="1:7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33"/>
        <v/>
      </c>
      <c r="F934" t="str">
        <f t="shared" ca="1" si="34"/>
        <v/>
      </c>
      <c r="G934" t="str">
        <f t="shared" ca="1" si="35"/>
        <v/>
      </c>
    </row>
    <row r="935" spans="1:7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33"/>
        <v/>
      </c>
      <c r="F935" t="str">
        <f t="shared" ca="1" si="34"/>
        <v/>
      </c>
      <c r="G935" t="str">
        <f t="shared" ca="1" si="35"/>
        <v/>
      </c>
    </row>
    <row r="936" spans="1:7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33"/>
        <v/>
      </c>
      <c r="F936" t="str">
        <f t="shared" ca="1" si="34"/>
        <v/>
      </c>
      <c r="G936" t="str">
        <f t="shared" ca="1" si="35"/>
        <v/>
      </c>
    </row>
    <row r="937" spans="1:7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33"/>
        <v/>
      </c>
      <c r="F937" t="str">
        <f t="shared" ca="1" si="34"/>
        <v/>
      </c>
      <c r="G937" t="str">
        <f t="shared" ca="1" si="35"/>
        <v/>
      </c>
    </row>
    <row r="938" spans="1:7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33"/>
        <v/>
      </c>
      <c r="F938" t="str">
        <f t="shared" ca="1" si="34"/>
        <v/>
      </c>
      <c r="G938" t="str">
        <f t="shared" ca="1" si="35"/>
        <v/>
      </c>
    </row>
    <row r="939" spans="1:7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33"/>
        <v/>
      </c>
      <c r="F939" t="str">
        <f t="shared" ca="1" si="34"/>
        <v/>
      </c>
      <c r="G939" t="str">
        <f t="shared" ca="1" si="35"/>
        <v/>
      </c>
    </row>
    <row r="940" spans="1:7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33"/>
        <v/>
      </c>
      <c r="F940" t="str">
        <f t="shared" ca="1" si="34"/>
        <v/>
      </c>
      <c r="G940" t="str">
        <f t="shared" ca="1" si="35"/>
        <v/>
      </c>
    </row>
    <row r="941" spans="1:7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33"/>
        <v/>
      </c>
      <c r="F941" t="str">
        <f t="shared" ca="1" si="34"/>
        <v/>
      </c>
      <c r="G941" t="str">
        <f t="shared" ca="1" si="35"/>
        <v/>
      </c>
    </row>
    <row r="942" spans="1:7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33"/>
        <v/>
      </c>
      <c r="F942" t="str">
        <f t="shared" ca="1" si="34"/>
        <v/>
      </c>
      <c r="G942" t="str">
        <f t="shared" ca="1" si="35"/>
        <v/>
      </c>
    </row>
    <row r="943" spans="1:7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33"/>
        <v/>
      </c>
      <c r="F943" t="str">
        <f t="shared" ca="1" si="34"/>
        <v/>
      </c>
      <c r="G943" t="str">
        <f t="shared" ca="1" si="35"/>
        <v/>
      </c>
    </row>
    <row r="944" spans="1:7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33"/>
        <v/>
      </c>
      <c r="F944" t="str">
        <f t="shared" ca="1" si="34"/>
        <v/>
      </c>
      <c r="G944" t="str">
        <f t="shared" ca="1" si="35"/>
        <v/>
      </c>
    </row>
    <row r="945" spans="1:7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33"/>
        <v/>
      </c>
      <c r="F945" t="str">
        <f t="shared" ca="1" si="34"/>
        <v/>
      </c>
      <c r="G945" t="str">
        <f t="shared" ca="1" si="35"/>
        <v/>
      </c>
    </row>
    <row r="946" spans="1:7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33"/>
        <v/>
      </c>
      <c r="F946" t="str">
        <f t="shared" ca="1" si="34"/>
        <v/>
      </c>
      <c r="G946" t="str">
        <f t="shared" ca="1" si="35"/>
        <v/>
      </c>
    </row>
    <row r="947" spans="1:7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ca="1" si="33"/>
        <v/>
      </c>
      <c r="F947" t="str">
        <f t="shared" ca="1" si="34"/>
        <v/>
      </c>
      <c r="G947" t="str">
        <f t="shared" ca="1" si="35"/>
        <v/>
      </c>
    </row>
    <row r="948" spans="1:7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33"/>
        <v/>
      </c>
      <c r="F948" t="str">
        <f t="shared" ca="1" si="34"/>
        <v/>
      </c>
      <c r="G948" t="str">
        <f t="shared" ca="1" si="35"/>
        <v/>
      </c>
    </row>
    <row r="949" spans="1:7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33"/>
        <v/>
      </c>
      <c r="F949" t="str">
        <f t="shared" ca="1" si="34"/>
        <v/>
      </c>
      <c r="G949" t="str">
        <f t="shared" ca="1" si="35"/>
        <v/>
      </c>
    </row>
    <row r="950" spans="1:7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33"/>
        <v/>
      </c>
      <c r="F950" t="str">
        <f t="shared" ca="1" si="34"/>
        <v/>
      </c>
      <c r="G950" t="str">
        <f t="shared" ca="1" si="35"/>
        <v/>
      </c>
    </row>
    <row r="951" spans="1:7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ref="E951:E1004" ca="1" si="36">IF(D951="T", 0.05, IF(D951="C", -0.01, ""))</f>
        <v/>
      </c>
      <c r="F951" t="str">
        <f t="shared" ref="F951:F1004" ca="1" si="37">IF(D951="T", 0.05, IF(D951="C", 0, ""))</f>
        <v/>
      </c>
      <c r="G951" t="str">
        <f t="shared" ref="G951:G1004" ca="1" si="38">IF(D951="T", 0, IF(D951="C", 0, ""))</f>
        <v/>
      </c>
    </row>
    <row r="952" spans="1:7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36"/>
        <v/>
      </c>
      <c r="F952" t="str">
        <f t="shared" ca="1" si="37"/>
        <v/>
      </c>
      <c r="G952" t="str">
        <f t="shared" ca="1" si="38"/>
        <v/>
      </c>
    </row>
    <row r="953" spans="1:7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36"/>
        <v/>
      </c>
      <c r="F953" t="str">
        <f t="shared" ca="1" si="37"/>
        <v/>
      </c>
      <c r="G953" t="str">
        <f t="shared" ca="1" si="38"/>
        <v/>
      </c>
    </row>
    <row r="954" spans="1:7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36"/>
        <v/>
      </c>
      <c r="F954" t="str">
        <f t="shared" ca="1" si="37"/>
        <v/>
      </c>
      <c r="G954" t="str">
        <f t="shared" ca="1" si="38"/>
        <v/>
      </c>
    </row>
    <row r="955" spans="1:7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36"/>
        <v/>
      </c>
      <c r="F955" t="str">
        <f t="shared" ca="1" si="37"/>
        <v/>
      </c>
      <c r="G955" t="str">
        <f t="shared" ca="1" si="38"/>
        <v/>
      </c>
    </row>
    <row r="956" spans="1:7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36"/>
        <v/>
      </c>
      <c r="F956" t="str">
        <f t="shared" ca="1" si="37"/>
        <v/>
      </c>
      <c r="G956" t="str">
        <f t="shared" ca="1" si="38"/>
        <v/>
      </c>
    </row>
    <row r="957" spans="1:7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36"/>
        <v/>
      </c>
      <c r="F957" t="str">
        <f t="shared" ca="1" si="37"/>
        <v/>
      </c>
      <c r="G957" t="str">
        <f t="shared" ca="1" si="38"/>
        <v/>
      </c>
    </row>
    <row r="958" spans="1:7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36"/>
        <v/>
      </c>
      <c r="F958" t="str">
        <f t="shared" ca="1" si="37"/>
        <v/>
      </c>
      <c r="G958" t="str">
        <f t="shared" ca="1" si="38"/>
        <v/>
      </c>
    </row>
    <row r="959" spans="1:7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36"/>
        <v/>
      </c>
      <c r="F959" t="str">
        <f t="shared" ca="1" si="37"/>
        <v/>
      </c>
      <c r="G959" t="str">
        <f t="shared" ca="1" si="38"/>
        <v/>
      </c>
    </row>
    <row r="960" spans="1:7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36"/>
        <v/>
      </c>
      <c r="F960" t="str">
        <f t="shared" ca="1" si="37"/>
        <v/>
      </c>
      <c r="G960" t="str">
        <f t="shared" ca="1" si="38"/>
        <v/>
      </c>
    </row>
    <row r="961" spans="1:7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36"/>
        <v/>
      </c>
      <c r="F961" t="str">
        <f t="shared" ca="1" si="37"/>
        <v/>
      </c>
      <c r="G961" t="str">
        <f t="shared" ca="1" si="38"/>
        <v/>
      </c>
    </row>
    <row r="962" spans="1:7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36"/>
        <v/>
      </c>
      <c r="F962" t="str">
        <f t="shared" ca="1" si="37"/>
        <v/>
      </c>
      <c r="G962" t="str">
        <f t="shared" ca="1" si="38"/>
        <v/>
      </c>
    </row>
    <row r="963" spans="1:7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36"/>
        <v/>
      </c>
      <c r="F963" t="str">
        <f t="shared" ca="1" si="37"/>
        <v/>
      </c>
      <c r="G963" t="str">
        <f t="shared" ca="1" si="38"/>
        <v/>
      </c>
    </row>
    <row r="964" spans="1:7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36"/>
        <v/>
      </c>
      <c r="F964" t="str">
        <f t="shared" ca="1" si="37"/>
        <v/>
      </c>
      <c r="G964" t="str">
        <f t="shared" ca="1" si="38"/>
        <v/>
      </c>
    </row>
    <row r="965" spans="1:7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36"/>
        <v/>
      </c>
      <c r="F965" t="str">
        <f t="shared" ca="1" si="37"/>
        <v/>
      </c>
      <c r="G965" t="str">
        <f t="shared" ca="1" si="38"/>
        <v/>
      </c>
    </row>
    <row r="966" spans="1:7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36"/>
        <v/>
      </c>
      <c r="F966" t="str">
        <f t="shared" ca="1" si="37"/>
        <v/>
      </c>
      <c r="G966" t="str">
        <f t="shared" ca="1" si="38"/>
        <v/>
      </c>
    </row>
    <row r="967" spans="1:7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36"/>
        <v/>
      </c>
      <c r="F967" t="str">
        <f t="shared" ca="1" si="37"/>
        <v/>
      </c>
      <c r="G967" t="str">
        <f t="shared" ca="1" si="38"/>
        <v/>
      </c>
    </row>
    <row r="968" spans="1:7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36"/>
        <v/>
      </c>
      <c r="F968" t="str">
        <f t="shared" ca="1" si="37"/>
        <v/>
      </c>
      <c r="G968" t="str">
        <f t="shared" ca="1" si="38"/>
        <v/>
      </c>
    </row>
    <row r="969" spans="1:7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36"/>
        <v/>
      </c>
      <c r="F969" t="str">
        <f t="shared" ca="1" si="37"/>
        <v/>
      </c>
      <c r="G969" t="str">
        <f t="shared" ca="1" si="38"/>
        <v/>
      </c>
    </row>
    <row r="970" spans="1:7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36"/>
        <v/>
      </c>
      <c r="F970" t="str">
        <f t="shared" ca="1" si="37"/>
        <v/>
      </c>
      <c r="G970" t="str">
        <f t="shared" ca="1" si="38"/>
        <v/>
      </c>
    </row>
    <row r="971" spans="1:7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36"/>
        <v/>
      </c>
      <c r="F971" t="str">
        <f t="shared" ca="1" si="37"/>
        <v/>
      </c>
      <c r="G971" t="str">
        <f t="shared" ca="1" si="38"/>
        <v/>
      </c>
    </row>
    <row r="972" spans="1:7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36"/>
        <v/>
      </c>
      <c r="F972" t="str">
        <f t="shared" ca="1" si="37"/>
        <v/>
      </c>
      <c r="G972" t="str">
        <f t="shared" ca="1" si="38"/>
        <v/>
      </c>
    </row>
    <row r="973" spans="1:7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36"/>
        <v/>
      </c>
      <c r="F973" t="str">
        <f t="shared" ca="1" si="37"/>
        <v/>
      </c>
      <c r="G973" t="str">
        <f t="shared" ca="1" si="38"/>
        <v/>
      </c>
    </row>
    <row r="974" spans="1:7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36"/>
        <v/>
      </c>
      <c r="F974" t="str">
        <f t="shared" ca="1" si="37"/>
        <v/>
      </c>
      <c r="G974" t="str">
        <f t="shared" ca="1" si="38"/>
        <v/>
      </c>
    </row>
    <row r="975" spans="1:7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36"/>
        <v/>
      </c>
      <c r="F975" t="str">
        <f t="shared" ca="1" si="37"/>
        <v/>
      </c>
      <c r="G975" t="str">
        <f t="shared" ca="1" si="38"/>
        <v/>
      </c>
    </row>
    <row r="976" spans="1:7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36"/>
        <v/>
      </c>
      <c r="F976" t="str">
        <f t="shared" ca="1" si="37"/>
        <v/>
      </c>
      <c r="G976" t="str">
        <f t="shared" ca="1" si="38"/>
        <v/>
      </c>
    </row>
    <row r="977" spans="1:7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36"/>
        <v/>
      </c>
      <c r="F977" t="str">
        <f t="shared" ca="1" si="37"/>
        <v/>
      </c>
      <c r="G977" t="str">
        <f t="shared" ca="1" si="38"/>
        <v/>
      </c>
    </row>
    <row r="978" spans="1:7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36"/>
        <v/>
      </c>
      <c r="F978" t="str">
        <f t="shared" ca="1" si="37"/>
        <v/>
      </c>
      <c r="G978" t="str">
        <f t="shared" ca="1" si="38"/>
        <v/>
      </c>
    </row>
    <row r="979" spans="1:7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36"/>
        <v/>
      </c>
      <c r="F979" t="str">
        <f t="shared" ca="1" si="37"/>
        <v/>
      </c>
      <c r="G979" t="str">
        <f t="shared" ca="1" si="38"/>
        <v/>
      </c>
    </row>
    <row r="980" spans="1:7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36"/>
        <v/>
      </c>
      <c r="F980" t="str">
        <f t="shared" ca="1" si="37"/>
        <v/>
      </c>
      <c r="G980" t="str">
        <f t="shared" ca="1" si="38"/>
        <v/>
      </c>
    </row>
    <row r="981" spans="1:7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36"/>
        <v/>
      </c>
      <c r="F981" t="str">
        <f t="shared" ca="1" si="37"/>
        <v/>
      </c>
      <c r="G981" t="str">
        <f t="shared" ca="1" si="38"/>
        <v/>
      </c>
    </row>
    <row r="982" spans="1:7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36"/>
        <v/>
      </c>
      <c r="F982" t="str">
        <f t="shared" ca="1" si="37"/>
        <v/>
      </c>
      <c r="G982" t="str">
        <f t="shared" ca="1" si="38"/>
        <v/>
      </c>
    </row>
    <row r="983" spans="1:7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36"/>
        <v/>
      </c>
      <c r="F983" t="str">
        <f t="shared" ca="1" si="37"/>
        <v/>
      </c>
      <c r="G983" t="str">
        <f t="shared" ca="1" si="38"/>
        <v/>
      </c>
    </row>
    <row r="984" spans="1:7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36"/>
        <v/>
      </c>
      <c r="F984" t="str">
        <f t="shared" ca="1" si="37"/>
        <v/>
      </c>
      <c r="G984" t="str">
        <f t="shared" ca="1" si="38"/>
        <v/>
      </c>
    </row>
    <row r="985" spans="1:7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36"/>
        <v/>
      </c>
      <c r="F985" t="str">
        <f t="shared" ca="1" si="37"/>
        <v/>
      </c>
      <c r="G985" t="str">
        <f t="shared" ca="1" si="38"/>
        <v/>
      </c>
    </row>
    <row r="986" spans="1:7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36"/>
        <v/>
      </c>
      <c r="F986" t="str">
        <f t="shared" ca="1" si="37"/>
        <v/>
      </c>
      <c r="G986" t="str">
        <f t="shared" ca="1" si="38"/>
        <v/>
      </c>
    </row>
    <row r="987" spans="1:7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36"/>
        <v/>
      </c>
      <c r="F987" t="str">
        <f t="shared" ca="1" si="37"/>
        <v/>
      </c>
      <c r="G987" t="str">
        <f t="shared" ca="1" si="38"/>
        <v/>
      </c>
    </row>
    <row r="988" spans="1:7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36"/>
        <v/>
      </c>
      <c r="F988" t="str">
        <f t="shared" ca="1" si="37"/>
        <v/>
      </c>
      <c r="G988" t="str">
        <f t="shared" ca="1" si="38"/>
        <v/>
      </c>
    </row>
    <row r="989" spans="1:7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36"/>
        <v/>
      </c>
      <c r="F989" t="str">
        <f t="shared" ca="1" si="37"/>
        <v/>
      </c>
      <c r="G989" t="str">
        <f t="shared" ca="1" si="38"/>
        <v/>
      </c>
    </row>
    <row r="990" spans="1:7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36"/>
        <v/>
      </c>
      <c r="F990" t="str">
        <f t="shared" ca="1" si="37"/>
        <v/>
      </c>
      <c r="G990" t="str">
        <f t="shared" ca="1" si="38"/>
        <v/>
      </c>
    </row>
    <row r="991" spans="1:7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36"/>
        <v/>
      </c>
      <c r="F991" t="str">
        <f t="shared" ca="1" si="37"/>
        <v/>
      </c>
      <c r="G991" t="str">
        <f t="shared" ca="1" si="38"/>
        <v/>
      </c>
    </row>
    <row r="992" spans="1:7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36"/>
        <v/>
      </c>
      <c r="F992" t="str">
        <f t="shared" ca="1" si="37"/>
        <v/>
      </c>
      <c r="G992" t="str">
        <f t="shared" ca="1" si="38"/>
        <v/>
      </c>
    </row>
    <row r="993" spans="1:7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36"/>
        <v/>
      </c>
      <c r="F993" t="str">
        <f t="shared" ca="1" si="37"/>
        <v/>
      </c>
      <c r="G993" t="str">
        <f t="shared" ca="1" si="38"/>
        <v/>
      </c>
    </row>
    <row r="994" spans="1:7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36"/>
        <v/>
      </c>
      <c r="F994" t="str">
        <f t="shared" ca="1" si="37"/>
        <v/>
      </c>
      <c r="G994" t="str">
        <f t="shared" ca="1" si="38"/>
        <v/>
      </c>
    </row>
    <row r="995" spans="1:7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36"/>
        <v/>
      </c>
      <c r="F995" t="str">
        <f t="shared" ca="1" si="37"/>
        <v/>
      </c>
      <c r="G995" t="str">
        <f t="shared" ca="1" si="38"/>
        <v/>
      </c>
    </row>
    <row r="996" spans="1:7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36"/>
        <v/>
      </c>
      <c r="F996" t="str">
        <f t="shared" ca="1" si="37"/>
        <v/>
      </c>
      <c r="G996" t="str">
        <f t="shared" ca="1" si="38"/>
        <v/>
      </c>
    </row>
    <row r="997" spans="1:7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36"/>
        <v/>
      </c>
      <c r="F997" t="str">
        <f t="shared" ca="1" si="37"/>
        <v/>
      </c>
      <c r="G997" t="str">
        <f t="shared" ca="1" si="38"/>
        <v/>
      </c>
    </row>
    <row r="998" spans="1:7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36"/>
        <v/>
      </c>
      <c r="F998" t="str">
        <f t="shared" ca="1" si="37"/>
        <v/>
      </c>
      <c r="G998" t="str">
        <f t="shared" ca="1" si="38"/>
        <v/>
      </c>
    </row>
    <row r="999" spans="1:7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36"/>
        <v/>
      </c>
      <c r="F999" t="str">
        <f t="shared" ca="1" si="37"/>
        <v/>
      </c>
      <c r="G999" t="str">
        <f t="shared" ca="1" si="38"/>
        <v/>
      </c>
    </row>
    <row r="1000" spans="1:7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36"/>
        <v/>
      </c>
      <c r="F1000" t="str">
        <f t="shared" ca="1" si="37"/>
        <v/>
      </c>
      <c r="G1000" t="str">
        <f t="shared" ca="1" si="38"/>
        <v/>
      </c>
    </row>
    <row r="1001" spans="1:7" x14ac:dyDescent="0.25">
      <c r="A1001" s="1"/>
      <c r="D1001" t="str" cm="1">
        <f t="array" aca="1" ref="D1001" ca="1">IF(OR(COUNTIF(damper_names,_xlfn.CONCAT("D_S_",C1001))=1, COUNTIF(damper_names,_xlfn.CONCAT("D_E_",C1001))=1), "C", "")</f>
        <v/>
      </c>
      <c r="E1001" t="str">
        <f t="shared" ca="1" si="36"/>
        <v/>
      </c>
      <c r="F1001" t="str">
        <f t="shared" ca="1" si="37"/>
        <v/>
      </c>
      <c r="G1001" t="str">
        <f t="shared" ca="1" si="38"/>
        <v/>
      </c>
    </row>
    <row r="1002" spans="1:7" x14ac:dyDescent="0.25">
      <c r="A1002" s="1"/>
      <c r="D1002" t="str" cm="1">
        <f t="array" aca="1" ref="D1002" ca="1">IF(OR(COUNTIF(damper_names,_xlfn.CONCAT("D_S_",C1002))=1, COUNTIF(damper_names,_xlfn.CONCAT("D_E_",C1002))=1), "C", "")</f>
        <v/>
      </c>
      <c r="E1002" t="str">
        <f t="shared" ca="1" si="36"/>
        <v/>
      </c>
      <c r="F1002" t="str">
        <f t="shared" ca="1" si="37"/>
        <v/>
      </c>
      <c r="G1002" t="str">
        <f t="shared" ca="1" si="38"/>
        <v/>
      </c>
    </row>
    <row r="1003" spans="1:7" x14ac:dyDescent="0.25">
      <c r="A1003" s="1"/>
      <c r="D1003" t="str" cm="1">
        <f t="array" aca="1" ref="D1003" ca="1">IF(OR(COUNTIF(damper_names,_xlfn.CONCAT("D_S_",C1003))=1, COUNTIF(damper_names,_xlfn.CONCAT("D_E_",C1003))=1), "C", "")</f>
        <v/>
      </c>
      <c r="E1003" t="str">
        <f t="shared" ca="1" si="36"/>
        <v/>
      </c>
      <c r="F1003" t="str">
        <f t="shared" ca="1" si="37"/>
        <v/>
      </c>
      <c r="G1003" t="str">
        <f t="shared" ca="1" si="38"/>
        <v/>
      </c>
    </row>
    <row r="1004" spans="1:7" x14ac:dyDescent="0.25">
      <c r="A1004" s="1"/>
      <c r="D1004" t="str" cm="1">
        <f t="array" aca="1" ref="D1004" ca="1">IF(OR(COUNTIF(damper_names,_xlfn.CONCAT("D_S_",C1004))=1, COUNTIF(damper_names,_xlfn.CONCAT("D_E_",C1004))=1), "C", "")</f>
        <v/>
      </c>
      <c r="E1004" t="str">
        <f t="shared" ca="1" si="36"/>
        <v/>
      </c>
      <c r="F1004" t="str">
        <f t="shared" ca="1" si="37"/>
        <v/>
      </c>
      <c r="G1004" t="str">
        <f t="shared" ca="1" si="38"/>
        <v/>
      </c>
    </row>
  </sheetData>
  <phoneticPr fontId="2" type="noConversion"/>
  <dataValidations count="7">
    <dataValidation type="list" showInputMessage="1" showErrorMessage="1" sqref="D1005:D1048576" xr:uid="{2AABD580-E88D-4287-8639-26BD855AF04E}">
      <formula1>"Temperature,CO2"</formula1>
    </dataValidation>
    <dataValidation type="custom" allowBlank="1" showInputMessage="1" showErrorMessage="1" sqref="A17:A18 A12:A14" xr:uid="{1332DC9F-846D-44E7-B644-7BB87C814205}">
      <formula1>count_name_occurences(A12)&lt;=1</formula1>
    </dataValidation>
    <dataValidation type="list" allowBlank="1" showInputMessage="1" showErrorMessage="1" sqref="D2:D1004" xr:uid="{3105E504-4F02-4BFF-804E-D246194C9AC0}">
      <formula1>property_instance</formula1>
    </dataValidation>
    <dataValidation type="list" allowBlank="1" showInputMessage="1" showErrorMessage="1" sqref="C2:C1048576" xr:uid="{C812587E-27BA-46FC-8623-33743BAC36D5}">
      <formula1>space_names</formula1>
    </dataValidation>
    <dataValidation type="list" showInputMessage="1" showErrorMessage="1" sqref="B2:B1048576" xr:uid="{E7B723A3-8560-40F1-A38F-7925CC18E54B}">
      <formula1>system_names</formula1>
    </dataValidation>
    <dataValidation type="list" showInputMessage="1" showErrorMessage="1" sqref="E2:E1004" xr:uid="{DBF5C24E-1681-4BF5-918B-51423C999629}">
      <formula1>property_instance</formula1>
    </dataValidation>
    <dataValidation type="list" allowBlank="1" showInputMessage="1" showErrorMessage="1" sqref="G2:G1048576" xr:uid="{629C0B94-9987-41AA-A64B-D86BC4E73DE0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9E7A0349-FB4B-48A8-B4F7-C364D384B936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C126B-1BAE-42BF-95DF-2C5DD711E2FC}">
  <sheetPr codeName="Sheet16"/>
  <dimension ref="A1:I1000"/>
  <sheetViews>
    <sheetView workbookViewId="0">
      <selection activeCell="E20" sqref="E20"/>
    </sheetView>
  </sheetViews>
  <sheetFormatPr defaultColWidth="8.85546875" defaultRowHeight="15" x14ac:dyDescent="0.25"/>
  <cols>
    <col min="1" max="1" width="31.28515625" bestFit="1" customWidth="1"/>
    <col min="2" max="2" width="26" customWidth="1"/>
    <col min="3" max="3" width="18" bestFit="1" customWidth="1"/>
    <col min="4" max="4" width="31.42578125" bestFit="1" customWidth="1"/>
    <col min="5" max="5" width="77" bestFit="1" customWidth="1"/>
    <col min="6" max="6" width="34.42578125" bestFit="1" customWidth="1"/>
    <col min="7" max="7" width="9.42578125" bestFit="1" customWidth="1"/>
  </cols>
  <sheetData>
    <row r="1" spans="1:9" ht="15.75" thickBot="1" x14ac:dyDescent="0.3">
      <c r="A1" s="6" t="s">
        <v>59</v>
      </c>
      <c r="B1" s="3" t="s">
        <v>57</v>
      </c>
      <c r="C1" s="3" t="s">
        <v>58</v>
      </c>
      <c r="D1" s="3" t="s">
        <v>163</v>
      </c>
      <c r="E1" s="3" t="s">
        <v>164</v>
      </c>
      <c r="F1" s="3" t="s">
        <v>165</v>
      </c>
      <c r="G1" s="3" t="s">
        <v>169</v>
      </c>
      <c r="H1" s="3" t="s">
        <v>182</v>
      </c>
      <c r="I1" s="4"/>
    </row>
    <row r="2" spans="1:9" x14ac:dyDescent="0.25">
      <c r="A2" s="1" t="s">
        <v>367</v>
      </c>
      <c r="B2" t="s">
        <v>91</v>
      </c>
      <c r="C2" t="s">
        <v>349</v>
      </c>
      <c r="D2" t="s">
        <v>361</v>
      </c>
      <c r="E2" t="s">
        <v>365</v>
      </c>
      <c r="F2" t="s">
        <v>362</v>
      </c>
      <c r="G2" t="b">
        <v>1</v>
      </c>
    </row>
    <row r="3" spans="1:9" x14ac:dyDescent="0.25">
      <c r="A3" s="1" t="s">
        <v>392</v>
      </c>
      <c r="B3" t="s">
        <v>91</v>
      </c>
      <c r="C3" t="s">
        <v>373</v>
      </c>
      <c r="D3" t="s">
        <v>386</v>
      </c>
      <c r="E3" t="s">
        <v>390</v>
      </c>
      <c r="F3" t="s">
        <v>387</v>
      </c>
      <c r="G3" t="b">
        <v>1</v>
      </c>
    </row>
    <row r="4" spans="1:9" x14ac:dyDescent="0.25">
      <c r="A4" s="1" t="s">
        <v>417</v>
      </c>
      <c r="B4" t="s">
        <v>91</v>
      </c>
      <c r="C4" t="s">
        <v>399</v>
      </c>
      <c r="D4" t="s">
        <v>411</v>
      </c>
      <c r="E4" t="s">
        <v>415</v>
      </c>
      <c r="F4" t="s">
        <v>412</v>
      </c>
      <c r="G4" t="b">
        <v>1</v>
      </c>
    </row>
    <row r="5" spans="1:9" x14ac:dyDescent="0.25">
      <c r="A5" s="1" t="s">
        <v>441</v>
      </c>
      <c r="B5" t="s">
        <v>91</v>
      </c>
      <c r="C5" t="s">
        <v>423</v>
      </c>
      <c r="D5" t="s">
        <v>435</v>
      </c>
      <c r="E5" t="s">
        <v>439</v>
      </c>
      <c r="F5" t="s">
        <v>436</v>
      </c>
      <c r="G5" t="b">
        <v>1</v>
      </c>
    </row>
    <row r="6" spans="1:9" x14ac:dyDescent="0.25">
      <c r="A6" s="1" t="s">
        <v>475</v>
      </c>
      <c r="B6" t="s">
        <v>91</v>
      </c>
      <c r="C6" t="s">
        <v>455</v>
      </c>
      <c r="D6" t="s">
        <v>469</v>
      </c>
      <c r="E6" t="s">
        <v>473</v>
      </c>
      <c r="F6" t="s">
        <v>470</v>
      </c>
      <c r="G6" t="b">
        <v>1</v>
      </c>
    </row>
    <row r="7" spans="1:9" x14ac:dyDescent="0.25">
      <c r="A7" s="1" t="s">
        <v>317</v>
      </c>
      <c r="B7" t="s">
        <v>91</v>
      </c>
      <c r="C7" t="s">
        <v>303</v>
      </c>
      <c r="D7" t="s">
        <v>315</v>
      </c>
      <c r="E7" t="s">
        <v>318</v>
      </c>
      <c r="F7" t="s">
        <v>316</v>
      </c>
      <c r="G7" t="b">
        <v>1</v>
      </c>
    </row>
    <row r="8" spans="1:9" x14ac:dyDescent="0.25">
      <c r="A8" s="1" t="s">
        <v>343</v>
      </c>
      <c r="B8" t="s">
        <v>91</v>
      </c>
      <c r="C8" t="s">
        <v>326</v>
      </c>
      <c r="D8" t="s">
        <v>337</v>
      </c>
      <c r="E8" t="s">
        <v>341</v>
      </c>
      <c r="F8" t="s">
        <v>338</v>
      </c>
      <c r="G8" t="b">
        <v>1</v>
      </c>
    </row>
    <row r="9" spans="1:9" x14ac:dyDescent="0.25">
      <c r="A9" s="1" t="s">
        <v>248</v>
      </c>
      <c r="B9" t="s">
        <v>91</v>
      </c>
      <c r="C9" t="s">
        <v>229</v>
      </c>
      <c r="D9" t="s">
        <v>242</v>
      </c>
      <c r="E9" t="s">
        <v>246</v>
      </c>
      <c r="F9" t="s">
        <v>243</v>
      </c>
      <c r="G9" t="b">
        <v>1</v>
      </c>
    </row>
    <row r="10" spans="1:9" x14ac:dyDescent="0.25">
      <c r="A10" s="1" t="s">
        <v>297</v>
      </c>
      <c r="B10" t="s">
        <v>91</v>
      </c>
      <c r="C10" t="s">
        <v>279</v>
      </c>
      <c r="D10" t="s">
        <v>291</v>
      </c>
      <c r="E10" t="s">
        <v>295</v>
      </c>
      <c r="F10" t="s">
        <v>292</v>
      </c>
      <c r="G10" t="b">
        <v>1</v>
      </c>
    </row>
    <row r="11" spans="1:9" x14ac:dyDescent="0.25">
      <c r="A11" s="1" t="s">
        <v>268</v>
      </c>
      <c r="B11" t="s">
        <v>91</v>
      </c>
      <c r="C11" t="s">
        <v>254</v>
      </c>
      <c r="D11" t="s">
        <v>266</v>
      </c>
      <c r="E11" t="s">
        <v>269</v>
      </c>
      <c r="F11" t="s">
        <v>267</v>
      </c>
      <c r="G11" t="b">
        <v>1</v>
      </c>
    </row>
    <row r="12" spans="1:9" x14ac:dyDescent="0.25">
      <c r="A12" s="1" t="s">
        <v>220</v>
      </c>
      <c r="B12" t="s">
        <v>91</v>
      </c>
      <c r="C12" t="s">
        <v>213</v>
      </c>
      <c r="D12" t="s">
        <v>221</v>
      </c>
      <c r="E12" t="s">
        <v>222</v>
      </c>
      <c r="F12" t="s">
        <v>223</v>
      </c>
      <c r="G12" t="b">
        <v>1</v>
      </c>
    </row>
    <row r="13" spans="1:9" x14ac:dyDescent="0.25">
      <c r="A13" s="1" t="s">
        <v>207</v>
      </c>
      <c r="B13" t="s">
        <v>91</v>
      </c>
      <c r="C13" t="s">
        <v>189</v>
      </c>
      <c r="D13" t="s">
        <v>201</v>
      </c>
      <c r="E13" t="s">
        <v>205</v>
      </c>
      <c r="F13" t="s">
        <v>202</v>
      </c>
      <c r="G13" t="b">
        <v>1</v>
      </c>
    </row>
    <row r="14" spans="1:9" x14ac:dyDescent="0.25">
      <c r="A14" s="1"/>
    </row>
    <row r="15" spans="1:9" x14ac:dyDescent="0.25">
      <c r="A15" s="1"/>
    </row>
    <row r="16" spans="1:9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9" x14ac:dyDescent="0.25">
      <c r="A177" s="1"/>
    </row>
    <row r="178" spans="1:9" x14ac:dyDescent="0.25">
      <c r="A178" s="1"/>
    </row>
    <row r="179" spans="1:9" x14ac:dyDescent="0.25">
      <c r="A179" s="1"/>
      <c r="D179" t="str" cm="1">
        <f t="array" aca="1" ref="D179" ca="1">IF(OR(COUNTIF(damper_names,_xlfn.CONCAT("D_S_",C179))=1, COUNTIF(damper_names,_xlfn.CONCAT("D_E_",C179))=1), "C", "")</f>
        <v/>
      </c>
      <c r="E179" t="str">
        <f t="shared" ref="E179:E242" ca="1" si="0">IF(D179="T", 0.05, IF(D179="C", -0.01, ""))</f>
        <v/>
      </c>
      <c r="F179" t="str">
        <f t="shared" ref="F179:F242" ca="1" si="1">IF(D179="T", 0.05, IF(D179="C", 0, ""))</f>
        <v/>
      </c>
      <c r="G179" t="str">
        <f t="shared" ref="G179:G242" ca="1" si="2">IF(D179="T", 0, IF(D179="C", 0, ""))</f>
        <v/>
      </c>
      <c r="H179" t="str">
        <f t="shared" ref="H179:H242" ca="1" si="3">IF(D179="T", 0.05, IF(D179="C", 0, ""))</f>
        <v/>
      </c>
      <c r="I179" t="str">
        <f t="shared" ref="I179:I242" ca="1" si="4">IF(D179="T", 0, IF(D179="C", 0, ""))</f>
        <v/>
      </c>
    </row>
    <row r="180" spans="1:9" x14ac:dyDescent="0.25">
      <c r="A180" s="1"/>
      <c r="D180" t="str" cm="1">
        <f t="array" aca="1" ref="D180" ca="1">IF(OR(COUNTIF(damper_names,_xlfn.CONCAT("D_S_",C180))=1, COUNTIF(damper_names,_xlfn.CONCAT("D_E_",C180))=1), "C", "")</f>
        <v/>
      </c>
      <c r="E180" t="str">
        <f t="shared" ca="1" si="0"/>
        <v/>
      </c>
      <c r="F180" t="str">
        <f t="shared" ca="1" si="1"/>
        <v/>
      </c>
      <c r="G180" t="str">
        <f t="shared" ca="1" si="2"/>
        <v/>
      </c>
      <c r="H180" t="str">
        <f t="shared" ca="1" si="3"/>
        <v/>
      </c>
      <c r="I180" t="str">
        <f t="shared" ca="1" si="4"/>
        <v/>
      </c>
    </row>
    <row r="181" spans="1:9" x14ac:dyDescent="0.25">
      <c r="A181" s="1"/>
      <c r="D181" t="str" cm="1">
        <f t="array" aca="1" ref="D181" ca="1">IF(OR(COUNTIF(damper_names,_xlfn.CONCAT("D_S_",C181))=1, COUNTIF(damper_names,_xlfn.CONCAT("D_E_",C181))=1), "C", "")</f>
        <v/>
      </c>
      <c r="E181" t="str">
        <f t="shared" ca="1" si="0"/>
        <v/>
      </c>
      <c r="F181" t="str">
        <f t="shared" ca="1" si="1"/>
        <v/>
      </c>
      <c r="G181" t="str">
        <f t="shared" ca="1" si="2"/>
        <v/>
      </c>
      <c r="H181" t="str">
        <f t="shared" ca="1" si="3"/>
        <v/>
      </c>
      <c r="I181" t="str">
        <f t="shared" ca="1" si="4"/>
        <v/>
      </c>
    </row>
    <row r="182" spans="1:9" x14ac:dyDescent="0.25">
      <c r="A182" s="1"/>
      <c r="D182" t="str" cm="1">
        <f t="array" aca="1" ref="D182" ca="1">IF(OR(COUNTIF(damper_names,_xlfn.CONCAT("D_S_",C182))=1, COUNTIF(damper_names,_xlfn.CONCAT("D_E_",C182))=1), "C", "")</f>
        <v/>
      </c>
      <c r="E182" t="str">
        <f t="shared" ca="1" si="0"/>
        <v/>
      </c>
      <c r="F182" t="str">
        <f t="shared" ca="1" si="1"/>
        <v/>
      </c>
      <c r="G182" t="str">
        <f t="shared" ca="1" si="2"/>
        <v/>
      </c>
      <c r="H182" t="str">
        <f t="shared" ca="1" si="3"/>
        <v/>
      </c>
      <c r="I182" t="str">
        <f t="shared" ca="1" si="4"/>
        <v/>
      </c>
    </row>
    <row r="183" spans="1:9" x14ac:dyDescent="0.25">
      <c r="A183" s="1"/>
      <c r="D183" t="str" cm="1">
        <f t="array" aca="1" ref="D183" ca="1">IF(OR(COUNTIF(damper_names,_xlfn.CONCAT("D_S_",C183))=1, COUNTIF(damper_names,_xlfn.CONCAT("D_E_",C183))=1), "C", "")</f>
        <v/>
      </c>
      <c r="E183" t="str">
        <f t="shared" ca="1" si="0"/>
        <v/>
      </c>
      <c r="F183" t="str">
        <f t="shared" ca="1" si="1"/>
        <v/>
      </c>
      <c r="G183" t="str">
        <f t="shared" ca="1" si="2"/>
        <v/>
      </c>
      <c r="H183" t="str">
        <f t="shared" ca="1" si="3"/>
        <v/>
      </c>
      <c r="I183" t="str">
        <f t="shared" ca="1" si="4"/>
        <v/>
      </c>
    </row>
    <row r="184" spans="1:9" x14ac:dyDescent="0.25">
      <c r="A184" s="1"/>
      <c r="D184" t="str" cm="1">
        <f t="array" aca="1" ref="D184" ca="1">IF(OR(COUNTIF(damper_names,_xlfn.CONCAT("D_S_",C184))=1, COUNTIF(damper_names,_xlfn.CONCAT("D_E_",C184))=1), "C", "")</f>
        <v/>
      </c>
      <c r="E184" t="str">
        <f t="shared" ca="1" si="0"/>
        <v/>
      </c>
      <c r="F184" t="str">
        <f t="shared" ca="1" si="1"/>
        <v/>
      </c>
      <c r="G184" t="str">
        <f t="shared" ca="1" si="2"/>
        <v/>
      </c>
      <c r="H184" t="str">
        <f t="shared" ca="1" si="3"/>
        <v/>
      </c>
      <c r="I184" t="str">
        <f t="shared" ca="1" si="4"/>
        <v/>
      </c>
    </row>
    <row r="185" spans="1:9" x14ac:dyDescent="0.25">
      <c r="A185" s="1"/>
      <c r="D185" t="str" cm="1">
        <f t="array" aca="1" ref="D185" ca="1">IF(OR(COUNTIF(damper_names,_xlfn.CONCAT("D_S_",C185))=1, COUNTIF(damper_names,_xlfn.CONCAT("D_E_",C185))=1), "C", "")</f>
        <v/>
      </c>
      <c r="E185" t="str">
        <f t="shared" ca="1" si="0"/>
        <v/>
      </c>
      <c r="F185" t="str">
        <f t="shared" ca="1" si="1"/>
        <v/>
      </c>
      <c r="G185" t="str">
        <f t="shared" ca="1" si="2"/>
        <v/>
      </c>
      <c r="H185" t="str">
        <f t="shared" ca="1" si="3"/>
        <v/>
      </c>
      <c r="I185" t="str">
        <f t="shared" ca="1" si="4"/>
        <v/>
      </c>
    </row>
    <row r="186" spans="1:9" x14ac:dyDescent="0.25">
      <c r="A186" s="1"/>
      <c r="D186" t="str" cm="1">
        <f t="array" aca="1" ref="D186" ca="1">IF(OR(COUNTIF(damper_names,_xlfn.CONCAT("D_S_",C186))=1, COUNTIF(damper_names,_xlfn.CONCAT("D_E_",C186))=1), "C", "")</f>
        <v/>
      </c>
      <c r="E186" t="str">
        <f t="shared" ca="1" si="0"/>
        <v/>
      </c>
      <c r="F186" t="str">
        <f t="shared" ca="1" si="1"/>
        <v/>
      </c>
      <c r="G186" t="str">
        <f t="shared" ca="1" si="2"/>
        <v/>
      </c>
      <c r="H186" t="str">
        <f t="shared" ca="1" si="3"/>
        <v/>
      </c>
      <c r="I186" t="str">
        <f t="shared" ca="1" si="4"/>
        <v/>
      </c>
    </row>
    <row r="187" spans="1:9" x14ac:dyDescent="0.25">
      <c r="A187" s="1"/>
      <c r="D187" t="str" cm="1">
        <f t="array" aca="1" ref="D187" ca="1">IF(OR(COUNTIF(damper_names,_xlfn.CONCAT("D_S_",C187))=1, COUNTIF(damper_names,_xlfn.CONCAT("D_E_",C187))=1), "C", "")</f>
        <v/>
      </c>
      <c r="E187" t="str">
        <f t="shared" ca="1" si="0"/>
        <v/>
      </c>
      <c r="F187" t="str">
        <f t="shared" ca="1" si="1"/>
        <v/>
      </c>
      <c r="G187" t="str">
        <f t="shared" ca="1" si="2"/>
        <v/>
      </c>
      <c r="H187" t="str">
        <f t="shared" ca="1" si="3"/>
        <v/>
      </c>
      <c r="I187" t="str">
        <f t="shared" ca="1" si="4"/>
        <v/>
      </c>
    </row>
    <row r="188" spans="1:9" x14ac:dyDescent="0.25">
      <c r="A188" s="1"/>
      <c r="D188" t="str" cm="1">
        <f t="array" aca="1" ref="D188" ca="1">IF(OR(COUNTIF(damper_names,_xlfn.CONCAT("D_S_",C188))=1, COUNTIF(damper_names,_xlfn.CONCAT("D_E_",C188))=1), "C", "")</f>
        <v/>
      </c>
      <c r="E188" t="str">
        <f t="shared" ca="1" si="0"/>
        <v/>
      </c>
      <c r="F188" t="str">
        <f t="shared" ca="1" si="1"/>
        <v/>
      </c>
      <c r="G188" t="str">
        <f t="shared" ca="1" si="2"/>
        <v/>
      </c>
      <c r="H188" t="str">
        <f t="shared" ca="1" si="3"/>
        <v/>
      </c>
      <c r="I188" t="str">
        <f t="shared" ca="1" si="4"/>
        <v/>
      </c>
    </row>
    <row r="189" spans="1:9" x14ac:dyDescent="0.25">
      <c r="A189" s="1"/>
      <c r="D189" t="str" cm="1">
        <f t="array" aca="1" ref="D189" ca="1">IF(OR(COUNTIF(damper_names,_xlfn.CONCAT("D_S_",C189))=1, COUNTIF(damper_names,_xlfn.CONCAT("D_E_",C189))=1), "C", "")</f>
        <v/>
      </c>
      <c r="E189" t="str">
        <f t="shared" ca="1" si="0"/>
        <v/>
      </c>
      <c r="F189" t="str">
        <f t="shared" ca="1" si="1"/>
        <v/>
      </c>
      <c r="G189" t="str">
        <f t="shared" ca="1" si="2"/>
        <v/>
      </c>
      <c r="H189" t="str">
        <f t="shared" ca="1" si="3"/>
        <v/>
      </c>
      <c r="I189" t="str">
        <f t="shared" ca="1" si="4"/>
        <v/>
      </c>
    </row>
    <row r="190" spans="1:9" x14ac:dyDescent="0.25">
      <c r="A190" s="1"/>
      <c r="D190" t="str" cm="1">
        <f t="array" aca="1" ref="D190" ca="1">IF(OR(COUNTIF(damper_names,_xlfn.CONCAT("D_S_",C190))=1, COUNTIF(damper_names,_xlfn.CONCAT("D_E_",C190))=1), "C", "")</f>
        <v/>
      </c>
      <c r="E190" t="str">
        <f t="shared" ca="1" si="0"/>
        <v/>
      </c>
      <c r="F190" t="str">
        <f t="shared" ca="1" si="1"/>
        <v/>
      </c>
      <c r="G190" t="str">
        <f t="shared" ca="1" si="2"/>
        <v/>
      </c>
      <c r="H190" t="str">
        <f t="shared" ca="1" si="3"/>
        <v/>
      </c>
      <c r="I190" t="str">
        <f t="shared" ca="1" si="4"/>
        <v/>
      </c>
    </row>
    <row r="191" spans="1:9" x14ac:dyDescent="0.25">
      <c r="A191" s="1"/>
      <c r="D191" t="str" cm="1">
        <f t="array" aca="1" ref="D191" ca="1">IF(OR(COUNTIF(damper_names,_xlfn.CONCAT("D_S_",C191))=1, COUNTIF(damper_names,_xlfn.CONCAT("D_E_",C191))=1), "C", "")</f>
        <v/>
      </c>
      <c r="E191" t="str">
        <f t="shared" ca="1" si="0"/>
        <v/>
      </c>
      <c r="F191" t="str">
        <f t="shared" ca="1" si="1"/>
        <v/>
      </c>
      <c r="G191" t="str">
        <f t="shared" ca="1" si="2"/>
        <v/>
      </c>
      <c r="H191" t="str">
        <f t="shared" ca="1" si="3"/>
        <v/>
      </c>
      <c r="I191" t="str">
        <f t="shared" ca="1" si="4"/>
        <v/>
      </c>
    </row>
    <row r="192" spans="1:9" x14ac:dyDescent="0.25">
      <c r="A192" s="1"/>
      <c r="D192" t="str" cm="1">
        <f t="array" aca="1" ref="D192" ca="1">IF(OR(COUNTIF(damper_names,_xlfn.CONCAT("D_S_",C192))=1, COUNTIF(damper_names,_xlfn.CONCAT("D_E_",C192))=1), "C", "")</f>
        <v/>
      </c>
      <c r="E192" t="str">
        <f t="shared" ca="1" si="0"/>
        <v/>
      </c>
      <c r="F192" t="str">
        <f t="shared" ca="1" si="1"/>
        <v/>
      </c>
      <c r="G192" t="str">
        <f t="shared" ca="1" si="2"/>
        <v/>
      </c>
      <c r="H192" t="str">
        <f t="shared" ca="1" si="3"/>
        <v/>
      </c>
      <c r="I192" t="str">
        <f t="shared" ca="1" si="4"/>
        <v/>
      </c>
    </row>
    <row r="193" spans="1:9" x14ac:dyDescent="0.25">
      <c r="A193" s="1"/>
      <c r="D193" t="str" cm="1">
        <f t="array" aca="1" ref="D193" ca="1">IF(OR(COUNTIF(damper_names,_xlfn.CONCAT("D_S_",C193))=1, COUNTIF(damper_names,_xlfn.CONCAT("D_E_",C193))=1), "C", "")</f>
        <v/>
      </c>
      <c r="E193" t="str">
        <f t="shared" ca="1" si="0"/>
        <v/>
      </c>
      <c r="F193" t="str">
        <f t="shared" ca="1" si="1"/>
        <v/>
      </c>
      <c r="G193" t="str">
        <f t="shared" ca="1" si="2"/>
        <v/>
      </c>
      <c r="H193" t="str">
        <f t="shared" ca="1" si="3"/>
        <v/>
      </c>
      <c r="I193" t="str">
        <f t="shared" ca="1" si="4"/>
        <v/>
      </c>
    </row>
    <row r="194" spans="1:9" x14ac:dyDescent="0.25">
      <c r="A194" s="1"/>
      <c r="D194" t="str" cm="1">
        <f t="array" aca="1" ref="D194" ca="1">IF(OR(COUNTIF(damper_names,_xlfn.CONCAT("D_S_",C194))=1, COUNTIF(damper_names,_xlfn.CONCAT("D_E_",C194))=1), "C", "")</f>
        <v/>
      </c>
      <c r="E194" t="str">
        <f t="shared" ca="1" si="0"/>
        <v/>
      </c>
      <c r="F194" t="str">
        <f t="shared" ca="1" si="1"/>
        <v/>
      </c>
      <c r="G194" t="str">
        <f t="shared" ca="1" si="2"/>
        <v/>
      </c>
      <c r="H194" t="str">
        <f t="shared" ca="1" si="3"/>
        <v/>
      </c>
      <c r="I194" t="str">
        <f t="shared" ca="1" si="4"/>
        <v/>
      </c>
    </row>
    <row r="195" spans="1:9" x14ac:dyDescent="0.25">
      <c r="A195" s="1"/>
      <c r="D195" t="str" cm="1">
        <f t="array" aca="1" ref="D195" ca="1">IF(OR(COUNTIF(damper_names,_xlfn.CONCAT("D_S_",C195))=1, COUNTIF(damper_names,_xlfn.CONCAT("D_E_",C195))=1), "C", "")</f>
        <v/>
      </c>
      <c r="E195" t="str">
        <f t="shared" ca="1" si="0"/>
        <v/>
      </c>
      <c r="F195" t="str">
        <f t="shared" ca="1" si="1"/>
        <v/>
      </c>
      <c r="G195" t="str">
        <f t="shared" ca="1" si="2"/>
        <v/>
      </c>
      <c r="H195" t="str">
        <f t="shared" ca="1" si="3"/>
        <v/>
      </c>
      <c r="I195" t="str">
        <f t="shared" ca="1" si="4"/>
        <v/>
      </c>
    </row>
    <row r="196" spans="1:9" x14ac:dyDescent="0.25">
      <c r="A196" s="1"/>
      <c r="D196" t="str" cm="1">
        <f t="array" aca="1" ref="D196" ca="1">IF(OR(COUNTIF(damper_names,_xlfn.CONCAT("D_S_",C196))=1, COUNTIF(damper_names,_xlfn.CONCAT("D_E_",C196))=1), "C", "")</f>
        <v/>
      </c>
      <c r="E196" t="str">
        <f t="shared" ca="1" si="0"/>
        <v/>
      </c>
      <c r="F196" t="str">
        <f t="shared" ca="1" si="1"/>
        <v/>
      </c>
      <c r="G196" t="str">
        <f t="shared" ca="1" si="2"/>
        <v/>
      </c>
      <c r="H196" t="str">
        <f t="shared" ca="1" si="3"/>
        <v/>
      </c>
      <c r="I196" t="str">
        <f t="shared" ca="1" si="4"/>
        <v/>
      </c>
    </row>
    <row r="197" spans="1:9" x14ac:dyDescent="0.25">
      <c r="A197" s="1"/>
      <c r="D197" t="str" cm="1">
        <f t="array" aca="1" ref="D197" ca="1">IF(OR(COUNTIF(damper_names,_xlfn.CONCAT("D_S_",C197))=1, COUNTIF(damper_names,_xlfn.CONCAT("D_E_",C197))=1), "C", "")</f>
        <v/>
      </c>
      <c r="E197" t="str">
        <f t="shared" ca="1" si="0"/>
        <v/>
      </c>
      <c r="F197" t="str">
        <f t="shared" ca="1" si="1"/>
        <v/>
      </c>
      <c r="G197" t="str">
        <f t="shared" ca="1" si="2"/>
        <v/>
      </c>
      <c r="H197" t="str">
        <f t="shared" ca="1" si="3"/>
        <v/>
      </c>
      <c r="I197" t="str">
        <f t="shared" ca="1" si="4"/>
        <v/>
      </c>
    </row>
    <row r="198" spans="1:9" x14ac:dyDescent="0.25">
      <c r="A198" s="1"/>
      <c r="D198" t="str" cm="1">
        <f t="array" aca="1" ref="D198" ca="1">IF(OR(COUNTIF(damper_names,_xlfn.CONCAT("D_S_",C198))=1, COUNTIF(damper_names,_xlfn.CONCAT("D_E_",C198))=1), "C", "")</f>
        <v/>
      </c>
      <c r="E198" t="str">
        <f t="shared" ca="1" si="0"/>
        <v/>
      </c>
      <c r="F198" t="str">
        <f t="shared" ca="1" si="1"/>
        <v/>
      </c>
      <c r="G198" t="str">
        <f t="shared" ca="1" si="2"/>
        <v/>
      </c>
      <c r="H198" t="str">
        <f t="shared" ca="1" si="3"/>
        <v/>
      </c>
      <c r="I198" t="str">
        <f t="shared" ca="1" si="4"/>
        <v/>
      </c>
    </row>
    <row r="199" spans="1:9" x14ac:dyDescent="0.25">
      <c r="A199" s="1"/>
      <c r="D199" t="str" cm="1">
        <f t="array" aca="1" ref="D199" ca="1">IF(OR(COUNTIF(damper_names,_xlfn.CONCAT("D_S_",C199))=1, COUNTIF(damper_names,_xlfn.CONCAT("D_E_",C199))=1), "C", "")</f>
        <v/>
      </c>
      <c r="E199" t="str">
        <f t="shared" ca="1" si="0"/>
        <v/>
      </c>
      <c r="F199" t="str">
        <f t="shared" ca="1" si="1"/>
        <v/>
      </c>
      <c r="G199" t="str">
        <f t="shared" ca="1" si="2"/>
        <v/>
      </c>
      <c r="H199" t="str">
        <f t="shared" ca="1" si="3"/>
        <v/>
      </c>
      <c r="I199" t="str">
        <f t="shared" ca="1" si="4"/>
        <v/>
      </c>
    </row>
    <row r="200" spans="1:9" x14ac:dyDescent="0.25">
      <c r="A200" s="1"/>
      <c r="D200" t="str" cm="1">
        <f t="array" aca="1" ref="D200" ca="1">IF(OR(COUNTIF(damper_names,_xlfn.CONCAT("D_S_",C200))=1, COUNTIF(damper_names,_xlfn.CONCAT("D_E_",C200))=1), "C", "")</f>
        <v/>
      </c>
      <c r="E200" t="str">
        <f t="shared" ca="1" si="0"/>
        <v/>
      </c>
      <c r="F200" t="str">
        <f t="shared" ca="1" si="1"/>
        <v/>
      </c>
      <c r="G200" t="str">
        <f t="shared" ca="1" si="2"/>
        <v/>
      </c>
      <c r="H200" t="str">
        <f t="shared" ca="1" si="3"/>
        <v/>
      </c>
      <c r="I200" t="str">
        <f t="shared" ca="1" si="4"/>
        <v/>
      </c>
    </row>
    <row r="201" spans="1:9" x14ac:dyDescent="0.25">
      <c r="A201" s="1"/>
      <c r="D201" t="str" cm="1">
        <f t="array" aca="1" ref="D201" ca="1">IF(OR(COUNTIF(damper_names,_xlfn.CONCAT("D_S_",C201))=1, COUNTIF(damper_names,_xlfn.CONCAT("D_E_",C201))=1), "C", "")</f>
        <v/>
      </c>
      <c r="E201" t="str">
        <f t="shared" ca="1" si="0"/>
        <v/>
      </c>
      <c r="F201" t="str">
        <f t="shared" ca="1" si="1"/>
        <v/>
      </c>
      <c r="G201" t="str">
        <f t="shared" ca="1" si="2"/>
        <v/>
      </c>
      <c r="H201" t="str">
        <f t="shared" ca="1" si="3"/>
        <v/>
      </c>
      <c r="I201" t="str">
        <f t="shared" ca="1" si="4"/>
        <v/>
      </c>
    </row>
    <row r="202" spans="1:9" x14ac:dyDescent="0.25">
      <c r="A202" s="1"/>
      <c r="D202" t="str" cm="1">
        <f t="array" aca="1" ref="D202" ca="1">IF(OR(COUNTIF(damper_names,_xlfn.CONCAT("D_S_",C202))=1, COUNTIF(damper_names,_xlfn.CONCAT("D_E_",C202))=1), "C", "")</f>
        <v/>
      </c>
      <c r="E202" t="str">
        <f t="shared" ca="1" si="0"/>
        <v/>
      </c>
      <c r="F202" t="str">
        <f t="shared" ca="1" si="1"/>
        <v/>
      </c>
      <c r="G202" t="str">
        <f t="shared" ca="1" si="2"/>
        <v/>
      </c>
      <c r="H202" t="str">
        <f t="shared" ca="1" si="3"/>
        <v/>
      </c>
      <c r="I202" t="str">
        <f t="shared" ca="1" si="4"/>
        <v/>
      </c>
    </row>
    <row r="203" spans="1:9" x14ac:dyDescent="0.25">
      <c r="A203" s="1"/>
      <c r="D203" t="str" cm="1">
        <f t="array" aca="1" ref="D203" ca="1">IF(OR(COUNTIF(damper_names,_xlfn.CONCAT("D_S_",C203))=1, COUNTIF(damper_names,_xlfn.CONCAT("D_E_",C203))=1), "C", "")</f>
        <v/>
      </c>
      <c r="E203" t="str">
        <f t="shared" ca="1" si="0"/>
        <v/>
      </c>
      <c r="F203" t="str">
        <f t="shared" ca="1" si="1"/>
        <v/>
      </c>
      <c r="G203" t="str">
        <f t="shared" ca="1" si="2"/>
        <v/>
      </c>
      <c r="H203" t="str">
        <f t="shared" ca="1" si="3"/>
        <v/>
      </c>
      <c r="I203" t="str">
        <f t="shared" ca="1" si="4"/>
        <v/>
      </c>
    </row>
    <row r="204" spans="1:9" x14ac:dyDescent="0.25">
      <c r="A204" s="1"/>
      <c r="D204" t="str" cm="1">
        <f t="array" aca="1" ref="D204" ca="1">IF(OR(COUNTIF(damper_names,_xlfn.CONCAT("D_S_",C204))=1, COUNTIF(damper_names,_xlfn.CONCAT("D_E_",C204))=1), "C", "")</f>
        <v/>
      </c>
      <c r="E204" t="str">
        <f t="shared" ca="1" si="0"/>
        <v/>
      </c>
      <c r="F204" t="str">
        <f t="shared" ca="1" si="1"/>
        <v/>
      </c>
      <c r="G204" t="str">
        <f t="shared" ca="1" si="2"/>
        <v/>
      </c>
      <c r="H204" t="str">
        <f t="shared" ca="1" si="3"/>
        <v/>
      </c>
      <c r="I204" t="str">
        <f t="shared" ca="1" si="4"/>
        <v/>
      </c>
    </row>
    <row r="205" spans="1:9" x14ac:dyDescent="0.25">
      <c r="A205" s="1"/>
      <c r="D205" t="str" cm="1">
        <f t="array" aca="1" ref="D205" ca="1">IF(OR(COUNTIF(damper_names,_xlfn.CONCAT("D_S_",C205))=1, COUNTIF(damper_names,_xlfn.CONCAT("D_E_",C205))=1), "C", "")</f>
        <v/>
      </c>
      <c r="E205" t="str">
        <f t="shared" ca="1" si="0"/>
        <v/>
      </c>
      <c r="F205" t="str">
        <f t="shared" ca="1" si="1"/>
        <v/>
      </c>
      <c r="G205" t="str">
        <f t="shared" ca="1" si="2"/>
        <v/>
      </c>
      <c r="H205" t="str">
        <f t="shared" ca="1" si="3"/>
        <v/>
      </c>
      <c r="I205" t="str">
        <f t="shared" ca="1" si="4"/>
        <v/>
      </c>
    </row>
    <row r="206" spans="1:9" x14ac:dyDescent="0.25">
      <c r="A206" s="1"/>
      <c r="D206" t="str" cm="1">
        <f t="array" aca="1" ref="D206" ca="1">IF(OR(COUNTIF(damper_names,_xlfn.CONCAT("D_S_",C206))=1, COUNTIF(damper_names,_xlfn.CONCAT("D_E_",C206))=1), "C", "")</f>
        <v/>
      </c>
      <c r="E206" t="str">
        <f t="shared" ca="1" si="0"/>
        <v/>
      </c>
      <c r="F206" t="str">
        <f t="shared" ca="1" si="1"/>
        <v/>
      </c>
      <c r="G206" t="str">
        <f t="shared" ca="1" si="2"/>
        <v/>
      </c>
      <c r="H206" t="str">
        <f t="shared" ca="1" si="3"/>
        <v/>
      </c>
      <c r="I206" t="str">
        <f t="shared" ca="1" si="4"/>
        <v/>
      </c>
    </row>
    <row r="207" spans="1:9" x14ac:dyDescent="0.25">
      <c r="A207" s="1"/>
      <c r="D207" t="str" cm="1">
        <f t="array" aca="1" ref="D207" ca="1">IF(OR(COUNTIF(damper_names,_xlfn.CONCAT("D_S_",C207))=1, COUNTIF(damper_names,_xlfn.CONCAT("D_E_",C207))=1), "C", "")</f>
        <v/>
      </c>
      <c r="E207" t="str">
        <f t="shared" ca="1" si="0"/>
        <v/>
      </c>
      <c r="F207" t="str">
        <f t="shared" ca="1" si="1"/>
        <v/>
      </c>
      <c r="G207" t="str">
        <f t="shared" ca="1" si="2"/>
        <v/>
      </c>
      <c r="H207" t="str">
        <f t="shared" ca="1" si="3"/>
        <v/>
      </c>
      <c r="I207" t="str">
        <f t="shared" ca="1" si="4"/>
        <v/>
      </c>
    </row>
    <row r="208" spans="1:9" x14ac:dyDescent="0.25">
      <c r="A208" s="1"/>
      <c r="D208" t="str" cm="1">
        <f t="array" aca="1" ref="D208" ca="1">IF(OR(COUNTIF(damper_names,_xlfn.CONCAT("D_S_",C208))=1, COUNTIF(damper_names,_xlfn.CONCAT("D_E_",C208))=1), "C", "")</f>
        <v/>
      </c>
      <c r="E208" t="str">
        <f t="shared" ca="1" si="0"/>
        <v/>
      </c>
      <c r="F208" t="str">
        <f t="shared" ca="1" si="1"/>
        <v/>
      </c>
      <c r="G208" t="str">
        <f t="shared" ca="1" si="2"/>
        <v/>
      </c>
      <c r="H208" t="str">
        <f t="shared" ca="1" si="3"/>
        <v/>
      </c>
      <c r="I208" t="str">
        <f t="shared" ca="1" si="4"/>
        <v/>
      </c>
    </row>
    <row r="209" spans="1:9" x14ac:dyDescent="0.25">
      <c r="A209" s="1"/>
      <c r="D209" t="str" cm="1">
        <f t="array" aca="1" ref="D209" ca="1">IF(OR(COUNTIF(damper_names,_xlfn.CONCAT("D_S_",C209))=1, COUNTIF(damper_names,_xlfn.CONCAT("D_E_",C209))=1), "C", "")</f>
        <v/>
      </c>
      <c r="E209" t="str">
        <f t="shared" ca="1" si="0"/>
        <v/>
      </c>
      <c r="F209" t="str">
        <f t="shared" ca="1" si="1"/>
        <v/>
      </c>
      <c r="G209" t="str">
        <f t="shared" ca="1" si="2"/>
        <v/>
      </c>
      <c r="H209" t="str">
        <f t="shared" ca="1" si="3"/>
        <v/>
      </c>
      <c r="I209" t="str">
        <f t="shared" ca="1" si="4"/>
        <v/>
      </c>
    </row>
    <row r="210" spans="1:9" x14ac:dyDescent="0.25">
      <c r="A210" s="1"/>
      <c r="D210" t="str" cm="1">
        <f t="array" aca="1" ref="D210" ca="1">IF(OR(COUNTIF(damper_names,_xlfn.CONCAT("D_S_",C210))=1, COUNTIF(damper_names,_xlfn.CONCAT("D_E_",C210))=1), "C", "")</f>
        <v/>
      </c>
      <c r="E210" t="str">
        <f t="shared" ca="1" si="0"/>
        <v/>
      </c>
      <c r="F210" t="str">
        <f t="shared" ca="1" si="1"/>
        <v/>
      </c>
      <c r="G210" t="str">
        <f t="shared" ca="1" si="2"/>
        <v/>
      </c>
      <c r="H210" t="str">
        <f t="shared" ca="1" si="3"/>
        <v/>
      </c>
      <c r="I210" t="str">
        <f t="shared" ca="1" si="4"/>
        <v/>
      </c>
    </row>
    <row r="211" spans="1:9" x14ac:dyDescent="0.25">
      <c r="A211" s="1"/>
      <c r="D211" t="str" cm="1">
        <f t="array" aca="1" ref="D211" ca="1">IF(OR(COUNTIF(damper_names,_xlfn.CONCAT("D_S_",C211))=1, COUNTIF(damper_names,_xlfn.CONCAT("D_E_",C211))=1), "C", "")</f>
        <v/>
      </c>
      <c r="E211" t="str">
        <f t="shared" ca="1" si="0"/>
        <v/>
      </c>
      <c r="F211" t="str">
        <f t="shared" ca="1" si="1"/>
        <v/>
      </c>
      <c r="G211" t="str">
        <f t="shared" ca="1" si="2"/>
        <v/>
      </c>
      <c r="H211" t="str">
        <f t="shared" ca="1" si="3"/>
        <v/>
      </c>
      <c r="I211" t="str">
        <f t="shared" ca="1" si="4"/>
        <v/>
      </c>
    </row>
    <row r="212" spans="1:9" x14ac:dyDescent="0.25">
      <c r="A212" s="1"/>
      <c r="D212" t="str" cm="1">
        <f t="array" aca="1" ref="D212" ca="1">IF(OR(COUNTIF(damper_names,_xlfn.CONCAT("D_S_",C212))=1, COUNTIF(damper_names,_xlfn.CONCAT("D_E_",C212))=1), "C", "")</f>
        <v/>
      </c>
      <c r="E212" t="str">
        <f t="shared" ca="1" si="0"/>
        <v/>
      </c>
      <c r="F212" t="str">
        <f t="shared" ca="1" si="1"/>
        <v/>
      </c>
      <c r="G212" t="str">
        <f t="shared" ca="1" si="2"/>
        <v/>
      </c>
      <c r="H212" t="str">
        <f t="shared" ca="1" si="3"/>
        <v/>
      </c>
      <c r="I212" t="str">
        <f t="shared" ca="1" si="4"/>
        <v/>
      </c>
    </row>
    <row r="213" spans="1:9" x14ac:dyDescent="0.25">
      <c r="A213" s="1"/>
      <c r="D213" t="str" cm="1">
        <f t="array" aca="1" ref="D213" ca="1">IF(OR(COUNTIF(damper_names,_xlfn.CONCAT("D_S_",C213))=1, COUNTIF(damper_names,_xlfn.CONCAT("D_E_",C213))=1), "C", "")</f>
        <v/>
      </c>
      <c r="E213" t="str">
        <f t="shared" ca="1" si="0"/>
        <v/>
      </c>
      <c r="F213" t="str">
        <f t="shared" ca="1" si="1"/>
        <v/>
      </c>
      <c r="G213" t="str">
        <f t="shared" ca="1" si="2"/>
        <v/>
      </c>
      <c r="H213" t="str">
        <f t="shared" ca="1" si="3"/>
        <v/>
      </c>
      <c r="I213" t="str">
        <f t="shared" ca="1" si="4"/>
        <v/>
      </c>
    </row>
    <row r="214" spans="1:9" x14ac:dyDescent="0.25">
      <c r="A214" s="1"/>
      <c r="D214" t="str" cm="1">
        <f t="array" aca="1" ref="D214" ca="1">IF(OR(COUNTIF(damper_names,_xlfn.CONCAT("D_S_",C214))=1, COUNTIF(damper_names,_xlfn.CONCAT("D_E_",C214))=1), "C", "")</f>
        <v/>
      </c>
      <c r="E214" t="str">
        <f t="shared" ca="1" si="0"/>
        <v/>
      </c>
      <c r="F214" t="str">
        <f t="shared" ca="1" si="1"/>
        <v/>
      </c>
      <c r="G214" t="str">
        <f t="shared" ca="1" si="2"/>
        <v/>
      </c>
      <c r="H214" t="str">
        <f t="shared" ca="1" si="3"/>
        <v/>
      </c>
      <c r="I214" t="str">
        <f t="shared" ca="1" si="4"/>
        <v/>
      </c>
    </row>
    <row r="215" spans="1:9" x14ac:dyDescent="0.25">
      <c r="A215" s="1"/>
      <c r="D215" t="str" cm="1">
        <f t="array" aca="1" ref="D215" ca="1">IF(OR(COUNTIF(damper_names,_xlfn.CONCAT("D_S_",C215))=1, COUNTIF(damper_names,_xlfn.CONCAT("D_E_",C215))=1), "C", "")</f>
        <v/>
      </c>
      <c r="E215" t="str">
        <f t="shared" ca="1" si="0"/>
        <v/>
      </c>
      <c r="F215" t="str">
        <f t="shared" ca="1" si="1"/>
        <v/>
      </c>
      <c r="G215" t="str">
        <f t="shared" ca="1" si="2"/>
        <v/>
      </c>
      <c r="H215" t="str">
        <f t="shared" ca="1" si="3"/>
        <v/>
      </c>
      <c r="I215" t="str">
        <f t="shared" ca="1" si="4"/>
        <v/>
      </c>
    </row>
    <row r="216" spans="1:9" x14ac:dyDescent="0.25">
      <c r="A216" s="1"/>
      <c r="D216" t="str" cm="1">
        <f t="array" aca="1" ref="D216" ca="1">IF(OR(COUNTIF(damper_names,_xlfn.CONCAT("D_S_",C216))=1, COUNTIF(damper_names,_xlfn.CONCAT("D_E_",C216))=1), "C", "")</f>
        <v/>
      </c>
      <c r="E216" t="str">
        <f t="shared" ca="1" si="0"/>
        <v/>
      </c>
      <c r="F216" t="str">
        <f t="shared" ca="1" si="1"/>
        <v/>
      </c>
      <c r="G216" t="str">
        <f t="shared" ca="1" si="2"/>
        <v/>
      </c>
      <c r="H216" t="str">
        <f t="shared" ca="1" si="3"/>
        <v/>
      </c>
      <c r="I216" t="str">
        <f t="shared" ca="1" si="4"/>
        <v/>
      </c>
    </row>
    <row r="217" spans="1:9" x14ac:dyDescent="0.25">
      <c r="A217" s="1"/>
      <c r="D217" t="str" cm="1">
        <f t="array" aca="1" ref="D217" ca="1">IF(OR(COUNTIF(damper_names,_xlfn.CONCAT("D_S_",C217))=1, COUNTIF(damper_names,_xlfn.CONCAT("D_E_",C217))=1), "C", "")</f>
        <v/>
      </c>
      <c r="E217" t="str">
        <f t="shared" ca="1" si="0"/>
        <v/>
      </c>
      <c r="F217" t="str">
        <f t="shared" ca="1" si="1"/>
        <v/>
      </c>
      <c r="G217" t="str">
        <f t="shared" ca="1" si="2"/>
        <v/>
      </c>
      <c r="H217" t="str">
        <f t="shared" ca="1" si="3"/>
        <v/>
      </c>
      <c r="I217" t="str">
        <f t="shared" ca="1" si="4"/>
        <v/>
      </c>
    </row>
    <row r="218" spans="1:9" x14ac:dyDescent="0.25">
      <c r="A218" s="1"/>
      <c r="D218" t="str" cm="1">
        <f t="array" aca="1" ref="D218" ca="1">IF(OR(COUNTIF(damper_names,_xlfn.CONCAT("D_S_",C218))=1, COUNTIF(damper_names,_xlfn.CONCAT("D_E_",C218))=1), "C", "")</f>
        <v/>
      </c>
      <c r="E218" t="str">
        <f t="shared" ca="1" si="0"/>
        <v/>
      </c>
      <c r="F218" t="str">
        <f t="shared" ca="1" si="1"/>
        <v/>
      </c>
      <c r="G218" t="str">
        <f t="shared" ca="1" si="2"/>
        <v/>
      </c>
      <c r="H218" t="str">
        <f t="shared" ca="1" si="3"/>
        <v/>
      </c>
      <c r="I218" t="str">
        <f t="shared" ca="1" si="4"/>
        <v/>
      </c>
    </row>
    <row r="219" spans="1:9" x14ac:dyDescent="0.25">
      <c r="A219" s="1"/>
      <c r="D219" t="str" cm="1">
        <f t="array" aca="1" ref="D219" ca="1">IF(OR(COUNTIF(damper_names,_xlfn.CONCAT("D_S_",C219))=1, COUNTIF(damper_names,_xlfn.CONCAT("D_E_",C219))=1), "C", "")</f>
        <v/>
      </c>
      <c r="E219" t="str">
        <f t="shared" ca="1" si="0"/>
        <v/>
      </c>
      <c r="F219" t="str">
        <f t="shared" ca="1" si="1"/>
        <v/>
      </c>
      <c r="G219" t="str">
        <f t="shared" ca="1" si="2"/>
        <v/>
      </c>
      <c r="H219" t="str">
        <f t="shared" ca="1" si="3"/>
        <v/>
      </c>
      <c r="I219" t="str">
        <f t="shared" ca="1" si="4"/>
        <v/>
      </c>
    </row>
    <row r="220" spans="1:9" x14ac:dyDescent="0.25">
      <c r="A220" s="1"/>
      <c r="D220" t="str" cm="1">
        <f t="array" aca="1" ref="D220" ca="1">IF(OR(COUNTIF(damper_names,_xlfn.CONCAT("D_S_",C220))=1, COUNTIF(damper_names,_xlfn.CONCAT("D_E_",C220))=1), "C", "")</f>
        <v/>
      </c>
      <c r="E220" t="str">
        <f t="shared" ca="1" si="0"/>
        <v/>
      </c>
      <c r="F220" t="str">
        <f t="shared" ca="1" si="1"/>
        <v/>
      </c>
      <c r="G220" t="str">
        <f t="shared" ca="1" si="2"/>
        <v/>
      </c>
      <c r="H220" t="str">
        <f t="shared" ca="1" si="3"/>
        <v/>
      </c>
      <c r="I220" t="str">
        <f t="shared" ca="1" si="4"/>
        <v/>
      </c>
    </row>
    <row r="221" spans="1:9" x14ac:dyDescent="0.25">
      <c r="A221" s="1"/>
      <c r="D221" t="str" cm="1">
        <f t="array" aca="1" ref="D221" ca="1">IF(OR(COUNTIF(damper_names,_xlfn.CONCAT("D_S_",C221))=1, COUNTIF(damper_names,_xlfn.CONCAT("D_E_",C221))=1), "C", "")</f>
        <v/>
      </c>
      <c r="E221" t="str">
        <f t="shared" ca="1" si="0"/>
        <v/>
      </c>
      <c r="F221" t="str">
        <f t="shared" ca="1" si="1"/>
        <v/>
      </c>
      <c r="G221" t="str">
        <f t="shared" ca="1" si="2"/>
        <v/>
      </c>
      <c r="H221" t="str">
        <f t="shared" ca="1" si="3"/>
        <v/>
      </c>
      <c r="I221" t="str">
        <f t="shared" ca="1" si="4"/>
        <v/>
      </c>
    </row>
    <row r="222" spans="1:9" x14ac:dyDescent="0.25">
      <c r="A222" s="1"/>
      <c r="D222" t="str" cm="1">
        <f t="array" aca="1" ref="D222" ca="1">IF(OR(COUNTIF(damper_names,_xlfn.CONCAT("D_S_",C222))=1, COUNTIF(damper_names,_xlfn.CONCAT("D_E_",C222))=1), "C", "")</f>
        <v/>
      </c>
      <c r="E222" t="str">
        <f t="shared" ca="1" si="0"/>
        <v/>
      </c>
      <c r="F222" t="str">
        <f t="shared" ca="1" si="1"/>
        <v/>
      </c>
      <c r="G222" t="str">
        <f t="shared" ca="1" si="2"/>
        <v/>
      </c>
      <c r="H222" t="str">
        <f t="shared" ca="1" si="3"/>
        <v/>
      </c>
      <c r="I222" t="str">
        <f t="shared" ca="1" si="4"/>
        <v/>
      </c>
    </row>
    <row r="223" spans="1:9" x14ac:dyDescent="0.25">
      <c r="A223" s="1"/>
      <c r="D223" t="str" cm="1">
        <f t="array" aca="1" ref="D223" ca="1">IF(OR(COUNTIF(damper_names,_xlfn.CONCAT("D_S_",C223))=1, COUNTIF(damper_names,_xlfn.CONCAT("D_E_",C223))=1), "C", "")</f>
        <v/>
      </c>
      <c r="E223" t="str">
        <f t="shared" ca="1" si="0"/>
        <v/>
      </c>
      <c r="F223" t="str">
        <f t="shared" ca="1" si="1"/>
        <v/>
      </c>
      <c r="G223" t="str">
        <f t="shared" ca="1" si="2"/>
        <v/>
      </c>
      <c r="H223" t="str">
        <f t="shared" ca="1" si="3"/>
        <v/>
      </c>
      <c r="I223" t="str">
        <f t="shared" ca="1" si="4"/>
        <v/>
      </c>
    </row>
    <row r="224" spans="1:9" x14ac:dyDescent="0.25">
      <c r="A224" s="1"/>
      <c r="D224" t="str" cm="1">
        <f t="array" aca="1" ref="D224" ca="1">IF(OR(COUNTIF(damper_names,_xlfn.CONCAT("D_S_",C224))=1, COUNTIF(damper_names,_xlfn.CONCAT("D_E_",C224))=1), "C", "")</f>
        <v/>
      </c>
      <c r="E224" t="str">
        <f t="shared" ca="1" si="0"/>
        <v/>
      </c>
      <c r="F224" t="str">
        <f t="shared" ca="1" si="1"/>
        <v/>
      </c>
      <c r="G224" t="str">
        <f t="shared" ca="1" si="2"/>
        <v/>
      </c>
      <c r="H224" t="str">
        <f t="shared" ca="1" si="3"/>
        <v/>
      </c>
      <c r="I224" t="str">
        <f t="shared" ca="1" si="4"/>
        <v/>
      </c>
    </row>
    <row r="225" spans="1:9" x14ac:dyDescent="0.25">
      <c r="A225" s="1"/>
      <c r="D225" t="str" cm="1">
        <f t="array" aca="1" ref="D225" ca="1">IF(OR(COUNTIF(damper_names,_xlfn.CONCAT("D_S_",C225))=1, COUNTIF(damper_names,_xlfn.CONCAT("D_E_",C225))=1), "C", "")</f>
        <v/>
      </c>
      <c r="E225" t="str">
        <f t="shared" ca="1" si="0"/>
        <v/>
      </c>
      <c r="F225" t="str">
        <f t="shared" ca="1" si="1"/>
        <v/>
      </c>
      <c r="G225" t="str">
        <f t="shared" ca="1" si="2"/>
        <v/>
      </c>
      <c r="H225" t="str">
        <f t="shared" ca="1" si="3"/>
        <v/>
      </c>
      <c r="I225" t="str">
        <f t="shared" ca="1" si="4"/>
        <v/>
      </c>
    </row>
    <row r="226" spans="1:9" x14ac:dyDescent="0.25">
      <c r="A226" s="1"/>
      <c r="D226" t="str" cm="1">
        <f t="array" aca="1" ref="D226" ca="1">IF(OR(COUNTIF(damper_names,_xlfn.CONCAT("D_S_",C226))=1, COUNTIF(damper_names,_xlfn.CONCAT("D_E_",C226))=1), "C", "")</f>
        <v/>
      </c>
      <c r="E226" t="str">
        <f t="shared" ca="1" si="0"/>
        <v/>
      </c>
      <c r="F226" t="str">
        <f t="shared" ca="1" si="1"/>
        <v/>
      </c>
      <c r="G226" t="str">
        <f t="shared" ca="1" si="2"/>
        <v/>
      </c>
      <c r="H226" t="str">
        <f t="shared" ca="1" si="3"/>
        <v/>
      </c>
      <c r="I226" t="str">
        <f t="shared" ca="1" si="4"/>
        <v/>
      </c>
    </row>
    <row r="227" spans="1:9" x14ac:dyDescent="0.25">
      <c r="A227" s="1"/>
      <c r="D227" t="str" cm="1">
        <f t="array" aca="1" ref="D227" ca="1">IF(OR(COUNTIF(damper_names,_xlfn.CONCAT("D_S_",C227))=1, COUNTIF(damper_names,_xlfn.CONCAT("D_E_",C227))=1), "C", "")</f>
        <v/>
      </c>
      <c r="E227" t="str">
        <f t="shared" ca="1" si="0"/>
        <v/>
      </c>
      <c r="F227" t="str">
        <f t="shared" ca="1" si="1"/>
        <v/>
      </c>
      <c r="G227" t="str">
        <f t="shared" ca="1" si="2"/>
        <v/>
      </c>
      <c r="H227" t="str">
        <f t="shared" ca="1" si="3"/>
        <v/>
      </c>
      <c r="I227" t="str">
        <f t="shared" ca="1" si="4"/>
        <v/>
      </c>
    </row>
    <row r="228" spans="1:9" x14ac:dyDescent="0.25">
      <c r="A228" s="1"/>
      <c r="D228" t="str" cm="1">
        <f t="array" aca="1" ref="D228" ca="1">IF(OR(COUNTIF(damper_names,_xlfn.CONCAT("D_S_",C228))=1, COUNTIF(damper_names,_xlfn.CONCAT("D_E_",C228))=1), "C", "")</f>
        <v/>
      </c>
      <c r="E228" t="str">
        <f t="shared" ca="1" si="0"/>
        <v/>
      </c>
      <c r="F228" t="str">
        <f t="shared" ca="1" si="1"/>
        <v/>
      </c>
      <c r="G228" t="str">
        <f t="shared" ca="1" si="2"/>
        <v/>
      </c>
      <c r="H228" t="str">
        <f t="shared" ca="1" si="3"/>
        <v/>
      </c>
      <c r="I228" t="str">
        <f t="shared" ca="1" si="4"/>
        <v/>
      </c>
    </row>
    <row r="229" spans="1:9" x14ac:dyDescent="0.25">
      <c r="A229" s="1"/>
      <c r="D229" t="str" cm="1">
        <f t="array" aca="1" ref="D229" ca="1">IF(OR(COUNTIF(damper_names,_xlfn.CONCAT("D_S_",C229))=1, COUNTIF(damper_names,_xlfn.CONCAT("D_E_",C229))=1), "C", "")</f>
        <v/>
      </c>
      <c r="E229" t="str">
        <f t="shared" ca="1" si="0"/>
        <v/>
      </c>
      <c r="F229" t="str">
        <f t="shared" ca="1" si="1"/>
        <v/>
      </c>
      <c r="G229" t="str">
        <f t="shared" ca="1" si="2"/>
        <v/>
      </c>
      <c r="H229" t="str">
        <f t="shared" ca="1" si="3"/>
        <v/>
      </c>
      <c r="I229" t="str">
        <f t="shared" ca="1" si="4"/>
        <v/>
      </c>
    </row>
    <row r="230" spans="1:9" x14ac:dyDescent="0.25">
      <c r="A230" s="1"/>
      <c r="D230" t="str" cm="1">
        <f t="array" aca="1" ref="D230" ca="1">IF(OR(COUNTIF(damper_names,_xlfn.CONCAT("D_S_",C230))=1, COUNTIF(damper_names,_xlfn.CONCAT("D_E_",C230))=1), "C", "")</f>
        <v/>
      </c>
      <c r="E230" t="str">
        <f t="shared" ca="1" si="0"/>
        <v/>
      </c>
      <c r="F230" t="str">
        <f t="shared" ca="1" si="1"/>
        <v/>
      </c>
      <c r="G230" t="str">
        <f t="shared" ca="1" si="2"/>
        <v/>
      </c>
      <c r="H230" t="str">
        <f t="shared" ca="1" si="3"/>
        <v/>
      </c>
      <c r="I230" t="str">
        <f t="shared" ca="1" si="4"/>
        <v/>
      </c>
    </row>
    <row r="231" spans="1:9" x14ac:dyDescent="0.25">
      <c r="A231" s="1"/>
      <c r="D231" t="str" cm="1">
        <f t="array" aca="1" ref="D231" ca="1">IF(OR(COUNTIF(damper_names,_xlfn.CONCAT("D_S_",C231))=1, COUNTIF(damper_names,_xlfn.CONCAT("D_E_",C231))=1), "C", "")</f>
        <v/>
      </c>
      <c r="E231" t="str">
        <f t="shared" ca="1" si="0"/>
        <v/>
      </c>
      <c r="F231" t="str">
        <f t="shared" ca="1" si="1"/>
        <v/>
      </c>
      <c r="G231" t="str">
        <f t="shared" ca="1" si="2"/>
        <v/>
      </c>
      <c r="H231" t="str">
        <f t="shared" ca="1" si="3"/>
        <v/>
      </c>
      <c r="I231" t="str">
        <f t="shared" ca="1" si="4"/>
        <v/>
      </c>
    </row>
    <row r="232" spans="1:9" x14ac:dyDescent="0.25">
      <c r="A232" s="1"/>
      <c r="D232" t="str" cm="1">
        <f t="array" aca="1" ref="D232" ca="1">IF(OR(COUNTIF(damper_names,_xlfn.CONCAT("D_S_",C232))=1, COUNTIF(damper_names,_xlfn.CONCAT("D_E_",C232))=1), "C", "")</f>
        <v/>
      </c>
      <c r="E232" t="str">
        <f t="shared" ca="1" si="0"/>
        <v/>
      </c>
      <c r="F232" t="str">
        <f t="shared" ca="1" si="1"/>
        <v/>
      </c>
      <c r="G232" t="str">
        <f t="shared" ca="1" si="2"/>
        <v/>
      </c>
      <c r="H232" t="str">
        <f t="shared" ca="1" si="3"/>
        <v/>
      </c>
      <c r="I232" t="str">
        <f t="shared" ca="1" si="4"/>
        <v/>
      </c>
    </row>
    <row r="233" spans="1:9" x14ac:dyDescent="0.25">
      <c r="A233" s="1"/>
      <c r="D233" t="str" cm="1">
        <f t="array" aca="1" ref="D233" ca="1">IF(OR(COUNTIF(damper_names,_xlfn.CONCAT("D_S_",C233))=1, COUNTIF(damper_names,_xlfn.CONCAT("D_E_",C233))=1), "C", "")</f>
        <v/>
      </c>
      <c r="E233" t="str">
        <f t="shared" ca="1" si="0"/>
        <v/>
      </c>
      <c r="F233" t="str">
        <f t="shared" ca="1" si="1"/>
        <v/>
      </c>
      <c r="G233" t="str">
        <f t="shared" ca="1" si="2"/>
        <v/>
      </c>
      <c r="H233" t="str">
        <f t="shared" ca="1" si="3"/>
        <v/>
      </c>
      <c r="I233" t="str">
        <f t="shared" ca="1" si="4"/>
        <v/>
      </c>
    </row>
    <row r="234" spans="1:9" x14ac:dyDescent="0.25">
      <c r="A234" s="1"/>
      <c r="D234" t="str" cm="1">
        <f t="array" aca="1" ref="D234" ca="1">IF(OR(COUNTIF(damper_names,_xlfn.CONCAT("D_S_",C234))=1, COUNTIF(damper_names,_xlfn.CONCAT("D_E_",C234))=1), "C", "")</f>
        <v/>
      </c>
      <c r="E234" t="str">
        <f t="shared" ca="1" si="0"/>
        <v/>
      </c>
      <c r="F234" t="str">
        <f t="shared" ca="1" si="1"/>
        <v/>
      </c>
      <c r="G234" t="str">
        <f t="shared" ca="1" si="2"/>
        <v/>
      </c>
      <c r="H234" t="str">
        <f t="shared" ca="1" si="3"/>
        <v/>
      </c>
      <c r="I234" t="str">
        <f t="shared" ca="1" si="4"/>
        <v/>
      </c>
    </row>
    <row r="235" spans="1:9" x14ac:dyDescent="0.25">
      <c r="A235" s="1"/>
      <c r="D235" t="str" cm="1">
        <f t="array" aca="1" ref="D235" ca="1">IF(OR(COUNTIF(damper_names,_xlfn.CONCAT("D_S_",C235))=1, COUNTIF(damper_names,_xlfn.CONCAT("D_E_",C235))=1), "C", "")</f>
        <v/>
      </c>
      <c r="E235" t="str">
        <f t="shared" ca="1" si="0"/>
        <v/>
      </c>
      <c r="F235" t="str">
        <f t="shared" ca="1" si="1"/>
        <v/>
      </c>
      <c r="G235" t="str">
        <f t="shared" ca="1" si="2"/>
        <v/>
      </c>
      <c r="H235" t="str">
        <f t="shared" ca="1" si="3"/>
        <v/>
      </c>
      <c r="I235" t="str">
        <f t="shared" ca="1" si="4"/>
        <v/>
      </c>
    </row>
    <row r="236" spans="1:9" x14ac:dyDescent="0.25">
      <c r="A236" s="1"/>
      <c r="D236" t="str" cm="1">
        <f t="array" aca="1" ref="D236" ca="1">IF(OR(COUNTIF(damper_names,_xlfn.CONCAT("D_S_",C236))=1, COUNTIF(damper_names,_xlfn.CONCAT("D_E_",C236))=1), "C", "")</f>
        <v/>
      </c>
      <c r="E236" t="str">
        <f t="shared" ca="1" si="0"/>
        <v/>
      </c>
      <c r="F236" t="str">
        <f t="shared" ca="1" si="1"/>
        <v/>
      </c>
      <c r="G236" t="str">
        <f t="shared" ca="1" si="2"/>
        <v/>
      </c>
      <c r="H236" t="str">
        <f t="shared" ca="1" si="3"/>
        <v/>
      </c>
      <c r="I236" t="str">
        <f t="shared" ca="1" si="4"/>
        <v/>
      </c>
    </row>
    <row r="237" spans="1:9" x14ac:dyDescent="0.25">
      <c r="A237" s="1"/>
      <c r="D237" t="str" cm="1">
        <f t="array" aca="1" ref="D237" ca="1">IF(OR(COUNTIF(damper_names,_xlfn.CONCAT("D_S_",C237))=1, COUNTIF(damper_names,_xlfn.CONCAT("D_E_",C237))=1), "C", "")</f>
        <v/>
      </c>
      <c r="E237" t="str">
        <f t="shared" ca="1" si="0"/>
        <v/>
      </c>
      <c r="F237" t="str">
        <f t="shared" ca="1" si="1"/>
        <v/>
      </c>
      <c r="G237" t="str">
        <f t="shared" ca="1" si="2"/>
        <v/>
      </c>
      <c r="H237" t="str">
        <f t="shared" ca="1" si="3"/>
        <v/>
      </c>
      <c r="I237" t="str">
        <f t="shared" ca="1" si="4"/>
        <v/>
      </c>
    </row>
    <row r="238" spans="1:9" x14ac:dyDescent="0.25">
      <c r="A238" s="1"/>
      <c r="D238" t="str" cm="1">
        <f t="array" aca="1" ref="D238" ca="1">IF(OR(COUNTIF(damper_names,_xlfn.CONCAT("D_S_",C238))=1, COUNTIF(damper_names,_xlfn.CONCAT("D_E_",C238))=1), "C", "")</f>
        <v/>
      </c>
      <c r="E238" t="str">
        <f t="shared" ca="1" si="0"/>
        <v/>
      </c>
      <c r="F238" t="str">
        <f t="shared" ca="1" si="1"/>
        <v/>
      </c>
      <c r="G238" t="str">
        <f t="shared" ca="1" si="2"/>
        <v/>
      </c>
      <c r="H238" t="str">
        <f t="shared" ca="1" si="3"/>
        <v/>
      </c>
      <c r="I238" t="str">
        <f t="shared" ca="1" si="4"/>
        <v/>
      </c>
    </row>
    <row r="239" spans="1:9" x14ac:dyDescent="0.25">
      <c r="A239" s="1"/>
      <c r="D239" t="str" cm="1">
        <f t="array" aca="1" ref="D239" ca="1">IF(OR(COUNTIF(damper_names,_xlfn.CONCAT("D_S_",C239))=1, COUNTIF(damper_names,_xlfn.CONCAT("D_E_",C239))=1), "C", "")</f>
        <v/>
      </c>
      <c r="E239" t="str">
        <f t="shared" ca="1" si="0"/>
        <v/>
      </c>
      <c r="F239" t="str">
        <f t="shared" ca="1" si="1"/>
        <v/>
      </c>
      <c r="G239" t="str">
        <f t="shared" ca="1" si="2"/>
        <v/>
      </c>
      <c r="H239" t="str">
        <f t="shared" ca="1" si="3"/>
        <v/>
      </c>
      <c r="I239" t="str">
        <f t="shared" ca="1" si="4"/>
        <v/>
      </c>
    </row>
    <row r="240" spans="1:9" x14ac:dyDescent="0.25">
      <c r="A240" s="1"/>
      <c r="D240" t="str" cm="1">
        <f t="array" aca="1" ref="D240" ca="1">IF(OR(COUNTIF(damper_names,_xlfn.CONCAT("D_S_",C240))=1, COUNTIF(damper_names,_xlfn.CONCAT("D_E_",C240))=1), "C", "")</f>
        <v/>
      </c>
      <c r="E240" t="str">
        <f t="shared" ca="1" si="0"/>
        <v/>
      </c>
      <c r="F240" t="str">
        <f t="shared" ca="1" si="1"/>
        <v/>
      </c>
      <c r="G240" t="str">
        <f t="shared" ca="1" si="2"/>
        <v/>
      </c>
      <c r="H240" t="str">
        <f t="shared" ca="1" si="3"/>
        <v/>
      </c>
      <c r="I240" t="str">
        <f t="shared" ca="1" si="4"/>
        <v/>
      </c>
    </row>
    <row r="241" spans="1:9" x14ac:dyDescent="0.25">
      <c r="A241" s="1"/>
      <c r="D241" t="str" cm="1">
        <f t="array" aca="1" ref="D241" ca="1">IF(OR(COUNTIF(damper_names,_xlfn.CONCAT("D_S_",C241))=1, COUNTIF(damper_names,_xlfn.CONCAT("D_E_",C241))=1), "C", "")</f>
        <v/>
      </c>
      <c r="E241" t="str">
        <f t="shared" ca="1" si="0"/>
        <v/>
      </c>
      <c r="F241" t="str">
        <f t="shared" ca="1" si="1"/>
        <v/>
      </c>
      <c r="G241" t="str">
        <f t="shared" ca="1" si="2"/>
        <v/>
      </c>
      <c r="H241" t="str">
        <f t="shared" ca="1" si="3"/>
        <v/>
      </c>
      <c r="I241" t="str">
        <f t="shared" ca="1" si="4"/>
        <v/>
      </c>
    </row>
    <row r="242" spans="1:9" x14ac:dyDescent="0.25">
      <c r="A242" s="1"/>
      <c r="D242" t="str" cm="1">
        <f t="array" aca="1" ref="D242" ca="1">IF(OR(COUNTIF(damper_names,_xlfn.CONCAT("D_S_",C242))=1, COUNTIF(damper_names,_xlfn.CONCAT("D_E_",C242))=1), "C", "")</f>
        <v/>
      </c>
      <c r="E242" t="str">
        <f t="shared" ca="1" si="0"/>
        <v/>
      </c>
      <c r="F242" t="str">
        <f t="shared" ca="1" si="1"/>
        <v/>
      </c>
      <c r="G242" t="str">
        <f t="shared" ca="1" si="2"/>
        <v/>
      </c>
      <c r="H242" t="str">
        <f t="shared" ca="1" si="3"/>
        <v/>
      </c>
      <c r="I242" t="str">
        <f t="shared" ca="1" si="4"/>
        <v/>
      </c>
    </row>
    <row r="243" spans="1:9" x14ac:dyDescent="0.25">
      <c r="A243" s="1"/>
      <c r="D243" t="str" cm="1">
        <f t="array" aca="1" ref="D243" ca="1">IF(OR(COUNTIF(damper_names,_xlfn.CONCAT("D_S_",C243))=1, COUNTIF(damper_names,_xlfn.CONCAT("D_E_",C243))=1), "C", "")</f>
        <v/>
      </c>
      <c r="E243" t="str">
        <f t="shared" ref="E243:E306" ca="1" si="5">IF(D243="T", 0.05, IF(D243="C", -0.01, ""))</f>
        <v/>
      </c>
      <c r="F243" t="str">
        <f t="shared" ref="F243:F306" ca="1" si="6">IF(D243="T", 0.05, IF(D243="C", 0, ""))</f>
        <v/>
      </c>
      <c r="G243" t="str">
        <f t="shared" ref="G243:G306" ca="1" si="7">IF(D243="T", 0, IF(D243="C", 0, ""))</f>
        <v/>
      </c>
      <c r="H243" t="str">
        <f t="shared" ref="H243:H306" ca="1" si="8">IF(D243="T", 0.05, IF(D243="C", 0, ""))</f>
        <v/>
      </c>
      <c r="I243" t="str">
        <f t="shared" ref="I243:I306" ca="1" si="9">IF(D243="T", 0, IF(D243="C", 0, ""))</f>
        <v/>
      </c>
    </row>
    <row r="244" spans="1:9" x14ac:dyDescent="0.25">
      <c r="A244" s="1"/>
      <c r="D244" t="str" cm="1">
        <f t="array" aca="1" ref="D244" ca="1">IF(OR(COUNTIF(damper_names,_xlfn.CONCAT("D_S_",C244))=1, COUNTIF(damper_names,_xlfn.CONCAT("D_E_",C244))=1), "C", "")</f>
        <v/>
      </c>
      <c r="E244" t="str">
        <f t="shared" ca="1" si="5"/>
        <v/>
      </c>
      <c r="F244" t="str">
        <f t="shared" ca="1" si="6"/>
        <v/>
      </c>
      <c r="G244" t="str">
        <f t="shared" ca="1" si="7"/>
        <v/>
      </c>
      <c r="H244" t="str">
        <f t="shared" ca="1" si="8"/>
        <v/>
      </c>
      <c r="I244" t="str">
        <f t="shared" ca="1" si="9"/>
        <v/>
      </c>
    </row>
    <row r="245" spans="1:9" x14ac:dyDescent="0.25">
      <c r="A245" s="1"/>
      <c r="D245" t="str" cm="1">
        <f t="array" aca="1" ref="D245" ca="1">IF(OR(COUNTIF(damper_names,_xlfn.CONCAT("D_S_",C245))=1, COUNTIF(damper_names,_xlfn.CONCAT("D_E_",C245))=1), "C", "")</f>
        <v/>
      </c>
      <c r="E245" t="str">
        <f t="shared" ca="1" si="5"/>
        <v/>
      </c>
      <c r="F245" t="str">
        <f t="shared" ca="1" si="6"/>
        <v/>
      </c>
      <c r="G245" t="str">
        <f t="shared" ca="1" si="7"/>
        <v/>
      </c>
      <c r="H245" t="str">
        <f t="shared" ca="1" si="8"/>
        <v/>
      </c>
      <c r="I245" t="str">
        <f t="shared" ca="1" si="9"/>
        <v/>
      </c>
    </row>
    <row r="246" spans="1:9" x14ac:dyDescent="0.25">
      <c r="A246" s="1"/>
      <c r="D246" t="str" cm="1">
        <f t="array" aca="1" ref="D246" ca="1">IF(OR(COUNTIF(damper_names,_xlfn.CONCAT("D_S_",C246))=1, COUNTIF(damper_names,_xlfn.CONCAT("D_E_",C246))=1), "C", "")</f>
        <v/>
      </c>
      <c r="E246" t="str">
        <f t="shared" ca="1" si="5"/>
        <v/>
      </c>
      <c r="F246" t="str">
        <f t="shared" ca="1" si="6"/>
        <v/>
      </c>
      <c r="G246" t="str">
        <f t="shared" ca="1" si="7"/>
        <v/>
      </c>
      <c r="H246" t="str">
        <f t="shared" ca="1" si="8"/>
        <v/>
      </c>
      <c r="I246" t="str">
        <f t="shared" ca="1" si="9"/>
        <v/>
      </c>
    </row>
    <row r="247" spans="1:9" x14ac:dyDescent="0.25">
      <c r="A247" s="1"/>
      <c r="D247" t="str" cm="1">
        <f t="array" aca="1" ref="D247" ca="1">IF(OR(COUNTIF(damper_names,_xlfn.CONCAT("D_S_",C247))=1, COUNTIF(damper_names,_xlfn.CONCAT("D_E_",C247))=1), "C", "")</f>
        <v/>
      </c>
      <c r="E247" t="str">
        <f t="shared" ca="1" si="5"/>
        <v/>
      </c>
      <c r="F247" t="str">
        <f t="shared" ca="1" si="6"/>
        <v/>
      </c>
      <c r="G247" t="str">
        <f t="shared" ca="1" si="7"/>
        <v/>
      </c>
      <c r="H247" t="str">
        <f t="shared" ca="1" si="8"/>
        <v/>
      </c>
      <c r="I247" t="str">
        <f t="shared" ca="1" si="9"/>
        <v/>
      </c>
    </row>
    <row r="248" spans="1:9" x14ac:dyDescent="0.25">
      <c r="A248" s="1"/>
      <c r="D248" t="str" cm="1">
        <f t="array" aca="1" ref="D248" ca="1">IF(OR(COUNTIF(damper_names,_xlfn.CONCAT("D_S_",C248))=1, COUNTIF(damper_names,_xlfn.CONCAT("D_E_",C248))=1), "C", "")</f>
        <v/>
      </c>
      <c r="E248" t="str">
        <f t="shared" ca="1" si="5"/>
        <v/>
      </c>
      <c r="F248" t="str">
        <f t="shared" ca="1" si="6"/>
        <v/>
      </c>
      <c r="G248" t="str">
        <f t="shared" ca="1" si="7"/>
        <v/>
      </c>
      <c r="H248" t="str">
        <f t="shared" ca="1" si="8"/>
        <v/>
      </c>
      <c r="I248" t="str">
        <f t="shared" ca="1" si="9"/>
        <v/>
      </c>
    </row>
    <row r="249" spans="1:9" x14ac:dyDescent="0.25">
      <c r="A249" s="1"/>
      <c r="D249" t="str" cm="1">
        <f t="array" aca="1" ref="D249" ca="1">IF(OR(COUNTIF(damper_names,_xlfn.CONCAT("D_S_",C249))=1, COUNTIF(damper_names,_xlfn.CONCAT("D_E_",C249))=1), "C", "")</f>
        <v/>
      </c>
      <c r="E249" t="str">
        <f t="shared" ca="1" si="5"/>
        <v/>
      </c>
      <c r="F249" t="str">
        <f t="shared" ca="1" si="6"/>
        <v/>
      </c>
      <c r="G249" t="str">
        <f t="shared" ca="1" si="7"/>
        <v/>
      </c>
      <c r="H249" t="str">
        <f t="shared" ca="1" si="8"/>
        <v/>
      </c>
      <c r="I249" t="str">
        <f t="shared" ca="1" si="9"/>
        <v/>
      </c>
    </row>
    <row r="250" spans="1:9" x14ac:dyDescent="0.25">
      <c r="A250" s="1"/>
      <c r="D250" t="str" cm="1">
        <f t="array" aca="1" ref="D250" ca="1">IF(OR(COUNTIF(damper_names,_xlfn.CONCAT("D_S_",C250))=1, COUNTIF(damper_names,_xlfn.CONCAT("D_E_",C250))=1), "C", "")</f>
        <v/>
      </c>
      <c r="E250" t="str">
        <f t="shared" ca="1" si="5"/>
        <v/>
      </c>
      <c r="F250" t="str">
        <f t="shared" ca="1" si="6"/>
        <v/>
      </c>
      <c r="G250" t="str">
        <f t="shared" ca="1" si="7"/>
        <v/>
      </c>
      <c r="H250" t="str">
        <f t="shared" ca="1" si="8"/>
        <v/>
      </c>
      <c r="I250" t="str">
        <f t="shared" ca="1" si="9"/>
        <v/>
      </c>
    </row>
    <row r="251" spans="1:9" x14ac:dyDescent="0.25">
      <c r="A251" s="1"/>
      <c r="D251" t="str" cm="1">
        <f t="array" aca="1" ref="D251" ca="1">IF(OR(COUNTIF(damper_names,_xlfn.CONCAT("D_S_",C251))=1, COUNTIF(damper_names,_xlfn.CONCAT("D_E_",C251))=1), "C", "")</f>
        <v/>
      </c>
      <c r="E251" t="str">
        <f t="shared" ca="1" si="5"/>
        <v/>
      </c>
      <c r="F251" t="str">
        <f t="shared" ca="1" si="6"/>
        <v/>
      </c>
      <c r="G251" t="str">
        <f t="shared" ca="1" si="7"/>
        <v/>
      </c>
      <c r="H251" t="str">
        <f t="shared" ca="1" si="8"/>
        <v/>
      </c>
      <c r="I251" t="str">
        <f t="shared" ca="1" si="9"/>
        <v/>
      </c>
    </row>
    <row r="252" spans="1:9" x14ac:dyDescent="0.25">
      <c r="A252" s="1"/>
      <c r="D252" t="str" cm="1">
        <f t="array" aca="1" ref="D252" ca="1">IF(OR(COUNTIF(damper_names,_xlfn.CONCAT("D_S_",C252))=1, COUNTIF(damper_names,_xlfn.CONCAT("D_E_",C252))=1), "C", "")</f>
        <v/>
      </c>
      <c r="E252" t="str">
        <f t="shared" ca="1" si="5"/>
        <v/>
      </c>
      <c r="F252" t="str">
        <f t="shared" ca="1" si="6"/>
        <v/>
      </c>
      <c r="G252" t="str">
        <f t="shared" ca="1" si="7"/>
        <v/>
      </c>
      <c r="H252" t="str">
        <f t="shared" ca="1" si="8"/>
        <v/>
      </c>
      <c r="I252" t="str">
        <f t="shared" ca="1" si="9"/>
        <v/>
      </c>
    </row>
    <row r="253" spans="1:9" x14ac:dyDescent="0.25">
      <c r="A253" s="1"/>
      <c r="D253" t="str" cm="1">
        <f t="array" aca="1" ref="D253" ca="1">IF(OR(COUNTIF(damper_names,_xlfn.CONCAT("D_S_",C253))=1, COUNTIF(damper_names,_xlfn.CONCAT("D_E_",C253))=1), "C", "")</f>
        <v/>
      </c>
      <c r="E253" t="str">
        <f t="shared" ca="1" si="5"/>
        <v/>
      </c>
      <c r="F253" t="str">
        <f t="shared" ca="1" si="6"/>
        <v/>
      </c>
      <c r="G253" t="str">
        <f t="shared" ca="1" si="7"/>
        <v/>
      </c>
      <c r="H253" t="str">
        <f t="shared" ca="1" si="8"/>
        <v/>
      </c>
      <c r="I253" t="str">
        <f t="shared" ca="1" si="9"/>
        <v/>
      </c>
    </row>
    <row r="254" spans="1:9" x14ac:dyDescent="0.25">
      <c r="A254" s="1"/>
      <c r="D254" t="str" cm="1">
        <f t="array" aca="1" ref="D254" ca="1">IF(OR(COUNTIF(damper_names,_xlfn.CONCAT("D_S_",C254))=1, COUNTIF(damper_names,_xlfn.CONCAT("D_E_",C254))=1), "C", "")</f>
        <v/>
      </c>
      <c r="E254" t="str">
        <f t="shared" ca="1" si="5"/>
        <v/>
      </c>
      <c r="F254" t="str">
        <f t="shared" ca="1" si="6"/>
        <v/>
      </c>
      <c r="G254" t="str">
        <f t="shared" ca="1" si="7"/>
        <v/>
      </c>
      <c r="H254" t="str">
        <f t="shared" ca="1" si="8"/>
        <v/>
      </c>
      <c r="I254" t="str">
        <f t="shared" ca="1" si="9"/>
        <v/>
      </c>
    </row>
    <row r="255" spans="1:9" x14ac:dyDescent="0.25">
      <c r="A255" s="1"/>
      <c r="D255" t="str" cm="1">
        <f t="array" aca="1" ref="D255" ca="1">IF(OR(COUNTIF(damper_names,_xlfn.CONCAT("D_S_",C255))=1, COUNTIF(damper_names,_xlfn.CONCAT("D_E_",C255))=1), "C", "")</f>
        <v/>
      </c>
      <c r="E255" t="str">
        <f t="shared" ca="1" si="5"/>
        <v/>
      </c>
      <c r="F255" t="str">
        <f t="shared" ca="1" si="6"/>
        <v/>
      </c>
      <c r="G255" t="str">
        <f t="shared" ca="1" si="7"/>
        <v/>
      </c>
      <c r="H255" t="str">
        <f t="shared" ca="1" si="8"/>
        <v/>
      </c>
      <c r="I255" t="str">
        <f t="shared" ca="1" si="9"/>
        <v/>
      </c>
    </row>
    <row r="256" spans="1:9" x14ac:dyDescent="0.25">
      <c r="A256" s="1"/>
      <c r="D256" t="str" cm="1">
        <f t="array" aca="1" ref="D256" ca="1">IF(OR(COUNTIF(damper_names,_xlfn.CONCAT("D_S_",C256))=1, COUNTIF(damper_names,_xlfn.CONCAT("D_E_",C256))=1), "C", "")</f>
        <v/>
      </c>
      <c r="E256" t="str">
        <f t="shared" ca="1" si="5"/>
        <v/>
      </c>
      <c r="F256" t="str">
        <f t="shared" ca="1" si="6"/>
        <v/>
      </c>
      <c r="G256" t="str">
        <f t="shared" ca="1" si="7"/>
        <v/>
      </c>
      <c r="H256" t="str">
        <f t="shared" ca="1" si="8"/>
        <v/>
      </c>
      <c r="I256" t="str">
        <f t="shared" ca="1" si="9"/>
        <v/>
      </c>
    </row>
    <row r="257" spans="1:9" x14ac:dyDescent="0.25">
      <c r="A257" s="1"/>
      <c r="D257" t="str" cm="1">
        <f t="array" aca="1" ref="D257" ca="1">IF(OR(COUNTIF(damper_names,_xlfn.CONCAT("D_S_",C257))=1, COUNTIF(damper_names,_xlfn.CONCAT("D_E_",C257))=1), "C", "")</f>
        <v/>
      </c>
      <c r="E257" t="str">
        <f t="shared" ca="1" si="5"/>
        <v/>
      </c>
      <c r="F257" t="str">
        <f t="shared" ca="1" si="6"/>
        <v/>
      </c>
      <c r="G257" t="str">
        <f t="shared" ca="1" si="7"/>
        <v/>
      </c>
      <c r="H257" t="str">
        <f t="shared" ca="1" si="8"/>
        <v/>
      </c>
      <c r="I257" t="str">
        <f t="shared" ca="1" si="9"/>
        <v/>
      </c>
    </row>
    <row r="258" spans="1:9" x14ac:dyDescent="0.25">
      <c r="A258" s="1"/>
      <c r="D258" t="str" cm="1">
        <f t="array" aca="1" ref="D258" ca="1">IF(OR(COUNTIF(damper_names,_xlfn.CONCAT("D_S_",C258))=1, COUNTIF(damper_names,_xlfn.CONCAT("D_E_",C258))=1), "C", "")</f>
        <v/>
      </c>
      <c r="E258" t="str">
        <f t="shared" ca="1" si="5"/>
        <v/>
      </c>
      <c r="F258" t="str">
        <f t="shared" ca="1" si="6"/>
        <v/>
      </c>
      <c r="G258" t="str">
        <f t="shared" ca="1" si="7"/>
        <v/>
      </c>
      <c r="H258" t="str">
        <f t="shared" ca="1" si="8"/>
        <v/>
      </c>
      <c r="I258" t="str">
        <f t="shared" ca="1" si="9"/>
        <v/>
      </c>
    </row>
    <row r="259" spans="1:9" x14ac:dyDescent="0.25">
      <c r="A259" s="1"/>
      <c r="D259" t="str" cm="1">
        <f t="array" aca="1" ref="D259" ca="1">IF(OR(COUNTIF(damper_names,_xlfn.CONCAT("D_S_",C259))=1, COUNTIF(damper_names,_xlfn.CONCAT("D_E_",C259))=1), "C", "")</f>
        <v/>
      </c>
      <c r="E259" t="str">
        <f t="shared" ca="1" si="5"/>
        <v/>
      </c>
      <c r="F259" t="str">
        <f t="shared" ca="1" si="6"/>
        <v/>
      </c>
      <c r="G259" t="str">
        <f t="shared" ca="1" si="7"/>
        <v/>
      </c>
      <c r="H259" t="str">
        <f t="shared" ca="1" si="8"/>
        <v/>
      </c>
      <c r="I259" t="str">
        <f t="shared" ca="1" si="9"/>
        <v/>
      </c>
    </row>
    <row r="260" spans="1:9" x14ac:dyDescent="0.25">
      <c r="A260" s="1"/>
      <c r="D260" t="str" cm="1">
        <f t="array" aca="1" ref="D260" ca="1">IF(OR(COUNTIF(damper_names,_xlfn.CONCAT("D_S_",C260))=1, COUNTIF(damper_names,_xlfn.CONCAT("D_E_",C260))=1), "C", "")</f>
        <v/>
      </c>
      <c r="E260" t="str">
        <f t="shared" ca="1" si="5"/>
        <v/>
      </c>
      <c r="F260" t="str">
        <f t="shared" ca="1" si="6"/>
        <v/>
      </c>
      <c r="G260" t="str">
        <f t="shared" ca="1" si="7"/>
        <v/>
      </c>
      <c r="H260" t="str">
        <f t="shared" ca="1" si="8"/>
        <v/>
      </c>
      <c r="I260" t="str">
        <f t="shared" ca="1" si="9"/>
        <v/>
      </c>
    </row>
    <row r="261" spans="1:9" x14ac:dyDescent="0.25">
      <c r="A261" s="1"/>
      <c r="D261" t="str" cm="1">
        <f t="array" aca="1" ref="D261" ca="1">IF(OR(COUNTIF(damper_names,_xlfn.CONCAT("D_S_",C261))=1, COUNTIF(damper_names,_xlfn.CONCAT("D_E_",C261))=1), "C", "")</f>
        <v/>
      </c>
      <c r="E261" t="str">
        <f t="shared" ca="1" si="5"/>
        <v/>
      </c>
      <c r="F261" t="str">
        <f t="shared" ca="1" si="6"/>
        <v/>
      </c>
      <c r="G261" t="str">
        <f t="shared" ca="1" si="7"/>
        <v/>
      </c>
      <c r="H261" t="str">
        <f t="shared" ca="1" si="8"/>
        <v/>
      </c>
      <c r="I261" t="str">
        <f t="shared" ca="1" si="9"/>
        <v/>
      </c>
    </row>
    <row r="262" spans="1:9" x14ac:dyDescent="0.25">
      <c r="A262" s="1"/>
      <c r="D262" t="str" cm="1">
        <f t="array" aca="1" ref="D262" ca="1">IF(OR(COUNTIF(damper_names,_xlfn.CONCAT("D_S_",C262))=1, COUNTIF(damper_names,_xlfn.CONCAT("D_E_",C262))=1), "C", "")</f>
        <v/>
      </c>
      <c r="E262" t="str">
        <f t="shared" ca="1" si="5"/>
        <v/>
      </c>
      <c r="F262" t="str">
        <f t="shared" ca="1" si="6"/>
        <v/>
      </c>
      <c r="G262" t="str">
        <f t="shared" ca="1" si="7"/>
        <v/>
      </c>
      <c r="H262" t="str">
        <f t="shared" ca="1" si="8"/>
        <v/>
      </c>
      <c r="I262" t="str">
        <f t="shared" ca="1" si="9"/>
        <v/>
      </c>
    </row>
    <row r="263" spans="1:9" x14ac:dyDescent="0.25">
      <c r="A263" s="1"/>
      <c r="D263" t="str" cm="1">
        <f t="array" aca="1" ref="D263" ca="1">IF(OR(COUNTIF(damper_names,_xlfn.CONCAT("D_S_",C263))=1, COUNTIF(damper_names,_xlfn.CONCAT("D_E_",C263))=1), "C", "")</f>
        <v/>
      </c>
      <c r="E263" t="str">
        <f t="shared" ca="1" si="5"/>
        <v/>
      </c>
      <c r="F263" t="str">
        <f t="shared" ca="1" si="6"/>
        <v/>
      </c>
      <c r="G263" t="str">
        <f t="shared" ca="1" si="7"/>
        <v/>
      </c>
      <c r="H263" t="str">
        <f t="shared" ca="1" si="8"/>
        <v/>
      </c>
      <c r="I263" t="str">
        <f t="shared" ca="1" si="9"/>
        <v/>
      </c>
    </row>
    <row r="264" spans="1:9" x14ac:dyDescent="0.25">
      <c r="A264" s="1"/>
      <c r="D264" t="str" cm="1">
        <f t="array" aca="1" ref="D264" ca="1">IF(OR(COUNTIF(damper_names,_xlfn.CONCAT("D_S_",C264))=1, COUNTIF(damper_names,_xlfn.CONCAT("D_E_",C264))=1), "C", "")</f>
        <v/>
      </c>
      <c r="E264" t="str">
        <f t="shared" ca="1" si="5"/>
        <v/>
      </c>
      <c r="F264" t="str">
        <f t="shared" ca="1" si="6"/>
        <v/>
      </c>
      <c r="G264" t="str">
        <f t="shared" ca="1" si="7"/>
        <v/>
      </c>
      <c r="H264" t="str">
        <f t="shared" ca="1" si="8"/>
        <v/>
      </c>
      <c r="I264" t="str">
        <f t="shared" ca="1" si="9"/>
        <v/>
      </c>
    </row>
    <row r="265" spans="1:9" x14ac:dyDescent="0.25">
      <c r="A265" s="1"/>
      <c r="D265" t="str" cm="1">
        <f t="array" aca="1" ref="D265" ca="1">IF(OR(COUNTIF(damper_names,_xlfn.CONCAT("D_S_",C265))=1, COUNTIF(damper_names,_xlfn.CONCAT("D_E_",C265))=1), "C", "")</f>
        <v/>
      </c>
      <c r="E265" t="str">
        <f t="shared" ca="1" si="5"/>
        <v/>
      </c>
      <c r="F265" t="str">
        <f t="shared" ca="1" si="6"/>
        <v/>
      </c>
      <c r="G265" t="str">
        <f t="shared" ca="1" si="7"/>
        <v/>
      </c>
      <c r="H265" t="str">
        <f t="shared" ca="1" si="8"/>
        <v/>
      </c>
      <c r="I265" t="str">
        <f t="shared" ca="1" si="9"/>
        <v/>
      </c>
    </row>
    <row r="266" spans="1:9" x14ac:dyDescent="0.25">
      <c r="A266" s="1"/>
      <c r="D266" t="str" cm="1">
        <f t="array" aca="1" ref="D266" ca="1">IF(OR(COUNTIF(damper_names,_xlfn.CONCAT("D_S_",C266))=1, COUNTIF(damper_names,_xlfn.CONCAT("D_E_",C266))=1), "C", "")</f>
        <v/>
      </c>
      <c r="E266" t="str">
        <f t="shared" ca="1" si="5"/>
        <v/>
      </c>
      <c r="F266" t="str">
        <f t="shared" ca="1" si="6"/>
        <v/>
      </c>
      <c r="G266" t="str">
        <f t="shared" ca="1" si="7"/>
        <v/>
      </c>
      <c r="H266" t="str">
        <f t="shared" ca="1" si="8"/>
        <v/>
      </c>
      <c r="I266" t="str">
        <f t="shared" ca="1" si="9"/>
        <v/>
      </c>
    </row>
    <row r="267" spans="1:9" x14ac:dyDescent="0.25">
      <c r="A267" s="1"/>
      <c r="D267" t="str" cm="1">
        <f t="array" aca="1" ref="D267" ca="1">IF(OR(COUNTIF(damper_names,_xlfn.CONCAT("D_S_",C267))=1, COUNTIF(damper_names,_xlfn.CONCAT("D_E_",C267))=1), "C", "")</f>
        <v/>
      </c>
      <c r="E267" t="str">
        <f t="shared" ca="1" si="5"/>
        <v/>
      </c>
      <c r="F267" t="str">
        <f t="shared" ca="1" si="6"/>
        <v/>
      </c>
      <c r="G267" t="str">
        <f t="shared" ca="1" si="7"/>
        <v/>
      </c>
      <c r="H267" t="str">
        <f t="shared" ca="1" si="8"/>
        <v/>
      </c>
      <c r="I267" t="str">
        <f t="shared" ca="1" si="9"/>
        <v/>
      </c>
    </row>
    <row r="268" spans="1:9" x14ac:dyDescent="0.25">
      <c r="A268" s="1"/>
      <c r="D268" t="str" cm="1">
        <f t="array" aca="1" ref="D268" ca="1">IF(OR(COUNTIF(damper_names,_xlfn.CONCAT("D_S_",C268))=1, COUNTIF(damper_names,_xlfn.CONCAT("D_E_",C268))=1), "C", "")</f>
        <v/>
      </c>
      <c r="E268" t="str">
        <f t="shared" ca="1" si="5"/>
        <v/>
      </c>
      <c r="F268" t="str">
        <f t="shared" ca="1" si="6"/>
        <v/>
      </c>
      <c r="G268" t="str">
        <f t="shared" ca="1" si="7"/>
        <v/>
      </c>
      <c r="H268" t="str">
        <f t="shared" ca="1" si="8"/>
        <v/>
      </c>
      <c r="I268" t="str">
        <f t="shared" ca="1" si="9"/>
        <v/>
      </c>
    </row>
    <row r="269" spans="1:9" x14ac:dyDescent="0.25">
      <c r="A269" s="1"/>
      <c r="D269" t="str" cm="1">
        <f t="array" aca="1" ref="D269" ca="1">IF(OR(COUNTIF(damper_names,_xlfn.CONCAT("D_S_",C269))=1, COUNTIF(damper_names,_xlfn.CONCAT("D_E_",C269))=1), "C", "")</f>
        <v/>
      </c>
      <c r="E269" t="str">
        <f t="shared" ca="1" si="5"/>
        <v/>
      </c>
      <c r="F269" t="str">
        <f t="shared" ca="1" si="6"/>
        <v/>
      </c>
      <c r="G269" t="str">
        <f t="shared" ca="1" si="7"/>
        <v/>
      </c>
      <c r="H269" t="str">
        <f t="shared" ca="1" si="8"/>
        <v/>
      </c>
      <c r="I269" t="str">
        <f t="shared" ca="1" si="9"/>
        <v/>
      </c>
    </row>
    <row r="270" spans="1:9" x14ac:dyDescent="0.25">
      <c r="A270" s="1"/>
      <c r="D270" t="str" cm="1">
        <f t="array" aca="1" ref="D270" ca="1">IF(OR(COUNTIF(damper_names,_xlfn.CONCAT("D_S_",C270))=1, COUNTIF(damper_names,_xlfn.CONCAT("D_E_",C270))=1), "C", "")</f>
        <v/>
      </c>
      <c r="E270" t="str">
        <f t="shared" ca="1" si="5"/>
        <v/>
      </c>
      <c r="F270" t="str">
        <f t="shared" ca="1" si="6"/>
        <v/>
      </c>
      <c r="G270" t="str">
        <f t="shared" ca="1" si="7"/>
        <v/>
      </c>
      <c r="H270" t="str">
        <f t="shared" ca="1" si="8"/>
        <v/>
      </c>
      <c r="I270" t="str">
        <f t="shared" ca="1" si="9"/>
        <v/>
      </c>
    </row>
    <row r="271" spans="1:9" x14ac:dyDescent="0.25">
      <c r="A271" s="1"/>
      <c r="D271" t="str" cm="1">
        <f t="array" aca="1" ref="D271" ca="1">IF(OR(COUNTIF(damper_names,_xlfn.CONCAT("D_S_",C271))=1, COUNTIF(damper_names,_xlfn.CONCAT("D_E_",C271))=1), "C", "")</f>
        <v/>
      </c>
      <c r="E271" t="str">
        <f t="shared" ca="1" si="5"/>
        <v/>
      </c>
      <c r="F271" t="str">
        <f t="shared" ca="1" si="6"/>
        <v/>
      </c>
      <c r="G271" t="str">
        <f t="shared" ca="1" si="7"/>
        <v/>
      </c>
      <c r="H271" t="str">
        <f t="shared" ca="1" si="8"/>
        <v/>
      </c>
      <c r="I271" t="str">
        <f t="shared" ca="1" si="9"/>
        <v/>
      </c>
    </row>
    <row r="272" spans="1:9" x14ac:dyDescent="0.25">
      <c r="A272" s="1"/>
      <c r="D272" t="str" cm="1">
        <f t="array" aca="1" ref="D272" ca="1">IF(OR(COUNTIF(damper_names,_xlfn.CONCAT("D_S_",C272))=1, COUNTIF(damper_names,_xlfn.CONCAT("D_E_",C272))=1), "C", "")</f>
        <v/>
      </c>
      <c r="E272" t="str">
        <f t="shared" ca="1" si="5"/>
        <v/>
      </c>
      <c r="F272" t="str">
        <f t="shared" ca="1" si="6"/>
        <v/>
      </c>
      <c r="G272" t="str">
        <f t="shared" ca="1" si="7"/>
        <v/>
      </c>
      <c r="H272" t="str">
        <f t="shared" ca="1" si="8"/>
        <v/>
      </c>
      <c r="I272" t="str">
        <f t="shared" ca="1" si="9"/>
        <v/>
      </c>
    </row>
    <row r="273" spans="1:9" x14ac:dyDescent="0.25">
      <c r="A273" s="1"/>
      <c r="D273" t="str" cm="1">
        <f t="array" aca="1" ref="D273" ca="1">IF(OR(COUNTIF(damper_names,_xlfn.CONCAT("D_S_",C273))=1, COUNTIF(damper_names,_xlfn.CONCAT("D_E_",C273))=1), "C", "")</f>
        <v/>
      </c>
      <c r="E273" t="str">
        <f t="shared" ca="1" si="5"/>
        <v/>
      </c>
      <c r="F273" t="str">
        <f t="shared" ca="1" si="6"/>
        <v/>
      </c>
      <c r="G273" t="str">
        <f t="shared" ca="1" si="7"/>
        <v/>
      </c>
      <c r="H273" t="str">
        <f t="shared" ca="1" si="8"/>
        <v/>
      </c>
      <c r="I273" t="str">
        <f t="shared" ca="1" si="9"/>
        <v/>
      </c>
    </row>
    <row r="274" spans="1:9" x14ac:dyDescent="0.25">
      <c r="A274" s="1"/>
      <c r="D274" t="str" cm="1">
        <f t="array" aca="1" ref="D274" ca="1">IF(OR(COUNTIF(damper_names,_xlfn.CONCAT("D_S_",C274))=1, COUNTIF(damper_names,_xlfn.CONCAT("D_E_",C274))=1), "C", "")</f>
        <v/>
      </c>
      <c r="E274" t="str">
        <f t="shared" ca="1" si="5"/>
        <v/>
      </c>
      <c r="F274" t="str">
        <f t="shared" ca="1" si="6"/>
        <v/>
      </c>
      <c r="G274" t="str">
        <f t="shared" ca="1" si="7"/>
        <v/>
      </c>
      <c r="H274" t="str">
        <f t="shared" ca="1" si="8"/>
        <v/>
      </c>
      <c r="I274" t="str">
        <f t="shared" ca="1" si="9"/>
        <v/>
      </c>
    </row>
    <row r="275" spans="1:9" x14ac:dyDescent="0.25">
      <c r="A275" s="1"/>
      <c r="D275" t="str" cm="1">
        <f t="array" aca="1" ref="D275" ca="1">IF(OR(COUNTIF(damper_names,_xlfn.CONCAT("D_S_",C275))=1, COUNTIF(damper_names,_xlfn.CONCAT("D_E_",C275))=1), "C", "")</f>
        <v/>
      </c>
      <c r="E275" t="str">
        <f t="shared" ca="1" si="5"/>
        <v/>
      </c>
      <c r="F275" t="str">
        <f t="shared" ca="1" si="6"/>
        <v/>
      </c>
      <c r="G275" t="str">
        <f t="shared" ca="1" si="7"/>
        <v/>
      </c>
      <c r="H275" t="str">
        <f t="shared" ca="1" si="8"/>
        <v/>
      </c>
      <c r="I275" t="str">
        <f t="shared" ca="1" si="9"/>
        <v/>
      </c>
    </row>
    <row r="276" spans="1:9" x14ac:dyDescent="0.25">
      <c r="A276" s="1"/>
      <c r="D276" t="str" cm="1">
        <f t="array" aca="1" ref="D276" ca="1">IF(OR(COUNTIF(damper_names,_xlfn.CONCAT("D_S_",C276))=1, COUNTIF(damper_names,_xlfn.CONCAT("D_E_",C276))=1), "C", "")</f>
        <v/>
      </c>
      <c r="E276" t="str">
        <f t="shared" ca="1" si="5"/>
        <v/>
      </c>
      <c r="F276" t="str">
        <f t="shared" ca="1" si="6"/>
        <v/>
      </c>
      <c r="G276" t="str">
        <f t="shared" ca="1" si="7"/>
        <v/>
      </c>
      <c r="H276" t="str">
        <f t="shared" ca="1" si="8"/>
        <v/>
      </c>
      <c r="I276" t="str">
        <f t="shared" ca="1" si="9"/>
        <v/>
      </c>
    </row>
    <row r="277" spans="1:9" x14ac:dyDescent="0.25">
      <c r="A277" s="1"/>
      <c r="D277" t="str" cm="1">
        <f t="array" aca="1" ref="D277" ca="1">IF(OR(COUNTIF(damper_names,_xlfn.CONCAT("D_S_",C277))=1, COUNTIF(damper_names,_xlfn.CONCAT("D_E_",C277))=1), "C", "")</f>
        <v/>
      </c>
      <c r="E277" t="str">
        <f t="shared" ca="1" si="5"/>
        <v/>
      </c>
      <c r="F277" t="str">
        <f t="shared" ca="1" si="6"/>
        <v/>
      </c>
      <c r="G277" t="str">
        <f t="shared" ca="1" si="7"/>
        <v/>
      </c>
      <c r="H277" t="str">
        <f t="shared" ca="1" si="8"/>
        <v/>
      </c>
      <c r="I277" t="str">
        <f t="shared" ca="1" si="9"/>
        <v/>
      </c>
    </row>
    <row r="278" spans="1:9" x14ac:dyDescent="0.25">
      <c r="A278" s="1"/>
      <c r="D278" t="str" cm="1">
        <f t="array" aca="1" ref="D278" ca="1">IF(OR(COUNTIF(damper_names,_xlfn.CONCAT("D_S_",C278))=1, COUNTIF(damper_names,_xlfn.CONCAT("D_E_",C278))=1), "C", "")</f>
        <v/>
      </c>
      <c r="E278" t="str">
        <f t="shared" ca="1" si="5"/>
        <v/>
      </c>
      <c r="F278" t="str">
        <f t="shared" ca="1" si="6"/>
        <v/>
      </c>
      <c r="G278" t="str">
        <f t="shared" ca="1" si="7"/>
        <v/>
      </c>
      <c r="H278" t="str">
        <f t="shared" ca="1" si="8"/>
        <v/>
      </c>
      <c r="I278" t="str">
        <f t="shared" ca="1" si="9"/>
        <v/>
      </c>
    </row>
    <row r="279" spans="1:9" x14ac:dyDescent="0.25">
      <c r="A279" s="1"/>
      <c r="D279" t="str" cm="1">
        <f t="array" aca="1" ref="D279" ca="1">IF(OR(COUNTIF(damper_names,_xlfn.CONCAT("D_S_",C279))=1, COUNTIF(damper_names,_xlfn.CONCAT("D_E_",C279))=1), "C", "")</f>
        <v/>
      </c>
      <c r="E279" t="str">
        <f t="shared" ca="1" si="5"/>
        <v/>
      </c>
      <c r="F279" t="str">
        <f t="shared" ca="1" si="6"/>
        <v/>
      </c>
      <c r="G279" t="str">
        <f t="shared" ca="1" si="7"/>
        <v/>
      </c>
      <c r="H279" t="str">
        <f t="shared" ca="1" si="8"/>
        <v/>
      </c>
      <c r="I279" t="str">
        <f t="shared" ca="1" si="9"/>
        <v/>
      </c>
    </row>
    <row r="280" spans="1:9" x14ac:dyDescent="0.25">
      <c r="A280" s="1"/>
      <c r="D280" t="str" cm="1">
        <f t="array" aca="1" ref="D280" ca="1">IF(OR(COUNTIF(damper_names,_xlfn.CONCAT("D_S_",C280))=1, COUNTIF(damper_names,_xlfn.CONCAT("D_E_",C280))=1), "C", "")</f>
        <v/>
      </c>
      <c r="E280" t="str">
        <f t="shared" ca="1" si="5"/>
        <v/>
      </c>
      <c r="F280" t="str">
        <f t="shared" ca="1" si="6"/>
        <v/>
      </c>
      <c r="G280" t="str">
        <f t="shared" ca="1" si="7"/>
        <v/>
      </c>
      <c r="H280" t="str">
        <f t="shared" ca="1" si="8"/>
        <v/>
      </c>
      <c r="I280" t="str">
        <f t="shared" ca="1" si="9"/>
        <v/>
      </c>
    </row>
    <row r="281" spans="1:9" x14ac:dyDescent="0.25">
      <c r="A281" s="1"/>
      <c r="D281" t="str" cm="1">
        <f t="array" aca="1" ref="D281" ca="1">IF(OR(COUNTIF(damper_names,_xlfn.CONCAT("D_S_",C281))=1, COUNTIF(damper_names,_xlfn.CONCAT("D_E_",C281))=1), "C", "")</f>
        <v/>
      </c>
      <c r="E281" t="str">
        <f t="shared" ca="1" si="5"/>
        <v/>
      </c>
      <c r="F281" t="str">
        <f t="shared" ca="1" si="6"/>
        <v/>
      </c>
      <c r="G281" t="str">
        <f t="shared" ca="1" si="7"/>
        <v/>
      </c>
      <c r="H281" t="str">
        <f t="shared" ca="1" si="8"/>
        <v/>
      </c>
      <c r="I281" t="str">
        <f t="shared" ca="1" si="9"/>
        <v/>
      </c>
    </row>
    <row r="282" spans="1:9" x14ac:dyDescent="0.25">
      <c r="A282" s="1"/>
      <c r="D282" t="str" cm="1">
        <f t="array" aca="1" ref="D282" ca="1">IF(OR(COUNTIF(damper_names,_xlfn.CONCAT("D_S_",C282))=1, COUNTIF(damper_names,_xlfn.CONCAT("D_E_",C282))=1), "C", "")</f>
        <v/>
      </c>
      <c r="E282" t="str">
        <f t="shared" ca="1" si="5"/>
        <v/>
      </c>
      <c r="F282" t="str">
        <f t="shared" ca="1" si="6"/>
        <v/>
      </c>
      <c r="G282" t="str">
        <f t="shared" ca="1" si="7"/>
        <v/>
      </c>
      <c r="H282" t="str">
        <f t="shared" ca="1" si="8"/>
        <v/>
      </c>
      <c r="I282" t="str">
        <f t="shared" ca="1" si="9"/>
        <v/>
      </c>
    </row>
    <row r="283" spans="1:9" x14ac:dyDescent="0.25">
      <c r="A283" s="1"/>
      <c r="D283" t="str" cm="1">
        <f t="array" aca="1" ref="D283" ca="1">IF(OR(COUNTIF(damper_names,_xlfn.CONCAT("D_S_",C283))=1, COUNTIF(damper_names,_xlfn.CONCAT("D_E_",C283))=1), "C", "")</f>
        <v/>
      </c>
      <c r="E283" t="str">
        <f t="shared" ca="1" si="5"/>
        <v/>
      </c>
      <c r="F283" t="str">
        <f t="shared" ca="1" si="6"/>
        <v/>
      </c>
      <c r="G283" t="str">
        <f t="shared" ca="1" si="7"/>
        <v/>
      </c>
      <c r="H283" t="str">
        <f t="shared" ca="1" si="8"/>
        <v/>
      </c>
      <c r="I283" t="str">
        <f t="shared" ca="1" si="9"/>
        <v/>
      </c>
    </row>
    <row r="284" spans="1:9" x14ac:dyDescent="0.25">
      <c r="A284" s="1"/>
      <c r="D284" t="str" cm="1">
        <f t="array" aca="1" ref="D284" ca="1">IF(OR(COUNTIF(damper_names,_xlfn.CONCAT("D_S_",C284))=1, COUNTIF(damper_names,_xlfn.CONCAT("D_E_",C284))=1), "C", "")</f>
        <v/>
      </c>
      <c r="E284" t="str">
        <f t="shared" ca="1" si="5"/>
        <v/>
      </c>
      <c r="F284" t="str">
        <f t="shared" ca="1" si="6"/>
        <v/>
      </c>
      <c r="G284" t="str">
        <f t="shared" ca="1" si="7"/>
        <v/>
      </c>
      <c r="H284" t="str">
        <f t="shared" ca="1" si="8"/>
        <v/>
      </c>
      <c r="I284" t="str">
        <f t="shared" ca="1" si="9"/>
        <v/>
      </c>
    </row>
    <row r="285" spans="1:9" x14ac:dyDescent="0.25">
      <c r="A285" s="1"/>
      <c r="D285" t="str" cm="1">
        <f t="array" aca="1" ref="D285" ca="1">IF(OR(COUNTIF(damper_names,_xlfn.CONCAT("D_S_",C285))=1, COUNTIF(damper_names,_xlfn.CONCAT("D_E_",C285))=1), "C", "")</f>
        <v/>
      </c>
      <c r="E285" t="str">
        <f t="shared" ca="1" si="5"/>
        <v/>
      </c>
      <c r="F285" t="str">
        <f t="shared" ca="1" si="6"/>
        <v/>
      </c>
      <c r="G285" t="str">
        <f t="shared" ca="1" si="7"/>
        <v/>
      </c>
      <c r="H285" t="str">
        <f t="shared" ca="1" si="8"/>
        <v/>
      </c>
      <c r="I285" t="str">
        <f t="shared" ca="1" si="9"/>
        <v/>
      </c>
    </row>
    <row r="286" spans="1:9" x14ac:dyDescent="0.25">
      <c r="A286" s="1"/>
      <c r="D286" t="str" cm="1">
        <f t="array" aca="1" ref="D286" ca="1">IF(OR(COUNTIF(damper_names,_xlfn.CONCAT("D_S_",C286))=1, COUNTIF(damper_names,_xlfn.CONCAT("D_E_",C286))=1), "C", "")</f>
        <v/>
      </c>
      <c r="E286" t="str">
        <f t="shared" ca="1" si="5"/>
        <v/>
      </c>
      <c r="F286" t="str">
        <f t="shared" ca="1" si="6"/>
        <v/>
      </c>
      <c r="G286" t="str">
        <f t="shared" ca="1" si="7"/>
        <v/>
      </c>
      <c r="H286" t="str">
        <f t="shared" ca="1" si="8"/>
        <v/>
      </c>
      <c r="I286" t="str">
        <f t="shared" ca="1" si="9"/>
        <v/>
      </c>
    </row>
    <row r="287" spans="1:9" x14ac:dyDescent="0.25">
      <c r="A287" s="1"/>
      <c r="D287" t="str" cm="1">
        <f t="array" aca="1" ref="D287" ca="1">IF(OR(COUNTIF(damper_names,_xlfn.CONCAT("D_S_",C287))=1, COUNTIF(damper_names,_xlfn.CONCAT("D_E_",C287))=1), "C", "")</f>
        <v/>
      </c>
      <c r="E287" t="str">
        <f t="shared" ca="1" si="5"/>
        <v/>
      </c>
      <c r="F287" t="str">
        <f t="shared" ca="1" si="6"/>
        <v/>
      </c>
      <c r="G287" t="str">
        <f t="shared" ca="1" si="7"/>
        <v/>
      </c>
      <c r="H287" t="str">
        <f t="shared" ca="1" si="8"/>
        <v/>
      </c>
      <c r="I287" t="str">
        <f t="shared" ca="1" si="9"/>
        <v/>
      </c>
    </row>
    <row r="288" spans="1:9" x14ac:dyDescent="0.25">
      <c r="A288" s="1"/>
      <c r="D288" t="str" cm="1">
        <f t="array" aca="1" ref="D288" ca="1">IF(OR(COUNTIF(damper_names,_xlfn.CONCAT("D_S_",C288))=1, COUNTIF(damper_names,_xlfn.CONCAT("D_E_",C288))=1), "C", "")</f>
        <v/>
      </c>
      <c r="E288" t="str">
        <f t="shared" ca="1" si="5"/>
        <v/>
      </c>
      <c r="F288" t="str">
        <f t="shared" ca="1" si="6"/>
        <v/>
      </c>
      <c r="G288" t="str">
        <f t="shared" ca="1" si="7"/>
        <v/>
      </c>
      <c r="H288" t="str">
        <f t="shared" ca="1" si="8"/>
        <v/>
      </c>
      <c r="I288" t="str">
        <f t="shared" ca="1" si="9"/>
        <v/>
      </c>
    </row>
    <row r="289" spans="1:9" x14ac:dyDescent="0.25">
      <c r="A289" s="1"/>
      <c r="D289" t="str" cm="1">
        <f t="array" aca="1" ref="D289" ca="1">IF(OR(COUNTIF(damper_names,_xlfn.CONCAT("D_S_",C289))=1, COUNTIF(damper_names,_xlfn.CONCAT("D_E_",C289))=1), "C", "")</f>
        <v/>
      </c>
      <c r="E289" t="str">
        <f t="shared" ca="1" si="5"/>
        <v/>
      </c>
      <c r="F289" t="str">
        <f t="shared" ca="1" si="6"/>
        <v/>
      </c>
      <c r="G289" t="str">
        <f t="shared" ca="1" si="7"/>
        <v/>
      </c>
      <c r="H289" t="str">
        <f t="shared" ca="1" si="8"/>
        <v/>
      </c>
      <c r="I289" t="str">
        <f t="shared" ca="1" si="9"/>
        <v/>
      </c>
    </row>
    <row r="290" spans="1:9" x14ac:dyDescent="0.25">
      <c r="A290" s="1"/>
      <c r="D290" t="str" cm="1">
        <f t="array" aca="1" ref="D290" ca="1">IF(OR(COUNTIF(damper_names,_xlfn.CONCAT("D_S_",C290))=1, COUNTIF(damper_names,_xlfn.CONCAT("D_E_",C290))=1), "C", "")</f>
        <v/>
      </c>
      <c r="E290" t="str">
        <f t="shared" ca="1" si="5"/>
        <v/>
      </c>
      <c r="F290" t="str">
        <f t="shared" ca="1" si="6"/>
        <v/>
      </c>
      <c r="G290" t="str">
        <f t="shared" ca="1" si="7"/>
        <v/>
      </c>
      <c r="H290" t="str">
        <f t="shared" ca="1" si="8"/>
        <v/>
      </c>
      <c r="I290" t="str">
        <f t="shared" ca="1" si="9"/>
        <v/>
      </c>
    </row>
    <row r="291" spans="1:9" x14ac:dyDescent="0.25">
      <c r="A291" s="1"/>
      <c r="D291" t="str" cm="1">
        <f t="array" aca="1" ref="D291" ca="1">IF(OR(COUNTIF(damper_names,_xlfn.CONCAT("D_S_",C291))=1, COUNTIF(damper_names,_xlfn.CONCAT("D_E_",C291))=1), "C", "")</f>
        <v/>
      </c>
      <c r="E291" t="str">
        <f t="shared" ca="1" si="5"/>
        <v/>
      </c>
      <c r="F291" t="str">
        <f t="shared" ca="1" si="6"/>
        <v/>
      </c>
      <c r="G291" t="str">
        <f t="shared" ca="1" si="7"/>
        <v/>
      </c>
      <c r="H291" t="str">
        <f t="shared" ca="1" si="8"/>
        <v/>
      </c>
      <c r="I291" t="str">
        <f t="shared" ca="1" si="9"/>
        <v/>
      </c>
    </row>
    <row r="292" spans="1:9" x14ac:dyDescent="0.25">
      <c r="A292" s="1"/>
      <c r="D292" t="str" cm="1">
        <f t="array" aca="1" ref="D292" ca="1">IF(OR(COUNTIF(damper_names,_xlfn.CONCAT("D_S_",C292))=1, COUNTIF(damper_names,_xlfn.CONCAT("D_E_",C292))=1), "C", "")</f>
        <v/>
      </c>
      <c r="E292" t="str">
        <f t="shared" ca="1" si="5"/>
        <v/>
      </c>
      <c r="F292" t="str">
        <f t="shared" ca="1" si="6"/>
        <v/>
      </c>
      <c r="G292" t="str">
        <f t="shared" ca="1" si="7"/>
        <v/>
      </c>
      <c r="H292" t="str">
        <f t="shared" ca="1" si="8"/>
        <v/>
      </c>
      <c r="I292" t="str">
        <f t="shared" ca="1" si="9"/>
        <v/>
      </c>
    </row>
    <row r="293" spans="1:9" x14ac:dyDescent="0.25">
      <c r="A293" s="1"/>
      <c r="D293" t="str" cm="1">
        <f t="array" aca="1" ref="D293" ca="1">IF(OR(COUNTIF(damper_names,_xlfn.CONCAT("D_S_",C293))=1, COUNTIF(damper_names,_xlfn.CONCAT("D_E_",C293))=1), "C", "")</f>
        <v/>
      </c>
      <c r="E293" t="str">
        <f t="shared" ca="1" si="5"/>
        <v/>
      </c>
      <c r="F293" t="str">
        <f t="shared" ca="1" si="6"/>
        <v/>
      </c>
      <c r="G293" t="str">
        <f t="shared" ca="1" si="7"/>
        <v/>
      </c>
      <c r="H293" t="str">
        <f t="shared" ca="1" si="8"/>
        <v/>
      </c>
      <c r="I293" t="str">
        <f t="shared" ca="1" si="9"/>
        <v/>
      </c>
    </row>
    <row r="294" spans="1:9" x14ac:dyDescent="0.25">
      <c r="A294" s="1"/>
      <c r="D294" t="str" cm="1">
        <f t="array" aca="1" ref="D294" ca="1">IF(OR(COUNTIF(damper_names,_xlfn.CONCAT("D_S_",C294))=1, COUNTIF(damper_names,_xlfn.CONCAT("D_E_",C294))=1), "C", "")</f>
        <v/>
      </c>
      <c r="E294" t="str">
        <f t="shared" ca="1" si="5"/>
        <v/>
      </c>
      <c r="F294" t="str">
        <f t="shared" ca="1" si="6"/>
        <v/>
      </c>
      <c r="G294" t="str">
        <f t="shared" ca="1" si="7"/>
        <v/>
      </c>
      <c r="H294" t="str">
        <f t="shared" ca="1" si="8"/>
        <v/>
      </c>
      <c r="I294" t="str">
        <f t="shared" ca="1" si="9"/>
        <v/>
      </c>
    </row>
    <row r="295" spans="1:9" x14ac:dyDescent="0.25">
      <c r="A295" s="1"/>
      <c r="D295" t="str" cm="1">
        <f t="array" aca="1" ref="D295" ca="1">IF(OR(COUNTIF(damper_names,_xlfn.CONCAT("D_S_",C295))=1, COUNTIF(damper_names,_xlfn.CONCAT("D_E_",C295))=1), "C", "")</f>
        <v/>
      </c>
      <c r="E295" t="str">
        <f t="shared" ca="1" si="5"/>
        <v/>
      </c>
      <c r="F295" t="str">
        <f t="shared" ca="1" si="6"/>
        <v/>
      </c>
      <c r="G295" t="str">
        <f t="shared" ca="1" si="7"/>
        <v/>
      </c>
      <c r="H295" t="str">
        <f t="shared" ca="1" si="8"/>
        <v/>
      </c>
      <c r="I295" t="str">
        <f t="shared" ca="1" si="9"/>
        <v/>
      </c>
    </row>
    <row r="296" spans="1:9" x14ac:dyDescent="0.25">
      <c r="A296" s="1"/>
      <c r="D296" t="str" cm="1">
        <f t="array" aca="1" ref="D296" ca="1">IF(OR(COUNTIF(damper_names,_xlfn.CONCAT("D_S_",C296))=1, COUNTIF(damper_names,_xlfn.CONCAT("D_E_",C296))=1), "C", "")</f>
        <v/>
      </c>
      <c r="E296" t="str">
        <f t="shared" ca="1" si="5"/>
        <v/>
      </c>
      <c r="F296" t="str">
        <f t="shared" ca="1" si="6"/>
        <v/>
      </c>
      <c r="G296" t="str">
        <f t="shared" ca="1" si="7"/>
        <v/>
      </c>
      <c r="H296" t="str">
        <f t="shared" ca="1" si="8"/>
        <v/>
      </c>
      <c r="I296" t="str">
        <f t="shared" ca="1" si="9"/>
        <v/>
      </c>
    </row>
    <row r="297" spans="1:9" x14ac:dyDescent="0.25">
      <c r="A297" s="1"/>
      <c r="D297" t="str" cm="1">
        <f t="array" aca="1" ref="D297" ca="1">IF(OR(COUNTIF(damper_names,_xlfn.CONCAT("D_S_",C297))=1, COUNTIF(damper_names,_xlfn.CONCAT("D_E_",C297))=1), "C", "")</f>
        <v/>
      </c>
      <c r="E297" t="str">
        <f t="shared" ca="1" si="5"/>
        <v/>
      </c>
      <c r="F297" t="str">
        <f t="shared" ca="1" si="6"/>
        <v/>
      </c>
      <c r="G297" t="str">
        <f t="shared" ca="1" si="7"/>
        <v/>
      </c>
      <c r="H297" t="str">
        <f t="shared" ca="1" si="8"/>
        <v/>
      </c>
      <c r="I297" t="str">
        <f t="shared" ca="1" si="9"/>
        <v/>
      </c>
    </row>
    <row r="298" spans="1:9" x14ac:dyDescent="0.25">
      <c r="A298" s="1"/>
      <c r="D298" t="str" cm="1">
        <f t="array" aca="1" ref="D298" ca="1">IF(OR(COUNTIF(damper_names,_xlfn.CONCAT("D_S_",C298))=1, COUNTIF(damper_names,_xlfn.CONCAT("D_E_",C298))=1), "C", "")</f>
        <v/>
      </c>
      <c r="E298" t="str">
        <f t="shared" ca="1" si="5"/>
        <v/>
      </c>
      <c r="F298" t="str">
        <f t="shared" ca="1" si="6"/>
        <v/>
      </c>
      <c r="G298" t="str">
        <f t="shared" ca="1" si="7"/>
        <v/>
      </c>
      <c r="H298" t="str">
        <f t="shared" ca="1" si="8"/>
        <v/>
      </c>
      <c r="I298" t="str">
        <f t="shared" ca="1" si="9"/>
        <v/>
      </c>
    </row>
    <row r="299" spans="1:9" x14ac:dyDescent="0.25">
      <c r="A299" s="1"/>
      <c r="D299" t="str" cm="1">
        <f t="array" aca="1" ref="D299" ca="1">IF(OR(COUNTIF(damper_names,_xlfn.CONCAT("D_S_",C299))=1, COUNTIF(damper_names,_xlfn.CONCAT("D_E_",C299))=1), "C", "")</f>
        <v/>
      </c>
      <c r="E299" t="str">
        <f t="shared" ca="1" si="5"/>
        <v/>
      </c>
      <c r="F299" t="str">
        <f t="shared" ca="1" si="6"/>
        <v/>
      </c>
      <c r="G299" t="str">
        <f t="shared" ca="1" si="7"/>
        <v/>
      </c>
      <c r="H299" t="str">
        <f t="shared" ca="1" si="8"/>
        <v/>
      </c>
      <c r="I299" t="str">
        <f t="shared" ca="1" si="9"/>
        <v/>
      </c>
    </row>
    <row r="300" spans="1:9" x14ac:dyDescent="0.25">
      <c r="A300" s="1"/>
      <c r="D300" t="str" cm="1">
        <f t="array" aca="1" ref="D300" ca="1">IF(OR(COUNTIF(damper_names,_xlfn.CONCAT("D_S_",C300))=1, COUNTIF(damper_names,_xlfn.CONCAT("D_E_",C300))=1), "C", "")</f>
        <v/>
      </c>
      <c r="E300" t="str">
        <f t="shared" ca="1" si="5"/>
        <v/>
      </c>
      <c r="F300" t="str">
        <f t="shared" ca="1" si="6"/>
        <v/>
      </c>
      <c r="G300" t="str">
        <f t="shared" ca="1" si="7"/>
        <v/>
      </c>
      <c r="H300" t="str">
        <f t="shared" ca="1" si="8"/>
        <v/>
      </c>
      <c r="I300" t="str">
        <f t="shared" ca="1" si="9"/>
        <v/>
      </c>
    </row>
    <row r="301" spans="1:9" x14ac:dyDescent="0.25">
      <c r="A301" s="1"/>
      <c r="D301" t="str" cm="1">
        <f t="array" aca="1" ref="D301" ca="1">IF(OR(COUNTIF(damper_names,_xlfn.CONCAT("D_S_",C301))=1, COUNTIF(damper_names,_xlfn.CONCAT("D_E_",C301))=1), "C", "")</f>
        <v/>
      </c>
      <c r="E301" t="str">
        <f t="shared" ca="1" si="5"/>
        <v/>
      </c>
      <c r="F301" t="str">
        <f t="shared" ca="1" si="6"/>
        <v/>
      </c>
      <c r="G301" t="str">
        <f t="shared" ca="1" si="7"/>
        <v/>
      </c>
      <c r="H301" t="str">
        <f t="shared" ca="1" si="8"/>
        <v/>
      </c>
      <c r="I301" t="str">
        <f t="shared" ca="1" si="9"/>
        <v/>
      </c>
    </row>
    <row r="302" spans="1:9" x14ac:dyDescent="0.25">
      <c r="A302" s="1"/>
      <c r="D302" t="str" cm="1">
        <f t="array" aca="1" ref="D302" ca="1">IF(OR(COUNTIF(damper_names,_xlfn.CONCAT("D_S_",C302))=1, COUNTIF(damper_names,_xlfn.CONCAT("D_E_",C302))=1), "C", "")</f>
        <v/>
      </c>
      <c r="E302" t="str">
        <f t="shared" ca="1" si="5"/>
        <v/>
      </c>
      <c r="F302" t="str">
        <f t="shared" ca="1" si="6"/>
        <v/>
      </c>
      <c r="G302" t="str">
        <f t="shared" ca="1" si="7"/>
        <v/>
      </c>
      <c r="H302" t="str">
        <f t="shared" ca="1" si="8"/>
        <v/>
      </c>
      <c r="I302" t="str">
        <f t="shared" ca="1" si="9"/>
        <v/>
      </c>
    </row>
    <row r="303" spans="1:9" x14ac:dyDescent="0.25">
      <c r="A303" s="1"/>
      <c r="D303" t="str" cm="1">
        <f t="array" aca="1" ref="D303" ca="1">IF(OR(COUNTIF(damper_names,_xlfn.CONCAT("D_S_",C303))=1, COUNTIF(damper_names,_xlfn.CONCAT("D_E_",C303))=1), "C", "")</f>
        <v/>
      </c>
      <c r="E303" t="str">
        <f t="shared" ca="1" si="5"/>
        <v/>
      </c>
      <c r="F303" t="str">
        <f t="shared" ca="1" si="6"/>
        <v/>
      </c>
      <c r="G303" t="str">
        <f t="shared" ca="1" si="7"/>
        <v/>
      </c>
      <c r="H303" t="str">
        <f t="shared" ca="1" si="8"/>
        <v/>
      </c>
      <c r="I303" t="str">
        <f t="shared" ca="1" si="9"/>
        <v/>
      </c>
    </row>
    <row r="304" spans="1:9" x14ac:dyDescent="0.25">
      <c r="A304" s="1"/>
      <c r="D304" t="str" cm="1">
        <f t="array" aca="1" ref="D304" ca="1">IF(OR(COUNTIF(damper_names,_xlfn.CONCAT("D_S_",C304))=1, COUNTIF(damper_names,_xlfn.CONCAT("D_E_",C304))=1), "C", "")</f>
        <v/>
      </c>
      <c r="E304" t="str">
        <f t="shared" ca="1" si="5"/>
        <v/>
      </c>
      <c r="F304" t="str">
        <f t="shared" ca="1" si="6"/>
        <v/>
      </c>
      <c r="G304" t="str">
        <f t="shared" ca="1" si="7"/>
        <v/>
      </c>
      <c r="H304" t="str">
        <f t="shared" ca="1" si="8"/>
        <v/>
      </c>
      <c r="I304" t="str">
        <f t="shared" ca="1" si="9"/>
        <v/>
      </c>
    </row>
    <row r="305" spans="1:9" x14ac:dyDescent="0.25">
      <c r="A305" s="1"/>
      <c r="D305" t="str" cm="1">
        <f t="array" aca="1" ref="D305" ca="1">IF(OR(COUNTIF(damper_names,_xlfn.CONCAT("D_S_",C305))=1, COUNTIF(damper_names,_xlfn.CONCAT("D_E_",C305))=1), "C", "")</f>
        <v/>
      </c>
      <c r="E305" t="str">
        <f t="shared" ca="1" si="5"/>
        <v/>
      </c>
      <c r="F305" t="str">
        <f t="shared" ca="1" si="6"/>
        <v/>
      </c>
      <c r="G305" t="str">
        <f t="shared" ca="1" si="7"/>
        <v/>
      </c>
      <c r="H305" t="str">
        <f t="shared" ca="1" si="8"/>
        <v/>
      </c>
      <c r="I305" t="str">
        <f t="shared" ca="1" si="9"/>
        <v/>
      </c>
    </row>
    <row r="306" spans="1:9" x14ac:dyDescent="0.25">
      <c r="A306" s="1"/>
      <c r="D306" t="str" cm="1">
        <f t="array" aca="1" ref="D306" ca="1">IF(OR(COUNTIF(damper_names,_xlfn.CONCAT("D_S_",C306))=1, COUNTIF(damper_names,_xlfn.CONCAT("D_E_",C306))=1), "C", "")</f>
        <v/>
      </c>
      <c r="E306" t="str">
        <f t="shared" ca="1" si="5"/>
        <v/>
      </c>
      <c r="F306" t="str">
        <f t="shared" ca="1" si="6"/>
        <v/>
      </c>
      <c r="G306" t="str">
        <f t="shared" ca="1" si="7"/>
        <v/>
      </c>
      <c r="H306" t="str">
        <f t="shared" ca="1" si="8"/>
        <v/>
      </c>
      <c r="I306" t="str">
        <f t="shared" ca="1" si="9"/>
        <v/>
      </c>
    </row>
    <row r="307" spans="1:9" x14ac:dyDescent="0.25">
      <c r="A307" s="1"/>
      <c r="D307" t="str" cm="1">
        <f t="array" aca="1" ref="D307" ca="1">IF(OR(COUNTIF(damper_names,_xlfn.CONCAT("D_S_",C307))=1, COUNTIF(damper_names,_xlfn.CONCAT("D_E_",C307))=1), "C", "")</f>
        <v/>
      </c>
      <c r="E307" t="str">
        <f t="shared" ref="E307:E370" ca="1" si="10">IF(D307="T", 0.05, IF(D307="C", -0.01, ""))</f>
        <v/>
      </c>
      <c r="F307" t="str">
        <f t="shared" ref="F307:F370" ca="1" si="11">IF(D307="T", 0.05, IF(D307="C", 0, ""))</f>
        <v/>
      </c>
      <c r="G307" t="str">
        <f t="shared" ref="G307:G370" ca="1" si="12">IF(D307="T", 0, IF(D307="C", 0, ""))</f>
        <v/>
      </c>
      <c r="H307" t="str">
        <f t="shared" ref="H307:H370" ca="1" si="13">IF(D307="T", 0.05, IF(D307="C", 0, ""))</f>
        <v/>
      </c>
      <c r="I307" t="str">
        <f t="shared" ref="I307:I370" ca="1" si="14">IF(D307="T", 0, IF(D307="C", 0, ""))</f>
        <v/>
      </c>
    </row>
    <row r="308" spans="1:9" x14ac:dyDescent="0.25">
      <c r="A308" s="1"/>
      <c r="D308" t="str" cm="1">
        <f t="array" aca="1" ref="D308" ca="1">IF(OR(COUNTIF(damper_names,_xlfn.CONCAT("D_S_",C308))=1, COUNTIF(damper_names,_xlfn.CONCAT("D_E_",C308))=1), "C", "")</f>
        <v/>
      </c>
      <c r="E308" t="str">
        <f t="shared" ca="1" si="10"/>
        <v/>
      </c>
      <c r="F308" t="str">
        <f t="shared" ca="1" si="11"/>
        <v/>
      </c>
      <c r="G308" t="str">
        <f t="shared" ca="1" si="12"/>
        <v/>
      </c>
      <c r="H308" t="str">
        <f t="shared" ca="1" si="13"/>
        <v/>
      </c>
      <c r="I308" t="str">
        <f t="shared" ca="1" si="14"/>
        <v/>
      </c>
    </row>
    <row r="309" spans="1:9" x14ac:dyDescent="0.25">
      <c r="A309" s="1"/>
      <c r="D309" t="str" cm="1">
        <f t="array" aca="1" ref="D309" ca="1">IF(OR(COUNTIF(damper_names,_xlfn.CONCAT("D_S_",C309))=1, COUNTIF(damper_names,_xlfn.CONCAT("D_E_",C309))=1), "C", "")</f>
        <v/>
      </c>
      <c r="E309" t="str">
        <f t="shared" ca="1" si="10"/>
        <v/>
      </c>
      <c r="F309" t="str">
        <f t="shared" ca="1" si="11"/>
        <v/>
      </c>
      <c r="G309" t="str">
        <f t="shared" ca="1" si="12"/>
        <v/>
      </c>
      <c r="H309" t="str">
        <f t="shared" ca="1" si="13"/>
        <v/>
      </c>
      <c r="I309" t="str">
        <f t="shared" ca="1" si="14"/>
        <v/>
      </c>
    </row>
    <row r="310" spans="1:9" x14ac:dyDescent="0.25">
      <c r="A310" s="1"/>
      <c r="D310" t="str" cm="1">
        <f t="array" aca="1" ref="D310" ca="1">IF(OR(COUNTIF(damper_names,_xlfn.CONCAT("D_S_",C310))=1, COUNTIF(damper_names,_xlfn.CONCAT("D_E_",C310))=1), "C", "")</f>
        <v/>
      </c>
      <c r="E310" t="str">
        <f t="shared" ca="1" si="10"/>
        <v/>
      </c>
      <c r="F310" t="str">
        <f t="shared" ca="1" si="11"/>
        <v/>
      </c>
      <c r="G310" t="str">
        <f t="shared" ca="1" si="12"/>
        <v/>
      </c>
      <c r="H310" t="str">
        <f t="shared" ca="1" si="13"/>
        <v/>
      </c>
      <c r="I310" t="str">
        <f t="shared" ca="1" si="14"/>
        <v/>
      </c>
    </row>
    <row r="311" spans="1:9" x14ac:dyDescent="0.25">
      <c r="A311" s="1"/>
      <c r="D311" t="str" cm="1">
        <f t="array" aca="1" ref="D311" ca="1">IF(OR(COUNTIF(damper_names,_xlfn.CONCAT("D_S_",C311))=1, COUNTIF(damper_names,_xlfn.CONCAT("D_E_",C311))=1), "C", "")</f>
        <v/>
      </c>
      <c r="E311" t="str">
        <f t="shared" ca="1" si="10"/>
        <v/>
      </c>
      <c r="F311" t="str">
        <f t="shared" ca="1" si="11"/>
        <v/>
      </c>
      <c r="G311" t="str">
        <f t="shared" ca="1" si="12"/>
        <v/>
      </c>
      <c r="H311" t="str">
        <f t="shared" ca="1" si="13"/>
        <v/>
      </c>
      <c r="I311" t="str">
        <f t="shared" ca="1" si="14"/>
        <v/>
      </c>
    </row>
    <row r="312" spans="1:9" x14ac:dyDescent="0.25">
      <c r="A312" s="1"/>
      <c r="D312" t="str" cm="1">
        <f t="array" aca="1" ref="D312" ca="1">IF(OR(COUNTIF(damper_names,_xlfn.CONCAT("D_S_",C312))=1, COUNTIF(damper_names,_xlfn.CONCAT("D_E_",C312))=1), "C", "")</f>
        <v/>
      </c>
      <c r="E312" t="str">
        <f t="shared" ca="1" si="10"/>
        <v/>
      </c>
      <c r="F312" t="str">
        <f t="shared" ca="1" si="11"/>
        <v/>
      </c>
      <c r="G312" t="str">
        <f t="shared" ca="1" si="12"/>
        <v/>
      </c>
      <c r="H312" t="str">
        <f t="shared" ca="1" si="13"/>
        <v/>
      </c>
      <c r="I312" t="str">
        <f t="shared" ca="1" si="14"/>
        <v/>
      </c>
    </row>
    <row r="313" spans="1:9" x14ac:dyDescent="0.25">
      <c r="A313" s="1"/>
      <c r="D313" t="str" cm="1">
        <f t="array" aca="1" ref="D313" ca="1">IF(OR(COUNTIF(damper_names,_xlfn.CONCAT("D_S_",C313))=1, COUNTIF(damper_names,_xlfn.CONCAT("D_E_",C313))=1), "C", "")</f>
        <v/>
      </c>
      <c r="E313" t="str">
        <f t="shared" ca="1" si="10"/>
        <v/>
      </c>
      <c r="F313" t="str">
        <f t="shared" ca="1" si="11"/>
        <v/>
      </c>
      <c r="G313" t="str">
        <f t="shared" ca="1" si="12"/>
        <v/>
      </c>
      <c r="H313" t="str">
        <f t="shared" ca="1" si="13"/>
        <v/>
      </c>
      <c r="I313" t="str">
        <f t="shared" ca="1" si="14"/>
        <v/>
      </c>
    </row>
    <row r="314" spans="1:9" x14ac:dyDescent="0.25">
      <c r="A314" s="1"/>
      <c r="D314" t="str" cm="1">
        <f t="array" aca="1" ref="D314" ca="1">IF(OR(COUNTIF(damper_names,_xlfn.CONCAT("D_S_",C314))=1, COUNTIF(damper_names,_xlfn.CONCAT("D_E_",C314))=1), "C", "")</f>
        <v/>
      </c>
      <c r="E314" t="str">
        <f t="shared" ca="1" si="10"/>
        <v/>
      </c>
      <c r="F314" t="str">
        <f t="shared" ca="1" si="11"/>
        <v/>
      </c>
      <c r="G314" t="str">
        <f t="shared" ca="1" si="12"/>
        <v/>
      </c>
      <c r="H314" t="str">
        <f t="shared" ca="1" si="13"/>
        <v/>
      </c>
      <c r="I314" t="str">
        <f t="shared" ca="1" si="14"/>
        <v/>
      </c>
    </row>
    <row r="315" spans="1:9" x14ac:dyDescent="0.25">
      <c r="A315" s="1"/>
      <c r="D315" t="str" cm="1">
        <f t="array" aca="1" ref="D315" ca="1">IF(OR(COUNTIF(damper_names,_xlfn.CONCAT("D_S_",C315))=1, COUNTIF(damper_names,_xlfn.CONCAT("D_E_",C315))=1), "C", "")</f>
        <v/>
      </c>
      <c r="E315" t="str">
        <f t="shared" ca="1" si="10"/>
        <v/>
      </c>
      <c r="F315" t="str">
        <f t="shared" ca="1" si="11"/>
        <v/>
      </c>
      <c r="G315" t="str">
        <f t="shared" ca="1" si="12"/>
        <v/>
      </c>
      <c r="H315" t="str">
        <f t="shared" ca="1" si="13"/>
        <v/>
      </c>
      <c r="I315" t="str">
        <f t="shared" ca="1" si="14"/>
        <v/>
      </c>
    </row>
    <row r="316" spans="1:9" x14ac:dyDescent="0.25">
      <c r="A316" s="1"/>
      <c r="D316" t="str" cm="1">
        <f t="array" aca="1" ref="D316" ca="1">IF(OR(COUNTIF(damper_names,_xlfn.CONCAT("D_S_",C316))=1, COUNTIF(damper_names,_xlfn.CONCAT("D_E_",C316))=1), "C", "")</f>
        <v/>
      </c>
      <c r="E316" t="str">
        <f t="shared" ca="1" si="10"/>
        <v/>
      </c>
      <c r="F316" t="str">
        <f t="shared" ca="1" si="11"/>
        <v/>
      </c>
      <c r="G316" t="str">
        <f t="shared" ca="1" si="12"/>
        <v/>
      </c>
      <c r="H316" t="str">
        <f t="shared" ca="1" si="13"/>
        <v/>
      </c>
      <c r="I316" t="str">
        <f t="shared" ca="1" si="14"/>
        <v/>
      </c>
    </row>
    <row r="317" spans="1:9" x14ac:dyDescent="0.25">
      <c r="A317" s="1"/>
      <c r="D317" t="str" cm="1">
        <f t="array" aca="1" ref="D317" ca="1">IF(OR(COUNTIF(damper_names,_xlfn.CONCAT("D_S_",C317))=1, COUNTIF(damper_names,_xlfn.CONCAT("D_E_",C317))=1), "C", "")</f>
        <v/>
      </c>
      <c r="E317" t="str">
        <f t="shared" ca="1" si="10"/>
        <v/>
      </c>
      <c r="F317" t="str">
        <f t="shared" ca="1" si="11"/>
        <v/>
      </c>
      <c r="G317" t="str">
        <f t="shared" ca="1" si="12"/>
        <v/>
      </c>
      <c r="H317" t="str">
        <f t="shared" ca="1" si="13"/>
        <v/>
      </c>
      <c r="I317" t="str">
        <f t="shared" ca="1" si="14"/>
        <v/>
      </c>
    </row>
    <row r="318" spans="1:9" x14ac:dyDescent="0.25">
      <c r="A318" s="1"/>
      <c r="D318" t="str" cm="1">
        <f t="array" aca="1" ref="D318" ca="1">IF(OR(COUNTIF(damper_names,_xlfn.CONCAT("D_S_",C318))=1, COUNTIF(damper_names,_xlfn.CONCAT("D_E_",C318))=1), "C", "")</f>
        <v/>
      </c>
      <c r="E318" t="str">
        <f t="shared" ca="1" si="10"/>
        <v/>
      </c>
      <c r="F318" t="str">
        <f t="shared" ca="1" si="11"/>
        <v/>
      </c>
      <c r="G318" t="str">
        <f t="shared" ca="1" si="12"/>
        <v/>
      </c>
      <c r="H318" t="str">
        <f t="shared" ca="1" si="13"/>
        <v/>
      </c>
      <c r="I318" t="str">
        <f t="shared" ca="1" si="14"/>
        <v/>
      </c>
    </row>
    <row r="319" spans="1:9" x14ac:dyDescent="0.25">
      <c r="A319" s="1"/>
      <c r="D319" t="str" cm="1">
        <f t="array" aca="1" ref="D319" ca="1">IF(OR(COUNTIF(damper_names,_xlfn.CONCAT("D_S_",C319))=1, COUNTIF(damper_names,_xlfn.CONCAT("D_E_",C319))=1), "C", "")</f>
        <v/>
      </c>
      <c r="E319" t="str">
        <f t="shared" ca="1" si="10"/>
        <v/>
      </c>
      <c r="F319" t="str">
        <f t="shared" ca="1" si="11"/>
        <v/>
      </c>
      <c r="G319" t="str">
        <f t="shared" ca="1" si="12"/>
        <v/>
      </c>
      <c r="H319" t="str">
        <f t="shared" ca="1" si="13"/>
        <v/>
      </c>
      <c r="I319" t="str">
        <f t="shared" ca="1" si="14"/>
        <v/>
      </c>
    </row>
    <row r="320" spans="1:9" x14ac:dyDescent="0.25">
      <c r="A320" s="1"/>
      <c r="D320" t="str" cm="1">
        <f t="array" aca="1" ref="D320" ca="1">IF(OR(COUNTIF(damper_names,_xlfn.CONCAT("D_S_",C320))=1, COUNTIF(damper_names,_xlfn.CONCAT("D_E_",C320))=1), "C", "")</f>
        <v/>
      </c>
      <c r="E320" t="str">
        <f t="shared" ca="1" si="10"/>
        <v/>
      </c>
      <c r="F320" t="str">
        <f t="shared" ca="1" si="11"/>
        <v/>
      </c>
      <c r="G320" t="str">
        <f t="shared" ca="1" si="12"/>
        <v/>
      </c>
      <c r="H320" t="str">
        <f t="shared" ca="1" si="13"/>
        <v/>
      </c>
      <c r="I320" t="str">
        <f t="shared" ca="1" si="14"/>
        <v/>
      </c>
    </row>
    <row r="321" spans="1:9" x14ac:dyDescent="0.25">
      <c r="A321" s="1"/>
      <c r="D321" t="str" cm="1">
        <f t="array" aca="1" ref="D321" ca="1">IF(OR(COUNTIF(damper_names,_xlfn.CONCAT("D_S_",C321))=1, COUNTIF(damper_names,_xlfn.CONCAT("D_E_",C321))=1), "C", "")</f>
        <v/>
      </c>
      <c r="E321" t="str">
        <f t="shared" ca="1" si="10"/>
        <v/>
      </c>
      <c r="F321" t="str">
        <f t="shared" ca="1" si="11"/>
        <v/>
      </c>
      <c r="G321" t="str">
        <f t="shared" ca="1" si="12"/>
        <v/>
      </c>
      <c r="H321" t="str">
        <f t="shared" ca="1" si="13"/>
        <v/>
      </c>
      <c r="I321" t="str">
        <f t="shared" ca="1" si="14"/>
        <v/>
      </c>
    </row>
    <row r="322" spans="1:9" x14ac:dyDescent="0.25">
      <c r="A322" s="1"/>
      <c r="D322" t="str" cm="1">
        <f t="array" aca="1" ref="D322" ca="1">IF(OR(COUNTIF(damper_names,_xlfn.CONCAT("D_S_",C322))=1, COUNTIF(damper_names,_xlfn.CONCAT("D_E_",C322))=1), "C", "")</f>
        <v/>
      </c>
      <c r="E322" t="str">
        <f t="shared" ca="1" si="10"/>
        <v/>
      </c>
      <c r="F322" t="str">
        <f t="shared" ca="1" si="11"/>
        <v/>
      </c>
      <c r="G322" t="str">
        <f t="shared" ca="1" si="12"/>
        <v/>
      </c>
      <c r="H322" t="str">
        <f t="shared" ca="1" si="13"/>
        <v/>
      </c>
      <c r="I322" t="str">
        <f t="shared" ca="1" si="14"/>
        <v/>
      </c>
    </row>
    <row r="323" spans="1:9" x14ac:dyDescent="0.25">
      <c r="A323" s="1"/>
      <c r="D323" t="str" cm="1">
        <f t="array" aca="1" ref="D323" ca="1">IF(OR(COUNTIF(damper_names,_xlfn.CONCAT("D_S_",C323))=1, COUNTIF(damper_names,_xlfn.CONCAT("D_E_",C323))=1), "C", "")</f>
        <v/>
      </c>
      <c r="E323" t="str">
        <f t="shared" ca="1" si="10"/>
        <v/>
      </c>
      <c r="F323" t="str">
        <f t="shared" ca="1" si="11"/>
        <v/>
      </c>
      <c r="G323" t="str">
        <f t="shared" ca="1" si="12"/>
        <v/>
      </c>
      <c r="H323" t="str">
        <f t="shared" ca="1" si="13"/>
        <v/>
      </c>
      <c r="I323" t="str">
        <f t="shared" ca="1" si="14"/>
        <v/>
      </c>
    </row>
    <row r="324" spans="1:9" x14ac:dyDescent="0.25">
      <c r="A324" s="1"/>
      <c r="D324" t="str" cm="1">
        <f t="array" aca="1" ref="D324" ca="1">IF(OR(COUNTIF(damper_names,_xlfn.CONCAT("D_S_",C324))=1, COUNTIF(damper_names,_xlfn.CONCAT("D_E_",C324))=1), "C", "")</f>
        <v/>
      </c>
      <c r="E324" t="str">
        <f t="shared" ca="1" si="10"/>
        <v/>
      </c>
      <c r="F324" t="str">
        <f t="shared" ca="1" si="11"/>
        <v/>
      </c>
      <c r="G324" t="str">
        <f t="shared" ca="1" si="12"/>
        <v/>
      </c>
      <c r="H324" t="str">
        <f t="shared" ca="1" si="13"/>
        <v/>
      </c>
      <c r="I324" t="str">
        <f t="shared" ca="1" si="14"/>
        <v/>
      </c>
    </row>
    <row r="325" spans="1:9" x14ac:dyDescent="0.25">
      <c r="A325" s="1"/>
      <c r="D325" t="str" cm="1">
        <f t="array" aca="1" ref="D325" ca="1">IF(OR(COUNTIF(damper_names,_xlfn.CONCAT("D_S_",C325))=1, COUNTIF(damper_names,_xlfn.CONCAT("D_E_",C325))=1), "C", "")</f>
        <v/>
      </c>
      <c r="E325" t="str">
        <f t="shared" ca="1" si="10"/>
        <v/>
      </c>
      <c r="F325" t="str">
        <f t="shared" ca="1" si="11"/>
        <v/>
      </c>
      <c r="G325" t="str">
        <f t="shared" ca="1" si="12"/>
        <v/>
      </c>
      <c r="H325" t="str">
        <f t="shared" ca="1" si="13"/>
        <v/>
      </c>
      <c r="I325" t="str">
        <f t="shared" ca="1" si="14"/>
        <v/>
      </c>
    </row>
    <row r="326" spans="1:9" x14ac:dyDescent="0.25">
      <c r="A326" s="1"/>
      <c r="D326" t="str" cm="1">
        <f t="array" aca="1" ref="D326" ca="1">IF(OR(COUNTIF(damper_names,_xlfn.CONCAT("D_S_",C326))=1, COUNTIF(damper_names,_xlfn.CONCAT("D_E_",C326))=1), "C", "")</f>
        <v/>
      </c>
      <c r="E326" t="str">
        <f t="shared" ca="1" si="10"/>
        <v/>
      </c>
      <c r="F326" t="str">
        <f t="shared" ca="1" si="11"/>
        <v/>
      </c>
      <c r="G326" t="str">
        <f t="shared" ca="1" si="12"/>
        <v/>
      </c>
      <c r="H326" t="str">
        <f t="shared" ca="1" si="13"/>
        <v/>
      </c>
      <c r="I326" t="str">
        <f t="shared" ca="1" si="14"/>
        <v/>
      </c>
    </row>
    <row r="327" spans="1:9" x14ac:dyDescent="0.25">
      <c r="A327" s="1"/>
      <c r="D327" t="str" cm="1">
        <f t="array" aca="1" ref="D327" ca="1">IF(OR(COUNTIF(damper_names,_xlfn.CONCAT("D_S_",C327))=1, COUNTIF(damper_names,_xlfn.CONCAT("D_E_",C327))=1), "C", "")</f>
        <v/>
      </c>
      <c r="E327" t="str">
        <f t="shared" ca="1" si="10"/>
        <v/>
      </c>
      <c r="F327" t="str">
        <f t="shared" ca="1" si="11"/>
        <v/>
      </c>
      <c r="G327" t="str">
        <f t="shared" ca="1" si="12"/>
        <v/>
      </c>
      <c r="H327" t="str">
        <f t="shared" ca="1" si="13"/>
        <v/>
      </c>
      <c r="I327" t="str">
        <f t="shared" ca="1" si="14"/>
        <v/>
      </c>
    </row>
    <row r="328" spans="1:9" x14ac:dyDescent="0.25">
      <c r="A328" s="1"/>
      <c r="D328" t="str" cm="1">
        <f t="array" aca="1" ref="D328" ca="1">IF(OR(COUNTIF(damper_names,_xlfn.CONCAT("D_S_",C328))=1, COUNTIF(damper_names,_xlfn.CONCAT("D_E_",C328))=1), "C", "")</f>
        <v/>
      </c>
      <c r="E328" t="str">
        <f t="shared" ca="1" si="10"/>
        <v/>
      </c>
      <c r="F328" t="str">
        <f t="shared" ca="1" si="11"/>
        <v/>
      </c>
      <c r="G328" t="str">
        <f t="shared" ca="1" si="12"/>
        <v/>
      </c>
      <c r="H328" t="str">
        <f t="shared" ca="1" si="13"/>
        <v/>
      </c>
      <c r="I328" t="str">
        <f t="shared" ca="1" si="14"/>
        <v/>
      </c>
    </row>
    <row r="329" spans="1:9" x14ac:dyDescent="0.25">
      <c r="A329" s="1"/>
      <c r="D329" t="str" cm="1">
        <f t="array" aca="1" ref="D329" ca="1">IF(OR(COUNTIF(damper_names,_xlfn.CONCAT("D_S_",C329))=1, COUNTIF(damper_names,_xlfn.CONCAT("D_E_",C329))=1), "C", "")</f>
        <v/>
      </c>
      <c r="E329" t="str">
        <f t="shared" ca="1" si="10"/>
        <v/>
      </c>
      <c r="F329" t="str">
        <f t="shared" ca="1" si="11"/>
        <v/>
      </c>
      <c r="G329" t="str">
        <f t="shared" ca="1" si="12"/>
        <v/>
      </c>
      <c r="H329" t="str">
        <f t="shared" ca="1" si="13"/>
        <v/>
      </c>
      <c r="I329" t="str">
        <f t="shared" ca="1" si="14"/>
        <v/>
      </c>
    </row>
    <row r="330" spans="1:9" x14ac:dyDescent="0.25">
      <c r="A330" s="1"/>
      <c r="D330" t="str" cm="1">
        <f t="array" aca="1" ref="D330" ca="1">IF(OR(COUNTIF(damper_names,_xlfn.CONCAT("D_S_",C330))=1, COUNTIF(damper_names,_xlfn.CONCAT("D_E_",C330))=1), "C", "")</f>
        <v/>
      </c>
      <c r="E330" t="str">
        <f t="shared" ca="1" si="10"/>
        <v/>
      </c>
      <c r="F330" t="str">
        <f t="shared" ca="1" si="11"/>
        <v/>
      </c>
      <c r="G330" t="str">
        <f t="shared" ca="1" si="12"/>
        <v/>
      </c>
      <c r="H330" t="str">
        <f t="shared" ca="1" si="13"/>
        <v/>
      </c>
      <c r="I330" t="str">
        <f t="shared" ca="1" si="14"/>
        <v/>
      </c>
    </row>
    <row r="331" spans="1:9" x14ac:dyDescent="0.25">
      <c r="A331" s="1"/>
      <c r="D331" t="str" cm="1">
        <f t="array" aca="1" ref="D331" ca="1">IF(OR(COUNTIF(damper_names,_xlfn.CONCAT("D_S_",C331))=1, COUNTIF(damper_names,_xlfn.CONCAT("D_E_",C331))=1), "C", "")</f>
        <v/>
      </c>
      <c r="E331" t="str">
        <f t="shared" ca="1" si="10"/>
        <v/>
      </c>
      <c r="F331" t="str">
        <f t="shared" ca="1" si="11"/>
        <v/>
      </c>
      <c r="G331" t="str">
        <f t="shared" ca="1" si="12"/>
        <v/>
      </c>
      <c r="H331" t="str">
        <f t="shared" ca="1" si="13"/>
        <v/>
      </c>
      <c r="I331" t="str">
        <f t="shared" ca="1" si="14"/>
        <v/>
      </c>
    </row>
    <row r="332" spans="1:9" x14ac:dyDescent="0.25">
      <c r="A332" s="1"/>
      <c r="D332" t="str" cm="1">
        <f t="array" aca="1" ref="D332" ca="1">IF(OR(COUNTIF(damper_names,_xlfn.CONCAT("D_S_",C332))=1, COUNTIF(damper_names,_xlfn.CONCAT("D_E_",C332))=1), "C", "")</f>
        <v/>
      </c>
      <c r="E332" t="str">
        <f t="shared" ca="1" si="10"/>
        <v/>
      </c>
      <c r="F332" t="str">
        <f t="shared" ca="1" si="11"/>
        <v/>
      </c>
      <c r="G332" t="str">
        <f t="shared" ca="1" si="12"/>
        <v/>
      </c>
      <c r="H332" t="str">
        <f t="shared" ca="1" si="13"/>
        <v/>
      </c>
      <c r="I332" t="str">
        <f t="shared" ca="1" si="14"/>
        <v/>
      </c>
    </row>
    <row r="333" spans="1:9" x14ac:dyDescent="0.25">
      <c r="A333" s="1"/>
      <c r="D333" t="str" cm="1">
        <f t="array" aca="1" ref="D333" ca="1">IF(OR(COUNTIF(damper_names,_xlfn.CONCAT("D_S_",C333))=1, COUNTIF(damper_names,_xlfn.CONCAT("D_E_",C333))=1), "C", "")</f>
        <v/>
      </c>
      <c r="E333" t="str">
        <f t="shared" ca="1" si="10"/>
        <v/>
      </c>
      <c r="F333" t="str">
        <f t="shared" ca="1" si="11"/>
        <v/>
      </c>
      <c r="G333" t="str">
        <f t="shared" ca="1" si="12"/>
        <v/>
      </c>
      <c r="H333" t="str">
        <f t="shared" ca="1" si="13"/>
        <v/>
      </c>
      <c r="I333" t="str">
        <f t="shared" ca="1" si="14"/>
        <v/>
      </c>
    </row>
    <row r="334" spans="1:9" x14ac:dyDescent="0.25">
      <c r="A334" s="1"/>
      <c r="D334" t="str" cm="1">
        <f t="array" aca="1" ref="D334" ca="1">IF(OR(COUNTIF(damper_names,_xlfn.CONCAT("D_S_",C334))=1, COUNTIF(damper_names,_xlfn.CONCAT("D_E_",C334))=1), "C", "")</f>
        <v/>
      </c>
      <c r="E334" t="str">
        <f t="shared" ca="1" si="10"/>
        <v/>
      </c>
      <c r="F334" t="str">
        <f t="shared" ca="1" si="11"/>
        <v/>
      </c>
      <c r="G334" t="str">
        <f t="shared" ca="1" si="12"/>
        <v/>
      </c>
      <c r="H334" t="str">
        <f t="shared" ca="1" si="13"/>
        <v/>
      </c>
      <c r="I334" t="str">
        <f t="shared" ca="1" si="14"/>
        <v/>
      </c>
    </row>
    <row r="335" spans="1:9" x14ac:dyDescent="0.25">
      <c r="A335" s="1"/>
      <c r="D335" t="str" cm="1">
        <f t="array" aca="1" ref="D335" ca="1">IF(OR(COUNTIF(damper_names,_xlfn.CONCAT("D_S_",C335))=1, COUNTIF(damper_names,_xlfn.CONCAT("D_E_",C335))=1), "C", "")</f>
        <v/>
      </c>
      <c r="E335" t="str">
        <f t="shared" ca="1" si="10"/>
        <v/>
      </c>
      <c r="F335" t="str">
        <f t="shared" ca="1" si="11"/>
        <v/>
      </c>
      <c r="G335" t="str">
        <f t="shared" ca="1" si="12"/>
        <v/>
      </c>
      <c r="H335" t="str">
        <f t="shared" ca="1" si="13"/>
        <v/>
      </c>
      <c r="I335" t="str">
        <f t="shared" ca="1" si="14"/>
        <v/>
      </c>
    </row>
    <row r="336" spans="1:9" x14ac:dyDescent="0.25">
      <c r="A336" s="1"/>
      <c r="D336" t="str" cm="1">
        <f t="array" aca="1" ref="D336" ca="1">IF(OR(COUNTIF(damper_names,_xlfn.CONCAT("D_S_",C336))=1, COUNTIF(damper_names,_xlfn.CONCAT("D_E_",C336))=1), "C", "")</f>
        <v/>
      </c>
      <c r="E336" t="str">
        <f t="shared" ca="1" si="10"/>
        <v/>
      </c>
      <c r="F336" t="str">
        <f t="shared" ca="1" si="11"/>
        <v/>
      </c>
      <c r="G336" t="str">
        <f t="shared" ca="1" si="12"/>
        <v/>
      </c>
      <c r="H336" t="str">
        <f t="shared" ca="1" si="13"/>
        <v/>
      </c>
      <c r="I336" t="str">
        <f t="shared" ca="1" si="14"/>
        <v/>
      </c>
    </row>
    <row r="337" spans="1:9" x14ac:dyDescent="0.25">
      <c r="A337" s="1"/>
      <c r="D337" t="str" cm="1">
        <f t="array" aca="1" ref="D337" ca="1">IF(OR(COUNTIF(damper_names,_xlfn.CONCAT("D_S_",C337))=1, COUNTIF(damper_names,_xlfn.CONCAT("D_E_",C337))=1), "C", "")</f>
        <v/>
      </c>
      <c r="E337" t="str">
        <f t="shared" ca="1" si="10"/>
        <v/>
      </c>
      <c r="F337" t="str">
        <f t="shared" ca="1" si="11"/>
        <v/>
      </c>
      <c r="G337" t="str">
        <f t="shared" ca="1" si="12"/>
        <v/>
      </c>
      <c r="H337" t="str">
        <f t="shared" ca="1" si="13"/>
        <v/>
      </c>
      <c r="I337" t="str">
        <f t="shared" ca="1" si="14"/>
        <v/>
      </c>
    </row>
    <row r="338" spans="1:9" x14ac:dyDescent="0.25">
      <c r="A338" s="1"/>
      <c r="D338" t="str" cm="1">
        <f t="array" aca="1" ref="D338" ca="1">IF(OR(COUNTIF(damper_names,_xlfn.CONCAT("D_S_",C338))=1, COUNTIF(damper_names,_xlfn.CONCAT("D_E_",C338))=1), "C", "")</f>
        <v/>
      </c>
      <c r="E338" t="str">
        <f t="shared" ca="1" si="10"/>
        <v/>
      </c>
      <c r="F338" t="str">
        <f t="shared" ca="1" si="11"/>
        <v/>
      </c>
      <c r="G338" t="str">
        <f t="shared" ca="1" si="12"/>
        <v/>
      </c>
      <c r="H338" t="str">
        <f t="shared" ca="1" si="13"/>
        <v/>
      </c>
      <c r="I338" t="str">
        <f t="shared" ca="1" si="14"/>
        <v/>
      </c>
    </row>
    <row r="339" spans="1:9" x14ac:dyDescent="0.25">
      <c r="A339" s="1"/>
      <c r="D339" t="str" cm="1">
        <f t="array" aca="1" ref="D339" ca="1">IF(OR(COUNTIF(damper_names,_xlfn.CONCAT("D_S_",C339))=1, COUNTIF(damper_names,_xlfn.CONCAT("D_E_",C339))=1), "C", "")</f>
        <v/>
      </c>
      <c r="E339" t="str">
        <f t="shared" ca="1" si="10"/>
        <v/>
      </c>
      <c r="F339" t="str">
        <f t="shared" ca="1" si="11"/>
        <v/>
      </c>
      <c r="G339" t="str">
        <f t="shared" ca="1" si="12"/>
        <v/>
      </c>
      <c r="H339" t="str">
        <f t="shared" ca="1" si="13"/>
        <v/>
      </c>
      <c r="I339" t="str">
        <f t="shared" ca="1" si="14"/>
        <v/>
      </c>
    </row>
    <row r="340" spans="1:9" x14ac:dyDescent="0.25">
      <c r="A340" s="1"/>
      <c r="D340" t="str" cm="1">
        <f t="array" aca="1" ref="D340" ca="1">IF(OR(COUNTIF(damper_names,_xlfn.CONCAT("D_S_",C340))=1, COUNTIF(damper_names,_xlfn.CONCAT("D_E_",C340))=1), "C", "")</f>
        <v/>
      </c>
      <c r="E340" t="str">
        <f t="shared" ca="1" si="10"/>
        <v/>
      </c>
      <c r="F340" t="str">
        <f t="shared" ca="1" si="11"/>
        <v/>
      </c>
      <c r="G340" t="str">
        <f t="shared" ca="1" si="12"/>
        <v/>
      </c>
      <c r="H340" t="str">
        <f t="shared" ca="1" si="13"/>
        <v/>
      </c>
      <c r="I340" t="str">
        <f t="shared" ca="1" si="14"/>
        <v/>
      </c>
    </row>
    <row r="341" spans="1:9" x14ac:dyDescent="0.25">
      <c r="A341" s="1"/>
      <c r="D341" t="str" cm="1">
        <f t="array" aca="1" ref="D341" ca="1">IF(OR(COUNTIF(damper_names,_xlfn.CONCAT("D_S_",C341))=1, COUNTIF(damper_names,_xlfn.CONCAT("D_E_",C341))=1), "C", "")</f>
        <v/>
      </c>
      <c r="E341" t="str">
        <f t="shared" ca="1" si="10"/>
        <v/>
      </c>
      <c r="F341" t="str">
        <f t="shared" ca="1" si="11"/>
        <v/>
      </c>
      <c r="G341" t="str">
        <f t="shared" ca="1" si="12"/>
        <v/>
      </c>
      <c r="H341" t="str">
        <f t="shared" ca="1" si="13"/>
        <v/>
      </c>
      <c r="I341" t="str">
        <f t="shared" ca="1" si="14"/>
        <v/>
      </c>
    </row>
    <row r="342" spans="1:9" x14ac:dyDescent="0.25">
      <c r="A342" s="1"/>
      <c r="D342" t="str" cm="1">
        <f t="array" aca="1" ref="D342" ca="1">IF(OR(COUNTIF(damper_names,_xlfn.CONCAT("D_S_",C342))=1, COUNTIF(damper_names,_xlfn.CONCAT("D_E_",C342))=1), "C", "")</f>
        <v/>
      </c>
      <c r="E342" t="str">
        <f t="shared" ca="1" si="10"/>
        <v/>
      </c>
      <c r="F342" t="str">
        <f t="shared" ca="1" si="11"/>
        <v/>
      </c>
      <c r="G342" t="str">
        <f t="shared" ca="1" si="12"/>
        <v/>
      </c>
      <c r="H342" t="str">
        <f t="shared" ca="1" si="13"/>
        <v/>
      </c>
      <c r="I342" t="str">
        <f t="shared" ca="1" si="14"/>
        <v/>
      </c>
    </row>
    <row r="343" spans="1:9" x14ac:dyDescent="0.25">
      <c r="A343" s="1"/>
      <c r="D343" t="str" cm="1">
        <f t="array" aca="1" ref="D343" ca="1">IF(OR(COUNTIF(damper_names,_xlfn.CONCAT("D_S_",C343))=1, COUNTIF(damper_names,_xlfn.CONCAT("D_E_",C343))=1), "C", "")</f>
        <v/>
      </c>
      <c r="E343" t="str">
        <f t="shared" ca="1" si="10"/>
        <v/>
      </c>
      <c r="F343" t="str">
        <f t="shared" ca="1" si="11"/>
        <v/>
      </c>
      <c r="G343" t="str">
        <f t="shared" ca="1" si="12"/>
        <v/>
      </c>
      <c r="H343" t="str">
        <f t="shared" ca="1" si="13"/>
        <v/>
      </c>
      <c r="I343" t="str">
        <f t="shared" ca="1" si="14"/>
        <v/>
      </c>
    </row>
    <row r="344" spans="1:9" x14ac:dyDescent="0.25">
      <c r="A344" s="1"/>
      <c r="D344" t="str" cm="1">
        <f t="array" aca="1" ref="D344" ca="1">IF(OR(COUNTIF(damper_names,_xlfn.CONCAT("D_S_",C344))=1, COUNTIF(damper_names,_xlfn.CONCAT("D_E_",C344))=1), "C", "")</f>
        <v/>
      </c>
      <c r="E344" t="str">
        <f t="shared" ca="1" si="10"/>
        <v/>
      </c>
      <c r="F344" t="str">
        <f t="shared" ca="1" si="11"/>
        <v/>
      </c>
      <c r="G344" t="str">
        <f t="shared" ca="1" si="12"/>
        <v/>
      </c>
      <c r="H344" t="str">
        <f t="shared" ca="1" si="13"/>
        <v/>
      </c>
      <c r="I344" t="str">
        <f t="shared" ca="1" si="14"/>
        <v/>
      </c>
    </row>
    <row r="345" spans="1:9" x14ac:dyDescent="0.25">
      <c r="A345" s="1"/>
      <c r="D345" t="str" cm="1">
        <f t="array" aca="1" ref="D345" ca="1">IF(OR(COUNTIF(damper_names,_xlfn.CONCAT("D_S_",C345))=1, COUNTIF(damper_names,_xlfn.CONCAT("D_E_",C345))=1), "C", "")</f>
        <v/>
      </c>
      <c r="E345" t="str">
        <f t="shared" ca="1" si="10"/>
        <v/>
      </c>
      <c r="F345" t="str">
        <f t="shared" ca="1" si="11"/>
        <v/>
      </c>
      <c r="G345" t="str">
        <f t="shared" ca="1" si="12"/>
        <v/>
      </c>
      <c r="H345" t="str">
        <f t="shared" ca="1" si="13"/>
        <v/>
      </c>
      <c r="I345" t="str">
        <f t="shared" ca="1" si="14"/>
        <v/>
      </c>
    </row>
    <row r="346" spans="1:9" x14ac:dyDescent="0.25">
      <c r="A346" s="1"/>
      <c r="D346" t="str" cm="1">
        <f t="array" aca="1" ref="D346" ca="1">IF(OR(COUNTIF(damper_names,_xlfn.CONCAT("D_S_",C346))=1, COUNTIF(damper_names,_xlfn.CONCAT("D_E_",C346))=1), "C", "")</f>
        <v/>
      </c>
      <c r="E346" t="str">
        <f t="shared" ca="1" si="10"/>
        <v/>
      </c>
      <c r="F346" t="str">
        <f t="shared" ca="1" si="11"/>
        <v/>
      </c>
      <c r="G346" t="str">
        <f t="shared" ca="1" si="12"/>
        <v/>
      </c>
      <c r="H346" t="str">
        <f t="shared" ca="1" si="13"/>
        <v/>
      </c>
      <c r="I346" t="str">
        <f t="shared" ca="1" si="14"/>
        <v/>
      </c>
    </row>
    <row r="347" spans="1:9" x14ac:dyDescent="0.25">
      <c r="A347" s="1"/>
      <c r="D347" t="str" cm="1">
        <f t="array" aca="1" ref="D347" ca="1">IF(OR(COUNTIF(damper_names,_xlfn.CONCAT("D_S_",C347))=1, COUNTIF(damper_names,_xlfn.CONCAT("D_E_",C347))=1), "C", "")</f>
        <v/>
      </c>
      <c r="E347" t="str">
        <f t="shared" ca="1" si="10"/>
        <v/>
      </c>
      <c r="F347" t="str">
        <f t="shared" ca="1" si="11"/>
        <v/>
      </c>
      <c r="G347" t="str">
        <f t="shared" ca="1" si="12"/>
        <v/>
      </c>
      <c r="H347" t="str">
        <f t="shared" ca="1" si="13"/>
        <v/>
      </c>
      <c r="I347" t="str">
        <f t="shared" ca="1" si="14"/>
        <v/>
      </c>
    </row>
    <row r="348" spans="1:9" x14ac:dyDescent="0.25">
      <c r="A348" s="1"/>
      <c r="D348" t="str" cm="1">
        <f t="array" aca="1" ref="D348" ca="1">IF(OR(COUNTIF(damper_names,_xlfn.CONCAT("D_S_",C348))=1, COUNTIF(damper_names,_xlfn.CONCAT("D_E_",C348))=1), "C", "")</f>
        <v/>
      </c>
      <c r="E348" t="str">
        <f t="shared" ca="1" si="10"/>
        <v/>
      </c>
      <c r="F348" t="str">
        <f t="shared" ca="1" si="11"/>
        <v/>
      </c>
      <c r="G348" t="str">
        <f t="shared" ca="1" si="12"/>
        <v/>
      </c>
      <c r="H348" t="str">
        <f t="shared" ca="1" si="13"/>
        <v/>
      </c>
      <c r="I348" t="str">
        <f t="shared" ca="1" si="14"/>
        <v/>
      </c>
    </row>
    <row r="349" spans="1:9" x14ac:dyDescent="0.25">
      <c r="A349" s="1"/>
      <c r="D349" t="str" cm="1">
        <f t="array" aca="1" ref="D349" ca="1">IF(OR(COUNTIF(damper_names,_xlfn.CONCAT("D_S_",C349))=1, COUNTIF(damper_names,_xlfn.CONCAT("D_E_",C349))=1), "C", "")</f>
        <v/>
      </c>
      <c r="E349" t="str">
        <f t="shared" ca="1" si="10"/>
        <v/>
      </c>
      <c r="F349" t="str">
        <f t="shared" ca="1" si="11"/>
        <v/>
      </c>
      <c r="G349" t="str">
        <f t="shared" ca="1" si="12"/>
        <v/>
      </c>
      <c r="H349" t="str">
        <f t="shared" ca="1" si="13"/>
        <v/>
      </c>
      <c r="I349" t="str">
        <f t="shared" ca="1" si="14"/>
        <v/>
      </c>
    </row>
    <row r="350" spans="1:9" x14ac:dyDescent="0.25">
      <c r="A350" s="1"/>
      <c r="D350" t="str" cm="1">
        <f t="array" aca="1" ref="D350" ca="1">IF(OR(COUNTIF(damper_names,_xlfn.CONCAT("D_S_",C350))=1, COUNTIF(damper_names,_xlfn.CONCAT("D_E_",C350))=1), "C", "")</f>
        <v/>
      </c>
      <c r="E350" t="str">
        <f t="shared" ca="1" si="10"/>
        <v/>
      </c>
      <c r="F350" t="str">
        <f t="shared" ca="1" si="11"/>
        <v/>
      </c>
      <c r="G350" t="str">
        <f t="shared" ca="1" si="12"/>
        <v/>
      </c>
      <c r="H350" t="str">
        <f t="shared" ca="1" si="13"/>
        <v/>
      </c>
      <c r="I350" t="str">
        <f t="shared" ca="1" si="14"/>
        <v/>
      </c>
    </row>
    <row r="351" spans="1:9" x14ac:dyDescent="0.25">
      <c r="A351" s="1"/>
      <c r="D351" t="str" cm="1">
        <f t="array" aca="1" ref="D351" ca="1">IF(OR(COUNTIF(damper_names,_xlfn.CONCAT("D_S_",C351))=1, COUNTIF(damper_names,_xlfn.CONCAT("D_E_",C351))=1), "C", "")</f>
        <v/>
      </c>
      <c r="E351" t="str">
        <f t="shared" ca="1" si="10"/>
        <v/>
      </c>
      <c r="F351" t="str">
        <f t="shared" ca="1" si="11"/>
        <v/>
      </c>
      <c r="G351" t="str">
        <f t="shared" ca="1" si="12"/>
        <v/>
      </c>
      <c r="H351" t="str">
        <f t="shared" ca="1" si="13"/>
        <v/>
      </c>
      <c r="I351" t="str">
        <f t="shared" ca="1" si="14"/>
        <v/>
      </c>
    </row>
    <row r="352" spans="1:9" x14ac:dyDescent="0.25">
      <c r="A352" s="1"/>
      <c r="D352" t="str" cm="1">
        <f t="array" aca="1" ref="D352" ca="1">IF(OR(COUNTIF(damper_names,_xlfn.CONCAT("D_S_",C352))=1, COUNTIF(damper_names,_xlfn.CONCAT("D_E_",C352))=1), "C", "")</f>
        <v/>
      </c>
      <c r="E352" t="str">
        <f t="shared" ca="1" si="10"/>
        <v/>
      </c>
      <c r="F352" t="str">
        <f t="shared" ca="1" si="11"/>
        <v/>
      </c>
      <c r="G352" t="str">
        <f t="shared" ca="1" si="12"/>
        <v/>
      </c>
      <c r="H352" t="str">
        <f t="shared" ca="1" si="13"/>
        <v/>
      </c>
      <c r="I352" t="str">
        <f t="shared" ca="1" si="14"/>
        <v/>
      </c>
    </row>
    <row r="353" spans="1:9" x14ac:dyDescent="0.25">
      <c r="A353" s="1"/>
      <c r="D353" t="str" cm="1">
        <f t="array" aca="1" ref="D353" ca="1">IF(OR(COUNTIF(damper_names,_xlfn.CONCAT("D_S_",C353))=1, COUNTIF(damper_names,_xlfn.CONCAT("D_E_",C353))=1), "C", "")</f>
        <v/>
      </c>
      <c r="E353" t="str">
        <f t="shared" ca="1" si="10"/>
        <v/>
      </c>
      <c r="F353" t="str">
        <f t="shared" ca="1" si="11"/>
        <v/>
      </c>
      <c r="G353" t="str">
        <f t="shared" ca="1" si="12"/>
        <v/>
      </c>
      <c r="H353" t="str">
        <f t="shared" ca="1" si="13"/>
        <v/>
      </c>
      <c r="I353" t="str">
        <f t="shared" ca="1" si="14"/>
        <v/>
      </c>
    </row>
    <row r="354" spans="1:9" x14ac:dyDescent="0.25">
      <c r="A354" s="1"/>
      <c r="D354" t="str" cm="1">
        <f t="array" aca="1" ref="D354" ca="1">IF(OR(COUNTIF(damper_names,_xlfn.CONCAT("D_S_",C354))=1, COUNTIF(damper_names,_xlfn.CONCAT("D_E_",C354))=1), "C", "")</f>
        <v/>
      </c>
      <c r="E354" t="str">
        <f t="shared" ca="1" si="10"/>
        <v/>
      </c>
      <c r="F354" t="str">
        <f t="shared" ca="1" si="11"/>
        <v/>
      </c>
      <c r="G354" t="str">
        <f t="shared" ca="1" si="12"/>
        <v/>
      </c>
      <c r="H354" t="str">
        <f t="shared" ca="1" si="13"/>
        <v/>
      </c>
      <c r="I354" t="str">
        <f t="shared" ca="1" si="14"/>
        <v/>
      </c>
    </row>
    <row r="355" spans="1:9" x14ac:dyDescent="0.25">
      <c r="A355" s="1"/>
      <c r="D355" t="str" cm="1">
        <f t="array" aca="1" ref="D355" ca="1">IF(OR(COUNTIF(damper_names,_xlfn.CONCAT("D_S_",C355))=1, COUNTIF(damper_names,_xlfn.CONCAT("D_E_",C355))=1), "C", "")</f>
        <v/>
      </c>
      <c r="E355" t="str">
        <f t="shared" ca="1" si="10"/>
        <v/>
      </c>
      <c r="F355" t="str">
        <f t="shared" ca="1" si="11"/>
        <v/>
      </c>
      <c r="G355" t="str">
        <f t="shared" ca="1" si="12"/>
        <v/>
      </c>
      <c r="H355" t="str">
        <f t="shared" ca="1" si="13"/>
        <v/>
      </c>
      <c r="I355" t="str">
        <f t="shared" ca="1" si="14"/>
        <v/>
      </c>
    </row>
    <row r="356" spans="1:9" x14ac:dyDescent="0.25">
      <c r="A356" s="1"/>
      <c r="D356" t="str" cm="1">
        <f t="array" aca="1" ref="D356" ca="1">IF(OR(COUNTIF(damper_names,_xlfn.CONCAT("D_S_",C356))=1, COUNTIF(damper_names,_xlfn.CONCAT("D_E_",C356))=1), "C", "")</f>
        <v/>
      </c>
      <c r="E356" t="str">
        <f t="shared" ca="1" si="10"/>
        <v/>
      </c>
      <c r="F356" t="str">
        <f t="shared" ca="1" si="11"/>
        <v/>
      </c>
      <c r="G356" t="str">
        <f t="shared" ca="1" si="12"/>
        <v/>
      </c>
      <c r="H356" t="str">
        <f t="shared" ca="1" si="13"/>
        <v/>
      </c>
      <c r="I356" t="str">
        <f t="shared" ca="1" si="14"/>
        <v/>
      </c>
    </row>
    <row r="357" spans="1:9" x14ac:dyDescent="0.25">
      <c r="A357" s="1"/>
      <c r="D357" t="str" cm="1">
        <f t="array" aca="1" ref="D357" ca="1">IF(OR(COUNTIF(damper_names,_xlfn.CONCAT("D_S_",C357))=1, COUNTIF(damper_names,_xlfn.CONCAT("D_E_",C357))=1), "C", "")</f>
        <v/>
      </c>
      <c r="E357" t="str">
        <f t="shared" ca="1" si="10"/>
        <v/>
      </c>
      <c r="F357" t="str">
        <f t="shared" ca="1" si="11"/>
        <v/>
      </c>
      <c r="G357" t="str">
        <f t="shared" ca="1" si="12"/>
        <v/>
      </c>
      <c r="H357" t="str">
        <f t="shared" ca="1" si="13"/>
        <v/>
      </c>
      <c r="I357" t="str">
        <f t="shared" ca="1" si="14"/>
        <v/>
      </c>
    </row>
    <row r="358" spans="1:9" x14ac:dyDescent="0.25">
      <c r="A358" s="1"/>
      <c r="D358" t="str" cm="1">
        <f t="array" aca="1" ref="D358" ca="1">IF(OR(COUNTIF(damper_names,_xlfn.CONCAT("D_S_",C358))=1, COUNTIF(damper_names,_xlfn.CONCAT("D_E_",C358))=1), "C", "")</f>
        <v/>
      </c>
      <c r="E358" t="str">
        <f t="shared" ca="1" si="10"/>
        <v/>
      </c>
      <c r="F358" t="str">
        <f t="shared" ca="1" si="11"/>
        <v/>
      </c>
      <c r="G358" t="str">
        <f t="shared" ca="1" si="12"/>
        <v/>
      </c>
      <c r="H358" t="str">
        <f t="shared" ca="1" si="13"/>
        <v/>
      </c>
      <c r="I358" t="str">
        <f t="shared" ca="1" si="14"/>
        <v/>
      </c>
    </row>
    <row r="359" spans="1:9" x14ac:dyDescent="0.25">
      <c r="A359" s="1"/>
      <c r="D359" t="str" cm="1">
        <f t="array" aca="1" ref="D359" ca="1">IF(OR(COUNTIF(damper_names,_xlfn.CONCAT("D_S_",C359))=1, COUNTIF(damper_names,_xlfn.CONCAT("D_E_",C359))=1), "C", "")</f>
        <v/>
      </c>
      <c r="E359" t="str">
        <f t="shared" ca="1" si="10"/>
        <v/>
      </c>
      <c r="F359" t="str">
        <f t="shared" ca="1" si="11"/>
        <v/>
      </c>
      <c r="G359" t="str">
        <f t="shared" ca="1" si="12"/>
        <v/>
      </c>
      <c r="H359" t="str">
        <f t="shared" ca="1" si="13"/>
        <v/>
      </c>
      <c r="I359" t="str">
        <f t="shared" ca="1" si="14"/>
        <v/>
      </c>
    </row>
    <row r="360" spans="1:9" x14ac:dyDescent="0.25">
      <c r="A360" s="1"/>
      <c r="D360" t="str" cm="1">
        <f t="array" aca="1" ref="D360" ca="1">IF(OR(COUNTIF(damper_names,_xlfn.CONCAT("D_S_",C360))=1, COUNTIF(damper_names,_xlfn.CONCAT("D_E_",C360))=1), "C", "")</f>
        <v/>
      </c>
      <c r="E360" t="str">
        <f t="shared" ca="1" si="10"/>
        <v/>
      </c>
      <c r="F360" t="str">
        <f t="shared" ca="1" si="11"/>
        <v/>
      </c>
      <c r="G360" t="str">
        <f t="shared" ca="1" si="12"/>
        <v/>
      </c>
      <c r="H360" t="str">
        <f t="shared" ca="1" si="13"/>
        <v/>
      </c>
      <c r="I360" t="str">
        <f t="shared" ca="1" si="14"/>
        <v/>
      </c>
    </row>
    <row r="361" spans="1:9" x14ac:dyDescent="0.25">
      <c r="A361" s="1"/>
      <c r="D361" t="str" cm="1">
        <f t="array" aca="1" ref="D361" ca="1">IF(OR(COUNTIF(damper_names,_xlfn.CONCAT("D_S_",C361))=1, COUNTIF(damper_names,_xlfn.CONCAT("D_E_",C361))=1), "C", "")</f>
        <v/>
      </c>
      <c r="E361" t="str">
        <f t="shared" ca="1" si="10"/>
        <v/>
      </c>
      <c r="F361" t="str">
        <f t="shared" ca="1" si="11"/>
        <v/>
      </c>
      <c r="G361" t="str">
        <f t="shared" ca="1" si="12"/>
        <v/>
      </c>
      <c r="H361" t="str">
        <f t="shared" ca="1" si="13"/>
        <v/>
      </c>
      <c r="I361" t="str">
        <f t="shared" ca="1" si="14"/>
        <v/>
      </c>
    </row>
    <row r="362" spans="1:9" x14ac:dyDescent="0.25">
      <c r="A362" s="1"/>
      <c r="D362" t="str" cm="1">
        <f t="array" aca="1" ref="D362" ca="1">IF(OR(COUNTIF(damper_names,_xlfn.CONCAT("D_S_",C362))=1, COUNTIF(damper_names,_xlfn.CONCAT("D_E_",C362))=1), "C", "")</f>
        <v/>
      </c>
      <c r="E362" t="str">
        <f t="shared" ca="1" si="10"/>
        <v/>
      </c>
      <c r="F362" t="str">
        <f t="shared" ca="1" si="11"/>
        <v/>
      </c>
      <c r="G362" t="str">
        <f t="shared" ca="1" si="12"/>
        <v/>
      </c>
      <c r="H362" t="str">
        <f t="shared" ca="1" si="13"/>
        <v/>
      </c>
      <c r="I362" t="str">
        <f t="shared" ca="1" si="14"/>
        <v/>
      </c>
    </row>
    <row r="363" spans="1:9" x14ac:dyDescent="0.25">
      <c r="A363" s="1"/>
      <c r="D363" t="str" cm="1">
        <f t="array" aca="1" ref="D363" ca="1">IF(OR(COUNTIF(damper_names,_xlfn.CONCAT("D_S_",C363))=1, COUNTIF(damper_names,_xlfn.CONCAT("D_E_",C363))=1), "C", "")</f>
        <v/>
      </c>
      <c r="E363" t="str">
        <f t="shared" ca="1" si="10"/>
        <v/>
      </c>
      <c r="F363" t="str">
        <f t="shared" ca="1" si="11"/>
        <v/>
      </c>
      <c r="G363" t="str">
        <f t="shared" ca="1" si="12"/>
        <v/>
      </c>
      <c r="H363" t="str">
        <f t="shared" ca="1" si="13"/>
        <v/>
      </c>
      <c r="I363" t="str">
        <f t="shared" ca="1" si="14"/>
        <v/>
      </c>
    </row>
    <row r="364" spans="1:9" x14ac:dyDescent="0.25">
      <c r="A364" s="1"/>
      <c r="D364" t="str" cm="1">
        <f t="array" aca="1" ref="D364" ca="1">IF(OR(COUNTIF(damper_names,_xlfn.CONCAT("D_S_",C364))=1, COUNTIF(damper_names,_xlfn.CONCAT("D_E_",C364))=1), "C", "")</f>
        <v/>
      </c>
      <c r="E364" t="str">
        <f t="shared" ca="1" si="10"/>
        <v/>
      </c>
      <c r="F364" t="str">
        <f t="shared" ca="1" si="11"/>
        <v/>
      </c>
      <c r="G364" t="str">
        <f t="shared" ca="1" si="12"/>
        <v/>
      </c>
      <c r="H364" t="str">
        <f t="shared" ca="1" si="13"/>
        <v/>
      </c>
      <c r="I364" t="str">
        <f t="shared" ca="1" si="14"/>
        <v/>
      </c>
    </row>
    <row r="365" spans="1:9" x14ac:dyDescent="0.25">
      <c r="A365" s="1"/>
      <c r="D365" t="str" cm="1">
        <f t="array" aca="1" ref="D365" ca="1">IF(OR(COUNTIF(damper_names,_xlfn.CONCAT("D_S_",C365))=1, COUNTIF(damper_names,_xlfn.CONCAT("D_E_",C365))=1), "C", "")</f>
        <v/>
      </c>
      <c r="E365" t="str">
        <f t="shared" ca="1" si="10"/>
        <v/>
      </c>
      <c r="F365" t="str">
        <f t="shared" ca="1" si="11"/>
        <v/>
      </c>
      <c r="G365" t="str">
        <f t="shared" ca="1" si="12"/>
        <v/>
      </c>
      <c r="H365" t="str">
        <f t="shared" ca="1" si="13"/>
        <v/>
      </c>
      <c r="I365" t="str">
        <f t="shared" ca="1" si="14"/>
        <v/>
      </c>
    </row>
    <row r="366" spans="1:9" x14ac:dyDescent="0.25">
      <c r="A366" s="1"/>
      <c r="D366" t="str" cm="1">
        <f t="array" aca="1" ref="D366" ca="1">IF(OR(COUNTIF(damper_names,_xlfn.CONCAT("D_S_",C366))=1, COUNTIF(damper_names,_xlfn.CONCAT("D_E_",C366))=1), "C", "")</f>
        <v/>
      </c>
      <c r="E366" t="str">
        <f t="shared" ca="1" si="10"/>
        <v/>
      </c>
      <c r="F366" t="str">
        <f t="shared" ca="1" si="11"/>
        <v/>
      </c>
      <c r="G366" t="str">
        <f t="shared" ca="1" si="12"/>
        <v/>
      </c>
      <c r="H366" t="str">
        <f t="shared" ca="1" si="13"/>
        <v/>
      </c>
      <c r="I366" t="str">
        <f t="shared" ca="1" si="14"/>
        <v/>
      </c>
    </row>
    <row r="367" spans="1:9" x14ac:dyDescent="0.25">
      <c r="A367" s="1"/>
      <c r="D367" t="str" cm="1">
        <f t="array" aca="1" ref="D367" ca="1">IF(OR(COUNTIF(damper_names,_xlfn.CONCAT("D_S_",C367))=1, COUNTIF(damper_names,_xlfn.CONCAT("D_E_",C367))=1), "C", "")</f>
        <v/>
      </c>
      <c r="E367" t="str">
        <f t="shared" ca="1" si="10"/>
        <v/>
      </c>
      <c r="F367" t="str">
        <f t="shared" ca="1" si="11"/>
        <v/>
      </c>
      <c r="G367" t="str">
        <f t="shared" ca="1" si="12"/>
        <v/>
      </c>
      <c r="H367" t="str">
        <f t="shared" ca="1" si="13"/>
        <v/>
      </c>
      <c r="I367" t="str">
        <f t="shared" ca="1" si="14"/>
        <v/>
      </c>
    </row>
    <row r="368" spans="1:9" x14ac:dyDescent="0.25">
      <c r="A368" s="1"/>
      <c r="D368" t="str" cm="1">
        <f t="array" aca="1" ref="D368" ca="1">IF(OR(COUNTIF(damper_names,_xlfn.CONCAT("D_S_",C368))=1, COUNTIF(damper_names,_xlfn.CONCAT("D_E_",C368))=1), "C", "")</f>
        <v/>
      </c>
      <c r="E368" t="str">
        <f t="shared" ca="1" si="10"/>
        <v/>
      </c>
      <c r="F368" t="str">
        <f t="shared" ca="1" si="11"/>
        <v/>
      </c>
      <c r="G368" t="str">
        <f t="shared" ca="1" si="12"/>
        <v/>
      </c>
      <c r="H368" t="str">
        <f t="shared" ca="1" si="13"/>
        <v/>
      </c>
      <c r="I368" t="str">
        <f t="shared" ca="1" si="14"/>
        <v/>
      </c>
    </row>
    <row r="369" spans="1:9" x14ac:dyDescent="0.25">
      <c r="A369" s="1"/>
      <c r="D369" t="str" cm="1">
        <f t="array" aca="1" ref="D369" ca="1">IF(OR(COUNTIF(damper_names,_xlfn.CONCAT("D_S_",C369))=1, COUNTIF(damper_names,_xlfn.CONCAT("D_E_",C369))=1), "C", "")</f>
        <v/>
      </c>
      <c r="E369" t="str">
        <f t="shared" ca="1" si="10"/>
        <v/>
      </c>
      <c r="F369" t="str">
        <f t="shared" ca="1" si="11"/>
        <v/>
      </c>
      <c r="G369" t="str">
        <f t="shared" ca="1" si="12"/>
        <v/>
      </c>
      <c r="H369" t="str">
        <f t="shared" ca="1" si="13"/>
        <v/>
      </c>
      <c r="I369" t="str">
        <f t="shared" ca="1" si="14"/>
        <v/>
      </c>
    </row>
    <row r="370" spans="1:9" x14ac:dyDescent="0.25">
      <c r="A370" s="1"/>
      <c r="D370" t="str" cm="1">
        <f t="array" aca="1" ref="D370" ca="1">IF(OR(COUNTIF(damper_names,_xlfn.CONCAT("D_S_",C370))=1, COUNTIF(damper_names,_xlfn.CONCAT("D_E_",C370))=1), "C", "")</f>
        <v/>
      </c>
      <c r="E370" t="str">
        <f t="shared" ca="1" si="10"/>
        <v/>
      </c>
      <c r="F370" t="str">
        <f t="shared" ca="1" si="11"/>
        <v/>
      </c>
      <c r="G370" t="str">
        <f t="shared" ca="1" si="12"/>
        <v/>
      </c>
      <c r="H370" t="str">
        <f t="shared" ca="1" si="13"/>
        <v/>
      </c>
      <c r="I370" t="str">
        <f t="shared" ca="1" si="14"/>
        <v/>
      </c>
    </row>
    <row r="371" spans="1:9" x14ac:dyDescent="0.25">
      <c r="A371" s="1"/>
      <c r="D371" t="str" cm="1">
        <f t="array" aca="1" ref="D371" ca="1">IF(OR(COUNTIF(damper_names,_xlfn.CONCAT("D_S_",C371))=1, COUNTIF(damper_names,_xlfn.CONCAT("D_E_",C371))=1), "C", "")</f>
        <v/>
      </c>
      <c r="E371" t="str">
        <f t="shared" ref="E371:E434" ca="1" si="15">IF(D371="T", 0.05, IF(D371="C", -0.01, ""))</f>
        <v/>
      </c>
      <c r="F371" t="str">
        <f t="shared" ref="F371:F434" ca="1" si="16">IF(D371="T", 0.05, IF(D371="C", 0, ""))</f>
        <v/>
      </c>
      <c r="G371" t="str">
        <f t="shared" ref="G371:G434" ca="1" si="17">IF(D371="T", 0, IF(D371="C", 0, ""))</f>
        <v/>
      </c>
      <c r="H371" t="str">
        <f t="shared" ref="H371:H434" ca="1" si="18">IF(D371="T", 0.05, IF(D371="C", 0, ""))</f>
        <v/>
      </c>
      <c r="I371" t="str">
        <f t="shared" ref="I371:I434" ca="1" si="19">IF(D371="T", 0, IF(D371="C", 0, ""))</f>
        <v/>
      </c>
    </row>
    <row r="372" spans="1:9" x14ac:dyDescent="0.25">
      <c r="A372" s="1"/>
      <c r="D372" t="str" cm="1">
        <f t="array" aca="1" ref="D372" ca="1">IF(OR(COUNTIF(damper_names,_xlfn.CONCAT("D_S_",C372))=1, COUNTIF(damper_names,_xlfn.CONCAT("D_E_",C372))=1), "C", "")</f>
        <v/>
      </c>
      <c r="E372" t="str">
        <f t="shared" ca="1" si="15"/>
        <v/>
      </c>
      <c r="F372" t="str">
        <f t="shared" ca="1" si="16"/>
        <v/>
      </c>
      <c r="G372" t="str">
        <f t="shared" ca="1" si="17"/>
        <v/>
      </c>
      <c r="H372" t="str">
        <f t="shared" ca="1" si="18"/>
        <v/>
      </c>
      <c r="I372" t="str">
        <f t="shared" ca="1" si="19"/>
        <v/>
      </c>
    </row>
    <row r="373" spans="1:9" x14ac:dyDescent="0.25">
      <c r="A373" s="1"/>
      <c r="D373" t="str" cm="1">
        <f t="array" aca="1" ref="D373" ca="1">IF(OR(COUNTIF(damper_names,_xlfn.CONCAT("D_S_",C373))=1, COUNTIF(damper_names,_xlfn.CONCAT("D_E_",C373))=1), "C", "")</f>
        <v/>
      </c>
      <c r="E373" t="str">
        <f t="shared" ca="1" si="15"/>
        <v/>
      </c>
      <c r="F373" t="str">
        <f t="shared" ca="1" si="16"/>
        <v/>
      </c>
      <c r="G373" t="str">
        <f t="shared" ca="1" si="17"/>
        <v/>
      </c>
      <c r="H373" t="str">
        <f t="shared" ca="1" si="18"/>
        <v/>
      </c>
      <c r="I373" t="str">
        <f t="shared" ca="1" si="19"/>
        <v/>
      </c>
    </row>
    <row r="374" spans="1:9" x14ac:dyDescent="0.25">
      <c r="A374" s="1"/>
      <c r="D374" t="str" cm="1">
        <f t="array" aca="1" ref="D374" ca="1">IF(OR(COUNTIF(damper_names,_xlfn.CONCAT("D_S_",C374))=1, COUNTIF(damper_names,_xlfn.CONCAT("D_E_",C374))=1), "C", "")</f>
        <v/>
      </c>
      <c r="E374" t="str">
        <f t="shared" ca="1" si="15"/>
        <v/>
      </c>
      <c r="F374" t="str">
        <f t="shared" ca="1" si="16"/>
        <v/>
      </c>
      <c r="G374" t="str">
        <f t="shared" ca="1" si="17"/>
        <v/>
      </c>
      <c r="H374" t="str">
        <f t="shared" ca="1" si="18"/>
        <v/>
      </c>
      <c r="I374" t="str">
        <f t="shared" ca="1" si="19"/>
        <v/>
      </c>
    </row>
    <row r="375" spans="1:9" x14ac:dyDescent="0.25">
      <c r="A375" s="1"/>
      <c r="D375" t="str" cm="1">
        <f t="array" aca="1" ref="D375" ca="1">IF(OR(COUNTIF(damper_names,_xlfn.CONCAT("D_S_",C375))=1, COUNTIF(damper_names,_xlfn.CONCAT("D_E_",C375))=1), "C", "")</f>
        <v/>
      </c>
      <c r="E375" t="str">
        <f t="shared" ca="1" si="15"/>
        <v/>
      </c>
      <c r="F375" t="str">
        <f t="shared" ca="1" si="16"/>
        <v/>
      </c>
      <c r="G375" t="str">
        <f t="shared" ca="1" si="17"/>
        <v/>
      </c>
      <c r="H375" t="str">
        <f t="shared" ca="1" si="18"/>
        <v/>
      </c>
      <c r="I375" t="str">
        <f t="shared" ca="1" si="19"/>
        <v/>
      </c>
    </row>
    <row r="376" spans="1:9" x14ac:dyDescent="0.25">
      <c r="A376" s="1"/>
      <c r="D376" t="str" cm="1">
        <f t="array" aca="1" ref="D376" ca="1">IF(OR(COUNTIF(damper_names,_xlfn.CONCAT("D_S_",C376))=1, COUNTIF(damper_names,_xlfn.CONCAT("D_E_",C376))=1), "C", "")</f>
        <v/>
      </c>
      <c r="E376" t="str">
        <f t="shared" ca="1" si="15"/>
        <v/>
      </c>
      <c r="F376" t="str">
        <f t="shared" ca="1" si="16"/>
        <v/>
      </c>
      <c r="G376" t="str">
        <f t="shared" ca="1" si="17"/>
        <v/>
      </c>
      <c r="H376" t="str">
        <f t="shared" ca="1" si="18"/>
        <v/>
      </c>
      <c r="I376" t="str">
        <f t="shared" ca="1" si="19"/>
        <v/>
      </c>
    </row>
    <row r="377" spans="1:9" x14ac:dyDescent="0.25">
      <c r="A377" s="1"/>
      <c r="D377" t="str" cm="1">
        <f t="array" aca="1" ref="D377" ca="1">IF(OR(COUNTIF(damper_names,_xlfn.CONCAT("D_S_",C377))=1, COUNTIF(damper_names,_xlfn.CONCAT("D_E_",C377))=1), "C", "")</f>
        <v/>
      </c>
      <c r="E377" t="str">
        <f t="shared" ca="1" si="15"/>
        <v/>
      </c>
      <c r="F377" t="str">
        <f t="shared" ca="1" si="16"/>
        <v/>
      </c>
      <c r="G377" t="str">
        <f t="shared" ca="1" si="17"/>
        <v/>
      </c>
      <c r="H377" t="str">
        <f t="shared" ca="1" si="18"/>
        <v/>
      </c>
      <c r="I377" t="str">
        <f t="shared" ca="1" si="19"/>
        <v/>
      </c>
    </row>
    <row r="378" spans="1:9" x14ac:dyDescent="0.25">
      <c r="A378" s="1"/>
      <c r="D378" t="str" cm="1">
        <f t="array" aca="1" ref="D378" ca="1">IF(OR(COUNTIF(damper_names,_xlfn.CONCAT("D_S_",C378))=1, COUNTIF(damper_names,_xlfn.CONCAT("D_E_",C378))=1), "C", "")</f>
        <v/>
      </c>
      <c r="E378" t="str">
        <f t="shared" ca="1" si="15"/>
        <v/>
      </c>
      <c r="F378" t="str">
        <f t="shared" ca="1" si="16"/>
        <v/>
      </c>
      <c r="G378" t="str">
        <f t="shared" ca="1" si="17"/>
        <v/>
      </c>
      <c r="H378" t="str">
        <f t="shared" ca="1" si="18"/>
        <v/>
      </c>
      <c r="I378" t="str">
        <f t="shared" ca="1" si="19"/>
        <v/>
      </c>
    </row>
    <row r="379" spans="1:9" x14ac:dyDescent="0.25">
      <c r="A379" s="1"/>
      <c r="D379" t="str" cm="1">
        <f t="array" aca="1" ref="D379" ca="1">IF(OR(COUNTIF(damper_names,_xlfn.CONCAT("D_S_",C379))=1, COUNTIF(damper_names,_xlfn.CONCAT("D_E_",C379))=1), "C", "")</f>
        <v/>
      </c>
      <c r="E379" t="str">
        <f t="shared" ca="1" si="15"/>
        <v/>
      </c>
      <c r="F379" t="str">
        <f t="shared" ca="1" si="16"/>
        <v/>
      </c>
      <c r="G379" t="str">
        <f t="shared" ca="1" si="17"/>
        <v/>
      </c>
      <c r="H379" t="str">
        <f t="shared" ca="1" si="18"/>
        <v/>
      </c>
      <c r="I379" t="str">
        <f t="shared" ca="1" si="19"/>
        <v/>
      </c>
    </row>
    <row r="380" spans="1:9" x14ac:dyDescent="0.25">
      <c r="A380" s="1"/>
      <c r="D380" t="str" cm="1">
        <f t="array" aca="1" ref="D380" ca="1">IF(OR(COUNTIF(damper_names,_xlfn.CONCAT("D_S_",C380))=1, COUNTIF(damper_names,_xlfn.CONCAT("D_E_",C380))=1), "C", "")</f>
        <v/>
      </c>
      <c r="E380" t="str">
        <f t="shared" ca="1" si="15"/>
        <v/>
      </c>
      <c r="F380" t="str">
        <f t="shared" ca="1" si="16"/>
        <v/>
      </c>
      <c r="G380" t="str">
        <f t="shared" ca="1" si="17"/>
        <v/>
      </c>
      <c r="H380" t="str">
        <f t="shared" ca="1" si="18"/>
        <v/>
      </c>
      <c r="I380" t="str">
        <f t="shared" ca="1" si="19"/>
        <v/>
      </c>
    </row>
    <row r="381" spans="1:9" x14ac:dyDescent="0.25">
      <c r="A381" s="1"/>
      <c r="D381" t="str" cm="1">
        <f t="array" aca="1" ref="D381" ca="1">IF(OR(COUNTIF(damper_names,_xlfn.CONCAT("D_S_",C381))=1, COUNTIF(damper_names,_xlfn.CONCAT("D_E_",C381))=1), "C", "")</f>
        <v/>
      </c>
      <c r="E381" t="str">
        <f t="shared" ca="1" si="15"/>
        <v/>
      </c>
      <c r="F381" t="str">
        <f t="shared" ca="1" si="16"/>
        <v/>
      </c>
      <c r="G381" t="str">
        <f t="shared" ca="1" si="17"/>
        <v/>
      </c>
      <c r="H381" t="str">
        <f t="shared" ca="1" si="18"/>
        <v/>
      </c>
      <c r="I381" t="str">
        <f t="shared" ca="1" si="19"/>
        <v/>
      </c>
    </row>
    <row r="382" spans="1:9" x14ac:dyDescent="0.25">
      <c r="A382" s="1"/>
      <c r="D382" t="str" cm="1">
        <f t="array" aca="1" ref="D382" ca="1">IF(OR(COUNTIF(damper_names,_xlfn.CONCAT("D_S_",C382))=1, COUNTIF(damper_names,_xlfn.CONCAT("D_E_",C382))=1), "C", "")</f>
        <v/>
      </c>
      <c r="E382" t="str">
        <f t="shared" ca="1" si="15"/>
        <v/>
      </c>
      <c r="F382" t="str">
        <f t="shared" ca="1" si="16"/>
        <v/>
      </c>
      <c r="G382" t="str">
        <f t="shared" ca="1" si="17"/>
        <v/>
      </c>
      <c r="H382" t="str">
        <f t="shared" ca="1" si="18"/>
        <v/>
      </c>
      <c r="I382" t="str">
        <f t="shared" ca="1" si="19"/>
        <v/>
      </c>
    </row>
    <row r="383" spans="1:9" x14ac:dyDescent="0.25">
      <c r="A383" s="1"/>
      <c r="D383" t="str" cm="1">
        <f t="array" aca="1" ref="D383" ca="1">IF(OR(COUNTIF(damper_names,_xlfn.CONCAT("D_S_",C383))=1, COUNTIF(damper_names,_xlfn.CONCAT("D_E_",C383))=1), "C", "")</f>
        <v/>
      </c>
      <c r="E383" t="str">
        <f t="shared" ca="1" si="15"/>
        <v/>
      </c>
      <c r="F383" t="str">
        <f t="shared" ca="1" si="16"/>
        <v/>
      </c>
      <c r="G383" t="str">
        <f t="shared" ca="1" si="17"/>
        <v/>
      </c>
      <c r="H383" t="str">
        <f t="shared" ca="1" si="18"/>
        <v/>
      </c>
      <c r="I383" t="str">
        <f t="shared" ca="1" si="19"/>
        <v/>
      </c>
    </row>
    <row r="384" spans="1:9" x14ac:dyDescent="0.25">
      <c r="A384" s="1"/>
      <c r="D384" t="str" cm="1">
        <f t="array" aca="1" ref="D384" ca="1">IF(OR(COUNTIF(damper_names,_xlfn.CONCAT("D_S_",C384))=1, COUNTIF(damper_names,_xlfn.CONCAT("D_E_",C384))=1), "C", "")</f>
        <v/>
      </c>
      <c r="E384" t="str">
        <f t="shared" ca="1" si="15"/>
        <v/>
      </c>
      <c r="F384" t="str">
        <f t="shared" ca="1" si="16"/>
        <v/>
      </c>
      <c r="G384" t="str">
        <f t="shared" ca="1" si="17"/>
        <v/>
      </c>
      <c r="H384" t="str">
        <f t="shared" ca="1" si="18"/>
        <v/>
      </c>
      <c r="I384" t="str">
        <f t="shared" ca="1" si="19"/>
        <v/>
      </c>
    </row>
    <row r="385" spans="1:9" x14ac:dyDescent="0.25">
      <c r="A385" s="1"/>
      <c r="D385" t="str" cm="1">
        <f t="array" aca="1" ref="D385" ca="1">IF(OR(COUNTIF(damper_names,_xlfn.CONCAT("D_S_",C385))=1, COUNTIF(damper_names,_xlfn.CONCAT("D_E_",C385))=1), "C", "")</f>
        <v/>
      </c>
      <c r="E385" t="str">
        <f t="shared" ca="1" si="15"/>
        <v/>
      </c>
      <c r="F385" t="str">
        <f t="shared" ca="1" si="16"/>
        <v/>
      </c>
      <c r="G385" t="str">
        <f t="shared" ca="1" si="17"/>
        <v/>
      </c>
      <c r="H385" t="str">
        <f t="shared" ca="1" si="18"/>
        <v/>
      </c>
      <c r="I385" t="str">
        <f t="shared" ca="1" si="19"/>
        <v/>
      </c>
    </row>
    <row r="386" spans="1:9" x14ac:dyDescent="0.25">
      <c r="A386" s="1"/>
      <c r="D386" t="str" cm="1">
        <f t="array" aca="1" ref="D386" ca="1">IF(OR(COUNTIF(damper_names,_xlfn.CONCAT("D_S_",C386))=1, COUNTIF(damper_names,_xlfn.CONCAT("D_E_",C386))=1), "C", "")</f>
        <v/>
      </c>
      <c r="E386" t="str">
        <f t="shared" ca="1" si="15"/>
        <v/>
      </c>
      <c r="F386" t="str">
        <f t="shared" ca="1" si="16"/>
        <v/>
      </c>
      <c r="G386" t="str">
        <f t="shared" ca="1" si="17"/>
        <v/>
      </c>
      <c r="H386" t="str">
        <f t="shared" ca="1" si="18"/>
        <v/>
      </c>
      <c r="I386" t="str">
        <f t="shared" ca="1" si="19"/>
        <v/>
      </c>
    </row>
    <row r="387" spans="1:9" x14ac:dyDescent="0.25">
      <c r="A387" s="1"/>
      <c r="D387" t="str" cm="1">
        <f t="array" aca="1" ref="D387" ca="1">IF(OR(COUNTIF(damper_names,_xlfn.CONCAT("D_S_",C387))=1, COUNTIF(damper_names,_xlfn.CONCAT("D_E_",C387))=1), "C", "")</f>
        <v/>
      </c>
      <c r="E387" t="str">
        <f t="shared" ca="1" si="15"/>
        <v/>
      </c>
      <c r="F387" t="str">
        <f t="shared" ca="1" si="16"/>
        <v/>
      </c>
      <c r="G387" t="str">
        <f t="shared" ca="1" si="17"/>
        <v/>
      </c>
      <c r="H387" t="str">
        <f t="shared" ca="1" si="18"/>
        <v/>
      </c>
      <c r="I387" t="str">
        <f t="shared" ca="1" si="19"/>
        <v/>
      </c>
    </row>
    <row r="388" spans="1:9" x14ac:dyDescent="0.25">
      <c r="A388" s="1"/>
      <c r="D388" t="str" cm="1">
        <f t="array" aca="1" ref="D388" ca="1">IF(OR(COUNTIF(damper_names,_xlfn.CONCAT("D_S_",C388))=1, COUNTIF(damper_names,_xlfn.CONCAT("D_E_",C388))=1), "C", "")</f>
        <v/>
      </c>
      <c r="E388" t="str">
        <f t="shared" ca="1" si="15"/>
        <v/>
      </c>
      <c r="F388" t="str">
        <f t="shared" ca="1" si="16"/>
        <v/>
      </c>
      <c r="G388" t="str">
        <f t="shared" ca="1" si="17"/>
        <v/>
      </c>
      <c r="H388" t="str">
        <f t="shared" ca="1" si="18"/>
        <v/>
      </c>
      <c r="I388" t="str">
        <f t="shared" ca="1" si="19"/>
        <v/>
      </c>
    </row>
    <row r="389" spans="1:9" x14ac:dyDescent="0.25">
      <c r="A389" s="1"/>
      <c r="D389" t="str" cm="1">
        <f t="array" aca="1" ref="D389" ca="1">IF(OR(COUNTIF(damper_names,_xlfn.CONCAT("D_S_",C389))=1, COUNTIF(damper_names,_xlfn.CONCAT("D_E_",C389))=1), "C", "")</f>
        <v/>
      </c>
      <c r="E389" t="str">
        <f t="shared" ca="1" si="15"/>
        <v/>
      </c>
      <c r="F389" t="str">
        <f t="shared" ca="1" si="16"/>
        <v/>
      </c>
      <c r="G389" t="str">
        <f t="shared" ca="1" si="17"/>
        <v/>
      </c>
      <c r="H389" t="str">
        <f t="shared" ca="1" si="18"/>
        <v/>
      </c>
      <c r="I389" t="str">
        <f t="shared" ca="1" si="19"/>
        <v/>
      </c>
    </row>
    <row r="390" spans="1:9" x14ac:dyDescent="0.25">
      <c r="A390" s="1"/>
      <c r="D390" t="str" cm="1">
        <f t="array" aca="1" ref="D390" ca="1">IF(OR(COUNTIF(damper_names,_xlfn.CONCAT("D_S_",C390))=1, COUNTIF(damper_names,_xlfn.CONCAT("D_E_",C390))=1), "C", "")</f>
        <v/>
      </c>
      <c r="E390" t="str">
        <f t="shared" ca="1" si="15"/>
        <v/>
      </c>
      <c r="F390" t="str">
        <f t="shared" ca="1" si="16"/>
        <v/>
      </c>
      <c r="G390" t="str">
        <f t="shared" ca="1" si="17"/>
        <v/>
      </c>
      <c r="H390" t="str">
        <f t="shared" ca="1" si="18"/>
        <v/>
      </c>
      <c r="I390" t="str">
        <f t="shared" ca="1" si="19"/>
        <v/>
      </c>
    </row>
    <row r="391" spans="1:9" x14ac:dyDescent="0.25">
      <c r="A391" s="1"/>
      <c r="D391" t="str" cm="1">
        <f t="array" aca="1" ref="D391" ca="1">IF(OR(COUNTIF(damper_names,_xlfn.CONCAT("D_S_",C391))=1, COUNTIF(damper_names,_xlfn.CONCAT("D_E_",C391))=1), "C", "")</f>
        <v/>
      </c>
      <c r="E391" t="str">
        <f t="shared" ca="1" si="15"/>
        <v/>
      </c>
      <c r="F391" t="str">
        <f t="shared" ca="1" si="16"/>
        <v/>
      </c>
      <c r="G391" t="str">
        <f t="shared" ca="1" si="17"/>
        <v/>
      </c>
      <c r="H391" t="str">
        <f t="shared" ca="1" si="18"/>
        <v/>
      </c>
      <c r="I391" t="str">
        <f t="shared" ca="1" si="19"/>
        <v/>
      </c>
    </row>
    <row r="392" spans="1:9" x14ac:dyDescent="0.25">
      <c r="A392" s="1"/>
      <c r="D392" t="str" cm="1">
        <f t="array" aca="1" ref="D392" ca="1">IF(OR(COUNTIF(damper_names,_xlfn.CONCAT("D_S_",C392))=1, COUNTIF(damper_names,_xlfn.CONCAT("D_E_",C392))=1), "C", "")</f>
        <v/>
      </c>
      <c r="E392" t="str">
        <f t="shared" ca="1" si="15"/>
        <v/>
      </c>
      <c r="F392" t="str">
        <f t="shared" ca="1" si="16"/>
        <v/>
      </c>
      <c r="G392" t="str">
        <f t="shared" ca="1" si="17"/>
        <v/>
      </c>
      <c r="H392" t="str">
        <f t="shared" ca="1" si="18"/>
        <v/>
      </c>
      <c r="I392" t="str">
        <f t="shared" ca="1" si="19"/>
        <v/>
      </c>
    </row>
    <row r="393" spans="1:9" x14ac:dyDescent="0.25">
      <c r="A393" s="1"/>
      <c r="D393" t="str" cm="1">
        <f t="array" aca="1" ref="D393" ca="1">IF(OR(COUNTIF(damper_names,_xlfn.CONCAT("D_S_",C393))=1, COUNTIF(damper_names,_xlfn.CONCAT("D_E_",C393))=1), "C", "")</f>
        <v/>
      </c>
      <c r="E393" t="str">
        <f t="shared" ca="1" si="15"/>
        <v/>
      </c>
      <c r="F393" t="str">
        <f t="shared" ca="1" si="16"/>
        <v/>
      </c>
      <c r="G393" t="str">
        <f t="shared" ca="1" si="17"/>
        <v/>
      </c>
      <c r="H393" t="str">
        <f t="shared" ca="1" si="18"/>
        <v/>
      </c>
      <c r="I393" t="str">
        <f t="shared" ca="1" si="19"/>
        <v/>
      </c>
    </row>
    <row r="394" spans="1:9" x14ac:dyDescent="0.25">
      <c r="A394" s="1"/>
      <c r="D394" t="str" cm="1">
        <f t="array" aca="1" ref="D394" ca="1">IF(OR(COUNTIF(damper_names,_xlfn.CONCAT("D_S_",C394))=1, COUNTIF(damper_names,_xlfn.CONCAT("D_E_",C394))=1), "C", "")</f>
        <v/>
      </c>
      <c r="E394" t="str">
        <f t="shared" ca="1" si="15"/>
        <v/>
      </c>
      <c r="F394" t="str">
        <f t="shared" ca="1" si="16"/>
        <v/>
      </c>
      <c r="G394" t="str">
        <f t="shared" ca="1" si="17"/>
        <v/>
      </c>
      <c r="H394" t="str">
        <f t="shared" ca="1" si="18"/>
        <v/>
      </c>
      <c r="I394" t="str">
        <f t="shared" ca="1" si="19"/>
        <v/>
      </c>
    </row>
    <row r="395" spans="1:9" x14ac:dyDescent="0.25">
      <c r="A395" s="1"/>
      <c r="D395" t="str" cm="1">
        <f t="array" aca="1" ref="D395" ca="1">IF(OR(COUNTIF(damper_names,_xlfn.CONCAT("D_S_",C395))=1, COUNTIF(damper_names,_xlfn.CONCAT("D_E_",C395))=1), "C", "")</f>
        <v/>
      </c>
      <c r="E395" t="str">
        <f t="shared" ca="1" si="15"/>
        <v/>
      </c>
      <c r="F395" t="str">
        <f t="shared" ca="1" si="16"/>
        <v/>
      </c>
      <c r="G395" t="str">
        <f t="shared" ca="1" si="17"/>
        <v/>
      </c>
      <c r="H395" t="str">
        <f t="shared" ca="1" si="18"/>
        <v/>
      </c>
      <c r="I395" t="str">
        <f t="shared" ca="1" si="19"/>
        <v/>
      </c>
    </row>
    <row r="396" spans="1:9" x14ac:dyDescent="0.25">
      <c r="A396" s="1"/>
      <c r="D396" t="str" cm="1">
        <f t="array" aca="1" ref="D396" ca="1">IF(OR(COUNTIF(damper_names,_xlfn.CONCAT("D_S_",C396))=1, COUNTIF(damper_names,_xlfn.CONCAT("D_E_",C396))=1), "C", "")</f>
        <v/>
      </c>
      <c r="E396" t="str">
        <f t="shared" ca="1" si="15"/>
        <v/>
      </c>
      <c r="F396" t="str">
        <f t="shared" ca="1" si="16"/>
        <v/>
      </c>
      <c r="G396" t="str">
        <f t="shared" ca="1" si="17"/>
        <v/>
      </c>
      <c r="H396" t="str">
        <f t="shared" ca="1" si="18"/>
        <v/>
      </c>
      <c r="I396" t="str">
        <f t="shared" ca="1" si="19"/>
        <v/>
      </c>
    </row>
    <row r="397" spans="1:9" x14ac:dyDescent="0.25">
      <c r="A397" s="1"/>
      <c r="D397" t="str" cm="1">
        <f t="array" aca="1" ref="D397" ca="1">IF(OR(COUNTIF(damper_names,_xlfn.CONCAT("D_S_",C397))=1, COUNTIF(damper_names,_xlfn.CONCAT("D_E_",C397))=1), "C", "")</f>
        <v/>
      </c>
      <c r="E397" t="str">
        <f t="shared" ca="1" si="15"/>
        <v/>
      </c>
      <c r="F397" t="str">
        <f t="shared" ca="1" si="16"/>
        <v/>
      </c>
      <c r="G397" t="str">
        <f t="shared" ca="1" si="17"/>
        <v/>
      </c>
      <c r="H397" t="str">
        <f t="shared" ca="1" si="18"/>
        <v/>
      </c>
      <c r="I397" t="str">
        <f t="shared" ca="1" si="19"/>
        <v/>
      </c>
    </row>
    <row r="398" spans="1:9" x14ac:dyDescent="0.25">
      <c r="A398" s="1"/>
      <c r="D398" t="str" cm="1">
        <f t="array" aca="1" ref="D398" ca="1">IF(OR(COUNTIF(damper_names,_xlfn.CONCAT("D_S_",C398))=1, COUNTIF(damper_names,_xlfn.CONCAT("D_E_",C398))=1), "C", "")</f>
        <v/>
      </c>
      <c r="E398" t="str">
        <f t="shared" ca="1" si="15"/>
        <v/>
      </c>
      <c r="F398" t="str">
        <f t="shared" ca="1" si="16"/>
        <v/>
      </c>
      <c r="G398" t="str">
        <f t="shared" ca="1" si="17"/>
        <v/>
      </c>
      <c r="H398" t="str">
        <f t="shared" ca="1" si="18"/>
        <v/>
      </c>
      <c r="I398" t="str">
        <f t="shared" ca="1" si="19"/>
        <v/>
      </c>
    </row>
    <row r="399" spans="1:9" x14ac:dyDescent="0.25">
      <c r="A399" s="1"/>
      <c r="D399" t="str" cm="1">
        <f t="array" aca="1" ref="D399" ca="1">IF(OR(COUNTIF(damper_names,_xlfn.CONCAT("D_S_",C399))=1, COUNTIF(damper_names,_xlfn.CONCAT("D_E_",C399))=1), "C", "")</f>
        <v/>
      </c>
      <c r="E399" t="str">
        <f t="shared" ca="1" si="15"/>
        <v/>
      </c>
      <c r="F399" t="str">
        <f t="shared" ca="1" si="16"/>
        <v/>
      </c>
      <c r="G399" t="str">
        <f t="shared" ca="1" si="17"/>
        <v/>
      </c>
      <c r="H399" t="str">
        <f t="shared" ca="1" si="18"/>
        <v/>
      </c>
      <c r="I399" t="str">
        <f t="shared" ca="1" si="19"/>
        <v/>
      </c>
    </row>
    <row r="400" spans="1:9" x14ac:dyDescent="0.25">
      <c r="A400" s="1"/>
      <c r="D400" t="str" cm="1">
        <f t="array" aca="1" ref="D400" ca="1">IF(OR(COUNTIF(damper_names,_xlfn.CONCAT("D_S_",C400))=1, COUNTIF(damper_names,_xlfn.CONCAT("D_E_",C400))=1), "C", "")</f>
        <v/>
      </c>
      <c r="E400" t="str">
        <f t="shared" ca="1" si="15"/>
        <v/>
      </c>
      <c r="F400" t="str">
        <f t="shared" ca="1" si="16"/>
        <v/>
      </c>
      <c r="G400" t="str">
        <f t="shared" ca="1" si="17"/>
        <v/>
      </c>
      <c r="H400" t="str">
        <f t="shared" ca="1" si="18"/>
        <v/>
      </c>
      <c r="I400" t="str">
        <f t="shared" ca="1" si="19"/>
        <v/>
      </c>
    </row>
    <row r="401" spans="1:9" x14ac:dyDescent="0.25">
      <c r="A401" s="1"/>
      <c r="D401" t="str" cm="1">
        <f t="array" aca="1" ref="D401" ca="1">IF(OR(COUNTIF(damper_names,_xlfn.CONCAT("D_S_",C401))=1, COUNTIF(damper_names,_xlfn.CONCAT("D_E_",C401))=1), "C", "")</f>
        <v/>
      </c>
      <c r="E401" t="str">
        <f t="shared" ca="1" si="15"/>
        <v/>
      </c>
      <c r="F401" t="str">
        <f t="shared" ca="1" si="16"/>
        <v/>
      </c>
      <c r="G401" t="str">
        <f t="shared" ca="1" si="17"/>
        <v/>
      </c>
      <c r="H401" t="str">
        <f t="shared" ca="1" si="18"/>
        <v/>
      </c>
      <c r="I401" t="str">
        <f t="shared" ca="1" si="19"/>
        <v/>
      </c>
    </row>
    <row r="402" spans="1:9" x14ac:dyDescent="0.25">
      <c r="A402" s="1"/>
      <c r="D402" t="str" cm="1">
        <f t="array" aca="1" ref="D402" ca="1">IF(OR(COUNTIF(damper_names,_xlfn.CONCAT("D_S_",C402))=1, COUNTIF(damper_names,_xlfn.CONCAT("D_E_",C402))=1), "C", "")</f>
        <v/>
      </c>
      <c r="E402" t="str">
        <f t="shared" ca="1" si="15"/>
        <v/>
      </c>
      <c r="F402" t="str">
        <f t="shared" ca="1" si="16"/>
        <v/>
      </c>
      <c r="G402" t="str">
        <f t="shared" ca="1" si="17"/>
        <v/>
      </c>
      <c r="H402" t="str">
        <f t="shared" ca="1" si="18"/>
        <v/>
      </c>
      <c r="I402" t="str">
        <f t="shared" ca="1" si="19"/>
        <v/>
      </c>
    </row>
    <row r="403" spans="1:9" x14ac:dyDescent="0.25">
      <c r="A403" s="1"/>
      <c r="D403" t="str" cm="1">
        <f t="array" aca="1" ref="D403" ca="1">IF(OR(COUNTIF(damper_names,_xlfn.CONCAT("D_S_",C403))=1, COUNTIF(damper_names,_xlfn.CONCAT("D_E_",C403))=1), "C", "")</f>
        <v/>
      </c>
      <c r="E403" t="str">
        <f t="shared" ca="1" si="15"/>
        <v/>
      </c>
      <c r="F403" t="str">
        <f t="shared" ca="1" si="16"/>
        <v/>
      </c>
      <c r="G403" t="str">
        <f t="shared" ca="1" si="17"/>
        <v/>
      </c>
      <c r="H403" t="str">
        <f t="shared" ca="1" si="18"/>
        <v/>
      </c>
      <c r="I403" t="str">
        <f t="shared" ca="1" si="19"/>
        <v/>
      </c>
    </row>
    <row r="404" spans="1:9" x14ac:dyDescent="0.25">
      <c r="A404" s="1"/>
      <c r="D404" t="str" cm="1">
        <f t="array" aca="1" ref="D404" ca="1">IF(OR(COUNTIF(damper_names,_xlfn.CONCAT("D_S_",C404))=1, COUNTIF(damper_names,_xlfn.CONCAT("D_E_",C404))=1), "C", "")</f>
        <v/>
      </c>
      <c r="E404" t="str">
        <f t="shared" ca="1" si="15"/>
        <v/>
      </c>
      <c r="F404" t="str">
        <f t="shared" ca="1" si="16"/>
        <v/>
      </c>
      <c r="G404" t="str">
        <f t="shared" ca="1" si="17"/>
        <v/>
      </c>
      <c r="H404" t="str">
        <f t="shared" ca="1" si="18"/>
        <v/>
      </c>
      <c r="I404" t="str">
        <f t="shared" ca="1" si="19"/>
        <v/>
      </c>
    </row>
    <row r="405" spans="1:9" x14ac:dyDescent="0.25">
      <c r="A405" s="1"/>
      <c r="D405" t="str" cm="1">
        <f t="array" aca="1" ref="D405" ca="1">IF(OR(COUNTIF(damper_names,_xlfn.CONCAT("D_S_",C405))=1, COUNTIF(damper_names,_xlfn.CONCAT("D_E_",C405))=1), "C", "")</f>
        <v/>
      </c>
      <c r="E405" t="str">
        <f t="shared" ca="1" si="15"/>
        <v/>
      </c>
      <c r="F405" t="str">
        <f t="shared" ca="1" si="16"/>
        <v/>
      </c>
      <c r="G405" t="str">
        <f t="shared" ca="1" si="17"/>
        <v/>
      </c>
      <c r="H405" t="str">
        <f t="shared" ca="1" si="18"/>
        <v/>
      </c>
      <c r="I405" t="str">
        <f t="shared" ca="1" si="19"/>
        <v/>
      </c>
    </row>
    <row r="406" spans="1:9" x14ac:dyDescent="0.25">
      <c r="A406" s="1"/>
      <c r="D406" t="str" cm="1">
        <f t="array" aca="1" ref="D406" ca="1">IF(OR(COUNTIF(damper_names,_xlfn.CONCAT("D_S_",C406))=1, COUNTIF(damper_names,_xlfn.CONCAT("D_E_",C406))=1), "C", "")</f>
        <v/>
      </c>
      <c r="E406" t="str">
        <f t="shared" ca="1" si="15"/>
        <v/>
      </c>
      <c r="F406" t="str">
        <f t="shared" ca="1" si="16"/>
        <v/>
      </c>
      <c r="G406" t="str">
        <f t="shared" ca="1" si="17"/>
        <v/>
      </c>
      <c r="H406" t="str">
        <f t="shared" ca="1" si="18"/>
        <v/>
      </c>
      <c r="I406" t="str">
        <f t="shared" ca="1" si="19"/>
        <v/>
      </c>
    </row>
    <row r="407" spans="1:9" x14ac:dyDescent="0.25">
      <c r="A407" s="1"/>
      <c r="D407" t="str" cm="1">
        <f t="array" aca="1" ref="D407" ca="1">IF(OR(COUNTIF(damper_names,_xlfn.CONCAT("D_S_",C407))=1, COUNTIF(damper_names,_xlfn.CONCAT("D_E_",C407))=1), "C", "")</f>
        <v/>
      </c>
      <c r="E407" t="str">
        <f t="shared" ca="1" si="15"/>
        <v/>
      </c>
      <c r="F407" t="str">
        <f t="shared" ca="1" si="16"/>
        <v/>
      </c>
      <c r="G407" t="str">
        <f t="shared" ca="1" si="17"/>
        <v/>
      </c>
      <c r="H407" t="str">
        <f t="shared" ca="1" si="18"/>
        <v/>
      </c>
      <c r="I407" t="str">
        <f t="shared" ca="1" si="19"/>
        <v/>
      </c>
    </row>
    <row r="408" spans="1:9" x14ac:dyDescent="0.25">
      <c r="A408" s="1"/>
      <c r="D408" t="str" cm="1">
        <f t="array" aca="1" ref="D408" ca="1">IF(OR(COUNTIF(damper_names,_xlfn.CONCAT("D_S_",C408))=1, COUNTIF(damper_names,_xlfn.CONCAT("D_E_",C408))=1), "C", "")</f>
        <v/>
      </c>
      <c r="E408" t="str">
        <f t="shared" ca="1" si="15"/>
        <v/>
      </c>
      <c r="F408" t="str">
        <f t="shared" ca="1" si="16"/>
        <v/>
      </c>
      <c r="G408" t="str">
        <f t="shared" ca="1" si="17"/>
        <v/>
      </c>
      <c r="H408" t="str">
        <f t="shared" ca="1" si="18"/>
        <v/>
      </c>
      <c r="I408" t="str">
        <f t="shared" ca="1" si="19"/>
        <v/>
      </c>
    </row>
    <row r="409" spans="1:9" x14ac:dyDescent="0.25">
      <c r="A409" s="1"/>
      <c r="D409" t="str" cm="1">
        <f t="array" aca="1" ref="D409" ca="1">IF(OR(COUNTIF(damper_names,_xlfn.CONCAT("D_S_",C409))=1, COUNTIF(damper_names,_xlfn.CONCAT("D_E_",C409))=1), "C", "")</f>
        <v/>
      </c>
      <c r="E409" t="str">
        <f t="shared" ca="1" si="15"/>
        <v/>
      </c>
      <c r="F409" t="str">
        <f t="shared" ca="1" si="16"/>
        <v/>
      </c>
      <c r="G409" t="str">
        <f t="shared" ca="1" si="17"/>
        <v/>
      </c>
      <c r="H409" t="str">
        <f t="shared" ca="1" si="18"/>
        <v/>
      </c>
      <c r="I409" t="str">
        <f t="shared" ca="1" si="19"/>
        <v/>
      </c>
    </row>
    <row r="410" spans="1:9" x14ac:dyDescent="0.25">
      <c r="A410" s="1"/>
      <c r="D410" t="str" cm="1">
        <f t="array" aca="1" ref="D410" ca="1">IF(OR(COUNTIF(damper_names,_xlfn.CONCAT("D_S_",C410))=1, COUNTIF(damper_names,_xlfn.CONCAT("D_E_",C410))=1), "C", "")</f>
        <v/>
      </c>
      <c r="E410" t="str">
        <f t="shared" ca="1" si="15"/>
        <v/>
      </c>
      <c r="F410" t="str">
        <f t="shared" ca="1" si="16"/>
        <v/>
      </c>
      <c r="G410" t="str">
        <f t="shared" ca="1" si="17"/>
        <v/>
      </c>
      <c r="H410" t="str">
        <f t="shared" ca="1" si="18"/>
        <v/>
      </c>
      <c r="I410" t="str">
        <f t="shared" ca="1" si="19"/>
        <v/>
      </c>
    </row>
    <row r="411" spans="1:9" x14ac:dyDescent="0.25">
      <c r="A411" s="1"/>
      <c r="D411" t="str" cm="1">
        <f t="array" aca="1" ref="D411" ca="1">IF(OR(COUNTIF(damper_names,_xlfn.CONCAT("D_S_",C411))=1, COUNTIF(damper_names,_xlfn.CONCAT("D_E_",C411))=1), "C", "")</f>
        <v/>
      </c>
      <c r="E411" t="str">
        <f t="shared" ca="1" si="15"/>
        <v/>
      </c>
      <c r="F411" t="str">
        <f t="shared" ca="1" si="16"/>
        <v/>
      </c>
      <c r="G411" t="str">
        <f t="shared" ca="1" si="17"/>
        <v/>
      </c>
      <c r="H411" t="str">
        <f t="shared" ca="1" si="18"/>
        <v/>
      </c>
      <c r="I411" t="str">
        <f t="shared" ca="1" si="19"/>
        <v/>
      </c>
    </row>
    <row r="412" spans="1:9" x14ac:dyDescent="0.25">
      <c r="A412" s="1"/>
      <c r="D412" t="str" cm="1">
        <f t="array" aca="1" ref="D412" ca="1">IF(OR(COUNTIF(damper_names,_xlfn.CONCAT("D_S_",C412))=1, COUNTIF(damper_names,_xlfn.CONCAT("D_E_",C412))=1), "C", "")</f>
        <v/>
      </c>
      <c r="E412" t="str">
        <f t="shared" ca="1" si="15"/>
        <v/>
      </c>
      <c r="F412" t="str">
        <f t="shared" ca="1" si="16"/>
        <v/>
      </c>
      <c r="G412" t="str">
        <f t="shared" ca="1" si="17"/>
        <v/>
      </c>
      <c r="H412" t="str">
        <f t="shared" ca="1" si="18"/>
        <v/>
      </c>
      <c r="I412" t="str">
        <f t="shared" ca="1" si="19"/>
        <v/>
      </c>
    </row>
    <row r="413" spans="1:9" x14ac:dyDescent="0.25">
      <c r="A413" s="1"/>
      <c r="D413" t="str" cm="1">
        <f t="array" aca="1" ref="D413" ca="1">IF(OR(COUNTIF(damper_names,_xlfn.CONCAT("D_S_",C413))=1, COUNTIF(damper_names,_xlfn.CONCAT("D_E_",C413))=1), "C", "")</f>
        <v/>
      </c>
      <c r="E413" t="str">
        <f t="shared" ca="1" si="15"/>
        <v/>
      </c>
      <c r="F413" t="str">
        <f t="shared" ca="1" si="16"/>
        <v/>
      </c>
      <c r="G413" t="str">
        <f t="shared" ca="1" si="17"/>
        <v/>
      </c>
      <c r="H413" t="str">
        <f t="shared" ca="1" si="18"/>
        <v/>
      </c>
      <c r="I413" t="str">
        <f t="shared" ca="1" si="19"/>
        <v/>
      </c>
    </row>
    <row r="414" spans="1:9" x14ac:dyDescent="0.25">
      <c r="A414" s="1"/>
      <c r="D414" t="str" cm="1">
        <f t="array" aca="1" ref="D414" ca="1">IF(OR(COUNTIF(damper_names,_xlfn.CONCAT("D_S_",C414))=1, COUNTIF(damper_names,_xlfn.CONCAT("D_E_",C414))=1), "C", "")</f>
        <v/>
      </c>
      <c r="E414" t="str">
        <f t="shared" ca="1" si="15"/>
        <v/>
      </c>
      <c r="F414" t="str">
        <f t="shared" ca="1" si="16"/>
        <v/>
      </c>
      <c r="G414" t="str">
        <f t="shared" ca="1" si="17"/>
        <v/>
      </c>
      <c r="H414" t="str">
        <f t="shared" ca="1" si="18"/>
        <v/>
      </c>
      <c r="I414" t="str">
        <f t="shared" ca="1" si="19"/>
        <v/>
      </c>
    </row>
    <row r="415" spans="1:9" x14ac:dyDescent="0.25">
      <c r="A415" s="1"/>
      <c r="D415" t="str" cm="1">
        <f t="array" aca="1" ref="D415" ca="1">IF(OR(COUNTIF(damper_names,_xlfn.CONCAT("D_S_",C415))=1, COUNTIF(damper_names,_xlfn.CONCAT("D_E_",C415))=1), "C", "")</f>
        <v/>
      </c>
      <c r="E415" t="str">
        <f t="shared" ca="1" si="15"/>
        <v/>
      </c>
      <c r="F415" t="str">
        <f t="shared" ca="1" si="16"/>
        <v/>
      </c>
      <c r="G415" t="str">
        <f t="shared" ca="1" si="17"/>
        <v/>
      </c>
      <c r="H415" t="str">
        <f t="shared" ca="1" si="18"/>
        <v/>
      </c>
      <c r="I415" t="str">
        <f t="shared" ca="1" si="19"/>
        <v/>
      </c>
    </row>
    <row r="416" spans="1:9" x14ac:dyDescent="0.25">
      <c r="A416" s="1"/>
      <c r="D416" t="str" cm="1">
        <f t="array" aca="1" ref="D416" ca="1">IF(OR(COUNTIF(damper_names,_xlfn.CONCAT("D_S_",C416))=1, COUNTIF(damper_names,_xlfn.CONCAT("D_E_",C416))=1), "C", "")</f>
        <v/>
      </c>
      <c r="E416" t="str">
        <f t="shared" ca="1" si="15"/>
        <v/>
      </c>
      <c r="F416" t="str">
        <f t="shared" ca="1" si="16"/>
        <v/>
      </c>
      <c r="G416" t="str">
        <f t="shared" ca="1" si="17"/>
        <v/>
      </c>
      <c r="H416" t="str">
        <f t="shared" ca="1" si="18"/>
        <v/>
      </c>
      <c r="I416" t="str">
        <f t="shared" ca="1" si="19"/>
        <v/>
      </c>
    </row>
    <row r="417" spans="1:9" x14ac:dyDescent="0.25">
      <c r="A417" s="1"/>
      <c r="D417" t="str" cm="1">
        <f t="array" aca="1" ref="D417" ca="1">IF(OR(COUNTIF(damper_names,_xlfn.CONCAT("D_S_",C417))=1, COUNTIF(damper_names,_xlfn.CONCAT("D_E_",C417))=1), "C", "")</f>
        <v/>
      </c>
      <c r="E417" t="str">
        <f t="shared" ca="1" si="15"/>
        <v/>
      </c>
      <c r="F417" t="str">
        <f t="shared" ca="1" si="16"/>
        <v/>
      </c>
      <c r="G417" t="str">
        <f t="shared" ca="1" si="17"/>
        <v/>
      </c>
      <c r="H417" t="str">
        <f t="shared" ca="1" si="18"/>
        <v/>
      </c>
      <c r="I417" t="str">
        <f t="shared" ca="1" si="19"/>
        <v/>
      </c>
    </row>
    <row r="418" spans="1:9" x14ac:dyDescent="0.25">
      <c r="A418" s="1"/>
      <c r="D418" t="str" cm="1">
        <f t="array" aca="1" ref="D418" ca="1">IF(OR(COUNTIF(damper_names,_xlfn.CONCAT("D_S_",C418))=1, COUNTIF(damper_names,_xlfn.CONCAT("D_E_",C418))=1), "C", "")</f>
        <v/>
      </c>
      <c r="E418" t="str">
        <f t="shared" ca="1" si="15"/>
        <v/>
      </c>
      <c r="F418" t="str">
        <f t="shared" ca="1" si="16"/>
        <v/>
      </c>
      <c r="G418" t="str">
        <f t="shared" ca="1" si="17"/>
        <v/>
      </c>
      <c r="H418" t="str">
        <f t="shared" ca="1" si="18"/>
        <v/>
      </c>
      <c r="I418" t="str">
        <f t="shared" ca="1" si="19"/>
        <v/>
      </c>
    </row>
    <row r="419" spans="1:9" x14ac:dyDescent="0.25">
      <c r="A419" s="1"/>
      <c r="D419" t="str" cm="1">
        <f t="array" aca="1" ref="D419" ca="1">IF(OR(COUNTIF(damper_names,_xlfn.CONCAT("D_S_",C419))=1, COUNTIF(damper_names,_xlfn.CONCAT("D_E_",C419))=1), "C", "")</f>
        <v/>
      </c>
      <c r="E419" t="str">
        <f t="shared" ca="1" si="15"/>
        <v/>
      </c>
      <c r="F419" t="str">
        <f t="shared" ca="1" si="16"/>
        <v/>
      </c>
      <c r="G419" t="str">
        <f t="shared" ca="1" si="17"/>
        <v/>
      </c>
      <c r="H419" t="str">
        <f t="shared" ca="1" si="18"/>
        <v/>
      </c>
      <c r="I419" t="str">
        <f t="shared" ca="1" si="19"/>
        <v/>
      </c>
    </row>
    <row r="420" spans="1:9" x14ac:dyDescent="0.25">
      <c r="A420" s="1"/>
      <c r="D420" t="str" cm="1">
        <f t="array" aca="1" ref="D420" ca="1">IF(OR(COUNTIF(damper_names,_xlfn.CONCAT("D_S_",C420))=1, COUNTIF(damper_names,_xlfn.CONCAT("D_E_",C420))=1), "C", "")</f>
        <v/>
      </c>
      <c r="E420" t="str">
        <f t="shared" ca="1" si="15"/>
        <v/>
      </c>
      <c r="F420" t="str">
        <f t="shared" ca="1" si="16"/>
        <v/>
      </c>
      <c r="G420" t="str">
        <f t="shared" ca="1" si="17"/>
        <v/>
      </c>
      <c r="H420" t="str">
        <f t="shared" ca="1" si="18"/>
        <v/>
      </c>
      <c r="I420" t="str">
        <f t="shared" ca="1" si="19"/>
        <v/>
      </c>
    </row>
    <row r="421" spans="1:9" x14ac:dyDescent="0.25">
      <c r="A421" s="1"/>
      <c r="D421" t="str" cm="1">
        <f t="array" aca="1" ref="D421" ca="1">IF(OR(COUNTIF(damper_names,_xlfn.CONCAT("D_S_",C421))=1, COUNTIF(damper_names,_xlfn.CONCAT("D_E_",C421))=1), "C", "")</f>
        <v/>
      </c>
      <c r="E421" t="str">
        <f t="shared" ca="1" si="15"/>
        <v/>
      </c>
      <c r="F421" t="str">
        <f t="shared" ca="1" si="16"/>
        <v/>
      </c>
      <c r="G421" t="str">
        <f t="shared" ca="1" si="17"/>
        <v/>
      </c>
      <c r="H421" t="str">
        <f t="shared" ca="1" si="18"/>
        <v/>
      </c>
      <c r="I421" t="str">
        <f t="shared" ca="1" si="19"/>
        <v/>
      </c>
    </row>
    <row r="422" spans="1:9" x14ac:dyDescent="0.25">
      <c r="A422" s="1"/>
      <c r="D422" t="str" cm="1">
        <f t="array" aca="1" ref="D422" ca="1">IF(OR(COUNTIF(damper_names,_xlfn.CONCAT("D_S_",C422))=1, COUNTIF(damper_names,_xlfn.CONCAT("D_E_",C422))=1), "C", "")</f>
        <v/>
      </c>
      <c r="E422" t="str">
        <f t="shared" ca="1" si="15"/>
        <v/>
      </c>
      <c r="F422" t="str">
        <f t="shared" ca="1" si="16"/>
        <v/>
      </c>
      <c r="G422" t="str">
        <f t="shared" ca="1" si="17"/>
        <v/>
      </c>
      <c r="H422" t="str">
        <f t="shared" ca="1" si="18"/>
        <v/>
      </c>
      <c r="I422" t="str">
        <f t="shared" ca="1" si="19"/>
        <v/>
      </c>
    </row>
    <row r="423" spans="1:9" x14ac:dyDescent="0.25">
      <c r="A423" s="1"/>
      <c r="D423" t="str" cm="1">
        <f t="array" aca="1" ref="D423" ca="1">IF(OR(COUNTIF(damper_names,_xlfn.CONCAT("D_S_",C423))=1, COUNTIF(damper_names,_xlfn.CONCAT("D_E_",C423))=1), "C", "")</f>
        <v/>
      </c>
      <c r="E423" t="str">
        <f t="shared" ca="1" si="15"/>
        <v/>
      </c>
      <c r="F423" t="str">
        <f t="shared" ca="1" si="16"/>
        <v/>
      </c>
      <c r="G423" t="str">
        <f t="shared" ca="1" si="17"/>
        <v/>
      </c>
      <c r="H423" t="str">
        <f t="shared" ca="1" si="18"/>
        <v/>
      </c>
      <c r="I423" t="str">
        <f t="shared" ca="1" si="19"/>
        <v/>
      </c>
    </row>
    <row r="424" spans="1:9" x14ac:dyDescent="0.25">
      <c r="A424" s="1"/>
      <c r="D424" t="str" cm="1">
        <f t="array" aca="1" ref="D424" ca="1">IF(OR(COUNTIF(damper_names,_xlfn.CONCAT("D_S_",C424))=1, COUNTIF(damper_names,_xlfn.CONCAT("D_E_",C424))=1), "C", "")</f>
        <v/>
      </c>
      <c r="E424" t="str">
        <f t="shared" ca="1" si="15"/>
        <v/>
      </c>
      <c r="F424" t="str">
        <f t="shared" ca="1" si="16"/>
        <v/>
      </c>
      <c r="G424" t="str">
        <f t="shared" ca="1" si="17"/>
        <v/>
      </c>
      <c r="H424" t="str">
        <f t="shared" ca="1" si="18"/>
        <v/>
      </c>
      <c r="I424" t="str">
        <f t="shared" ca="1" si="19"/>
        <v/>
      </c>
    </row>
    <row r="425" spans="1:9" x14ac:dyDescent="0.25">
      <c r="A425" s="1"/>
      <c r="D425" t="str" cm="1">
        <f t="array" aca="1" ref="D425" ca="1">IF(OR(COUNTIF(damper_names,_xlfn.CONCAT("D_S_",C425))=1, COUNTIF(damper_names,_xlfn.CONCAT("D_E_",C425))=1), "C", "")</f>
        <v/>
      </c>
      <c r="E425" t="str">
        <f t="shared" ca="1" si="15"/>
        <v/>
      </c>
      <c r="F425" t="str">
        <f t="shared" ca="1" si="16"/>
        <v/>
      </c>
      <c r="G425" t="str">
        <f t="shared" ca="1" si="17"/>
        <v/>
      </c>
      <c r="H425" t="str">
        <f t="shared" ca="1" si="18"/>
        <v/>
      </c>
      <c r="I425" t="str">
        <f t="shared" ca="1" si="19"/>
        <v/>
      </c>
    </row>
    <row r="426" spans="1:9" x14ac:dyDescent="0.25">
      <c r="A426" s="1"/>
      <c r="D426" t="str" cm="1">
        <f t="array" aca="1" ref="D426" ca="1">IF(OR(COUNTIF(damper_names,_xlfn.CONCAT("D_S_",C426))=1, COUNTIF(damper_names,_xlfn.CONCAT("D_E_",C426))=1), "C", "")</f>
        <v/>
      </c>
      <c r="E426" t="str">
        <f t="shared" ca="1" si="15"/>
        <v/>
      </c>
      <c r="F426" t="str">
        <f t="shared" ca="1" si="16"/>
        <v/>
      </c>
      <c r="G426" t="str">
        <f t="shared" ca="1" si="17"/>
        <v/>
      </c>
      <c r="H426" t="str">
        <f t="shared" ca="1" si="18"/>
        <v/>
      </c>
      <c r="I426" t="str">
        <f t="shared" ca="1" si="19"/>
        <v/>
      </c>
    </row>
    <row r="427" spans="1:9" x14ac:dyDescent="0.25">
      <c r="A427" s="1"/>
      <c r="D427" t="str" cm="1">
        <f t="array" aca="1" ref="D427" ca="1">IF(OR(COUNTIF(damper_names,_xlfn.CONCAT("D_S_",C427))=1, COUNTIF(damper_names,_xlfn.CONCAT("D_E_",C427))=1), "C", "")</f>
        <v/>
      </c>
      <c r="E427" t="str">
        <f t="shared" ca="1" si="15"/>
        <v/>
      </c>
      <c r="F427" t="str">
        <f t="shared" ca="1" si="16"/>
        <v/>
      </c>
      <c r="G427" t="str">
        <f t="shared" ca="1" si="17"/>
        <v/>
      </c>
      <c r="H427" t="str">
        <f t="shared" ca="1" si="18"/>
        <v/>
      </c>
      <c r="I427" t="str">
        <f t="shared" ca="1" si="19"/>
        <v/>
      </c>
    </row>
    <row r="428" spans="1:9" x14ac:dyDescent="0.25">
      <c r="A428" s="1"/>
      <c r="D428" t="str" cm="1">
        <f t="array" aca="1" ref="D428" ca="1">IF(OR(COUNTIF(damper_names,_xlfn.CONCAT("D_S_",C428))=1, COUNTIF(damper_names,_xlfn.CONCAT("D_E_",C428))=1), "C", "")</f>
        <v/>
      </c>
      <c r="E428" t="str">
        <f t="shared" ca="1" si="15"/>
        <v/>
      </c>
      <c r="F428" t="str">
        <f t="shared" ca="1" si="16"/>
        <v/>
      </c>
      <c r="G428" t="str">
        <f t="shared" ca="1" si="17"/>
        <v/>
      </c>
      <c r="H428" t="str">
        <f t="shared" ca="1" si="18"/>
        <v/>
      </c>
      <c r="I428" t="str">
        <f t="shared" ca="1" si="19"/>
        <v/>
      </c>
    </row>
    <row r="429" spans="1:9" x14ac:dyDescent="0.25">
      <c r="A429" s="1"/>
      <c r="D429" t="str" cm="1">
        <f t="array" aca="1" ref="D429" ca="1">IF(OR(COUNTIF(damper_names,_xlfn.CONCAT("D_S_",C429))=1, COUNTIF(damper_names,_xlfn.CONCAT("D_E_",C429))=1), "C", "")</f>
        <v/>
      </c>
      <c r="E429" t="str">
        <f t="shared" ca="1" si="15"/>
        <v/>
      </c>
      <c r="F429" t="str">
        <f t="shared" ca="1" si="16"/>
        <v/>
      </c>
      <c r="G429" t="str">
        <f t="shared" ca="1" si="17"/>
        <v/>
      </c>
      <c r="H429" t="str">
        <f t="shared" ca="1" si="18"/>
        <v/>
      </c>
      <c r="I429" t="str">
        <f t="shared" ca="1" si="19"/>
        <v/>
      </c>
    </row>
    <row r="430" spans="1:9" x14ac:dyDescent="0.25">
      <c r="A430" s="1"/>
      <c r="D430" t="str" cm="1">
        <f t="array" aca="1" ref="D430" ca="1">IF(OR(COUNTIF(damper_names,_xlfn.CONCAT("D_S_",C430))=1, COUNTIF(damper_names,_xlfn.CONCAT("D_E_",C430))=1), "C", "")</f>
        <v/>
      </c>
      <c r="E430" t="str">
        <f t="shared" ca="1" si="15"/>
        <v/>
      </c>
      <c r="F430" t="str">
        <f t="shared" ca="1" si="16"/>
        <v/>
      </c>
      <c r="G430" t="str">
        <f t="shared" ca="1" si="17"/>
        <v/>
      </c>
      <c r="H430" t="str">
        <f t="shared" ca="1" si="18"/>
        <v/>
      </c>
      <c r="I430" t="str">
        <f t="shared" ca="1" si="19"/>
        <v/>
      </c>
    </row>
    <row r="431" spans="1:9" x14ac:dyDescent="0.25">
      <c r="A431" s="1"/>
      <c r="D431" t="str" cm="1">
        <f t="array" aca="1" ref="D431" ca="1">IF(OR(COUNTIF(damper_names,_xlfn.CONCAT("D_S_",C431))=1, COUNTIF(damper_names,_xlfn.CONCAT("D_E_",C431))=1), "C", "")</f>
        <v/>
      </c>
      <c r="E431" t="str">
        <f t="shared" ca="1" si="15"/>
        <v/>
      </c>
      <c r="F431" t="str">
        <f t="shared" ca="1" si="16"/>
        <v/>
      </c>
      <c r="G431" t="str">
        <f t="shared" ca="1" si="17"/>
        <v/>
      </c>
      <c r="H431" t="str">
        <f t="shared" ca="1" si="18"/>
        <v/>
      </c>
      <c r="I431" t="str">
        <f t="shared" ca="1" si="19"/>
        <v/>
      </c>
    </row>
    <row r="432" spans="1:9" x14ac:dyDescent="0.25">
      <c r="A432" s="1"/>
      <c r="D432" t="str" cm="1">
        <f t="array" aca="1" ref="D432" ca="1">IF(OR(COUNTIF(damper_names,_xlfn.CONCAT("D_S_",C432))=1, COUNTIF(damper_names,_xlfn.CONCAT("D_E_",C432))=1), "C", "")</f>
        <v/>
      </c>
      <c r="E432" t="str">
        <f t="shared" ca="1" si="15"/>
        <v/>
      </c>
      <c r="F432" t="str">
        <f t="shared" ca="1" si="16"/>
        <v/>
      </c>
      <c r="G432" t="str">
        <f t="shared" ca="1" si="17"/>
        <v/>
      </c>
      <c r="H432" t="str">
        <f t="shared" ca="1" si="18"/>
        <v/>
      </c>
      <c r="I432" t="str">
        <f t="shared" ca="1" si="19"/>
        <v/>
      </c>
    </row>
    <row r="433" spans="1:9" x14ac:dyDescent="0.25">
      <c r="A433" s="1"/>
      <c r="D433" t="str" cm="1">
        <f t="array" aca="1" ref="D433" ca="1">IF(OR(COUNTIF(damper_names,_xlfn.CONCAT("D_S_",C433))=1, COUNTIF(damper_names,_xlfn.CONCAT("D_E_",C433))=1), "C", "")</f>
        <v/>
      </c>
      <c r="E433" t="str">
        <f t="shared" ca="1" si="15"/>
        <v/>
      </c>
      <c r="F433" t="str">
        <f t="shared" ca="1" si="16"/>
        <v/>
      </c>
      <c r="G433" t="str">
        <f t="shared" ca="1" si="17"/>
        <v/>
      </c>
      <c r="H433" t="str">
        <f t="shared" ca="1" si="18"/>
        <v/>
      </c>
      <c r="I433" t="str">
        <f t="shared" ca="1" si="19"/>
        <v/>
      </c>
    </row>
    <row r="434" spans="1:9" x14ac:dyDescent="0.25">
      <c r="A434" s="1"/>
      <c r="D434" t="str" cm="1">
        <f t="array" aca="1" ref="D434" ca="1">IF(OR(COUNTIF(damper_names,_xlfn.CONCAT("D_S_",C434))=1, COUNTIF(damper_names,_xlfn.CONCAT("D_E_",C434))=1), "C", "")</f>
        <v/>
      </c>
      <c r="E434" t="str">
        <f t="shared" ca="1" si="15"/>
        <v/>
      </c>
      <c r="F434" t="str">
        <f t="shared" ca="1" si="16"/>
        <v/>
      </c>
      <c r="G434" t="str">
        <f t="shared" ca="1" si="17"/>
        <v/>
      </c>
      <c r="H434" t="str">
        <f t="shared" ca="1" si="18"/>
        <v/>
      </c>
      <c r="I434" t="str">
        <f t="shared" ca="1" si="19"/>
        <v/>
      </c>
    </row>
    <row r="435" spans="1:9" x14ac:dyDescent="0.25">
      <c r="A435" s="1"/>
      <c r="D435" t="str" cm="1">
        <f t="array" aca="1" ref="D435" ca="1">IF(OR(COUNTIF(damper_names,_xlfn.CONCAT("D_S_",C435))=1, COUNTIF(damper_names,_xlfn.CONCAT("D_E_",C435))=1), "C", "")</f>
        <v/>
      </c>
      <c r="E435" t="str">
        <f t="shared" ref="E435:E498" ca="1" si="20">IF(D435="T", 0.05, IF(D435="C", -0.01, ""))</f>
        <v/>
      </c>
      <c r="F435" t="str">
        <f t="shared" ref="F435:F498" ca="1" si="21">IF(D435="T", 0.05, IF(D435="C", 0, ""))</f>
        <v/>
      </c>
      <c r="G435" t="str">
        <f t="shared" ref="G435:G498" ca="1" si="22">IF(D435="T", 0, IF(D435="C", 0, ""))</f>
        <v/>
      </c>
      <c r="H435" t="str">
        <f t="shared" ref="H435:H498" ca="1" si="23">IF(D435="T", 0.05, IF(D435="C", 0, ""))</f>
        <v/>
      </c>
      <c r="I435" t="str">
        <f t="shared" ref="I435:I498" ca="1" si="24">IF(D435="T", 0, IF(D435="C", 0, ""))</f>
        <v/>
      </c>
    </row>
    <row r="436" spans="1:9" x14ac:dyDescent="0.25">
      <c r="A436" s="1"/>
      <c r="D436" t="str" cm="1">
        <f t="array" aca="1" ref="D436" ca="1">IF(OR(COUNTIF(damper_names,_xlfn.CONCAT("D_S_",C436))=1, COUNTIF(damper_names,_xlfn.CONCAT("D_E_",C436))=1), "C", "")</f>
        <v/>
      </c>
      <c r="E436" t="str">
        <f t="shared" ca="1" si="20"/>
        <v/>
      </c>
      <c r="F436" t="str">
        <f t="shared" ca="1" si="21"/>
        <v/>
      </c>
      <c r="G436" t="str">
        <f t="shared" ca="1" si="22"/>
        <v/>
      </c>
      <c r="H436" t="str">
        <f t="shared" ca="1" si="23"/>
        <v/>
      </c>
      <c r="I436" t="str">
        <f t="shared" ca="1" si="24"/>
        <v/>
      </c>
    </row>
    <row r="437" spans="1:9" x14ac:dyDescent="0.25">
      <c r="A437" s="1"/>
      <c r="D437" t="str" cm="1">
        <f t="array" aca="1" ref="D437" ca="1">IF(OR(COUNTIF(damper_names,_xlfn.CONCAT("D_S_",C437))=1, COUNTIF(damper_names,_xlfn.CONCAT("D_E_",C437))=1), "C", "")</f>
        <v/>
      </c>
      <c r="E437" t="str">
        <f t="shared" ca="1" si="20"/>
        <v/>
      </c>
      <c r="F437" t="str">
        <f t="shared" ca="1" si="21"/>
        <v/>
      </c>
      <c r="G437" t="str">
        <f t="shared" ca="1" si="22"/>
        <v/>
      </c>
      <c r="H437" t="str">
        <f t="shared" ca="1" si="23"/>
        <v/>
      </c>
      <c r="I437" t="str">
        <f t="shared" ca="1" si="24"/>
        <v/>
      </c>
    </row>
    <row r="438" spans="1:9" x14ac:dyDescent="0.25">
      <c r="A438" s="1"/>
      <c r="D438" t="str" cm="1">
        <f t="array" aca="1" ref="D438" ca="1">IF(OR(COUNTIF(damper_names,_xlfn.CONCAT("D_S_",C438))=1, COUNTIF(damper_names,_xlfn.CONCAT("D_E_",C438))=1), "C", "")</f>
        <v/>
      </c>
      <c r="E438" t="str">
        <f t="shared" ca="1" si="20"/>
        <v/>
      </c>
      <c r="F438" t="str">
        <f t="shared" ca="1" si="21"/>
        <v/>
      </c>
      <c r="G438" t="str">
        <f t="shared" ca="1" si="22"/>
        <v/>
      </c>
      <c r="H438" t="str">
        <f t="shared" ca="1" si="23"/>
        <v/>
      </c>
      <c r="I438" t="str">
        <f t="shared" ca="1" si="24"/>
        <v/>
      </c>
    </row>
    <row r="439" spans="1:9" x14ac:dyDescent="0.25">
      <c r="A439" s="1"/>
      <c r="D439" t="str" cm="1">
        <f t="array" aca="1" ref="D439" ca="1">IF(OR(COUNTIF(damper_names,_xlfn.CONCAT("D_S_",C439))=1, COUNTIF(damper_names,_xlfn.CONCAT("D_E_",C439))=1), "C", "")</f>
        <v/>
      </c>
      <c r="E439" t="str">
        <f t="shared" ca="1" si="20"/>
        <v/>
      </c>
      <c r="F439" t="str">
        <f t="shared" ca="1" si="21"/>
        <v/>
      </c>
      <c r="G439" t="str">
        <f t="shared" ca="1" si="22"/>
        <v/>
      </c>
      <c r="H439" t="str">
        <f t="shared" ca="1" si="23"/>
        <v/>
      </c>
      <c r="I439" t="str">
        <f t="shared" ca="1" si="24"/>
        <v/>
      </c>
    </row>
    <row r="440" spans="1:9" x14ac:dyDescent="0.25">
      <c r="A440" s="1"/>
      <c r="D440" t="str" cm="1">
        <f t="array" aca="1" ref="D440" ca="1">IF(OR(COUNTIF(damper_names,_xlfn.CONCAT("D_S_",C440))=1, COUNTIF(damper_names,_xlfn.CONCAT("D_E_",C440))=1), "C", "")</f>
        <v/>
      </c>
      <c r="E440" t="str">
        <f t="shared" ca="1" si="20"/>
        <v/>
      </c>
      <c r="F440" t="str">
        <f t="shared" ca="1" si="21"/>
        <v/>
      </c>
      <c r="G440" t="str">
        <f t="shared" ca="1" si="22"/>
        <v/>
      </c>
      <c r="H440" t="str">
        <f t="shared" ca="1" si="23"/>
        <v/>
      </c>
      <c r="I440" t="str">
        <f t="shared" ca="1" si="24"/>
        <v/>
      </c>
    </row>
    <row r="441" spans="1:9" x14ac:dyDescent="0.25">
      <c r="A441" s="1"/>
      <c r="D441" t="str" cm="1">
        <f t="array" aca="1" ref="D441" ca="1">IF(OR(COUNTIF(damper_names,_xlfn.CONCAT("D_S_",C441))=1, COUNTIF(damper_names,_xlfn.CONCAT("D_E_",C441))=1), "C", "")</f>
        <v/>
      </c>
      <c r="E441" t="str">
        <f t="shared" ca="1" si="20"/>
        <v/>
      </c>
      <c r="F441" t="str">
        <f t="shared" ca="1" si="21"/>
        <v/>
      </c>
      <c r="G441" t="str">
        <f t="shared" ca="1" si="22"/>
        <v/>
      </c>
      <c r="H441" t="str">
        <f t="shared" ca="1" si="23"/>
        <v/>
      </c>
      <c r="I441" t="str">
        <f t="shared" ca="1" si="24"/>
        <v/>
      </c>
    </row>
    <row r="442" spans="1:9" x14ac:dyDescent="0.25">
      <c r="A442" s="1"/>
      <c r="D442" t="str" cm="1">
        <f t="array" aca="1" ref="D442" ca="1">IF(OR(COUNTIF(damper_names,_xlfn.CONCAT("D_S_",C442))=1, COUNTIF(damper_names,_xlfn.CONCAT("D_E_",C442))=1), "C", "")</f>
        <v/>
      </c>
      <c r="E442" t="str">
        <f t="shared" ca="1" si="20"/>
        <v/>
      </c>
      <c r="F442" t="str">
        <f t="shared" ca="1" si="21"/>
        <v/>
      </c>
      <c r="G442" t="str">
        <f t="shared" ca="1" si="22"/>
        <v/>
      </c>
      <c r="H442" t="str">
        <f t="shared" ca="1" si="23"/>
        <v/>
      </c>
      <c r="I442" t="str">
        <f t="shared" ca="1" si="24"/>
        <v/>
      </c>
    </row>
    <row r="443" spans="1:9" x14ac:dyDescent="0.25">
      <c r="A443" s="1"/>
      <c r="D443" t="str" cm="1">
        <f t="array" aca="1" ref="D443" ca="1">IF(OR(COUNTIF(damper_names,_xlfn.CONCAT("D_S_",C443))=1, COUNTIF(damper_names,_xlfn.CONCAT("D_E_",C443))=1), "C", "")</f>
        <v/>
      </c>
      <c r="E443" t="str">
        <f t="shared" ca="1" si="20"/>
        <v/>
      </c>
      <c r="F443" t="str">
        <f t="shared" ca="1" si="21"/>
        <v/>
      </c>
      <c r="G443" t="str">
        <f t="shared" ca="1" si="22"/>
        <v/>
      </c>
      <c r="H443" t="str">
        <f t="shared" ca="1" si="23"/>
        <v/>
      </c>
      <c r="I443" t="str">
        <f t="shared" ca="1" si="24"/>
        <v/>
      </c>
    </row>
    <row r="444" spans="1:9" x14ac:dyDescent="0.25">
      <c r="A444" s="1"/>
      <c r="D444" t="str" cm="1">
        <f t="array" aca="1" ref="D444" ca="1">IF(OR(COUNTIF(damper_names,_xlfn.CONCAT("D_S_",C444))=1, COUNTIF(damper_names,_xlfn.CONCAT("D_E_",C444))=1), "C", "")</f>
        <v/>
      </c>
      <c r="E444" t="str">
        <f t="shared" ca="1" si="20"/>
        <v/>
      </c>
      <c r="F444" t="str">
        <f t="shared" ca="1" si="21"/>
        <v/>
      </c>
      <c r="G444" t="str">
        <f t="shared" ca="1" si="22"/>
        <v/>
      </c>
      <c r="H444" t="str">
        <f t="shared" ca="1" si="23"/>
        <v/>
      </c>
      <c r="I444" t="str">
        <f t="shared" ca="1" si="24"/>
        <v/>
      </c>
    </row>
    <row r="445" spans="1:9" x14ac:dyDescent="0.25">
      <c r="A445" s="1"/>
      <c r="D445" t="str" cm="1">
        <f t="array" aca="1" ref="D445" ca="1">IF(OR(COUNTIF(damper_names,_xlfn.CONCAT("D_S_",C445))=1, COUNTIF(damper_names,_xlfn.CONCAT("D_E_",C445))=1), "C", "")</f>
        <v/>
      </c>
      <c r="E445" t="str">
        <f t="shared" ca="1" si="20"/>
        <v/>
      </c>
      <c r="F445" t="str">
        <f t="shared" ca="1" si="21"/>
        <v/>
      </c>
      <c r="G445" t="str">
        <f t="shared" ca="1" si="22"/>
        <v/>
      </c>
      <c r="H445" t="str">
        <f t="shared" ca="1" si="23"/>
        <v/>
      </c>
      <c r="I445" t="str">
        <f t="shared" ca="1" si="24"/>
        <v/>
      </c>
    </row>
    <row r="446" spans="1:9" x14ac:dyDescent="0.25">
      <c r="A446" s="1"/>
      <c r="D446" t="str" cm="1">
        <f t="array" aca="1" ref="D446" ca="1">IF(OR(COUNTIF(damper_names,_xlfn.CONCAT("D_S_",C446))=1, COUNTIF(damper_names,_xlfn.CONCAT("D_E_",C446))=1), "C", "")</f>
        <v/>
      </c>
      <c r="E446" t="str">
        <f t="shared" ca="1" si="20"/>
        <v/>
      </c>
      <c r="F446" t="str">
        <f t="shared" ca="1" si="21"/>
        <v/>
      </c>
      <c r="G446" t="str">
        <f t="shared" ca="1" si="22"/>
        <v/>
      </c>
      <c r="H446" t="str">
        <f t="shared" ca="1" si="23"/>
        <v/>
      </c>
      <c r="I446" t="str">
        <f t="shared" ca="1" si="24"/>
        <v/>
      </c>
    </row>
    <row r="447" spans="1:9" x14ac:dyDescent="0.25">
      <c r="A447" s="1"/>
      <c r="D447" t="str" cm="1">
        <f t="array" aca="1" ref="D447" ca="1">IF(OR(COUNTIF(damper_names,_xlfn.CONCAT("D_S_",C447))=1, COUNTIF(damper_names,_xlfn.CONCAT("D_E_",C447))=1), "C", "")</f>
        <v/>
      </c>
      <c r="E447" t="str">
        <f t="shared" ca="1" si="20"/>
        <v/>
      </c>
      <c r="F447" t="str">
        <f t="shared" ca="1" si="21"/>
        <v/>
      </c>
      <c r="G447" t="str">
        <f t="shared" ca="1" si="22"/>
        <v/>
      </c>
      <c r="H447" t="str">
        <f t="shared" ca="1" si="23"/>
        <v/>
      </c>
      <c r="I447" t="str">
        <f t="shared" ca="1" si="24"/>
        <v/>
      </c>
    </row>
    <row r="448" spans="1:9" x14ac:dyDescent="0.25">
      <c r="A448" s="1"/>
      <c r="D448" t="str" cm="1">
        <f t="array" aca="1" ref="D448" ca="1">IF(OR(COUNTIF(damper_names,_xlfn.CONCAT("D_S_",C448))=1, COUNTIF(damper_names,_xlfn.CONCAT("D_E_",C448))=1), "C", "")</f>
        <v/>
      </c>
      <c r="E448" t="str">
        <f t="shared" ca="1" si="20"/>
        <v/>
      </c>
      <c r="F448" t="str">
        <f t="shared" ca="1" si="21"/>
        <v/>
      </c>
      <c r="G448" t="str">
        <f t="shared" ca="1" si="22"/>
        <v/>
      </c>
      <c r="H448" t="str">
        <f t="shared" ca="1" si="23"/>
        <v/>
      </c>
      <c r="I448" t="str">
        <f t="shared" ca="1" si="24"/>
        <v/>
      </c>
    </row>
    <row r="449" spans="1:9" x14ac:dyDescent="0.25">
      <c r="A449" s="1"/>
      <c r="D449" t="str" cm="1">
        <f t="array" aca="1" ref="D449" ca="1">IF(OR(COUNTIF(damper_names,_xlfn.CONCAT("D_S_",C449))=1, COUNTIF(damper_names,_xlfn.CONCAT("D_E_",C449))=1), "C", "")</f>
        <v/>
      </c>
      <c r="E449" t="str">
        <f t="shared" ca="1" si="20"/>
        <v/>
      </c>
      <c r="F449" t="str">
        <f t="shared" ca="1" si="21"/>
        <v/>
      </c>
      <c r="G449" t="str">
        <f t="shared" ca="1" si="22"/>
        <v/>
      </c>
      <c r="H449" t="str">
        <f t="shared" ca="1" si="23"/>
        <v/>
      </c>
      <c r="I449" t="str">
        <f t="shared" ca="1" si="24"/>
        <v/>
      </c>
    </row>
    <row r="450" spans="1:9" x14ac:dyDescent="0.25">
      <c r="A450" s="1"/>
      <c r="D450" t="str" cm="1">
        <f t="array" aca="1" ref="D450" ca="1">IF(OR(COUNTIF(damper_names,_xlfn.CONCAT("D_S_",C450))=1, COUNTIF(damper_names,_xlfn.CONCAT("D_E_",C450))=1), "C", "")</f>
        <v/>
      </c>
      <c r="E450" t="str">
        <f t="shared" ca="1" si="20"/>
        <v/>
      </c>
      <c r="F450" t="str">
        <f t="shared" ca="1" si="21"/>
        <v/>
      </c>
      <c r="G450" t="str">
        <f t="shared" ca="1" si="22"/>
        <v/>
      </c>
      <c r="H450" t="str">
        <f t="shared" ca="1" si="23"/>
        <v/>
      </c>
      <c r="I450" t="str">
        <f t="shared" ca="1" si="24"/>
        <v/>
      </c>
    </row>
    <row r="451" spans="1:9" x14ac:dyDescent="0.25">
      <c r="A451" s="1"/>
      <c r="D451" t="str" cm="1">
        <f t="array" aca="1" ref="D451" ca="1">IF(OR(COUNTIF(damper_names,_xlfn.CONCAT("D_S_",C451))=1, COUNTIF(damper_names,_xlfn.CONCAT("D_E_",C451))=1), "C", "")</f>
        <v/>
      </c>
      <c r="E451" t="str">
        <f t="shared" ca="1" si="20"/>
        <v/>
      </c>
      <c r="F451" t="str">
        <f t="shared" ca="1" si="21"/>
        <v/>
      </c>
      <c r="G451" t="str">
        <f t="shared" ca="1" si="22"/>
        <v/>
      </c>
      <c r="H451" t="str">
        <f t="shared" ca="1" si="23"/>
        <v/>
      </c>
      <c r="I451" t="str">
        <f t="shared" ca="1" si="24"/>
        <v/>
      </c>
    </row>
    <row r="452" spans="1:9" x14ac:dyDescent="0.25">
      <c r="A452" s="1"/>
      <c r="D452" t="str" cm="1">
        <f t="array" aca="1" ref="D452" ca="1">IF(OR(COUNTIF(damper_names,_xlfn.CONCAT("D_S_",C452))=1, COUNTIF(damper_names,_xlfn.CONCAT("D_E_",C452))=1), "C", "")</f>
        <v/>
      </c>
      <c r="E452" t="str">
        <f t="shared" ca="1" si="20"/>
        <v/>
      </c>
      <c r="F452" t="str">
        <f t="shared" ca="1" si="21"/>
        <v/>
      </c>
      <c r="G452" t="str">
        <f t="shared" ca="1" si="22"/>
        <v/>
      </c>
      <c r="H452" t="str">
        <f t="shared" ca="1" si="23"/>
        <v/>
      </c>
      <c r="I452" t="str">
        <f t="shared" ca="1" si="24"/>
        <v/>
      </c>
    </row>
    <row r="453" spans="1:9" x14ac:dyDescent="0.25">
      <c r="A453" s="1"/>
      <c r="D453" t="str" cm="1">
        <f t="array" aca="1" ref="D453" ca="1">IF(OR(COUNTIF(damper_names,_xlfn.CONCAT("D_S_",C453))=1, COUNTIF(damper_names,_xlfn.CONCAT("D_E_",C453))=1), "C", "")</f>
        <v/>
      </c>
      <c r="E453" t="str">
        <f t="shared" ca="1" si="20"/>
        <v/>
      </c>
      <c r="F453" t="str">
        <f t="shared" ca="1" si="21"/>
        <v/>
      </c>
      <c r="G453" t="str">
        <f t="shared" ca="1" si="22"/>
        <v/>
      </c>
      <c r="H453" t="str">
        <f t="shared" ca="1" si="23"/>
        <v/>
      </c>
      <c r="I453" t="str">
        <f t="shared" ca="1" si="24"/>
        <v/>
      </c>
    </row>
    <row r="454" spans="1:9" x14ac:dyDescent="0.25">
      <c r="A454" s="1"/>
      <c r="D454" t="str" cm="1">
        <f t="array" aca="1" ref="D454" ca="1">IF(OR(COUNTIF(damper_names,_xlfn.CONCAT("D_S_",C454))=1, COUNTIF(damper_names,_xlfn.CONCAT("D_E_",C454))=1), "C", "")</f>
        <v/>
      </c>
      <c r="E454" t="str">
        <f t="shared" ca="1" si="20"/>
        <v/>
      </c>
      <c r="F454" t="str">
        <f t="shared" ca="1" si="21"/>
        <v/>
      </c>
      <c r="G454" t="str">
        <f t="shared" ca="1" si="22"/>
        <v/>
      </c>
      <c r="H454" t="str">
        <f t="shared" ca="1" si="23"/>
        <v/>
      </c>
      <c r="I454" t="str">
        <f t="shared" ca="1" si="24"/>
        <v/>
      </c>
    </row>
    <row r="455" spans="1:9" x14ac:dyDescent="0.25">
      <c r="A455" s="1"/>
      <c r="D455" t="str" cm="1">
        <f t="array" aca="1" ref="D455" ca="1">IF(OR(COUNTIF(damper_names,_xlfn.CONCAT("D_S_",C455))=1, COUNTIF(damper_names,_xlfn.CONCAT("D_E_",C455))=1), "C", "")</f>
        <v/>
      </c>
      <c r="E455" t="str">
        <f t="shared" ca="1" si="20"/>
        <v/>
      </c>
      <c r="F455" t="str">
        <f t="shared" ca="1" si="21"/>
        <v/>
      </c>
      <c r="G455" t="str">
        <f t="shared" ca="1" si="22"/>
        <v/>
      </c>
      <c r="H455" t="str">
        <f t="shared" ca="1" si="23"/>
        <v/>
      </c>
      <c r="I455" t="str">
        <f t="shared" ca="1" si="24"/>
        <v/>
      </c>
    </row>
    <row r="456" spans="1:9" x14ac:dyDescent="0.25">
      <c r="A456" s="1"/>
      <c r="D456" t="str" cm="1">
        <f t="array" aca="1" ref="D456" ca="1">IF(OR(COUNTIF(damper_names,_xlfn.CONCAT("D_S_",C456))=1, COUNTIF(damper_names,_xlfn.CONCAT("D_E_",C456))=1), "C", "")</f>
        <v/>
      </c>
      <c r="E456" t="str">
        <f t="shared" ca="1" si="20"/>
        <v/>
      </c>
      <c r="F456" t="str">
        <f t="shared" ca="1" si="21"/>
        <v/>
      </c>
      <c r="G456" t="str">
        <f t="shared" ca="1" si="22"/>
        <v/>
      </c>
      <c r="H456" t="str">
        <f t="shared" ca="1" si="23"/>
        <v/>
      </c>
      <c r="I456" t="str">
        <f t="shared" ca="1" si="24"/>
        <v/>
      </c>
    </row>
    <row r="457" spans="1:9" x14ac:dyDescent="0.25">
      <c r="A457" s="1"/>
      <c r="D457" t="str" cm="1">
        <f t="array" aca="1" ref="D457" ca="1">IF(OR(COUNTIF(damper_names,_xlfn.CONCAT("D_S_",C457))=1, COUNTIF(damper_names,_xlfn.CONCAT("D_E_",C457))=1), "C", "")</f>
        <v/>
      </c>
      <c r="E457" t="str">
        <f t="shared" ca="1" si="20"/>
        <v/>
      </c>
      <c r="F457" t="str">
        <f t="shared" ca="1" si="21"/>
        <v/>
      </c>
      <c r="G457" t="str">
        <f t="shared" ca="1" si="22"/>
        <v/>
      </c>
      <c r="H457" t="str">
        <f t="shared" ca="1" si="23"/>
        <v/>
      </c>
      <c r="I457" t="str">
        <f t="shared" ca="1" si="24"/>
        <v/>
      </c>
    </row>
    <row r="458" spans="1:9" x14ac:dyDescent="0.25">
      <c r="A458" s="1"/>
      <c r="D458" t="str" cm="1">
        <f t="array" aca="1" ref="D458" ca="1">IF(OR(COUNTIF(damper_names,_xlfn.CONCAT("D_S_",C458))=1, COUNTIF(damper_names,_xlfn.CONCAT("D_E_",C458))=1), "C", "")</f>
        <v/>
      </c>
      <c r="E458" t="str">
        <f t="shared" ca="1" si="20"/>
        <v/>
      </c>
      <c r="F458" t="str">
        <f t="shared" ca="1" si="21"/>
        <v/>
      </c>
      <c r="G458" t="str">
        <f t="shared" ca="1" si="22"/>
        <v/>
      </c>
      <c r="H458" t="str">
        <f t="shared" ca="1" si="23"/>
        <v/>
      </c>
      <c r="I458" t="str">
        <f t="shared" ca="1" si="24"/>
        <v/>
      </c>
    </row>
    <row r="459" spans="1:9" x14ac:dyDescent="0.25">
      <c r="A459" s="1"/>
      <c r="D459" t="str" cm="1">
        <f t="array" aca="1" ref="D459" ca="1">IF(OR(COUNTIF(damper_names,_xlfn.CONCAT("D_S_",C459))=1, COUNTIF(damper_names,_xlfn.CONCAT("D_E_",C459))=1), "C", "")</f>
        <v/>
      </c>
      <c r="E459" t="str">
        <f t="shared" ca="1" si="20"/>
        <v/>
      </c>
      <c r="F459" t="str">
        <f t="shared" ca="1" si="21"/>
        <v/>
      </c>
      <c r="G459" t="str">
        <f t="shared" ca="1" si="22"/>
        <v/>
      </c>
      <c r="H459" t="str">
        <f t="shared" ca="1" si="23"/>
        <v/>
      </c>
      <c r="I459" t="str">
        <f t="shared" ca="1" si="24"/>
        <v/>
      </c>
    </row>
    <row r="460" spans="1:9" x14ac:dyDescent="0.25">
      <c r="A460" s="1"/>
      <c r="D460" t="str" cm="1">
        <f t="array" aca="1" ref="D460" ca="1">IF(OR(COUNTIF(damper_names,_xlfn.CONCAT("D_S_",C460))=1, COUNTIF(damper_names,_xlfn.CONCAT("D_E_",C460))=1), "C", "")</f>
        <v/>
      </c>
      <c r="E460" t="str">
        <f t="shared" ca="1" si="20"/>
        <v/>
      </c>
      <c r="F460" t="str">
        <f t="shared" ca="1" si="21"/>
        <v/>
      </c>
      <c r="G460" t="str">
        <f t="shared" ca="1" si="22"/>
        <v/>
      </c>
      <c r="H460" t="str">
        <f t="shared" ca="1" si="23"/>
        <v/>
      </c>
      <c r="I460" t="str">
        <f t="shared" ca="1" si="24"/>
        <v/>
      </c>
    </row>
    <row r="461" spans="1:9" x14ac:dyDescent="0.25">
      <c r="A461" s="1"/>
      <c r="D461" t="str" cm="1">
        <f t="array" aca="1" ref="D461" ca="1">IF(OR(COUNTIF(damper_names,_xlfn.CONCAT("D_S_",C461))=1, COUNTIF(damper_names,_xlfn.CONCAT("D_E_",C461))=1), "C", "")</f>
        <v/>
      </c>
      <c r="E461" t="str">
        <f t="shared" ca="1" si="20"/>
        <v/>
      </c>
      <c r="F461" t="str">
        <f t="shared" ca="1" si="21"/>
        <v/>
      </c>
      <c r="G461" t="str">
        <f t="shared" ca="1" si="22"/>
        <v/>
      </c>
      <c r="H461" t="str">
        <f t="shared" ca="1" si="23"/>
        <v/>
      </c>
      <c r="I461" t="str">
        <f t="shared" ca="1" si="24"/>
        <v/>
      </c>
    </row>
    <row r="462" spans="1:9" x14ac:dyDescent="0.25">
      <c r="A462" s="1"/>
      <c r="D462" t="str" cm="1">
        <f t="array" aca="1" ref="D462" ca="1">IF(OR(COUNTIF(damper_names,_xlfn.CONCAT("D_S_",C462))=1, COUNTIF(damper_names,_xlfn.CONCAT("D_E_",C462))=1), "C", "")</f>
        <v/>
      </c>
      <c r="E462" t="str">
        <f t="shared" ca="1" si="20"/>
        <v/>
      </c>
      <c r="F462" t="str">
        <f t="shared" ca="1" si="21"/>
        <v/>
      </c>
      <c r="G462" t="str">
        <f t="shared" ca="1" si="22"/>
        <v/>
      </c>
      <c r="H462" t="str">
        <f t="shared" ca="1" si="23"/>
        <v/>
      </c>
      <c r="I462" t="str">
        <f t="shared" ca="1" si="24"/>
        <v/>
      </c>
    </row>
    <row r="463" spans="1:9" x14ac:dyDescent="0.25">
      <c r="A463" s="1"/>
      <c r="D463" t="str" cm="1">
        <f t="array" aca="1" ref="D463" ca="1">IF(OR(COUNTIF(damper_names,_xlfn.CONCAT("D_S_",C463))=1, COUNTIF(damper_names,_xlfn.CONCAT("D_E_",C463))=1), "C", "")</f>
        <v/>
      </c>
      <c r="E463" t="str">
        <f t="shared" ca="1" si="20"/>
        <v/>
      </c>
      <c r="F463" t="str">
        <f t="shared" ca="1" si="21"/>
        <v/>
      </c>
      <c r="G463" t="str">
        <f t="shared" ca="1" si="22"/>
        <v/>
      </c>
      <c r="H463" t="str">
        <f t="shared" ca="1" si="23"/>
        <v/>
      </c>
      <c r="I463" t="str">
        <f t="shared" ca="1" si="24"/>
        <v/>
      </c>
    </row>
    <row r="464" spans="1:9" x14ac:dyDescent="0.25">
      <c r="A464" s="1"/>
      <c r="D464" t="str" cm="1">
        <f t="array" aca="1" ref="D464" ca="1">IF(OR(COUNTIF(damper_names,_xlfn.CONCAT("D_S_",C464))=1, COUNTIF(damper_names,_xlfn.CONCAT("D_E_",C464))=1), "C", "")</f>
        <v/>
      </c>
      <c r="E464" t="str">
        <f t="shared" ca="1" si="20"/>
        <v/>
      </c>
      <c r="F464" t="str">
        <f t="shared" ca="1" si="21"/>
        <v/>
      </c>
      <c r="G464" t="str">
        <f t="shared" ca="1" si="22"/>
        <v/>
      </c>
      <c r="H464" t="str">
        <f t="shared" ca="1" si="23"/>
        <v/>
      </c>
      <c r="I464" t="str">
        <f t="shared" ca="1" si="24"/>
        <v/>
      </c>
    </row>
    <row r="465" spans="1:9" x14ac:dyDescent="0.25">
      <c r="A465" s="1"/>
      <c r="D465" t="str" cm="1">
        <f t="array" aca="1" ref="D465" ca="1">IF(OR(COUNTIF(damper_names,_xlfn.CONCAT("D_S_",C465))=1, COUNTIF(damper_names,_xlfn.CONCAT("D_E_",C465))=1), "C", "")</f>
        <v/>
      </c>
      <c r="E465" t="str">
        <f t="shared" ca="1" si="20"/>
        <v/>
      </c>
      <c r="F465" t="str">
        <f t="shared" ca="1" si="21"/>
        <v/>
      </c>
      <c r="G465" t="str">
        <f t="shared" ca="1" si="22"/>
        <v/>
      </c>
      <c r="H465" t="str">
        <f t="shared" ca="1" si="23"/>
        <v/>
      </c>
      <c r="I465" t="str">
        <f t="shared" ca="1" si="24"/>
        <v/>
      </c>
    </row>
    <row r="466" spans="1:9" x14ac:dyDescent="0.25">
      <c r="A466" s="1"/>
      <c r="D466" t="str" cm="1">
        <f t="array" aca="1" ref="D466" ca="1">IF(OR(COUNTIF(damper_names,_xlfn.CONCAT("D_S_",C466))=1, COUNTIF(damper_names,_xlfn.CONCAT("D_E_",C466))=1), "C", "")</f>
        <v/>
      </c>
      <c r="E466" t="str">
        <f t="shared" ca="1" si="20"/>
        <v/>
      </c>
      <c r="F466" t="str">
        <f t="shared" ca="1" si="21"/>
        <v/>
      </c>
      <c r="G466" t="str">
        <f t="shared" ca="1" si="22"/>
        <v/>
      </c>
      <c r="H466" t="str">
        <f t="shared" ca="1" si="23"/>
        <v/>
      </c>
      <c r="I466" t="str">
        <f t="shared" ca="1" si="24"/>
        <v/>
      </c>
    </row>
    <row r="467" spans="1:9" x14ac:dyDescent="0.25">
      <c r="A467" s="1"/>
      <c r="D467" t="str" cm="1">
        <f t="array" aca="1" ref="D467" ca="1">IF(OR(COUNTIF(damper_names,_xlfn.CONCAT("D_S_",C467))=1, COUNTIF(damper_names,_xlfn.CONCAT("D_E_",C467))=1), "C", "")</f>
        <v/>
      </c>
      <c r="E467" t="str">
        <f t="shared" ca="1" si="20"/>
        <v/>
      </c>
      <c r="F467" t="str">
        <f t="shared" ca="1" si="21"/>
        <v/>
      </c>
      <c r="G467" t="str">
        <f t="shared" ca="1" si="22"/>
        <v/>
      </c>
      <c r="H467" t="str">
        <f t="shared" ca="1" si="23"/>
        <v/>
      </c>
      <c r="I467" t="str">
        <f t="shared" ca="1" si="24"/>
        <v/>
      </c>
    </row>
    <row r="468" spans="1:9" x14ac:dyDescent="0.25">
      <c r="A468" s="1"/>
      <c r="D468" t="str" cm="1">
        <f t="array" aca="1" ref="D468" ca="1">IF(OR(COUNTIF(damper_names,_xlfn.CONCAT("D_S_",C468))=1, COUNTIF(damper_names,_xlfn.CONCAT("D_E_",C468))=1), "C", "")</f>
        <v/>
      </c>
      <c r="E468" t="str">
        <f t="shared" ca="1" si="20"/>
        <v/>
      </c>
      <c r="F468" t="str">
        <f t="shared" ca="1" si="21"/>
        <v/>
      </c>
      <c r="G468" t="str">
        <f t="shared" ca="1" si="22"/>
        <v/>
      </c>
      <c r="H468" t="str">
        <f t="shared" ca="1" si="23"/>
        <v/>
      </c>
      <c r="I468" t="str">
        <f t="shared" ca="1" si="24"/>
        <v/>
      </c>
    </row>
    <row r="469" spans="1:9" x14ac:dyDescent="0.25">
      <c r="A469" s="1"/>
      <c r="D469" t="str" cm="1">
        <f t="array" aca="1" ref="D469" ca="1">IF(OR(COUNTIF(damper_names,_xlfn.CONCAT("D_S_",C469))=1, COUNTIF(damper_names,_xlfn.CONCAT("D_E_",C469))=1), "C", "")</f>
        <v/>
      </c>
      <c r="E469" t="str">
        <f t="shared" ca="1" si="20"/>
        <v/>
      </c>
      <c r="F469" t="str">
        <f t="shared" ca="1" si="21"/>
        <v/>
      </c>
      <c r="G469" t="str">
        <f t="shared" ca="1" si="22"/>
        <v/>
      </c>
      <c r="H469" t="str">
        <f t="shared" ca="1" si="23"/>
        <v/>
      </c>
      <c r="I469" t="str">
        <f t="shared" ca="1" si="24"/>
        <v/>
      </c>
    </row>
    <row r="470" spans="1:9" x14ac:dyDescent="0.25">
      <c r="A470" s="1"/>
      <c r="D470" t="str" cm="1">
        <f t="array" aca="1" ref="D470" ca="1">IF(OR(COUNTIF(damper_names,_xlfn.CONCAT("D_S_",C470))=1, COUNTIF(damper_names,_xlfn.CONCAT("D_E_",C470))=1), "C", "")</f>
        <v/>
      </c>
      <c r="E470" t="str">
        <f t="shared" ca="1" si="20"/>
        <v/>
      </c>
      <c r="F470" t="str">
        <f t="shared" ca="1" si="21"/>
        <v/>
      </c>
      <c r="G470" t="str">
        <f t="shared" ca="1" si="22"/>
        <v/>
      </c>
      <c r="H470" t="str">
        <f t="shared" ca="1" si="23"/>
        <v/>
      </c>
      <c r="I470" t="str">
        <f t="shared" ca="1" si="24"/>
        <v/>
      </c>
    </row>
    <row r="471" spans="1:9" x14ac:dyDescent="0.25">
      <c r="A471" s="1"/>
      <c r="D471" t="str" cm="1">
        <f t="array" aca="1" ref="D471" ca="1">IF(OR(COUNTIF(damper_names,_xlfn.CONCAT("D_S_",C471))=1, COUNTIF(damper_names,_xlfn.CONCAT("D_E_",C471))=1), "C", "")</f>
        <v/>
      </c>
      <c r="E471" t="str">
        <f t="shared" ca="1" si="20"/>
        <v/>
      </c>
      <c r="F471" t="str">
        <f t="shared" ca="1" si="21"/>
        <v/>
      </c>
      <c r="G471" t="str">
        <f t="shared" ca="1" si="22"/>
        <v/>
      </c>
      <c r="H471" t="str">
        <f t="shared" ca="1" si="23"/>
        <v/>
      </c>
      <c r="I471" t="str">
        <f t="shared" ca="1" si="24"/>
        <v/>
      </c>
    </row>
    <row r="472" spans="1:9" x14ac:dyDescent="0.25">
      <c r="A472" s="1"/>
      <c r="D472" t="str" cm="1">
        <f t="array" aca="1" ref="D472" ca="1">IF(OR(COUNTIF(damper_names,_xlfn.CONCAT("D_S_",C472))=1, COUNTIF(damper_names,_xlfn.CONCAT("D_E_",C472))=1), "C", "")</f>
        <v/>
      </c>
      <c r="E472" t="str">
        <f t="shared" ca="1" si="20"/>
        <v/>
      </c>
      <c r="F472" t="str">
        <f t="shared" ca="1" si="21"/>
        <v/>
      </c>
      <c r="G472" t="str">
        <f t="shared" ca="1" si="22"/>
        <v/>
      </c>
      <c r="H472" t="str">
        <f t="shared" ca="1" si="23"/>
        <v/>
      </c>
      <c r="I472" t="str">
        <f t="shared" ca="1" si="24"/>
        <v/>
      </c>
    </row>
    <row r="473" spans="1:9" x14ac:dyDescent="0.25">
      <c r="A473" s="1"/>
      <c r="D473" t="str" cm="1">
        <f t="array" aca="1" ref="D473" ca="1">IF(OR(COUNTIF(damper_names,_xlfn.CONCAT("D_S_",C473))=1, COUNTIF(damper_names,_xlfn.CONCAT("D_E_",C473))=1), "C", "")</f>
        <v/>
      </c>
      <c r="E473" t="str">
        <f t="shared" ca="1" si="20"/>
        <v/>
      </c>
      <c r="F473" t="str">
        <f t="shared" ca="1" si="21"/>
        <v/>
      </c>
      <c r="G473" t="str">
        <f t="shared" ca="1" si="22"/>
        <v/>
      </c>
      <c r="H473" t="str">
        <f t="shared" ca="1" si="23"/>
        <v/>
      </c>
      <c r="I473" t="str">
        <f t="shared" ca="1" si="24"/>
        <v/>
      </c>
    </row>
    <row r="474" spans="1:9" x14ac:dyDescent="0.25">
      <c r="A474" s="1"/>
      <c r="D474" t="str" cm="1">
        <f t="array" aca="1" ref="D474" ca="1">IF(OR(COUNTIF(damper_names,_xlfn.CONCAT("D_S_",C474))=1, COUNTIF(damper_names,_xlfn.CONCAT("D_E_",C474))=1), "C", "")</f>
        <v/>
      </c>
      <c r="E474" t="str">
        <f t="shared" ca="1" si="20"/>
        <v/>
      </c>
      <c r="F474" t="str">
        <f t="shared" ca="1" si="21"/>
        <v/>
      </c>
      <c r="G474" t="str">
        <f t="shared" ca="1" si="22"/>
        <v/>
      </c>
      <c r="H474" t="str">
        <f t="shared" ca="1" si="23"/>
        <v/>
      </c>
      <c r="I474" t="str">
        <f t="shared" ca="1" si="24"/>
        <v/>
      </c>
    </row>
    <row r="475" spans="1:9" x14ac:dyDescent="0.25">
      <c r="A475" s="1"/>
      <c r="D475" t="str" cm="1">
        <f t="array" aca="1" ref="D475" ca="1">IF(OR(COUNTIF(damper_names,_xlfn.CONCAT("D_S_",C475))=1, COUNTIF(damper_names,_xlfn.CONCAT("D_E_",C475))=1), "C", "")</f>
        <v/>
      </c>
      <c r="E475" t="str">
        <f t="shared" ca="1" si="20"/>
        <v/>
      </c>
      <c r="F475" t="str">
        <f t="shared" ca="1" si="21"/>
        <v/>
      </c>
      <c r="G475" t="str">
        <f t="shared" ca="1" si="22"/>
        <v/>
      </c>
      <c r="H475" t="str">
        <f t="shared" ca="1" si="23"/>
        <v/>
      </c>
      <c r="I475" t="str">
        <f t="shared" ca="1" si="24"/>
        <v/>
      </c>
    </row>
    <row r="476" spans="1:9" x14ac:dyDescent="0.25">
      <c r="A476" s="1"/>
      <c r="D476" t="str" cm="1">
        <f t="array" aca="1" ref="D476" ca="1">IF(OR(COUNTIF(damper_names,_xlfn.CONCAT("D_S_",C476))=1, COUNTIF(damper_names,_xlfn.CONCAT("D_E_",C476))=1), "C", "")</f>
        <v/>
      </c>
      <c r="E476" t="str">
        <f t="shared" ca="1" si="20"/>
        <v/>
      </c>
      <c r="F476" t="str">
        <f t="shared" ca="1" si="21"/>
        <v/>
      </c>
      <c r="G476" t="str">
        <f t="shared" ca="1" si="22"/>
        <v/>
      </c>
      <c r="H476" t="str">
        <f t="shared" ca="1" si="23"/>
        <v/>
      </c>
      <c r="I476" t="str">
        <f t="shared" ca="1" si="24"/>
        <v/>
      </c>
    </row>
    <row r="477" spans="1:9" x14ac:dyDescent="0.25">
      <c r="A477" s="1"/>
      <c r="D477" t="str" cm="1">
        <f t="array" aca="1" ref="D477" ca="1">IF(OR(COUNTIF(damper_names,_xlfn.CONCAT("D_S_",C477))=1, COUNTIF(damper_names,_xlfn.CONCAT("D_E_",C477))=1), "C", "")</f>
        <v/>
      </c>
      <c r="E477" t="str">
        <f t="shared" ca="1" si="20"/>
        <v/>
      </c>
      <c r="F477" t="str">
        <f t="shared" ca="1" si="21"/>
        <v/>
      </c>
      <c r="G477" t="str">
        <f t="shared" ca="1" si="22"/>
        <v/>
      </c>
      <c r="H477" t="str">
        <f t="shared" ca="1" si="23"/>
        <v/>
      </c>
      <c r="I477" t="str">
        <f t="shared" ca="1" si="24"/>
        <v/>
      </c>
    </row>
    <row r="478" spans="1:9" x14ac:dyDescent="0.25">
      <c r="A478" s="1"/>
      <c r="D478" t="str" cm="1">
        <f t="array" aca="1" ref="D478" ca="1">IF(OR(COUNTIF(damper_names,_xlfn.CONCAT("D_S_",C478))=1, COUNTIF(damper_names,_xlfn.CONCAT("D_E_",C478))=1), "C", "")</f>
        <v/>
      </c>
      <c r="E478" t="str">
        <f t="shared" ca="1" si="20"/>
        <v/>
      </c>
      <c r="F478" t="str">
        <f t="shared" ca="1" si="21"/>
        <v/>
      </c>
      <c r="G478" t="str">
        <f t="shared" ca="1" si="22"/>
        <v/>
      </c>
      <c r="H478" t="str">
        <f t="shared" ca="1" si="23"/>
        <v/>
      </c>
      <c r="I478" t="str">
        <f t="shared" ca="1" si="24"/>
        <v/>
      </c>
    </row>
    <row r="479" spans="1:9" x14ac:dyDescent="0.25">
      <c r="A479" s="1"/>
      <c r="D479" t="str" cm="1">
        <f t="array" aca="1" ref="D479" ca="1">IF(OR(COUNTIF(damper_names,_xlfn.CONCAT("D_S_",C479))=1, COUNTIF(damper_names,_xlfn.CONCAT("D_E_",C479))=1), "C", "")</f>
        <v/>
      </c>
      <c r="E479" t="str">
        <f t="shared" ca="1" si="20"/>
        <v/>
      </c>
      <c r="F479" t="str">
        <f t="shared" ca="1" si="21"/>
        <v/>
      </c>
      <c r="G479" t="str">
        <f t="shared" ca="1" si="22"/>
        <v/>
      </c>
      <c r="H479" t="str">
        <f t="shared" ca="1" si="23"/>
        <v/>
      </c>
      <c r="I479" t="str">
        <f t="shared" ca="1" si="24"/>
        <v/>
      </c>
    </row>
    <row r="480" spans="1:9" x14ac:dyDescent="0.25">
      <c r="A480" s="1"/>
      <c r="D480" t="str" cm="1">
        <f t="array" aca="1" ref="D480" ca="1">IF(OR(COUNTIF(damper_names,_xlfn.CONCAT("D_S_",C480))=1, COUNTIF(damper_names,_xlfn.CONCAT("D_E_",C480))=1), "C", "")</f>
        <v/>
      </c>
      <c r="E480" t="str">
        <f t="shared" ca="1" si="20"/>
        <v/>
      </c>
      <c r="F480" t="str">
        <f t="shared" ca="1" si="21"/>
        <v/>
      </c>
      <c r="G480" t="str">
        <f t="shared" ca="1" si="22"/>
        <v/>
      </c>
      <c r="H480" t="str">
        <f t="shared" ca="1" si="23"/>
        <v/>
      </c>
      <c r="I480" t="str">
        <f t="shared" ca="1" si="24"/>
        <v/>
      </c>
    </row>
    <row r="481" spans="1:9" x14ac:dyDescent="0.25">
      <c r="A481" s="1"/>
      <c r="D481" t="str" cm="1">
        <f t="array" aca="1" ref="D481" ca="1">IF(OR(COUNTIF(damper_names,_xlfn.CONCAT("D_S_",C481))=1, COUNTIF(damper_names,_xlfn.CONCAT("D_E_",C481))=1), "C", "")</f>
        <v/>
      </c>
      <c r="E481" t="str">
        <f t="shared" ca="1" si="20"/>
        <v/>
      </c>
      <c r="F481" t="str">
        <f t="shared" ca="1" si="21"/>
        <v/>
      </c>
      <c r="G481" t="str">
        <f t="shared" ca="1" si="22"/>
        <v/>
      </c>
      <c r="H481" t="str">
        <f t="shared" ca="1" si="23"/>
        <v/>
      </c>
      <c r="I481" t="str">
        <f t="shared" ca="1" si="24"/>
        <v/>
      </c>
    </row>
    <row r="482" spans="1:9" x14ac:dyDescent="0.25">
      <c r="A482" s="1"/>
      <c r="D482" t="str" cm="1">
        <f t="array" aca="1" ref="D482" ca="1">IF(OR(COUNTIF(damper_names,_xlfn.CONCAT("D_S_",C482))=1, COUNTIF(damper_names,_xlfn.CONCAT("D_E_",C482))=1), "C", "")</f>
        <v/>
      </c>
      <c r="E482" t="str">
        <f t="shared" ca="1" si="20"/>
        <v/>
      </c>
      <c r="F482" t="str">
        <f t="shared" ca="1" si="21"/>
        <v/>
      </c>
      <c r="G482" t="str">
        <f t="shared" ca="1" si="22"/>
        <v/>
      </c>
      <c r="H482" t="str">
        <f t="shared" ca="1" si="23"/>
        <v/>
      </c>
      <c r="I482" t="str">
        <f t="shared" ca="1" si="24"/>
        <v/>
      </c>
    </row>
    <row r="483" spans="1:9" x14ac:dyDescent="0.25">
      <c r="A483" s="1"/>
      <c r="D483" t="str" cm="1">
        <f t="array" aca="1" ref="D483" ca="1">IF(OR(COUNTIF(damper_names,_xlfn.CONCAT("D_S_",C483))=1, COUNTIF(damper_names,_xlfn.CONCAT("D_E_",C483))=1), "C", "")</f>
        <v/>
      </c>
      <c r="E483" t="str">
        <f t="shared" ca="1" si="20"/>
        <v/>
      </c>
      <c r="F483" t="str">
        <f t="shared" ca="1" si="21"/>
        <v/>
      </c>
      <c r="G483" t="str">
        <f t="shared" ca="1" si="22"/>
        <v/>
      </c>
      <c r="H483" t="str">
        <f t="shared" ca="1" si="23"/>
        <v/>
      </c>
      <c r="I483" t="str">
        <f t="shared" ca="1" si="24"/>
        <v/>
      </c>
    </row>
    <row r="484" spans="1:9" x14ac:dyDescent="0.25">
      <c r="A484" s="1"/>
      <c r="D484" t="str" cm="1">
        <f t="array" aca="1" ref="D484" ca="1">IF(OR(COUNTIF(damper_names,_xlfn.CONCAT("D_S_",C484))=1, COUNTIF(damper_names,_xlfn.CONCAT("D_E_",C484))=1), "C", "")</f>
        <v/>
      </c>
      <c r="E484" t="str">
        <f t="shared" ca="1" si="20"/>
        <v/>
      </c>
      <c r="F484" t="str">
        <f t="shared" ca="1" si="21"/>
        <v/>
      </c>
      <c r="G484" t="str">
        <f t="shared" ca="1" si="22"/>
        <v/>
      </c>
      <c r="H484" t="str">
        <f t="shared" ca="1" si="23"/>
        <v/>
      </c>
      <c r="I484" t="str">
        <f t="shared" ca="1" si="24"/>
        <v/>
      </c>
    </row>
    <row r="485" spans="1:9" x14ac:dyDescent="0.25">
      <c r="A485" s="1"/>
      <c r="D485" t="str" cm="1">
        <f t="array" aca="1" ref="D485" ca="1">IF(OR(COUNTIF(damper_names,_xlfn.CONCAT("D_S_",C485))=1, COUNTIF(damper_names,_xlfn.CONCAT("D_E_",C485))=1), "C", "")</f>
        <v/>
      </c>
      <c r="E485" t="str">
        <f t="shared" ca="1" si="20"/>
        <v/>
      </c>
      <c r="F485" t="str">
        <f t="shared" ca="1" si="21"/>
        <v/>
      </c>
      <c r="G485" t="str">
        <f t="shared" ca="1" si="22"/>
        <v/>
      </c>
      <c r="H485" t="str">
        <f t="shared" ca="1" si="23"/>
        <v/>
      </c>
      <c r="I485" t="str">
        <f t="shared" ca="1" si="24"/>
        <v/>
      </c>
    </row>
    <row r="486" spans="1:9" x14ac:dyDescent="0.25">
      <c r="A486" s="1"/>
      <c r="D486" t="str" cm="1">
        <f t="array" aca="1" ref="D486" ca="1">IF(OR(COUNTIF(damper_names,_xlfn.CONCAT("D_S_",C486))=1, COUNTIF(damper_names,_xlfn.CONCAT("D_E_",C486))=1), "C", "")</f>
        <v/>
      </c>
      <c r="E486" t="str">
        <f t="shared" ca="1" si="20"/>
        <v/>
      </c>
      <c r="F486" t="str">
        <f t="shared" ca="1" si="21"/>
        <v/>
      </c>
      <c r="G486" t="str">
        <f t="shared" ca="1" si="22"/>
        <v/>
      </c>
      <c r="H486" t="str">
        <f t="shared" ca="1" si="23"/>
        <v/>
      </c>
      <c r="I486" t="str">
        <f t="shared" ca="1" si="24"/>
        <v/>
      </c>
    </row>
    <row r="487" spans="1:9" x14ac:dyDescent="0.25">
      <c r="A487" s="1"/>
      <c r="D487" t="str" cm="1">
        <f t="array" aca="1" ref="D487" ca="1">IF(OR(COUNTIF(damper_names,_xlfn.CONCAT("D_S_",C487))=1, COUNTIF(damper_names,_xlfn.CONCAT("D_E_",C487))=1), "C", "")</f>
        <v/>
      </c>
      <c r="E487" t="str">
        <f t="shared" ca="1" si="20"/>
        <v/>
      </c>
      <c r="F487" t="str">
        <f t="shared" ca="1" si="21"/>
        <v/>
      </c>
      <c r="G487" t="str">
        <f t="shared" ca="1" si="22"/>
        <v/>
      </c>
      <c r="H487" t="str">
        <f t="shared" ca="1" si="23"/>
        <v/>
      </c>
      <c r="I487" t="str">
        <f t="shared" ca="1" si="24"/>
        <v/>
      </c>
    </row>
    <row r="488" spans="1:9" x14ac:dyDescent="0.25">
      <c r="A488" s="1"/>
      <c r="D488" t="str" cm="1">
        <f t="array" aca="1" ref="D488" ca="1">IF(OR(COUNTIF(damper_names,_xlfn.CONCAT("D_S_",C488))=1, COUNTIF(damper_names,_xlfn.CONCAT("D_E_",C488))=1), "C", "")</f>
        <v/>
      </c>
      <c r="E488" t="str">
        <f t="shared" ca="1" si="20"/>
        <v/>
      </c>
      <c r="F488" t="str">
        <f t="shared" ca="1" si="21"/>
        <v/>
      </c>
      <c r="G488" t="str">
        <f t="shared" ca="1" si="22"/>
        <v/>
      </c>
      <c r="H488" t="str">
        <f t="shared" ca="1" si="23"/>
        <v/>
      </c>
      <c r="I488" t="str">
        <f t="shared" ca="1" si="24"/>
        <v/>
      </c>
    </row>
    <row r="489" spans="1:9" x14ac:dyDescent="0.25">
      <c r="A489" s="1"/>
      <c r="D489" t="str" cm="1">
        <f t="array" aca="1" ref="D489" ca="1">IF(OR(COUNTIF(damper_names,_xlfn.CONCAT("D_S_",C489))=1, COUNTIF(damper_names,_xlfn.CONCAT("D_E_",C489))=1), "C", "")</f>
        <v/>
      </c>
      <c r="E489" t="str">
        <f t="shared" ca="1" si="20"/>
        <v/>
      </c>
      <c r="F489" t="str">
        <f t="shared" ca="1" si="21"/>
        <v/>
      </c>
      <c r="G489" t="str">
        <f t="shared" ca="1" si="22"/>
        <v/>
      </c>
      <c r="H489" t="str">
        <f t="shared" ca="1" si="23"/>
        <v/>
      </c>
      <c r="I489" t="str">
        <f t="shared" ca="1" si="24"/>
        <v/>
      </c>
    </row>
    <row r="490" spans="1:9" x14ac:dyDescent="0.25">
      <c r="A490" s="1"/>
      <c r="D490" t="str" cm="1">
        <f t="array" aca="1" ref="D490" ca="1">IF(OR(COUNTIF(damper_names,_xlfn.CONCAT("D_S_",C490))=1, COUNTIF(damper_names,_xlfn.CONCAT("D_E_",C490))=1), "C", "")</f>
        <v/>
      </c>
      <c r="E490" t="str">
        <f t="shared" ca="1" si="20"/>
        <v/>
      </c>
      <c r="F490" t="str">
        <f t="shared" ca="1" si="21"/>
        <v/>
      </c>
      <c r="G490" t="str">
        <f t="shared" ca="1" si="22"/>
        <v/>
      </c>
      <c r="H490" t="str">
        <f t="shared" ca="1" si="23"/>
        <v/>
      </c>
      <c r="I490" t="str">
        <f t="shared" ca="1" si="24"/>
        <v/>
      </c>
    </row>
    <row r="491" spans="1:9" x14ac:dyDescent="0.25">
      <c r="A491" s="1"/>
      <c r="D491" t="str" cm="1">
        <f t="array" aca="1" ref="D491" ca="1">IF(OR(COUNTIF(damper_names,_xlfn.CONCAT("D_S_",C491))=1, COUNTIF(damper_names,_xlfn.CONCAT("D_E_",C491))=1), "C", "")</f>
        <v/>
      </c>
      <c r="E491" t="str">
        <f t="shared" ca="1" si="20"/>
        <v/>
      </c>
      <c r="F491" t="str">
        <f t="shared" ca="1" si="21"/>
        <v/>
      </c>
      <c r="G491" t="str">
        <f t="shared" ca="1" si="22"/>
        <v/>
      </c>
      <c r="H491" t="str">
        <f t="shared" ca="1" si="23"/>
        <v/>
      </c>
      <c r="I491" t="str">
        <f t="shared" ca="1" si="24"/>
        <v/>
      </c>
    </row>
    <row r="492" spans="1:9" x14ac:dyDescent="0.25">
      <c r="A492" s="1"/>
      <c r="D492" t="str" cm="1">
        <f t="array" aca="1" ref="D492" ca="1">IF(OR(COUNTIF(damper_names,_xlfn.CONCAT("D_S_",C492))=1, COUNTIF(damper_names,_xlfn.CONCAT("D_E_",C492))=1), "C", "")</f>
        <v/>
      </c>
      <c r="E492" t="str">
        <f t="shared" ca="1" si="20"/>
        <v/>
      </c>
      <c r="F492" t="str">
        <f t="shared" ca="1" si="21"/>
        <v/>
      </c>
      <c r="G492" t="str">
        <f t="shared" ca="1" si="22"/>
        <v/>
      </c>
      <c r="H492" t="str">
        <f t="shared" ca="1" si="23"/>
        <v/>
      </c>
      <c r="I492" t="str">
        <f t="shared" ca="1" si="24"/>
        <v/>
      </c>
    </row>
    <row r="493" spans="1:9" x14ac:dyDescent="0.25">
      <c r="A493" s="1"/>
      <c r="D493" t="str" cm="1">
        <f t="array" aca="1" ref="D493" ca="1">IF(OR(COUNTIF(damper_names,_xlfn.CONCAT("D_S_",C493))=1, COUNTIF(damper_names,_xlfn.CONCAT("D_E_",C493))=1), "C", "")</f>
        <v/>
      </c>
      <c r="E493" t="str">
        <f t="shared" ca="1" si="20"/>
        <v/>
      </c>
      <c r="F493" t="str">
        <f t="shared" ca="1" si="21"/>
        <v/>
      </c>
      <c r="G493" t="str">
        <f t="shared" ca="1" si="22"/>
        <v/>
      </c>
      <c r="H493" t="str">
        <f t="shared" ca="1" si="23"/>
        <v/>
      </c>
      <c r="I493" t="str">
        <f t="shared" ca="1" si="24"/>
        <v/>
      </c>
    </row>
    <row r="494" spans="1:9" x14ac:dyDescent="0.25">
      <c r="A494" s="1"/>
      <c r="D494" t="str" cm="1">
        <f t="array" aca="1" ref="D494" ca="1">IF(OR(COUNTIF(damper_names,_xlfn.CONCAT("D_S_",C494))=1, COUNTIF(damper_names,_xlfn.CONCAT("D_E_",C494))=1), "C", "")</f>
        <v/>
      </c>
      <c r="E494" t="str">
        <f t="shared" ca="1" si="20"/>
        <v/>
      </c>
      <c r="F494" t="str">
        <f t="shared" ca="1" si="21"/>
        <v/>
      </c>
      <c r="G494" t="str">
        <f t="shared" ca="1" si="22"/>
        <v/>
      </c>
      <c r="H494" t="str">
        <f t="shared" ca="1" si="23"/>
        <v/>
      </c>
      <c r="I494" t="str">
        <f t="shared" ca="1" si="24"/>
        <v/>
      </c>
    </row>
    <row r="495" spans="1:9" x14ac:dyDescent="0.25">
      <c r="A495" s="1"/>
      <c r="D495" t="str" cm="1">
        <f t="array" aca="1" ref="D495" ca="1">IF(OR(COUNTIF(damper_names,_xlfn.CONCAT("D_S_",C495))=1, COUNTIF(damper_names,_xlfn.CONCAT("D_E_",C495))=1), "C", "")</f>
        <v/>
      </c>
      <c r="E495" t="str">
        <f t="shared" ca="1" si="20"/>
        <v/>
      </c>
      <c r="F495" t="str">
        <f t="shared" ca="1" si="21"/>
        <v/>
      </c>
      <c r="G495" t="str">
        <f t="shared" ca="1" si="22"/>
        <v/>
      </c>
      <c r="H495" t="str">
        <f t="shared" ca="1" si="23"/>
        <v/>
      </c>
      <c r="I495" t="str">
        <f t="shared" ca="1" si="24"/>
        <v/>
      </c>
    </row>
    <row r="496" spans="1:9" x14ac:dyDescent="0.25">
      <c r="A496" s="1"/>
      <c r="D496" t="str" cm="1">
        <f t="array" aca="1" ref="D496" ca="1">IF(OR(COUNTIF(damper_names,_xlfn.CONCAT("D_S_",C496))=1, COUNTIF(damper_names,_xlfn.CONCAT("D_E_",C496))=1), "C", "")</f>
        <v/>
      </c>
      <c r="E496" t="str">
        <f t="shared" ca="1" si="20"/>
        <v/>
      </c>
      <c r="F496" t="str">
        <f t="shared" ca="1" si="21"/>
        <v/>
      </c>
      <c r="G496" t="str">
        <f t="shared" ca="1" si="22"/>
        <v/>
      </c>
      <c r="H496" t="str">
        <f t="shared" ca="1" si="23"/>
        <v/>
      </c>
      <c r="I496" t="str">
        <f t="shared" ca="1" si="24"/>
        <v/>
      </c>
    </row>
    <row r="497" spans="1:9" x14ac:dyDescent="0.25">
      <c r="A497" s="1"/>
      <c r="D497" t="str" cm="1">
        <f t="array" aca="1" ref="D497" ca="1">IF(OR(COUNTIF(damper_names,_xlfn.CONCAT("D_S_",C497))=1, COUNTIF(damper_names,_xlfn.CONCAT("D_E_",C497))=1), "C", "")</f>
        <v/>
      </c>
      <c r="E497" t="str">
        <f t="shared" ca="1" si="20"/>
        <v/>
      </c>
      <c r="F497" t="str">
        <f t="shared" ca="1" si="21"/>
        <v/>
      </c>
      <c r="G497" t="str">
        <f t="shared" ca="1" si="22"/>
        <v/>
      </c>
      <c r="H497" t="str">
        <f t="shared" ca="1" si="23"/>
        <v/>
      </c>
      <c r="I497" t="str">
        <f t="shared" ca="1" si="24"/>
        <v/>
      </c>
    </row>
    <row r="498" spans="1:9" x14ac:dyDescent="0.25">
      <c r="A498" s="1"/>
      <c r="D498" t="str" cm="1">
        <f t="array" aca="1" ref="D498" ca="1">IF(OR(COUNTIF(damper_names,_xlfn.CONCAT("D_S_",C498))=1, COUNTIF(damper_names,_xlfn.CONCAT("D_E_",C498))=1), "C", "")</f>
        <v/>
      </c>
      <c r="E498" t="str">
        <f t="shared" ca="1" si="20"/>
        <v/>
      </c>
      <c r="F498" t="str">
        <f t="shared" ca="1" si="21"/>
        <v/>
      </c>
      <c r="G498" t="str">
        <f t="shared" ca="1" si="22"/>
        <v/>
      </c>
      <c r="H498" t="str">
        <f t="shared" ca="1" si="23"/>
        <v/>
      </c>
      <c r="I498" t="str">
        <f t="shared" ca="1" si="24"/>
        <v/>
      </c>
    </row>
    <row r="499" spans="1:9" x14ac:dyDescent="0.25">
      <c r="A499" s="1"/>
      <c r="D499" t="str" cm="1">
        <f t="array" aca="1" ref="D499" ca="1">IF(OR(COUNTIF(damper_names,_xlfn.CONCAT("D_S_",C499))=1, COUNTIF(damper_names,_xlfn.CONCAT("D_E_",C499))=1), "C", "")</f>
        <v/>
      </c>
      <c r="E499" t="str">
        <f t="shared" ref="E499:E562" ca="1" si="25">IF(D499="T", 0.05, IF(D499="C", -0.01, ""))</f>
        <v/>
      </c>
      <c r="F499" t="str">
        <f t="shared" ref="F499:F562" ca="1" si="26">IF(D499="T", 0.05, IF(D499="C", 0, ""))</f>
        <v/>
      </c>
      <c r="G499" t="str">
        <f t="shared" ref="G499:G562" ca="1" si="27">IF(D499="T", 0, IF(D499="C", 0, ""))</f>
        <v/>
      </c>
      <c r="H499" t="str">
        <f t="shared" ref="H499:H562" ca="1" si="28">IF(D499="T", 0.05, IF(D499="C", 0, ""))</f>
        <v/>
      </c>
      <c r="I499" t="str">
        <f t="shared" ref="I499:I562" ca="1" si="29">IF(D499="T", 0, IF(D499="C", 0, ""))</f>
        <v/>
      </c>
    </row>
    <row r="500" spans="1:9" x14ac:dyDescent="0.25">
      <c r="A500" s="1"/>
      <c r="D500" t="str" cm="1">
        <f t="array" aca="1" ref="D500" ca="1">IF(OR(COUNTIF(damper_names,_xlfn.CONCAT("D_S_",C500))=1, COUNTIF(damper_names,_xlfn.CONCAT("D_E_",C500))=1), "C", "")</f>
        <v/>
      </c>
      <c r="E500" t="str">
        <f t="shared" ca="1" si="25"/>
        <v/>
      </c>
      <c r="F500" t="str">
        <f t="shared" ca="1" si="26"/>
        <v/>
      </c>
      <c r="G500" t="str">
        <f t="shared" ca="1" si="27"/>
        <v/>
      </c>
      <c r="H500" t="str">
        <f t="shared" ca="1" si="28"/>
        <v/>
      </c>
      <c r="I500" t="str">
        <f t="shared" ca="1" si="29"/>
        <v/>
      </c>
    </row>
    <row r="501" spans="1:9" x14ac:dyDescent="0.25">
      <c r="A501" s="1"/>
      <c r="D501" t="str" cm="1">
        <f t="array" aca="1" ref="D501" ca="1">IF(OR(COUNTIF(damper_names,_xlfn.CONCAT("D_S_",C501))=1, COUNTIF(damper_names,_xlfn.CONCAT("D_E_",C501))=1), "C", "")</f>
        <v/>
      </c>
      <c r="E501" t="str">
        <f t="shared" ca="1" si="25"/>
        <v/>
      </c>
      <c r="F501" t="str">
        <f t="shared" ca="1" si="26"/>
        <v/>
      </c>
      <c r="G501" t="str">
        <f t="shared" ca="1" si="27"/>
        <v/>
      </c>
      <c r="H501" t="str">
        <f t="shared" ca="1" si="28"/>
        <v/>
      </c>
      <c r="I501" t="str">
        <f t="shared" ca="1" si="29"/>
        <v/>
      </c>
    </row>
    <row r="502" spans="1:9" x14ac:dyDescent="0.25">
      <c r="A502" s="1"/>
      <c r="D502" t="str" cm="1">
        <f t="array" aca="1" ref="D502" ca="1">IF(OR(COUNTIF(damper_names,_xlfn.CONCAT("D_S_",C502))=1, COUNTIF(damper_names,_xlfn.CONCAT("D_E_",C502))=1), "C", "")</f>
        <v/>
      </c>
      <c r="E502" t="str">
        <f t="shared" ca="1" si="25"/>
        <v/>
      </c>
      <c r="F502" t="str">
        <f t="shared" ca="1" si="26"/>
        <v/>
      </c>
      <c r="G502" t="str">
        <f t="shared" ca="1" si="27"/>
        <v/>
      </c>
      <c r="H502" t="str">
        <f t="shared" ca="1" si="28"/>
        <v/>
      </c>
      <c r="I502" t="str">
        <f t="shared" ca="1" si="29"/>
        <v/>
      </c>
    </row>
    <row r="503" spans="1:9" x14ac:dyDescent="0.25">
      <c r="A503" s="1"/>
      <c r="D503" t="str" cm="1">
        <f t="array" aca="1" ref="D503" ca="1">IF(OR(COUNTIF(damper_names,_xlfn.CONCAT("D_S_",C503))=1, COUNTIF(damper_names,_xlfn.CONCAT("D_E_",C503))=1), "C", "")</f>
        <v/>
      </c>
      <c r="E503" t="str">
        <f t="shared" ca="1" si="25"/>
        <v/>
      </c>
      <c r="F503" t="str">
        <f t="shared" ca="1" si="26"/>
        <v/>
      </c>
      <c r="G503" t="str">
        <f t="shared" ca="1" si="27"/>
        <v/>
      </c>
      <c r="H503" t="str">
        <f t="shared" ca="1" si="28"/>
        <v/>
      </c>
      <c r="I503" t="str">
        <f t="shared" ca="1" si="29"/>
        <v/>
      </c>
    </row>
    <row r="504" spans="1:9" x14ac:dyDescent="0.25">
      <c r="A504" s="1"/>
      <c r="D504" t="str" cm="1">
        <f t="array" aca="1" ref="D504" ca="1">IF(OR(COUNTIF(damper_names,_xlfn.CONCAT("D_S_",C504))=1, COUNTIF(damper_names,_xlfn.CONCAT("D_E_",C504))=1), "C", "")</f>
        <v/>
      </c>
      <c r="E504" t="str">
        <f t="shared" ca="1" si="25"/>
        <v/>
      </c>
      <c r="F504" t="str">
        <f t="shared" ca="1" si="26"/>
        <v/>
      </c>
      <c r="G504" t="str">
        <f t="shared" ca="1" si="27"/>
        <v/>
      </c>
      <c r="H504" t="str">
        <f t="shared" ca="1" si="28"/>
        <v/>
      </c>
      <c r="I504" t="str">
        <f t="shared" ca="1" si="29"/>
        <v/>
      </c>
    </row>
    <row r="505" spans="1:9" x14ac:dyDescent="0.25">
      <c r="A505" s="1"/>
      <c r="D505" t="str" cm="1">
        <f t="array" aca="1" ref="D505" ca="1">IF(OR(COUNTIF(damper_names,_xlfn.CONCAT("D_S_",C505))=1, COUNTIF(damper_names,_xlfn.CONCAT("D_E_",C505))=1), "C", "")</f>
        <v/>
      </c>
      <c r="E505" t="str">
        <f t="shared" ca="1" si="25"/>
        <v/>
      </c>
      <c r="F505" t="str">
        <f t="shared" ca="1" si="26"/>
        <v/>
      </c>
      <c r="G505" t="str">
        <f t="shared" ca="1" si="27"/>
        <v/>
      </c>
      <c r="H505" t="str">
        <f t="shared" ca="1" si="28"/>
        <v/>
      </c>
      <c r="I505" t="str">
        <f t="shared" ca="1" si="29"/>
        <v/>
      </c>
    </row>
    <row r="506" spans="1:9" x14ac:dyDescent="0.25">
      <c r="A506" s="1"/>
      <c r="D506" t="str" cm="1">
        <f t="array" aca="1" ref="D506" ca="1">IF(OR(COUNTIF(damper_names,_xlfn.CONCAT("D_S_",C506))=1, COUNTIF(damper_names,_xlfn.CONCAT("D_E_",C506))=1), "C", "")</f>
        <v/>
      </c>
      <c r="E506" t="str">
        <f t="shared" ca="1" si="25"/>
        <v/>
      </c>
      <c r="F506" t="str">
        <f t="shared" ca="1" si="26"/>
        <v/>
      </c>
      <c r="G506" t="str">
        <f t="shared" ca="1" si="27"/>
        <v/>
      </c>
      <c r="H506" t="str">
        <f t="shared" ca="1" si="28"/>
        <v/>
      </c>
      <c r="I506" t="str">
        <f t="shared" ca="1" si="29"/>
        <v/>
      </c>
    </row>
    <row r="507" spans="1:9" x14ac:dyDescent="0.25">
      <c r="A507" s="1"/>
      <c r="D507" t="str" cm="1">
        <f t="array" aca="1" ref="D507" ca="1">IF(OR(COUNTIF(damper_names,_xlfn.CONCAT("D_S_",C507))=1, COUNTIF(damper_names,_xlfn.CONCAT("D_E_",C507))=1), "C", "")</f>
        <v/>
      </c>
      <c r="E507" t="str">
        <f t="shared" ca="1" si="25"/>
        <v/>
      </c>
      <c r="F507" t="str">
        <f t="shared" ca="1" si="26"/>
        <v/>
      </c>
      <c r="G507" t="str">
        <f t="shared" ca="1" si="27"/>
        <v/>
      </c>
      <c r="H507" t="str">
        <f t="shared" ca="1" si="28"/>
        <v/>
      </c>
      <c r="I507" t="str">
        <f t="shared" ca="1" si="29"/>
        <v/>
      </c>
    </row>
    <row r="508" spans="1:9" x14ac:dyDescent="0.25">
      <c r="A508" s="1"/>
      <c r="D508" t="str" cm="1">
        <f t="array" aca="1" ref="D508" ca="1">IF(OR(COUNTIF(damper_names,_xlfn.CONCAT("D_S_",C508))=1, COUNTIF(damper_names,_xlfn.CONCAT("D_E_",C508))=1), "C", "")</f>
        <v/>
      </c>
      <c r="E508" t="str">
        <f t="shared" ca="1" si="25"/>
        <v/>
      </c>
      <c r="F508" t="str">
        <f t="shared" ca="1" si="26"/>
        <v/>
      </c>
      <c r="G508" t="str">
        <f t="shared" ca="1" si="27"/>
        <v/>
      </c>
      <c r="H508" t="str">
        <f t="shared" ca="1" si="28"/>
        <v/>
      </c>
      <c r="I508" t="str">
        <f t="shared" ca="1" si="29"/>
        <v/>
      </c>
    </row>
    <row r="509" spans="1:9" x14ac:dyDescent="0.25">
      <c r="A509" s="1"/>
      <c r="D509" t="str" cm="1">
        <f t="array" aca="1" ref="D509" ca="1">IF(OR(COUNTIF(damper_names,_xlfn.CONCAT("D_S_",C509))=1, COUNTIF(damper_names,_xlfn.CONCAT("D_E_",C509))=1), "C", "")</f>
        <v/>
      </c>
      <c r="E509" t="str">
        <f t="shared" ca="1" si="25"/>
        <v/>
      </c>
      <c r="F509" t="str">
        <f t="shared" ca="1" si="26"/>
        <v/>
      </c>
      <c r="G509" t="str">
        <f t="shared" ca="1" si="27"/>
        <v/>
      </c>
      <c r="H509" t="str">
        <f t="shared" ca="1" si="28"/>
        <v/>
      </c>
      <c r="I509" t="str">
        <f t="shared" ca="1" si="29"/>
        <v/>
      </c>
    </row>
    <row r="510" spans="1:9" x14ac:dyDescent="0.25">
      <c r="A510" s="1"/>
      <c r="D510" t="str" cm="1">
        <f t="array" aca="1" ref="D510" ca="1">IF(OR(COUNTIF(damper_names,_xlfn.CONCAT("D_S_",C510))=1, COUNTIF(damper_names,_xlfn.CONCAT("D_E_",C510))=1), "C", "")</f>
        <v/>
      </c>
      <c r="E510" t="str">
        <f t="shared" ca="1" si="25"/>
        <v/>
      </c>
      <c r="F510" t="str">
        <f t="shared" ca="1" si="26"/>
        <v/>
      </c>
      <c r="G510" t="str">
        <f t="shared" ca="1" si="27"/>
        <v/>
      </c>
      <c r="H510" t="str">
        <f t="shared" ca="1" si="28"/>
        <v/>
      </c>
      <c r="I510" t="str">
        <f t="shared" ca="1" si="29"/>
        <v/>
      </c>
    </row>
    <row r="511" spans="1:9" x14ac:dyDescent="0.25">
      <c r="A511" s="1"/>
      <c r="D511" t="str" cm="1">
        <f t="array" aca="1" ref="D511" ca="1">IF(OR(COUNTIF(damper_names,_xlfn.CONCAT("D_S_",C511))=1, COUNTIF(damper_names,_xlfn.CONCAT("D_E_",C511))=1), "C", "")</f>
        <v/>
      </c>
      <c r="E511" t="str">
        <f t="shared" ca="1" si="25"/>
        <v/>
      </c>
      <c r="F511" t="str">
        <f t="shared" ca="1" si="26"/>
        <v/>
      </c>
      <c r="G511" t="str">
        <f t="shared" ca="1" si="27"/>
        <v/>
      </c>
      <c r="H511" t="str">
        <f t="shared" ca="1" si="28"/>
        <v/>
      </c>
      <c r="I511" t="str">
        <f t="shared" ca="1" si="29"/>
        <v/>
      </c>
    </row>
    <row r="512" spans="1:9" x14ac:dyDescent="0.25">
      <c r="A512" s="1"/>
      <c r="D512" t="str" cm="1">
        <f t="array" aca="1" ref="D512" ca="1">IF(OR(COUNTIF(damper_names,_xlfn.CONCAT("D_S_",C512))=1, COUNTIF(damper_names,_xlfn.CONCAT("D_E_",C512))=1), "C", "")</f>
        <v/>
      </c>
      <c r="E512" t="str">
        <f t="shared" ca="1" si="25"/>
        <v/>
      </c>
      <c r="F512" t="str">
        <f t="shared" ca="1" si="26"/>
        <v/>
      </c>
      <c r="G512" t="str">
        <f t="shared" ca="1" si="27"/>
        <v/>
      </c>
      <c r="H512" t="str">
        <f t="shared" ca="1" si="28"/>
        <v/>
      </c>
      <c r="I512" t="str">
        <f t="shared" ca="1" si="29"/>
        <v/>
      </c>
    </row>
    <row r="513" spans="1:9" x14ac:dyDescent="0.25">
      <c r="A513" s="1"/>
      <c r="D513" t="str" cm="1">
        <f t="array" aca="1" ref="D513" ca="1">IF(OR(COUNTIF(damper_names,_xlfn.CONCAT("D_S_",C513))=1, COUNTIF(damper_names,_xlfn.CONCAT("D_E_",C513))=1), "C", "")</f>
        <v/>
      </c>
      <c r="E513" t="str">
        <f t="shared" ca="1" si="25"/>
        <v/>
      </c>
      <c r="F513" t="str">
        <f t="shared" ca="1" si="26"/>
        <v/>
      </c>
      <c r="G513" t="str">
        <f t="shared" ca="1" si="27"/>
        <v/>
      </c>
      <c r="H513" t="str">
        <f t="shared" ca="1" si="28"/>
        <v/>
      </c>
      <c r="I513" t="str">
        <f t="shared" ca="1" si="29"/>
        <v/>
      </c>
    </row>
    <row r="514" spans="1:9" x14ac:dyDescent="0.25">
      <c r="A514" s="1"/>
      <c r="D514" t="str" cm="1">
        <f t="array" aca="1" ref="D514" ca="1">IF(OR(COUNTIF(damper_names,_xlfn.CONCAT("D_S_",C514))=1, COUNTIF(damper_names,_xlfn.CONCAT("D_E_",C514))=1), "C", "")</f>
        <v/>
      </c>
      <c r="E514" t="str">
        <f t="shared" ca="1" si="25"/>
        <v/>
      </c>
      <c r="F514" t="str">
        <f t="shared" ca="1" si="26"/>
        <v/>
      </c>
      <c r="G514" t="str">
        <f t="shared" ca="1" si="27"/>
        <v/>
      </c>
      <c r="H514" t="str">
        <f t="shared" ca="1" si="28"/>
        <v/>
      </c>
      <c r="I514" t="str">
        <f t="shared" ca="1" si="29"/>
        <v/>
      </c>
    </row>
    <row r="515" spans="1:9" x14ac:dyDescent="0.25">
      <c r="A515" s="1"/>
      <c r="D515" t="str" cm="1">
        <f t="array" aca="1" ref="D515" ca="1">IF(OR(COUNTIF(damper_names,_xlfn.CONCAT("D_S_",C515))=1, COUNTIF(damper_names,_xlfn.CONCAT("D_E_",C515))=1), "C", "")</f>
        <v/>
      </c>
      <c r="E515" t="str">
        <f t="shared" ca="1" si="25"/>
        <v/>
      </c>
      <c r="F515" t="str">
        <f t="shared" ca="1" si="26"/>
        <v/>
      </c>
      <c r="G515" t="str">
        <f t="shared" ca="1" si="27"/>
        <v/>
      </c>
      <c r="H515" t="str">
        <f t="shared" ca="1" si="28"/>
        <v/>
      </c>
      <c r="I515" t="str">
        <f t="shared" ca="1" si="29"/>
        <v/>
      </c>
    </row>
    <row r="516" spans="1:9" x14ac:dyDescent="0.25">
      <c r="A516" s="1"/>
      <c r="D516" t="str" cm="1">
        <f t="array" aca="1" ref="D516" ca="1">IF(OR(COUNTIF(damper_names,_xlfn.CONCAT("D_S_",C516))=1, COUNTIF(damper_names,_xlfn.CONCAT("D_E_",C516))=1), "C", "")</f>
        <v/>
      </c>
      <c r="E516" t="str">
        <f t="shared" ca="1" si="25"/>
        <v/>
      </c>
      <c r="F516" t="str">
        <f t="shared" ca="1" si="26"/>
        <v/>
      </c>
      <c r="G516" t="str">
        <f t="shared" ca="1" si="27"/>
        <v/>
      </c>
      <c r="H516" t="str">
        <f t="shared" ca="1" si="28"/>
        <v/>
      </c>
      <c r="I516" t="str">
        <f t="shared" ca="1" si="29"/>
        <v/>
      </c>
    </row>
    <row r="517" spans="1:9" x14ac:dyDescent="0.25">
      <c r="A517" s="1"/>
      <c r="D517" t="str" cm="1">
        <f t="array" aca="1" ref="D517" ca="1">IF(OR(COUNTIF(damper_names,_xlfn.CONCAT("D_S_",C517))=1, COUNTIF(damper_names,_xlfn.CONCAT("D_E_",C517))=1), "C", "")</f>
        <v/>
      </c>
      <c r="E517" t="str">
        <f t="shared" ca="1" si="25"/>
        <v/>
      </c>
      <c r="F517" t="str">
        <f t="shared" ca="1" si="26"/>
        <v/>
      </c>
      <c r="G517" t="str">
        <f t="shared" ca="1" si="27"/>
        <v/>
      </c>
      <c r="H517" t="str">
        <f t="shared" ca="1" si="28"/>
        <v/>
      </c>
      <c r="I517" t="str">
        <f t="shared" ca="1" si="29"/>
        <v/>
      </c>
    </row>
    <row r="518" spans="1:9" x14ac:dyDescent="0.25">
      <c r="A518" s="1"/>
      <c r="D518" t="str" cm="1">
        <f t="array" aca="1" ref="D518" ca="1">IF(OR(COUNTIF(damper_names,_xlfn.CONCAT("D_S_",C518))=1, COUNTIF(damper_names,_xlfn.CONCAT("D_E_",C518))=1), "C", "")</f>
        <v/>
      </c>
      <c r="E518" t="str">
        <f t="shared" ca="1" si="25"/>
        <v/>
      </c>
      <c r="F518" t="str">
        <f t="shared" ca="1" si="26"/>
        <v/>
      </c>
      <c r="G518" t="str">
        <f t="shared" ca="1" si="27"/>
        <v/>
      </c>
      <c r="H518" t="str">
        <f t="shared" ca="1" si="28"/>
        <v/>
      </c>
      <c r="I518" t="str">
        <f t="shared" ca="1" si="29"/>
        <v/>
      </c>
    </row>
    <row r="519" spans="1:9" x14ac:dyDescent="0.25">
      <c r="A519" s="1"/>
      <c r="D519" t="str" cm="1">
        <f t="array" aca="1" ref="D519" ca="1">IF(OR(COUNTIF(damper_names,_xlfn.CONCAT("D_S_",C519))=1, COUNTIF(damper_names,_xlfn.CONCAT("D_E_",C519))=1), "C", "")</f>
        <v/>
      </c>
      <c r="E519" t="str">
        <f t="shared" ca="1" si="25"/>
        <v/>
      </c>
      <c r="F519" t="str">
        <f t="shared" ca="1" si="26"/>
        <v/>
      </c>
      <c r="G519" t="str">
        <f t="shared" ca="1" si="27"/>
        <v/>
      </c>
      <c r="H519" t="str">
        <f t="shared" ca="1" si="28"/>
        <v/>
      </c>
      <c r="I519" t="str">
        <f t="shared" ca="1" si="29"/>
        <v/>
      </c>
    </row>
    <row r="520" spans="1:9" x14ac:dyDescent="0.25">
      <c r="A520" s="1"/>
      <c r="D520" t="str" cm="1">
        <f t="array" aca="1" ref="D520" ca="1">IF(OR(COUNTIF(damper_names,_xlfn.CONCAT("D_S_",C520))=1, COUNTIF(damper_names,_xlfn.CONCAT("D_E_",C520))=1), "C", "")</f>
        <v/>
      </c>
      <c r="E520" t="str">
        <f t="shared" ca="1" si="25"/>
        <v/>
      </c>
      <c r="F520" t="str">
        <f t="shared" ca="1" si="26"/>
        <v/>
      </c>
      <c r="G520" t="str">
        <f t="shared" ca="1" si="27"/>
        <v/>
      </c>
      <c r="H520" t="str">
        <f t="shared" ca="1" si="28"/>
        <v/>
      </c>
      <c r="I520" t="str">
        <f t="shared" ca="1" si="29"/>
        <v/>
      </c>
    </row>
    <row r="521" spans="1:9" x14ac:dyDescent="0.25">
      <c r="A521" s="1"/>
      <c r="D521" t="str" cm="1">
        <f t="array" aca="1" ref="D521" ca="1">IF(OR(COUNTIF(damper_names,_xlfn.CONCAT("D_S_",C521))=1, COUNTIF(damper_names,_xlfn.CONCAT("D_E_",C521))=1), "C", "")</f>
        <v/>
      </c>
      <c r="E521" t="str">
        <f t="shared" ca="1" si="25"/>
        <v/>
      </c>
      <c r="F521" t="str">
        <f t="shared" ca="1" si="26"/>
        <v/>
      </c>
      <c r="G521" t="str">
        <f t="shared" ca="1" si="27"/>
        <v/>
      </c>
      <c r="H521" t="str">
        <f t="shared" ca="1" si="28"/>
        <v/>
      </c>
      <c r="I521" t="str">
        <f t="shared" ca="1" si="29"/>
        <v/>
      </c>
    </row>
    <row r="522" spans="1:9" x14ac:dyDescent="0.25">
      <c r="A522" s="1"/>
      <c r="D522" t="str" cm="1">
        <f t="array" aca="1" ref="D522" ca="1">IF(OR(COUNTIF(damper_names,_xlfn.CONCAT("D_S_",C522))=1, COUNTIF(damper_names,_xlfn.CONCAT("D_E_",C522))=1), "C", "")</f>
        <v/>
      </c>
      <c r="E522" t="str">
        <f t="shared" ca="1" si="25"/>
        <v/>
      </c>
      <c r="F522" t="str">
        <f t="shared" ca="1" si="26"/>
        <v/>
      </c>
      <c r="G522" t="str">
        <f t="shared" ca="1" si="27"/>
        <v/>
      </c>
      <c r="H522" t="str">
        <f t="shared" ca="1" si="28"/>
        <v/>
      </c>
      <c r="I522" t="str">
        <f t="shared" ca="1" si="29"/>
        <v/>
      </c>
    </row>
    <row r="523" spans="1:9" x14ac:dyDescent="0.25">
      <c r="A523" s="1"/>
      <c r="D523" t="str" cm="1">
        <f t="array" aca="1" ref="D523" ca="1">IF(OR(COUNTIF(damper_names,_xlfn.CONCAT("D_S_",C523))=1, COUNTIF(damper_names,_xlfn.CONCAT("D_E_",C523))=1), "C", "")</f>
        <v/>
      </c>
      <c r="E523" t="str">
        <f t="shared" ca="1" si="25"/>
        <v/>
      </c>
      <c r="F523" t="str">
        <f t="shared" ca="1" si="26"/>
        <v/>
      </c>
      <c r="G523" t="str">
        <f t="shared" ca="1" si="27"/>
        <v/>
      </c>
      <c r="H523" t="str">
        <f t="shared" ca="1" si="28"/>
        <v/>
      </c>
      <c r="I523" t="str">
        <f t="shared" ca="1" si="29"/>
        <v/>
      </c>
    </row>
    <row r="524" spans="1:9" x14ac:dyDescent="0.25">
      <c r="A524" s="1"/>
      <c r="D524" t="str" cm="1">
        <f t="array" aca="1" ref="D524" ca="1">IF(OR(COUNTIF(damper_names,_xlfn.CONCAT("D_S_",C524))=1, COUNTIF(damper_names,_xlfn.CONCAT("D_E_",C524))=1), "C", "")</f>
        <v/>
      </c>
      <c r="E524" t="str">
        <f t="shared" ca="1" si="25"/>
        <v/>
      </c>
      <c r="F524" t="str">
        <f t="shared" ca="1" si="26"/>
        <v/>
      </c>
      <c r="G524" t="str">
        <f t="shared" ca="1" si="27"/>
        <v/>
      </c>
      <c r="H524" t="str">
        <f t="shared" ca="1" si="28"/>
        <v/>
      </c>
      <c r="I524" t="str">
        <f t="shared" ca="1" si="29"/>
        <v/>
      </c>
    </row>
    <row r="525" spans="1:9" x14ac:dyDescent="0.25">
      <c r="A525" s="1"/>
      <c r="D525" t="str" cm="1">
        <f t="array" aca="1" ref="D525" ca="1">IF(OR(COUNTIF(damper_names,_xlfn.CONCAT("D_S_",C525))=1, COUNTIF(damper_names,_xlfn.CONCAT("D_E_",C525))=1), "C", "")</f>
        <v/>
      </c>
      <c r="E525" t="str">
        <f t="shared" ca="1" si="25"/>
        <v/>
      </c>
      <c r="F525" t="str">
        <f t="shared" ca="1" si="26"/>
        <v/>
      </c>
      <c r="G525" t="str">
        <f t="shared" ca="1" si="27"/>
        <v/>
      </c>
      <c r="H525" t="str">
        <f t="shared" ca="1" si="28"/>
        <v/>
      </c>
      <c r="I525" t="str">
        <f t="shared" ca="1" si="29"/>
        <v/>
      </c>
    </row>
    <row r="526" spans="1:9" x14ac:dyDescent="0.25">
      <c r="A526" s="1"/>
      <c r="D526" t="str" cm="1">
        <f t="array" aca="1" ref="D526" ca="1">IF(OR(COUNTIF(damper_names,_xlfn.CONCAT("D_S_",C526))=1, COUNTIF(damper_names,_xlfn.CONCAT("D_E_",C526))=1), "C", "")</f>
        <v/>
      </c>
      <c r="E526" t="str">
        <f t="shared" ca="1" si="25"/>
        <v/>
      </c>
      <c r="F526" t="str">
        <f t="shared" ca="1" si="26"/>
        <v/>
      </c>
      <c r="G526" t="str">
        <f t="shared" ca="1" si="27"/>
        <v/>
      </c>
      <c r="H526" t="str">
        <f t="shared" ca="1" si="28"/>
        <v/>
      </c>
      <c r="I526" t="str">
        <f t="shared" ca="1" si="29"/>
        <v/>
      </c>
    </row>
    <row r="527" spans="1:9" x14ac:dyDescent="0.25">
      <c r="A527" s="1"/>
      <c r="D527" t="str" cm="1">
        <f t="array" aca="1" ref="D527" ca="1">IF(OR(COUNTIF(damper_names,_xlfn.CONCAT("D_S_",C527))=1, COUNTIF(damper_names,_xlfn.CONCAT("D_E_",C527))=1), "C", "")</f>
        <v/>
      </c>
      <c r="E527" t="str">
        <f t="shared" ca="1" si="25"/>
        <v/>
      </c>
      <c r="F527" t="str">
        <f t="shared" ca="1" si="26"/>
        <v/>
      </c>
      <c r="G527" t="str">
        <f t="shared" ca="1" si="27"/>
        <v/>
      </c>
      <c r="H527" t="str">
        <f t="shared" ca="1" si="28"/>
        <v/>
      </c>
      <c r="I527" t="str">
        <f t="shared" ca="1" si="29"/>
        <v/>
      </c>
    </row>
    <row r="528" spans="1:9" x14ac:dyDescent="0.25">
      <c r="A528" s="1"/>
      <c r="D528" t="str" cm="1">
        <f t="array" aca="1" ref="D528" ca="1">IF(OR(COUNTIF(damper_names,_xlfn.CONCAT("D_S_",C528))=1, COUNTIF(damper_names,_xlfn.CONCAT("D_E_",C528))=1), "C", "")</f>
        <v/>
      </c>
      <c r="E528" t="str">
        <f t="shared" ca="1" si="25"/>
        <v/>
      </c>
      <c r="F528" t="str">
        <f t="shared" ca="1" si="26"/>
        <v/>
      </c>
      <c r="G528" t="str">
        <f t="shared" ca="1" si="27"/>
        <v/>
      </c>
      <c r="H528" t="str">
        <f t="shared" ca="1" si="28"/>
        <v/>
      </c>
      <c r="I528" t="str">
        <f t="shared" ca="1" si="29"/>
        <v/>
      </c>
    </row>
    <row r="529" spans="1:9" x14ac:dyDescent="0.25">
      <c r="A529" s="1"/>
      <c r="D529" t="str" cm="1">
        <f t="array" aca="1" ref="D529" ca="1">IF(OR(COUNTIF(damper_names,_xlfn.CONCAT("D_S_",C529))=1, COUNTIF(damper_names,_xlfn.CONCAT("D_E_",C529))=1), "C", "")</f>
        <v/>
      </c>
      <c r="E529" t="str">
        <f t="shared" ca="1" si="25"/>
        <v/>
      </c>
      <c r="F529" t="str">
        <f t="shared" ca="1" si="26"/>
        <v/>
      </c>
      <c r="G529" t="str">
        <f t="shared" ca="1" si="27"/>
        <v/>
      </c>
      <c r="H529" t="str">
        <f t="shared" ca="1" si="28"/>
        <v/>
      </c>
      <c r="I529" t="str">
        <f t="shared" ca="1" si="29"/>
        <v/>
      </c>
    </row>
    <row r="530" spans="1:9" x14ac:dyDescent="0.25">
      <c r="A530" s="1"/>
      <c r="D530" t="str" cm="1">
        <f t="array" aca="1" ref="D530" ca="1">IF(OR(COUNTIF(damper_names,_xlfn.CONCAT("D_S_",C530))=1, COUNTIF(damper_names,_xlfn.CONCAT("D_E_",C530))=1), "C", "")</f>
        <v/>
      </c>
      <c r="E530" t="str">
        <f t="shared" ca="1" si="25"/>
        <v/>
      </c>
      <c r="F530" t="str">
        <f t="shared" ca="1" si="26"/>
        <v/>
      </c>
      <c r="G530" t="str">
        <f t="shared" ca="1" si="27"/>
        <v/>
      </c>
      <c r="H530" t="str">
        <f t="shared" ca="1" si="28"/>
        <v/>
      </c>
      <c r="I530" t="str">
        <f t="shared" ca="1" si="29"/>
        <v/>
      </c>
    </row>
    <row r="531" spans="1:9" x14ac:dyDescent="0.25">
      <c r="A531" s="1"/>
      <c r="D531" t="str" cm="1">
        <f t="array" aca="1" ref="D531" ca="1">IF(OR(COUNTIF(damper_names,_xlfn.CONCAT("D_S_",C531))=1, COUNTIF(damper_names,_xlfn.CONCAT("D_E_",C531))=1), "C", "")</f>
        <v/>
      </c>
      <c r="E531" t="str">
        <f t="shared" ca="1" si="25"/>
        <v/>
      </c>
      <c r="F531" t="str">
        <f t="shared" ca="1" si="26"/>
        <v/>
      </c>
      <c r="G531" t="str">
        <f t="shared" ca="1" si="27"/>
        <v/>
      </c>
      <c r="H531" t="str">
        <f t="shared" ca="1" si="28"/>
        <v/>
      </c>
      <c r="I531" t="str">
        <f t="shared" ca="1" si="29"/>
        <v/>
      </c>
    </row>
    <row r="532" spans="1:9" x14ac:dyDescent="0.25">
      <c r="A532" s="1"/>
      <c r="D532" t="str" cm="1">
        <f t="array" aca="1" ref="D532" ca="1">IF(OR(COUNTIF(damper_names,_xlfn.CONCAT("D_S_",C532))=1, COUNTIF(damper_names,_xlfn.CONCAT("D_E_",C532))=1), "C", "")</f>
        <v/>
      </c>
      <c r="E532" t="str">
        <f t="shared" ca="1" si="25"/>
        <v/>
      </c>
      <c r="F532" t="str">
        <f t="shared" ca="1" si="26"/>
        <v/>
      </c>
      <c r="G532" t="str">
        <f t="shared" ca="1" si="27"/>
        <v/>
      </c>
      <c r="H532" t="str">
        <f t="shared" ca="1" si="28"/>
        <v/>
      </c>
      <c r="I532" t="str">
        <f t="shared" ca="1" si="29"/>
        <v/>
      </c>
    </row>
    <row r="533" spans="1:9" x14ac:dyDescent="0.25">
      <c r="A533" s="1"/>
      <c r="D533" t="str" cm="1">
        <f t="array" aca="1" ref="D533" ca="1">IF(OR(COUNTIF(damper_names,_xlfn.CONCAT("D_S_",C533))=1, COUNTIF(damper_names,_xlfn.CONCAT("D_E_",C533))=1), "C", "")</f>
        <v/>
      </c>
      <c r="E533" t="str">
        <f t="shared" ca="1" si="25"/>
        <v/>
      </c>
      <c r="F533" t="str">
        <f t="shared" ca="1" si="26"/>
        <v/>
      </c>
      <c r="G533" t="str">
        <f t="shared" ca="1" si="27"/>
        <v/>
      </c>
      <c r="H533" t="str">
        <f t="shared" ca="1" si="28"/>
        <v/>
      </c>
      <c r="I533" t="str">
        <f t="shared" ca="1" si="29"/>
        <v/>
      </c>
    </row>
    <row r="534" spans="1:9" x14ac:dyDescent="0.25">
      <c r="A534" s="1"/>
      <c r="D534" t="str" cm="1">
        <f t="array" aca="1" ref="D534" ca="1">IF(OR(COUNTIF(damper_names,_xlfn.CONCAT("D_S_",C534))=1, COUNTIF(damper_names,_xlfn.CONCAT("D_E_",C534))=1), "C", "")</f>
        <v/>
      </c>
      <c r="E534" t="str">
        <f t="shared" ca="1" si="25"/>
        <v/>
      </c>
      <c r="F534" t="str">
        <f t="shared" ca="1" si="26"/>
        <v/>
      </c>
      <c r="G534" t="str">
        <f t="shared" ca="1" si="27"/>
        <v/>
      </c>
      <c r="H534" t="str">
        <f t="shared" ca="1" si="28"/>
        <v/>
      </c>
      <c r="I534" t="str">
        <f t="shared" ca="1" si="29"/>
        <v/>
      </c>
    </row>
    <row r="535" spans="1:9" x14ac:dyDescent="0.25">
      <c r="A535" s="1"/>
      <c r="D535" t="str" cm="1">
        <f t="array" aca="1" ref="D535" ca="1">IF(OR(COUNTIF(damper_names,_xlfn.CONCAT("D_S_",C535))=1, COUNTIF(damper_names,_xlfn.CONCAT("D_E_",C535))=1), "C", "")</f>
        <v/>
      </c>
      <c r="E535" t="str">
        <f t="shared" ca="1" si="25"/>
        <v/>
      </c>
      <c r="F535" t="str">
        <f t="shared" ca="1" si="26"/>
        <v/>
      </c>
      <c r="G535" t="str">
        <f t="shared" ca="1" si="27"/>
        <v/>
      </c>
      <c r="H535" t="str">
        <f t="shared" ca="1" si="28"/>
        <v/>
      </c>
      <c r="I535" t="str">
        <f t="shared" ca="1" si="29"/>
        <v/>
      </c>
    </row>
    <row r="536" spans="1:9" x14ac:dyDescent="0.25">
      <c r="A536" s="1"/>
      <c r="D536" t="str" cm="1">
        <f t="array" aca="1" ref="D536" ca="1">IF(OR(COUNTIF(damper_names,_xlfn.CONCAT("D_S_",C536))=1, COUNTIF(damper_names,_xlfn.CONCAT("D_E_",C536))=1), "C", "")</f>
        <v/>
      </c>
      <c r="E536" t="str">
        <f t="shared" ca="1" si="25"/>
        <v/>
      </c>
      <c r="F536" t="str">
        <f t="shared" ca="1" si="26"/>
        <v/>
      </c>
      <c r="G536" t="str">
        <f t="shared" ca="1" si="27"/>
        <v/>
      </c>
      <c r="H536" t="str">
        <f t="shared" ca="1" si="28"/>
        <v/>
      </c>
      <c r="I536" t="str">
        <f t="shared" ca="1" si="29"/>
        <v/>
      </c>
    </row>
    <row r="537" spans="1:9" x14ac:dyDescent="0.25">
      <c r="A537" s="1"/>
      <c r="D537" t="str" cm="1">
        <f t="array" aca="1" ref="D537" ca="1">IF(OR(COUNTIF(damper_names,_xlfn.CONCAT("D_S_",C537))=1, COUNTIF(damper_names,_xlfn.CONCAT("D_E_",C537))=1), "C", "")</f>
        <v/>
      </c>
      <c r="E537" t="str">
        <f t="shared" ca="1" si="25"/>
        <v/>
      </c>
      <c r="F537" t="str">
        <f t="shared" ca="1" si="26"/>
        <v/>
      </c>
      <c r="G537" t="str">
        <f t="shared" ca="1" si="27"/>
        <v/>
      </c>
      <c r="H537" t="str">
        <f t="shared" ca="1" si="28"/>
        <v/>
      </c>
      <c r="I537" t="str">
        <f t="shared" ca="1" si="29"/>
        <v/>
      </c>
    </row>
    <row r="538" spans="1:9" x14ac:dyDescent="0.25">
      <c r="A538" s="1"/>
      <c r="D538" t="str" cm="1">
        <f t="array" aca="1" ref="D538" ca="1">IF(OR(COUNTIF(damper_names,_xlfn.CONCAT("D_S_",C538))=1, COUNTIF(damper_names,_xlfn.CONCAT("D_E_",C538))=1), "C", "")</f>
        <v/>
      </c>
      <c r="E538" t="str">
        <f t="shared" ca="1" si="25"/>
        <v/>
      </c>
      <c r="F538" t="str">
        <f t="shared" ca="1" si="26"/>
        <v/>
      </c>
      <c r="G538" t="str">
        <f t="shared" ca="1" si="27"/>
        <v/>
      </c>
      <c r="H538" t="str">
        <f t="shared" ca="1" si="28"/>
        <v/>
      </c>
      <c r="I538" t="str">
        <f t="shared" ca="1" si="29"/>
        <v/>
      </c>
    </row>
    <row r="539" spans="1:9" x14ac:dyDescent="0.25">
      <c r="A539" s="1"/>
      <c r="D539" t="str" cm="1">
        <f t="array" aca="1" ref="D539" ca="1">IF(OR(COUNTIF(damper_names,_xlfn.CONCAT("D_S_",C539))=1, COUNTIF(damper_names,_xlfn.CONCAT("D_E_",C539))=1), "C", "")</f>
        <v/>
      </c>
      <c r="E539" t="str">
        <f t="shared" ca="1" si="25"/>
        <v/>
      </c>
      <c r="F539" t="str">
        <f t="shared" ca="1" si="26"/>
        <v/>
      </c>
      <c r="G539" t="str">
        <f t="shared" ca="1" si="27"/>
        <v/>
      </c>
      <c r="H539" t="str">
        <f t="shared" ca="1" si="28"/>
        <v/>
      </c>
      <c r="I539" t="str">
        <f t="shared" ca="1" si="29"/>
        <v/>
      </c>
    </row>
    <row r="540" spans="1:9" x14ac:dyDescent="0.25">
      <c r="A540" s="1"/>
      <c r="D540" t="str" cm="1">
        <f t="array" aca="1" ref="D540" ca="1">IF(OR(COUNTIF(damper_names,_xlfn.CONCAT("D_S_",C540))=1, COUNTIF(damper_names,_xlfn.CONCAT("D_E_",C540))=1), "C", "")</f>
        <v/>
      </c>
      <c r="E540" t="str">
        <f t="shared" ca="1" si="25"/>
        <v/>
      </c>
      <c r="F540" t="str">
        <f t="shared" ca="1" si="26"/>
        <v/>
      </c>
      <c r="G540" t="str">
        <f t="shared" ca="1" si="27"/>
        <v/>
      </c>
      <c r="H540" t="str">
        <f t="shared" ca="1" si="28"/>
        <v/>
      </c>
      <c r="I540" t="str">
        <f t="shared" ca="1" si="29"/>
        <v/>
      </c>
    </row>
    <row r="541" spans="1:9" x14ac:dyDescent="0.25">
      <c r="A541" s="1"/>
      <c r="D541" t="str" cm="1">
        <f t="array" aca="1" ref="D541" ca="1">IF(OR(COUNTIF(damper_names,_xlfn.CONCAT("D_S_",C541))=1, COUNTIF(damper_names,_xlfn.CONCAT("D_E_",C541))=1), "C", "")</f>
        <v/>
      </c>
      <c r="E541" t="str">
        <f t="shared" ca="1" si="25"/>
        <v/>
      </c>
      <c r="F541" t="str">
        <f t="shared" ca="1" si="26"/>
        <v/>
      </c>
      <c r="G541" t="str">
        <f t="shared" ca="1" si="27"/>
        <v/>
      </c>
      <c r="H541" t="str">
        <f t="shared" ca="1" si="28"/>
        <v/>
      </c>
      <c r="I541" t="str">
        <f t="shared" ca="1" si="29"/>
        <v/>
      </c>
    </row>
    <row r="542" spans="1:9" x14ac:dyDescent="0.25">
      <c r="A542" s="1"/>
      <c r="D542" t="str" cm="1">
        <f t="array" aca="1" ref="D542" ca="1">IF(OR(COUNTIF(damper_names,_xlfn.CONCAT("D_S_",C542))=1, COUNTIF(damper_names,_xlfn.CONCAT("D_E_",C542))=1), "C", "")</f>
        <v/>
      </c>
      <c r="E542" t="str">
        <f t="shared" ca="1" si="25"/>
        <v/>
      </c>
      <c r="F542" t="str">
        <f t="shared" ca="1" si="26"/>
        <v/>
      </c>
      <c r="G542" t="str">
        <f t="shared" ca="1" si="27"/>
        <v/>
      </c>
      <c r="H542" t="str">
        <f t="shared" ca="1" si="28"/>
        <v/>
      </c>
      <c r="I542" t="str">
        <f t="shared" ca="1" si="29"/>
        <v/>
      </c>
    </row>
    <row r="543" spans="1:9" x14ac:dyDescent="0.25">
      <c r="A543" s="1"/>
      <c r="D543" t="str" cm="1">
        <f t="array" aca="1" ref="D543" ca="1">IF(OR(COUNTIF(damper_names,_xlfn.CONCAT("D_S_",C543))=1, COUNTIF(damper_names,_xlfn.CONCAT("D_E_",C543))=1), "C", "")</f>
        <v/>
      </c>
      <c r="E543" t="str">
        <f t="shared" ca="1" si="25"/>
        <v/>
      </c>
      <c r="F543" t="str">
        <f t="shared" ca="1" si="26"/>
        <v/>
      </c>
      <c r="G543" t="str">
        <f t="shared" ca="1" si="27"/>
        <v/>
      </c>
      <c r="H543" t="str">
        <f t="shared" ca="1" si="28"/>
        <v/>
      </c>
      <c r="I543" t="str">
        <f t="shared" ca="1" si="29"/>
        <v/>
      </c>
    </row>
    <row r="544" spans="1:9" x14ac:dyDescent="0.25">
      <c r="A544" s="1"/>
      <c r="D544" t="str" cm="1">
        <f t="array" aca="1" ref="D544" ca="1">IF(OR(COUNTIF(damper_names,_xlfn.CONCAT("D_S_",C544))=1, COUNTIF(damper_names,_xlfn.CONCAT("D_E_",C544))=1), "C", "")</f>
        <v/>
      </c>
      <c r="E544" t="str">
        <f t="shared" ca="1" si="25"/>
        <v/>
      </c>
      <c r="F544" t="str">
        <f t="shared" ca="1" si="26"/>
        <v/>
      </c>
      <c r="G544" t="str">
        <f t="shared" ca="1" si="27"/>
        <v/>
      </c>
      <c r="H544" t="str">
        <f t="shared" ca="1" si="28"/>
        <v/>
      </c>
      <c r="I544" t="str">
        <f t="shared" ca="1" si="29"/>
        <v/>
      </c>
    </row>
    <row r="545" spans="1:9" x14ac:dyDescent="0.25">
      <c r="A545" s="1"/>
      <c r="D545" t="str" cm="1">
        <f t="array" aca="1" ref="D545" ca="1">IF(OR(COUNTIF(damper_names,_xlfn.CONCAT("D_S_",C545))=1, COUNTIF(damper_names,_xlfn.CONCAT("D_E_",C545))=1), "C", "")</f>
        <v/>
      </c>
      <c r="E545" t="str">
        <f t="shared" ca="1" si="25"/>
        <v/>
      </c>
      <c r="F545" t="str">
        <f t="shared" ca="1" si="26"/>
        <v/>
      </c>
      <c r="G545" t="str">
        <f t="shared" ca="1" si="27"/>
        <v/>
      </c>
      <c r="H545" t="str">
        <f t="shared" ca="1" si="28"/>
        <v/>
      </c>
      <c r="I545" t="str">
        <f t="shared" ca="1" si="29"/>
        <v/>
      </c>
    </row>
    <row r="546" spans="1:9" x14ac:dyDescent="0.25">
      <c r="A546" s="1"/>
      <c r="D546" t="str" cm="1">
        <f t="array" aca="1" ref="D546" ca="1">IF(OR(COUNTIF(damper_names,_xlfn.CONCAT("D_S_",C546))=1, COUNTIF(damper_names,_xlfn.CONCAT("D_E_",C546))=1), "C", "")</f>
        <v/>
      </c>
      <c r="E546" t="str">
        <f t="shared" ca="1" si="25"/>
        <v/>
      </c>
      <c r="F546" t="str">
        <f t="shared" ca="1" si="26"/>
        <v/>
      </c>
      <c r="G546" t="str">
        <f t="shared" ca="1" si="27"/>
        <v/>
      </c>
      <c r="H546" t="str">
        <f t="shared" ca="1" si="28"/>
        <v/>
      </c>
      <c r="I546" t="str">
        <f t="shared" ca="1" si="29"/>
        <v/>
      </c>
    </row>
    <row r="547" spans="1:9" x14ac:dyDescent="0.25">
      <c r="A547" s="1"/>
      <c r="D547" t="str" cm="1">
        <f t="array" aca="1" ref="D547" ca="1">IF(OR(COUNTIF(damper_names,_xlfn.CONCAT("D_S_",C547))=1, COUNTIF(damper_names,_xlfn.CONCAT("D_E_",C547))=1), "C", "")</f>
        <v/>
      </c>
      <c r="E547" t="str">
        <f t="shared" ca="1" si="25"/>
        <v/>
      </c>
      <c r="F547" t="str">
        <f t="shared" ca="1" si="26"/>
        <v/>
      </c>
      <c r="G547" t="str">
        <f t="shared" ca="1" si="27"/>
        <v/>
      </c>
      <c r="H547" t="str">
        <f t="shared" ca="1" si="28"/>
        <v/>
      </c>
      <c r="I547" t="str">
        <f t="shared" ca="1" si="29"/>
        <v/>
      </c>
    </row>
    <row r="548" spans="1:9" x14ac:dyDescent="0.25">
      <c r="A548" s="1"/>
      <c r="D548" t="str" cm="1">
        <f t="array" aca="1" ref="D548" ca="1">IF(OR(COUNTIF(damper_names,_xlfn.CONCAT("D_S_",C548))=1, COUNTIF(damper_names,_xlfn.CONCAT("D_E_",C548))=1), "C", "")</f>
        <v/>
      </c>
      <c r="E548" t="str">
        <f t="shared" ca="1" si="25"/>
        <v/>
      </c>
      <c r="F548" t="str">
        <f t="shared" ca="1" si="26"/>
        <v/>
      </c>
      <c r="G548" t="str">
        <f t="shared" ca="1" si="27"/>
        <v/>
      </c>
      <c r="H548" t="str">
        <f t="shared" ca="1" si="28"/>
        <v/>
      </c>
      <c r="I548" t="str">
        <f t="shared" ca="1" si="29"/>
        <v/>
      </c>
    </row>
    <row r="549" spans="1:9" x14ac:dyDescent="0.25">
      <c r="A549" s="1"/>
      <c r="D549" t="str" cm="1">
        <f t="array" aca="1" ref="D549" ca="1">IF(OR(COUNTIF(damper_names,_xlfn.CONCAT("D_S_",C549))=1, COUNTIF(damper_names,_xlfn.CONCAT("D_E_",C549))=1), "C", "")</f>
        <v/>
      </c>
      <c r="E549" t="str">
        <f t="shared" ca="1" si="25"/>
        <v/>
      </c>
      <c r="F549" t="str">
        <f t="shared" ca="1" si="26"/>
        <v/>
      </c>
      <c r="G549" t="str">
        <f t="shared" ca="1" si="27"/>
        <v/>
      </c>
      <c r="H549" t="str">
        <f t="shared" ca="1" si="28"/>
        <v/>
      </c>
      <c r="I549" t="str">
        <f t="shared" ca="1" si="29"/>
        <v/>
      </c>
    </row>
    <row r="550" spans="1:9" x14ac:dyDescent="0.25">
      <c r="A550" s="1"/>
      <c r="D550" t="str" cm="1">
        <f t="array" aca="1" ref="D550" ca="1">IF(OR(COUNTIF(damper_names,_xlfn.CONCAT("D_S_",C550))=1, COUNTIF(damper_names,_xlfn.CONCAT("D_E_",C550))=1), "C", "")</f>
        <v/>
      </c>
      <c r="E550" t="str">
        <f t="shared" ca="1" si="25"/>
        <v/>
      </c>
      <c r="F550" t="str">
        <f t="shared" ca="1" si="26"/>
        <v/>
      </c>
      <c r="G550" t="str">
        <f t="shared" ca="1" si="27"/>
        <v/>
      </c>
      <c r="H550" t="str">
        <f t="shared" ca="1" si="28"/>
        <v/>
      </c>
      <c r="I550" t="str">
        <f t="shared" ca="1" si="29"/>
        <v/>
      </c>
    </row>
    <row r="551" spans="1:9" x14ac:dyDescent="0.25">
      <c r="A551" s="1"/>
      <c r="D551" t="str" cm="1">
        <f t="array" aca="1" ref="D551" ca="1">IF(OR(COUNTIF(damper_names,_xlfn.CONCAT("D_S_",C551))=1, COUNTIF(damper_names,_xlfn.CONCAT("D_E_",C551))=1), "C", "")</f>
        <v/>
      </c>
      <c r="E551" t="str">
        <f t="shared" ca="1" si="25"/>
        <v/>
      </c>
      <c r="F551" t="str">
        <f t="shared" ca="1" si="26"/>
        <v/>
      </c>
      <c r="G551" t="str">
        <f t="shared" ca="1" si="27"/>
        <v/>
      </c>
      <c r="H551" t="str">
        <f t="shared" ca="1" si="28"/>
        <v/>
      </c>
      <c r="I551" t="str">
        <f t="shared" ca="1" si="29"/>
        <v/>
      </c>
    </row>
    <row r="552" spans="1:9" x14ac:dyDescent="0.25">
      <c r="A552" s="1"/>
      <c r="D552" t="str" cm="1">
        <f t="array" aca="1" ref="D552" ca="1">IF(OR(COUNTIF(damper_names,_xlfn.CONCAT("D_S_",C552))=1, COUNTIF(damper_names,_xlfn.CONCAT("D_E_",C552))=1), "C", "")</f>
        <v/>
      </c>
      <c r="E552" t="str">
        <f t="shared" ca="1" si="25"/>
        <v/>
      </c>
      <c r="F552" t="str">
        <f t="shared" ca="1" si="26"/>
        <v/>
      </c>
      <c r="G552" t="str">
        <f t="shared" ca="1" si="27"/>
        <v/>
      </c>
      <c r="H552" t="str">
        <f t="shared" ca="1" si="28"/>
        <v/>
      </c>
      <c r="I552" t="str">
        <f t="shared" ca="1" si="29"/>
        <v/>
      </c>
    </row>
    <row r="553" spans="1:9" x14ac:dyDescent="0.25">
      <c r="A553" s="1"/>
      <c r="D553" t="str" cm="1">
        <f t="array" aca="1" ref="D553" ca="1">IF(OR(COUNTIF(damper_names,_xlfn.CONCAT("D_S_",C553))=1, COUNTIF(damper_names,_xlfn.CONCAT("D_E_",C553))=1), "C", "")</f>
        <v/>
      </c>
      <c r="E553" t="str">
        <f t="shared" ca="1" si="25"/>
        <v/>
      </c>
      <c r="F553" t="str">
        <f t="shared" ca="1" si="26"/>
        <v/>
      </c>
      <c r="G553" t="str">
        <f t="shared" ca="1" si="27"/>
        <v/>
      </c>
      <c r="H553" t="str">
        <f t="shared" ca="1" si="28"/>
        <v/>
      </c>
      <c r="I553" t="str">
        <f t="shared" ca="1" si="29"/>
        <v/>
      </c>
    </row>
    <row r="554" spans="1:9" x14ac:dyDescent="0.25">
      <c r="A554" s="1"/>
      <c r="D554" t="str" cm="1">
        <f t="array" aca="1" ref="D554" ca="1">IF(OR(COUNTIF(damper_names,_xlfn.CONCAT("D_S_",C554))=1, COUNTIF(damper_names,_xlfn.CONCAT("D_E_",C554))=1), "C", "")</f>
        <v/>
      </c>
      <c r="E554" t="str">
        <f t="shared" ca="1" si="25"/>
        <v/>
      </c>
      <c r="F554" t="str">
        <f t="shared" ca="1" si="26"/>
        <v/>
      </c>
      <c r="G554" t="str">
        <f t="shared" ca="1" si="27"/>
        <v/>
      </c>
      <c r="H554" t="str">
        <f t="shared" ca="1" si="28"/>
        <v/>
      </c>
      <c r="I554" t="str">
        <f t="shared" ca="1" si="29"/>
        <v/>
      </c>
    </row>
    <row r="555" spans="1:9" x14ac:dyDescent="0.25">
      <c r="A555" s="1"/>
      <c r="D555" t="str" cm="1">
        <f t="array" aca="1" ref="D555" ca="1">IF(OR(COUNTIF(damper_names,_xlfn.CONCAT("D_S_",C555))=1, COUNTIF(damper_names,_xlfn.CONCAT("D_E_",C555))=1), "C", "")</f>
        <v/>
      </c>
      <c r="E555" t="str">
        <f t="shared" ca="1" si="25"/>
        <v/>
      </c>
      <c r="F555" t="str">
        <f t="shared" ca="1" si="26"/>
        <v/>
      </c>
      <c r="G555" t="str">
        <f t="shared" ca="1" si="27"/>
        <v/>
      </c>
      <c r="H555" t="str">
        <f t="shared" ca="1" si="28"/>
        <v/>
      </c>
      <c r="I555" t="str">
        <f t="shared" ca="1" si="29"/>
        <v/>
      </c>
    </row>
    <row r="556" spans="1:9" x14ac:dyDescent="0.25">
      <c r="A556" s="1"/>
      <c r="D556" t="str" cm="1">
        <f t="array" aca="1" ref="D556" ca="1">IF(OR(COUNTIF(damper_names,_xlfn.CONCAT("D_S_",C556))=1, COUNTIF(damper_names,_xlfn.CONCAT("D_E_",C556))=1), "C", "")</f>
        <v/>
      </c>
      <c r="E556" t="str">
        <f t="shared" ca="1" si="25"/>
        <v/>
      </c>
      <c r="F556" t="str">
        <f t="shared" ca="1" si="26"/>
        <v/>
      </c>
      <c r="G556" t="str">
        <f t="shared" ca="1" si="27"/>
        <v/>
      </c>
      <c r="H556" t="str">
        <f t="shared" ca="1" si="28"/>
        <v/>
      </c>
      <c r="I556" t="str">
        <f t="shared" ca="1" si="29"/>
        <v/>
      </c>
    </row>
    <row r="557" spans="1:9" x14ac:dyDescent="0.25">
      <c r="A557" s="1"/>
      <c r="D557" t="str" cm="1">
        <f t="array" aca="1" ref="D557" ca="1">IF(OR(COUNTIF(damper_names,_xlfn.CONCAT("D_S_",C557))=1, COUNTIF(damper_names,_xlfn.CONCAT("D_E_",C557))=1), "C", "")</f>
        <v/>
      </c>
      <c r="E557" t="str">
        <f t="shared" ca="1" si="25"/>
        <v/>
      </c>
      <c r="F557" t="str">
        <f t="shared" ca="1" si="26"/>
        <v/>
      </c>
      <c r="G557" t="str">
        <f t="shared" ca="1" si="27"/>
        <v/>
      </c>
      <c r="H557" t="str">
        <f t="shared" ca="1" si="28"/>
        <v/>
      </c>
      <c r="I557" t="str">
        <f t="shared" ca="1" si="29"/>
        <v/>
      </c>
    </row>
    <row r="558" spans="1:9" x14ac:dyDescent="0.25">
      <c r="A558" s="1"/>
      <c r="D558" t="str" cm="1">
        <f t="array" aca="1" ref="D558" ca="1">IF(OR(COUNTIF(damper_names,_xlfn.CONCAT("D_S_",C558))=1, COUNTIF(damper_names,_xlfn.CONCAT("D_E_",C558))=1), "C", "")</f>
        <v/>
      </c>
      <c r="E558" t="str">
        <f t="shared" ca="1" si="25"/>
        <v/>
      </c>
      <c r="F558" t="str">
        <f t="shared" ca="1" si="26"/>
        <v/>
      </c>
      <c r="G558" t="str">
        <f t="shared" ca="1" si="27"/>
        <v/>
      </c>
      <c r="H558" t="str">
        <f t="shared" ca="1" si="28"/>
        <v/>
      </c>
      <c r="I558" t="str">
        <f t="shared" ca="1" si="29"/>
        <v/>
      </c>
    </row>
    <row r="559" spans="1:9" x14ac:dyDescent="0.25">
      <c r="A559" s="1"/>
      <c r="D559" t="str" cm="1">
        <f t="array" aca="1" ref="D559" ca="1">IF(OR(COUNTIF(damper_names,_xlfn.CONCAT("D_S_",C559))=1, COUNTIF(damper_names,_xlfn.CONCAT("D_E_",C559))=1), "C", "")</f>
        <v/>
      </c>
      <c r="E559" t="str">
        <f t="shared" ca="1" si="25"/>
        <v/>
      </c>
      <c r="F559" t="str">
        <f t="shared" ca="1" si="26"/>
        <v/>
      </c>
      <c r="G559" t="str">
        <f t="shared" ca="1" si="27"/>
        <v/>
      </c>
      <c r="H559" t="str">
        <f t="shared" ca="1" si="28"/>
        <v/>
      </c>
      <c r="I559" t="str">
        <f t="shared" ca="1" si="29"/>
        <v/>
      </c>
    </row>
    <row r="560" spans="1:9" x14ac:dyDescent="0.25">
      <c r="A560" s="1"/>
      <c r="D560" t="str" cm="1">
        <f t="array" aca="1" ref="D560" ca="1">IF(OR(COUNTIF(damper_names,_xlfn.CONCAT("D_S_",C560))=1, COUNTIF(damper_names,_xlfn.CONCAT("D_E_",C560))=1), "C", "")</f>
        <v/>
      </c>
      <c r="E560" t="str">
        <f t="shared" ca="1" si="25"/>
        <v/>
      </c>
      <c r="F560" t="str">
        <f t="shared" ca="1" si="26"/>
        <v/>
      </c>
      <c r="G560" t="str">
        <f t="shared" ca="1" si="27"/>
        <v/>
      </c>
      <c r="H560" t="str">
        <f t="shared" ca="1" si="28"/>
        <v/>
      </c>
      <c r="I560" t="str">
        <f t="shared" ca="1" si="29"/>
        <v/>
      </c>
    </row>
    <row r="561" spans="1:9" x14ac:dyDescent="0.25">
      <c r="A561" s="1"/>
      <c r="D561" t="str" cm="1">
        <f t="array" aca="1" ref="D561" ca="1">IF(OR(COUNTIF(damper_names,_xlfn.CONCAT("D_S_",C561))=1, COUNTIF(damper_names,_xlfn.CONCAT("D_E_",C561))=1), "C", "")</f>
        <v/>
      </c>
      <c r="E561" t="str">
        <f t="shared" ca="1" si="25"/>
        <v/>
      </c>
      <c r="F561" t="str">
        <f t="shared" ca="1" si="26"/>
        <v/>
      </c>
      <c r="G561" t="str">
        <f t="shared" ca="1" si="27"/>
        <v/>
      </c>
      <c r="H561" t="str">
        <f t="shared" ca="1" si="28"/>
        <v/>
      </c>
      <c r="I561" t="str">
        <f t="shared" ca="1" si="29"/>
        <v/>
      </c>
    </row>
    <row r="562" spans="1:9" x14ac:dyDescent="0.25">
      <c r="A562" s="1"/>
      <c r="D562" t="str" cm="1">
        <f t="array" aca="1" ref="D562" ca="1">IF(OR(COUNTIF(damper_names,_xlfn.CONCAT("D_S_",C562))=1, COUNTIF(damper_names,_xlfn.CONCAT("D_E_",C562))=1), "C", "")</f>
        <v/>
      </c>
      <c r="E562" t="str">
        <f t="shared" ca="1" si="25"/>
        <v/>
      </c>
      <c r="F562" t="str">
        <f t="shared" ca="1" si="26"/>
        <v/>
      </c>
      <c r="G562" t="str">
        <f t="shared" ca="1" si="27"/>
        <v/>
      </c>
      <c r="H562" t="str">
        <f t="shared" ca="1" si="28"/>
        <v/>
      </c>
      <c r="I562" t="str">
        <f t="shared" ca="1" si="29"/>
        <v/>
      </c>
    </row>
    <row r="563" spans="1:9" x14ac:dyDescent="0.25">
      <c r="A563" s="1"/>
      <c r="D563" t="str" cm="1">
        <f t="array" aca="1" ref="D563" ca="1">IF(OR(COUNTIF(damper_names,_xlfn.CONCAT("D_S_",C563))=1, COUNTIF(damper_names,_xlfn.CONCAT("D_E_",C563))=1), "C", "")</f>
        <v/>
      </c>
      <c r="E563" t="str">
        <f t="shared" ref="E563:E626" ca="1" si="30">IF(D563="T", 0.05, IF(D563="C", -0.01, ""))</f>
        <v/>
      </c>
      <c r="F563" t="str">
        <f t="shared" ref="F563:F626" ca="1" si="31">IF(D563="T", 0.05, IF(D563="C", 0, ""))</f>
        <v/>
      </c>
      <c r="G563" t="str">
        <f t="shared" ref="G563:G626" ca="1" si="32">IF(D563="T", 0, IF(D563="C", 0, ""))</f>
        <v/>
      </c>
      <c r="H563" t="str">
        <f t="shared" ref="H563:H626" ca="1" si="33">IF(D563="T", 0.05, IF(D563="C", 0, ""))</f>
        <v/>
      </c>
      <c r="I563" t="str">
        <f t="shared" ref="I563:I626" ca="1" si="34">IF(D563="T", 0, IF(D563="C", 0, ""))</f>
        <v/>
      </c>
    </row>
    <row r="564" spans="1:9" x14ac:dyDescent="0.25">
      <c r="A564" s="1"/>
      <c r="D564" t="str" cm="1">
        <f t="array" aca="1" ref="D564" ca="1">IF(OR(COUNTIF(damper_names,_xlfn.CONCAT("D_S_",C564))=1, COUNTIF(damper_names,_xlfn.CONCAT("D_E_",C564))=1), "C", "")</f>
        <v/>
      </c>
      <c r="E564" t="str">
        <f t="shared" ca="1" si="30"/>
        <v/>
      </c>
      <c r="F564" t="str">
        <f t="shared" ca="1" si="31"/>
        <v/>
      </c>
      <c r="G564" t="str">
        <f t="shared" ca="1" si="32"/>
        <v/>
      </c>
      <c r="H564" t="str">
        <f t="shared" ca="1" si="33"/>
        <v/>
      </c>
      <c r="I564" t="str">
        <f t="shared" ca="1" si="34"/>
        <v/>
      </c>
    </row>
    <row r="565" spans="1:9" x14ac:dyDescent="0.25">
      <c r="A565" s="1"/>
      <c r="D565" t="str" cm="1">
        <f t="array" aca="1" ref="D565" ca="1">IF(OR(COUNTIF(damper_names,_xlfn.CONCAT("D_S_",C565))=1, COUNTIF(damper_names,_xlfn.CONCAT("D_E_",C565))=1), "C", "")</f>
        <v/>
      </c>
      <c r="E565" t="str">
        <f t="shared" ca="1" si="30"/>
        <v/>
      </c>
      <c r="F565" t="str">
        <f t="shared" ca="1" si="31"/>
        <v/>
      </c>
      <c r="G565" t="str">
        <f t="shared" ca="1" si="32"/>
        <v/>
      </c>
      <c r="H565" t="str">
        <f t="shared" ca="1" si="33"/>
        <v/>
      </c>
      <c r="I565" t="str">
        <f t="shared" ca="1" si="34"/>
        <v/>
      </c>
    </row>
    <row r="566" spans="1:9" x14ac:dyDescent="0.25">
      <c r="A566" s="1"/>
      <c r="D566" t="str" cm="1">
        <f t="array" aca="1" ref="D566" ca="1">IF(OR(COUNTIF(damper_names,_xlfn.CONCAT("D_S_",C566))=1, COUNTIF(damper_names,_xlfn.CONCAT("D_E_",C566))=1), "C", "")</f>
        <v/>
      </c>
      <c r="E566" t="str">
        <f t="shared" ca="1" si="30"/>
        <v/>
      </c>
      <c r="F566" t="str">
        <f t="shared" ca="1" si="31"/>
        <v/>
      </c>
      <c r="G566" t="str">
        <f t="shared" ca="1" si="32"/>
        <v/>
      </c>
      <c r="H566" t="str">
        <f t="shared" ca="1" si="33"/>
        <v/>
      </c>
      <c r="I566" t="str">
        <f t="shared" ca="1" si="34"/>
        <v/>
      </c>
    </row>
    <row r="567" spans="1:9" x14ac:dyDescent="0.25">
      <c r="A567" s="1"/>
      <c r="D567" t="str" cm="1">
        <f t="array" aca="1" ref="D567" ca="1">IF(OR(COUNTIF(damper_names,_xlfn.CONCAT("D_S_",C567))=1, COUNTIF(damper_names,_xlfn.CONCAT("D_E_",C567))=1), "C", "")</f>
        <v/>
      </c>
      <c r="E567" t="str">
        <f t="shared" ca="1" si="30"/>
        <v/>
      </c>
      <c r="F567" t="str">
        <f t="shared" ca="1" si="31"/>
        <v/>
      </c>
      <c r="G567" t="str">
        <f t="shared" ca="1" si="32"/>
        <v/>
      </c>
      <c r="H567" t="str">
        <f t="shared" ca="1" si="33"/>
        <v/>
      </c>
      <c r="I567" t="str">
        <f t="shared" ca="1" si="34"/>
        <v/>
      </c>
    </row>
    <row r="568" spans="1:9" x14ac:dyDescent="0.25">
      <c r="A568" s="1"/>
      <c r="D568" t="str" cm="1">
        <f t="array" aca="1" ref="D568" ca="1">IF(OR(COUNTIF(damper_names,_xlfn.CONCAT("D_S_",C568))=1, COUNTIF(damper_names,_xlfn.CONCAT("D_E_",C568))=1), "C", "")</f>
        <v/>
      </c>
      <c r="E568" t="str">
        <f t="shared" ca="1" si="30"/>
        <v/>
      </c>
      <c r="F568" t="str">
        <f t="shared" ca="1" si="31"/>
        <v/>
      </c>
      <c r="G568" t="str">
        <f t="shared" ca="1" si="32"/>
        <v/>
      </c>
      <c r="H568" t="str">
        <f t="shared" ca="1" si="33"/>
        <v/>
      </c>
      <c r="I568" t="str">
        <f t="shared" ca="1" si="34"/>
        <v/>
      </c>
    </row>
    <row r="569" spans="1:9" x14ac:dyDescent="0.25">
      <c r="A569" s="1"/>
      <c r="D569" t="str" cm="1">
        <f t="array" aca="1" ref="D569" ca="1">IF(OR(COUNTIF(damper_names,_xlfn.CONCAT("D_S_",C569))=1, COUNTIF(damper_names,_xlfn.CONCAT("D_E_",C569))=1), "C", "")</f>
        <v/>
      </c>
      <c r="E569" t="str">
        <f t="shared" ca="1" si="30"/>
        <v/>
      </c>
      <c r="F569" t="str">
        <f t="shared" ca="1" si="31"/>
        <v/>
      </c>
      <c r="G569" t="str">
        <f t="shared" ca="1" si="32"/>
        <v/>
      </c>
      <c r="H569" t="str">
        <f t="shared" ca="1" si="33"/>
        <v/>
      </c>
      <c r="I569" t="str">
        <f t="shared" ca="1" si="34"/>
        <v/>
      </c>
    </row>
    <row r="570" spans="1:9" x14ac:dyDescent="0.25">
      <c r="A570" s="1"/>
      <c r="D570" t="str" cm="1">
        <f t="array" aca="1" ref="D570" ca="1">IF(OR(COUNTIF(damper_names,_xlfn.CONCAT("D_S_",C570))=1, COUNTIF(damper_names,_xlfn.CONCAT("D_E_",C570))=1), "C", "")</f>
        <v/>
      </c>
      <c r="E570" t="str">
        <f t="shared" ca="1" si="30"/>
        <v/>
      </c>
      <c r="F570" t="str">
        <f t="shared" ca="1" si="31"/>
        <v/>
      </c>
      <c r="G570" t="str">
        <f t="shared" ca="1" si="32"/>
        <v/>
      </c>
      <c r="H570" t="str">
        <f t="shared" ca="1" si="33"/>
        <v/>
      </c>
      <c r="I570" t="str">
        <f t="shared" ca="1" si="34"/>
        <v/>
      </c>
    </row>
    <row r="571" spans="1:9" x14ac:dyDescent="0.25">
      <c r="A571" s="1"/>
      <c r="D571" t="str" cm="1">
        <f t="array" aca="1" ref="D571" ca="1">IF(OR(COUNTIF(damper_names,_xlfn.CONCAT("D_S_",C571))=1, COUNTIF(damper_names,_xlfn.CONCAT("D_E_",C571))=1), "C", "")</f>
        <v/>
      </c>
      <c r="E571" t="str">
        <f t="shared" ca="1" si="30"/>
        <v/>
      </c>
      <c r="F571" t="str">
        <f t="shared" ca="1" si="31"/>
        <v/>
      </c>
      <c r="G571" t="str">
        <f t="shared" ca="1" si="32"/>
        <v/>
      </c>
      <c r="H571" t="str">
        <f t="shared" ca="1" si="33"/>
        <v/>
      </c>
      <c r="I571" t="str">
        <f t="shared" ca="1" si="34"/>
        <v/>
      </c>
    </row>
    <row r="572" spans="1:9" x14ac:dyDescent="0.25">
      <c r="A572" s="1"/>
      <c r="D572" t="str" cm="1">
        <f t="array" aca="1" ref="D572" ca="1">IF(OR(COUNTIF(damper_names,_xlfn.CONCAT("D_S_",C572))=1, COUNTIF(damper_names,_xlfn.CONCAT("D_E_",C572))=1), "C", "")</f>
        <v/>
      </c>
      <c r="E572" t="str">
        <f t="shared" ca="1" si="30"/>
        <v/>
      </c>
      <c r="F572" t="str">
        <f t="shared" ca="1" si="31"/>
        <v/>
      </c>
      <c r="G572" t="str">
        <f t="shared" ca="1" si="32"/>
        <v/>
      </c>
      <c r="H572" t="str">
        <f t="shared" ca="1" si="33"/>
        <v/>
      </c>
      <c r="I572" t="str">
        <f t="shared" ca="1" si="34"/>
        <v/>
      </c>
    </row>
    <row r="573" spans="1:9" x14ac:dyDescent="0.25">
      <c r="A573" s="1"/>
      <c r="D573" t="str" cm="1">
        <f t="array" aca="1" ref="D573" ca="1">IF(OR(COUNTIF(damper_names,_xlfn.CONCAT("D_S_",C573))=1, COUNTIF(damper_names,_xlfn.CONCAT("D_E_",C573))=1), "C", "")</f>
        <v/>
      </c>
      <c r="E573" t="str">
        <f t="shared" ca="1" si="30"/>
        <v/>
      </c>
      <c r="F573" t="str">
        <f t="shared" ca="1" si="31"/>
        <v/>
      </c>
      <c r="G573" t="str">
        <f t="shared" ca="1" si="32"/>
        <v/>
      </c>
      <c r="H573" t="str">
        <f t="shared" ca="1" si="33"/>
        <v/>
      </c>
      <c r="I573" t="str">
        <f t="shared" ca="1" si="34"/>
        <v/>
      </c>
    </row>
    <row r="574" spans="1:9" x14ac:dyDescent="0.25">
      <c r="A574" s="1"/>
      <c r="D574" t="str" cm="1">
        <f t="array" aca="1" ref="D574" ca="1">IF(OR(COUNTIF(damper_names,_xlfn.CONCAT("D_S_",C574))=1, COUNTIF(damper_names,_xlfn.CONCAT("D_E_",C574))=1), "C", "")</f>
        <v/>
      </c>
      <c r="E574" t="str">
        <f t="shared" ca="1" si="30"/>
        <v/>
      </c>
      <c r="F574" t="str">
        <f t="shared" ca="1" si="31"/>
        <v/>
      </c>
      <c r="G574" t="str">
        <f t="shared" ca="1" si="32"/>
        <v/>
      </c>
      <c r="H574" t="str">
        <f t="shared" ca="1" si="33"/>
        <v/>
      </c>
      <c r="I574" t="str">
        <f t="shared" ca="1" si="34"/>
        <v/>
      </c>
    </row>
    <row r="575" spans="1:9" x14ac:dyDescent="0.25">
      <c r="A575" s="1"/>
      <c r="D575" t="str" cm="1">
        <f t="array" aca="1" ref="D575" ca="1">IF(OR(COUNTIF(damper_names,_xlfn.CONCAT("D_S_",C575))=1, COUNTIF(damper_names,_xlfn.CONCAT("D_E_",C575))=1), "C", "")</f>
        <v/>
      </c>
      <c r="E575" t="str">
        <f t="shared" ca="1" si="30"/>
        <v/>
      </c>
      <c r="F575" t="str">
        <f t="shared" ca="1" si="31"/>
        <v/>
      </c>
      <c r="G575" t="str">
        <f t="shared" ca="1" si="32"/>
        <v/>
      </c>
      <c r="H575" t="str">
        <f t="shared" ca="1" si="33"/>
        <v/>
      </c>
      <c r="I575" t="str">
        <f t="shared" ca="1" si="34"/>
        <v/>
      </c>
    </row>
    <row r="576" spans="1:9" x14ac:dyDescent="0.25">
      <c r="A576" s="1"/>
      <c r="D576" t="str" cm="1">
        <f t="array" aca="1" ref="D576" ca="1">IF(OR(COUNTIF(damper_names,_xlfn.CONCAT("D_S_",C576))=1, COUNTIF(damper_names,_xlfn.CONCAT("D_E_",C576))=1), "C", "")</f>
        <v/>
      </c>
      <c r="E576" t="str">
        <f t="shared" ca="1" si="30"/>
        <v/>
      </c>
      <c r="F576" t="str">
        <f t="shared" ca="1" si="31"/>
        <v/>
      </c>
      <c r="G576" t="str">
        <f t="shared" ca="1" si="32"/>
        <v/>
      </c>
      <c r="H576" t="str">
        <f t="shared" ca="1" si="33"/>
        <v/>
      </c>
      <c r="I576" t="str">
        <f t="shared" ca="1" si="34"/>
        <v/>
      </c>
    </row>
    <row r="577" spans="1:9" x14ac:dyDescent="0.25">
      <c r="A577" s="1"/>
      <c r="D577" t="str" cm="1">
        <f t="array" aca="1" ref="D577" ca="1">IF(OR(COUNTIF(damper_names,_xlfn.CONCAT("D_S_",C577))=1, COUNTIF(damper_names,_xlfn.CONCAT("D_E_",C577))=1), "C", "")</f>
        <v/>
      </c>
      <c r="E577" t="str">
        <f t="shared" ca="1" si="30"/>
        <v/>
      </c>
      <c r="F577" t="str">
        <f t="shared" ca="1" si="31"/>
        <v/>
      </c>
      <c r="G577" t="str">
        <f t="shared" ca="1" si="32"/>
        <v/>
      </c>
      <c r="H577" t="str">
        <f t="shared" ca="1" si="33"/>
        <v/>
      </c>
      <c r="I577" t="str">
        <f t="shared" ca="1" si="34"/>
        <v/>
      </c>
    </row>
    <row r="578" spans="1:9" x14ac:dyDescent="0.25">
      <c r="A578" s="1"/>
      <c r="D578" t="str" cm="1">
        <f t="array" aca="1" ref="D578" ca="1">IF(OR(COUNTIF(damper_names,_xlfn.CONCAT("D_S_",C578))=1, COUNTIF(damper_names,_xlfn.CONCAT("D_E_",C578))=1), "C", "")</f>
        <v/>
      </c>
      <c r="E578" t="str">
        <f t="shared" ca="1" si="30"/>
        <v/>
      </c>
      <c r="F578" t="str">
        <f t="shared" ca="1" si="31"/>
        <v/>
      </c>
      <c r="G578" t="str">
        <f t="shared" ca="1" si="32"/>
        <v/>
      </c>
      <c r="H578" t="str">
        <f t="shared" ca="1" si="33"/>
        <v/>
      </c>
      <c r="I578" t="str">
        <f t="shared" ca="1" si="34"/>
        <v/>
      </c>
    </row>
    <row r="579" spans="1:9" x14ac:dyDescent="0.25">
      <c r="A579" s="1"/>
      <c r="D579" t="str" cm="1">
        <f t="array" aca="1" ref="D579" ca="1">IF(OR(COUNTIF(damper_names,_xlfn.CONCAT("D_S_",C579))=1, COUNTIF(damper_names,_xlfn.CONCAT("D_E_",C579))=1), "C", "")</f>
        <v/>
      </c>
      <c r="E579" t="str">
        <f t="shared" ca="1" si="30"/>
        <v/>
      </c>
      <c r="F579" t="str">
        <f t="shared" ca="1" si="31"/>
        <v/>
      </c>
      <c r="G579" t="str">
        <f t="shared" ca="1" si="32"/>
        <v/>
      </c>
      <c r="H579" t="str">
        <f t="shared" ca="1" si="33"/>
        <v/>
      </c>
      <c r="I579" t="str">
        <f t="shared" ca="1" si="34"/>
        <v/>
      </c>
    </row>
    <row r="580" spans="1:9" x14ac:dyDescent="0.25">
      <c r="A580" s="1"/>
      <c r="D580" t="str" cm="1">
        <f t="array" aca="1" ref="D580" ca="1">IF(OR(COUNTIF(damper_names,_xlfn.CONCAT("D_S_",C580))=1, COUNTIF(damper_names,_xlfn.CONCAT("D_E_",C580))=1), "C", "")</f>
        <v/>
      </c>
      <c r="E580" t="str">
        <f t="shared" ca="1" si="30"/>
        <v/>
      </c>
      <c r="F580" t="str">
        <f t="shared" ca="1" si="31"/>
        <v/>
      </c>
      <c r="G580" t="str">
        <f t="shared" ca="1" si="32"/>
        <v/>
      </c>
      <c r="H580" t="str">
        <f t="shared" ca="1" si="33"/>
        <v/>
      </c>
      <c r="I580" t="str">
        <f t="shared" ca="1" si="34"/>
        <v/>
      </c>
    </row>
    <row r="581" spans="1:9" x14ac:dyDescent="0.25">
      <c r="A581" s="1"/>
      <c r="D581" t="str" cm="1">
        <f t="array" aca="1" ref="D581" ca="1">IF(OR(COUNTIF(damper_names,_xlfn.CONCAT("D_S_",C581))=1, COUNTIF(damper_names,_xlfn.CONCAT("D_E_",C581))=1), "C", "")</f>
        <v/>
      </c>
      <c r="E581" t="str">
        <f t="shared" ca="1" si="30"/>
        <v/>
      </c>
      <c r="F581" t="str">
        <f t="shared" ca="1" si="31"/>
        <v/>
      </c>
      <c r="G581" t="str">
        <f t="shared" ca="1" si="32"/>
        <v/>
      </c>
      <c r="H581" t="str">
        <f t="shared" ca="1" si="33"/>
        <v/>
      </c>
      <c r="I581" t="str">
        <f t="shared" ca="1" si="34"/>
        <v/>
      </c>
    </row>
    <row r="582" spans="1:9" x14ac:dyDescent="0.25">
      <c r="A582" s="1"/>
      <c r="D582" t="str" cm="1">
        <f t="array" aca="1" ref="D582" ca="1">IF(OR(COUNTIF(damper_names,_xlfn.CONCAT("D_S_",C582))=1, COUNTIF(damper_names,_xlfn.CONCAT("D_E_",C582))=1), "C", "")</f>
        <v/>
      </c>
      <c r="E582" t="str">
        <f t="shared" ca="1" si="30"/>
        <v/>
      </c>
      <c r="F582" t="str">
        <f t="shared" ca="1" si="31"/>
        <v/>
      </c>
      <c r="G582" t="str">
        <f t="shared" ca="1" si="32"/>
        <v/>
      </c>
      <c r="H582" t="str">
        <f t="shared" ca="1" si="33"/>
        <v/>
      </c>
      <c r="I582" t="str">
        <f t="shared" ca="1" si="34"/>
        <v/>
      </c>
    </row>
    <row r="583" spans="1:9" x14ac:dyDescent="0.25">
      <c r="A583" s="1"/>
      <c r="D583" t="str" cm="1">
        <f t="array" aca="1" ref="D583" ca="1">IF(OR(COUNTIF(damper_names,_xlfn.CONCAT("D_S_",C583))=1, COUNTIF(damper_names,_xlfn.CONCAT("D_E_",C583))=1), "C", "")</f>
        <v/>
      </c>
      <c r="E583" t="str">
        <f t="shared" ca="1" si="30"/>
        <v/>
      </c>
      <c r="F583" t="str">
        <f t="shared" ca="1" si="31"/>
        <v/>
      </c>
      <c r="G583" t="str">
        <f t="shared" ca="1" si="32"/>
        <v/>
      </c>
      <c r="H583" t="str">
        <f t="shared" ca="1" si="33"/>
        <v/>
      </c>
      <c r="I583" t="str">
        <f t="shared" ca="1" si="34"/>
        <v/>
      </c>
    </row>
    <row r="584" spans="1:9" x14ac:dyDescent="0.25">
      <c r="A584" s="1"/>
      <c r="D584" t="str" cm="1">
        <f t="array" aca="1" ref="D584" ca="1">IF(OR(COUNTIF(damper_names,_xlfn.CONCAT("D_S_",C584))=1, COUNTIF(damper_names,_xlfn.CONCAT("D_E_",C584))=1), "C", "")</f>
        <v/>
      </c>
      <c r="E584" t="str">
        <f t="shared" ca="1" si="30"/>
        <v/>
      </c>
      <c r="F584" t="str">
        <f t="shared" ca="1" si="31"/>
        <v/>
      </c>
      <c r="G584" t="str">
        <f t="shared" ca="1" si="32"/>
        <v/>
      </c>
      <c r="H584" t="str">
        <f t="shared" ca="1" si="33"/>
        <v/>
      </c>
      <c r="I584" t="str">
        <f t="shared" ca="1" si="34"/>
        <v/>
      </c>
    </row>
    <row r="585" spans="1:9" x14ac:dyDescent="0.25">
      <c r="A585" s="1"/>
      <c r="D585" t="str" cm="1">
        <f t="array" aca="1" ref="D585" ca="1">IF(OR(COUNTIF(damper_names,_xlfn.CONCAT("D_S_",C585))=1, COUNTIF(damper_names,_xlfn.CONCAT("D_E_",C585))=1), "C", "")</f>
        <v/>
      </c>
      <c r="E585" t="str">
        <f t="shared" ca="1" si="30"/>
        <v/>
      </c>
      <c r="F585" t="str">
        <f t="shared" ca="1" si="31"/>
        <v/>
      </c>
      <c r="G585" t="str">
        <f t="shared" ca="1" si="32"/>
        <v/>
      </c>
      <c r="H585" t="str">
        <f t="shared" ca="1" si="33"/>
        <v/>
      </c>
      <c r="I585" t="str">
        <f t="shared" ca="1" si="34"/>
        <v/>
      </c>
    </row>
    <row r="586" spans="1:9" x14ac:dyDescent="0.25">
      <c r="A586" s="1"/>
      <c r="D586" t="str" cm="1">
        <f t="array" aca="1" ref="D586" ca="1">IF(OR(COUNTIF(damper_names,_xlfn.CONCAT("D_S_",C586))=1, COUNTIF(damper_names,_xlfn.CONCAT("D_E_",C586))=1), "C", "")</f>
        <v/>
      </c>
      <c r="E586" t="str">
        <f t="shared" ca="1" si="30"/>
        <v/>
      </c>
      <c r="F586" t="str">
        <f t="shared" ca="1" si="31"/>
        <v/>
      </c>
      <c r="G586" t="str">
        <f t="shared" ca="1" si="32"/>
        <v/>
      </c>
      <c r="H586" t="str">
        <f t="shared" ca="1" si="33"/>
        <v/>
      </c>
      <c r="I586" t="str">
        <f t="shared" ca="1" si="34"/>
        <v/>
      </c>
    </row>
    <row r="587" spans="1:9" x14ac:dyDescent="0.25">
      <c r="A587" s="1"/>
      <c r="D587" t="str" cm="1">
        <f t="array" aca="1" ref="D587" ca="1">IF(OR(COUNTIF(damper_names,_xlfn.CONCAT("D_S_",C587))=1, COUNTIF(damper_names,_xlfn.CONCAT("D_E_",C587))=1), "C", "")</f>
        <v/>
      </c>
      <c r="E587" t="str">
        <f t="shared" ca="1" si="30"/>
        <v/>
      </c>
      <c r="F587" t="str">
        <f t="shared" ca="1" si="31"/>
        <v/>
      </c>
      <c r="G587" t="str">
        <f t="shared" ca="1" si="32"/>
        <v/>
      </c>
      <c r="H587" t="str">
        <f t="shared" ca="1" si="33"/>
        <v/>
      </c>
      <c r="I587" t="str">
        <f t="shared" ca="1" si="34"/>
        <v/>
      </c>
    </row>
    <row r="588" spans="1:9" x14ac:dyDescent="0.25">
      <c r="A588" s="1"/>
      <c r="D588" t="str" cm="1">
        <f t="array" aca="1" ref="D588" ca="1">IF(OR(COUNTIF(damper_names,_xlfn.CONCAT("D_S_",C588))=1, COUNTIF(damper_names,_xlfn.CONCAT("D_E_",C588))=1), "C", "")</f>
        <v/>
      </c>
      <c r="E588" t="str">
        <f t="shared" ca="1" si="30"/>
        <v/>
      </c>
      <c r="F588" t="str">
        <f t="shared" ca="1" si="31"/>
        <v/>
      </c>
      <c r="G588" t="str">
        <f t="shared" ca="1" si="32"/>
        <v/>
      </c>
      <c r="H588" t="str">
        <f t="shared" ca="1" si="33"/>
        <v/>
      </c>
      <c r="I588" t="str">
        <f t="shared" ca="1" si="34"/>
        <v/>
      </c>
    </row>
    <row r="589" spans="1:9" x14ac:dyDescent="0.25">
      <c r="A589" s="1"/>
      <c r="D589" t="str" cm="1">
        <f t="array" aca="1" ref="D589" ca="1">IF(OR(COUNTIF(damper_names,_xlfn.CONCAT("D_S_",C589))=1, COUNTIF(damper_names,_xlfn.CONCAT("D_E_",C589))=1), "C", "")</f>
        <v/>
      </c>
      <c r="E589" t="str">
        <f t="shared" ca="1" si="30"/>
        <v/>
      </c>
      <c r="F589" t="str">
        <f t="shared" ca="1" si="31"/>
        <v/>
      </c>
      <c r="G589" t="str">
        <f t="shared" ca="1" si="32"/>
        <v/>
      </c>
      <c r="H589" t="str">
        <f t="shared" ca="1" si="33"/>
        <v/>
      </c>
      <c r="I589" t="str">
        <f t="shared" ca="1" si="34"/>
        <v/>
      </c>
    </row>
    <row r="590" spans="1:9" x14ac:dyDescent="0.25">
      <c r="A590" s="1"/>
      <c r="D590" t="str" cm="1">
        <f t="array" aca="1" ref="D590" ca="1">IF(OR(COUNTIF(damper_names,_xlfn.CONCAT("D_S_",C590))=1, COUNTIF(damper_names,_xlfn.CONCAT("D_E_",C590))=1), "C", "")</f>
        <v/>
      </c>
      <c r="E590" t="str">
        <f t="shared" ca="1" si="30"/>
        <v/>
      </c>
      <c r="F590" t="str">
        <f t="shared" ca="1" si="31"/>
        <v/>
      </c>
      <c r="G590" t="str">
        <f t="shared" ca="1" si="32"/>
        <v/>
      </c>
      <c r="H590" t="str">
        <f t="shared" ca="1" si="33"/>
        <v/>
      </c>
      <c r="I590" t="str">
        <f t="shared" ca="1" si="34"/>
        <v/>
      </c>
    </row>
    <row r="591" spans="1:9" x14ac:dyDescent="0.25">
      <c r="A591" s="1"/>
      <c r="D591" t="str" cm="1">
        <f t="array" aca="1" ref="D591" ca="1">IF(OR(COUNTIF(damper_names,_xlfn.CONCAT("D_S_",C591))=1, COUNTIF(damper_names,_xlfn.CONCAT("D_E_",C591))=1), "C", "")</f>
        <v/>
      </c>
      <c r="E591" t="str">
        <f t="shared" ca="1" si="30"/>
        <v/>
      </c>
      <c r="F591" t="str">
        <f t="shared" ca="1" si="31"/>
        <v/>
      </c>
      <c r="G591" t="str">
        <f t="shared" ca="1" si="32"/>
        <v/>
      </c>
      <c r="H591" t="str">
        <f t="shared" ca="1" si="33"/>
        <v/>
      </c>
      <c r="I591" t="str">
        <f t="shared" ca="1" si="34"/>
        <v/>
      </c>
    </row>
    <row r="592" spans="1:9" x14ac:dyDescent="0.25">
      <c r="A592" s="1"/>
      <c r="D592" t="str" cm="1">
        <f t="array" aca="1" ref="D592" ca="1">IF(OR(COUNTIF(damper_names,_xlfn.CONCAT("D_S_",C592))=1, COUNTIF(damper_names,_xlfn.CONCAT("D_E_",C592))=1), "C", "")</f>
        <v/>
      </c>
      <c r="E592" t="str">
        <f t="shared" ca="1" si="30"/>
        <v/>
      </c>
      <c r="F592" t="str">
        <f t="shared" ca="1" si="31"/>
        <v/>
      </c>
      <c r="G592" t="str">
        <f t="shared" ca="1" si="32"/>
        <v/>
      </c>
      <c r="H592" t="str">
        <f t="shared" ca="1" si="33"/>
        <v/>
      </c>
      <c r="I592" t="str">
        <f t="shared" ca="1" si="34"/>
        <v/>
      </c>
    </row>
    <row r="593" spans="1:9" x14ac:dyDescent="0.25">
      <c r="A593" s="1"/>
      <c r="D593" t="str" cm="1">
        <f t="array" aca="1" ref="D593" ca="1">IF(OR(COUNTIF(damper_names,_xlfn.CONCAT("D_S_",C593))=1, COUNTIF(damper_names,_xlfn.CONCAT("D_E_",C593))=1), "C", "")</f>
        <v/>
      </c>
      <c r="E593" t="str">
        <f t="shared" ca="1" si="30"/>
        <v/>
      </c>
      <c r="F593" t="str">
        <f t="shared" ca="1" si="31"/>
        <v/>
      </c>
      <c r="G593" t="str">
        <f t="shared" ca="1" si="32"/>
        <v/>
      </c>
      <c r="H593" t="str">
        <f t="shared" ca="1" si="33"/>
        <v/>
      </c>
      <c r="I593" t="str">
        <f t="shared" ca="1" si="34"/>
        <v/>
      </c>
    </row>
    <row r="594" spans="1:9" x14ac:dyDescent="0.25">
      <c r="A594" s="1"/>
      <c r="D594" t="str" cm="1">
        <f t="array" aca="1" ref="D594" ca="1">IF(OR(COUNTIF(damper_names,_xlfn.CONCAT("D_S_",C594))=1, COUNTIF(damper_names,_xlfn.CONCAT("D_E_",C594))=1), "C", "")</f>
        <v/>
      </c>
      <c r="E594" t="str">
        <f t="shared" ca="1" si="30"/>
        <v/>
      </c>
      <c r="F594" t="str">
        <f t="shared" ca="1" si="31"/>
        <v/>
      </c>
      <c r="G594" t="str">
        <f t="shared" ca="1" si="32"/>
        <v/>
      </c>
      <c r="H594" t="str">
        <f t="shared" ca="1" si="33"/>
        <v/>
      </c>
      <c r="I594" t="str">
        <f t="shared" ca="1" si="34"/>
        <v/>
      </c>
    </row>
    <row r="595" spans="1:9" x14ac:dyDescent="0.25">
      <c r="A595" s="1"/>
      <c r="D595" t="str" cm="1">
        <f t="array" aca="1" ref="D595" ca="1">IF(OR(COUNTIF(damper_names,_xlfn.CONCAT("D_S_",C595))=1, COUNTIF(damper_names,_xlfn.CONCAT("D_E_",C595))=1), "C", "")</f>
        <v/>
      </c>
      <c r="E595" t="str">
        <f t="shared" ca="1" si="30"/>
        <v/>
      </c>
      <c r="F595" t="str">
        <f t="shared" ca="1" si="31"/>
        <v/>
      </c>
      <c r="G595" t="str">
        <f t="shared" ca="1" si="32"/>
        <v/>
      </c>
      <c r="H595" t="str">
        <f t="shared" ca="1" si="33"/>
        <v/>
      </c>
      <c r="I595" t="str">
        <f t="shared" ca="1" si="34"/>
        <v/>
      </c>
    </row>
    <row r="596" spans="1:9" x14ac:dyDescent="0.25">
      <c r="A596" s="1"/>
      <c r="D596" t="str" cm="1">
        <f t="array" aca="1" ref="D596" ca="1">IF(OR(COUNTIF(damper_names,_xlfn.CONCAT("D_S_",C596))=1, COUNTIF(damper_names,_xlfn.CONCAT("D_E_",C596))=1), "C", "")</f>
        <v/>
      </c>
      <c r="E596" t="str">
        <f t="shared" ca="1" si="30"/>
        <v/>
      </c>
      <c r="F596" t="str">
        <f t="shared" ca="1" si="31"/>
        <v/>
      </c>
      <c r="G596" t="str">
        <f t="shared" ca="1" si="32"/>
        <v/>
      </c>
      <c r="H596" t="str">
        <f t="shared" ca="1" si="33"/>
        <v/>
      </c>
      <c r="I596" t="str">
        <f t="shared" ca="1" si="34"/>
        <v/>
      </c>
    </row>
    <row r="597" spans="1:9" x14ac:dyDescent="0.25">
      <c r="A597" s="1"/>
      <c r="D597" t="str" cm="1">
        <f t="array" aca="1" ref="D597" ca="1">IF(OR(COUNTIF(damper_names,_xlfn.CONCAT("D_S_",C597))=1, COUNTIF(damper_names,_xlfn.CONCAT("D_E_",C597))=1), "C", "")</f>
        <v/>
      </c>
      <c r="E597" t="str">
        <f t="shared" ca="1" si="30"/>
        <v/>
      </c>
      <c r="F597" t="str">
        <f t="shared" ca="1" si="31"/>
        <v/>
      </c>
      <c r="G597" t="str">
        <f t="shared" ca="1" si="32"/>
        <v/>
      </c>
      <c r="H597" t="str">
        <f t="shared" ca="1" si="33"/>
        <v/>
      </c>
      <c r="I597" t="str">
        <f t="shared" ca="1" si="34"/>
        <v/>
      </c>
    </row>
    <row r="598" spans="1:9" x14ac:dyDescent="0.25">
      <c r="A598" s="1"/>
      <c r="D598" t="str" cm="1">
        <f t="array" aca="1" ref="D598" ca="1">IF(OR(COUNTIF(damper_names,_xlfn.CONCAT("D_S_",C598))=1, COUNTIF(damper_names,_xlfn.CONCAT("D_E_",C598))=1), "C", "")</f>
        <v/>
      </c>
      <c r="E598" t="str">
        <f t="shared" ca="1" si="30"/>
        <v/>
      </c>
      <c r="F598" t="str">
        <f t="shared" ca="1" si="31"/>
        <v/>
      </c>
      <c r="G598" t="str">
        <f t="shared" ca="1" si="32"/>
        <v/>
      </c>
      <c r="H598" t="str">
        <f t="shared" ca="1" si="33"/>
        <v/>
      </c>
      <c r="I598" t="str">
        <f t="shared" ca="1" si="34"/>
        <v/>
      </c>
    </row>
    <row r="599" spans="1:9" x14ac:dyDescent="0.25">
      <c r="A599" s="1"/>
      <c r="D599" t="str" cm="1">
        <f t="array" aca="1" ref="D599" ca="1">IF(OR(COUNTIF(damper_names,_xlfn.CONCAT("D_S_",C599))=1, COUNTIF(damper_names,_xlfn.CONCAT("D_E_",C599))=1), "C", "")</f>
        <v/>
      </c>
      <c r="E599" t="str">
        <f t="shared" ca="1" si="30"/>
        <v/>
      </c>
      <c r="F599" t="str">
        <f t="shared" ca="1" si="31"/>
        <v/>
      </c>
      <c r="G599" t="str">
        <f t="shared" ca="1" si="32"/>
        <v/>
      </c>
      <c r="H599" t="str">
        <f t="shared" ca="1" si="33"/>
        <v/>
      </c>
      <c r="I599" t="str">
        <f t="shared" ca="1" si="34"/>
        <v/>
      </c>
    </row>
    <row r="600" spans="1:9" x14ac:dyDescent="0.25">
      <c r="A600" s="1"/>
      <c r="D600" t="str" cm="1">
        <f t="array" aca="1" ref="D600" ca="1">IF(OR(COUNTIF(damper_names,_xlfn.CONCAT("D_S_",C600))=1, COUNTIF(damper_names,_xlfn.CONCAT("D_E_",C600))=1), "C", "")</f>
        <v/>
      </c>
      <c r="E600" t="str">
        <f t="shared" ca="1" si="30"/>
        <v/>
      </c>
      <c r="F600" t="str">
        <f t="shared" ca="1" si="31"/>
        <v/>
      </c>
      <c r="G600" t="str">
        <f t="shared" ca="1" si="32"/>
        <v/>
      </c>
      <c r="H600" t="str">
        <f t="shared" ca="1" si="33"/>
        <v/>
      </c>
      <c r="I600" t="str">
        <f t="shared" ca="1" si="34"/>
        <v/>
      </c>
    </row>
    <row r="601" spans="1:9" x14ac:dyDescent="0.25">
      <c r="A601" s="1"/>
      <c r="D601" t="str" cm="1">
        <f t="array" aca="1" ref="D601" ca="1">IF(OR(COUNTIF(damper_names,_xlfn.CONCAT("D_S_",C601))=1, COUNTIF(damper_names,_xlfn.CONCAT("D_E_",C601))=1), "C", "")</f>
        <v/>
      </c>
      <c r="E601" t="str">
        <f t="shared" ca="1" si="30"/>
        <v/>
      </c>
      <c r="F601" t="str">
        <f t="shared" ca="1" si="31"/>
        <v/>
      </c>
      <c r="G601" t="str">
        <f t="shared" ca="1" si="32"/>
        <v/>
      </c>
      <c r="H601" t="str">
        <f t="shared" ca="1" si="33"/>
        <v/>
      </c>
      <c r="I601" t="str">
        <f t="shared" ca="1" si="34"/>
        <v/>
      </c>
    </row>
    <row r="602" spans="1:9" x14ac:dyDescent="0.25">
      <c r="A602" s="1"/>
      <c r="D602" t="str" cm="1">
        <f t="array" aca="1" ref="D602" ca="1">IF(OR(COUNTIF(damper_names,_xlfn.CONCAT("D_S_",C602))=1, COUNTIF(damper_names,_xlfn.CONCAT("D_E_",C602))=1), "C", "")</f>
        <v/>
      </c>
      <c r="E602" t="str">
        <f t="shared" ca="1" si="30"/>
        <v/>
      </c>
      <c r="F602" t="str">
        <f t="shared" ca="1" si="31"/>
        <v/>
      </c>
      <c r="G602" t="str">
        <f t="shared" ca="1" si="32"/>
        <v/>
      </c>
      <c r="H602" t="str">
        <f t="shared" ca="1" si="33"/>
        <v/>
      </c>
      <c r="I602" t="str">
        <f t="shared" ca="1" si="34"/>
        <v/>
      </c>
    </row>
    <row r="603" spans="1:9" x14ac:dyDescent="0.25">
      <c r="A603" s="1"/>
      <c r="D603" t="str" cm="1">
        <f t="array" aca="1" ref="D603" ca="1">IF(OR(COUNTIF(damper_names,_xlfn.CONCAT("D_S_",C603))=1, COUNTIF(damper_names,_xlfn.CONCAT("D_E_",C603))=1), "C", "")</f>
        <v/>
      </c>
      <c r="E603" t="str">
        <f t="shared" ca="1" si="30"/>
        <v/>
      </c>
      <c r="F603" t="str">
        <f t="shared" ca="1" si="31"/>
        <v/>
      </c>
      <c r="G603" t="str">
        <f t="shared" ca="1" si="32"/>
        <v/>
      </c>
      <c r="H603" t="str">
        <f t="shared" ca="1" si="33"/>
        <v/>
      </c>
      <c r="I603" t="str">
        <f t="shared" ca="1" si="34"/>
        <v/>
      </c>
    </row>
    <row r="604" spans="1:9" x14ac:dyDescent="0.25">
      <c r="A604" s="1"/>
      <c r="D604" t="str" cm="1">
        <f t="array" aca="1" ref="D604" ca="1">IF(OR(COUNTIF(damper_names,_xlfn.CONCAT("D_S_",C604))=1, COUNTIF(damper_names,_xlfn.CONCAT("D_E_",C604))=1), "C", "")</f>
        <v/>
      </c>
      <c r="E604" t="str">
        <f t="shared" ca="1" si="30"/>
        <v/>
      </c>
      <c r="F604" t="str">
        <f t="shared" ca="1" si="31"/>
        <v/>
      </c>
      <c r="G604" t="str">
        <f t="shared" ca="1" si="32"/>
        <v/>
      </c>
      <c r="H604" t="str">
        <f t="shared" ca="1" si="33"/>
        <v/>
      </c>
      <c r="I604" t="str">
        <f t="shared" ca="1" si="34"/>
        <v/>
      </c>
    </row>
    <row r="605" spans="1:9" x14ac:dyDescent="0.25">
      <c r="A605" s="1"/>
      <c r="D605" t="str" cm="1">
        <f t="array" aca="1" ref="D605" ca="1">IF(OR(COUNTIF(damper_names,_xlfn.CONCAT("D_S_",C605))=1, COUNTIF(damper_names,_xlfn.CONCAT("D_E_",C605))=1), "C", "")</f>
        <v/>
      </c>
      <c r="E605" t="str">
        <f t="shared" ca="1" si="30"/>
        <v/>
      </c>
      <c r="F605" t="str">
        <f t="shared" ca="1" si="31"/>
        <v/>
      </c>
      <c r="G605" t="str">
        <f t="shared" ca="1" si="32"/>
        <v/>
      </c>
      <c r="H605" t="str">
        <f t="shared" ca="1" si="33"/>
        <v/>
      </c>
      <c r="I605" t="str">
        <f t="shared" ca="1" si="34"/>
        <v/>
      </c>
    </row>
    <row r="606" spans="1:9" x14ac:dyDescent="0.25">
      <c r="A606" s="1"/>
      <c r="D606" t="str" cm="1">
        <f t="array" aca="1" ref="D606" ca="1">IF(OR(COUNTIF(damper_names,_xlfn.CONCAT("D_S_",C606))=1, COUNTIF(damper_names,_xlfn.CONCAT("D_E_",C606))=1), "C", "")</f>
        <v/>
      </c>
      <c r="E606" t="str">
        <f t="shared" ca="1" si="30"/>
        <v/>
      </c>
      <c r="F606" t="str">
        <f t="shared" ca="1" si="31"/>
        <v/>
      </c>
      <c r="G606" t="str">
        <f t="shared" ca="1" si="32"/>
        <v/>
      </c>
      <c r="H606" t="str">
        <f t="shared" ca="1" si="33"/>
        <v/>
      </c>
      <c r="I606" t="str">
        <f t="shared" ca="1" si="34"/>
        <v/>
      </c>
    </row>
    <row r="607" spans="1:9" x14ac:dyDescent="0.25">
      <c r="A607" s="1"/>
      <c r="D607" t="str" cm="1">
        <f t="array" aca="1" ref="D607" ca="1">IF(OR(COUNTIF(damper_names,_xlfn.CONCAT("D_S_",C607))=1, COUNTIF(damper_names,_xlfn.CONCAT("D_E_",C607))=1), "C", "")</f>
        <v/>
      </c>
      <c r="E607" t="str">
        <f t="shared" ca="1" si="30"/>
        <v/>
      </c>
      <c r="F607" t="str">
        <f t="shared" ca="1" si="31"/>
        <v/>
      </c>
      <c r="G607" t="str">
        <f t="shared" ca="1" si="32"/>
        <v/>
      </c>
      <c r="H607" t="str">
        <f t="shared" ca="1" si="33"/>
        <v/>
      </c>
      <c r="I607" t="str">
        <f t="shared" ca="1" si="34"/>
        <v/>
      </c>
    </row>
    <row r="608" spans="1:9" x14ac:dyDescent="0.25">
      <c r="A608" s="1"/>
      <c r="D608" t="str" cm="1">
        <f t="array" aca="1" ref="D608" ca="1">IF(OR(COUNTIF(damper_names,_xlfn.CONCAT("D_S_",C608))=1, COUNTIF(damper_names,_xlfn.CONCAT("D_E_",C608))=1), "C", "")</f>
        <v/>
      </c>
      <c r="E608" t="str">
        <f t="shared" ca="1" si="30"/>
        <v/>
      </c>
      <c r="F608" t="str">
        <f t="shared" ca="1" si="31"/>
        <v/>
      </c>
      <c r="G608" t="str">
        <f t="shared" ca="1" si="32"/>
        <v/>
      </c>
      <c r="H608" t="str">
        <f t="shared" ca="1" si="33"/>
        <v/>
      </c>
      <c r="I608" t="str">
        <f t="shared" ca="1" si="34"/>
        <v/>
      </c>
    </row>
    <row r="609" spans="1:9" x14ac:dyDescent="0.25">
      <c r="A609" s="1"/>
      <c r="D609" t="str" cm="1">
        <f t="array" aca="1" ref="D609" ca="1">IF(OR(COUNTIF(damper_names,_xlfn.CONCAT("D_S_",C609))=1, COUNTIF(damper_names,_xlfn.CONCAT("D_E_",C609))=1), "C", "")</f>
        <v/>
      </c>
      <c r="E609" t="str">
        <f t="shared" ca="1" si="30"/>
        <v/>
      </c>
      <c r="F609" t="str">
        <f t="shared" ca="1" si="31"/>
        <v/>
      </c>
      <c r="G609" t="str">
        <f t="shared" ca="1" si="32"/>
        <v/>
      </c>
      <c r="H609" t="str">
        <f t="shared" ca="1" si="33"/>
        <v/>
      </c>
      <c r="I609" t="str">
        <f t="shared" ca="1" si="34"/>
        <v/>
      </c>
    </row>
    <row r="610" spans="1:9" x14ac:dyDescent="0.25">
      <c r="A610" s="1"/>
      <c r="D610" t="str" cm="1">
        <f t="array" aca="1" ref="D610" ca="1">IF(OR(COUNTIF(damper_names,_xlfn.CONCAT("D_S_",C610))=1, COUNTIF(damper_names,_xlfn.CONCAT("D_E_",C610))=1), "C", "")</f>
        <v/>
      </c>
      <c r="E610" t="str">
        <f t="shared" ca="1" si="30"/>
        <v/>
      </c>
      <c r="F610" t="str">
        <f t="shared" ca="1" si="31"/>
        <v/>
      </c>
      <c r="G610" t="str">
        <f t="shared" ca="1" si="32"/>
        <v/>
      </c>
      <c r="H610" t="str">
        <f t="shared" ca="1" si="33"/>
        <v/>
      </c>
      <c r="I610" t="str">
        <f t="shared" ca="1" si="34"/>
        <v/>
      </c>
    </row>
    <row r="611" spans="1:9" x14ac:dyDescent="0.25">
      <c r="A611" s="1"/>
      <c r="D611" t="str" cm="1">
        <f t="array" aca="1" ref="D611" ca="1">IF(OR(COUNTIF(damper_names,_xlfn.CONCAT("D_S_",C611))=1, COUNTIF(damper_names,_xlfn.CONCAT("D_E_",C611))=1), "C", "")</f>
        <v/>
      </c>
      <c r="E611" t="str">
        <f t="shared" ca="1" si="30"/>
        <v/>
      </c>
      <c r="F611" t="str">
        <f t="shared" ca="1" si="31"/>
        <v/>
      </c>
      <c r="G611" t="str">
        <f t="shared" ca="1" si="32"/>
        <v/>
      </c>
      <c r="H611" t="str">
        <f t="shared" ca="1" si="33"/>
        <v/>
      </c>
      <c r="I611" t="str">
        <f t="shared" ca="1" si="34"/>
        <v/>
      </c>
    </row>
    <row r="612" spans="1:9" x14ac:dyDescent="0.25">
      <c r="A612" s="1"/>
      <c r="D612" t="str" cm="1">
        <f t="array" aca="1" ref="D612" ca="1">IF(OR(COUNTIF(damper_names,_xlfn.CONCAT("D_S_",C612))=1, COUNTIF(damper_names,_xlfn.CONCAT("D_E_",C612))=1), "C", "")</f>
        <v/>
      </c>
      <c r="E612" t="str">
        <f t="shared" ca="1" si="30"/>
        <v/>
      </c>
      <c r="F612" t="str">
        <f t="shared" ca="1" si="31"/>
        <v/>
      </c>
      <c r="G612" t="str">
        <f t="shared" ca="1" si="32"/>
        <v/>
      </c>
      <c r="H612" t="str">
        <f t="shared" ca="1" si="33"/>
        <v/>
      </c>
      <c r="I612" t="str">
        <f t="shared" ca="1" si="34"/>
        <v/>
      </c>
    </row>
    <row r="613" spans="1:9" x14ac:dyDescent="0.25">
      <c r="A613" s="1"/>
      <c r="D613" t="str" cm="1">
        <f t="array" aca="1" ref="D613" ca="1">IF(OR(COUNTIF(damper_names,_xlfn.CONCAT("D_S_",C613))=1, COUNTIF(damper_names,_xlfn.CONCAT("D_E_",C613))=1), "C", "")</f>
        <v/>
      </c>
      <c r="E613" t="str">
        <f t="shared" ca="1" si="30"/>
        <v/>
      </c>
      <c r="F613" t="str">
        <f t="shared" ca="1" si="31"/>
        <v/>
      </c>
      <c r="G613" t="str">
        <f t="shared" ca="1" si="32"/>
        <v/>
      </c>
      <c r="H613" t="str">
        <f t="shared" ca="1" si="33"/>
        <v/>
      </c>
      <c r="I613" t="str">
        <f t="shared" ca="1" si="34"/>
        <v/>
      </c>
    </row>
    <row r="614" spans="1:9" x14ac:dyDescent="0.25">
      <c r="A614" s="1"/>
      <c r="D614" t="str" cm="1">
        <f t="array" aca="1" ref="D614" ca="1">IF(OR(COUNTIF(damper_names,_xlfn.CONCAT("D_S_",C614))=1, COUNTIF(damper_names,_xlfn.CONCAT("D_E_",C614))=1), "C", "")</f>
        <v/>
      </c>
      <c r="E614" t="str">
        <f t="shared" ca="1" si="30"/>
        <v/>
      </c>
      <c r="F614" t="str">
        <f t="shared" ca="1" si="31"/>
        <v/>
      </c>
      <c r="G614" t="str">
        <f t="shared" ca="1" si="32"/>
        <v/>
      </c>
      <c r="H614" t="str">
        <f t="shared" ca="1" si="33"/>
        <v/>
      </c>
      <c r="I614" t="str">
        <f t="shared" ca="1" si="34"/>
        <v/>
      </c>
    </row>
    <row r="615" spans="1:9" x14ac:dyDescent="0.25">
      <c r="A615" s="1"/>
      <c r="D615" t="str" cm="1">
        <f t="array" aca="1" ref="D615" ca="1">IF(OR(COUNTIF(damper_names,_xlfn.CONCAT("D_S_",C615))=1, COUNTIF(damper_names,_xlfn.CONCAT("D_E_",C615))=1), "C", "")</f>
        <v/>
      </c>
      <c r="E615" t="str">
        <f t="shared" ca="1" si="30"/>
        <v/>
      </c>
      <c r="F615" t="str">
        <f t="shared" ca="1" si="31"/>
        <v/>
      </c>
      <c r="G615" t="str">
        <f t="shared" ca="1" si="32"/>
        <v/>
      </c>
      <c r="H615" t="str">
        <f t="shared" ca="1" si="33"/>
        <v/>
      </c>
      <c r="I615" t="str">
        <f t="shared" ca="1" si="34"/>
        <v/>
      </c>
    </row>
    <row r="616" spans="1:9" x14ac:dyDescent="0.25">
      <c r="A616" s="1"/>
      <c r="D616" t="str" cm="1">
        <f t="array" aca="1" ref="D616" ca="1">IF(OR(COUNTIF(damper_names,_xlfn.CONCAT("D_S_",C616))=1, COUNTIF(damper_names,_xlfn.CONCAT("D_E_",C616))=1), "C", "")</f>
        <v/>
      </c>
      <c r="E616" t="str">
        <f t="shared" ca="1" si="30"/>
        <v/>
      </c>
      <c r="F616" t="str">
        <f t="shared" ca="1" si="31"/>
        <v/>
      </c>
      <c r="G616" t="str">
        <f t="shared" ca="1" si="32"/>
        <v/>
      </c>
      <c r="H616" t="str">
        <f t="shared" ca="1" si="33"/>
        <v/>
      </c>
      <c r="I616" t="str">
        <f t="shared" ca="1" si="34"/>
        <v/>
      </c>
    </row>
    <row r="617" spans="1:9" x14ac:dyDescent="0.25">
      <c r="A617" s="1"/>
      <c r="D617" t="str" cm="1">
        <f t="array" aca="1" ref="D617" ca="1">IF(OR(COUNTIF(damper_names,_xlfn.CONCAT("D_S_",C617))=1, COUNTIF(damper_names,_xlfn.CONCAT("D_E_",C617))=1), "C", "")</f>
        <v/>
      </c>
      <c r="E617" t="str">
        <f t="shared" ca="1" si="30"/>
        <v/>
      </c>
      <c r="F617" t="str">
        <f t="shared" ca="1" si="31"/>
        <v/>
      </c>
      <c r="G617" t="str">
        <f t="shared" ca="1" si="32"/>
        <v/>
      </c>
      <c r="H617" t="str">
        <f t="shared" ca="1" si="33"/>
        <v/>
      </c>
      <c r="I617" t="str">
        <f t="shared" ca="1" si="34"/>
        <v/>
      </c>
    </row>
    <row r="618" spans="1:9" x14ac:dyDescent="0.25">
      <c r="A618" s="1"/>
      <c r="D618" t="str" cm="1">
        <f t="array" aca="1" ref="D618" ca="1">IF(OR(COUNTIF(damper_names,_xlfn.CONCAT("D_S_",C618))=1, COUNTIF(damper_names,_xlfn.CONCAT("D_E_",C618))=1), "C", "")</f>
        <v/>
      </c>
      <c r="E618" t="str">
        <f t="shared" ca="1" si="30"/>
        <v/>
      </c>
      <c r="F618" t="str">
        <f t="shared" ca="1" si="31"/>
        <v/>
      </c>
      <c r="G618" t="str">
        <f t="shared" ca="1" si="32"/>
        <v/>
      </c>
      <c r="H618" t="str">
        <f t="shared" ca="1" si="33"/>
        <v/>
      </c>
      <c r="I618" t="str">
        <f t="shared" ca="1" si="34"/>
        <v/>
      </c>
    </row>
    <row r="619" spans="1:9" x14ac:dyDescent="0.25">
      <c r="A619" s="1"/>
      <c r="D619" t="str" cm="1">
        <f t="array" aca="1" ref="D619" ca="1">IF(OR(COUNTIF(damper_names,_xlfn.CONCAT("D_S_",C619))=1, COUNTIF(damper_names,_xlfn.CONCAT("D_E_",C619))=1), "C", "")</f>
        <v/>
      </c>
      <c r="E619" t="str">
        <f t="shared" ca="1" si="30"/>
        <v/>
      </c>
      <c r="F619" t="str">
        <f t="shared" ca="1" si="31"/>
        <v/>
      </c>
      <c r="G619" t="str">
        <f t="shared" ca="1" si="32"/>
        <v/>
      </c>
      <c r="H619" t="str">
        <f t="shared" ca="1" si="33"/>
        <v/>
      </c>
      <c r="I619" t="str">
        <f t="shared" ca="1" si="34"/>
        <v/>
      </c>
    </row>
    <row r="620" spans="1:9" x14ac:dyDescent="0.25">
      <c r="A620" s="1"/>
      <c r="D620" t="str" cm="1">
        <f t="array" aca="1" ref="D620" ca="1">IF(OR(COUNTIF(damper_names,_xlfn.CONCAT("D_S_",C620))=1, COUNTIF(damper_names,_xlfn.CONCAT("D_E_",C620))=1), "C", "")</f>
        <v/>
      </c>
      <c r="E620" t="str">
        <f t="shared" ca="1" si="30"/>
        <v/>
      </c>
      <c r="F620" t="str">
        <f t="shared" ca="1" si="31"/>
        <v/>
      </c>
      <c r="G620" t="str">
        <f t="shared" ca="1" si="32"/>
        <v/>
      </c>
      <c r="H620" t="str">
        <f t="shared" ca="1" si="33"/>
        <v/>
      </c>
      <c r="I620" t="str">
        <f t="shared" ca="1" si="34"/>
        <v/>
      </c>
    </row>
    <row r="621" spans="1:9" x14ac:dyDescent="0.25">
      <c r="A621" s="1"/>
      <c r="D621" t="str" cm="1">
        <f t="array" aca="1" ref="D621" ca="1">IF(OR(COUNTIF(damper_names,_xlfn.CONCAT("D_S_",C621))=1, COUNTIF(damper_names,_xlfn.CONCAT("D_E_",C621))=1), "C", "")</f>
        <v/>
      </c>
      <c r="E621" t="str">
        <f t="shared" ca="1" si="30"/>
        <v/>
      </c>
      <c r="F621" t="str">
        <f t="shared" ca="1" si="31"/>
        <v/>
      </c>
      <c r="G621" t="str">
        <f t="shared" ca="1" si="32"/>
        <v/>
      </c>
      <c r="H621" t="str">
        <f t="shared" ca="1" si="33"/>
        <v/>
      </c>
      <c r="I621" t="str">
        <f t="shared" ca="1" si="34"/>
        <v/>
      </c>
    </row>
    <row r="622" spans="1:9" x14ac:dyDescent="0.25">
      <c r="A622" s="1"/>
      <c r="D622" t="str" cm="1">
        <f t="array" aca="1" ref="D622" ca="1">IF(OR(COUNTIF(damper_names,_xlfn.CONCAT("D_S_",C622))=1, COUNTIF(damper_names,_xlfn.CONCAT("D_E_",C622))=1), "C", "")</f>
        <v/>
      </c>
      <c r="E622" t="str">
        <f t="shared" ca="1" si="30"/>
        <v/>
      </c>
      <c r="F622" t="str">
        <f t="shared" ca="1" si="31"/>
        <v/>
      </c>
      <c r="G622" t="str">
        <f t="shared" ca="1" si="32"/>
        <v/>
      </c>
      <c r="H622" t="str">
        <f t="shared" ca="1" si="33"/>
        <v/>
      </c>
      <c r="I622" t="str">
        <f t="shared" ca="1" si="34"/>
        <v/>
      </c>
    </row>
    <row r="623" spans="1:9" x14ac:dyDescent="0.25">
      <c r="A623" s="1"/>
      <c r="D623" t="str" cm="1">
        <f t="array" aca="1" ref="D623" ca="1">IF(OR(COUNTIF(damper_names,_xlfn.CONCAT("D_S_",C623))=1, COUNTIF(damper_names,_xlfn.CONCAT("D_E_",C623))=1), "C", "")</f>
        <v/>
      </c>
      <c r="E623" t="str">
        <f t="shared" ca="1" si="30"/>
        <v/>
      </c>
      <c r="F623" t="str">
        <f t="shared" ca="1" si="31"/>
        <v/>
      </c>
      <c r="G623" t="str">
        <f t="shared" ca="1" si="32"/>
        <v/>
      </c>
      <c r="H623" t="str">
        <f t="shared" ca="1" si="33"/>
        <v/>
      </c>
      <c r="I623" t="str">
        <f t="shared" ca="1" si="34"/>
        <v/>
      </c>
    </row>
    <row r="624" spans="1:9" x14ac:dyDescent="0.25">
      <c r="A624" s="1"/>
      <c r="D624" t="str" cm="1">
        <f t="array" aca="1" ref="D624" ca="1">IF(OR(COUNTIF(damper_names,_xlfn.CONCAT("D_S_",C624))=1, COUNTIF(damper_names,_xlfn.CONCAT("D_E_",C624))=1), "C", "")</f>
        <v/>
      </c>
      <c r="E624" t="str">
        <f t="shared" ca="1" si="30"/>
        <v/>
      </c>
      <c r="F624" t="str">
        <f t="shared" ca="1" si="31"/>
        <v/>
      </c>
      <c r="G624" t="str">
        <f t="shared" ca="1" si="32"/>
        <v/>
      </c>
      <c r="H624" t="str">
        <f t="shared" ca="1" si="33"/>
        <v/>
      </c>
      <c r="I624" t="str">
        <f t="shared" ca="1" si="34"/>
        <v/>
      </c>
    </row>
    <row r="625" spans="1:9" x14ac:dyDescent="0.25">
      <c r="A625" s="1"/>
      <c r="D625" t="str" cm="1">
        <f t="array" aca="1" ref="D625" ca="1">IF(OR(COUNTIF(damper_names,_xlfn.CONCAT("D_S_",C625))=1, COUNTIF(damper_names,_xlfn.CONCAT("D_E_",C625))=1), "C", "")</f>
        <v/>
      </c>
      <c r="E625" t="str">
        <f t="shared" ca="1" si="30"/>
        <v/>
      </c>
      <c r="F625" t="str">
        <f t="shared" ca="1" si="31"/>
        <v/>
      </c>
      <c r="G625" t="str">
        <f t="shared" ca="1" si="32"/>
        <v/>
      </c>
      <c r="H625" t="str">
        <f t="shared" ca="1" si="33"/>
        <v/>
      </c>
      <c r="I625" t="str">
        <f t="shared" ca="1" si="34"/>
        <v/>
      </c>
    </row>
    <row r="626" spans="1:9" x14ac:dyDescent="0.25">
      <c r="A626" s="1"/>
      <c r="D626" t="str" cm="1">
        <f t="array" aca="1" ref="D626" ca="1">IF(OR(COUNTIF(damper_names,_xlfn.CONCAT("D_S_",C626))=1, COUNTIF(damper_names,_xlfn.CONCAT("D_E_",C626))=1), "C", "")</f>
        <v/>
      </c>
      <c r="E626" t="str">
        <f t="shared" ca="1" si="30"/>
        <v/>
      </c>
      <c r="F626" t="str">
        <f t="shared" ca="1" si="31"/>
        <v/>
      </c>
      <c r="G626" t="str">
        <f t="shared" ca="1" si="32"/>
        <v/>
      </c>
      <c r="H626" t="str">
        <f t="shared" ca="1" si="33"/>
        <v/>
      </c>
      <c r="I626" t="str">
        <f t="shared" ca="1" si="34"/>
        <v/>
      </c>
    </row>
    <row r="627" spans="1:9" x14ac:dyDescent="0.25">
      <c r="A627" s="1"/>
      <c r="D627" t="str" cm="1">
        <f t="array" aca="1" ref="D627" ca="1">IF(OR(COUNTIF(damper_names,_xlfn.CONCAT("D_S_",C627))=1, COUNTIF(damper_names,_xlfn.CONCAT("D_E_",C627))=1), "C", "")</f>
        <v/>
      </c>
      <c r="E627" t="str">
        <f t="shared" ref="E627:E690" ca="1" si="35">IF(D627="T", 0.05, IF(D627="C", -0.01, ""))</f>
        <v/>
      </c>
      <c r="F627" t="str">
        <f t="shared" ref="F627:F690" ca="1" si="36">IF(D627="T", 0.05, IF(D627="C", 0, ""))</f>
        <v/>
      </c>
      <c r="G627" t="str">
        <f t="shared" ref="G627:G690" ca="1" si="37">IF(D627="T", 0, IF(D627="C", 0, ""))</f>
        <v/>
      </c>
      <c r="H627" t="str">
        <f t="shared" ref="H627:H690" ca="1" si="38">IF(D627="T", 0.05, IF(D627="C", 0, ""))</f>
        <v/>
      </c>
      <c r="I627" t="str">
        <f t="shared" ref="I627:I690" ca="1" si="39">IF(D627="T", 0, IF(D627="C", 0, ""))</f>
        <v/>
      </c>
    </row>
    <row r="628" spans="1:9" x14ac:dyDescent="0.25">
      <c r="A628" s="1"/>
      <c r="D628" t="str" cm="1">
        <f t="array" aca="1" ref="D628" ca="1">IF(OR(COUNTIF(damper_names,_xlfn.CONCAT("D_S_",C628))=1, COUNTIF(damper_names,_xlfn.CONCAT("D_E_",C628))=1), "C", "")</f>
        <v/>
      </c>
      <c r="E628" t="str">
        <f t="shared" ca="1" si="35"/>
        <v/>
      </c>
      <c r="F628" t="str">
        <f t="shared" ca="1" si="36"/>
        <v/>
      </c>
      <c r="G628" t="str">
        <f t="shared" ca="1" si="37"/>
        <v/>
      </c>
      <c r="H628" t="str">
        <f t="shared" ca="1" si="38"/>
        <v/>
      </c>
      <c r="I628" t="str">
        <f t="shared" ca="1" si="39"/>
        <v/>
      </c>
    </row>
    <row r="629" spans="1:9" x14ac:dyDescent="0.25">
      <c r="A629" s="1"/>
      <c r="D629" t="str" cm="1">
        <f t="array" aca="1" ref="D629" ca="1">IF(OR(COUNTIF(damper_names,_xlfn.CONCAT("D_S_",C629))=1, COUNTIF(damper_names,_xlfn.CONCAT("D_E_",C629))=1), "C", "")</f>
        <v/>
      </c>
      <c r="E629" t="str">
        <f t="shared" ca="1" si="35"/>
        <v/>
      </c>
      <c r="F629" t="str">
        <f t="shared" ca="1" si="36"/>
        <v/>
      </c>
      <c r="G629" t="str">
        <f t="shared" ca="1" si="37"/>
        <v/>
      </c>
      <c r="H629" t="str">
        <f t="shared" ca="1" si="38"/>
        <v/>
      </c>
      <c r="I629" t="str">
        <f t="shared" ca="1" si="39"/>
        <v/>
      </c>
    </row>
    <row r="630" spans="1:9" x14ac:dyDescent="0.25">
      <c r="A630" s="1"/>
      <c r="D630" t="str" cm="1">
        <f t="array" aca="1" ref="D630" ca="1">IF(OR(COUNTIF(damper_names,_xlfn.CONCAT("D_S_",C630))=1, COUNTIF(damper_names,_xlfn.CONCAT("D_E_",C630))=1), "C", "")</f>
        <v/>
      </c>
      <c r="E630" t="str">
        <f t="shared" ca="1" si="35"/>
        <v/>
      </c>
      <c r="F630" t="str">
        <f t="shared" ca="1" si="36"/>
        <v/>
      </c>
      <c r="G630" t="str">
        <f t="shared" ca="1" si="37"/>
        <v/>
      </c>
      <c r="H630" t="str">
        <f t="shared" ca="1" si="38"/>
        <v/>
      </c>
      <c r="I630" t="str">
        <f t="shared" ca="1" si="39"/>
        <v/>
      </c>
    </row>
    <row r="631" spans="1:9" x14ac:dyDescent="0.25">
      <c r="A631" s="1"/>
      <c r="D631" t="str" cm="1">
        <f t="array" aca="1" ref="D631" ca="1">IF(OR(COUNTIF(damper_names,_xlfn.CONCAT("D_S_",C631))=1, COUNTIF(damper_names,_xlfn.CONCAT("D_E_",C631))=1), "C", "")</f>
        <v/>
      </c>
      <c r="E631" t="str">
        <f t="shared" ca="1" si="35"/>
        <v/>
      </c>
      <c r="F631" t="str">
        <f t="shared" ca="1" si="36"/>
        <v/>
      </c>
      <c r="G631" t="str">
        <f t="shared" ca="1" si="37"/>
        <v/>
      </c>
      <c r="H631" t="str">
        <f t="shared" ca="1" si="38"/>
        <v/>
      </c>
      <c r="I631" t="str">
        <f t="shared" ca="1" si="39"/>
        <v/>
      </c>
    </row>
    <row r="632" spans="1:9" x14ac:dyDescent="0.25">
      <c r="A632" s="1"/>
      <c r="D632" t="str" cm="1">
        <f t="array" aca="1" ref="D632" ca="1">IF(OR(COUNTIF(damper_names,_xlfn.CONCAT("D_S_",C632))=1, COUNTIF(damper_names,_xlfn.CONCAT("D_E_",C632))=1), "C", "")</f>
        <v/>
      </c>
      <c r="E632" t="str">
        <f t="shared" ca="1" si="35"/>
        <v/>
      </c>
      <c r="F632" t="str">
        <f t="shared" ca="1" si="36"/>
        <v/>
      </c>
      <c r="G632" t="str">
        <f t="shared" ca="1" si="37"/>
        <v/>
      </c>
      <c r="H632" t="str">
        <f t="shared" ca="1" si="38"/>
        <v/>
      </c>
      <c r="I632" t="str">
        <f t="shared" ca="1" si="39"/>
        <v/>
      </c>
    </row>
    <row r="633" spans="1:9" x14ac:dyDescent="0.25">
      <c r="A633" s="1"/>
      <c r="D633" t="str" cm="1">
        <f t="array" aca="1" ref="D633" ca="1">IF(OR(COUNTIF(damper_names,_xlfn.CONCAT("D_S_",C633))=1, COUNTIF(damper_names,_xlfn.CONCAT("D_E_",C633))=1), "C", "")</f>
        <v/>
      </c>
      <c r="E633" t="str">
        <f t="shared" ca="1" si="35"/>
        <v/>
      </c>
      <c r="F633" t="str">
        <f t="shared" ca="1" si="36"/>
        <v/>
      </c>
      <c r="G633" t="str">
        <f t="shared" ca="1" si="37"/>
        <v/>
      </c>
      <c r="H633" t="str">
        <f t="shared" ca="1" si="38"/>
        <v/>
      </c>
      <c r="I633" t="str">
        <f t="shared" ca="1" si="39"/>
        <v/>
      </c>
    </row>
    <row r="634" spans="1:9" x14ac:dyDescent="0.25">
      <c r="A634" s="1"/>
      <c r="D634" t="str" cm="1">
        <f t="array" aca="1" ref="D634" ca="1">IF(OR(COUNTIF(damper_names,_xlfn.CONCAT("D_S_",C634))=1, COUNTIF(damper_names,_xlfn.CONCAT("D_E_",C634))=1), "C", "")</f>
        <v/>
      </c>
      <c r="E634" t="str">
        <f t="shared" ca="1" si="35"/>
        <v/>
      </c>
      <c r="F634" t="str">
        <f t="shared" ca="1" si="36"/>
        <v/>
      </c>
      <c r="G634" t="str">
        <f t="shared" ca="1" si="37"/>
        <v/>
      </c>
      <c r="H634" t="str">
        <f t="shared" ca="1" si="38"/>
        <v/>
      </c>
      <c r="I634" t="str">
        <f t="shared" ca="1" si="39"/>
        <v/>
      </c>
    </row>
    <row r="635" spans="1:9" x14ac:dyDescent="0.25">
      <c r="A635" s="1"/>
      <c r="D635" t="str" cm="1">
        <f t="array" aca="1" ref="D635" ca="1">IF(OR(COUNTIF(damper_names,_xlfn.CONCAT("D_S_",C635))=1, COUNTIF(damper_names,_xlfn.CONCAT("D_E_",C635))=1), "C", "")</f>
        <v/>
      </c>
      <c r="E635" t="str">
        <f t="shared" ca="1" si="35"/>
        <v/>
      </c>
      <c r="F635" t="str">
        <f t="shared" ca="1" si="36"/>
        <v/>
      </c>
      <c r="G635" t="str">
        <f t="shared" ca="1" si="37"/>
        <v/>
      </c>
      <c r="H635" t="str">
        <f t="shared" ca="1" si="38"/>
        <v/>
      </c>
      <c r="I635" t="str">
        <f t="shared" ca="1" si="39"/>
        <v/>
      </c>
    </row>
    <row r="636" spans="1:9" x14ac:dyDescent="0.25">
      <c r="A636" s="1"/>
      <c r="D636" t="str" cm="1">
        <f t="array" aca="1" ref="D636" ca="1">IF(OR(COUNTIF(damper_names,_xlfn.CONCAT("D_S_",C636))=1, COUNTIF(damper_names,_xlfn.CONCAT("D_E_",C636))=1), "C", "")</f>
        <v/>
      </c>
      <c r="E636" t="str">
        <f t="shared" ca="1" si="35"/>
        <v/>
      </c>
      <c r="F636" t="str">
        <f t="shared" ca="1" si="36"/>
        <v/>
      </c>
      <c r="G636" t="str">
        <f t="shared" ca="1" si="37"/>
        <v/>
      </c>
      <c r="H636" t="str">
        <f t="shared" ca="1" si="38"/>
        <v/>
      </c>
      <c r="I636" t="str">
        <f t="shared" ca="1" si="39"/>
        <v/>
      </c>
    </row>
    <row r="637" spans="1:9" x14ac:dyDescent="0.25">
      <c r="A637" s="1"/>
      <c r="D637" t="str" cm="1">
        <f t="array" aca="1" ref="D637" ca="1">IF(OR(COUNTIF(damper_names,_xlfn.CONCAT("D_S_",C637))=1, COUNTIF(damper_names,_xlfn.CONCAT("D_E_",C637))=1), "C", "")</f>
        <v/>
      </c>
      <c r="E637" t="str">
        <f t="shared" ca="1" si="35"/>
        <v/>
      </c>
      <c r="F637" t="str">
        <f t="shared" ca="1" si="36"/>
        <v/>
      </c>
      <c r="G637" t="str">
        <f t="shared" ca="1" si="37"/>
        <v/>
      </c>
      <c r="H637" t="str">
        <f t="shared" ca="1" si="38"/>
        <v/>
      </c>
      <c r="I637" t="str">
        <f t="shared" ca="1" si="39"/>
        <v/>
      </c>
    </row>
    <row r="638" spans="1:9" x14ac:dyDescent="0.25">
      <c r="A638" s="1"/>
      <c r="D638" t="str" cm="1">
        <f t="array" aca="1" ref="D638" ca="1">IF(OR(COUNTIF(damper_names,_xlfn.CONCAT("D_S_",C638))=1, COUNTIF(damper_names,_xlfn.CONCAT("D_E_",C638))=1), "C", "")</f>
        <v/>
      </c>
      <c r="E638" t="str">
        <f t="shared" ca="1" si="35"/>
        <v/>
      </c>
      <c r="F638" t="str">
        <f t="shared" ca="1" si="36"/>
        <v/>
      </c>
      <c r="G638" t="str">
        <f t="shared" ca="1" si="37"/>
        <v/>
      </c>
      <c r="H638" t="str">
        <f t="shared" ca="1" si="38"/>
        <v/>
      </c>
      <c r="I638" t="str">
        <f t="shared" ca="1" si="39"/>
        <v/>
      </c>
    </row>
    <row r="639" spans="1:9" x14ac:dyDescent="0.25">
      <c r="A639" s="1"/>
      <c r="D639" t="str" cm="1">
        <f t="array" aca="1" ref="D639" ca="1">IF(OR(COUNTIF(damper_names,_xlfn.CONCAT("D_S_",C639))=1, COUNTIF(damper_names,_xlfn.CONCAT("D_E_",C639))=1), "C", "")</f>
        <v/>
      </c>
      <c r="E639" t="str">
        <f t="shared" ca="1" si="35"/>
        <v/>
      </c>
      <c r="F639" t="str">
        <f t="shared" ca="1" si="36"/>
        <v/>
      </c>
      <c r="G639" t="str">
        <f t="shared" ca="1" si="37"/>
        <v/>
      </c>
      <c r="H639" t="str">
        <f t="shared" ca="1" si="38"/>
        <v/>
      </c>
      <c r="I639" t="str">
        <f t="shared" ca="1" si="39"/>
        <v/>
      </c>
    </row>
    <row r="640" spans="1:9" x14ac:dyDescent="0.25">
      <c r="A640" s="1"/>
      <c r="D640" t="str" cm="1">
        <f t="array" aca="1" ref="D640" ca="1">IF(OR(COUNTIF(damper_names,_xlfn.CONCAT("D_S_",C640))=1, COUNTIF(damper_names,_xlfn.CONCAT("D_E_",C640))=1), "C", "")</f>
        <v/>
      </c>
      <c r="E640" t="str">
        <f t="shared" ca="1" si="35"/>
        <v/>
      </c>
      <c r="F640" t="str">
        <f t="shared" ca="1" si="36"/>
        <v/>
      </c>
      <c r="G640" t="str">
        <f t="shared" ca="1" si="37"/>
        <v/>
      </c>
      <c r="H640" t="str">
        <f t="shared" ca="1" si="38"/>
        <v/>
      </c>
      <c r="I640" t="str">
        <f t="shared" ca="1" si="39"/>
        <v/>
      </c>
    </row>
    <row r="641" spans="1:9" x14ac:dyDescent="0.25">
      <c r="A641" s="1"/>
      <c r="D641" t="str" cm="1">
        <f t="array" aca="1" ref="D641" ca="1">IF(OR(COUNTIF(damper_names,_xlfn.CONCAT("D_S_",C641))=1, COUNTIF(damper_names,_xlfn.CONCAT("D_E_",C641))=1), "C", "")</f>
        <v/>
      </c>
      <c r="E641" t="str">
        <f t="shared" ca="1" si="35"/>
        <v/>
      </c>
      <c r="F641" t="str">
        <f t="shared" ca="1" si="36"/>
        <v/>
      </c>
      <c r="G641" t="str">
        <f t="shared" ca="1" si="37"/>
        <v/>
      </c>
      <c r="H641" t="str">
        <f t="shared" ca="1" si="38"/>
        <v/>
      </c>
      <c r="I641" t="str">
        <f t="shared" ca="1" si="39"/>
        <v/>
      </c>
    </row>
    <row r="642" spans="1:9" x14ac:dyDescent="0.25">
      <c r="A642" s="1"/>
      <c r="D642" t="str" cm="1">
        <f t="array" aca="1" ref="D642" ca="1">IF(OR(COUNTIF(damper_names,_xlfn.CONCAT("D_S_",C642))=1, COUNTIF(damper_names,_xlfn.CONCAT("D_E_",C642))=1), "C", "")</f>
        <v/>
      </c>
      <c r="E642" t="str">
        <f t="shared" ca="1" si="35"/>
        <v/>
      </c>
      <c r="F642" t="str">
        <f t="shared" ca="1" si="36"/>
        <v/>
      </c>
      <c r="G642" t="str">
        <f t="shared" ca="1" si="37"/>
        <v/>
      </c>
      <c r="H642" t="str">
        <f t="shared" ca="1" si="38"/>
        <v/>
      </c>
      <c r="I642" t="str">
        <f t="shared" ca="1" si="39"/>
        <v/>
      </c>
    </row>
    <row r="643" spans="1:9" x14ac:dyDescent="0.25">
      <c r="A643" s="1"/>
      <c r="D643" t="str" cm="1">
        <f t="array" aca="1" ref="D643" ca="1">IF(OR(COUNTIF(damper_names,_xlfn.CONCAT("D_S_",C643))=1, COUNTIF(damper_names,_xlfn.CONCAT("D_E_",C643))=1), "C", "")</f>
        <v/>
      </c>
      <c r="E643" t="str">
        <f t="shared" ca="1" si="35"/>
        <v/>
      </c>
      <c r="F643" t="str">
        <f t="shared" ca="1" si="36"/>
        <v/>
      </c>
      <c r="G643" t="str">
        <f t="shared" ca="1" si="37"/>
        <v/>
      </c>
      <c r="H643" t="str">
        <f t="shared" ca="1" si="38"/>
        <v/>
      </c>
      <c r="I643" t="str">
        <f t="shared" ca="1" si="39"/>
        <v/>
      </c>
    </row>
    <row r="644" spans="1:9" x14ac:dyDescent="0.25">
      <c r="A644" s="1"/>
      <c r="D644" t="str" cm="1">
        <f t="array" aca="1" ref="D644" ca="1">IF(OR(COUNTIF(damper_names,_xlfn.CONCAT("D_S_",C644))=1, COUNTIF(damper_names,_xlfn.CONCAT("D_E_",C644))=1), "C", "")</f>
        <v/>
      </c>
      <c r="E644" t="str">
        <f t="shared" ca="1" si="35"/>
        <v/>
      </c>
      <c r="F644" t="str">
        <f t="shared" ca="1" si="36"/>
        <v/>
      </c>
      <c r="G644" t="str">
        <f t="shared" ca="1" si="37"/>
        <v/>
      </c>
      <c r="H644" t="str">
        <f t="shared" ca="1" si="38"/>
        <v/>
      </c>
      <c r="I644" t="str">
        <f t="shared" ca="1" si="39"/>
        <v/>
      </c>
    </row>
    <row r="645" spans="1:9" x14ac:dyDescent="0.25">
      <c r="A645" s="1"/>
      <c r="D645" t="str" cm="1">
        <f t="array" aca="1" ref="D645" ca="1">IF(OR(COUNTIF(damper_names,_xlfn.CONCAT("D_S_",C645))=1, COUNTIF(damper_names,_xlfn.CONCAT("D_E_",C645))=1), "C", "")</f>
        <v/>
      </c>
      <c r="E645" t="str">
        <f t="shared" ca="1" si="35"/>
        <v/>
      </c>
      <c r="F645" t="str">
        <f t="shared" ca="1" si="36"/>
        <v/>
      </c>
      <c r="G645" t="str">
        <f t="shared" ca="1" si="37"/>
        <v/>
      </c>
      <c r="H645" t="str">
        <f t="shared" ca="1" si="38"/>
        <v/>
      </c>
      <c r="I645" t="str">
        <f t="shared" ca="1" si="39"/>
        <v/>
      </c>
    </row>
    <row r="646" spans="1:9" x14ac:dyDescent="0.25">
      <c r="A646" s="1"/>
      <c r="D646" t="str" cm="1">
        <f t="array" aca="1" ref="D646" ca="1">IF(OR(COUNTIF(damper_names,_xlfn.CONCAT("D_S_",C646))=1, COUNTIF(damper_names,_xlfn.CONCAT("D_E_",C646))=1), "C", "")</f>
        <v/>
      </c>
      <c r="E646" t="str">
        <f t="shared" ca="1" si="35"/>
        <v/>
      </c>
      <c r="F646" t="str">
        <f t="shared" ca="1" si="36"/>
        <v/>
      </c>
      <c r="G646" t="str">
        <f t="shared" ca="1" si="37"/>
        <v/>
      </c>
      <c r="H646" t="str">
        <f t="shared" ca="1" si="38"/>
        <v/>
      </c>
      <c r="I646" t="str">
        <f t="shared" ca="1" si="39"/>
        <v/>
      </c>
    </row>
    <row r="647" spans="1:9" x14ac:dyDescent="0.25">
      <c r="A647" s="1"/>
      <c r="D647" t="str" cm="1">
        <f t="array" aca="1" ref="D647" ca="1">IF(OR(COUNTIF(damper_names,_xlfn.CONCAT("D_S_",C647))=1, COUNTIF(damper_names,_xlfn.CONCAT("D_E_",C647))=1), "C", "")</f>
        <v/>
      </c>
      <c r="E647" t="str">
        <f t="shared" ca="1" si="35"/>
        <v/>
      </c>
      <c r="F647" t="str">
        <f t="shared" ca="1" si="36"/>
        <v/>
      </c>
      <c r="G647" t="str">
        <f t="shared" ca="1" si="37"/>
        <v/>
      </c>
      <c r="H647" t="str">
        <f t="shared" ca="1" si="38"/>
        <v/>
      </c>
      <c r="I647" t="str">
        <f t="shared" ca="1" si="39"/>
        <v/>
      </c>
    </row>
    <row r="648" spans="1:9" x14ac:dyDescent="0.25">
      <c r="A648" s="1"/>
      <c r="D648" t="str" cm="1">
        <f t="array" aca="1" ref="D648" ca="1">IF(OR(COUNTIF(damper_names,_xlfn.CONCAT("D_S_",C648))=1, COUNTIF(damper_names,_xlfn.CONCAT("D_E_",C648))=1), "C", "")</f>
        <v/>
      </c>
      <c r="E648" t="str">
        <f t="shared" ca="1" si="35"/>
        <v/>
      </c>
      <c r="F648" t="str">
        <f t="shared" ca="1" si="36"/>
        <v/>
      </c>
      <c r="G648" t="str">
        <f t="shared" ca="1" si="37"/>
        <v/>
      </c>
      <c r="H648" t="str">
        <f t="shared" ca="1" si="38"/>
        <v/>
      </c>
      <c r="I648" t="str">
        <f t="shared" ca="1" si="39"/>
        <v/>
      </c>
    </row>
    <row r="649" spans="1:9" x14ac:dyDescent="0.25">
      <c r="A649" s="1"/>
      <c r="D649" t="str" cm="1">
        <f t="array" aca="1" ref="D649" ca="1">IF(OR(COUNTIF(damper_names,_xlfn.CONCAT("D_S_",C649))=1, COUNTIF(damper_names,_xlfn.CONCAT("D_E_",C649))=1), "C", "")</f>
        <v/>
      </c>
      <c r="E649" t="str">
        <f t="shared" ca="1" si="35"/>
        <v/>
      </c>
      <c r="F649" t="str">
        <f t="shared" ca="1" si="36"/>
        <v/>
      </c>
      <c r="G649" t="str">
        <f t="shared" ca="1" si="37"/>
        <v/>
      </c>
      <c r="H649" t="str">
        <f t="shared" ca="1" si="38"/>
        <v/>
      </c>
      <c r="I649" t="str">
        <f t="shared" ca="1" si="39"/>
        <v/>
      </c>
    </row>
    <row r="650" spans="1:9" x14ac:dyDescent="0.25">
      <c r="A650" s="1"/>
      <c r="D650" t="str" cm="1">
        <f t="array" aca="1" ref="D650" ca="1">IF(OR(COUNTIF(damper_names,_xlfn.CONCAT("D_S_",C650))=1, COUNTIF(damper_names,_xlfn.CONCAT("D_E_",C650))=1), "C", "")</f>
        <v/>
      </c>
      <c r="E650" t="str">
        <f t="shared" ca="1" si="35"/>
        <v/>
      </c>
      <c r="F650" t="str">
        <f t="shared" ca="1" si="36"/>
        <v/>
      </c>
      <c r="G650" t="str">
        <f t="shared" ca="1" si="37"/>
        <v/>
      </c>
      <c r="H650" t="str">
        <f t="shared" ca="1" si="38"/>
        <v/>
      </c>
      <c r="I650" t="str">
        <f t="shared" ca="1" si="39"/>
        <v/>
      </c>
    </row>
    <row r="651" spans="1:9" x14ac:dyDescent="0.25">
      <c r="A651" s="1"/>
      <c r="D651" t="str" cm="1">
        <f t="array" aca="1" ref="D651" ca="1">IF(OR(COUNTIF(damper_names,_xlfn.CONCAT("D_S_",C651))=1, COUNTIF(damper_names,_xlfn.CONCAT("D_E_",C651))=1), "C", "")</f>
        <v/>
      </c>
      <c r="E651" t="str">
        <f t="shared" ca="1" si="35"/>
        <v/>
      </c>
      <c r="F651" t="str">
        <f t="shared" ca="1" si="36"/>
        <v/>
      </c>
      <c r="G651" t="str">
        <f t="shared" ca="1" si="37"/>
        <v/>
      </c>
      <c r="H651" t="str">
        <f t="shared" ca="1" si="38"/>
        <v/>
      </c>
      <c r="I651" t="str">
        <f t="shared" ca="1" si="39"/>
        <v/>
      </c>
    </row>
    <row r="652" spans="1:9" x14ac:dyDescent="0.25">
      <c r="A652" s="1"/>
      <c r="D652" t="str" cm="1">
        <f t="array" aca="1" ref="D652" ca="1">IF(OR(COUNTIF(damper_names,_xlfn.CONCAT("D_S_",C652))=1, COUNTIF(damper_names,_xlfn.CONCAT("D_E_",C652))=1), "C", "")</f>
        <v/>
      </c>
      <c r="E652" t="str">
        <f t="shared" ca="1" si="35"/>
        <v/>
      </c>
      <c r="F652" t="str">
        <f t="shared" ca="1" si="36"/>
        <v/>
      </c>
      <c r="G652" t="str">
        <f t="shared" ca="1" si="37"/>
        <v/>
      </c>
      <c r="H652" t="str">
        <f t="shared" ca="1" si="38"/>
        <v/>
      </c>
      <c r="I652" t="str">
        <f t="shared" ca="1" si="39"/>
        <v/>
      </c>
    </row>
    <row r="653" spans="1:9" x14ac:dyDescent="0.25">
      <c r="A653" s="1"/>
      <c r="D653" t="str" cm="1">
        <f t="array" aca="1" ref="D653" ca="1">IF(OR(COUNTIF(damper_names,_xlfn.CONCAT("D_S_",C653))=1, COUNTIF(damper_names,_xlfn.CONCAT("D_E_",C653))=1), "C", "")</f>
        <v/>
      </c>
      <c r="E653" t="str">
        <f t="shared" ca="1" si="35"/>
        <v/>
      </c>
      <c r="F653" t="str">
        <f t="shared" ca="1" si="36"/>
        <v/>
      </c>
      <c r="G653" t="str">
        <f t="shared" ca="1" si="37"/>
        <v/>
      </c>
      <c r="H653" t="str">
        <f t="shared" ca="1" si="38"/>
        <v/>
      </c>
      <c r="I653" t="str">
        <f t="shared" ca="1" si="39"/>
        <v/>
      </c>
    </row>
    <row r="654" spans="1:9" x14ac:dyDescent="0.25">
      <c r="A654" s="1"/>
      <c r="D654" t="str" cm="1">
        <f t="array" aca="1" ref="D654" ca="1">IF(OR(COUNTIF(damper_names,_xlfn.CONCAT("D_S_",C654))=1, COUNTIF(damper_names,_xlfn.CONCAT("D_E_",C654))=1), "C", "")</f>
        <v/>
      </c>
      <c r="E654" t="str">
        <f t="shared" ca="1" si="35"/>
        <v/>
      </c>
      <c r="F654" t="str">
        <f t="shared" ca="1" si="36"/>
        <v/>
      </c>
      <c r="G654" t="str">
        <f t="shared" ca="1" si="37"/>
        <v/>
      </c>
      <c r="H654" t="str">
        <f t="shared" ca="1" si="38"/>
        <v/>
      </c>
      <c r="I654" t="str">
        <f t="shared" ca="1" si="39"/>
        <v/>
      </c>
    </row>
    <row r="655" spans="1:9" x14ac:dyDescent="0.25">
      <c r="A655" s="1"/>
      <c r="D655" t="str" cm="1">
        <f t="array" aca="1" ref="D655" ca="1">IF(OR(COUNTIF(damper_names,_xlfn.CONCAT("D_S_",C655))=1, COUNTIF(damper_names,_xlfn.CONCAT("D_E_",C655))=1), "C", "")</f>
        <v/>
      </c>
      <c r="E655" t="str">
        <f t="shared" ca="1" si="35"/>
        <v/>
      </c>
      <c r="F655" t="str">
        <f t="shared" ca="1" si="36"/>
        <v/>
      </c>
      <c r="G655" t="str">
        <f t="shared" ca="1" si="37"/>
        <v/>
      </c>
      <c r="H655" t="str">
        <f t="shared" ca="1" si="38"/>
        <v/>
      </c>
      <c r="I655" t="str">
        <f t="shared" ca="1" si="39"/>
        <v/>
      </c>
    </row>
    <row r="656" spans="1:9" x14ac:dyDescent="0.25">
      <c r="A656" s="1"/>
      <c r="D656" t="str" cm="1">
        <f t="array" aca="1" ref="D656" ca="1">IF(OR(COUNTIF(damper_names,_xlfn.CONCAT("D_S_",C656))=1, COUNTIF(damper_names,_xlfn.CONCAT("D_E_",C656))=1), "C", "")</f>
        <v/>
      </c>
      <c r="E656" t="str">
        <f t="shared" ca="1" si="35"/>
        <v/>
      </c>
      <c r="F656" t="str">
        <f t="shared" ca="1" si="36"/>
        <v/>
      </c>
      <c r="G656" t="str">
        <f t="shared" ca="1" si="37"/>
        <v/>
      </c>
      <c r="H656" t="str">
        <f t="shared" ca="1" si="38"/>
        <v/>
      </c>
      <c r="I656" t="str">
        <f t="shared" ca="1" si="39"/>
        <v/>
      </c>
    </row>
    <row r="657" spans="1:9" x14ac:dyDescent="0.25">
      <c r="A657" s="1"/>
      <c r="D657" t="str" cm="1">
        <f t="array" aca="1" ref="D657" ca="1">IF(OR(COUNTIF(damper_names,_xlfn.CONCAT("D_S_",C657))=1, COUNTIF(damper_names,_xlfn.CONCAT("D_E_",C657))=1), "C", "")</f>
        <v/>
      </c>
      <c r="E657" t="str">
        <f t="shared" ca="1" si="35"/>
        <v/>
      </c>
      <c r="F657" t="str">
        <f t="shared" ca="1" si="36"/>
        <v/>
      </c>
      <c r="G657" t="str">
        <f t="shared" ca="1" si="37"/>
        <v/>
      </c>
      <c r="H657" t="str">
        <f t="shared" ca="1" si="38"/>
        <v/>
      </c>
      <c r="I657" t="str">
        <f t="shared" ca="1" si="39"/>
        <v/>
      </c>
    </row>
    <row r="658" spans="1:9" x14ac:dyDescent="0.25">
      <c r="A658" s="1"/>
      <c r="D658" t="str" cm="1">
        <f t="array" aca="1" ref="D658" ca="1">IF(OR(COUNTIF(damper_names,_xlfn.CONCAT("D_S_",C658))=1, COUNTIF(damper_names,_xlfn.CONCAT("D_E_",C658))=1), "C", "")</f>
        <v/>
      </c>
      <c r="E658" t="str">
        <f t="shared" ca="1" si="35"/>
        <v/>
      </c>
      <c r="F658" t="str">
        <f t="shared" ca="1" si="36"/>
        <v/>
      </c>
      <c r="G658" t="str">
        <f t="shared" ca="1" si="37"/>
        <v/>
      </c>
      <c r="H658" t="str">
        <f t="shared" ca="1" si="38"/>
        <v/>
      </c>
      <c r="I658" t="str">
        <f t="shared" ca="1" si="39"/>
        <v/>
      </c>
    </row>
    <row r="659" spans="1:9" x14ac:dyDescent="0.25">
      <c r="A659" s="1"/>
      <c r="D659" t="str" cm="1">
        <f t="array" aca="1" ref="D659" ca="1">IF(OR(COUNTIF(damper_names,_xlfn.CONCAT("D_S_",C659))=1, COUNTIF(damper_names,_xlfn.CONCAT("D_E_",C659))=1), "C", "")</f>
        <v/>
      </c>
      <c r="E659" t="str">
        <f t="shared" ca="1" si="35"/>
        <v/>
      </c>
      <c r="F659" t="str">
        <f t="shared" ca="1" si="36"/>
        <v/>
      </c>
      <c r="G659" t="str">
        <f t="shared" ca="1" si="37"/>
        <v/>
      </c>
      <c r="H659" t="str">
        <f t="shared" ca="1" si="38"/>
        <v/>
      </c>
      <c r="I659" t="str">
        <f t="shared" ca="1" si="39"/>
        <v/>
      </c>
    </row>
    <row r="660" spans="1:9" x14ac:dyDescent="0.25">
      <c r="A660" s="1"/>
      <c r="D660" t="str" cm="1">
        <f t="array" aca="1" ref="D660" ca="1">IF(OR(COUNTIF(damper_names,_xlfn.CONCAT("D_S_",C660))=1, COUNTIF(damper_names,_xlfn.CONCAT("D_E_",C660))=1), "C", "")</f>
        <v/>
      </c>
      <c r="E660" t="str">
        <f t="shared" ca="1" si="35"/>
        <v/>
      </c>
      <c r="F660" t="str">
        <f t="shared" ca="1" si="36"/>
        <v/>
      </c>
      <c r="G660" t="str">
        <f t="shared" ca="1" si="37"/>
        <v/>
      </c>
      <c r="H660" t="str">
        <f t="shared" ca="1" si="38"/>
        <v/>
      </c>
      <c r="I660" t="str">
        <f t="shared" ca="1" si="39"/>
        <v/>
      </c>
    </row>
    <row r="661" spans="1:9" x14ac:dyDescent="0.25">
      <c r="A661" s="1"/>
      <c r="D661" t="str" cm="1">
        <f t="array" aca="1" ref="D661" ca="1">IF(OR(COUNTIF(damper_names,_xlfn.CONCAT("D_S_",C661))=1, COUNTIF(damper_names,_xlfn.CONCAT("D_E_",C661))=1), "C", "")</f>
        <v/>
      </c>
      <c r="E661" t="str">
        <f t="shared" ca="1" si="35"/>
        <v/>
      </c>
      <c r="F661" t="str">
        <f t="shared" ca="1" si="36"/>
        <v/>
      </c>
      <c r="G661" t="str">
        <f t="shared" ca="1" si="37"/>
        <v/>
      </c>
      <c r="H661" t="str">
        <f t="shared" ca="1" si="38"/>
        <v/>
      </c>
      <c r="I661" t="str">
        <f t="shared" ca="1" si="39"/>
        <v/>
      </c>
    </row>
    <row r="662" spans="1:9" x14ac:dyDescent="0.25">
      <c r="A662" s="1"/>
      <c r="D662" t="str" cm="1">
        <f t="array" aca="1" ref="D662" ca="1">IF(OR(COUNTIF(damper_names,_xlfn.CONCAT("D_S_",C662))=1, COUNTIF(damper_names,_xlfn.CONCAT("D_E_",C662))=1), "C", "")</f>
        <v/>
      </c>
      <c r="E662" t="str">
        <f t="shared" ca="1" si="35"/>
        <v/>
      </c>
      <c r="F662" t="str">
        <f t="shared" ca="1" si="36"/>
        <v/>
      </c>
      <c r="G662" t="str">
        <f t="shared" ca="1" si="37"/>
        <v/>
      </c>
      <c r="H662" t="str">
        <f t="shared" ca="1" si="38"/>
        <v/>
      </c>
      <c r="I662" t="str">
        <f t="shared" ca="1" si="39"/>
        <v/>
      </c>
    </row>
    <row r="663" spans="1:9" x14ac:dyDescent="0.25">
      <c r="A663" s="1"/>
      <c r="D663" t="str" cm="1">
        <f t="array" aca="1" ref="D663" ca="1">IF(OR(COUNTIF(damper_names,_xlfn.CONCAT("D_S_",C663))=1, COUNTIF(damper_names,_xlfn.CONCAT("D_E_",C663))=1), "C", "")</f>
        <v/>
      </c>
      <c r="E663" t="str">
        <f t="shared" ca="1" si="35"/>
        <v/>
      </c>
      <c r="F663" t="str">
        <f t="shared" ca="1" si="36"/>
        <v/>
      </c>
      <c r="G663" t="str">
        <f t="shared" ca="1" si="37"/>
        <v/>
      </c>
      <c r="H663" t="str">
        <f t="shared" ca="1" si="38"/>
        <v/>
      </c>
      <c r="I663" t="str">
        <f t="shared" ca="1" si="39"/>
        <v/>
      </c>
    </row>
    <row r="664" spans="1:9" x14ac:dyDescent="0.25">
      <c r="A664" s="1"/>
      <c r="D664" t="str" cm="1">
        <f t="array" aca="1" ref="D664" ca="1">IF(OR(COUNTIF(damper_names,_xlfn.CONCAT("D_S_",C664))=1, COUNTIF(damper_names,_xlfn.CONCAT("D_E_",C664))=1), "C", "")</f>
        <v/>
      </c>
      <c r="E664" t="str">
        <f t="shared" ca="1" si="35"/>
        <v/>
      </c>
      <c r="F664" t="str">
        <f t="shared" ca="1" si="36"/>
        <v/>
      </c>
      <c r="G664" t="str">
        <f t="shared" ca="1" si="37"/>
        <v/>
      </c>
      <c r="H664" t="str">
        <f t="shared" ca="1" si="38"/>
        <v/>
      </c>
      <c r="I664" t="str">
        <f t="shared" ca="1" si="39"/>
        <v/>
      </c>
    </row>
    <row r="665" spans="1:9" x14ac:dyDescent="0.25">
      <c r="A665" s="1"/>
      <c r="D665" t="str" cm="1">
        <f t="array" aca="1" ref="D665" ca="1">IF(OR(COUNTIF(damper_names,_xlfn.CONCAT("D_S_",C665))=1, COUNTIF(damper_names,_xlfn.CONCAT("D_E_",C665))=1), "C", "")</f>
        <v/>
      </c>
      <c r="E665" t="str">
        <f t="shared" ca="1" si="35"/>
        <v/>
      </c>
      <c r="F665" t="str">
        <f t="shared" ca="1" si="36"/>
        <v/>
      </c>
      <c r="G665" t="str">
        <f t="shared" ca="1" si="37"/>
        <v/>
      </c>
      <c r="H665" t="str">
        <f t="shared" ca="1" si="38"/>
        <v/>
      </c>
      <c r="I665" t="str">
        <f t="shared" ca="1" si="39"/>
        <v/>
      </c>
    </row>
    <row r="666" spans="1:9" x14ac:dyDescent="0.25">
      <c r="A666" s="1"/>
      <c r="D666" t="str" cm="1">
        <f t="array" aca="1" ref="D666" ca="1">IF(OR(COUNTIF(damper_names,_xlfn.CONCAT("D_S_",C666))=1, COUNTIF(damper_names,_xlfn.CONCAT("D_E_",C666))=1), "C", "")</f>
        <v/>
      </c>
      <c r="E666" t="str">
        <f t="shared" ca="1" si="35"/>
        <v/>
      </c>
      <c r="F666" t="str">
        <f t="shared" ca="1" si="36"/>
        <v/>
      </c>
      <c r="G666" t="str">
        <f t="shared" ca="1" si="37"/>
        <v/>
      </c>
      <c r="H666" t="str">
        <f t="shared" ca="1" si="38"/>
        <v/>
      </c>
      <c r="I666" t="str">
        <f t="shared" ca="1" si="39"/>
        <v/>
      </c>
    </row>
    <row r="667" spans="1:9" x14ac:dyDescent="0.25">
      <c r="A667" s="1"/>
      <c r="D667" t="str" cm="1">
        <f t="array" aca="1" ref="D667" ca="1">IF(OR(COUNTIF(damper_names,_xlfn.CONCAT("D_S_",C667))=1, COUNTIF(damper_names,_xlfn.CONCAT("D_E_",C667))=1), "C", "")</f>
        <v/>
      </c>
      <c r="E667" t="str">
        <f t="shared" ca="1" si="35"/>
        <v/>
      </c>
      <c r="F667" t="str">
        <f t="shared" ca="1" si="36"/>
        <v/>
      </c>
      <c r="G667" t="str">
        <f t="shared" ca="1" si="37"/>
        <v/>
      </c>
      <c r="H667" t="str">
        <f t="shared" ca="1" si="38"/>
        <v/>
      </c>
      <c r="I667" t="str">
        <f t="shared" ca="1" si="39"/>
        <v/>
      </c>
    </row>
    <row r="668" spans="1:9" x14ac:dyDescent="0.25">
      <c r="A668" s="1"/>
      <c r="D668" t="str" cm="1">
        <f t="array" aca="1" ref="D668" ca="1">IF(OR(COUNTIF(damper_names,_xlfn.CONCAT("D_S_",C668))=1, COUNTIF(damper_names,_xlfn.CONCAT("D_E_",C668))=1), "C", "")</f>
        <v/>
      </c>
      <c r="E668" t="str">
        <f t="shared" ca="1" si="35"/>
        <v/>
      </c>
      <c r="F668" t="str">
        <f t="shared" ca="1" si="36"/>
        <v/>
      </c>
      <c r="G668" t="str">
        <f t="shared" ca="1" si="37"/>
        <v/>
      </c>
      <c r="H668" t="str">
        <f t="shared" ca="1" si="38"/>
        <v/>
      </c>
      <c r="I668" t="str">
        <f t="shared" ca="1" si="39"/>
        <v/>
      </c>
    </row>
    <row r="669" spans="1:9" x14ac:dyDescent="0.25">
      <c r="A669" s="1"/>
      <c r="D669" t="str" cm="1">
        <f t="array" aca="1" ref="D669" ca="1">IF(OR(COUNTIF(damper_names,_xlfn.CONCAT("D_S_",C669))=1, COUNTIF(damper_names,_xlfn.CONCAT("D_E_",C669))=1), "C", "")</f>
        <v/>
      </c>
      <c r="E669" t="str">
        <f t="shared" ca="1" si="35"/>
        <v/>
      </c>
      <c r="F669" t="str">
        <f t="shared" ca="1" si="36"/>
        <v/>
      </c>
      <c r="G669" t="str">
        <f t="shared" ca="1" si="37"/>
        <v/>
      </c>
      <c r="H669" t="str">
        <f t="shared" ca="1" si="38"/>
        <v/>
      </c>
      <c r="I669" t="str">
        <f t="shared" ca="1" si="39"/>
        <v/>
      </c>
    </row>
    <row r="670" spans="1:9" x14ac:dyDescent="0.25">
      <c r="A670" s="1"/>
      <c r="D670" t="str" cm="1">
        <f t="array" aca="1" ref="D670" ca="1">IF(OR(COUNTIF(damper_names,_xlfn.CONCAT("D_S_",C670))=1, COUNTIF(damper_names,_xlfn.CONCAT("D_E_",C670))=1), "C", "")</f>
        <v/>
      </c>
      <c r="E670" t="str">
        <f t="shared" ca="1" si="35"/>
        <v/>
      </c>
      <c r="F670" t="str">
        <f t="shared" ca="1" si="36"/>
        <v/>
      </c>
      <c r="G670" t="str">
        <f t="shared" ca="1" si="37"/>
        <v/>
      </c>
      <c r="H670" t="str">
        <f t="shared" ca="1" si="38"/>
        <v/>
      </c>
      <c r="I670" t="str">
        <f t="shared" ca="1" si="39"/>
        <v/>
      </c>
    </row>
    <row r="671" spans="1:9" x14ac:dyDescent="0.25">
      <c r="A671" s="1"/>
      <c r="D671" t="str" cm="1">
        <f t="array" aca="1" ref="D671" ca="1">IF(OR(COUNTIF(damper_names,_xlfn.CONCAT("D_S_",C671))=1, COUNTIF(damper_names,_xlfn.CONCAT("D_E_",C671))=1), "C", "")</f>
        <v/>
      </c>
      <c r="E671" t="str">
        <f t="shared" ca="1" si="35"/>
        <v/>
      </c>
      <c r="F671" t="str">
        <f t="shared" ca="1" si="36"/>
        <v/>
      </c>
      <c r="G671" t="str">
        <f t="shared" ca="1" si="37"/>
        <v/>
      </c>
      <c r="H671" t="str">
        <f t="shared" ca="1" si="38"/>
        <v/>
      </c>
      <c r="I671" t="str">
        <f t="shared" ca="1" si="39"/>
        <v/>
      </c>
    </row>
    <row r="672" spans="1:9" x14ac:dyDescent="0.25">
      <c r="A672" s="1"/>
      <c r="D672" t="str" cm="1">
        <f t="array" aca="1" ref="D672" ca="1">IF(OR(COUNTIF(damper_names,_xlfn.CONCAT("D_S_",C672))=1, COUNTIF(damper_names,_xlfn.CONCAT("D_E_",C672))=1), "C", "")</f>
        <v/>
      </c>
      <c r="E672" t="str">
        <f t="shared" ca="1" si="35"/>
        <v/>
      </c>
      <c r="F672" t="str">
        <f t="shared" ca="1" si="36"/>
        <v/>
      </c>
      <c r="G672" t="str">
        <f t="shared" ca="1" si="37"/>
        <v/>
      </c>
      <c r="H672" t="str">
        <f t="shared" ca="1" si="38"/>
        <v/>
      </c>
      <c r="I672" t="str">
        <f t="shared" ca="1" si="39"/>
        <v/>
      </c>
    </row>
    <row r="673" spans="1:9" x14ac:dyDescent="0.25">
      <c r="A673" s="1"/>
      <c r="D673" t="str" cm="1">
        <f t="array" aca="1" ref="D673" ca="1">IF(OR(COUNTIF(damper_names,_xlfn.CONCAT("D_S_",C673))=1, COUNTIF(damper_names,_xlfn.CONCAT("D_E_",C673))=1), "C", "")</f>
        <v/>
      </c>
      <c r="E673" t="str">
        <f t="shared" ca="1" si="35"/>
        <v/>
      </c>
      <c r="F673" t="str">
        <f t="shared" ca="1" si="36"/>
        <v/>
      </c>
      <c r="G673" t="str">
        <f t="shared" ca="1" si="37"/>
        <v/>
      </c>
      <c r="H673" t="str">
        <f t="shared" ca="1" si="38"/>
        <v/>
      </c>
      <c r="I673" t="str">
        <f t="shared" ca="1" si="39"/>
        <v/>
      </c>
    </row>
    <row r="674" spans="1:9" x14ac:dyDescent="0.25">
      <c r="A674" s="1"/>
      <c r="D674" t="str" cm="1">
        <f t="array" aca="1" ref="D674" ca="1">IF(OR(COUNTIF(damper_names,_xlfn.CONCAT("D_S_",C674))=1, COUNTIF(damper_names,_xlfn.CONCAT("D_E_",C674))=1), "C", "")</f>
        <v/>
      </c>
      <c r="E674" t="str">
        <f t="shared" ca="1" si="35"/>
        <v/>
      </c>
      <c r="F674" t="str">
        <f t="shared" ca="1" si="36"/>
        <v/>
      </c>
      <c r="G674" t="str">
        <f t="shared" ca="1" si="37"/>
        <v/>
      </c>
      <c r="H674" t="str">
        <f t="shared" ca="1" si="38"/>
        <v/>
      </c>
      <c r="I674" t="str">
        <f t="shared" ca="1" si="39"/>
        <v/>
      </c>
    </row>
    <row r="675" spans="1:9" x14ac:dyDescent="0.25">
      <c r="A675" s="1"/>
      <c r="D675" t="str" cm="1">
        <f t="array" aca="1" ref="D675" ca="1">IF(OR(COUNTIF(damper_names,_xlfn.CONCAT("D_S_",C675))=1, COUNTIF(damper_names,_xlfn.CONCAT("D_E_",C675))=1), "C", "")</f>
        <v/>
      </c>
      <c r="E675" t="str">
        <f t="shared" ca="1" si="35"/>
        <v/>
      </c>
      <c r="F675" t="str">
        <f t="shared" ca="1" si="36"/>
        <v/>
      </c>
      <c r="G675" t="str">
        <f t="shared" ca="1" si="37"/>
        <v/>
      </c>
      <c r="H675" t="str">
        <f t="shared" ca="1" si="38"/>
        <v/>
      </c>
      <c r="I675" t="str">
        <f t="shared" ca="1" si="39"/>
        <v/>
      </c>
    </row>
    <row r="676" spans="1:9" x14ac:dyDescent="0.25">
      <c r="A676" s="1"/>
      <c r="D676" t="str" cm="1">
        <f t="array" aca="1" ref="D676" ca="1">IF(OR(COUNTIF(damper_names,_xlfn.CONCAT("D_S_",C676))=1, COUNTIF(damper_names,_xlfn.CONCAT("D_E_",C676))=1), "C", "")</f>
        <v/>
      </c>
      <c r="E676" t="str">
        <f t="shared" ca="1" si="35"/>
        <v/>
      </c>
      <c r="F676" t="str">
        <f t="shared" ca="1" si="36"/>
        <v/>
      </c>
      <c r="G676" t="str">
        <f t="shared" ca="1" si="37"/>
        <v/>
      </c>
      <c r="H676" t="str">
        <f t="shared" ca="1" si="38"/>
        <v/>
      </c>
      <c r="I676" t="str">
        <f t="shared" ca="1" si="39"/>
        <v/>
      </c>
    </row>
    <row r="677" spans="1:9" x14ac:dyDescent="0.25">
      <c r="A677" s="1"/>
      <c r="D677" t="str" cm="1">
        <f t="array" aca="1" ref="D677" ca="1">IF(OR(COUNTIF(damper_names,_xlfn.CONCAT("D_S_",C677))=1, COUNTIF(damper_names,_xlfn.CONCAT("D_E_",C677))=1), "C", "")</f>
        <v/>
      </c>
      <c r="E677" t="str">
        <f t="shared" ca="1" si="35"/>
        <v/>
      </c>
      <c r="F677" t="str">
        <f t="shared" ca="1" si="36"/>
        <v/>
      </c>
      <c r="G677" t="str">
        <f t="shared" ca="1" si="37"/>
        <v/>
      </c>
      <c r="H677" t="str">
        <f t="shared" ca="1" si="38"/>
        <v/>
      </c>
      <c r="I677" t="str">
        <f t="shared" ca="1" si="39"/>
        <v/>
      </c>
    </row>
    <row r="678" spans="1:9" x14ac:dyDescent="0.25">
      <c r="A678" s="1"/>
      <c r="D678" t="str" cm="1">
        <f t="array" aca="1" ref="D678" ca="1">IF(OR(COUNTIF(damper_names,_xlfn.CONCAT("D_S_",C678))=1, COUNTIF(damper_names,_xlfn.CONCAT("D_E_",C678))=1), "C", "")</f>
        <v/>
      </c>
      <c r="E678" t="str">
        <f t="shared" ca="1" si="35"/>
        <v/>
      </c>
      <c r="F678" t="str">
        <f t="shared" ca="1" si="36"/>
        <v/>
      </c>
      <c r="G678" t="str">
        <f t="shared" ca="1" si="37"/>
        <v/>
      </c>
      <c r="H678" t="str">
        <f t="shared" ca="1" si="38"/>
        <v/>
      </c>
      <c r="I678" t="str">
        <f t="shared" ca="1" si="39"/>
        <v/>
      </c>
    </row>
    <row r="679" spans="1:9" x14ac:dyDescent="0.25">
      <c r="A679" s="1"/>
      <c r="D679" t="str" cm="1">
        <f t="array" aca="1" ref="D679" ca="1">IF(OR(COUNTIF(damper_names,_xlfn.CONCAT("D_S_",C679))=1, COUNTIF(damper_names,_xlfn.CONCAT("D_E_",C679))=1), "C", "")</f>
        <v/>
      </c>
      <c r="E679" t="str">
        <f t="shared" ca="1" si="35"/>
        <v/>
      </c>
      <c r="F679" t="str">
        <f t="shared" ca="1" si="36"/>
        <v/>
      </c>
      <c r="G679" t="str">
        <f t="shared" ca="1" si="37"/>
        <v/>
      </c>
      <c r="H679" t="str">
        <f t="shared" ca="1" si="38"/>
        <v/>
      </c>
      <c r="I679" t="str">
        <f t="shared" ca="1" si="39"/>
        <v/>
      </c>
    </row>
    <row r="680" spans="1:9" x14ac:dyDescent="0.25">
      <c r="A680" s="1"/>
      <c r="D680" t="str" cm="1">
        <f t="array" aca="1" ref="D680" ca="1">IF(OR(COUNTIF(damper_names,_xlfn.CONCAT("D_S_",C680))=1, COUNTIF(damper_names,_xlfn.CONCAT("D_E_",C680))=1), "C", "")</f>
        <v/>
      </c>
      <c r="E680" t="str">
        <f t="shared" ca="1" si="35"/>
        <v/>
      </c>
      <c r="F680" t="str">
        <f t="shared" ca="1" si="36"/>
        <v/>
      </c>
      <c r="G680" t="str">
        <f t="shared" ca="1" si="37"/>
        <v/>
      </c>
      <c r="H680" t="str">
        <f t="shared" ca="1" si="38"/>
        <v/>
      </c>
      <c r="I680" t="str">
        <f t="shared" ca="1" si="39"/>
        <v/>
      </c>
    </row>
    <row r="681" spans="1:9" x14ac:dyDescent="0.25">
      <c r="A681" s="1"/>
      <c r="D681" t="str" cm="1">
        <f t="array" aca="1" ref="D681" ca="1">IF(OR(COUNTIF(damper_names,_xlfn.CONCAT("D_S_",C681))=1, COUNTIF(damper_names,_xlfn.CONCAT("D_E_",C681))=1), "C", "")</f>
        <v/>
      </c>
      <c r="E681" t="str">
        <f t="shared" ca="1" si="35"/>
        <v/>
      </c>
      <c r="F681" t="str">
        <f t="shared" ca="1" si="36"/>
        <v/>
      </c>
      <c r="G681" t="str">
        <f t="shared" ca="1" si="37"/>
        <v/>
      </c>
      <c r="H681" t="str">
        <f t="shared" ca="1" si="38"/>
        <v/>
      </c>
      <c r="I681" t="str">
        <f t="shared" ca="1" si="39"/>
        <v/>
      </c>
    </row>
    <row r="682" spans="1:9" x14ac:dyDescent="0.25">
      <c r="A682" s="1"/>
      <c r="D682" t="str" cm="1">
        <f t="array" aca="1" ref="D682" ca="1">IF(OR(COUNTIF(damper_names,_xlfn.CONCAT("D_S_",C682))=1, COUNTIF(damper_names,_xlfn.CONCAT("D_E_",C682))=1), "C", "")</f>
        <v/>
      </c>
      <c r="E682" t="str">
        <f t="shared" ca="1" si="35"/>
        <v/>
      </c>
      <c r="F682" t="str">
        <f t="shared" ca="1" si="36"/>
        <v/>
      </c>
      <c r="G682" t="str">
        <f t="shared" ca="1" si="37"/>
        <v/>
      </c>
      <c r="H682" t="str">
        <f t="shared" ca="1" si="38"/>
        <v/>
      </c>
      <c r="I682" t="str">
        <f t="shared" ca="1" si="39"/>
        <v/>
      </c>
    </row>
    <row r="683" spans="1:9" x14ac:dyDescent="0.25">
      <c r="A683" s="1"/>
      <c r="D683" t="str" cm="1">
        <f t="array" aca="1" ref="D683" ca="1">IF(OR(COUNTIF(damper_names,_xlfn.CONCAT("D_S_",C683))=1, COUNTIF(damper_names,_xlfn.CONCAT("D_E_",C683))=1), "C", "")</f>
        <v/>
      </c>
      <c r="E683" t="str">
        <f t="shared" ca="1" si="35"/>
        <v/>
      </c>
      <c r="F683" t="str">
        <f t="shared" ca="1" si="36"/>
        <v/>
      </c>
      <c r="G683" t="str">
        <f t="shared" ca="1" si="37"/>
        <v/>
      </c>
      <c r="H683" t="str">
        <f t="shared" ca="1" si="38"/>
        <v/>
      </c>
      <c r="I683" t="str">
        <f t="shared" ca="1" si="39"/>
        <v/>
      </c>
    </row>
    <row r="684" spans="1:9" x14ac:dyDescent="0.25">
      <c r="A684" s="1"/>
      <c r="D684" t="str" cm="1">
        <f t="array" aca="1" ref="D684" ca="1">IF(OR(COUNTIF(damper_names,_xlfn.CONCAT("D_S_",C684))=1, COUNTIF(damper_names,_xlfn.CONCAT("D_E_",C684))=1), "C", "")</f>
        <v/>
      </c>
      <c r="E684" t="str">
        <f t="shared" ca="1" si="35"/>
        <v/>
      </c>
      <c r="F684" t="str">
        <f t="shared" ca="1" si="36"/>
        <v/>
      </c>
      <c r="G684" t="str">
        <f t="shared" ca="1" si="37"/>
        <v/>
      </c>
      <c r="H684" t="str">
        <f t="shared" ca="1" si="38"/>
        <v/>
      </c>
      <c r="I684" t="str">
        <f t="shared" ca="1" si="39"/>
        <v/>
      </c>
    </row>
    <row r="685" spans="1:9" x14ac:dyDescent="0.25">
      <c r="A685" s="1"/>
      <c r="D685" t="str" cm="1">
        <f t="array" aca="1" ref="D685" ca="1">IF(OR(COUNTIF(damper_names,_xlfn.CONCAT("D_S_",C685))=1, COUNTIF(damper_names,_xlfn.CONCAT("D_E_",C685))=1), "C", "")</f>
        <v/>
      </c>
      <c r="E685" t="str">
        <f t="shared" ca="1" si="35"/>
        <v/>
      </c>
      <c r="F685" t="str">
        <f t="shared" ca="1" si="36"/>
        <v/>
      </c>
      <c r="G685" t="str">
        <f t="shared" ca="1" si="37"/>
        <v/>
      </c>
      <c r="H685" t="str">
        <f t="shared" ca="1" si="38"/>
        <v/>
      </c>
      <c r="I685" t="str">
        <f t="shared" ca="1" si="39"/>
        <v/>
      </c>
    </row>
    <row r="686" spans="1:9" x14ac:dyDescent="0.25">
      <c r="A686" s="1"/>
      <c r="D686" t="str" cm="1">
        <f t="array" aca="1" ref="D686" ca="1">IF(OR(COUNTIF(damper_names,_xlfn.CONCAT("D_S_",C686))=1, COUNTIF(damper_names,_xlfn.CONCAT("D_E_",C686))=1), "C", "")</f>
        <v/>
      </c>
      <c r="E686" t="str">
        <f t="shared" ca="1" si="35"/>
        <v/>
      </c>
      <c r="F686" t="str">
        <f t="shared" ca="1" si="36"/>
        <v/>
      </c>
      <c r="G686" t="str">
        <f t="shared" ca="1" si="37"/>
        <v/>
      </c>
      <c r="H686" t="str">
        <f t="shared" ca="1" si="38"/>
        <v/>
      </c>
      <c r="I686" t="str">
        <f t="shared" ca="1" si="39"/>
        <v/>
      </c>
    </row>
    <row r="687" spans="1:9" x14ac:dyDescent="0.25">
      <c r="A687" s="1"/>
      <c r="D687" t="str" cm="1">
        <f t="array" aca="1" ref="D687" ca="1">IF(OR(COUNTIF(damper_names,_xlfn.CONCAT("D_S_",C687))=1, COUNTIF(damper_names,_xlfn.CONCAT("D_E_",C687))=1), "C", "")</f>
        <v/>
      </c>
      <c r="E687" t="str">
        <f t="shared" ca="1" si="35"/>
        <v/>
      </c>
      <c r="F687" t="str">
        <f t="shared" ca="1" si="36"/>
        <v/>
      </c>
      <c r="G687" t="str">
        <f t="shared" ca="1" si="37"/>
        <v/>
      </c>
      <c r="H687" t="str">
        <f t="shared" ca="1" si="38"/>
        <v/>
      </c>
      <c r="I687" t="str">
        <f t="shared" ca="1" si="39"/>
        <v/>
      </c>
    </row>
    <row r="688" spans="1:9" x14ac:dyDescent="0.25">
      <c r="A688" s="1"/>
      <c r="D688" t="str" cm="1">
        <f t="array" aca="1" ref="D688" ca="1">IF(OR(COUNTIF(damper_names,_xlfn.CONCAT("D_S_",C688))=1, COUNTIF(damper_names,_xlfn.CONCAT("D_E_",C688))=1), "C", "")</f>
        <v/>
      </c>
      <c r="E688" t="str">
        <f t="shared" ca="1" si="35"/>
        <v/>
      </c>
      <c r="F688" t="str">
        <f t="shared" ca="1" si="36"/>
        <v/>
      </c>
      <c r="G688" t="str">
        <f t="shared" ca="1" si="37"/>
        <v/>
      </c>
      <c r="H688" t="str">
        <f t="shared" ca="1" si="38"/>
        <v/>
      </c>
      <c r="I688" t="str">
        <f t="shared" ca="1" si="39"/>
        <v/>
      </c>
    </row>
    <row r="689" spans="1:9" x14ac:dyDescent="0.25">
      <c r="A689" s="1"/>
      <c r="D689" t="str" cm="1">
        <f t="array" aca="1" ref="D689" ca="1">IF(OR(COUNTIF(damper_names,_xlfn.CONCAT("D_S_",C689))=1, COUNTIF(damper_names,_xlfn.CONCAT("D_E_",C689))=1), "C", "")</f>
        <v/>
      </c>
      <c r="E689" t="str">
        <f t="shared" ca="1" si="35"/>
        <v/>
      </c>
      <c r="F689" t="str">
        <f t="shared" ca="1" si="36"/>
        <v/>
      </c>
      <c r="G689" t="str">
        <f t="shared" ca="1" si="37"/>
        <v/>
      </c>
      <c r="H689" t="str">
        <f t="shared" ca="1" si="38"/>
        <v/>
      </c>
      <c r="I689" t="str">
        <f t="shared" ca="1" si="39"/>
        <v/>
      </c>
    </row>
    <row r="690" spans="1:9" x14ac:dyDescent="0.25">
      <c r="A690" s="1"/>
      <c r="D690" t="str" cm="1">
        <f t="array" aca="1" ref="D690" ca="1">IF(OR(COUNTIF(damper_names,_xlfn.CONCAT("D_S_",C690))=1, COUNTIF(damper_names,_xlfn.CONCAT("D_E_",C690))=1), "C", "")</f>
        <v/>
      </c>
      <c r="E690" t="str">
        <f t="shared" ca="1" si="35"/>
        <v/>
      </c>
      <c r="F690" t="str">
        <f t="shared" ca="1" si="36"/>
        <v/>
      </c>
      <c r="G690" t="str">
        <f t="shared" ca="1" si="37"/>
        <v/>
      </c>
      <c r="H690" t="str">
        <f t="shared" ca="1" si="38"/>
        <v/>
      </c>
      <c r="I690" t="str">
        <f t="shared" ca="1" si="39"/>
        <v/>
      </c>
    </row>
    <row r="691" spans="1:9" x14ac:dyDescent="0.25">
      <c r="A691" s="1"/>
      <c r="D691" t="str" cm="1">
        <f t="array" aca="1" ref="D691" ca="1">IF(OR(COUNTIF(damper_names,_xlfn.CONCAT("D_S_",C691))=1, COUNTIF(damper_names,_xlfn.CONCAT("D_E_",C691))=1), "C", "")</f>
        <v/>
      </c>
      <c r="E691" t="str">
        <f t="shared" ref="E691:E754" ca="1" si="40">IF(D691="T", 0.05, IF(D691="C", -0.01, ""))</f>
        <v/>
      </c>
      <c r="F691" t="str">
        <f t="shared" ref="F691:F754" ca="1" si="41">IF(D691="T", 0.05, IF(D691="C", 0, ""))</f>
        <v/>
      </c>
      <c r="G691" t="str">
        <f t="shared" ref="G691:G754" ca="1" si="42">IF(D691="T", 0, IF(D691="C", 0, ""))</f>
        <v/>
      </c>
      <c r="H691" t="str">
        <f t="shared" ref="H691:H754" ca="1" si="43">IF(D691="T", 0.05, IF(D691="C", 0, ""))</f>
        <v/>
      </c>
      <c r="I691" t="str">
        <f t="shared" ref="I691:I754" ca="1" si="44">IF(D691="T", 0, IF(D691="C", 0, ""))</f>
        <v/>
      </c>
    </row>
    <row r="692" spans="1:9" x14ac:dyDescent="0.25">
      <c r="A692" s="1"/>
      <c r="D692" t="str" cm="1">
        <f t="array" aca="1" ref="D692" ca="1">IF(OR(COUNTIF(damper_names,_xlfn.CONCAT("D_S_",C692))=1, COUNTIF(damper_names,_xlfn.CONCAT("D_E_",C692))=1), "C", "")</f>
        <v/>
      </c>
      <c r="E692" t="str">
        <f t="shared" ca="1" si="40"/>
        <v/>
      </c>
      <c r="F692" t="str">
        <f t="shared" ca="1" si="41"/>
        <v/>
      </c>
      <c r="G692" t="str">
        <f t="shared" ca="1" si="42"/>
        <v/>
      </c>
      <c r="H692" t="str">
        <f t="shared" ca="1" si="43"/>
        <v/>
      </c>
      <c r="I692" t="str">
        <f t="shared" ca="1" si="44"/>
        <v/>
      </c>
    </row>
    <row r="693" spans="1:9" x14ac:dyDescent="0.25">
      <c r="A693" s="1"/>
      <c r="D693" t="str" cm="1">
        <f t="array" aca="1" ref="D693" ca="1">IF(OR(COUNTIF(damper_names,_xlfn.CONCAT("D_S_",C693))=1, COUNTIF(damper_names,_xlfn.CONCAT("D_E_",C693))=1), "C", "")</f>
        <v/>
      </c>
      <c r="E693" t="str">
        <f t="shared" ca="1" si="40"/>
        <v/>
      </c>
      <c r="F693" t="str">
        <f t="shared" ca="1" si="41"/>
        <v/>
      </c>
      <c r="G693" t="str">
        <f t="shared" ca="1" si="42"/>
        <v/>
      </c>
      <c r="H693" t="str">
        <f t="shared" ca="1" si="43"/>
        <v/>
      </c>
      <c r="I693" t="str">
        <f t="shared" ca="1" si="44"/>
        <v/>
      </c>
    </row>
    <row r="694" spans="1:9" x14ac:dyDescent="0.25">
      <c r="A694" s="1"/>
      <c r="D694" t="str" cm="1">
        <f t="array" aca="1" ref="D694" ca="1">IF(OR(COUNTIF(damper_names,_xlfn.CONCAT("D_S_",C694))=1, COUNTIF(damper_names,_xlfn.CONCAT("D_E_",C694))=1), "C", "")</f>
        <v/>
      </c>
      <c r="E694" t="str">
        <f t="shared" ca="1" si="40"/>
        <v/>
      </c>
      <c r="F694" t="str">
        <f t="shared" ca="1" si="41"/>
        <v/>
      </c>
      <c r="G694" t="str">
        <f t="shared" ca="1" si="42"/>
        <v/>
      </c>
      <c r="H694" t="str">
        <f t="shared" ca="1" si="43"/>
        <v/>
      </c>
      <c r="I694" t="str">
        <f t="shared" ca="1" si="44"/>
        <v/>
      </c>
    </row>
    <row r="695" spans="1:9" x14ac:dyDescent="0.25">
      <c r="A695" s="1"/>
      <c r="D695" t="str" cm="1">
        <f t="array" aca="1" ref="D695" ca="1">IF(OR(COUNTIF(damper_names,_xlfn.CONCAT("D_S_",C695))=1, COUNTIF(damper_names,_xlfn.CONCAT("D_E_",C695))=1), "C", "")</f>
        <v/>
      </c>
      <c r="E695" t="str">
        <f t="shared" ca="1" si="40"/>
        <v/>
      </c>
      <c r="F695" t="str">
        <f t="shared" ca="1" si="41"/>
        <v/>
      </c>
      <c r="G695" t="str">
        <f t="shared" ca="1" si="42"/>
        <v/>
      </c>
      <c r="H695" t="str">
        <f t="shared" ca="1" si="43"/>
        <v/>
      </c>
      <c r="I695" t="str">
        <f t="shared" ca="1" si="44"/>
        <v/>
      </c>
    </row>
    <row r="696" spans="1:9" x14ac:dyDescent="0.25">
      <c r="A696" s="1"/>
      <c r="D696" t="str" cm="1">
        <f t="array" aca="1" ref="D696" ca="1">IF(OR(COUNTIF(damper_names,_xlfn.CONCAT("D_S_",C696))=1, COUNTIF(damper_names,_xlfn.CONCAT("D_E_",C696))=1), "C", "")</f>
        <v/>
      </c>
      <c r="E696" t="str">
        <f t="shared" ca="1" si="40"/>
        <v/>
      </c>
      <c r="F696" t="str">
        <f t="shared" ca="1" si="41"/>
        <v/>
      </c>
      <c r="G696" t="str">
        <f t="shared" ca="1" si="42"/>
        <v/>
      </c>
      <c r="H696" t="str">
        <f t="shared" ca="1" si="43"/>
        <v/>
      </c>
      <c r="I696" t="str">
        <f t="shared" ca="1" si="44"/>
        <v/>
      </c>
    </row>
    <row r="697" spans="1:9" x14ac:dyDescent="0.25">
      <c r="A697" s="1"/>
      <c r="D697" t="str" cm="1">
        <f t="array" aca="1" ref="D697" ca="1">IF(OR(COUNTIF(damper_names,_xlfn.CONCAT("D_S_",C697))=1, COUNTIF(damper_names,_xlfn.CONCAT("D_E_",C697))=1), "C", "")</f>
        <v/>
      </c>
      <c r="E697" t="str">
        <f t="shared" ca="1" si="40"/>
        <v/>
      </c>
      <c r="F697" t="str">
        <f t="shared" ca="1" si="41"/>
        <v/>
      </c>
      <c r="G697" t="str">
        <f t="shared" ca="1" si="42"/>
        <v/>
      </c>
      <c r="H697" t="str">
        <f t="shared" ca="1" si="43"/>
        <v/>
      </c>
      <c r="I697" t="str">
        <f t="shared" ca="1" si="44"/>
        <v/>
      </c>
    </row>
    <row r="698" spans="1:9" x14ac:dyDescent="0.25">
      <c r="A698" s="1"/>
      <c r="D698" t="str" cm="1">
        <f t="array" aca="1" ref="D698" ca="1">IF(OR(COUNTIF(damper_names,_xlfn.CONCAT("D_S_",C698))=1, COUNTIF(damper_names,_xlfn.CONCAT("D_E_",C698))=1), "C", "")</f>
        <v/>
      </c>
      <c r="E698" t="str">
        <f t="shared" ca="1" si="40"/>
        <v/>
      </c>
      <c r="F698" t="str">
        <f t="shared" ca="1" si="41"/>
        <v/>
      </c>
      <c r="G698" t="str">
        <f t="shared" ca="1" si="42"/>
        <v/>
      </c>
      <c r="H698" t="str">
        <f t="shared" ca="1" si="43"/>
        <v/>
      </c>
      <c r="I698" t="str">
        <f t="shared" ca="1" si="44"/>
        <v/>
      </c>
    </row>
    <row r="699" spans="1:9" x14ac:dyDescent="0.25">
      <c r="A699" s="1"/>
      <c r="D699" t="str" cm="1">
        <f t="array" aca="1" ref="D699" ca="1">IF(OR(COUNTIF(damper_names,_xlfn.CONCAT("D_S_",C699))=1, COUNTIF(damper_names,_xlfn.CONCAT("D_E_",C699))=1), "C", "")</f>
        <v/>
      </c>
      <c r="E699" t="str">
        <f t="shared" ca="1" si="40"/>
        <v/>
      </c>
      <c r="F699" t="str">
        <f t="shared" ca="1" si="41"/>
        <v/>
      </c>
      <c r="G699" t="str">
        <f t="shared" ca="1" si="42"/>
        <v/>
      </c>
      <c r="H699" t="str">
        <f t="shared" ca="1" si="43"/>
        <v/>
      </c>
      <c r="I699" t="str">
        <f t="shared" ca="1" si="44"/>
        <v/>
      </c>
    </row>
    <row r="700" spans="1:9" x14ac:dyDescent="0.25">
      <c r="A700" s="1"/>
      <c r="D700" t="str" cm="1">
        <f t="array" aca="1" ref="D700" ca="1">IF(OR(COUNTIF(damper_names,_xlfn.CONCAT("D_S_",C700))=1, COUNTIF(damper_names,_xlfn.CONCAT("D_E_",C700))=1), "C", "")</f>
        <v/>
      </c>
      <c r="E700" t="str">
        <f t="shared" ca="1" si="40"/>
        <v/>
      </c>
      <c r="F700" t="str">
        <f t="shared" ca="1" si="41"/>
        <v/>
      </c>
      <c r="G700" t="str">
        <f t="shared" ca="1" si="42"/>
        <v/>
      </c>
      <c r="H700" t="str">
        <f t="shared" ca="1" si="43"/>
        <v/>
      </c>
      <c r="I700" t="str">
        <f t="shared" ca="1" si="44"/>
        <v/>
      </c>
    </row>
    <row r="701" spans="1:9" x14ac:dyDescent="0.25">
      <c r="A701" s="1"/>
      <c r="D701" t="str" cm="1">
        <f t="array" aca="1" ref="D701" ca="1">IF(OR(COUNTIF(damper_names,_xlfn.CONCAT("D_S_",C701))=1, COUNTIF(damper_names,_xlfn.CONCAT("D_E_",C701))=1), "C", "")</f>
        <v/>
      </c>
      <c r="E701" t="str">
        <f t="shared" ca="1" si="40"/>
        <v/>
      </c>
      <c r="F701" t="str">
        <f t="shared" ca="1" si="41"/>
        <v/>
      </c>
      <c r="G701" t="str">
        <f t="shared" ca="1" si="42"/>
        <v/>
      </c>
      <c r="H701" t="str">
        <f t="shared" ca="1" si="43"/>
        <v/>
      </c>
      <c r="I701" t="str">
        <f t="shared" ca="1" si="44"/>
        <v/>
      </c>
    </row>
    <row r="702" spans="1:9" x14ac:dyDescent="0.25">
      <c r="A702" s="1"/>
      <c r="D702" t="str" cm="1">
        <f t="array" aca="1" ref="D702" ca="1">IF(OR(COUNTIF(damper_names,_xlfn.CONCAT("D_S_",C702))=1, COUNTIF(damper_names,_xlfn.CONCAT("D_E_",C702))=1), "C", "")</f>
        <v/>
      </c>
      <c r="E702" t="str">
        <f t="shared" ca="1" si="40"/>
        <v/>
      </c>
      <c r="F702" t="str">
        <f t="shared" ca="1" si="41"/>
        <v/>
      </c>
      <c r="G702" t="str">
        <f t="shared" ca="1" si="42"/>
        <v/>
      </c>
      <c r="H702" t="str">
        <f t="shared" ca="1" si="43"/>
        <v/>
      </c>
      <c r="I702" t="str">
        <f t="shared" ca="1" si="44"/>
        <v/>
      </c>
    </row>
    <row r="703" spans="1:9" x14ac:dyDescent="0.25">
      <c r="A703" s="1"/>
      <c r="D703" t="str" cm="1">
        <f t="array" aca="1" ref="D703" ca="1">IF(OR(COUNTIF(damper_names,_xlfn.CONCAT("D_S_",C703))=1, COUNTIF(damper_names,_xlfn.CONCAT("D_E_",C703))=1), "C", "")</f>
        <v/>
      </c>
      <c r="E703" t="str">
        <f t="shared" ca="1" si="40"/>
        <v/>
      </c>
      <c r="F703" t="str">
        <f t="shared" ca="1" si="41"/>
        <v/>
      </c>
      <c r="G703" t="str">
        <f t="shared" ca="1" si="42"/>
        <v/>
      </c>
      <c r="H703" t="str">
        <f t="shared" ca="1" si="43"/>
        <v/>
      </c>
      <c r="I703" t="str">
        <f t="shared" ca="1" si="44"/>
        <v/>
      </c>
    </row>
    <row r="704" spans="1:9" x14ac:dyDescent="0.25">
      <c r="A704" s="1"/>
      <c r="D704" t="str" cm="1">
        <f t="array" aca="1" ref="D704" ca="1">IF(OR(COUNTIF(damper_names,_xlfn.CONCAT("D_S_",C704))=1, COUNTIF(damper_names,_xlfn.CONCAT("D_E_",C704))=1), "C", "")</f>
        <v/>
      </c>
      <c r="E704" t="str">
        <f t="shared" ca="1" si="40"/>
        <v/>
      </c>
      <c r="F704" t="str">
        <f t="shared" ca="1" si="41"/>
        <v/>
      </c>
      <c r="G704" t="str">
        <f t="shared" ca="1" si="42"/>
        <v/>
      </c>
      <c r="H704" t="str">
        <f t="shared" ca="1" si="43"/>
        <v/>
      </c>
      <c r="I704" t="str">
        <f t="shared" ca="1" si="44"/>
        <v/>
      </c>
    </row>
    <row r="705" spans="1:9" x14ac:dyDescent="0.25">
      <c r="A705" s="1"/>
      <c r="D705" t="str" cm="1">
        <f t="array" aca="1" ref="D705" ca="1">IF(OR(COUNTIF(damper_names,_xlfn.CONCAT("D_S_",C705))=1, COUNTIF(damper_names,_xlfn.CONCAT("D_E_",C705))=1), "C", "")</f>
        <v/>
      </c>
      <c r="E705" t="str">
        <f t="shared" ca="1" si="40"/>
        <v/>
      </c>
      <c r="F705" t="str">
        <f t="shared" ca="1" si="41"/>
        <v/>
      </c>
      <c r="G705" t="str">
        <f t="shared" ca="1" si="42"/>
        <v/>
      </c>
      <c r="H705" t="str">
        <f t="shared" ca="1" si="43"/>
        <v/>
      </c>
      <c r="I705" t="str">
        <f t="shared" ca="1" si="44"/>
        <v/>
      </c>
    </row>
    <row r="706" spans="1:9" x14ac:dyDescent="0.25">
      <c r="A706" s="1"/>
      <c r="D706" t="str" cm="1">
        <f t="array" aca="1" ref="D706" ca="1">IF(OR(COUNTIF(damper_names,_xlfn.CONCAT("D_S_",C706))=1, COUNTIF(damper_names,_xlfn.CONCAT("D_E_",C706))=1), "C", "")</f>
        <v/>
      </c>
      <c r="E706" t="str">
        <f t="shared" ca="1" si="40"/>
        <v/>
      </c>
      <c r="F706" t="str">
        <f t="shared" ca="1" si="41"/>
        <v/>
      </c>
      <c r="G706" t="str">
        <f t="shared" ca="1" si="42"/>
        <v/>
      </c>
      <c r="H706" t="str">
        <f t="shared" ca="1" si="43"/>
        <v/>
      </c>
      <c r="I706" t="str">
        <f t="shared" ca="1" si="44"/>
        <v/>
      </c>
    </row>
    <row r="707" spans="1:9" x14ac:dyDescent="0.25">
      <c r="A707" s="1"/>
      <c r="D707" t="str" cm="1">
        <f t="array" aca="1" ref="D707" ca="1">IF(OR(COUNTIF(damper_names,_xlfn.CONCAT("D_S_",C707))=1, COUNTIF(damper_names,_xlfn.CONCAT("D_E_",C707))=1), "C", "")</f>
        <v/>
      </c>
      <c r="E707" t="str">
        <f t="shared" ca="1" si="40"/>
        <v/>
      </c>
      <c r="F707" t="str">
        <f t="shared" ca="1" si="41"/>
        <v/>
      </c>
      <c r="G707" t="str">
        <f t="shared" ca="1" si="42"/>
        <v/>
      </c>
      <c r="H707" t="str">
        <f t="shared" ca="1" si="43"/>
        <v/>
      </c>
      <c r="I707" t="str">
        <f t="shared" ca="1" si="44"/>
        <v/>
      </c>
    </row>
    <row r="708" spans="1:9" x14ac:dyDescent="0.25">
      <c r="A708" s="1"/>
      <c r="D708" t="str" cm="1">
        <f t="array" aca="1" ref="D708" ca="1">IF(OR(COUNTIF(damper_names,_xlfn.CONCAT("D_S_",C708))=1, COUNTIF(damper_names,_xlfn.CONCAT("D_E_",C708))=1), "C", "")</f>
        <v/>
      </c>
      <c r="E708" t="str">
        <f t="shared" ca="1" si="40"/>
        <v/>
      </c>
      <c r="F708" t="str">
        <f t="shared" ca="1" si="41"/>
        <v/>
      </c>
      <c r="G708" t="str">
        <f t="shared" ca="1" si="42"/>
        <v/>
      </c>
      <c r="H708" t="str">
        <f t="shared" ca="1" si="43"/>
        <v/>
      </c>
      <c r="I708" t="str">
        <f t="shared" ca="1" si="44"/>
        <v/>
      </c>
    </row>
    <row r="709" spans="1:9" x14ac:dyDescent="0.25">
      <c r="A709" s="1"/>
      <c r="D709" t="str" cm="1">
        <f t="array" aca="1" ref="D709" ca="1">IF(OR(COUNTIF(damper_names,_xlfn.CONCAT("D_S_",C709))=1, COUNTIF(damper_names,_xlfn.CONCAT("D_E_",C709))=1), "C", "")</f>
        <v/>
      </c>
      <c r="E709" t="str">
        <f t="shared" ca="1" si="40"/>
        <v/>
      </c>
      <c r="F709" t="str">
        <f t="shared" ca="1" si="41"/>
        <v/>
      </c>
      <c r="G709" t="str">
        <f t="shared" ca="1" si="42"/>
        <v/>
      </c>
      <c r="H709" t="str">
        <f t="shared" ca="1" si="43"/>
        <v/>
      </c>
      <c r="I709" t="str">
        <f t="shared" ca="1" si="44"/>
        <v/>
      </c>
    </row>
    <row r="710" spans="1:9" x14ac:dyDescent="0.25">
      <c r="A710" s="1"/>
      <c r="D710" t="str" cm="1">
        <f t="array" aca="1" ref="D710" ca="1">IF(OR(COUNTIF(damper_names,_xlfn.CONCAT("D_S_",C710))=1, COUNTIF(damper_names,_xlfn.CONCAT("D_E_",C710))=1), "C", "")</f>
        <v/>
      </c>
      <c r="E710" t="str">
        <f t="shared" ca="1" si="40"/>
        <v/>
      </c>
      <c r="F710" t="str">
        <f t="shared" ca="1" si="41"/>
        <v/>
      </c>
      <c r="G710" t="str">
        <f t="shared" ca="1" si="42"/>
        <v/>
      </c>
      <c r="H710" t="str">
        <f t="shared" ca="1" si="43"/>
        <v/>
      </c>
      <c r="I710" t="str">
        <f t="shared" ca="1" si="44"/>
        <v/>
      </c>
    </row>
    <row r="711" spans="1:9" x14ac:dyDescent="0.25">
      <c r="A711" s="1"/>
      <c r="D711" t="str" cm="1">
        <f t="array" aca="1" ref="D711" ca="1">IF(OR(COUNTIF(damper_names,_xlfn.CONCAT("D_S_",C711))=1, COUNTIF(damper_names,_xlfn.CONCAT("D_E_",C711))=1), "C", "")</f>
        <v/>
      </c>
      <c r="E711" t="str">
        <f t="shared" ca="1" si="40"/>
        <v/>
      </c>
      <c r="F711" t="str">
        <f t="shared" ca="1" si="41"/>
        <v/>
      </c>
      <c r="G711" t="str">
        <f t="shared" ca="1" si="42"/>
        <v/>
      </c>
      <c r="H711" t="str">
        <f t="shared" ca="1" si="43"/>
        <v/>
      </c>
      <c r="I711" t="str">
        <f t="shared" ca="1" si="44"/>
        <v/>
      </c>
    </row>
    <row r="712" spans="1:9" x14ac:dyDescent="0.25">
      <c r="A712" s="1"/>
      <c r="D712" t="str" cm="1">
        <f t="array" aca="1" ref="D712" ca="1">IF(OR(COUNTIF(damper_names,_xlfn.CONCAT("D_S_",C712))=1, COUNTIF(damper_names,_xlfn.CONCAT("D_E_",C712))=1), "C", "")</f>
        <v/>
      </c>
      <c r="E712" t="str">
        <f t="shared" ca="1" si="40"/>
        <v/>
      </c>
      <c r="F712" t="str">
        <f t="shared" ca="1" si="41"/>
        <v/>
      </c>
      <c r="G712" t="str">
        <f t="shared" ca="1" si="42"/>
        <v/>
      </c>
      <c r="H712" t="str">
        <f t="shared" ca="1" si="43"/>
        <v/>
      </c>
      <c r="I712" t="str">
        <f t="shared" ca="1" si="44"/>
        <v/>
      </c>
    </row>
    <row r="713" spans="1:9" x14ac:dyDescent="0.25">
      <c r="A713" s="1"/>
      <c r="D713" t="str" cm="1">
        <f t="array" aca="1" ref="D713" ca="1">IF(OR(COUNTIF(damper_names,_xlfn.CONCAT("D_S_",C713))=1, COUNTIF(damper_names,_xlfn.CONCAT("D_E_",C713))=1), "C", "")</f>
        <v/>
      </c>
      <c r="E713" t="str">
        <f t="shared" ca="1" si="40"/>
        <v/>
      </c>
      <c r="F713" t="str">
        <f t="shared" ca="1" si="41"/>
        <v/>
      </c>
      <c r="G713" t="str">
        <f t="shared" ca="1" si="42"/>
        <v/>
      </c>
      <c r="H713" t="str">
        <f t="shared" ca="1" si="43"/>
        <v/>
      </c>
      <c r="I713" t="str">
        <f t="shared" ca="1" si="44"/>
        <v/>
      </c>
    </row>
    <row r="714" spans="1:9" x14ac:dyDescent="0.25">
      <c r="A714" s="1"/>
      <c r="D714" t="str" cm="1">
        <f t="array" aca="1" ref="D714" ca="1">IF(OR(COUNTIF(damper_names,_xlfn.CONCAT("D_S_",C714))=1, COUNTIF(damper_names,_xlfn.CONCAT("D_E_",C714))=1), "C", "")</f>
        <v/>
      </c>
      <c r="E714" t="str">
        <f t="shared" ca="1" si="40"/>
        <v/>
      </c>
      <c r="F714" t="str">
        <f t="shared" ca="1" si="41"/>
        <v/>
      </c>
      <c r="G714" t="str">
        <f t="shared" ca="1" si="42"/>
        <v/>
      </c>
      <c r="H714" t="str">
        <f t="shared" ca="1" si="43"/>
        <v/>
      </c>
      <c r="I714" t="str">
        <f t="shared" ca="1" si="44"/>
        <v/>
      </c>
    </row>
    <row r="715" spans="1:9" x14ac:dyDescent="0.25">
      <c r="A715" s="1"/>
      <c r="D715" t="str" cm="1">
        <f t="array" aca="1" ref="D715" ca="1">IF(OR(COUNTIF(damper_names,_xlfn.CONCAT("D_S_",C715))=1, COUNTIF(damper_names,_xlfn.CONCAT("D_E_",C715))=1), "C", "")</f>
        <v/>
      </c>
      <c r="E715" t="str">
        <f t="shared" ca="1" si="40"/>
        <v/>
      </c>
      <c r="F715" t="str">
        <f t="shared" ca="1" si="41"/>
        <v/>
      </c>
      <c r="G715" t="str">
        <f t="shared" ca="1" si="42"/>
        <v/>
      </c>
      <c r="H715" t="str">
        <f t="shared" ca="1" si="43"/>
        <v/>
      </c>
      <c r="I715" t="str">
        <f t="shared" ca="1" si="44"/>
        <v/>
      </c>
    </row>
    <row r="716" spans="1:9" x14ac:dyDescent="0.25">
      <c r="A716" s="1"/>
      <c r="D716" t="str" cm="1">
        <f t="array" aca="1" ref="D716" ca="1">IF(OR(COUNTIF(damper_names,_xlfn.CONCAT("D_S_",C716))=1, COUNTIF(damper_names,_xlfn.CONCAT("D_E_",C716))=1), "C", "")</f>
        <v/>
      </c>
      <c r="E716" t="str">
        <f t="shared" ca="1" si="40"/>
        <v/>
      </c>
      <c r="F716" t="str">
        <f t="shared" ca="1" si="41"/>
        <v/>
      </c>
      <c r="G716" t="str">
        <f t="shared" ca="1" si="42"/>
        <v/>
      </c>
      <c r="H716" t="str">
        <f t="shared" ca="1" si="43"/>
        <v/>
      </c>
      <c r="I716" t="str">
        <f t="shared" ca="1" si="44"/>
        <v/>
      </c>
    </row>
    <row r="717" spans="1:9" x14ac:dyDescent="0.25">
      <c r="A717" s="1"/>
      <c r="D717" t="str" cm="1">
        <f t="array" aca="1" ref="D717" ca="1">IF(OR(COUNTIF(damper_names,_xlfn.CONCAT("D_S_",C717))=1, COUNTIF(damper_names,_xlfn.CONCAT("D_E_",C717))=1), "C", "")</f>
        <v/>
      </c>
      <c r="E717" t="str">
        <f t="shared" ca="1" si="40"/>
        <v/>
      </c>
      <c r="F717" t="str">
        <f t="shared" ca="1" si="41"/>
        <v/>
      </c>
      <c r="G717" t="str">
        <f t="shared" ca="1" si="42"/>
        <v/>
      </c>
      <c r="H717" t="str">
        <f t="shared" ca="1" si="43"/>
        <v/>
      </c>
      <c r="I717" t="str">
        <f t="shared" ca="1" si="44"/>
        <v/>
      </c>
    </row>
    <row r="718" spans="1:9" x14ac:dyDescent="0.25">
      <c r="A718" s="1"/>
      <c r="D718" t="str" cm="1">
        <f t="array" aca="1" ref="D718" ca="1">IF(OR(COUNTIF(damper_names,_xlfn.CONCAT("D_S_",C718))=1, COUNTIF(damper_names,_xlfn.CONCAT("D_E_",C718))=1), "C", "")</f>
        <v/>
      </c>
      <c r="E718" t="str">
        <f t="shared" ca="1" si="40"/>
        <v/>
      </c>
      <c r="F718" t="str">
        <f t="shared" ca="1" si="41"/>
        <v/>
      </c>
      <c r="G718" t="str">
        <f t="shared" ca="1" si="42"/>
        <v/>
      </c>
      <c r="H718" t="str">
        <f t="shared" ca="1" si="43"/>
        <v/>
      </c>
      <c r="I718" t="str">
        <f t="shared" ca="1" si="44"/>
        <v/>
      </c>
    </row>
    <row r="719" spans="1:9" x14ac:dyDescent="0.25">
      <c r="A719" s="1"/>
      <c r="D719" t="str" cm="1">
        <f t="array" aca="1" ref="D719" ca="1">IF(OR(COUNTIF(damper_names,_xlfn.CONCAT("D_S_",C719))=1, COUNTIF(damper_names,_xlfn.CONCAT("D_E_",C719))=1), "C", "")</f>
        <v/>
      </c>
      <c r="E719" t="str">
        <f t="shared" ca="1" si="40"/>
        <v/>
      </c>
      <c r="F719" t="str">
        <f t="shared" ca="1" si="41"/>
        <v/>
      </c>
      <c r="G719" t="str">
        <f t="shared" ca="1" si="42"/>
        <v/>
      </c>
      <c r="H719" t="str">
        <f t="shared" ca="1" si="43"/>
        <v/>
      </c>
      <c r="I719" t="str">
        <f t="shared" ca="1" si="44"/>
        <v/>
      </c>
    </row>
    <row r="720" spans="1:9" x14ac:dyDescent="0.25">
      <c r="A720" s="1"/>
      <c r="D720" t="str" cm="1">
        <f t="array" aca="1" ref="D720" ca="1">IF(OR(COUNTIF(damper_names,_xlfn.CONCAT("D_S_",C720))=1, COUNTIF(damper_names,_xlfn.CONCAT("D_E_",C720))=1), "C", "")</f>
        <v/>
      </c>
      <c r="E720" t="str">
        <f t="shared" ca="1" si="40"/>
        <v/>
      </c>
      <c r="F720" t="str">
        <f t="shared" ca="1" si="41"/>
        <v/>
      </c>
      <c r="G720" t="str">
        <f t="shared" ca="1" si="42"/>
        <v/>
      </c>
      <c r="H720" t="str">
        <f t="shared" ca="1" si="43"/>
        <v/>
      </c>
      <c r="I720" t="str">
        <f t="shared" ca="1" si="44"/>
        <v/>
      </c>
    </row>
    <row r="721" spans="1:9" x14ac:dyDescent="0.25">
      <c r="A721" s="1"/>
      <c r="D721" t="str" cm="1">
        <f t="array" aca="1" ref="D721" ca="1">IF(OR(COUNTIF(damper_names,_xlfn.CONCAT("D_S_",C721))=1, COUNTIF(damper_names,_xlfn.CONCAT("D_E_",C721))=1), "C", "")</f>
        <v/>
      </c>
      <c r="E721" t="str">
        <f t="shared" ca="1" si="40"/>
        <v/>
      </c>
      <c r="F721" t="str">
        <f t="shared" ca="1" si="41"/>
        <v/>
      </c>
      <c r="G721" t="str">
        <f t="shared" ca="1" si="42"/>
        <v/>
      </c>
      <c r="H721" t="str">
        <f t="shared" ca="1" si="43"/>
        <v/>
      </c>
      <c r="I721" t="str">
        <f t="shared" ca="1" si="44"/>
        <v/>
      </c>
    </row>
    <row r="722" spans="1:9" x14ac:dyDescent="0.25">
      <c r="A722" s="1"/>
      <c r="D722" t="str" cm="1">
        <f t="array" aca="1" ref="D722" ca="1">IF(OR(COUNTIF(damper_names,_xlfn.CONCAT("D_S_",C722))=1, COUNTIF(damper_names,_xlfn.CONCAT("D_E_",C722))=1), "C", "")</f>
        <v/>
      </c>
      <c r="E722" t="str">
        <f t="shared" ca="1" si="40"/>
        <v/>
      </c>
      <c r="F722" t="str">
        <f t="shared" ca="1" si="41"/>
        <v/>
      </c>
      <c r="G722" t="str">
        <f t="shared" ca="1" si="42"/>
        <v/>
      </c>
      <c r="H722" t="str">
        <f t="shared" ca="1" si="43"/>
        <v/>
      </c>
      <c r="I722" t="str">
        <f t="shared" ca="1" si="44"/>
        <v/>
      </c>
    </row>
    <row r="723" spans="1:9" x14ac:dyDescent="0.25">
      <c r="A723" s="1"/>
      <c r="D723" t="str" cm="1">
        <f t="array" aca="1" ref="D723" ca="1">IF(OR(COUNTIF(damper_names,_xlfn.CONCAT("D_S_",C723))=1, COUNTIF(damper_names,_xlfn.CONCAT("D_E_",C723))=1), "C", "")</f>
        <v/>
      </c>
      <c r="E723" t="str">
        <f t="shared" ca="1" si="40"/>
        <v/>
      </c>
      <c r="F723" t="str">
        <f t="shared" ca="1" si="41"/>
        <v/>
      </c>
      <c r="G723" t="str">
        <f t="shared" ca="1" si="42"/>
        <v/>
      </c>
      <c r="H723" t="str">
        <f t="shared" ca="1" si="43"/>
        <v/>
      </c>
      <c r="I723" t="str">
        <f t="shared" ca="1" si="44"/>
        <v/>
      </c>
    </row>
    <row r="724" spans="1:9" x14ac:dyDescent="0.25">
      <c r="A724" s="1"/>
      <c r="D724" t="str" cm="1">
        <f t="array" aca="1" ref="D724" ca="1">IF(OR(COUNTIF(damper_names,_xlfn.CONCAT("D_S_",C724))=1, COUNTIF(damper_names,_xlfn.CONCAT("D_E_",C724))=1), "C", "")</f>
        <v/>
      </c>
      <c r="E724" t="str">
        <f t="shared" ca="1" si="40"/>
        <v/>
      </c>
      <c r="F724" t="str">
        <f t="shared" ca="1" si="41"/>
        <v/>
      </c>
      <c r="G724" t="str">
        <f t="shared" ca="1" si="42"/>
        <v/>
      </c>
      <c r="H724" t="str">
        <f t="shared" ca="1" si="43"/>
        <v/>
      </c>
      <c r="I724" t="str">
        <f t="shared" ca="1" si="44"/>
        <v/>
      </c>
    </row>
    <row r="725" spans="1:9" x14ac:dyDescent="0.25">
      <c r="A725" s="1"/>
      <c r="D725" t="str" cm="1">
        <f t="array" aca="1" ref="D725" ca="1">IF(OR(COUNTIF(damper_names,_xlfn.CONCAT("D_S_",C725))=1, COUNTIF(damper_names,_xlfn.CONCAT("D_E_",C725))=1), "C", "")</f>
        <v/>
      </c>
      <c r="E725" t="str">
        <f t="shared" ca="1" si="40"/>
        <v/>
      </c>
      <c r="F725" t="str">
        <f t="shared" ca="1" si="41"/>
        <v/>
      </c>
      <c r="G725" t="str">
        <f t="shared" ca="1" si="42"/>
        <v/>
      </c>
      <c r="H725" t="str">
        <f t="shared" ca="1" si="43"/>
        <v/>
      </c>
      <c r="I725" t="str">
        <f t="shared" ca="1" si="44"/>
        <v/>
      </c>
    </row>
    <row r="726" spans="1:9" x14ac:dyDescent="0.25">
      <c r="A726" s="1"/>
      <c r="D726" t="str" cm="1">
        <f t="array" aca="1" ref="D726" ca="1">IF(OR(COUNTIF(damper_names,_xlfn.CONCAT("D_S_",C726))=1, COUNTIF(damper_names,_xlfn.CONCAT("D_E_",C726))=1), "C", "")</f>
        <v/>
      </c>
      <c r="E726" t="str">
        <f t="shared" ca="1" si="40"/>
        <v/>
      </c>
      <c r="F726" t="str">
        <f t="shared" ca="1" si="41"/>
        <v/>
      </c>
      <c r="G726" t="str">
        <f t="shared" ca="1" si="42"/>
        <v/>
      </c>
      <c r="H726" t="str">
        <f t="shared" ca="1" si="43"/>
        <v/>
      </c>
      <c r="I726" t="str">
        <f t="shared" ca="1" si="44"/>
        <v/>
      </c>
    </row>
    <row r="727" spans="1:9" x14ac:dyDescent="0.25">
      <c r="A727" s="1"/>
      <c r="D727" t="str" cm="1">
        <f t="array" aca="1" ref="D727" ca="1">IF(OR(COUNTIF(damper_names,_xlfn.CONCAT("D_S_",C727))=1, COUNTIF(damper_names,_xlfn.CONCAT("D_E_",C727))=1), "C", "")</f>
        <v/>
      </c>
      <c r="E727" t="str">
        <f t="shared" ca="1" si="40"/>
        <v/>
      </c>
      <c r="F727" t="str">
        <f t="shared" ca="1" si="41"/>
        <v/>
      </c>
      <c r="G727" t="str">
        <f t="shared" ca="1" si="42"/>
        <v/>
      </c>
      <c r="H727" t="str">
        <f t="shared" ca="1" si="43"/>
        <v/>
      </c>
      <c r="I727" t="str">
        <f t="shared" ca="1" si="44"/>
        <v/>
      </c>
    </row>
    <row r="728" spans="1:9" x14ac:dyDescent="0.25">
      <c r="A728" s="1"/>
      <c r="D728" t="str" cm="1">
        <f t="array" aca="1" ref="D728" ca="1">IF(OR(COUNTIF(damper_names,_xlfn.CONCAT("D_S_",C728))=1, COUNTIF(damper_names,_xlfn.CONCAT("D_E_",C728))=1), "C", "")</f>
        <v/>
      </c>
      <c r="E728" t="str">
        <f t="shared" ca="1" si="40"/>
        <v/>
      </c>
      <c r="F728" t="str">
        <f t="shared" ca="1" si="41"/>
        <v/>
      </c>
      <c r="G728" t="str">
        <f t="shared" ca="1" si="42"/>
        <v/>
      </c>
      <c r="H728" t="str">
        <f t="shared" ca="1" si="43"/>
        <v/>
      </c>
      <c r="I728" t="str">
        <f t="shared" ca="1" si="44"/>
        <v/>
      </c>
    </row>
    <row r="729" spans="1:9" x14ac:dyDescent="0.25">
      <c r="A729" s="1"/>
      <c r="D729" t="str" cm="1">
        <f t="array" aca="1" ref="D729" ca="1">IF(OR(COUNTIF(damper_names,_xlfn.CONCAT("D_S_",C729))=1, COUNTIF(damper_names,_xlfn.CONCAT("D_E_",C729))=1), "C", "")</f>
        <v/>
      </c>
      <c r="E729" t="str">
        <f t="shared" ca="1" si="40"/>
        <v/>
      </c>
      <c r="F729" t="str">
        <f t="shared" ca="1" si="41"/>
        <v/>
      </c>
      <c r="G729" t="str">
        <f t="shared" ca="1" si="42"/>
        <v/>
      </c>
      <c r="H729" t="str">
        <f t="shared" ca="1" si="43"/>
        <v/>
      </c>
      <c r="I729" t="str">
        <f t="shared" ca="1" si="44"/>
        <v/>
      </c>
    </row>
    <row r="730" spans="1:9" x14ac:dyDescent="0.25">
      <c r="A730" s="1"/>
      <c r="D730" t="str" cm="1">
        <f t="array" aca="1" ref="D730" ca="1">IF(OR(COUNTIF(damper_names,_xlfn.CONCAT("D_S_",C730))=1, COUNTIF(damper_names,_xlfn.CONCAT("D_E_",C730))=1), "C", "")</f>
        <v/>
      </c>
      <c r="E730" t="str">
        <f t="shared" ca="1" si="40"/>
        <v/>
      </c>
      <c r="F730" t="str">
        <f t="shared" ca="1" si="41"/>
        <v/>
      </c>
      <c r="G730" t="str">
        <f t="shared" ca="1" si="42"/>
        <v/>
      </c>
      <c r="H730" t="str">
        <f t="shared" ca="1" si="43"/>
        <v/>
      </c>
      <c r="I730" t="str">
        <f t="shared" ca="1" si="44"/>
        <v/>
      </c>
    </row>
    <row r="731" spans="1:9" x14ac:dyDescent="0.25">
      <c r="A731" s="1"/>
      <c r="D731" t="str" cm="1">
        <f t="array" aca="1" ref="D731" ca="1">IF(OR(COUNTIF(damper_names,_xlfn.CONCAT("D_S_",C731))=1, COUNTIF(damper_names,_xlfn.CONCAT("D_E_",C731))=1), "C", "")</f>
        <v/>
      </c>
      <c r="E731" t="str">
        <f t="shared" ca="1" si="40"/>
        <v/>
      </c>
      <c r="F731" t="str">
        <f t="shared" ca="1" si="41"/>
        <v/>
      </c>
      <c r="G731" t="str">
        <f t="shared" ca="1" si="42"/>
        <v/>
      </c>
      <c r="H731" t="str">
        <f t="shared" ca="1" si="43"/>
        <v/>
      </c>
      <c r="I731" t="str">
        <f t="shared" ca="1" si="44"/>
        <v/>
      </c>
    </row>
    <row r="732" spans="1:9" x14ac:dyDescent="0.25">
      <c r="A732" s="1"/>
      <c r="D732" t="str" cm="1">
        <f t="array" aca="1" ref="D732" ca="1">IF(OR(COUNTIF(damper_names,_xlfn.CONCAT("D_S_",C732))=1, COUNTIF(damper_names,_xlfn.CONCAT("D_E_",C732))=1), "C", "")</f>
        <v/>
      </c>
      <c r="E732" t="str">
        <f t="shared" ca="1" si="40"/>
        <v/>
      </c>
      <c r="F732" t="str">
        <f t="shared" ca="1" si="41"/>
        <v/>
      </c>
      <c r="G732" t="str">
        <f t="shared" ca="1" si="42"/>
        <v/>
      </c>
      <c r="H732" t="str">
        <f t="shared" ca="1" si="43"/>
        <v/>
      </c>
      <c r="I732" t="str">
        <f t="shared" ca="1" si="44"/>
        <v/>
      </c>
    </row>
    <row r="733" spans="1:9" x14ac:dyDescent="0.25">
      <c r="A733" s="1"/>
      <c r="D733" t="str" cm="1">
        <f t="array" aca="1" ref="D733" ca="1">IF(OR(COUNTIF(damper_names,_xlfn.CONCAT("D_S_",C733))=1, COUNTIF(damper_names,_xlfn.CONCAT("D_E_",C733))=1), "C", "")</f>
        <v/>
      </c>
      <c r="E733" t="str">
        <f t="shared" ca="1" si="40"/>
        <v/>
      </c>
      <c r="F733" t="str">
        <f t="shared" ca="1" si="41"/>
        <v/>
      </c>
      <c r="G733" t="str">
        <f t="shared" ca="1" si="42"/>
        <v/>
      </c>
      <c r="H733" t="str">
        <f t="shared" ca="1" si="43"/>
        <v/>
      </c>
      <c r="I733" t="str">
        <f t="shared" ca="1" si="44"/>
        <v/>
      </c>
    </row>
    <row r="734" spans="1:9" x14ac:dyDescent="0.25">
      <c r="A734" s="1"/>
      <c r="D734" t="str" cm="1">
        <f t="array" aca="1" ref="D734" ca="1">IF(OR(COUNTIF(damper_names,_xlfn.CONCAT("D_S_",C734))=1, COUNTIF(damper_names,_xlfn.CONCAT("D_E_",C734))=1), "C", "")</f>
        <v/>
      </c>
      <c r="E734" t="str">
        <f t="shared" ca="1" si="40"/>
        <v/>
      </c>
      <c r="F734" t="str">
        <f t="shared" ca="1" si="41"/>
        <v/>
      </c>
      <c r="G734" t="str">
        <f t="shared" ca="1" si="42"/>
        <v/>
      </c>
      <c r="H734" t="str">
        <f t="shared" ca="1" si="43"/>
        <v/>
      </c>
      <c r="I734" t="str">
        <f t="shared" ca="1" si="44"/>
        <v/>
      </c>
    </row>
    <row r="735" spans="1:9" x14ac:dyDescent="0.25">
      <c r="A735" s="1"/>
      <c r="D735" t="str" cm="1">
        <f t="array" aca="1" ref="D735" ca="1">IF(OR(COUNTIF(damper_names,_xlfn.CONCAT("D_S_",C735))=1, COUNTIF(damper_names,_xlfn.CONCAT("D_E_",C735))=1), "C", "")</f>
        <v/>
      </c>
      <c r="E735" t="str">
        <f t="shared" ca="1" si="40"/>
        <v/>
      </c>
      <c r="F735" t="str">
        <f t="shared" ca="1" si="41"/>
        <v/>
      </c>
      <c r="G735" t="str">
        <f t="shared" ca="1" si="42"/>
        <v/>
      </c>
      <c r="H735" t="str">
        <f t="shared" ca="1" si="43"/>
        <v/>
      </c>
      <c r="I735" t="str">
        <f t="shared" ca="1" si="44"/>
        <v/>
      </c>
    </row>
    <row r="736" spans="1:9" x14ac:dyDescent="0.25">
      <c r="A736" s="1"/>
      <c r="D736" t="str" cm="1">
        <f t="array" aca="1" ref="D736" ca="1">IF(OR(COUNTIF(damper_names,_xlfn.CONCAT("D_S_",C736))=1, COUNTIF(damper_names,_xlfn.CONCAT("D_E_",C736))=1), "C", "")</f>
        <v/>
      </c>
      <c r="E736" t="str">
        <f t="shared" ca="1" si="40"/>
        <v/>
      </c>
      <c r="F736" t="str">
        <f t="shared" ca="1" si="41"/>
        <v/>
      </c>
      <c r="G736" t="str">
        <f t="shared" ca="1" si="42"/>
        <v/>
      </c>
      <c r="H736" t="str">
        <f t="shared" ca="1" si="43"/>
        <v/>
      </c>
      <c r="I736" t="str">
        <f t="shared" ca="1" si="44"/>
        <v/>
      </c>
    </row>
    <row r="737" spans="1:9" x14ac:dyDescent="0.25">
      <c r="A737" s="1"/>
      <c r="D737" t="str" cm="1">
        <f t="array" aca="1" ref="D737" ca="1">IF(OR(COUNTIF(damper_names,_xlfn.CONCAT("D_S_",C737))=1, COUNTIF(damper_names,_xlfn.CONCAT("D_E_",C737))=1), "C", "")</f>
        <v/>
      </c>
      <c r="E737" t="str">
        <f t="shared" ca="1" si="40"/>
        <v/>
      </c>
      <c r="F737" t="str">
        <f t="shared" ca="1" si="41"/>
        <v/>
      </c>
      <c r="G737" t="str">
        <f t="shared" ca="1" si="42"/>
        <v/>
      </c>
      <c r="H737" t="str">
        <f t="shared" ca="1" si="43"/>
        <v/>
      </c>
      <c r="I737" t="str">
        <f t="shared" ca="1" si="44"/>
        <v/>
      </c>
    </row>
    <row r="738" spans="1:9" x14ac:dyDescent="0.25">
      <c r="A738" s="1"/>
      <c r="D738" t="str" cm="1">
        <f t="array" aca="1" ref="D738" ca="1">IF(OR(COUNTIF(damper_names,_xlfn.CONCAT("D_S_",C738))=1, COUNTIF(damper_names,_xlfn.CONCAT("D_E_",C738))=1), "C", "")</f>
        <v/>
      </c>
      <c r="E738" t="str">
        <f t="shared" ca="1" si="40"/>
        <v/>
      </c>
      <c r="F738" t="str">
        <f t="shared" ca="1" si="41"/>
        <v/>
      </c>
      <c r="G738" t="str">
        <f t="shared" ca="1" si="42"/>
        <v/>
      </c>
      <c r="H738" t="str">
        <f t="shared" ca="1" si="43"/>
        <v/>
      </c>
      <c r="I738" t="str">
        <f t="shared" ca="1" si="44"/>
        <v/>
      </c>
    </row>
    <row r="739" spans="1:9" x14ac:dyDescent="0.25">
      <c r="A739" s="1"/>
      <c r="D739" t="str" cm="1">
        <f t="array" aca="1" ref="D739" ca="1">IF(OR(COUNTIF(damper_names,_xlfn.CONCAT("D_S_",C739))=1, COUNTIF(damper_names,_xlfn.CONCAT("D_E_",C739))=1), "C", "")</f>
        <v/>
      </c>
      <c r="E739" t="str">
        <f t="shared" ca="1" si="40"/>
        <v/>
      </c>
      <c r="F739" t="str">
        <f t="shared" ca="1" si="41"/>
        <v/>
      </c>
      <c r="G739" t="str">
        <f t="shared" ca="1" si="42"/>
        <v/>
      </c>
      <c r="H739" t="str">
        <f t="shared" ca="1" si="43"/>
        <v/>
      </c>
      <c r="I739" t="str">
        <f t="shared" ca="1" si="44"/>
        <v/>
      </c>
    </row>
    <row r="740" spans="1:9" x14ac:dyDescent="0.25">
      <c r="A740" s="1"/>
      <c r="D740" t="str" cm="1">
        <f t="array" aca="1" ref="D740" ca="1">IF(OR(COUNTIF(damper_names,_xlfn.CONCAT("D_S_",C740))=1, COUNTIF(damper_names,_xlfn.CONCAT("D_E_",C740))=1), "C", "")</f>
        <v/>
      </c>
      <c r="E740" t="str">
        <f t="shared" ca="1" si="40"/>
        <v/>
      </c>
      <c r="F740" t="str">
        <f t="shared" ca="1" si="41"/>
        <v/>
      </c>
      <c r="G740" t="str">
        <f t="shared" ca="1" si="42"/>
        <v/>
      </c>
      <c r="H740" t="str">
        <f t="shared" ca="1" si="43"/>
        <v/>
      </c>
      <c r="I740" t="str">
        <f t="shared" ca="1" si="44"/>
        <v/>
      </c>
    </row>
    <row r="741" spans="1:9" x14ac:dyDescent="0.25">
      <c r="A741" s="1"/>
      <c r="D741" t="str" cm="1">
        <f t="array" aca="1" ref="D741" ca="1">IF(OR(COUNTIF(damper_names,_xlfn.CONCAT("D_S_",C741))=1, COUNTIF(damper_names,_xlfn.CONCAT("D_E_",C741))=1), "C", "")</f>
        <v/>
      </c>
      <c r="E741" t="str">
        <f t="shared" ca="1" si="40"/>
        <v/>
      </c>
      <c r="F741" t="str">
        <f t="shared" ca="1" si="41"/>
        <v/>
      </c>
      <c r="G741" t="str">
        <f t="shared" ca="1" si="42"/>
        <v/>
      </c>
      <c r="H741" t="str">
        <f t="shared" ca="1" si="43"/>
        <v/>
      </c>
      <c r="I741" t="str">
        <f t="shared" ca="1" si="44"/>
        <v/>
      </c>
    </row>
    <row r="742" spans="1:9" x14ac:dyDescent="0.25">
      <c r="A742" s="1"/>
      <c r="D742" t="str" cm="1">
        <f t="array" aca="1" ref="D742" ca="1">IF(OR(COUNTIF(damper_names,_xlfn.CONCAT("D_S_",C742))=1, COUNTIF(damper_names,_xlfn.CONCAT("D_E_",C742))=1), "C", "")</f>
        <v/>
      </c>
      <c r="E742" t="str">
        <f t="shared" ca="1" si="40"/>
        <v/>
      </c>
      <c r="F742" t="str">
        <f t="shared" ca="1" si="41"/>
        <v/>
      </c>
      <c r="G742" t="str">
        <f t="shared" ca="1" si="42"/>
        <v/>
      </c>
      <c r="H742" t="str">
        <f t="shared" ca="1" si="43"/>
        <v/>
      </c>
      <c r="I742" t="str">
        <f t="shared" ca="1" si="44"/>
        <v/>
      </c>
    </row>
    <row r="743" spans="1:9" x14ac:dyDescent="0.25">
      <c r="A743" s="1"/>
      <c r="D743" t="str" cm="1">
        <f t="array" aca="1" ref="D743" ca="1">IF(OR(COUNTIF(damper_names,_xlfn.CONCAT("D_S_",C743))=1, COUNTIF(damper_names,_xlfn.CONCAT("D_E_",C743))=1), "C", "")</f>
        <v/>
      </c>
      <c r="E743" t="str">
        <f t="shared" ca="1" si="40"/>
        <v/>
      </c>
      <c r="F743" t="str">
        <f t="shared" ca="1" si="41"/>
        <v/>
      </c>
      <c r="G743" t="str">
        <f t="shared" ca="1" si="42"/>
        <v/>
      </c>
      <c r="H743" t="str">
        <f t="shared" ca="1" si="43"/>
        <v/>
      </c>
      <c r="I743" t="str">
        <f t="shared" ca="1" si="44"/>
        <v/>
      </c>
    </row>
    <row r="744" spans="1:9" x14ac:dyDescent="0.25">
      <c r="A744" s="1"/>
      <c r="D744" t="str" cm="1">
        <f t="array" aca="1" ref="D744" ca="1">IF(OR(COUNTIF(damper_names,_xlfn.CONCAT("D_S_",C744))=1, COUNTIF(damper_names,_xlfn.CONCAT("D_E_",C744))=1), "C", "")</f>
        <v/>
      </c>
      <c r="E744" t="str">
        <f t="shared" ca="1" si="40"/>
        <v/>
      </c>
      <c r="F744" t="str">
        <f t="shared" ca="1" si="41"/>
        <v/>
      </c>
      <c r="G744" t="str">
        <f t="shared" ca="1" si="42"/>
        <v/>
      </c>
      <c r="H744" t="str">
        <f t="shared" ca="1" si="43"/>
        <v/>
      </c>
      <c r="I744" t="str">
        <f t="shared" ca="1" si="44"/>
        <v/>
      </c>
    </row>
    <row r="745" spans="1:9" x14ac:dyDescent="0.25">
      <c r="A745" s="1"/>
      <c r="D745" t="str" cm="1">
        <f t="array" aca="1" ref="D745" ca="1">IF(OR(COUNTIF(damper_names,_xlfn.CONCAT("D_S_",C745))=1, COUNTIF(damper_names,_xlfn.CONCAT("D_E_",C745))=1), "C", "")</f>
        <v/>
      </c>
      <c r="E745" t="str">
        <f t="shared" ca="1" si="40"/>
        <v/>
      </c>
      <c r="F745" t="str">
        <f t="shared" ca="1" si="41"/>
        <v/>
      </c>
      <c r="G745" t="str">
        <f t="shared" ca="1" si="42"/>
        <v/>
      </c>
      <c r="H745" t="str">
        <f t="shared" ca="1" si="43"/>
        <v/>
      </c>
      <c r="I745" t="str">
        <f t="shared" ca="1" si="44"/>
        <v/>
      </c>
    </row>
    <row r="746" spans="1:9" x14ac:dyDescent="0.25">
      <c r="A746" s="1"/>
      <c r="D746" t="str" cm="1">
        <f t="array" aca="1" ref="D746" ca="1">IF(OR(COUNTIF(damper_names,_xlfn.CONCAT("D_S_",C746))=1, COUNTIF(damper_names,_xlfn.CONCAT("D_E_",C746))=1), "C", "")</f>
        <v/>
      </c>
      <c r="E746" t="str">
        <f t="shared" ca="1" si="40"/>
        <v/>
      </c>
      <c r="F746" t="str">
        <f t="shared" ca="1" si="41"/>
        <v/>
      </c>
      <c r="G746" t="str">
        <f t="shared" ca="1" si="42"/>
        <v/>
      </c>
      <c r="H746" t="str">
        <f t="shared" ca="1" si="43"/>
        <v/>
      </c>
      <c r="I746" t="str">
        <f t="shared" ca="1" si="44"/>
        <v/>
      </c>
    </row>
    <row r="747" spans="1:9" x14ac:dyDescent="0.25">
      <c r="A747" s="1"/>
      <c r="D747" t="str" cm="1">
        <f t="array" aca="1" ref="D747" ca="1">IF(OR(COUNTIF(damper_names,_xlfn.CONCAT("D_S_",C747))=1, COUNTIF(damper_names,_xlfn.CONCAT("D_E_",C747))=1), "C", "")</f>
        <v/>
      </c>
      <c r="E747" t="str">
        <f t="shared" ca="1" si="40"/>
        <v/>
      </c>
      <c r="F747" t="str">
        <f t="shared" ca="1" si="41"/>
        <v/>
      </c>
      <c r="G747" t="str">
        <f t="shared" ca="1" si="42"/>
        <v/>
      </c>
      <c r="H747" t="str">
        <f t="shared" ca="1" si="43"/>
        <v/>
      </c>
      <c r="I747" t="str">
        <f t="shared" ca="1" si="44"/>
        <v/>
      </c>
    </row>
    <row r="748" spans="1:9" x14ac:dyDescent="0.25">
      <c r="A748" s="1"/>
      <c r="D748" t="str" cm="1">
        <f t="array" aca="1" ref="D748" ca="1">IF(OR(COUNTIF(damper_names,_xlfn.CONCAT("D_S_",C748))=1, COUNTIF(damper_names,_xlfn.CONCAT("D_E_",C748))=1), "C", "")</f>
        <v/>
      </c>
      <c r="E748" t="str">
        <f t="shared" ca="1" si="40"/>
        <v/>
      </c>
      <c r="F748" t="str">
        <f t="shared" ca="1" si="41"/>
        <v/>
      </c>
      <c r="G748" t="str">
        <f t="shared" ca="1" si="42"/>
        <v/>
      </c>
      <c r="H748" t="str">
        <f t="shared" ca="1" si="43"/>
        <v/>
      </c>
      <c r="I748" t="str">
        <f t="shared" ca="1" si="44"/>
        <v/>
      </c>
    </row>
    <row r="749" spans="1:9" x14ac:dyDescent="0.25">
      <c r="A749" s="1"/>
      <c r="D749" t="str" cm="1">
        <f t="array" aca="1" ref="D749" ca="1">IF(OR(COUNTIF(damper_names,_xlfn.CONCAT("D_S_",C749))=1, COUNTIF(damper_names,_xlfn.CONCAT("D_E_",C749))=1), "C", "")</f>
        <v/>
      </c>
      <c r="E749" t="str">
        <f t="shared" ca="1" si="40"/>
        <v/>
      </c>
      <c r="F749" t="str">
        <f t="shared" ca="1" si="41"/>
        <v/>
      </c>
      <c r="G749" t="str">
        <f t="shared" ca="1" si="42"/>
        <v/>
      </c>
      <c r="H749" t="str">
        <f t="shared" ca="1" si="43"/>
        <v/>
      </c>
      <c r="I749" t="str">
        <f t="shared" ca="1" si="44"/>
        <v/>
      </c>
    </row>
    <row r="750" spans="1:9" x14ac:dyDescent="0.25">
      <c r="A750" s="1"/>
      <c r="D750" t="str" cm="1">
        <f t="array" aca="1" ref="D750" ca="1">IF(OR(COUNTIF(damper_names,_xlfn.CONCAT("D_S_",C750))=1, COUNTIF(damper_names,_xlfn.CONCAT("D_E_",C750))=1), "C", "")</f>
        <v/>
      </c>
      <c r="E750" t="str">
        <f t="shared" ca="1" si="40"/>
        <v/>
      </c>
      <c r="F750" t="str">
        <f t="shared" ca="1" si="41"/>
        <v/>
      </c>
      <c r="G750" t="str">
        <f t="shared" ca="1" si="42"/>
        <v/>
      </c>
      <c r="H750" t="str">
        <f t="shared" ca="1" si="43"/>
        <v/>
      </c>
      <c r="I750" t="str">
        <f t="shared" ca="1" si="44"/>
        <v/>
      </c>
    </row>
    <row r="751" spans="1:9" x14ac:dyDescent="0.25">
      <c r="A751" s="1"/>
      <c r="D751" t="str" cm="1">
        <f t="array" aca="1" ref="D751" ca="1">IF(OR(COUNTIF(damper_names,_xlfn.CONCAT("D_S_",C751))=1, COUNTIF(damper_names,_xlfn.CONCAT("D_E_",C751))=1), "C", "")</f>
        <v/>
      </c>
      <c r="E751" t="str">
        <f t="shared" ca="1" si="40"/>
        <v/>
      </c>
      <c r="F751" t="str">
        <f t="shared" ca="1" si="41"/>
        <v/>
      </c>
      <c r="G751" t="str">
        <f t="shared" ca="1" si="42"/>
        <v/>
      </c>
      <c r="H751" t="str">
        <f t="shared" ca="1" si="43"/>
        <v/>
      </c>
      <c r="I751" t="str">
        <f t="shared" ca="1" si="44"/>
        <v/>
      </c>
    </row>
    <row r="752" spans="1:9" x14ac:dyDescent="0.25">
      <c r="A752" s="1"/>
      <c r="D752" t="str" cm="1">
        <f t="array" aca="1" ref="D752" ca="1">IF(OR(COUNTIF(damper_names,_xlfn.CONCAT("D_S_",C752))=1, COUNTIF(damper_names,_xlfn.CONCAT("D_E_",C752))=1), "C", "")</f>
        <v/>
      </c>
      <c r="E752" t="str">
        <f t="shared" ca="1" si="40"/>
        <v/>
      </c>
      <c r="F752" t="str">
        <f t="shared" ca="1" si="41"/>
        <v/>
      </c>
      <c r="G752" t="str">
        <f t="shared" ca="1" si="42"/>
        <v/>
      </c>
      <c r="H752" t="str">
        <f t="shared" ca="1" si="43"/>
        <v/>
      </c>
      <c r="I752" t="str">
        <f t="shared" ca="1" si="44"/>
        <v/>
      </c>
    </row>
    <row r="753" spans="1:9" x14ac:dyDescent="0.25">
      <c r="A753" s="1"/>
      <c r="D753" t="str" cm="1">
        <f t="array" aca="1" ref="D753" ca="1">IF(OR(COUNTIF(damper_names,_xlfn.CONCAT("D_S_",C753))=1, COUNTIF(damper_names,_xlfn.CONCAT("D_E_",C753))=1), "C", "")</f>
        <v/>
      </c>
      <c r="E753" t="str">
        <f t="shared" ca="1" si="40"/>
        <v/>
      </c>
      <c r="F753" t="str">
        <f t="shared" ca="1" si="41"/>
        <v/>
      </c>
      <c r="G753" t="str">
        <f t="shared" ca="1" si="42"/>
        <v/>
      </c>
      <c r="H753" t="str">
        <f t="shared" ca="1" si="43"/>
        <v/>
      </c>
      <c r="I753" t="str">
        <f t="shared" ca="1" si="44"/>
        <v/>
      </c>
    </row>
    <row r="754" spans="1:9" x14ac:dyDescent="0.25">
      <c r="A754" s="1"/>
      <c r="D754" t="str" cm="1">
        <f t="array" aca="1" ref="D754" ca="1">IF(OR(COUNTIF(damper_names,_xlfn.CONCAT("D_S_",C754))=1, COUNTIF(damper_names,_xlfn.CONCAT("D_E_",C754))=1), "C", "")</f>
        <v/>
      </c>
      <c r="E754" t="str">
        <f t="shared" ca="1" si="40"/>
        <v/>
      </c>
      <c r="F754" t="str">
        <f t="shared" ca="1" si="41"/>
        <v/>
      </c>
      <c r="G754" t="str">
        <f t="shared" ca="1" si="42"/>
        <v/>
      </c>
      <c r="H754" t="str">
        <f t="shared" ca="1" si="43"/>
        <v/>
      </c>
      <c r="I754" t="str">
        <f t="shared" ca="1" si="44"/>
        <v/>
      </c>
    </row>
    <row r="755" spans="1:9" x14ac:dyDescent="0.25">
      <c r="A755" s="1"/>
      <c r="D755" t="str" cm="1">
        <f t="array" aca="1" ref="D755" ca="1">IF(OR(COUNTIF(damper_names,_xlfn.CONCAT("D_S_",C755))=1, COUNTIF(damper_names,_xlfn.CONCAT("D_E_",C755))=1), "C", "")</f>
        <v/>
      </c>
      <c r="E755" t="str">
        <f t="shared" ref="E755:E818" ca="1" si="45">IF(D755="T", 0.05, IF(D755="C", -0.01, ""))</f>
        <v/>
      </c>
      <c r="F755" t="str">
        <f t="shared" ref="F755:F818" ca="1" si="46">IF(D755="T", 0.05, IF(D755="C", 0, ""))</f>
        <v/>
      </c>
      <c r="G755" t="str">
        <f t="shared" ref="G755:G818" ca="1" si="47">IF(D755="T", 0, IF(D755="C", 0, ""))</f>
        <v/>
      </c>
      <c r="H755" t="str">
        <f t="shared" ref="H755:H818" ca="1" si="48">IF(D755="T", 0.05, IF(D755="C", 0, ""))</f>
        <v/>
      </c>
      <c r="I755" t="str">
        <f t="shared" ref="I755:I818" ca="1" si="49">IF(D755="T", 0, IF(D755="C", 0, ""))</f>
        <v/>
      </c>
    </row>
    <row r="756" spans="1:9" x14ac:dyDescent="0.25">
      <c r="A756" s="1"/>
      <c r="D756" t="str" cm="1">
        <f t="array" aca="1" ref="D756" ca="1">IF(OR(COUNTIF(damper_names,_xlfn.CONCAT("D_S_",C756))=1, COUNTIF(damper_names,_xlfn.CONCAT("D_E_",C756))=1), "C", "")</f>
        <v/>
      </c>
      <c r="E756" t="str">
        <f t="shared" ca="1" si="45"/>
        <v/>
      </c>
      <c r="F756" t="str">
        <f t="shared" ca="1" si="46"/>
        <v/>
      </c>
      <c r="G756" t="str">
        <f t="shared" ca="1" si="47"/>
        <v/>
      </c>
      <c r="H756" t="str">
        <f t="shared" ca="1" si="48"/>
        <v/>
      </c>
      <c r="I756" t="str">
        <f t="shared" ca="1" si="49"/>
        <v/>
      </c>
    </row>
    <row r="757" spans="1:9" x14ac:dyDescent="0.25">
      <c r="A757" s="1"/>
      <c r="D757" t="str" cm="1">
        <f t="array" aca="1" ref="D757" ca="1">IF(OR(COUNTIF(damper_names,_xlfn.CONCAT("D_S_",C757))=1, COUNTIF(damper_names,_xlfn.CONCAT("D_E_",C757))=1), "C", "")</f>
        <v/>
      </c>
      <c r="E757" t="str">
        <f t="shared" ca="1" si="45"/>
        <v/>
      </c>
      <c r="F757" t="str">
        <f t="shared" ca="1" si="46"/>
        <v/>
      </c>
      <c r="G757" t="str">
        <f t="shared" ca="1" si="47"/>
        <v/>
      </c>
      <c r="H757" t="str">
        <f t="shared" ca="1" si="48"/>
        <v/>
      </c>
      <c r="I757" t="str">
        <f t="shared" ca="1" si="49"/>
        <v/>
      </c>
    </row>
    <row r="758" spans="1:9" x14ac:dyDescent="0.25">
      <c r="A758" s="1"/>
      <c r="D758" t="str" cm="1">
        <f t="array" aca="1" ref="D758" ca="1">IF(OR(COUNTIF(damper_names,_xlfn.CONCAT("D_S_",C758))=1, COUNTIF(damper_names,_xlfn.CONCAT("D_E_",C758))=1), "C", "")</f>
        <v/>
      </c>
      <c r="E758" t="str">
        <f t="shared" ca="1" si="45"/>
        <v/>
      </c>
      <c r="F758" t="str">
        <f t="shared" ca="1" si="46"/>
        <v/>
      </c>
      <c r="G758" t="str">
        <f t="shared" ca="1" si="47"/>
        <v/>
      </c>
      <c r="H758" t="str">
        <f t="shared" ca="1" si="48"/>
        <v/>
      </c>
      <c r="I758" t="str">
        <f t="shared" ca="1" si="49"/>
        <v/>
      </c>
    </row>
    <row r="759" spans="1:9" x14ac:dyDescent="0.25">
      <c r="A759" s="1"/>
      <c r="D759" t="str" cm="1">
        <f t="array" aca="1" ref="D759" ca="1">IF(OR(COUNTIF(damper_names,_xlfn.CONCAT("D_S_",C759))=1, COUNTIF(damper_names,_xlfn.CONCAT("D_E_",C759))=1), "C", "")</f>
        <v/>
      </c>
      <c r="E759" t="str">
        <f t="shared" ca="1" si="45"/>
        <v/>
      </c>
      <c r="F759" t="str">
        <f t="shared" ca="1" si="46"/>
        <v/>
      </c>
      <c r="G759" t="str">
        <f t="shared" ca="1" si="47"/>
        <v/>
      </c>
      <c r="H759" t="str">
        <f t="shared" ca="1" si="48"/>
        <v/>
      </c>
      <c r="I759" t="str">
        <f t="shared" ca="1" si="49"/>
        <v/>
      </c>
    </row>
    <row r="760" spans="1:9" x14ac:dyDescent="0.25">
      <c r="A760" s="1"/>
      <c r="D760" t="str" cm="1">
        <f t="array" aca="1" ref="D760" ca="1">IF(OR(COUNTIF(damper_names,_xlfn.CONCAT("D_S_",C760))=1, COUNTIF(damper_names,_xlfn.CONCAT("D_E_",C760))=1), "C", "")</f>
        <v/>
      </c>
      <c r="E760" t="str">
        <f t="shared" ca="1" si="45"/>
        <v/>
      </c>
      <c r="F760" t="str">
        <f t="shared" ca="1" si="46"/>
        <v/>
      </c>
      <c r="G760" t="str">
        <f t="shared" ca="1" si="47"/>
        <v/>
      </c>
      <c r="H760" t="str">
        <f t="shared" ca="1" si="48"/>
        <v/>
      </c>
      <c r="I760" t="str">
        <f t="shared" ca="1" si="49"/>
        <v/>
      </c>
    </row>
    <row r="761" spans="1:9" x14ac:dyDescent="0.25">
      <c r="A761" s="1"/>
      <c r="D761" t="str" cm="1">
        <f t="array" aca="1" ref="D761" ca="1">IF(OR(COUNTIF(damper_names,_xlfn.CONCAT("D_S_",C761))=1, COUNTIF(damper_names,_xlfn.CONCAT("D_E_",C761))=1), "C", "")</f>
        <v/>
      </c>
      <c r="E761" t="str">
        <f t="shared" ca="1" si="45"/>
        <v/>
      </c>
      <c r="F761" t="str">
        <f t="shared" ca="1" si="46"/>
        <v/>
      </c>
      <c r="G761" t="str">
        <f t="shared" ca="1" si="47"/>
        <v/>
      </c>
      <c r="H761" t="str">
        <f t="shared" ca="1" si="48"/>
        <v/>
      </c>
      <c r="I761" t="str">
        <f t="shared" ca="1" si="49"/>
        <v/>
      </c>
    </row>
    <row r="762" spans="1:9" x14ac:dyDescent="0.25">
      <c r="A762" s="1"/>
      <c r="D762" t="str" cm="1">
        <f t="array" aca="1" ref="D762" ca="1">IF(OR(COUNTIF(damper_names,_xlfn.CONCAT("D_S_",C762))=1, COUNTIF(damper_names,_xlfn.CONCAT("D_E_",C762))=1), "C", "")</f>
        <v/>
      </c>
      <c r="E762" t="str">
        <f t="shared" ca="1" si="45"/>
        <v/>
      </c>
      <c r="F762" t="str">
        <f t="shared" ca="1" si="46"/>
        <v/>
      </c>
      <c r="G762" t="str">
        <f t="shared" ca="1" si="47"/>
        <v/>
      </c>
      <c r="H762" t="str">
        <f t="shared" ca="1" si="48"/>
        <v/>
      </c>
      <c r="I762" t="str">
        <f t="shared" ca="1" si="49"/>
        <v/>
      </c>
    </row>
    <row r="763" spans="1:9" x14ac:dyDescent="0.25">
      <c r="A763" s="1"/>
      <c r="D763" t="str" cm="1">
        <f t="array" aca="1" ref="D763" ca="1">IF(OR(COUNTIF(damper_names,_xlfn.CONCAT("D_S_",C763))=1, COUNTIF(damper_names,_xlfn.CONCAT("D_E_",C763))=1), "C", "")</f>
        <v/>
      </c>
      <c r="E763" t="str">
        <f t="shared" ca="1" si="45"/>
        <v/>
      </c>
      <c r="F763" t="str">
        <f t="shared" ca="1" si="46"/>
        <v/>
      </c>
      <c r="G763" t="str">
        <f t="shared" ca="1" si="47"/>
        <v/>
      </c>
      <c r="H763" t="str">
        <f t="shared" ca="1" si="48"/>
        <v/>
      </c>
      <c r="I763" t="str">
        <f t="shared" ca="1" si="49"/>
        <v/>
      </c>
    </row>
    <row r="764" spans="1:9" x14ac:dyDescent="0.25">
      <c r="A764" s="1"/>
      <c r="D764" t="str" cm="1">
        <f t="array" aca="1" ref="D764" ca="1">IF(OR(COUNTIF(damper_names,_xlfn.CONCAT("D_S_",C764))=1, COUNTIF(damper_names,_xlfn.CONCAT("D_E_",C764))=1), "C", "")</f>
        <v/>
      </c>
      <c r="E764" t="str">
        <f t="shared" ca="1" si="45"/>
        <v/>
      </c>
      <c r="F764" t="str">
        <f t="shared" ca="1" si="46"/>
        <v/>
      </c>
      <c r="G764" t="str">
        <f t="shared" ca="1" si="47"/>
        <v/>
      </c>
      <c r="H764" t="str">
        <f t="shared" ca="1" si="48"/>
        <v/>
      </c>
      <c r="I764" t="str">
        <f t="shared" ca="1" si="49"/>
        <v/>
      </c>
    </row>
    <row r="765" spans="1:9" x14ac:dyDescent="0.25">
      <c r="A765" s="1"/>
      <c r="D765" t="str" cm="1">
        <f t="array" aca="1" ref="D765" ca="1">IF(OR(COUNTIF(damper_names,_xlfn.CONCAT("D_S_",C765))=1, COUNTIF(damper_names,_xlfn.CONCAT("D_E_",C765))=1), "C", "")</f>
        <v/>
      </c>
      <c r="E765" t="str">
        <f t="shared" ca="1" si="45"/>
        <v/>
      </c>
      <c r="F765" t="str">
        <f t="shared" ca="1" si="46"/>
        <v/>
      </c>
      <c r="G765" t="str">
        <f t="shared" ca="1" si="47"/>
        <v/>
      </c>
      <c r="H765" t="str">
        <f t="shared" ca="1" si="48"/>
        <v/>
      </c>
      <c r="I765" t="str">
        <f t="shared" ca="1" si="49"/>
        <v/>
      </c>
    </row>
    <row r="766" spans="1:9" x14ac:dyDescent="0.25">
      <c r="A766" s="1"/>
      <c r="D766" t="str" cm="1">
        <f t="array" aca="1" ref="D766" ca="1">IF(OR(COUNTIF(damper_names,_xlfn.CONCAT("D_S_",C766))=1, COUNTIF(damper_names,_xlfn.CONCAT("D_E_",C766))=1), "C", "")</f>
        <v/>
      </c>
      <c r="E766" t="str">
        <f t="shared" ca="1" si="45"/>
        <v/>
      </c>
      <c r="F766" t="str">
        <f t="shared" ca="1" si="46"/>
        <v/>
      </c>
      <c r="G766" t="str">
        <f t="shared" ca="1" si="47"/>
        <v/>
      </c>
      <c r="H766" t="str">
        <f t="shared" ca="1" si="48"/>
        <v/>
      </c>
      <c r="I766" t="str">
        <f t="shared" ca="1" si="49"/>
        <v/>
      </c>
    </row>
    <row r="767" spans="1:9" x14ac:dyDescent="0.25">
      <c r="A767" s="1"/>
      <c r="D767" t="str" cm="1">
        <f t="array" aca="1" ref="D767" ca="1">IF(OR(COUNTIF(damper_names,_xlfn.CONCAT("D_S_",C767))=1, COUNTIF(damper_names,_xlfn.CONCAT("D_E_",C767))=1), "C", "")</f>
        <v/>
      </c>
      <c r="E767" t="str">
        <f t="shared" ca="1" si="45"/>
        <v/>
      </c>
      <c r="F767" t="str">
        <f t="shared" ca="1" si="46"/>
        <v/>
      </c>
      <c r="G767" t="str">
        <f t="shared" ca="1" si="47"/>
        <v/>
      </c>
      <c r="H767" t="str">
        <f t="shared" ca="1" si="48"/>
        <v/>
      </c>
      <c r="I767" t="str">
        <f t="shared" ca="1" si="49"/>
        <v/>
      </c>
    </row>
    <row r="768" spans="1:9" x14ac:dyDescent="0.25">
      <c r="A768" s="1"/>
      <c r="D768" t="str" cm="1">
        <f t="array" aca="1" ref="D768" ca="1">IF(OR(COUNTIF(damper_names,_xlfn.CONCAT("D_S_",C768))=1, COUNTIF(damper_names,_xlfn.CONCAT("D_E_",C768))=1), "C", "")</f>
        <v/>
      </c>
      <c r="E768" t="str">
        <f t="shared" ca="1" si="45"/>
        <v/>
      </c>
      <c r="F768" t="str">
        <f t="shared" ca="1" si="46"/>
        <v/>
      </c>
      <c r="G768" t="str">
        <f t="shared" ca="1" si="47"/>
        <v/>
      </c>
      <c r="H768" t="str">
        <f t="shared" ca="1" si="48"/>
        <v/>
      </c>
      <c r="I768" t="str">
        <f t="shared" ca="1" si="49"/>
        <v/>
      </c>
    </row>
    <row r="769" spans="1:9" x14ac:dyDescent="0.25">
      <c r="A769" s="1"/>
      <c r="D769" t="str" cm="1">
        <f t="array" aca="1" ref="D769" ca="1">IF(OR(COUNTIF(damper_names,_xlfn.CONCAT("D_S_",C769))=1, COUNTIF(damper_names,_xlfn.CONCAT("D_E_",C769))=1), "C", "")</f>
        <v/>
      </c>
      <c r="E769" t="str">
        <f t="shared" ca="1" si="45"/>
        <v/>
      </c>
      <c r="F769" t="str">
        <f t="shared" ca="1" si="46"/>
        <v/>
      </c>
      <c r="G769" t="str">
        <f t="shared" ca="1" si="47"/>
        <v/>
      </c>
      <c r="H769" t="str">
        <f t="shared" ca="1" si="48"/>
        <v/>
      </c>
      <c r="I769" t="str">
        <f t="shared" ca="1" si="49"/>
        <v/>
      </c>
    </row>
    <row r="770" spans="1:9" x14ac:dyDescent="0.25">
      <c r="A770" s="1"/>
      <c r="D770" t="str" cm="1">
        <f t="array" aca="1" ref="D770" ca="1">IF(OR(COUNTIF(damper_names,_xlfn.CONCAT("D_S_",C770))=1, COUNTIF(damper_names,_xlfn.CONCAT("D_E_",C770))=1), "C", "")</f>
        <v/>
      </c>
      <c r="E770" t="str">
        <f t="shared" ca="1" si="45"/>
        <v/>
      </c>
      <c r="F770" t="str">
        <f t="shared" ca="1" si="46"/>
        <v/>
      </c>
      <c r="G770" t="str">
        <f t="shared" ca="1" si="47"/>
        <v/>
      </c>
      <c r="H770" t="str">
        <f t="shared" ca="1" si="48"/>
        <v/>
      </c>
      <c r="I770" t="str">
        <f t="shared" ca="1" si="49"/>
        <v/>
      </c>
    </row>
    <row r="771" spans="1:9" x14ac:dyDescent="0.25">
      <c r="A771" s="1"/>
      <c r="D771" t="str" cm="1">
        <f t="array" aca="1" ref="D771" ca="1">IF(OR(COUNTIF(damper_names,_xlfn.CONCAT("D_S_",C771))=1, COUNTIF(damper_names,_xlfn.CONCAT("D_E_",C771))=1), "C", "")</f>
        <v/>
      </c>
      <c r="E771" t="str">
        <f t="shared" ca="1" si="45"/>
        <v/>
      </c>
      <c r="F771" t="str">
        <f t="shared" ca="1" si="46"/>
        <v/>
      </c>
      <c r="G771" t="str">
        <f t="shared" ca="1" si="47"/>
        <v/>
      </c>
      <c r="H771" t="str">
        <f t="shared" ca="1" si="48"/>
        <v/>
      </c>
      <c r="I771" t="str">
        <f t="shared" ca="1" si="49"/>
        <v/>
      </c>
    </row>
    <row r="772" spans="1:9" x14ac:dyDescent="0.25">
      <c r="A772" s="1"/>
      <c r="D772" t="str" cm="1">
        <f t="array" aca="1" ref="D772" ca="1">IF(OR(COUNTIF(damper_names,_xlfn.CONCAT("D_S_",C772))=1, COUNTIF(damper_names,_xlfn.CONCAT("D_E_",C772))=1), "C", "")</f>
        <v/>
      </c>
      <c r="E772" t="str">
        <f t="shared" ca="1" si="45"/>
        <v/>
      </c>
      <c r="F772" t="str">
        <f t="shared" ca="1" si="46"/>
        <v/>
      </c>
      <c r="G772" t="str">
        <f t="shared" ca="1" si="47"/>
        <v/>
      </c>
      <c r="H772" t="str">
        <f t="shared" ca="1" si="48"/>
        <v/>
      </c>
      <c r="I772" t="str">
        <f t="shared" ca="1" si="49"/>
        <v/>
      </c>
    </row>
    <row r="773" spans="1:9" x14ac:dyDescent="0.25">
      <c r="A773" s="1"/>
      <c r="D773" t="str" cm="1">
        <f t="array" aca="1" ref="D773" ca="1">IF(OR(COUNTIF(damper_names,_xlfn.CONCAT("D_S_",C773))=1, COUNTIF(damper_names,_xlfn.CONCAT("D_E_",C773))=1), "C", "")</f>
        <v/>
      </c>
      <c r="E773" t="str">
        <f t="shared" ca="1" si="45"/>
        <v/>
      </c>
      <c r="F773" t="str">
        <f t="shared" ca="1" si="46"/>
        <v/>
      </c>
      <c r="G773" t="str">
        <f t="shared" ca="1" si="47"/>
        <v/>
      </c>
      <c r="H773" t="str">
        <f t="shared" ca="1" si="48"/>
        <v/>
      </c>
      <c r="I773" t="str">
        <f t="shared" ca="1" si="49"/>
        <v/>
      </c>
    </row>
    <row r="774" spans="1:9" x14ac:dyDescent="0.25">
      <c r="A774" s="1"/>
      <c r="D774" t="str" cm="1">
        <f t="array" aca="1" ref="D774" ca="1">IF(OR(COUNTIF(damper_names,_xlfn.CONCAT("D_S_",C774))=1, COUNTIF(damper_names,_xlfn.CONCAT("D_E_",C774))=1), "C", "")</f>
        <v/>
      </c>
      <c r="E774" t="str">
        <f t="shared" ca="1" si="45"/>
        <v/>
      </c>
      <c r="F774" t="str">
        <f t="shared" ca="1" si="46"/>
        <v/>
      </c>
      <c r="G774" t="str">
        <f t="shared" ca="1" si="47"/>
        <v/>
      </c>
      <c r="H774" t="str">
        <f t="shared" ca="1" si="48"/>
        <v/>
      </c>
      <c r="I774" t="str">
        <f t="shared" ca="1" si="49"/>
        <v/>
      </c>
    </row>
    <row r="775" spans="1:9" x14ac:dyDescent="0.25">
      <c r="A775" s="1"/>
      <c r="D775" t="str" cm="1">
        <f t="array" aca="1" ref="D775" ca="1">IF(OR(COUNTIF(damper_names,_xlfn.CONCAT("D_S_",C775))=1, COUNTIF(damper_names,_xlfn.CONCAT("D_E_",C775))=1), "C", "")</f>
        <v/>
      </c>
      <c r="E775" t="str">
        <f t="shared" ca="1" si="45"/>
        <v/>
      </c>
      <c r="F775" t="str">
        <f t="shared" ca="1" si="46"/>
        <v/>
      </c>
      <c r="G775" t="str">
        <f t="shared" ca="1" si="47"/>
        <v/>
      </c>
      <c r="H775" t="str">
        <f t="shared" ca="1" si="48"/>
        <v/>
      </c>
      <c r="I775" t="str">
        <f t="shared" ca="1" si="49"/>
        <v/>
      </c>
    </row>
    <row r="776" spans="1:9" x14ac:dyDescent="0.25">
      <c r="A776" s="1"/>
      <c r="D776" t="str" cm="1">
        <f t="array" aca="1" ref="D776" ca="1">IF(OR(COUNTIF(damper_names,_xlfn.CONCAT("D_S_",C776))=1, COUNTIF(damper_names,_xlfn.CONCAT("D_E_",C776))=1), "C", "")</f>
        <v/>
      </c>
      <c r="E776" t="str">
        <f t="shared" ca="1" si="45"/>
        <v/>
      </c>
      <c r="F776" t="str">
        <f t="shared" ca="1" si="46"/>
        <v/>
      </c>
      <c r="G776" t="str">
        <f t="shared" ca="1" si="47"/>
        <v/>
      </c>
      <c r="H776" t="str">
        <f t="shared" ca="1" si="48"/>
        <v/>
      </c>
      <c r="I776" t="str">
        <f t="shared" ca="1" si="49"/>
        <v/>
      </c>
    </row>
    <row r="777" spans="1:9" x14ac:dyDescent="0.25">
      <c r="A777" s="1"/>
      <c r="D777" t="str" cm="1">
        <f t="array" aca="1" ref="D777" ca="1">IF(OR(COUNTIF(damper_names,_xlfn.CONCAT("D_S_",C777))=1, COUNTIF(damper_names,_xlfn.CONCAT("D_E_",C777))=1), "C", "")</f>
        <v/>
      </c>
      <c r="E777" t="str">
        <f t="shared" ca="1" si="45"/>
        <v/>
      </c>
      <c r="F777" t="str">
        <f t="shared" ca="1" si="46"/>
        <v/>
      </c>
      <c r="G777" t="str">
        <f t="shared" ca="1" si="47"/>
        <v/>
      </c>
      <c r="H777" t="str">
        <f t="shared" ca="1" si="48"/>
        <v/>
      </c>
      <c r="I777" t="str">
        <f t="shared" ca="1" si="49"/>
        <v/>
      </c>
    </row>
    <row r="778" spans="1:9" x14ac:dyDescent="0.25">
      <c r="A778" s="1"/>
      <c r="D778" t="str" cm="1">
        <f t="array" aca="1" ref="D778" ca="1">IF(OR(COUNTIF(damper_names,_xlfn.CONCAT("D_S_",C778))=1, COUNTIF(damper_names,_xlfn.CONCAT("D_E_",C778))=1), "C", "")</f>
        <v/>
      </c>
      <c r="E778" t="str">
        <f t="shared" ca="1" si="45"/>
        <v/>
      </c>
      <c r="F778" t="str">
        <f t="shared" ca="1" si="46"/>
        <v/>
      </c>
      <c r="G778" t="str">
        <f t="shared" ca="1" si="47"/>
        <v/>
      </c>
      <c r="H778" t="str">
        <f t="shared" ca="1" si="48"/>
        <v/>
      </c>
      <c r="I778" t="str">
        <f t="shared" ca="1" si="49"/>
        <v/>
      </c>
    </row>
    <row r="779" spans="1:9" x14ac:dyDescent="0.25">
      <c r="A779" s="1"/>
      <c r="D779" t="str" cm="1">
        <f t="array" aca="1" ref="D779" ca="1">IF(OR(COUNTIF(damper_names,_xlfn.CONCAT("D_S_",C779))=1, COUNTIF(damper_names,_xlfn.CONCAT("D_E_",C779))=1), "C", "")</f>
        <v/>
      </c>
      <c r="E779" t="str">
        <f t="shared" ca="1" si="45"/>
        <v/>
      </c>
      <c r="F779" t="str">
        <f t="shared" ca="1" si="46"/>
        <v/>
      </c>
      <c r="G779" t="str">
        <f t="shared" ca="1" si="47"/>
        <v/>
      </c>
      <c r="H779" t="str">
        <f t="shared" ca="1" si="48"/>
        <v/>
      </c>
      <c r="I779" t="str">
        <f t="shared" ca="1" si="49"/>
        <v/>
      </c>
    </row>
    <row r="780" spans="1:9" x14ac:dyDescent="0.25">
      <c r="A780" s="1"/>
      <c r="D780" t="str" cm="1">
        <f t="array" aca="1" ref="D780" ca="1">IF(OR(COUNTIF(damper_names,_xlfn.CONCAT("D_S_",C780))=1, COUNTIF(damper_names,_xlfn.CONCAT("D_E_",C780))=1), "C", "")</f>
        <v/>
      </c>
      <c r="E780" t="str">
        <f t="shared" ca="1" si="45"/>
        <v/>
      </c>
      <c r="F780" t="str">
        <f t="shared" ca="1" si="46"/>
        <v/>
      </c>
      <c r="G780" t="str">
        <f t="shared" ca="1" si="47"/>
        <v/>
      </c>
      <c r="H780" t="str">
        <f t="shared" ca="1" si="48"/>
        <v/>
      </c>
      <c r="I780" t="str">
        <f t="shared" ca="1" si="49"/>
        <v/>
      </c>
    </row>
    <row r="781" spans="1:9" x14ac:dyDescent="0.25">
      <c r="A781" s="1"/>
      <c r="D781" t="str" cm="1">
        <f t="array" aca="1" ref="D781" ca="1">IF(OR(COUNTIF(damper_names,_xlfn.CONCAT("D_S_",C781))=1, COUNTIF(damper_names,_xlfn.CONCAT("D_E_",C781))=1), "C", "")</f>
        <v/>
      </c>
      <c r="E781" t="str">
        <f t="shared" ca="1" si="45"/>
        <v/>
      </c>
      <c r="F781" t="str">
        <f t="shared" ca="1" si="46"/>
        <v/>
      </c>
      <c r="G781" t="str">
        <f t="shared" ca="1" si="47"/>
        <v/>
      </c>
      <c r="H781" t="str">
        <f t="shared" ca="1" si="48"/>
        <v/>
      </c>
      <c r="I781" t="str">
        <f t="shared" ca="1" si="49"/>
        <v/>
      </c>
    </row>
    <row r="782" spans="1:9" x14ac:dyDescent="0.25">
      <c r="A782" s="1"/>
      <c r="D782" t="str" cm="1">
        <f t="array" aca="1" ref="D782" ca="1">IF(OR(COUNTIF(damper_names,_xlfn.CONCAT("D_S_",C782))=1, COUNTIF(damper_names,_xlfn.CONCAT("D_E_",C782))=1), "C", "")</f>
        <v/>
      </c>
      <c r="E782" t="str">
        <f t="shared" ca="1" si="45"/>
        <v/>
      </c>
      <c r="F782" t="str">
        <f t="shared" ca="1" si="46"/>
        <v/>
      </c>
      <c r="G782" t="str">
        <f t="shared" ca="1" si="47"/>
        <v/>
      </c>
      <c r="H782" t="str">
        <f t="shared" ca="1" si="48"/>
        <v/>
      </c>
      <c r="I782" t="str">
        <f t="shared" ca="1" si="49"/>
        <v/>
      </c>
    </row>
    <row r="783" spans="1:9" x14ac:dyDescent="0.25">
      <c r="A783" s="1"/>
      <c r="D783" t="str" cm="1">
        <f t="array" aca="1" ref="D783" ca="1">IF(OR(COUNTIF(damper_names,_xlfn.CONCAT("D_S_",C783))=1, COUNTIF(damper_names,_xlfn.CONCAT("D_E_",C783))=1), "C", "")</f>
        <v/>
      </c>
      <c r="E783" t="str">
        <f t="shared" ca="1" si="45"/>
        <v/>
      </c>
      <c r="F783" t="str">
        <f t="shared" ca="1" si="46"/>
        <v/>
      </c>
      <c r="G783" t="str">
        <f t="shared" ca="1" si="47"/>
        <v/>
      </c>
      <c r="H783" t="str">
        <f t="shared" ca="1" si="48"/>
        <v/>
      </c>
      <c r="I783" t="str">
        <f t="shared" ca="1" si="49"/>
        <v/>
      </c>
    </row>
    <row r="784" spans="1:9" x14ac:dyDescent="0.25">
      <c r="A784" s="1"/>
      <c r="D784" t="str" cm="1">
        <f t="array" aca="1" ref="D784" ca="1">IF(OR(COUNTIF(damper_names,_xlfn.CONCAT("D_S_",C784))=1, COUNTIF(damper_names,_xlfn.CONCAT("D_E_",C784))=1), "C", "")</f>
        <v/>
      </c>
      <c r="E784" t="str">
        <f t="shared" ca="1" si="45"/>
        <v/>
      </c>
      <c r="F784" t="str">
        <f t="shared" ca="1" si="46"/>
        <v/>
      </c>
      <c r="G784" t="str">
        <f t="shared" ca="1" si="47"/>
        <v/>
      </c>
      <c r="H784" t="str">
        <f t="shared" ca="1" si="48"/>
        <v/>
      </c>
      <c r="I784" t="str">
        <f t="shared" ca="1" si="49"/>
        <v/>
      </c>
    </row>
    <row r="785" spans="1:9" x14ac:dyDescent="0.25">
      <c r="A785" s="1"/>
      <c r="D785" t="str" cm="1">
        <f t="array" aca="1" ref="D785" ca="1">IF(OR(COUNTIF(damper_names,_xlfn.CONCAT("D_S_",C785))=1, COUNTIF(damper_names,_xlfn.CONCAT("D_E_",C785))=1), "C", "")</f>
        <v/>
      </c>
      <c r="E785" t="str">
        <f t="shared" ca="1" si="45"/>
        <v/>
      </c>
      <c r="F785" t="str">
        <f t="shared" ca="1" si="46"/>
        <v/>
      </c>
      <c r="G785" t="str">
        <f t="shared" ca="1" si="47"/>
        <v/>
      </c>
      <c r="H785" t="str">
        <f t="shared" ca="1" si="48"/>
        <v/>
      </c>
      <c r="I785" t="str">
        <f t="shared" ca="1" si="49"/>
        <v/>
      </c>
    </row>
    <row r="786" spans="1:9" x14ac:dyDescent="0.25">
      <c r="A786" s="1"/>
      <c r="D786" t="str" cm="1">
        <f t="array" aca="1" ref="D786" ca="1">IF(OR(COUNTIF(damper_names,_xlfn.CONCAT("D_S_",C786))=1, COUNTIF(damper_names,_xlfn.CONCAT("D_E_",C786))=1), "C", "")</f>
        <v/>
      </c>
      <c r="E786" t="str">
        <f t="shared" ca="1" si="45"/>
        <v/>
      </c>
      <c r="F786" t="str">
        <f t="shared" ca="1" si="46"/>
        <v/>
      </c>
      <c r="G786" t="str">
        <f t="shared" ca="1" si="47"/>
        <v/>
      </c>
      <c r="H786" t="str">
        <f t="shared" ca="1" si="48"/>
        <v/>
      </c>
      <c r="I786" t="str">
        <f t="shared" ca="1" si="49"/>
        <v/>
      </c>
    </row>
    <row r="787" spans="1:9" x14ac:dyDescent="0.25">
      <c r="A787" s="1"/>
      <c r="D787" t="str" cm="1">
        <f t="array" aca="1" ref="D787" ca="1">IF(OR(COUNTIF(damper_names,_xlfn.CONCAT("D_S_",C787))=1, COUNTIF(damper_names,_xlfn.CONCAT("D_E_",C787))=1), "C", "")</f>
        <v/>
      </c>
      <c r="E787" t="str">
        <f t="shared" ca="1" si="45"/>
        <v/>
      </c>
      <c r="F787" t="str">
        <f t="shared" ca="1" si="46"/>
        <v/>
      </c>
      <c r="G787" t="str">
        <f t="shared" ca="1" si="47"/>
        <v/>
      </c>
      <c r="H787" t="str">
        <f t="shared" ca="1" si="48"/>
        <v/>
      </c>
      <c r="I787" t="str">
        <f t="shared" ca="1" si="49"/>
        <v/>
      </c>
    </row>
    <row r="788" spans="1:9" x14ac:dyDescent="0.25">
      <c r="A788" s="1"/>
      <c r="D788" t="str" cm="1">
        <f t="array" aca="1" ref="D788" ca="1">IF(OR(COUNTIF(damper_names,_xlfn.CONCAT("D_S_",C788))=1, COUNTIF(damper_names,_xlfn.CONCAT("D_E_",C788))=1), "C", "")</f>
        <v/>
      </c>
      <c r="E788" t="str">
        <f t="shared" ca="1" si="45"/>
        <v/>
      </c>
      <c r="F788" t="str">
        <f t="shared" ca="1" si="46"/>
        <v/>
      </c>
      <c r="G788" t="str">
        <f t="shared" ca="1" si="47"/>
        <v/>
      </c>
      <c r="H788" t="str">
        <f t="shared" ca="1" si="48"/>
        <v/>
      </c>
      <c r="I788" t="str">
        <f t="shared" ca="1" si="49"/>
        <v/>
      </c>
    </row>
    <row r="789" spans="1:9" x14ac:dyDescent="0.25">
      <c r="A789" s="1"/>
      <c r="D789" t="str" cm="1">
        <f t="array" aca="1" ref="D789" ca="1">IF(OR(COUNTIF(damper_names,_xlfn.CONCAT("D_S_",C789))=1, COUNTIF(damper_names,_xlfn.CONCAT("D_E_",C789))=1), "C", "")</f>
        <v/>
      </c>
      <c r="E789" t="str">
        <f t="shared" ca="1" si="45"/>
        <v/>
      </c>
      <c r="F789" t="str">
        <f t="shared" ca="1" si="46"/>
        <v/>
      </c>
      <c r="G789" t="str">
        <f t="shared" ca="1" si="47"/>
        <v/>
      </c>
      <c r="H789" t="str">
        <f t="shared" ca="1" si="48"/>
        <v/>
      </c>
      <c r="I789" t="str">
        <f t="shared" ca="1" si="49"/>
        <v/>
      </c>
    </row>
    <row r="790" spans="1:9" x14ac:dyDescent="0.25">
      <c r="A790" s="1"/>
      <c r="D790" t="str" cm="1">
        <f t="array" aca="1" ref="D790" ca="1">IF(OR(COUNTIF(damper_names,_xlfn.CONCAT("D_S_",C790))=1, COUNTIF(damper_names,_xlfn.CONCAT("D_E_",C790))=1), "C", "")</f>
        <v/>
      </c>
      <c r="E790" t="str">
        <f t="shared" ca="1" si="45"/>
        <v/>
      </c>
      <c r="F790" t="str">
        <f t="shared" ca="1" si="46"/>
        <v/>
      </c>
      <c r="G790" t="str">
        <f t="shared" ca="1" si="47"/>
        <v/>
      </c>
      <c r="H790" t="str">
        <f t="shared" ca="1" si="48"/>
        <v/>
      </c>
      <c r="I790" t="str">
        <f t="shared" ca="1" si="49"/>
        <v/>
      </c>
    </row>
    <row r="791" spans="1:9" x14ac:dyDescent="0.25">
      <c r="A791" s="1"/>
      <c r="D791" t="str" cm="1">
        <f t="array" aca="1" ref="D791" ca="1">IF(OR(COUNTIF(damper_names,_xlfn.CONCAT("D_S_",C791))=1, COUNTIF(damper_names,_xlfn.CONCAT("D_E_",C791))=1), "C", "")</f>
        <v/>
      </c>
      <c r="E791" t="str">
        <f t="shared" ca="1" si="45"/>
        <v/>
      </c>
      <c r="F791" t="str">
        <f t="shared" ca="1" si="46"/>
        <v/>
      </c>
      <c r="G791" t="str">
        <f t="shared" ca="1" si="47"/>
        <v/>
      </c>
      <c r="H791" t="str">
        <f t="shared" ca="1" si="48"/>
        <v/>
      </c>
      <c r="I791" t="str">
        <f t="shared" ca="1" si="49"/>
        <v/>
      </c>
    </row>
    <row r="792" spans="1:9" x14ac:dyDescent="0.25">
      <c r="A792" s="1"/>
      <c r="D792" t="str" cm="1">
        <f t="array" aca="1" ref="D792" ca="1">IF(OR(COUNTIF(damper_names,_xlfn.CONCAT("D_S_",C792))=1, COUNTIF(damper_names,_xlfn.CONCAT("D_E_",C792))=1), "C", "")</f>
        <v/>
      </c>
      <c r="E792" t="str">
        <f t="shared" ca="1" si="45"/>
        <v/>
      </c>
      <c r="F792" t="str">
        <f t="shared" ca="1" si="46"/>
        <v/>
      </c>
      <c r="G792" t="str">
        <f t="shared" ca="1" si="47"/>
        <v/>
      </c>
      <c r="H792" t="str">
        <f t="shared" ca="1" si="48"/>
        <v/>
      </c>
      <c r="I792" t="str">
        <f t="shared" ca="1" si="49"/>
        <v/>
      </c>
    </row>
    <row r="793" spans="1:9" x14ac:dyDescent="0.25">
      <c r="A793" s="1"/>
      <c r="D793" t="str" cm="1">
        <f t="array" aca="1" ref="D793" ca="1">IF(OR(COUNTIF(damper_names,_xlfn.CONCAT("D_S_",C793))=1, COUNTIF(damper_names,_xlfn.CONCAT("D_E_",C793))=1), "C", "")</f>
        <v/>
      </c>
      <c r="E793" t="str">
        <f t="shared" ca="1" si="45"/>
        <v/>
      </c>
      <c r="F793" t="str">
        <f t="shared" ca="1" si="46"/>
        <v/>
      </c>
      <c r="G793" t="str">
        <f t="shared" ca="1" si="47"/>
        <v/>
      </c>
      <c r="H793" t="str">
        <f t="shared" ca="1" si="48"/>
        <v/>
      </c>
      <c r="I793" t="str">
        <f t="shared" ca="1" si="49"/>
        <v/>
      </c>
    </row>
    <row r="794" spans="1:9" x14ac:dyDescent="0.25">
      <c r="A794" s="1"/>
      <c r="D794" t="str" cm="1">
        <f t="array" aca="1" ref="D794" ca="1">IF(OR(COUNTIF(damper_names,_xlfn.CONCAT("D_S_",C794))=1, COUNTIF(damper_names,_xlfn.CONCAT("D_E_",C794))=1), "C", "")</f>
        <v/>
      </c>
      <c r="E794" t="str">
        <f t="shared" ca="1" si="45"/>
        <v/>
      </c>
      <c r="F794" t="str">
        <f t="shared" ca="1" si="46"/>
        <v/>
      </c>
      <c r="G794" t="str">
        <f t="shared" ca="1" si="47"/>
        <v/>
      </c>
      <c r="H794" t="str">
        <f t="shared" ca="1" si="48"/>
        <v/>
      </c>
      <c r="I794" t="str">
        <f t="shared" ca="1" si="49"/>
        <v/>
      </c>
    </row>
    <row r="795" spans="1:9" x14ac:dyDescent="0.25">
      <c r="A795" s="1"/>
      <c r="D795" t="str" cm="1">
        <f t="array" aca="1" ref="D795" ca="1">IF(OR(COUNTIF(damper_names,_xlfn.CONCAT("D_S_",C795))=1, COUNTIF(damper_names,_xlfn.CONCAT("D_E_",C795))=1), "C", "")</f>
        <v/>
      </c>
      <c r="E795" t="str">
        <f t="shared" ca="1" si="45"/>
        <v/>
      </c>
      <c r="F795" t="str">
        <f t="shared" ca="1" si="46"/>
        <v/>
      </c>
      <c r="G795" t="str">
        <f t="shared" ca="1" si="47"/>
        <v/>
      </c>
      <c r="H795" t="str">
        <f t="shared" ca="1" si="48"/>
        <v/>
      </c>
      <c r="I795" t="str">
        <f t="shared" ca="1" si="49"/>
        <v/>
      </c>
    </row>
    <row r="796" spans="1:9" x14ac:dyDescent="0.25">
      <c r="A796" s="1"/>
      <c r="D796" t="str" cm="1">
        <f t="array" aca="1" ref="D796" ca="1">IF(OR(COUNTIF(damper_names,_xlfn.CONCAT("D_S_",C796))=1, COUNTIF(damper_names,_xlfn.CONCAT("D_E_",C796))=1), "C", "")</f>
        <v/>
      </c>
      <c r="E796" t="str">
        <f t="shared" ca="1" si="45"/>
        <v/>
      </c>
      <c r="F796" t="str">
        <f t="shared" ca="1" si="46"/>
        <v/>
      </c>
      <c r="G796" t="str">
        <f t="shared" ca="1" si="47"/>
        <v/>
      </c>
      <c r="H796" t="str">
        <f t="shared" ca="1" si="48"/>
        <v/>
      </c>
      <c r="I796" t="str">
        <f t="shared" ca="1" si="49"/>
        <v/>
      </c>
    </row>
    <row r="797" spans="1:9" x14ac:dyDescent="0.25">
      <c r="A797" s="1"/>
      <c r="D797" t="str" cm="1">
        <f t="array" aca="1" ref="D797" ca="1">IF(OR(COUNTIF(damper_names,_xlfn.CONCAT("D_S_",C797))=1, COUNTIF(damper_names,_xlfn.CONCAT("D_E_",C797))=1), "C", "")</f>
        <v/>
      </c>
      <c r="E797" t="str">
        <f t="shared" ca="1" si="45"/>
        <v/>
      </c>
      <c r="F797" t="str">
        <f t="shared" ca="1" si="46"/>
        <v/>
      </c>
      <c r="G797" t="str">
        <f t="shared" ca="1" si="47"/>
        <v/>
      </c>
      <c r="H797" t="str">
        <f t="shared" ca="1" si="48"/>
        <v/>
      </c>
      <c r="I797" t="str">
        <f t="shared" ca="1" si="49"/>
        <v/>
      </c>
    </row>
    <row r="798" spans="1:9" x14ac:dyDescent="0.25">
      <c r="A798" s="1"/>
      <c r="D798" t="str" cm="1">
        <f t="array" aca="1" ref="D798" ca="1">IF(OR(COUNTIF(damper_names,_xlfn.CONCAT("D_S_",C798))=1, COUNTIF(damper_names,_xlfn.CONCAT("D_E_",C798))=1), "C", "")</f>
        <v/>
      </c>
      <c r="E798" t="str">
        <f t="shared" ca="1" si="45"/>
        <v/>
      </c>
      <c r="F798" t="str">
        <f t="shared" ca="1" si="46"/>
        <v/>
      </c>
      <c r="G798" t="str">
        <f t="shared" ca="1" si="47"/>
        <v/>
      </c>
      <c r="H798" t="str">
        <f t="shared" ca="1" si="48"/>
        <v/>
      </c>
      <c r="I798" t="str">
        <f t="shared" ca="1" si="49"/>
        <v/>
      </c>
    </row>
    <row r="799" spans="1:9" x14ac:dyDescent="0.25">
      <c r="A799" s="1"/>
      <c r="D799" t="str" cm="1">
        <f t="array" aca="1" ref="D799" ca="1">IF(OR(COUNTIF(damper_names,_xlfn.CONCAT("D_S_",C799))=1, COUNTIF(damper_names,_xlfn.CONCAT("D_E_",C799))=1), "C", "")</f>
        <v/>
      </c>
      <c r="E799" t="str">
        <f t="shared" ca="1" si="45"/>
        <v/>
      </c>
      <c r="F799" t="str">
        <f t="shared" ca="1" si="46"/>
        <v/>
      </c>
      <c r="G799" t="str">
        <f t="shared" ca="1" si="47"/>
        <v/>
      </c>
      <c r="H799" t="str">
        <f t="shared" ca="1" si="48"/>
        <v/>
      </c>
      <c r="I799" t="str">
        <f t="shared" ca="1" si="49"/>
        <v/>
      </c>
    </row>
    <row r="800" spans="1:9" x14ac:dyDescent="0.25">
      <c r="A800" s="1"/>
      <c r="D800" t="str" cm="1">
        <f t="array" aca="1" ref="D800" ca="1">IF(OR(COUNTIF(damper_names,_xlfn.CONCAT("D_S_",C800))=1, COUNTIF(damper_names,_xlfn.CONCAT("D_E_",C800))=1), "C", "")</f>
        <v/>
      </c>
      <c r="E800" t="str">
        <f t="shared" ca="1" si="45"/>
        <v/>
      </c>
      <c r="F800" t="str">
        <f t="shared" ca="1" si="46"/>
        <v/>
      </c>
      <c r="G800" t="str">
        <f t="shared" ca="1" si="47"/>
        <v/>
      </c>
      <c r="H800" t="str">
        <f t="shared" ca="1" si="48"/>
        <v/>
      </c>
      <c r="I800" t="str">
        <f t="shared" ca="1" si="49"/>
        <v/>
      </c>
    </row>
    <row r="801" spans="1:9" x14ac:dyDescent="0.25">
      <c r="A801" s="1"/>
      <c r="D801" t="str" cm="1">
        <f t="array" aca="1" ref="D801" ca="1">IF(OR(COUNTIF(damper_names,_xlfn.CONCAT("D_S_",C801))=1, COUNTIF(damper_names,_xlfn.CONCAT("D_E_",C801))=1), "C", "")</f>
        <v/>
      </c>
      <c r="E801" t="str">
        <f t="shared" ca="1" si="45"/>
        <v/>
      </c>
      <c r="F801" t="str">
        <f t="shared" ca="1" si="46"/>
        <v/>
      </c>
      <c r="G801" t="str">
        <f t="shared" ca="1" si="47"/>
        <v/>
      </c>
      <c r="H801" t="str">
        <f t="shared" ca="1" si="48"/>
        <v/>
      </c>
      <c r="I801" t="str">
        <f t="shared" ca="1" si="49"/>
        <v/>
      </c>
    </row>
    <row r="802" spans="1:9" x14ac:dyDescent="0.25">
      <c r="A802" s="1"/>
      <c r="D802" t="str" cm="1">
        <f t="array" aca="1" ref="D802" ca="1">IF(OR(COUNTIF(damper_names,_xlfn.CONCAT("D_S_",C802))=1, COUNTIF(damper_names,_xlfn.CONCAT("D_E_",C802))=1), "C", "")</f>
        <v/>
      </c>
      <c r="E802" t="str">
        <f t="shared" ca="1" si="45"/>
        <v/>
      </c>
      <c r="F802" t="str">
        <f t="shared" ca="1" si="46"/>
        <v/>
      </c>
      <c r="G802" t="str">
        <f t="shared" ca="1" si="47"/>
        <v/>
      </c>
      <c r="H802" t="str">
        <f t="shared" ca="1" si="48"/>
        <v/>
      </c>
      <c r="I802" t="str">
        <f t="shared" ca="1" si="49"/>
        <v/>
      </c>
    </row>
    <row r="803" spans="1:9" x14ac:dyDescent="0.25">
      <c r="A803" s="1"/>
      <c r="D803" t="str" cm="1">
        <f t="array" aca="1" ref="D803" ca="1">IF(OR(COUNTIF(damper_names,_xlfn.CONCAT("D_S_",C803))=1, COUNTIF(damper_names,_xlfn.CONCAT("D_E_",C803))=1), "C", "")</f>
        <v/>
      </c>
      <c r="E803" t="str">
        <f t="shared" ca="1" si="45"/>
        <v/>
      </c>
      <c r="F803" t="str">
        <f t="shared" ca="1" si="46"/>
        <v/>
      </c>
      <c r="G803" t="str">
        <f t="shared" ca="1" si="47"/>
        <v/>
      </c>
      <c r="H803" t="str">
        <f t="shared" ca="1" si="48"/>
        <v/>
      </c>
      <c r="I803" t="str">
        <f t="shared" ca="1" si="49"/>
        <v/>
      </c>
    </row>
    <row r="804" spans="1:9" x14ac:dyDescent="0.25">
      <c r="A804" s="1"/>
      <c r="D804" t="str" cm="1">
        <f t="array" aca="1" ref="D804" ca="1">IF(OR(COUNTIF(damper_names,_xlfn.CONCAT("D_S_",C804))=1, COUNTIF(damper_names,_xlfn.CONCAT("D_E_",C804))=1), "C", "")</f>
        <v/>
      </c>
      <c r="E804" t="str">
        <f t="shared" ca="1" si="45"/>
        <v/>
      </c>
      <c r="F804" t="str">
        <f t="shared" ca="1" si="46"/>
        <v/>
      </c>
      <c r="G804" t="str">
        <f t="shared" ca="1" si="47"/>
        <v/>
      </c>
      <c r="H804" t="str">
        <f t="shared" ca="1" si="48"/>
        <v/>
      </c>
      <c r="I804" t="str">
        <f t="shared" ca="1" si="49"/>
        <v/>
      </c>
    </row>
    <row r="805" spans="1:9" x14ac:dyDescent="0.25">
      <c r="A805" s="1"/>
      <c r="D805" t="str" cm="1">
        <f t="array" aca="1" ref="D805" ca="1">IF(OR(COUNTIF(damper_names,_xlfn.CONCAT("D_S_",C805))=1, COUNTIF(damper_names,_xlfn.CONCAT("D_E_",C805))=1), "C", "")</f>
        <v/>
      </c>
      <c r="E805" t="str">
        <f t="shared" ca="1" si="45"/>
        <v/>
      </c>
      <c r="F805" t="str">
        <f t="shared" ca="1" si="46"/>
        <v/>
      </c>
      <c r="G805" t="str">
        <f t="shared" ca="1" si="47"/>
        <v/>
      </c>
      <c r="H805" t="str">
        <f t="shared" ca="1" si="48"/>
        <v/>
      </c>
      <c r="I805" t="str">
        <f t="shared" ca="1" si="49"/>
        <v/>
      </c>
    </row>
    <row r="806" spans="1:9" x14ac:dyDescent="0.25">
      <c r="A806" s="1"/>
      <c r="D806" t="str" cm="1">
        <f t="array" aca="1" ref="D806" ca="1">IF(OR(COUNTIF(damper_names,_xlfn.CONCAT("D_S_",C806))=1, COUNTIF(damper_names,_xlfn.CONCAT("D_E_",C806))=1), "C", "")</f>
        <v/>
      </c>
      <c r="E806" t="str">
        <f t="shared" ca="1" si="45"/>
        <v/>
      </c>
      <c r="F806" t="str">
        <f t="shared" ca="1" si="46"/>
        <v/>
      </c>
      <c r="G806" t="str">
        <f t="shared" ca="1" si="47"/>
        <v/>
      </c>
      <c r="H806" t="str">
        <f t="shared" ca="1" si="48"/>
        <v/>
      </c>
      <c r="I806" t="str">
        <f t="shared" ca="1" si="49"/>
        <v/>
      </c>
    </row>
    <row r="807" spans="1:9" x14ac:dyDescent="0.25">
      <c r="A807" s="1"/>
      <c r="D807" t="str" cm="1">
        <f t="array" aca="1" ref="D807" ca="1">IF(OR(COUNTIF(damper_names,_xlfn.CONCAT("D_S_",C807))=1, COUNTIF(damper_names,_xlfn.CONCAT("D_E_",C807))=1), "C", "")</f>
        <v/>
      </c>
      <c r="E807" t="str">
        <f t="shared" ca="1" si="45"/>
        <v/>
      </c>
      <c r="F807" t="str">
        <f t="shared" ca="1" si="46"/>
        <v/>
      </c>
      <c r="G807" t="str">
        <f t="shared" ca="1" si="47"/>
        <v/>
      </c>
      <c r="H807" t="str">
        <f t="shared" ca="1" si="48"/>
        <v/>
      </c>
      <c r="I807" t="str">
        <f t="shared" ca="1" si="49"/>
        <v/>
      </c>
    </row>
    <row r="808" spans="1:9" x14ac:dyDescent="0.25">
      <c r="A808" s="1"/>
      <c r="D808" t="str" cm="1">
        <f t="array" aca="1" ref="D808" ca="1">IF(OR(COUNTIF(damper_names,_xlfn.CONCAT("D_S_",C808))=1, COUNTIF(damper_names,_xlfn.CONCAT("D_E_",C808))=1), "C", "")</f>
        <v/>
      </c>
      <c r="E808" t="str">
        <f t="shared" ca="1" si="45"/>
        <v/>
      </c>
      <c r="F808" t="str">
        <f t="shared" ca="1" si="46"/>
        <v/>
      </c>
      <c r="G808" t="str">
        <f t="shared" ca="1" si="47"/>
        <v/>
      </c>
      <c r="H808" t="str">
        <f t="shared" ca="1" si="48"/>
        <v/>
      </c>
      <c r="I808" t="str">
        <f t="shared" ca="1" si="49"/>
        <v/>
      </c>
    </row>
    <row r="809" spans="1:9" x14ac:dyDescent="0.25">
      <c r="A809" s="1"/>
      <c r="D809" t="str" cm="1">
        <f t="array" aca="1" ref="D809" ca="1">IF(OR(COUNTIF(damper_names,_xlfn.CONCAT("D_S_",C809))=1, COUNTIF(damper_names,_xlfn.CONCAT("D_E_",C809))=1), "C", "")</f>
        <v/>
      </c>
      <c r="E809" t="str">
        <f t="shared" ca="1" si="45"/>
        <v/>
      </c>
      <c r="F809" t="str">
        <f t="shared" ca="1" si="46"/>
        <v/>
      </c>
      <c r="G809" t="str">
        <f t="shared" ca="1" si="47"/>
        <v/>
      </c>
      <c r="H809" t="str">
        <f t="shared" ca="1" si="48"/>
        <v/>
      </c>
      <c r="I809" t="str">
        <f t="shared" ca="1" si="49"/>
        <v/>
      </c>
    </row>
    <row r="810" spans="1:9" x14ac:dyDescent="0.25">
      <c r="A810" s="1"/>
      <c r="D810" t="str" cm="1">
        <f t="array" aca="1" ref="D810" ca="1">IF(OR(COUNTIF(damper_names,_xlfn.CONCAT("D_S_",C810))=1, COUNTIF(damper_names,_xlfn.CONCAT("D_E_",C810))=1), "C", "")</f>
        <v/>
      </c>
      <c r="E810" t="str">
        <f t="shared" ca="1" si="45"/>
        <v/>
      </c>
      <c r="F810" t="str">
        <f t="shared" ca="1" si="46"/>
        <v/>
      </c>
      <c r="G810" t="str">
        <f t="shared" ca="1" si="47"/>
        <v/>
      </c>
      <c r="H810" t="str">
        <f t="shared" ca="1" si="48"/>
        <v/>
      </c>
      <c r="I810" t="str">
        <f t="shared" ca="1" si="49"/>
        <v/>
      </c>
    </row>
    <row r="811" spans="1:9" x14ac:dyDescent="0.25">
      <c r="A811" s="1"/>
      <c r="D811" t="str" cm="1">
        <f t="array" aca="1" ref="D811" ca="1">IF(OR(COUNTIF(damper_names,_xlfn.CONCAT("D_S_",C811))=1, COUNTIF(damper_names,_xlfn.CONCAT("D_E_",C811))=1), "C", "")</f>
        <v/>
      </c>
      <c r="E811" t="str">
        <f t="shared" ca="1" si="45"/>
        <v/>
      </c>
      <c r="F811" t="str">
        <f t="shared" ca="1" si="46"/>
        <v/>
      </c>
      <c r="G811" t="str">
        <f t="shared" ca="1" si="47"/>
        <v/>
      </c>
      <c r="H811" t="str">
        <f t="shared" ca="1" si="48"/>
        <v/>
      </c>
      <c r="I811" t="str">
        <f t="shared" ca="1" si="49"/>
        <v/>
      </c>
    </row>
    <row r="812" spans="1:9" x14ac:dyDescent="0.25">
      <c r="A812" s="1"/>
      <c r="D812" t="str" cm="1">
        <f t="array" aca="1" ref="D812" ca="1">IF(OR(COUNTIF(damper_names,_xlfn.CONCAT("D_S_",C812))=1, COUNTIF(damper_names,_xlfn.CONCAT("D_E_",C812))=1), "C", "")</f>
        <v/>
      </c>
      <c r="E812" t="str">
        <f t="shared" ca="1" si="45"/>
        <v/>
      </c>
      <c r="F812" t="str">
        <f t="shared" ca="1" si="46"/>
        <v/>
      </c>
      <c r="G812" t="str">
        <f t="shared" ca="1" si="47"/>
        <v/>
      </c>
      <c r="H812" t="str">
        <f t="shared" ca="1" si="48"/>
        <v/>
      </c>
      <c r="I812" t="str">
        <f t="shared" ca="1" si="49"/>
        <v/>
      </c>
    </row>
    <row r="813" spans="1:9" x14ac:dyDescent="0.25">
      <c r="A813" s="1"/>
      <c r="D813" t="str" cm="1">
        <f t="array" aca="1" ref="D813" ca="1">IF(OR(COUNTIF(damper_names,_xlfn.CONCAT("D_S_",C813))=1, COUNTIF(damper_names,_xlfn.CONCAT("D_E_",C813))=1), "C", "")</f>
        <v/>
      </c>
      <c r="E813" t="str">
        <f t="shared" ca="1" si="45"/>
        <v/>
      </c>
      <c r="F813" t="str">
        <f t="shared" ca="1" si="46"/>
        <v/>
      </c>
      <c r="G813" t="str">
        <f t="shared" ca="1" si="47"/>
        <v/>
      </c>
      <c r="H813" t="str">
        <f t="shared" ca="1" si="48"/>
        <v/>
      </c>
      <c r="I813" t="str">
        <f t="shared" ca="1" si="49"/>
        <v/>
      </c>
    </row>
    <row r="814" spans="1:9" x14ac:dyDescent="0.25">
      <c r="A814" s="1"/>
      <c r="D814" t="str" cm="1">
        <f t="array" aca="1" ref="D814" ca="1">IF(OR(COUNTIF(damper_names,_xlfn.CONCAT("D_S_",C814))=1, COUNTIF(damper_names,_xlfn.CONCAT("D_E_",C814))=1), "C", "")</f>
        <v/>
      </c>
      <c r="E814" t="str">
        <f t="shared" ca="1" si="45"/>
        <v/>
      </c>
      <c r="F814" t="str">
        <f t="shared" ca="1" si="46"/>
        <v/>
      </c>
      <c r="G814" t="str">
        <f t="shared" ca="1" si="47"/>
        <v/>
      </c>
      <c r="H814" t="str">
        <f t="shared" ca="1" si="48"/>
        <v/>
      </c>
      <c r="I814" t="str">
        <f t="shared" ca="1" si="49"/>
        <v/>
      </c>
    </row>
    <row r="815" spans="1:9" x14ac:dyDescent="0.25">
      <c r="A815" s="1"/>
      <c r="D815" t="str" cm="1">
        <f t="array" aca="1" ref="D815" ca="1">IF(OR(COUNTIF(damper_names,_xlfn.CONCAT("D_S_",C815))=1, COUNTIF(damper_names,_xlfn.CONCAT("D_E_",C815))=1), "C", "")</f>
        <v/>
      </c>
      <c r="E815" t="str">
        <f t="shared" ca="1" si="45"/>
        <v/>
      </c>
      <c r="F815" t="str">
        <f t="shared" ca="1" si="46"/>
        <v/>
      </c>
      <c r="G815" t="str">
        <f t="shared" ca="1" si="47"/>
        <v/>
      </c>
      <c r="H815" t="str">
        <f t="shared" ca="1" si="48"/>
        <v/>
      </c>
      <c r="I815" t="str">
        <f t="shared" ca="1" si="49"/>
        <v/>
      </c>
    </row>
    <row r="816" spans="1:9" x14ac:dyDescent="0.25">
      <c r="A816" s="1"/>
      <c r="D816" t="str" cm="1">
        <f t="array" aca="1" ref="D816" ca="1">IF(OR(COUNTIF(damper_names,_xlfn.CONCAT("D_S_",C816))=1, COUNTIF(damper_names,_xlfn.CONCAT("D_E_",C816))=1), "C", "")</f>
        <v/>
      </c>
      <c r="E816" t="str">
        <f t="shared" ca="1" si="45"/>
        <v/>
      </c>
      <c r="F816" t="str">
        <f t="shared" ca="1" si="46"/>
        <v/>
      </c>
      <c r="G816" t="str">
        <f t="shared" ca="1" si="47"/>
        <v/>
      </c>
      <c r="H816" t="str">
        <f t="shared" ca="1" si="48"/>
        <v/>
      </c>
      <c r="I816" t="str">
        <f t="shared" ca="1" si="49"/>
        <v/>
      </c>
    </row>
    <row r="817" spans="1:9" x14ac:dyDescent="0.25">
      <c r="A817" s="1"/>
      <c r="D817" t="str" cm="1">
        <f t="array" aca="1" ref="D817" ca="1">IF(OR(COUNTIF(damper_names,_xlfn.CONCAT("D_S_",C817))=1, COUNTIF(damper_names,_xlfn.CONCAT("D_E_",C817))=1), "C", "")</f>
        <v/>
      </c>
      <c r="E817" t="str">
        <f t="shared" ca="1" si="45"/>
        <v/>
      </c>
      <c r="F817" t="str">
        <f t="shared" ca="1" si="46"/>
        <v/>
      </c>
      <c r="G817" t="str">
        <f t="shared" ca="1" si="47"/>
        <v/>
      </c>
      <c r="H817" t="str">
        <f t="shared" ca="1" si="48"/>
        <v/>
      </c>
      <c r="I817" t="str">
        <f t="shared" ca="1" si="49"/>
        <v/>
      </c>
    </row>
    <row r="818" spans="1:9" x14ac:dyDescent="0.25">
      <c r="A818" s="1"/>
      <c r="D818" t="str" cm="1">
        <f t="array" aca="1" ref="D818" ca="1">IF(OR(COUNTIF(damper_names,_xlfn.CONCAT("D_S_",C818))=1, COUNTIF(damper_names,_xlfn.CONCAT("D_E_",C818))=1), "C", "")</f>
        <v/>
      </c>
      <c r="E818" t="str">
        <f t="shared" ca="1" si="45"/>
        <v/>
      </c>
      <c r="F818" t="str">
        <f t="shared" ca="1" si="46"/>
        <v/>
      </c>
      <c r="G818" t="str">
        <f t="shared" ca="1" si="47"/>
        <v/>
      </c>
      <c r="H818" t="str">
        <f t="shared" ca="1" si="48"/>
        <v/>
      </c>
      <c r="I818" t="str">
        <f t="shared" ca="1" si="49"/>
        <v/>
      </c>
    </row>
    <row r="819" spans="1:9" x14ac:dyDescent="0.25">
      <c r="A819" s="1"/>
      <c r="D819" t="str" cm="1">
        <f t="array" aca="1" ref="D819" ca="1">IF(OR(COUNTIF(damper_names,_xlfn.CONCAT("D_S_",C819))=1, COUNTIF(damper_names,_xlfn.CONCAT("D_E_",C819))=1), "C", "")</f>
        <v/>
      </c>
      <c r="E819" t="str">
        <f t="shared" ref="E819:E882" ca="1" si="50">IF(D819="T", 0.05, IF(D819="C", -0.01, ""))</f>
        <v/>
      </c>
      <c r="F819" t="str">
        <f t="shared" ref="F819:F882" ca="1" si="51">IF(D819="T", 0.05, IF(D819="C", 0, ""))</f>
        <v/>
      </c>
      <c r="G819" t="str">
        <f t="shared" ref="G819:G882" ca="1" si="52">IF(D819="T", 0, IF(D819="C", 0, ""))</f>
        <v/>
      </c>
      <c r="H819" t="str">
        <f t="shared" ref="H819:H882" ca="1" si="53">IF(D819="T", 0.05, IF(D819="C", 0, ""))</f>
        <v/>
      </c>
      <c r="I819" t="str">
        <f t="shared" ref="I819:I882" ca="1" si="54">IF(D819="T", 0, IF(D819="C", 0, ""))</f>
        <v/>
      </c>
    </row>
    <row r="820" spans="1:9" x14ac:dyDescent="0.25">
      <c r="A820" s="1"/>
      <c r="D820" t="str" cm="1">
        <f t="array" aca="1" ref="D820" ca="1">IF(OR(COUNTIF(damper_names,_xlfn.CONCAT("D_S_",C820))=1, COUNTIF(damper_names,_xlfn.CONCAT("D_E_",C820))=1), "C", "")</f>
        <v/>
      </c>
      <c r="E820" t="str">
        <f t="shared" ca="1" si="50"/>
        <v/>
      </c>
      <c r="F820" t="str">
        <f t="shared" ca="1" si="51"/>
        <v/>
      </c>
      <c r="G820" t="str">
        <f t="shared" ca="1" si="52"/>
        <v/>
      </c>
      <c r="H820" t="str">
        <f t="shared" ca="1" si="53"/>
        <v/>
      </c>
      <c r="I820" t="str">
        <f t="shared" ca="1" si="54"/>
        <v/>
      </c>
    </row>
    <row r="821" spans="1:9" x14ac:dyDescent="0.25">
      <c r="A821" s="1"/>
      <c r="D821" t="str" cm="1">
        <f t="array" aca="1" ref="D821" ca="1">IF(OR(COUNTIF(damper_names,_xlfn.CONCAT("D_S_",C821))=1, COUNTIF(damper_names,_xlfn.CONCAT("D_E_",C821))=1), "C", "")</f>
        <v/>
      </c>
      <c r="E821" t="str">
        <f t="shared" ca="1" si="50"/>
        <v/>
      </c>
      <c r="F821" t="str">
        <f t="shared" ca="1" si="51"/>
        <v/>
      </c>
      <c r="G821" t="str">
        <f t="shared" ca="1" si="52"/>
        <v/>
      </c>
      <c r="H821" t="str">
        <f t="shared" ca="1" si="53"/>
        <v/>
      </c>
      <c r="I821" t="str">
        <f t="shared" ca="1" si="54"/>
        <v/>
      </c>
    </row>
    <row r="822" spans="1:9" x14ac:dyDescent="0.25">
      <c r="A822" s="1"/>
      <c r="D822" t="str" cm="1">
        <f t="array" aca="1" ref="D822" ca="1">IF(OR(COUNTIF(damper_names,_xlfn.CONCAT("D_S_",C822))=1, COUNTIF(damper_names,_xlfn.CONCAT("D_E_",C822))=1), "C", "")</f>
        <v/>
      </c>
      <c r="E822" t="str">
        <f t="shared" ca="1" si="50"/>
        <v/>
      </c>
      <c r="F822" t="str">
        <f t="shared" ca="1" si="51"/>
        <v/>
      </c>
      <c r="G822" t="str">
        <f t="shared" ca="1" si="52"/>
        <v/>
      </c>
      <c r="H822" t="str">
        <f t="shared" ca="1" si="53"/>
        <v/>
      </c>
      <c r="I822" t="str">
        <f t="shared" ca="1" si="54"/>
        <v/>
      </c>
    </row>
    <row r="823" spans="1:9" x14ac:dyDescent="0.25">
      <c r="A823" s="1"/>
      <c r="D823" t="str" cm="1">
        <f t="array" aca="1" ref="D823" ca="1">IF(OR(COUNTIF(damper_names,_xlfn.CONCAT("D_S_",C823))=1, COUNTIF(damper_names,_xlfn.CONCAT("D_E_",C823))=1), "C", "")</f>
        <v/>
      </c>
      <c r="E823" t="str">
        <f t="shared" ca="1" si="50"/>
        <v/>
      </c>
      <c r="F823" t="str">
        <f t="shared" ca="1" si="51"/>
        <v/>
      </c>
      <c r="G823" t="str">
        <f t="shared" ca="1" si="52"/>
        <v/>
      </c>
      <c r="H823" t="str">
        <f t="shared" ca="1" si="53"/>
        <v/>
      </c>
      <c r="I823" t="str">
        <f t="shared" ca="1" si="54"/>
        <v/>
      </c>
    </row>
    <row r="824" spans="1:9" x14ac:dyDescent="0.25">
      <c r="A824" s="1"/>
      <c r="D824" t="str" cm="1">
        <f t="array" aca="1" ref="D824" ca="1">IF(OR(COUNTIF(damper_names,_xlfn.CONCAT("D_S_",C824))=1, COUNTIF(damper_names,_xlfn.CONCAT("D_E_",C824))=1), "C", "")</f>
        <v/>
      </c>
      <c r="E824" t="str">
        <f t="shared" ca="1" si="50"/>
        <v/>
      </c>
      <c r="F824" t="str">
        <f t="shared" ca="1" si="51"/>
        <v/>
      </c>
      <c r="G824" t="str">
        <f t="shared" ca="1" si="52"/>
        <v/>
      </c>
      <c r="H824" t="str">
        <f t="shared" ca="1" si="53"/>
        <v/>
      </c>
      <c r="I824" t="str">
        <f t="shared" ca="1" si="54"/>
        <v/>
      </c>
    </row>
    <row r="825" spans="1:9" x14ac:dyDescent="0.25">
      <c r="A825" s="1"/>
      <c r="D825" t="str" cm="1">
        <f t="array" aca="1" ref="D825" ca="1">IF(OR(COUNTIF(damper_names,_xlfn.CONCAT("D_S_",C825))=1, COUNTIF(damper_names,_xlfn.CONCAT("D_E_",C825))=1), "C", "")</f>
        <v/>
      </c>
      <c r="E825" t="str">
        <f t="shared" ca="1" si="50"/>
        <v/>
      </c>
      <c r="F825" t="str">
        <f t="shared" ca="1" si="51"/>
        <v/>
      </c>
      <c r="G825" t="str">
        <f t="shared" ca="1" si="52"/>
        <v/>
      </c>
      <c r="H825" t="str">
        <f t="shared" ca="1" si="53"/>
        <v/>
      </c>
      <c r="I825" t="str">
        <f t="shared" ca="1" si="54"/>
        <v/>
      </c>
    </row>
    <row r="826" spans="1:9" x14ac:dyDescent="0.25">
      <c r="A826" s="1"/>
      <c r="D826" t="str" cm="1">
        <f t="array" aca="1" ref="D826" ca="1">IF(OR(COUNTIF(damper_names,_xlfn.CONCAT("D_S_",C826))=1, COUNTIF(damper_names,_xlfn.CONCAT("D_E_",C826))=1), "C", "")</f>
        <v/>
      </c>
      <c r="E826" t="str">
        <f t="shared" ca="1" si="50"/>
        <v/>
      </c>
      <c r="F826" t="str">
        <f t="shared" ca="1" si="51"/>
        <v/>
      </c>
      <c r="G826" t="str">
        <f t="shared" ca="1" si="52"/>
        <v/>
      </c>
      <c r="H826" t="str">
        <f t="shared" ca="1" si="53"/>
        <v/>
      </c>
      <c r="I826" t="str">
        <f t="shared" ca="1" si="54"/>
        <v/>
      </c>
    </row>
    <row r="827" spans="1:9" x14ac:dyDescent="0.25">
      <c r="A827" s="1"/>
      <c r="D827" t="str" cm="1">
        <f t="array" aca="1" ref="D827" ca="1">IF(OR(COUNTIF(damper_names,_xlfn.CONCAT("D_S_",C827))=1, COUNTIF(damper_names,_xlfn.CONCAT("D_E_",C827))=1), "C", "")</f>
        <v/>
      </c>
      <c r="E827" t="str">
        <f t="shared" ca="1" si="50"/>
        <v/>
      </c>
      <c r="F827" t="str">
        <f t="shared" ca="1" si="51"/>
        <v/>
      </c>
      <c r="G827" t="str">
        <f t="shared" ca="1" si="52"/>
        <v/>
      </c>
      <c r="H827" t="str">
        <f t="shared" ca="1" si="53"/>
        <v/>
      </c>
      <c r="I827" t="str">
        <f t="shared" ca="1" si="54"/>
        <v/>
      </c>
    </row>
    <row r="828" spans="1:9" x14ac:dyDescent="0.25">
      <c r="A828" s="1"/>
      <c r="D828" t="str" cm="1">
        <f t="array" aca="1" ref="D828" ca="1">IF(OR(COUNTIF(damper_names,_xlfn.CONCAT("D_S_",C828))=1, COUNTIF(damper_names,_xlfn.CONCAT("D_E_",C828))=1), "C", "")</f>
        <v/>
      </c>
      <c r="E828" t="str">
        <f t="shared" ca="1" si="50"/>
        <v/>
      </c>
      <c r="F828" t="str">
        <f t="shared" ca="1" si="51"/>
        <v/>
      </c>
      <c r="G828" t="str">
        <f t="shared" ca="1" si="52"/>
        <v/>
      </c>
      <c r="H828" t="str">
        <f t="shared" ca="1" si="53"/>
        <v/>
      </c>
      <c r="I828" t="str">
        <f t="shared" ca="1" si="54"/>
        <v/>
      </c>
    </row>
    <row r="829" spans="1:9" x14ac:dyDescent="0.25">
      <c r="A829" s="1"/>
      <c r="D829" t="str" cm="1">
        <f t="array" aca="1" ref="D829" ca="1">IF(OR(COUNTIF(damper_names,_xlfn.CONCAT("D_S_",C829))=1, COUNTIF(damper_names,_xlfn.CONCAT("D_E_",C829))=1), "C", "")</f>
        <v/>
      </c>
      <c r="E829" t="str">
        <f t="shared" ca="1" si="50"/>
        <v/>
      </c>
      <c r="F829" t="str">
        <f t="shared" ca="1" si="51"/>
        <v/>
      </c>
      <c r="G829" t="str">
        <f t="shared" ca="1" si="52"/>
        <v/>
      </c>
      <c r="H829" t="str">
        <f t="shared" ca="1" si="53"/>
        <v/>
      </c>
      <c r="I829" t="str">
        <f t="shared" ca="1" si="54"/>
        <v/>
      </c>
    </row>
    <row r="830" spans="1:9" x14ac:dyDescent="0.25">
      <c r="A830" s="1"/>
      <c r="D830" t="str" cm="1">
        <f t="array" aca="1" ref="D830" ca="1">IF(OR(COUNTIF(damper_names,_xlfn.CONCAT("D_S_",C830))=1, COUNTIF(damper_names,_xlfn.CONCAT("D_E_",C830))=1), "C", "")</f>
        <v/>
      </c>
      <c r="E830" t="str">
        <f t="shared" ca="1" si="50"/>
        <v/>
      </c>
      <c r="F830" t="str">
        <f t="shared" ca="1" si="51"/>
        <v/>
      </c>
      <c r="G830" t="str">
        <f t="shared" ca="1" si="52"/>
        <v/>
      </c>
      <c r="H830" t="str">
        <f t="shared" ca="1" si="53"/>
        <v/>
      </c>
      <c r="I830" t="str">
        <f t="shared" ca="1" si="54"/>
        <v/>
      </c>
    </row>
    <row r="831" spans="1:9" x14ac:dyDescent="0.25">
      <c r="A831" s="1"/>
      <c r="D831" t="str" cm="1">
        <f t="array" aca="1" ref="D831" ca="1">IF(OR(COUNTIF(damper_names,_xlfn.CONCAT("D_S_",C831))=1, COUNTIF(damper_names,_xlfn.CONCAT("D_E_",C831))=1), "C", "")</f>
        <v/>
      </c>
      <c r="E831" t="str">
        <f t="shared" ca="1" si="50"/>
        <v/>
      </c>
      <c r="F831" t="str">
        <f t="shared" ca="1" si="51"/>
        <v/>
      </c>
      <c r="G831" t="str">
        <f t="shared" ca="1" si="52"/>
        <v/>
      </c>
      <c r="H831" t="str">
        <f t="shared" ca="1" si="53"/>
        <v/>
      </c>
      <c r="I831" t="str">
        <f t="shared" ca="1" si="54"/>
        <v/>
      </c>
    </row>
    <row r="832" spans="1:9" x14ac:dyDescent="0.25">
      <c r="A832" s="1"/>
      <c r="D832" t="str" cm="1">
        <f t="array" aca="1" ref="D832" ca="1">IF(OR(COUNTIF(damper_names,_xlfn.CONCAT("D_S_",C832))=1, COUNTIF(damper_names,_xlfn.CONCAT("D_E_",C832))=1), "C", "")</f>
        <v/>
      </c>
      <c r="E832" t="str">
        <f t="shared" ca="1" si="50"/>
        <v/>
      </c>
      <c r="F832" t="str">
        <f t="shared" ca="1" si="51"/>
        <v/>
      </c>
      <c r="G832" t="str">
        <f t="shared" ca="1" si="52"/>
        <v/>
      </c>
      <c r="H832" t="str">
        <f t="shared" ca="1" si="53"/>
        <v/>
      </c>
      <c r="I832" t="str">
        <f t="shared" ca="1" si="54"/>
        <v/>
      </c>
    </row>
    <row r="833" spans="1:9" x14ac:dyDescent="0.25">
      <c r="A833" s="1"/>
      <c r="D833" t="str" cm="1">
        <f t="array" aca="1" ref="D833" ca="1">IF(OR(COUNTIF(damper_names,_xlfn.CONCAT("D_S_",C833))=1, COUNTIF(damper_names,_xlfn.CONCAT("D_E_",C833))=1), "C", "")</f>
        <v/>
      </c>
      <c r="E833" t="str">
        <f t="shared" ca="1" si="50"/>
        <v/>
      </c>
      <c r="F833" t="str">
        <f t="shared" ca="1" si="51"/>
        <v/>
      </c>
      <c r="G833" t="str">
        <f t="shared" ca="1" si="52"/>
        <v/>
      </c>
      <c r="H833" t="str">
        <f t="shared" ca="1" si="53"/>
        <v/>
      </c>
      <c r="I833" t="str">
        <f t="shared" ca="1" si="54"/>
        <v/>
      </c>
    </row>
    <row r="834" spans="1:9" x14ac:dyDescent="0.25">
      <c r="A834" s="1"/>
      <c r="D834" t="str" cm="1">
        <f t="array" aca="1" ref="D834" ca="1">IF(OR(COUNTIF(damper_names,_xlfn.CONCAT("D_S_",C834))=1, COUNTIF(damper_names,_xlfn.CONCAT("D_E_",C834))=1), "C", "")</f>
        <v/>
      </c>
      <c r="E834" t="str">
        <f t="shared" ca="1" si="50"/>
        <v/>
      </c>
      <c r="F834" t="str">
        <f t="shared" ca="1" si="51"/>
        <v/>
      </c>
      <c r="G834" t="str">
        <f t="shared" ca="1" si="52"/>
        <v/>
      </c>
      <c r="H834" t="str">
        <f t="shared" ca="1" si="53"/>
        <v/>
      </c>
      <c r="I834" t="str">
        <f t="shared" ca="1" si="54"/>
        <v/>
      </c>
    </row>
    <row r="835" spans="1:9" x14ac:dyDescent="0.25">
      <c r="A835" s="1"/>
      <c r="D835" t="str" cm="1">
        <f t="array" aca="1" ref="D835" ca="1">IF(OR(COUNTIF(damper_names,_xlfn.CONCAT("D_S_",C835))=1, COUNTIF(damper_names,_xlfn.CONCAT("D_E_",C835))=1), "C", "")</f>
        <v/>
      </c>
      <c r="E835" t="str">
        <f t="shared" ca="1" si="50"/>
        <v/>
      </c>
      <c r="F835" t="str">
        <f t="shared" ca="1" si="51"/>
        <v/>
      </c>
      <c r="G835" t="str">
        <f t="shared" ca="1" si="52"/>
        <v/>
      </c>
      <c r="H835" t="str">
        <f t="shared" ca="1" si="53"/>
        <v/>
      </c>
      <c r="I835" t="str">
        <f t="shared" ca="1" si="54"/>
        <v/>
      </c>
    </row>
    <row r="836" spans="1:9" x14ac:dyDescent="0.25">
      <c r="A836" s="1"/>
      <c r="D836" t="str" cm="1">
        <f t="array" aca="1" ref="D836" ca="1">IF(OR(COUNTIF(damper_names,_xlfn.CONCAT("D_S_",C836))=1, COUNTIF(damper_names,_xlfn.CONCAT("D_E_",C836))=1), "C", "")</f>
        <v/>
      </c>
      <c r="E836" t="str">
        <f t="shared" ca="1" si="50"/>
        <v/>
      </c>
      <c r="F836" t="str">
        <f t="shared" ca="1" si="51"/>
        <v/>
      </c>
      <c r="G836" t="str">
        <f t="shared" ca="1" si="52"/>
        <v/>
      </c>
      <c r="H836" t="str">
        <f t="shared" ca="1" si="53"/>
        <v/>
      </c>
      <c r="I836" t="str">
        <f t="shared" ca="1" si="54"/>
        <v/>
      </c>
    </row>
    <row r="837" spans="1:9" x14ac:dyDescent="0.25">
      <c r="A837" s="1"/>
      <c r="D837" t="str" cm="1">
        <f t="array" aca="1" ref="D837" ca="1">IF(OR(COUNTIF(damper_names,_xlfn.CONCAT("D_S_",C837))=1, COUNTIF(damper_names,_xlfn.CONCAT("D_E_",C837))=1), "C", "")</f>
        <v/>
      </c>
      <c r="E837" t="str">
        <f t="shared" ca="1" si="50"/>
        <v/>
      </c>
      <c r="F837" t="str">
        <f t="shared" ca="1" si="51"/>
        <v/>
      </c>
      <c r="G837" t="str">
        <f t="shared" ca="1" si="52"/>
        <v/>
      </c>
      <c r="H837" t="str">
        <f t="shared" ca="1" si="53"/>
        <v/>
      </c>
      <c r="I837" t="str">
        <f t="shared" ca="1" si="54"/>
        <v/>
      </c>
    </row>
    <row r="838" spans="1:9" x14ac:dyDescent="0.25">
      <c r="A838" s="1"/>
      <c r="D838" t="str" cm="1">
        <f t="array" aca="1" ref="D838" ca="1">IF(OR(COUNTIF(damper_names,_xlfn.CONCAT("D_S_",C838))=1, COUNTIF(damper_names,_xlfn.CONCAT("D_E_",C838))=1), "C", "")</f>
        <v/>
      </c>
      <c r="E838" t="str">
        <f t="shared" ca="1" si="50"/>
        <v/>
      </c>
      <c r="F838" t="str">
        <f t="shared" ca="1" si="51"/>
        <v/>
      </c>
      <c r="G838" t="str">
        <f t="shared" ca="1" si="52"/>
        <v/>
      </c>
      <c r="H838" t="str">
        <f t="shared" ca="1" si="53"/>
        <v/>
      </c>
      <c r="I838" t="str">
        <f t="shared" ca="1" si="54"/>
        <v/>
      </c>
    </row>
    <row r="839" spans="1:9" x14ac:dyDescent="0.25">
      <c r="A839" s="1"/>
      <c r="D839" t="str" cm="1">
        <f t="array" aca="1" ref="D839" ca="1">IF(OR(COUNTIF(damper_names,_xlfn.CONCAT("D_S_",C839))=1, COUNTIF(damper_names,_xlfn.CONCAT("D_E_",C839))=1), "C", "")</f>
        <v/>
      </c>
      <c r="E839" t="str">
        <f t="shared" ca="1" si="50"/>
        <v/>
      </c>
      <c r="F839" t="str">
        <f t="shared" ca="1" si="51"/>
        <v/>
      </c>
      <c r="G839" t="str">
        <f t="shared" ca="1" si="52"/>
        <v/>
      </c>
      <c r="H839" t="str">
        <f t="shared" ca="1" si="53"/>
        <v/>
      </c>
      <c r="I839" t="str">
        <f t="shared" ca="1" si="54"/>
        <v/>
      </c>
    </row>
    <row r="840" spans="1:9" x14ac:dyDescent="0.25">
      <c r="A840" s="1"/>
      <c r="D840" t="str" cm="1">
        <f t="array" aca="1" ref="D840" ca="1">IF(OR(COUNTIF(damper_names,_xlfn.CONCAT("D_S_",C840))=1, COUNTIF(damper_names,_xlfn.CONCAT("D_E_",C840))=1), "C", "")</f>
        <v/>
      </c>
      <c r="E840" t="str">
        <f t="shared" ca="1" si="50"/>
        <v/>
      </c>
      <c r="F840" t="str">
        <f t="shared" ca="1" si="51"/>
        <v/>
      </c>
      <c r="G840" t="str">
        <f t="shared" ca="1" si="52"/>
        <v/>
      </c>
      <c r="H840" t="str">
        <f t="shared" ca="1" si="53"/>
        <v/>
      </c>
      <c r="I840" t="str">
        <f t="shared" ca="1" si="54"/>
        <v/>
      </c>
    </row>
    <row r="841" spans="1:9" x14ac:dyDescent="0.25">
      <c r="A841" s="1"/>
      <c r="D841" t="str" cm="1">
        <f t="array" aca="1" ref="D841" ca="1">IF(OR(COUNTIF(damper_names,_xlfn.CONCAT("D_S_",C841))=1, COUNTIF(damper_names,_xlfn.CONCAT("D_E_",C841))=1), "C", "")</f>
        <v/>
      </c>
      <c r="E841" t="str">
        <f t="shared" ca="1" si="50"/>
        <v/>
      </c>
      <c r="F841" t="str">
        <f t="shared" ca="1" si="51"/>
        <v/>
      </c>
      <c r="G841" t="str">
        <f t="shared" ca="1" si="52"/>
        <v/>
      </c>
      <c r="H841" t="str">
        <f t="shared" ca="1" si="53"/>
        <v/>
      </c>
      <c r="I841" t="str">
        <f t="shared" ca="1" si="54"/>
        <v/>
      </c>
    </row>
    <row r="842" spans="1:9" x14ac:dyDescent="0.25">
      <c r="A842" s="1"/>
      <c r="D842" t="str" cm="1">
        <f t="array" aca="1" ref="D842" ca="1">IF(OR(COUNTIF(damper_names,_xlfn.CONCAT("D_S_",C842))=1, COUNTIF(damper_names,_xlfn.CONCAT("D_E_",C842))=1), "C", "")</f>
        <v/>
      </c>
      <c r="E842" t="str">
        <f t="shared" ca="1" si="50"/>
        <v/>
      </c>
      <c r="F842" t="str">
        <f t="shared" ca="1" si="51"/>
        <v/>
      </c>
      <c r="G842" t="str">
        <f t="shared" ca="1" si="52"/>
        <v/>
      </c>
      <c r="H842" t="str">
        <f t="shared" ca="1" si="53"/>
        <v/>
      </c>
      <c r="I842" t="str">
        <f t="shared" ca="1" si="54"/>
        <v/>
      </c>
    </row>
    <row r="843" spans="1:9" x14ac:dyDescent="0.25">
      <c r="A843" s="1"/>
      <c r="D843" t="str" cm="1">
        <f t="array" aca="1" ref="D843" ca="1">IF(OR(COUNTIF(damper_names,_xlfn.CONCAT("D_S_",C843))=1, COUNTIF(damper_names,_xlfn.CONCAT("D_E_",C843))=1), "C", "")</f>
        <v/>
      </c>
      <c r="E843" t="str">
        <f t="shared" ca="1" si="50"/>
        <v/>
      </c>
      <c r="F843" t="str">
        <f t="shared" ca="1" si="51"/>
        <v/>
      </c>
      <c r="G843" t="str">
        <f t="shared" ca="1" si="52"/>
        <v/>
      </c>
      <c r="H843" t="str">
        <f t="shared" ca="1" si="53"/>
        <v/>
      </c>
      <c r="I843" t="str">
        <f t="shared" ca="1" si="54"/>
        <v/>
      </c>
    </row>
    <row r="844" spans="1:9" x14ac:dyDescent="0.25">
      <c r="A844" s="1"/>
      <c r="D844" t="str" cm="1">
        <f t="array" aca="1" ref="D844" ca="1">IF(OR(COUNTIF(damper_names,_xlfn.CONCAT("D_S_",C844))=1, COUNTIF(damper_names,_xlfn.CONCAT("D_E_",C844))=1), "C", "")</f>
        <v/>
      </c>
      <c r="E844" t="str">
        <f t="shared" ca="1" si="50"/>
        <v/>
      </c>
      <c r="F844" t="str">
        <f t="shared" ca="1" si="51"/>
        <v/>
      </c>
      <c r="G844" t="str">
        <f t="shared" ca="1" si="52"/>
        <v/>
      </c>
      <c r="H844" t="str">
        <f t="shared" ca="1" si="53"/>
        <v/>
      </c>
      <c r="I844" t="str">
        <f t="shared" ca="1" si="54"/>
        <v/>
      </c>
    </row>
    <row r="845" spans="1:9" x14ac:dyDescent="0.25">
      <c r="A845" s="1"/>
      <c r="D845" t="str" cm="1">
        <f t="array" aca="1" ref="D845" ca="1">IF(OR(COUNTIF(damper_names,_xlfn.CONCAT("D_S_",C845))=1, COUNTIF(damper_names,_xlfn.CONCAT("D_E_",C845))=1), "C", "")</f>
        <v/>
      </c>
      <c r="E845" t="str">
        <f t="shared" ca="1" si="50"/>
        <v/>
      </c>
      <c r="F845" t="str">
        <f t="shared" ca="1" si="51"/>
        <v/>
      </c>
      <c r="G845" t="str">
        <f t="shared" ca="1" si="52"/>
        <v/>
      </c>
      <c r="H845" t="str">
        <f t="shared" ca="1" si="53"/>
        <v/>
      </c>
      <c r="I845" t="str">
        <f t="shared" ca="1" si="54"/>
        <v/>
      </c>
    </row>
    <row r="846" spans="1:9" x14ac:dyDescent="0.25">
      <c r="A846" s="1"/>
      <c r="D846" t="str" cm="1">
        <f t="array" aca="1" ref="D846" ca="1">IF(OR(COUNTIF(damper_names,_xlfn.CONCAT("D_S_",C846))=1, COUNTIF(damper_names,_xlfn.CONCAT("D_E_",C846))=1), "C", "")</f>
        <v/>
      </c>
      <c r="E846" t="str">
        <f t="shared" ca="1" si="50"/>
        <v/>
      </c>
      <c r="F846" t="str">
        <f t="shared" ca="1" si="51"/>
        <v/>
      </c>
      <c r="G846" t="str">
        <f t="shared" ca="1" si="52"/>
        <v/>
      </c>
      <c r="H846" t="str">
        <f t="shared" ca="1" si="53"/>
        <v/>
      </c>
      <c r="I846" t="str">
        <f t="shared" ca="1" si="54"/>
        <v/>
      </c>
    </row>
    <row r="847" spans="1:9" x14ac:dyDescent="0.25">
      <c r="A847" s="1"/>
      <c r="D847" t="str" cm="1">
        <f t="array" aca="1" ref="D847" ca="1">IF(OR(COUNTIF(damper_names,_xlfn.CONCAT("D_S_",C847))=1, COUNTIF(damper_names,_xlfn.CONCAT("D_E_",C847))=1), "C", "")</f>
        <v/>
      </c>
      <c r="E847" t="str">
        <f t="shared" ca="1" si="50"/>
        <v/>
      </c>
      <c r="F847" t="str">
        <f t="shared" ca="1" si="51"/>
        <v/>
      </c>
      <c r="G847" t="str">
        <f t="shared" ca="1" si="52"/>
        <v/>
      </c>
      <c r="H847" t="str">
        <f t="shared" ca="1" si="53"/>
        <v/>
      </c>
      <c r="I847" t="str">
        <f t="shared" ca="1" si="54"/>
        <v/>
      </c>
    </row>
    <row r="848" spans="1:9" x14ac:dyDescent="0.25">
      <c r="A848" s="1"/>
      <c r="D848" t="str" cm="1">
        <f t="array" aca="1" ref="D848" ca="1">IF(OR(COUNTIF(damper_names,_xlfn.CONCAT("D_S_",C848))=1, COUNTIF(damper_names,_xlfn.CONCAT("D_E_",C848))=1), "C", "")</f>
        <v/>
      </c>
      <c r="E848" t="str">
        <f t="shared" ca="1" si="50"/>
        <v/>
      </c>
      <c r="F848" t="str">
        <f t="shared" ca="1" si="51"/>
        <v/>
      </c>
      <c r="G848" t="str">
        <f t="shared" ca="1" si="52"/>
        <v/>
      </c>
      <c r="H848" t="str">
        <f t="shared" ca="1" si="53"/>
        <v/>
      </c>
      <c r="I848" t="str">
        <f t="shared" ca="1" si="54"/>
        <v/>
      </c>
    </row>
    <row r="849" spans="1:9" x14ac:dyDescent="0.25">
      <c r="A849" s="1"/>
      <c r="D849" t="str" cm="1">
        <f t="array" aca="1" ref="D849" ca="1">IF(OR(COUNTIF(damper_names,_xlfn.CONCAT("D_S_",C849))=1, COUNTIF(damper_names,_xlfn.CONCAT("D_E_",C849))=1), "C", "")</f>
        <v/>
      </c>
      <c r="E849" t="str">
        <f t="shared" ca="1" si="50"/>
        <v/>
      </c>
      <c r="F849" t="str">
        <f t="shared" ca="1" si="51"/>
        <v/>
      </c>
      <c r="G849" t="str">
        <f t="shared" ca="1" si="52"/>
        <v/>
      </c>
      <c r="H849" t="str">
        <f t="shared" ca="1" si="53"/>
        <v/>
      </c>
      <c r="I849" t="str">
        <f t="shared" ca="1" si="54"/>
        <v/>
      </c>
    </row>
    <row r="850" spans="1:9" x14ac:dyDescent="0.25">
      <c r="A850" s="1"/>
      <c r="D850" t="str" cm="1">
        <f t="array" aca="1" ref="D850" ca="1">IF(OR(COUNTIF(damper_names,_xlfn.CONCAT("D_S_",C850))=1, COUNTIF(damper_names,_xlfn.CONCAT("D_E_",C850))=1), "C", "")</f>
        <v/>
      </c>
      <c r="E850" t="str">
        <f t="shared" ca="1" si="50"/>
        <v/>
      </c>
      <c r="F850" t="str">
        <f t="shared" ca="1" si="51"/>
        <v/>
      </c>
      <c r="G850" t="str">
        <f t="shared" ca="1" si="52"/>
        <v/>
      </c>
      <c r="H850" t="str">
        <f t="shared" ca="1" si="53"/>
        <v/>
      </c>
      <c r="I850" t="str">
        <f t="shared" ca="1" si="54"/>
        <v/>
      </c>
    </row>
    <row r="851" spans="1:9" x14ac:dyDescent="0.25">
      <c r="A851" s="1"/>
      <c r="D851" t="str" cm="1">
        <f t="array" aca="1" ref="D851" ca="1">IF(OR(COUNTIF(damper_names,_xlfn.CONCAT("D_S_",C851))=1, COUNTIF(damper_names,_xlfn.CONCAT("D_E_",C851))=1), "C", "")</f>
        <v/>
      </c>
      <c r="E851" t="str">
        <f t="shared" ca="1" si="50"/>
        <v/>
      </c>
      <c r="F851" t="str">
        <f t="shared" ca="1" si="51"/>
        <v/>
      </c>
      <c r="G851" t="str">
        <f t="shared" ca="1" si="52"/>
        <v/>
      </c>
      <c r="H851" t="str">
        <f t="shared" ca="1" si="53"/>
        <v/>
      </c>
      <c r="I851" t="str">
        <f t="shared" ca="1" si="54"/>
        <v/>
      </c>
    </row>
    <row r="852" spans="1:9" x14ac:dyDescent="0.25">
      <c r="A852" s="1"/>
      <c r="D852" t="str" cm="1">
        <f t="array" aca="1" ref="D852" ca="1">IF(OR(COUNTIF(damper_names,_xlfn.CONCAT("D_S_",C852))=1, COUNTIF(damper_names,_xlfn.CONCAT("D_E_",C852))=1), "C", "")</f>
        <v/>
      </c>
      <c r="E852" t="str">
        <f t="shared" ca="1" si="50"/>
        <v/>
      </c>
      <c r="F852" t="str">
        <f t="shared" ca="1" si="51"/>
        <v/>
      </c>
      <c r="G852" t="str">
        <f t="shared" ca="1" si="52"/>
        <v/>
      </c>
      <c r="H852" t="str">
        <f t="shared" ca="1" si="53"/>
        <v/>
      </c>
      <c r="I852" t="str">
        <f t="shared" ca="1" si="54"/>
        <v/>
      </c>
    </row>
    <row r="853" spans="1:9" x14ac:dyDescent="0.25">
      <c r="A853" s="1"/>
      <c r="D853" t="str" cm="1">
        <f t="array" aca="1" ref="D853" ca="1">IF(OR(COUNTIF(damper_names,_xlfn.CONCAT("D_S_",C853))=1, COUNTIF(damper_names,_xlfn.CONCAT("D_E_",C853))=1), "C", "")</f>
        <v/>
      </c>
      <c r="E853" t="str">
        <f t="shared" ca="1" si="50"/>
        <v/>
      </c>
      <c r="F853" t="str">
        <f t="shared" ca="1" si="51"/>
        <v/>
      </c>
      <c r="G853" t="str">
        <f t="shared" ca="1" si="52"/>
        <v/>
      </c>
      <c r="H853" t="str">
        <f t="shared" ca="1" si="53"/>
        <v/>
      </c>
      <c r="I853" t="str">
        <f t="shared" ca="1" si="54"/>
        <v/>
      </c>
    </row>
    <row r="854" spans="1:9" x14ac:dyDescent="0.25">
      <c r="A854" s="1"/>
      <c r="D854" t="str" cm="1">
        <f t="array" aca="1" ref="D854" ca="1">IF(OR(COUNTIF(damper_names,_xlfn.CONCAT("D_S_",C854))=1, COUNTIF(damper_names,_xlfn.CONCAT("D_E_",C854))=1), "C", "")</f>
        <v/>
      </c>
      <c r="E854" t="str">
        <f t="shared" ca="1" si="50"/>
        <v/>
      </c>
      <c r="F854" t="str">
        <f t="shared" ca="1" si="51"/>
        <v/>
      </c>
      <c r="G854" t="str">
        <f t="shared" ca="1" si="52"/>
        <v/>
      </c>
      <c r="H854" t="str">
        <f t="shared" ca="1" si="53"/>
        <v/>
      </c>
      <c r="I854" t="str">
        <f t="shared" ca="1" si="54"/>
        <v/>
      </c>
    </row>
    <row r="855" spans="1:9" x14ac:dyDescent="0.25">
      <c r="A855" s="1"/>
      <c r="D855" t="str" cm="1">
        <f t="array" aca="1" ref="D855" ca="1">IF(OR(COUNTIF(damper_names,_xlfn.CONCAT("D_S_",C855))=1, COUNTIF(damper_names,_xlfn.CONCAT("D_E_",C855))=1), "C", "")</f>
        <v/>
      </c>
      <c r="E855" t="str">
        <f t="shared" ca="1" si="50"/>
        <v/>
      </c>
      <c r="F855" t="str">
        <f t="shared" ca="1" si="51"/>
        <v/>
      </c>
      <c r="G855" t="str">
        <f t="shared" ca="1" si="52"/>
        <v/>
      </c>
      <c r="H855" t="str">
        <f t="shared" ca="1" si="53"/>
        <v/>
      </c>
      <c r="I855" t="str">
        <f t="shared" ca="1" si="54"/>
        <v/>
      </c>
    </row>
    <row r="856" spans="1:9" x14ac:dyDescent="0.25">
      <c r="A856" s="1"/>
      <c r="D856" t="str" cm="1">
        <f t="array" aca="1" ref="D856" ca="1">IF(OR(COUNTIF(damper_names,_xlfn.CONCAT("D_S_",C856))=1, COUNTIF(damper_names,_xlfn.CONCAT("D_E_",C856))=1), "C", "")</f>
        <v/>
      </c>
      <c r="E856" t="str">
        <f t="shared" ca="1" si="50"/>
        <v/>
      </c>
      <c r="F856" t="str">
        <f t="shared" ca="1" si="51"/>
        <v/>
      </c>
      <c r="G856" t="str">
        <f t="shared" ca="1" si="52"/>
        <v/>
      </c>
      <c r="H856" t="str">
        <f t="shared" ca="1" si="53"/>
        <v/>
      </c>
      <c r="I856" t="str">
        <f t="shared" ca="1" si="54"/>
        <v/>
      </c>
    </row>
    <row r="857" spans="1:9" x14ac:dyDescent="0.25">
      <c r="A857" s="1"/>
      <c r="D857" t="str" cm="1">
        <f t="array" aca="1" ref="D857" ca="1">IF(OR(COUNTIF(damper_names,_xlfn.CONCAT("D_S_",C857))=1, COUNTIF(damper_names,_xlfn.CONCAT("D_E_",C857))=1), "C", "")</f>
        <v/>
      </c>
      <c r="E857" t="str">
        <f t="shared" ca="1" si="50"/>
        <v/>
      </c>
      <c r="F857" t="str">
        <f t="shared" ca="1" si="51"/>
        <v/>
      </c>
      <c r="G857" t="str">
        <f t="shared" ca="1" si="52"/>
        <v/>
      </c>
      <c r="H857" t="str">
        <f t="shared" ca="1" si="53"/>
        <v/>
      </c>
      <c r="I857" t="str">
        <f t="shared" ca="1" si="54"/>
        <v/>
      </c>
    </row>
    <row r="858" spans="1:9" x14ac:dyDescent="0.25">
      <c r="A858" s="1"/>
      <c r="D858" t="str" cm="1">
        <f t="array" aca="1" ref="D858" ca="1">IF(OR(COUNTIF(damper_names,_xlfn.CONCAT("D_S_",C858))=1, COUNTIF(damper_names,_xlfn.CONCAT("D_E_",C858))=1), "C", "")</f>
        <v/>
      </c>
      <c r="E858" t="str">
        <f t="shared" ca="1" si="50"/>
        <v/>
      </c>
      <c r="F858" t="str">
        <f t="shared" ca="1" si="51"/>
        <v/>
      </c>
      <c r="G858" t="str">
        <f t="shared" ca="1" si="52"/>
        <v/>
      </c>
      <c r="H858" t="str">
        <f t="shared" ca="1" si="53"/>
        <v/>
      </c>
      <c r="I858" t="str">
        <f t="shared" ca="1" si="54"/>
        <v/>
      </c>
    </row>
    <row r="859" spans="1:9" x14ac:dyDescent="0.25">
      <c r="A859" s="1"/>
      <c r="D859" t="str" cm="1">
        <f t="array" aca="1" ref="D859" ca="1">IF(OR(COUNTIF(damper_names,_xlfn.CONCAT("D_S_",C859))=1, COUNTIF(damper_names,_xlfn.CONCAT("D_E_",C859))=1), "C", "")</f>
        <v/>
      </c>
      <c r="E859" t="str">
        <f t="shared" ca="1" si="50"/>
        <v/>
      </c>
      <c r="F859" t="str">
        <f t="shared" ca="1" si="51"/>
        <v/>
      </c>
      <c r="G859" t="str">
        <f t="shared" ca="1" si="52"/>
        <v/>
      </c>
      <c r="H859" t="str">
        <f t="shared" ca="1" si="53"/>
        <v/>
      </c>
      <c r="I859" t="str">
        <f t="shared" ca="1" si="54"/>
        <v/>
      </c>
    </row>
    <row r="860" spans="1:9" x14ac:dyDescent="0.25">
      <c r="A860" s="1"/>
      <c r="D860" t="str" cm="1">
        <f t="array" aca="1" ref="D860" ca="1">IF(OR(COUNTIF(damper_names,_xlfn.CONCAT("D_S_",C860))=1, COUNTIF(damper_names,_xlfn.CONCAT("D_E_",C860))=1), "C", "")</f>
        <v/>
      </c>
      <c r="E860" t="str">
        <f t="shared" ca="1" si="50"/>
        <v/>
      </c>
      <c r="F860" t="str">
        <f t="shared" ca="1" si="51"/>
        <v/>
      </c>
      <c r="G860" t="str">
        <f t="shared" ca="1" si="52"/>
        <v/>
      </c>
      <c r="H860" t="str">
        <f t="shared" ca="1" si="53"/>
        <v/>
      </c>
      <c r="I860" t="str">
        <f t="shared" ca="1" si="54"/>
        <v/>
      </c>
    </row>
    <row r="861" spans="1:9" x14ac:dyDescent="0.25">
      <c r="A861" s="1"/>
      <c r="D861" t="str" cm="1">
        <f t="array" aca="1" ref="D861" ca="1">IF(OR(COUNTIF(damper_names,_xlfn.CONCAT("D_S_",C861))=1, COUNTIF(damper_names,_xlfn.CONCAT("D_E_",C861))=1), "C", "")</f>
        <v/>
      </c>
      <c r="E861" t="str">
        <f t="shared" ca="1" si="50"/>
        <v/>
      </c>
      <c r="F861" t="str">
        <f t="shared" ca="1" si="51"/>
        <v/>
      </c>
      <c r="G861" t="str">
        <f t="shared" ca="1" si="52"/>
        <v/>
      </c>
      <c r="H861" t="str">
        <f t="shared" ca="1" si="53"/>
        <v/>
      </c>
      <c r="I861" t="str">
        <f t="shared" ca="1" si="54"/>
        <v/>
      </c>
    </row>
    <row r="862" spans="1:9" x14ac:dyDescent="0.25">
      <c r="A862" s="1"/>
      <c r="D862" t="str" cm="1">
        <f t="array" aca="1" ref="D862" ca="1">IF(OR(COUNTIF(damper_names,_xlfn.CONCAT("D_S_",C862))=1, COUNTIF(damper_names,_xlfn.CONCAT("D_E_",C862))=1), "C", "")</f>
        <v/>
      </c>
      <c r="E862" t="str">
        <f t="shared" ca="1" si="50"/>
        <v/>
      </c>
      <c r="F862" t="str">
        <f t="shared" ca="1" si="51"/>
        <v/>
      </c>
      <c r="G862" t="str">
        <f t="shared" ca="1" si="52"/>
        <v/>
      </c>
      <c r="H862" t="str">
        <f t="shared" ca="1" si="53"/>
        <v/>
      </c>
      <c r="I862" t="str">
        <f t="shared" ca="1" si="54"/>
        <v/>
      </c>
    </row>
    <row r="863" spans="1:9" x14ac:dyDescent="0.25">
      <c r="A863" s="1"/>
      <c r="D863" t="str" cm="1">
        <f t="array" aca="1" ref="D863" ca="1">IF(OR(COUNTIF(damper_names,_xlfn.CONCAT("D_S_",C863))=1, COUNTIF(damper_names,_xlfn.CONCAT("D_E_",C863))=1), "C", "")</f>
        <v/>
      </c>
      <c r="E863" t="str">
        <f t="shared" ca="1" si="50"/>
        <v/>
      </c>
      <c r="F863" t="str">
        <f t="shared" ca="1" si="51"/>
        <v/>
      </c>
      <c r="G863" t="str">
        <f t="shared" ca="1" si="52"/>
        <v/>
      </c>
      <c r="H863" t="str">
        <f t="shared" ca="1" si="53"/>
        <v/>
      </c>
      <c r="I863" t="str">
        <f t="shared" ca="1" si="54"/>
        <v/>
      </c>
    </row>
    <row r="864" spans="1:9" x14ac:dyDescent="0.25">
      <c r="A864" s="1"/>
      <c r="D864" t="str" cm="1">
        <f t="array" aca="1" ref="D864" ca="1">IF(OR(COUNTIF(damper_names,_xlfn.CONCAT("D_S_",C864))=1, COUNTIF(damper_names,_xlfn.CONCAT("D_E_",C864))=1), "C", "")</f>
        <v/>
      </c>
      <c r="E864" t="str">
        <f t="shared" ca="1" si="50"/>
        <v/>
      </c>
      <c r="F864" t="str">
        <f t="shared" ca="1" si="51"/>
        <v/>
      </c>
      <c r="G864" t="str">
        <f t="shared" ca="1" si="52"/>
        <v/>
      </c>
      <c r="H864" t="str">
        <f t="shared" ca="1" si="53"/>
        <v/>
      </c>
      <c r="I864" t="str">
        <f t="shared" ca="1" si="54"/>
        <v/>
      </c>
    </row>
    <row r="865" spans="1:9" x14ac:dyDescent="0.25">
      <c r="A865" s="1"/>
      <c r="D865" t="str" cm="1">
        <f t="array" aca="1" ref="D865" ca="1">IF(OR(COUNTIF(damper_names,_xlfn.CONCAT("D_S_",C865))=1, COUNTIF(damper_names,_xlfn.CONCAT("D_E_",C865))=1), "C", "")</f>
        <v/>
      </c>
      <c r="E865" t="str">
        <f t="shared" ca="1" si="50"/>
        <v/>
      </c>
      <c r="F865" t="str">
        <f t="shared" ca="1" si="51"/>
        <v/>
      </c>
      <c r="G865" t="str">
        <f t="shared" ca="1" si="52"/>
        <v/>
      </c>
      <c r="H865" t="str">
        <f t="shared" ca="1" si="53"/>
        <v/>
      </c>
      <c r="I865" t="str">
        <f t="shared" ca="1" si="54"/>
        <v/>
      </c>
    </row>
    <row r="866" spans="1:9" x14ac:dyDescent="0.25">
      <c r="A866" s="1"/>
      <c r="D866" t="str" cm="1">
        <f t="array" aca="1" ref="D866" ca="1">IF(OR(COUNTIF(damper_names,_xlfn.CONCAT("D_S_",C866))=1, COUNTIF(damper_names,_xlfn.CONCAT("D_E_",C866))=1), "C", "")</f>
        <v/>
      </c>
      <c r="E866" t="str">
        <f t="shared" ca="1" si="50"/>
        <v/>
      </c>
      <c r="F866" t="str">
        <f t="shared" ca="1" si="51"/>
        <v/>
      </c>
      <c r="G866" t="str">
        <f t="shared" ca="1" si="52"/>
        <v/>
      </c>
      <c r="H866" t="str">
        <f t="shared" ca="1" si="53"/>
        <v/>
      </c>
      <c r="I866" t="str">
        <f t="shared" ca="1" si="54"/>
        <v/>
      </c>
    </row>
    <row r="867" spans="1:9" x14ac:dyDescent="0.25">
      <c r="A867" s="1"/>
      <c r="D867" t="str" cm="1">
        <f t="array" aca="1" ref="D867" ca="1">IF(OR(COUNTIF(damper_names,_xlfn.CONCAT("D_S_",C867))=1, COUNTIF(damper_names,_xlfn.CONCAT("D_E_",C867))=1), "C", "")</f>
        <v/>
      </c>
      <c r="E867" t="str">
        <f t="shared" ca="1" si="50"/>
        <v/>
      </c>
      <c r="F867" t="str">
        <f t="shared" ca="1" si="51"/>
        <v/>
      </c>
      <c r="G867" t="str">
        <f t="shared" ca="1" si="52"/>
        <v/>
      </c>
      <c r="H867" t="str">
        <f t="shared" ca="1" si="53"/>
        <v/>
      </c>
      <c r="I867" t="str">
        <f t="shared" ca="1" si="54"/>
        <v/>
      </c>
    </row>
    <row r="868" spans="1:9" x14ac:dyDescent="0.25">
      <c r="A868" s="1"/>
      <c r="D868" t="str" cm="1">
        <f t="array" aca="1" ref="D868" ca="1">IF(OR(COUNTIF(damper_names,_xlfn.CONCAT("D_S_",C868))=1, COUNTIF(damper_names,_xlfn.CONCAT("D_E_",C868))=1), "C", "")</f>
        <v/>
      </c>
      <c r="E868" t="str">
        <f t="shared" ca="1" si="50"/>
        <v/>
      </c>
      <c r="F868" t="str">
        <f t="shared" ca="1" si="51"/>
        <v/>
      </c>
      <c r="G868" t="str">
        <f t="shared" ca="1" si="52"/>
        <v/>
      </c>
      <c r="H868" t="str">
        <f t="shared" ca="1" si="53"/>
        <v/>
      </c>
      <c r="I868" t="str">
        <f t="shared" ca="1" si="54"/>
        <v/>
      </c>
    </row>
    <row r="869" spans="1:9" x14ac:dyDescent="0.25">
      <c r="A869" s="1"/>
      <c r="D869" t="str" cm="1">
        <f t="array" aca="1" ref="D869" ca="1">IF(OR(COUNTIF(damper_names,_xlfn.CONCAT("D_S_",C869))=1, COUNTIF(damper_names,_xlfn.CONCAT("D_E_",C869))=1), "C", "")</f>
        <v/>
      </c>
      <c r="E869" t="str">
        <f t="shared" ca="1" si="50"/>
        <v/>
      </c>
      <c r="F869" t="str">
        <f t="shared" ca="1" si="51"/>
        <v/>
      </c>
      <c r="G869" t="str">
        <f t="shared" ca="1" si="52"/>
        <v/>
      </c>
      <c r="H869" t="str">
        <f t="shared" ca="1" si="53"/>
        <v/>
      </c>
      <c r="I869" t="str">
        <f t="shared" ca="1" si="54"/>
        <v/>
      </c>
    </row>
    <row r="870" spans="1:9" x14ac:dyDescent="0.25">
      <c r="A870" s="1"/>
      <c r="D870" t="str" cm="1">
        <f t="array" aca="1" ref="D870" ca="1">IF(OR(COUNTIF(damper_names,_xlfn.CONCAT("D_S_",C870))=1, COUNTIF(damper_names,_xlfn.CONCAT("D_E_",C870))=1), "C", "")</f>
        <v/>
      </c>
      <c r="E870" t="str">
        <f t="shared" ca="1" si="50"/>
        <v/>
      </c>
      <c r="F870" t="str">
        <f t="shared" ca="1" si="51"/>
        <v/>
      </c>
      <c r="G870" t="str">
        <f t="shared" ca="1" si="52"/>
        <v/>
      </c>
      <c r="H870" t="str">
        <f t="shared" ca="1" si="53"/>
        <v/>
      </c>
      <c r="I870" t="str">
        <f t="shared" ca="1" si="54"/>
        <v/>
      </c>
    </row>
    <row r="871" spans="1:9" x14ac:dyDescent="0.25">
      <c r="A871" s="1"/>
      <c r="D871" t="str" cm="1">
        <f t="array" aca="1" ref="D871" ca="1">IF(OR(COUNTIF(damper_names,_xlfn.CONCAT("D_S_",C871))=1, COUNTIF(damper_names,_xlfn.CONCAT("D_E_",C871))=1), "C", "")</f>
        <v/>
      </c>
      <c r="E871" t="str">
        <f t="shared" ca="1" si="50"/>
        <v/>
      </c>
      <c r="F871" t="str">
        <f t="shared" ca="1" si="51"/>
        <v/>
      </c>
      <c r="G871" t="str">
        <f t="shared" ca="1" si="52"/>
        <v/>
      </c>
      <c r="H871" t="str">
        <f t="shared" ca="1" si="53"/>
        <v/>
      </c>
      <c r="I871" t="str">
        <f t="shared" ca="1" si="54"/>
        <v/>
      </c>
    </row>
    <row r="872" spans="1:9" x14ac:dyDescent="0.25">
      <c r="A872" s="1"/>
      <c r="D872" t="str" cm="1">
        <f t="array" aca="1" ref="D872" ca="1">IF(OR(COUNTIF(damper_names,_xlfn.CONCAT("D_S_",C872))=1, COUNTIF(damper_names,_xlfn.CONCAT("D_E_",C872))=1), "C", "")</f>
        <v/>
      </c>
      <c r="E872" t="str">
        <f t="shared" ca="1" si="50"/>
        <v/>
      </c>
      <c r="F872" t="str">
        <f t="shared" ca="1" si="51"/>
        <v/>
      </c>
      <c r="G872" t="str">
        <f t="shared" ca="1" si="52"/>
        <v/>
      </c>
      <c r="H872" t="str">
        <f t="shared" ca="1" si="53"/>
        <v/>
      </c>
      <c r="I872" t="str">
        <f t="shared" ca="1" si="54"/>
        <v/>
      </c>
    </row>
    <row r="873" spans="1:9" x14ac:dyDescent="0.25">
      <c r="A873" s="1"/>
      <c r="D873" t="str" cm="1">
        <f t="array" aca="1" ref="D873" ca="1">IF(OR(COUNTIF(damper_names,_xlfn.CONCAT("D_S_",C873))=1, COUNTIF(damper_names,_xlfn.CONCAT("D_E_",C873))=1), "C", "")</f>
        <v/>
      </c>
      <c r="E873" t="str">
        <f t="shared" ca="1" si="50"/>
        <v/>
      </c>
      <c r="F873" t="str">
        <f t="shared" ca="1" si="51"/>
        <v/>
      </c>
      <c r="G873" t="str">
        <f t="shared" ca="1" si="52"/>
        <v/>
      </c>
      <c r="H873" t="str">
        <f t="shared" ca="1" si="53"/>
        <v/>
      </c>
      <c r="I873" t="str">
        <f t="shared" ca="1" si="54"/>
        <v/>
      </c>
    </row>
    <row r="874" spans="1:9" x14ac:dyDescent="0.25">
      <c r="A874" s="1"/>
      <c r="D874" t="str" cm="1">
        <f t="array" aca="1" ref="D874" ca="1">IF(OR(COUNTIF(damper_names,_xlfn.CONCAT("D_S_",C874))=1, COUNTIF(damper_names,_xlfn.CONCAT("D_E_",C874))=1), "C", "")</f>
        <v/>
      </c>
      <c r="E874" t="str">
        <f t="shared" ca="1" si="50"/>
        <v/>
      </c>
      <c r="F874" t="str">
        <f t="shared" ca="1" si="51"/>
        <v/>
      </c>
      <c r="G874" t="str">
        <f t="shared" ca="1" si="52"/>
        <v/>
      </c>
      <c r="H874" t="str">
        <f t="shared" ca="1" si="53"/>
        <v/>
      </c>
      <c r="I874" t="str">
        <f t="shared" ca="1" si="54"/>
        <v/>
      </c>
    </row>
    <row r="875" spans="1:9" x14ac:dyDescent="0.25">
      <c r="A875" s="1"/>
      <c r="D875" t="str" cm="1">
        <f t="array" aca="1" ref="D875" ca="1">IF(OR(COUNTIF(damper_names,_xlfn.CONCAT("D_S_",C875))=1, COUNTIF(damper_names,_xlfn.CONCAT("D_E_",C875))=1), "C", "")</f>
        <v/>
      </c>
      <c r="E875" t="str">
        <f t="shared" ca="1" si="50"/>
        <v/>
      </c>
      <c r="F875" t="str">
        <f t="shared" ca="1" si="51"/>
        <v/>
      </c>
      <c r="G875" t="str">
        <f t="shared" ca="1" si="52"/>
        <v/>
      </c>
      <c r="H875" t="str">
        <f t="shared" ca="1" si="53"/>
        <v/>
      </c>
      <c r="I875" t="str">
        <f t="shared" ca="1" si="54"/>
        <v/>
      </c>
    </row>
    <row r="876" spans="1:9" x14ac:dyDescent="0.25">
      <c r="A876" s="1"/>
      <c r="D876" t="str" cm="1">
        <f t="array" aca="1" ref="D876" ca="1">IF(OR(COUNTIF(damper_names,_xlfn.CONCAT("D_S_",C876))=1, COUNTIF(damper_names,_xlfn.CONCAT("D_E_",C876))=1), "C", "")</f>
        <v/>
      </c>
      <c r="E876" t="str">
        <f t="shared" ca="1" si="50"/>
        <v/>
      </c>
      <c r="F876" t="str">
        <f t="shared" ca="1" si="51"/>
        <v/>
      </c>
      <c r="G876" t="str">
        <f t="shared" ca="1" si="52"/>
        <v/>
      </c>
      <c r="H876" t="str">
        <f t="shared" ca="1" si="53"/>
        <v/>
      </c>
      <c r="I876" t="str">
        <f t="shared" ca="1" si="54"/>
        <v/>
      </c>
    </row>
    <row r="877" spans="1:9" x14ac:dyDescent="0.25">
      <c r="A877" s="1"/>
      <c r="D877" t="str" cm="1">
        <f t="array" aca="1" ref="D877" ca="1">IF(OR(COUNTIF(damper_names,_xlfn.CONCAT("D_S_",C877))=1, COUNTIF(damper_names,_xlfn.CONCAT("D_E_",C877))=1), "C", "")</f>
        <v/>
      </c>
      <c r="E877" t="str">
        <f t="shared" ca="1" si="50"/>
        <v/>
      </c>
      <c r="F877" t="str">
        <f t="shared" ca="1" si="51"/>
        <v/>
      </c>
      <c r="G877" t="str">
        <f t="shared" ca="1" si="52"/>
        <v/>
      </c>
      <c r="H877" t="str">
        <f t="shared" ca="1" si="53"/>
        <v/>
      </c>
      <c r="I877" t="str">
        <f t="shared" ca="1" si="54"/>
        <v/>
      </c>
    </row>
    <row r="878" spans="1:9" x14ac:dyDescent="0.25">
      <c r="A878" s="1"/>
      <c r="D878" t="str" cm="1">
        <f t="array" aca="1" ref="D878" ca="1">IF(OR(COUNTIF(damper_names,_xlfn.CONCAT("D_S_",C878))=1, COUNTIF(damper_names,_xlfn.CONCAT("D_E_",C878))=1), "C", "")</f>
        <v/>
      </c>
      <c r="E878" t="str">
        <f t="shared" ca="1" si="50"/>
        <v/>
      </c>
      <c r="F878" t="str">
        <f t="shared" ca="1" si="51"/>
        <v/>
      </c>
      <c r="G878" t="str">
        <f t="shared" ca="1" si="52"/>
        <v/>
      </c>
      <c r="H878" t="str">
        <f t="shared" ca="1" si="53"/>
        <v/>
      </c>
      <c r="I878" t="str">
        <f t="shared" ca="1" si="54"/>
        <v/>
      </c>
    </row>
    <row r="879" spans="1:9" x14ac:dyDescent="0.25">
      <c r="A879" s="1"/>
      <c r="D879" t="str" cm="1">
        <f t="array" aca="1" ref="D879" ca="1">IF(OR(COUNTIF(damper_names,_xlfn.CONCAT("D_S_",C879))=1, COUNTIF(damper_names,_xlfn.CONCAT("D_E_",C879))=1), "C", "")</f>
        <v/>
      </c>
      <c r="E879" t="str">
        <f t="shared" ca="1" si="50"/>
        <v/>
      </c>
      <c r="F879" t="str">
        <f t="shared" ca="1" si="51"/>
        <v/>
      </c>
      <c r="G879" t="str">
        <f t="shared" ca="1" si="52"/>
        <v/>
      </c>
      <c r="H879" t="str">
        <f t="shared" ca="1" si="53"/>
        <v/>
      </c>
      <c r="I879" t="str">
        <f t="shared" ca="1" si="54"/>
        <v/>
      </c>
    </row>
    <row r="880" spans="1:9" x14ac:dyDescent="0.25">
      <c r="A880" s="1"/>
      <c r="D880" t="str" cm="1">
        <f t="array" aca="1" ref="D880" ca="1">IF(OR(COUNTIF(damper_names,_xlfn.CONCAT("D_S_",C880))=1, COUNTIF(damper_names,_xlfn.CONCAT("D_E_",C880))=1), "C", "")</f>
        <v/>
      </c>
      <c r="E880" t="str">
        <f t="shared" ca="1" si="50"/>
        <v/>
      </c>
      <c r="F880" t="str">
        <f t="shared" ca="1" si="51"/>
        <v/>
      </c>
      <c r="G880" t="str">
        <f t="shared" ca="1" si="52"/>
        <v/>
      </c>
      <c r="H880" t="str">
        <f t="shared" ca="1" si="53"/>
        <v/>
      </c>
      <c r="I880" t="str">
        <f t="shared" ca="1" si="54"/>
        <v/>
      </c>
    </row>
    <row r="881" spans="1:9" x14ac:dyDescent="0.25">
      <c r="A881" s="1"/>
      <c r="D881" t="str" cm="1">
        <f t="array" aca="1" ref="D881" ca="1">IF(OR(COUNTIF(damper_names,_xlfn.CONCAT("D_S_",C881))=1, COUNTIF(damper_names,_xlfn.CONCAT("D_E_",C881))=1), "C", "")</f>
        <v/>
      </c>
      <c r="E881" t="str">
        <f t="shared" ca="1" si="50"/>
        <v/>
      </c>
      <c r="F881" t="str">
        <f t="shared" ca="1" si="51"/>
        <v/>
      </c>
      <c r="G881" t="str">
        <f t="shared" ca="1" si="52"/>
        <v/>
      </c>
      <c r="H881" t="str">
        <f t="shared" ca="1" si="53"/>
        <v/>
      </c>
      <c r="I881" t="str">
        <f t="shared" ca="1" si="54"/>
        <v/>
      </c>
    </row>
    <row r="882" spans="1:9" x14ac:dyDescent="0.25">
      <c r="A882" s="1"/>
      <c r="D882" t="str" cm="1">
        <f t="array" aca="1" ref="D882" ca="1">IF(OR(COUNTIF(damper_names,_xlfn.CONCAT("D_S_",C882))=1, COUNTIF(damper_names,_xlfn.CONCAT("D_E_",C882))=1), "C", "")</f>
        <v/>
      </c>
      <c r="E882" t="str">
        <f t="shared" ca="1" si="50"/>
        <v/>
      </c>
      <c r="F882" t="str">
        <f t="shared" ca="1" si="51"/>
        <v/>
      </c>
      <c r="G882" t="str">
        <f t="shared" ca="1" si="52"/>
        <v/>
      </c>
      <c r="H882" t="str">
        <f t="shared" ca="1" si="53"/>
        <v/>
      </c>
      <c r="I882" t="str">
        <f t="shared" ca="1" si="54"/>
        <v/>
      </c>
    </row>
    <row r="883" spans="1:9" x14ac:dyDescent="0.25">
      <c r="A883" s="1"/>
      <c r="D883" t="str" cm="1">
        <f t="array" aca="1" ref="D883" ca="1">IF(OR(COUNTIF(damper_names,_xlfn.CONCAT("D_S_",C883))=1, COUNTIF(damper_names,_xlfn.CONCAT("D_E_",C883))=1), "C", "")</f>
        <v/>
      </c>
      <c r="E883" t="str">
        <f t="shared" ref="E883:E946" ca="1" si="55">IF(D883="T", 0.05, IF(D883="C", -0.01, ""))</f>
        <v/>
      </c>
      <c r="F883" t="str">
        <f t="shared" ref="F883:F946" ca="1" si="56">IF(D883="T", 0.05, IF(D883="C", 0, ""))</f>
        <v/>
      </c>
      <c r="G883" t="str">
        <f t="shared" ref="G883:G946" ca="1" si="57">IF(D883="T", 0, IF(D883="C", 0, ""))</f>
        <v/>
      </c>
      <c r="H883" t="str">
        <f t="shared" ref="H883:H946" ca="1" si="58">IF(D883="T", 0.05, IF(D883="C", 0, ""))</f>
        <v/>
      </c>
      <c r="I883" t="str">
        <f t="shared" ref="I883:I946" ca="1" si="59">IF(D883="T", 0, IF(D883="C", 0, ""))</f>
        <v/>
      </c>
    </row>
    <row r="884" spans="1:9" x14ac:dyDescent="0.25">
      <c r="A884" s="1"/>
      <c r="D884" t="str" cm="1">
        <f t="array" aca="1" ref="D884" ca="1">IF(OR(COUNTIF(damper_names,_xlfn.CONCAT("D_S_",C884))=1, COUNTIF(damper_names,_xlfn.CONCAT("D_E_",C884))=1), "C", "")</f>
        <v/>
      </c>
      <c r="E884" t="str">
        <f t="shared" ca="1" si="55"/>
        <v/>
      </c>
      <c r="F884" t="str">
        <f t="shared" ca="1" si="56"/>
        <v/>
      </c>
      <c r="G884" t="str">
        <f t="shared" ca="1" si="57"/>
        <v/>
      </c>
      <c r="H884" t="str">
        <f t="shared" ca="1" si="58"/>
        <v/>
      </c>
      <c r="I884" t="str">
        <f t="shared" ca="1" si="59"/>
        <v/>
      </c>
    </row>
    <row r="885" spans="1:9" x14ac:dyDescent="0.25">
      <c r="A885" s="1"/>
      <c r="D885" t="str" cm="1">
        <f t="array" aca="1" ref="D885" ca="1">IF(OR(COUNTIF(damper_names,_xlfn.CONCAT("D_S_",C885))=1, COUNTIF(damper_names,_xlfn.CONCAT("D_E_",C885))=1), "C", "")</f>
        <v/>
      </c>
      <c r="E885" t="str">
        <f t="shared" ca="1" si="55"/>
        <v/>
      </c>
      <c r="F885" t="str">
        <f t="shared" ca="1" si="56"/>
        <v/>
      </c>
      <c r="G885" t="str">
        <f t="shared" ca="1" si="57"/>
        <v/>
      </c>
      <c r="H885" t="str">
        <f t="shared" ca="1" si="58"/>
        <v/>
      </c>
      <c r="I885" t="str">
        <f t="shared" ca="1" si="59"/>
        <v/>
      </c>
    </row>
    <row r="886" spans="1:9" x14ac:dyDescent="0.25">
      <c r="A886" s="1"/>
      <c r="D886" t="str" cm="1">
        <f t="array" aca="1" ref="D886" ca="1">IF(OR(COUNTIF(damper_names,_xlfn.CONCAT("D_S_",C886))=1, COUNTIF(damper_names,_xlfn.CONCAT("D_E_",C886))=1), "C", "")</f>
        <v/>
      </c>
      <c r="E886" t="str">
        <f t="shared" ca="1" si="55"/>
        <v/>
      </c>
      <c r="F886" t="str">
        <f t="shared" ca="1" si="56"/>
        <v/>
      </c>
      <c r="G886" t="str">
        <f t="shared" ca="1" si="57"/>
        <v/>
      </c>
      <c r="H886" t="str">
        <f t="shared" ca="1" si="58"/>
        <v/>
      </c>
      <c r="I886" t="str">
        <f t="shared" ca="1" si="59"/>
        <v/>
      </c>
    </row>
    <row r="887" spans="1:9" x14ac:dyDescent="0.25">
      <c r="A887" s="1"/>
      <c r="D887" t="str" cm="1">
        <f t="array" aca="1" ref="D887" ca="1">IF(OR(COUNTIF(damper_names,_xlfn.CONCAT("D_S_",C887))=1, COUNTIF(damper_names,_xlfn.CONCAT("D_E_",C887))=1), "C", "")</f>
        <v/>
      </c>
      <c r="E887" t="str">
        <f t="shared" ca="1" si="55"/>
        <v/>
      </c>
      <c r="F887" t="str">
        <f t="shared" ca="1" si="56"/>
        <v/>
      </c>
      <c r="G887" t="str">
        <f t="shared" ca="1" si="57"/>
        <v/>
      </c>
      <c r="H887" t="str">
        <f t="shared" ca="1" si="58"/>
        <v/>
      </c>
      <c r="I887" t="str">
        <f t="shared" ca="1" si="59"/>
        <v/>
      </c>
    </row>
    <row r="888" spans="1:9" x14ac:dyDescent="0.25">
      <c r="A888" s="1"/>
      <c r="D888" t="str" cm="1">
        <f t="array" aca="1" ref="D888" ca="1">IF(OR(COUNTIF(damper_names,_xlfn.CONCAT("D_S_",C888))=1, COUNTIF(damper_names,_xlfn.CONCAT("D_E_",C888))=1), "C", "")</f>
        <v/>
      </c>
      <c r="E888" t="str">
        <f t="shared" ca="1" si="55"/>
        <v/>
      </c>
      <c r="F888" t="str">
        <f t="shared" ca="1" si="56"/>
        <v/>
      </c>
      <c r="G888" t="str">
        <f t="shared" ca="1" si="57"/>
        <v/>
      </c>
      <c r="H888" t="str">
        <f t="shared" ca="1" si="58"/>
        <v/>
      </c>
      <c r="I888" t="str">
        <f t="shared" ca="1" si="59"/>
        <v/>
      </c>
    </row>
    <row r="889" spans="1:9" x14ac:dyDescent="0.25">
      <c r="A889" s="1"/>
      <c r="D889" t="str" cm="1">
        <f t="array" aca="1" ref="D889" ca="1">IF(OR(COUNTIF(damper_names,_xlfn.CONCAT("D_S_",C889))=1, COUNTIF(damper_names,_xlfn.CONCAT("D_E_",C889))=1), "C", "")</f>
        <v/>
      </c>
      <c r="E889" t="str">
        <f t="shared" ca="1" si="55"/>
        <v/>
      </c>
      <c r="F889" t="str">
        <f t="shared" ca="1" si="56"/>
        <v/>
      </c>
      <c r="G889" t="str">
        <f t="shared" ca="1" si="57"/>
        <v/>
      </c>
      <c r="H889" t="str">
        <f t="shared" ca="1" si="58"/>
        <v/>
      </c>
      <c r="I889" t="str">
        <f t="shared" ca="1" si="59"/>
        <v/>
      </c>
    </row>
    <row r="890" spans="1:9" x14ac:dyDescent="0.25">
      <c r="A890" s="1"/>
      <c r="D890" t="str" cm="1">
        <f t="array" aca="1" ref="D890" ca="1">IF(OR(COUNTIF(damper_names,_xlfn.CONCAT("D_S_",C890))=1, COUNTIF(damper_names,_xlfn.CONCAT("D_E_",C890))=1), "C", "")</f>
        <v/>
      </c>
      <c r="E890" t="str">
        <f t="shared" ca="1" si="55"/>
        <v/>
      </c>
      <c r="F890" t="str">
        <f t="shared" ca="1" si="56"/>
        <v/>
      </c>
      <c r="G890" t="str">
        <f t="shared" ca="1" si="57"/>
        <v/>
      </c>
      <c r="H890" t="str">
        <f t="shared" ca="1" si="58"/>
        <v/>
      </c>
      <c r="I890" t="str">
        <f t="shared" ca="1" si="59"/>
        <v/>
      </c>
    </row>
    <row r="891" spans="1:9" x14ac:dyDescent="0.25">
      <c r="A891" s="1"/>
      <c r="D891" t="str" cm="1">
        <f t="array" aca="1" ref="D891" ca="1">IF(OR(COUNTIF(damper_names,_xlfn.CONCAT("D_S_",C891))=1, COUNTIF(damper_names,_xlfn.CONCAT("D_E_",C891))=1), "C", "")</f>
        <v/>
      </c>
      <c r="E891" t="str">
        <f t="shared" ca="1" si="55"/>
        <v/>
      </c>
      <c r="F891" t="str">
        <f t="shared" ca="1" si="56"/>
        <v/>
      </c>
      <c r="G891" t="str">
        <f t="shared" ca="1" si="57"/>
        <v/>
      </c>
      <c r="H891" t="str">
        <f t="shared" ca="1" si="58"/>
        <v/>
      </c>
      <c r="I891" t="str">
        <f t="shared" ca="1" si="59"/>
        <v/>
      </c>
    </row>
    <row r="892" spans="1:9" x14ac:dyDescent="0.25">
      <c r="A892" s="1"/>
      <c r="D892" t="str" cm="1">
        <f t="array" aca="1" ref="D892" ca="1">IF(OR(COUNTIF(damper_names,_xlfn.CONCAT("D_S_",C892))=1, COUNTIF(damper_names,_xlfn.CONCAT("D_E_",C892))=1), "C", "")</f>
        <v/>
      </c>
      <c r="E892" t="str">
        <f t="shared" ca="1" si="55"/>
        <v/>
      </c>
      <c r="F892" t="str">
        <f t="shared" ca="1" si="56"/>
        <v/>
      </c>
      <c r="G892" t="str">
        <f t="shared" ca="1" si="57"/>
        <v/>
      </c>
      <c r="H892" t="str">
        <f t="shared" ca="1" si="58"/>
        <v/>
      </c>
      <c r="I892" t="str">
        <f t="shared" ca="1" si="59"/>
        <v/>
      </c>
    </row>
    <row r="893" spans="1:9" x14ac:dyDescent="0.25">
      <c r="A893" s="1"/>
      <c r="D893" t="str" cm="1">
        <f t="array" aca="1" ref="D893" ca="1">IF(OR(COUNTIF(damper_names,_xlfn.CONCAT("D_S_",C893))=1, COUNTIF(damper_names,_xlfn.CONCAT("D_E_",C893))=1), "C", "")</f>
        <v/>
      </c>
      <c r="E893" t="str">
        <f t="shared" ca="1" si="55"/>
        <v/>
      </c>
      <c r="F893" t="str">
        <f t="shared" ca="1" si="56"/>
        <v/>
      </c>
      <c r="G893" t="str">
        <f t="shared" ca="1" si="57"/>
        <v/>
      </c>
      <c r="H893" t="str">
        <f t="shared" ca="1" si="58"/>
        <v/>
      </c>
      <c r="I893" t="str">
        <f t="shared" ca="1" si="59"/>
        <v/>
      </c>
    </row>
    <row r="894" spans="1:9" x14ac:dyDescent="0.25">
      <c r="A894" s="1"/>
      <c r="D894" t="str" cm="1">
        <f t="array" aca="1" ref="D894" ca="1">IF(OR(COUNTIF(damper_names,_xlfn.CONCAT("D_S_",C894))=1, COUNTIF(damper_names,_xlfn.CONCAT("D_E_",C894))=1), "C", "")</f>
        <v/>
      </c>
      <c r="E894" t="str">
        <f t="shared" ca="1" si="55"/>
        <v/>
      </c>
      <c r="F894" t="str">
        <f t="shared" ca="1" si="56"/>
        <v/>
      </c>
      <c r="G894" t="str">
        <f t="shared" ca="1" si="57"/>
        <v/>
      </c>
      <c r="H894" t="str">
        <f t="shared" ca="1" si="58"/>
        <v/>
      </c>
      <c r="I894" t="str">
        <f t="shared" ca="1" si="59"/>
        <v/>
      </c>
    </row>
    <row r="895" spans="1:9" x14ac:dyDescent="0.25">
      <c r="A895" s="1"/>
      <c r="D895" t="str" cm="1">
        <f t="array" aca="1" ref="D895" ca="1">IF(OR(COUNTIF(damper_names,_xlfn.CONCAT("D_S_",C895))=1, COUNTIF(damper_names,_xlfn.CONCAT("D_E_",C895))=1), "C", "")</f>
        <v/>
      </c>
      <c r="E895" t="str">
        <f t="shared" ca="1" si="55"/>
        <v/>
      </c>
      <c r="F895" t="str">
        <f t="shared" ca="1" si="56"/>
        <v/>
      </c>
      <c r="G895" t="str">
        <f t="shared" ca="1" si="57"/>
        <v/>
      </c>
      <c r="H895" t="str">
        <f t="shared" ca="1" si="58"/>
        <v/>
      </c>
      <c r="I895" t="str">
        <f t="shared" ca="1" si="59"/>
        <v/>
      </c>
    </row>
    <row r="896" spans="1:9" x14ac:dyDescent="0.25">
      <c r="A896" s="1"/>
      <c r="D896" t="str" cm="1">
        <f t="array" aca="1" ref="D896" ca="1">IF(OR(COUNTIF(damper_names,_xlfn.CONCAT("D_S_",C896))=1, COUNTIF(damper_names,_xlfn.CONCAT("D_E_",C896))=1), "C", "")</f>
        <v/>
      </c>
      <c r="E896" t="str">
        <f t="shared" ca="1" si="55"/>
        <v/>
      </c>
      <c r="F896" t="str">
        <f t="shared" ca="1" si="56"/>
        <v/>
      </c>
      <c r="G896" t="str">
        <f t="shared" ca="1" si="57"/>
        <v/>
      </c>
      <c r="H896" t="str">
        <f t="shared" ca="1" si="58"/>
        <v/>
      </c>
      <c r="I896" t="str">
        <f t="shared" ca="1" si="59"/>
        <v/>
      </c>
    </row>
    <row r="897" spans="1:9" x14ac:dyDescent="0.25">
      <c r="A897" s="1"/>
      <c r="D897" t="str" cm="1">
        <f t="array" aca="1" ref="D897" ca="1">IF(OR(COUNTIF(damper_names,_xlfn.CONCAT("D_S_",C897))=1, COUNTIF(damper_names,_xlfn.CONCAT("D_E_",C897))=1), "C", "")</f>
        <v/>
      </c>
      <c r="E897" t="str">
        <f t="shared" ca="1" si="55"/>
        <v/>
      </c>
      <c r="F897" t="str">
        <f t="shared" ca="1" si="56"/>
        <v/>
      </c>
      <c r="G897" t="str">
        <f t="shared" ca="1" si="57"/>
        <v/>
      </c>
      <c r="H897" t="str">
        <f t="shared" ca="1" si="58"/>
        <v/>
      </c>
      <c r="I897" t="str">
        <f t="shared" ca="1" si="59"/>
        <v/>
      </c>
    </row>
    <row r="898" spans="1:9" x14ac:dyDescent="0.25">
      <c r="A898" s="1"/>
      <c r="D898" t="str" cm="1">
        <f t="array" aca="1" ref="D898" ca="1">IF(OR(COUNTIF(damper_names,_xlfn.CONCAT("D_S_",C898))=1, COUNTIF(damper_names,_xlfn.CONCAT("D_E_",C898))=1), "C", "")</f>
        <v/>
      </c>
      <c r="E898" t="str">
        <f t="shared" ca="1" si="55"/>
        <v/>
      </c>
      <c r="F898" t="str">
        <f t="shared" ca="1" si="56"/>
        <v/>
      </c>
      <c r="G898" t="str">
        <f t="shared" ca="1" si="57"/>
        <v/>
      </c>
      <c r="H898" t="str">
        <f t="shared" ca="1" si="58"/>
        <v/>
      </c>
      <c r="I898" t="str">
        <f t="shared" ca="1" si="59"/>
        <v/>
      </c>
    </row>
    <row r="899" spans="1:9" x14ac:dyDescent="0.25">
      <c r="A899" s="1"/>
      <c r="D899" t="str" cm="1">
        <f t="array" aca="1" ref="D899" ca="1">IF(OR(COUNTIF(damper_names,_xlfn.CONCAT("D_S_",C899))=1, COUNTIF(damper_names,_xlfn.CONCAT("D_E_",C899))=1), "C", "")</f>
        <v/>
      </c>
      <c r="E899" t="str">
        <f t="shared" ca="1" si="55"/>
        <v/>
      </c>
      <c r="F899" t="str">
        <f t="shared" ca="1" si="56"/>
        <v/>
      </c>
      <c r="G899" t="str">
        <f t="shared" ca="1" si="57"/>
        <v/>
      </c>
      <c r="H899" t="str">
        <f t="shared" ca="1" si="58"/>
        <v/>
      </c>
      <c r="I899" t="str">
        <f t="shared" ca="1" si="59"/>
        <v/>
      </c>
    </row>
    <row r="900" spans="1:9" x14ac:dyDescent="0.25">
      <c r="A900" s="1"/>
      <c r="D900" t="str" cm="1">
        <f t="array" aca="1" ref="D900" ca="1">IF(OR(COUNTIF(damper_names,_xlfn.CONCAT("D_S_",C900))=1, COUNTIF(damper_names,_xlfn.CONCAT("D_E_",C900))=1), "C", "")</f>
        <v/>
      </c>
      <c r="E900" t="str">
        <f t="shared" ca="1" si="55"/>
        <v/>
      </c>
      <c r="F900" t="str">
        <f t="shared" ca="1" si="56"/>
        <v/>
      </c>
      <c r="G900" t="str">
        <f t="shared" ca="1" si="57"/>
        <v/>
      </c>
      <c r="H900" t="str">
        <f t="shared" ca="1" si="58"/>
        <v/>
      </c>
      <c r="I900" t="str">
        <f t="shared" ca="1" si="59"/>
        <v/>
      </c>
    </row>
    <row r="901" spans="1:9" x14ac:dyDescent="0.25">
      <c r="A901" s="1"/>
      <c r="D901" t="str" cm="1">
        <f t="array" aca="1" ref="D901" ca="1">IF(OR(COUNTIF(damper_names,_xlfn.CONCAT("D_S_",C901))=1, COUNTIF(damper_names,_xlfn.CONCAT("D_E_",C901))=1), "C", "")</f>
        <v/>
      </c>
      <c r="E901" t="str">
        <f t="shared" ca="1" si="55"/>
        <v/>
      </c>
      <c r="F901" t="str">
        <f t="shared" ca="1" si="56"/>
        <v/>
      </c>
      <c r="G901" t="str">
        <f t="shared" ca="1" si="57"/>
        <v/>
      </c>
      <c r="H901" t="str">
        <f t="shared" ca="1" si="58"/>
        <v/>
      </c>
      <c r="I901" t="str">
        <f t="shared" ca="1" si="59"/>
        <v/>
      </c>
    </row>
    <row r="902" spans="1:9" x14ac:dyDescent="0.25">
      <c r="A902" s="1"/>
      <c r="D902" t="str" cm="1">
        <f t="array" aca="1" ref="D902" ca="1">IF(OR(COUNTIF(damper_names,_xlfn.CONCAT("D_S_",C902))=1, COUNTIF(damper_names,_xlfn.CONCAT("D_E_",C902))=1), "C", "")</f>
        <v/>
      </c>
      <c r="E902" t="str">
        <f t="shared" ca="1" si="55"/>
        <v/>
      </c>
      <c r="F902" t="str">
        <f t="shared" ca="1" si="56"/>
        <v/>
      </c>
      <c r="G902" t="str">
        <f t="shared" ca="1" si="57"/>
        <v/>
      </c>
      <c r="H902" t="str">
        <f t="shared" ca="1" si="58"/>
        <v/>
      </c>
      <c r="I902" t="str">
        <f t="shared" ca="1" si="59"/>
        <v/>
      </c>
    </row>
    <row r="903" spans="1:9" x14ac:dyDescent="0.25">
      <c r="A903" s="1"/>
      <c r="D903" t="str" cm="1">
        <f t="array" aca="1" ref="D903" ca="1">IF(OR(COUNTIF(damper_names,_xlfn.CONCAT("D_S_",C903))=1, COUNTIF(damper_names,_xlfn.CONCAT("D_E_",C903))=1), "C", "")</f>
        <v/>
      </c>
      <c r="E903" t="str">
        <f t="shared" ca="1" si="55"/>
        <v/>
      </c>
      <c r="F903" t="str">
        <f t="shared" ca="1" si="56"/>
        <v/>
      </c>
      <c r="G903" t="str">
        <f t="shared" ca="1" si="57"/>
        <v/>
      </c>
      <c r="H903" t="str">
        <f t="shared" ca="1" si="58"/>
        <v/>
      </c>
      <c r="I903" t="str">
        <f t="shared" ca="1" si="59"/>
        <v/>
      </c>
    </row>
    <row r="904" spans="1:9" x14ac:dyDescent="0.25">
      <c r="A904" s="1"/>
      <c r="D904" t="str" cm="1">
        <f t="array" aca="1" ref="D904" ca="1">IF(OR(COUNTIF(damper_names,_xlfn.CONCAT("D_S_",C904))=1, COUNTIF(damper_names,_xlfn.CONCAT("D_E_",C904))=1), "C", "")</f>
        <v/>
      </c>
      <c r="E904" t="str">
        <f t="shared" ca="1" si="55"/>
        <v/>
      </c>
      <c r="F904" t="str">
        <f t="shared" ca="1" si="56"/>
        <v/>
      </c>
      <c r="G904" t="str">
        <f t="shared" ca="1" si="57"/>
        <v/>
      </c>
      <c r="H904" t="str">
        <f t="shared" ca="1" si="58"/>
        <v/>
      </c>
      <c r="I904" t="str">
        <f t="shared" ca="1" si="59"/>
        <v/>
      </c>
    </row>
    <row r="905" spans="1:9" x14ac:dyDescent="0.25">
      <c r="A905" s="1"/>
      <c r="D905" t="str" cm="1">
        <f t="array" aca="1" ref="D905" ca="1">IF(OR(COUNTIF(damper_names,_xlfn.CONCAT("D_S_",C905))=1, COUNTIF(damper_names,_xlfn.CONCAT("D_E_",C905))=1), "C", "")</f>
        <v/>
      </c>
      <c r="E905" t="str">
        <f t="shared" ca="1" si="55"/>
        <v/>
      </c>
      <c r="F905" t="str">
        <f t="shared" ca="1" si="56"/>
        <v/>
      </c>
      <c r="G905" t="str">
        <f t="shared" ca="1" si="57"/>
        <v/>
      </c>
      <c r="H905" t="str">
        <f t="shared" ca="1" si="58"/>
        <v/>
      </c>
      <c r="I905" t="str">
        <f t="shared" ca="1" si="59"/>
        <v/>
      </c>
    </row>
    <row r="906" spans="1:9" x14ac:dyDescent="0.25">
      <c r="A906" s="1"/>
      <c r="D906" t="str" cm="1">
        <f t="array" aca="1" ref="D906" ca="1">IF(OR(COUNTIF(damper_names,_xlfn.CONCAT("D_S_",C906))=1, COUNTIF(damper_names,_xlfn.CONCAT("D_E_",C906))=1), "C", "")</f>
        <v/>
      </c>
      <c r="E906" t="str">
        <f t="shared" ca="1" si="55"/>
        <v/>
      </c>
      <c r="F906" t="str">
        <f t="shared" ca="1" si="56"/>
        <v/>
      </c>
      <c r="G906" t="str">
        <f t="shared" ca="1" si="57"/>
        <v/>
      </c>
      <c r="H906" t="str">
        <f t="shared" ca="1" si="58"/>
        <v/>
      </c>
      <c r="I906" t="str">
        <f t="shared" ca="1" si="59"/>
        <v/>
      </c>
    </row>
    <row r="907" spans="1:9" x14ac:dyDescent="0.25">
      <c r="A907" s="1"/>
      <c r="D907" t="str" cm="1">
        <f t="array" aca="1" ref="D907" ca="1">IF(OR(COUNTIF(damper_names,_xlfn.CONCAT("D_S_",C907))=1, COUNTIF(damper_names,_xlfn.CONCAT("D_E_",C907))=1), "C", "")</f>
        <v/>
      </c>
      <c r="E907" t="str">
        <f t="shared" ca="1" si="55"/>
        <v/>
      </c>
      <c r="F907" t="str">
        <f t="shared" ca="1" si="56"/>
        <v/>
      </c>
      <c r="G907" t="str">
        <f t="shared" ca="1" si="57"/>
        <v/>
      </c>
      <c r="H907" t="str">
        <f t="shared" ca="1" si="58"/>
        <v/>
      </c>
      <c r="I907" t="str">
        <f t="shared" ca="1" si="59"/>
        <v/>
      </c>
    </row>
    <row r="908" spans="1:9" x14ac:dyDescent="0.25">
      <c r="A908" s="1"/>
      <c r="D908" t="str" cm="1">
        <f t="array" aca="1" ref="D908" ca="1">IF(OR(COUNTIF(damper_names,_xlfn.CONCAT("D_S_",C908))=1, COUNTIF(damper_names,_xlfn.CONCAT("D_E_",C908))=1), "C", "")</f>
        <v/>
      </c>
      <c r="E908" t="str">
        <f t="shared" ca="1" si="55"/>
        <v/>
      </c>
      <c r="F908" t="str">
        <f t="shared" ca="1" si="56"/>
        <v/>
      </c>
      <c r="G908" t="str">
        <f t="shared" ca="1" si="57"/>
        <v/>
      </c>
      <c r="H908" t="str">
        <f t="shared" ca="1" si="58"/>
        <v/>
      </c>
      <c r="I908" t="str">
        <f t="shared" ca="1" si="59"/>
        <v/>
      </c>
    </row>
    <row r="909" spans="1:9" x14ac:dyDescent="0.25">
      <c r="A909" s="1"/>
      <c r="D909" t="str" cm="1">
        <f t="array" aca="1" ref="D909" ca="1">IF(OR(COUNTIF(damper_names,_xlfn.CONCAT("D_S_",C909))=1, COUNTIF(damper_names,_xlfn.CONCAT("D_E_",C909))=1), "C", "")</f>
        <v/>
      </c>
      <c r="E909" t="str">
        <f t="shared" ca="1" si="55"/>
        <v/>
      </c>
      <c r="F909" t="str">
        <f t="shared" ca="1" si="56"/>
        <v/>
      </c>
      <c r="G909" t="str">
        <f t="shared" ca="1" si="57"/>
        <v/>
      </c>
      <c r="H909" t="str">
        <f t="shared" ca="1" si="58"/>
        <v/>
      </c>
      <c r="I909" t="str">
        <f t="shared" ca="1" si="59"/>
        <v/>
      </c>
    </row>
    <row r="910" spans="1:9" x14ac:dyDescent="0.25">
      <c r="A910" s="1"/>
      <c r="D910" t="str" cm="1">
        <f t="array" aca="1" ref="D910" ca="1">IF(OR(COUNTIF(damper_names,_xlfn.CONCAT("D_S_",C910))=1, COUNTIF(damper_names,_xlfn.CONCAT("D_E_",C910))=1), "C", "")</f>
        <v/>
      </c>
      <c r="E910" t="str">
        <f t="shared" ca="1" si="55"/>
        <v/>
      </c>
      <c r="F910" t="str">
        <f t="shared" ca="1" si="56"/>
        <v/>
      </c>
      <c r="G910" t="str">
        <f t="shared" ca="1" si="57"/>
        <v/>
      </c>
      <c r="H910" t="str">
        <f t="shared" ca="1" si="58"/>
        <v/>
      </c>
      <c r="I910" t="str">
        <f t="shared" ca="1" si="59"/>
        <v/>
      </c>
    </row>
    <row r="911" spans="1:9" x14ac:dyDescent="0.25">
      <c r="A911" s="1"/>
      <c r="D911" t="str" cm="1">
        <f t="array" aca="1" ref="D911" ca="1">IF(OR(COUNTIF(damper_names,_xlfn.CONCAT("D_S_",C911))=1, COUNTIF(damper_names,_xlfn.CONCAT("D_E_",C911))=1), "C", "")</f>
        <v/>
      </c>
      <c r="E911" t="str">
        <f t="shared" ca="1" si="55"/>
        <v/>
      </c>
      <c r="F911" t="str">
        <f t="shared" ca="1" si="56"/>
        <v/>
      </c>
      <c r="G911" t="str">
        <f t="shared" ca="1" si="57"/>
        <v/>
      </c>
      <c r="H911" t="str">
        <f t="shared" ca="1" si="58"/>
        <v/>
      </c>
      <c r="I911" t="str">
        <f t="shared" ca="1" si="59"/>
        <v/>
      </c>
    </row>
    <row r="912" spans="1:9" x14ac:dyDescent="0.25">
      <c r="A912" s="1"/>
      <c r="D912" t="str" cm="1">
        <f t="array" aca="1" ref="D912" ca="1">IF(OR(COUNTIF(damper_names,_xlfn.CONCAT("D_S_",C912))=1, COUNTIF(damper_names,_xlfn.CONCAT("D_E_",C912))=1), "C", "")</f>
        <v/>
      </c>
      <c r="E912" t="str">
        <f t="shared" ca="1" si="55"/>
        <v/>
      </c>
      <c r="F912" t="str">
        <f t="shared" ca="1" si="56"/>
        <v/>
      </c>
      <c r="G912" t="str">
        <f t="shared" ca="1" si="57"/>
        <v/>
      </c>
      <c r="H912" t="str">
        <f t="shared" ca="1" si="58"/>
        <v/>
      </c>
      <c r="I912" t="str">
        <f t="shared" ca="1" si="59"/>
        <v/>
      </c>
    </row>
    <row r="913" spans="1:9" x14ac:dyDescent="0.25">
      <c r="A913" s="1"/>
      <c r="D913" t="str" cm="1">
        <f t="array" aca="1" ref="D913" ca="1">IF(OR(COUNTIF(damper_names,_xlfn.CONCAT("D_S_",C913))=1, COUNTIF(damper_names,_xlfn.CONCAT("D_E_",C913))=1), "C", "")</f>
        <v/>
      </c>
      <c r="E913" t="str">
        <f t="shared" ca="1" si="55"/>
        <v/>
      </c>
      <c r="F913" t="str">
        <f t="shared" ca="1" si="56"/>
        <v/>
      </c>
      <c r="G913" t="str">
        <f t="shared" ca="1" si="57"/>
        <v/>
      </c>
      <c r="H913" t="str">
        <f t="shared" ca="1" si="58"/>
        <v/>
      </c>
      <c r="I913" t="str">
        <f t="shared" ca="1" si="59"/>
        <v/>
      </c>
    </row>
    <row r="914" spans="1:9" x14ac:dyDescent="0.25">
      <c r="A914" s="1"/>
      <c r="D914" t="str" cm="1">
        <f t="array" aca="1" ref="D914" ca="1">IF(OR(COUNTIF(damper_names,_xlfn.CONCAT("D_S_",C914))=1, COUNTIF(damper_names,_xlfn.CONCAT("D_E_",C914))=1), "C", "")</f>
        <v/>
      </c>
      <c r="E914" t="str">
        <f t="shared" ca="1" si="55"/>
        <v/>
      </c>
      <c r="F914" t="str">
        <f t="shared" ca="1" si="56"/>
        <v/>
      </c>
      <c r="G914" t="str">
        <f t="shared" ca="1" si="57"/>
        <v/>
      </c>
      <c r="H914" t="str">
        <f t="shared" ca="1" si="58"/>
        <v/>
      </c>
      <c r="I914" t="str">
        <f t="shared" ca="1" si="59"/>
        <v/>
      </c>
    </row>
    <row r="915" spans="1:9" x14ac:dyDescent="0.25">
      <c r="A915" s="1"/>
      <c r="D915" t="str" cm="1">
        <f t="array" aca="1" ref="D915" ca="1">IF(OR(COUNTIF(damper_names,_xlfn.CONCAT("D_S_",C915))=1, COUNTIF(damper_names,_xlfn.CONCAT("D_E_",C915))=1), "C", "")</f>
        <v/>
      </c>
      <c r="E915" t="str">
        <f t="shared" ca="1" si="55"/>
        <v/>
      </c>
      <c r="F915" t="str">
        <f t="shared" ca="1" si="56"/>
        <v/>
      </c>
      <c r="G915" t="str">
        <f t="shared" ca="1" si="57"/>
        <v/>
      </c>
      <c r="H915" t="str">
        <f t="shared" ca="1" si="58"/>
        <v/>
      </c>
      <c r="I915" t="str">
        <f t="shared" ca="1" si="59"/>
        <v/>
      </c>
    </row>
    <row r="916" spans="1:9" x14ac:dyDescent="0.25">
      <c r="A916" s="1"/>
      <c r="D916" t="str" cm="1">
        <f t="array" aca="1" ref="D916" ca="1">IF(OR(COUNTIF(damper_names,_xlfn.CONCAT("D_S_",C916))=1, COUNTIF(damper_names,_xlfn.CONCAT("D_E_",C916))=1), "C", "")</f>
        <v/>
      </c>
      <c r="E916" t="str">
        <f t="shared" ca="1" si="55"/>
        <v/>
      </c>
      <c r="F916" t="str">
        <f t="shared" ca="1" si="56"/>
        <v/>
      </c>
      <c r="G916" t="str">
        <f t="shared" ca="1" si="57"/>
        <v/>
      </c>
      <c r="H916" t="str">
        <f t="shared" ca="1" si="58"/>
        <v/>
      </c>
      <c r="I916" t="str">
        <f t="shared" ca="1" si="59"/>
        <v/>
      </c>
    </row>
    <row r="917" spans="1:9" x14ac:dyDescent="0.25">
      <c r="A917" s="1"/>
      <c r="D917" t="str" cm="1">
        <f t="array" aca="1" ref="D917" ca="1">IF(OR(COUNTIF(damper_names,_xlfn.CONCAT("D_S_",C917))=1, COUNTIF(damper_names,_xlfn.CONCAT("D_E_",C917))=1), "C", "")</f>
        <v/>
      </c>
      <c r="E917" t="str">
        <f t="shared" ca="1" si="55"/>
        <v/>
      </c>
      <c r="F917" t="str">
        <f t="shared" ca="1" si="56"/>
        <v/>
      </c>
      <c r="G917" t="str">
        <f t="shared" ca="1" si="57"/>
        <v/>
      </c>
      <c r="H917" t="str">
        <f t="shared" ca="1" si="58"/>
        <v/>
      </c>
      <c r="I917" t="str">
        <f t="shared" ca="1" si="59"/>
        <v/>
      </c>
    </row>
    <row r="918" spans="1:9" x14ac:dyDescent="0.25">
      <c r="A918" s="1"/>
      <c r="D918" t="str" cm="1">
        <f t="array" aca="1" ref="D918" ca="1">IF(OR(COUNTIF(damper_names,_xlfn.CONCAT("D_S_",C918))=1, COUNTIF(damper_names,_xlfn.CONCAT("D_E_",C918))=1), "C", "")</f>
        <v/>
      </c>
      <c r="E918" t="str">
        <f t="shared" ca="1" si="55"/>
        <v/>
      </c>
      <c r="F918" t="str">
        <f t="shared" ca="1" si="56"/>
        <v/>
      </c>
      <c r="G918" t="str">
        <f t="shared" ca="1" si="57"/>
        <v/>
      </c>
      <c r="H918" t="str">
        <f t="shared" ca="1" si="58"/>
        <v/>
      </c>
      <c r="I918" t="str">
        <f t="shared" ca="1" si="59"/>
        <v/>
      </c>
    </row>
    <row r="919" spans="1:9" x14ac:dyDescent="0.25">
      <c r="A919" s="1"/>
      <c r="D919" t="str" cm="1">
        <f t="array" aca="1" ref="D919" ca="1">IF(OR(COUNTIF(damper_names,_xlfn.CONCAT("D_S_",C919))=1, COUNTIF(damper_names,_xlfn.CONCAT("D_E_",C919))=1), "C", "")</f>
        <v/>
      </c>
      <c r="E919" t="str">
        <f t="shared" ca="1" si="55"/>
        <v/>
      </c>
      <c r="F919" t="str">
        <f t="shared" ca="1" si="56"/>
        <v/>
      </c>
      <c r="G919" t="str">
        <f t="shared" ca="1" si="57"/>
        <v/>
      </c>
      <c r="H919" t="str">
        <f t="shared" ca="1" si="58"/>
        <v/>
      </c>
      <c r="I919" t="str">
        <f t="shared" ca="1" si="59"/>
        <v/>
      </c>
    </row>
    <row r="920" spans="1:9" x14ac:dyDescent="0.25">
      <c r="A920" s="1"/>
      <c r="D920" t="str" cm="1">
        <f t="array" aca="1" ref="D920" ca="1">IF(OR(COUNTIF(damper_names,_xlfn.CONCAT("D_S_",C920))=1, COUNTIF(damper_names,_xlfn.CONCAT("D_E_",C920))=1), "C", "")</f>
        <v/>
      </c>
      <c r="E920" t="str">
        <f t="shared" ca="1" si="55"/>
        <v/>
      </c>
      <c r="F920" t="str">
        <f t="shared" ca="1" si="56"/>
        <v/>
      </c>
      <c r="G920" t="str">
        <f t="shared" ca="1" si="57"/>
        <v/>
      </c>
      <c r="H920" t="str">
        <f t="shared" ca="1" si="58"/>
        <v/>
      </c>
      <c r="I920" t="str">
        <f t="shared" ca="1" si="59"/>
        <v/>
      </c>
    </row>
    <row r="921" spans="1:9" x14ac:dyDescent="0.25">
      <c r="A921" s="1"/>
      <c r="D921" t="str" cm="1">
        <f t="array" aca="1" ref="D921" ca="1">IF(OR(COUNTIF(damper_names,_xlfn.CONCAT("D_S_",C921))=1, COUNTIF(damper_names,_xlfn.CONCAT("D_E_",C921))=1), "C", "")</f>
        <v/>
      </c>
      <c r="E921" t="str">
        <f t="shared" ca="1" si="55"/>
        <v/>
      </c>
      <c r="F921" t="str">
        <f t="shared" ca="1" si="56"/>
        <v/>
      </c>
      <c r="G921" t="str">
        <f t="shared" ca="1" si="57"/>
        <v/>
      </c>
      <c r="H921" t="str">
        <f t="shared" ca="1" si="58"/>
        <v/>
      </c>
      <c r="I921" t="str">
        <f t="shared" ca="1" si="59"/>
        <v/>
      </c>
    </row>
    <row r="922" spans="1:9" x14ac:dyDescent="0.25">
      <c r="A922" s="1"/>
      <c r="D922" t="str" cm="1">
        <f t="array" aca="1" ref="D922" ca="1">IF(OR(COUNTIF(damper_names,_xlfn.CONCAT("D_S_",C922))=1, COUNTIF(damper_names,_xlfn.CONCAT("D_E_",C922))=1), "C", "")</f>
        <v/>
      </c>
      <c r="E922" t="str">
        <f t="shared" ca="1" si="55"/>
        <v/>
      </c>
      <c r="F922" t="str">
        <f t="shared" ca="1" si="56"/>
        <v/>
      </c>
      <c r="G922" t="str">
        <f t="shared" ca="1" si="57"/>
        <v/>
      </c>
      <c r="H922" t="str">
        <f t="shared" ca="1" si="58"/>
        <v/>
      </c>
      <c r="I922" t="str">
        <f t="shared" ca="1" si="59"/>
        <v/>
      </c>
    </row>
    <row r="923" spans="1:9" x14ac:dyDescent="0.25">
      <c r="A923" s="1"/>
      <c r="D923" t="str" cm="1">
        <f t="array" aca="1" ref="D923" ca="1">IF(OR(COUNTIF(damper_names,_xlfn.CONCAT("D_S_",C923))=1, COUNTIF(damper_names,_xlfn.CONCAT("D_E_",C923))=1), "C", "")</f>
        <v/>
      </c>
      <c r="E923" t="str">
        <f t="shared" ca="1" si="55"/>
        <v/>
      </c>
      <c r="F923" t="str">
        <f t="shared" ca="1" si="56"/>
        <v/>
      </c>
      <c r="G923" t="str">
        <f t="shared" ca="1" si="57"/>
        <v/>
      </c>
      <c r="H923" t="str">
        <f t="shared" ca="1" si="58"/>
        <v/>
      </c>
      <c r="I923" t="str">
        <f t="shared" ca="1" si="59"/>
        <v/>
      </c>
    </row>
    <row r="924" spans="1:9" x14ac:dyDescent="0.25">
      <c r="A924" s="1"/>
      <c r="D924" t="str" cm="1">
        <f t="array" aca="1" ref="D924" ca="1">IF(OR(COUNTIF(damper_names,_xlfn.CONCAT("D_S_",C924))=1, COUNTIF(damper_names,_xlfn.CONCAT("D_E_",C924))=1), "C", "")</f>
        <v/>
      </c>
      <c r="E924" t="str">
        <f t="shared" ca="1" si="55"/>
        <v/>
      </c>
      <c r="F924" t="str">
        <f t="shared" ca="1" si="56"/>
        <v/>
      </c>
      <c r="G924" t="str">
        <f t="shared" ca="1" si="57"/>
        <v/>
      </c>
      <c r="H924" t="str">
        <f t="shared" ca="1" si="58"/>
        <v/>
      </c>
      <c r="I924" t="str">
        <f t="shared" ca="1" si="59"/>
        <v/>
      </c>
    </row>
    <row r="925" spans="1:9" x14ac:dyDescent="0.25">
      <c r="A925" s="1"/>
      <c r="D925" t="str" cm="1">
        <f t="array" aca="1" ref="D925" ca="1">IF(OR(COUNTIF(damper_names,_xlfn.CONCAT("D_S_",C925))=1, COUNTIF(damper_names,_xlfn.CONCAT("D_E_",C925))=1), "C", "")</f>
        <v/>
      </c>
      <c r="E925" t="str">
        <f t="shared" ca="1" si="55"/>
        <v/>
      </c>
      <c r="F925" t="str">
        <f t="shared" ca="1" si="56"/>
        <v/>
      </c>
      <c r="G925" t="str">
        <f t="shared" ca="1" si="57"/>
        <v/>
      </c>
      <c r="H925" t="str">
        <f t="shared" ca="1" si="58"/>
        <v/>
      </c>
      <c r="I925" t="str">
        <f t="shared" ca="1" si="59"/>
        <v/>
      </c>
    </row>
    <row r="926" spans="1:9" x14ac:dyDescent="0.25">
      <c r="A926" s="1"/>
      <c r="D926" t="str" cm="1">
        <f t="array" aca="1" ref="D926" ca="1">IF(OR(COUNTIF(damper_names,_xlfn.CONCAT("D_S_",C926))=1, COUNTIF(damper_names,_xlfn.CONCAT("D_E_",C926))=1), "C", "")</f>
        <v/>
      </c>
      <c r="E926" t="str">
        <f t="shared" ca="1" si="55"/>
        <v/>
      </c>
      <c r="F926" t="str">
        <f t="shared" ca="1" si="56"/>
        <v/>
      </c>
      <c r="G926" t="str">
        <f t="shared" ca="1" si="57"/>
        <v/>
      </c>
      <c r="H926" t="str">
        <f t="shared" ca="1" si="58"/>
        <v/>
      </c>
      <c r="I926" t="str">
        <f t="shared" ca="1" si="59"/>
        <v/>
      </c>
    </row>
    <row r="927" spans="1:9" x14ac:dyDescent="0.25">
      <c r="A927" s="1"/>
      <c r="D927" t="str" cm="1">
        <f t="array" aca="1" ref="D927" ca="1">IF(OR(COUNTIF(damper_names,_xlfn.CONCAT("D_S_",C927))=1, COUNTIF(damper_names,_xlfn.CONCAT("D_E_",C927))=1), "C", "")</f>
        <v/>
      </c>
      <c r="E927" t="str">
        <f t="shared" ca="1" si="55"/>
        <v/>
      </c>
      <c r="F927" t="str">
        <f t="shared" ca="1" si="56"/>
        <v/>
      </c>
      <c r="G927" t="str">
        <f t="shared" ca="1" si="57"/>
        <v/>
      </c>
      <c r="H927" t="str">
        <f t="shared" ca="1" si="58"/>
        <v/>
      </c>
      <c r="I927" t="str">
        <f t="shared" ca="1" si="59"/>
        <v/>
      </c>
    </row>
    <row r="928" spans="1:9" x14ac:dyDescent="0.25">
      <c r="A928" s="1"/>
      <c r="D928" t="str" cm="1">
        <f t="array" aca="1" ref="D928" ca="1">IF(OR(COUNTIF(damper_names,_xlfn.CONCAT("D_S_",C928))=1, COUNTIF(damper_names,_xlfn.CONCAT("D_E_",C928))=1), "C", "")</f>
        <v/>
      </c>
      <c r="E928" t="str">
        <f t="shared" ca="1" si="55"/>
        <v/>
      </c>
      <c r="F928" t="str">
        <f t="shared" ca="1" si="56"/>
        <v/>
      </c>
      <c r="G928" t="str">
        <f t="shared" ca="1" si="57"/>
        <v/>
      </c>
      <c r="H928" t="str">
        <f t="shared" ca="1" si="58"/>
        <v/>
      </c>
      <c r="I928" t="str">
        <f t="shared" ca="1" si="59"/>
        <v/>
      </c>
    </row>
    <row r="929" spans="1:9" x14ac:dyDescent="0.25">
      <c r="A929" s="1"/>
      <c r="D929" t="str" cm="1">
        <f t="array" aca="1" ref="D929" ca="1">IF(OR(COUNTIF(damper_names,_xlfn.CONCAT("D_S_",C929))=1, COUNTIF(damper_names,_xlfn.CONCAT("D_E_",C929))=1), "C", "")</f>
        <v/>
      </c>
      <c r="E929" t="str">
        <f t="shared" ca="1" si="55"/>
        <v/>
      </c>
      <c r="F929" t="str">
        <f t="shared" ca="1" si="56"/>
        <v/>
      </c>
      <c r="G929" t="str">
        <f t="shared" ca="1" si="57"/>
        <v/>
      </c>
      <c r="H929" t="str">
        <f t="shared" ca="1" si="58"/>
        <v/>
      </c>
      <c r="I929" t="str">
        <f t="shared" ca="1" si="59"/>
        <v/>
      </c>
    </row>
    <row r="930" spans="1:9" x14ac:dyDescent="0.25">
      <c r="A930" s="1"/>
      <c r="D930" t="str" cm="1">
        <f t="array" aca="1" ref="D930" ca="1">IF(OR(COUNTIF(damper_names,_xlfn.CONCAT("D_S_",C930))=1, COUNTIF(damper_names,_xlfn.CONCAT("D_E_",C930))=1), "C", "")</f>
        <v/>
      </c>
      <c r="E930" t="str">
        <f t="shared" ca="1" si="55"/>
        <v/>
      </c>
      <c r="F930" t="str">
        <f t="shared" ca="1" si="56"/>
        <v/>
      </c>
      <c r="G930" t="str">
        <f t="shared" ca="1" si="57"/>
        <v/>
      </c>
      <c r="H930" t="str">
        <f t="shared" ca="1" si="58"/>
        <v/>
      </c>
      <c r="I930" t="str">
        <f t="shared" ca="1" si="59"/>
        <v/>
      </c>
    </row>
    <row r="931" spans="1:9" x14ac:dyDescent="0.25">
      <c r="A931" s="1"/>
      <c r="D931" t="str" cm="1">
        <f t="array" aca="1" ref="D931" ca="1">IF(OR(COUNTIF(damper_names,_xlfn.CONCAT("D_S_",C931))=1, COUNTIF(damper_names,_xlfn.CONCAT("D_E_",C931))=1), "C", "")</f>
        <v/>
      </c>
      <c r="E931" t="str">
        <f t="shared" ca="1" si="55"/>
        <v/>
      </c>
      <c r="F931" t="str">
        <f t="shared" ca="1" si="56"/>
        <v/>
      </c>
      <c r="G931" t="str">
        <f t="shared" ca="1" si="57"/>
        <v/>
      </c>
      <c r="H931" t="str">
        <f t="shared" ca="1" si="58"/>
        <v/>
      </c>
      <c r="I931" t="str">
        <f t="shared" ca="1" si="59"/>
        <v/>
      </c>
    </row>
    <row r="932" spans="1:9" x14ac:dyDescent="0.25">
      <c r="A932" s="1"/>
      <c r="D932" t="str" cm="1">
        <f t="array" aca="1" ref="D932" ca="1">IF(OR(COUNTIF(damper_names,_xlfn.CONCAT("D_S_",C932))=1, COUNTIF(damper_names,_xlfn.CONCAT("D_E_",C932))=1), "C", "")</f>
        <v/>
      </c>
      <c r="E932" t="str">
        <f t="shared" ca="1" si="55"/>
        <v/>
      </c>
      <c r="F932" t="str">
        <f t="shared" ca="1" si="56"/>
        <v/>
      </c>
      <c r="G932" t="str">
        <f t="shared" ca="1" si="57"/>
        <v/>
      </c>
      <c r="H932" t="str">
        <f t="shared" ca="1" si="58"/>
        <v/>
      </c>
      <c r="I932" t="str">
        <f t="shared" ca="1" si="59"/>
        <v/>
      </c>
    </row>
    <row r="933" spans="1:9" x14ac:dyDescent="0.25">
      <c r="A933" s="1"/>
      <c r="D933" t="str" cm="1">
        <f t="array" aca="1" ref="D933" ca="1">IF(OR(COUNTIF(damper_names,_xlfn.CONCAT("D_S_",C933))=1, COUNTIF(damper_names,_xlfn.CONCAT("D_E_",C933))=1), "C", "")</f>
        <v/>
      </c>
      <c r="E933" t="str">
        <f t="shared" ca="1" si="55"/>
        <v/>
      </c>
      <c r="F933" t="str">
        <f t="shared" ca="1" si="56"/>
        <v/>
      </c>
      <c r="G933" t="str">
        <f t="shared" ca="1" si="57"/>
        <v/>
      </c>
      <c r="H933" t="str">
        <f t="shared" ca="1" si="58"/>
        <v/>
      </c>
      <c r="I933" t="str">
        <f t="shared" ca="1" si="59"/>
        <v/>
      </c>
    </row>
    <row r="934" spans="1:9" x14ac:dyDescent="0.25">
      <c r="A934" s="1"/>
      <c r="D934" t="str" cm="1">
        <f t="array" aca="1" ref="D934" ca="1">IF(OR(COUNTIF(damper_names,_xlfn.CONCAT("D_S_",C934))=1, COUNTIF(damper_names,_xlfn.CONCAT("D_E_",C934))=1), "C", "")</f>
        <v/>
      </c>
      <c r="E934" t="str">
        <f t="shared" ca="1" si="55"/>
        <v/>
      </c>
      <c r="F934" t="str">
        <f t="shared" ca="1" si="56"/>
        <v/>
      </c>
      <c r="G934" t="str">
        <f t="shared" ca="1" si="57"/>
        <v/>
      </c>
      <c r="H934" t="str">
        <f t="shared" ca="1" si="58"/>
        <v/>
      </c>
      <c r="I934" t="str">
        <f t="shared" ca="1" si="59"/>
        <v/>
      </c>
    </row>
    <row r="935" spans="1:9" x14ac:dyDescent="0.25">
      <c r="A935" s="1"/>
      <c r="D935" t="str" cm="1">
        <f t="array" aca="1" ref="D935" ca="1">IF(OR(COUNTIF(damper_names,_xlfn.CONCAT("D_S_",C935))=1, COUNTIF(damper_names,_xlfn.CONCAT("D_E_",C935))=1), "C", "")</f>
        <v/>
      </c>
      <c r="E935" t="str">
        <f t="shared" ca="1" si="55"/>
        <v/>
      </c>
      <c r="F935" t="str">
        <f t="shared" ca="1" si="56"/>
        <v/>
      </c>
      <c r="G935" t="str">
        <f t="shared" ca="1" si="57"/>
        <v/>
      </c>
      <c r="H935" t="str">
        <f t="shared" ca="1" si="58"/>
        <v/>
      </c>
      <c r="I935" t="str">
        <f t="shared" ca="1" si="59"/>
        <v/>
      </c>
    </row>
    <row r="936" spans="1:9" x14ac:dyDescent="0.25">
      <c r="A936" s="1"/>
      <c r="D936" t="str" cm="1">
        <f t="array" aca="1" ref="D936" ca="1">IF(OR(COUNTIF(damper_names,_xlfn.CONCAT("D_S_",C936))=1, COUNTIF(damper_names,_xlfn.CONCAT("D_E_",C936))=1), "C", "")</f>
        <v/>
      </c>
      <c r="E936" t="str">
        <f t="shared" ca="1" si="55"/>
        <v/>
      </c>
      <c r="F936" t="str">
        <f t="shared" ca="1" si="56"/>
        <v/>
      </c>
      <c r="G936" t="str">
        <f t="shared" ca="1" si="57"/>
        <v/>
      </c>
      <c r="H936" t="str">
        <f t="shared" ca="1" si="58"/>
        <v/>
      </c>
      <c r="I936" t="str">
        <f t="shared" ca="1" si="59"/>
        <v/>
      </c>
    </row>
    <row r="937" spans="1:9" x14ac:dyDescent="0.25">
      <c r="A937" s="1"/>
      <c r="D937" t="str" cm="1">
        <f t="array" aca="1" ref="D937" ca="1">IF(OR(COUNTIF(damper_names,_xlfn.CONCAT("D_S_",C937))=1, COUNTIF(damper_names,_xlfn.CONCAT("D_E_",C937))=1), "C", "")</f>
        <v/>
      </c>
      <c r="E937" t="str">
        <f t="shared" ca="1" si="55"/>
        <v/>
      </c>
      <c r="F937" t="str">
        <f t="shared" ca="1" si="56"/>
        <v/>
      </c>
      <c r="G937" t="str">
        <f t="shared" ca="1" si="57"/>
        <v/>
      </c>
      <c r="H937" t="str">
        <f t="shared" ca="1" si="58"/>
        <v/>
      </c>
      <c r="I937" t="str">
        <f t="shared" ca="1" si="59"/>
        <v/>
      </c>
    </row>
    <row r="938" spans="1:9" x14ac:dyDescent="0.25">
      <c r="A938" s="1"/>
      <c r="D938" t="str" cm="1">
        <f t="array" aca="1" ref="D938" ca="1">IF(OR(COUNTIF(damper_names,_xlfn.CONCAT("D_S_",C938))=1, COUNTIF(damper_names,_xlfn.CONCAT("D_E_",C938))=1), "C", "")</f>
        <v/>
      </c>
      <c r="E938" t="str">
        <f t="shared" ca="1" si="55"/>
        <v/>
      </c>
      <c r="F938" t="str">
        <f t="shared" ca="1" si="56"/>
        <v/>
      </c>
      <c r="G938" t="str">
        <f t="shared" ca="1" si="57"/>
        <v/>
      </c>
      <c r="H938" t="str">
        <f t="shared" ca="1" si="58"/>
        <v/>
      </c>
      <c r="I938" t="str">
        <f t="shared" ca="1" si="59"/>
        <v/>
      </c>
    </row>
    <row r="939" spans="1:9" x14ac:dyDescent="0.25">
      <c r="A939" s="1"/>
      <c r="D939" t="str" cm="1">
        <f t="array" aca="1" ref="D939" ca="1">IF(OR(COUNTIF(damper_names,_xlfn.CONCAT("D_S_",C939))=1, COUNTIF(damper_names,_xlfn.CONCAT("D_E_",C939))=1), "C", "")</f>
        <v/>
      </c>
      <c r="E939" t="str">
        <f t="shared" ca="1" si="55"/>
        <v/>
      </c>
      <c r="F939" t="str">
        <f t="shared" ca="1" si="56"/>
        <v/>
      </c>
      <c r="G939" t="str">
        <f t="shared" ca="1" si="57"/>
        <v/>
      </c>
      <c r="H939" t="str">
        <f t="shared" ca="1" si="58"/>
        <v/>
      </c>
      <c r="I939" t="str">
        <f t="shared" ca="1" si="59"/>
        <v/>
      </c>
    </row>
    <row r="940" spans="1:9" x14ac:dyDescent="0.25">
      <c r="A940" s="1"/>
      <c r="D940" t="str" cm="1">
        <f t="array" aca="1" ref="D940" ca="1">IF(OR(COUNTIF(damper_names,_xlfn.CONCAT("D_S_",C940))=1, COUNTIF(damper_names,_xlfn.CONCAT("D_E_",C940))=1), "C", "")</f>
        <v/>
      </c>
      <c r="E940" t="str">
        <f t="shared" ca="1" si="55"/>
        <v/>
      </c>
      <c r="F940" t="str">
        <f t="shared" ca="1" si="56"/>
        <v/>
      </c>
      <c r="G940" t="str">
        <f t="shared" ca="1" si="57"/>
        <v/>
      </c>
      <c r="H940" t="str">
        <f t="shared" ca="1" si="58"/>
        <v/>
      </c>
      <c r="I940" t="str">
        <f t="shared" ca="1" si="59"/>
        <v/>
      </c>
    </row>
    <row r="941" spans="1:9" x14ac:dyDescent="0.25">
      <c r="A941" s="1"/>
      <c r="D941" t="str" cm="1">
        <f t="array" aca="1" ref="D941" ca="1">IF(OR(COUNTIF(damper_names,_xlfn.CONCAT("D_S_",C941))=1, COUNTIF(damper_names,_xlfn.CONCAT("D_E_",C941))=1), "C", "")</f>
        <v/>
      </c>
      <c r="E941" t="str">
        <f t="shared" ca="1" si="55"/>
        <v/>
      </c>
      <c r="F941" t="str">
        <f t="shared" ca="1" si="56"/>
        <v/>
      </c>
      <c r="G941" t="str">
        <f t="shared" ca="1" si="57"/>
        <v/>
      </c>
      <c r="H941" t="str">
        <f t="shared" ca="1" si="58"/>
        <v/>
      </c>
      <c r="I941" t="str">
        <f t="shared" ca="1" si="59"/>
        <v/>
      </c>
    </row>
    <row r="942" spans="1:9" x14ac:dyDescent="0.25">
      <c r="A942" s="1"/>
      <c r="D942" t="str" cm="1">
        <f t="array" aca="1" ref="D942" ca="1">IF(OR(COUNTIF(damper_names,_xlfn.CONCAT("D_S_",C942))=1, COUNTIF(damper_names,_xlfn.CONCAT("D_E_",C942))=1), "C", "")</f>
        <v/>
      </c>
      <c r="E942" t="str">
        <f t="shared" ca="1" si="55"/>
        <v/>
      </c>
      <c r="F942" t="str">
        <f t="shared" ca="1" si="56"/>
        <v/>
      </c>
      <c r="G942" t="str">
        <f t="shared" ca="1" si="57"/>
        <v/>
      </c>
      <c r="H942" t="str">
        <f t="shared" ca="1" si="58"/>
        <v/>
      </c>
      <c r="I942" t="str">
        <f t="shared" ca="1" si="59"/>
        <v/>
      </c>
    </row>
    <row r="943" spans="1:9" x14ac:dyDescent="0.25">
      <c r="A943" s="1"/>
      <c r="D943" t="str" cm="1">
        <f t="array" aca="1" ref="D943" ca="1">IF(OR(COUNTIF(damper_names,_xlfn.CONCAT("D_S_",C943))=1, COUNTIF(damper_names,_xlfn.CONCAT("D_E_",C943))=1), "C", "")</f>
        <v/>
      </c>
      <c r="E943" t="str">
        <f t="shared" ca="1" si="55"/>
        <v/>
      </c>
      <c r="F943" t="str">
        <f t="shared" ca="1" si="56"/>
        <v/>
      </c>
      <c r="G943" t="str">
        <f t="shared" ca="1" si="57"/>
        <v/>
      </c>
      <c r="H943" t="str">
        <f t="shared" ca="1" si="58"/>
        <v/>
      </c>
      <c r="I943" t="str">
        <f t="shared" ca="1" si="59"/>
        <v/>
      </c>
    </row>
    <row r="944" spans="1:9" x14ac:dyDescent="0.25">
      <c r="A944" s="1"/>
      <c r="D944" t="str" cm="1">
        <f t="array" aca="1" ref="D944" ca="1">IF(OR(COUNTIF(damper_names,_xlfn.CONCAT("D_S_",C944))=1, COUNTIF(damper_names,_xlfn.CONCAT("D_E_",C944))=1), "C", "")</f>
        <v/>
      </c>
      <c r="E944" t="str">
        <f t="shared" ca="1" si="55"/>
        <v/>
      </c>
      <c r="F944" t="str">
        <f t="shared" ca="1" si="56"/>
        <v/>
      </c>
      <c r="G944" t="str">
        <f t="shared" ca="1" si="57"/>
        <v/>
      </c>
      <c r="H944" t="str">
        <f t="shared" ca="1" si="58"/>
        <v/>
      </c>
      <c r="I944" t="str">
        <f t="shared" ca="1" si="59"/>
        <v/>
      </c>
    </row>
    <row r="945" spans="1:9" x14ac:dyDescent="0.25">
      <c r="A945" s="1"/>
      <c r="D945" t="str" cm="1">
        <f t="array" aca="1" ref="D945" ca="1">IF(OR(COUNTIF(damper_names,_xlfn.CONCAT("D_S_",C945))=1, COUNTIF(damper_names,_xlfn.CONCAT("D_E_",C945))=1), "C", "")</f>
        <v/>
      </c>
      <c r="E945" t="str">
        <f t="shared" ca="1" si="55"/>
        <v/>
      </c>
      <c r="F945" t="str">
        <f t="shared" ca="1" si="56"/>
        <v/>
      </c>
      <c r="G945" t="str">
        <f t="shared" ca="1" si="57"/>
        <v/>
      </c>
      <c r="H945" t="str">
        <f t="shared" ca="1" si="58"/>
        <v/>
      </c>
      <c r="I945" t="str">
        <f t="shared" ca="1" si="59"/>
        <v/>
      </c>
    </row>
    <row r="946" spans="1:9" x14ac:dyDescent="0.25">
      <c r="A946" s="1"/>
      <c r="D946" t="str" cm="1">
        <f t="array" aca="1" ref="D946" ca="1">IF(OR(COUNTIF(damper_names,_xlfn.CONCAT("D_S_",C946))=1, COUNTIF(damper_names,_xlfn.CONCAT("D_E_",C946))=1), "C", "")</f>
        <v/>
      </c>
      <c r="E946" t="str">
        <f t="shared" ca="1" si="55"/>
        <v/>
      </c>
      <c r="F946" t="str">
        <f t="shared" ca="1" si="56"/>
        <v/>
      </c>
      <c r="G946" t="str">
        <f t="shared" ca="1" si="57"/>
        <v/>
      </c>
      <c r="H946" t="str">
        <f t="shared" ca="1" si="58"/>
        <v/>
      </c>
      <c r="I946" t="str">
        <f t="shared" ca="1" si="59"/>
        <v/>
      </c>
    </row>
    <row r="947" spans="1:9" x14ac:dyDescent="0.25">
      <c r="A947" s="1"/>
      <c r="D947" t="str" cm="1">
        <f t="array" aca="1" ref="D947" ca="1">IF(OR(COUNTIF(damper_names,_xlfn.CONCAT("D_S_",C947))=1, COUNTIF(damper_names,_xlfn.CONCAT("D_E_",C947))=1), "C", "")</f>
        <v/>
      </c>
      <c r="E947" t="str">
        <f t="shared" ref="E947:E1000" ca="1" si="60">IF(D947="T", 0.05, IF(D947="C", -0.01, ""))</f>
        <v/>
      </c>
      <c r="F947" t="str">
        <f t="shared" ref="F947:F1000" ca="1" si="61">IF(D947="T", 0.05, IF(D947="C", 0, ""))</f>
        <v/>
      </c>
      <c r="G947" t="str">
        <f t="shared" ref="G947:G1000" ca="1" si="62">IF(D947="T", 0, IF(D947="C", 0, ""))</f>
        <v/>
      </c>
      <c r="H947" t="str">
        <f t="shared" ref="H947:H1000" ca="1" si="63">IF(D947="T", 0.05, IF(D947="C", 0, ""))</f>
        <v/>
      </c>
      <c r="I947" t="str">
        <f t="shared" ref="I947:I1000" ca="1" si="64">IF(D947="T", 0, IF(D947="C", 0, ""))</f>
        <v/>
      </c>
    </row>
    <row r="948" spans="1:9" x14ac:dyDescent="0.25">
      <c r="A948" s="1"/>
      <c r="D948" t="str" cm="1">
        <f t="array" aca="1" ref="D948" ca="1">IF(OR(COUNTIF(damper_names,_xlfn.CONCAT("D_S_",C948))=1, COUNTIF(damper_names,_xlfn.CONCAT("D_E_",C948))=1), "C", "")</f>
        <v/>
      </c>
      <c r="E948" t="str">
        <f t="shared" ca="1" si="60"/>
        <v/>
      </c>
      <c r="F948" t="str">
        <f t="shared" ca="1" si="61"/>
        <v/>
      </c>
      <c r="G948" t="str">
        <f t="shared" ca="1" si="62"/>
        <v/>
      </c>
      <c r="H948" t="str">
        <f t="shared" ca="1" si="63"/>
        <v/>
      </c>
      <c r="I948" t="str">
        <f t="shared" ca="1" si="64"/>
        <v/>
      </c>
    </row>
    <row r="949" spans="1:9" x14ac:dyDescent="0.25">
      <c r="A949" s="1"/>
      <c r="D949" t="str" cm="1">
        <f t="array" aca="1" ref="D949" ca="1">IF(OR(COUNTIF(damper_names,_xlfn.CONCAT("D_S_",C949))=1, COUNTIF(damper_names,_xlfn.CONCAT("D_E_",C949))=1), "C", "")</f>
        <v/>
      </c>
      <c r="E949" t="str">
        <f t="shared" ca="1" si="60"/>
        <v/>
      </c>
      <c r="F949" t="str">
        <f t="shared" ca="1" si="61"/>
        <v/>
      </c>
      <c r="G949" t="str">
        <f t="shared" ca="1" si="62"/>
        <v/>
      </c>
      <c r="H949" t="str">
        <f t="shared" ca="1" si="63"/>
        <v/>
      </c>
      <c r="I949" t="str">
        <f t="shared" ca="1" si="64"/>
        <v/>
      </c>
    </row>
    <row r="950" spans="1:9" x14ac:dyDescent="0.25">
      <c r="A950" s="1"/>
      <c r="D950" t="str" cm="1">
        <f t="array" aca="1" ref="D950" ca="1">IF(OR(COUNTIF(damper_names,_xlfn.CONCAT("D_S_",C950))=1, COUNTIF(damper_names,_xlfn.CONCAT("D_E_",C950))=1), "C", "")</f>
        <v/>
      </c>
      <c r="E950" t="str">
        <f t="shared" ca="1" si="60"/>
        <v/>
      </c>
      <c r="F950" t="str">
        <f t="shared" ca="1" si="61"/>
        <v/>
      </c>
      <c r="G950" t="str">
        <f t="shared" ca="1" si="62"/>
        <v/>
      </c>
      <c r="H950" t="str">
        <f t="shared" ca="1" si="63"/>
        <v/>
      </c>
      <c r="I950" t="str">
        <f t="shared" ca="1" si="64"/>
        <v/>
      </c>
    </row>
    <row r="951" spans="1:9" x14ac:dyDescent="0.25">
      <c r="A951" s="1"/>
      <c r="D951" t="str" cm="1">
        <f t="array" aca="1" ref="D951" ca="1">IF(OR(COUNTIF(damper_names,_xlfn.CONCAT("D_S_",C951))=1, COUNTIF(damper_names,_xlfn.CONCAT("D_E_",C951))=1), "C", "")</f>
        <v/>
      </c>
      <c r="E951" t="str">
        <f t="shared" ca="1" si="60"/>
        <v/>
      </c>
      <c r="F951" t="str">
        <f t="shared" ca="1" si="61"/>
        <v/>
      </c>
      <c r="G951" t="str">
        <f t="shared" ca="1" si="62"/>
        <v/>
      </c>
      <c r="H951" t="str">
        <f t="shared" ca="1" si="63"/>
        <v/>
      </c>
      <c r="I951" t="str">
        <f t="shared" ca="1" si="64"/>
        <v/>
      </c>
    </row>
    <row r="952" spans="1:9" x14ac:dyDescent="0.25">
      <c r="A952" s="1"/>
      <c r="D952" t="str" cm="1">
        <f t="array" aca="1" ref="D952" ca="1">IF(OR(COUNTIF(damper_names,_xlfn.CONCAT("D_S_",C952))=1, COUNTIF(damper_names,_xlfn.CONCAT("D_E_",C952))=1), "C", "")</f>
        <v/>
      </c>
      <c r="E952" t="str">
        <f t="shared" ca="1" si="60"/>
        <v/>
      </c>
      <c r="F952" t="str">
        <f t="shared" ca="1" si="61"/>
        <v/>
      </c>
      <c r="G952" t="str">
        <f t="shared" ca="1" si="62"/>
        <v/>
      </c>
      <c r="H952" t="str">
        <f t="shared" ca="1" si="63"/>
        <v/>
      </c>
      <c r="I952" t="str">
        <f t="shared" ca="1" si="64"/>
        <v/>
      </c>
    </row>
    <row r="953" spans="1:9" x14ac:dyDescent="0.25">
      <c r="A953" s="1"/>
      <c r="D953" t="str" cm="1">
        <f t="array" aca="1" ref="D953" ca="1">IF(OR(COUNTIF(damper_names,_xlfn.CONCAT("D_S_",C953))=1, COUNTIF(damper_names,_xlfn.CONCAT("D_E_",C953))=1), "C", "")</f>
        <v/>
      </c>
      <c r="E953" t="str">
        <f t="shared" ca="1" si="60"/>
        <v/>
      </c>
      <c r="F953" t="str">
        <f t="shared" ca="1" si="61"/>
        <v/>
      </c>
      <c r="G953" t="str">
        <f t="shared" ca="1" si="62"/>
        <v/>
      </c>
      <c r="H953" t="str">
        <f t="shared" ca="1" si="63"/>
        <v/>
      </c>
      <c r="I953" t="str">
        <f t="shared" ca="1" si="64"/>
        <v/>
      </c>
    </row>
    <row r="954" spans="1:9" x14ac:dyDescent="0.25">
      <c r="A954" s="1"/>
      <c r="D954" t="str" cm="1">
        <f t="array" aca="1" ref="D954" ca="1">IF(OR(COUNTIF(damper_names,_xlfn.CONCAT("D_S_",C954))=1, COUNTIF(damper_names,_xlfn.CONCAT("D_E_",C954))=1), "C", "")</f>
        <v/>
      </c>
      <c r="E954" t="str">
        <f t="shared" ca="1" si="60"/>
        <v/>
      </c>
      <c r="F954" t="str">
        <f t="shared" ca="1" si="61"/>
        <v/>
      </c>
      <c r="G954" t="str">
        <f t="shared" ca="1" si="62"/>
        <v/>
      </c>
      <c r="H954" t="str">
        <f t="shared" ca="1" si="63"/>
        <v/>
      </c>
      <c r="I954" t="str">
        <f t="shared" ca="1" si="64"/>
        <v/>
      </c>
    </row>
    <row r="955" spans="1:9" x14ac:dyDescent="0.25">
      <c r="A955" s="1"/>
      <c r="D955" t="str" cm="1">
        <f t="array" aca="1" ref="D955" ca="1">IF(OR(COUNTIF(damper_names,_xlfn.CONCAT("D_S_",C955))=1, COUNTIF(damper_names,_xlfn.CONCAT("D_E_",C955))=1), "C", "")</f>
        <v/>
      </c>
      <c r="E955" t="str">
        <f t="shared" ca="1" si="60"/>
        <v/>
      </c>
      <c r="F955" t="str">
        <f t="shared" ca="1" si="61"/>
        <v/>
      </c>
      <c r="G955" t="str">
        <f t="shared" ca="1" si="62"/>
        <v/>
      </c>
      <c r="H955" t="str">
        <f t="shared" ca="1" si="63"/>
        <v/>
      </c>
      <c r="I955" t="str">
        <f t="shared" ca="1" si="64"/>
        <v/>
      </c>
    </row>
    <row r="956" spans="1:9" x14ac:dyDescent="0.25">
      <c r="A956" s="1"/>
      <c r="D956" t="str" cm="1">
        <f t="array" aca="1" ref="D956" ca="1">IF(OR(COUNTIF(damper_names,_xlfn.CONCAT("D_S_",C956))=1, COUNTIF(damper_names,_xlfn.CONCAT("D_E_",C956))=1), "C", "")</f>
        <v/>
      </c>
      <c r="E956" t="str">
        <f t="shared" ca="1" si="60"/>
        <v/>
      </c>
      <c r="F956" t="str">
        <f t="shared" ca="1" si="61"/>
        <v/>
      </c>
      <c r="G956" t="str">
        <f t="shared" ca="1" si="62"/>
        <v/>
      </c>
      <c r="H956" t="str">
        <f t="shared" ca="1" si="63"/>
        <v/>
      </c>
      <c r="I956" t="str">
        <f t="shared" ca="1" si="64"/>
        <v/>
      </c>
    </row>
    <row r="957" spans="1:9" x14ac:dyDescent="0.25">
      <c r="A957" s="1"/>
      <c r="D957" t="str" cm="1">
        <f t="array" aca="1" ref="D957" ca="1">IF(OR(COUNTIF(damper_names,_xlfn.CONCAT("D_S_",C957))=1, COUNTIF(damper_names,_xlfn.CONCAT("D_E_",C957))=1), "C", "")</f>
        <v/>
      </c>
      <c r="E957" t="str">
        <f t="shared" ca="1" si="60"/>
        <v/>
      </c>
      <c r="F957" t="str">
        <f t="shared" ca="1" si="61"/>
        <v/>
      </c>
      <c r="G957" t="str">
        <f t="shared" ca="1" si="62"/>
        <v/>
      </c>
      <c r="H957" t="str">
        <f t="shared" ca="1" si="63"/>
        <v/>
      </c>
      <c r="I957" t="str">
        <f t="shared" ca="1" si="64"/>
        <v/>
      </c>
    </row>
    <row r="958" spans="1:9" x14ac:dyDescent="0.25">
      <c r="A958" s="1"/>
      <c r="D958" t="str" cm="1">
        <f t="array" aca="1" ref="D958" ca="1">IF(OR(COUNTIF(damper_names,_xlfn.CONCAT("D_S_",C958))=1, COUNTIF(damper_names,_xlfn.CONCAT("D_E_",C958))=1), "C", "")</f>
        <v/>
      </c>
      <c r="E958" t="str">
        <f t="shared" ca="1" si="60"/>
        <v/>
      </c>
      <c r="F958" t="str">
        <f t="shared" ca="1" si="61"/>
        <v/>
      </c>
      <c r="G958" t="str">
        <f t="shared" ca="1" si="62"/>
        <v/>
      </c>
      <c r="H958" t="str">
        <f t="shared" ca="1" si="63"/>
        <v/>
      </c>
      <c r="I958" t="str">
        <f t="shared" ca="1" si="64"/>
        <v/>
      </c>
    </row>
    <row r="959" spans="1:9" x14ac:dyDescent="0.25">
      <c r="A959" s="1"/>
      <c r="D959" t="str" cm="1">
        <f t="array" aca="1" ref="D959" ca="1">IF(OR(COUNTIF(damper_names,_xlfn.CONCAT("D_S_",C959))=1, COUNTIF(damper_names,_xlfn.CONCAT("D_E_",C959))=1), "C", "")</f>
        <v/>
      </c>
      <c r="E959" t="str">
        <f t="shared" ca="1" si="60"/>
        <v/>
      </c>
      <c r="F959" t="str">
        <f t="shared" ca="1" si="61"/>
        <v/>
      </c>
      <c r="G959" t="str">
        <f t="shared" ca="1" si="62"/>
        <v/>
      </c>
      <c r="H959" t="str">
        <f t="shared" ca="1" si="63"/>
        <v/>
      </c>
      <c r="I959" t="str">
        <f t="shared" ca="1" si="64"/>
        <v/>
      </c>
    </row>
    <row r="960" spans="1:9" x14ac:dyDescent="0.25">
      <c r="A960" s="1"/>
      <c r="D960" t="str" cm="1">
        <f t="array" aca="1" ref="D960" ca="1">IF(OR(COUNTIF(damper_names,_xlfn.CONCAT("D_S_",C960))=1, COUNTIF(damper_names,_xlfn.CONCAT("D_E_",C960))=1), "C", "")</f>
        <v/>
      </c>
      <c r="E960" t="str">
        <f t="shared" ca="1" si="60"/>
        <v/>
      </c>
      <c r="F960" t="str">
        <f t="shared" ca="1" si="61"/>
        <v/>
      </c>
      <c r="G960" t="str">
        <f t="shared" ca="1" si="62"/>
        <v/>
      </c>
      <c r="H960" t="str">
        <f t="shared" ca="1" si="63"/>
        <v/>
      </c>
      <c r="I960" t="str">
        <f t="shared" ca="1" si="64"/>
        <v/>
      </c>
    </row>
    <row r="961" spans="1:9" x14ac:dyDescent="0.25">
      <c r="A961" s="1"/>
      <c r="D961" t="str" cm="1">
        <f t="array" aca="1" ref="D961" ca="1">IF(OR(COUNTIF(damper_names,_xlfn.CONCAT("D_S_",C961))=1, COUNTIF(damper_names,_xlfn.CONCAT("D_E_",C961))=1), "C", "")</f>
        <v/>
      </c>
      <c r="E961" t="str">
        <f t="shared" ca="1" si="60"/>
        <v/>
      </c>
      <c r="F961" t="str">
        <f t="shared" ca="1" si="61"/>
        <v/>
      </c>
      <c r="G961" t="str">
        <f t="shared" ca="1" si="62"/>
        <v/>
      </c>
      <c r="H961" t="str">
        <f t="shared" ca="1" si="63"/>
        <v/>
      </c>
      <c r="I961" t="str">
        <f t="shared" ca="1" si="64"/>
        <v/>
      </c>
    </row>
    <row r="962" spans="1:9" x14ac:dyDescent="0.25">
      <c r="A962" s="1"/>
      <c r="D962" t="str" cm="1">
        <f t="array" aca="1" ref="D962" ca="1">IF(OR(COUNTIF(damper_names,_xlfn.CONCAT("D_S_",C962))=1, COUNTIF(damper_names,_xlfn.CONCAT("D_E_",C962))=1), "C", "")</f>
        <v/>
      </c>
      <c r="E962" t="str">
        <f t="shared" ca="1" si="60"/>
        <v/>
      </c>
      <c r="F962" t="str">
        <f t="shared" ca="1" si="61"/>
        <v/>
      </c>
      <c r="G962" t="str">
        <f t="shared" ca="1" si="62"/>
        <v/>
      </c>
      <c r="H962" t="str">
        <f t="shared" ca="1" si="63"/>
        <v/>
      </c>
      <c r="I962" t="str">
        <f t="shared" ca="1" si="64"/>
        <v/>
      </c>
    </row>
    <row r="963" spans="1:9" x14ac:dyDescent="0.25">
      <c r="A963" s="1"/>
      <c r="D963" t="str" cm="1">
        <f t="array" aca="1" ref="D963" ca="1">IF(OR(COUNTIF(damper_names,_xlfn.CONCAT("D_S_",C963))=1, COUNTIF(damper_names,_xlfn.CONCAT("D_E_",C963))=1), "C", "")</f>
        <v/>
      </c>
      <c r="E963" t="str">
        <f t="shared" ca="1" si="60"/>
        <v/>
      </c>
      <c r="F963" t="str">
        <f t="shared" ca="1" si="61"/>
        <v/>
      </c>
      <c r="G963" t="str">
        <f t="shared" ca="1" si="62"/>
        <v/>
      </c>
      <c r="H963" t="str">
        <f t="shared" ca="1" si="63"/>
        <v/>
      </c>
      <c r="I963" t="str">
        <f t="shared" ca="1" si="64"/>
        <v/>
      </c>
    </row>
    <row r="964" spans="1:9" x14ac:dyDescent="0.25">
      <c r="A964" s="1"/>
      <c r="D964" t="str" cm="1">
        <f t="array" aca="1" ref="D964" ca="1">IF(OR(COUNTIF(damper_names,_xlfn.CONCAT("D_S_",C964))=1, COUNTIF(damper_names,_xlfn.CONCAT("D_E_",C964))=1), "C", "")</f>
        <v/>
      </c>
      <c r="E964" t="str">
        <f t="shared" ca="1" si="60"/>
        <v/>
      </c>
      <c r="F964" t="str">
        <f t="shared" ca="1" si="61"/>
        <v/>
      </c>
      <c r="G964" t="str">
        <f t="shared" ca="1" si="62"/>
        <v/>
      </c>
      <c r="H964" t="str">
        <f t="shared" ca="1" si="63"/>
        <v/>
      </c>
      <c r="I964" t="str">
        <f t="shared" ca="1" si="64"/>
        <v/>
      </c>
    </row>
    <row r="965" spans="1:9" x14ac:dyDescent="0.25">
      <c r="A965" s="1"/>
      <c r="D965" t="str" cm="1">
        <f t="array" aca="1" ref="D965" ca="1">IF(OR(COUNTIF(damper_names,_xlfn.CONCAT("D_S_",C965))=1, COUNTIF(damper_names,_xlfn.CONCAT("D_E_",C965))=1), "C", "")</f>
        <v/>
      </c>
      <c r="E965" t="str">
        <f t="shared" ca="1" si="60"/>
        <v/>
      </c>
      <c r="F965" t="str">
        <f t="shared" ca="1" si="61"/>
        <v/>
      </c>
      <c r="G965" t="str">
        <f t="shared" ca="1" si="62"/>
        <v/>
      </c>
      <c r="H965" t="str">
        <f t="shared" ca="1" si="63"/>
        <v/>
      </c>
      <c r="I965" t="str">
        <f t="shared" ca="1" si="64"/>
        <v/>
      </c>
    </row>
    <row r="966" spans="1:9" x14ac:dyDescent="0.25">
      <c r="A966" s="1"/>
      <c r="D966" t="str" cm="1">
        <f t="array" aca="1" ref="D966" ca="1">IF(OR(COUNTIF(damper_names,_xlfn.CONCAT("D_S_",C966))=1, COUNTIF(damper_names,_xlfn.CONCAT("D_E_",C966))=1), "C", "")</f>
        <v/>
      </c>
      <c r="E966" t="str">
        <f t="shared" ca="1" si="60"/>
        <v/>
      </c>
      <c r="F966" t="str">
        <f t="shared" ca="1" si="61"/>
        <v/>
      </c>
      <c r="G966" t="str">
        <f t="shared" ca="1" si="62"/>
        <v/>
      </c>
      <c r="H966" t="str">
        <f t="shared" ca="1" si="63"/>
        <v/>
      </c>
      <c r="I966" t="str">
        <f t="shared" ca="1" si="64"/>
        <v/>
      </c>
    </row>
    <row r="967" spans="1:9" x14ac:dyDescent="0.25">
      <c r="A967" s="1"/>
      <c r="D967" t="str" cm="1">
        <f t="array" aca="1" ref="D967" ca="1">IF(OR(COUNTIF(damper_names,_xlfn.CONCAT("D_S_",C967))=1, COUNTIF(damper_names,_xlfn.CONCAT("D_E_",C967))=1), "C", "")</f>
        <v/>
      </c>
      <c r="E967" t="str">
        <f t="shared" ca="1" si="60"/>
        <v/>
      </c>
      <c r="F967" t="str">
        <f t="shared" ca="1" si="61"/>
        <v/>
      </c>
      <c r="G967" t="str">
        <f t="shared" ca="1" si="62"/>
        <v/>
      </c>
      <c r="H967" t="str">
        <f t="shared" ca="1" si="63"/>
        <v/>
      </c>
      <c r="I967" t="str">
        <f t="shared" ca="1" si="64"/>
        <v/>
      </c>
    </row>
    <row r="968" spans="1:9" x14ac:dyDescent="0.25">
      <c r="A968" s="1"/>
      <c r="D968" t="str" cm="1">
        <f t="array" aca="1" ref="D968" ca="1">IF(OR(COUNTIF(damper_names,_xlfn.CONCAT("D_S_",C968))=1, COUNTIF(damper_names,_xlfn.CONCAT("D_E_",C968))=1), "C", "")</f>
        <v/>
      </c>
      <c r="E968" t="str">
        <f t="shared" ca="1" si="60"/>
        <v/>
      </c>
      <c r="F968" t="str">
        <f t="shared" ca="1" si="61"/>
        <v/>
      </c>
      <c r="G968" t="str">
        <f t="shared" ca="1" si="62"/>
        <v/>
      </c>
      <c r="H968" t="str">
        <f t="shared" ca="1" si="63"/>
        <v/>
      </c>
      <c r="I968" t="str">
        <f t="shared" ca="1" si="64"/>
        <v/>
      </c>
    </row>
    <row r="969" spans="1:9" x14ac:dyDescent="0.25">
      <c r="A969" s="1"/>
      <c r="D969" t="str" cm="1">
        <f t="array" aca="1" ref="D969" ca="1">IF(OR(COUNTIF(damper_names,_xlfn.CONCAT("D_S_",C969))=1, COUNTIF(damper_names,_xlfn.CONCAT("D_E_",C969))=1), "C", "")</f>
        <v/>
      </c>
      <c r="E969" t="str">
        <f t="shared" ca="1" si="60"/>
        <v/>
      </c>
      <c r="F969" t="str">
        <f t="shared" ca="1" si="61"/>
        <v/>
      </c>
      <c r="G969" t="str">
        <f t="shared" ca="1" si="62"/>
        <v/>
      </c>
      <c r="H969" t="str">
        <f t="shared" ca="1" si="63"/>
        <v/>
      </c>
      <c r="I969" t="str">
        <f t="shared" ca="1" si="64"/>
        <v/>
      </c>
    </row>
    <row r="970" spans="1:9" x14ac:dyDescent="0.25">
      <c r="A970" s="1"/>
      <c r="D970" t="str" cm="1">
        <f t="array" aca="1" ref="D970" ca="1">IF(OR(COUNTIF(damper_names,_xlfn.CONCAT("D_S_",C970))=1, COUNTIF(damper_names,_xlfn.CONCAT("D_E_",C970))=1), "C", "")</f>
        <v/>
      </c>
      <c r="E970" t="str">
        <f t="shared" ca="1" si="60"/>
        <v/>
      </c>
      <c r="F970" t="str">
        <f t="shared" ca="1" si="61"/>
        <v/>
      </c>
      <c r="G970" t="str">
        <f t="shared" ca="1" si="62"/>
        <v/>
      </c>
      <c r="H970" t="str">
        <f t="shared" ca="1" si="63"/>
        <v/>
      </c>
      <c r="I970" t="str">
        <f t="shared" ca="1" si="64"/>
        <v/>
      </c>
    </row>
    <row r="971" spans="1:9" x14ac:dyDescent="0.25">
      <c r="A971" s="1"/>
      <c r="D971" t="str" cm="1">
        <f t="array" aca="1" ref="D971" ca="1">IF(OR(COUNTIF(damper_names,_xlfn.CONCAT("D_S_",C971))=1, COUNTIF(damper_names,_xlfn.CONCAT("D_E_",C971))=1), "C", "")</f>
        <v/>
      </c>
      <c r="E971" t="str">
        <f t="shared" ca="1" si="60"/>
        <v/>
      </c>
      <c r="F971" t="str">
        <f t="shared" ca="1" si="61"/>
        <v/>
      </c>
      <c r="G971" t="str">
        <f t="shared" ca="1" si="62"/>
        <v/>
      </c>
      <c r="H971" t="str">
        <f t="shared" ca="1" si="63"/>
        <v/>
      </c>
      <c r="I971" t="str">
        <f t="shared" ca="1" si="64"/>
        <v/>
      </c>
    </row>
    <row r="972" spans="1:9" x14ac:dyDescent="0.25">
      <c r="A972" s="1"/>
      <c r="D972" t="str" cm="1">
        <f t="array" aca="1" ref="D972" ca="1">IF(OR(COUNTIF(damper_names,_xlfn.CONCAT("D_S_",C972))=1, COUNTIF(damper_names,_xlfn.CONCAT("D_E_",C972))=1), "C", "")</f>
        <v/>
      </c>
      <c r="E972" t="str">
        <f t="shared" ca="1" si="60"/>
        <v/>
      </c>
      <c r="F972" t="str">
        <f t="shared" ca="1" si="61"/>
        <v/>
      </c>
      <c r="G972" t="str">
        <f t="shared" ca="1" si="62"/>
        <v/>
      </c>
      <c r="H972" t="str">
        <f t="shared" ca="1" si="63"/>
        <v/>
      </c>
      <c r="I972" t="str">
        <f t="shared" ca="1" si="64"/>
        <v/>
      </c>
    </row>
    <row r="973" spans="1:9" x14ac:dyDescent="0.25">
      <c r="A973" s="1"/>
      <c r="D973" t="str" cm="1">
        <f t="array" aca="1" ref="D973" ca="1">IF(OR(COUNTIF(damper_names,_xlfn.CONCAT("D_S_",C973))=1, COUNTIF(damper_names,_xlfn.CONCAT("D_E_",C973))=1), "C", "")</f>
        <v/>
      </c>
      <c r="E973" t="str">
        <f t="shared" ca="1" si="60"/>
        <v/>
      </c>
      <c r="F973" t="str">
        <f t="shared" ca="1" si="61"/>
        <v/>
      </c>
      <c r="G973" t="str">
        <f t="shared" ca="1" si="62"/>
        <v/>
      </c>
      <c r="H973" t="str">
        <f t="shared" ca="1" si="63"/>
        <v/>
      </c>
      <c r="I973" t="str">
        <f t="shared" ca="1" si="64"/>
        <v/>
      </c>
    </row>
    <row r="974" spans="1:9" x14ac:dyDescent="0.25">
      <c r="A974" s="1"/>
      <c r="D974" t="str" cm="1">
        <f t="array" aca="1" ref="D974" ca="1">IF(OR(COUNTIF(damper_names,_xlfn.CONCAT("D_S_",C974))=1, COUNTIF(damper_names,_xlfn.CONCAT("D_E_",C974))=1), "C", "")</f>
        <v/>
      </c>
      <c r="E974" t="str">
        <f t="shared" ca="1" si="60"/>
        <v/>
      </c>
      <c r="F974" t="str">
        <f t="shared" ca="1" si="61"/>
        <v/>
      </c>
      <c r="G974" t="str">
        <f t="shared" ca="1" si="62"/>
        <v/>
      </c>
      <c r="H974" t="str">
        <f t="shared" ca="1" si="63"/>
        <v/>
      </c>
      <c r="I974" t="str">
        <f t="shared" ca="1" si="64"/>
        <v/>
      </c>
    </row>
    <row r="975" spans="1:9" x14ac:dyDescent="0.25">
      <c r="A975" s="1"/>
      <c r="D975" t="str" cm="1">
        <f t="array" aca="1" ref="D975" ca="1">IF(OR(COUNTIF(damper_names,_xlfn.CONCAT("D_S_",C975))=1, COUNTIF(damper_names,_xlfn.CONCAT("D_E_",C975))=1), "C", "")</f>
        <v/>
      </c>
      <c r="E975" t="str">
        <f t="shared" ca="1" si="60"/>
        <v/>
      </c>
      <c r="F975" t="str">
        <f t="shared" ca="1" si="61"/>
        <v/>
      </c>
      <c r="G975" t="str">
        <f t="shared" ca="1" si="62"/>
        <v/>
      </c>
      <c r="H975" t="str">
        <f t="shared" ca="1" si="63"/>
        <v/>
      </c>
      <c r="I975" t="str">
        <f t="shared" ca="1" si="64"/>
        <v/>
      </c>
    </row>
    <row r="976" spans="1:9" x14ac:dyDescent="0.25">
      <c r="A976" s="1"/>
      <c r="D976" t="str" cm="1">
        <f t="array" aca="1" ref="D976" ca="1">IF(OR(COUNTIF(damper_names,_xlfn.CONCAT("D_S_",C976))=1, COUNTIF(damper_names,_xlfn.CONCAT("D_E_",C976))=1), "C", "")</f>
        <v/>
      </c>
      <c r="E976" t="str">
        <f t="shared" ca="1" si="60"/>
        <v/>
      </c>
      <c r="F976" t="str">
        <f t="shared" ca="1" si="61"/>
        <v/>
      </c>
      <c r="G976" t="str">
        <f t="shared" ca="1" si="62"/>
        <v/>
      </c>
      <c r="H976" t="str">
        <f t="shared" ca="1" si="63"/>
        <v/>
      </c>
      <c r="I976" t="str">
        <f t="shared" ca="1" si="64"/>
        <v/>
      </c>
    </row>
    <row r="977" spans="1:9" x14ac:dyDescent="0.25">
      <c r="A977" s="1"/>
      <c r="D977" t="str" cm="1">
        <f t="array" aca="1" ref="D977" ca="1">IF(OR(COUNTIF(damper_names,_xlfn.CONCAT("D_S_",C977))=1, COUNTIF(damper_names,_xlfn.CONCAT("D_E_",C977))=1), "C", "")</f>
        <v/>
      </c>
      <c r="E977" t="str">
        <f t="shared" ca="1" si="60"/>
        <v/>
      </c>
      <c r="F977" t="str">
        <f t="shared" ca="1" si="61"/>
        <v/>
      </c>
      <c r="G977" t="str">
        <f t="shared" ca="1" si="62"/>
        <v/>
      </c>
      <c r="H977" t="str">
        <f t="shared" ca="1" si="63"/>
        <v/>
      </c>
      <c r="I977" t="str">
        <f t="shared" ca="1" si="64"/>
        <v/>
      </c>
    </row>
    <row r="978" spans="1:9" x14ac:dyDescent="0.25">
      <c r="A978" s="1"/>
      <c r="D978" t="str" cm="1">
        <f t="array" aca="1" ref="D978" ca="1">IF(OR(COUNTIF(damper_names,_xlfn.CONCAT("D_S_",C978))=1, COUNTIF(damper_names,_xlfn.CONCAT("D_E_",C978))=1), "C", "")</f>
        <v/>
      </c>
      <c r="E978" t="str">
        <f t="shared" ca="1" si="60"/>
        <v/>
      </c>
      <c r="F978" t="str">
        <f t="shared" ca="1" si="61"/>
        <v/>
      </c>
      <c r="G978" t="str">
        <f t="shared" ca="1" si="62"/>
        <v/>
      </c>
      <c r="H978" t="str">
        <f t="shared" ca="1" si="63"/>
        <v/>
      </c>
      <c r="I978" t="str">
        <f t="shared" ca="1" si="64"/>
        <v/>
      </c>
    </row>
    <row r="979" spans="1:9" x14ac:dyDescent="0.25">
      <c r="A979" s="1"/>
      <c r="D979" t="str" cm="1">
        <f t="array" aca="1" ref="D979" ca="1">IF(OR(COUNTIF(damper_names,_xlfn.CONCAT("D_S_",C979))=1, COUNTIF(damper_names,_xlfn.CONCAT("D_E_",C979))=1), "C", "")</f>
        <v/>
      </c>
      <c r="E979" t="str">
        <f t="shared" ca="1" si="60"/>
        <v/>
      </c>
      <c r="F979" t="str">
        <f t="shared" ca="1" si="61"/>
        <v/>
      </c>
      <c r="G979" t="str">
        <f t="shared" ca="1" si="62"/>
        <v/>
      </c>
      <c r="H979" t="str">
        <f t="shared" ca="1" si="63"/>
        <v/>
      </c>
      <c r="I979" t="str">
        <f t="shared" ca="1" si="64"/>
        <v/>
      </c>
    </row>
    <row r="980" spans="1:9" x14ac:dyDescent="0.25">
      <c r="A980" s="1"/>
      <c r="D980" t="str" cm="1">
        <f t="array" aca="1" ref="D980" ca="1">IF(OR(COUNTIF(damper_names,_xlfn.CONCAT("D_S_",C980))=1, COUNTIF(damper_names,_xlfn.CONCAT("D_E_",C980))=1), "C", "")</f>
        <v/>
      </c>
      <c r="E980" t="str">
        <f t="shared" ca="1" si="60"/>
        <v/>
      </c>
      <c r="F980" t="str">
        <f t="shared" ca="1" si="61"/>
        <v/>
      </c>
      <c r="G980" t="str">
        <f t="shared" ca="1" si="62"/>
        <v/>
      </c>
      <c r="H980" t="str">
        <f t="shared" ca="1" si="63"/>
        <v/>
      </c>
      <c r="I980" t="str">
        <f t="shared" ca="1" si="64"/>
        <v/>
      </c>
    </row>
    <row r="981" spans="1:9" x14ac:dyDescent="0.25">
      <c r="A981" s="1"/>
      <c r="D981" t="str" cm="1">
        <f t="array" aca="1" ref="D981" ca="1">IF(OR(COUNTIF(damper_names,_xlfn.CONCAT("D_S_",C981))=1, COUNTIF(damper_names,_xlfn.CONCAT("D_E_",C981))=1), "C", "")</f>
        <v/>
      </c>
      <c r="E981" t="str">
        <f t="shared" ca="1" si="60"/>
        <v/>
      </c>
      <c r="F981" t="str">
        <f t="shared" ca="1" si="61"/>
        <v/>
      </c>
      <c r="G981" t="str">
        <f t="shared" ca="1" si="62"/>
        <v/>
      </c>
      <c r="H981" t="str">
        <f t="shared" ca="1" si="63"/>
        <v/>
      </c>
      <c r="I981" t="str">
        <f t="shared" ca="1" si="64"/>
        <v/>
      </c>
    </row>
    <row r="982" spans="1:9" x14ac:dyDescent="0.25">
      <c r="A982" s="1"/>
      <c r="D982" t="str" cm="1">
        <f t="array" aca="1" ref="D982" ca="1">IF(OR(COUNTIF(damper_names,_xlfn.CONCAT("D_S_",C982))=1, COUNTIF(damper_names,_xlfn.CONCAT("D_E_",C982))=1), "C", "")</f>
        <v/>
      </c>
      <c r="E982" t="str">
        <f t="shared" ca="1" si="60"/>
        <v/>
      </c>
      <c r="F982" t="str">
        <f t="shared" ca="1" si="61"/>
        <v/>
      </c>
      <c r="G982" t="str">
        <f t="shared" ca="1" si="62"/>
        <v/>
      </c>
      <c r="H982" t="str">
        <f t="shared" ca="1" si="63"/>
        <v/>
      </c>
      <c r="I982" t="str">
        <f t="shared" ca="1" si="64"/>
        <v/>
      </c>
    </row>
    <row r="983" spans="1:9" x14ac:dyDescent="0.25">
      <c r="A983" s="1"/>
      <c r="D983" t="str" cm="1">
        <f t="array" aca="1" ref="D983" ca="1">IF(OR(COUNTIF(damper_names,_xlfn.CONCAT("D_S_",C983))=1, COUNTIF(damper_names,_xlfn.CONCAT("D_E_",C983))=1), "C", "")</f>
        <v/>
      </c>
      <c r="E983" t="str">
        <f t="shared" ca="1" si="60"/>
        <v/>
      </c>
      <c r="F983" t="str">
        <f t="shared" ca="1" si="61"/>
        <v/>
      </c>
      <c r="G983" t="str">
        <f t="shared" ca="1" si="62"/>
        <v/>
      </c>
      <c r="H983" t="str">
        <f t="shared" ca="1" si="63"/>
        <v/>
      </c>
      <c r="I983" t="str">
        <f t="shared" ca="1" si="64"/>
        <v/>
      </c>
    </row>
    <row r="984" spans="1:9" x14ac:dyDescent="0.25">
      <c r="A984" s="1"/>
      <c r="D984" t="str" cm="1">
        <f t="array" aca="1" ref="D984" ca="1">IF(OR(COUNTIF(damper_names,_xlfn.CONCAT("D_S_",C984))=1, COUNTIF(damper_names,_xlfn.CONCAT("D_E_",C984))=1), "C", "")</f>
        <v/>
      </c>
      <c r="E984" t="str">
        <f t="shared" ca="1" si="60"/>
        <v/>
      </c>
      <c r="F984" t="str">
        <f t="shared" ca="1" si="61"/>
        <v/>
      </c>
      <c r="G984" t="str">
        <f t="shared" ca="1" si="62"/>
        <v/>
      </c>
      <c r="H984" t="str">
        <f t="shared" ca="1" si="63"/>
        <v/>
      </c>
      <c r="I984" t="str">
        <f t="shared" ca="1" si="64"/>
        <v/>
      </c>
    </row>
    <row r="985" spans="1:9" x14ac:dyDescent="0.25">
      <c r="A985" s="1"/>
      <c r="D985" t="str" cm="1">
        <f t="array" aca="1" ref="D985" ca="1">IF(OR(COUNTIF(damper_names,_xlfn.CONCAT("D_S_",C985))=1, COUNTIF(damper_names,_xlfn.CONCAT("D_E_",C985))=1), "C", "")</f>
        <v/>
      </c>
      <c r="E985" t="str">
        <f t="shared" ca="1" si="60"/>
        <v/>
      </c>
      <c r="F985" t="str">
        <f t="shared" ca="1" si="61"/>
        <v/>
      </c>
      <c r="G985" t="str">
        <f t="shared" ca="1" si="62"/>
        <v/>
      </c>
      <c r="H985" t="str">
        <f t="shared" ca="1" si="63"/>
        <v/>
      </c>
      <c r="I985" t="str">
        <f t="shared" ca="1" si="64"/>
        <v/>
      </c>
    </row>
    <row r="986" spans="1:9" x14ac:dyDescent="0.25">
      <c r="A986" s="1"/>
      <c r="D986" t="str" cm="1">
        <f t="array" aca="1" ref="D986" ca="1">IF(OR(COUNTIF(damper_names,_xlfn.CONCAT("D_S_",C986))=1, COUNTIF(damper_names,_xlfn.CONCAT("D_E_",C986))=1), "C", "")</f>
        <v/>
      </c>
      <c r="E986" t="str">
        <f t="shared" ca="1" si="60"/>
        <v/>
      </c>
      <c r="F986" t="str">
        <f t="shared" ca="1" si="61"/>
        <v/>
      </c>
      <c r="G986" t="str">
        <f t="shared" ca="1" si="62"/>
        <v/>
      </c>
      <c r="H986" t="str">
        <f t="shared" ca="1" si="63"/>
        <v/>
      </c>
      <c r="I986" t="str">
        <f t="shared" ca="1" si="64"/>
        <v/>
      </c>
    </row>
    <row r="987" spans="1:9" x14ac:dyDescent="0.25">
      <c r="A987" s="1"/>
      <c r="D987" t="str" cm="1">
        <f t="array" aca="1" ref="D987" ca="1">IF(OR(COUNTIF(damper_names,_xlfn.CONCAT("D_S_",C987))=1, COUNTIF(damper_names,_xlfn.CONCAT("D_E_",C987))=1), "C", "")</f>
        <v/>
      </c>
      <c r="E987" t="str">
        <f t="shared" ca="1" si="60"/>
        <v/>
      </c>
      <c r="F987" t="str">
        <f t="shared" ca="1" si="61"/>
        <v/>
      </c>
      <c r="G987" t="str">
        <f t="shared" ca="1" si="62"/>
        <v/>
      </c>
      <c r="H987" t="str">
        <f t="shared" ca="1" si="63"/>
        <v/>
      </c>
      <c r="I987" t="str">
        <f t="shared" ca="1" si="64"/>
        <v/>
      </c>
    </row>
    <row r="988" spans="1:9" x14ac:dyDescent="0.25">
      <c r="A988" s="1"/>
      <c r="D988" t="str" cm="1">
        <f t="array" aca="1" ref="D988" ca="1">IF(OR(COUNTIF(damper_names,_xlfn.CONCAT("D_S_",C988))=1, COUNTIF(damper_names,_xlfn.CONCAT("D_E_",C988))=1), "C", "")</f>
        <v/>
      </c>
      <c r="E988" t="str">
        <f t="shared" ca="1" si="60"/>
        <v/>
      </c>
      <c r="F988" t="str">
        <f t="shared" ca="1" si="61"/>
        <v/>
      </c>
      <c r="G988" t="str">
        <f t="shared" ca="1" si="62"/>
        <v/>
      </c>
      <c r="H988" t="str">
        <f t="shared" ca="1" si="63"/>
        <v/>
      </c>
      <c r="I988" t="str">
        <f t="shared" ca="1" si="64"/>
        <v/>
      </c>
    </row>
    <row r="989" spans="1:9" x14ac:dyDescent="0.25">
      <c r="A989" s="1"/>
      <c r="D989" t="str" cm="1">
        <f t="array" aca="1" ref="D989" ca="1">IF(OR(COUNTIF(damper_names,_xlfn.CONCAT("D_S_",C989))=1, COUNTIF(damper_names,_xlfn.CONCAT("D_E_",C989))=1), "C", "")</f>
        <v/>
      </c>
      <c r="E989" t="str">
        <f t="shared" ca="1" si="60"/>
        <v/>
      </c>
      <c r="F989" t="str">
        <f t="shared" ca="1" si="61"/>
        <v/>
      </c>
      <c r="G989" t="str">
        <f t="shared" ca="1" si="62"/>
        <v/>
      </c>
      <c r="H989" t="str">
        <f t="shared" ca="1" si="63"/>
        <v/>
      </c>
      <c r="I989" t="str">
        <f t="shared" ca="1" si="64"/>
        <v/>
      </c>
    </row>
    <row r="990" spans="1:9" x14ac:dyDescent="0.25">
      <c r="A990" s="1"/>
      <c r="D990" t="str" cm="1">
        <f t="array" aca="1" ref="D990" ca="1">IF(OR(COUNTIF(damper_names,_xlfn.CONCAT("D_S_",C990))=1, COUNTIF(damper_names,_xlfn.CONCAT("D_E_",C990))=1), "C", "")</f>
        <v/>
      </c>
      <c r="E990" t="str">
        <f t="shared" ca="1" si="60"/>
        <v/>
      </c>
      <c r="F990" t="str">
        <f t="shared" ca="1" si="61"/>
        <v/>
      </c>
      <c r="G990" t="str">
        <f t="shared" ca="1" si="62"/>
        <v/>
      </c>
      <c r="H990" t="str">
        <f t="shared" ca="1" si="63"/>
        <v/>
      </c>
      <c r="I990" t="str">
        <f t="shared" ca="1" si="64"/>
        <v/>
      </c>
    </row>
    <row r="991" spans="1:9" x14ac:dyDescent="0.25">
      <c r="A991" s="1"/>
      <c r="D991" t="str" cm="1">
        <f t="array" aca="1" ref="D991" ca="1">IF(OR(COUNTIF(damper_names,_xlfn.CONCAT("D_S_",C991))=1, COUNTIF(damper_names,_xlfn.CONCAT("D_E_",C991))=1), "C", "")</f>
        <v/>
      </c>
      <c r="E991" t="str">
        <f t="shared" ca="1" si="60"/>
        <v/>
      </c>
      <c r="F991" t="str">
        <f t="shared" ca="1" si="61"/>
        <v/>
      </c>
      <c r="G991" t="str">
        <f t="shared" ca="1" si="62"/>
        <v/>
      </c>
      <c r="H991" t="str">
        <f t="shared" ca="1" si="63"/>
        <v/>
      </c>
      <c r="I991" t="str">
        <f t="shared" ca="1" si="64"/>
        <v/>
      </c>
    </row>
    <row r="992" spans="1:9" x14ac:dyDescent="0.25">
      <c r="A992" s="1"/>
      <c r="D992" t="str" cm="1">
        <f t="array" aca="1" ref="D992" ca="1">IF(OR(COUNTIF(damper_names,_xlfn.CONCAT("D_S_",C992))=1, COUNTIF(damper_names,_xlfn.CONCAT("D_E_",C992))=1), "C", "")</f>
        <v/>
      </c>
      <c r="E992" t="str">
        <f t="shared" ca="1" si="60"/>
        <v/>
      </c>
      <c r="F992" t="str">
        <f t="shared" ca="1" si="61"/>
        <v/>
      </c>
      <c r="G992" t="str">
        <f t="shared" ca="1" si="62"/>
        <v/>
      </c>
      <c r="H992" t="str">
        <f t="shared" ca="1" si="63"/>
        <v/>
      </c>
      <c r="I992" t="str">
        <f t="shared" ca="1" si="64"/>
        <v/>
      </c>
    </row>
    <row r="993" spans="1:9" x14ac:dyDescent="0.25">
      <c r="A993" s="1"/>
      <c r="D993" t="str" cm="1">
        <f t="array" aca="1" ref="D993" ca="1">IF(OR(COUNTIF(damper_names,_xlfn.CONCAT("D_S_",C993))=1, COUNTIF(damper_names,_xlfn.CONCAT("D_E_",C993))=1), "C", "")</f>
        <v/>
      </c>
      <c r="E993" t="str">
        <f t="shared" ca="1" si="60"/>
        <v/>
      </c>
      <c r="F993" t="str">
        <f t="shared" ca="1" si="61"/>
        <v/>
      </c>
      <c r="G993" t="str">
        <f t="shared" ca="1" si="62"/>
        <v/>
      </c>
      <c r="H993" t="str">
        <f t="shared" ca="1" si="63"/>
        <v/>
      </c>
      <c r="I993" t="str">
        <f t="shared" ca="1" si="64"/>
        <v/>
      </c>
    </row>
    <row r="994" spans="1:9" x14ac:dyDescent="0.25">
      <c r="A994" s="1"/>
      <c r="D994" t="str" cm="1">
        <f t="array" aca="1" ref="D994" ca="1">IF(OR(COUNTIF(damper_names,_xlfn.CONCAT("D_S_",C994))=1, COUNTIF(damper_names,_xlfn.CONCAT("D_E_",C994))=1), "C", "")</f>
        <v/>
      </c>
      <c r="E994" t="str">
        <f t="shared" ca="1" si="60"/>
        <v/>
      </c>
      <c r="F994" t="str">
        <f t="shared" ca="1" si="61"/>
        <v/>
      </c>
      <c r="G994" t="str">
        <f t="shared" ca="1" si="62"/>
        <v/>
      </c>
      <c r="H994" t="str">
        <f t="shared" ca="1" si="63"/>
        <v/>
      </c>
      <c r="I994" t="str">
        <f t="shared" ca="1" si="64"/>
        <v/>
      </c>
    </row>
    <row r="995" spans="1:9" x14ac:dyDescent="0.25">
      <c r="A995" s="1"/>
      <c r="D995" t="str" cm="1">
        <f t="array" aca="1" ref="D995" ca="1">IF(OR(COUNTIF(damper_names,_xlfn.CONCAT("D_S_",C995))=1, COUNTIF(damper_names,_xlfn.CONCAT("D_E_",C995))=1), "C", "")</f>
        <v/>
      </c>
      <c r="E995" t="str">
        <f t="shared" ca="1" si="60"/>
        <v/>
      </c>
      <c r="F995" t="str">
        <f t="shared" ca="1" si="61"/>
        <v/>
      </c>
      <c r="G995" t="str">
        <f t="shared" ca="1" si="62"/>
        <v/>
      </c>
      <c r="H995" t="str">
        <f t="shared" ca="1" si="63"/>
        <v/>
      </c>
      <c r="I995" t="str">
        <f t="shared" ca="1" si="64"/>
        <v/>
      </c>
    </row>
    <row r="996" spans="1:9" x14ac:dyDescent="0.25">
      <c r="A996" s="1"/>
      <c r="D996" t="str" cm="1">
        <f t="array" aca="1" ref="D996" ca="1">IF(OR(COUNTIF(damper_names,_xlfn.CONCAT("D_S_",C996))=1, COUNTIF(damper_names,_xlfn.CONCAT("D_E_",C996))=1), "C", "")</f>
        <v/>
      </c>
      <c r="E996" t="str">
        <f t="shared" ca="1" si="60"/>
        <v/>
      </c>
      <c r="F996" t="str">
        <f t="shared" ca="1" si="61"/>
        <v/>
      </c>
      <c r="G996" t="str">
        <f t="shared" ca="1" si="62"/>
        <v/>
      </c>
      <c r="H996" t="str">
        <f t="shared" ca="1" si="63"/>
        <v/>
      </c>
      <c r="I996" t="str">
        <f t="shared" ca="1" si="64"/>
        <v/>
      </c>
    </row>
    <row r="997" spans="1:9" x14ac:dyDescent="0.25">
      <c r="A997" s="1"/>
      <c r="D997" t="str" cm="1">
        <f t="array" aca="1" ref="D997" ca="1">IF(OR(COUNTIF(damper_names,_xlfn.CONCAT("D_S_",C997))=1, COUNTIF(damper_names,_xlfn.CONCAT("D_E_",C997))=1), "C", "")</f>
        <v/>
      </c>
      <c r="E997" t="str">
        <f t="shared" ca="1" si="60"/>
        <v/>
      </c>
      <c r="F997" t="str">
        <f t="shared" ca="1" si="61"/>
        <v/>
      </c>
      <c r="G997" t="str">
        <f t="shared" ca="1" si="62"/>
        <v/>
      </c>
      <c r="H997" t="str">
        <f t="shared" ca="1" si="63"/>
        <v/>
      </c>
      <c r="I997" t="str">
        <f t="shared" ca="1" si="64"/>
        <v/>
      </c>
    </row>
    <row r="998" spans="1:9" x14ac:dyDescent="0.25">
      <c r="A998" s="1"/>
      <c r="D998" t="str" cm="1">
        <f t="array" aca="1" ref="D998" ca="1">IF(OR(COUNTIF(damper_names,_xlfn.CONCAT("D_S_",C998))=1, COUNTIF(damper_names,_xlfn.CONCAT("D_E_",C998))=1), "C", "")</f>
        <v/>
      </c>
      <c r="E998" t="str">
        <f t="shared" ca="1" si="60"/>
        <v/>
      </c>
      <c r="F998" t="str">
        <f t="shared" ca="1" si="61"/>
        <v/>
      </c>
      <c r="G998" t="str">
        <f t="shared" ca="1" si="62"/>
        <v/>
      </c>
      <c r="H998" t="str">
        <f t="shared" ca="1" si="63"/>
        <v/>
      </c>
      <c r="I998" t="str">
        <f t="shared" ca="1" si="64"/>
        <v/>
      </c>
    </row>
    <row r="999" spans="1:9" x14ac:dyDescent="0.25">
      <c r="A999" s="1"/>
      <c r="D999" t="str" cm="1">
        <f t="array" aca="1" ref="D999" ca="1">IF(OR(COUNTIF(damper_names,_xlfn.CONCAT("D_S_",C999))=1, COUNTIF(damper_names,_xlfn.CONCAT("D_E_",C999))=1), "C", "")</f>
        <v/>
      </c>
      <c r="E999" t="str">
        <f t="shared" ca="1" si="60"/>
        <v/>
      </c>
      <c r="F999" t="str">
        <f t="shared" ca="1" si="61"/>
        <v/>
      </c>
      <c r="G999" t="str">
        <f t="shared" ca="1" si="62"/>
        <v/>
      </c>
      <c r="H999" t="str">
        <f t="shared" ca="1" si="63"/>
        <v/>
      </c>
      <c r="I999" t="str">
        <f t="shared" ca="1" si="64"/>
        <v/>
      </c>
    </row>
    <row r="1000" spans="1:9" x14ac:dyDescent="0.25">
      <c r="A1000" s="1"/>
      <c r="D1000" t="str" cm="1">
        <f t="array" aca="1" ref="D1000" ca="1">IF(OR(COUNTIF(damper_names,_xlfn.CONCAT("D_S_",C1000))=1, COUNTIF(damper_names,_xlfn.CONCAT("D_E_",C1000))=1), "C", "")</f>
        <v/>
      </c>
      <c r="E1000" t="str">
        <f t="shared" ca="1" si="60"/>
        <v/>
      </c>
      <c r="F1000" t="str">
        <f t="shared" ca="1" si="61"/>
        <v/>
      </c>
      <c r="G1000" t="str">
        <f t="shared" ca="1" si="62"/>
        <v/>
      </c>
      <c r="H1000" t="str">
        <f t="shared" ca="1" si="63"/>
        <v/>
      </c>
      <c r="I1000" t="str">
        <f t="shared" ca="1" si="64"/>
        <v/>
      </c>
    </row>
  </sheetData>
  <dataValidations count="7">
    <dataValidation type="list" allowBlank="1" showInputMessage="1" showErrorMessage="1" sqref="D2:D1000" xr:uid="{D5BE71F8-5244-49DC-BFB9-C85CE25CAA01}">
      <formula1>property_instance</formula1>
    </dataValidation>
    <dataValidation type="list" showInputMessage="1" showErrorMessage="1" sqref="E2:E1000" xr:uid="{5210B600-0B03-46BE-9BAA-A315ECF79CF5}">
      <formula1>property_instance</formula1>
    </dataValidation>
    <dataValidation type="list" showInputMessage="1" showErrorMessage="1" sqref="B2:B1048576" xr:uid="{694F0682-3C2D-4B26-BC0F-BF9CEE224300}">
      <formula1>system_names</formula1>
    </dataValidation>
    <dataValidation type="list" allowBlank="1" showInputMessage="1" showErrorMessage="1" sqref="C2:C1048576" xr:uid="{40FAAB10-542B-4E95-AE15-64E58392838A}">
      <formula1>space_names</formula1>
    </dataValidation>
    <dataValidation type="list" showInputMessage="1" showErrorMessage="1" sqref="D1001:D1048576" xr:uid="{BA226BFD-EDB9-4BD0-9352-DC1883A9BAF6}">
      <formula1>"Temperature,CO2"</formula1>
    </dataValidation>
    <dataValidation type="list" allowBlank="1" showInputMessage="1" showErrorMessage="1" sqref="H2:H1000" xr:uid="{01BB3FDF-40CE-4C92-BCDB-96E79E6080AE}">
      <formula1>"on_off"</formula1>
    </dataValidation>
    <dataValidation type="list" allowBlank="1" showInputMessage="1" showErrorMessage="1" sqref="G2:G1048576" xr:uid="{E71A45CA-F87E-4E36-A3ED-4DA5DF20FB65}">
      <formula1>"true,false"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FF9399-3053-44FA-8AB1-49FDB43CAD4D}">
          <x14:formula1>
            <xm:f>Schedule!$A$2:$A$1048576</xm:f>
          </x14:formula1>
          <xm:sqref>F2:F1048576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E8556-15D6-4FEC-92D0-62FC50E09491}">
  <sheetPr codeName="Sheet17"/>
  <dimension ref="A1:A999"/>
  <sheetViews>
    <sheetView workbookViewId="0">
      <selection activeCell="A18" sqref="A18"/>
    </sheetView>
  </sheetViews>
  <sheetFormatPr defaultColWidth="8.85546875" defaultRowHeight="15" x14ac:dyDescent="0.25"/>
  <cols>
    <col min="1" max="1" width="34.42578125" bestFit="1" customWidth="1"/>
  </cols>
  <sheetData>
    <row r="1" spans="1:1" ht="15.75" thickBot="1" x14ac:dyDescent="0.3">
      <c r="A1" s="6" t="s">
        <v>59</v>
      </c>
    </row>
    <row r="2" spans="1:1" x14ac:dyDescent="0.25">
      <c r="A2" s="1" t="s">
        <v>362</v>
      </c>
    </row>
    <row r="3" spans="1:1" x14ac:dyDescent="0.25">
      <c r="A3" s="1" t="s">
        <v>368</v>
      </c>
    </row>
    <row r="4" spans="1:1" x14ac:dyDescent="0.25">
      <c r="A4" s="1" t="s">
        <v>366</v>
      </c>
    </row>
    <row r="5" spans="1:1" x14ac:dyDescent="0.25">
      <c r="A5" s="1" t="s">
        <v>352</v>
      </c>
    </row>
    <row r="6" spans="1:1" x14ac:dyDescent="0.25">
      <c r="A6" s="1" t="s">
        <v>387</v>
      </c>
    </row>
    <row r="7" spans="1:1" x14ac:dyDescent="0.25">
      <c r="A7" s="1" t="s">
        <v>393</v>
      </c>
    </row>
    <row r="8" spans="1:1" x14ac:dyDescent="0.25">
      <c r="A8" s="1" t="s">
        <v>391</v>
      </c>
    </row>
    <row r="9" spans="1:1" x14ac:dyDescent="0.25">
      <c r="A9" s="1" t="s">
        <v>376</v>
      </c>
    </row>
    <row r="10" spans="1:1" x14ac:dyDescent="0.25">
      <c r="A10" s="1" t="s">
        <v>412</v>
      </c>
    </row>
    <row r="11" spans="1:1" x14ac:dyDescent="0.25">
      <c r="A11" s="1" t="s">
        <v>418</v>
      </c>
    </row>
    <row r="12" spans="1:1" x14ac:dyDescent="0.25">
      <c r="A12" s="1" t="s">
        <v>416</v>
      </c>
    </row>
    <row r="13" spans="1:1" x14ac:dyDescent="0.25">
      <c r="A13" s="1" t="s">
        <v>402</v>
      </c>
    </row>
    <row r="14" spans="1:1" x14ac:dyDescent="0.25">
      <c r="A14" s="1" t="s">
        <v>436</v>
      </c>
    </row>
    <row r="15" spans="1:1" x14ac:dyDescent="0.25">
      <c r="A15" s="1" t="s">
        <v>442</v>
      </c>
    </row>
    <row r="16" spans="1:1" x14ac:dyDescent="0.25">
      <c r="A16" s="1" t="s">
        <v>440</v>
      </c>
    </row>
    <row r="17" spans="1:1" x14ac:dyDescent="0.25">
      <c r="A17" s="1" t="s">
        <v>426</v>
      </c>
    </row>
    <row r="18" spans="1:1" x14ac:dyDescent="0.25">
      <c r="A18" s="1" t="s">
        <v>470</v>
      </c>
    </row>
    <row r="19" spans="1:1" x14ac:dyDescent="0.25">
      <c r="A19" s="1" t="s">
        <v>476</v>
      </c>
    </row>
    <row r="20" spans="1:1" x14ac:dyDescent="0.25">
      <c r="A20" s="1" t="s">
        <v>474</v>
      </c>
    </row>
    <row r="21" spans="1:1" x14ac:dyDescent="0.25">
      <c r="A21" s="1" t="s">
        <v>458</v>
      </c>
    </row>
    <row r="22" spans="1:1" x14ac:dyDescent="0.25">
      <c r="A22" s="1" t="s">
        <v>316</v>
      </c>
    </row>
    <row r="23" spans="1:1" x14ac:dyDescent="0.25">
      <c r="A23" s="1" t="s">
        <v>319</v>
      </c>
    </row>
    <row r="24" spans="1:1" x14ac:dyDescent="0.25">
      <c r="A24" s="1" t="s">
        <v>320</v>
      </c>
    </row>
    <row r="25" spans="1:1" x14ac:dyDescent="0.25">
      <c r="A25" s="1" t="s">
        <v>306</v>
      </c>
    </row>
    <row r="26" spans="1:1" x14ac:dyDescent="0.25">
      <c r="A26" s="1" t="s">
        <v>338</v>
      </c>
    </row>
    <row r="27" spans="1:1" x14ac:dyDescent="0.25">
      <c r="A27" s="1" t="s">
        <v>344</v>
      </c>
    </row>
    <row r="28" spans="1:1" x14ac:dyDescent="0.25">
      <c r="A28" s="1" t="s">
        <v>342</v>
      </c>
    </row>
    <row r="29" spans="1:1" x14ac:dyDescent="0.25">
      <c r="A29" s="1" t="s">
        <v>329</v>
      </c>
    </row>
    <row r="30" spans="1:1" x14ac:dyDescent="0.25">
      <c r="A30" s="1" t="s">
        <v>243</v>
      </c>
    </row>
    <row r="31" spans="1:1" x14ac:dyDescent="0.25">
      <c r="A31" s="1" t="s">
        <v>249</v>
      </c>
    </row>
    <row r="32" spans="1:1" x14ac:dyDescent="0.25">
      <c r="A32" s="1" t="s">
        <v>247</v>
      </c>
    </row>
    <row r="33" spans="1:1" x14ac:dyDescent="0.25">
      <c r="A33" s="1" t="s">
        <v>232</v>
      </c>
    </row>
    <row r="34" spans="1:1" x14ac:dyDescent="0.25">
      <c r="A34" s="1" t="s">
        <v>292</v>
      </c>
    </row>
    <row r="35" spans="1:1" x14ac:dyDescent="0.25">
      <c r="A35" s="1" t="s">
        <v>298</v>
      </c>
    </row>
    <row r="36" spans="1:1" x14ac:dyDescent="0.25">
      <c r="A36" s="1" t="s">
        <v>296</v>
      </c>
    </row>
    <row r="37" spans="1:1" x14ac:dyDescent="0.25">
      <c r="A37" s="1" t="s">
        <v>282</v>
      </c>
    </row>
    <row r="38" spans="1:1" x14ac:dyDescent="0.25">
      <c r="A38" s="1" t="s">
        <v>267</v>
      </c>
    </row>
    <row r="39" spans="1:1" x14ac:dyDescent="0.25">
      <c r="A39" s="1" t="s">
        <v>270</v>
      </c>
    </row>
    <row r="40" spans="1:1" x14ac:dyDescent="0.25">
      <c r="A40" s="1" t="s">
        <v>271</v>
      </c>
    </row>
    <row r="41" spans="1:1" x14ac:dyDescent="0.25">
      <c r="A41" s="1" t="s">
        <v>257</v>
      </c>
    </row>
    <row r="42" spans="1:1" x14ac:dyDescent="0.25">
      <c r="A42" s="1" t="s">
        <v>223</v>
      </c>
    </row>
    <row r="43" spans="1:1" x14ac:dyDescent="0.25">
      <c r="A43" s="1" t="s">
        <v>216</v>
      </c>
    </row>
    <row r="44" spans="1:1" x14ac:dyDescent="0.25">
      <c r="A44" s="1" t="s">
        <v>202</v>
      </c>
    </row>
    <row r="45" spans="1:1" x14ac:dyDescent="0.25">
      <c r="A45" s="1" t="s">
        <v>208</v>
      </c>
    </row>
    <row r="46" spans="1:1" x14ac:dyDescent="0.25">
      <c r="A46" s="1" t="s">
        <v>206</v>
      </c>
    </row>
    <row r="47" spans="1:1" x14ac:dyDescent="0.25">
      <c r="A47" s="1" t="s">
        <v>192</v>
      </c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  <row r="112" spans="1:1" x14ac:dyDescent="0.25">
      <c r="A112" s="1"/>
    </row>
    <row r="113" spans="1:1" x14ac:dyDescent="0.25">
      <c r="A113" s="1"/>
    </row>
    <row r="114" spans="1:1" x14ac:dyDescent="0.25">
      <c r="A114" s="1"/>
    </row>
    <row r="115" spans="1:1" x14ac:dyDescent="0.25">
      <c r="A115" s="1"/>
    </row>
    <row r="116" spans="1:1" x14ac:dyDescent="0.25">
      <c r="A116" s="1"/>
    </row>
    <row r="117" spans="1:1" x14ac:dyDescent="0.25">
      <c r="A117" s="1"/>
    </row>
    <row r="118" spans="1:1" x14ac:dyDescent="0.25">
      <c r="A118" s="1"/>
    </row>
    <row r="119" spans="1:1" x14ac:dyDescent="0.25">
      <c r="A119" s="1"/>
    </row>
    <row r="120" spans="1:1" x14ac:dyDescent="0.25">
      <c r="A120" s="1"/>
    </row>
    <row r="121" spans="1:1" x14ac:dyDescent="0.25">
      <c r="A121" s="1"/>
    </row>
    <row r="122" spans="1:1" x14ac:dyDescent="0.25">
      <c r="A122" s="1"/>
    </row>
    <row r="123" spans="1:1" x14ac:dyDescent="0.25">
      <c r="A123" s="1"/>
    </row>
    <row r="124" spans="1:1" x14ac:dyDescent="0.25">
      <c r="A124" s="1"/>
    </row>
    <row r="125" spans="1:1" x14ac:dyDescent="0.25">
      <c r="A125" s="1"/>
    </row>
    <row r="126" spans="1:1" x14ac:dyDescent="0.25">
      <c r="A126" s="1"/>
    </row>
    <row r="127" spans="1:1" x14ac:dyDescent="0.25">
      <c r="A127" s="1"/>
    </row>
    <row r="128" spans="1:1" x14ac:dyDescent="0.25">
      <c r="A128" s="1"/>
    </row>
    <row r="129" spans="1:1" x14ac:dyDescent="0.25">
      <c r="A129" s="1"/>
    </row>
    <row r="130" spans="1:1" x14ac:dyDescent="0.25">
      <c r="A130" s="1"/>
    </row>
    <row r="131" spans="1:1" x14ac:dyDescent="0.25">
      <c r="A131" s="1"/>
    </row>
    <row r="132" spans="1:1" x14ac:dyDescent="0.25">
      <c r="A132" s="1"/>
    </row>
    <row r="133" spans="1:1" x14ac:dyDescent="0.25">
      <c r="A133" s="1"/>
    </row>
    <row r="134" spans="1:1" x14ac:dyDescent="0.25">
      <c r="A134" s="1"/>
    </row>
    <row r="135" spans="1:1" x14ac:dyDescent="0.25">
      <c r="A135" s="1"/>
    </row>
    <row r="136" spans="1:1" x14ac:dyDescent="0.25">
      <c r="A136" s="1"/>
    </row>
    <row r="137" spans="1:1" x14ac:dyDescent="0.25">
      <c r="A137" s="1"/>
    </row>
    <row r="138" spans="1:1" x14ac:dyDescent="0.25">
      <c r="A138" s="1"/>
    </row>
    <row r="139" spans="1:1" x14ac:dyDescent="0.25">
      <c r="A139" s="1"/>
    </row>
    <row r="140" spans="1:1" x14ac:dyDescent="0.25">
      <c r="A140" s="1"/>
    </row>
    <row r="141" spans="1:1" x14ac:dyDescent="0.25">
      <c r="A141" s="1"/>
    </row>
    <row r="142" spans="1:1" x14ac:dyDescent="0.25">
      <c r="A142" s="1"/>
    </row>
    <row r="143" spans="1:1" x14ac:dyDescent="0.25">
      <c r="A143" s="1"/>
    </row>
    <row r="144" spans="1:1" x14ac:dyDescent="0.25">
      <c r="A144" s="1"/>
    </row>
    <row r="145" spans="1:1" x14ac:dyDescent="0.25">
      <c r="A145" s="1"/>
    </row>
    <row r="146" spans="1:1" x14ac:dyDescent="0.25">
      <c r="A146" s="1"/>
    </row>
    <row r="147" spans="1:1" x14ac:dyDescent="0.25">
      <c r="A147" s="1"/>
    </row>
    <row r="148" spans="1:1" x14ac:dyDescent="0.25">
      <c r="A148" s="1"/>
    </row>
    <row r="149" spans="1:1" x14ac:dyDescent="0.25">
      <c r="A149" s="1"/>
    </row>
    <row r="150" spans="1:1" x14ac:dyDescent="0.25">
      <c r="A150" s="1"/>
    </row>
    <row r="151" spans="1:1" x14ac:dyDescent="0.25">
      <c r="A151" s="1"/>
    </row>
    <row r="152" spans="1:1" x14ac:dyDescent="0.25">
      <c r="A152" s="1"/>
    </row>
    <row r="153" spans="1:1" x14ac:dyDescent="0.25">
      <c r="A153" s="1"/>
    </row>
    <row r="154" spans="1:1" x14ac:dyDescent="0.25">
      <c r="A154" s="1"/>
    </row>
    <row r="155" spans="1:1" x14ac:dyDescent="0.25">
      <c r="A155" s="1"/>
    </row>
    <row r="156" spans="1:1" x14ac:dyDescent="0.25">
      <c r="A156" s="1"/>
    </row>
    <row r="157" spans="1:1" x14ac:dyDescent="0.25">
      <c r="A157" s="1"/>
    </row>
    <row r="158" spans="1:1" x14ac:dyDescent="0.25">
      <c r="A158" s="1"/>
    </row>
    <row r="159" spans="1:1" x14ac:dyDescent="0.25">
      <c r="A159" s="1"/>
    </row>
    <row r="160" spans="1:1" x14ac:dyDescent="0.25">
      <c r="A160" s="1"/>
    </row>
    <row r="161" spans="1:1" x14ac:dyDescent="0.25">
      <c r="A161" s="1"/>
    </row>
    <row r="162" spans="1:1" x14ac:dyDescent="0.25">
      <c r="A162" s="1"/>
    </row>
    <row r="163" spans="1:1" x14ac:dyDescent="0.25">
      <c r="A163" s="1"/>
    </row>
    <row r="164" spans="1:1" x14ac:dyDescent="0.25">
      <c r="A164" s="1"/>
    </row>
    <row r="165" spans="1:1" x14ac:dyDescent="0.25">
      <c r="A165" s="1"/>
    </row>
    <row r="166" spans="1:1" x14ac:dyDescent="0.25">
      <c r="A166" s="1"/>
    </row>
    <row r="167" spans="1:1" x14ac:dyDescent="0.25">
      <c r="A167" s="1"/>
    </row>
    <row r="168" spans="1:1" x14ac:dyDescent="0.25">
      <c r="A168" s="1"/>
    </row>
    <row r="169" spans="1:1" x14ac:dyDescent="0.25">
      <c r="A169" s="1"/>
    </row>
    <row r="170" spans="1:1" x14ac:dyDescent="0.25">
      <c r="A170" s="1"/>
    </row>
    <row r="171" spans="1:1" x14ac:dyDescent="0.25">
      <c r="A171" s="1"/>
    </row>
    <row r="172" spans="1:1" x14ac:dyDescent="0.25">
      <c r="A172" s="1"/>
    </row>
    <row r="173" spans="1:1" x14ac:dyDescent="0.25">
      <c r="A173" s="1"/>
    </row>
    <row r="174" spans="1:1" x14ac:dyDescent="0.25">
      <c r="A174" s="1"/>
    </row>
    <row r="175" spans="1:1" x14ac:dyDescent="0.25">
      <c r="A175" s="1"/>
    </row>
    <row r="176" spans="1:1" x14ac:dyDescent="0.25">
      <c r="A176" s="1"/>
    </row>
    <row r="177" spans="1:1" x14ac:dyDescent="0.25">
      <c r="A177" s="1"/>
    </row>
    <row r="178" spans="1:1" x14ac:dyDescent="0.25">
      <c r="A178" s="1"/>
    </row>
    <row r="179" spans="1:1" x14ac:dyDescent="0.25">
      <c r="A179" s="1"/>
    </row>
    <row r="180" spans="1:1" x14ac:dyDescent="0.25">
      <c r="A180" s="1"/>
    </row>
    <row r="181" spans="1:1" x14ac:dyDescent="0.25">
      <c r="A181" s="1"/>
    </row>
    <row r="182" spans="1:1" x14ac:dyDescent="0.25">
      <c r="A182" s="1"/>
    </row>
    <row r="183" spans="1:1" x14ac:dyDescent="0.25">
      <c r="A183" s="1"/>
    </row>
    <row r="184" spans="1:1" x14ac:dyDescent="0.25">
      <c r="A184" s="1"/>
    </row>
    <row r="185" spans="1:1" x14ac:dyDescent="0.25">
      <c r="A185" s="1"/>
    </row>
    <row r="186" spans="1:1" x14ac:dyDescent="0.25">
      <c r="A186" s="1"/>
    </row>
    <row r="187" spans="1:1" x14ac:dyDescent="0.25">
      <c r="A187" s="1"/>
    </row>
    <row r="188" spans="1:1" x14ac:dyDescent="0.25">
      <c r="A188" s="1"/>
    </row>
    <row r="189" spans="1:1" x14ac:dyDescent="0.25">
      <c r="A189" s="1"/>
    </row>
    <row r="190" spans="1:1" x14ac:dyDescent="0.25">
      <c r="A190" s="1"/>
    </row>
    <row r="191" spans="1:1" x14ac:dyDescent="0.25">
      <c r="A191" s="1"/>
    </row>
    <row r="192" spans="1:1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  <row r="288" spans="1:1" x14ac:dyDescent="0.25">
      <c r="A288" s="1"/>
    </row>
    <row r="289" spans="1:1" x14ac:dyDescent="0.25">
      <c r="A289" s="1"/>
    </row>
    <row r="290" spans="1:1" x14ac:dyDescent="0.25">
      <c r="A290" s="1"/>
    </row>
    <row r="291" spans="1:1" x14ac:dyDescent="0.25">
      <c r="A291" s="1"/>
    </row>
    <row r="292" spans="1:1" x14ac:dyDescent="0.25">
      <c r="A292" s="1"/>
    </row>
    <row r="293" spans="1:1" x14ac:dyDescent="0.25">
      <c r="A293" s="1"/>
    </row>
    <row r="294" spans="1:1" x14ac:dyDescent="0.25">
      <c r="A294" s="1"/>
    </row>
    <row r="295" spans="1:1" x14ac:dyDescent="0.25">
      <c r="A295" s="1"/>
    </row>
    <row r="296" spans="1:1" x14ac:dyDescent="0.25">
      <c r="A296" s="1"/>
    </row>
    <row r="297" spans="1:1" x14ac:dyDescent="0.25">
      <c r="A297" s="1"/>
    </row>
    <row r="298" spans="1:1" x14ac:dyDescent="0.25">
      <c r="A298" s="1"/>
    </row>
    <row r="299" spans="1:1" x14ac:dyDescent="0.25">
      <c r="A299" s="1"/>
    </row>
    <row r="300" spans="1:1" x14ac:dyDescent="0.25">
      <c r="A300" s="1"/>
    </row>
    <row r="301" spans="1:1" x14ac:dyDescent="0.25">
      <c r="A301" s="1"/>
    </row>
    <row r="302" spans="1:1" x14ac:dyDescent="0.25">
      <c r="A302" s="1"/>
    </row>
    <row r="303" spans="1:1" x14ac:dyDescent="0.25">
      <c r="A303" s="1"/>
    </row>
    <row r="304" spans="1:1" x14ac:dyDescent="0.25">
      <c r="A304" s="1"/>
    </row>
    <row r="305" spans="1:1" x14ac:dyDescent="0.25">
      <c r="A305" s="1"/>
    </row>
    <row r="306" spans="1:1" x14ac:dyDescent="0.25">
      <c r="A306" s="1"/>
    </row>
    <row r="307" spans="1:1" x14ac:dyDescent="0.25">
      <c r="A307" s="1"/>
    </row>
    <row r="308" spans="1:1" x14ac:dyDescent="0.25">
      <c r="A308" s="1"/>
    </row>
    <row r="309" spans="1:1" x14ac:dyDescent="0.25">
      <c r="A309" s="1"/>
    </row>
    <row r="310" spans="1:1" x14ac:dyDescent="0.25">
      <c r="A310" s="1"/>
    </row>
    <row r="311" spans="1:1" x14ac:dyDescent="0.25">
      <c r="A311" s="1"/>
    </row>
    <row r="312" spans="1:1" x14ac:dyDescent="0.25">
      <c r="A312" s="1"/>
    </row>
    <row r="313" spans="1:1" x14ac:dyDescent="0.25">
      <c r="A313" s="1"/>
    </row>
    <row r="314" spans="1:1" x14ac:dyDescent="0.25">
      <c r="A314" s="1"/>
    </row>
    <row r="315" spans="1:1" x14ac:dyDescent="0.25">
      <c r="A315" s="1"/>
    </row>
    <row r="316" spans="1:1" x14ac:dyDescent="0.25">
      <c r="A316" s="1"/>
    </row>
    <row r="317" spans="1:1" x14ac:dyDescent="0.25">
      <c r="A317" s="1"/>
    </row>
    <row r="318" spans="1:1" x14ac:dyDescent="0.25">
      <c r="A318" s="1"/>
    </row>
    <row r="319" spans="1:1" x14ac:dyDescent="0.25">
      <c r="A319" s="1"/>
    </row>
    <row r="320" spans="1:1" x14ac:dyDescent="0.25">
      <c r="A320" s="1"/>
    </row>
    <row r="321" spans="1:1" x14ac:dyDescent="0.25">
      <c r="A321" s="1"/>
    </row>
    <row r="322" spans="1:1" x14ac:dyDescent="0.25">
      <c r="A322" s="1"/>
    </row>
    <row r="323" spans="1:1" x14ac:dyDescent="0.25">
      <c r="A323" s="1"/>
    </row>
    <row r="324" spans="1:1" x14ac:dyDescent="0.25">
      <c r="A324" s="1"/>
    </row>
    <row r="325" spans="1:1" x14ac:dyDescent="0.25">
      <c r="A325" s="1"/>
    </row>
    <row r="326" spans="1:1" x14ac:dyDescent="0.25">
      <c r="A326" s="1"/>
    </row>
    <row r="327" spans="1:1" x14ac:dyDescent="0.25">
      <c r="A327" s="1"/>
    </row>
    <row r="328" spans="1:1" x14ac:dyDescent="0.25">
      <c r="A328" s="1"/>
    </row>
    <row r="329" spans="1:1" x14ac:dyDescent="0.25">
      <c r="A329" s="1"/>
    </row>
    <row r="330" spans="1:1" x14ac:dyDescent="0.25">
      <c r="A330" s="1"/>
    </row>
    <row r="331" spans="1:1" x14ac:dyDescent="0.25">
      <c r="A331" s="1"/>
    </row>
    <row r="332" spans="1:1" x14ac:dyDescent="0.25">
      <c r="A332" s="1"/>
    </row>
    <row r="333" spans="1:1" x14ac:dyDescent="0.25">
      <c r="A333" s="1"/>
    </row>
    <row r="334" spans="1:1" x14ac:dyDescent="0.25">
      <c r="A334" s="1"/>
    </row>
    <row r="335" spans="1:1" x14ac:dyDescent="0.25">
      <c r="A335" s="1"/>
    </row>
    <row r="336" spans="1:1" x14ac:dyDescent="0.25">
      <c r="A336" s="1"/>
    </row>
    <row r="337" spans="1:1" x14ac:dyDescent="0.25">
      <c r="A337" s="1"/>
    </row>
    <row r="338" spans="1:1" x14ac:dyDescent="0.25">
      <c r="A338" s="1"/>
    </row>
    <row r="339" spans="1:1" x14ac:dyDescent="0.25">
      <c r="A339" s="1"/>
    </row>
    <row r="340" spans="1:1" x14ac:dyDescent="0.25">
      <c r="A340" s="1"/>
    </row>
    <row r="341" spans="1:1" x14ac:dyDescent="0.25">
      <c r="A341" s="1"/>
    </row>
    <row r="342" spans="1:1" x14ac:dyDescent="0.25">
      <c r="A342" s="1"/>
    </row>
    <row r="343" spans="1:1" x14ac:dyDescent="0.25">
      <c r="A343" s="1"/>
    </row>
    <row r="344" spans="1:1" x14ac:dyDescent="0.25">
      <c r="A344" s="1"/>
    </row>
    <row r="345" spans="1:1" x14ac:dyDescent="0.25">
      <c r="A345" s="1"/>
    </row>
    <row r="346" spans="1:1" x14ac:dyDescent="0.25">
      <c r="A346" s="1"/>
    </row>
    <row r="347" spans="1:1" x14ac:dyDescent="0.25">
      <c r="A347" s="1"/>
    </row>
    <row r="348" spans="1:1" x14ac:dyDescent="0.25">
      <c r="A348" s="1"/>
    </row>
    <row r="349" spans="1:1" x14ac:dyDescent="0.25">
      <c r="A349" s="1"/>
    </row>
    <row r="350" spans="1:1" x14ac:dyDescent="0.25">
      <c r="A350" s="1"/>
    </row>
    <row r="351" spans="1:1" x14ac:dyDescent="0.25">
      <c r="A351" s="1"/>
    </row>
    <row r="352" spans="1:1" x14ac:dyDescent="0.25">
      <c r="A352" s="1"/>
    </row>
    <row r="353" spans="1:1" x14ac:dyDescent="0.25">
      <c r="A353" s="1"/>
    </row>
    <row r="354" spans="1:1" x14ac:dyDescent="0.25">
      <c r="A354" s="1"/>
    </row>
    <row r="355" spans="1:1" x14ac:dyDescent="0.25">
      <c r="A355" s="1"/>
    </row>
    <row r="356" spans="1:1" x14ac:dyDescent="0.25">
      <c r="A356" s="1"/>
    </row>
    <row r="357" spans="1:1" x14ac:dyDescent="0.25">
      <c r="A357" s="1"/>
    </row>
    <row r="358" spans="1:1" x14ac:dyDescent="0.25">
      <c r="A358" s="1"/>
    </row>
    <row r="359" spans="1:1" x14ac:dyDescent="0.25">
      <c r="A359" s="1"/>
    </row>
    <row r="360" spans="1:1" x14ac:dyDescent="0.25">
      <c r="A360" s="1"/>
    </row>
    <row r="361" spans="1:1" x14ac:dyDescent="0.25">
      <c r="A361" s="1"/>
    </row>
    <row r="362" spans="1:1" x14ac:dyDescent="0.25">
      <c r="A362" s="1"/>
    </row>
    <row r="363" spans="1:1" x14ac:dyDescent="0.25">
      <c r="A363" s="1"/>
    </row>
    <row r="364" spans="1:1" x14ac:dyDescent="0.25">
      <c r="A364" s="1"/>
    </row>
    <row r="365" spans="1:1" x14ac:dyDescent="0.25">
      <c r="A365" s="1"/>
    </row>
    <row r="366" spans="1:1" x14ac:dyDescent="0.25">
      <c r="A366" s="1"/>
    </row>
    <row r="367" spans="1:1" x14ac:dyDescent="0.25">
      <c r="A367" s="1"/>
    </row>
    <row r="368" spans="1:1" x14ac:dyDescent="0.25">
      <c r="A368" s="1"/>
    </row>
    <row r="369" spans="1:1" x14ac:dyDescent="0.25">
      <c r="A369" s="1"/>
    </row>
    <row r="370" spans="1:1" x14ac:dyDescent="0.25">
      <c r="A370" s="1"/>
    </row>
    <row r="371" spans="1:1" x14ac:dyDescent="0.25">
      <c r="A371" s="1"/>
    </row>
    <row r="372" spans="1:1" x14ac:dyDescent="0.25">
      <c r="A372" s="1"/>
    </row>
    <row r="373" spans="1:1" x14ac:dyDescent="0.25">
      <c r="A373" s="1"/>
    </row>
    <row r="374" spans="1:1" x14ac:dyDescent="0.25">
      <c r="A374" s="1"/>
    </row>
    <row r="375" spans="1:1" x14ac:dyDescent="0.25">
      <c r="A375" s="1"/>
    </row>
    <row r="376" spans="1:1" x14ac:dyDescent="0.25">
      <c r="A376" s="1"/>
    </row>
    <row r="377" spans="1:1" x14ac:dyDescent="0.25">
      <c r="A377" s="1"/>
    </row>
    <row r="378" spans="1:1" x14ac:dyDescent="0.25">
      <c r="A378" s="1"/>
    </row>
    <row r="379" spans="1:1" x14ac:dyDescent="0.25">
      <c r="A379" s="1"/>
    </row>
    <row r="380" spans="1:1" x14ac:dyDescent="0.25">
      <c r="A380" s="1"/>
    </row>
    <row r="381" spans="1:1" x14ac:dyDescent="0.25">
      <c r="A381" s="1"/>
    </row>
    <row r="382" spans="1:1" x14ac:dyDescent="0.25">
      <c r="A382" s="1"/>
    </row>
    <row r="383" spans="1:1" x14ac:dyDescent="0.25">
      <c r="A383" s="1"/>
    </row>
    <row r="384" spans="1:1" x14ac:dyDescent="0.25">
      <c r="A384" s="1"/>
    </row>
    <row r="385" spans="1:1" x14ac:dyDescent="0.25">
      <c r="A385" s="1"/>
    </row>
    <row r="386" spans="1:1" x14ac:dyDescent="0.25">
      <c r="A386" s="1"/>
    </row>
    <row r="387" spans="1:1" x14ac:dyDescent="0.25">
      <c r="A387" s="1"/>
    </row>
    <row r="388" spans="1:1" x14ac:dyDescent="0.25">
      <c r="A388" s="1"/>
    </row>
    <row r="389" spans="1:1" x14ac:dyDescent="0.25">
      <c r="A389" s="1"/>
    </row>
    <row r="390" spans="1:1" x14ac:dyDescent="0.25">
      <c r="A390" s="1"/>
    </row>
    <row r="391" spans="1:1" x14ac:dyDescent="0.25">
      <c r="A391" s="1"/>
    </row>
    <row r="392" spans="1:1" x14ac:dyDescent="0.25">
      <c r="A392" s="1"/>
    </row>
    <row r="393" spans="1:1" x14ac:dyDescent="0.25">
      <c r="A393" s="1"/>
    </row>
    <row r="394" spans="1:1" x14ac:dyDescent="0.25">
      <c r="A394" s="1"/>
    </row>
    <row r="395" spans="1:1" x14ac:dyDescent="0.25">
      <c r="A395" s="1"/>
    </row>
    <row r="396" spans="1:1" x14ac:dyDescent="0.25">
      <c r="A396" s="1"/>
    </row>
    <row r="397" spans="1:1" x14ac:dyDescent="0.25">
      <c r="A397" s="1"/>
    </row>
    <row r="398" spans="1:1" x14ac:dyDescent="0.25">
      <c r="A398" s="1"/>
    </row>
    <row r="399" spans="1:1" x14ac:dyDescent="0.25">
      <c r="A399" s="1"/>
    </row>
    <row r="400" spans="1:1" x14ac:dyDescent="0.25">
      <c r="A400" s="1"/>
    </row>
    <row r="401" spans="1:1" x14ac:dyDescent="0.25">
      <c r="A401" s="1"/>
    </row>
    <row r="402" spans="1:1" x14ac:dyDescent="0.25">
      <c r="A402" s="1"/>
    </row>
    <row r="403" spans="1:1" x14ac:dyDescent="0.25">
      <c r="A403" s="1"/>
    </row>
    <row r="404" spans="1:1" x14ac:dyDescent="0.25">
      <c r="A404" s="1"/>
    </row>
    <row r="405" spans="1:1" x14ac:dyDescent="0.25">
      <c r="A405" s="1"/>
    </row>
    <row r="406" spans="1:1" x14ac:dyDescent="0.25">
      <c r="A406" s="1"/>
    </row>
    <row r="407" spans="1:1" x14ac:dyDescent="0.25">
      <c r="A407" s="1"/>
    </row>
    <row r="408" spans="1:1" x14ac:dyDescent="0.25">
      <c r="A408" s="1"/>
    </row>
    <row r="409" spans="1:1" x14ac:dyDescent="0.25">
      <c r="A409" s="1"/>
    </row>
    <row r="410" spans="1:1" x14ac:dyDescent="0.25">
      <c r="A410" s="1"/>
    </row>
    <row r="411" spans="1:1" x14ac:dyDescent="0.25">
      <c r="A411" s="1"/>
    </row>
    <row r="412" spans="1:1" x14ac:dyDescent="0.25">
      <c r="A412" s="1"/>
    </row>
    <row r="413" spans="1:1" x14ac:dyDescent="0.25">
      <c r="A413" s="1"/>
    </row>
    <row r="414" spans="1:1" x14ac:dyDescent="0.25">
      <c r="A414" s="1"/>
    </row>
    <row r="415" spans="1:1" x14ac:dyDescent="0.25">
      <c r="A415" s="1"/>
    </row>
    <row r="416" spans="1:1" x14ac:dyDescent="0.25">
      <c r="A416" s="1"/>
    </row>
    <row r="417" spans="1:1" x14ac:dyDescent="0.25">
      <c r="A417" s="1"/>
    </row>
    <row r="418" spans="1:1" x14ac:dyDescent="0.25">
      <c r="A418" s="1"/>
    </row>
    <row r="419" spans="1:1" x14ac:dyDescent="0.25">
      <c r="A419" s="1"/>
    </row>
    <row r="420" spans="1:1" x14ac:dyDescent="0.25">
      <c r="A420" s="1"/>
    </row>
    <row r="421" spans="1:1" x14ac:dyDescent="0.25">
      <c r="A421" s="1"/>
    </row>
    <row r="422" spans="1:1" x14ac:dyDescent="0.25">
      <c r="A422" s="1"/>
    </row>
    <row r="423" spans="1:1" x14ac:dyDescent="0.25">
      <c r="A423" s="1"/>
    </row>
    <row r="424" spans="1:1" x14ac:dyDescent="0.25">
      <c r="A424" s="1"/>
    </row>
    <row r="425" spans="1:1" x14ac:dyDescent="0.25">
      <c r="A425" s="1"/>
    </row>
    <row r="426" spans="1:1" x14ac:dyDescent="0.25">
      <c r="A426" s="1"/>
    </row>
    <row r="427" spans="1:1" x14ac:dyDescent="0.25">
      <c r="A427" s="1"/>
    </row>
    <row r="428" spans="1:1" x14ac:dyDescent="0.25">
      <c r="A428" s="1"/>
    </row>
    <row r="429" spans="1:1" x14ac:dyDescent="0.25">
      <c r="A429" s="1"/>
    </row>
    <row r="430" spans="1:1" x14ac:dyDescent="0.25">
      <c r="A430" s="1"/>
    </row>
    <row r="431" spans="1:1" x14ac:dyDescent="0.25">
      <c r="A431" s="1"/>
    </row>
    <row r="432" spans="1:1" x14ac:dyDescent="0.25">
      <c r="A432" s="1"/>
    </row>
    <row r="433" spans="1:1" x14ac:dyDescent="0.25">
      <c r="A433" s="1"/>
    </row>
    <row r="434" spans="1:1" x14ac:dyDescent="0.25">
      <c r="A434" s="1"/>
    </row>
    <row r="435" spans="1:1" x14ac:dyDescent="0.25">
      <c r="A435" s="1"/>
    </row>
    <row r="436" spans="1:1" x14ac:dyDescent="0.25">
      <c r="A436" s="1"/>
    </row>
    <row r="437" spans="1:1" x14ac:dyDescent="0.25">
      <c r="A437" s="1"/>
    </row>
    <row r="438" spans="1:1" x14ac:dyDescent="0.25">
      <c r="A438" s="1"/>
    </row>
    <row r="439" spans="1:1" x14ac:dyDescent="0.25">
      <c r="A439" s="1"/>
    </row>
    <row r="440" spans="1:1" x14ac:dyDescent="0.25">
      <c r="A440" s="1"/>
    </row>
    <row r="441" spans="1:1" x14ac:dyDescent="0.25">
      <c r="A441" s="1"/>
    </row>
    <row r="442" spans="1:1" x14ac:dyDescent="0.25">
      <c r="A442" s="1"/>
    </row>
    <row r="443" spans="1:1" x14ac:dyDescent="0.25">
      <c r="A443" s="1"/>
    </row>
    <row r="444" spans="1:1" x14ac:dyDescent="0.25">
      <c r="A444" s="1"/>
    </row>
    <row r="445" spans="1:1" x14ac:dyDescent="0.25">
      <c r="A445" s="1"/>
    </row>
    <row r="446" spans="1:1" x14ac:dyDescent="0.25">
      <c r="A446" s="1"/>
    </row>
    <row r="447" spans="1:1" x14ac:dyDescent="0.25">
      <c r="A447" s="1"/>
    </row>
    <row r="448" spans="1:1" x14ac:dyDescent="0.25">
      <c r="A448" s="1"/>
    </row>
    <row r="449" spans="1:1" x14ac:dyDescent="0.25">
      <c r="A449" s="1"/>
    </row>
    <row r="450" spans="1:1" x14ac:dyDescent="0.25">
      <c r="A450" s="1"/>
    </row>
    <row r="451" spans="1:1" x14ac:dyDescent="0.25">
      <c r="A451" s="1"/>
    </row>
    <row r="452" spans="1:1" x14ac:dyDescent="0.25">
      <c r="A452" s="1"/>
    </row>
    <row r="453" spans="1:1" x14ac:dyDescent="0.25">
      <c r="A453" s="1"/>
    </row>
    <row r="454" spans="1:1" x14ac:dyDescent="0.25">
      <c r="A454" s="1"/>
    </row>
    <row r="455" spans="1:1" x14ac:dyDescent="0.25">
      <c r="A455" s="1"/>
    </row>
    <row r="456" spans="1:1" x14ac:dyDescent="0.25">
      <c r="A456" s="1"/>
    </row>
    <row r="457" spans="1:1" x14ac:dyDescent="0.25">
      <c r="A457" s="1"/>
    </row>
    <row r="458" spans="1:1" x14ac:dyDescent="0.25">
      <c r="A458" s="1"/>
    </row>
    <row r="459" spans="1:1" x14ac:dyDescent="0.25">
      <c r="A459" s="1"/>
    </row>
    <row r="460" spans="1:1" x14ac:dyDescent="0.25">
      <c r="A460" s="1"/>
    </row>
    <row r="461" spans="1:1" x14ac:dyDescent="0.25">
      <c r="A461" s="1"/>
    </row>
    <row r="462" spans="1:1" x14ac:dyDescent="0.25">
      <c r="A462" s="1"/>
    </row>
    <row r="463" spans="1:1" x14ac:dyDescent="0.25">
      <c r="A463" s="1"/>
    </row>
    <row r="464" spans="1:1" x14ac:dyDescent="0.25">
      <c r="A464" s="1"/>
    </row>
    <row r="465" spans="1:1" x14ac:dyDescent="0.25">
      <c r="A465" s="1"/>
    </row>
    <row r="466" spans="1:1" x14ac:dyDescent="0.25">
      <c r="A466" s="1"/>
    </row>
    <row r="467" spans="1:1" x14ac:dyDescent="0.25">
      <c r="A467" s="1"/>
    </row>
    <row r="468" spans="1:1" x14ac:dyDescent="0.25">
      <c r="A468" s="1"/>
    </row>
    <row r="469" spans="1:1" x14ac:dyDescent="0.25">
      <c r="A469" s="1"/>
    </row>
    <row r="470" spans="1:1" x14ac:dyDescent="0.25">
      <c r="A470" s="1"/>
    </row>
    <row r="471" spans="1:1" x14ac:dyDescent="0.25">
      <c r="A471" s="1"/>
    </row>
    <row r="472" spans="1:1" x14ac:dyDescent="0.25">
      <c r="A472" s="1"/>
    </row>
    <row r="473" spans="1:1" x14ac:dyDescent="0.25">
      <c r="A473" s="1"/>
    </row>
    <row r="474" spans="1:1" x14ac:dyDescent="0.25">
      <c r="A474" s="1"/>
    </row>
    <row r="475" spans="1:1" x14ac:dyDescent="0.25">
      <c r="A475" s="1"/>
    </row>
    <row r="476" spans="1:1" x14ac:dyDescent="0.25">
      <c r="A476" s="1"/>
    </row>
    <row r="477" spans="1:1" x14ac:dyDescent="0.25">
      <c r="A477" s="1"/>
    </row>
    <row r="478" spans="1:1" x14ac:dyDescent="0.25">
      <c r="A478" s="1"/>
    </row>
    <row r="479" spans="1:1" x14ac:dyDescent="0.25">
      <c r="A479" s="1"/>
    </row>
    <row r="480" spans="1:1" x14ac:dyDescent="0.25">
      <c r="A480" s="1"/>
    </row>
    <row r="481" spans="1:1" x14ac:dyDescent="0.25">
      <c r="A481" s="1"/>
    </row>
    <row r="482" spans="1:1" x14ac:dyDescent="0.25">
      <c r="A482" s="1"/>
    </row>
    <row r="483" spans="1:1" x14ac:dyDescent="0.25">
      <c r="A483" s="1"/>
    </row>
    <row r="484" spans="1:1" x14ac:dyDescent="0.25">
      <c r="A484" s="1"/>
    </row>
    <row r="485" spans="1:1" x14ac:dyDescent="0.25">
      <c r="A485" s="1"/>
    </row>
    <row r="486" spans="1:1" x14ac:dyDescent="0.25">
      <c r="A486" s="1"/>
    </row>
    <row r="487" spans="1:1" x14ac:dyDescent="0.25">
      <c r="A487" s="1"/>
    </row>
    <row r="488" spans="1:1" x14ac:dyDescent="0.25">
      <c r="A488" s="1"/>
    </row>
    <row r="489" spans="1:1" x14ac:dyDescent="0.25">
      <c r="A489" s="1"/>
    </row>
    <row r="490" spans="1:1" x14ac:dyDescent="0.25">
      <c r="A490" s="1"/>
    </row>
    <row r="491" spans="1:1" x14ac:dyDescent="0.25">
      <c r="A491" s="1"/>
    </row>
    <row r="492" spans="1:1" x14ac:dyDescent="0.25">
      <c r="A492" s="1"/>
    </row>
    <row r="493" spans="1:1" x14ac:dyDescent="0.25">
      <c r="A493" s="1"/>
    </row>
    <row r="494" spans="1:1" x14ac:dyDescent="0.25">
      <c r="A494" s="1"/>
    </row>
    <row r="495" spans="1:1" x14ac:dyDescent="0.25">
      <c r="A495" s="1"/>
    </row>
    <row r="496" spans="1:1" x14ac:dyDescent="0.25">
      <c r="A496" s="1"/>
    </row>
    <row r="497" spans="1:1" x14ac:dyDescent="0.25">
      <c r="A497" s="1"/>
    </row>
    <row r="498" spans="1:1" x14ac:dyDescent="0.25">
      <c r="A498" s="1"/>
    </row>
    <row r="499" spans="1:1" x14ac:dyDescent="0.25">
      <c r="A499" s="1"/>
    </row>
    <row r="500" spans="1:1" x14ac:dyDescent="0.25">
      <c r="A500" s="1"/>
    </row>
    <row r="501" spans="1:1" x14ac:dyDescent="0.25">
      <c r="A501" s="1"/>
    </row>
    <row r="502" spans="1:1" x14ac:dyDescent="0.25">
      <c r="A502" s="1"/>
    </row>
    <row r="503" spans="1:1" x14ac:dyDescent="0.25">
      <c r="A503" s="1"/>
    </row>
    <row r="504" spans="1:1" x14ac:dyDescent="0.25">
      <c r="A504" s="1"/>
    </row>
    <row r="505" spans="1:1" x14ac:dyDescent="0.25">
      <c r="A505" s="1"/>
    </row>
    <row r="506" spans="1:1" x14ac:dyDescent="0.25">
      <c r="A506" s="1"/>
    </row>
    <row r="507" spans="1:1" x14ac:dyDescent="0.25">
      <c r="A507" s="1"/>
    </row>
    <row r="508" spans="1:1" x14ac:dyDescent="0.25">
      <c r="A508" s="1"/>
    </row>
    <row r="509" spans="1:1" x14ac:dyDescent="0.25">
      <c r="A509" s="1"/>
    </row>
    <row r="510" spans="1:1" x14ac:dyDescent="0.25">
      <c r="A510" s="1"/>
    </row>
    <row r="511" spans="1:1" x14ac:dyDescent="0.25">
      <c r="A511" s="1"/>
    </row>
    <row r="512" spans="1:1" x14ac:dyDescent="0.25">
      <c r="A512" s="1"/>
    </row>
    <row r="513" spans="1:1" x14ac:dyDescent="0.25">
      <c r="A513" s="1"/>
    </row>
    <row r="514" spans="1:1" x14ac:dyDescent="0.25">
      <c r="A514" s="1"/>
    </row>
    <row r="515" spans="1:1" x14ac:dyDescent="0.25">
      <c r="A515" s="1"/>
    </row>
    <row r="516" spans="1:1" x14ac:dyDescent="0.25">
      <c r="A516" s="1"/>
    </row>
    <row r="517" spans="1:1" x14ac:dyDescent="0.25">
      <c r="A517" s="1"/>
    </row>
    <row r="518" spans="1:1" x14ac:dyDescent="0.25">
      <c r="A518" s="1"/>
    </row>
    <row r="519" spans="1:1" x14ac:dyDescent="0.25">
      <c r="A519" s="1"/>
    </row>
    <row r="520" spans="1:1" x14ac:dyDescent="0.25">
      <c r="A520" s="1"/>
    </row>
    <row r="521" spans="1:1" x14ac:dyDescent="0.25">
      <c r="A521" s="1"/>
    </row>
    <row r="522" spans="1:1" x14ac:dyDescent="0.25">
      <c r="A522" s="1"/>
    </row>
    <row r="523" spans="1:1" x14ac:dyDescent="0.25">
      <c r="A523" s="1"/>
    </row>
    <row r="524" spans="1:1" x14ac:dyDescent="0.25">
      <c r="A524" s="1"/>
    </row>
    <row r="525" spans="1:1" x14ac:dyDescent="0.25">
      <c r="A525" s="1"/>
    </row>
    <row r="526" spans="1:1" x14ac:dyDescent="0.25">
      <c r="A526" s="1"/>
    </row>
    <row r="527" spans="1:1" x14ac:dyDescent="0.25">
      <c r="A527" s="1"/>
    </row>
    <row r="528" spans="1:1" x14ac:dyDescent="0.25">
      <c r="A528" s="1"/>
    </row>
    <row r="529" spans="1:1" x14ac:dyDescent="0.25">
      <c r="A529" s="1"/>
    </row>
    <row r="530" spans="1:1" x14ac:dyDescent="0.25">
      <c r="A530" s="1"/>
    </row>
    <row r="531" spans="1:1" x14ac:dyDescent="0.25">
      <c r="A531" s="1"/>
    </row>
    <row r="532" spans="1:1" x14ac:dyDescent="0.25">
      <c r="A532" s="1"/>
    </row>
    <row r="533" spans="1:1" x14ac:dyDescent="0.25">
      <c r="A533" s="1"/>
    </row>
    <row r="534" spans="1:1" x14ac:dyDescent="0.25">
      <c r="A534" s="1"/>
    </row>
    <row r="535" spans="1:1" x14ac:dyDescent="0.25">
      <c r="A535" s="1"/>
    </row>
    <row r="536" spans="1:1" x14ac:dyDescent="0.25">
      <c r="A536" s="1"/>
    </row>
    <row r="537" spans="1:1" x14ac:dyDescent="0.25">
      <c r="A537" s="1"/>
    </row>
    <row r="538" spans="1:1" x14ac:dyDescent="0.25">
      <c r="A538" s="1"/>
    </row>
    <row r="539" spans="1:1" x14ac:dyDescent="0.25">
      <c r="A539" s="1"/>
    </row>
    <row r="540" spans="1:1" x14ac:dyDescent="0.25">
      <c r="A540" s="1"/>
    </row>
    <row r="541" spans="1:1" x14ac:dyDescent="0.25">
      <c r="A541" s="1"/>
    </row>
    <row r="542" spans="1:1" x14ac:dyDescent="0.25">
      <c r="A542" s="1"/>
    </row>
    <row r="543" spans="1:1" x14ac:dyDescent="0.25">
      <c r="A543" s="1"/>
    </row>
    <row r="544" spans="1:1" x14ac:dyDescent="0.25">
      <c r="A544" s="1"/>
    </row>
    <row r="545" spans="1:1" x14ac:dyDescent="0.25">
      <c r="A545" s="1"/>
    </row>
    <row r="546" spans="1:1" x14ac:dyDescent="0.25">
      <c r="A546" s="1"/>
    </row>
    <row r="547" spans="1:1" x14ac:dyDescent="0.25">
      <c r="A547" s="1"/>
    </row>
    <row r="548" spans="1:1" x14ac:dyDescent="0.25">
      <c r="A548" s="1"/>
    </row>
    <row r="549" spans="1:1" x14ac:dyDescent="0.25">
      <c r="A549" s="1"/>
    </row>
    <row r="550" spans="1:1" x14ac:dyDescent="0.25">
      <c r="A550" s="1"/>
    </row>
    <row r="551" spans="1:1" x14ac:dyDescent="0.25">
      <c r="A551" s="1"/>
    </row>
    <row r="552" spans="1:1" x14ac:dyDescent="0.25">
      <c r="A552" s="1"/>
    </row>
    <row r="553" spans="1:1" x14ac:dyDescent="0.25">
      <c r="A553" s="1"/>
    </row>
    <row r="554" spans="1:1" x14ac:dyDescent="0.25">
      <c r="A554" s="1"/>
    </row>
    <row r="555" spans="1:1" x14ac:dyDescent="0.25">
      <c r="A555" s="1"/>
    </row>
    <row r="556" spans="1:1" x14ac:dyDescent="0.25">
      <c r="A556" s="1"/>
    </row>
    <row r="557" spans="1:1" x14ac:dyDescent="0.25">
      <c r="A557" s="1"/>
    </row>
    <row r="558" spans="1:1" x14ac:dyDescent="0.25">
      <c r="A558" s="1"/>
    </row>
    <row r="559" spans="1:1" x14ac:dyDescent="0.25">
      <c r="A559" s="1"/>
    </row>
    <row r="560" spans="1:1" x14ac:dyDescent="0.25">
      <c r="A560" s="1"/>
    </row>
    <row r="561" spans="1:1" x14ac:dyDescent="0.25">
      <c r="A561" s="1"/>
    </row>
    <row r="562" spans="1:1" x14ac:dyDescent="0.25">
      <c r="A562" s="1"/>
    </row>
    <row r="563" spans="1:1" x14ac:dyDescent="0.25">
      <c r="A563" s="1"/>
    </row>
    <row r="564" spans="1:1" x14ac:dyDescent="0.25">
      <c r="A564" s="1"/>
    </row>
    <row r="565" spans="1:1" x14ac:dyDescent="0.25">
      <c r="A565" s="1"/>
    </row>
    <row r="566" spans="1:1" x14ac:dyDescent="0.25">
      <c r="A566" s="1"/>
    </row>
    <row r="567" spans="1:1" x14ac:dyDescent="0.25">
      <c r="A567" s="1"/>
    </row>
    <row r="568" spans="1:1" x14ac:dyDescent="0.25">
      <c r="A568" s="1"/>
    </row>
    <row r="569" spans="1:1" x14ac:dyDescent="0.25">
      <c r="A569" s="1"/>
    </row>
    <row r="570" spans="1:1" x14ac:dyDescent="0.25">
      <c r="A570" s="1"/>
    </row>
    <row r="571" spans="1:1" x14ac:dyDescent="0.25">
      <c r="A571" s="1"/>
    </row>
    <row r="572" spans="1:1" x14ac:dyDescent="0.25">
      <c r="A572" s="1"/>
    </row>
    <row r="573" spans="1:1" x14ac:dyDescent="0.25">
      <c r="A573" s="1"/>
    </row>
    <row r="574" spans="1:1" x14ac:dyDescent="0.25">
      <c r="A574" s="1"/>
    </row>
    <row r="575" spans="1:1" x14ac:dyDescent="0.25">
      <c r="A575" s="1"/>
    </row>
    <row r="576" spans="1:1" x14ac:dyDescent="0.25">
      <c r="A576" s="1"/>
    </row>
    <row r="577" spans="1:1" x14ac:dyDescent="0.25">
      <c r="A577" s="1"/>
    </row>
    <row r="578" spans="1:1" x14ac:dyDescent="0.25">
      <c r="A578" s="1"/>
    </row>
    <row r="579" spans="1:1" x14ac:dyDescent="0.25">
      <c r="A579" s="1"/>
    </row>
    <row r="580" spans="1:1" x14ac:dyDescent="0.25">
      <c r="A580" s="1"/>
    </row>
    <row r="581" spans="1:1" x14ac:dyDescent="0.25">
      <c r="A581" s="1"/>
    </row>
    <row r="582" spans="1:1" x14ac:dyDescent="0.25">
      <c r="A582" s="1"/>
    </row>
    <row r="583" spans="1:1" x14ac:dyDescent="0.25">
      <c r="A583" s="1"/>
    </row>
    <row r="584" spans="1:1" x14ac:dyDescent="0.25">
      <c r="A584" s="1"/>
    </row>
    <row r="585" spans="1:1" x14ac:dyDescent="0.25">
      <c r="A585" s="1"/>
    </row>
    <row r="586" spans="1:1" x14ac:dyDescent="0.25">
      <c r="A586" s="1"/>
    </row>
    <row r="587" spans="1:1" x14ac:dyDescent="0.25">
      <c r="A587" s="1"/>
    </row>
    <row r="588" spans="1:1" x14ac:dyDescent="0.25">
      <c r="A588" s="1"/>
    </row>
    <row r="589" spans="1:1" x14ac:dyDescent="0.25">
      <c r="A589" s="1"/>
    </row>
    <row r="590" spans="1:1" x14ac:dyDescent="0.25">
      <c r="A590" s="1"/>
    </row>
    <row r="591" spans="1:1" x14ac:dyDescent="0.25">
      <c r="A591" s="1"/>
    </row>
    <row r="592" spans="1:1" x14ac:dyDescent="0.25">
      <c r="A592" s="1"/>
    </row>
    <row r="593" spans="1:1" x14ac:dyDescent="0.25">
      <c r="A593" s="1"/>
    </row>
    <row r="594" spans="1:1" x14ac:dyDescent="0.25">
      <c r="A594" s="1"/>
    </row>
    <row r="595" spans="1:1" x14ac:dyDescent="0.25">
      <c r="A595" s="1"/>
    </row>
    <row r="596" spans="1:1" x14ac:dyDescent="0.25">
      <c r="A596" s="1"/>
    </row>
    <row r="597" spans="1:1" x14ac:dyDescent="0.25">
      <c r="A597" s="1"/>
    </row>
    <row r="598" spans="1:1" x14ac:dyDescent="0.25">
      <c r="A598" s="1"/>
    </row>
    <row r="599" spans="1:1" x14ac:dyDescent="0.25">
      <c r="A599" s="1"/>
    </row>
    <row r="600" spans="1:1" x14ac:dyDescent="0.25">
      <c r="A600" s="1"/>
    </row>
    <row r="601" spans="1:1" x14ac:dyDescent="0.25">
      <c r="A601" s="1"/>
    </row>
    <row r="602" spans="1:1" x14ac:dyDescent="0.25">
      <c r="A602" s="1"/>
    </row>
    <row r="603" spans="1:1" x14ac:dyDescent="0.25">
      <c r="A603" s="1"/>
    </row>
    <row r="604" spans="1:1" x14ac:dyDescent="0.25">
      <c r="A604" s="1"/>
    </row>
    <row r="605" spans="1:1" x14ac:dyDescent="0.25">
      <c r="A605" s="1"/>
    </row>
    <row r="606" spans="1:1" x14ac:dyDescent="0.25">
      <c r="A606" s="1"/>
    </row>
    <row r="607" spans="1:1" x14ac:dyDescent="0.25">
      <c r="A607" s="1"/>
    </row>
    <row r="608" spans="1:1" x14ac:dyDescent="0.25">
      <c r="A608" s="1"/>
    </row>
    <row r="609" spans="1:1" x14ac:dyDescent="0.25">
      <c r="A609" s="1"/>
    </row>
    <row r="610" spans="1:1" x14ac:dyDescent="0.25">
      <c r="A610" s="1"/>
    </row>
    <row r="611" spans="1:1" x14ac:dyDescent="0.25">
      <c r="A611" s="1"/>
    </row>
    <row r="612" spans="1:1" x14ac:dyDescent="0.25">
      <c r="A612" s="1"/>
    </row>
    <row r="613" spans="1:1" x14ac:dyDescent="0.25">
      <c r="A613" s="1"/>
    </row>
    <row r="614" spans="1:1" x14ac:dyDescent="0.25">
      <c r="A614" s="1"/>
    </row>
    <row r="615" spans="1:1" x14ac:dyDescent="0.25">
      <c r="A615" s="1"/>
    </row>
    <row r="616" spans="1:1" x14ac:dyDescent="0.25">
      <c r="A616" s="1"/>
    </row>
    <row r="617" spans="1:1" x14ac:dyDescent="0.25">
      <c r="A617" s="1"/>
    </row>
    <row r="618" spans="1:1" x14ac:dyDescent="0.25">
      <c r="A618" s="1"/>
    </row>
    <row r="619" spans="1:1" x14ac:dyDescent="0.25">
      <c r="A619" s="1"/>
    </row>
    <row r="620" spans="1:1" x14ac:dyDescent="0.25">
      <c r="A620" s="1"/>
    </row>
    <row r="621" spans="1:1" x14ac:dyDescent="0.25">
      <c r="A621" s="1"/>
    </row>
    <row r="622" spans="1:1" x14ac:dyDescent="0.25">
      <c r="A622" s="1"/>
    </row>
    <row r="623" spans="1:1" x14ac:dyDescent="0.25">
      <c r="A623" s="1"/>
    </row>
    <row r="624" spans="1:1" x14ac:dyDescent="0.25">
      <c r="A624" s="1"/>
    </row>
    <row r="625" spans="1:1" x14ac:dyDescent="0.25">
      <c r="A625" s="1"/>
    </row>
    <row r="626" spans="1:1" x14ac:dyDescent="0.25">
      <c r="A626" s="1"/>
    </row>
    <row r="627" spans="1:1" x14ac:dyDescent="0.25">
      <c r="A627" s="1"/>
    </row>
    <row r="628" spans="1:1" x14ac:dyDescent="0.25">
      <c r="A628" s="1"/>
    </row>
    <row r="629" spans="1:1" x14ac:dyDescent="0.25">
      <c r="A629" s="1"/>
    </row>
    <row r="630" spans="1:1" x14ac:dyDescent="0.25">
      <c r="A630" s="1"/>
    </row>
    <row r="631" spans="1:1" x14ac:dyDescent="0.25">
      <c r="A631" s="1"/>
    </row>
    <row r="632" spans="1:1" x14ac:dyDescent="0.25">
      <c r="A632" s="1"/>
    </row>
    <row r="633" spans="1:1" x14ac:dyDescent="0.25">
      <c r="A633" s="1"/>
    </row>
    <row r="634" spans="1:1" x14ac:dyDescent="0.25">
      <c r="A634" s="1"/>
    </row>
    <row r="635" spans="1:1" x14ac:dyDescent="0.25">
      <c r="A635" s="1"/>
    </row>
    <row r="636" spans="1:1" x14ac:dyDescent="0.25">
      <c r="A636" s="1"/>
    </row>
    <row r="637" spans="1:1" x14ac:dyDescent="0.25">
      <c r="A637" s="1"/>
    </row>
    <row r="638" spans="1:1" x14ac:dyDescent="0.25">
      <c r="A638" s="1"/>
    </row>
    <row r="639" spans="1:1" x14ac:dyDescent="0.25">
      <c r="A639" s="1"/>
    </row>
    <row r="640" spans="1:1" x14ac:dyDescent="0.25">
      <c r="A640" s="1"/>
    </row>
    <row r="641" spans="1:1" x14ac:dyDescent="0.25">
      <c r="A641" s="1"/>
    </row>
    <row r="642" spans="1:1" x14ac:dyDescent="0.25">
      <c r="A642" s="1"/>
    </row>
    <row r="643" spans="1:1" x14ac:dyDescent="0.25">
      <c r="A643" s="1"/>
    </row>
    <row r="644" spans="1:1" x14ac:dyDescent="0.25">
      <c r="A644" s="1"/>
    </row>
    <row r="645" spans="1:1" x14ac:dyDescent="0.25">
      <c r="A645" s="1"/>
    </row>
    <row r="646" spans="1:1" x14ac:dyDescent="0.25">
      <c r="A646" s="1"/>
    </row>
    <row r="647" spans="1:1" x14ac:dyDescent="0.25">
      <c r="A647" s="1"/>
    </row>
    <row r="648" spans="1:1" x14ac:dyDescent="0.25">
      <c r="A648" s="1"/>
    </row>
    <row r="649" spans="1:1" x14ac:dyDescent="0.25">
      <c r="A649" s="1"/>
    </row>
    <row r="650" spans="1:1" x14ac:dyDescent="0.25">
      <c r="A650" s="1"/>
    </row>
    <row r="651" spans="1:1" x14ac:dyDescent="0.25">
      <c r="A651" s="1"/>
    </row>
    <row r="652" spans="1:1" x14ac:dyDescent="0.25">
      <c r="A652" s="1"/>
    </row>
    <row r="653" spans="1:1" x14ac:dyDescent="0.25">
      <c r="A653" s="1"/>
    </row>
    <row r="654" spans="1:1" x14ac:dyDescent="0.25">
      <c r="A654" s="1"/>
    </row>
    <row r="655" spans="1:1" x14ac:dyDescent="0.25">
      <c r="A655" s="1"/>
    </row>
    <row r="656" spans="1:1" x14ac:dyDescent="0.25">
      <c r="A656" s="1"/>
    </row>
    <row r="657" spans="1:1" x14ac:dyDescent="0.25">
      <c r="A657" s="1"/>
    </row>
    <row r="658" spans="1:1" x14ac:dyDescent="0.25">
      <c r="A658" s="1"/>
    </row>
    <row r="659" spans="1:1" x14ac:dyDescent="0.25">
      <c r="A659" s="1"/>
    </row>
    <row r="660" spans="1:1" x14ac:dyDescent="0.25">
      <c r="A660" s="1"/>
    </row>
    <row r="661" spans="1:1" x14ac:dyDescent="0.25">
      <c r="A661" s="1"/>
    </row>
    <row r="662" spans="1:1" x14ac:dyDescent="0.25">
      <c r="A662" s="1"/>
    </row>
    <row r="663" spans="1:1" x14ac:dyDescent="0.25">
      <c r="A663" s="1"/>
    </row>
    <row r="664" spans="1:1" x14ac:dyDescent="0.25">
      <c r="A664" s="1"/>
    </row>
    <row r="665" spans="1:1" x14ac:dyDescent="0.25">
      <c r="A665" s="1"/>
    </row>
    <row r="666" spans="1:1" x14ac:dyDescent="0.25">
      <c r="A666" s="1"/>
    </row>
    <row r="667" spans="1:1" x14ac:dyDescent="0.25">
      <c r="A667" s="1"/>
    </row>
    <row r="668" spans="1:1" x14ac:dyDescent="0.25">
      <c r="A668" s="1"/>
    </row>
    <row r="669" spans="1:1" x14ac:dyDescent="0.25">
      <c r="A669" s="1"/>
    </row>
    <row r="670" spans="1:1" x14ac:dyDescent="0.25">
      <c r="A670" s="1"/>
    </row>
    <row r="671" spans="1:1" x14ac:dyDescent="0.25">
      <c r="A671" s="1"/>
    </row>
    <row r="672" spans="1:1" x14ac:dyDescent="0.25">
      <c r="A672" s="1"/>
    </row>
    <row r="673" spans="1:1" x14ac:dyDescent="0.25">
      <c r="A673" s="1"/>
    </row>
    <row r="674" spans="1:1" x14ac:dyDescent="0.25">
      <c r="A674" s="1"/>
    </row>
    <row r="675" spans="1:1" x14ac:dyDescent="0.25">
      <c r="A675" s="1"/>
    </row>
    <row r="676" spans="1:1" x14ac:dyDescent="0.25">
      <c r="A676" s="1"/>
    </row>
    <row r="677" spans="1:1" x14ac:dyDescent="0.25">
      <c r="A677" s="1"/>
    </row>
    <row r="678" spans="1:1" x14ac:dyDescent="0.25">
      <c r="A678" s="1"/>
    </row>
    <row r="679" spans="1:1" x14ac:dyDescent="0.25">
      <c r="A679" s="1"/>
    </row>
    <row r="680" spans="1:1" x14ac:dyDescent="0.25">
      <c r="A680" s="1"/>
    </row>
    <row r="681" spans="1:1" x14ac:dyDescent="0.25">
      <c r="A681" s="1"/>
    </row>
    <row r="682" spans="1:1" x14ac:dyDescent="0.25">
      <c r="A682" s="1"/>
    </row>
    <row r="683" spans="1:1" x14ac:dyDescent="0.25">
      <c r="A683" s="1"/>
    </row>
    <row r="684" spans="1:1" x14ac:dyDescent="0.25">
      <c r="A684" s="1"/>
    </row>
    <row r="685" spans="1:1" x14ac:dyDescent="0.25">
      <c r="A685" s="1"/>
    </row>
    <row r="686" spans="1:1" x14ac:dyDescent="0.25">
      <c r="A686" s="1"/>
    </row>
    <row r="687" spans="1:1" x14ac:dyDescent="0.25">
      <c r="A687" s="1"/>
    </row>
    <row r="688" spans="1:1" x14ac:dyDescent="0.25">
      <c r="A688" s="1"/>
    </row>
    <row r="689" spans="1:1" x14ac:dyDescent="0.25">
      <c r="A689" s="1"/>
    </row>
    <row r="690" spans="1:1" x14ac:dyDescent="0.25">
      <c r="A690" s="1"/>
    </row>
    <row r="691" spans="1:1" x14ac:dyDescent="0.25">
      <c r="A691" s="1"/>
    </row>
    <row r="692" spans="1:1" x14ac:dyDescent="0.25">
      <c r="A692" s="1"/>
    </row>
    <row r="693" spans="1:1" x14ac:dyDescent="0.25">
      <c r="A693" s="1"/>
    </row>
    <row r="694" spans="1:1" x14ac:dyDescent="0.25">
      <c r="A694" s="1"/>
    </row>
    <row r="695" spans="1:1" x14ac:dyDescent="0.25">
      <c r="A695" s="1"/>
    </row>
    <row r="696" spans="1:1" x14ac:dyDescent="0.25">
      <c r="A696" s="1"/>
    </row>
    <row r="697" spans="1:1" x14ac:dyDescent="0.25">
      <c r="A697" s="1"/>
    </row>
    <row r="698" spans="1:1" x14ac:dyDescent="0.25">
      <c r="A698" s="1"/>
    </row>
    <row r="699" spans="1:1" x14ac:dyDescent="0.25">
      <c r="A699" s="1"/>
    </row>
    <row r="700" spans="1:1" x14ac:dyDescent="0.25">
      <c r="A700" s="1"/>
    </row>
    <row r="701" spans="1:1" x14ac:dyDescent="0.25">
      <c r="A701" s="1"/>
    </row>
    <row r="702" spans="1:1" x14ac:dyDescent="0.25">
      <c r="A702" s="1"/>
    </row>
    <row r="703" spans="1:1" x14ac:dyDescent="0.25">
      <c r="A703" s="1"/>
    </row>
    <row r="704" spans="1:1" x14ac:dyDescent="0.25">
      <c r="A704" s="1"/>
    </row>
    <row r="705" spans="1:1" x14ac:dyDescent="0.25">
      <c r="A705" s="1"/>
    </row>
    <row r="706" spans="1:1" x14ac:dyDescent="0.25">
      <c r="A706" s="1"/>
    </row>
    <row r="707" spans="1:1" x14ac:dyDescent="0.25">
      <c r="A707" s="1"/>
    </row>
    <row r="708" spans="1:1" x14ac:dyDescent="0.25">
      <c r="A708" s="1"/>
    </row>
    <row r="709" spans="1:1" x14ac:dyDescent="0.25">
      <c r="A709" s="1"/>
    </row>
    <row r="710" spans="1:1" x14ac:dyDescent="0.25">
      <c r="A710" s="1"/>
    </row>
    <row r="711" spans="1:1" x14ac:dyDescent="0.25">
      <c r="A711" s="1"/>
    </row>
    <row r="712" spans="1:1" x14ac:dyDescent="0.25">
      <c r="A712" s="1"/>
    </row>
    <row r="713" spans="1:1" x14ac:dyDescent="0.25">
      <c r="A713" s="1"/>
    </row>
    <row r="714" spans="1:1" x14ac:dyDescent="0.25">
      <c r="A714" s="1"/>
    </row>
    <row r="715" spans="1:1" x14ac:dyDescent="0.25">
      <c r="A715" s="1"/>
    </row>
    <row r="716" spans="1:1" x14ac:dyDescent="0.25">
      <c r="A716" s="1"/>
    </row>
    <row r="717" spans="1:1" x14ac:dyDescent="0.25">
      <c r="A717" s="1"/>
    </row>
    <row r="718" spans="1:1" x14ac:dyDescent="0.25">
      <c r="A718" s="1"/>
    </row>
    <row r="719" spans="1:1" x14ac:dyDescent="0.25">
      <c r="A719" s="1"/>
    </row>
    <row r="720" spans="1:1" x14ac:dyDescent="0.25">
      <c r="A720" s="1"/>
    </row>
    <row r="721" spans="1:1" x14ac:dyDescent="0.25">
      <c r="A721" s="1"/>
    </row>
    <row r="722" spans="1:1" x14ac:dyDescent="0.25">
      <c r="A722" s="1"/>
    </row>
    <row r="723" spans="1:1" x14ac:dyDescent="0.25">
      <c r="A723" s="1"/>
    </row>
    <row r="724" spans="1:1" x14ac:dyDescent="0.25">
      <c r="A724" s="1"/>
    </row>
    <row r="725" spans="1:1" x14ac:dyDescent="0.25">
      <c r="A725" s="1"/>
    </row>
    <row r="726" spans="1:1" x14ac:dyDescent="0.25">
      <c r="A726" s="1"/>
    </row>
    <row r="727" spans="1:1" x14ac:dyDescent="0.25">
      <c r="A727" s="1"/>
    </row>
    <row r="728" spans="1:1" x14ac:dyDescent="0.25">
      <c r="A728" s="1"/>
    </row>
    <row r="729" spans="1:1" x14ac:dyDescent="0.25">
      <c r="A729" s="1"/>
    </row>
    <row r="730" spans="1:1" x14ac:dyDescent="0.25">
      <c r="A730" s="1"/>
    </row>
    <row r="731" spans="1:1" x14ac:dyDescent="0.25">
      <c r="A731" s="1"/>
    </row>
    <row r="732" spans="1:1" x14ac:dyDescent="0.25">
      <c r="A732" s="1"/>
    </row>
    <row r="733" spans="1:1" x14ac:dyDescent="0.25">
      <c r="A733" s="1"/>
    </row>
    <row r="734" spans="1:1" x14ac:dyDescent="0.25">
      <c r="A734" s="1"/>
    </row>
    <row r="735" spans="1:1" x14ac:dyDescent="0.25">
      <c r="A735" s="1"/>
    </row>
    <row r="736" spans="1:1" x14ac:dyDescent="0.25">
      <c r="A736" s="1"/>
    </row>
    <row r="737" spans="1:1" x14ac:dyDescent="0.25">
      <c r="A737" s="1"/>
    </row>
    <row r="738" spans="1:1" x14ac:dyDescent="0.25">
      <c r="A738" s="1"/>
    </row>
    <row r="739" spans="1:1" x14ac:dyDescent="0.25">
      <c r="A739" s="1"/>
    </row>
    <row r="740" spans="1:1" x14ac:dyDescent="0.25">
      <c r="A740" s="1"/>
    </row>
    <row r="741" spans="1:1" x14ac:dyDescent="0.25">
      <c r="A741" s="1"/>
    </row>
    <row r="742" spans="1:1" x14ac:dyDescent="0.25">
      <c r="A742" s="1"/>
    </row>
    <row r="743" spans="1:1" x14ac:dyDescent="0.25">
      <c r="A743" s="1"/>
    </row>
    <row r="744" spans="1:1" x14ac:dyDescent="0.25">
      <c r="A744" s="1"/>
    </row>
    <row r="745" spans="1:1" x14ac:dyDescent="0.25">
      <c r="A745" s="1"/>
    </row>
    <row r="746" spans="1:1" x14ac:dyDescent="0.25">
      <c r="A746" s="1"/>
    </row>
    <row r="747" spans="1:1" x14ac:dyDescent="0.25">
      <c r="A747" s="1"/>
    </row>
    <row r="748" spans="1:1" x14ac:dyDescent="0.25">
      <c r="A748" s="1"/>
    </row>
    <row r="749" spans="1:1" x14ac:dyDescent="0.25">
      <c r="A749" s="1"/>
    </row>
    <row r="750" spans="1:1" x14ac:dyDescent="0.25">
      <c r="A750" s="1"/>
    </row>
    <row r="751" spans="1:1" x14ac:dyDescent="0.25">
      <c r="A751" s="1"/>
    </row>
    <row r="752" spans="1:1" x14ac:dyDescent="0.25">
      <c r="A752" s="1"/>
    </row>
    <row r="753" spans="1:1" x14ac:dyDescent="0.25">
      <c r="A753" s="1"/>
    </row>
    <row r="754" spans="1:1" x14ac:dyDescent="0.25">
      <c r="A754" s="1"/>
    </row>
    <row r="755" spans="1:1" x14ac:dyDescent="0.25">
      <c r="A755" s="1"/>
    </row>
    <row r="756" spans="1:1" x14ac:dyDescent="0.25">
      <c r="A756" s="1"/>
    </row>
    <row r="757" spans="1:1" x14ac:dyDescent="0.25">
      <c r="A757" s="1"/>
    </row>
    <row r="758" spans="1:1" x14ac:dyDescent="0.25">
      <c r="A758" s="1"/>
    </row>
    <row r="759" spans="1:1" x14ac:dyDescent="0.25">
      <c r="A759" s="1"/>
    </row>
    <row r="760" spans="1:1" x14ac:dyDescent="0.25">
      <c r="A760" s="1"/>
    </row>
    <row r="761" spans="1:1" x14ac:dyDescent="0.25">
      <c r="A761" s="1"/>
    </row>
    <row r="762" spans="1:1" x14ac:dyDescent="0.25">
      <c r="A762" s="1"/>
    </row>
    <row r="763" spans="1:1" x14ac:dyDescent="0.25">
      <c r="A763" s="1"/>
    </row>
    <row r="764" spans="1:1" x14ac:dyDescent="0.25">
      <c r="A764" s="1"/>
    </row>
    <row r="765" spans="1:1" x14ac:dyDescent="0.25">
      <c r="A765" s="1"/>
    </row>
    <row r="766" spans="1:1" x14ac:dyDescent="0.25">
      <c r="A766" s="1"/>
    </row>
    <row r="767" spans="1:1" x14ac:dyDescent="0.25">
      <c r="A767" s="1"/>
    </row>
    <row r="768" spans="1:1" x14ac:dyDescent="0.25">
      <c r="A768" s="1"/>
    </row>
    <row r="769" spans="1:1" x14ac:dyDescent="0.25">
      <c r="A769" s="1"/>
    </row>
    <row r="770" spans="1:1" x14ac:dyDescent="0.25">
      <c r="A770" s="1"/>
    </row>
    <row r="771" spans="1:1" x14ac:dyDescent="0.25">
      <c r="A771" s="1"/>
    </row>
    <row r="772" spans="1:1" x14ac:dyDescent="0.25">
      <c r="A772" s="1"/>
    </row>
    <row r="773" spans="1:1" x14ac:dyDescent="0.25">
      <c r="A773" s="1"/>
    </row>
    <row r="774" spans="1:1" x14ac:dyDescent="0.25">
      <c r="A774" s="1"/>
    </row>
    <row r="775" spans="1:1" x14ac:dyDescent="0.25">
      <c r="A775" s="1"/>
    </row>
    <row r="776" spans="1:1" x14ac:dyDescent="0.25">
      <c r="A776" s="1"/>
    </row>
    <row r="777" spans="1:1" x14ac:dyDescent="0.25">
      <c r="A777" s="1"/>
    </row>
    <row r="778" spans="1:1" x14ac:dyDescent="0.25">
      <c r="A778" s="1"/>
    </row>
    <row r="779" spans="1:1" x14ac:dyDescent="0.25">
      <c r="A779" s="1"/>
    </row>
    <row r="780" spans="1:1" x14ac:dyDescent="0.25">
      <c r="A780" s="1"/>
    </row>
    <row r="781" spans="1:1" x14ac:dyDescent="0.25">
      <c r="A781" s="1"/>
    </row>
    <row r="782" spans="1:1" x14ac:dyDescent="0.25">
      <c r="A782" s="1"/>
    </row>
    <row r="783" spans="1:1" x14ac:dyDescent="0.25">
      <c r="A783" s="1"/>
    </row>
    <row r="784" spans="1:1" x14ac:dyDescent="0.25">
      <c r="A784" s="1"/>
    </row>
    <row r="785" spans="1:1" x14ac:dyDescent="0.25">
      <c r="A785" s="1"/>
    </row>
    <row r="786" spans="1:1" x14ac:dyDescent="0.25">
      <c r="A786" s="1"/>
    </row>
    <row r="787" spans="1:1" x14ac:dyDescent="0.25">
      <c r="A787" s="1"/>
    </row>
    <row r="788" spans="1:1" x14ac:dyDescent="0.25">
      <c r="A788" s="1"/>
    </row>
    <row r="789" spans="1:1" x14ac:dyDescent="0.25">
      <c r="A789" s="1"/>
    </row>
    <row r="790" spans="1:1" x14ac:dyDescent="0.25">
      <c r="A790" s="1"/>
    </row>
    <row r="791" spans="1:1" x14ac:dyDescent="0.25">
      <c r="A791" s="1"/>
    </row>
    <row r="792" spans="1:1" x14ac:dyDescent="0.25">
      <c r="A792" s="1"/>
    </row>
    <row r="793" spans="1:1" x14ac:dyDescent="0.25">
      <c r="A793" s="1"/>
    </row>
    <row r="794" spans="1:1" x14ac:dyDescent="0.25">
      <c r="A794" s="1"/>
    </row>
    <row r="795" spans="1:1" x14ac:dyDescent="0.25">
      <c r="A795" s="1"/>
    </row>
    <row r="796" spans="1:1" x14ac:dyDescent="0.25">
      <c r="A796" s="1"/>
    </row>
    <row r="797" spans="1:1" x14ac:dyDescent="0.25">
      <c r="A797" s="1"/>
    </row>
    <row r="798" spans="1:1" x14ac:dyDescent="0.25">
      <c r="A798" s="1"/>
    </row>
    <row r="799" spans="1:1" x14ac:dyDescent="0.25">
      <c r="A799" s="1"/>
    </row>
    <row r="800" spans="1:1" x14ac:dyDescent="0.25">
      <c r="A800" s="1"/>
    </row>
    <row r="801" spans="1:1" x14ac:dyDescent="0.25">
      <c r="A801" s="1"/>
    </row>
    <row r="802" spans="1:1" x14ac:dyDescent="0.25">
      <c r="A802" s="1"/>
    </row>
    <row r="803" spans="1:1" x14ac:dyDescent="0.25">
      <c r="A803" s="1"/>
    </row>
    <row r="804" spans="1:1" x14ac:dyDescent="0.25">
      <c r="A804" s="1"/>
    </row>
    <row r="805" spans="1:1" x14ac:dyDescent="0.25">
      <c r="A805" s="1"/>
    </row>
    <row r="806" spans="1:1" x14ac:dyDescent="0.25">
      <c r="A806" s="1"/>
    </row>
    <row r="807" spans="1:1" x14ac:dyDescent="0.25">
      <c r="A807" s="1"/>
    </row>
    <row r="808" spans="1:1" x14ac:dyDescent="0.25">
      <c r="A808" s="1"/>
    </row>
    <row r="809" spans="1:1" x14ac:dyDescent="0.25">
      <c r="A809" s="1"/>
    </row>
    <row r="810" spans="1:1" x14ac:dyDescent="0.25">
      <c r="A810" s="1"/>
    </row>
    <row r="811" spans="1:1" x14ac:dyDescent="0.25">
      <c r="A811" s="1"/>
    </row>
    <row r="812" spans="1:1" x14ac:dyDescent="0.25">
      <c r="A812" s="1"/>
    </row>
    <row r="813" spans="1:1" x14ac:dyDescent="0.25">
      <c r="A813" s="1"/>
    </row>
    <row r="814" spans="1:1" x14ac:dyDescent="0.25">
      <c r="A814" s="1"/>
    </row>
    <row r="815" spans="1:1" x14ac:dyDescent="0.25">
      <c r="A815" s="1"/>
    </row>
    <row r="816" spans="1:1" x14ac:dyDescent="0.25">
      <c r="A816" s="1"/>
    </row>
    <row r="817" spans="1:1" x14ac:dyDescent="0.25">
      <c r="A817" s="1"/>
    </row>
    <row r="818" spans="1:1" x14ac:dyDescent="0.25">
      <c r="A818" s="1"/>
    </row>
    <row r="819" spans="1:1" x14ac:dyDescent="0.25">
      <c r="A819" s="1"/>
    </row>
    <row r="820" spans="1:1" x14ac:dyDescent="0.25">
      <c r="A820" s="1"/>
    </row>
    <row r="821" spans="1:1" x14ac:dyDescent="0.25">
      <c r="A821" s="1"/>
    </row>
    <row r="822" spans="1:1" x14ac:dyDescent="0.25">
      <c r="A822" s="1"/>
    </row>
    <row r="823" spans="1:1" x14ac:dyDescent="0.25">
      <c r="A823" s="1"/>
    </row>
    <row r="824" spans="1:1" x14ac:dyDescent="0.25">
      <c r="A824" s="1"/>
    </row>
    <row r="825" spans="1:1" x14ac:dyDescent="0.25">
      <c r="A825" s="1"/>
    </row>
    <row r="826" spans="1:1" x14ac:dyDescent="0.25">
      <c r="A826" s="1"/>
    </row>
    <row r="827" spans="1:1" x14ac:dyDescent="0.25">
      <c r="A827" s="1"/>
    </row>
    <row r="828" spans="1:1" x14ac:dyDescent="0.25">
      <c r="A828" s="1"/>
    </row>
    <row r="829" spans="1:1" x14ac:dyDescent="0.25">
      <c r="A829" s="1"/>
    </row>
    <row r="830" spans="1:1" x14ac:dyDescent="0.25">
      <c r="A830" s="1"/>
    </row>
    <row r="831" spans="1:1" x14ac:dyDescent="0.25">
      <c r="A831" s="1"/>
    </row>
    <row r="832" spans="1:1" x14ac:dyDescent="0.25">
      <c r="A832" s="1"/>
    </row>
    <row r="833" spans="1:1" x14ac:dyDescent="0.25">
      <c r="A833" s="1"/>
    </row>
    <row r="834" spans="1:1" x14ac:dyDescent="0.25">
      <c r="A834" s="1"/>
    </row>
    <row r="835" spans="1:1" x14ac:dyDescent="0.25">
      <c r="A835" s="1"/>
    </row>
    <row r="836" spans="1:1" x14ac:dyDescent="0.25">
      <c r="A836" s="1"/>
    </row>
    <row r="837" spans="1:1" x14ac:dyDescent="0.25">
      <c r="A837" s="1"/>
    </row>
    <row r="838" spans="1:1" x14ac:dyDescent="0.25">
      <c r="A838" s="1"/>
    </row>
    <row r="839" spans="1:1" x14ac:dyDescent="0.25">
      <c r="A839" s="1"/>
    </row>
    <row r="840" spans="1:1" x14ac:dyDescent="0.25">
      <c r="A840" s="1"/>
    </row>
    <row r="841" spans="1:1" x14ac:dyDescent="0.25">
      <c r="A841" s="1"/>
    </row>
    <row r="842" spans="1:1" x14ac:dyDescent="0.25">
      <c r="A842" s="1"/>
    </row>
    <row r="843" spans="1:1" x14ac:dyDescent="0.25">
      <c r="A843" s="1"/>
    </row>
    <row r="844" spans="1:1" x14ac:dyDescent="0.25">
      <c r="A844" s="1"/>
    </row>
    <row r="845" spans="1:1" x14ac:dyDescent="0.25">
      <c r="A845" s="1"/>
    </row>
    <row r="846" spans="1:1" x14ac:dyDescent="0.25">
      <c r="A846" s="1"/>
    </row>
    <row r="847" spans="1:1" x14ac:dyDescent="0.25">
      <c r="A847" s="1"/>
    </row>
    <row r="848" spans="1:1" x14ac:dyDescent="0.25">
      <c r="A848" s="1"/>
    </row>
    <row r="849" spans="1:1" x14ac:dyDescent="0.25">
      <c r="A849" s="1"/>
    </row>
    <row r="850" spans="1:1" x14ac:dyDescent="0.25">
      <c r="A850" s="1"/>
    </row>
    <row r="851" spans="1:1" x14ac:dyDescent="0.25">
      <c r="A851" s="1"/>
    </row>
    <row r="852" spans="1:1" x14ac:dyDescent="0.25">
      <c r="A852" s="1"/>
    </row>
    <row r="853" spans="1:1" x14ac:dyDescent="0.25">
      <c r="A853" s="1"/>
    </row>
    <row r="854" spans="1:1" x14ac:dyDescent="0.25">
      <c r="A854" s="1"/>
    </row>
    <row r="855" spans="1:1" x14ac:dyDescent="0.25">
      <c r="A855" s="1"/>
    </row>
    <row r="856" spans="1:1" x14ac:dyDescent="0.25">
      <c r="A856" s="1"/>
    </row>
    <row r="857" spans="1:1" x14ac:dyDescent="0.25">
      <c r="A857" s="1"/>
    </row>
    <row r="858" spans="1:1" x14ac:dyDescent="0.25">
      <c r="A858" s="1"/>
    </row>
    <row r="859" spans="1:1" x14ac:dyDescent="0.25">
      <c r="A859" s="1"/>
    </row>
    <row r="860" spans="1:1" x14ac:dyDescent="0.25">
      <c r="A860" s="1"/>
    </row>
    <row r="861" spans="1:1" x14ac:dyDescent="0.25">
      <c r="A861" s="1"/>
    </row>
    <row r="862" spans="1:1" x14ac:dyDescent="0.25">
      <c r="A862" s="1"/>
    </row>
    <row r="863" spans="1:1" x14ac:dyDescent="0.25">
      <c r="A863" s="1"/>
    </row>
    <row r="864" spans="1:1" x14ac:dyDescent="0.25">
      <c r="A864" s="1"/>
    </row>
    <row r="865" spans="1:1" x14ac:dyDescent="0.25">
      <c r="A865" s="1"/>
    </row>
    <row r="866" spans="1:1" x14ac:dyDescent="0.25">
      <c r="A866" s="1"/>
    </row>
    <row r="867" spans="1:1" x14ac:dyDescent="0.25">
      <c r="A867" s="1"/>
    </row>
    <row r="868" spans="1:1" x14ac:dyDescent="0.25">
      <c r="A868" s="1"/>
    </row>
    <row r="869" spans="1:1" x14ac:dyDescent="0.25">
      <c r="A869" s="1"/>
    </row>
    <row r="870" spans="1:1" x14ac:dyDescent="0.25">
      <c r="A870" s="1"/>
    </row>
    <row r="871" spans="1:1" x14ac:dyDescent="0.25">
      <c r="A871" s="1"/>
    </row>
    <row r="872" spans="1:1" x14ac:dyDescent="0.25">
      <c r="A872" s="1"/>
    </row>
    <row r="873" spans="1:1" x14ac:dyDescent="0.25">
      <c r="A873" s="1"/>
    </row>
    <row r="874" spans="1:1" x14ac:dyDescent="0.25">
      <c r="A874" s="1"/>
    </row>
    <row r="875" spans="1:1" x14ac:dyDescent="0.25">
      <c r="A875" s="1"/>
    </row>
    <row r="876" spans="1:1" x14ac:dyDescent="0.25">
      <c r="A876" s="1"/>
    </row>
    <row r="877" spans="1:1" x14ac:dyDescent="0.25">
      <c r="A877" s="1"/>
    </row>
    <row r="878" spans="1:1" x14ac:dyDescent="0.25">
      <c r="A878" s="1"/>
    </row>
    <row r="879" spans="1:1" x14ac:dyDescent="0.25">
      <c r="A879" s="1"/>
    </row>
    <row r="880" spans="1:1" x14ac:dyDescent="0.25">
      <c r="A880" s="1"/>
    </row>
    <row r="881" spans="1:1" x14ac:dyDescent="0.25">
      <c r="A881" s="1"/>
    </row>
    <row r="882" spans="1:1" x14ac:dyDescent="0.25">
      <c r="A882" s="1"/>
    </row>
    <row r="883" spans="1:1" x14ac:dyDescent="0.25">
      <c r="A883" s="1"/>
    </row>
    <row r="884" spans="1:1" x14ac:dyDescent="0.25">
      <c r="A884" s="1"/>
    </row>
    <row r="885" spans="1:1" x14ac:dyDescent="0.25">
      <c r="A885" s="1"/>
    </row>
    <row r="886" spans="1:1" x14ac:dyDescent="0.25">
      <c r="A886" s="1"/>
    </row>
    <row r="887" spans="1:1" x14ac:dyDescent="0.25">
      <c r="A887" s="1"/>
    </row>
    <row r="888" spans="1:1" x14ac:dyDescent="0.25">
      <c r="A888" s="1"/>
    </row>
    <row r="889" spans="1:1" x14ac:dyDescent="0.25">
      <c r="A889" s="1"/>
    </row>
    <row r="890" spans="1:1" x14ac:dyDescent="0.25">
      <c r="A890" s="1"/>
    </row>
    <row r="891" spans="1:1" x14ac:dyDescent="0.25">
      <c r="A891" s="1"/>
    </row>
    <row r="892" spans="1:1" x14ac:dyDescent="0.25">
      <c r="A892" s="1"/>
    </row>
    <row r="893" spans="1:1" x14ac:dyDescent="0.25">
      <c r="A893" s="1"/>
    </row>
    <row r="894" spans="1:1" x14ac:dyDescent="0.25">
      <c r="A894" s="1"/>
    </row>
    <row r="895" spans="1:1" x14ac:dyDescent="0.25">
      <c r="A895" s="1"/>
    </row>
    <row r="896" spans="1:1" x14ac:dyDescent="0.25">
      <c r="A896" s="1"/>
    </row>
    <row r="897" spans="1:1" x14ac:dyDescent="0.25">
      <c r="A897" s="1"/>
    </row>
    <row r="898" spans="1:1" x14ac:dyDescent="0.25">
      <c r="A898" s="1"/>
    </row>
    <row r="899" spans="1:1" x14ac:dyDescent="0.25">
      <c r="A899" s="1"/>
    </row>
    <row r="900" spans="1:1" x14ac:dyDescent="0.25">
      <c r="A900" s="1"/>
    </row>
    <row r="901" spans="1:1" x14ac:dyDescent="0.25">
      <c r="A901" s="1"/>
    </row>
    <row r="902" spans="1:1" x14ac:dyDescent="0.25">
      <c r="A902" s="1"/>
    </row>
    <row r="903" spans="1:1" x14ac:dyDescent="0.25">
      <c r="A903" s="1"/>
    </row>
    <row r="904" spans="1:1" x14ac:dyDescent="0.25">
      <c r="A904" s="1"/>
    </row>
    <row r="905" spans="1:1" x14ac:dyDescent="0.25">
      <c r="A905" s="1"/>
    </row>
    <row r="906" spans="1:1" x14ac:dyDescent="0.25">
      <c r="A906" s="1"/>
    </row>
    <row r="907" spans="1:1" x14ac:dyDescent="0.25">
      <c r="A907" s="1"/>
    </row>
    <row r="908" spans="1:1" x14ac:dyDescent="0.25">
      <c r="A908" s="1"/>
    </row>
    <row r="909" spans="1:1" x14ac:dyDescent="0.25">
      <c r="A909" s="1"/>
    </row>
    <row r="910" spans="1:1" x14ac:dyDescent="0.25">
      <c r="A910" s="1"/>
    </row>
    <row r="911" spans="1:1" x14ac:dyDescent="0.25">
      <c r="A911" s="1"/>
    </row>
    <row r="912" spans="1:1" x14ac:dyDescent="0.25">
      <c r="A912" s="1"/>
    </row>
    <row r="913" spans="1:1" x14ac:dyDescent="0.25">
      <c r="A913" s="1"/>
    </row>
    <row r="914" spans="1:1" x14ac:dyDescent="0.25">
      <c r="A914" s="1"/>
    </row>
    <row r="915" spans="1:1" x14ac:dyDescent="0.25">
      <c r="A915" s="1"/>
    </row>
    <row r="916" spans="1:1" x14ac:dyDescent="0.25">
      <c r="A916" s="1"/>
    </row>
    <row r="917" spans="1:1" x14ac:dyDescent="0.25">
      <c r="A917" s="1"/>
    </row>
    <row r="918" spans="1:1" x14ac:dyDescent="0.25">
      <c r="A918" s="1"/>
    </row>
    <row r="919" spans="1:1" x14ac:dyDescent="0.25">
      <c r="A919" s="1"/>
    </row>
    <row r="920" spans="1:1" x14ac:dyDescent="0.25">
      <c r="A920" s="1"/>
    </row>
    <row r="921" spans="1:1" x14ac:dyDescent="0.25">
      <c r="A921" s="1"/>
    </row>
    <row r="922" spans="1:1" x14ac:dyDescent="0.25">
      <c r="A922" s="1"/>
    </row>
    <row r="923" spans="1:1" x14ac:dyDescent="0.25">
      <c r="A923" s="1"/>
    </row>
    <row r="924" spans="1:1" x14ac:dyDescent="0.25">
      <c r="A924" s="1"/>
    </row>
    <row r="925" spans="1:1" x14ac:dyDescent="0.25">
      <c r="A925" s="1"/>
    </row>
    <row r="926" spans="1:1" x14ac:dyDescent="0.25">
      <c r="A926" s="1"/>
    </row>
    <row r="927" spans="1:1" x14ac:dyDescent="0.25">
      <c r="A927" s="1"/>
    </row>
    <row r="928" spans="1:1" x14ac:dyDescent="0.25">
      <c r="A928" s="1"/>
    </row>
    <row r="929" spans="1:1" x14ac:dyDescent="0.25">
      <c r="A929" s="1"/>
    </row>
    <row r="930" spans="1:1" x14ac:dyDescent="0.25">
      <c r="A930" s="1"/>
    </row>
    <row r="931" spans="1:1" x14ac:dyDescent="0.25">
      <c r="A931" s="1"/>
    </row>
    <row r="932" spans="1:1" x14ac:dyDescent="0.25">
      <c r="A932" s="1"/>
    </row>
    <row r="933" spans="1:1" x14ac:dyDescent="0.25">
      <c r="A933" s="1"/>
    </row>
    <row r="934" spans="1:1" x14ac:dyDescent="0.25">
      <c r="A934" s="1"/>
    </row>
    <row r="935" spans="1:1" x14ac:dyDescent="0.25">
      <c r="A935" s="1"/>
    </row>
    <row r="936" spans="1:1" x14ac:dyDescent="0.25">
      <c r="A936" s="1"/>
    </row>
    <row r="937" spans="1:1" x14ac:dyDescent="0.25">
      <c r="A937" s="1"/>
    </row>
    <row r="938" spans="1:1" x14ac:dyDescent="0.25">
      <c r="A938" s="1"/>
    </row>
    <row r="939" spans="1:1" x14ac:dyDescent="0.25">
      <c r="A939" s="1"/>
    </row>
    <row r="940" spans="1:1" x14ac:dyDescent="0.25">
      <c r="A940" s="1"/>
    </row>
    <row r="941" spans="1:1" x14ac:dyDescent="0.25">
      <c r="A941" s="1"/>
    </row>
    <row r="942" spans="1:1" x14ac:dyDescent="0.25">
      <c r="A942" s="1"/>
    </row>
    <row r="943" spans="1:1" x14ac:dyDescent="0.25">
      <c r="A943" s="1"/>
    </row>
    <row r="944" spans="1:1" x14ac:dyDescent="0.25">
      <c r="A944" s="1"/>
    </row>
    <row r="945" spans="1:1" x14ac:dyDescent="0.25">
      <c r="A945" s="1"/>
    </row>
    <row r="946" spans="1:1" x14ac:dyDescent="0.25">
      <c r="A946" s="1"/>
    </row>
    <row r="947" spans="1:1" x14ac:dyDescent="0.25">
      <c r="A947" s="1"/>
    </row>
    <row r="948" spans="1:1" x14ac:dyDescent="0.25">
      <c r="A948" s="1"/>
    </row>
    <row r="949" spans="1:1" x14ac:dyDescent="0.25">
      <c r="A949" s="1"/>
    </row>
    <row r="950" spans="1:1" x14ac:dyDescent="0.25">
      <c r="A950" s="1"/>
    </row>
    <row r="951" spans="1:1" x14ac:dyDescent="0.25">
      <c r="A951" s="1"/>
    </row>
    <row r="952" spans="1:1" x14ac:dyDescent="0.25">
      <c r="A952" s="1"/>
    </row>
    <row r="953" spans="1:1" x14ac:dyDescent="0.25">
      <c r="A953" s="1"/>
    </row>
    <row r="954" spans="1:1" x14ac:dyDescent="0.25">
      <c r="A954" s="1"/>
    </row>
    <row r="955" spans="1:1" x14ac:dyDescent="0.25">
      <c r="A955" s="1"/>
    </row>
    <row r="956" spans="1:1" x14ac:dyDescent="0.25">
      <c r="A956" s="1"/>
    </row>
    <row r="957" spans="1:1" x14ac:dyDescent="0.25">
      <c r="A957" s="1"/>
    </row>
    <row r="958" spans="1:1" x14ac:dyDescent="0.25">
      <c r="A958" s="1"/>
    </row>
    <row r="959" spans="1:1" x14ac:dyDescent="0.25">
      <c r="A959" s="1"/>
    </row>
    <row r="960" spans="1:1" x14ac:dyDescent="0.25">
      <c r="A960" s="1"/>
    </row>
    <row r="961" spans="1:1" x14ac:dyDescent="0.25">
      <c r="A961" s="1"/>
    </row>
    <row r="962" spans="1:1" x14ac:dyDescent="0.25">
      <c r="A962" s="1"/>
    </row>
    <row r="963" spans="1:1" x14ac:dyDescent="0.25">
      <c r="A963" s="1"/>
    </row>
    <row r="964" spans="1:1" x14ac:dyDescent="0.25">
      <c r="A964" s="1"/>
    </row>
    <row r="965" spans="1:1" x14ac:dyDescent="0.25">
      <c r="A965" s="1"/>
    </row>
    <row r="966" spans="1:1" x14ac:dyDescent="0.25">
      <c r="A966" s="1"/>
    </row>
    <row r="967" spans="1:1" x14ac:dyDescent="0.25">
      <c r="A967" s="1"/>
    </row>
    <row r="968" spans="1:1" x14ac:dyDescent="0.25">
      <c r="A968" s="1"/>
    </row>
    <row r="969" spans="1:1" x14ac:dyDescent="0.25">
      <c r="A969" s="1"/>
    </row>
    <row r="970" spans="1:1" x14ac:dyDescent="0.25">
      <c r="A970" s="1"/>
    </row>
    <row r="971" spans="1:1" x14ac:dyDescent="0.25">
      <c r="A971" s="1"/>
    </row>
    <row r="972" spans="1:1" x14ac:dyDescent="0.25">
      <c r="A972" s="1"/>
    </row>
    <row r="973" spans="1:1" x14ac:dyDescent="0.25">
      <c r="A973" s="1"/>
    </row>
    <row r="974" spans="1:1" x14ac:dyDescent="0.25">
      <c r="A974" s="1"/>
    </row>
    <row r="975" spans="1:1" x14ac:dyDescent="0.25">
      <c r="A975" s="1"/>
    </row>
    <row r="976" spans="1:1" x14ac:dyDescent="0.25">
      <c r="A976" s="1"/>
    </row>
    <row r="977" spans="1:1" x14ac:dyDescent="0.25">
      <c r="A977" s="1"/>
    </row>
    <row r="978" spans="1:1" x14ac:dyDescent="0.25">
      <c r="A978" s="1"/>
    </row>
    <row r="979" spans="1:1" x14ac:dyDescent="0.25">
      <c r="A979" s="1"/>
    </row>
    <row r="980" spans="1:1" x14ac:dyDescent="0.25">
      <c r="A980" s="1"/>
    </row>
    <row r="981" spans="1:1" x14ac:dyDescent="0.25">
      <c r="A981" s="1"/>
    </row>
    <row r="982" spans="1:1" x14ac:dyDescent="0.25">
      <c r="A982" s="1"/>
    </row>
    <row r="983" spans="1:1" x14ac:dyDescent="0.25">
      <c r="A983" s="1"/>
    </row>
    <row r="984" spans="1:1" x14ac:dyDescent="0.25">
      <c r="A984" s="1"/>
    </row>
    <row r="985" spans="1:1" x14ac:dyDescent="0.25">
      <c r="A985" s="1"/>
    </row>
    <row r="986" spans="1:1" x14ac:dyDescent="0.25">
      <c r="A986" s="1"/>
    </row>
    <row r="987" spans="1:1" x14ac:dyDescent="0.25">
      <c r="A987" s="1"/>
    </row>
    <row r="988" spans="1:1" x14ac:dyDescent="0.25">
      <c r="A988" s="1"/>
    </row>
    <row r="989" spans="1:1" x14ac:dyDescent="0.25">
      <c r="A989" s="1"/>
    </row>
    <row r="990" spans="1:1" x14ac:dyDescent="0.25">
      <c r="A990" s="1"/>
    </row>
    <row r="991" spans="1:1" x14ac:dyDescent="0.25">
      <c r="A991" s="1"/>
    </row>
    <row r="992" spans="1:1" x14ac:dyDescent="0.25">
      <c r="A992" s="1"/>
    </row>
    <row r="993" spans="1:1" x14ac:dyDescent="0.25">
      <c r="A993" s="1"/>
    </row>
    <row r="994" spans="1:1" x14ac:dyDescent="0.25">
      <c r="A994" s="1"/>
    </row>
    <row r="995" spans="1:1" x14ac:dyDescent="0.25">
      <c r="A995" s="1"/>
    </row>
    <row r="996" spans="1:1" x14ac:dyDescent="0.25">
      <c r="A996" s="1"/>
    </row>
    <row r="997" spans="1:1" x14ac:dyDescent="0.25">
      <c r="A997" s="1"/>
    </row>
    <row r="998" spans="1:1" x14ac:dyDescent="0.25">
      <c r="A998" s="1"/>
    </row>
    <row r="999" spans="1:1" x14ac:dyDescent="0.25">
      <c r="A999" s="1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460C-954B-4409-8D58-1A178EAA6542}">
  <sheetPr codeName="Sheet10"/>
  <dimension ref="A1:M2"/>
  <sheetViews>
    <sheetView workbookViewId="0">
      <selection activeCell="G8" sqref="G8"/>
    </sheetView>
  </sheetViews>
  <sheetFormatPr defaultColWidth="8.85546875" defaultRowHeight="15" x14ac:dyDescent="0.25"/>
  <cols>
    <col min="2" max="2" width="12.7109375" bestFit="1" customWidth="1"/>
    <col min="3" max="3" width="13.42578125" bestFit="1" customWidth="1"/>
    <col min="4" max="4" width="35" bestFit="1" customWidth="1"/>
    <col min="5" max="5" width="10.42578125" bestFit="1" customWidth="1"/>
    <col min="6" max="6" width="22" bestFit="1" customWidth="1"/>
    <col min="7" max="7" width="10.140625" bestFit="1" customWidth="1"/>
    <col min="8" max="8" width="18.42578125" bestFit="1" customWidth="1"/>
    <col min="9" max="9" width="15.85546875" bestFit="1" customWidth="1"/>
    <col min="10" max="10" width="18.140625" bestFit="1" customWidth="1"/>
    <col min="11" max="11" width="20.85546875" bestFit="1" customWidth="1"/>
    <col min="12" max="12" width="22" bestFit="1" customWidth="1"/>
    <col min="13" max="13" width="24.140625" bestFit="1" customWidth="1"/>
  </cols>
  <sheetData>
    <row r="1" spans="1:13" ht="15.75" thickBot="1" x14ac:dyDescent="0.3">
      <c r="A1" s="6" t="s">
        <v>59</v>
      </c>
      <c r="B1" s="3" t="s">
        <v>57</v>
      </c>
      <c r="C1" s="3" t="s">
        <v>58</v>
      </c>
      <c r="D1" s="3" t="s">
        <v>74</v>
      </c>
      <c r="E1" s="2" t="s">
        <v>75</v>
      </c>
      <c r="F1" s="2" t="s">
        <v>76</v>
      </c>
      <c r="G1" s="2" t="s">
        <v>77</v>
      </c>
      <c r="H1" s="2" t="s">
        <v>78</v>
      </c>
      <c r="I1" s="12" t="s">
        <v>79</v>
      </c>
      <c r="J1" s="2" t="s">
        <v>80</v>
      </c>
      <c r="K1" s="12" t="s">
        <v>81</v>
      </c>
      <c r="L1" s="2" t="s">
        <v>82</v>
      </c>
      <c r="M1" s="12" t="s">
        <v>83</v>
      </c>
    </row>
    <row r="2" spans="1:13" x14ac:dyDescent="0.25">
      <c r="D2" s="7"/>
    </row>
  </sheetData>
  <dataValidations count="2">
    <dataValidation type="list" allowBlank="1" showInputMessage="1" showErrorMessage="1" sqref="C2" xr:uid="{1968AF60-A47E-4464-B3E6-991092ED1AC4}">
      <formula1>space_names</formula1>
    </dataValidation>
    <dataValidation type="list" showInputMessage="1" showErrorMessage="1" sqref="D2:D1048576" xr:uid="{BFB39AA6-FBD8-4E47-9B4D-82F9A71BCB50}">
      <formula1>property_instance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4F809-0565-4493-A542-77B590BDC86C}">
  <sheetPr codeName="Sheet11"/>
  <dimension ref="A1:G59"/>
  <sheetViews>
    <sheetView topLeftCell="A15" workbookViewId="0">
      <selection activeCell="A55" sqref="A55"/>
    </sheetView>
  </sheetViews>
  <sheetFormatPr defaultColWidth="8.85546875" defaultRowHeight="15" x14ac:dyDescent="0.25"/>
  <cols>
    <col min="1" max="1" width="45.42578125" bestFit="1" customWidth="1"/>
    <col min="2" max="2" width="77" bestFit="1" customWidth="1"/>
    <col min="3" max="3" width="13.42578125" bestFit="1" customWidth="1"/>
    <col min="4" max="4" width="13.42578125" customWidth="1"/>
    <col min="5" max="6" width="41.42578125" bestFit="1" customWidth="1"/>
    <col min="7" max="7" width="132.7109375" bestFit="1" customWidth="1"/>
    <col min="9" max="9" width="11.42578125" customWidth="1"/>
    <col min="10" max="10" width="42.28515625" customWidth="1"/>
    <col min="11" max="11" width="94.85546875" bestFit="1" customWidth="1"/>
  </cols>
  <sheetData>
    <row r="1" spans="1:7" ht="15.75" thickBot="1" x14ac:dyDescent="0.3">
      <c r="A1" s="6" t="s">
        <v>59</v>
      </c>
      <c r="B1" s="3" t="s">
        <v>163</v>
      </c>
      <c r="C1" s="3" t="s">
        <v>58</v>
      </c>
      <c r="D1" s="11" t="s">
        <v>57</v>
      </c>
      <c r="E1" s="11" t="s">
        <v>170</v>
      </c>
      <c r="F1" s="11" t="s">
        <v>171</v>
      </c>
      <c r="G1" s="3" t="s">
        <v>139</v>
      </c>
    </row>
    <row r="2" spans="1:7" x14ac:dyDescent="0.25">
      <c r="A2" s="7" t="s">
        <v>369</v>
      </c>
      <c r="B2" t="s">
        <v>364</v>
      </c>
      <c r="C2" t="s">
        <v>349</v>
      </c>
      <c r="D2" t="s">
        <v>85</v>
      </c>
      <c r="G2" t="s">
        <v>451</v>
      </c>
    </row>
    <row r="3" spans="1:7" x14ac:dyDescent="0.25">
      <c r="A3" s="7" t="s">
        <v>370</v>
      </c>
      <c r="B3" t="s">
        <v>353</v>
      </c>
      <c r="C3" t="s">
        <v>349</v>
      </c>
      <c r="D3" t="s">
        <v>85</v>
      </c>
      <c r="G3" s="19" t="s">
        <v>452</v>
      </c>
    </row>
    <row r="4" spans="1:7" x14ac:dyDescent="0.25">
      <c r="A4" s="7" t="s">
        <v>371</v>
      </c>
      <c r="B4" t="s">
        <v>361</v>
      </c>
      <c r="C4" t="s">
        <v>349</v>
      </c>
      <c r="D4" t="s">
        <v>85</v>
      </c>
      <c r="G4" t="s">
        <v>453</v>
      </c>
    </row>
    <row r="5" spans="1:7" x14ac:dyDescent="0.25">
      <c r="A5" s="7" t="s">
        <v>372</v>
      </c>
      <c r="B5" t="s">
        <v>359</v>
      </c>
      <c r="C5" t="s">
        <v>349</v>
      </c>
      <c r="D5" t="s">
        <v>85</v>
      </c>
      <c r="G5" t="s">
        <v>454</v>
      </c>
    </row>
    <row r="6" spans="1:7" x14ac:dyDescent="0.25">
      <c r="A6" s="7" t="s">
        <v>394</v>
      </c>
      <c r="B6" t="s">
        <v>389</v>
      </c>
      <c r="C6" t="s">
        <v>373</v>
      </c>
      <c r="D6" t="s">
        <v>85</v>
      </c>
      <c r="G6" t="s">
        <v>451</v>
      </c>
    </row>
    <row r="7" spans="1:7" x14ac:dyDescent="0.25">
      <c r="A7" s="7" t="s">
        <v>395</v>
      </c>
      <c r="B7" t="s">
        <v>378</v>
      </c>
      <c r="C7" t="s">
        <v>373</v>
      </c>
      <c r="D7" t="s">
        <v>85</v>
      </c>
      <c r="G7" s="19" t="s">
        <v>452</v>
      </c>
    </row>
    <row r="8" spans="1:7" x14ac:dyDescent="0.25">
      <c r="A8" s="7" t="s">
        <v>396</v>
      </c>
      <c r="B8" t="s">
        <v>386</v>
      </c>
      <c r="C8" t="s">
        <v>373</v>
      </c>
      <c r="D8" t="s">
        <v>85</v>
      </c>
      <c r="G8" t="s">
        <v>453</v>
      </c>
    </row>
    <row r="9" spans="1:7" x14ac:dyDescent="0.25">
      <c r="A9" s="7" t="s">
        <v>397</v>
      </c>
      <c r="B9" t="s">
        <v>384</v>
      </c>
      <c r="C9" t="s">
        <v>373</v>
      </c>
      <c r="D9" t="s">
        <v>85</v>
      </c>
      <c r="G9" t="s">
        <v>454</v>
      </c>
    </row>
    <row r="10" spans="1:7" x14ac:dyDescent="0.25">
      <c r="A10" s="7" t="s">
        <v>419</v>
      </c>
      <c r="B10" t="s">
        <v>414</v>
      </c>
      <c r="C10" t="s">
        <v>399</v>
      </c>
      <c r="D10" t="s">
        <v>85</v>
      </c>
      <c r="G10" t="s">
        <v>451</v>
      </c>
    </row>
    <row r="11" spans="1:7" x14ac:dyDescent="0.25">
      <c r="A11" s="7" t="s">
        <v>420</v>
      </c>
      <c r="B11" t="s">
        <v>403</v>
      </c>
      <c r="C11" t="s">
        <v>399</v>
      </c>
      <c r="D11" t="s">
        <v>85</v>
      </c>
      <c r="G11" s="19" t="s">
        <v>452</v>
      </c>
    </row>
    <row r="12" spans="1:7" x14ac:dyDescent="0.25">
      <c r="A12" s="7" t="s">
        <v>421</v>
      </c>
      <c r="B12" t="s">
        <v>411</v>
      </c>
      <c r="C12" t="s">
        <v>399</v>
      </c>
      <c r="D12" t="s">
        <v>85</v>
      </c>
      <c r="G12" t="s">
        <v>453</v>
      </c>
    </row>
    <row r="13" spans="1:7" x14ac:dyDescent="0.25">
      <c r="A13" s="7" t="s">
        <v>422</v>
      </c>
      <c r="B13" t="s">
        <v>409</v>
      </c>
      <c r="C13" t="s">
        <v>399</v>
      </c>
      <c r="D13" t="s">
        <v>85</v>
      </c>
      <c r="G13" t="s">
        <v>454</v>
      </c>
    </row>
    <row r="14" spans="1:7" x14ac:dyDescent="0.25">
      <c r="A14" s="7" t="s">
        <v>443</v>
      </c>
      <c r="B14" t="s">
        <v>438</v>
      </c>
      <c r="C14" t="s">
        <v>423</v>
      </c>
      <c r="D14" t="s">
        <v>85</v>
      </c>
      <c r="G14" t="s">
        <v>451</v>
      </c>
    </row>
    <row r="15" spans="1:7" x14ac:dyDescent="0.25">
      <c r="A15" s="7" t="s">
        <v>444</v>
      </c>
      <c r="B15" t="s">
        <v>427</v>
      </c>
      <c r="C15" t="s">
        <v>423</v>
      </c>
      <c r="D15" t="s">
        <v>85</v>
      </c>
      <c r="G15" s="19" t="s">
        <v>452</v>
      </c>
    </row>
    <row r="16" spans="1:7" x14ac:dyDescent="0.25">
      <c r="A16" s="7" t="s">
        <v>445</v>
      </c>
      <c r="B16" t="s">
        <v>435</v>
      </c>
      <c r="C16" t="s">
        <v>423</v>
      </c>
      <c r="D16" t="s">
        <v>85</v>
      </c>
      <c r="G16" t="s">
        <v>453</v>
      </c>
    </row>
    <row r="17" spans="1:7" x14ac:dyDescent="0.25">
      <c r="A17" s="7" t="s">
        <v>446</v>
      </c>
      <c r="B17" t="s">
        <v>433</v>
      </c>
      <c r="C17" t="s">
        <v>423</v>
      </c>
      <c r="D17" t="s">
        <v>85</v>
      </c>
      <c r="G17" t="s">
        <v>454</v>
      </c>
    </row>
    <row r="18" spans="1:7" x14ac:dyDescent="0.25">
      <c r="A18" s="7" t="s">
        <v>132</v>
      </c>
      <c r="B18" t="s">
        <v>161</v>
      </c>
      <c r="D18" t="s">
        <v>85</v>
      </c>
      <c r="G18" t="s">
        <v>144</v>
      </c>
    </row>
    <row r="19" spans="1:7" x14ac:dyDescent="0.25">
      <c r="A19" s="7" t="s">
        <v>134</v>
      </c>
      <c r="B19" t="s">
        <v>110</v>
      </c>
      <c r="D19" t="s">
        <v>85</v>
      </c>
      <c r="E19" t="s">
        <v>114</v>
      </c>
      <c r="G19" t="s">
        <v>145</v>
      </c>
    </row>
    <row r="20" spans="1:7" x14ac:dyDescent="0.25">
      <c r="A20" s="7" t="s">
        <v>137</v>
      </c>
      <c r="B20" t="s">
        <v>160</v>
      </c>
      <c r="D20" t="s">
        <v>85</v>
      </c>
      <c r="F20" t="s">
        <v>120</v>
      </c>
      <c r="G20" t="s">
        <v>146</v>
      </c>
    </row>
    <row r="21" spans="1:7" x14ac:dyDescent="0.25">
      <c r="A21" s="7" t="s">
        <v>136</v>
      </c>
      <c r="B21" t="s">
        <v>119</v>
      </c>
      <c r="D21" t="s">
        <v>85</v>
      </c>
      <c r="E21" t="s">
        <v>97</v>
      </c>
      <c r="G21" s="18" t="s">
        <v>148</v>
      </c>
    </row>
    <row r="22" spans="1:7" x14ac:dyDescent="0.25">
      <c r="A22" s="7" t="s">
        <v>138</v>
      </c>
      <c r="B22" t="s">
        <v>125</v>
      </c>
      <c r="D22" t="s">
        <v>85</v>
      </c>
      <c r="F22" t="s">
        <v>122</v>
      </c>
      <c r="G22" t="s">
        <v>147</v>
      </c>
    </row>
    <row r="23" spans="1:7" x14ac:dyDescent="0.25">
      <c r="A23" s="7" t="s">
        <v>135</v>
      </c>
      <c r="B23" t="s">
        <v>121</v>
      </c>
      <c r="D23" t="s">
        <v>85</v>
      </c>
      <c r="F23" t="s">
        <v>449</v>
      </c>
      <c r="G23" s="18" t="s">
        <v>149</v>
      </c>
    </row>
    <row r="24" spans="1:7" x14ac:dyDescent="0.25">
      <c r="A24" s="7" t="s">
        <v>112</v>
      </c>
      <c r="B24" t="s">
        <v>131</v>
      </c>
      <c r="D24" t="s">
        <v>85</v>
      </c>
      <c r="E24" t="s">
        <v>132</v>
      </c>
      <c r="G24" t="s">
        <v>150</v>
      </c>
    </row>
    <row r="25" spans="1:7" x14ac:dyDescent="0.25">
      <c r="A25" s="7" t="s">
        <v>114</v>
      </c>
      <c r="B25" t="s">
        <v>126</v>
      </c>
      <c r="D25" t="s">
        <v>85</v>
      </c>
      <c r="E25" t="s">
        <v>180</v>
      </c>
      <c r="G25" t="s">
        <v>151</v>
      </c>
    </row>
    <row r="26" spans="1:7" x14ac:dyDescent="0.25">
      <c r="A26" s="7" t="s">
        <v>116</v>
      </c>
      <c r="B26" t="s">
        <v>127</v>
      </c>
      <c r="D26" t="s">
        <v>85</v>
      </c>
      <c r="E26" t="s">
        <v>178</v>
      </c>
      <c r="G26" t="s">
        <v>152</v>
      </c>
    </row>
    <row r="27" spans="1:7" x14ac:dyDescent="0.25">
      <c r="A27" s="7" t="s">
        <v>97</v>
      </c>
      <c r="B27" t="s">
        <v>130</v>
      </c>
      <c r="D27" t="s">
        <v>85</v>
      </c>
      <c r="E27" t="s">
        <v>179</v>
      </c>
      <c r="G27" t="s">
        <v>153</v>
      </c>
    </row>
    <row r="28" spans="1:7" x14ac:dyDescent="0.25">
      <c r="A28" s="7" t="s">
        <v>120</v>
      </c>
      <c r="B28" t="s">
        <v>128</v>
      </c>
      <c r="D28" t="s">
        <v>85</v>
      </c>
      <c r="F28" t="s">
        <v>135</v>
      </c>
      <c r="G28" t="s">
        <v>154</v>
      </c>
    </row>
    <row r="29" spans="1:7" x14ac:dyDescent="0.25">
      <c r="A29" s="7" t="s">
        <v>122</v>
      </c>
      <c r="B29" t="s">
        <v>129</v>
      </c>
      <c r="D29" t="s">
        <v>85</v>
      </c>
      <c r="F29" t="s">
        <v>181</v>
      </c>
      <c r="G29" t="s">
        <v>155</v>
      </c>
    </row>
    <row r="30" spans="1:7" x14ac:dyDescent="0.25">
      <c r="A30" t="s">
        <v>477</v>
      </c>
      <c r="B30" t="s">
        <v>472</v>
      </c>
      <c r="C30" t="s">
        <v>455</v>
      </c>
      <c r="D30" t="s">
        <v>85</v>
      </c>
    </row>
    <row r="31" spans="1:7" x14ac:dyDescent="0.25">
      <c r="A31" t="s">
        <v>478</v>
      </c>
      <c r="B31" t="s">
        <v>461</v>
      </c>
      <c r="C31" t="s">
        <v>455</v>
      </c>
      <c r="D31" t="s">
        <v>85</v>
      </c>
    </row>
    <row r="32" spans="1:7" x14ac:dyDescent="0.25">
      <c r="A32" t="s">
        <v>479</v>
      </c>
      <c r="B32" t="s">
        <v>469</v>
      </c>
      <c r="C32" t="s">
        <v>455</v>
      </c>
      <c r="D32" t="s">
        <v>85</v>
      </c>
    </row>
    <row r="33" spans="1:4" x14ac:dyDescent="0.25">
      <c r="A33" t="s">
        <v>480</v>
      </c>
      <c r="B33" t="s">
        <v>467</v>
      </c>
      <c r="C33" t="s">
        <v>455</v>
      </c>
      <c r="D33" t="s">
        <v>85</v>
      </c>
    </row>
    <row r="34" spans="1:4" x14ac:dyDescent="0.25">
      <c r="A34" t="s">
        <v>321</v>
      </c>
      <c r="B34" t="s">
        <v>322</v>
      </c>
      <c r="C34" t="s">
        <v>303</v>
      </c>
      <c r="D34" t="s">
        <v>85</v>
      </c>
    </row>
    <row r="35" spans="1:4" x14ac:dyDescent="0.25">
      <c r="A35" t="s">
        <v>323</v>
      </c>
      <c r="B35" t="s">
        <v>307</v>
      </c>
      <c r="C35" t="s">
        <v>303</v>
      </c>
      <c r="D35" t="s">
        <v>85</v>
      </c>
    </row>
    <row r="36" spans="1:4" x14ac:dyDescent="0.25">
      <c r="A36" t="s">
        <v>324</v>
      </c>
      <c r="B36" t="s">
        <v>315</v>
      </c>
      <c r="C36" t="s">
        <v>303</v>
      </c>
      <c r="D36" t="s">
        <v>85</v>
      </c>
    </row>
    <row r="37" spans="1:4" x14ac:dyDescent="0.25">
      <c r="A37" t="s">
        <v>325</v>
      </c>
      <c r="B37" t="s">
        <v>313</v>
      </c>
      <c r="C37" t="s">
        <v>303</v>
      </c>
      <c r="D37" t="s">
        <v>85</v>
      </c>
    </row>
    <row r="38" spans="1:4" x14ac:dyDescent="0.25">
      <c r="A38" t="s">
        <v>345</v>
      </c>
      <c r="B38" t="s">
        <v>340</v>
      </c>
      <c r="C38" t="s">
        <v>326</v>
      </c>
      <c r="D38" t="s">
        <v>85</v>
      </c>
    </row>
    <row r="39" spans="1:4" x14ac:dyDescent="0.25">
      <c r="A39" t="s">
        <v>346</v>
      </c>
      <c r="B39" t="s">
        <v>330</v>
      </c>
      <c r="C39" t="s">
        <v>326</v>
      </c>
      <c r="D39" t="s">
        <v>85</v>
      </c>
    </row>
    <row r="40" spans="1:4" x14ac:dyDescent="0.25">
      <c r="A40" t="s">
        <v>347</v>
      </c>
      <c r="B40" t="s">
        <v>337</v>
      </c>
      <c r="C40" t="s">
        <v>326</v>
      </c>
      <c r="D40" t="s">
        <v>85</v>
      </c>
    </row>
    <row r="41" spans="1:4" x14ac:dyDescent="0.25">
      <c r="A41" t="s">
        <v>348</v>
      </c>
      <c r="B41" t="s">
        <v>336</v>
      </c>
      <c r="C41" t="s">
        <v>326</v>
      </c>
      <c r="D41" t="s">
        <v>85</v>
      </c>
    </row>
    <row r="42" spans="1:4" x14ac:dyDescent="0.25">
      <c r="A42" t="s">
        <v>250</v>
      </c>
      <c r="B42" t="s">
        <v>245</v>
      </c>
      <c r="C42" t="s">
        <v>229</v>
      </c>
      <c r="D42" t="s">
        <v>85</v>
      </c>
    </row>
    <row r="43" spans="1:4" x14ac:dyDescent="0.25">
      <c r="A43" t="s">
        <v>251</v>
      </c>
      <c r="B43" t="s">
        <v>234</v>
      </c>
      <c r="C43" t="s">
        <v>229</v>
      </c>
      <c r="D43" t="s">
        <v>85</v>
      </c>
    </row>
    <row r="44" spans="1:4" x14ac:dyDescent="0.25">
      <c r="A44" t="s">
        <v>252</v>
      </c>
      <c r="B44" t="s">
        <v>242</v>
      </c>
      <c r="C44" t="s">
        <v>229</v>
      </c>
      <c r="D44" t="s">
        <v>85</v>
      </c>
    </row>
    <row r="45" spans="1:4" x14ac:dyDescent="0.25">
      <c r="A45" t="s">
        <v>253</v>
      </c>
      <c r="B45" t="s">
        <v>240</v>
      </c>
      <c r="C45" t="s">
        <v>229</v>
      </c>
      <c r="D45" t="s">
        <v>85</v>
      </c>
    </row>
    <row r="46" spans="1:4" x14ac:dyDescent="0.25">
      <c r="A46" t="s">
        <v>299</v>
      </c>
      <c r="B46" t="s">
        <v>294</v>
      </c>
      <c r="C46" t="s">
        <v>279</v>
      </c>
      <c r="D46" t="s">
        <v>85</v>
      </c>
    </row>
    <row r="47" spans="1:4" x14ac:dyDescent="0.25">
      <c r="A47" t="s">
        <v>300</v>
      </c>
      <c r="B47" t="s">
        <v>283</v>
      </c>
      <c r="C47" t="s">
        <v>279</v>
      </c>
      <c r="D47" t="s">
        <v>85</v>
      </c>
    </row>
    <row r="48" spans="1:4" x14ac:dyDescent="0.25">
      <c r="A48" t="s">
        <v>301</v>
      </c>
      <c r="B48" t="s">
        <v>291</v>
      </c>
      <c r="C48" t="s">
        <v>279</v>
      </c>
      <c r="D48" t="s">
        <v>85</v>
      </c>
    </row>
    <row r="49" spans="1:4" x14ac:dyDescent="0.25">
      <c r="A49" t="s">
        <v>302</v>
      </c>
      <c r="B49" t="s">
        <v>289</v>
      </c>
      <c r="C49" t="s">
        <v>279</v>
      </c>
      <c r="D49" t="s">
        <v>85</v>
      </c>
    </row>
    <row r="50" spans="1:4" x14ac:dyDescent="0.25">
      <c r="A50" t="s">
        <v>272</v>
      </c>
      <c r="B50" t="s">
        <v>273</v>
      </c>
      <c r="C50" t="s">
        <v>254</v>
      </c>
      <c r="D50" t="s">
        <v>85</v>
      </c>
    </row>
    <row r="51" spans="1:4" x14ac:dyDescent="0.25">
      <c r="A51" t="s">
        <v>274</v>
      </c>
      <c r="B51" t="s">
        <v>258</v>
      </c>
      <c r="C51" t="s">
        <v>254</v>
      </c>
      <c r="D51" t="s">
        <v>85</v>
      </c>
    </row>
    <row r="52" spans="1:4" x14ac:dyDescent="0.25">
      <c r="A52" t="s">
        <v>275</v>
      </c>
      <c r="B52" t="s">
        <v>266</v>
      </c>
      <c r="C52" t="s">
        <v>254</v>
      </c>
      <c r="D52" t="s">
        <v>85</v>
      </c>
    </row>
    <row r="53" spans="1:4" x14ac:dyDescent="0.25">
      <c r="A53" t="s">
        <v>276</v>
      </c>
      <c r="B53" t="s">
        <v>264</v>
      </c>
      <c r="C53" t="s">
        <v>254</v>
      </c>
      <c r="D53" t="s">
        <v>85</v>
      </c>
    </row>
    <row r="54" spans="1:4" x14ac:dyDescent="0.25">
      <c r="A54" t="s">
        <v>224</v>
      </c>
      <c r="B54" t="s">
        <v>217</v>
      </c>
      <c r="C54" t="s">
        <v>213</v>
      </c>
      <c r="D54" t="s">
        <v>85</v>
      </c>
    </row>
    <row r="55" spans="1:4" x14ac:dyDescent="0.25">
      <c r="A55" t="s">
        <v>225</v>
      </c>
      <c r="B55" t="s">
        <v>221</v>
      </c>
      <c r="C55" t="s">
        <v>213</v>
      </c>
      <c r="D55" t="s">
        <v>85</v>
      </c>
    </row>
    <row r="56" spans="1:4" x14ac:dyDescent="0.25">
      <c r="A56" t="s">
        <v>209</v>
      </c>
      <c r="B56" t="s">
        <v>204</v>
      </c>
      <c r="C56" t="s">
        <v>189</v>
      </c>
      <c r="D56" t="s">
        <v>85</v>
      </c>
    </row>
    <row r="57" spans="1:4" x14ac:dyDescent="0.25">
      <c r="A57" t="s">
        <v>210</v>
      </c>
      <c r="B57" t="s">
        <v>193</v>
      </c>
      <c r="C57" t="s">
        <v>189</v>
      </c>
      <c r="D57" t="s">
        <v>85</v>
      </c>
    </row>
    <row r="58" spans="1:4" x14ac:dyDescent="0.25">
      <c r="A58" t="s">
        <v>211</v>
      </c>
      <c r="B58" t="s">
        <v>201</v>
      </c>
      <c r="C58" t="s">
        <v>189</v>
      </c>
      <c r="D58" t="s">
        <v>85</v>
      </c>
    </row>
    <row r="59" spans="1:4" x14ac:dyDescent="0.25">
      <c r="A59" t="s">
        <v>212</v>
      </c>
      <c r="B59" t="s">
        <v>199</v>
      </c>
      <c r="C59" t="s">
        <v>189</v>
      </c>
      <c r="D59" t="s">
        <v>85</v>
      </c>
    </row>
  </sheetData>
  <sortState xmlns:xlrd2="http://schemas.microsoft.com/office/spreadsheetml/2017/richdata2" ref="A2:E29">
    <sortCondition ref="A2:A29"/>
  </sortState>
  <dataValidations count="5">
    <dataValidation type="list" allowBlank="1" showInputMessage="1" showErrorMessage="1" sqref="D2 D6 D10 D14" xr:uid="{E7B311A4-7584-4E50-AC78-0352E33C7C19}">
      <formula1>system_names</formula1>
    </dataValidation>
    <dataValidation type="list" allowBlank="1" showInputMessage="1" showErrorMessage="1" sqref="C2:C17" xr:uid="{B410286B-19C8-413D-AA2F-9742B6293571}">
      <formula1>space_names</formula1>
    </dataValidation>
    <dataValidation type="list" allowBlank="1" showInputMessage="1" showErrorMessage="1" sqref="B2:B29 B31:B1048576" xr:uid="{A9040C0C-604B-456F-96D4-0A20D2AB5CEB}">
      <formula1>property_instance</formula1>
    </dataValidation>
    <dataValidation type="list" showInputMessage="1" showErrorMessage="1" sqref="D3:D5 D7:D9 D11:D13 D15:D29 D31:D1048576" xr:uid="{B65ECC6E-9A0B-466E-BF54-55971BA9C27C}">
      <formula1>system_names</formula1>
    </dataValidation>
    <dataValidation type="list" showInputMessage="1" showErrorMessage="1" sqref="E2:F29 E31:F1048576" xr:uid="{6D2DA7F8-74C0-44A8-A4E3-3D538E7D3782}">
      <formula1>all_flow_systems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06E24D-049C-4041-8421-EBDA59F16AF1}">
          <x14:formula1>
            <xm:f>BuildingSpace!$A$2:$A$1048576</xm:f>
          </x14:formula1>
          <xm:sqref>C18:C29 C31:C1048576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1EFB1-EA7C-414E-94A7-98027577BDF8}">
  <sheetPr codeName="Sheet12"/>
  <dimension ref="A1:G4"/>
  <sheetViews>
    <sheetView workbookViewId="0">
      <selection activeCell="D10" sqref="D10"/>
    </sheetView>
  </sheetViews>
  <sheetFormatPr defaultColWidth="8.85546875" defaultRowHeight="15" x14ac:dyDescent="0.25"/>
  <cols>
    <col min="1" max="1" width="28.85546875" bestFit="1" customWidth="1"/>
    <col min="2" max="2" width="13.42578125" bestFit="1" customWidth="1"/>
    <col min="3" max="3" width="31.7109375" bestFit="1" customWidth="1"/>
    <col min="4" max="4" width="12.7109375" bestFit="1" customWidth="1"/>
    <col min="5" max="6" width="15" bestFit="1" customWidth="1"/>
    <col min="7" max="7" width="125.85546875" bestFit="1" customWidth="1"/>
  </cols>
  <sheetData>
    <row r="1" spans="1:7" ht="15.75" thickBot="1" x14ac:dyDescent="0.3">
      <c r="A1" s="6" t="s">
        <v>59</v>
      </c>
      <c r="B1" s="3" t="s">
        <v>58</v>
      </c>
      <c r="C1" s="3" t="s">
        <v>163</v>
      </c>
      <c r="D1" s="11" t="s">
        <v>57</v>
      </c>
      <c r="E1" s="11" t="s">
        <v>170</v>
      </c>
      <c r="F1" s="11" t="s">
        <v>171</v>
      </c>
      <c r="G1" s="3" t="s">
        <v>139</v>
      </c>
    </row>
    <row r="2" spans="1:7" x14ac:dyDescent="0.25">
      <c r="A2" s="7" t="s">
        <v>156</v>
      </c>
      <c r="C2" t="s">
        <v>156</v>
      </c>
      <c r="D2" t="s">
        <v>85</v>
      </c>
    </row>
    <row r="3" spans="1:7" x14ac:dyDescent="0.25">
      <c r="A3" s="7" t="s">
        <v>157</v>
      </c>
      <c r="C3" t="s">
        <v>157</v>
      </c>
      <c r="D3" t="s">
        <v>85</v>
      </c>
    </row>
    <row r="4" spans="1:7" x14ac:dyDescent="0.25">
      <c r="A4" s="7"/>
    </row>
  </sheetData>
  <dataValidations count="4">
    <dataValidation type="list" showInputMessage="1" showErrorMessage="1" sqref="B2:B1048576" xr:uid="{2328B123-682F-4B3C-AE64-CDC150D0618A}">
      <formula1>space_names</formula1>
    </dataValidation>
    <dataValidation type="list" allowBlank="1" showInputMessage="1" showErrorMessage="1" sqref="C2:C1048576" xr:uid="{7DBA9B00-BCC4-452A-A0D4-50083D3659C1}">
      <formula1>property_instance</formula1>
    </dataValidation>
    <dataValidation type="list" showInputMessage="1" showErrorMessage="1" sqref="D2:D1048576" xr:uid="{AC17DECD-A774-49AF-9420-35DC828A9701}">
      <formula1>system_names</formula1>
    </dataValidation>
    <dataValidation type="list" showInputMessage="1" showErrorMessage="1" sqref="E2:F1048576" xr:uid="{56DDCBE3-9DE1-4A10-8821-C5D7FAFE82A4}">
      <formula1>all_flow_systems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B24A9-A7F1-4854-93D9-EBD1381307DD}">
  <sheetPr codeName="Sheet13"/>
  <dimension ref="A1:B94"/>
  <sheetViews>
    <sheetView topLeftCell="A78" workbookViewId="0">
      <selection activeCell="N100" sqref="N100"/>
    </sheetView>
  </sheetViews>
  <sheetFormatPr defaultColWidth="8.85546875" defaultRowHeight="15" x14ac:dyDescent="0.25"/>
  <cols>
    <col min="1" max="1" width="45" bestFit="1" customWidth="1"/>
    <col min="2" max="2" width="24.42578125" customWidth="1"/>
    <col min="3" max="3" width="12.28515625" bestFit="1" customWidth="1"/>
  </cols>
  <sheetData>
    <row r="1" spans="1:2" ht="15.75" thickBot="1" x14ac:dyDescent="0.3">
      <c r="A1" s="8" t="s">
        <v>59</v>
      </c>
      <c r="B1" s="9" t="s">
        <v>62</v>
      </c>
    </row>
    <row r="2" spans="1:2" x14ac:dyDescent="0.25">
      <c r="A2" s="7" t="s">
        <v>361</v>
      </c>
      <c r="B2" s="7" t="s">
        <v>60</v>
      </c>
    </row>
    <row r="3" spans="1:2" x14ac:dyDescent="0.25">
      <c r="A3" s="7" t="s">
        <v>364</v>
      </c>
      <c r="B3" t="s">
        <v>84</v>
      </c>
    </row>
    <row r="4" spans="1:2" x14ac:dyDescent="0.25">
      <c r="A4" s="7" t="s">
        <v>358</v>
      </c>
      <c r="B4" s="7" t="s">
        <v>63</v>
      </c>
    </row>
    <row r="5" spans="1:2" x14ac:dyDescent="0.25">
      <c r="A5" s="7" t="s">
        <v>359</v>
      </c>
      <c r="B5" s="7" t="s">
        <v>61</v>
      </c>
    </row>
    <row r="6" spans="1:2" x14ac:dyDescent="0.25">
      <c r="A6" s="7" t="s">
        <v>353</v>
      </c>
      <c r="B6" s="7" t="s">
        <v>61</v>
      </c>
    </row>
    <row r="7" spans="1:2" x14ac:dyDescent="0.25">
      <c r="A7" s="7" t="s">
        <v>355</v>
      </c>
      <c r="B7" s="7" t="s">
        <v>61</v>
      </c>
    </row>
    <row r="8" spans="1:2" x14ac:dyDescent="0.25">
      <c r="A8" s="7" t="s">
        <v>386</v>
      </c>
      <c r="B8" s="7" t="s">
        <v>60</v>
      </c>
    </row>
    <row r="9" spans="1:2" x14ac:dyDescent="0.25">
      <c r="A9" s="7" t="s">
        <v>389</v>
      </c>
      <c r="B9" t="s">
        <v>84</v>
      </c>
    </row>
    <row r="10" spans="1:2" x14ac:dyDescent="0.25">
      <c r="A10" s="7" t="s">
        <v>383</v>
      </c>
      <c r="B10" s="7" t="s">
        <v>63</v>
      </c>
    </row>
    <row r="11" spans="1:2" x14ac:dyDescent="0.25">
      <c r="A11" s="7" t="s">
        <v>384</v>
      </c>
      <c r="B11" s="7" t="s">
        <v>61</v>
      </c>
    </row>
    <row r="12" spans="1:2" x14ac:dyDescent="0.25">
      <c r="A12" s="7" t="s">
        <v>378</v>
      </c>
      <c r="B12" s="7" t="s">
        <v>61</v>
      </c>
    </row>
    <row r="13" spans="1:2" x14ac:dyDescent="0.25">
      <c r="A13" s="7" t="s">
        <v>380</v>
      </c>
      <c r="B13" s="7" t="s">
        <v>61</v>
      </c>
    </row>
    <row r="14" spans="1:2" x14ac:dyDescent="0.25">
      <c r="A14" s="7" t="s">
        <v>411</v>
      </c>
      <c r="B14" s="7" t="s">
        <v>60</v>
      </c>
    </row>
    <row r="15" spans="1:2" x14ac:dyDescent="0.25">
      <c r="A15" s="7" t="s">
        <v>414</v>
      </c>
      <c r="B15" t="s">
        <v>84</v>
      </c>
    </row>
    <row r="16" spans="1:2" x14ac:dyDescent="0.25">
      <c r="A16" s="7" t="s">
        <v>408</v>
      </c>
      <c r="B16" s="7" t="s">
        <v>63</v>
      </c>
    </row>
    <row r="17" spans="1:2" x14ac:dyDescent="0.25">
      <c r="A17" s="7" t="s">
        <v>409</v>
      </c>
      <c r="B17" s="7" t="s">
        <v>61</v>
      </c>
    </row>
    <row r="18" spans="1:2" x14ac:dyDescent="0.25">
      <c r="A18" s="7" t="s">
        <v>403</v>
      </c>
      <c r="B18" s="7" t="s">
        <v>61</v>
      </c>
    </row>
    <row r="19" spans="1:2" x14ac:dyDescent="0.25">
      <c r="A19" s="7" t="s">
        <v>405</v>
      </c>
      <c r="B19" s="7" t="s">
        <v>61</v>
      </c>
    </row>
    <row r="20" spans="1:2" x14ac:dyDescent="0.25">
      <c r="A20" s="7" t="s">
        <v>435</v>
      </c>
      <c r="B20" s="7" t="s">
        <v>60</v>
      </c>
    </row>
    <row r="21" spans="1:2" x14ac:dyDescent="0.25">
      <c r="A21" s="7" t="s">
        <v>438</v>
      </c>
      <c r="B21" t="s">
        <v>84</v>
      </c>
    </row>
    <row r="22" spans="1:2" x14ac:dyDescent="0.25">
      <c r="A22" s="7" t="s">
        <v>432</v>
      </c>
      <c r="B22" s="7" t="s">
        <v>63</v>
      </c>
    </row>
    <row r="23" spans="1:2" x14ac:dyDescent="0.25">
      <c r="A23" s="7" t="s">
        <v>433</v>
      </c>
      <c r="B23" s="7" t="s">
        <v>61</v>
      </c>
    </row>
    <row r="24" spans="1:2" x14ac:dyDescent="0.25">
      <c r="A24" s="7" t="s">
        <v>427</v>
      </c>
      <c r="B24" s="7" t="s">
        <v>61</v>
      </c>
    </row>
    <row r="25" spans="1:2" x14ac:dyDescent="0.25">
      <c r="A25" s="7" t="s">
        <v>429</v>
      </c>
      <c r="B25" s="7" t="s">
        <v>61</v>
      </c>
    </row>
    <row r="26" spans="1:2" x14ac:dyDescent="0.25">
      <c r="A26" s="7" t="s">
        <v>113</v>
      </c>
      <c r="B26" t="s">
        <v>70</v>
      </c>
    </row>
    <row r="27" spans="1:2" x14ac:dyDescent="0.25">
      <c r="A27" s="7" t="s">
        <v>115</v>
      </c>
      <c r="B27" t="s">
        <v>71</v>
      </c>
    </row>
    <row r="28" spans="1:2" x14ac:dyDescent="0.25">
      <c r="A28" s="7" t="s">
        <v>118</v>
      </c>
      <c r="B28" t="s">
        <v>71</v>
      </c>
    </row>
    <row r="29" spans="1:2" x14ac:dyDescent="0.25">
      <c r="A29" s="7" t="s">
        <v>117</v>
      </c>
      <c r="B29" t="s">
        <v>71</v>
      </c>
    </row>
    <row r="30" spans="1:2" x14ac:dyDescent="0.25">
      <c r="A30" s="7" t="s">
        <v>124</v>
      </c>
      <c r="B30" t="s">
        <v>71</v>
      </c>
    </row>
    <row r="31" spans="1:2" x14ac:dyDescent="0.25">
      <c r="A31" s="7" t="s">
        <v>110</v>
      </c>
      <c r="B31" t="s">
        <v>70</v>
      </c>
    </row>
    <row r="32" spans="1:2" x14ac:dyDescent="0.25">
      <c r="A32" s="7" t="s">
        <v>161</v>
      </c>
      <c r="B32" t="s">
        <v>70</v>
      </c>
    </row>
    <row r="33" spans="1:2" x14ac:dyDescent="0.25">
      <c r="A33" s="7" t="s">
        <v>121</v>
      </c>
      <c r="B33" t="s">
        <v>70</v>
      </c>
    </row>
    <row r="34" spans="1:2" x14ac:dyDescent="0.25">
      <c r="A34" s="7" t="s">
        <v>125</v>
      </c>
      <c r="B34" t="s">
        <v>70</v>
      </c>
    </row>
    <row r="35" spans="1:2" x14ac:dyDescent="0.25">
      <c r="A35" s="7" t="s">
        <v>130</v>
      </c>
      <c r="B35" t="s">
        <v>60</v>
      </c>
    </row>
    <row r="36" spans="1:2" x14ac:dyDescent="0.25">
      <c r="A36" s="7" t="s">
        <v>131</v>
      </c>
      <c r="B36" t="s">
        <v>60</v>
      </c>
    </row>
    <row r="37" spans="1:2" x14ac:dyDescent="0.25">
      <c r="A37" s="7" t="s">
        <v>126</v>
      </c>
      <c r="B37" t="s">
        <v>60</v>
      </c>
    </row>
    <row r="38" spans="1:2" x14ac:dyDescent="0.25">
      <c r="A38" s="7" t="s">
        <v>127</v>
      </c>
      <c r="B38" t="s">
        <v>60</v>
      </c>
    </row>
    <row r="39" spans="1:2" x14ac:dyDescent="0.25">
      <c r="A39" s="7" t="s">
        <v>128</v>
      </c>
      <c r="B39" t="s">
        <v>60</v>
      </c>
    </row>
    <row r="40" spans="1:2" x14ac:dyDescent="0.25">
      <c r="A40" s="7" t="s">
        <v>129</v>
      </c>
      <c r="B40" t="s">
        <v>60</v>
      </c>
    </row>
    <row r="41" spans="1:2" x14ac:dyDescent="0.25">
      <c r="A41" s="7" t="s">
        <v>133</v>
      </c>
      <c r="B41" t="s">
        <v>70</v>
      </c>
    </row>
    <row r="42" spans="1:2" x14ac:dyDescent="0.25">
      <c r="A42" s="7" t="s">
        <v>160</v>
      </c>
      <c r="B42" t="s">
        <v>70</v>
      </c>
    </row>
    <row r="43" spans="1:2" x14ac:dyDescent="0.25">
      <c r="A43" s="7" t="s">
        <v>156</v>
      </c>
      <c r="B43" t="s">
        <v>70</v>
      </c>
    </row>
    <row r="44" spans="1:2" x14ac:dyDescent="0.25">
      <c r="A44" s="7" t="s">
        <v>157</v>
      </c>
      <c r="B44" t="s">
        <v>70</v>
      </c>
    </row>
    <row r="45" spans="1:2" x14ac:dyDescent="0.25">
      <c r="A45" s="7" t="s">
        <v>119</v>
      </c>
      <c r="B45" t="s">
        <v>70</v>
      </c>
    </row>
    <row r="46" spans="1:2" x14ac:dyDescent="0.25">
      <c r="A46" t="s">
        <v>204</v>
      </c>
      <c r="B46" t="s">
        <v>84</v>
      </c>
    </row>
    <row r="47" spans="1:2" x14ac:dyDescent="0.25">
      <c r="A47" t="s">
        <v>193</v>
      </c>
      <c r="B47" t="s">
        <v>61</v>
      </c>
    </row>
    <row r="48" spans="1:2" x14ac:dyDescent="0.25">
      <c r="A48" t="s">
        <v>195</v>
      </c>
      <c r="B48" t="s">
        <v>61</v>
      </c>
    </row>
    <row r="49" spans="1:2" x14ac:dyDescent="0.25">
      <c r="A49" t="s">
        <v>198</v>
      </c>
      <c r="B49" t="s">
        <v>63</v>
      </c>
    </row>
    <row r="50" spans="1:2" x14ac:dyDescent="0.25">
      <c r="A50" t="s">
        <v>199</v>
      </c>
      <c r="B50" t="s">
        <v>61</v>
      </c>
    </row>
    <row r="51" spans="1:2" x14ac:dyDescent="0.25">
      <c r="A51" t="s">
        <v>201</v>
      </c>
      <c r="B51" t="s">
        <v>60</v>
      </c>
    </row>
    <row r="52" spans="1:2" x14ac:dyDescent="0.25">
      <c r="A52" t="s">
        <v>226</v>
      </c>
      <c r="B52" t="s">
        <v>84</v>
      </c>
    </row>
    <row r="53" spans="1:2" x14ac:dyDescent="0.25">
      <c r="A53" t="s">
        <v>217</v>
      </c>
      <c r="B53" t="s">
        <v>61</v>
      </c>
    </row>
    <row r="54" spans="1:2" x14ac:dyDescent="0.25">
      <c r="A54" t="s">
        <v>219</v>
      </c>
      <c r="B54" t="s">
        <v>61</v>
      </c>
    </row>
    <row r="55" spans="1:2" x14ac:dyDescent="0.25">
      <c r="A55" t="s">
        <v>227</v>
      </c>
      <c r="B55" t="s">
        <v>63</v>
      </c>
    </row>
    <row r="56" spans="1:2" x14ac:dyDescent="0.25">
      <c r="A56" t="s">
        <v>228</v>
      </c>
      <c r="B56" t="s">
        <v>61</v>
      </c>
    </row>
    <row r="57" spans="1:2" x14ac:dyDescent="0.25">
      <c r="A57" t="s">
        <v>221</v>
      </c>
      <c r="B57" t="s">
        <v>60</v>
      </c>
    </row>
    <row r="58" spans="1:2" x14ac:dyDescent="0.25">
      <c r="A58" t="s">
        <v>245</v>
      </c>
      <c r="B58" t="s">
        <v>84</v>
      </c>
    </row>
    <row r="59" spans="1:2" x14ac:dyDescent="0.25">
      <c r="A59" t="s">
        <v>234</v>
      </c>
      <c r="B59" t="s">
        <v>61</v>
      </c>
    </row>
    <row r="60" spans="1:2" x14ac:dyDescent="0.25">
      <c r="A60" t="s">
        <v>236</v>
      </c>
      <c r="B60" t="s">
        <v>61</v>
      </c>
    </row>
    <row r="61" spans="1:2" x14ac:dyDescent="0.25">
      <c r="A61" t="s">
        <v>239</v>
      </c>
      <c r="B61" t="s">
        <v>63</v>
      </c>
    </row>
    <row r="62" spans="1:2" x14ac:dyDescent="0.25">
      <c r="A62" t="s">
        <v>240</v>
      </c>
      <c r="B62" t="s">
        <v>61</v>
      </c>
    </row>
    <row r="63" spans="1:2" x14ac:dyDescent="0.25">
      <c r="A63" t="s">
        <v>242</v>
      </c>
      <c r="B63" t="s">
        <v>60</v>
      </c>
    </row>
    <row r="64" spans="1:2" x14ac:dyDescent="0.25">
      <c r="A64" t="s">
        <v>273</v>
      </c>
      <c r="B64" t="s">
        <v>84</v>
      </c>
    </row>
    <row r="65" spans="1:2" x14ac:dyDescent="0.25">
      <c r="A65" t="s">
        <v>258</v>
      </c>
      <c r="B65" t="s">
        <v>61</v>
      </c>
    </row>
    <row r="66" spans="1:2" x14ac:dyDescent="0.25">
      <c r="A66" t="s">
        <v>260</v>
      </c>
      <c r="B66" t="s">
        <v>61</v>
      </c>
    </row>
    <row r="67" spans="1:2" x14ac:dyDescent="0.25">
      <c r="A67" t="s">
        <v>263</v>
      </c>
      <c r="B67" t="s">
        <v>63</v>
      </c>
    </row>
    <row r="68" spans="1:2" x14ac:dyDescent="0.25">
      <c r="A68" t="s">
        <v>264</v>
      </c>
      <c r="B68" t="s">
        <v>61</v>
      </c>
    </row>
    <row r="69" spans="1:2" x14ac:dyDescent="0.25">
      <c r="A69" t="s">
        <v>266</v>
      </c>
      <c r="B69" t="s">
        <v>60</v>
      </c>
    </row>
    <row r="70" spans="1:2" x14ac:dyDescent="0.25">
      <c r="A70" t="s">
        <v>294</v>
      </c>
      <c r="B70" t="s">
        <v>84</v>
      </c>
    </row>
    <row r="71" spans="1:2" x14ac:dyDescent="0.25">
      <c r="A71" t="s">
        <v>283</v>
      </c>
      <c r="B71" t="s">
        <v>61</v>
      </c>
    </row>
    <row r="72" spans="1:2" x14ac:dyDescent="0.25">
      <c r="A72" t="s">
        <v>285</v>
      </c>
      <c r="B72" t="s">
        <v>61</v>
      </c>
    </row>
    <row r="73" spans="1:2" x14ac:dyDescent="0.25">
      <c r="A73" t="s">
        <v>288</v>
      </c>
      <c r="B73" t="s">
        <v>63</v>
      </c>
    </row>
    <row r="74" spans="1:2" x14ac:dyDescent="0.25">
      <c r="A74" t="s">
        <v>289</v>
      </c>
      <c r="B74" t="s">
        <v>61</v>
      </c>
    </row>
    <row r="75" spans="1:2" x14ac:dyDescent="0.25">
      <c r="A75" t="s">
        <v>291</v>
      </c>
      <c r="B75" t="s">
        <v>60</v>
      </c>
    </row>
    <row r="76" spans="1:2" x14ac:dyDescent="0.25">
      <c r="A76" t="s">
        <v>322</v>
      </c>
      <c r="B76" t="s">
        <v>84</v>
      </c>
    </row>
    <row r="77" spans="1:2" x14ac:dyDescent="0.25">
      <c r="A77" t="s">
        <v>307</v>
      </c>
      <c r="B77" t="s">
        <v>61</v>
      </c>
    </row>
    <row r="78" spans="1:2" x14ac:dyDescent="0.25">
      <c r="A78" t="s">
        <v>309</v>
      </c>
      <c r="B78" t="s">
        <v>61</v>
      </c>
    </row>
    <row r="79" spans="1:2" x14ac:dyDescent="0.25">
      <c r="A79" t="s">
        <v>312</v>
      </c>
      <c r="B79" t="s">
        <v>63</v>
      </c>
    </row>
    <row r="80" spans="1:2" x14ac:dyDescent="0.25">
      <c r="A80" t="s">
        <v>313</v>
      </c>
      <c r="B80" t="s">
        <v>61</v>
      </c>
    </row>
    <row r="81" spans="1:2" x14ac:dyDescent="0.25">
      <c r="A81" t="s">
        <v>315</v>
      </c>
      <c r="B81" t="s">
        <v>60</v>
      </c>
    </row>
    <row r="82" spans="1:2" x14ac:dyDescent="0.25">
      <c r="A82" t="s">
        <v>472</v>
      </c>
      <c r="B82" t="s">
        <v>84</v>
      </c>
    </row>
    <row r="83" spans="1:2" x14ac:dyDescent="0.25">
      <c r="A83" t="s">
        <v>461</v>
      </c>
      <c r="B83" t="s">
        <v>61</v>
      </c>
    </row>
    <row r="84" spans="1:2" x14ac:dyDescent="0.25">
      <c r="A84" t="s">
        <v>463</v>
      </c>
      <c r="B84" t="s">
        <v>61</v>
      </c>
    </row>
    <row r="85" spans="1:2" x14ac:dyDescent="0.25">
      <c r="A85" t="s">
        <v>466</v>
      </c>
      <c r="B85" t="s">
        <v>63</v>
      </c>
    </row>
    <row r="86" spans="1:2" x14ac:dyDescent="0.25">
      <c r="A86" t="s">
        <v>467</v>
      </c>
      <c r="B86" t="s">
        <v>61</v>
      </c>
    </row>
    <row r="87" spans="1:2" x14ac:dyDescent="0.25">
      <c r="A87" t="s">
        <v>469</v>
      </c>
      <c r="B87" t="s">
        <v>60</v>
      </c>
    </row>
    <row r="88" spans="1:2" x14ac:dyDescent="0.25">
      <c r="A88" t="s">
        <v>340</v>
      </c>
      <c r="B88" t="s">
        <v>84</v>
      </c>
    </row>
    <row r="89" spans="1:2" x14ac:dyDescent="0.25">
      <c r="A89" t="s">
        <v>330</v>
      </c>
      <c r="B89" t="s">
        <v>61</v>
      </c>
    </row>
    <row r="90" spans="1:2" x14ac:dyDescent="0.25">
      <c r="A90" t="s">
        <v>332</v>
      </c>
      <c r="B90" t="s">
        <v>61</v>
      </c>
    </row>
    <row r="91" spans="1:2" x14ac:dyDescent="0.25">
      <c r="A91" t="s">
        <v>335</v>
      </c>
      <c r="B91" t="s">
        <v>63</v>
      </c>
    </row>
    <row r="92" spans="1:2" x14ac:dyDescent="0.25">
      <c r="A92" t="s">
        <v>336</v>
      </c>
      <c r="B92" t="s">
        <v>61</v>
      </c>
    </row>
    <row r="93" spans="1:2" x14ac:dyDescent="0.25">
      <c r="A93" t="s">
        <v>337</v>
      </c>
      <c r="B93" t="s">
        <v>60</v>
      </c>
    </row>
    <row r="94" spans="1:2" x14ac:dyDescent="0.25">
      <c r="A94" t="s">
        <v>484</v>
      </c>
      <c r="B94" t="s">
        <v>63</v>
      </c>
    </row>
  </sheetData>
  <sortState xmlns:xlrd2="http://schemas.microsoft.com/office/spreadsheetml/2017/richdata2" ref="A3:B40">
    <sortCondition ref="B3:B40"/>
  </sortState>
  <dataValidations count="2">
    <dataValidation type="list" allowBlank="1" showInputMessage="1" showErrorMessage="1" sqref="A27" xr:uid="{A6AE19E1-AABB-4B3E-BED0-3FBE1F503D95}">
      <formula1>property_instance</formula1>
    </dataValidation>
    <dataValidation type="list" allowBlank="1" showInputMessage="1" showErrorMessage="1" sqref="B2:B1048576" xr:uid="{AAC34BEA-A665-4921-AD47-68EC72295E2E}">
      <formula1>property_class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02D15-6209-46B5-9072-5070732D9943}">
  <sheetPr codeName="Sheet14"/>
  <dimension ref="A1:AS1000"/>
  <sheetViews>
    <sheetView workbookViewId="0">
      <selection activeCell="F44" sqref="F44"/>
    </sheetView>
  </sheetViews>
  <sheetFormatPr defaultColWidth="8.85546875" defaultRowHeight="15" x14ac:dyDescent="0.25"/>
  <cols>
    <col min="1" max="1" width="22.42578125" bestFit="1" customWidth="1"/>
    <col min="2" max="4" width="25.28515625" bestFit="1" customWidth="1"/>
    <col min="5" max="5" width="14.28515625" bestFit="1" customWidth="1"/>
    <col min="6" max="6" width="30" bestFit="1" customWidth="1"/>
    <col min="7" max="7" width="16.42578125" bestFit="1" customWidth="1"/>
    <col min="26" max="26" width="35.7109375" bestFit="1" customWidth="1"/>
    <col min="28" max="28" width="28.7109375" bestFit="1" customWidth="1"/>
    <col min="31" max="31" width="14.42578125" bestFit="1" customWidth="1"/>
    <col min="32" max="32" width="21.42578125" bestFit="1" customWidth="1"/>
    <col min="33" max="33" width="18.42578125" bestFit="1" customWidth="1"/>
    <col min="34" max="34" width="24.28515625" bestFit="1" customWidth="1"/>
    <col min="35" max="35" width="11.85546875" bestFit="1" customWidth="1"/>
    <col min="36" max="36" width="23.42578125" bestFit="1" customWidth="1"/>
    <col min="38" max="38" width="27.85546875" bestFit="1" customWidth="1"/>
    <col min="39" max="39" width="28.85546875" bestFit="1" customWidth="1"/>
    <col min="40" max="40" width="25.42578125" bestFit="1" customWidth="1"/>
    <col min="41" max="41" width="20.140625" bestFit="1" customWidth="1"/>
    <col min="42" max="42" width="19.42578125" bestFit="1" customWidth="1"/>
    <col min="43" max="43" width="22.42578125" bestFit="1" customWidth="1"/>
    <col min="44" max="44" width="30.7109375" bestFit="1" customWidth="1"/>
    <col min="45" max="45" width="31.85546875" bestFit="1" customWidth="1"/>
  </cols>
  <sheetData>
    <row r="1" spans="1:45" ht="15.75" thickBot="1" x14ac:dyDescent="0.3">
      <c r="A1" s="2" t="s">
        <v>73</v>
      </c>
      <c r="B1" s="13" t="s">
        <v>87</v>
      </c>
      <c r="C1" s="13" t="s">
        <v>88</v>
      </c>
      <c r="D1" s="13" t="s">
        <v>89</v>
      </c>
      <c r="E1" s="2" t="s">
        <v>86</v>
      </c>
      <c r="F1" s="2" t="s">
        <v>90</v>
      </c>
      <c r="G1" s="2" t="s">
        <v>98</v>
      </c>
      <c r="H1" s="10"/>
      <c r="I1" s="10"/>
      <c r="J1" s="10"/>
      <c r="K1" s="10"/>
      <c r="P1" s="14" t="s">
        <v>86</v>
      </c>
      <c r="Q1" s="15"/>
      <c r="R1" s="15"/>
      <c r="U1" s="14" t="s">
        <v>90</v>
      </c>
      <c r="V1" s="15"/>
      <c r="W1" s="15"/>
      <c r="Z1" s="14" t="s">
        <v>98</v>
      </c>
      <c r="AE1" s="16" t="s">
        <v>99</v>
      </c>
      <c r="AF1" s="16" t="s">
        <v>100</v>
      </c>
      <c r="AG1" s="16" t="s">
        <v>101</v>
      </c>
      <c r="AH1" s="16" t="s">
        <v>102</v>
      </c>
      <c r="AI1" s="16" t="s">
        <v>103</v>
      </c>
      <c r="AJ1" s="16" t="s">
        <v>104</v>
      </c>
      <c r="AK1" s="16" t="s">
        <v>105</v>
      </c>
      <c r="AL1" s="16" t="s">
        <v>106</v>
      </c>
      <c r="AM1" s="16" t="s">
        <v>107</v>
      </c>
      <c r="AN1" s="16" t="s">
        <v>108</v>
      </c>
      <c r="AO1" s="16" t="s">
        <v>167</v>
      </c>
      <c r="AP1" s="16" t="s">
        <v>174</v>
      </c>
      <c r="AQ1" s="16" t="s">
        <v>175</v>
      </c>
      <c r="AR1" s="16" t="s">
        <v>176</v>
      </c>
      <c r="AS1" s="16" t="s">
        <v>177</v>
      </c>
    </row>
    <row r="2" spans="1:45" x14ac:dyDescent="0.25">
      <c r="A2" t="s">
        <v>60</v>
      </c>
      <c r="B2" t="str" cm="1">
        <f t="array" aca="1" ref="B2" ca="1">ventilation_system_names</f>
        <v>HF04</v>
      </c>
      <c r="C2" t="str" cm="1">
        <f t="array" aca="1" ref="C2" ca="1">heating_system_names</f>
        <v>HD01</v>
      </c>
      <c r="D2" t="str" cm="1">
        <f t="array" aca="1" ref="D2" ca="1">cooling_system_names</f>
        <v>Cooling</v>
      </c>
      <c r="E2" t="str" cm="1">
        <f t="array" aca="1" ref="E2:E999" ca="1">IF(COUNTA($R:$R)&gt;1,OFFSET($R$2, 0, 0, COUNTA($R:$R)-1, 1),"")</f>
        <v>HF04</v>
      </c>
      <c r="F2" t="str" cm="1">
        <f t="array" aca="1" ref="F2:F999" ca="1">IF(COUNTA($W:$W)&gt;1,OFFSET($W$2, 0, 0, COUNTA($W:$W)-1, 1),"")</f>
        <v>HD01</v>
      </c>
      <c r="G2" t="str" cm="1">
        <f t="array" aca="1" ref="G2:G132" ca="1">_xlfn._xlws.FILTER(IF(COUNTA($AB:$AB)&gt;1,OFFSET($AB$2, 0, 0, COUNTA($AB:$AB)-1, 1),""), IF(COUNTA($AB:$AB)&gt;1,OFFSET($AB$2, 0, 0, COUNTA($AB:$AB)-1, 1),"") &lt;&gt;"")</f>
        <v>Space_9</v>
      </c>
      <c r="P2" t="str" cm="1">
        <f t="array" aca="1" ref="P2" ca="1">INDEX($B$2:$D$40,MOD(ROW()-ROW($B$2),ROWS($B$2:$D$40))+1,INT((ROW()-ROW($B$2))/ROWS($B$2:$D$40))+1)</f>
        <v>HF04</v>
      </c>
      <c r="Q2">
        <f ca="1">MATCH("*",P2:P40,0)+ROW()-1</f>
        <v>2</v>
      </c>
      <c r="R2" t="str" cm="1">
        <f t="array" aca="1" ref="R2" ca="1">IFERROR(INDIRECT("$P"&amp;Q2),"")</f>
        <v>HF04</v>
      </c>
      <c r="U2" t="str" cm="1">
        <f t="array" aca="1" ref="U2" ca="1">INDEX($C$2:$D$40,MOD(ROW()-ROW($C$2),ROWS($C$2:$D$40))+1,INT((ROW()-ROW($C$2))/ROWS($C$2:$D$40))+1)</f>
        <v>HD01</v>
      </c>
      <c r="V2">
        <f ca="1">MATCH("*",U2:U40,0)+ROW()-1</f>
        <v>2</v>
      </c>
      <c r="W2" t="str" cm="1">
        <f t="array" aca="1" ref="W2" ca="1">IFERROR(INDIRECT("$U"&amp;V2),"")</f>
        <v>HD01</v>
      </c>
      <c r="Z2" t="str" cm="1">
        <f t="array" aca="1" ref="Z2" ca="1">INDEX($AE$2:$AS$40,MOD(ROW()-ROW($AE$2),ROWS($AE$2:$AS$40))+1,INT((ROW()-ROW($AE$2))/ROWS($AE$2:$AS$40))+1)</f>
        <v>Space_9</v>
      </c>
      <c r="AA2">
        <f ca="1">MATCH("*",Z2:Z40,0)+ROW()-1</f>
        <v>2</v>
      </c>
      <c r="AB2" t="str" cm="1">
        <f t="array" aca="1" ref="AB2" ca="1">IFERROR(INDIRECT("$Z"&amp;AA2),"")</f>
        <v>Space_9</v>
      </c>
      <c r="AE2" t="str" cm="1">
        <f t="array" aca="1" ref="AE2:AE13" ca="1">space_names</f>
        <v>Space_9</v>
      </c>
      <c r="AF2" t="str" cm="1">
        <f t="array" aca="1" ref="AF2:AF25" ca="1">damper_names</f>
        <v>Space_9_room_supply_damper</v>
      </c>
      <c r="AG2" t="str" cm="1">
        <f t="array" aca="1" ref="AG2:AG13" ca="1">space_heater_names</f>
        <v>Space_9_space_heater</v>
      </c>
      <c r="AH2" t="str" cm="1">
        <f t="array" aca="1" ref="AH2:AH13" ca="1">valve_names</f>
        <v>Space_9_space_heater_valve</v>
      </c>
      <c r="AI2" t="str" cm="1">
        <f t="array" aca="1" ref="AI2:AI3" ca="1">coil_names</f>
        <v>cooling_coil</v>
      </c>
      <c r="AJ2" t="str" cm="1">
        <f t="array" aca="1" ref="AJ2" ca="1">air_to_air_heat_recovery_names</f>
        <v>HF04_heat_exchanger</v>
      </c>
      <c r="AK2" t="str" cm="1">
        <f t="array" aca="1" ref="AK2:AK3" ca="1">fan_names</f>
        <v>supply_fan</v>
      </c>
      <c r="AL2" t="str" cm="1">
        <f t="array" aca="1" ref="AL2:AL21" ca="1">controller_names</f>
        <v>Space_9_temperature_heating_controller</v>
      </c>
      <c r="AM2" t="str" cm="1">
        <f t="array" aca="1" ref="AM2:AM59" ca="1">sensor_names</f>
        <v>Space_9_co2_sensor</v>
      </c>
      <c r="AN2" t="e" cm="1">
        <f t="array" aca="1" ref="AN2" ca="1">meter_names</f>
        <v>#REF!</v>
      </c>
      <c r="AO2" t="s">
        <v>168</v>
      </c>
      <c r="AP2" t="str">
        <f ca="1">IF(AI2&lt;&gt;"", _xlfn.CONCAT(AI2, " (airside)"), "")</f>
        <v>cooling_coil (airside)</v>
      </c>
      <c r="AQ2" t="str">
        <f ca="1">IF(AI2&lt;&gt;"", _xlfn.CONCAT(AI2, " (waterside)"), "")</f>
        <v>cooling_coil (waterside)</v>
      </c>
      <c r="AR2" t="str">
        <f ca="1">IF(AJ2&lt;&gt;"", _xlfn.CONCAT(AJ2, " (supply)"), "")</f>
        <v>HF04_heat_exchanger (supply)</v>
      </c>
      <c r="AS2" t="str">
        <f ca="1">IF(AJ2&lt;&gt;"", _xlfn.CONCAT(AJ2, " (exhaust)"), "")</f>
        <v>HF04_heat_exchanger (exhaust)</v>
      </c>
    </row>
    <row r="3" spans="1:45" x14ac:dyDescent="0.25">
      <c r="A3" t="s">
        <v>69</v>
      </c>
      <c r="E3" t="str">
        <f ca="1"/>
        <v>HD01</v>
      </c>
      <c r="F3" t="str">
        <f ca="1"/>
        <v>Cooling</v>
      </c>
      <c r="G3" t="str">
        <f ca="1"/>
        <v>Space_10</v>
      </c>
      <c r="P3" cm="1">
        <f t="array" ref="P3">INDEX($B$2:$D$40,MOD(ROW()-ROW($B$2),ROWS($B$2:$D$40))+1,INT((ROW()-ROW($B$2))/ROWS($B$2:$D$40))+1)</f>
        <v>0</v>
      </c>
      <c r="Q3">
        <f ca="1">MATCH("*",INDIRECT(ADDRESS(Q2+1,16,1)&amp;":$P$1000"),0)+Q2</f>
        <v>41</v>
      </c>
      <c r="R3" t="str" cm="1">
        <f t="array" aca="1" ref="R3" ca="1">IFERROR(INDIRECT("$P"&amp;Q3),"")</f>
        <v>HD01</v>
      </c>
      <c r="U3" cm="1">
        <f t="array" ref="U3">INDEX($C$2:$D$40,MOD(ROW()-ROW($C$2),ROWS($C$2:$D$40))+1,INT((ROW()-ROW($C$2))/ROWS($C$2:$D$40))+1)</f>
        <v>0</v>
      </c>
      <c r="V3">
        <f ca="1">MATCH("*",INDIRECT(ADDRESS(V2+1,21,1)&amp;":$U$1000"),0)+V2</f>
        <v>41</v>
      </c>
      <c r="W3" t="str" cm="1">
        <f t="array" aca="1" ref="W3" ca="1">IFERROR(INDIRECT("$U"&amp;V3),"")</f>
        <v>Cooling</v>
      </c>
      <c r="Z3" t="str" cm="1">
        <f t="array" aca="1" ref="Z3" ca="1">INDEX($AE$2:$AS$40,MOD(ROW()-ROW($AE$2),ROWS($AE$2:$AS$40))+1,INT((ROW()-ROW($AE$2))/ROWS($AE$2:$AS$40))+1)</f>
        <v>Space_10</v>
      </c>
      <c r="AA3">
        <f ca="1">MATCH("*",INDIRECT(ADDRESS(AA2+1,26,1)&amp;":$Z$1000"),0)+AA2</f>
        <v>3</v>
      </c>
      <c r="AB3" t="str" cm="1">
        <f t="array" aca="1" ref="AB3" ca="1">IFERROR(INDIRECT("$Z"&amp;AA3),"")</f>
        <v>Space_10</v>
      </c>
      <c r="AE3" t="str">
        <f ca="1"/>
        <v>Space_10</v>
      </c>
      <c r="AF3" t="str">
        <f ca="1"/>
        <v>Space_9_room_exhaust_damper</v>
      </c>
      <c r="AG3" t="str">
        <f ca="1"/>
        <v>Space_10_space_heater</v>
      </c>
      <c r="AH3" t="str">
        <f ca="1"/>
        <v>Space_10_space_heater_valve</v>
      </c>
      <c r="AI3" t="str">
        <f ca="1"/>
        <v>heating_coil</v>
      </c>
      <c r="AK3" t="str">
        <f ca="1"/>
        <v>exhaust_fan</v>
      </c>
      <c r="AL3" t="str">
        <f ca="1"/>
        <v>Space_9_co2_controller</v>
      </c>
      <c r="AM3" t="str">
        <f ca="1"/>
        <v>Space_9_damper_position_sensor</v>
      </c>
      <c r="AP3" t="str">
        <f t="shared" ref="AP3:AP66" ca="1" si="0">IF(AI3&lt;&gt;"", _xlfn.CONCAT(AI3, " (airside)"), "")</f>
        <v>heating_coil (airside)</v>
      </c>
      <c r="AQ3" t="str">
        <f t="shared" ref="AQ3:AQ66" ca="1" si="1">IF(AI3&lt;&gt;"", _xlfn.CONCAT(AI3, " (waterside)"), "")</f>
        <v>heating_coil (waterside)</v>
      </c>
      <c r="AR3" t="str">
        <f t="shared" ref="AR3:AR66" si="2">IF(AJ3&lt;&gt;"", _xlfn.CONCAT(AJ3, " (supply)"), "")</f>
        <v/>
      </c>
      <c r="AS3" t="str">
        <f t="shared" ref="AS3:AS66" si="3">IF(AJ3&lt;&gt;"", _xlfn.CONCAT(AJ3, " (exhaust)"), "")</f>
        <v/>
      </c>
    </row>
    <row r="4" spans="1:45" x14ac:dyDescent="0.25">
      <c r="A4" t="s">
        <v>68</v>
      </c>
      <c r="E4" t="str">
        <f ca="1"/>
        <v>Cooling</v>
      </c>
      <c r="F4" t="str">
        <f ca="1"/>
        <v/>
      </c>
      <c r="G4" t="str">
        <f ca="1"/>
        <v>Space_11</v>
      </c>
      <c r="P4" cm="1">
        <f t="array" ref="P4">INDEX($B$2:$D$40,MOD(ROW()-ROW($B$2),ROWS($B$2:$D$40))+1,INT((ROW()-ROW($B$2))/ROWS($B$2:$D$40))+1)</f>
        <v>0</v>
      </c>
      <c r="Q4">
        <f t="shared" ref="Q4:Q67" ca="1" si="4">MATCH("*",INDIRECT(ADDRESS(Q3+1,16,1)&amp;":$P$1000"),0)+Q3</f>
        <v>80</v>
      </c>
      <c r="R4" t="str" cm="1">
        <f t="array" aca="1" ref="R4" ca="1">IFERROR(INDIRECT("$P"&amp;Q4),"")</f>
        <v>Cooling</v>
      </c>
      <c r="U4" cm="1">
        <f t="array" ref="U4">INDEX($C$2:$D$40,MOD(ROW()-ROW($C$2),ROWS($C$2:$D$40))+1,INT((ROW()-ROW($C$2))/ROWS($C$2:$D$40))+1)</f>
        <v>0</v>
      </c>
      <c r="V4" t="e">
        <f t="shared" ref="V4:V67" ca="1" si="5">MATCH("*",INDIRECT(ADDRESS(V3+1,21,1)&amp;":$U$1000"),0)+V3</f>
        <v>#N/A</v>
      </c>
      <c r="W4" t="str" cm="1">
        <f t="array" aca="1" ref="W4" ca="1">IFERROR(INDIRECT("$U"&amp;V4),"")</f>
        <v/>
      </c>
      <c r="Z4" t="str" cm="1">
        <f t="array" aca="1" ref="Z4" ca="1">INDEX($AE$2:$AS$40,MOD(ROW()-ROW($AE$2),ROWS($AE$2:$AS$40))+1,INT((ROW()-ROW($AE$2))/ROWS($AE$2:$AS$40))+1)</f>
        <v>Space_11</v>
      </c>
      <c r="AA4">
        <f t="shared" ref="AA4:AA67" ca="1" si="6">MATCH("*",INDIRECT(ADDRESS(AA3+1,26,1)&amp;":$Z$1000"),0)+AA3</f>
        <v>4</v>
      </c>
      <c r="AB4" t="str" cm="1">
        <f t="array" aca="1" ref="AB4" ca="1">IFERROR(INDIRECT("$Z"&amp;AA4),"")</f>
        <v>Space_11</v>
      </c>
      <c r="AE4" t="str">
        <f ca="1"/>
        <v>Space_11</v>
      </c>
      <c r="AF4" t="str">
        <f ca="1"/>
        <v>Space_10_room_supply_damper</v>
      </c>
      <c r="AG4" t="str">
        <f ca="1"/>
        <v>Space_11_space_heater</v>
      </c>
      <c r="AH4" t="str">
        <f ca="1"/>
        <v>Space_11_space_heater_valve</v>
      </c>
      <c r="AL4" t="str">
        <f ca="1"/>
        <v>Space_10_temperature_heating_controller</v>
      </c>
      <c r="AM4" t="str">
        <f ca="1"/>
        <v>Space_9_temperature_sensor</v>
      </c>
      <c r="AP4" t="str">
        <f t="shared" si="0"/>
        <v/>
      </c>
      <c r="AQ4" t="str">
        <f t="shared" si="1"/>
        <v/>
      </c>
      <c r="AR4" t="str">
        <f t="shared" si="2"/>
        <v/>
      </c>
      <c r="AS4" t="str">
        <f t="shared" si="3"/>
        <v/>
      </c>
    </row>
    <row r="5" spans="1:45" x14ac:dyDescent="0.25">
      <c r="A5" t="s">
        <v>70</v>
      </c>
      <c r="E5" t="str">
        <f ca="1"/>
        <v/>
      </c>
      <c r="F5" t="str">
        <f ca="1"/>
        <v/>
      </c>
      <c r="G5" t="str">
        <f ca="1"/>
        <v>Space_12</v>
      </c>
      <c r="P5" cm="1">
        <f t="array" ref="P5">INDEX($B$2:$D$40,MOD(ROW()-ROW($B$2),ROWS($B$2:$D$40))+1,INT((ROW()-ROW($B$2))/ROWS($B$2:$D$40))+1)</f>
        <v>0</v>
      </c>
      <c r="Q5" t="e">
        <f t="shared" ca="1" si="4"/>
        <v>#N/A</v>
      </c>
      <c r="R5" t="str" cm="1">
        <f t="array" aca="1" ref="R5" ca="1">IFERROR(INDIRECT("$P"&amp;Q5),"")</f>
        <v/>
      </c>
      <c r="U5" cm="1">
        <f t="array" ref="U5">INDEX($C$2:$D$40,MOD(ROW()-ROW($C$2),ROWS($C$2:$D$40))+1,INT((ROW()-ROW($C$2))/ROWS($C$2:$D$40))+1)</f>
        <v>0</v>
      </c>
      <c r="V5" t="e">
        <f t="shared" ca="1" si="5"/>
        <v>#N/A</v>
      </c>
      <c r="W5" t="str" cm="1">
        <f t="array" aca="1" ref="W5" ca="1">IFERROR(INDIRECT("$U"&amp;V5),"")</f>
        <v/>
      </c>
      <c r="Z5" t="str" cm="1">
        <f t="array" aca="1" ref="Z5" ca="1">INDEX($AE$2:$AS$40,MOD(ROW()-ROW($AE$2),ROWS($AE$2:$AS$40))+1,INT((ROW()-ROW($AE$2))/ROWS($AE$2:$AS$40))+1)</f>
        <v>Space_12</v>
      </c>
      <c r="AA5">
        <f t="shared" ca="1" si="6"/>
        <v>5</v>
      </c>
      <c r="AB5" t="str" cm="1">
        <f t="array" aca="1" ref="AB5" ca="1">IFERROR(INDIRECT("$Z"&amp;AA5),"")</f>
        <v>Space_12</v>
      </c>
      <c r="AE5" t="str">
        <f ca="1"/>
        <v>Space_12</v>
      </c>
      <c r="AF5" t="str">
        <f ca="1"/>
        <v>Space_10_room_exhaust_damper</v>
      </c>
      <c r="AG5" t="str">
        <f ca="1"/>
        <v>Space_12_space_heater</v>
      </c>
      <c r="AH5" t="str">
        <f ca="1"/>
        <v>Space_12_space_heater_valve</v>
      </c>
      <c r="AL5" t="str">
        <f ca="1"/>
        <v>Space_10_co2_controller</v>
      </c>
      <c r="AM5" t="str">
        <f ca="1"/>
        <v>Space_9_valve_position_sensor</v>
      </c>
      <c r="AP5" t="str">
        <f t="shared" si="0"/>
        <v/>
      </c>
      <c r="AQ5" t="str">
        <f t="shared" si="1"/>
        <v/>
      </c>
      <c r="AR5" t="str">
        <f t="shared" si="2"/>
        <v/>
      </c>
      <c r="AS5" t="str">
        <f t="shared" si="3"/>
        <v/>
      </c>
    </row>
    <row r="6" spans="1:45" x14ac:dyDescent="0.25">
      <c r="A6" t="s">
        <v>71</v>
      </c>
      <c r="E6" t="str">
        <f ca="1"/>
        <v/>
      </c>
      <c r="F6" t="str">
        <f ca="1"/>
        <v/>
      </c>
      <c r="G6" t="str">
        <f ca="1"/>
        <v>Space_7</v>
      </c>
      <c r="P6" cm="1">
        <f t="array" ref="P6">INDEX($B$2:$D$40,MOD(ROW()-ROW($B$2),ROWS($B$2:$D$40))+1,INT((ROW()-ROW($B$2))/ROWS($B$2:$D$40))+1)</f>
        <v>0</v>
      </c>
      <c r="Q6" t="e">
        <f t="shared" ca="1" si="4"/>
        <v>#N/A</v>
      </c>
      <c r="R6" t="str" cm="1">
        <f t="array" aca="1" ref="R6" ca="1">IFERROR(INDIRECT("$P"&amp;Q6),"")</f>
        <v/>
      </c>
      <c r="U6" cm="1">
        <f t="array" ref="U6">INDEX($C$2:$D$40,MOD(ROW()-ROW($C$2),ROWS($C$2:$D$40))+1,INT((ROW()-ROW($C$2))/ROWS($C$2:$D$40))+1)</f>
        <v>0</v>
      </c>
      <c r="V6" t="e">
        <f t="shared" ca="1" si="5"/>
        <v>#N/A</v>
      </c>
      <c r="W6" t="str" cm="1">
        <f t="array" aca="1" ref="W6" ca="1">IFERROR(INDIRECT("$U"&amp;V6),"")</f>
        <v/>
      </c>
      <c r="Z6" t="str" cm="1">
        <f t="array" aca="1" ref="Z6" ca="1">INDEX($AE$2:$AS$40,MOD(ROW()-ROW($AE$2),ROWS($AE$2:$AS$40))+1,INT((ROW()-ROW($AE$2))/ROWS($AE$2:$AS$40))+1)</f>
        <v>Space_7</v>
      </c>
      <c r="AA6">
        <f t="shared" ca="1" si="6"/>
        <v>6</v>
      </c>
      <c r="AB6" t="str" cm="1">
        <f t="array" aca="1" ref="AB6" ca="1">IFERROR(INDIRECT("$Z"&amp;AA6),"")</f>
        <v>Space_7</v>
      </c>
      <c r="AE6" t="str">
        <f ca="1"/>
        <v>Space_7</v>
      </c>
      <c r="AF6" t="str">
        <f ca="1"/>
        <v>Space_11_room_supply_damper</v>
      </c>
      <c r="AG6" t="str">
        <f ca="1"/>
        <v>Space_7_space_heater</v>
      </c>
      <c r="AH6" t="str">
        <f ca="1"/>
        <v>Space_7_space_heater_valve</v>
      </c>
      <c r="AL6" t="str">
        <f ca="1"/>
        <v>Space_11_temperature_heating_controller</v>
      </c>
      <c r="AM6" t="str">
        <f ca="1"/>
        <v>Space_10_co2_sensor</v>
      </c>
      <c r="AP6" t="str">
        <f t="shared" si="0"/>
        <v/>
      </c>
      <c r="AQ6" t="str">
        <f t="shared" si="1"/>
        <v/>
      </c>
      <c r="AR6" t="str">
        <f t="shared" si="2"/>
        <v/>
      </c>
      <c r="AS6" t="str">
        <f t="shared" si="3"/>
        <v/>
      </c>
    </row>
    <row r="7" spans="1:45" x14ac:dyDescent="0.25">
      <c r="A7" t="s">
        <v>72</v>
      </c>
      <c r="E7" t="str">
        <f ca="1"/>
        <v/>
      </c>
      <c r="F7" t="str">
        <f ca="1"/>
        <v/>
      </c>
      <c r="G7" t="str">
        <f ca="1"/>
        <v>Space_6</v>
      </c>
      <c r="P7" cm="1">
        <f t="array" ref="P7">INDEX($B$2:$D$40,MOD(ROW()-ROW($B$2),ROWS($B$2:$D$40))+1,INT((ROW()-ROW($B$2))/ROWS($B$2:$D$40))+1)</f>
        <v>0</v>
      </c>
      <c r="Q7" t="e">
        <f t="shared" ca="1" si="4"/>
        <v>#N/A</v>
      </c>
      <c r="R7" t="str" cm="1">
        <f t="array" aca="1" ref="R7" ca="1">IFERROR(INDIRECT("$P"&amp;Q7),"")</f>
        <v/>
      </c>
      <c r="U7" cm="1">
        <f t="array" ref="U7">INDEX($C$2:$D$40,MOD(ROW()-ROW($C$2),ROWS($C$2:$D$40))+1,INT((ROW()-ROW($C$2))/ROWS($C$2:$D$40))+1)</f>
        <v>0</v>
      </c>
      <c r="V7" t="e">
        <f t="shared" ca="1" si="5"/>
        <v>#N/A</v>
      </c>
      <c r="W7" t="str" cm="1">
        <f t="array" aca="1" ref="W7" ca="1">IFERROR(INDIRECT("$U"&amp;V7),"")</f>
        <v/>
      </c>
      <c r="Z7" t="str" cm="1">
        <f t="array" aca="1" ref="Z7" ca="1">INDEX($AE$2:$AS$40,MOD(ROW()-ROW($AE$2),ROWS($AE$2:$AS$40))+1,INT((ROW()-ROW($AE$2))/ROWS($AE$2:$AS$40))+1)</f>
        <v>Space_6</v>
      </c>
      <c r="AA7">
        <f t="shared" ca="1" si="6"/>
        <v>7</v>
      </c>
      <c r="AB7" t="str" cm="1">
        <f t="array" aca="1" ref="AB7" ca="1">IFERROR(INDIRECT("$Z"&amp;AA7),"")</f>
        <v>Space_6</v>
      </c>
      <c r="AE7" t="str">
        <f ca="1"/>
        <v>Space_6</v>
      </c>
      <c r="AF7" t="str">
        <f ca="1"/>
        <v>Space_11_room_exhaust_damper</v>
      </c>
      <c r="AG7" t="str">
        <f ca="1"/>
        <v>Space_6_space_heater</v>
      </c>
      <c r="AH7" t="str">
        <f ca="1"/>
        <v>Space_6_space_heater_valve</v>
      </c>
      <c r="AL7" t="str">
        <f ca="1"/>
        <v>Space_11_co2_controller</v>
      </c>
      <c r="AM7" t="str">
        <f ca="1"/>
        <v>Space_10_damper_position_sensor</v>
      </c>
      <c r="AP7" t="str">
        <f t="shared" si="0"/>
        <v/>
      </c>
      <c r="AQ7" t="str">
        <f t="shared" si="1"/>
        <v/>
      </c>
      <c r="AR7" t="str">
        <f t="shared" si="2"/>
        <v/>
      </c>
      <c r="AS7" t="str">
        <f t="shared" si="3"/>
        <v/>
      </c>
    </row>
    <row r="8" spans="1:45" x14ac:dyDescent="0.25">
      <c r="A8" t="s">
        <v>64</v>
      </c>
      <c r="E8" t="str">
        <f ca="1"/>
        <v/>
      </c>
      <c r="F8" t="str">
        <f ca="1"/>
        <v/>
      </c>
      <c r="G8" t="str">
        <f ca="1"/>
        <v>Space_8</v>
      </c>
      <c r="P8" cm="1">
        <f t="array" ref="P8">INDEX($B$2:$D$40,MOD(ROW()-ROW($B$2),ROWS($B$2:$D$40))+1,INT((ROW()-ROW($B$2))/ROWS($B$2:$D$40))+1)</f>
        <v>0</v>
      </c>
      <c r="Q8" t="e">
        <f t="shared" ca="1" si="4"/>
        <v>#N/A</v>
      </c>
      <c r="R8" t="str" cm="1">
        <f t="array" aca="1" ref="R8" ca="1">IFERROR(INDIRECT("$P"&amp;Q8),"")</f>
        <v/>
      </c>
      <c r="U8" cm="1">
        <f t="array" ref="U8">INDEX($C$2:$D$40,MOD(ROW()-ROW($C$2),ROWS($C$2:$D$40))+1,INT((ROW()-ROW($C$2))/ROWS($C$2:$D$40))+1)</f>
        <v>0</v>
      </c>
      <c r="V8" t="e">
        <f t="shared" ca="1" si="5"/>
        <v>#N/A</v>
      </c>
      <c r="W8" t="str" cm="1">
        <f t="array" aca="1" ref="W8" ca="1">IFERROR(INDIRECT("$U"&amp;V8),"")</f>
        <v/>
      </c>
      <c r="Z8" t="str" cm="1">
        <f t="array" aca="1" ref="Z8" ca="1">INDEX($AE$2:$AS$40,MOD(ROW()-ROW($AE$2),ROWS($AE$2:$AS$40))+1,INT((ROW()-ROW($AE$2))/ROWS($AE$2:$AS$40))+1)</f>
        <v>Space_8</v>
      </c>
      <c r="AA8">
        <f t="shared" ca="1" si="6"/>
        <v>8</v>
      </c>
      <c r="AB8" t="str" cm="1">
        <f t="array" aca="1" ref="AB8" ca="1">IFERROR(INDIRECT("$Z"&amp;AA8),"")</f>
        <v>Space_8</v>
      </c>
      <c r="AE8" t="str">
        <f ca="1"/>
        <v>Space_8</v>
      </c>
      <c r="AF8" t="str">
        <f ca="1"/>
        <v>Space_12_room_supply_damper</v>
      </c>
      <c r="AG8" t="str">
        <f ca="1"/>
        <v>Space_8_space_heater</v>
      </c>
      <c r="AH8" t="str">
        <f ca="1"/>
        <v>Space_8_space_heater_valve</v>
      </c>
      <c r="AL8" t="str">
        <f ca="1"/>
        <v>Space_12_temperature_heating_controller</v>
      </c>
      <c r="AM8" t="str">
        <f ca="1"/>
        <v>Space_10_temperature_sensor</v>
      </c>
      <c r="AP8" t="str">
        <f t="shared" si="0"/>
        <v/>
      </c>
      <c r="AQ8" t="str">
        <f t="shared" si="1"/>
        <v/>
      </c>
      <c r="AR8" t="str">
        <f t="shared" si="2"/>
        <v/>
      </c>
      <c r="AS8" t="str">
        <f t="shared" si="3"/>
        <v/>
      </c>
    </row>
    <row r="9" spans="1:45" x14ac:dyDescent="0.25">
      <c r="A9" t="s">
        <v>67</v>
      </c>
      <c r="E9" t="str">
        <f ca="1"/>
        <v/>
      </c>
      <c r="F9" t="str">
        <f ca="1"/>
        <v/>
      </c>
      <c r="G9" t="str">
        <f ca="1"/>
        <v>Space_3</v>
      </c>
      <c r="P9" cm="1">
        <f t="array" ref="P9">INDEX($B$2:$D$40,MOD(ROW()-ROW($B$2),ROWS($B$2:$D$40))+1,INT((ROW()-ROW($B$2))/ROWS($B$2:$D$40))+1)</f>
        <v>0</v>
      </c>
      <c r="Q9" t="e">
        <f t="shared" ca="1" si="4"/>
        <v>#N/A</v>
      </c>
      <c r="R9" t="str" cm="1">
        <f t="array" aca="1" ref="R9" ca="1">IFERROR(INDIRECT("$P"&amp;Q9),"")</f>
        <v/>
      </c>
      <c r="U9" cm="1">
        <f t="array" ref="U9">INDEX($C$2:$D$40,MOD(ROW()-ROW($C$2),ROWS($C$2:$D$40))+1,INT((ROW()-ROW($C$2))/ROWS($C$2:$D$40))+1)</f>
        <v>0</v>
      </c>
      <c r="V9" t="e">
        <f t="shared" ca="1" si="5"/>
        <v>#N/A</v>
      </c>
      <c r="W9" t="str" cm="1">
        <f t="array" aca="1" ref="W9" ca="1">IFERROR(INDIRECT("$U"&amp;V9),"")</f>
        <v/>
      </c>
      <c r="Z9" t="str" cm="1">
        <f t="array" aca="1" ref="Z9" ca="1">INDEX($AE$2:$AS$40,MOD(ROW()-ROW($AE$2),ROWS($AE$2:$AS$40))+1,INT((ROW()-ROW($AE$2))/ROWS($AE$2:$AS$40))+1)</f>
        <v>Space_3</v>
      </c>
      <c r="AA9">
        <f t="shared" ca="1" si="6"/>
        <v>9</v>
      </c>
      <c r="AB9" t="str" cm="1">
        <f t="array" aca="1" ref="AB9" ca="1">IFERROR(INDIRECT("$Z"&amp;AA9),"")</f>
        <v>Space_3</v>
      </c>
      <c r="AE9" t="str">
        <f ca="1"/>
        <v>Space_3</v>
      </c>
      <c r="AF9" t="str">
        <f ca="1"/>
        <v>Space_12_room_exhaust_damper</v>
      </c>
      <c r="AG9" t="str">
        <f ca="1"/>
        <v>Space_3_space_heater</v>
      </c>
      <c r="AH9" t="str">
        <f ca="1"/>
        <v>Space_3_space_heater_valve</v>
      </c>
      <c r="AL9" t="str">
        <f ca="1"/>
        <v>Space_12_co2_controller</v>
      </c>
      <c r="AM9" t="str">
        <f ca="1"/>
        <v>Space_10_valve_position_sensor</v>
      </c>
      <c r="AP9" t="str">
        <f t="shared" si="0"/>
        <v/>
      </c>
      <c r="AQ9" t="str">
        <f t="shared" si="1"/>
        <v/>
      </c>
      <c r="AR9" t="str">
        <f t="shared" si="2"/>
        <v/>
      </c>
      <c r="AS9" t="str">
        <f t="shared" si="3"/>
        <v/>
      </c>
    </row>
    <row r="10" spans="1:45" x14ac:dyDescent="0.25">
      <c r="A10" t="s">
        <v>66</v>
      </c>
      <c r="E10" t="str">
        <f ca="1"/>
        <v/>
      </c>
      <c r="F10" t="str">
        <f ca="1"/>
        <v/>
      </c>
      <c r="G10" t="str">
        <f ca="1"/>
        <v>Space_5</v>
      </c>
      <c r="P10" cm="1">
        <f t="array" ref="P10">INDEX($B$2:$D$40,MOD(ROW()-ROW($B$2),ROWS($B$2:$D$40))+1,INT((ROW()-ROW($B$2))/ROWS($B$2:$D$40))+1)</f>
        <v>0</v>
      </c>
      <c r="Q10" t="e">
        <f t="shared" ca="1" si="4"/>
        <v>#N/A</v>
      </c>
      <c r="R10" t="str" cm="1">
        <f t="array" aca="1" ref="R10" ca="1">IFERROR(INDIRECT("$P"&amp;Q10),"")</f>
        <v/>
      </c>
      <c r="U10" cm="1">
        <f t="array" ref="U10">INDEX($C$2:$D$40,MOD(ROW()-ROW($C$2),ROWS($C$2:$D$40))+1,INT((ROW()-ROW($C$2))/ROWS($C$2:$D$40))+1)</f>
        <v>0</v>
      </c>
      <c r="V10" t="e">
        <f t="shared" ca="1" si="5"/>
        <v>#N/A</v>
      </c>
      <c r="W10" t="str" cm="1">
        <f t="array" aca="1" ref="W10" ca="1">IFERROR(INDIRECT("$U"&amp;V10),"")</f>
        <v/>
      </c>
      <c r="Z10" t="str" cm="1">
        <f t="array" aca="1" ref="Z10" ca="1">INDEX($AE$2:$AS$40,MOD(ROW()-ROW($AE$2),ROWS($AE$2:$AS$40))+1,INT((ROW()-ROW($AE$2))/ROWS($AE$2:$AS$40))+1)</f>
        <v>Space_5</v>
      </c>
      <c r="AA10">
        <f t="shared" ca="1" si="6"/>
        <v>10</v>
      </c>
      <c r="AB10" t="str" cm="1">
        <f t="array" aca="1" ref="AB10" ca="1">IFERROR(INDIRECT("$Z"&amp;AA10),"")</f>
        <v>Space_5</v>
      </c>
      <c r="AE10" t="str">
        <f ca="1"/>
        <v>Space_5</v>
      </c>
      <c r="AF10" t="str">
        <f ca="1"/>
        <v>Space_7_room_supply_damper</v>
      </c>
      <c r="AG10" t="str">
        <f ca="1"/>
        <v>Space_5_space_heater</v>
      </c>
      <c r="AH10" t="str">
        <f ca="1"/>
        <v>Space_5_space_heater_valve</v>
      </c>
      <c r="AL10" t="str">
        <f ca="1"/>
        <v>Space_7_temperature_controller</v>
      </c>
      <c r="AM10" t="str">
        <f ca="1"/>
        <v>Space_11_co2_sensor</v>
      </c>
      <c r="AP10" t="str">
        <f t="shared" si="0"/>
        <v/>
      </c>
      <c r="AQ10" t="str">
        <f t="shared" si="1"/>
        <v/>
      </c>
      <c r="AR10" t="str">
        <f t="shared" si="2"/>
        <v/>
      </c>
      <c r="AS10" t="str">
        <f t="shared" si="3"/>
        <v/>
      </c>
    </row>
    <row r="11" spans="1:45" x14ac:dyDescent="0.25">
      <c r="A11" t="s">
        <v>63</v>
      </c>
      <c r="E11" t="str">
        <f ca="1"/>
        <v/>
      </c>
      <c r="F11" t="str">
        <f ca="1"/>
        <v/>
      </c>
      <c r="G11" t="str">
        <f ca="1"/>
        <v>Space_4</v>
      </c>
      <c r="P11" cm="1">
        <f t="array" ref="P11">INDEX($B$2:$D$40,MOD(ROW()-ROW($B$2),ROWS($B$2:$D$40))+1,INT((ROW()-ROW($B$2))/ROWS($B$2:$D$40))+1)</f>
        <v>0</v>
      </c>
      <c r="Q11" t="e">
        <f t="shared" ca="1" si="4"/>
        <v>#N/A</v>
      </c>
      <c r="R11" t="str" cm="1">
        <f t="array" aca="1" ref="R11" ca="1">IFERROR(INDIRECT("$P"&amp;Q11),"")</f>
        <v/>
      </c>
      <c r="U11" cm="1">
        <f t="array" ref="U11">INDEX($C$2:$D$40,MOD(ROW()-ROW($C$2),ROWS($C$2:$D$40))+1,INT((ROW()-ROW($C$2))/ROWS($C$2:$D$40))+1)</f>
        <v>0</v>
      </c>
      <c r="V11" t="e">
        <f t="shared" ca="1" si="5"/>
        <v>#N/A</v>
      </c>
      <c r="W11" t="str" cm="1">
        <f t="array" aca="1" ref="W11" ca="1">IFERROR(INDIRECT("$U"&amp;V11),"")</f>
        <v/>
      </c>
      <c r="Z11" t="str" cm="1">
        <f t="array" aca="1" ref="Z11" ca="1">INDEX($AE$2:$AS$40,MOD(ROW()-ROW($AE$2),ROWS($AE$2:$AS$40))+1,INT((ROW()-ROW($AE$2))/ROWS($AE$2:$AS$40))+1)</f>
        <v>Space_4</v>
      </c>
      <c r="AA11">
        <f t="shared" ca="1" si="6"/>
        <v>11</v>
      </c>
      <c r="AB11" t="str" cm="1">
        <f t="array" aca="1" ref="AB11" ca="1">IFERROR(INDIRECT("$Z"&amp;AA11),"")</f>
        <v>Space_4</v>
      </c>
      <c r="AE11" t="str">
        <f ca="1"/>
        <v>Space_4</v>
      </c>
      <c r="AF11" t="str">
        <f ca="1"/>
        <v>Space_7_room_exhaust_damper</v>
      </c>
      <c r="AG11" t="str">
        <f ca="1"/>
        <v>Space_4_space_heater</v>
      </c>
      <c r="AH11" t="str">
        <f ca="1"/>
        <v>Space_4_space_heater_valve</v>
      </c>
      <c r="AL11" t="str">
        <f ca="1"/>
        <v>Space_7_co2_controller</v>
      </c>
      <c r="AM11" t="str">
        <f ca="1"/>
        <v>Space_11_damper_position_sensor</v>
      </c>
      <c r="AP11" t="str">
        <f t="shared" si="0"/>
        <v/>
      </c>
      <c r="AQ11" t="str">
        <f t="shared" si="1"/>
        <v/>
      </c>
      <c r="AR11" t="str">
        <f t="shared" si="2"/>
        <v/>
      </c>
      <c r="AS11" t="str">
        <f t="shared" si="3"/>
        <v/>
      </c>
    </row>
    <row r="12" spans="1:45" x14ac:dyDescent="0.25">
      <c r="A12" t="s">
        <v>65</v>
      </c>
      <c r="E12" t="str">
        <f ca="1"/>
        <v/>
      </c>
      <c r="F12" t="str">
        <f ca="1"/>
        <v/>
      </c>
      <c r="G12" t="str">
        <f ca="1"/>
        <v>Space_2</v>
      </c>
      <c r="P12" cm="1">
        <f t="array" ref="P12">INDEX($B$2:$D$40,MOD(ROW()-ROW($B$2),ROWS($B$2:$D$40))+1,INT((ROW()-ROW($B$2))/ROWS($B$2:$D$40))+1)</f>
        <v>0</v>
      </c>
      <c r="Q12" t="e">
        <f t="shared" ca="1" si="4"/>
        <v>#N/A</v>
      </c>
      <c r="R12" t="str" cm="1">
        <f t="array" aca="1" ref="R12" ca="1">IFERROR(INDIRECT("$P"&amp;Q12),"")</f>
        <v/>
      </c>
      <c r="U12" cm="1">
        <f t="array" ref="U12">INDEX($C$2:$D$40,MOD(ROW()-ROW($C$2),ROWS($C$2:$D$40))+1,INT((ROW()-ROW($C$2))/ROWS($C$2:$D$40))+1)</f>
        <v>0</v>
      </c>
      <c r="V12" t="e">
        <f t="shared" ca="1" si="5"/>
        <v>#N/A</v>
      </c>
      <c r="W12" t="str" cm="1">
        <f t="array" aca="1" ref="W12" ca="1">IFERROR(INDIRECT("$U"&amp;V12),"")</f>
        <v/>
      </c>
      <c r="Z12" t="str" cm="1">
        <f t="array" aca="1" ref="Z12" ca="1">INDEX($AE$2:$AS$40,MOD(ROW()-ROW($AE$2),ROWS($AE$2:$AS$40))+1,INT((ROW()-ROW($AE$2))/ROWS($AE$2:$AS$40))+1)</f>
        <v>Space_2</v>
      </c>
      <c r="AA12">
        <f t="shared" ca="1" si="6"/>
        <v>12</v>
      </c>
      <c r="AB12" t="str" cm="1">
        <f t="array" aca="1" ref="AB12" ca="1">IFERROR(INDIRECT("$Z"&amp;AA12),"")</f>
        <v>Space_2</v>
      </c>
      <c r="AE12" t="str">
        <f ca="1"/>
        <v>Space_2</v>
      </c>
      <c r="AF12" t="str">
        <f ca="1"/>
        <v>Space_6_room_supply_damper</v>
      </c>
      <c r="AG12" t="str">
        <f ca="1"/>
        <v>Space_1_space_heater</v>
      </c>
      <c r="AH12" t="str">
        <f ca="1"/>
        <v>Space_1_space_heater_valve</v>
      </c>
      <c r="AL12" t="str">
        <f ca="1"/>
        <v>Space_6_temperature_controller</v>
      </c>
      <c r="AM12" t="str">
        <f ca="1"/>
        <v>Space_11_temperature_sensor</v>
      </c>
      <c r="AP12" t="str">
        <f t="shared" si="0"/>
        <v/>
      </c>
      <c r="AQ12" t="str">
        <f t="shared" si="1"/>
        <v/>
      </c>
      <c r="AR12" t="str">
        <f t="shared" si="2"/>
        <v/>
      </c>
      <c r="AS12" t="str">
        <f t="shared" si="3"/>
        <v/>
      </c>
    </row>
    <row r="13" spans="1:45" x14ac:dyDescent="0.25">
      <c r="A13" t="s">
        <v>84</v>
      </c>
      <c r="E13" t="str">
        <f ca="1"/>
        <v/>
      </c>
      <c r="F13" t="str">
        <f ca="1"/>
        <v/>
      </c>
      <c r="G13" t="str">
        <f ca="1"/>
        <v>Space_1</v>
      </c>
      <c r="P13" cm="1">
        <f t="array" ref="P13">INDEX($B$2:$D$40,MOD(ROW()-ROW($B$2),ROWS($B$2:$D$40))+1,INT((ROW()-ROW($B$2))/ROWS($B$2:$D$40))+1)</f>
        <v>0</v>
      </c>
      <c r="Q13" t="e">
        <f t="shared" ca="1" si="4"/>
        <v>#N/A</v>
      </c>
      <c r="R13" t="str" cm="1">
        <f t="array" aca="1" ref="R13" ca="1">IFERROR(INDIRECT("$P"&amp;Q13),"")</f>
        <v/>
      </c>
      <c r="U13" cm="1">
        <f t="array" ref="U13">INDEX($C$2:$D$40,MOD(ROW()-ROW($C$2),ROWS($C$2:$D$40))+1,INT((ROW()-ROW($C$2))/ROWS($C$2:$D$40))+1)</f>
        <v>0</v>
      </c>
      <c r="V13" t="e">
        <f t="shared" ca="1" si="5"/>
        <v>#N/A</v>
      </c>
      <c r="W13" t="str" cm="1">
        <f t="array" aca="1" ref="W13" ca="1">IFERROR(INDIRECT("$U"&amp;V13),"")</f>
        <v/>
      </c>
      <c r="Z13" t="str" cm="1">
        <f t="array" aca="1" ref="Z13" ca="1">INDEX($AE$2:$AS$40,MOD(ROW()-ROW($AE$2),ROWS($AE$2:$AS$40))+1,INT((ROW()-ROW($AE$2))/ROWS($AE$2:$AS$40))+1)</f>
        <v>Space_1</v>
      </c>
      <c r="AA13">
        <f t="shared" ca="1" si="6"/>
        <v>13</v>
      </c>
      <c r="AB13" t="str" cm="1">
        <f t="array" aca="1" ref="AB13" ca="1">IFERROR(INDIRECT("$Z"&amp;AA13),"")</f>
        <v>Space_1</v>
      </c>
      <c r="AE13" t="str">
        <f ca="1"/>
        <v>Space_1</v>
      </c>
      <c r="AF13" t="str">
        <f ca="1"/>
        <v>Space_6_room_exhaust_damper</v>
      </c>
      <c r="AG13" t="str">
        <f ca="1"/>
        <v>Space_4_space_heater_added</v>
      </c>
      <c r="AH13" t="str">
        <f ca="1"/>
        <v>Space_4_space_heater_valve_added</v>
      </c>
      <c r="AL13" t="str">
        <f ca="1"/>
        <v>Space_8_temperature_controller</v>
      </c>
      <c r="AM13" t="str">
        <f ca="1"/>
        <v>Space_11_valve_position_sensor</v>
      </c>
      <c r="AP13" t="str">
        <f t="shared" si="0"/>
        <v/>
      </c>
      <c r="AQ13" t="str">
        <f t="shared" si="1"/>
        <v/>
      </c>
      <c r="AR13" t="str">
        <f t="shared" si="2"/>
        <v/>
      </c>
      <c r="AS13" t="str">
        <f t="shared" si="3"/>
        <v/>
      </c>
    </row>
    <row r="14" spans="1:45" x14ac:dyDescent="0.25">
      <c r="A14" t="s">
        <v>61</v>
      </c>
      <c r="E14" t="str">
        <f ca="1"/>
        <v/>
      </c>
      <c r="F14" t="str">
        <f ca="1"/>
        <v/>
      </c>
      <c r="G14" t="str">
        <f ca="1"/>
        <v>Space_9_room_supply_damper</v>
      </c>
      <c r="P14" cm="1">
        <f t="array" ref="P14">INDEX($B$2:$D$40,MOD(ROW()-ROW($B$2),ROWS($B$2:$D$40))+1,INT((ROW()-ROW($B$2))/ROWS($B$2:$D$40))+1)</f>
        <v>0</v>
      </c>
      <c r="Q14" t="e">
        <f t="shared" ca="1" si="4"/>
        <v>#N/A</v>
      </c>
      <c r="R14" t="str" cm="1">
        <f t="array" aca="1" ref="R14" ca="1">IFERROR(INDIRECT("$P"&amp;Q14),"")</f>
        <v/>
      </c>
      <c r="U14" cm="1">
        <f t="array" ref="U14">INDEX($C$2:$D$40,MOD(ROW()-ROW($C$2),ROWS($C$2:$D$40))+1,INT((ROW()-ROW($C$2))/ROWS($C$2:$D$40))+1)</f>
        <v>0</v>
      </c>
      <c r="V14" t="e">
        <f t="shared" ca="1" si="5"/>
        <v>#N/A</v>
      </c>
      <c r="W14" t="str" cm="1">
        <f t="array" aca="1" ref="W14" ca="1">IFERROR(INDIRECT("$U"&amp;V14),"")</f>
        <v/>
      </c>
      <c r="Z14" cm="1">
        <f t="array" ref="Z14">INDEX($AE$2:$AS$40,MOD(ROW()-ROW($AE$2),ROWS($AE$2:$AS$40))+1,INT((ROW()-ROW($AE$2))/ROWS($AE$2:$AS$40))+1)</f>
        <v>0</v>
      </c>
      <c r="AA14">
        <f t="shared" ca="1" si="6"/>
        <v>41</v>
      </c>
      <c r="AB14" t="str" cm="1">
        <f t="array" aca="1" ref="AB14" ca="1">IFERROR(INDIRECT("$Z"&amp;AA14),"")</f>
        <v>Space_9_room_supply_damper</v>
      </c>
      <c r="AF14" t="str">
        <f ca="1"/>
        <v>Space_8_room_supply_damper</v>
      </c>
      <c r="AL14" t="str">
        <f ca="1"/>
        <v>Space_8_co2_controller</v>
      </c>
      <c r="AM14" t="str">
        <f ca="1"/>
        <v>Space_12_co2_sensor</v>
      </c>
      <c r="AP14" t="str">
        <f t="shared" si="0"/>
        <v/>
      </c>
      <c r="AQ14" t="str">
        <f t="shared" si="1"/>
        <v/>
      </c>
      <c r="AR14" t="str">
        <f t="shared" si="2"/>
        <v/>
      </c>
      <c r="AS14" t="str">
        <f t="shared" si="3"/>
        <v/>
      </c>
    </row>
    <row r="15" spans="1:45" x14ac:dyDescent="0.25">
      <c r="E15" t="str">
        <f ca="1"/>
        <v/>
      </c>
      <c r="F15" t="str">
        <f ca="1"/>
        <v/>
      </c>
      <c r="G15" t="str">
        <f ca="1"/>
        <v>Space_9_room_exhaust_damper</v>
      </c>
      <c r="P15" cm="1">
        <f t="array" ref="P15">INDEX($B$2:$D$40,MOD(ROW()-ROW($B$2),ROWS($B$2:$D$40))+1,INT((ROW()-ROW($B$2))/ROWS($B$2:$D$40))+1)</f>
        <v>0</v>
      </c>
      <c r="Q15" t="e">
        <f t="shared" ca="1" si="4"/>
        <v>#N/A</v>
      </c>
      <c r="R15" t="str" cm="1">
        <f t="array" aca="1" ref="R15" ca="1">IFERROR(INDIRECT("$P"&amp;Q15),"")</f>
        <v/>
      </c>
      <c r="U15" cm="1">
        <f t="array" ref="U15">INDEX($C$2:$D$40,MOD(ROW()-ROW($C$2),ROWS($C$2:$D$40))+1,INT((ROW()-ROW($C$2))/ROWS($C$2:$D$40))+1)</f>
        <v>0</v>
      </c>
      <c r="V15" t="e">
        <f t="shared" ca="1" si="5"/>
        <v>#N/A</v>
      </c>
      <c r="W15" t="str" cm="1">
        <f t="array" aca="1" ref="W15" ca="1">IFERROR(INDIRECT("$U"&amp;V15),"")</f>
        <v/>
      </c>
      <c r="Z15" cm="1">
        <f t="array" ref="Z15">INDEX($AE$2:$AS$40,MOD(ROW()-ROW($AE$2),ROWS($AE$2:$AS$40))+1,INT((ROW()-ROW($AE$2))/ROWS($AE$2:$AS$40))+1)</f>
        <v>0</v>
      </c>
      <c r="AA15">
        <f t="shared" ca="1" si="6"/>
        <v>42</v>
      </c>
      <c r="AB15" t="str" cm="1">
        <f t="array" aca="1" ref="AB15" ca="1">IFERROR(INDIRECT("$Z"&amp;AA15),"")</f>
        <v>Space_9_room_exhaust_damper</v>
      </c>
      <c r="AF15" t="str">
        <f ca="1"/>
        <v>Space_8_room_exhaust_damper</v>
      </c>
      <c r="AL15" t="str">
        <f ca="1"/>
        <v>Space_3_temperature_controller</v>
      </c>
      <c r="AM15" t="str">
        <f ca="1"/>
        <v>Space_12_damper_position_sensor</v>
      </c>
      <c r="AP15" t="str">
        <f t="shared" si="0"/>
        <v/>
      </c>
      <c r="AQ15" t="str">
        <f t="shared" si="1"/>
        <v/>
      </c>
      <c r="AR15" t="str">
        <f t="shared" si="2"/>
        <v/>
      </c>
      <c r="AS15" t="str">
        <f t="shared" si="3"/>
        <v/>
      </c>
    </row>
    <row r="16" spans="1:45" x14ac:dyDescent="0.25">
      <c r="E16" t="str">
        <f ca="1"/>
        <v/>
      </c>
      <c r="F16" t="str">
        <f ca="1"/>
        <v/>
      </c>
      <c r="G16" t="str">
        <f ca="1"/>
        <v>Space_10_room_supply_damper</v>
      </c>
      <c r="P16" cm="1">
        <f t="array" ref="P16">INDEX($B$2:$D$40,MOD(ROW()-ROW($B$2),ROWS($B$2:$D$40))+1,INT((ROW()-ROW($B$2))/ROWS($B$2:$D$40))+1)</f>
        <v>0</v>
      </c>
      <c r="Q16" t="e">
        <f t="shared" ca="1" si="4"/>
        <v>#N/A</v>
      </c>
      <c r="R16" t="str" cm="1">
        <f t="array" aca="1" ref="R16" ca="1">IFERROR(INDIRECT("$P"&amp;Q16),"")</f>
        <v/>
      </c>
      <c r="U16" cm="1">
        <f t="array" ref="U16">INDEX($C$2:$D$40,MOD(ROW()-ROW($C$2),ROWS($C$2:$D$40))+1,INT((ROW()-ROW($C$2))/ROWS($C$2:$D$40))+1)</f>
        <v>0</v>
      </c>
      <c r="V16" t="e">
        <f t="shared" ca="1" si="5"/>
        <v>#N/A</v>
      </c>
      <c r="W16" t="str" cm="1">
        <f t="array" aca="1" ref="W16" ca="1">IFERROR(INDIRECT("$U"&amp;V16),"")</f>
        <v/>
      </c>
      <c r="Z16" cm="1">
        <f t="array" ref="Z16">INDEX($AE$2:$AS$40,MOD(ROW()-ROW($AE$2),ROWS($AE$2:$AS$40))+1,INT((ROW()-ROW($AE$2))/ROWS($AE$2:$AS$40))+1)</f>
        <v>0</v>
      </c>
      <c r="AA16">
        <f t="shared" ca="1" si="6"/>
        <v>43</v>
      </c>
      <c r="AB16" t="str" cm="1">
        <f t="array" aca="1" ref="AB16" ca="1">IFERROR(INDIRECT("$Z"&amp;AA16),"")</f>
        <v>Space_10_room_supply_damper</v>
      </c>
      <c r="AF16" t="str">
        <f ca="1"/>
        <v>Space_3_room_supply_damper</v>
      </c>
      <c r="AL16" t="str">
        <f ca="1"/>
        <v>Space_3_co2_controller</v>
      </c>
      <c r="AM16" t="str">
        <f ca="1"/>
        <v>Space_12_temperature_sensor</v>
      </c>
      <c r="AP16" t="str">
        <f t="shared" si="0"/>
        <v/>
      </c>
      <c r="AQ16" t="str">
        <f t="shared" si="1"/>
        <v/>
      </c>
      <c r="AR16" t="str">
        <f t="shared" si="2"/>
        <v/>
      </c>
      <c r="AS16" t="str">
        <f t="shared" si="3"/>
        <v/>
      </c>
    </row>
    <row r="17" spans="5:45" x14ac:dyDescent="0.25">
      <c r="E17" t="str">
        <f ca="1"/>
        <v/>
      </c>
      <c r="F17" t="str">
        <f ca="1"/>
        <v/>
      </c>
      <c r="G17" t="str">
        <f ca="1"/>
        <v>Space_10_room_exhaust_damper</v>
      </c>
      <c r="P17" cm="1">
        <f t="array" ref="P17">INDEX($B$2:$D$40,MOD(ROW()-ROW($B$2),ROWS($B$2:$D$40))+1,INT((ROW()-ROW($B$2))/ROWS($B$2:$D$40))+1)</f>
        <v>0</v>
      </c>
      <c r="Q17" t="e">
        <f t="shared" ca="1" si="4"/>
        <v>#N/A</v>
      </c>
      <c r="R17" t="str" cm="1">
        <f t="array" aca="1" ref="R17" ca="1">IFERROR(INDIRECT("$P"&amp;Q17),"")</f>
        <v/>
      </c>
      <c r="U17" cm="1">
        <f t="array" ref="U17">INDEX($C$2:$D$40,MOD(ROW()-ROW($C$2),ROWS($C$2:$D$40))+1,INT((ROW()-ROW($C$2))/ROWS($C$2:$D$40))+1)</f>
        <v>0</v>
      </c>
      <c r="V17" t="e">
        <f t="shared" ca="1" si="5"/>
        <v>#N/A</v>
      </c>
      <c r="W17" t="str" cm="1">
        <f t="array" aca="1" ref="W17" ca="1">IFERROR(INDIRECT("$U"&amp;V17),"")</f>
        <v/>
      </c>
      <c r="Z17" cm="1">
        <f t="array" ref="Z17">INDEX($AE$2:$AS$40,MOD(ROW()-ROW($AE$2),ROWS($AE$2:$AS$40))+1,INT((ROW()-ROW($AE$2))/ROWS($AE$2:$AS$40))+1)</f>
        <v>0</v>
      </c>
      <c r="AA17">
        <f t="shared" ca="1" si="6"/>
        <v>44</v>
      </c>
      <c r="AB17" t="str" cm="1">
        <f t="array" aca="1" ref="AB17" ca="1">IFERROR(INDIRECT("$Z"&amp;AA17),"")</f>
        <v>Space_10_room_exhaust_damper</v>
      </c>
      <c r="AF17" t="str">
        <f ca="1"/>
        <v>Space_3_room_exhaust_damper</v>
      </c>
      <c r="AL17" t="str">
        <f ca="1"/>
        <v>Space_5_temperature_controller</v>
      </c>
      <c r="AM17" t="str">
        <f ca="1"/>
        <v>Space_12_valve_position_sensor</v>
      </c>
      <c r="AP17" t="str">
        <f t="shared" si="0"/>
        <v/>
      </c>
      <c r="AQ17" t="str">
        <f t="shared" si="1"/>
        <v/>
      </c>
      <c r="AR17" t="str">
        <f t="shared" si="2"/>
        <v/>
      </c>
      <c r="AS17" t="str">
        <f t="shared" si="3"/>
        <v/>
      </c>
    </row>
    <row r="18" spans="5:45" x14ac:dyDescent="0.25">
      <c r="E18" t="str">
        <f ca="1"/>
        <v/>
      </c>
      <c r="F18" t="str">
        <f ca="1"/>
        <v/>
      </c>
      <c r="G18" t="str">
        <f ca="1"/>
        <v>Space_11_room_supply_damper</v>
      </c>
      <c r="P18" cm="1">
        <f t="array" ref="P18">INDEX($B$2:$D$40,MOD(ROW()-ROW($B$2),ROWS($B$2:$D$40))+1,INT((ROW()-ROW($B$2))/ROWS($B$2:$D$40))+1)</f>
        <v>0</v>
      </c>
      <c r="Q18" t="e">
        <f t="shared" ca="1" si="4"/>
        <v>#N/A</v>
      </c>
      <c r="R18" t="str" cm="1">
        <f t="array" aca="1" ref="R18" ca="1">IFERROR(INDIRECT("$P"&amp;Q18),"")</f>
        <v/>
      </c>
      <c r="U18" cm="1">
        <f t="array" ref="U18">INDEX($C$2:$D$40,MOD(ROW()-ROW($C$2),ROWS($C$2:$D$40))+1,INT((ROW()-ROW($C$2))/ROWS($C$2:$D$40))+1)</f>
        <v>0</v>
      </c>
      <c r="V18" t="e">
        <f t="shared" ca="1" si="5"/>
        <v>#N/A</v>
      </c>
      <c r="W18" t="str" cm="1">
        <f t="array" aca="1" ref="W18" ca="1">IFERROR(INDIRECT("$U"&amp;V18),"")</f>
        <v/>
      </c>
      <c r="Z18" cm="1">
        <f t="array" ref="Z18">INDEX($AE$2:$AS$40,MOD(ROW()-ROW($AE$2),ROWS($AE$2:$AS$40))+1,INT((ROW()-ROW($AE$2))/ROWS($AE$2:$AS$40))+1)</f>
        <v>0</v>
      </c>
      <c r="AA18">
        <f t="shared" ca="1" si="6"/>
        <v>45</v>
      </c>
      <c r="AB18" t="str" cm="1">
        <f t="array" aca="1" ref="AB18" ca="1">IFERROR(INDIRECT("$Z"&amp;AA18),"")</f>
        <v>Space_11_room_supply_damper</v>
      </c>
      <c r="AF18" t="str">
        <f ca="1"/>
        <v>Space_5_room_supply_damper</v>
      </c>
      <c r="AL18" t="str">
        <f ca="1"/>
        <v>Space_5_co2_controller</v>
      </c>
      <c r="AM18" t="str">
        <f ca="1"/>
        <v>BPA001</v>
      </c>
      <c r="AP18" t="str">
        <f t="shared" si="0"/>
        <v/>
      </c>
      <c r="AQ18" t="str">
        <f t="shared" si="1"/>
        <v/>
      </c>
      <c r="AR18" t="str">
        <f t="shared" si="2"/>
        <v/>
      </c>
      <c r="AS18" t="str">
        <f t="shared" si="3"/>
        <v/>
      </c>
    </row>
    <row r="19" spans="5:45" x14ac:dyDescent="0.25">
      <c r="E19" t="str">
        <f ca="1"/>
        <v/>
      </c>
      <c r="F19" t="str">
        <f ca="1"/>
        <v/>
      </c>
      <c r="G19" t="str">
        <f ca="1"/>
        <v>Space_11_room_exhaust_damper</v>
      </c>
      <c r="P19" cm="1">
        <f t="array" ref="P19">INDEX($B$2:$D$40,MOD(ROW()-ROW($B$2),ROWS($B$2:$D$40))+1,INT((ROW()-ROW($B$2))/ROWS($B$2:$D$40))+1)</f>
        <v>0</v>
      </c>
      <c r="Q19" t="e">
        <f t="shared" ca="1" si="4"/>
        <v>#N/A</v>
      </c>
      <c r="R19" t="str" cm="1">
        <f t="array" aca="1" ref="R19" ca="1">IFERROR(INDIRECT("$P"&amp;Q19),"")</f>
        <v/>
      </c>
      <c r="U19" cm="1">
        <f t="array" ref="U19">INDEX($C$2:$D$40,MOD(ROW()-ROW($C$2),ROWS($C$2:$D$40))+1,INT((ROW()-ROW($C$2))/ROWS($C$2:$D$40))+1)</f>
        <v>0</v>
      </c>
      <c r="V19" t="e">
        <f t="shared" ca="1" si="5"/>
        <v>#N/A</v>
      </c>
      <c r="W19" t="str" cm="1">
        <f t="array" aca="1" ref="W19" ca="1">IFERROR(INDIRECT("$U"&amp;V19),"")</f>
        <v/>
      </c>
      <c r="Z19" cm="1">
        <f t="array" ref="Z19">INDEX($AE$2:$AS$40,MOD(ROW()-ROW($AE$2),ROWS($AE$2:$AS$40))+1,INT((ROW()-ROW($AE$2))/ROWS($AE$2:$AS$40))+1)</f>
        <v>0</v>
      </c>
      <c r="AA19">
        <f t="shared" ca="1" si="6"/>
        <v>46</v>
      </c>
      <c r="AB19" t="str" cm="1">
        <f t="array" aca="1" ref="AB19" ca="1">IFERROR(INDIRECT("$Z"&amp;AA19),"")</f>
        <v>Space_11_room_exhaust_damper</v>
      </c>
      <c r="AF19" t="str">
        <f ca="1"/>
        <v>Space_5_room_exhaust_damper</v>
      </c>
      <c r="AL19" t="str">
        <f ca="1"/>
        <v>Space_4_temperature_controller</v>
      </c>
      <c r="AM19" t="str">
        <f ca="1"/>
        <v>BPA002</v>
      </c>
      <c r="AP19" t="str">
        <f t="shared" si="0"/>
        <v/>
      </c>
      <c r="AQ19" t="str">
        <f t="shared" si="1"/>
        <v/>
      </c>
      <c r="AR19" t="str">
        <f t="shared" si="2"/>
        <v/>
      </c>
      <c r="AS19" t="str">
        <f t="shared" si="3"/>
        <v/>
      </c>
    </row>
    <row r="20" spans="5:45" x14ac:dyDescent="0.25">
      <c r="E20" t="str">
        <f ca="1"/>
        <v/>
      </c>
      <c r="F20" t="str">
        <f ca="1"/>
        <v/>
      </c>
      <c r="G20" t="str">
        <f ca="1"/>
        <v>Space_12_room_supply_damper</v>
      </c>
      <c r="P20" cm="1">
        <f t="array" ref="P20">INDEX($B$2:$D$40,MOD(ROW()-ROW($B$2),ROWS($B$2:$D$40))+1,INT((ROW()-ROW($B$2))/ROWS($B$2:$D$40))+1)</f>
        <v>0</v>
      </c>
      <c r="Q20" t="e">
        <f t="shared" ca="1" si="4"/>
        <v>#N/A</v>
      </c>
      <c r="R20" t="str" cm="1">
        <f t="array" aca="1" ref="R20" ca="1">IFERROR(INDIRECT("$P"&amp;Q20),"")</f>
        <v/>
      </c>
      <c r="U20" cm="1">
        <f t="array" ref="U20">INDEX($C$2:$D$40,MOD(ROW()-ROW($C$2),ROWS($C$2:$D$40))+1,INT((ROW()-ROW($C$2))/ROWS($C$2:$D$40))+1)</f>
        <v>0</v>
      </c>
      <c r="V20" t="e">
        <f t="shared" ca="1" si="5"/>
        <v>#N/A</v>
      </c>
      <c r="W20" t="str" cm="1">
        <f t="array" aca="1" ref="W20" ca="1">IFERROR(INDIRECT("$U"&amp;V20),"")</f>
        <v/>
      </c>
      <c r="Z20" cm="1">
        <f t="array" ref="Z20">INDEX($AE$2:$AS$40,MOD(ROW()-ROW($AE$2),ROWS($AE$2:$AS$40))+1,INT((ROW()-ROW($AE$2))/ROWS($AE$2:$AS$40))+1)</f>
        <v>0</v>
      </c>
      <c r="AA20">
        <f t="shared" ca="1" si="6"/>
        <v>47</v>
      </c>
      <c r="AB20" t="str" cm="1">
        <f t="array" aca="1" ref="AB20" ca="1">IFERROR(INDIRECT("$Z"&amp;AA20),"")</f>
        <v>Space_12_room_supply_damper</v>
      </c>
      <c r="AF20" t="str">
        <f ca="1"/>
        <v>Space_4_room_supply_damper</v>
      </c>
      <c r="AL20" t="str">
        <f ca="1"/>
        <v>Space_1_temperature_controller</v>
      </c>
      <c r="AM20" t="str">
        <f ca="1"/>
        <v>BPA003_exhaust</v>
      </c>
      <c r="AP20" t="str">
        <f t="shared" si="0"/>
        <v/>
      </c>
      <c r="AQ20" t="str">
        <f t="shared" si="1"/>
        <v/>
      </c>
      <c r="AR20" t="str">
        <f t="shared" si="2"/>
        <v/>
      </c>
      <c r="AS20" t="str">
        <f t="shared" si="3"/>
        <v/>
      </c>
    </row>
    <row r="21" spans="5:45" x14ac:dyDescent="0.25">
      <c r="E21" t="str">
        <f ca="1"/>
        <v/>
      </c>
      <c r="F21" t="str">
        <f ca="1"/>
        <v/>
      </c>
      <c r="G21" t="str">
        <f ca="1"/>
        <v>Space_12_room_exhaust_damper</v>
      </c>
      <c r="P21" cm="1">
        <f t="array" ref="P21">INDEX($B$2:$D$40,MOD(ROW()-ROW($B$2),ROWS($B$2:$D$40))+1,INT((ROW()-ROW($B$2))/ROWS($B$2:$D$40))+1)</f>
        <v>0</v>
      </c>
      <c r="Q21" t="e">
        <f t="shared" ca="1" si="4"/>
        <v>#N/A</v>
      </c>
      <c r="R21" t="str" cm="1">
        <f t="array" aca="1" ref="R21" ca="1">IFERROR(INDIRECT("$P"&amp;Q21),"")</f>
        <v/>
      </c>
      <c r="U21" cm="1">
        <f t="array" ref="U21">INDEX($C$2:$D$40,MOD(ROW()-ROW($C$2),ROWS($C$2:$D$40))+1,INT((ROW()-ROW($C$2))/ROWS($C$2:$D$40))+1)</f>
        <v>0</v>
      </c>
      <c r="V21" t="e">
        <f t="shared" ca="1" si="5"/>
        <v>#N/A</v>
      </c>
      <c r="W21" t="str" cm="1">
        <f t="array" aca="1" ref="W21" ca="1">IFERROR(INDIRECT("$U"&amp;V21),"")</f>
        <v/>
      </c>
      <c r="Z21" cm="1">
        <f t="array" ref="Z21">INDEX($AE$2:$AS$40,MOD(ROW()-ROW($AE$2),ROWS($AE$2:$AS$40))+1,INT((ROW()-ROW($AE$2))/ROWS($AE$2:$AS$40))+1)</f>
        <v>0</v>
      </c>
      <c r="AA21">
        <f t="shared" ca="1" si="6"/>
        <v>48</v>
      </c>
      <c r="AB21" t="str" cm="1">
        <f t="array" aca="1" ref="AB21" ca="1">IFERROR(INDIRECT("$Z"&amp;AA21),"")</f>
        <v>Space_12_room_exhaust_damper</v>
      </c>
      <c r="AF21" t="str">
        <f ca="1"/>
        <v>Space_4_room_exhaust_damper</v>
      </c>
      <c r="AL21" t="str">
        <f ca="1"/>
        <v>Space_1_co2_controller</v>
      </c>
      <c r="AM21" t="str">
        <f ca="1"/>
        <v>BPA003_supply</v>
      </c>
      <c r="AP21" t="str">
        <f t="shared" si="0"/>
        <v/>
      </c>
      <c r="AQ21" t="str">
        <f t="shared" si="1"/>
        <v/>
      </c>
      <c r="AR21" t="str">
        <f t="shared" si="2"/>
        <v/>
      </c>
      <c r="AS21" t="str">
        <f t="shared" si="3"/>
        <v/>
      </c>
    </row>
    <row r="22" spans="5:45" x14ac:dyDescent="0.25">
      <c r="E22" t="str">
        <f ca="1"/>
        <v/>
      </c>
      <c r="F22" t="str">
        <f ca="1"/>
        <v/>
      </c>
      <c r="G22" t="str">
        <f ca="1"/>
        <v>Space_7_room_supply_damper</v>
      </c>
      <c r="P22" cm="1">
        <f t="array" ref="P22">INDEX($B$2:$D$40,MOD(ROW()-ROW($B$2),ROWS($B$2:$D$40))+1,INT((ROW()-ROW($B$2))/ROWS($B$2:$D$40))+1)</f>
        <v>0</v>
      </c>
      <c r="Q22" t="e">
        <f t="shared" ca="1" si="4"/>
        <v>#N/A</v>
      </c>
      <c r="R22" t="str" cm="1">
        <f t="array" aca="1" ref="R22" ca="1">IFERROR(INDIRECT("$P"&amp;Q22),"")</f>
        <v/>
      </c>
      <c r="U22" cm="1">
        <f t="array" ref="U22">INDEX($C$2:$D$40,MOD(ROW()-ROW($C$2),ROWS($C$2:$D$40))+1,INT((ROW()-ROW($C$2))/ROWS($C$2:$D$40))+1)</f>
        <v>0</v>
      </c>
      <c r="V22" t="e">
        <f t="shared" ca="1" si="5"/>
        <v>#N/A</v>
      </c>
      <c r="W22" t="str" cm="1">
        <f t="array" aca="1" ref="W22" ca="1">IFERROR(INDIRECT("$U"&amp;V22),"")</f>
        <v/>
      </c>
      <c r="Z22" cm="1">
        <f t="array" ref="Z22">INDEX($AE$2:$AS$40,MOD(ROW()-ROW($AE$2),ROWS($AE$2:$AS$40))+1,INT((ROW()-ROW($AE$2))/ROWS($AE$2:$AS$40))+1)</f>
        <v>0</v>
      </c>
      <c r="AA22">
        <f t="shared" ca="1" si="6"/>
        <v>49</v>
      </c>
      <c r="AB22" t="str" cm="1">
        <f t="array" aca="1" ref="AB22" ca="1">IFERROR(INDIRECT("$Z"&amp;AA22),"")</f>
        <v>Space_7_room_supply_damper</v>
      </c>
      <c r="AF22" t="str">
        <f ca="1"/>
        <v>Space_2_room_supply_damper</v>
      </c>
      <c r="AM22" t="str">
        <f ca="1"/>
        <v>BPA004_exhaust_fan</v>
      </c>
      <c r="AP22" t="str">
        <f t="shared" si="0"/>
        <v/>
      </c>
      <c r="AQ22" t="str">
        <f t="shared" si="1"/>
        <v/>
      </c>
      <c r="AR22" t="str">
        <f t="shared" si="2"/>
        <v/>
      </c>
      <c r="AS22" t="str">
        <f t="shared" si="3"/>
        <v/>
      </c>
    </row>
    <row r="23" spans="5:45" x14ac:dyDescent="0.25">
      <c r="E23" t="str">
        <f ca="1"/>
        <v/>
      </c>
      <c r="F23" t="str">
        <f ca="1"/>
        <v/>
      </c>
      <c r="G23" t="str">
        <f ca="1"/>
        <v>Space_7_room_exhaust_damper</v>
      </c>
      <c r="P23" cm="1">
        <f t="array" ref="P23">INDEX($B$2:$D$40,MOD(ROW()-ROW($B$2),ROWS($B$2:$D$40))+1,INT((ROW()-ROW($B$2))/ROWS($B$2:$D$40))+1)</f>
        <v>0</v>
      </c>
      <c r="Q23" t="e">
        <f t="shared" ca="1" si="4"/>
        <v>#N/A</v>
      </c>
      <c r="R23" t="str" cm="1">
        <f t="array" aca="1" ref="R23" ca="1">IFERROR(INDIRECT("$P"&amp;Q23),"")</f>
        <v/>
      </c>
      <c r="U23" cm="1">
        <f t="array" ref="U23">INDEX($C$2:$D$40,MOD(ROW()-ROW($C$2),ROWS($C$2:$D$40))+1,INT((ROW()-ROW($C$2))/ROWS($C$2:$D$40))+1)</f>
        <v>0</v>
      </c>
      <c r="V23" t="e">
        <f t="shared" ca="1" si="5"/>
        <v>#N/A</v>
      </c>
      <c r="W23" t="str" cm="1">
        <f t="array" aca="1" ref="W23" ca="1">IFERROR(INDIRECT("$U"&amp;V23),"")</f>
        <v/>
      </c>
      <c r="Z23" cm="1">
        <f t="array" ref="Z23">INDEX($AE$2:$AS$40,MOD(ROW()-ROW($AE$2),ROWS($AE$2:$AS$40))+1,INT((ROW()-ROW($AE$2))/ROWS($AE$2:$AS$40))+1)</f>
        <v>0</v>
      </c>
      <c r="AA23">
        <f t="shared" ca="1" si="6"/>
        <v>50</v>
      </c>
      <c r="AB23" t="str" cm="1">
        <f t="array" aca="1" ref="AB23" ca="1">IFERROR(INDIRECT("$Z"&amp;AA23),"")</f>
        <v>Space_7_room_exhaust_damper</v>
      </c>
      <c r="AF23" t="str">
        <f ca="1"/>
        <v>Space_2_room_exhaust_damper</v>
      </c>
      <c r="AM23" t="str">
        <f ca="1"/>
        <v>BPA004_exhaust</v>
      </c>
      <c r="AP23" t="str">
        <f t="shared" si="0"/>
        <v/>
      </c>
      <c r="AQ23" t="str">
        <f t="shared" si="1"/>
        <v/>
      </c>
      <c r="AR23" t="str">
        <f t="shared" si="2"/>
        <v/>
      </c>
      <c r="AS23" t="str">
        <f t="shared" si="3"/>
        <v/>
      </c>
    </row>
    <row r="24" spans="5:45" x14ac:dyDescent="0.25">
      <c r="E24" t="str">
        <f ca="1"/>
        <v/>
      </c>
      <c r="F24" t="str">
        <f ca="1"/>
        <v/>
      </c>
      <c r="G24" t="str">
        <f ca="1"/>
        <v>Space_6_room_supply_damper</v>
      </c>
      <c r="P24" cm="1">
        <f t="array" ref="P24">INDEX($B$2:$D$40,MOD(ROW()-ROW($B$2),ROWS($B$2:$D$40))+1,INT((ROW()-ROW($B$2))/ROWS($B$2:$D$40))+1)</f>
        <v>0</v>
      </c>
      <c r="Q24" t="e">
        <f t="shared" ca="1" si="4"/>
        <v>#N/A</v>
      </c>
      <c r="R24" t="str" cm="1">
        <f t="array" aca="1" ref="R24" ca="1">IFERROR(INDIRECT("$P"&amp;Q24),"")</f>
        <v/>
      </c>
      <c r="U24" cm="1">
        <f t="array" ref="U24">INDEX($C$2:$D$40,MOD(ROW()-ROW($C$2),ROWS($C$2:$D$40))+1,INT((ROW()-ROW($C$2))/ROWS($C$2:$D$40))+1)</f>
        <v>0</v>
      </c>
      <c r="V24" t="e">
        <f t="shared" ca="1" si="5"/>
        <v>#N/A</v>
      </c>
      <c r="W24" t="str" cm="1">
        <f t="array" aca="1" ref="W24" ca="1">IFERROR(INDIRECT("$U"&amp;V24),"")</f>
        <v/>
      </c>
      <c r="Z24" cm="1">
        <f t="array" ref="Z24">INDEX($AE$2:$AS$40,MOD(ROW()-ROW($AE$2),ROWS($AE$2:$AS$40))+1,INT((ROW()-ROW($AE$2))/ROWS($AE$2:$AS$40))+1)</f>
        <v>0</v>
      </c>
      <c r="AA24">
        <f t="shared" ca="1" si="6"/>
        <v>51</v>
      </c>
      <c r="AB24" t="str" cm="1">
        <f t="array" aca="1" ref="AB24" ca="1">IFERROR(INDIRECT("$Z"&amp;AA24),"")</f>
        <v>Space_6_room_supply_damper</v>
      </c>
      <c r="AF24" t="str">
        <f ca="1"/>
        <v>Space_1_room_supply_damper</v>
      </c>
      <c r="AM24" t="str">
        <f ca="1"/>
        <v>BTA001</v>
      </c>
      <c r="AP24" t="str">
        <f t="shared" si="0"/>
        <v/>
      </c>
      <c r="AQ24" t="str">
        <f t="shared" si="1"/>
        <v/>
      </c>
      <c r="AR24" t="str">
        <f t="shared" si="2"/>
        <v/>
      </c>
      <c r="AS24" t="str">
        <f t="shared" si="3"/>
        <v/>
      </c>
    </row>
    <row r="25" spans="5:45" x14ac:dyDescent="0.25">
      <c r="E25" t="str">
        <f ca="1"/>
        <v/>
      </c>
      <c r="F25" t="str">
        <f ca="1"/>
        <v/>
      </c>
      <c r="G25" t="str">
        <f ca="1"/>
        <v>Space_6_room_exhaust_damper</v>
      </c>
      <c r="P25" cm="1">
        <f t="array" ref="P25">INDEX($B$2:$D$40,MOD(ROW()-ROW($B$2),ROWS($B$2:$D$40))+1,INT((ROW()-ROW($B$2))/ROWS($B$2:$D$40))+1)</f>
        <v>0</v>
      </c>
      <c r="Q25" t="e">
        <f t="shared" ca="1" si="4"/>
        <v>#N/A</v>
      </c>
      <c r="R25" t="str" cm="1">
        <f t="array" aca="1" ref="R25" ca="1">IFERROR(INDIRECT("$P"&amp;Q25),"")</f>
        <v/>
      </c>
      <c r="U25" cm="1">
        <f t="array" ref="U25">INDEX($C$2:$D$40,MOD(ROW()-ROW($C$2),ROWS($C$2:$D$40))+1,INT((ROW()-ROW($C$2))/ROWS($C$2:$D$40))+1)</f>
        <v>0</v>
      </c>
      <c r="V25" t="e">
        <f t="shared" ca="1" si="5"/>
        <v>#N/A</v>
      </c>
      <c r="W25" t="str" cm="1">
        <f t="array" aca="1" ref="W25" ca="1">IFERROR(INDIRECT("$U"&amp;V25),"")</f>
        <v/>
      </c>
      <c r="Z25" cm="1">
        <f t="array" ref="Z25">INDEX($AE$2:$AS$40,MOD(ROW()-ROW($AE$2),ROWS($AE$2:$AS$40))+1,INT((ROW()-ROW($AE$2))/ROWS($AE$2:$AS$40))+1)</f>
        <v>0</v>
      </c>
      <c r="AA25">
        <f t="shared" ca="1" si="6"/>
        <v>52</v>
      </c>
      <c r="AB25" t="str" cm="1">
        <f t="array" aca="1" ref="AB25" ca="1">IFERROR(INDIRECT("$Z"&amp;AA25),"")</f>
        <v>Space_6_room_exhaust_damper</v>
      </c>
      <c r="AF25" t="str">
        <f ca="1"/>
        <v>Space_1_room_exhaust_damper</v>
      </c>
      <c r="AM25" t="str">
        <f ca="1"/>
        <v>BTA002</v>
      </c>
      <c r="AP25" t="str">
        <f t="shared" si="0"/>
        <v/>
      </c>
      <c r="AQ25" t="str">
        <f t="shared" si="1"/>
        <v/>
      </c>
      <c r="AR25" t="str">
        <f t="shared" si="2"/>
        <v/>
      </c>
      <c r="AS25" t="str">
        <f t="shared" si="3"/>
        <v/>
      </c>
    </row>
    <row r="26" spans="5:45" x14ac:dyDescent="0.25">
      <c r="E26" t="str">
        <f ca="1"/>
        <v/>
      </c>
      <c r="F26" t="str">
        <f ca="1"/>
        <v/>
      </c>
      <c r="G26" t="str">
        <f ca="1"/>
        <v>Space_8_room_supply_damper</v>
      </c>
      <c r="P26" cm="1">
        <f t="array" ref="P26">INDEX($B$2:$D$40,MOD(ROW()-ROW($B$2),ROWS($B$2:$D$40))+1,INT((ROW()-ROW($B$2))/ROWS($B$2:$D$40))+1)</f>
        <v>0</v>
      </c>
      <c r="Q26" t="e">
        <f t="shared" ca="1" si="4"/>
        <v>#N/A</v>
      </c>
      <c r="R26" t="str" cm="1">
        <f t="array" aca="1" ref="R26" ca="1">IFERROR(INDIRECT("$P"&amp;Q26),"")</f>
        <v/>
      </c>
      <c r="U26" cm="1">
        <f t="array" ref="U26">INDEX($C$2:$D$40,MOD(ROW()-ROW($C$2),ROWS($C$2:$D$40))+1,INT((ROW()-ROW($C$2))/ROWS($C$2:$D$40))+1)</f>
        <v>0</v>
      </c>
      <c r="V26" t="e">
        <f t="shared" ca="1" si="5"/>
        <v>#N/A</v>
      </c>
      <c r="W26" t="str" cm="1">
        <f t="array" aca="1" ref="W26" ca="1">IFERROR(INDIRECT("$U"&amp;V26),"")</f>
        <v/>
      </c>
      <c r="Z26" cm="1">
        <f t="array" ref="Z26">INDEX($AE$2:$AS$40,MOD(ROW()-ROW($AE$2),ROWS($AE$2:$AS$40))+1,INT((ROW()-ROW($AE$2))/ROWS($AE$2:$AS$40))+1)</f>
        <v>0</v>
      </c>
      <c r="AA26">
        <f t="shared" ca="1" si="6"/>
        <v>53</v>
      </c>
      <c r="AB26" t="str" cm="1">
        <f t="array" aca="1" ref="AB26" ca="1">IFERROR(INDIRECT("$Z"&amp;AA26),"")</f>
        <v>Space_8_room_supply_damper</v>
      </c>
      <c r="AM26" t="str">
        <f ca="1"/>
        <v>BTA003</v>
      </c>
      <c r="AP26" t="str">
        <f t="shared" si="0"/>
        <v/>
      </c>
      <c r="AQ26" t="str">
        <f t="shared" si="1"/>
        <v/>
      </c>
      <c r="AR26" t="str">
        <f t="shared" si="2"/>
        <v/>
      </c>
      <c r="AS26" t="str">
        <f t="shared" si="3"/>
        <v/>
      </c>
    </row>
    <row r="27" spans="5:45" x14ac:dyDescent="0.25">
      <c r="E27" t="str">
        <f ca="1"/>
        <v/>
      </c>
      <c r="F27" t="str">
        <f ca="1"/>
        <v/>
      </c>
      <c r="G27" t="str">
        <f ca="1"/>
        <v>Space_8_room_exhaust_damper</v>
      </c>
      <c r="P27" cm="1">
        <f t="array" ref="P27">INDEX($B$2:$D$40,MOD(ROW()-ROW($B$2),ROWS($B$2:$D$40))+1,INT((ROW()-ROW($B$2))/ROWS($B$2:$D$40))+1)</f>
        <v>0</v>
      </c>
      <c r="Q27" t="e">
        <f t="shared" ca="1" si="4"/>
        <v>#N/A</v>
      </c>
      <c r="R27" t="str" cm="1">
        <f t="array" aca="1" ref="R27" ca="1">IFERROR(INDIRECT("$P"&amp;Q27),"")</f>
        <v/>
      </c>
      <c r="U27" cm="1">
        <f t="array" ref="U27">INDEX($C$2:$D$40,MOD(ROW()-ROW($C$2),ROWS($C$2:$D$40))+1,INT((ROW()-ROW($C$2))/ROWS($C$2:$D$40))+1)</f>
        <v>0</v>
      </c>
      <c r="V27" t="e">
        <f t="shared" ca="1" si="5"/>
        <v>#N/A</v>
      </c>
      <c r="W27" t="str" cm="1">
        <f t="array" aca="1" ref="W27" ca="1">IFERROR(INDIRECT("$U"&amp;V27),"")</f>
        <v/>
      </c>
      <c r="Z27" cm="1">
        <f t="array" ref="Z27">INDEX($AE$2:$AS$40,MOD(ROW()-ROW($AE$2),ROWS($AE$2:$AS$40))+1,INT((ROW()-ROW($AE$2))/ROWS($AE$2:$AS$40))+1)</f>
        <v>0</v>
      </c>
      <c r="AA27">
        <f t="shared" ca="1" si="6"/>
        <v>54</v>
      </c>
      <c r="AB27" t="str" cm="1">
        <f t="array" aca="1" ref="AB27" ca="1">IFERROR(INDIRECT("$Z"&amp;AA27),"")</f>
        <v>Space_8_room_exhaust_damper</v>
      </c>
      <c r="AM27" t="str">
        <f ca="1"/>
        <v>BTA004</v>
      </c>
      <c r="AP27" t="str">
        <f t="shared" si="0"/>
        <v/>
      </c>
      <c r="AQ27" t="str">
        <f t="shared" si="1"/>
        <v/>
      </c>
      <c r="AR27" t="str">
        <f t="shared" si="2"/>
        <v/>
      </c>
      <c r="AS27" t="str">
        <f t="shared" si="3"/>
        <v/>
      </c>
    </row>
    <row r="28" spans="5:45" x14ac:dyDescent="0.25">
      <c r="E28" t="str">
        <f ca="1"/>
        <v/>
      </c>
      <c r="F28" t="str">
        <f ca="1"/>
        <v/>
      </c>
      <c r="G28" t="str">
        <f ca="1"/>
        <v>Space_3_room_supply_damper</v>
      </c>
      <c r="P28" cm="1">
        <f t="array" ref="P28">INDEX($B$2:$D$40,MOD(ROW()-ROW($B$2),ROWS($B$2:$D$40))+1,INT((ROW()-ROW($B$2))/ROWS($B$2:$D$40))+1)</f>
        <v>0</v>
      </c>
      <c r="Q28" t="e">
        <f t="shared" ca="1" si="4"/>
        <v>#N/A</v>
      </c>
      <c r="R28" t="str" cm="1">
        <f t="array" aca="1" ref="R28" ca="1">IFERROR(INDIRECT("$P"&amp;Q28),"")</f>
        <v/>
      </c>
      <c r="U28" cm="1">
        <f t="array" ref="U28">INDEX($C$2:$D$40,MOD(ROW()-ROW($C$2),ROWS($C$2:$D$40))+1,INT((ROW()-ROW($C$2))/ROWS($C$2:$D$40))+1)</f>
        <v>0</v>
      </c>
      <c r="V28" t="e">
        <f t="shared" ca="1" si="5"/>
        <v>#N/A</v>
      </c>
      <c r="W28" t="str" cm="1">
        <f t="array" aca="1" ref="W28" ca="1">IFERROR(INDIRECT("$U"&amp;V28),"")</f>
        <v/>
      </c>
      <c r="Z28" cm="1">
        <f t="array" ref="Z28">INDEX($AE$2:$AS$40,MOD(ROW()-ROW($AE$2),ROWS($AE$2:$AS$40))+1,INT((ROW()-ROW($AE$2))/ROWS($AE$2:$AS$40))+1)</f>
        <v>0</v>
      </c>
      <c r="AA28">
        <f t="shared" ca="1" si="6"/>
        <v>55</v>
      </c>
      <c r="AB28" t="str" cm="1">
        <f t="array" aca="1" ref="AB28" ca="1">IFERROR(INDIRECT("$Z"&amp;AA28),"")</f>
        <v>Space_3_room_supply_damper</v>
      </c>
      <c r="AM28" t="str">
        <f ca="1"/>
        <v>BTA005</v>
      </c>
      <c r="AP28" t="str">
        <f t="shared" si="0"/>
        <v/>
      </c>
      <c r="AQ28" t="str">
        <f t="shared" si="1"/>
        <v/>
      </c>
      <c r="AR28" t="str">
        <f t="shared" si="2"/>
        <v/>
      </c>
      <c r="AS28" t="str">
        <f t="shared" si="3"/>
        <v/>
      </c>
    </row>
    <row r="29" spans="5:45" x14ac:dyDescent="0.25">
      <c r="E29" t="str">
        <f ca="1"/>
        <v/>
      </c>
      <c r="F29" t="str">
        <f ca="1"/>
        <v/>
      </c>
      <c r="G29" t="str">
        <f ca="1"/>
        <v>Space_3_room_exhaust_damper</v>
      </c>
      <c r="P29" cm="1">
        <f t="array" ref="P29">INDEX($B$2:$D$40,MOD(ROW()-ROW($B$2),ROWS($B$2:$D$40))+1,INT((ROW()-ROW($B$2))/ROWS($B$2:$D$40))+1)</f>
        <v>0</v>
      </c>
      <c r="Q29" t="e">
        <f t="shared" ca="1" si="4"/>
        <v>#N/A</v>
      </c>
      <c r="R29" t="str" cm="1">
        <f t="array" aca="1" ref="R29" ca="1">IFERROR(INDIRECT("$P"&amp;Q29),"")</f>
        <v/>
      </c>
      <c r="U29" cm="1">
        <f t="array" ref="U29">INDEX($C$2:$D$40,MOD(ROW()-ROW($C$2),ROWS($C$2:$D$40))+1,INT((ROW()-ROW($C$2))/ROWS($C$2:$D$40))+1)</f>
        <v>0</v>
      </c>
      <c r="V29" t="e">
        <f t="shared" ca="1" si="5"/>
        <v>#N/A</v>
      </c>
      <c r="W29" t="str" cm="1">
        <f t="array" aca="1" ref="W29" ca="1">IFERROR(INDIRECT("$U"&amp;V29),"")</f>
        <v/>
      </c>
      <c r="Z29" cm="1">
        <f t="array" ref="Z29">INDEX($AE$2:$AS$40,MOD(ROW()-ROW($AE$2),ROWS($AE$2:$AS$40))+1,INT((ROW()-ROW($AE$2))/ROWS($AE$2:$AS$40))+1)</f>
        <v>0</v>
      </c>
      <c r="AA29">
        <f t="shared" ca="1" si="6"/>
        <v>56</v>
      </c>
      <c r="AB29" t="str" cm="1">
        <f t="array" aca="1" ref="AB29" ca="1">IFERROR(INDIRECT("$Z"&amp;AA29),"")</f>
        <v>Space_3_room_exhaust_damper</v>
      </c>
      <c r="AM29" t="str">
        <f ca="1"/>
        <v>BTA006</v>
      </c>
      <c r="AP29" t="str">
        <f t="shared" si="0"/>
        <v/>
      </c>
      <c r="AQ29" t="str">
        <f t="shared" si="1"/>
        <v/>
      </c>
      <c r="AR29" t="str">
        <f t="shared" si="2"/>
        <v/>
      </c>
      <c r="AS29" t="str">
        <f t="shared" si="3"/>
        <v/>
      </c>
    </row>
    <row r="30" spans="5:45" x14ac:dyDescent="0.25">
      <c r="E30" t="str">
        <f ca="1"/>
        <v/>
      </c>
      <c r="F30" t="str">
        <f ca="1"/>
        <v/>
      </c>
      <c r="G30" t="str">
        <f ca="1"/>
        <v>Space_5_room_supply_damper</v>
      </c>
      <c r="P30" cm="1">
        <f t="array" ref="P30">INDEX($B$2:$D$40,MOD(ROW()-ROW($B$2),ROWS($B$2:$D$40))+1,INT((ROW()-ROW($B$2))/ROWS($B$2:$D$40))+1)</f>
        <v>0</v>
      </c>
      <c r="Q30" t="e">
        <f t="shared" ca="1" si="4"/>
        <v>#N/A</v>
      </c>
      <c r="R30" t="str" cm="1">
        <f t="array" aca="1" ref="R30" ca="1">IFERROR(INDIRECT("$P"&amp;Q30),"")</f>
        <v/>
      </c>
      <c r="U30" cm="1">
        <f t="array" ref="U30">INDEX($C$2:$D$40,MOD(ROW()-ROW($C$2),ROWS($C$2:$D$40))+1,INT((ROW()-ROW($C$2))/ROWS($C$2:$D$40))+1)</f>
        <v>0</v>
      </c>
      <c r="V30" t="e">
        <f t="shared" ca="1" si="5"/>
        <v>#N/A</v>
      </c>
      <c r="W30" t="str" cm="1">
        <f t="array" aca="1" ref="W30" ca="1">IFERROR(INDIRECT("$U"&amp;V30),"")</f>
        <v/>
      </c>
      <c r="Z30" cm="1">
        <f t="array" ref="Z30">INDEX($AE$2:$AS$40,MOD(ROW()-ROW($AE$2),ROWS($AE$2:$AS$40))+1,INT((ROW()-ROW($AE$2))/ROWS($AE$2:$AS$40))+1)</f>
        <v>0</v>
      </c>
      <c r="AA30">
        <f t="shared" ca="1" si="6"/>
        <v>57</v>
      </c>
      <c r="AB30" t="str" cm="1">
        <f t="array" aca="1" ref="AB30" ca="1">IFERROR(INDIRECT("$Z"&amp;AA30),"")</f>
        <v>Space_5_room_supply_damper</v>
      </c>
      <c r="AM30" t="str">
        <f ca="1"/>
        <v>Space_7_co2_sensor</v>
      </c>
      <c r="AP30" t="str">
        <f t="shared" si="0"/>
        <v/>
      </c>
      <c r="AQ30" t="str">
        <f t="shared" si="1"/>
        <v/>
      </c>
      <c r="AR30" t="str">
        <f t="shared" si="2"/>
        <v/>
      </c>
      <c r="AS30" t="str">
        <f t="shared" si="3"/>
        <v/>
      </c>
    </row>
    <row r="31" spans="5:45" x14ac:dyDescent="0.25">
      <c r="E31" t="str">
        <f ca="1"/>
        <v/>
      </c>
      <c r="F31" t="str">
        <f ca="1"/>
        <v/>
      </c>
      <c r="G31" t="str">
        <f ca="1"/>
        <v>Space_5_room_exhaust_damper</v>
      </c>
      <c r="P31" cm="1">
        <f t="array" ref="P31">INDEX($B$2:$D$40,MOD(ROW()-ROW($B$2),ROWS($B$2:$D$40))+1,INT((ROW()-ROW($B$2))/ROWS($B$2:$D$40))+1)</f>
        <v>0</v>
      </c>
      <c r="Q31" t="e">
        <f t="shared" ca="1" si="4"/>
        <v>#N/A</v>
      </c>
      <c r="R31" t="str" cm="1">
        <f t="array" aca="1" ref="R31" ca="1">IFERROR(INDIRECT("$P"&amp;Q31),"")</f>
        <v/>
      </c>
      <c r="U31" cm="1">
        <f t="array" ref="U31">INDEX($C$2:$D$40,MOD(ROW()-ROW($C$2),ROWS($C$2:$D$40))+1,INT((ROW()-ROW($C$2))/ROWS($C$2:$D$40))+1)</f>
        <v>0</v>
      </c>
      <c r="V31" t="e">
        <f t="shared" ca="1" si="5"/>
        <v>#N/A</v>
      </c>
      <c r="W31" t="str" cm="1">
        <f t="array" aca="1" ref="W31" ca="1">IFERROR(INDIRECT("$U"&amp;V31),"")</f>
        <v/>
      </c>
      <c r="Z31" cm="1">
        <f t="array" ref="Z31">INDEX($AE$2:$AS$40,MOD(ROW()-ROW($AE$2),ROWS($AE$2:$AS$40))+1,INT((ROW()-ROW($AE$2))/ROWS($AE$2:$AS$40))+1)</f>
        <v>0</v>
      </c>
      <c r="AA31">
        <f t="shared" ca="1" si="6"/>
        <v>58</v>
      </c>
      <c r="AB31" t="str" cm="1">
        <f t="array" aca="1" ref="AB31" ca="1">IFERROR(INDIRECT("$Z"&amp;AA31),"")</f>
        <v>Space_5_room_exhaust_damper</v>
      </c>
      <c r="AM31" t="str">
        <f ca="1"/>
        <v>Space_7_damper_position_sensor</v>
      </c>
      <c r="AP31" t="str">
        <f t="shared" si="0"/>
        <v/>
      </c>
      <c r="AQ31" t="str">
        <f t="shared" si="1"/>
        <v/>
      </c>
      <c r="AR31" t="str">
        <f t="shared" si="2"/>
        <v/>
      </c>
      <c r="AS31" t="str">
        <f t="shared" si="3"/>
        <v/>
      </c>
    </row>
    <row r="32" spans="5:45" x14ac:dyDescent="0.25">
      <c r="E32" t="str">
        <f ca="1"/>
        <v/>
      </c>
      <c r="F32" t="str">
        <f ca="1"/>
        <v/>
      </c>
      <c r="G32" t="str">
        <f ca="1"/>
        <v>Space_4_room_supply_damper</v>
      </c>
      <c r="P32" cm="1">
        <f t="array" ref="P32">INDEX($B$2:$D$40,MOD(ROW()-ROW($B$2),ROWS($B$2:$D$40))+1,INT((ROW()-ROW($B$2))/ROWS($B$2:$D$40))+1)</f>
        <v>0</v>
      </c>
      <c r="Q32" t="e">
        <f t="shared" ca="1" si="4"/>
        <v>#N/A</v>
      </c>
      <c r="R32" t="str" cm="1">
        <f t="array" aca="1" ref="R32" ca="1">IFERROR(INDIRECT("$P"&amp;Q32),"")</f>
        <v/>
      </c>
      <c r="U32" cm="1">
        <f t="array" ref="U32">INDEX($C$2:$D$40,MOD(ROW()-ROW($C$2),ROWS($C$2:$D$40))+1,INT((ROW()-ROW($C$2))/ROWS($C$2:$D$40))+1)</f>
        <v>0</v>
      </c>
      <c r="V32" t="e">
        <f t="shared" ca="1" si="5"/>
        <v>#N/A</v>
      </c>
      <c r="W32" t="str" cm="1">
        <f t="array" aca="1" ref="W32" ca="1">IFERROR(INDIRECT("$U"&amp;V32),"")</f>
        <v/>
      </c>
      <c r="Z32" cm="1">
        <f t="array" ref="Z32">INDEX($AE$2:$AS$40,MOD(ROW()-ROW($AE$2),ROWS($AE$2:$AS$40))+1,INT((ROW()-ROW($AE$2))/ROWS($AE$2:$AS$40))+1)</f>
        <v>0</v>
      </c>
      <c r="AA32">
        <f t="shared" ca="1" si="6"/>
        <v>59</v>
      </c>
      <c r="AB32" t="str" cm="1">
        <f t="array" aca="1" ref="AB32" ca="1">IFERROR(INDIRECT("$Z"&amp;AA32),"")</f>
        <v>Space_4_room_supply_damper</v>
      </c>
      <c r="AM32" t="str">
        <f ca="1"/>
        <v>Space_7_temperature_sensor</v>
      </c>
      <c r="AP32" t="str">
        <f t="shared" si="0"/>
        <v/>
      </c>
      <c r="AQ32" t="str">
        <f t="shared" si="1"/>
        <v/>
      </c>
      <c r="AR32" t="str">
        <f t="shared" si="2"/>
        <v/>
      </c>
      <c r="AS32" t="str">
        <f t="shared" si="3"/>
        <v/>
      </c>
    </row>
    <row r="33" spans="5:45" x14ac:dyDescent="0.25">
      <c r="E33" t="str">
        <f ca="1"/>
        <v/>
      </c>
      <c r="F33" t="str">
        <f ca="1"/>
        <v/>
      </c>
      <c r="G33" t="str">
        <f ca="1"/>
        <v>Space_4_room_exhaust_damper</v>
      </c>
      <c r="P33" cm="1">
        <f t="array" ref="P33">INDEX($B$2:$D$40,MOD(ROW()-ROW($B$2),ROWS($B$2:$D$40))+1,INT((ROW()-ROW($B$2))/ROWS($B$2:$D$40))+1)</f>
        <v>0</v>
      </c>
      <c r="Q33" t="e">
        <f t="shared" ca="1" si="4"/>
        <v>#N/A</v>
      </c>
      <c r="R33" t="str" cm="1">
        <f t="array" aca="1" ref="R33" ca="1">IFERROR(INDIRECT("$P"&amp;Q33),"")</f>
        <v/>
      </c>
      <c r="U33" cm="1">
        <f t="array" ref="U33">INDEX($C$2:$D$40,MOD(ROW()-ROW($C$2),ROWS($C$2:$D$40))+1,INT((ROW()-ROW($C$2))/ROWS($C$2:$D$40))+1)</f>
        <v>0</v>
      </c>
      <c r="V33" t="e">
        <f t="shared" ca="1" si="5"/>
        <v>#N/A</v>
      </c>
      <c r="W33" t="str" cm="1">
        <f t="array" aca="1" ref="W33" ca="1">IFERROR(INDIRECT("$U"&amp;V33),"")</f>
        <v/>
      </c>
      <c r="Z33" cm="1">
        <f t="array" ref="Z33">INDEX($AE$2:$AS$40,MOD(ROW()-ROW($AE$2),ROWS($AE$2:$AS$40))+1,INT((ROW()-ROW($AE$2))/ROWS($AE$2:$AS$40))+1)</f>
        <v>0</v>
      </c>
      <c r="AA33">
        <f t="shared" ca="1" si="6"/>
        <v>60</v>
      </c>
      <c r="AB33" t="str" cm="1">
        <f t="array" aca="1" ref="AB33" ca="1">IFERROR(INDIRECT("$Z"&amp;AA33),"")</f>
        <v>Space_4_room_exhaust_damper</v>
      </c>
      <c r="AM33" t="str">
        <f ca="1"/>
        <v>Space_7_valve_position_sensor</v>
      </c>
      <c r="AP33" t="str">
        <f t="shared" si="0"/>
        <v/>
      </c>
      <c r="AQ33" t="str">
        <f t="shared" si="1"/>
        <v/>
      </c>
      <c r="AR33" t="str">
        <f t="shared" si="2"/>
        <v/>
      </c>
      <c r="AS33" t="str">
        <f t="shared" si="3"/>
        <v/>
      </c>
    </row>
    <row r="34" spans="5:45" x14ac:dyDescent="0.25">
      <c r="E34" t="str">
        <f ca="1"/>
        <v/>
      </c>
      <c r="F34" t="str">
        <f ca="1"/>
        <v/>
      </c>
      <c r="G34" t="str">
        <f ca="1"/>
        <v>Space_2_room_supply_damper</v>
      </c>
      <c r="P34" cm="1">
        <f t="array" ref="P34">INDEX($B$2:$D$40,MOD(ROW()-ROW($B$2),ROWS($B$2:$D$40))+1,INT((ROW()-ROW($B$2))/ROWS($B$2:$D$40))+1)</f>
        <v>0</v>
      </c>
      <c r="Q34" t="e">
        <f t="shared" ca="1" si="4"/>
        <v>#N/A</v>
      </c>
      <c r="R34" t="str" cm="1">
        <f t="array" aca="1" ref="R34" ca="1">IFERROR(INDIRECT("$P"&amp;Q34),"")</f>
        <v/>
      </c>
      <c r="U34" cm="1">
        <f t="array" ref="U34">INDEX($C$2:$D$40,MOD(ROW()-ROW($C$2),ROWS($C$2:$D$40))+1,INT((ROW()-ROW($C$2))/ROWS($C$2:$D$40))+1)</f>
        <v>0</v>
      </c>
      <c r="V34" t="e">
        <f t="shared" ca="1" si="5"/>
        <v>#N/A</v>
      </c>
      <c r="W34" t="str" cm="1">
        <f t="array" aca="1" ref="W34" ca="1">IFERROR(INDIRECT("$U"&amp;V34),"")</f>
        <v/>
      </c>
      <c r="Z34" cm="1">
        <f t="array" ref="Z34">INDEX($AE$2:$AS$40,MOD(ROW()-ROW($AE$2),ROWS($AE$2:$AS$40))+1,INT((ROW()-ROW($AE$2))/ROWS($AE$2:$AS$40))+1)</f>
        <v>0</v>
      </c>
      <c r="AA34">
        <f t="shared" ca="1" si="6"/>
        <v>61</v>
      </c>
      <c r="AB34" t="str" cm="1">
        <f t="array" aca="1" ref="AB34" ca="1">IFERROR(INDIRECT("$Z"&amp;AA34),"")</f>
        <v>Space_2_room_supply_damper</v>
      </c>
      <c r="AM34" t="str">
        <f ca="1"/>
        <v>Space_6_co2_sensor</v>
      </c>
      <c r="AP34" t="str">
        <f t="shared" si="0"/>
        <v/>
      </c>
      <c r="AQ34" t="str">
        <f t="shared" si="1"/>
        <v/>
      </c>
      <c r="AR34" t="str">
        <f t="shared" si="2"/>
        <v/>
      </c>
      <c r="AS34" t="str">
        <f t="shared" si="3"/>
        <v/>
      </c>
    </row>
    <row r="35" spans="5:45" x14ac:dyDescent="0.25">
      <c r="E35" t="str">
        <f ca="1"/>
        <v/>
      </c>
      <c r="F35" t="str">
        <f ca="1"/>
        <v/>
      </c>
      <c r="G35" t="str">
        <f ca="1"/>
        <v>Space_2_room_exhaust_damper</v>
      </c>
      <c r="P35" cm="1">
        <f t="array" ref="P35">INDEX($B$2:$D$40,MOD(ROW()-ROW($B$2),ROWS($B$2:$D$40))+1,INT((ROW()-ROW($B$2))/ROWS($B$2:$D$40))+1)</f>
        <v>0</v>
      </c>
      <c r="Q35" t="e">
        <f t="shared" ca="1" si="4"/>
        <v>#N/A</v>
      </c>
      <c r="R35" t="str" cm="1">
        <f t="array" aca="1" ref="R35" ca="1">IFERROR(INDIRECT("$P"&amp;Q35),"")</f>
        <v/>
      </c>
      <c r="U35" cm="1">
        <f t="array" ref="U35">INDEX($C$2:$D$40,MOD(ROW()-ROW($C$2),ROWS($C$2:$D$40))+1,INT((ROW()-ROW($C$2))/ROWS($C$2:$D$40))+1)</f>
        <v>0</v>
      </c>
      <c r="V35" t="e">
        <f t="shared" ca="1" si="5"/>
        <v>#N/A</v>
      </c>
      <c r="W35" t="str" cm="1">
        <f t="array" aca="1" ref="W35" ca="1">IFERROR(INDIRECT("$U"&amp;V35),"")</f>
        <v/>
      </c>
      <c r="Z35" cm="1">
        <f t="array" ref="Z35">INDEX($AE$2:$AS$40,MOD(ROW()-ROW($AE$2),ROWS($AE$2:$AS$40))+1,INT((ROW()-ROW($AE$2))/ROWS($AE$2:$AS$40))+1)</f>
        <v>0</v>
      </c>
      <c r="AA35">
        <f t="shared" ca="1" si="6"/>
        <v>62</v>
      </c>
      <c r="AB35" t="str" cm="1">
        <f t="array" aca="1" ref="AB35" ca="1">IFERROR(INDIRECT("$Z"&amp;AA35),"")</f>
        <v>Space_2_room_exhaust_damper</v>
      </c>
      <c r="AM35" t="str">
        <f ca="1"/>
        <v>Space_6_damper_position_sensor</v>
      </c>
      <c r="AP35" t="str">
        <f t="shared" si="0"/>
        <v/>
      </c>
      <c r="AQ35" t="str">
        <f t="shared" si="1"/>
        <v/>
      </c>
      <c r="AR35" t="str">
        <f t="shared" si="2"/>
        <v/>
      </c>
      <c r="AS35" t="str">
        <f t="shared" si="3"/>
        <v/>
      </c>
    </row>
    <row r="36" spans="5:45" x14ac:dyDescent="0.25">
      <c r="E36" t="str">
        <f ca="1"/>
        <v/>
      </c>
      <c r="F36" t="str">
        <f ca="1"/>
        <v/>
      </c>
      <c r="G36" t="str">
        <f ca="1"/>
        <v>Space_1_room_supply_damper</v>
      </c>
      <c r="P36" cm="1">
        <f t="array" ref="P36">INDEX($B$2:$D$40,MOD(ROW()-ROW($B$2),ROWS($B$2:$D$40))+1,INT((ROW()-ROW($B$2))/ROWS($B$2:$D$40))+1)</f>
        <v>0</v>
      </c>
      <c r="Q36" t="e">
        <f t="shared" ca="1" si="4"/>
        <v>#N/A</v>
      </c>
      <c r="R36" t="str" cm="1">
        <f t="array" aca="1" ref="R36" ca="1">IFERROR(INDIRECT("$P"&amp;Q36),"")</f>
        <v/>
      </c>
      <c r="U36" cm="1">
        <f t="array" ref="U36">INDEX($C$2:$D$40,MOD(ROW()-ROW($C$2),ROWS($C$2:$D$40))+1,INT((ROW()-ROW($C$2))/ROWS($C$2:$D$40))+1)</f>
        <v>0</v>
      </c>
      <c r="V36" t="e">
        <f t="shared" ca="1" si="5"/>
        <v>#N/A</v>
      </c>
      <c r="W36" t="str" cm="1">
        <f t="array" aca="1" ref="W36" ca="1">IFERROR(INDIRECT("$U"&amp;V36),"")</f>
        <v/>
      </c>
      <c r="Z36" cm="1">
        <f t="array" ref="Z36">INDEX($AE$2:$AS$40,MOD(ROW()-ROW($AE$2),ROWS($AE$2:$AS$40))+1,INT((ROW()-ROW($AE$2))/ROWS($AE$2:$AS$40))+1)</f>
        <v>0</v>
      </c>
      <c r="AA36">
        <f t="shared" ca="1" si="6"/>
        <v>63</v>
      </c>
      <c r="AB36" t="str" cm="1">
        <f t="array" aca="1" ref="AB36" ca="1">IFERROR(INDIRECT("$Z"&amp;AA36),"")</f>
        <v>Space_1_room_supply_damper</v>
      </c>
      <c r="AM36" t="str">
        <f ca="1"/>
        <v>Space_6_temperature_sensor</v>
      </c>
      <c r="AP36" t="str">
        <f t="shared" si="0"/>
        <v/>
      </c>
      <c r="AQ36" t="str">
        <f t="shared" si="1"/>
        <v/>
      </c>
      <c r="AR36" t="str">
        <f t="shared" si="2"/>
        <v/>
      </c>
      <c r="AS36" t="str">
        <f t="shared" si="3"/>
        <v/>
      </c>
    </row>
    <row r="37" spans="5:45" x14ac:dyDescent="0.25">
      <c r="E37" t="str">
        <f ca="1"/>
        <v/>
      </c>
      <c r="F37" t="str">
        <f ca="1"/>
        <v/>
      </c>
      <c r="G37" t="str">
        <f ca="1"/>
        <v>Space_1_room_exhaust_damper</v>
      </c>
      <c r="P37" cm="1">
        <f t="array" ref="P37">INDEX($B$2:$D$40,MOD(ROW()-ROW($B$2),ROWS($B$2:$D$40))+1,INT((ROW()-ROW($B$2))/ROWS($B$2:$D$40))+1)</f>
        <v>0</v>
      </c>
      <c r="Q37" t="e">
        <f t="shared" ca="1" si="4"/>
        <v>#N/A</v>
      </c>
      <c r="R37" t="str" cm="1">
        <f t="array" aca="1" ref="R37" ca="1">IFERROR(INDIRECT("$P"&amp;Q37),"")</f>
        <v/>
      </c>
      <c r="U37" cm="1">
        <f t="array" ref="U37">INDEX($C$2:$D$40,MOD(ROW()-ROW($C$2),ROWS($C$2:$D$40))+1,INT((ROW()-ROW($C$2))/ROWS($C$2:$D$40))+1)</f>
        <v>0</v>
      </c>
      <c r="V37" t="e">
        <f t="shared" ca="1" si="5"/>
        <v>#N/A</v>
      </c>
      <c r="W37" t="str" cm="1">
        <f t="array" aca="1" ref="W37" ca="1">IFERROR(INDIRECT("$U"&amp;V37),"")</f>
        <v/>
      </c>
      <c r="Z37" cm="1">
        <f t="array" ref="Z37">INDEX($AE$2:$AS$40,MOD(ROW()-ROW($AE$2),ROWS($AE$2:$AS$40))+1,INT((ROW()-ROW($AE$2))/ROWS($AE$2:$AS$40))+1)</f>
        <v>0</v>
      </c>
      <c r="AA37">
        <f t="shared" ca="1" si="6"/>
        <v>64</v>
      </c>
      <c r="AB37" t="str" cm="1">
        <f t="array" aca="1" ref="AB37" ca="1">IFERROR(INDIRECT("$Z"&amp;AA37),"")</f>
        <v>Space_1_room_exhaust_damper</v>
      </c>
      <c r="AM37" t="str">
        <f ca="1"/>
        <v>Space_6_valve_position_sensor</v>
      </c>
      <c r="AP37" t="str">
        <f t="shared" si="0"/>
        <v/>
      </c>
      <c r="AQ37" t="str">
        <f t="shared" si="1"/>
        <v/>
      </c>
      <c r="AR37" t="str">
        <f t="shared" si="2"/>
        <v/>
      </c>
      <c r="AS37" t="str">
        <f t="shared" si="3"/>
        <v/>
      </c>
    </row>
    <row r="38" spans="5:45" x14ac:dyDescent="0.25">
      <c r="E38" t="str">
        <f ca="1"/>
        <v/>
      </c>
      <c r="F38" t="str">
        <f ca="1"/>
        <v/>
      </c>
      <c r="G38" t="str">
        <f ca="1"/>
        <v>Space_9_space_heater</v>
      </c>
      <c r="P38" cm="1">
        <f t="array" ref="P38">INDEX($B$2:$D$40,MOD(ROW()-ROW($B$2),ROWS($B$2:$D$40))+1,INT((ROW()-ROW($B$2))/ROWS($B$2:$D$40))+1)</f>
        <v>0</v>
      </c>
      <c r="Q38" t="e">
        <f t="shared" ca="1" si="4"/>
        <v>#N/A</v>
      </c>
      <c r="R38" t="str" cm="1">
        <f t="array" aca="1" ref="R38" ca="1">IFERROR(INDIRECT("$P"&amp;Q38),"")</f>
        <v/>
      </c>
      <c r="U38" cm="1">
        <f t="array" ref="U38">INDEX($C$2:$D$40,MOD(ROW()-ROW($C$2),ROWS($C$2:$D$40))+1,INT((ROW()-ROW($C$2))/ROWS($C$2:$D$40))+1)</f>
        <v>0</v>
      </c>
      <c r="V38" t="e">
        <f t="shared" ca="1" si="5"/>
        <v>#N/A</v>
      </c>
      <c r="W38" t="str" cm="1">
        <f t="array" aca="1" ref="W38" ca="1">IFERROR(INDIRECT("$U"&amp;V38),"")</f>
        <v/>
      </c>
      <c r="Z38" cm="1">
        <f t="array" ref="Z38">INDEX($AE$2:$AS$40,MOD(ROW()-ROW($AE$2),ROWS($AE$2:$AS$40))+1,INT((ROW()-ROW($AE$2))/ROWS($AE$2:$AS$40))+1)</f>
        <v>0</v>
      </c>
      <c r="AA38">
        <f t="shared" ca="1" si="6"/>
        <v>80</v>
      </c>
      <c r="AB38" t="str" cm="1">
        <f t="array" aca="1" ref="AB38" ca="1">IFERROR(INDIRECT("$Z"&amp;AA38),"")</f>
        <v>Space_9_space_heater</v>
      </c>
      <c r="AM38" t="str">
        <f ca="1"/>
        <v>Space_8_co2_sensor</v>
      </c>
      <c r="AP38" t="str">
        <f t="shared" si="0"/>
        <v/>
      </c>
      <c r="AQ38" t="str">
        <f t="shared" si="1"/>
        <v/>
      </c>
      <c r="AR38" t="str">
        <f t="shared" si="2"/>
        <v/>
      </c>
      <c r="AS38" t="str">
        <f t="shared" si="3"/>
        <v/>
      </c>
    </row>
    <row r="39" spans="5:45" x14ac:dyDescent="0.25">
      <c r="E39" t="str">
        <f ca="1"/>
        <v/>
      </c>
      <c r="F39" t="str">
        <f ca="1"/>
        <v/>
      </c>
      <c r="G39" t="str">
        <f ca="1"/>
        <v>Space_10_space_heater</v>
      </c>
      <c r="P39" cm="1">
        <f t="array" ref="P39">INDEX($B$2:$D$40,MOD(ROW()-ROW($B$2),ROWS($B$2:$D$40))+1,INT((ROW()-ROW($B$2))/ROWS($B$2:$D$40))+1)</f>
        <v>0</v>
      </c>
      <c r="Q39" t="e">
        <f t="shared" ca="1" si="4"/>
        <v>#N/A</v>
      </c>
      <c r="R39" t="str" cm="1">
        <f t="array" aca="1" ref="R39" ca="1">IFERROR(INDIRECT("$P"&amp;Q39),"")</f>
        <v/>
      </c>
      <c r="U39" cm="1">
        <f t="array" ref="U39">INDEX($C$2:$D$40,MOD(ROW()-ROW($C$2),ROWS($C$2:$D$40))+1,INT((ROW()-ROW($C$2))/ROWS($C$2:$D$40))+1)</f>
        <v>0</v>
      </c>
      <c r="V39" t="e">
        <f t="shared" ca="1" si="5"/>
        <v>#N/A</v>
      </c>
      <c r="W39" t="str" cm="1">
        <f t="array" aca="1" ref="W39" ca="1">IFERROR(INDIRECT("$U"&amp;V39),"")</f>
        <v/>
      </c>
      <c r="Z39" cm="1">
        <f t="array" ref="Z39">INDEX($AE$2:$AS$40,MOD(ROW()-ROW($AE$2),ROWS($AE$2:$AS$40))+1,INT((ROW()-ROW($AE$2))/ROWS($AE$2:$AS$40))+1)</f>
        <v>0</v>
      </c>
      <c r="AA39">
        <f t="shared" ca="1" si="6"/>
        <v>81</v>
      </c>
      <c r="AB39" t="str" cm="1">
        <f t="array" aca="1" ref="AB39" ca="1">IFERROR(INDIRECT("$Z"&amp;AA39),"")</f>
        <v>Space_10_space_heater</v>
      </c>
      <c r="AM39" t="str">
        <f ca="1"/>
        <v>Space_8_damper_position_sensor</v>
      </c>
      <c r="AP39" t="str">
        <f t="shared" si="0"/>
        <v/>
      </c>
      <c r="AQ39" t="str">
        <f t="shared" si="1"/>
        <v/>
      </c>
      <c r="AR39" t="str">
        <f t="shared" si="2"/>
        <v/>
      </c>
      <c r="AS39" t="str">
        <f t="shared" si="3"/>
        <v/>
      </c>
    </row>
    <row r="40" spans="5:45" x14ac:dyDescent="0.25">
      <c r="E40" t="str">
        <f ca="1"/>
        <v/>
      </c>
      <c r="F40" t="str">
        <f ca="1"/>
        <v/>
      </c>
      <c r="G40" t="str">
        <f ca="1"/>
        <v>Space_11_space_heater</v>
      </c>
      <c r="P40" cm="1">
        <f t="array" ref="P40">INDEX($B$2:$D$40,MOD(ROW()-ROW($B$2),ROWS($B$2:$D$40))+1,INT((ROW()-ROW($B$2))/ROWS($B$2:$D$40))+1)</f>
        <v>0</v>
      </c>
      <c r="Q40" t="e">
        <f t="shared" ca="1" si="4"/>
        <v>#N/A</v>
      </c>
      <c r="R40" t="str" cm="1">
        <f t="array" aca="1" ref="R40" ca="1">IFERROR(INDIRECT("$P"&amp;Q40),"")</f>
        <v/>
      </c>
      <c r="U40" cm="1">
        <f t="array" ref="U40">INDEX($C$2:$D$40,MOD(ROW()-ROW($C$2),ROWS($C$2:$D$40))+1,INT((ROW()-ROW($C$2))/ROWS($C$2:$D$40))+1)</f>
        <v>0</v>
      </c>
      <c r="V40" t="e">
        <f t="shared" ca="1" si="5"/>
        <v>#N/A</v>
      </c>
      <c r="W40" t="str" cm="1">
        <f t="array" aca="1" ref="W40" ca="1">IFERROR(INDIRECT("$U"&amp;V40),"")</f>
        <v/>
      </c>
      <c r="Z40" cm="1">
        <f t="array" ref="Z40">INDEX($AE$2:$AS$40,MOD(ROW()-ROW($AE$2),ROWS($AE$2:$AS$40))+1,INT((ROW()-ROW($AE$2))/ROWS($AE$2:$AS$40))+1)</f>
        <v>0</v>
      </c>
      <c r="AA40">
        <f t="shared" ca="1" si="6"/>
        <v>82</v>
      </c>
      <c r="AB40" t="str" cm="1">
        <f t="array" aca="1" ref="AB40" ca="1">IFERROR(INDIRECT("$Z"&amp;AA40),"")</f>
        <v>Space_11_space_heater</v>
      </c>
      <c r="AM40" t="str">
        <f ca="1"/>
        <v>Space_8_temperature_sensor</v>
      </c>
      <c r="AP40" t="str">
        <f t="shared" si="0"/>
        <v/>
      </c>
      <c r="AQ40" t="str">
        <f t="shared" si="1"/>
        <v/>
      </c>
      <c r="AR40" t="str">
        <f t="shared" si="2"/>
        <v/>
      </c>
      <c r="AS40" t="str">
        <f t="shared" si="3"/>
        <v/>
      </c>
    </row>
    <row r="41" spans="5:45" x14ac:dyDescent="0.25">
      <c r="E41" t="str">
        <f ca="1"/>
        <v/>
      </c>
      <c r="F41" t="str">
        <f ca="1"/>
        <v/>
      </c>
      <c r="G41" t="str">
        <f ca="1"/>
        <v>Space_12_space_heater</v>
      </c>
      <c r="P41" t="str" cm="1">
        <f t="array" aca="1" ref="P41" ca="1">INDEX($B$2:$D$40,MOD(ROW()-ROW($B$2),ROWS($B$2:$D$40))+1,INT((ROW()-ROW($B$2))/ROWS($B$2:$D$40))+1)</f>
        <v>HD01</v>
      </c>
      <c r="Q41" t="e">
        <f t="shared" ca="1" si="4"/>
        <v>#N/A</v>
      </c>
      <c r="R41" t="str" cm="1">
        <f t="array" aca="1" ref="R41" ca="1">IFERROR(INDIRECT("$P"&amp;Q41),"")</f>
        <v/>
      </c>
      <c r="U41" t="str" cm="1">
        <f t="array" aca="1" ref="U41" ca="1">INDEX($C$2:$D$40,MOD(ROW()-ROW($C$2),ROWS($C$2:$D$40))+1,INT((ROW()-ROW($C$2))/ROWS($C$2:$D$40))+1)</f>
        <v>Cooling</v>
      </c>
      <c r="V41" t="e">
        <f t="shared" ca="1" si="5"/>
        <v>#N/A</v>
      </c>
      <c r="W41" t="str" cm="1">
        <f t="array" aca="1" ref="W41" ca="1">IFERROR(INDIRECT("$U"&amp;V41),"")</f>
        <v/>
      </c>
      <c r="Z41" t="str" cm="1">
        <f t="array" aca="1" ref="Z41" ca="1">INDEX($AE$2:$AS$40,MOD(ROW()-ROW($AE$2),ROWS($AE$2:$AS$40))+1,INT((ROW()-ROW($AE$2))/ROWS($AE$2:$AS$40))+1)</f>
        <v>Space_9_room_supply_damper</v>
      </c>
      <c r="AA41">
        <f t="shared" ca="1" si="6"/>
        <v>83</v>
      </c>
      <c r="AB41" t="str" cm="1">
        <f t="array" aca="1" ref="AB41" ca="1">IFERROR(INDIRECT("$Z"&amp;AA41),"")</f>
        <v>Space_12_space_heater</v>
      </c>
      <c r="AM41" t="str">
        <f ca="1"/>
        <v>Space_8_valve_position_sensor</v>
      </c>
      <c r="AP41" t="str">
        <f t="shared" si="0"/>
        <v/>
      </c>
      <c r="AQ41" t="str">
        <f t="shared" si="1"/>
        <v/>
      </c>
      <c r="AR41" t="str">
        <f t="shared" si="2"/>
        <v/>
      </c>
      <c r="AS41" t="str">
        <f t="shared" si="3"/>
        <v/>
      </c>
    </row>
    <row r="42" spans="5:45" x14ac:dyDescent="0.25">
      <c r="E42" t="str">
        <f ca="1"/>
        <v/>
      </c>
      <c r="F42" t="str">
        <f ca="1"/>
        <v/>
      </c>
      <c r="G42" t="str">
        <f ca="1"/>
        <v>Space_7_space_heater</v>
      </c>
      <c r="P42" cm="1">
        <f t="array" ref="P42">INDEX($B$2:$D$40,MOD(ROW()-ROW($B$2),ROWS($B$2:$D$40))+1,INT((ROW()-ROW($B$2))/ROWS($B$2:$D$40))+1)</f>
        <v>0</v>
      </c>
      <c r="Q42" t="e">
        <f t="shared" ca="1" si="4"/>
        <v>#N/A</v>
      </c>
      <c r="R42" t="str" cm="1">
        <f t="array" aca="1" ref="R42" ca="1">IFERROR(INDIRECT("$P"&amp;Q42),"")</f>
        <v/>
      </c>
      <c r="U42" cm="1">
        <f t="array" ref="U42">INDEX($C$2:$D$40,MOD(ROW()-ROW($C$2),ROWS($C$2:$D$40))+1,INT((ROW()-ROW($C$2))/ROWS($C$2:$D$40))+1)</f>
        <v>0</v>
      </c>
      <c r="V42" t="e">
        <f t="shared" ca="1" si="5"/>
        <v>#N/A</v>
      </c>
      <c r="W42" t="str" cm="1">
        <f t="array" aca="1" ref="W42" ca="1">IFERROR(INDIRECT("$U"&amp;V42),"")</f>
        <v/>
      </c>
      <c r="Z42" t="str" cm="1">
        <f t="array" aca="1" ref="Z42" ca="1">INDEX($AE$2:$AS$40,MOD(ROW()-ROW($AE$2),ROWS($AE$2:$AS$40))+1,INT((ROW()-ROW($AE$2))/ROWS($AE$2:$AS$40))+1)</f>
        <v>Space_9_room_exhaust_damper</v>
      </c>
      <c r="AA42">
        <f t="shared" ca="1" si="6"/>
        <v>84</v>
      </c>
      <c r="AB42" t="str" cm="1">
        <f t="array" aca="1" ref="AB42" ca="1">IFERROR(INDIRECT("$Z"&amp;AA42),"")</f>
        <v>Space_7_space_heater</v>
      </c>
      <c r="AM42" t="str">
        <f ca="1"/>
        <v>Space_3_co2_sensor</v>
      </c>
      <c r="AP42" t="str">
        <f t="shared" si="0"/>
        <v/>
      </c>
      <c r="AQ42" t="str">
        <f t="shared" si="1"/>
        <v/>
      </c>
      <c r="AR42" t="str">
        <f t="shared" si="2"/>
        <v/>
      </c>
      <c r="AS42" t="str">
        <f t="shared" si="3"/>
        <v/>
      </c>
    </row>
    <row r="43" spans="5:45" x14ac:dyDescent="0.25">
      <c r="E43" t="str">
        <f ca="1"/>
        <v/>
      </c>
      <c r="F43" t="str">
        <f ca="1"/>
        <v/>
      </c>
      <c r="G43" t="str">
        <f ca="1"/>
        <v>Space_6_space_heater</v>
      </c>
      <c r="P43" cm="1">
        <f t="array" ref="P43">INDEX($B$2:$D$40,MOD(ROW()-ROW($B$2),ROWS($B$2:$D$40))+1,INT((ROW()-ROW($B$2))/ROWS($B$2:$D$40))+1)</f>
        <v>0</v>
      </c>
      <c r="Q43" t="e">
        <f t="shared" ca="1" si="4"/>
        <v>#N/A</v>
      </c>
      <c r="R43" t="str" cm="1">
        <f t="array" aca="1" ref="R43" ca="1">IFERROR(INDIRECT("$P"&amp;Q43),"")</f>
        <v/>
      </c>
      <c r="U43" cm="1">
        <f t="array" ref="U43">INDEX($C$2:$D$40,MOD(ROW()-ROW($C$2),ROWS($C$2:$D$40))+1,INT((ROW()-ROW($C$2))/ROWS($C$2:$D$40))+1)</f>
        <v>0</v>
      </c>
      <c r="V43" t="e">
        <f t="shared" ca="1" si="5"/>
        <v>#N/A</v>
      </c>
      <c r="W43" t="str" cm="1">
        <f t="array" aca="1" ref="W43" ca="1">IFERROR(INDIRECT("$U"&amp;V43),"")</f>
        <v/>
      </c>
      <c r="Z43" t="str" cm="1">
        <f t="array" aca="1" ref="Z43" ca="1">INDEX($AE$2:$AS$40,MOD(ROW()-ROW($AE$2),ROWS($AE$2:$AS$40))+1,INT((ROW()-ROW($AE$2))/ROWS($AE$2:$AS$40))+1)</f>
        <v>Space_10_room_supply_damper</v>
      </c>
      <c r="AA43">
        <f t="shared" ca="1" si="6"/>
        <v>85</v>
      </c>
      <c r="AB43" t="str" cm="1">
        <f t="array" aca="1" ref="AB43" ca="1">IFERROR(INDIRECT("$Z"&amp;AA43),"")</f>
        <v>Space_6_space_heater</v>
      </c>
      <c r="AM43" t="str">
        <f ca="1"/>
        <v>Space_3_damper_position_sensor</v>
      </c>
      <c r="AP43" t="str">
        <f t="shared" si="0"/>
        <v/>
      </c>
      <c r="AQ43" t="str">
        <f t="shared" si="1"/>
        <v/>
      </c>
      <c r="AR43" t="str">
        <f t="shared" si="2"/>
        <v/>
      </c>
      <c r="AS43" t="str">
        <f t="shared" si="3"/>
        <v/>
      </c>
    </row>
    <row r="44" spans="5:45" x14ac:dyDescent="0.25">
      <c r="E44" t="str">
        <f ca="1"/>
        <v/>
      </c>
      <c r="F44" t="str">
        <f ca="1"/>
        <v/>
      </c>
      <c r="G44" t="str">
        <f ca="1"/>
        <v>Space_8_space_heater</v>
      </c>
      <c r="P44" cm="1">
        <f t="array" ref="P44">INDEX($B$2:$D$40,MOD(ROW()-ROW($B$2),ROWS($B$2:$D$40))+1,INT((ROW()-ROW($B$2))/ROWS($B$2:$D$40))+1)</f>
        <v>0</v>
      </c>
      <c r="Q44" t="e">
        <f t="shared" ca="1" si="4"/>
        <v>#N/A</v>
      </c>
      <c r="R44" t="str" cm="1">
        <f t="array" aca="1" ref="R44" ca="1">IFERROR(INDIRECT("$P"&amp;Q44),"")</f>
        <v/>
      </c>
      <c r="U44" cm="1">
        <f t="array" ref="U44">INDEX($C$2:$D$40,MOD(ROW()-ROW($C$2),ROWS($C$2:$D$40))+1,INT((ROW()-ROW($C$2))/ROWS($C$2:$D$40))+1)</f>
        <v>0</v>
      </c>
      <c r="V44" t="e">
        <f t="shared" ca="1" si="5"/>
        <v>#N/A</v>
      </c>
      <c r="W44" t="str" cm="1">
        <f t="array" aca="1" ref="W44" ca="1">IFERROR(INDIRECT("$U"&amp;V44),"")</f>
        <v/>
      </c>
      <c r="Z44" t="str" cm="1">
        <f t="array" aca="1" ref="Z44" ca="1">INDEX($AE$2:$AS$40,MOD(ROW()-ROW($AE$2),ROWS($AE$2:$AS$40))+1,INT((ROW()-ROW($AE$2))/ROWS($AE$2:$AS$40))+1)</f>
        <v>Space_10_room_exhaust_damper</v>
      </c>
      <c r="AA44">
        <f t="shared" ca="1" si="6"/>
        <v>86</v>
      </c>
      <c r="AB44" t="str" cm="1">
        <f t="array" aca="1" ref="AB44" ca="1">IFERROR(INDIRECT("$Z"&amp;AA44),"")</f>
        <v>Space_8_space_heater</v>
      </c>
      <c r="AM44" t="str">
        <f ca="1"/>
        <v>Space_3_temperature_sensor</v>
      </c>
      <c r="AP44" t="str">
        <f t="shared" si="0"/>
        <v/>
      </c>
      <c r="AQ44" t="str">
        <f t="shared" si="1"/>
        <v/>
      </c>
      <c r="AR44" t="str">
        <f t="shared" si="2"/>
        <v/>
      </c>
      <c r="AS44" t="str">
        <f t="shared" si="3"/>
        <v/>
      </c>
    </row>
    <row r="45" spans="5:45" x14ac:dyDescent="0.25">
      <c r="E45" t="str">
        <f ca="1"/>
        <v/>
      </c>
      <c r="F45" t="str">
        <f ca="1"/>
        <v/>
      </c>
      <c r="G45" t="str">
        <f ca="1"/>
        <v>Space_3_space_heater</v>
      </c>
      <c r="P45" cm="1">
        <f t="array" ref="P45">INDEX($B$2:$D$40,MOD(ROW()-ROW($B$2),ROWS($B$2:$D$40))+1,INT((ROW()-ROW($B$2))/ROWS($B$2:$D$40))+1)</f>
        <v>0</v>
      </c>
      <c r="Q45" t="e">
        <f t="shared" ca="1" si="4"/>
        <v>#N/A</v>
      </c>
      <c r="R45" t="str" cm="1">
        <f t="array" aca="1" ref="R45" ca="1">IFERROR(INDIRECT("$P"&amp;Q45),"")</f>
        <v/>
      </c>
      <c r="U45" cm="1">
        <f t="array" ref="U45">INDEX($C$2:$D$40,MOD(ROW()-ROW($C$2),ROWS($C$2:$D$40))+1,INT((ROW()-ROW($C$2))/ROWS($C$2:$D$40))+1)</f>
        <v>0</v>
      </c>
      <c r="V45" t="e">
        <f t="shared" ca="1" si="5"/>
        <v>#N/A</v>
      </c>
      <c r="W45" t="str" cm="1">
        <f t="array" aca="1" ref="W45" ca="1">IFERROR(INDIRECT("$U"&amp;V45),"")</f>
        <v/>
      </c>
      <c r="Z45" t="str" cm="1">
        <f t="array" aca="1" ref="Z45" ca="1">INDEX($AE$2:$AS$40,MOD(ROW()-ROW($AE$2),ROWS($AE$2:$AS$40))+1,INT((ROW()-ROW($AE$2))/ROWS($AE$2:$AS$40))+1)</f>
        <v>Space_11_room_supply_damper</v>
      </c>
      <c r="AA45">
        <f t="shared" ca="1" si="6"/>
        <v>87</v>
      </c>
      <c r="AB45" t="str" cm="1">
        <f t="array" aca="1" ref="AB45" ca="1">IFERROR(INDIRECT("$Z"&amp;AA45),"")</f>
        <v>Space_3_space_heater</v>
      </c>
      <c r="AM45" t="str">
        <f ca="1"/>
        <v>Space_3_valve_position_sensor</v>
      </c>
      <c r="AP45" t="str">
        <f t="shared" si="0"/>
        <v/>
      </c>
      <c r="AQ45" t="str">
        <f t="shared" si="1"/>
        <v/>
      </c>
      <c r="AR45" t="str">
        <f t="shared" si="2"/>
        <v/>
      </c>
      <c r="AS45" t="str">
        <f t="shared" si="3"/>
        <v/>
      </c>
    </row>
    <row r="46" spans="5:45" x14ac:dyDescent="0.25">
      <c r="E46" t="str">
        <f ca="1"/>
        <v/>
      </c>
      <c r="F46" t="str">
        <f ca="1"/>
        <v/>
      </c>
      <c r="G46" t="str">
        <f ca="1"/>
        <v>Space_5_space_heater</v>
      </c>
      <c r="P46" cm="1">
        <f t="array" ref="P46">INDEX($B$2:$D$40,MOD(ROW()-ROW($B$2),ROWS($B$2:$D$40))+1,INT((ROW()-ROW($B$2))/ROWS($B$2:$D$40))+1)</f>
        <v>0</v>
      </c>
      <c r="Q46" t="e">
        <f t="shared" ca="1" si="4"/>
        <v>#N/A</v>
      </c>
      <c r="R46" t="str" cm="1">
        <f t="array" aca="1" ref="R46" ca="1">IFERROR(INDIRECT("$P"&amp;Q46),"")</f>
        <v/>
      </c>
      <c r="U46" cm="1">
        <f t="array" ref="U46">INDEX($C$2:$D$40,MOD(ROW()-ROW($C$2),ROWS($C$2:$D$40))+1,INT((ROW()-ROW($C$2))/ROWS($C$2:$D$40))+1)</f>
        <v>0</v>
      </c>
      <c r="V46" t="e">
        <f t="shared" ca="1" si="5"/>
        <v>#N/A</v>
      </c>
      <c r="W46" t="str" cm="1">
        <f t="array" aca="1" ref="W46" ca="1">IFERROR(INDIRECT("$U"&amp;V46),"")</f>
        <v/>
      </c>
      <c r="Z46" t="str" cm="1">
        <f t="array" aca="1" ref="Z46" ca="1">INDEX($AE$2:$AS$40,MOD(ROW()-ROW($AE$2),ROWS($AE$2:$AS$40))+1,INT((ROW()-ROW($AE$2))/ROWS($AE$2:$AS$40))+1)</f>
        <v>Space_11_room_exhaust_damper</v>
      </c>
      <c r="AA46">
        <f t="shared" ca="1" si="6"/>
        <v>88</v>
      </c>
      <c r="AB46" t="str" cm="1">
        <f t="array" aca="1" ref="AB46" ca="1">IFERROR(INDIRECT("$Z"&amp;AA46),"")</f>
        <v>Space_5_space_heater</v>
      </c>
      <c r="AM46" t="str">
        <f ca="1"/>
        <v>Space_5_co2_sensor</v>
      </c>
      <c r="AP46" t="str">
        <f t="shared" si="0"/>
        <v/>
      </c>
      <c r="AQ46" t="str">
        <f t="shared" si="1"/>
        <v/>
      </c>
      <c r="AR46" t="str">
        <f t="shared" si="2"/>
        <v/>
      </c>
      <c r="AS46" t="str">
        <f t="shared" si="3"/>
        <v/>
      </c>
    </row>
    <row r="47" spans="5:45" x14ac:dyDescent="0.25">
      <c r="E47" t="str">
        <f ca="1"/>
        <v/>
      </c>
      <c r="F47" t="str">
        <f ca="1"/>
        <v/>
      </c>
      <c r="G47" t="str">
        <f ca="1"/>
        <v>Space_4_space_heater</v>
      </c>
      <c r="P47" cm="1">
        <f t="array" ref="P47">INDEX($B$2:$D$40,MOD(ROW()-ROW($B$2),ROWS($B$2:$D$40))+1,INT((ROW()-ROW($B$2))/ROWS($B$2:$D$40))+1)</f>
        <v>0</v>
      </c>
      <c r="Q47" t="e">
        <f t="shared" ca="1" si="4"/>
        <v>#N/A</v>
      </c>
      <c r="R47" t="str" cm="1">
        <f t="array" aca="1" ref="R47" ca="1">IFERROR(INDIRECT("$P"&amp;Q47),"")</f>
        <v/>
      </c>
      <c r="U47" cm="1">
        <f t="array" ref="U47">INDEX($C$2:$D$40,MOD(ROW()-ROW($C$2),ROWS($C$2:$D$40))+1,INT((ROW()-ROW($C$2))/ROWS($C$2:$D$40))+1)</f>
        <v>0</v>
      </c>
      <c r="V47" t="e">
        <f t="shared" ca="1" si="5"/>
        <v>#N/A</v>
      </c>
      <c r="W47" t="str" cm="1">
        <f t="array" aca="1" ref="W47" ca="1">IFERROR(INDIRECT("$U"&amp;V47),"")</f>
        <v/>
      </c>
      <c r="Z47" t="str" cm="1">
        <f t="array" aca="1" ref="Z47" ca="1">INDEX($AE$2:$AS$40,MOD(ROW()-ROW($AE$2),ROWS($AE$2:$AS$40))+1,INT((ROW()-ROW($AE$2))/ROWS($AE$2:$AS$40))+1)</f>
        <v>Space_12_room_supply_damper</v>
      </c>
      <c r="AA47">
        <f t="shared" ca="1" si="6"/>
        <v>89</v>
      </c>
      <c r="AB47" t="str" cm="1">
        <f t="array" aca="1" ref="AB47" ca="1">IFERROR(INDIRECT("$Z"&amp;AA47),"")</f>
        <v>Space_4_space_heater</v>
      </c>
      <c r="AM47" t="str">
        <f ca="1"/>
        <v>Space_5_damper_position_sensor</v>
      </c>
      <c r="AP47" t="str">
        <f t="shared" si="0"/>
        <v/>
      </c>
      <c r="AQ47" t="str">
        <f t="shared" si="1"/>
        <v/>
      </c>
      <c r="AR47" t="str">
        <f t="shared" si="2"/>
        <v/>
      </c>
      <c r="AS47" t="str">
        <f t="shared" si="3"/>
        <v/>
      </c>
    </row>
    <row r="48" spans="5:45" x14ac:dyDescent="0.25">
      <c r="E48" t="str">
        <f ca="1"/>
        <v/>
      </c>
      <c r="F48" t="str">
        <f ca="1"/>
        <v/>
      </c>
      <c r="G48" t="str">
        <f ca="1"/>
        <v>Space_1_space_heater</v>
      </c>
      <c r="P48" cm="1">
        <f t="array" ref="P48">INDEX($B$2:$D$40,MOD(ROW()-ROW($B$2),ROWS($B$2:$D$40))+1,INT((ROW()-ROW($B$2))/ROWS($B$2:$D$40))+1)</f>
        <v>0</v>
      </c>
      <c r="Q48" t="e">
        <f t="shared" ca="1" si="4"/>
        <v>#N/A</v>
      </c>
      <c r="R48" t="str" cm="1">
        <f t="array" aca="1" ref="R48" ca="1">IFERROR(INDIRECT("$P"&amp;Q48),"")</f>
        <v/>
      </c>
      <c r="U48" cm="1">
        <f t="array" ref="U48">INDEX($C$2:$D$40,MOD(ROW()-ROW($C$2),ROWS($C$2:$D$40))+1,INT((ROW()-ROW($C$2))/ROWS($C$2:$D$40))+1)</f>
        <v>0</v>
      </c>
      <c r="V48" t="e">
        <f t="shared" ca="1" si="5"/>
        <v>#N/A</v>
      </c>
      <c r="W48" t="str" cm="1">
        <f t="array" aca="1" ref="W48" ca="1">IFERROR(INDIRECT("$U"&amp;V48),"")</f>
        <v/>
      </c>
      <c r="Z48" t="str" cm="1">
        <f t="array" aca="1" ref="Z48" ca="1">INDEX($AE$2:$AS$40,MOD(ROW()-ROW($AE$2),ROWS($AE$2:$AS$40))+1,INT((ROW()-ROW($AE$2))/ROWS($AE$2:$AS$40))+1)</f>
        <v>Space_12_room_exhaust_damper</v>
      </c>
      <c r="AA48">
        <f t="shared" ca="1" si="6"/>
        <v>90</v>
      </c>
      <c r="AB48" t="str" cm="1">
        <f t="array" aca="1" ref="AB48" ca="1">IFERROR(INDIRECT("$Z"&amp;AA48),"")</f>
        <v>Space_1_space_heater</v>
      </c>
      <c r="AM48" t="str">
        <f ca="1"/>
        <v>Space_5_temperature_sensor</v>
      </c>
      <c r="AP48" t="str">
        <f t="shared" si="0"/>
        <v/>
      </c>
      <c r="AQ48" t="str">
        <f t="shared" si="1"/>
        <v/>
      </c>
      <c r="AR48" t="str">
        <f t="shared" si="2"/>
        <v/>
      </c>
      <c r="AS48" t="str">
        <f t="shared" si="3"/>
        <v/>
      </c>
    </row>
    <row r="49" spans="5:45" x14ac:dyDescent="0.25">
      <c r="E49" t="str">
        <f ca="1"/>
        <v/>
      </c>
      <c r="F49" t="str">
        <f ca="1"/>
        <v/>
      </c>
      <c r="G49" t="str">
        <f ca="1"/>
        <v>Space_4_space_heater_added</v>
      </c>
      <c r="P49" cm="1">
        <f t="array" ref="P49">INDEX($B$2:$D$40,MOD(ROW()-ROW($B$2),ROWS($B$2:$D$40))+1,INT((ROW()-ROW($B$2))/ROWS($B$2:$D$40))+1)</f>
        <v>0</v>
      </c>
      <c r="Q49" t="e">
        <f t="shared" ca="1" si="4"/>
        <v>#N/A</v>
      </c>
      <c r="R49" t="str" cm="1">
        <f t="array" aca="1" ref="R49" ca="1">IFERROR(INDIRECT("$P"&amp;Q49),"")</f>
        <v/>
      </c>
      <c r="U49" cm="1">
        <f t="array" ref="U49">INDEX($C$2:$D$40,MOD(ROW()-ROW($C$2),ROWS($C$2:$D$40))+1,INT((ROW()-ROW($C$2))/ROWS($C$2:$D$40))+1)</f>
        <v>0</v>
      </c>
      <c r="V49" t="e">
        <f t="shared" ca="1" si="5"/>
        <v>#N/A</v>
      </c>
      <c r="W49" t="str" cm="1">
        <f t="array" aca="1" ref="W49" ca="1">IFERROR(INDIRECT("$U"&amp;V49),"")</f>
        <v/>
      </c>
      <c r="Z49" t="str" cm="1">
        <f t="array" aca="1" ref="Z49" ca="1">INDEX($AE$2:$AS$40,MOD(ROW()-ROW($AE$2),ROWS($AE$2:$AS$40))+1,INT((ROW()-ROW($AE$2))/ROWS($AE$2:$AS$40))+1)</f>
        <v>Space_7_room_supply_damper</v>
      </c>
      <c r="AA49">
        <f t="shared" ca="1" si="6"/>
        <v>91</v>
      </c>
      <c r="AB49" t="str" cm="1">
        <f t="array" aca="1" ref="AB49" ca="1">IFERROR(INDIRECT("$Z"&amp;AA49),"")</f>
        <v>Space_4_space_heater_added</v>
      </c>
      <c r="AM49" t="str">
        <f ca="1"/>
        <v>Space_5_valve_position_sensor</v>
      </c>
      <c r="AP49" t="str">
        <f t="shared" si="0"/>
        <v/>
      </c>
      <c r="AQ49" t="str">
        <f t="shared" si="1"/>
        <v/>
      </c>
      <c r="AR49" t="str">
        <f t="shared" si="2"/>
        <v/>
      </c>
      <c r="AS49" t="str">
        <f t="shared" si="3"/>
        <v/>
      </c>
    </row>
    <row r="50" spans="5:45" x14ac:dyDescent="0.25">
      <c r="E50" t="str">
        <f ca="1"/>
        <v/>
      </c>
      <c r="F50" t="str">
        <f ca="1"/>
        <v/>
      </c>
      <c r="G50" t="str">
        <f ca="1"/>
        <v>Space_9_space_heater_valve</v>
      </c>
      <c r="P50" cm="1">
        <f t="array" ref="P50">INDEX($B$2:$D$40,MOD(ROW()-ROW($B$2),ROWS($B$2:$D$40))+1,INT((ROW()-ROW($B$2))/ROWS($B$2:$D$40))+1)</f>
        <v>0</v>
      </c>
      <c r="Q50" t="e">
        <f t="shared" ca="1" si="4"/>
        <v>#N/A</v>
      </c>
      <c r="R50" t="str" cm="1">
        <f t="array" aca="1" ref="R50" ca="1">IFERROR(INDIRECT("$P"&amp;Q50),"")</f>
        <v/>
      </c>
      <c r="U50" cm="1">
        <f t="array" ref="U50">INDEX($C$2:$D$40,MOD(ROW()-ROW($C$2),ROWS($C$2:$D$40))+1,INT((ROW()-ROW($C$2))/ROWS($C$2:$D$40))+1)</f>
        <v>0</v>
      </c>
      <c r="V50" t="e">
        <f t="shared" ca="1" si="5"/>
        <v>#N/A</v>
      </c>
      <c r="W50" t="str" cm="1">
        <f t="array" aca="1" ref="W50" ca="1">IFERROR(INDIRECT("$U"&amp;V50),"")</f>
        <v/>
      </c>
      <c r="Z50" t="str" cm="1">
        <f t="array" aca="1" ref="Z50" ca="1">INDEX($AE$2:$AS$40,MOD(ROW()-ROW($AE$2),ROWS($AE$2:$AS$40))+1,INT((ROW()-ROW($AE$2))/ROWS($AE$2:$AS$40))+1)</f>
        <v>Space_7_room_exhaust_damper</v>
      </c>
      <c r="AA50">
        <f t="shared" ca="1" si="6"/>
        <v>119</v>
      </c>
      <c r="AB50" t="str" cm="1">
        <f t="array" aca="1" ref="AB50" ca="1">IFERROR(INDIRECT("$Z"&amp;AA50),"")</f>
        <v>Space_9_space_heater_valve</v>
      </c>
      <c r="AM50" t="str">
        <f ca="1"/>
        <v>Space_4_co2_sensor</v>
      </c>
      <c r="AP50" t="str">
        <f t="shared" si="0"/>
        <v/>
      </c>
      <c r="AQ50" t="str">
        <f t="shared" si="1"/>
        <v/>
      </c>
      <c r="AR50" t="str">
        <f t="shared" si="2"/>
        <v/>
      </c>
      <c r="AS50" t="str">
        <f t="shared" si="3"/>
        <v/>
      </c>
    </row>
    <row r="51" spans="5:45" x14ac:dyDescent="0.25">
      <c r="E51" t="str">
        <f ca="1"/>
        <v/>
      </c>
      <c r="F51" t="str">
        <f ca="1"/>
        <v/>
      </c>
      <c r="G51" t="str">
        <f ca="1"/>
        <v>Space_10_space_heater_valve</v>
      </c>
      <c r="P51" cm="1">
        <f t="array" ref="P51">INDEX($B$2:$D$40,MOD(ROW()-ROW($B$2),ROWS($B$2:$D$40))+1,INT((ROW()-ROW($B$2))/ROWS($B$2:$D$40))+1)</f>
        <v>0</v>
      </c>
      <c r="Q51" t="e">
        <f t="shared" ca="1" si="4"/>
        <v>#N/A</v>
      </c>
      <c r="R51" t="str" cm="1">
        <f t="array" aca="1" ref="R51" ca="1">IFERROR(INDIRECT("$P"&amp;Q51),"")</f>
        <v/>
      </c>
      <c r="U51" cm="1">
        <f t="array" ref="U51">INDEX($C$2:$D$40,MOD(ROW()-ROW($C$2),ROWS($C$2:$D$40))+1,INT((ROW()-ROW($C$2))/ROWS($C$2:$D$40))+1)</f>
        <v>0</v>
      </c>
      <c r="V51" t="e">
        <f t="shared" ca="1" si="5"/>
        <v>#N/A</v>
      </c>
      <c r="W51" t="str" cm="1">
        <f t="array" aca="1" ref="W51" ca="1">IFERROR(INDIRECT("$U"&amp;V51),"")</f>
        <v/>
      </c>
      <c r="Z51" t="str" cm="1">
        <f t="array" aca="1" ref="Z51" ca="1">INDEX($AE$2:$AS$40,MOD(ROW()-ROW($AE$2),ROWS($AE$2:$AS$40))+1,INT((ROW()-ROW($AE$2))/ROWS($AE$2:$AS$40))+1)</f>
        <v>Space_6_room_supply_damper</v>
      </c>
      <c r="AA51">
        <f t="shared" ca="1" si="6"/>
        <v>120</v>
      </c>
      <c r="AB51" t="str" cm="1">
        <f t="array" aca="1" ref="AB51" ca="1">IFERROR(INDIRECT("$Z"&amp;AA51),"")</f>
        <v>Space_10_space_heater_valve</v>
      </c>
      <c r="AM51" t="str">
        <f ca="1"/>
        <v>Space_4_damper_position_sensor</v>
      </c>
      <c r="AP51" t="str">
        <f t="shared" si="0"/>
        <v/>
      </c>
      <c r="AQ51" t="str">
        <f t="shared" si="1"/>
        <v/>
      </c>
      <c r="AR51" t="str">
        <f t="shared" si="2"/>
        <v/>
      </c>
      <c r="AS51" t="str">
        <f t="shared" si="3"/>
        <v/>
      </c>
    </row>
    <row r="52" spans="5:45" x14ac:dyDescent="0.25">
      <c r="E52" t="str">
        <f ca="1"/>
        <v/>
      </c>
      <c r="F52" t="str">
        <f ca="1"/>
        <v/>
      </c>
      <c r="G52" t="str">
        <f ca="1"/>
        <v>Space_11_space_heater_valve</v>
      </c>
      <c r="P52" cm="1">
        <f t="array" ref="P52">INDEX($B$2:$D$40,MOD(ROW()-ROW($B$2),ROWS($B$2:$D$40))+1,INT((ROW()-ROW($B$2))/ROWS($B$2:$D$40))+1)</f>
        <v>0</v>
      </c>
      <c r="Q52" t="e">
        <f t="shared" ca="1" si="4"/>
        <v>#N/A</v>
      </c>
      <c r="R52" t="str" cm="1">
        <f t="array" aca="1" ref="R52" ca="1">IFERROR(INDIRECT("$P"&amp;Q52),"")</f>
        <v/>
      </c>
      <c r="U52" cm="1">
        <f t="array" ref="U52">INDEX($C$2:$D$40,MOD(ROW()-ROW($C$2),ROWS($C$2:$D$40))+1,INT((ROW()-ROW($C$2))/ROWS($C$2:$D$40))+1)</f>
        <v>0</v>
      </c>
      <c r="V52" t="e">
        <f t="shared" ca="1" si="5"/>
        <v>#N/A</v>
      </c>
      <c r="W52" t="str" cm="1">
        <f t="array" aca="1" ref="W52" ca="1">IFERROR(INDIRECT("$U"&amp;V52),"")</f>
        <v/>
      </c>
      <c r="Z52" t="str" cm="1">
        <f t="array" aca="1" ref="Z52" ca="1">INDEX($AE$2:$AS$40,MOD(ROW()-ROW($AE$2),ROWS($AE$2:$AS$40))+1,INT((ROW()-ROW($AE$2))/ROWS($AE$2:$AS$40))+1)</f>
        <v>Space_6_room_exhaust_damper</v>
      </c>
      <c r="AA52">
        <f t="shared" ca="1" si="6"/>
        <v>121</v>
      </c>
      <c r="AB52" t="str" cm="1">
        <f t="array" aca="1" ref="AB52" ca="1">IFERROR(INDIRECT("$Z"&amp;AA52),"")</f>
        <v>Space_11_space_heater_valve</v>
      </c>
      <c r="AM52" t="str">
        <f ca="1"/>
        <v>Space_4_temperature_sensor</v>
      </c>
      <c r="AP52" t="str">
        <f t="shared" si="0"/>
        <v/>
      </c>
      <c r="AQ52" t="str">
        <f t="shared" si="1"/>
        <v/>
      </c>
      <c r="AR52" t="str">
        <f t="shared" si="2"/>
        <v/>
      </c>
      <c r="AS52" t="str">
        <f t="shared" si="3"/>
        <v/>
      </c>
    </row>
    <row r="53" spans="5:45" x14ac:dyDescent="0.25">
      <c r="E53" t="str">
        <f ca="1"/>
        <v/>
      </c>
      <c r="F53" t="str">
        <f ca="1"/>
        <v/>
      </c>
      <c r="G53" t="str">
        <f ca="1"/>
        <v>Space_12_space_heater_valve</v>
      </c>
      <c r="P53" cm="1">
        <f t="array" ref="P53">INDEX($B$2:$D$40,MOD(ROW()-ROW($B$2),ROWS($B$2:$D$40))+1,INT((ROW()-ROW($B$2))/ROWS($B$2:$D$40))+1)</f>
        <v>0</v>
      </c>
      <c r="Q53" t="e">
        <f t="shared" ca="1" si="4"/>
        <v>#N/A</v>
      </c>
      <c r="R53" t="str" cm="1">
        <f t="array" aca="1" ref="R53" ca="1">IFERROR(INDIRECT("$P"&amp;Q53),"")</f>
        <v/>
      </c>
      <c r="U53" cm="1">
        <f t="array" ref="U53">INDEX($C$2:$D$40,MOD(ROW()-ROW($C$2),ROWS($C$2:$D$40))+1,INT((ROW()-ROW($C$2))/ROWS($C$2:$D$40))+1)</f>
        <v>0</v>
      </c>
      <c r="V53" t="e">
        <f t="shared" ca="1" si="5"/>
        <v>#N/A</v>
      </c>
      <c r="W53" t="str" cm="1">
        <f t="array" aca="1" ref="W53" ca="1">IFERROR(INDIRECT("$U"&amp;V53),"")</f>
        <v/>
      </c>
      <c r="Z53" t="str" cm="1">
        <f t="array" aca="1" ref="Z53" ca="1">INDEX($AE$2:$AS$40,MOD(ROW()-ROW($AE$2),ROWS($AE$2:$AS$40))+1,INT((ROW()-ROW($AE$2))/ROWS($AE$2:$AS$40))+1)</f>
        <v>Space_8_room_supply_damper</v>
      </c>
      <c r="AA53">
        <f t="shared" ca="1" si="6"/>
        <v>122</v>
      </c>
      <c r="AB53" t="str" cm="1">
        <f t="array" aca="1" ref="AB53" ca="1">IFERROR(INDIRECT("$Z"&amp;AA53),"")</f>
        <v>Space_12_space_heater_valve</v>
      </c>
      <c r="AM53" t="str">
        <f ca="1"/>
        <v>Space_4_valve_position_sensor</v>
      </c>
      <c r="AP53" t="str">
        <f t="shared" si="0"/>
        <v/>
      </c>
      <c r="AQ53" t="str">
        <f t="shared" si="1"/>
        <v/>
      </c>
      <c r="AR53" t="str">
        <f t="shared" si="2"/>
        <v/>
      </c>
      <c r="AS53" t="str">
        <f t="shared" si="3"/>
        <v/>
      </c>
    </row>
    <row r="54" spans="5:45" x14ac:dyDescent="0.25">
      <c r="E54" t="str">
        <f ca="1"/>
        <v/>
      </c>
      <c r="F54" t="str">
        <f ca="1"/>
        <v/>
      </c>
      <c r="G54" t="str">
        <f ca="1"/>
        <v>Space_7_space_heater_valve</v>
      </c>
      <c r="P54" cm="1">
        <f t="array" ref="P54">INDEX($B$2:$D$40,MOD(ROW()-ROW($B$2),ROWS($B$2:$D$40))+1,INT((ROW()-ROW($B$2))/ROWS($B$2:$D$40))+1)</f>
        <v>0</v>
      </c>
      <c r="Q54" t="e">
        <f t="shared" ca="1" si="4"/>
        <v>#N/A</v>
      </c>
      <c r="R54" t="str" cm="1">
        <f t="array" aca="1" ref="R54" ca="1">IFERROR(INDIRECT("$P"&amp;Q54),"")</f>
        <v/>
      </c>
      <c r="U54" cm="1">
        <f t="array" ref="U54">INDEX($C$2:$D$40,MOD(ROW()-ROW($C$2),ROWS($C$2:$D$40))+1,INT((ROW()-ROW($C$2))/ROWS($C$2:$D$40))+1)</f>
        <v>0</v>
      </c>
      <c r="V54" t="e">
        <f t="shared" ca="1" si="5"/>
        <v>#N/A</v>
      </c>
      <c r="W54" t="str" cm="1">
        <f t="array" aca="1" ref="W54" ca="1">IFERROR(INDIRECT("$U"&amp;V54),"")</f>
        <v/>
      </c>
      <c r="Z54" t="str" cm="1">
        <f t="array" aca="1" ref="Z54" ca="1">INDEX($AE$2:$AS$40,MOD(ROW()-ROW($AE$2),ROWS($AE$2:$AS$40))+1,INT((ROW()-ROW($AE$2))/ROWS($AE$2:$AS$40))+1)</f>
        <v>Space_8_room_exhaust_damper</v>
      </c>
      <c r="AA54">
        <f t="shared" ca="1" si="6"/>
        <v>123</v>
      </c>
      <c r="AB54" t="str" cm="1">
        <f t="array" aca="1" ref="AB54" ca="1">IFERROR(INDIRECT("$Z"&amp;AA54),"")</f>
        <v>Space_7_space_heater_valve</v>
      </c>
      <c r="AM54" t="str">
        <f ca="1"/>
        <v>Space_2_damper_position_sensor</v>
      </c>
      <c r="AP54" t="str">
        <f t="shared" si="0"/>
        <v/>
      </c>
      <c r="AQ54" t="str">
        <f t="shared" si="1"/>
        <v/>
      </c>
      <c r="AR54" t="str">
        <f t="shared" si="2"/>
        <v/>
      </c>
      <c r="AS54" t="str">
        <f t="shared" si="3"/>
        <v/>
      </c>
    </row>
    <row r="55" spans="5:45" x14ac:dyDescent="0.25">
      <c r="E55" t="str">
        <f ca="1"/>
        <v/>
      </c>
      <c r="F55" t="str">
        <f ca="1"/>
        <v/>
      </c>
      <c r="G55" t="str">
        <f ca="1"/>
        <v>Space_6_space_heater_valve</v>
      </c>
      <c r="P55" cm="1">
        <f t="array" ref="P55">INDEX($B$2:$D$40,MOD(ROW()-ROW($B$2),ROWS($B$2:$D$40))+1,INT((ROW()-ROW($B$2))/ROWS($B$2:$D$40))+1)</f>
        <v>0</v>
      </c>
      <c r="Q55" t="e">
        <f t="shared" ca="1" si="4"/>
        <v>#N/A</v>
      </c>
      <c r="R55" t="str" cm="1">
        <f t="array" aca="1" ref="R55" ca="1">IFERROR(INDIRECT("$P"&amp;Q55),"")</f>
        <v/>
      </c>
      <c r="U55" cm="1">
        <f t="array" ref="U55">INDEX($C$2:$D$40,MOD(ROW()-ROW($C$2),ROWS($C$2:$D$40))+1,INT((ROW()-ROW($C$2))/ROWS($C$2:$D$40))+1)</f>
        <v>0</v>
      </c>
      <c r="V55" t="e">
        <f t="shared" ca="1" si="5"/>
        <v>#N/A</v>
      </c>
      <c r="W55" t="str" cm="1">
        <f t="array" aca="1" ref="W55" ca="1">IFERROR(INDIRECT("$U"&amp;V55),"")</f>
        <v/>
      </c>
      <c r="Z55" t="str" cm="1">
        <f t="array" aca="1" ref="Z55" ca="1">INDEX($AE$2:$AS$40,MOD(ROW()-ROW($AE$2),ROWS($AE$2:$AS$40))+1,INT((ROW()-ROW($AE$2))/ROWS($AE$2:$AS$40))+1)</f>
        <v>Space_3_room_supply_damper</v>
      </c>
      <c r="AA55">
        <f t="shared" ca="1" si="6"/>
        <v>124</v>
      </c>
      <c r="AB55" t="str" cm="1">
        <f t="array" aca="1" ref="AB55" ca="1">IFERROR(INDIRECT("$Z"&amp;AA55),"")</f>
        <v>Space_6_space_heater_valve</v>
      </c>
      <c r="AM55" t="str">
        <f ca="1"/>
        <v>Space_2_temperature_sensor</v>
      </c>
      <c r="AP55" t="str">
        <f t="shared" si="0"/>
        <v/>
      </c>
      <c r="AQ55" t="str">
        <f t="shared" si="1"/>
        <v/>
      </c>
      <c r="AR55" t="str">
        <f t="shared" si="2"/>
        <v/>
      </c>
      <c r="AS55" t="str">
        <f t="shared" si="3"/>
        <v/>
      </c>
    </row>
    <row r="56" spans="5:45" x14ac:dyDescent="0.25">
      <c r="E56" t="str">
        <f ca="1"/>
        <v/>
      </c>
      <c r="F56" t="str">
        <f ca="1"/>
        <v/>
      </c>
      <c r="G56" t="str">
        <f ca="1"/>
        <v>Space_8_space_heater_valve</v>
      </c>
      <c r="P56" cm="1">
        <f t="array" ref="P56">INDEX($B$2:$D$40,MOD(ROW()-ROW($B$2),ROWS($B$2:$D$40))+1,INT((ROW()-ROW($B$2))/ROWS($B$2:$D$40))+1)</f>
        <v>0</v>
      </c>
      <c r="Q56" t="e">
        <f t="shared" ca="1" si="4"/>
        <v>#N/A</v>
      </c>
      <c r="R56" t="str" cm="1">
        <f t="array" aca="1" ref="R56" ca="1">IFERROR(INDIRECT("$P"&amp;Q56),"")</f>
        <v/>
      </c>
      <c r="U56" cm="1">
        <f t="array" ref="U56">INDEX($C$2:$D$40,MOD(ROW()-ROW($C$2),ROWS($C$2:$D$40))+1,INT((ROW()-ROW($C$2))/ROWS($C$2:$D$40))+1)</f>
        <v>0</v>
      </c>
      <c r="V56" t="e">
        <f t="shared" ca="1" si="5"/>
        <v>#N/A</v>
      </c>
      <c r="W56" t="str" cm="1">
        <f t="array" aca="1" ref="W56" ca="1">IFERROR(INDIRECT("$U"&amp;V56),"")</f>
        <v/>
      </c>
      <c r="Z56" t="str" cm="1">
        <f t="array" aca="1" ref="Z56" ca="1">INDEX($AE$2:$AS$40,MOD(ROW()-ROW($AE$2),ROWS($AE$2:$AS$40))+1,INT((ROW()-ROW($AE$2))/ROWS($AE$2:$AS$40))+1)</f>
        <v>Space_3_room_exhaust_damper</v>
      </c>
      <c r="AA56">
        <f t="shared" ca="1" si="6"/>
        <v>125</v>
      </c>
      <c r="AB56" t="str" cm="1">
        <f t="array" aca="1" ref="AB56" ca="1">IFERROR(INDIRECT("$Z"&amp;AA56),"")</f>
        <v>Space_8_space_heater_valve</v>
      </c>
      <c r="AM56" t="str">
        <f ca="1"/>
        <v>Space_1_co2_sensor</v>
      </c>
      <c r="AP56" t="str">
        <f t="shared" si="0"/>
        <v/>
      </c>
      <c r="AQ56" t="str">
        <f t="shared" si="1"/>
        <v/>
      </c>
      <c r="AR56" t="str">
        <f t="shared" si="2"/>
        <v/>
      </c>
      <c r="AS56" t="str">
        <f t="shared" si="3"/>
        <v/>
      </c>
    </row>
    <row r="57" spans="5:45" x14ac:dyDescent="0.25">
      <c r="E57" t="str">
        <f ca="1"/>
        <v/>
      </c>
      <c r="F57" t="str">
        <f ca="1"/>
        <v/>
      </c>
      <c r="G57" t="str">
        <f ca="1"/>
        <v>Space_3_space_heater_valve</v>
      </c>
      <c r="P57" cm="1">
        <f t="array" ref="P57">INDEX($B$2:$D$40,MOD(ROW()-ROW($B$2),ROWS($B$2:$D$40))+1,INT((ROW()-ROW($B$2))/ROWS($B$2:$D$40))+1)</f>
        <v>0</v>
      </c>
      <c r="Q57" t="e">
        <f t="shared" ca="1" si="4"/>
        <v>#N/A</v>
      </c>
      <c r="R57" t="str" cm="1">
        <f t="array" aca="1" ref="R57" ca="1">IFERROR(INDIRECT("$P"&amp;Q57),"")</f>
        <v/>
      </c>
      <c r="U57" cm="1">
        <f t="array" ref="U57">INDEX($C$2:$D$40,MOD(ROW()-ROW($C$2),ROWS($C$2:$D$40))+1,INT((ROW()-ROW($C$2))/ROWS($C$2:$D$40))+1)</f>
        <v>0</v>
      </c>
      <c r="V57" t="e">
        <f t="shared" ca="1" si="5"/>
        <v>#N/A</v>
      </c>
      <c r="W57" t="str" cm="1">
        <f t="array" aca="1" ref="W57" ca="1">IFERROR(INDIRECT("$U"&amp;V57),"")</f>
        <v/>
      </c>
      <c r="Z57" t="str" cm="1">
        <f t="array" aca="1" ref="Z57" ca="1">INDEX($AE$2:$AS$40,MOD(ROW()-ROW($AE$2),ROWS($AE$2:$AS$40))+1,INT((ROW()-ROW($AE$2))/ROWS($AE$2:$AS$40))+1)</f>
        <v>Space_5_room_supply_damper</v>
      </c>
      <c r="AA57">
        <f t="shared" ca="1" si="6"/>
        <v>126</v>
      </c>
      <c r="AB57" t="str" cm="1">
        <f t="array" aca="1" ref="AB57" ca="1">IFERROR(INDIRECT("$Z"&amp;AA57),"")</f>
        <v>Space_3_space_heater_valve</v>
      </c>
      <c r="AM57" t="str">
        <f ca="1"/>
        <v>Space_1_damper_position_sensor</v>
      </c>
      <c r="AP57" t="str">
        <f t="shared" si="0"/>
        <v/>
      </c>
      <c r="AQ57" t="str">
        <f t="shared" si="1"/>
        <v/>
      </c>
      <c r="AR57" t="str">
        <f t="shared" si="2"/>
        <v/>
      </c>
      <c r="AS57" t="str">
        <f t="shared" si="3"/>
        <v/>
      </c>
    </row>
    <row r="58" spans="5:45" x14ac:dyDescent="0.25">
      <c r="E58" t="str">
        <f ca="1"/>
        <v/>
      </c>
      <c r="F58" t="str">
        <f ca="1"/>
        <v/>
      </c>
      <c r="G58" t="str">
        <f ca="1"/>
        <v>Space_5_space_heater_valve</v>
      </c>
      <c r="P58" cm="1">
        <f t="array" ref="P58">INDEX($B$2:$D$40,MOD(ROW()-ROW($B$2),ROWS($B$2:$D$40))+1,INT((ROW()-ROW($B$2))/ROWS($B$2:$D$40))+1)</f>
        <v>0</v>
      </c>
      <c r="Q58" t="e">
        <f t="shared" ca="1" si="4"/>
        <v>#N/A</v>
      </c>
      <c r="R58" t="str" cm="1">
        <f t="array" aca="1" ref="R58" ca="1">IFERROR(INDIRECT("$P"&amp;Q58),"")</f>
        <v/>
      </c>
      <c r="U58" cm="1">
        <f t="array" ref="U58">INDEX($C$2:$D$40,MOD(ROW()-ROW($C$2),ROWS($C$2:$D$40))+1,INT((ROW()-ROW($C$2))/ROWS($C$2:$D$40))+1)</f>
        <v>0</v>
      </c>
      <c r="V58" t="e">
        <f t="shared" ca="1" si="5"/>
        <v>#N/A</v>
      </c>
      <c r="W58" t="str" cm="1">
        <f t="array" aca="1" ref="W58" ca="1">IFERROR(INDIRECT("$U"&amp;V58),"")</f>
        <v/>
      </c>
      <c r="Z58" t="str" cm="1">
        <f t="array" aca="1" ref="Z58" ca="1">INDEX($AE$2:$AS$40,MOD(ROW()-ROW($AE$2),ROWS($AE$2:$AS$40))+1,INT((ROW()-ROW($AE$2))/ROWS($AE$2:$AS$40))+1)</f>
        <v>Space_5_room_exhaust_damper</v>
      </c>
      <c r="AA58">
        <f t="shared" ca="1" si="6"/>
        <v>127</v>
      </c>
      <c r="AB58" t="str" cm="1">
        <f t="array" aca="1" ref="AB58" ca="1">IFERROR(INDIRECT("$Z"&amp;AA58),"")</f>
        <v>Space_5_space_heater_valve</v>
      </c>
      <c r="AM58" t="str">
        <f ca="1"/>
        <v>Space_1_temperature_sensor</v>
      </c>
      <c r="AP58" t="str">
        <f t="shared" si="0"/>
        <v/>
      </c>
      <c r="AQ58" t="str">
        <f t="shared" si="1"/>
        <v/>
      </c>
      <c r="AR58" t="str">
        <f t="shared" si="2"/>
        <v/>
      </c>
      <c r="AS58" t="str">
        <f t="shared" si="3"/>
        <v/>
      </c>
    </row>
    <row r="59" spans="5:45" x14ac:dyDescent="0.25">
      <c r="E59" t="str">
        <f ca="1"/>
        <v/>
      </c>
      <c r="F59" t="str">
        <f ca="1"/>
        <v/>
      </c>
      <c r="G59" t="str">
        <f ca="1"/>
        <v>Space_4_space_heater_valve</v>
      </c>
      <c r="P59" cm="1">
        <f t="array" ref="P59">INDEX($B$2:$D$40,MOD(ROW()-ROW($B$2),ROWS($B$2:$D$40))+1,INT((ROW()-ROW($B$2))/ROWS($B$2:$D$40))+1)</f>
        <v>0</v>
      </c>
      <c r="Q59" t="e">
        <f t="shared" ca="1" si="4"/>
        <v>#N/A</v>
      </c>
      <c r="R59" t="str" cm="1">
        <f t="array" aca="1" ref="R59" ca="1">IFERROR(INDIRECT("$P"&amp;Q59),"")</f>
        <v/>
      </c>
      <c r="U59" cm="1">
        <f t="array" ref="U59">INDEX($C$2:$D$40,MOD(ROW()-ROW($C$2),ROWS($C$2:$D$40))+1,INT((ROW()-ROW($C$2))/ROWS($C$2:$D$40))+1)</f>
        <v>0</v>
      </c>
      <c r="V59" t="e">
        <f t="shared" ca="1" si="5"/>
        <v>#N/A</v>
      </c>
      <c r="W59" t="str" cm="1">
        <f t="array" aca="1" ref="W59" ca="1">IFERROR(INDIRECT("$U"&amp;V59),"")</f>
        <v/>
      </c>
      <c r="Z59" t="str" cm="1">
        <f t="array" aca="1" ref="Z59" ca="1">INDEX($AE$2:$AS$40,MOD(ROW()-ROW($AE$2),ROWS($AE$2:$AS$40))+1,INT((ROW()-ROW($AE$2))/ROWS($AE$2:$AS$40))+1)</f>
        <v>Space_4_room_supply_damper</v>
      </c>
      <c r="AA59">
        <f t="shared" ca="1" si="6"/>
        <v>128</v>
      </c>
      <c r="AB59" t="str" cm="1">
        <f t="array" aca="1" ref="AB59" ca="1">IFERROR(INDIRECT("$Z"&amp;AA59),"")</f>
        <v>Space_4_space_heater_valve</v>
      </c>
      <c r="AM59" t="str">
        <f ca="1"/>
        <v>Space_1_valve_position_sensor</v>
      </c>
      <c r="AP59" t="str">
        <f t="shared" si="0"/>
        <v/>
      </c>
      <c r="AQ59" t="str">
        <f t="shared" si="1"/>
        <v/>
      </c>
      <c r="AR59" t="str">
        <f t="shared" si="2"/>
        <v/>
      </c>
      <c r="AS59" t="str">
        <f t="shared" si="3"/>
        <v/>
      </c>
    </row>
    <row r="60" spans="5:45" x14ac:dyDescent="0.25">
      <c r="E60" t="str">
        <f ca="1"/>
        <v/>
      </c>
      <c r="F60" t="str">
        <f ca="1"/>
        <v/>
      </c>
      <c r="G60" t="str">
        <f ca="1"/>
        <v>Space_1_space_heater_valve</v>
      </c>
      <c r="P60" cm="1">
        <f t="array" ref="P60">INDEX($B$2:$D$40,MOD(ROW()-ROW($B$2),ROWS($B$2:$D$40))+1,INT((ROW()-ROW($B$2))/ROWS($B$2:$D$40))+1)</f>
        <v>0</v>
      </c>
      <c r="Q60" t="e">
        <f t="shared" ca="1" si="4"/>
        <v>#N/A</v>
      </c>
      <c r="R60" t="str" cm="1">
        <f t="array" aca="1" ref="R60" ca="1">IFERROR(INDIRECT("$P"&amp;Q60),"")</f>
        <v/>
      </c>
      <c r="U60" cm="1">
        <f t="array" ref="U60">INDEX($C$2:$D$40,MOD(ROW()-ROW($C$2),ROWS($C$2:$D$40))+1,INT((ROW()-ROW($C$2))/ROWS($C$2:$D$40))+1)</f>
        <v>0</v>
      </c>
      <c r="V60" t="e">
        <f t="shared" ca="1" si="5"/>
        <v>#N/A</v>
      </c>
      <c r="W60" t="str" cm="1">
        <f t="array" aca="1" ref="W60" ca="1">IFERROR(INDIRECT("$U"&amp;V60),"")</f>
        <v/>
      </c>
      <c r="Z60" t="str" cm="1">
        <f t="array" aca="1" ref="Z60" ca="1">INDEX($AE$2:$AS$40,MOD(ROW()-ROW($AE$2),ROWS($AE$2:$AS$40))+1,INT((ROW()-ROW($AE$2))/ROWS($AE$2:$AS$40))+1)</f>
        <v>Space_4_room_exhaust_damper</v>
      </c>
      <c r="AA60">
        <f t="shared" ca="1" si="6"/>
        <v>129</v>
      </c>
      <c r="AB60" t="str" cm="1">
        <f t="array" aca="1" ref="AB60" ca="1">IFERROR(INDIRECT("$Z"&amp;AA60),"")</f>
        <v>Space_1_space_heater_valve</v>
      </c>
      <c r="AP60" t="str">
        <f t="shared" si="0"/>
        <v/>
      </c>
      <c r="AQ60" t="str">
        <f t="shared" si="1"/>
        <v/>
      </c>
      <c r="AR60" t="str">
        <f t="shared" si="2"/>
        <v/>
      </c>
      <c r="AS60" t="str">
        <f t="shared" si="3"/>
        <v/>
      </c>
    </row>
    <row r="61" spans="5:45" x14ac:dyDescent="0.25">
      <c r="E61" t="str">
        <f ca="1"/>
        <v/>
      </c>
      <c r="F61" t="str">
        <f ca="1"/>
        <v/>
      </c>
      <c r="G61" t="str">
        <f ca="1"/>
        <v>Space_4_space_heater_valve_added</v>
      </c>
      <c r="P61" cm="1">
        <f t="array" ref="P61">INDEX($B$2:$D$40,MOD(ROW()-ROW($B$2),ROWS($B$2:$D$40))+1,INT((ROW()-ROW($B$2))/ROWS($B$2:$D$40))+1)</f>
        <v>0</v>
      </c>
      <c r="Q61" t="e">
        <f t="shared" ca="1" si="4"/>
        <v>#N/A</v>
      </c>
      <c r="R61" t="str" cm="1">
        <f t="array" aca="1" ref="R61" ca="1">IFERROR(INDIRECT("$P"&amp;Q61),"")</f>
        <v/>
      </c>
      <c r="U61" cm="1">
        <f t="array" ref="U61">INDEX($C$2:$D$40,MOD(ROW()-ROW($C$2),ROWS($C$2:$D$40))+1,INT((ROW()-ROW($C$2))/ROWS($C$2:$D$40))+1)</f>
        <v>0</v>
      </c>
      <c r="V61" t="e">
        <f t="shared" ca="1" si="5"/>
        <v>#N/A</v>
      </c>
      <c r="W61" t="str" cm="1">
        <f t="array" aca="1" ref="W61" ca="1">IFERROR(INDIRECT("$U"&amp;V61),"")</f>
        <v/>
      </c>
      <c r="Z61" t="str" cm="1">
        <f t="array" aca="1" ref="Z61" ca="1">INDEX($AE$2:$AS$40,MOD(ROW()-ROW($AE$2),ROWS($AE$2:$AS$40))+1,INT((ROW()-ROW($AE$2))/ROWS($AE$2:$AS$40))+1)</f>
        <v>Space_2_room_supply_damper</v>
      </c>
      <c r="AA61">
        <f t="shared" ca="1" si="6"/>
        <v>130</v>
      </c>
      <c r="AB61" t="str" cm="1">
        <f t="array" aca="1" ref="AB61" ca="1">IFERROR(INDIRECT("$Z"&amp;AA61),"")</f>
        <v>Space_4_space_heater_valve_added</v>
      </c>
      <c r="AP61" t="str">
        <f t="shared" si="0"/>
        <v/>
      </c>
      <c r="AQ61" t="str">
        <f t="shared" si="1"/>
        <v/>
      </c>
      <c r="AR61" t="str">
        <f t="shared" si="2"/>
        <v/>
      </c>
      <c r="AS61" t="str">
        <f t="shared" si="3"/>
        <v/>
      </c>
    </row>
    <row r="62" spans="5:45" x14ac:dyDescent="0.25">
      <c r="E62" t="str">
        <f ca="1"/>
        <v/>
      </c>
      <c r="F62" t="str">
        <f ca="1"/>
        <v/>
      </c>
      <c r="G62" t="str">
        <f ca="1"/>
        <v>cooling_coil</v>
      </c>
      <c r="P62" cm="1">
        <f t="array" ref="P62">INDEX($B$2:$D$40,MOD(ROW()-ROW($B$2),ROWS($B$2:$D$40))+1,INT((ROW()-ROW($B$2))/ROWS($B$2:$D$40))+1)</f>
        <v>0</v>
      </c>
      <c r="Q62" t="e">
        <f t="shared" ca="1" si="4"/>
        <v>#N/A</v>
      </c>
      <c r="R62" t="str" cm="1">
        <f t="array" aca="1" ref="R62" ca="1">IFERROR(INDIRECT("$P"&amp;Q62),"")</f>
        <v/>
      </c>
      <c r="U62" cm="1">
        <f t="array" ref="U62">INDEX($C$2:$D$40,MOD(ROW()-ROW($C$2),ROWS($C$2:$D$40))+1,INT((ROW()-ROW($C$2))/ROWS($C$2:$D$40))+1)</f>
        <v>0</v>
      </c>
      <c r="V62" t="e">
        <f t="shared" ca="1" si="5"/>
        <v>#N/A</v>
      </c>
      <c r="W62" t="str" cm="1">
        <f t="array" aca="1" ref="W62" ca="1">IFERROR(INDIRECT("$U"&amp;V62),"")</f>
        <v/>
      </c>
      <c r="Z62" t="str" cm="1">
        <f t="array" aca="1" ref="Z62" ca="1">INDEX($AE$2:$AS$40,MOD(ROW()-ROW($AE$2),ROWS($AE$2:$AS$40))+1,INT((ROW()-ROW($AE$2))/ROWS($AE$2:$AS$40))+1)</f>
        <v>Space_2_room_exhaust_damper</v>
      </c>
      <c r="AA62">
        <f t="shared" ca="1" si="6"/>
        <v>158</v>
      </c>
      <c r="AB62" t="str" cm="1">
        <f t="array" aca="1" ref="AB62" ca="1">IFERROR(INDIRECT("$Z"&amp;AA62),"")</f>
        <v>cooling_coil</v>
      </c>
      <c r="AP62" t="str">
        <f t="shared" si="0"/>
        <v/>
      </c>
      <c r="AQ62" t="str">
        <f t="shared" si="1"/>
        <v/>
      </c>
      <c r="AR62" t="str">
        <f t="shared" si="2"/>
        <v/>
      </c>
      <c r="AS62" t="str">
        <f t="shared" si="3"/>
        <v/>
      </c>
    </row>
    <row r="63" spans="5:45" x14ac:dyDescent="0.25">
      <c r="E63" t="str">
        <f ca="1"/>
        <v/>
      </c>
      <c r="F63" t="str">
        <f ca="1"/>
        <v/>
      </c>
      <c r="G63" t="str">
        <f ca="1"/>
        <v>heating_coil</v>
      </c>
      <c r="P63" cm="1">
        <f t="array" ref="P63">INDEX($B$2:$D$40,MOD(ROW()-ROW($B$2),ROWS($B$2:$D$40))+1,INT((ROW()-ROW($B$2))/ROWS($B$2:$D$40))+1)</f>
        <v>0</v>
      </c>
      <c r="Q63" t="e">
        <f t="shared" ca="1" si="4"/>
        <v>#N/A</v>
      </c>
      <c r="R63" t="str" cm="1">
        <f t="array" aca="1" ref="R63" ca="1">IFERROR(INDIRECT("$P"&amp;Q63),"")</f>
        <v/>
      </c>
      <c r="U63" cm="1">
        <f t="array" ref="U63">INDEX($C$2:$D$40,MOD(ROW()-ROW($C$2),ROWS($C$2:$D$40))+1,INT((ROW()-ROW($C$2))/ROWS($C$2:$D$40))+1)</f>
        <v>0</v>
      </c>
      <c r="V63" t="e">
        <f t="shared" ca="1" si="5"/>
        <v>#N/A</v>
      </c>
      <c r="W63" t="str" cm="1">
        <f t="array" aca="1" ref="W63" ca="1">IFERROR(INDIRECT("$U"&amp;V63),"")</f>
        <v/>
      </c>
      <c r="Z63" t="str" cm="1">
        <f t="array" aca="1" ref="Z63" ca="1">INDEX($AE$2:$AS$40,MOD(ROW()-ROW($AE$2),ROWS($AE$2:$AS$40))+1,INT((ROW()-ROW($AE$2))/ROWS($AE$2:$AS$40))+1)</f>
        <v>Space_1_room_supply_damper</v>
      </c>
      <c r="AA63">
        <f t="shared" ca="1" si="6"/>
        <v>159</v>
      </c>
      <c r="AB63" t="str" cm="1">
        <f t="array" aca="1" ref="AB63" ca="1">IFERROR(INDIRECT("$Z"&amp;AA63),"")</f>
        <v>heating_coil</v>
      </c>
      <c r="AP63" t="str">
        <f t="shared" si="0"/>
        <v/>
      </c>
      <c r="AQ63" t="str">
        <f t="shared" si="1"/>
        <v/>
      </c>
      <c r="AR63" t="str">
        <f t="shared" si="2"/>
        <v/>
      </c>
      <c r="AS63" t="str">
        <f t="shared" si="3"/>
        <v/>
      </c>
    </row>
    <row r="64" spans="5:45" x14ac:dyDescent="0.25">
      <c r="E64" t="str">
        <f ca="1"/>
        <v/>
      </c>
      <c r="F64" t="str">
        <f ca="1"/>
        <v/>
      </c>
      <c r="G64" t="str">
        <f ca="1"/>
        <v>HF04_heat_exchanger</v>
      </c>
      <c r="P64" cm="1">
        <f t="array" ref="P64">INDEX($B$2:$D$40,MOD(ROW()-ROW($B$2),ROWS($B$2:$D$40))+1,INT((ROW()-ROW($B$2))/ROWS($B$2:$D$40))+1)</f>
        <v>0</v>
      </c>
      <c r="Q64" t="e">
        <f t="shared" ca="1" si="4"/>
        <v>#N/A</v>
      </c>
      <c r="R64" t="str" cm="1">
        <f t="array" aca="1" ref="R64" ca="1">IFERROR(INDIRECT("$P"&amp;Q64),"")</f>
        <v/>
      </c>
      <c r="U64" cm="1">
        <f t="array" ref="U64">INDEX($C$2:$D$40,MOD(ROW()-ROW($C$2),ROWS($C$2:$D$40))+1,INT((ROW()-ROW($C$2))/ROWS($C$2:$D$40))+1)</f>
        <v>0</v>
      </c>
      <c r="V64" t="e">
        <f t="shared" ca="1" si="5"/>
        <v>#N/A</v>
      </c>
      <c r="W64" t="str" cm="1">
        <f t="array" aca="1" ref="W64" ca="1">IFERROR(INDIRECT("$U"&amp;V64),"")</f>
        <v/>
      </c>
      <c r="Z64" t="str" cm="1">
        <f t="array" aca="1" ref="Z64" ca="1">INDEX($AE$2:$AS$40,MOD(ROW()-ROW($AE$2),ROWS($AE$2:$AS$40))+1,INT((ROW()-ROW($AE$2))/ROWS($AE$2:$AS$40))+1)</f>
        <v>Space_1_room_exhaust_damper</v>
      </c>
      <c r="AA64">
        <f t="shared" ca="1" si="6"/>
        <v>197</v>
      </c>
      <c r="AB64" t="str" cm="1">
        <f t="array" aca="1" ref="AB64" ca="1">IFERROR(INDIRECT("$Z"&amp;AA64),"")</f>
        <v>HF04_heat_exchanger</v>
      </c>
      <c r="AP64" t="str">
        <f t="shared" si="0"/>
        <v/>
      </c>
      <c r="AQ64" t="str">
        <f t="shared" si="1"/>
        <v/>
      </c>
      <c r="AR64" t="str">
        <f t="shared" si="2"/>
        <v/>
      </c>
      <c r="AS64" t="str">
        <f t="shared" si="3"/>
        <v/>
      </c>
    </row>
    <row r="65" spans="5:45" x14ac:dyDescent="0.25">
      <c r="E65" t="str">
        <f ca="1"/>
        <v/>
      </c>
      <c r="F65" t="str">
        <f ca="1"/>
        <v/>
      </c>
      <c r="G65" t="str">
        <f ca="1"/>
        <v>supply_fan</v>
      </c>
      <c r="P65" cm="1">
        <f t="array" ref="P65">INDEX($B$2:$D$40,MOD(ROW()-ROW($B$2),ROWS($B$2:$D$40))+1,INT((ROW()-ROW($B$2))/ROWS($B$2:$D$40))+1)</f>
        <v>0</v>
      </c>
      <c r="Q65" t="e">
        <f t="shared" ca="1" si="4"/>
        <v>#N/A</v>
      </c>
      <c r="R65" t="str" cm="1">
        <f t="array" aca="1" ref="R65" ca="1">IFERROR(INDIRECT("$P"&amp;Q65),"")</f>
        <v/>
      </c>
      <c r="U65" cm="1">
        <f t="array" ref="U65">INDEX($C$2:$D$40,MOD(ROW()-ROW($C$2),ROWS($C$2:$D$40))+1,INT((ROW()-ROW($C$2))/ROWS($C$2:$D$40))+1)</f>
        <v>0</v>
      </c>
      <c r="V65" t="e">
        <f t="shared" ca="1" si="5"/>
        <v>#N/A</v>
      </c>
      <c r="W65" t="str" cm="1">
        <f t="array" aca="1" ref="W65" ca="1">IFERROR(INDIRECT("$U"&amp;V65),"")</f>
        <v/>
      </c>
      <c r="Z65" cm="1">
        <f t="array" ref="Z65">INDEX($AE$2:$AS$40,MOD(ROW()-ROW($AE$2),ROWS($AE$2:$AS$40))+1,INT((ROW()-ROW($AE$2))/ROWS($AE$2:$AS$40))+1)</f>
        <v>0</v>
      </c>
      <c r="AA65">
        <f t="shared" ca="1" si="6"/>
        <v>236</v>
      </c>
      <c r="AB65" t="str" cm="1">
        <f t="array" aca="1" ref="AB65" ca="1">IFERROR(INDIRECT("$Z"&amp;AA65),"")</f>
        <v>supply_fan</v>
      </c>
      <c r="AP65" t="str">
        <f t="shared" si="0"/>
        <v/>
      </c>
      <c r="AQ65" t="str">
        <f t="shared" si="1"/>
        <v/>
      </c>
      <c r="AR65" t="str">
        <f t="shared" si="2"/>
        <v/>
      </c>
      <c r="AS65" t="str">
        <f t="shared" si="3"/>
        <v/>
      </c>
    </row>
    <row r="66" spans="5:45" x14ac:dyDescent="0.25">
      <c r="E66" t="str">
        <f ca="1"/>
        <v/>
      </c>
      <c r="F66" t="str">
        <f ca="1"/>
        <v/>
      </c>
      <c r="G66" t="str">
        <f ca="1"/>
        <v>exhaust_fan</v>
      </c>
      <c r="P66" cm="1">
        <f t="array" ref="P66">INDEX($B$2:$D$40,MOD(ROW()-ROW($B$2),ROWS($B$2:$D$40))+1,INT((ROW()-ROW($B$2))/ROWS($B$2:$D$40))+1)</f>
        <v>0</v>
      </c>
      <c r="Q66" t="e">
        <f t="shared" ca="1" si="4"/>
        <v>#N/A</v>
      </c>
      <c r="R66" t="str" cm="1">
        <f t="array" aca="1" ref="R66" ca="1">IFERROR(INDIRECT("$P"&amp;Q66),"")</f>
        <v/>
      </c>
      <c r="U66" cm="1">
        <f t="array" ref="U66">INDEX($C$2:$D$40,MOD(ROW()-ROW($C$2),ROWS($C$2:$D$40))+1,INT((ROW()-ROW($C$2))/ROWS($C$2:$D$40))+1)</f>
        <v>0</v>
      </c>
      <c r="V66" t="e">
        <f t="shared" ca="1" si="5"/>
        <v>#N/A</v>
      </c>
      <c r="W66" t="str" cm="1">
        <f t="array" aca="1" ref="W66" ca="1">IFERROR(INDIRECT("$U"&amp;V66),"")</f>
        <v/>
      </c>
      <c r="Z66" cm="1">
        <f t="array" ref="Z66">INDEX($AE$2:$AS$40,MOD(ROW()-ROW($AE$2),ROWS($AE$2:$AS$40))+1,INT((ROW()-ROW($AE$2))/ROWS($AE$2:$AS$40))+1)</f>
        <v>0</v>
      </c>
      <c r="AA66">
        <f t="shared" ca="1" si="6"/>
        <v>237</v>
      </c>
      <c r="AB66" t="str" cm="1">
        <f t="array" aca="1" ref="AB66" ca="1">IFERROR(INDIRECT("$Z"&amp;AA66),"")</f>
        <v>exhaust_fan</v>
      </c>
      <c r="AP66" t="str">
        <f t="shared" si="0"/>
        <v/>
      </c>
      <c r="AQ66" t="str">
        <f t="shared" si="1"/>
        <v/>
      </c>
      <c r="AR66" t="str">
        <f t="shared" si="2"/>
        <v/>
      </c>
      <c r="AS66" t="str">
        <f t="shared" si="3"/>
        <v/>
      </c>
    </row>
    <row r="67" spans="5:45" x14ac:dyDescent="0.25">
      <c r="E67" t="str">
        <f ca="1"/>
        <v/>
      </c>
      <c r="F67" t="str">
        <f ca="1"/>
        <v/>
      </c>
      <c r="G67" t="str">
        <f ca="1"/>
        <v>Space_9_temperature_heating_controller</v>
      </c>
      <c r="P67" cm="1">
        <f t="array" ref="P67">INDEX($B$2:$D$40,MOD(ROW()-ROW($B$2),ROWS($B$2:$D$40))+1,INT((ROW()-ROW($B$2))/ROWS($B$2:$D$40))+1)</f>
        <v>0</v>
      </c>
      <c r="Q67" t="e">
        <f t="shared" ca="1" si="4"/>
        <v>#N/A</v>
      </c>
      <c r="R67" t="str" cm="1">
        <f t="array" aca="1" ref="R67" ca="1">IFERROR(INDIRECT("$P"&amp;Q67),"")</f>
        <v/>
      </c>
      <c r="U67" cm="1">
        <f t="array" ref="U67">INDEX($C$2:$D$40,MOD(ROW()-ROW($C$2),ROWS($C$2:$D$40))+1,INT((ROW()-ROW($C$2))/ROWS($C$2:$D$40))+1)</f>
        <v>0</v>
      </c>
      <c r="V67" t="e">
        <f t="shared" ca="1" si="5"/>
        <v>#N/A</v>
      </c>
      <c r="W67" t="str" cm="1">
        <f t="array" aca="1" ref="W67" ca="1">IFERROR(INDIRECT("$U"&amp;V67),"")</f>
        <v/>
      </c>
      <c r="Z67" cm="1">
        <f t="array" ref="Z67">INDEX($AE$2:$AS$40,MOD(ROW()-ROW($AE$2),ROWS($AE$2:$AS$40))+1,INT((ROW()-ROW($AE$2))/ROWS($AE$2:$AS$40))+1)</f>
        <v>0</v>
      </c>
      <c r="AA67">
        <f t="shared" ca="1" si="6"/>
        <v>275</v>
      </c>
      <c r="AB67" t="str" cm="1">
        <f t="array" aca="1" ref="AB67" ca="1">IFERROR(INDIRECT("$Z"&amp;AA67),"")</f>
        <v>Space_9_temperature_heating_controller</v>
      </c>
      <c r="AP67" t="str">
        <f t="shared" ref="AP67:AP130" si="7">IF(AI67&lt;&gt;"", _xlfn.CONCAT(AI67, " (airside)"), "")</f>
        <v/>
      </c>
      <c r="AQ67" t="str">
        <f t="shared" ref="AQ67:AQ130" si="8">IF(AI67&lt;&gt;"", _xlfn.CONCAT(AI67, " (waterside)"), "")</f>
        <v/>
      </c>
      <c r="AR67" t="str">
        <f t="shared" ref="AR67:AR130" si="9">IF(AJ67&lt;&gt;"", _xlfn.CONCAT(AJ67, " (supply)"), "")</f>
        <v/>
      </c>
      <c r="AS67" t="str">
        <f t="shared" ref="AS67:AS130" si="10">IF(AJ67&lt;&gt;"", _xlfn.CONCAT(AJ67, " (exhaust)"), "")</f>
        <v/>
      </c>
    </row>
    <row r="68" spans="5:45" x14ac:dyDescent="0.25">
      <c r="E68" t="str">
        <f ca="1"/>
        <v/>
      </c>
      <c r="F68" t="str">
        <f ca="1"/>
        <v/>
      </c>
      <c r="G68" t="str">
        <f ca="1"/>
        <v>Space_9_co2_controller</v>
      </c>
      <c r="P68" cm="1">
        <f t="array" ref="P68">INDEX($B$2:$D$40,MOD(ROW()-ROW($B$2),ROWS($B$2:$D$40))+1,INT((ROW()-ROW($B$2))/ROWS($B$2:$D$40))+1)</f>
        <v>0</v>
      </c>
      <c r="Q68" t="e">
        <f t="shared" ref="Q68:Q131" ca="1" si="11">MATCH("*",INDIRECT(ADDRESS(Q67+1,16,1)&amp;":$P$1000"),0)+Q67</f>
        <v>#N/A</v>
      </c>
      <c r="R68" t="str" cm="1">
        <f t="array" aca="1" ref="R68" ca="1">IFERROR(INDIRECT("$P"&amp;Q68),"")</f>
        <v/>
      </c>
      <c r="U68" cm="1">
        <f t="array" ref="U68">INDEX($C$2:$D$40,MOD(ROW()-ROW($C$2),ROWS($C$2:$D$40))+1,INT((ROW()-ROW($C$2))/ROWS($C$2:$D$40))+1)</f>
        <v>0</v>
      </c>
      <c r="V68" t="e">
        <f t="shared" ref="V68:V131" ca="1" si="12">MATCH("*",INDIRECT(ADDRESS(V67+1,21,1)&amp;":$U$1000"),0)+V67</f>
        <v>#N/A</v>
      </c>
      <c r="W68" t="str" cm="1">
        <f t="array" aca="1" ref="W68" ca="1">IFERROR(INDIRECT("$U"&amp;V68),"")</f>
        <v/>
      </c>
      <c r="Z68" cm="1">
        <f t="array" ref="Z68">INDEX($AE$2:$AS$40,MOD(ROW()-ROW($AE$2),ROWS($AE$2:$AS$40))+1,INT((ROW()-ROW($AE$2))/ROWS($AE$2:$AS$40))+1)</f>
        <v>0</v>
      </c>
      <c r="AA68">
        <f t="shared" ref="AA68:AA131" ca="1" si="13">MATCH("*",INDIRECT(ADDRESS(AA67+1,26,1)&amp;":$Z$1000"),0)+AA67</f>
        <v>276</v>
      </c>
      <c r="AB68" t="str" cm="1">
        <f t="array" aca="1" ref="AB68" ca="1">IFERROR(INDIRECT("$Z"&amp;AA68),"")</f>
        <v>Space_9_co2_controller</v>
      </c>
      <c r="AP68" t="str">
        <f t="shared" si="7"/>
        <v/>
      </c>
      <c r="AQ68" t="str">
        <f t="shared" si="8"/>
        <v/>
      </c>
      <c r="AR68" t="str">
        <f t="shared" si="9"/>
        <v/>
      </c>
      <c r="AS68" t="str">
        <f t="shared" si="10"/>
        <v/>
      </c>
    </row>
    <row r="69" spans="5:45" x14ac:dyDescent="0.25">
      <c r="E69" t="str">
        <f ca="1"/>
        <v/>
      </c>
      <c r="F69" t="str">
        <f ca="1"/>
        <v/>
      </c>
      <c r="G69" t="str">
        <f ca="1"/>
        <v>Space_10_temperature_heating_controller</v>
      </c>
      <c r="P69" cm="1">
        <f t="array" ref="P69">INDEX($B$2:$D$40,MOD(ROW()-ROW($B$2),ROWS($B$2:$D$40))+1,INT((ROW()-ROW($B$2))/ROWS($B$2:$D$40))+1)</f>
        <v>0</v>
      </c>
      <c r="Q69" t="e">
        <f t="shared" ca="1" si="11"/>
        <v>#N/A</v>
      </c>
      <c r="R69" t="str" cm="1">
        <f t="array" aca="1" ref="R69" ca="1">IFERROR(INDIRECT("$P"&amp;Q69),"")</f>
        <v/>
      </c>
      <c r="U69" cm="1">
        <f t="array" ref="U69">INDEX($C$2:$D$40,MOD(ROW()-ROW($C$2),ROWS($C$2:$D$40))+1,INT((ROW()-ROW($C$2))/ROWS($C$2:$D$40))+1)</f>
        <v>0</v>
      </c>
      <c r="V69" t="e">
        <f t="shared" ca="1" si="12"/>
        <v>#N/A</v>
      </c>
      <c r="W69" t="str" cm="1">
        <f t="array" aca="1" ref="W69" ca="1">IFERROR(INDIRECT("$U"&amp;V69),"")</f>
        <v/>
      </c>
      <c r="Z69" cm="1">
        <f t="array" ref="Z69">INDEX($AE$2:$AS$40,MOD(ROW()-ROW($AE$2),ROWS($AE$2:$AS$40))+1,INT((ROW()-ROW($AE$2))/ROWS($AE$2:$AS$40))+1)</f>
        <v>0</v>
      </c>
      <c r="AA69">
        <f t="shared" ca="1" si="13"/>
        <v>277</v>
      </c>
      <c r="AB69" t="str" cm="1">
        <f t="array" aca="1" ref="AB69" ca="1">IFERROR(INDIRECT("$Z"&amp;AA69),"")</f>
        <v>Space_10_temperature_heating_controller</v>
      </c>
      <c r="AP69" t="str">
        <f t="shared" si="7"/>
        <v/>
      </c>
      <c r="AQ69" t="str">
        <f t="shared" si="8"/>
        <v/>
      </c>
      <c r="AR69" t="str">
        <f t="shared" si="9"/>
        <v/>
      </c>
      <c r="AS69" t="str">
        <f t="shared" si="10"/>
        <v/>
      </c>
    </row>
    <row r="70" spans="5:45" x14ac:dyDescent="0.25">
      <c r="E70" t="str">
        <f ca="1"/>
        <v/>
      </c>
      <c r="F70" t="str">
        <f ca="1"/>
        <v/>
      </c>
      <c r="G70" t="str">
        <f ca="1"/>
        <v>Space_10_co2_controller</v>
      </c>
      <c r="P70" cm="1">
        <f t="array" ref="P70">INDEX($B$2:$D$40,MOD(ROW()-ROW($B$2),ROWS($B$2:$D$40))+1,INT((ROW()-ROW($B$2))/ROWS($B$2:$D$40))+1)</f>
        <v>0</v>
      </c>
      <c r="Q70" t="e">
        <f t="shared" ca="1" si="11"/>
        <v>#N/A</v>
      </c>
      <c r="R70" t="str" cm="1">
        <f t="array" aca="1" ref="R70" ca="1">IFERROR(INDIRECT("$P"&amp;Q70),"")</f>
        <v/>
      </c>
      <c r="U70" cm="1">
        <f t="array" ref="U70">INDEX($C$2:$D$40,MOD(ROW()-ROW($C$2),ROWS($C$2:$D$40))+1,INT((ROW()-ROW($C$2))/ROWS($C$2:$D$40))+1)</f>
        <v>0</v>
      </c>
      <c r="V70" t="e">
        <f t="shared" ca="1" si="12"/>
        <v>#N/A</v>
      </c>
      <c r="W70" t="str" cm="1">
        <f t="array" aca="1" ref="W70" ca="1">IFERROR(INDIRECT("$U"&amp;V70),"")</f>
        <v/>
      </c>
      <c r="Z70" cm="1">
        <f t="array" ref="Z70">INDEX($AE$2:$AS$40,MOD(ROW()-ROW($AE$2),ROWS($AE$2:$AS$40))+1,INT((ROW()-ROW($AE$2))/ROWS($AE$2:$AS$40))+1)</f>
        <v>0</v>
      </c>
      <c r="AA70">
        <f t="shared" ca="1" si="13"/>
        <v>278</v>
      </c>
      <c r="AB70" t="str" cm="1">
        <f t="array" aca="1" ref="AB70" ca="1">IFERROR(INDIRECT("$Z"&amp;AA70),"")</f>
        <v>Space_10_co2_controller</v>
      </c>
      <c r="AP70" t="str">
        <f t="shared" si="7"/>
        <v/>
      </c>
      <c r="AQ70" t="str">
        <f t="shared" si="8"/>
        <v/>
      </c>
      <c r="AR70" t="str">
        <f t="shared" si="9"/>
        <v/>
      </c>
      <c r="AS70" t="str">
        <f t="shared" si="10"/>
        <v/>
      </c>
    </row>
    <row r="71" spans="5:45" x14ac:dyDescent="0.25">
      <c r="E71" t="str">
        <f ca="1"/>
        <v/>
      </c>
      <c r="F71" t="str">
        <f ca="1"/>
        <v/>
      </c>
      <c r="G71" t="str">
        <f ca="1"/>
        <v>Space_11_temperature_heating_controller</v>
      </c>
      <c r="P71" cm="1">
        <f t="array" ref="P71">INDEX($B$2:$D$40,MOD(ROW()-ROW($B$2),ROWS($B$2:$D$40))+1,INT((ROW()-ROW($B$2))/ROWS($B$2:$D$40))+1)</f>
        <v>0</v>
      </c>
      <c r="Q71" t="e">
        <f t="shared" ca="1" si="11"/>
        <v>#N/A</v>
      </c>
      <c r="R71" t="str" cm="1">
        <f t="array" aca="1" ref="R71" ca="1">IFERROR(INDIRECT("$P"&amp;Q71),"")</f>
        <v/>
      </c>
      <c r="U71" cm="1">
        <f t="array" ref="U71">INDEX($C$2:$D$40,MOD(ROW()-ROW($C$2),ROWS($C$2:$D$40))+1,INT((ROW()-ROW($C$2))/ROWS($C$2:$D$40))+1)</f>
        <v>0</v>
      </c>
      <c r="V71" t="e">
        <f t="shared" ca="1" si="12"/>
        <v>#N/A</v>
      </c>
      <c r="W71" t="str" cm="1">
        <f t="array" aca="1" ref="W71" ca="1">IFERROR(INDIRECT("$U"&amp;V71),"")</f>
        <v/>
      </c>
      <c r="Z71" cm="1">
        <f t="array" ref="Z71">INDEX($AE$2:$AS$40,MOD(ROW()-ROW($AE$2),ROWS($AE$2:$AS$40))+1,INT((ROW()-ROW($AE$2))/ROWS($AE$2:$AS$40))+1)</f>
        <v>0</v>
      </c>
      <c r="AA71">
        <f t="shared" ca="1" si="13"/>
        <v>279</v>
      </c>
      <c r="AB71" t="str" cm="1">
        <f t="array" aca="1" ref="AB71" ca="1">IFERROR(INDIRECT("$Z"&amp;AA71),"")</f>
        <v>Space_11_temperature_heating_controller</v>
      </c>
      <c r="AP71" t="str">
        <f t="shared" si="7"/>
        <v/>
      </c>
      <c r="AQ71" t="str">
        <f t="shared" si="8"/>
        <v/>
      </c>
      <c r="AR71" t="str">
        <f t="shared" si="9"/>
        <v/>
      </c>
      <c r="AS71" t="str">
        <f t="shared" si="10"/>
        <v/>
      </c>
    </row>
    <row r="72" spans="5:45" x14ac:dyDescent="0.25">
      <c r="E72" t="str">
        <f ca="1"/>
        <v/>
      </c>
      <c r="F72" t="str">
        <f ca="1"/>
        <v/>
      </c>
      <c r="G72" t="str">
        <f ca="1"/>
        <v>Space_11_co2_controller</v>
      </c>
      <c r="P72" cm="1">
        <f t="array" ref="P72">INDEX($B$2:$D$40,MOD(ROW()-ROW($B$2),ROWS($B$2:$D$40))+1,INT((ROW()-ROW($B$2))/ROWS($B$2:$D$40))+1)</f>
        <v>0</v>
      </c>
      <c r="Q72" t="e">
        <f t="shared" ca="1" si="11"/>
        <v>#N/A</v>
      </c>
      <c r="R72" t="str" cm="1">
        <f t="array" aca="1" ref="R72" ca="1">IFERROR(INDIRECT("$P"&amp;Q72),"")</f>
        <v/>
      </c>
      <c r="U72" cm="1">
        <f t="array" ref="U72">INDEX($C$2:$D$40,MOD(ROW()-ROW($C$2),ROWS($C$2:$D$40))+1,INT((ROW()-ROW($C$2))/ROWS($C$2:$D$40))+1)</f>
        <v>0</v>
      </c>
      <c r="V72" t="e">
        <f t="shared" ca="1" si="12"/>
        <v>#N/A</v>
      </c>
      <c r="W72" t="str" cm="1">
        <f t="array" aca="1" ref="W72" ca="1">IFERROR(INDIRECT("$U"&amp;V72),"")</f>
        <v/>
      </c>
      <c r="Z72" cm="1">
        <f t="array" ref="Z72">INDEX($AE$2:$AS$40,MOD(ROW()-ROW($AE$2),ROWS($AE$2:$AS$40))+1,INT((ROW()-ROW($AE$2))/ROWS($AE$2:$AS$40))+1)</f>
        <v>0</v>
      </c>
      <c r="AA72">
        <f t="shared" ca="1" si="13"/>
        <v>280</v>
      </c>
      <c r="AB72" t="str" cm="1">
        <f t="array" aca="1" ref="AB72" ca="1">IFERROR(INDIRECT("$Z"&amp;AA72),"")</f>
        <v>Space_11_co2_controller</v>
      </c>
      <c r="AP72" t="str">
        <f t="shared" si="7"/>
        <v/>
      </c>
      <c r="AQ72" t="str">
        <f t="shared" si="8"/>
        <v/>
      </c>
      <c r="AR72" t="str">
        <f t="shared" si="9"/>
        <v/>
      </c>
      <c r="AS72" t="str">
        <f t="shared" si="10"/>
        <v/>
      </c>
    </row>
    <row r="73" spans="5:45" x14ac:dyDescent="0.25">
      <c r="E73" t="str">
        <f ca="1"/>
        <v/>
      </c>
      <c r="F73" t="str">
        <f ca="1"/>
        <v/>
      </c>
      <c r="G73" t="str">
        <f ca="1"/>
        <v>Space_12_temperature_heating_controller</v>
      </c>
      <c r="P73" cm="1">
        <f t="array" ref="P73">INDEX($B$2:$D$40,MOD(ROW()-ROW($B$2),ROWS($B$2:$D$40))+1,INT((ROW()-ROW($B$2))/ROWS($B$2:$D$40))+1)</f>
        <v>0</v>
      </c>
      <c r="Q73" t="e">
        <f t="shared" ca="1" si="11"/>
        <v>#N/A</v>
      </c>
      <c r="R73" t="str" cm="1">
        <f t="array" aca="1" ref="R73" ca="1">IFERROR(INDIRECT("$P"&amp;Q73),"")</f>
        <v/>
      </c>
      <c r="U73" cm="1">
        <f t="array" ref="U73">INDEX($C$2:$D$40,MOD(ROW()-ROW($C$2),ROWS($C$2:$D$40))+1,INT((ROW()-ROW($C$2))/ROWS($C$2:$D$40))+1)</f>
        <v>0</v>
      </c>
      <c r="V73" t="e">
        <f t="shared" ca="1" si="12"/>
        <v>#N/A</v>
      </c>
      <c r="W73" t="str" cm="1">
        <f t="array" aca="1" ref="W73" ca="1">IFERROR(INDIRECT("$U"&amp;V73),"")</f>
        <v/>
      </c>
      <c r="Z73" cm="1">
        <f t="array" ref="Z73">INDEX($AE$2:$AS$40,MOD(ROW()-ROW($AE$2),ROWS($AE$2:$AS$40))+1,INT((ROW()-ROW($AE$2))/ROWS($AE$2:$AS$40))+1)</f>
        <v>0</v>
      </c>
      <c r="AA73">
        <f t="shared" ca="1" si="13"/>
        <v>281</v>
      </c>
      <c r="AB73" t="str" cm="1">
        <f t="array" aca="1" ref="AB73" ca="1">IFERROR(INDIRECT("$Z"&amp;AA73),"")</f>
        <v>Space_12_temperature_heating_controller</v>
      </c>
      <c r="AP73" t="str">
        <f t="shared" si="7"/>
        <v/>
      </c>
      <c r="AQ73" t="str">
        <f t="shared" si="8"/>
        <v/>
      </c>
      <c r="AR73" t="str">
        <f t="shared" si="9"/>
        <v/>
      </c>
      <c r="AS73" t="str">
        <f t="shared" si="10"/>
        <v/>
      </c>
    </row>
    <row r="74" spans="5:45" x14ac:dyDescent="0.25">
      <c r="E74" t="str">
        <f ca="1"/>
        <v/>
      </c>
      <c r="F74" t="str">
        <f ca="1"/>
        <v/>
      </c>
      <c r="G74" t="str">
        <f ca="1"/>
        <v>Space_12_co2_controller</v>
      </c>
      <c r="P74" cm="1">
        <f t="array" ref="P74">INDEX($B$2:$D$40,MOD(ROW()-ROW($B$2),ROWS($B$2:$D$40))+1,INT((ROW()-ROW($B$2))/ROWS($B$2:$D$40))+1)</f>
        <v>0</v>
      </c>
      <c r="Q74" t="e">
        <f t="shared" ca="1" si="11"/>
        <v>#N/A</v>
      </c>
      <c r="R74" t="str" cm="1">
        <f t="array" aca="1" ref="R74" ca="1">IFERROR(INDIRECT("$P"&amp;Q74),"")</f>
        <v/>
      </c>
      <c r="U74" cm="1">
        <f t="array" ref="U74">INDEX($C$2:$D$40,MOD(ROW()-ROW($C$2),ROWS($C$2:$D$40))+1,INT((ROW()-ROW($C$2))/ROWS($C$2:$D$40))+1)</f>
        <v>0</v>
      </c>
      <c r="V74" t="e">
        <f t="shared" ca="1" si="12"/>
        <v>#N/A</v>
      </c>
      <c r="W74" t="str" cm="1">
        <f t="array" aca="1" ref="W74" ca="1">IFERROR(INDIRECT("$U"&amp;V74),"")</f>
        <v/>
      </c>
      <c r="Z74" cm="1">
        <f t="array" ref="Z74">INDEX($AE$2:$AS$40,MOD(ROW()-ROW($AE$2),ROWS($AE$2:$AS$40))+1,INT((ROW()-ROW($AE$2))/ROWS($AE$2:$AS$40))+1)</f>
        <v>0</v>
      </c>
      <c r="AA74">
        <f t="shared" ca="1" si="13"/>
        <v>282</v>
      </c>
      <c r="AB74" t="str" cm="1">
        <f t="array" aca="1" ref="AB74" ca="1">IFERROR(INDIRECT("$Z"&amp;AA74),"")</f>
        <v>Space_12_co2_controller</v>
      </c>
      <c r="AP74" t="str">
        <f t="shared" si="7"/>
        <v/>
      </c>
      <c r="AQ74" t="str">
        <f t="shared" si="8"/>
        <v/>
      </c>
      <c r="AR74" t="str">
        <f t="shared" si="9"/>
        <v/>
      </c>
      <c r="AS74" t="str">
        <f t="shared" si="10"/>
        <v/>
      </c>
    </row>
    <row r="75" spans="5:45" x14ac:dyDescent="0.25">
      <c r="E75" t="str">
        <f ca="1"/>
        <v/>
      </c>
      <c r="F75" t="str">
        <f ca="1"/>
        <v/>
      </c>
      <c r="G75" t="str">
        <f ca="1"/>
        <v>Space_7_temperature_controller</v>
      </c>
      <c r="P75" cm="1">
        <f t="array" ref="P75">INDEX($B$2:$D$40,MOD(ROW()-ROW($B$2),ROWS($B$2:$D$40))+1,INT((ROW()-ROW($B$2))/ROWS($B$2:$D$40))+1)</f>
        <v>0</v>
      </c>
      <c r="Q75" t="e">
        <f t="shared" ca="1" si="11"/>
        <v>#N/A</v>
      </c>
      <c r="R75" t="str" cm="1">
        <f t="array" aca="1" ref="R75" ca="1">IFERROR(INDIRECT("$P"&amp;Q75),"")</f>
        <v/>
      </c>
      <c r="U75" cm="1">
        <f t="array" ref="U75">INDEX($C$2:$D$40,MOD(ROW()-ROW($C$2),ROWS($C$2:$D$40))+1,INT((ROW()-ROW($C$2))/ROWS($C$2:$D$40))+1)</f>
        <v>0</v>
      </c>
      <c r="V75" t="e">
        <f t="shared" ca="1" si="12"/>
        <v>#N/A</v>
      </c>
      <c r="W75" t="str" cm="1">
        <f t="array" aca="1" ref="W75" ca="1">IFERROR(INDIRECT("$U"&amp;V75),"")</f>
        <v/>
      </c>
      <c r="Z75" cm="1">
        <f t="array" ref="Z75">INDEX($AE$2:$AS$40,MOD(ROW()-ROW($AE$2),ROWS($AE$2:$AS$40))+1,INT((ROW()-ROW($AE$2))/ROWS($AE$2:$AS$40))+1)</f>
        <v>0</v>
      </c>
      <c r="AA75">
        <f t="shared" ca="1" si="13"/>
        <v>283</v>
      </c>
      <c r="AB75" t="str" cm="1">
        <f t="array" aca="1" ref="AB75" ca="1">IFERROR(INDIRECT("$Z"&amp;AA75),"")</f>
        <v>Space_7_temperature_controller</v>
      </c>
      <c r="AP75" t="str">
        <f t="shared" si="7"/>
        <v/>
      </c>
      <c r="AQ75" t="str">
        <f t="shared" si="8"/>
        <v/>
      </c>
      <c r="AR75" t="str">
        <f t="shared" si="9"/>
        <v/>
      </c>
      <c r="AS75" t="str">
        <f t="shared" si="10"/>
        <v/>
      </c>
    </row>
    <row r="76" spans="5:45" x14ac:dyDescent="0.25">
      <c r="E76" t="str">
        <f ca="1"/>
        <v/>
      </c>
      <c r="F76" t="str">
        <f ca="1"/>
        <v/>
      </c>
      <c r="G76" t="str">
        <f ca="1"/>
        <v>Space_7_co2_controller</v>
      </c>
      <c r="P76" cm="1">
        <f t="array" ref="P76">INDEX($B$2:$D$40,MOD(ROW()-ROW($B$2),ROWS($B$2:$D$40))+1,INT((ROW()-ROW($B$2))/ROWS($B$2:$D$40))+1)</f>
        <v>0</v>
      </c>
      <c r="Q76" t="e">
        <f t="shared" ca="1" si="11"/>
        <v>#N/A</v>
      </c>
      <c r="R76" t="str" cm="1">
        <f t="array" aca="1" ref="R76" ca="1">IFERROR(INDIRECT("$P"&amp;Q76),"")</f>
        <v/>
      </c>
      <c r="U76" cm="1">
        <f t="array" ref="U76">INDEX($C$2:$D$40,MOD(ROW()-ROW($C$2),ROWS($C$2:$D$40))+1,INT((ROW()-ROW($C$2))/ROWS($C$2:$D$40))+1)</f>
        <v>0</v>
      </c>
      <c r="V76" t="e">
        <f t="shared" ca="1" si="12"/>
        <v>#N/A</v>
      </c>
      <c r="W76" t="str" cm="1">
        <f t="array" aca="1" ref="W76" ca="1">IFERROR(INDIRECT("$U"&amp;V76),"")</f>
        <v/>
      </c>
      <c r="Z76" cm="1">
        <f t="array" ref="Z76">INDEX($AE$2:$AS$40,MOD(ROW()-ROW($AE$2),ROWS($AE$2:$AS$40))+1,INT((ROW()-ROW($AE$2))/ROWS($AE$2:$AS$40))+1)</f>
        <v>0</v>
      </c>
      <c r="AA76">
        <f t="shared" ca="1" si="13"/>
        <v>284</v>
      </c>
      <c r="AB76" t="str" cm="1">
        <f t="array" aca="1" ref="AB76" ca="1">IFERROR(INDIRECT("$Z"&amp;AA76),"")</f>
        <v>Space_7_co2_controller</v>
      </c>
      <c r="AP76" t="str">
        <f t="shared" si="7"/>
        <v/>
      </c>
      <c r="AQ76" t="str">
        <f t="shared" si="8"/>
        <v/>
      </c>
      <c r="AR76" t="str">
        <f t="shared" si="9"/>
        <v/>
      </c>
      <c r="AS76" t="str">
        <f t="shared" si="10"/>
        <v/>
      </c>
    </row>
    <row r="77" spans="5:45" x14ac:dyDescent="0.25">
      <c r="E77" t="str">
        <f ca="1"/>
        <v/>
      </c>
      <c r="F77" t="str">
        <f ca="1"/>
        <v/>
      </c>
      <c r="G77" t="str">
        <f ca="1"/>
        <v>Space_6_temperature_controller</v>
      </c>
      <c r="P77" cm="1">
        <f t="array" ref="P77">INDEX($B$2:$D$40,MOD(ROW()-ROW($B$2),ROWS($B$2:$D$40))+1,INT((ROW()-ROW($B$2))/ROWS($B$2:$D$40))+1)</f>
        <v>0</v>
      </c>
      <c r="Q77" t="e">
        <f t="shared" ca="1" si="11"/>
        <v>#N/A</v>
      </c>
      <c r="R77" t="str" cm="1">
        <f t="array" aca="1" ref="R77" ca="1">IFERROR(INDIRECT("$P"&amp;Q77),"")</f>
        <v/>
      </c>
      <c r="U77" cm="1">
        <f t="array" ref="U77">INDEX($C$2:$D$40,MOD(ROW()-ROW($C$2),ROWS($C$2:$D$40))+1,INT((ROW()-ROW($C$2))/ROWS($C$2:$D$40))+1)</f>
        <v>0</v>
      </c>
      <c r="V77" t="e">
        <f t="shared" ca="1" si="12"/>
        <v>#N/A</v>
      </c>
      <c r="W77" t="str" cm="1">
        <f t="array" aca="1" ref="W77" ca="1">IFERROR(INDIRECT("$U"&amp;V77),"")</f>
        <v/>
      </c>
      <c r="Z77" cm="1">
        <f t="array" ref="Z77">INDEX($AE$2:$AS$40,MOD(ROW()-ROW($AE$2),ROWS($AE$2:$AS$40))+1,INT((ROW()-ROW($AE$2))/ROWS($AE$2:$AS$40))+1)</f>
        <v>0</v>
      </c>
      <c r="AA77">
        <f t="shared" ca="1" si="13"/>
        <v>285</v>
      </c>
      <c r="AB77" t="str" cm="1">
        <f t="array" aca="1" ref="AB77" ca="1">IFERROR(INDIRECT("$Z"&amp;AA77),"")</f>
        <v>Space_6_temperature_controller</v>
      </c>
      <c r="AP77" t="str">
        <f t="shared" si="7"/>
        <v/>
      </c>
      <c r="AQ77" t="str">
        <f t="shared" si="8"/>
        <v/>
      </c>
      <c r="AR77" t="str">
        <f t="shared" si="9"/>
        <v/>
      </c>
      <c r="AS77" t="str">
        <f t="shared" si="10"/>
        <v/>
      </c>
    </row>
    <row r="78" spans="5:45" x14ac:dyDescent="0.25">
      <c r="E78" t="str">
        <f ca="1"/>
        <v/>
      </c>
      <c r="F78" t="str">
        <f ca="1"/>
        <v/>
      </c>
      <c r="G78" t="str">
        <f ca="1"/>
        <v>Space_8_temperature_controller</v>
      </c>
      <c r="P78" cm="1">
        <f t="array" ref="P78">INDEX($B$2:$D$40,MOD(ROW()-ROW($B$2),ROWS($B$2:$D$40))+1,INT((ROW()-ROW($B$2))/ROWS($B$2:$D$40))+1)</f>
        <v>0</v>
      </c>
      <c r="Q78" t="e">
        <f t="shared" ca="1" si="11"/>
        <v>#N/A</v>
      </c>
      <c r="R78" t="str" cm="1">
        <f t="array" aca="1" ref="R78" ca="1">IFERROR(INDIRECT("$P"&amp;Q78),"")</f>
        <v/>
      </c>
      <c r="U78" cm="1">
        <f t="array" ref="U78">INDEX($C$2:$D$40,MOD(ROW()-ROW($C$2),ROWS($C$2:$D$40))+1,INT((ROW()-ROW($C$2))/ROWS($C$2:$D$40))+1)</f>
        <v>0</v>
      </c>
      <c r="V78" t="e">
        <f t="shared" ca="1" si="12"/>
        <v>#N/A</v>
      </c>
      <c r="W78" t="str" cm="1">
        <f t="array" aca="1" ref="W78" ca="1">IFERROR(INDIRECT("$U"&amp;V78),"")</f>
        <v/>
      </c>
      <c r="Z78" cm="1">
        <f t="array" ref="Z78">INDEX($AE$2:$AS$40,MOD(ROW()-ROW($AE$2),ROWS($AE$2:$AS$40))+1,INT((ROW()-ROW($AE$2))/ROWS($AE$2:$AS$40))+1)</f>
        <v>0</v>
      </c>
      <c r="AA78">
        <f t="shared" ca="1" si="13"/>
        <v>286</v>
      </c>
      <c r="AB78" t="str" cm="1">
        <f t="array" aca="1" ref="AB78" ca="1">IFERROR(INDIRECT("$Z"&amp;AA78),"")</f>
        <v>Space_8_temperature_controller</v>
      </c>
      <c r="AP78" t="str">
        <f t="shared" si="7"/>
        <v/>
      </c>
      <c r="AQ78" t="str">
        <f t="shared" si="8"/>
        <v/>
      </c>
      <c r="AR78" t="str">
        <f t="shared" si="9"/>
        <v/>
      </c>
      <c r="AS78" t="str">
        <f t="shared" si="10"/>
        <v/>
      </c>
    </row>
    <row r="79" spans="5:45" x14ac:dyDescent="0.25">
      <c r="E79" t="str">
        <f ca="1"/>
        <v/>
      </c>
      <c r="F79" t="str">
        <f ca="1"/>
        <v/>
      </c>
      <c r="G79" t="str">
        <f ca="1"/>
        <v>Space_8_co2_controller</v>
      </c>
      <c r="P79" cm="1">
        <f t="array" ref="P79">INDEX($B$2:$D$40,MOD(ROW()-ROW($B$2),ROWS($B$2:$D$40))+1,INT((ROW()-ROW($B$2))/ROWS($B$2:$D$40))+1)</f>
        <v>0</v>
      </c>
      <c r="Q79" t="e">
        <f t="shared" ca="1" si="11"/>
        <v>#N/A</v>
      </c>
      <c r="R79" t="str" cm="1">
        <f t="array" aca="1" ref="R79" ca="1">IFERROR(INDIRECT("$P"&amp;Q79),"")</f>
        <v/>
      </c>
      <c r="U79" cm="1">
        <f t="array" ref="U79">INDEX($C$2:$D$40,MOD(ROW()-ROW($C$2),ROWS($C$2:$D$40))+1,INT((ROW()-ROW($C$2))/ROWS($C$2:$D$40))+1)</f>
        <v>0</v>
      </c>
      <c r="V79" t="e">
        <f t="shared" ca="1" si="12"/>
        <v>#N/A</v>
      </c>
      <c r="W79" t="str" cm="1">
        <f t="array" aca="1" ref="W79" ca="1">IFERROR(INDIRECT("$U"&amp;V79),"")</f>
        <v/>
      </c>
      <c r="Z79" cm="1">
        <f t="array" ref="Z79">INDEX($AE$2:$AS$40,MOD(ROW()-ROW($AE$2),ROWS($AE$2:$AS$40))+1,INT((ROW()-ROW($AE$2))/ROWS($AE$2:$AS$40))+1)</f>
        <v>0</v>
      </c>
      <c r="AA79">
        <f t="shared" ca="1" si="13"/>
        <v>287</v>
      </c>
      <c r="AB79" t="str" cm="1">
        <f t="array" aca="1" ref="AB79" ca="1">IFERROR(INDIRECT("$Z"&amp;AA79),"")</f>
        <v>Space_8_co2_controller</v>
      </c>
      <c r="AP79" t="str">
        <f t="shared" si="7"/>
        <v/>
      </c>
      <c r="AQ79" t="str">
        <f t="shared" si="8"/>
        <v/>
      </c>
      <c r="AR79" t="str">
        <f t="shared" si="9"/>
        <v/>
      </c>
      <c r="AS79" t="str">
        <f t="shared" si="10"/>
        <v/>
      </c>
    </row>
    <row r="80" spans="5:45" x14ac:dyDescent="0.25">
      <c r="E80" t="str">
        <f ca="1"/>
        <v/>
      </c>
      <c r="F80" t="str">
        <f ca="1"/>
        <v/>
      </c>
      <c r="G80" t="str">
        <f ca="1"/>
        <v>Space_3_temperature_controller</v>
      </c>
      <c r="P80" t="str" cm="1">
        <f t="array" aca="1" ref="P80" ca="1">INDEX($B$2:$D$40,MOD(ROW()-ROW($B$2),ROWS($B$2:$D$40))+1,INT((ROW()-ROW($B$2))/ROWS($B$2:$D$40))+1)</f>
        <v>Cooling</v>
      </c>
      <c r="Q80" t="e">
        <f t="shared" ca="1" si="11"/>
        <v>#N/A</v>
      </c>
      <c r="R80" t="str" cm="1">
        <f t="array" aca="1" ref="R80" ca="1">IFERROR(INDIRECT("$P"&amp;Q80),"")</f>
        <v/>
      </c>
      <c r="U80" t="e" cm="1">
        <f t="array" ref="U80">INDEX($C$2:$D$40,MOD(ROW()-ROW($C$2),ROWS($C$2:$D$40))+1,INT((ROW()-ROW($C$2))/ROWS($C$2:$D$40))+1)</f>
        <v>#REF!</v>
      </c>
      <c r="V80" t="e">
        <f t="shared" ca="1" si="12"/>
        <v>#N/A</v>
      </c>
      <c r="W80" t="str" cm="1">
        <f t="array" aca="1" ref="W80" ca="1">IFERROR(INDIRECT("$U"&amp;V80),"")</f>
        <v/>
      </c>
      <c r="Z80" t="str" cm="1">
        <f t="array" aca="1" ref="Z80" ca="1">INDEX($AE$2:$AS$40,MOD(ROW()-ROW($AE$2),ROWS($AE$2:$AS$40))+1,INT((ROW()-ROW($AE$2))/ROWS($AE$2:$AS$40))+1)</f>
        <v>Space_9_space_heater</v>
      </c>
      <c r="AA80">
        <f t="shared" ca="1" si="13"/>
        <v>288</v>
      </c>
      <c r="AB80" t="str" cm="1">
        <f t="array" aca="1" ref="AB80" ca="1">IFERROR(INDIRECT("$Z"&amp;AA80),"")</f>
        <v>Space_3_temperature_controller</v>
      </c>
      <c r="AP80" t="str">
        <f t="shared" si="7"/>
        <v/>
      </c>
      <c r="AQ80" t="str">
        <f t="shared" si="8"/>
        <v/>
      </c>
      <c r="AR80" t="str">
        <f t="shared" si="9"/>
        <v/>
      </c>
      <c r="AS80" t="str">
        <f t="shared" si="10"/>
        <v/>
      </c>
    </row>
    <row r="81" spans="5:45" x14ac:dyDescent="0.25">
      <c r="E81" t="str">
        <f ca="1"/>
        <v/>
      </c>
      <c r="F81" t="str">
        <f ca="1"/>
        <v/>
      </c>
      <c r="G81" t="str">
        <f ca="1"/>
        <v>Space_3_co2_controller</v>
      </c>
      <c r="P81" cm="1">
        <f t="array" ref="P81">INDEX($B$2:$D$40,MOD(ROW()-ROW($B$2),ROWS($B$2:$D$40))+1,INT((ROW()-ROW($B$2))/ROWS($B$2:$D$40))+1)</f>
        <v>0</v>
      </c>
      <c r="Q81" t="e">
        <f t="shared" ca="1" si="11"/>
        <v>#N/A</v>
      </c>
      <c r="R81" t="str" cm="1">
        <f t="array" aca="1" ref="R81" ca="1">IFERROR(INDIRECT("$P"&amp;Q81),"")</f>
        <v/>
      </c>
      <c r="U81" t="e" cm="1">
        <f t="array" ref="U81">INDEX($C$2:$D$40,MOD(ROW()-ROW($C$2),ROWS($C$2:$D$40))+1,INT((ROW()-ROW($C$2))/ROWS($C$2:$D$40))+1)</f>
        <v>#REF!</v>
      </c>
      <c r="V81" t="e">
        <f t="shared" ca="1" si="12"/>
        <v>#N/A</v>
      </c>
      <c r="W81" t="str" cm="1">
        <f t="array" aca="1" ref="W81" ca="1">IFERROR(INDIRECT("$U"&amp;V81),"")</f>
        <v/>
      </c>
      <c r="Z81" t="str" cm="1">
        <f t="array" aca="1" ref="Z81" ca="1">INDEX($AE$2:$AS$40,MOD(ROW()-ROW($AE$2),ROWS($AE$2:$AS$40))+1,INT((ROW()-ROW($AE$2))/ROWS($AE$2:$AS$40))+1)</f>
        <v>Space_10_space_heater</v>
      </c>
      <c r="AA81">
        <f t="shared" ca="1" si="13"/>
        <v>289</v>
      </c>
      <c r="AB81" t="str" cm="1">
        <f t="array" aca="1" ref="AB81" ca="1">IFERROR(INDIRECT("$Z"&amp;AA81),"")</f>
        <v>Space_3_co2_controller</v>
      </c>
      <c r="AP81" t="str">
        <f t="shared" si="7"/>
        <v/>
      </c>
      <c r="AQ81" t="str">
        <f t="shared" si="8"/>
        <v/>
      </c>
      <c r="AR81" t="str">
        <f t="shared" si="9"/>
        <v/>
      </c>
      <c r="AS81" t="str">
        <f t="shared" si="10"/>
        <v/>
      </c>
    </row>
    <row r="82" spans="5:45" x14ac:dyDescent="0.25">
      <c r="E82" t="str">
        <f ca="1"/>
        <v/>
      </c>
      <c r="F82" t="str">
        <f ca="1"/>
        <v/>
      </c>
      <c r="G82" t="str">
        <f ca="1"/>
        <v>Space_5_temperature_controller</v>
      </c>
      <c r="P82" cm="1">
        <f t="array" ref="P82">INDEX($B$2:$D$40,MOD(ROW()-ROW($B$2),ROWS($B$2:$D$40))+1,INT((ROW()-ROW($B$2))/ROWS($B$2:$D$40))+1)</f>
        <v>0</v>
      </c>
      <c r="Q82" t="e">
        <f t="shared" ca="1" si="11"/>
        <v>#N/A</v>
      </c>
      <c r="R82" t="str" cm="1">
        <f t="array" aca="1" ref="R82" ca="1">IFERROR(INDIRECT("$P"&amp;Q82),"")</f>
        <v/>
      </c>
      <c r="U82" t="e" cm="1">
        <f t="array" ref="U82">INDEX($C$2:$D$40,MOD(ROW()-ROW($C$2),ROWS($C$2:$D$40))+1,INT((ROW()-ROW($C$2))/ROWS($C$2:$D$40))+1)</f>
        <v>#REF!</v>
      </c>
      <c r="V82" t="e">
        <f t="shared" ca="1" si="12"/>
        <v>#N/A</v>
      </c>
      <c r="W82" t="str" cm="1">
        <f t="array" aca="1" ref="W82" ca="1">IFERROR(INDIRECT("$U"&amp;V82),"")</f>
        <v/>
      </c>
      <c r="Z82" t="str" cm="1">
        <f t="array" aca="1" ref="Z82" ca="1">INDEX($AE$2:$AS$40,MOD(ROW()-ROW($AE$2),ROWS($AE$2:$AS$40))+1,INT((ROW()-ROW($AE$2))/ROWS($AE$2:$AS$40))+1)</f>
        <v>Space_11_space_heater</v>
      </c>
      <c r="AA82">
        <f t="shared" ca="1" si="13"/>
        <v>290</v>
      </c>
      <c r="AB82" t="str" cm="1">
        <f t="array" aca="1" ref="AB82" ca="1">IFERROR(INDIRECT("$Z"&amp;AA82),"")</f>
        <v>Space_5_temperature_controller</v>
      </c>
      <c r="AP82" t="str">
        <f t="shared" si="7"/>
        <v/>
      </c>
      <c r="AQ82" t="str">
        <f t="shared" si="8"/>
        <v/>
      </c>
      <c r="AR82" t="str">
        <f t="shared" si="9"/>
        <v/>
      </c>
      <c r="AS82" t="str">
        <f t="shared" si="10"/>
        <v/>
      </c>
    </row>
    <row r="83" spans="5:45" x14ac:dyDescent="0.25">
      <c r="E83" t="str">
        <f ca="1"/>
        <v/>
      </c>
      <c r="F83" t="str">
        <f ca="1"/>
        <v/>
      </c>
      <c r="G83" t="str">
        <f ca="1"/>
        <v>Space_5_co2_controller</v>
      </c>
      <c r="P83" cm="1">
        <f t="array" ref="P83">INDEX($B$2:$D$40,MOD(ROW()-ROW($B$2),ROWS($B$2:$D$40))+1,INT((ROW()-ROW($B$2))/ROWS($B$2:$D$40))+1)</f>
        <v>0</v>
      </c>
      <c r="Q83" t="e">
        <f t="shared" ca="1" si="11"/>
        <v>#N/A</v>
      </c>
      <c r="R83" t="str" cm="1">
        <f t="array" aca="1" ref="R83" ca="1">IFERROR(INDIRECT("$P"&amp;Q83),"")</f>
        <v/>
      </c>
      <c r="U83" t="e" cm="1">
        <f t="array" ref="U83">INDEX($C$2:$D$40,MOD(ROW()-ROW($C$2),ROWS($C$2:$D$40))+1,INT((ROW()-ROW($C$2))/ROWS($C$2:$D$40))+1)</f>
        <v>#REF!</v>
      </c>
      <c r="V83" t="e">
        <f t="shared" ca="1" si="12"/>
        <v>#N/A</v>
      </c>
      <c r="W83" t="str" cm="1">
        <f t="array" aca="1" ref="W83" ca="1">IFERROR(INDIRECT("$U"&amp;V83),"")</f>
        <v/>
      </c>
      <c r="Z83" t="str" cm="1">
        <f t="array" aca="1" ref="Z83" ca="1">INDEX($AE$2:$AS$40,MOD(ROW()-ROW($AE$2),ROWS($AE$2:$AS$40))+1,INT((ROW()-ROW($AE$2))/ROWS($AE$2:$AS$40))+1)</f>
        <v>Space_12_space_heater</v>
      </c>
      <c r="AA83">
        <f t="shared" ca="1" si="13"/>
        <v>291</v>
      </c>
      <c r="AB83" t="str" cm="1">
        <f t="array" aca="1" ref="AB83" ca="1">IFERROR(INDIRECT("$Z"&amp;AA83),"")</f>
        <v>Space_5_co2_controller</v>
      </c>
      <c r="AP83" t="str">
        <f t="shared" si="7"/>
        <v/>
      </c>
      <c r="AQ83" t="str">
        <f t="shared" si="8"/>
        <v/>
      </c>
      <c r="AR83" t="str">
        <f t="shared" si="9"/>
        <v/>
      </c>
      <c r="AS83" t="str">
        <f t="shared" si="10"/>
        <v/>
      </c>
    </row>
    <row r="84" spans="5:45" x14ac:dyDescent="0.25">
      <c r="E84" t="str">
        <f ca="1"/>
        <v/>
      </c>
      <c r="F84" t="str">
        <f ca="1"/>
        <v/>
      </c>
      <c r="G84" t="str">
        <f ca="1"/>
        <v>Space_4_temperature_controller</v>
      </c>
      <c r="P84" cm="1">
        <f t="array" ref="P84">INDEX($B$2:$D$40,MOD(ROW()-ROW($B$2),ROWS($B$2:$D$40))+1,INT((ROW()-ROW($B$2))/ROWS($B$2:$D$40))+1)</f>
        <v>0</v>
      </c>
      <c r="Q84" t="e">
        <f t="shared" ca="1" si="11"/>
        <v>#N/A</v>
      </c>
      <c r="R84" t="str" cm="1">
        <f t="array" aca="1" ref="R84" ca="1">IFERROR(INDIRECT("$P"&amp;Q84),"")</f>
        <v/>
      </c>
      <c r="U84" t="e" cm="1">
        <f t="array" ref="U84">INDEX($C$2:$D$40,MOD(ROW()-ROW($C$2),ROWS($C$2:$D$40))+1,INT((ROW()-ROW($C$2))/ROWS($C$2:$D$40))+1)</f>
        <v>#REF!</v>
      </c>
      <c r="V84" t="e">
        <f t="shared" ca="1" si="12"/>
        <v>#N/A</v>
      </c>
      <c r="W84" t="str" cm="1">
        <f t="array" aca="1" ref="W84" ca="1">IFERROR(INDIRECT("$U"&amp;V84),"")</f>
        <v/>
      </c>
      <c r="Z84" t="str" cm="1">
        <f t="array" aca="1" ref="Z84" ca="1">INDEX($AE$2:$AS$40,MOD(ROW()-ROW($AE$2),ROWS($AE$2:$AS$40))+1,INT((ROW()-ROW($AE$2))/ROWS($AE$2:$AS$40))+1)</f>
        <v>Space_7_space_heater</v>
      </c>
      <c r="AA84">
        <f t="shared" ca="1" si="13"/>
        <v>292</v>
      </c>
      <c r="AB84" t="str" cm="1">
        <f t="array" aca="1" ref="AB84" ca="1">IFERROR(INDIRECT("$Z"&amp;AA84),"")</f>
        <v>Space_4_temperature_controller</v>
      </c>
      <c r="AP84" t="str">
        <f t="shared" si="7"/>
        <v/>
      </c>
      <c r="AQ84" t="str">
        <f t="shared" si="8"/>
        <v/>
      </c>
      <c r="AR84" t="str">
        <f t="shared" si="9"/>
        <v/>
      </c>
      <c r="AS84" t="str">
        <f t="shared" si="10"/>
        <v/>
      </c>
    </row>
    <row r="85" spans="5:45" x14ac:dyDescent="0.25">
      <c r="E85" t="str">
        <f ca="1"/>
        <v/>
      </c>
      <c r="F85" t="str">
        <f ca="1"/>
        <v/>
      </c>
      <c r="G85" t="str">
        <f ca="1"/>
        <v>Space_1_temperature_controller</v>
      </c>
      <c r="P85" cm="1">
        <f t="array" ref="P85">INDEX($B$2:$D$40,MOD(ROW()-ROW($B$2),ROWS($B$2:$D$40))+1,INT((ROW()-ROW($B$2))/ROWS($B$2:$D$40))+1)</f>
        <v>0</v>
      </c>
      <c r="Q85" t="e">
        <f t="shared" ca="1" si="11"/>
        <v>#N/A</v>
      </c>
      <c r="R85" t="str" cm="1">
        <f t="array" aca="1" ref="R85" ca="1">IFERROR(INDIRECT("$P"&amp;Q85),"")</f>
        <v/>
      </c>
      <c r="U85" t="e" cm="1">
        <f t="array" ref="U85">INDEX($C$2:$D$40,MOD(ROW()-ROW($C$2),ROWS($C$2:$D$40))+1,INT((ROW()-ROW($C$2))/ROWS($C$2:$D$40))+1)</f>
        <v>#REF!</v>
      </c>
      <c r="V85" t="e">
        <f t="shared" ca="1" si="12"/>
        <v>#N/A</v>
      </c>
      <c r="W85" t="str" cm="1">
        <f t="array" aca="1" ref="W85" ca="1">IFERROR(INDIRECT("$U"&amp;V85),"")</f>
        <v/>
      </c>
      <c r="Z85" t="str" cm="1">
        <f t="array" aca="1" ref="Z85" ca="1">INDEX($AE$2:$AS$40,MOD(ROW()-ROW($AE$2),ROWS($AE$2:$AS$40))+1,INT((ROW()-ROW($AE$2))/ROWS($AE$2:$AS$40))+1)</f>
        <v>Space_6_space_heater</v>
      </c>
      <c r="AA85">
        <f t="shared" ca="1" si="13"/>
        <v>293</v>
      </c>
      <c r="AB85" t="str" cm="1">
        <f t="array" aca="1" ref="AB85" ca="1">IFERROR(INDIRECT("$Z"&amp;AA85),"")</f>
        <v>Space_1_temperature_controller</v>
      </c>
      <c r="AP85" t="str">
        <f t="shared" si="7"/>
        <v/>
      </c>
      <c r="AQ85" t="str">
        <f t="shared" si="8"/>
        <v/>
      </c>
      <c r="AR85" t="str">
        <f t="shared" si="9"/>
        <v/>
      </c>
      <c r="AS85" t="str">
        <f t="shared" si="10"/>
        <v/>
      </c>
    </row>
    <row r="86" spans="5:45" x14ac:dyDescent="0.25">
      <c r="E86" t="str">
        <f ca="1"/>
        <v/>
      </c>
      <c r="F86" t="str">
        <f ca="1"/>
        <v/>
      </c>
      <c r="G86" t="str">
        <f ca="1"/>
        <v>Space_1_co2_controller</v>
      </c>
      <c r="P86" cm="1">
        <f t="array" ref="P86">INDEX($B$2:$D$40,MOD(ROW()-ROW($B$2),ROWS($B$2:$D$40))+1,INT((ROW()-ROW($B$2))/ROWS($B$2:$D$40))+1)</f>
        <v>0</v>
      </c>
      <c r="Q86" t="e">
        <f t="shared" ca="1" si="11"/>
        <v>#N/A</v>
      </c>
      <c r="R86" t="str" cm="1">
        <f t="array" aca="1" ref="R86" ca="1">IFERROR(INDIRECT("$P"&amp;Q86),"")</f>
        <v/>
      </c>
      <c r="U86" t="e" cm="1">
        <f t="array" ref="U86">INDEX($C$2:$D$40,MOD(ROW()-ROW($C$2),ROWS($C$2:$D$40))+1,INT((ROW()-ROW($C$2))/ROWS($C$2:$D$40))+1)</f>
        <v>#REF!</v>
      </c>
      <c r="V86" t="e">
        <f t="shared" ca="1" si="12"/>
        <v>#N/A</v>
      </c>
      <c r="W86" t="str" cm="1">
        <f t="array" aca="1" ref="W86" ca="1">IFERROR(INDIRECT("$U"&amp;V86),"")</f>
        <v/>
      </c>
      <c r="Z86" t="str" cm="1">
        <f t="array" aca="1" ref="Z86" ca="1">INDEX($AE$2:$AS$40,MOD(ROW()-ROW($AE$2),ROWS($AE$2:$AS$40))+1,INT((ROW()-ROW($AE$2))/ROWS($AE$2:$AS$40))+1)</f>
        <v>Space_8_space_heater</v>
      </c>
      <c r="AA86">
        <f t="shared" ca="1" si="13"/>
        <v>294</v>
      </c>
      <c r="AB86" t="str" cm="1">
        <f t="array" aca="1" ref="AB86" ca="1">IFERROR(INDIRECT("$Z"&amp;AA86),"")</f>
        <v>Space_1_co2_controller</v>
      </c>
      <c r="AP86" t="str">
        <f t="shared" si="7"/>
        <v/>
      </c>
      <c r="AQ86" t="str">
        <f t="shared" si="8"/>
        <v/>
      </c>
      <c r="AR86" t="str">
        <f t="shared" si="9"/>
        <v/>
      </c>
      <c r="AS86" t="str">
        <f t="shared" si="10"/>
        <v/>
      </c>
    </row>
    <row r="87" spans="5:45" x14ac:dyDescent="0.25">
      <c r="E87" t="str">
        <f ca="1"/>
        <v/>
      </c>
      <c r="F87" t="str">
        <f ca="1"/>
        <v/>
      </c>
      <c r="G87" t="str">
        <f ca="1"/>
        <v>Space_9_co2_sensor</v>
      </c>
      <c r="P87" cm="1">
        <f t="array" ref="P87">INDEX($B$2:$D$40,MOD(ROW()-ROW($B$2),ROWS($B$2:$D$40))+1,INT((ROW()-ROW($B$2))/ROWS($B$2:$D$40))+1)</f>
        <v>0</v>
      </c>
      <c r="Q87" t="e">
        <f t="shared" ca="1" si="11"/>
        <v>#N/A</v>
      </c>
      <c r="R87" t="str" cm="1">
        <f t="array" aca="1" ref="R87" ca="1">IFERROR(INDIRECT("$P"&amp;Q87),"")</f>
        <v/>
      </c>
      <c r="U87" t="e" cm="1">
        <f t="array" ref="U87">INDEX($C$2:$D$40,MOD(ROW()-ROW($C$2),ROWS($C$2:$D$40))+1,INT((ROW()-ROW($C$2))/ROWS($C$2:$D$40))+1)</f>
        <v>#REF!</v>
      </c>
      <c r="V87" t="e">
        <f t="shared" ca="1" si="12"/>
        <v>#N/A</v>
      </c>
      <c r="W87" t="str" cm="1">
        <f t="array" aca="1" ref="W87" ca="1">IFERROR(INDIRECT("$U"&amp;V87),"")</f>
        <v/>
      </c>
      <c r="Z87" t="str" cm="1">
        <f t="array" aca="1" ref="Z87" ca="1">INDEX($AE$2:$AS$40,MOD(ROW()-ROW($AE$2),ROWS($AE$2:$AS$40))+1,INT((ROW()-ROW($AE$2))/ROWS($AE$2:$AS$40))+1)</f>
        <v>Space_3_space_heater</v>
      </c>
      <c r="AA87">
        <f t="shared" ca="1" si="13"/>
        <v>314</v>
      </c>
      <c r="AB87" t="str" cm="1">
        <f t="array" aca="1" ref="AB87" ca="1">IFERROR(INDIRECT("$Z"&amp;AA87),"")</f>
        <v>Space_9_co2_sensor</v>
      </c>
      <c r="AP87" t="str">
        <f t="shared" si="7"/>
        <v/>
      </c>
      <c r="AQ87" t="str">
        <f t="shared" si="8"/>
        <v/>
      </c>
      <c r="AR87" t="str">
        <f t="shared" si="9"/>
        <v/>
      </c>
      <c r="AS87" t="str">
        <f t="shared" si="10"/>
        <v/>
      </c>
    </row>
    <row r="88" spans="5:45" x14ac:dyDescent="0.25">
      <c r="E88" t="str">
        <f ca="1"/>
        <v/>
      </c>
      <c r="F88" t="str">
        <f ca="1"/>
        <v/>
      </c>
      <c r="G88" t="str">
        <f ca="1"/>
        <v>Space_9_damper_position_sensor</v>
      </c>
      <c r="P88" cm="1">
        <f t="array" ref="P88">INDEX($B$2:$D$40,MOD(ROW()-ROW($B$2),ROWS($B$2:$D$40))+1,INT((ROW()-ROW($B$2))/ROWS($B$2:$D$40))+1)</f>
        <v>0</v>
      </c>
      <c r="Q88" t="e">
        <f t="shared" ca="1" si="11"/>
        <v>#N/A</v>
      </c>
      <c r="R88" t="str" cm="1">
        <f t="array" aca="1" ref="R88" ca="1">IFERROR(INDIRECT("$P"&amp;Q88),"")</f>
        <v/>
      </c>
      <c r="U88" t="e" cm="1">
        <f t="array" ref="U88">INDEX($C$2:$D$40,MOD(ROW()-ROW($C$2),ROWS($C$2:$D$40))+1,INT((ROW()-ROW($C$2))/ROWS($C$2:$D$40))+1)</f>
        <v>#REF!</v>
      </c>
      <c r="V88" t="e">
        <f t="shared" ca="1" si="12"/>
        <v>#N/A</v>
      </c>
      <c r="W88" t="str" cm="1">
        <f t="array" aca="1" ref="W88" ca="1">IFERROR(INDIRECT("$U"&amp;V88),"")</f>
        <v/>
      </c>
      <c r="Z88" t="str" cm="1">
        <f t="array" aca="1" ref="Z88" ca="1">INDEX($AE$2:$AS$40,MOD(ROW()-ROW($AE$2),ROWS($AE$2:$AS$40))+1,INT((ROW()-ROW($AE$2))/ROWS($AE$2:$AS$40))+1)</f>
        <v>Space_5_space_heater</v>
      </c>
      <c r="AA88">
        <f t="shared" ca="1" si="13"/>
        <v>315</v>
      </c>
      <c r="AB88" t="str" cm="1">
        <f t="array" aca="1" ref="AB88" ca="1">IFERROR(INDIRECT("$Z"&amp;AA88),"")</f>
        <v>Space_9_damper_position_sensor</v>
      </c>
      <c r="AP88" t="str">
        <f t="shared" si="7"/>
        <v/>
      </c>
      <c r="AQ88" t="str">
        <f t="shared" si="8"/>
        <v/>
      </c>
      <c r="AR88" t="str">
        <f t="shared" si="9"/>
        <v/>
      </c>
      <c r="AS88" t="str">
        <f t="shared" si="10"/>
        <v/>
      </c>
    </row>
    <row r="89" spans="5:45" x14ac:dyDescent="0.25">
      <c r="E89" t="str">
        <f ca="1"/>
        <v/>
      </c>
      <c r="F89" t="str">
        <f ca="1"/>
        <v/>
      </c>
      <c r="G89" t="str">
        <f ca="1"/>
        <v>Space_9_temperature_sensor</v>
      </c>
      <c r="P89" cm="1">
        <f t="array" ref="P89">INDEX($B$2:$D$40,MOD(ROW()-ROW($B$2),ROWS($B$2:$D$40))+1,INT((ROW()-ROW($B$2))/ROWS($B$2:$D$40))+1)</f>
        <v>0</v>
      </c>
      <c r="Q89" t="e">
        <f t="shared" ca="1" si="11"/>
        <v>#N/A</v>
      </c>
      <c r="R89" t="str" cm="1">
        <f t="array" aca="1" ref="R89" ca="1">IFERROR(INDIRECT("$P"&amp;Q89),"")</f>
        <v/>
      </c>
      <c r="U89" t="e" cm="1">
        <f t="array" ref="U89">INDEX($C$2:$D$40,MOD(ROW()-ROW($C$2),ROWS($C$2:$D$40))+1,INT((ROW()-ROW($C$2))/ROWS($C$2:$D$40))+1)</f>
        <v>#REF!</v>
      </c>
      <c r="V89" t="e">
        <f t="shared" ca="1" si="12"/>
        <v>#N/A</v>
      </c>
      <c r="W89" t="str" cm="1">
        <f t="array" aca="1" ref="W89" ca="1">IFERROR(INDIRECT("$U"&amp;V89),"")</f>
        <v/>
      </c>
      <c r="Z89" t="str" cm="1">
        <f t="array" aca="1" ref="Z89" ca="1">INDEX($AE$2:$AS$40,MOD(ROW()-ROW($AE$2),ROWS($AE$2:$AS$40))+1,INT((ROW()-ROW($AE$2))/ROWS($AE$2:$AS$40))+1)</f>
        <v>Space_4_space_heater</v>
      </c>
      <c r="AA89">
        <f t="shared" ca="1" si="13"/>
        <v>316</v>
      </c>
      <c r="AB89" t="str" cm="1">
        <f t="array" aca="1" ref="AB89" ca="1">IFERROR(INDIRECT("$Z"&amp;AA89),"")</f>
        <v>Space_9_temperature_sensor</v>
      </c>
      <c r="AP89" t="str">
        <f t="shared" si="7"/>
        <v/>
      </c>
      <c r="AQ89" t="str">
        <f t="shared" si="8"/>
        <v/>
      </c>
      <c r="AR89" t="str">
        <f t="shared" si="9"/>
        <v/>
      </c>
      <c r="AS89" t="str">
        <f t="shared" si="10"/>
        <v/>
      </c>
    </row>
    <row r="90" spans="5:45" x14ac:dyDescent="0.25">
      <c r="E90" t="str">
        <f ca="1"/>
        <v/>
      </c>
      <c r="F90" t="str">
        <f ca="1"/>
        <v/>
      </c>
      <c r="G90" t="str">
        <f ca="1"/>
        <v>Space_9_valve_position_sensor</v>
      </c>
      <c r="P90" cm="1">
        <f t="array" ref="P90">INDEX($B$2:$D$40,MOD(ROW()-ROW($B$2),ROWS($B$2:$D$40))+1,INT((ROW()-ROW($B$2))/ROWS($B$2:$D$40))+1)</f>
        <v>0</v>
      </c>
      <c r="Q90" t="e">
        <f t="shared" ca="1" si="11"/>
        <v>#N/A</v>
      </c>
      <c r="R90" t="str" cm="1">
        <f t="array" aca="1" ref="R90" ca="1">IFERROR(INDIRECT("$P"&amp;Q90),"")</f>
        <v/>
      </c>
      <c r="U90" t="e" cm="1">
        <f t="array" ref="U90">INDEX($C$2:$D$40,MOD(ROW()-ROW($C$2),ROWS($C$2:$D$40))+1,INT((ROW()-ROW($C$2))/ROWS($C$2:$D$40))+1)</f>
        <v>#REF!</v>
      </c>
      <c r="V90" t="e">
        <f t="shared" ca="1" si="12"/>
        <v>#N/A</v>
      </c>
      <c r="W90" t="str" cm="1">
        <f t="array" aca="1" ref="W90" ca="1">IFERROR(INDIRECT("$U"&amp;V90),"")</f>
        <v/>
      </c>
      <c r="Z90" t="str" cm="1">
        <f t="array" aca="1" ref="Z90" ca="1">INDEX($AE$2:$AS$40,MOD(ROW()-ROW($AE$2),ROWS($AE$2:$AS$40))+1,INT((ROW()-ROW($AE$2))/ROWS($AE$2:$AS$40))+1)</f>
        <v>Space_1_space_heater</v>
      </c>
      <c r="AA90">
        <f t="shared" ca="1" si="13"/>
        <v>317</v>
      </c>
      <c r="AB90" t="str" cm="1">
        <f t="array" aca="1" ref="AB90" ca="1">IFERROR(INDIRECT("$Z"&amp;AA90),"")</f>
        <v>Space_9_valve_position_sensor</v>
      </c>
      <c r="AP90" t="str">
        <f t="shared" si="7"/>
        <v/>
      </c>
      <c r="AQ90" t="str">
        <f t="shared" si="8"/>
        <v/>
      </c>
      <c r="AR90" t="str">
        <f t="shared" si="9"/>
        <v/>
      </c>
      <c r="AS90" t="str">
        <f t="shared" si="10"/>
        <v/>
      </c>
    </row>
    <row r="91" spans="5:45" x14ac:dyDescent="0.25">
      <c r="E91" t="str">
        <f ca="1"/>
        <v/>
      </c>
      <c r="F91" t="str">
        <f ca="1"/>
        <v/>
      </c>
      <c r="G91" t="str">
        <f ca="1"/>
        <v>Space_10_co2_sensor</v>
      </c>
      <c r="P91" cm="1">
        <f t="array" ref="P91">INDEX($B$2:$D$40,MOD(ROW()-ROW($B$2),ROWS($B$2:$D$40))+1,INT((ROW()-ROW($B$2))/ROWS($B$2:$D$40))+1)</f>
        <v>0</v>
      </c>
      <c r="Q91" t="e">
        <f t="shared" ca="1" si="11"/>
        <v>#N/A</v>
      </c>
      <c r="R91" t="str" cm="1">
        <f t="array" aca="1" ref="R91" ca="1">IFERROR(INDIRECT("$P"&amp;Q91),"")</f>
        <v/>
      </c>
      <c r="U91" t="e" cm="1">
        <f t="array" ref="U91">INDEX($C$2:$D$40,MOD(ROW()-ROW($C$2),ROWS($C$2:$D$40))+1,INT((ROW()-ROW($C$2))/ROWS($C$2:$D$40))+1)</f>
        <v>#REF!</v>
      </c>
      <c r="V91" t="e">
        <f t="shared" ca="1" si="12"/>
        <v>#N/A</v>
      </c>
      <c r="W91" t="str" cm="1">
        <f t="array" aca="1" ref="W91" ca="1">IFERROR(INDIRECT("$U"&amp;V91),"")</f>
        <v/>
      </c>
      <c r="Z91" t="str" cm="1">
        <f t="array" aca="1" ref="Z91" ca="1">INDEX($AE$2:$AS$40,MOD(ROW()-ROW($AE$2),ROWS($AE$2:$AS$40))+1,INT((ROW()-ROW($AE$2))/ROWS($AE$2:$AS$40))+1)</f>
        <v>Space_4_space_heater_added</v>
      </c>
      <c r="AA91">
        <f t="shared" ca="1" si="13"/>
        <v>318</v>
      </c>
      <c r="AB91" t="str" cm="1">
        <f t="array" aca="1" ref="AB91" ca="1">IFERROR(INDIRECT("$Z"&amp;AA91),"")</f>
        <v>Space_10_co2_sensor</v>
      </c>
      <c r="AP91" t="str">
        <f t="shared" si="7"/>
        <v/>
      </c>
      <c r="AQ91" t="str">
        <f t="shared" si="8"/>
        <v/>
      </c>
      <c r="AR91" t="str">
        <f t="shared" si="9"/>
        <v/>
      </c>
      <c r="AS91" t="str">
        <f t="shared" si="10"/>
        <v/>
      </c>
    </row>
    <row r="92" spans="5:45" x14ac:dyDescent="0.25">
      <c r="E92" t="str">
        <f ca="1"/>
        <v/>
      </c>
      <c r="F92" t="str">
        <f ca="1"/>
        <v/>
      </c>
      <c r="G92" t="str">
        <f ca="1"/>
        <v>Space_10_damper_position_sensor</v>
      </c>
      <c r="P92" cm="1">
        <f t="array" ref="P92">INDEX($B$2:$D$40,MOD(ROW()-ROW($B$2),ROWS($B$2:$D$40))+1,INT((ROW()-ROW($B$2))/ROWS($B$2:$D$40))+1)</f>
        <v>0</v>
      </c>
      <c r="Q92" t="e">
        <f t="shared" ca="1" si="11"/>
        <v>#N/A</v>
      </c>
      <c r="R92" t="str" cm="1">
        <f t="array" aca="1" ref="R92" ca="1">IFERROR(INDIRECT("$P"&amp;Q92),"")</f>
        <v/>
      </c>
      <c r="U92" t="e" cm="1">
        <f t="array" ref="U92">INDEX($C$2:$D$40,MOD(ROW()-ROW($C$2),ROWS($C$2:$D$40))+1,INT((ROW()-ROW($C$2))/ROWS($C$2:$D$40))+1)</f>
        <v>#REF!</v>
      </c>
      <c r="V92" t="e">
        <f t="shared" ca="1" si="12"/>
        <v>#N/A</v>
      </c>
      <c r="W92" t="str" cm="1">
        <f t="array" aca="1" ref="W92" ca="1">IFERROR(INDIRECT("$U"&amp;V92),"")</f>
        <v/>
      </c>
      <c r="Z92" cm="1">
        <f t="array" ref="Z92">INDEX($AE$2:$AS$40,MOD(ROW()-ROW($AE$2),ROWS($AE$2:$AS$40))+1,INT((ROW()-ROW($AE$2))/ROWS($AE$2:$AS$40))+1)</f>
        <v>0</v>
      </c>
      <c r="AA92">
        <f t="shared" ca="1" si="13"/>
        <v>319</v>
      </c>
      <c r="AB92" t="str" cm="1">
        <f t="array" aca="1" ref="AB92" ca="1">IFERROR(INDIRECT("$Z"&amp;AA92),"")</f>
        <v>Space_10_damper_position_sensor</v>
      </c>
      <c r="AP92" t="str">
        <f t="shared" si="7"/>
        <v/>
      </c>
      <c r="AQ92" t="str">
        <f t="shared" si="8"/>
        <v/>
      </c>
      <c r="AR92" t="str">
        <f t="shared" si="9"/>
        <v/>
      </c>
      <c r="AS92" t="str">
        <f t="shared" si="10"/>
        <v/>
      </c>
    </row>
    <row r="93" spans="5:45" x14ac:dyDescent="0.25">
      <c r="E93" t="str">
        <f ca="1"/>
        <v/>
      </c>
      <c r="F93" t="str">
        <f ca="1"/>
        <v/>
      </c>
      <c r="G93" t="str">
        <f ca="1"/>
        <v>Space_10_temperature_sensor</v>
      </c>
      <c r="P93" cm="1">
        <f t="array" ref="P93">INDEX($B$2:$D$40,MOD(ROW()-ROW($B$2),ROWS($B$2:$D$40))+1,INT((ROW()-ROW($B$2))/ROWS($B$2:$D$40))+1)</f>
        <v>0</v>
      </c>
      <c r="Q93" t="e">
        <f t="shared" ca="1" si="11"/>
        <v>#N/A</v>
      </c>
      <c r="R93" t="str" cm="1">
        <f t="array" aca="1" ref="R93" ca="1">IFERROR(INDIRECT("$P"&amp;Q93),"")</f>
        <v/>
      </c>
      <c r="U93" t="e" cm="1">
        <f t="array" ref="U93">INDEX($C$2:$D$40,MOD(ROW()-ROW($C$2),ROWS($C$2:$D$40))+1,INT((ROW()-ROW($C$2))/ROWS($C$2:$D$40))+1)</f>
        <v>#REF!</v>
      </c>
      <c r="V93" t="e">
        <f t="shared" ca="1" si="12"/>
        <v>#N/A</v>
      </c>
      <c r="W93" t="str" cm="1">
        <f t="array" aca="1" ref="W93" ca="1">IFERROR(INDIRECT("$U"&amp;V93),"")</f>
        <v/>
      </c>
      <c r="Z93" cm="1">
        <f t="array" ref="Z93">INDEX($AE$2:$AS$40,MOD(ROW()-ROW($AE$2),ROWS($AE$2:$AS$40))+1,INT((ROW()-ROW($AE$2))/ROWS($AE$2:$AS$40))+1)</f>
        <v>0</v>
      </c>
      <c r="AA93">
        <f t="shared" ca="1" si="13"/>
        <v>320</v>
      </c>
      <c r="AB93" t="str" cm="1">
        <f t="array" aca="1" ref="AB93" ca="1">IFERROR(INDIRECT("$Z"&amp;AA93),"")</f>
        <v>Space_10_temperature_sensor</v>
      </c>
      <c r="AP93" t="str">
        <f t="shared" si="7"/>
        <v/>
      </c>
      <c r="AQ93" t="str">
        <f t="shared" si="8"/>
        <v/>
      </c>
      <c r="AR93" t="str">
        <f t="shared" si="9"/>
        <v/>
      </c>
      <c r="AS93" t="str">
        <f t="shared" si="10"/>
        <v/>
      </c>
    </row>
    <row r="94" spans="5:45" x14ac:dyDescent="0.25">
      <c r="E94" t="str">
        <f ca="1"/>
        <v/>
      </c>
      <c r="F94" t="str">
        <f ca="1"/>
        <v/>
      </c>
      <c r="G94" t="str">
        <f ca="1"/>
        <v>Space_10_valve_position_sensor</v>
      </c>
      <c r="P94" cm="1">
        <f t="array" ref="P94">INDEX($B$2:$D$40,MOD(ROW()-ROW($B$2),ROWS($B$2:$D$40))+1,INT((ROW()-ROW($B$2))/ROWS($B$2:$D$40))+1)</f>
        <v>0</v>
      </c>
      <c r="Q94" t="e">
        <f t="shared" ca="1" si="11"/>
        <v>#N/A</v>
      </c>
      <c r="R94" t="str" cm="1">
        <f t="array" aca="1" ref="R94" ca="1">IFERROR(INDIRECT("$P"&amp;Q94),"")</f>
        <v/>
      </c>
      <c r="U94" t="e" cm="1">
        <f t="array" ref="U94">INDEX($C$2:$D$40,MOD(ROW()-ROW($C$2),ROWS($C$2:$D$40))+1,INT((ROW()-ROW($C$2))/ROWS($C$2:$D$40))+1)</f>
        <v>#REF!</v>
      </c>
      <c r="V94" t="e">
        <f t="shared" ca="1" si="12"/>
        <v>#N/A</v>
      </c>
      <c r="W94" t="str" cm="1">
        <f t="array" aca="1" ref="W94" ca="1">IFERROR(INDIRECT("$U"&amp;V94),"")</f>
        <v/>
      </c>
      <c r="Z94" cm="1">
        <f t="array" ref="Z94">INDEX($AE$2:$AS$40,MOD(ROW()-ROW($AE$2),ROWS($AE$2:$AS$40))+1,INT((ROW()-ROW($AE$2))/ROWS($AE$2:$AS$40))+1)</f>
        <v>0</v>
      </c>
      <c r="AA94">
        <f t="shared" ca="1" si="13"/>
        <v>321</v>
      </c>
      <c r="AB94" t="str" cm="1">
        <f t="array" aca="1" ref="AB94" ca="1">IFERROR(INDIRECT("$Z"&amp;AA94),"")</f>
        <v>Space_10_valve_position_sensor</v>
      </c>
      <c r="AP94" t="str">
        <f t="shared" si="7"/>
        <v/>
      </c>
      <c r="AQ94" t="str">
        <f t="shared" si="8"/>
        <v/>
      </c>
      <c r="AR94" t="str">
        <f t="shared" si="9"/>
        <v/>
      </c>
      <c r="AS94" t="str">
        <f t="shared" si="10"/>
        <v/>
      </c>
    </row>
    <row r="95" spans="5:45" x14ac:dyDescent="0.25">
      <c r="E95" t="str">
        <f ca="1"/>
        <v/>
      </c>
      <c r="F95" t="str">
        <f ca="1"/>
        <v/>
      </c>
      <c r="G95" t="str">
        <f ca="1"/>
        <v>Space_11_co2_sensor</v>
      </c>
      <c r="P95" cm="1">
        <f t="array" ref="P95">INDEX($B$2:$D$40,MOD(ROW()-ROW($B$2),ROWS($B$2:$D$40))+1,INT((ROW()-ROW($B$2))/ROWS($B$2:$D$40))+1)</f>
        <v>0</v>
      </c>
      <c r="Q95" t="e">
        <f t="shared" ca="1" si="11"/>
        <v>#N/A</v>
      </c>
      <c r="R95" t="str" cm="1">
        <f t="array" aca="1" ref="R95" ca="1">IFERROR(INDIRECT("$P"&amp;Q95),"")</f>
        <v/>
      </c>
      <c r="U95" t="e" cm="1">
        <f t="array" ref="U95">INDEX($C$2:$D$40,MOD(ROW()-ROW($C$2),ROWS($C$2:$D$40))+1,INT((ROW()-ROW($C$2))/ROWS($C$2:$D$40))+1)</f>
        <v>#REF!</v>
      </c>
      <c r="V95" t="e">
        <f t="shared" ca="1" si="12"/>
        <v>#N/A</v>
      </c>
      <c r="W95" t="str" cm="1">
        <f t="array" aca="1" ref="W95" ca="1">IFERROR(INDIRECT("$U"&amp;V95),"")</f>
        <v/>
      </c>
      <c r="Z95" cm="1">
        <f t="array" ref="Z95">INDEX($AE$2:$AS$40,MOD(ROW()-ROW($AE$2),ROWS($AE$2:$AS$40))+1,INT((ROW()-ROW($AE$2))/ROWS($AE$2:$AS$40))+1)</f>
        <v>0</v>
      </c>
      <c r="AA95">
        <f t="shared" ca="1" si="13"/>
        <v>322</v>
      </c>
      <c r="AB95" t="str" cm="1">
        <f t="array" aca="1" ref="AB95" ca="1">IFERROR(INDIRECT("$Z"&amp;AA95),"")</f>
        <v>Space_11_co2_sensor</v>
      </c>
      <c r="AP95" t="str">
        <f t="shared" si="7"/>
        <v/>
      </c>
      <c r="AQ95" t="str">
        <f t="shared" si="8"/>
        <v/>
      </c>
      <c r="AR95" t="str">
        <f t="shared" si="9"/>
        <v/>
      </c>
      <c r="AS95" t="str">
        <f t="shared" si="10"/>
        <v/>
      </c>
    </row>
    <row r="96" spans="5:45" x14ac:dyDescent="0.25">
      <c r="E96" t="str">
        <f ca="1"/>
        <v/>
      </c>
      <c r="F96" t="str">
        <f ca="1"/>
        <v/>
      </c>
      <c r="G96" t="str">
        <f ca="1"/>
        <v>Space_11_damper_position_sensor</v>
      </c>
      <c r="P96" cm="1">
        <f t="array" ref="P96">INDEX($B$2:$D$40,MOD(ROW()-ROW($B$2),ROWS($B$2:$D$40))+1,INT((ROW()-ROW($B$2))/ROWS($B$2:$D$40))+1)</f>
        <v>0</v>
      </c>
      <c r="Q96" t="e">
        <f t="shared" ca="1" si="11"/>
        <v>#N/A</v>
      </c>
      <c r="R96" t="str" cm="1">
        <f t="array" aca="1" ref="R96" ca="1">IFERROR(INDIRECT("$P"&amp;Q96),"")</f>
        <v/>
      </c>
      <c r="U96" t="e" cm="1">
        <f t="array" ref="U96">INDEX($C$2:$D$40,MOD(ROW()-ROW($C$2),ROWS($C$2:$D$40))+1,INT((ROW()-ROW($C$2))/ROWS($C$2:$D$40))+1)</f>
        <v>#REF!</v>
      </c>
      <c r="V96" t="e">
        <f t="shared" ca="1" si="12"/>
        <v>#N/A</v>
      </c>
      <c r="W96" t="str" cm="1">
        <f t="array" aca="1" ref="W96" ca="1">IFERROR(INDIRECT("$U"&amp;V96),"")</f>
        <v/>
      </c>
      <c r="Z96" cm="1">
        <f t="array" ref="Z96">INDEX($AE$2:$AS$40,MOD(ROW()-ROW($AE$2),ROWS($AE$2:$AS$40))+1,INT((ROW()-ROW($AE$2))/ROWS($AE$2:$AS$40))+1)</f>
        <v>0</v>
      </c>
      <c r="AA96">
        <f t="shared" ca="1" si="13"/>
        <v>323</v>
      </c>
      <c r="AB96" t="str" cm="1">
        <f t="array" aca="1" ref="AB96" ca="1">IFERROR(INDIRECT("$Z"&amp;AA96),"")</f>
        <v>Space_11_damper_position_sensor</v>
      </c>
      <c r="AP96" t="str">
        <f t="shared" si="7"/>
        <v/>
      </c>
      <c r="AQ96" t="str">
        <f t="shared" si="8"/>
        <v/>
      </c>
      <c r="AR96" t="str">
        <f t="shared" si="9"/>
        <v/>
      </c>
      <c r="AS96" t="str">
        <f t="shared" si="10"/>
        <v/>
      </c>
    </row>
    <row r="97" spans="5:45" x14ac:dyDescent="0.25">
      <c r="E97" t="str">
        <f ca="1"/>
        <v/>
      </c>
      <c r="F97" t="str">
        <f ca="1"/>
        <v/>
      </c>
      <c r="G97" t="str">
        <f ca="1"/>
        <v>Space_11_temperature_sensor</v>
      </c>
      <c r="P97" cm="1">
        <f t="array" ref="P97">INDEX($B$2:$D$40,MOD(ROW()-ROW($B$2),ROWS($B$2:$D$40))+1,INT((ROW()-ROW($B$2))/ROWS($B$2:$D$40))+1)</f>
        <v>0</v>
      </c>
      <c r="Q97" t="e">
        <f t="shared" ca="1" si="11"/>
        <v>#N/A</v>
      </c>
      <c r="R97" t="str" cm="1">
        <f t="array" aca="1" ref="R97" ca="1">IFERROR(INDIRECT("$P"&amp;Q97),"")</f>
        <v/>
      </c>
      <c r="U97" t="e" cm="1">
        <f t="array" ref="U97">INDEX($C$2:$D$40,MOD(ROW()-ROW($C$2),ROWS($C$2:$D$40))+1,INT((ROW()-ROW($C$2))/ROWS($C$2:$D$40))+1)</f>
        <v>#REF!</v>
      </c>
      <c r="V97" t="e">
        <f t="shared" ca="1" si="12"/>
        <v>#N/A</v>
      </c>
      <c r="W97" t="str" cm="1">
        <f t="array" aca="1" ref="W97" ca="1">IFERROR(INDIRECT("$U"&amp;V97),"")</f>
        <v/>
      </c>
      <c r="Z97" cm="1">
        <f t="array" ref="Z97">INDEX($AE$2:$AS$40,MOD(ROW()-ROW($AE$2),ROWS($AE$2:$AS$40))+1,INT((ROW()-ROW($AE$2))/ROWS($AE$2:$AS$40))+1)</f>
        <v>0</v>
      </c>
      <c r="AA97">
        <f t="shared" ca="1" si="13"/>
        <v>324</v>
      </c>
      <c r="AB97" t="str" cm="1">
        <f t="array" aca="1" ref="AB97" ca="1">IFERROR(INDIRECT("$Z"&amp;AA97),"")</f>
        <v>Space_11_temperature_sensor</v>
      </c>
      <c r="AP97" t="str">
        <f t="shared" si="7"/>
        <v/>
      </c>
      <c r="AQ97" t="str">
        <f t="shared" si="8"/>
        <v/>
      </c>
      <c r="AR97" t="str">
        <f t="shared" si="9"/>
        <v/>
      </c>
      <c r="AS97" t="str">
        <f t="shared" si="10"/>
        <v/>
      </c>
    </row>
    <row r="98" spans="5:45" x14ac:dyDescent="0.25">
      <c r="E98" t="str">
        <f ca="1"/>
        <v/>
      </c>
      <c r="F98" t="str">
        <f ca="1"/>
        <v/>
      </c>
      <c r="G98" t="str">
        <f ca="1"/>
        <v>Space_11_valve_position_sensor</v>
      </c>
      <c r="P98" cm="1">
        <f t="array" ref="P98">INDEX($B$2:$D$40,MOD(ROW()-ROW($B$2),ROWS($B$2:$D$40))+1,INT((ROW()-ROW($B$2))/ROWS($B$2:$D$40))+1)</f>
        <v>0</v>
      </c>
      <c r="Q98" t="e">
        <f t="shared" ca="1" si="11"/>
        <v>#N/A</v>
      </c>
      <c r="R98" t="str" cm="1">
        <f t="array" aca="1" ref="R98" ca="1">IFERROR(INDIRECT("$P"&amp;Q98),"")</f>
        <v/>
      </c>
      <c r="U98" t="e" cm="1">
        <f t="array" ref="U98">INDEX($C$2:$D$40,MOD(ROW()-ROW($C$2),ROWS($C$2:$D$40))+1,INT((ROW()-ROW($C$2))/ROWS($C$2:$D$40))+1)</f>
        <v>#REF!</v>
      </c>
      <c r="V98" t="e">
        <f t="shared" ca="1" si="12"/>
        <v>#N/A</v>
      </c>
      <c r="W98" t="str" cm="1">
        <f t="array" aca="1" ref="W98" ca="1">IFERROR(INDIRECT("$U"&amp;V98),"")</f>
        <v/>
      </c>
      <c r="Z98" cm="1">
        <f t="array" ref="Z98">INDEX($AE$2:$AS$40,MOD(ROW()-ROW($AE$2),ROWS($AE$2:$AS$40))+1,INT((ROW()-ROW($AE$2))/ROWS($AE$2:$AS$40))+1)</f>
        <v>0</v>
      </c>
      <c r="AA98">
        <f t="shared" ca="1" si="13"/>
        <v>325</v>
      </c>
      <c r="AB98" t="str" cm="1">
        <f t="array" aca="1" ref="AB98" ca="1">IFERROR(INDIRECT("$Z"&amp;AA98),"")</f>
        <v>Space_11_valve_position_sensor</v>
      </c>
      <c r="AP98" t="str">
        <f t="shared" si="7"/>
        <v/>
      </c>
      <c r="AQ98" t="str">
        <f t="shared" si="8"/>
        <v/>
      </c>
      <c r="AR98" t="str">
        <f t="shared" si="9"/>
        <v/>
      </c>
      <c r="AS98" t="str">
        <f t="shared" si="10"/>
        <v/>
      </c>
    </row>
    <row r="99" spans="5:45" x14ac:dyDescent="0.25">
      <c r="E99" t="str">
        <f ca="1"/>
        <v/>
      </c>
      <c r="F99" t="str">
        <f ca="1"/>
        <v/>
      </c>
      <c r="G99" t="str">
        <f ca="1"/>
        <v>Space_12_co2_sensor</v>
      </c>
      <c r="P99" cm="1">
        <f t="array" ref="P99">INDEX($B$2:$D$40,MOD(ROW()-ROW($B$2),ROWS($B$2:$D$40))+1,INT((ROW()-ROW($B$2))/ROWS($B$2:$D$40))+1)</f>
        <v>0</v>
      </c>
      <c r="Q99" t="e">
        <f t="shared" ca="1" si="11"/>
        <v>#N/A</v>
      </c>
      <c r="R99" t="str" cm="1">
        <f t="array" aca="1" ref="R99" ca="1">IFERROR(INDIRECT("$P"&amp;Q99),"")</f>
        <v/>
      </c>
      <c r="U99" t="e" cm="1">
        <f t="array" ref="U99">INDEX($C$2:$D$40,MOD(ROW()-ROW($C$2),ROWS($C$2:$D$40))+1,INT((ROW()-ROW($C$2))/ROWS($C$2:$D$40))+1)</f>
        <v>#REF!</v>
      </c>
      <c r="V99" t="e">
        <f t="shared" ca="1" si="12"/>
        <v>#N/A</v>
      </c>
      <c r="W99" t="str" cm="1">
        <f t="array" aca="1" ref="W99" ca="1">IFERROR(INDIRECT("$U"&amp;V99),"")</f>
        <v/>
      </c>
      <c r="Z99" cm="1">
        <f t="array" ref="Z99">INDEX($AE$2:$AS$40,MOD(ROW()-ROW($AE$2),ROWS($AE$2:$AS$40))+1,INT((ROW()-ROW($AE$2))/ROWS($AE$2:$AS$40))+1)</f>
        <v>0</v>
      </c>
      <c r="AA99">
        <f t="shared" ca="1" si="13"/>
        <v>326</v>
      </c>
      <c r="AB99" t="str" cm="1">
        <f t="array" aca="1" ref="AB99" ca="1">IFERROR(INDIRECT("$Z"&amp;AA99),"")</f>
        <v>Space_12_co2_sensor</v>
      </c>
      <c r="AP99" t="str">
        <f t="shared" si="7"/>
        <v/>
      </c>
      <c r="AQ99" t="str">
        <f t="shared" si="8"/>
        <v/>
      </c>
      <c r="AR99" t="str">
        <f t="shared" si="9"/>
        <v/>
      </c>
      <c r="AS99" t="str">
        <f t="shared" si="10"/>
        <v/>
      </c>
    </row>
    <row r="100" spans="5:45" x14ac:dyDescent="0.25">
      <c r="E100" t="str">
        <f ca="1"/>
        <v/>
      </c>
      <c r="F100" t="str">
        <f ca="1"/>
        <v/>
      </c>
      <c r="G100" t="str">
        <f ca="1"/>
        <v>Space_12_damper_position_sensor</v>
      </c>
      <c r="P100" cm="1">
        <f t="array" ref="P100">INDEX($B$2:$D$40,MOD(ROW()-ROW($B$2),ROWS($B$2:$D$40))+1,INT((ROW()-ROW($B$2))/ROWS($B$2:$D$40))+1)</f>
        <v>0</v>
      </c>
      <c r="Q100" t="e">
        <f t="shared" ca="1" si="11"/>
        <v>#N/A</v>
      </c>
      <c r="R100" t="str" cm="1">
        <f t="array" aca="1" ref="R100" ca="1">IFERROR(INDIRECT("$P"&amp;Q100),"")</f>
        <v/>
      </c>
      <c r="U100" t="e" cm="1">
        <f t="array" ref="U100">INDEX($C$2:$D$40,MOD(ROW()-ROW($C$2),ROWS($C$2:$D$40))+1,INT((ROW()-ROW($C$2))/ROWS($C$2:$D$40))+1)</f>
        <v>#REF!</v>
      </c>
      <c r="V100" t="e">
        <f t="shared" ca="1" si="12"/>
        <v>#N/A</v>
      </c>
      <c r="W100" t="str" cm="1">
        <f t="array" aca="1" ref="W100" ca="1">IFERROR(INDIRECT("$U"&amp;V100),"")</f>
        <v/>
      </c>
      <c r="Z100" cm="1">
        <f t="array" ref="Z100">INDEX($AE$2:$AS$40,MOD(ROW()-ROW($AE$2),ROWS($AE$2:$AS$40))+1,INT((ROW()-ROW($AE$2))/ROWS($AE$2:$AS$40))+1)</f>
        <v>0</v>
      </c>
      <c r="AA100">
        <f t="shared" ca="1" si="13"/>
        <v>327</v>
      </c>
      <c r="AB100" t="str" cm="1">
        <f t="array" aca="1" ref="AB100" ca="1">IFERROR(INDIRECT("$Z"&amp;AA100),"")</f>
        <v>Space_12_damper_position_sensor</v>
      </c>
      <c r="AP100" t="str">
        <f t="shared" si="7"/>
        <v/>
      </c>
      <c r="AQ100" t="str">
        <f t="shared" si="8"/>
        <v/>
      </c>
      <c r="AR100" t="str">
        <f t="shared" si="9"/>
        <v/>
      </c>
      <c r="AS100" t="str">
        <f t="shared" si="10"/>
        <v/>
      </c>
    </row>
    <row r="101" spans="5:45" x14ac:dyDescent="0.25">
      <c r="E101" t="str">
        <f ca="1"/>
        <v/>
      </c>
      <c r="F101" t="str">
        <f ca="1"/>
        <v/>
      </c>
      <c r="G101" t="str">
        <f ca="1"/>
        <v>Space_12_temperature_sensor</v>
      </c>
      <c r="P101" cm="1">
        <f t="array" ref="P101">INDEX($B$2:$D$40,MOD(ROW()-ROW($B$2),ROWS($B$2:$D$40))+1,INT((ROW()-ROW($B$2))/ROWS($B$2:$D$40))+1)</f>
        <v>0</v>
      </c>
      <c r="Q101" t="e">
        <f t="shared" ca="1" si="11"/>
        <v>#N/A</v>
      </c>
      <c r="R101" t="str" cm="1">
        <f t="array" aca="1" ref="R101" ca="1">IFERROR(INDIRECT("$P"&amp;Q101),"")</f>
        <v/>
      </c>
      <c r="U101" t="e" cm="1">
        <f t="array" ref="U101">INDEX($C$2:$D$40,MOD(ROW()-ROW($C$2),ROWS($C$2:$D$40))+1,INT((ROW()-ROW($C$2))/ROWS($C$2:$D$40))+1)</f>
        <v>#REF!</v>
      </c>
      <c r="V101" t="e">
        <f t="shared" ca="1" si="12"/>
        <v>#N/A</v>
      </c>
      <c r="W101" t="str" cm="1">
        <f t="array" aca="1" ref="W101" ca="1">IFERROR(INDIRECT("$U"&amp;V101),"")</f>
        <v/>
      </c>
      <c r="Z101" cm="1">
        <f t="array" ref="Z101">INDEX($AE$2:$AS$40,MOD(ROW()-ROW($AE$2),ROWS($AE$2:$AS$40))+1,INT((ROW()-ROW($AE$2))/ROWS($AE$2:$AS$40))+1)</f>
        <v>0</v>
      </c>
      <c r="AA101">
        <f t="shared" ca="1" si="13"/>
        <v>328</v>
      </c>
      <c r="AB101" t="str" cm="1">
        <f t="array" aca="1" ref="AB101" ca="1">IFERROR(INDIRECT("$Z"&amp;AA101),"")</f>
        <v>Space_12_temperature_sensor</v>
      </c>
      <c r="AP101" t="str">
        <f t="shared" si="7"/>
        <v/>
      </c>
      <c r="AQ101" t="str">
        <f t="shared" si="8"/>
        <v/>
      </c>
      <c r="AR101" t="str">
        <f t="shared" si="9"/>
        <v/>
      </c>
      <c r="AS101" t="str">
        <f t="shared" si="10"/>
        <v/>
      </c>
    </row>
    <row r="102" spans="5:45" x14ac:dyDescent="0.25">
      <c r="E102" t="str">
        <f ca="1"/>
        <v/>
      </c>
      <c r="F102" t="str">
        <f ca="1"/>
        <v/>
      </c>
      <c r="G102" t="str">
        <f ca="1"/>
        <v>Space_12_valve_position_sensor</v>
      </c>
      <c r="P102" cm="1">
        <f t="array" ref="P102">INDEX($B$2:$D$40,MOD(ROW()-ROW($B$2),ROWS($B$2:$D$40))+1,INT((ROW()-ROW($B$2))/ROWS($B$2:$D$40))+1)</f>
        <v>0</v>
      </c>
      <c r="Q102" t="e">
        <f t="shared" ca="1" si="11"/>
        <v>#N/A</v>
      </c>
      <c r="R102" t="str" cm="1">
        <f t="array" aca="1" ref="R102" ca="1">IFERROR(INDIRECT("$P"&amp;Q102),"")</f>
        <v/>
      </c>
      <c r="U102" t="e" cm="1">
        <f t="array" ref="U102">INDEX($C$2:$D$40,MOD(ROW()-ROW($C$2),ROWS($C$2:$D$40))+1,INT((ROW()-ROW($C$2))/ROWS($C$2:$D$40))+1)</f>
        <v>#REF!</v>
      </c>
      <c r="V102" t="e">
        <f t="shared" ca="1" si="12"/>
        <v>#N/A</v>
      </c>
      <c r="W102" t="str" cm="1">
        <f t="array" aca="1" ref="W102" ca="1">IFERROR(INDIRECT("$U"&amp;V102),"")</f>
        <v/>
      </c>
      <c r="Z102" cm="1">
        <f t="array" ref="Z102">INDEX($AE$2:$AS$40,MOD(ROW()-ROW($AE$2),ROWS($AE$2:$AS$40))+1,INT((ROW()-ROW($AE$2))/ROWS($AE$2:$AS$40))+1)</f>
        <v>0</v>
      </c>
      <c r="AA102">
        <f t="shared" ca="1" si="13"/>
        <v>329</v>
      </c>
      <c r="AB102" t="str" cm="1">
        <f t="array" aca="1" ref="AB102" ca="1">IFERROR(INDIRECT("$Z"&amp;AA102),"")</f>
        <v>Space_12_valve_position_sensor</v>
      </c>
      <c r="AP102" t="str">
        <f t="shared" si="7"/>
        <v/>
      </c>
      <c r="AQ102" t="str">
        <f t="shared" si="8"/>
        <v/>
      </c>
      <c r="AR102" t="str">
        <f t="shared" si="9"/>
        <v/>
      </c>
      <c r="AS102" t="str">
        <f t="shared" si="10"/>
        <v/>
      </c>
    </row>
    <row r="103" spans="5:45" x14ac:dyDescent="0.25">
      <c r="E103" t="str">
        <f ca="1"/>
        <v/>
      </c>
      <c r="F103" t="str">
        <f ca="1"/>
        <v/>
      </c>
      <c r="G103" t="str">
        <f ca="1"/>
        <v>BPA001</v>
      </c>
      <c r="P103" cm="1">
        <f t="array" ref="P103">INDEX($B$2:$D$40,MOD(ROW()-ROW($B$2),ROWS($B$2:$D$40))+1,INT((ROW()-ROW($B$2))/ROWS($B$2:$D$40))+1)</f>
        <v>0</v>
      </c>
      <c r="Q103" t="e">
        <f t="shared" ca="1" si="11"/>
        <v>#N/A</v>
      </c>
      <c r="R103" t="str" cm="1">
        <f t="array" aca="1" ref="R103" ca="1">IFERROR(INDIRECT("$P"&amp;Q103),"")</f>
        <v/>
      </c>
      <c r="U103" t="e" cm="1">
        <f t="array" ref="U103">INDEX($C$2:$D$40,MOD(ROW()-ROW($C$2),ROWS($C$2:$D$40))+1,INT((ROW()-ROW($C$2))/ROWS($C$2:$D$40))+1)</f>
        <v>#REF!</v>
      </c>
      <c r="V103" t="e">
        <f t="shared" ca="1" si="12"/>
        <v>#N/A</v>
      </c>
      <c r="W103" t="str" cm="1">
        <f t="array" aca="1" ref="W103" ca="1">IFERROR(INDIRECT("$U"&amp;V103),"")</f>
        <v/>
      </c>
      <c r="Z103" cm="1">
        <f t="array" ref="Z103">INDEX($AE$2:$AS$40,MOD(ROW()-ROW($AE$2),ROWS($AE$2:$AS$40))+1,INT((ROW()-ROW($AE$2))/ROWS($AE$2:$AS$40))+1)</f>
        <v>0</v>
      </c>
      <c r="AA103">
        <f t="shared" ca="1" si="13"/>
        <v>330</v>
      </c>
      <c r="AB103" t="str" cm="1">
        <f t="array" aca="1" ref="AB103" ca="1">IFERROR(INDIRECT("$Z"&amp;AA103),"")</f>
        <v>BPA001</v>
      </c>
      <c r="AP103" t="str">
        <f t="shared" si="7"/>
        <v/>
      </c>
      <c r="AQ103" t="str">
        <f t="shared" si="8"/>
        <v/>
      </c>
      <c r="AR103" t="str">
        <f t="shared" si="9"/>
        <v/>
      </c>
      <c r="AS103" t="str">
        <f t="shared" si="10"/>
        <v/>
      </c>
    </row>
    <row r="104" spans="5:45" x14ac:dyDescent="0.25">
      <c r="E104" t="str">
        <f ca="1"/>
        <v/>
      </c>
      <c r="F104" t="str">
        <f ca="1"/>
        <v/>
      </c>
      <c r="G104" t="str">
        <f ca="1"/>
        <v>BPA002</v>
      </c>
      <c r="P104" cm="1">
        <f t="array" ref="P104">INDEX($B$2:$D$40,MOD(ROW()-ROW($B$2),ROWS($B$2:$D$40))+1,INT((ROW()-ROW($B$2))/ROWS($B$2:$D$40))+1)</f>
        <v>0</v>
      </c>
      <c r="Q104" t="e">
        <f t="shared" ca="1" si="11"/>
        <v>#N/A</v>
      </c>
      <c r="R104" t="str" cm="1">
        <f t="array" aca="1" ref="R104" ca="1">IFERROR(INDIRECT("$P"&amp;Q104),"")</f>
        <v/>
      </c>
      <c r="U104" t="e" cm="1">
        <f t="array" ref="U104">INDEX($C$2:$D$40,MOD(ROW()-ROW($C$2),ROWS($C$2:$D$40))+1,INT((ROW()-ROW($C$2))/ROWS($C$2:$D$40))+1)</f>
        <v>#REF!</v>
      </c>
      <c r="V104" t="e">
        <f t="shared" ca="1" si="12"/>
        <v>#N/A</v>
      </c>
      <c r="W104" t="str" cm="1">
        <f t="array" aca="1" ref="W104" ca="1">IFERROR(INDIRECT("$U"&amp;V104),"")</f>
        <v/>
      </c>
      <c r="Z104" cm="1">
        <f t="array" ref="Z104">INDEX($AE$2:$AS$40,MOD(ROW()-ROW($AE$2),ROWS($AE$2:$AS$40))+1,INT((ROW()-ROW($AE$2))/ROWS($AE$2:$AS$40))+1)</f>
        <v>0</v>
      </c>
      <c r="AA104">
        <f t="shared" ca="1" si="13"/>
        <v>331</v>
      </c>
      <c r="AB104" t="str" cm="1">
        <f t="array" aca="1" ref="AB104" ca="1">IFERROR(INDIRECT("$Z"&amp;AA104),"")</f>
        <v>BPA002</v>
      </c>
      <c r="AP104" t="str">
        <f t="shared" si="7"/>
        <v/>
      </c>
      <c r="AQ104" t="str">
        <f t="shared" si="8"/>
        <v/>
      </c>
      <c r="AR104" t="str">
        <f t="shared" si="9"/>
        <v/>
      </c>
      <c r="AS104" t="str">
        <f t="shared" si="10"/>
        <v/>
      </c>
    </row>
    <row r="105" spans="5:45" x14ac:dyDescent="0.25">
      <c r="E105" t="str">
        <f ca="1"/>
        <v/>
      </c>
      <c r="F105" t="str">
        <f ca="1"/>
        <v/>
      </c>
      <c r="G105" t="str">
        <f ca="1"/>
        <v>BPA003_exhaust</v>
      </c>
      <c r="P105" cm="1">
        <f t="array" ref="P105">INDEX($B$2:$D$40,MOD(ROW()-ROW($B$2),ROWS($B$2:$D$40))+1,INT((ROW()-ROW($B$2))/ROWS($B$2:$D$40))+1)</f>
        <v>0</v>
      </c>
      <c r="Q105" t="e">
        <f t="shared" ca="1" si="11"/>
        <v>#N/A</v>
      </c>
      <c r="R105" t="str" cm="1">
        <f t="array" aca="1" ref="R105" ca="1">IFERROR(INDIRECT("$P"&amp;Q105),"")</f>
        <v/>
      </c>
      <c r="U105" t="e" cm="1">
        <f t="array" ref="U105">INDEX($C$2:$D$40,MOD(ROW()-ROW($C$2),ROWS($C$2:$D$40))+1,INT((ROW()-ROW($C$2))/ROWS($C$2:$D$40))+1)</f>
        <v>#REF!</v>
      </c>
      <c r="V105" t="e">
        <f t="shared" ca="1" si="12"/>
        <v>#N/A</v>
      </c>
      <c r="W105" t="str" cm="1">
        <f t="array" aca="1" ref="W105" ca="1">IFERROR(INDIRECT("$U"&amp;V105),"")</f>
        <v/>
      </c>
      <c r="Z105" cm="1">
        <f t="array" ref="Z105">INDEX($AE$2:$AS$40,MOD(ROW()-ROW($AE$2),ROWS($AE$2:$AS$40))+1,INT((ROW()-ROW($AE$2))/ROWS($AE$2:$AS$40))+1)</f>
        <v>0</v>
      </c>
      <c r="AA105">
        <f t="shared" ca="1" si="13"/>
        <v>332</v>
      </c>
      <c r="AB105" t="str" cm="1">
        <f t="array" aca="1" ref="AB105" ca="1">IFERROR(INDIRECT("$Z"&amp;AA105),"")</f>
        <v>BPA003_exhaust</v>
      </c>
      <c r="AP105" t="str">
        <f t="shared" si="7"/>
        <v/>
      </c>
      <c r="AQ105" t="str">
        <f t="shared" si="8"/>
        <v/>
      </c>
      <c r="AR105" t="str">
        <f t="shared" si="9"/>
        <v/>
      </c>
      <c r="AS105" t="str">
        <f t="shared" si="10"/>
        <v/>
      </c>
    </row>
    <row r="106" spans="5:45" x14ac:dyDescent="0.25">
      <c r="E106" t="str">
        <f ca="1"/>
        <v/>
      </c>
      <c r="F106" t="str">
        <f ca="1"/>
        <v/>
      </c>
      <c r="G106" t="str">
        <f ca="1"/>
        <v>BPA003_supply</v>
      </c>
      <c r="P106" cm="1">
        <f t="array" ref="P106">INDEX($B$2:$D$40,MOD(ROW()-ROW($B$2),ROWS($B$2:$D$40))+1,INT((ROW()-ROW($B$2))/ROWS($B$2:$D$40))+1)</f>
        <v>0</v>
      </c>
      <c r="Q106" t="e">
        <f t="shared" ca="1" si="11"/>
        <v>#N/A</v>
      </c>
      <c r="R106" t="str" cm="1">
        <f t="array" aca="1" ref="R106" ca="1">IFERROR(INDIRECT("$P"&amp;Q106),"")</f>
        <v/>
      </c>
      <c r="U106" t="e" cm="1">
        <f t="array" ref="U106">INDEX($C$2:$D$40,MOD(ROW()-ROW($C$2),ROWS($C$2:$D$40))+1,INT((ROW()-ROW($C$2))/ROWS($C$2:$D$40))+1)</f>
        <v>#REF!</v>
      </c>
      <c r="V106" t="e">
        <f t="shared" ca="1" si="12"/>
        <v>#N/A</v>
      </c>
      <c r="W106" t="str" cm="1">
        <f t="array" aca="1" ref="W106" ca="1">IFERROR(INDIRECT("$U"&amp;V106),"")</f>
        <v/>
      </c>
      <c r="Z106" cm="1">
        <f t="array" ref="Z106">INDEX($AE$2:$AS$40,MOD(ROW()-ROW($AE$2),ROWS($AE$2:$AS$40))+1,INT((ROW()-ROW($AE$2))/ROWS($AE$2:$AS$40))+1)</f>
        <v>0</v>
      </c>
      <c r="AA106">
        <f t="shared" ca="1" si="13"/>
        <v>333</v>
      </c>
      <c r="AB106" t="str" cm="1">
        <f t="array" aca="1" ref="AB106" ca="1">IFERROR(INDIRECT("$Z"&amp;AA106),"")</f>
        <v>BPA003_supply</v>
      </c>
      <c r="AP106" t="str">
        <f t="shared" si="7"/>
        <v/>
      </c>
      <c r="AQ106" t="str">
        <f t="shared" si="8"/>
        <v/>
      </c>
      <c r="AR106" t="str">
        <f t="shared" si="9"/>
        <v/>
      </c>
      <c r="AS106" t="str">
        <f t="shared" si="10"/>
        <v/>
      </c>
    </row>
    <row r="107" spans="5:45" x14ac:dyDescent="0.25">
      <c r="E107" t="str">
        <f ca="1"/>
        <v/>
      </c>
      <c r="F107" t="str">
        <f ca="1"/>
        <v/>
      </c>
      <c r="G107" t="str">
        <f ca="1"/>
        <v>BPA004_exhaust_fan</v>
      </c>
      <c r="P107" cm="1">
        <f t="array" ref="P107">INDEX($B$2:$D$40,MOD(ROW()-ROW($B$2),ROWS($B$2:$D$40))+1,INT((ROW()-ROW($B$2))/ROWS($B$2:$D$40))+1)</f>
        <v>0</v>
      </c>
      <c r="Q107" t="e">
        <f t="shared" ca="1" si="11"/>
        <v>#N/A</v>
      </c>
      <c r="R107" t="str" cm="1">
        <f t="array" aca="1" ref="R107" ca="1">IFERROR(INDIRECT("$P"&amp;Q107),"")</f>
        <v/>
      </c>
      <c r="U107" t="e" cm="1">
        <f t="array" ref="U107">INDEX($C$2:$D$40,MOD(ROW()-ROW($C$2),ROWS($C$2:$D$40))+1,INT((ROW()-ROW($C$2))/ROWS($C$2:$D$40))+1)</f>
        <v>#REF!</v>
      </c>
      <c r="V107" t="e">
        <f t="shared" ca="1" si="12"/>
        <v>#N/A</v>
      </c>
      <c r="W107" t="str" cm="1">
        <f t="array" aca="1" ref="W107" ca="1">IFERROR(INDIRECT("$U"&amp;V107),"")</f>
        <v/>
      </c>
      <c r="Z107" cm="1">
        <f t="array" ref="Z107">INDEX($AE$2:$AS$40,MOD(ROW()-ROW($AE$2),ROWS($AE$2:$AS$40))+1,INT((ROW()-ROW($AE$2))/ROWS($AE$2:$AS$40))+1)</f>
        <v>0</v>
      </c>
      <c r="AA107">
        <f t="shared" ca="1" si="13"/>
        <v>334</v>
      </c>
      <c r="AB107" t="str" cm="1">
        <f t="array" aca="1" ref="AB107" ca="1">IFERROR(INDIRECT("$Z"&amp;AA107),"")</f>
        <v>BPA004_exhaust_fan</v>
      </c>
      <c r="AP107" t="str">
        <f t="shared" si="7"/>
        <v/>
      </c>
      <c r="AQ107" t="str">
        <f t="shared" si="8"/>
        <v/>
      </c>
      <c r="AR107" t="str">
        <f t="shared" si="9"/>
        <v/>
      </c>
      <c r="AS107" t="str">
        <f t="shared" si="10"/>
        <v/>
      </c>
    </row>
    <row r="108" spans="5:45" x14ac:dyDescent="0.25">
      <c r="E108" t="str">
        <f ca="1"/>
        <v/>
      </c>
      <c r="F108" t="str">
        <f ca="1"/>
        <v/>
      </c>
      <c r="G108" t="str">
        <f ca="1"/>
        <v>BPA004_exhaust</v>
      </c>
      <c r="P108" cm="1">
        <f t="array" ref="P108">INDEX($B$2:$D$40,MOD(ROW()-ROW($B$2),ROWS($B$2:$D$40))+1,INT((ROW()-ROW($B$2))/ROWS($B$2:$D$40))+1)</f>
        <v>0</v>
      </c>
      <c r="Q108" t="e">
        <f t="shared" ca="1" si="11"/>
        <v>#N/A</v>
      </c>
      <c r="R108" t="str" cm="1">
        <f t="array" aca="1" ref="R108" ca="1">IFERROR(INDIRECT("$P"&amp;Q108),"")</f>
        <v/>
      </c>
      <c r="U108" t="e" cm="1">
        <f t="array" ref="U108">INDEX($C$2:$D$40,MOD(ROW()-ROW($C$2),ROWS($C$2:$D$40))+1,INT((ROW()-ROW($C$2))/ROWS($C$2:$D$40))+1)</f>
        <v>#REF!</v>
      </c>
      <c r="V108" t="e">
        <f t="shared" ca="1" si="12"/>
        <v>#N/A</v>
      </c>
      <c r="W108" t="str" cm="1">
        <f t="array" aca="1" ref="W108" ca="1">IFERROR(INDIRECT("$U"&amp;V108),"")</f>
        <v/>
      </c>
      <c r="Z108" cm="1">
        <f t="array" ref="Z108">INDEX($AE$2:$AS$40,MOD(ROW()-ROW($AE$2),ROWS($AE$2:$AS$40))+1,INT((ROW()-ROW($AE$2))/ROWS($AE$2:$AS$40))+1)</f>
        <v>0</v>
      </c>
      <c r="AA108">
        <f t="shared" ca="1" si="13"/>
        <v>335</v>
      </c>
      <c r="AB108" t="str" cm="1">
        <f t="array" aca="1" ref="AB108" ca="1">IFERROR(INDIRECT("$Z"&amp;AA108),"")</f>
        <v>BPA004_exhaust</v>
      </c>
      <c r="AP108" t="str">
        <f t="shared" si="7"/>
        <v/>
      </c>
      <c r="AQ108" t="str">
        <f t="shared" si="8"/>
        <v/>
      </c>
      <c r="AR108" t="str">
        <f t="shared" si="9"/>
        <v/>
      </c>
      <c r="AS108" t="str">
        <f t="shared" si="10"/>
        <v/>
      </c>
    </row>
    <row r="109" spans="5:45" x14ac:dyDescent="0.25">
      <c r="E109" t="str">
        <f ca="1"/>
        <v/>
      </c>
      <c r="F109" t="str">
        <f ca="1"/>
        <v/>
      </c>
      <c r="G109" t="str">
        <f ca="1"/>
        <v>BTA001</v>
      </c>
      <c r="P109" cm="1">
        <f t="array" ref="P109">INDEX($B$2:$D$40,MOD(ROW()-ROW($B$2),ROWS($B$2:$D$40))+1,INT((ROW()-ROW($B$2))/ROWS($B$2:$D$40))+1)</f>
        <v>0</v>
      </c>
      <c r="Q109" t="e">
        <f t="shared" ca="1" si="11"/>
        <v>#N/A</v>
      </c>
      <c r="R109" t="str" cm="1">
        <f t="array" aca="1" ref="R109" ca="1">IFERROR(INDIRECT("$P"&amp;Q109),"")</f>
        <v/>
      </c>
      <c r="U109" t="e" cm="1">
        <f t="array" ref="U109">INDEX($C$2:$D$40,MOD(ROW()-ROW($C$2),ROWS($C$2:$D$40))+1,INT((ROW()-ROW($C$2))/ROWS($C$2:$D$40))+1)</f>
        <v>#REF!</v>
      </c>
      <c r="V109" t="e">
        <f t="shared" ca="1" si="12"/>
        <v>#N/A</v>
      </c>
      <c r="W109" t="str" cm="1">
        <f t="array" aca="1" ref="W109" ca="1">IFERROR(INDIRECT("$U"&amp;V109),"")</f>
        <v/>
      </c>
      <c r="Z109" cm="1">
        <f t="array" ref="Z109">INDEX($AE$2:$AS$40,MOD(ROW()-ROW($AE$2),ROWS($AE$2:$AS$40))+1,INT((ROW()-ROW($AE$2))/ROWS($AE$2:$AS$40))+1)</f>
        <v>0</v>
      </c>
      <c r="AA109">
        <f t="shared" ca="1" si="13"/>
        <v>336</v>
      </c>
      <c r="AB109" t="str" cm="1">
        <f t="array" aca="1" ref="AB109" ca="1">IFERROR(INDIRECT("$Z"&amp;AA109),"")</f>
        <v>BTA001</v>
      </c>
      <c r="AP109" t="str">
        <f t="shared" si="7"/>
        <v/>
      </c>
      <c r="AQ109" t="str">
        <f t="shared" si="8"/>
        <v/>
      </c>
      <c r="AR109" t="str">
        <f t="shared" si="9"/>
        <v/>
      </c>
      <c r="AS109" t="str">
        <f t="shared" si="10"/>
        <v/>
      </c>
    </row>
    <row r="110" spans="5:45" x14ac:dyDescent="0.25">
      <c r="E110" t="str">
        <f ca="1"/>
        <v/>
      </c>
      <c r="F110" t="str">
        <f ca="1"/>
        <v/>
      </c>
      <c r="G110" t="str">
        <f ca="1"/>
        <v>BTA002</v>
      </c>
      <c r="P110" cm="1">
        <f t="array" ref="P110">INDEX($B$2:$D$40,MOD(ROW()-ROW($B$2),ROWS($B$2:$D$40))+1,INT((ROW()-ROW($B$2))/ROWS($B$2:$D$40))+1)</f>
        <v>0</v>
      </c>
      <c r="Q110" t="e">
        <f t="shared" ca="1" si="11"/>
        <v>#N/A</v>
      </c>
      <c r="R110" t="str" cm="1">
        <f t="array" aca="1" ref="R110" ca="1">IFERROR(INDIRECT("$P"&amp;Q110),"")</f>
        <v/>
      </c>
      <c r="U110" t="e" cm="1">
        <f t="array" ref="U110">INDEX($C$2:$D$40,MOD(ROW()-ROW($C$2),ROWS($C$2:$D$40))+1,INT((ROW()-ROW($C$2))/ROWS($C$2:$D$40))+1)</f>
        <v>#REF!</v>
      </c>
      <c r="V110" t="e">
        <f t="shared" ca="1" si="12"/>
        <v>#N/A</v>
      </c>
      <c r="W110" t="str" cm="1">
        <f t="array" aca="1" ref="W110" ca="1">IFERROR(INDIRECT("$U"&amp;V110),"")</f>
        <v/>
      </c>
      <c r="Z110" cm="1">
        <f t="array" ref="Z110">INDEX($AE$2:$AS$40,MOD(ROW()-ROW($AE$2),ROWS($AE$2:$AS$40))+1,INT((ROW()-ROW($AE$2))/ROWS($AE$2:$AS$40))+1)</f>
        <v>0</v>
      </c>
      <c r="AA110">
        <f t="shared" ca="1" si="13"/>
        <v>337</v>
      </c>
      <c r="AB110" t="str" cm="1">
        <f t="array" aca="1" ref="AB110" ca="1">IFERROR(INDIRECT("$Z"&amp;AA110),"")</f>
        <v>BTA002</v>
      </c>
      <c r="AP110" t="str">
        <f t="shared" si="7"/>
        <v/>
      </c>
      <c r="AQ110" t="str">
        <f t="shared" si="8"/>
        <v/>
      </c>
      <c r="AR110" t="str">
        <f t="shared" si="9"/>
        <v/>
      </c>
      <c r="AS110" t="str">
        <f t="shared" si="10"/>
        <v/>
      </c>
    </row>
    <row r="111" spans="5:45" x14ac:dyDescent="0.25">
      <c r="E111" t="str">
        <f ca="1"/>
        <v/>
      </c>
      <c r="F111" t="str">
        <f ca="1"/>
        <v/>
      </c>
      <c r="G111" t="str">
        <f ca="1"/>
        <v>BTA003</v>
      </c>
      <c r="P111" cm="1">
        <f t="array" ref="P111">INDEX($B$2:$D$40,MOD(ROW()-ROW($B$2),ROWS($B$2:$D$40))+1,INT((ROW()-ROW($B$2))/ROWS($B$2:$D$40))+1)</f>
        <v>0</v>
      </c>
      <c r="Q111" t="e">
        <f t="shared" ca="1" si="11"/>
        <v>#N/A</v>
      </c>
      <c r="R111" t="str" cm="1">
        <f t="array" aca="1" ref="R111" ca="1">IFERROR(INDIRECT("$P"&amp;Q111),"")</f>
        <v/>
      </c>
      <c r="U111" t="e" cm="1">
        <f t="array" ref="U111">INDEX($C$2:$D$40,MOD(ROW()-ROW($C$2),ROWS($C$2:$D$40))+1,INT((ROW()-ROW($C$2))/ROWS($C$2:$D$40))+1)</f>
        <v>#REF!</v>
      </c>
      <c r="V111" t="e">
        <f t="shared" ca="1" si="12"/>
        <v>#N/A</v>
      </c>
      <c r="W111" t="str" cm="1">
        <f t="array" aca="1" ref="W111" ca="1">IFERROR(INDIRECT("$U"&amp;V111),"")</f>
        <v/>
      </c>
      <c r="Z111" cm="1">
        <f t="array" ref="Z111">INDEX($AE$2:$AS$40,MOD(ROW()-ROW($AE$2),ROWS($AE$2:$AS$40))+1,INT((ROW()-ROW($AE$2))/ROWS($AE$2:$AS$40))+1)</f>
        <v>0</v>
      </c>
      <c r="AA111">
        <f t="shared" ca="1" si="13"/>
        <v>338</v>
      </c>
      <c r="AB111" t="str" cm="1">
        <f t="array" aca="1" ref="AB111" ca="1">IFERROR(INDIRECT("$Z"&amp;AA111),"")</f>
        <v>BTA003</v>
      </c>
      <c r="AP111" t="str">
        <f t="shared" si="7"/>
        <v/>
      </c>
      <c r="AQ111" t="str">
        <f t="shared" si="8"/>
        <v/>
      </c>
      <c r="AR111" t="str">
        <f t="shared" si="9"/>
        <v/>
      </c>
      <c r="AS111" t="str">
        <f t="shared" si="10"/>
        <v/>
      </c>
    </row>
    <row r="112" spans="5:45" x14ac:dyDescent="0.25">
      <c r="E112" t="str">
        <f ca="1"/>
        <v/>
      </c>
      <c r="F112" t="str">
        <f ca="1"/>
        <v/>
      </c>
      <c r="G112" t="str">
        <f ca="1"/>
        <v>BTA004</v>
      </c>
      <c r="P112" cm="1">
        <f t="array" ref="P112">INDEX($B$2:$D$40,MOD(ROW()-ROW($B$2),ROWS($B$2:$D$40))+1,INT((ROW()-ROW($B$2))/ROWS($B$2:$D$40))+1)</f>
        <v>0</v>
      </c>
      <c r="Q112" t="e">
        <f t="shared" ca="1" si="11"/>
        <v>#N/A</v>
      </c>
      <c r="R112" t="str" cm="1">
        <f t="array" aca="1" ref="R112" ca="1">IFERROR(INDIRECT("$P"&amp;Q112),"")</f>
        <v/>
      </c>
      <c r="U112" t="e" cm="1">
        <f t="array" ref="U112">INDEX($C$2:$D$40,MOD(ROW()-ROW($C$2),ROWS($C$2:$D$40))+1,INT((ROW()-ROW($C$2))/ROWS($C$2:$D$40))+1)</f>
        <v>#REF!</v>
      </c>
      <c r="V112" t="e">
        <f t="shared" ca="1" si="12"/>
        <v>#N/A</v>
      </c>
      <c r="W112" t="str" cm="1">
        <f t="array" aca="1" ref="W112" ca="1">IFERROR(INDIRECT("$U"&amp;V112),"")</f>
        <v/>
      </c>
      <c r="Z112" cm="1">
        <f t="array" ref="Z112">INDEX($AE$2:$AS$40,MOD(ROW()-ROW($AE$2),ROWS($AE$2:$AS$40))+1,INT((ROW()-ROW($AE$2))/ROWS($AE$2:$AS$40))+1)</f>
        <v>0</v>
      </c>
      <c r="AA112">
        <f t="shared" ca="1" si="13"/>
        <v>339</v>
      </c>
      <c r="AB112" t="str" cm="1">
        <f t="array" aca="1" ref="AB112" ca="1">IFERROR(INDIRECT("$Z"&amp;AA112),"")</f>
        <v>BTA004</v>
      </c>
      <c r="AP112" t="str">
        <f t="shared" si="7"/>
        <v/>
      </c>
      <c r="AQ112" t="str">
        <f t="shared" si="8"/>
        <v/>
      </c>
      <c r="AR112" t="str">
        <f t="shared" si="9"/>
        <v/>
      </c>
      <c r="AS112" t="str">
        <f t="shared" si="10"/>
        <v/>
      </c>
    </row>
    <row r="113" spans="5:45" x14ac:dyDescent="0.25">
      <c r="E113" t="str">
        <f ca="1"/>
        <v/>
      </c>
      <c r="F113" t="str">
        <f ca="1"/>
        <v/>
      </c>
      <c r="G113" t="str">
        <f ca="1"/>
        <v>BTA005</v>
      </c>
      <c r="P113" cm="1">
        <f t="array" ref="P113">INDEX($B$2:$D$40,MOD(ROW()-ROW($B$2),ROWS($B$2:$D$40))+1,INT((ROW()-ROW($B$2))/ROWS($B$2:$D$40))+1)</f>
        <v>0</v>
      </c>
      <c r="Q113" t="e">
        <f t="shared" ca="1" si="11"/>
        <v>#N/A</v>
      </c>
      <c r="R113" t="str" cm="1">
        <f t="array" aca="1" ref="R113" ca="1">IFERROR(INDIRECT("$P"&amp;Q113),"")</f>
        <v/>
      </c>
      <c r="U113" t="e" cm="1">
        <f t="array" ref="U113">INDEX($C$2:$D$40,MOD(ROW()-ROW($C$2),ROWS($C$2:$D$40))+1,INT((ROW()-ROW($C$2))/ROWS($C$2:$D$40))+1)</f>
        <v>#REF!</v>
      </c>
      <c r="V113" t="e">
        <f t="shared" ca="1" si="12"/>
        <v>#N/A</v>
      </c>
      <c r="W113" t="str" cm="1">
        <f t="array" aca="1" ref="W113" ca="1">IFERROR(INDIRECT("$U"&amp;V113),"")</f>
        <v/>
      </c>
      <c r="Z113" cm="1">
        <f t="array" ref="Z113">INDEX($AE$2:$AS$40,MOD(ROW()-ROW($AE$2),ROWS($AE$2:$AS$40))+1,INT((ROW()-ROW($AE$2))/ROWS($AE$2:$AS$40))+1)</f>
        <v>0</v>
      </c>
      <c r="AA113">
        <f t="shared" ca="1" si="13"/>
        <v>340</v>
      </c>
      <c r="AB113" t="str" cm="1">
        <f t="array" aca="1" ref="AB113" ca="1">IFERROR(INDIRECT("$Z"&amp;AA113),"")</f>
        <v>BTA005</v>
      </c>
      <c r="AP113" t="str">
        <f t="shared" si="7"/>
        <v/>
      </c>
      <c r="AQ113" t="str">
        <f t="shared" si="8"/>
        <v/>
      </c>
      <c r="AR113" t="str">
        <f t="shared" si="9"/>
        <v/>
      </c>
      <c r="AS113" t="str">
        <f t="shared" si="10"/>
        <v/>
      </c>
    </row>
    <row r="114" spans="5:45" x14ac:dyDescent="0.25">
      <c r="E114" t="str">
        <f ca="1"/>
        <v/>
      </c>
      <c r="F114" t="str">
        <f ca="1"/>
        <v/>
      </c>
      <c r="G114" t="str">
        <f ca="1"/>
        <v>BTA006</v>
      </c>
      <c r="P114" cm="1">
        <f t="array" ref="P114">INDEX($B$2:$D$40,MOD(ROW()-ROW($B$2),ROWS($B$2:$D$40))+1,INT((ROW()-ROW($B$2))/ROWS($B$2:$D$40))+1)</f>
        <v>0</v>
      </c>
      <c r="Q114" t="e">
        <f t="shared" ca="1" si="11"/>
        <v>#N/A</v>
      </c>
      <c r="R114" t="str" cm="1">
        <f t="array" aca="1" ref="R114" ca="1">IFERROR(INDIRECT("$P"&amp;Q114),"")</f>
        <v/>
      </c>
      <c r="U114" t="e" cm="1">
        <f t="array" ref="U114">INDEX($C$2:$D$40,MOD(ROW()-ROW($C$2),ROWS($C$2:$D$40))+1,INT((ROW()-ROW($C$2))/ROWS($C$2:$D$40))+1)</f>
        <v>#REF!</v>
      </c>
      <c r="V114" t="e">
        <f t="shared" ca="1" si="12"/>
        <v>#N/A</v>
      </c>
      <c r="W114" t="str" cm="1">
        <f t="array" aca="1" ref="W114" ca="1">IFERROR(INDIRECT("$U"&amp;V114),"")</f>
        <v/>
      </c>
      <c r="Z114" cm="1">
        <f t="array" ref="Z114">INDEX($AE$2:$AS$40,MOD(ROW()-ROW($AE$2),ROWS($AE$2:$AS$40))+1,INT((ROW()-ROW($AE$2))/ROWS($AE$2:$AS$40))+1)</f>
        <v>0</v>
      </c>
      <c r="AA114">
        <f t="shared" ca="1" si="13"/>
        <v>341</v>
      </c>
      <c r="AB114" t="str" cm="1">
        <f t="array" aca="1" ref="AB114" ca="1">IFERROR(INDIRECT("$Z"&amp;AA114),"")</f>
        <v>BTA006</v>
      </c>
      <c r="AP114" t="str">
        <f t="shared" si="7"/>
        <v/>
      </c>
      <c r="AQ114" t="str">
        <f t="shared" si="8"/>
        <v/>
      </c>
      <c r="AR114" t="str">
        <f t="shared" si="9"/>
        <v/>
      </c>
      <c r="AS114" t="str">
        <f t="shared" si="10"/>
        <v/>
      </c>
    </row>
    <row r="115" spans="5:45" x14ac:dyDescent="0.25">
      <c r="E115" t="str">
        <f ca="1"/>
        <v/>
      </c>
      <c r="F115" t="str">
        <f ca="1"/>
        <v/>
      </c>
      <c r="G115" t="str">
        <f ca="1"/>
        <v>Space_7_co2_sensor</v>
      </c>
      <c r="P115" cm="1">
        <f t="array" ref="P115">INDEX($B$2:$D$40,MOD(ROW()-ROW($B$2),ROWS($B$2:$D$40))+1,INT((ROW()-ROW($B$2))/ROWS($B$2:$D$40))+1)</f>
        <v>0</v>
      </c>
      <c r="Q115" t="e">
        <f t="shared" ca="1" si="11"/>
        <v>#N/A</v>
      </c>
      <c r="R115" t="str" cm="1">
        <f t="array" aca="1" ref="R115" ca="1">IFERROR(INDIRECT("$P"&amp;Q115),"")</f>
        <v/>
      </c>
      <c r="U115" t="e" cm="1">
        <f t="array" ref="U115">INDEX($C$2:$D$40,MOD(ROW()-ROW($C$2),ROWS($C$2:$D$40))+1,INT((ROW()-ROW($C$2))/ROWS($C$2:$D$40))+1)</f>
        <v>#REF!</v>
      </c>
      <c r="V115" t="e">
        <f t="shared" ca="1" si="12"/>
        <v>#N/A</v>
      </c>
      <c r="W115" t="str" cm="1">
        <f t="array" aca="1" ref="W115" ca="1">IFERROR(INDIRECT("$U"&amp;V115),"")</f>
        <v/>
      </c>
      <c r="Z115" cm="1">
        <f t="array" ref="Z115">INDEX($AE$2:$AS$40,MOD(ROW()-ROW($AE$2),ROWS($AE$2:$AS$40))+1,INT((ROW()-ROW($AE$2))/ROWS($AE$2:$AS$40))+1)</f>
        <v>0</v>
      </c>
      <c r="AA115">
        <f t="shared" ca="1" si="13"/>
        <v>342</v>
      </c>
      <c r="AB115" t="str" cm="1">
        <f t="array" aca="1" ref="AB115" ca="1">IFERROR(INDIRECT("$Z"&amp;AA115),"")</f>
        <v>Space_7_co2_sensor</v>
      </c>
      <c r="AP115" t="str">
        <f t="shared" si="7"/>
        <v/>
      </c>
      <c r="AQ115" t="str">
        <f t="shared" si="8"/>
        <v/>
      </c>
      <c r="AR115" t="str">
        <f t="shared" si="9"/>
        <v/>
      </c>
      <c r="AS115" t="str">
        <f t="shared" si="10"/>
        <v/>
      </c>
    </row>
    <row r="116" spans="5:45" x14ac:dyDescent="0.25">
      <c r="E116" t="str">
        <f ca="1"/>
        <v/>
      </c>
      <c r="F116" t="str">
        <f ca="1"/>
        <v/>
      </c>
      <c r="G116" t="str">
        <f ca="1"/>
        <v>Space_7_damper_position_sensor</v>
      </c>
      <c r="P116" cm="1">
        <f t="array" ref="P116">INDEX($B$2:$D$40,MOD(ROW()-ROW($B$2),ROWS($B$2:$D$40))+1,INT((ROW()-ROW($B$2))/ROWS($B$2:$D$40))+1)</f>
        <v>0</v>
      </c>
      <c r="Q116" t="e">
        <f t="shared" ca="1" si="11"/>
        <v>#N/A</v>
      </c>
      <c r="R116" t="str" cm="1">
        <f t="array" aca="1" ref="R116" ca="1">IFERROR(INDIRECT("$P"&amp;Q116),"")</f>
        <v/>
      </c>
      <c r="U116" t="e" cm="1">
        <f t="array" ref="U116">INDEX($C$2:$D$40,MOD(ROW()-ROW($C$2),ROWS($C$2:$D$40))+1,INT((ROW()-ROW($C$2))/ROWS($C$2:$D$40))+1)</f>
        <v>#REF!</v>
      </c>
      <c r="V116" t="e">
        <f t="shared" ca="1" si="12"/>
        <v>#N/A</v>
      </c>
      <c r="W116" t="str" cm="1">
        <f t="array" aca="1" ref="W116" ca="1">IFERROR(INDIRECT("$U"&amp;V116),"")</f>
        <v/>
      </c>
      <c r="Z116" cm="1">
        <f t="array" ref="Z116">INDEX($AE$2:$AS$40,MOD(ROW()-ROW($AE$2),ROWS($AE$2:$AS$40))+1,INT((ROW()-ROW($AE$2))/ROWS($AE$2:$AS$40))+1)</f>
        <v>0</v>
      </c>
      <c r="AA116">
        <f t="shared" ca="1" si="13"/>
        <v>343</v>
      </c>
      <c r="AB116" t="str" cm="1">
        <f t="array" aca="1" ref="AB116" ca="1">IFERROR(INDIRECT("$Z"&amp;AA116),"")</f>
        <v>Space_7_damper_position_sensor</v>
      </c>
      <c r="AP116" t="str">
        <f t="shared" si="7"/>
        <v/>
      </c>
      <c r="AQ116" t="str">
        <f t="shared" si="8"/>
        <v/>
      </c>
      <c r="AR116" t="str">
        <f t="shared" si="9"/>
        <v/>
      </c>
      <c r="AS116" t="str">
        <f t="shared" si="10"/>
        <v/>
      </c>
    </row>
    <row r="117" spans="5:45" x14ac:dyDescent="0.25">
      <c r="E117" t="str">
        <f ca="1"/>
        <v/>
      </c>
      <c r="F117" t="str">
        <f ca="1"/>
        <v/>
      </c>
      <c r="G117" t="str">
        <f ca="1"/>
        <v>Space_7_temperature_sensor</v>
      </c>
      <c r="P117" cm="1">
        <f t="array" ref="P117">INDEX($B$2:$D$40,MOD(ROW()-ROW($B$2),ROWS($B$2:$D$40))+1,INT((ROW()-ROW($B$2))/ROWS($B$2:$D$40))+1)</f>
        <v>0</v>
      </c>
      <c r="Q117" t="e">
        <f t="shared" ca="1" si="11"/>
        <v>#N/A</v>
      </c>
      <c r="R117" t="str" cm="1">
        <f t="array" aca="1" ref="R117" ca="1">IFERROR(INDIRECT("$P"&amp;Q117),"")</f>
        <v/>
      </c>
      <c r="U117" t="e" cm="1">
        <f t="array" ref="U117">INDEX($C$2:$D$40,MOD(ROW()-ROW($C$2),ROWS($C$2:$D$40))+1,INT((ROW()-ROW($C$2))/ROWS($C$2:$D$40))+1)</f>
        <v>#REF!</v>
      </c>
      <c r="V117" t="e">
        <f t="shared" ca="1" si="12"/>
        <v>#N/A</v>
      </c>
      <c r="W117" t="str" cm="1">
        <f t="array" aca="1" ref="W117" ca="1">IFERROR(INDIRECT("$U"&amp;V117),"")</f>
        <v/>
      </c>
      <c r="Z117" cm="1">
        <f t="array" ref="Z117">INDEX($AE$2:$AS$40,MOD(ROW()-ROW($AE$2),ROWS($AE$2:$AS$40))+1,INT((ROW()-ROW($AE$2))/ROWS($AE$2:$AS$40))+1)</f>
        <v>0</v>
      </c>
      <c r="AA117">
        <f t="shared" ca="1" si="13"/>
        <v>344</v>
      </c>
      <c r="AB117" t="str" cm="1">
        <f t="array" aca="1" ref="AB117" ca="1">IFERROR(INDIRECT("$Z"&amp;AA117),"")</f>
        <v>Space_7_temperature_sensor</v>
      </c>
      <c r="AP117" t="str">
        <f t="shared" si="7"/>
        <v/>
      </c>
      <c r="AQ117" t="str">
        <f t="shared" si="8"/>
        <v/>
      </c>
      <c r="AR117" t="str">
        <f t="shared" si="9"/>
        <v/>
      </c>
      <c r="AS117" t="str">
        <f t="shared" si="10"/>
        <v/>
      </c>
    </row>
    <row r="118" spans="5:45" x14ac:dyDescent="0.25">
      <c r="E118" t="str">
        <f ca="1"/>
        <v/>
      </c>
      <c r="F118" t="str">
        <f ca="1"/>
        <v/>
      </c>
      <c r="G118" t="str">
        <f ca="1"/>
        <v>Space_7_valve_position_sensor</v>
      </c>
      <c r="P118" cm="1">
        <f t="array" ref="P118">INDEX($B$2:$D$40,MOD(ROW()-ROW($B$2),ROWS($B$2:$D$40))+1,INT((ROW()-ROW($B$2))/ROWS($B$2:$D$40))+1)</f>
        <v>0</v>
      </c>
      <c r="Q118" t="e">
        <f t="shared" ca="1" si="11"/>
        <v>#N/A</v>
      </c>
      <c r="R118" t="str" cm="1">
        <f t="array" aca="1" ref="R118" ca="1">IFERROR(INDIRECT("$P"&amp;Q118),"")</f>
        <v/>
      </c>
      <c r="U118" t="e" cm="1">
        <f t="array" ref="U118">INDEX($C$2:$D$40,MOD(ROW()-ROW($C$2),ROWS($C$2:$D$40))+1,INT((ROW()-ROW($C$2))/ROWS($C$2:$D$40))+1)</f>
        <v>#REF!</v>
      </c>
      <c r="V118" t="e">
        <f t="shared" ca="1" si="12"/>
        <v>#N/A</v>
      </c>
      <c r="W118" t="str" cm="1">
        <f t="array" aca="1" ref="W118" ca="1">IFERROR(INDIRECT("$U"&amp;V118),"")</f>
        <v/>
      </c>
      <c r="Z118" cm="1">
        <f t="array" ref="Z118">INDEX($AE$2:$AS$40,MOD(ROW()-ROW($AE$2),ROWS($AE$2:$AS$40))+1,INT((ROW()-ROW($AE$2))/ROWS($AE$2:$AS$40))+1)</f>
        <v>0</v>
      </c>
      <c r="AA118">
        <f t="shared" ca="1" si="13"/>
        <v>345</v>
      </c>
      <c r="AB118" t="str" cm="1">
        <f t="array" aca="1" ref="AB118" ca="1">IFERROR(INDIRECT("$Z"&amp;AA118),"")</f>
        <v>Space_7_valve_position_sensor</v>
      </c>
      <c r="AP118" t="str">
        <f t="shared" si="7"/>
        <v/>
      </c>
      <c r="AQ118" t="str">
        <f t="shared" si="8"/>
        <v/>
      </c>
      <c r="AR118" t="str">
        <f t="shared" si="9"/>
        <v/>
      </c>
      <c r="AS118" t="str">
        <f t="shared" si="10"/>
        <v/>
      </c>
    </row>
    <row r="119" spans="5:45" x14ac:dyDescent="0.25">
      <c r="E119" t="str">
        <f ca="1"/>
        <v/>
      </c>
      <c r="F119" t="str">
        <f ca="1"/>
        <v/>
      </c>
      <c r="G119" t="str">
        <f ca="1"/>
        <v>Space_6_co2_sensor</v>
      </c>
      <c r="P119" t="e" cm="1">
        <f t="array" ref="P119">INDEX($B$2:$D$40,MOD(ROW()-ROW($B$2),ROWS($B$2:$D$40))+1,INT((ROW()-ROW($B$2))/ROWS($B$2:$D$40))+1)</f>
        <v>#REF!</v>
      </c>
      <c r="Q119" t="e">
        <f t="shared" ca="1" si="11"/>
        <v>#N/A</v>
      </c>
      <c r="R119" t="str" cm="1">
        <f t="array" aca="1" ref="R119" ca="1">IFERROR(INDIRECT("$P"&amp;Q119),"")</f>
        <v/>
      </c>
      <c r="U119" t="e" cm="1">
        <f t="array" ref="U119">INDEX($C$2:$D$40,MOD(ROW()-ROW($C$2),ROWS($C$2:$D$40))+1,INT((ROW()-ROW($C$2))/ROWS($C$2:$D$40))+1)</f>
        <v>#REF!</v>
      </c>
      <c r="V119" t="e">
        <f t="shared" ca="1" si="12"/>
        <v>#N/A</v>
      </c>
      <c r="W119" t="str" cm="1">
        <f t="array" aca="1" ref="W119" ca="1">IFERROR(INDIRECT("$U"&amp;V119),"")</f>
        <v/>
      </c>
      <c r="Z119" t="str" cm="1">
        <f t="array" aca="1" ref="Z119" ca="1">INDEX($AE$2:$AS$40,MOD(ROW()-ROW($AE$2),ROWS($AE$2:$AS$40))+1,INT((ROW()-ROW($AE$2))/ROWS($AE$2:$AS$40))+1)</f>
        <v>Space_9_space_heater_valve</v>
      </c>
      <c r="AA119">
        <f t="shared" ca="1" si="13"/>
        <v>346</v>
      </c>
      <c r="AB119" t="str" cm="1">
        <f t="array" aca="1" ref="AB119" ca="1">IFERROR(INDIRECT("$Z"&amp;AA119),"")</f>
        <v>Space_6_co2_sensor</v>
      </c>
      <c r="AP119" t="str">
        <f t="shared" si="7"/>
        <v/>
      </c>
      <c r="AQ119" t="str">
        <f t="shared" si="8"/>
        <v/>
      </c>
      <c r="AR119" t="str">
        <f t="shared" si="9"/>
        <v/>
      </c>
      <c r="AS119" t="str">
        <f t="shared" si="10"/>
        <v/>
      </c>
    </row>
    <row r="120" spans="5:45" x14ac:dyDescent="0.25">
      <c r="E120" t="str">
        <f ca="1"/>
        <v/>
      </c>
      <c r="F120" t="str">
        <f ca="1"/>
        <v/>
      </c>
      <c r="G120" t="str">
        <f ca="1"/>
        <v>Space_6_damper_position_sensor</v>
      </c>
      <c r="P120" t="e" cm="1">
        <f t="array" ref="P120">INDEX($B$2:$D$40,MOD(ROW()-ROW($B$2),ROWS($B$2:$D$40))+1,INT((ROW()-ROW($B$2))/ROWS($B$2:$D$40))+1)</f>
        <v>#REF!</v>
      </c>
      <c r="Q120" t="e">
        <f t="shared" ca="1" si="11"/>
        <v>#N/A</v>
      </c>
      <c r="R120" t="str" cm="1">
        <f t="array" aca="1" ref="R120" ca="1">IFERROR(INDIRECT("$P"&amp;Q120),"")</f>
        <v/>
      </c>
      <c r="U120" t="e" cm="1">
        <f t="array" ref="U120">INDEX($C$2:$D$40,MOD(ROW()-ROW($C$2),ROWS($C$2:$D$40))+1,INT((ROW()-ROW($C$2))/ROWS($C$2:$D$40))+1)</f>
        <v>#REF!</v>
      </c>
      <c r="V120" t="e">
        <f t="shared" ca="1" si="12"/>
        <v>#N/A</v>
      </c>
      <c r="W120" t="str" cm="1">
        <f t="array" aca="1" ref="W120" ca="1">IFERROR(INDIRECT("$U"&amp;V120),"")</f>
        <v/>
      </c>
      <c r="Z120" t="str" cm="1">
        <f t="array" aca="1" ref="Z120" ca="1">INDEX($AE$2:$AS$40,MOD(ROW()-ROW($AE$2),ROWS($AE$2:$AS$40))+1,INT((ROW()-ROW($AE$2))/ROWS($AE$2:$AS$40))+1)</f>
        <v>Space_10_space_heater_valve</v>
      </c>
      <c r="AA120">
        <f t="shared" ca="1" si="13"/>
        <v>347</v>
      </c>
      <c r="AB120" t="str" cm="1">
        <f t="array" aca="1" ref="AB120" ca="1">IFERROR(INDIRECT("$Z"&amp;AA120),"")</f>
        <v>Space_6_damper_position_sensor</v>
      </c>
      <c r="AP120" t="str">
        <f t="shared" si="7"/>
        <v/>
      </c>
      <c r="AQ120" t="str">
        <f t="shared" si="8"/>
        <v/>
      </c>
      <c r="AR120" t="str">
        <f t="shared" si="9"/>
        <v/>
      </c>
      <c r="AS120" t="str">
        <f t="shared" si="10"/>
        <v/>
      </c>
    </row>
    <row r="121" spans="5:45" x14ac:dyDescent="0.25">
      <c r="E121" t="str">
        <f ca="1"/>
        <v/>
      </c>
      <c r="F121" t="str">
        <f ca="1"/>
        <v/>
      </c>
      <c r="G121" t="str">
        <f ca="1"/>
        <v>Space_6_temperature_sensor</v>
      </c>
      <c r="P121" t="e" cm="1">
        <f t="array" ref="P121">INDEX($B$2:$D$40,MOD(ROW()-ROW($B$2),ROWS($B$2:$D$40))+1,INT((ROW()-ROW($B$2))/ROWS($B$2:$D$40))+1)</f>
        <v>#REF!</v>
      </c>
      <c r="Q121" t="e">
        <f t="shared" ca="1" si="11"/>
        <v>#N/A</v>
      </c>
      <c r="R121" t="str" cm="1">
        <f t="array" aca="1" ref="R121" ca="1">IFERROR(INDIRECT("$P"&amp;Q121),"")</f>
        <v/>
      </c>
      <c r="U121" t="e" cm="1">
        <f t="array" ref="U121">INDEX($C$2:$D$40,MOD(ROW()-ROW($C$2),ROWS($C$2:$D$40))+1,INT((ROW()-ROW($C$2))/ROWS($C$2:$D$40))+1)</f>
        <v>#REF!</v>
      </c>
      <c r="V121" t="e">
        <f t="shared" ca="1" si="12"/>
        <v>#N/A</v>
      </c>
      <c r="W121" t="str" cm="1">
        <f t="array" aca="1" ref="W121" ca="1">IFERROR(INDIRECT("$U"&amp;V121),"")</f>
        <v/>
      </c>
      <c r="Z121" t="str" cm="1">
        <f t="array" aca="1" ref="Z121" ca="1">INDEX($AE$2:$AS$40,MOD(ROW()-ROW($AE$2),ROWS($AE$2:$AS$40))+1,INT((ROW()-ROW($AE$2))/ROWS($AE$2:$AS$40))+1)</f>
        <v>Space_11_space_heater_valve</v>
      </c>
      <c r="AA121">
        <f t="shared" ca="1" si="13"/>
        <v>348</v>
      </c>
      <c r="AB121" t="str" cm="1">
        <f t="array" aca="1" ref="AB121" ca="1">IFERROR(INDIRECT("$Z"&amp;AA121),"")</f>
        <v>Space_6_temperature_sensor</v>
      </c>
      <c r="AP121" t="str">
        <f t="shared" si="7"/>
        <v/>
      </c>
      <c r="AQ121" t="str">
        <f t="shared" si="8"/>
        <v/>
      </c>
      <c r="AR121" t="str">
        <f t="shared" si="9"/>
        <v/>
      </c>
      <c r="AS121" t="str">
        <f t="shared" si="10"/>
        <v/>
      </c>
    </row>
    <row r="122" spans="5:45" x14ac:dyDescent="0.25">
      <c r="E122" t="str">
        <f ca="1"/>
        <v/>
      </c>
      <c r="F122" t="str">
        <f ca="1"/>
        <v/>
      </c>
      <c r="G122" t="str">
        <f ca="1"/>
        <v>Space_6_valve_position_sensor</v>
      </c>
      <c r="P122" t="e" cm="1">
        <f t="array" ref="P122">INDEX($B$2:$D$40,MOD(ROW()-ROW($B$2),ROWS($B$2:$D$40))+1,INT((ROW()-ROW($B$2))/ROWS($B$2:$D$40))+1)</f>
        <v>#REF!</v>
      </c>
      <c r="Q122" t="e">
        <f t="shared" ca="1" si="11"/>
        <v>#N/A</v>
      </c>
      <c r="R122" t="str" cm="1">
        <f t="array" aca="1" ref="R122" ca="1">IFERROR(INDIRECT("$P"&amp;Q122),"")</f>
        <v/>
      </c>
      <c r="U122" t="e" cm="1">
        <f t="array" ref="U122">INDEX($C$2:$D$40,MOD(ROW()-ROW($C$2),ROWS($C$2:$D$40))+1,INT((ROW()-ROW($C$2))/ROWS($C$2:$D$40))+1)</f>
        <v>#REF!</v>
      </c>
      <c r="V122" t="e">
        <f t="shared" ca="1" si="12"/>
        <v>#N/A</v>
      </c>
      <c r="W122" t="str" cm="1">
        <f t="array" aca="1" ref="W122" ca="1">IFERROR(INDIRECT("$U"&amp;V122),"")</f>
        <v/>
      </c>
      <c r="Z122" t="str" cm="1">
        <f t="array" aca="1" ref="Z122" ca="1">INDEX($AE$2:$AS$40,MOD(ROW()-ROW($AE$2),ROWS($AE$2:$AS$40))+1,INT((ROW()-ROW($AE$2))/ROWS($AE$2:$AS$40))+1)</f>
        <v>Space_12_space_heater_valve</v>
      </c>
      <c r="AA122">
        <f t="shared" ca="1" si="13"/>
        <v>349</v>
      </c>
      <c r="AB122" t="str" cm="1">
        <f t="array" aca="1" ref="AB122" ca="1">IFERROR(INDIRECT("$Z"&amp;AA122),"")</f>
        <v>Space_6_valve_position_sensor</v>
      </c>
      <c r="AP122" t="str">
        <f t="shared" si="7"/>
        <v/>
      </c>
      <c r="AQ122" t="str">
        <f t="shared" si="8"/>
        <v/>
      </c>
      <c r="AR122" t="str">
        <f t="shared" si="9"/>
        <v/>
      </c>
      <c r="AS122" t="str">
        <f t="shared" si="10"/>
        <v/>
      </c>
    </row>
    <row r="123" spans="5:45" x14ac:dyDescent="0.25">
      <c r="E123" t="str">
        <f ca="1"/>
        <v/>
      </c>
      <c r="F123" t="str">
        <f ca="1"/>
        <v/>
      </c>
      <c r="G123" t="str">
        <f ca="1"/>
        <v>Space_8_co2_sensor</v>
      </c>
      <c r="P123" t="e" cm="1">
        <f t="array" ref="P123">INDEX($B$2:$D$40,MOD(ROW()-ROW($B$2),ROWS($B$2:$D$40))+1,INT((ROW()-ROW($B$2))/ROWS($B$2:$D$40))+1)</f>
        <v>#REF!</v>
      </c>
      <c r="Q123" t="e">
        <f t="shared" ca="1" si="11"/>
        <v>#N/A</v>
      </c>
      <c r="R123" t="str" cm="1">
        <f t="array" aca="1" ref="R123" ca="1">IFERROR(INDIRECT("$P"&amp;Q123),"")</f>
        <v/>
      </c>
      <c r="U123" t="e" cm="1">
        <f t="array" ref="U123">INDEX($C$2:$D$40,MOD(ROW()-ROW($C$2),ROWS($C$2:$D$40))+1,INT((ROW()-ROW($C$2))/ROWS($C$2:$D$40))+1)</f>
        <v>#REF!</v>
      </c>
      <c r="V123" t="e">
        <f t="shared" ca="1" si="12"/>
        <v>#N/A</v>
      </c>
      <c r="W123" t="str" cm="1">
        <f t="array" aca="1" ref="W123" ca="1">IFERROR(INDIRECT("$U"&amp;V123),"")</f>
        <v/>
      </c>
      <c r="Z123" t="str" cm="1">
        <f t="array" aca="1" ref="Z123" ca="1">INDEX($AE$2:$AS$40,MOD(ROW()-ROW($AE$2),ROWS($AE$2:$AS$40))+1,INT((ROW()-ROW($AE$2))/ROWS($AE$2:$AS$40))+1)</f>
        <v>Space_7_space_heater_valve</v>
      </c>
      <c r="AA123">
        <f t="shared" ca="1" si="13"/>
        <v>350</v>
      </c>
      <c r="AB123" t="str" cm="1">
        <f t="array" aca="1" ref="AB123" ca="1">IFERROR(INDIRECT("$Z"&amp;AA123),"")</f>
        <v>Space_8_co2_sensor</v>
      </c>
      <c r="AP123" t="str">
        <f t="shared" si="7"/>
        <v/>
      </c>
      <c r="AQ123" t="str">
        <f t="shared" si="8"/>
        <v/>
      </c>
      <c r="AR123" t="str">
        <f t="shared" si="9"/>
        <v/>
      </c>
      <c r="AS123" t="str">
        <f t="shared" si="10"/>
        <v/>
      </c>
    </row>
    <row r="124" spans="5:45" x14ac:dyDescent="0.25">
      <c r="E124" t="str">
        <f ca="1"/>
        <v/>
      </c>
      <c r="F124" t="str">
        <f ca="1"/>
        <v/>
      </c>
      <c r="G124" t="str">
        <f ca="1"/>
        <v>Space_8_damper_position_sensor</v>
      </c>
      <c r="P124" t="e" cm="1">
        <f t="array" ref="P124">INDEX($B$2:$D$40,MOD(ROW()-ROW($B$2),ROWS($B$2:$D$40))+1,INT((ROW()-ROW($B$2))/ROWS($B$2:$D$40))+1)</f>
        <v>#REF!</v>
      </c>
      <c r="Q124" t="e">
        <f t="shared" ca="1" si="11"/>
        <v>#N/A</v>
      </c>
      <c r="R124" t="str" cm="1">
        <f t="array" aca="1" ref="R124" ca="1">IFERROR(INDIRECT("$P"&amp;Q124),"")</f>
        <v/>
      </c>
      <c r="U124" t="e" cm="1">
        <f t="array" ref="U124">INDEX($C$2:$D$40,MOD(ROW()-ROW($C$2),ROWS($C$2:$D$40))+1,INT((ROW()-ROW($C$2))/ROWS($C$2:$D$40))+1)</f>
        <v>#REF!</v>
      </c>
      <c r="V124" t="e">
        <f t="shared" ca="1" si="12"/>
        <v>#N/A</v>
      </c>
      <c r="W124" t="str" cm="1">
        <f t="array" aca="1" ref="W124" ca="1">IFERROR(INDIRECT("$U"&amp;V124),"")</f>
        <v/>
      </c>
      <c r="Z124" t="str" cm="1">
        <f t="array" aca="1" ref="Z124" ca="1">INDEX($AE$2:$AS$40,MOD(ROW()-ROW($AE$2),ROWS($AE$2:$AS$40))+1,INT((ROW()-ROW($AE$2))/ROWS($AE$2:$AS$40))+1)</f>
        <v>Space_6_space_heater_valve</v>
      </c>
      <c r="AA124">
        <f t="shared" ca="1" si="13"/>
        <v>351</v>
      </c>
      <c r="AB124" t="str" cm="1">
        <f t="array" aca="1" ref="AB124" ca="1">IFERROR(INDIRECT("$Z"&amp;AA124),"")</f>
        <v>Space_8_damper_position_sensor</v>
      </c>
      <c r="AP124" t="str">
        <f t="shared" si="7"/>
        <v/>
      </c>
      <c r="AQ124" t="str">
        <f t="shared" si="8"/>
        <v/>
      </c>
      <c r="AR124" t="str">
        <f t="shared" si="9"/>
        <v/>
      </c>
      <c r="AS124" t="str">
        <f t="shared" si="10"/>
        <v/>
      </c>
    </row>
    <row r="125" spans="5:45" x14ac:dyDescent="0.25">
      <c r="E125" t="str">
        <f ca="1"/>
        <v/>
      </c>
      <c r="F125" t="str">
        <f ca="1"/>
        <v/>
      </c>
      <c r="G125" t="str">
        <f ca="1"/>
        <v>Space_8_temperature_sensor</v>
      </c>
      <c r="P125" t="e" cm="1">
        <f t="array" ref="P125">INDEX($B$2:$D$40,MOD(ROW()-ROW($B$2),ROWS($B$2:$D$40))+1,INT((ROW()-ROW($B$2))/ROWS($B$2:$D$40))+1)</f>
        <v>#REF!</v>
      </c>
      <c r="Q125" t="e">
        <f t="shared" ca="1" si="11"/>
        <v>#N/A</v>
      </c>
      <c r="R125" t="str" cm="1">
        <f t="array" aca="1" ref="R125" ca="1">IFERROR(INDIRECT("$P"&amp;Q125),"")</f>
        <v/>
      </c>
      <c r="U125" t="e" cm="1">
        <f t="array" ref="U125">INDEX($C$2:$D$40,MOD(ROW()-ROW($C$2),ROWS($C$2:$D$40))+1,INT((ROW()-ROW($C$2))/ROWS($C$2:$D$40))+1)</f>
        <v>#REF!</v>
      </c>
      <c r="V125" t="e">
        <f t="shared" ca="1" si="12"/>
        <v>#N/A</v>
      </c>
      <c r="W125" t="str" cm="1">
        <f t="array" aca="1" ref="W125" ca="1">IFERROR(INDIRECT("$U"&amp;V125),"")</f>
        <v/>
      </c>
      <c r="Z125" t="str" cm="1">
        <f t="array" aca="1" ref="Z125" ca="1">INDEX($AE$2:$AS$40,MOD(ROW()-ROW($AE$2),ROWS($AE$2:$AS$40))+1,INT((ROW()-ROW($AE$2))/ROWS($AE$2:$AS$40))+1)</f>
        <v>Space_8_space_heater_valve</v>
      </c>
      <c r="AA125">
        <f t="shared" ca="1" si="13"/>
        <v>352</v>
      </c>
      <c r="AB125" t="str" cm="1">
        <f t="array" aca="1" ref="AB125" ca="1">IFERROR(INDIRECT("$Z"&amp;AA125),"")</f>
        <v>Space_8_temperature_sensor</v>
      </c>
      <c r="AP125" t="str">
        <f t="shared" si="7"/>
        <v/>
      </c>
      <c r="AQ125" t="str">
        <f t="shared" si="8"/>
        <v/>
      </c>
      <c r="AR125" t="str">
        <f t="shared" si="9"/>
        <v/>
      </c>
      <c r="AS125" t="str">
        <f t="shared" si="10"/>
        <v/>
      </c>
    </row>
    <row r="126" spans="5:45" x14ac:dyDescent="0.25">
      <c r="E126" t="str">
        <f ca="1"/>
        <v/>
      </c>
      <c r="F126" t="str">
        <f ca="1"/>
        <v/>
      </c>
      <c r="G126" t="str">
        <f ca="1"/>
        <v>outdoor_environment</v>
      </c>
      <c r="P126" t="e" cm="1">
        <f t="array" ref="P126">INDEX($B$2:$D$40,MOD(ROW()-ROW($B$2),ROWS($B$2:$D$40))+1,INT((ROW()-ROW($B$2))/ROWS($B$2:$D$40))+1)</f>
        <v>#REF!</v>
      </c>
      <c r="Q126" t="e">
        <f t="shared" ca="1" si="11"/>
        <v>#N/A</v>
      </c>
      <c r="R126" t="str" cm="1">
        <f t="array" aca="1" ref="R126" ca="1">IFERROR(INDIRECT("$P"&amp;Q126),"")</f>
        <v/>
      </c>
      <c r="U126" t="e" cm="1">
        <f t="array" ref="U126">INDEX($C$2:$D$40,MOD(ROW()-ROW($C$2),ROWS($C$2:$D$40))+1,INT((ROW()-ROW($C$2))/ROWS($C$2:$D$40))+1)</f>
        <v>#REF!</v>
      </c>
      <c r="V126" t="e">
        <f t="shared" ca="1" si="12"/>
        <v>#N/A</v>
      </c>
      <c r="W126" t="str" cm="1">
        <f t="array" aca="1" ref="W126" ca="1">IFERROR(INDIRECT("$U"&amp;V126),"")</f>
        <v/>
      </c>
      <c r="Z126" t="str" cm="1">
        <f t="array" aca="1" ref="Z126" ca="1">INDEX($AE$2:$AS$40,MOD(ROW()-ROW($AE$2),ROWS($AE$2:$AS$40))+1,INT((ROW()-ROW($AE$2))/ROWS($AE$2:$AS$40))+1)</f>
        <v>Space_3_space_heater_valve</v>
      </c>
      <c r="AA126">
        <f t="shared" ca="1" si="13"/>
        <v>392</v>
      </c>
      <c r="AB126" t="str" cm="1">
        <f t="array" aca="1" ref="AB126" ca="1">IFERROR(INDIRECT("$Z"&amp;AA126),"")</f>
        <v>outdoor_environment</v>
      </c>
      <c r="AP126" t="str">
        <f t="shared" si="7"/>
        <v/>
      </c>
      <c r="AQ126" t="str">
        <f t="shared" si="8"/>
        <v/>
      </c>
      <c r="AR126" t="str">
        <f t="shared" si="9"/>
        <v/>
      </c>
      <c r="AS126" t="str">
        <f t="shared" si="10"/>
        <v/>
      </c>
    </row>
    <row r="127" spans="5:45" x14ac:dyDescent="0.25">
      <c r="E127" t="str">
        <f ca="1"/>
        <v/>
      </c>
      <c r="F127" t="str">
        <f ca="1"/>
        <v/>
      </c>
      <c r="G127" t="str">
        <f ca="1"/>
        <v>cooling_coil (airside)</v>
      </c>
      <c r="P127" t="e" cm="1">
        <f t="array" ref="P127">INDEX($B$2:$D$40,MOD(ROW()-ROW($B$2),ROWS($B$2:$D$40))+1,INT((ROW()-ROW($B$2))/ROWS($B$2:$D$40))+1)</f>
        <v>#REF!</v>
      </c>
      <c r="Q127" t="e">
        <f t="shared" ca="1" si="11"/>
        <v>#N/A</v>
      </c>
      <c r="R127" t="str" cm="1">
        <f t="array" aca="1" ref="R127" ca="1">IFERROR(INDIRECT("$P"&amp;Q127),"")</f>
        <v/>
      </c>
      <c r="U127" t="e" cm="1">
        <f t="array" ref="U127">INDEX($C$2:$D$40,MOD(ROW()-ROW($C$2),ROWS($C$2:$D$40))+1,INT((ROW()-ROW($C$2))/ROWS($C$2:$D$40))+1)</f>
        <v>#REF!</v>
      </c>
      <c r="V127" t="e">
        <f t="shared" ca="1" si="12"/>
        <v>#N/A</v>
      </c>
      <c r="W127" t="str" cm="1">
        <f t="array" aca="1" ref="W127" ca="1">IFERROR(INDIRECT("$U"&amp;V127),"")</f>
        <v/>
      </c>
      <c r="Z127" t="str" cm="1">
        <f t="array" aca="1" ref="Z127" ca="1">INDEX($AE$2:$AS$40,MOD(ROW()-ROW($AE$2),ROWS($AE$2:$AS$40))+1,INT((ROW()-ROW($AE$2))/ROWS($AE$2:$AS$40))+1)</f>
        <v>Space_5_space_heater_valve</v>
      </c>
      <c r="AA127">
        <f t="shared" ca="1" si="13"/>
        <v>431</v>
      </c>
      <c r="AB127" t="str" cm="1">
        <f t="array" aca="1" ref="AB127" ca="1">IFERROR(INDIRECT("$Z"&amp;AA127),"")</f>
        <v>cooling_coil (airside)</v>
      </c>
      <c r="AP127" t="str">
        <f t="shared" si="7"/>
        <v/>
      </c>
      <c r="AQ127" t="str">
        <f t="shared" si="8"/>
        <v/>
      </c>
      <c r="AR127" t="str">
        <f t="shared" si="9"/>
        <v/>
      </c>
      <c r="AS127" t="str">
        <f t="shared" si="10"/>
        <v/>
      </c>
    </row>
    <row r="128" spans="5:45" x14ac:dyDescent="0.25">
      <c r="E128" t="str">
        <f ca="1"/>
        <v/>
      </c>
      <c r="F128" t="str">
        <f ca="1"/>
        <v/>
      </c>
      <c r="G128" t="str">
        <f ca="1"/>
        <v>heating_coil (airside)</v>
      </c>
      <c r="P128" t="e" cm="1">
        <f t="array" ref="P128">INDEX($B$2:$D$40,MOD(ROW()-ROW($B$2),ROWS($B$2:$D$40))+1,INT((ROW()-ROW($B$2))/ROWS($B$2:$D$40))+1)</f>
        <v>#REF!</v>
      </c>
      <c r="Q128" t="e">
        <f t="shared" ca="1" si="11"/>
        <v>#N/A</v>
      </c>
      <c r="R128" t="str" cm="1">
        <f t="array" aca="1" ref="R128" ca="1">IFERROR(INDIRECT("$P"&amp;Q128),"")</f>
        <v/>
      </c>
      <c r="U128" t="e" cm="1">
        <f t="array" ref="U128">INDEX($C$2:$D$40,MOD(ROW()-ROW($C$2),ROWS($C$2:$D$40))+1,INT((ROW()-ROW($C$2))/ROWS($C$2:$D$40))+1)</f>
        <v>#REF!</v>
      </c>
      <c r="V128" t="e">
        <f t="shared" ca="1" si="12"/>
        <v>#N/A</v>
      </c>
      <c r="W128" t="str" cm="1">
        <f t="array" aca="1" ref="W128" ca="1">IFERROR(INDIRECT("$U"&amp;V128),"")</f>
        <v/>
      </c>
      <c r="Z128" t="str" cm="1">
        <f t="array" aca="1" ref="Z128" ca="1">INDEX($AE$2:$AS$40,MOD(ROW()-ROW($AE$2),ROWS($AE$2:$AS$40))+1,INT((ROW()-ROW($AE$2))/ROWS($AE$2:$AS$40))+1)</f>
        <v>Space_4_space_heater_valve</v>
      </c>
      <c r="AA128">
        <f t="shared" ca="1" si="13"/>
        <v>432</v>
      </c>
      <c r="AB128" t="str" cm="1">
        <f t="array" aca="1" ref="AB128" ca="1">IFERROR(INDIRECT("$Z"&amp;AA128),"")</f>
        <v>heating_coil (airside)</v>
      </c>
      <c r="AP128" t="str">
        <f t="shared" si="7"/>
        <v/>
      </c>
      <c r="AQ128" t="str">
        <f t="shared" si="8"/>
        <v/>
      </c>
      <c r="AR128" t="str">
        <f t="shared" si="9"/>
        <v/>
      </c>
      <c r="AS128" t="str">
        <f t="shared" si="10"/>
        <v/>
      </c>
    </row>
    <row r="129" spans="5:45" x14ac:dyDescent="0.25">
      <c r="E129" t="str">
        <f ca="1"/>
        <v/>
      </c>
      <c r="F129" t="str">
        <f ca="1"/>
        <v/>
      </c>
      <c r="G129" t="str">
        <f ca="1"/>
        <v>cooling_coil (waterside)</v>
      </c>
      <c r="P129" t="e" cm="1">
        <f t="array" ref="P129">INDEX($B$2:$D$40,MOD(ROW()-ROW($B$2),ROWS($B$2:$D$40))+1,INT((ROW()-ROW($B$2))/ROWS($B$2:$D$40))+1)</f>
        <v>#REF!</v>
      </c>
      <c r="Q129" t="e">
        <f t="shared" ca="1" si="11"/>
        <v>#N/A</v>
      </c>
      <c r="R129" t="str" cm="1">
        <f t="array" aca="1" ref="R129" ca="1">IFERROR(INDIRECT("$P"&amp;Q129),"")</f>
        <v/>
      </c>
      <c r="U129" t="e" cm="1">
        <f t="array" ref="U129">INDEX($C$2:$D$40,MOD(ROW()-ROW($C$2),ROWS($C$2:$D$40))+1,INT((ROW()-ROW($C$2))/ROWS($C$2:$D$40))+1)</f>
        <v>#REF!</v>
      </c>
      <c r="V129" t="e">
        <f t="shared" ca="1" si="12"/>
        <v>#N/A</v>
      </c>
      <c r="W129" t="str" cm="1">
        <f t="array" aca="1" ref="W129" ca="1">IFERROR(INDIRECT("$U"&amp;V129),"")</f>
        <v/>
      </c>
      <c r="Z129" t="str" cm="1">
        <f t="array" aca="1" ref="Z129" ca="1">INDEX($AE$2:$AS$40,MOD(ROW()-ROW($AE$2),ROWS($AE$2:$AS$40))+1,INT((ROW()-ROW($AE$2))/ROWS($AE$2:$AS$40))+1)</f>
        <v>Space_1_space_heater_valve</v>
      </c>
      <c r="AA129">
        <f t="shared" ca="1" si="13"/>
        <v>433</v>
      </c>
      <c r="AB129" t="str" cm="1">
        <f t="array" aca="1" ref="AB129" ca="1">IFERROR(INDIRECT("$Z"&amp;AA129),"")</f>
        <v/>
      </c>
      <c r="AP129" t="str">
        <f t="shared" si="7"/>
        <v/>
      </c>
      <c r="AQ129" t="str">
        <f t="shared" si="8"/>
        <v/>
      </c>
      <c r="AR129" t="str">
        <f t="shared" si="9"/>
        <v/>
      </c>
      <c r="AS129" t="str">
        <f t="shared" si="10"/>
        <v/>
      </c>
    </row>
    <row r="130" spans="5:45" x14ac:dyDescent="0.25">
      <c r="E130" t="str">
        <f ca="1"/>
        <v/>
      </c>
      <c r="F130" t="str">
        <f ca="1"/>
        <v/>
      </c>
      <c r="G130" t="str">
        <f ca="1"/>
        <v>heating_coil (waterside)</v>
      </c>
      <c r="P130" t="e" cm="1">
        <f t="array" ref="P130">INDEX($B$2:$D$40,MOD(ROW()-ROW($B$2),ROWS($B$2:$D$40))+1,INT((ROW()-ROW($B$2))/ROWS($B$2:$D$40))+1)</f>
        <v>#REF!</v>
      </c>
      <c r="Q130" t="e">
        <f t="shared" ca="1" si="11"/>
        <v>#N/A</v>
      </c>
      <c r="R130" t="str" cm="1">
        <f t="array" aca="1" ref="R130" ca="1">IFERROR(INDIRECT("$P"&amp;Q130),"")</f>
        <v/>
      </c>
      <c r="U130" t="e" cm="1">
        <f t="array" ref="U130">INDEX($C$2:$D$40,MOD(ROW()-ROW($C$2),ROWS($C$2:$D$40))+1,INT((ROW()-ROW($C$2))/ROWS($C$2:$D$40))+1)</f>
        <v>#REF!</v>
      </c>
      <c r="V130" t="e">
        <f t="shared" ca="1" si="12"/>
        <v>#N/A</v>
      </c>
      <c r="W130" t="str" cm="1">
        <f t="array" aca="1" ref="W130" ca="1">IFERROR(INDIRECT("$U"&amp;V130),"")</f>
        <v/>
      </c>
      <c r="Z130" t="str" cm="1">
        <f t="array" aca="1" ref="Z130" ca="1">INDEX($AE$2:$AS$40,MOD(ROW()-ROW($AE$2),ROWS($AE$2:$AS$40))+1,INT((ROW()-ROW($AE$2))/ROWS($AE$2:$AS$40))+1)</f>
        <v>Space_4_space_heater_valve_added</v>
      </c>
      <c r="AA130">
        <f t="shared" ca="1" si="13"/>
        <v>434</v>
      </c>
      <c r="AB130" t="str" cm="1">
        <f t="array" aca="1" ref="AB130" ca="1">IFERROR(INDIRECT("$Z"&amp;AA130),"")</f>
        <v/>
      </c>
      <c r="AP130" t="str">
        <f t="shared" si="7"/>
        <v/>
      </c>
      <c r="AQ130" t="str">
        <f t="shared" si="8"/>
        <v/>
      </c>
      <c r="AR130" t="str">
        <f t="shared" si="9"/>
        <v/>
      </c>
      <c r="AS130" t="str">
        <f t="shared" si="10"/>
        <v/>
      </c>
    </row>
    <row r="131" spans="5:45" x14ac:dyDescent="0.25">
      <c r="E131" t="str">
        <f ca="1"/>
        <v/>
      </c>
      <c r="F131" t="str">
        <f ca="1"/>
        <v/>
      </c>
      <c r="G131" t="str">
        <f ca="1"/>
        <v>HF04_heat_exchanger (supply)</v>
      </c>
      <c r="P131" t="e" cm="1">
        <f t="array" ref="P131">INDEX($B$2:$D$40,MOD(ROW()-ROW($B$2),ROWS($B$2:$D$40))+1,INT((ROW()-ROW($B$2))/ROWS($B$2:$D$40))+1)</f>
        <v>#REF!</v>
      </c>
      <c r="Q131" t="e">
        <f t="shared" ca="1" si="11"/>
        <v>#N/A</v>
      </c>
      <c r="R131" t="str" cm="1">
        <f t="array" aca="1" ref="R131" ca="1">IFERROR(INDIRECT("$P"&amp;Q131),"")</f>
        <v/>
      </c>
      <c r="U131" t="e" cm="1">
        <f t="array" ref="U131">INDEX($C$2:$D$40,MOD(ROW()-ROW($C$2),ROWS($C$2:$D$40))+1,INT((ROW()-ROW($C$2))/ROWS($C$2:$D$40))+1)</f>
        <v>#REF!</v>
      </c>
      <c r="V131" t="e">
        <f t="shared" ca="1" si="12"/>
        <v>#N/A</v>
      </c>
      <c r="W131" t="str" cm="1">
        <f t="array" aca="1" ref="W131" ca="1">IFERROR(INDIRECT("$U"&amp;V131),"")</f>
        <v/>
      </c>
      <c r="Z131" cm="1">
        <f t="array" ref="Z131">INDEX($AE$2:$AS$40,MOD(ROW()-ROW($AE$2),ROWS($AE$2:$AS$40))+1,INT((ROW()-ROW($AE$2))/ROWS($AE$2:$AS$40))+1)</f>
        <v>0</v>
      </c>
      <c r="AA131">
        <f t="shared" ca="1" si="13"/>
        <v>435</v>
      </c>
      <c r="AB131" t="str" cm="1">
        <f t="array" aca="1" ref="AB131" ca="1">IFERROR(INDIRECT("$Z"&amp;AA131),"")</f>
        <v/>
      </c>
      <c r="AP131" t="str">
        <f t="shared" ref="AP131:AP194" si="14">IF(AI131&lt;&gt;"", _xlfn.CONCAT(AI131, " (airside)"), "")</f>
        <v/>
      </c>
      <c r="AQ131" t="str">
        <f t="shared" ref="AQ131:AQ194" si="15">IF(AI131&lt;&gt;"", _xlfn.CONCAT(AI131, " (waterside)"), "")</f>
        <v/>
      </c>
      <c r="AR131" t="str">
        <f t="shared" ref="AR131:AR194" si="16">IF(AJ131&lt;&gt;"", _xlfn.CONCAT(AJ131, " (supply)"), "")</f>
        <v/>
      </c>
      <c r="AS131" t="str">
        <f t="shared" ref="AS131:AS194" si="17">IF(AJ131&lt;&gt;"", _xlfn.CONCAT(AJ131, " (exhaust)"), "")</f>
        <v/>
      </c>
    </row>
    <row r="132" spans="5:45" x14ac:dyDescent="0.25">
      <c r="E132" t="str">
        <f ca="1"/>
        <v/>
      </c>
      <c r="F132" t="str">
        <f ca="1"/>
        <v/>
      </c>
      <c r="G132" t="str">
        <f ca="1"/>
        <v>HF04_heat_exchanger (exhaust)</v>
      </c>
      <c r="P132" t="e" cm="1">
        <f t="array" ref="P132">INDEX($B$2:$D$40,MOD(ROW()-ROW($B$2),ROWS($B$2:$D$40))+1,INT((ROW()-ROW($B$2))/ROWS($B$2:$D$40))+1)</f>
        <v>#REF!</v>
      </c>
      <c r="Q132" t="e">
        <f t="shared" ref="Q132:Q195" ca="1" si="18">MATCH("*",INDIRECT(ADDRESS(Q131+1,16,1)&amp;":$P$1000"),0)+Q131</f>
        <v>#N/A</v>
      </c>
      <c r="R132" t="str" cm="1">
        <f t="array" aca="1" ref="R132" ca="1">IFERROR(INDIRECT("$P"&amp;Q132),"")</f>
        <v/>
      </c>
      <c r="U132" t="e" cm="1">
        <f t="array" ref="U132">INDEX($C$2:$D$40,MOD(ROW()-ROW($C$2),ROWS($C$2:$D$40))+1,INT((ROW()-ROW($C$2))/ROWS($C$2:$D$40))+1)</f>
        <v>#REF!</v>
      </c>
      <c r="V132" t="e">
        <f t="shared" ref="V132:V195" ca="1" si="19">MATCH("*",INDIRECT(ADDRESS(V131+1,21,1)&amp;":$U$1000"),0)+V131</f>
        <v>#N/A</v>
      </c>
      <c r="W132" t="str" cm="1">
        <f t="array" aca="1" ref="W132" ca="1">IFERROR(INDIRECT("$U"&amp;V132),"")</f>
        <v/>
      </c>
      <c r="Z132" cm="1">
        <f t="array" ref="Z132">INDEX($AE$2:$AS$40,MOD(ROW()-ROW($AE$2),ROWS($AE$2:$AS$40))+1,INT((ROW()-ROW($AE$2))/ROWS($AE$2:$AS$40))+1)</f>
        <v>0</v>
      </c>
      <c r="AA132">
        <f t="shared" ref="AA132:AA195" ca="1" si="20">MATCH("*",INDIRECT(ADDRESS(AA131+1,26,1)&amp;":$Z$1000"),0)+AA131</f>
        <v>436</v>
      </c>
      <c r="AB132" t="str" cm="1">
        <f t="array" aca="1" ref="AB132" ca="1">IFERROR(INDIRECT("$Z"&amp;AA132),"")</f>
        <v/>
      </c>
      <c r="AP132" t="str">
        <f t="shared" si="14"/>
        <v/>
      </c>
      <c r="AQ132" t="str">
        <f t="shared" si="15"/>
        <v/>
      </c>
      <c r="AR132" t="str">
        <f t="shared" si="16"/>
        <v/>
      </c>
      <c r="AS132" t="str">
        <f t="shared" si="17"/>
        <v/>
      </c>
    </row>
    <row r="133" spans="5:45" x14ac:dyDescent="0.25">
      <c r="E133" t="str">
        <f ca="1"/>
        <v/>
      </c>
      <c r="F133" t="str">
        <f ca="1"/>
        <v/>
      </c>
      <c r="P133" t="e" cm="1">
        <f t="array" ref="P133">INDEX($B$2:$D$40,MOD(ROW()-ROW($B$2),ROWS($B$2:$D$40))+1,INT((ROW()-ROW($B$2))/ROWS($B$2:$D$40))+1)</f>
        <v>#REF!</v>
      </c>
      <c r="Q133" t="e">
        <f t="shared" ca="1" si="18"/>
        <v>#N/A</v>
      </c>
      <c r="R133" t="str" cm="1">
        <f t="array" aca="1" ref="R133" ca="1">IFERROR(INDIRECT("$P"&amp;Q133),"")</f>
        <v/>
      </c>
      <c r="U133" t="e" cm="1">
        <f t="array" ref="U133">INDEX($C$2:$D$40,MOD(ROW()-ROW($C$2),ROWS($C$2:$D$40))+1,INT((ROW()-ROW($C$2))/ROWS($C$2:$D$40))+1)</f>
        <v>#REF!</v>
      </c>
      <c r="V133" t="e">
        <f t="shared" ca="1" si="19"/>
        <v>#N/A</v>
      </c>
      <c r="W133" t="str" cm="1">
        <f t="array" aca="1" ref="W133" ca="1">IFERROR(INDIRECT("$U"&amp;V133),"")</f>
        <v/>
      </c>
      <c r="Z133" cm="1">
        <f t="array" ref="Z133">INDEX($AE$2:$AS$40,MOD(ROW()-ROW($AE$2),ROWS($AE$2:$AS$40))+1,INT((ROW()-ROW($AE$2))/ROWS($AE$2:$AS$40))+1)</f>
        <v>0</v>
      </c>
      <c r="AA133">
        <f t="shared" ca="1" si="20"/>
        <v>437</v>
      </c>
      <c r="AB133" t="str" cm="1">
        <f t="array" aca="1" ref="AB133" ca="1">IFERROR(INDIRECT("$Z"&amp;AA133),"")</f>
        <v/>
      </c>
      <c r="AP133" t="str">
        <f t="shared" si="14"/>
        <v/>
      </c>
      <c r="AQ133" t="str">
        <f t="shared" si="15"/>
        <v/>
      </c>
      <c r="AR133" t="str">
        <f t="shared" si="16"/>
        <v/>
      </c>
      <c r="AS133" t="str">
        <f t="shared" si="17"/>
        <v/>
      </c>
    </row>
    <row r="134" spans="5:45" x14ac:dyDescent="0.25">
      <c r="E134" t="str">
        <f ca="1"/>
        <v/>
      </c>
      <c r="F134" t="str">
        <f ca="1"/>
        <v/>
      </c>
      <c r="P134" t="e" cm="1">
        <f t="array" ref="P134">INDEX($B$2:$D$40,MOD(ROW()-ROW($B$2),ROWS($B$2:$D$40))+1,INT((ROW()-ROW($B$2))/ROWS($B$2:$D$40))+1)</f>
        <v>#REF!</v>
      </c>
      <c r="Q134" t="e">
        <f t="shared" ca="1" si="18"/>
        <v>#N/A</v>
      </c>
      <c r="R134" t="str" cm="1">
        <f t="array" aca="1" ref="R134" ca="1">IFERROR(INDIRECT("$P"&amp;Q134),"")</f>
        <v/>
      </c>
      <c r="U134" t="e" cm="1">
        <f t="array" ref="U134">INDEX($C$2:$D$40,MOD(ROW()-ROW($C$2),ROWS($C$2:$D$40))+1,INT((ROW()-ROW($C$2))/ROWS($C$2:$D$40))+1)</f>
        <v>#REF!</v>
      </c>
      <c r="V134" t="e">
        <f t="shared" ca="1" si="19"/>
        <v>#N/A</v>
      </c>
      <c r="W134" t="str" cm="1">
        <f t="array" aca="1" ref="W134" ca="1">IFERROR(INDIRECT("$U"&amp;V134),"")</f>
        <v/>
      </c>
      <c r="Z134" cm="1">
        <f t="array" ref="Z134">INDEX($AE$2:$AS$40,MOD(ROW()-ROW($AE$2),ROWS($AE$2:$AS$40))+1,INT((ROW()-ROW($AE$2))/ROWS($AE$2:$AS$40))+1)</f>
        <v>0</v>
      </c>
      <c r="AA134">
        <f t="shared" ca="1" si="20"/>
        <v>438</v>
      </c>
      <c r="AB134" t="str" cm="1">
        <f t="array" aca="1" ref="AB134" ca="1">IFERROR(INDIRECT("$Z"&amp;AA134),"")</f>
        <v/>
      </c>
      <c r="AP134" t="str">
        <f t="shared" si="14"/>
        <v/>
      </c>
      <c r="AQ134" t="str">
        <f t="shared" si="15"/>
        <v/>
      </c>
      <c r="AR134" t="str">
        <f t="shared" si="16"/>
        <v/>
      </c>
      <c r="AS134" t="str">
        <f t="shared" si="17"/>
        <v/>
      </c>
    </row>
    <row r="135" spans="5:45" x14ac:dyDescent="0.25">
      <c r="E135" t="str">
        <f ca="1"/>
        <v/>
      </c>
      <c r="F135" t="str">
        <f ca="1"/>
        <v/>
      </c>
      <c r="P135" t="e" cm="1">
        <f t="array" ref="P135">INDEX($B$2:$D$40,MOD(ROW()-ROW($B$2),ROWS($B$2:$D$40))+1,INT((ROW()-ROW($B$2))/ROWS($B$2:$D$40))+1)</f>
        <v>#REF!</v>
      </c>
      <c r="Q135" t="e">
        <f t="shared" ca="1" si="18"/>
        <v>#N/A</v>
      </c>
      <c r="R135" t="str" cm="1">
        <f t="array" aca="1" ref="R135" ca="1">IFERROR(INDIRECT("$P"&amp;Q135),"")</f>
        <v/>
      </c>
      <c r="U135" t="e" cm="1">
        <f t="array" ref="U135">INDEX($C$2:$D$40,MOD(ROW()-ROW($C$2),ROWS($C$2:$D$40))+1,INT((ROW()-ROW($C$2))/ROWS($C$2:$D$40))+1)</f>
        <v>#REF!</v>
      </c>
      <c r="V135" t="e">
        <f t="shared" ca="1" si="19"/>
        <v>#N/A</v>
      </c>
      <c r="W135" t="str" cm="1">
        <f t="array" aca="1" ref="W135" ca="1">IFERROR(INDIRECT("$U"&amp;V135),"")</f>
        <v/>
      </c>
      <c r="Z135" cm="1">
        <f t="array" ref="Z135">INDEX($AE$2:$AS$40,MOD(ROW()-ROW($AE$2),ROWS($AE$2:$AS$40))+1,INT((ROW()-ROW($AE$2))/ROWS($AE$2:$AS$40))+1)</f>
        <v>0</v>
      </c>
      <c r="AA135">
        <f t="shared" ca="1" si="20"/>
        <v>439</v>
      </c>
      <c r="AB135" t="str" cm="1">
        <f t="array" aca="1" ref="AB135" ca="1">IFERROR(INDIRECT("$Z"&amp;AA135),"")</f>
        <v/>
      </c>
      <c r="AP135" t="str">
        <f t="shared" si="14"/>
        <v/>
      </c>
      <c r="AQ135" t="str">
        <f t="shared" si="15"/>
        <v/>
      </c>
      <c r="AR135" t="str">
        <f t="shared" si="16"/>
        <v/>
      </c>
      <c r="AS135" t="str">
        <f t="shared" si="17"/>
        <v/>
      </c>
    </row>
    <row r="136" spans="5:45" x14ac:dyDescent="0.25">
      <c r="E136" t="str">
        <f ca="1"/>
        <v/>
      </c>
      <c r="F136" t="str">
        <f ca="1"/>
        <v/>
      </c>
      <c r="P136" t="e" cm="1">
        <f t="array" ref="P136">INDEX($B$2:$D$40,MOD(ROW()-ROW($B$2),ROWS($B$2:$D$40))+1,INT((ROW()-ROW($B$2))/ROWS($B$2:$D$40))+1)</f>
        <v>#REF!</v>
      </c>
      <c r="Q136" t="e">
        <f t="shared" ca="1" si="18"/>
        <v>#N/A</v>
      </c>
      <c r="R136" t="str" cm="1">
        <f t="array" aca="1" ref="R136" ca="1">IFERROR(INDIRECT("$P"&amp;Q136),"")</f>
        <v/>
      </c>
      <c r="U136" t="e" cm="1">
        <f t="array" ref="U136">INDEX($C$2:$D$40,MOD(ROW()-ROW($C$2),ROWS($C$2:$D$40))+1,INT((ROW()-ROW($C$2))/ROWS($C$2:$D$40))+1)</f>
        <v>#REF!</v>
      </c>
      <c r="V136" t="e">
        <f t="shared" ca="1" si="19"/>
        <v>#N/A</v>
      </c>
      <c r="W136" t="str" cm="1">
        <f t="array" aca="1" ref="W136" ca="1">IFERROR(INDIRECT("$U"&amp;V136),"")</f>
        <v/>
      </c>
      <c r="Z136" cm="1">
        <f t="array" ref="Z136">INDEX($AE$2:$AS$40,MOD(ROW()-ROW($AE$2),ROWS($AE$2:$AS$40))+1,INT((ROW()-ROW($AE$2))/ROWS($AE$2:$AS$40))+1)</f>
        <v>0</v>
      </c>
      <c r="AA136">
        <f t="shared" ca="1" si="20"/>
        <v>440</v>
      </c>
      <c r="AB136" t="str" cm="1">
        <f t="array" aca="1" ref="AB136" ca="1">IFERROR(INDIRECT("$Z"&amp;AA136),"")</f>
        <v/>
      </c>
      <c r="AP136" t="str">
        <f t="shared" si="14"/>
        <v/>
      </c>
      <c r="AQ136" t="str">
        <f t="shared" si="15"/>
        <v/>
      </c>
      <c r="AR136" t="str">
        <f t="shared" si="16"/>
        <v/>
      </c>
      <c r="AS136" t="str">
        <f t="shared" si="17"/>
        <v/>
      </c>
    </row>
    <row r="137" spans="5:45" x14ac:dyDescent="0.25">
      <c r="E137" t="str">
        <f ca="1"/>
        <v/>
      </c>
      <c r="F137" t="str">
        <f ca="1"/>
        <v/>
      </c>
      <c r="P137" t="e" cm="1">
        <f t="array" ref="P137">INDEX($B$2:$D$40,MOD(ROW()-ROW($B$2),ROWS($B$2:$D$40))+1,INT((ROW()-ROW($B$2))/ROWS($B$2:$D$40))+1)</f>
        <v>#REF!</v>
      </c>
      <c r="Q137" t="e">
        <f t="shared" ca="1" si="18"/>
        <v>#N/A</v>
      </c>
      <c r="R137" t="str" cm="1">
        <f t="array" aca="1" ref="R137" ca="1">IFERROR(INDIRECT("$P"&amp;Q137),"")</f>
        <v/>
      </c>
      <c r="U137" t="e" cm="1">
        <f t="array" ref="U137">INDEX($C$2:$D$40,MOD(ROW()-ROW($C$2),ROWS($C$2:$D$40))+1,INT((ROW()-ROW($C$2))/ROWS($C$2:$D$40))+1)</f>
        <v>#REF!</v>
      </c>
      <c r="V137" t="e">
        <f t="shared" ca="1" si="19"/>
        <v>#N/A</v>
      </c>
      <c r="W137" t="str" cm="1">
        <f t="array" aca="1" ref="W137" ca="1">IFERROR(INDIRECT("$U"&amp;V137),"")</f>
        <v/>
      </c>
      <c r="Z137" cm="1">
        <f t="array" ref="Z137">INDEX($AE$2:$AS$40,MOD(ROW()-ROW($AE$2),ROWS($AE$2:$AS$40))+1,INT((ROW()-ROW($AE$2))/ROWS($AE$2:$AS$40))+1)</f>
        <v>0</v>
      </c>
      <c r="AA137">
        <f t="shared" ca="1" si="20"/>
        <v>441</v>
      </c>
      <c r="AB137" t="str" cm="1">
        <f t="array" aca="1" ref="AB137" ca="1">IFERROR(INDIRECT("$Z"&amp;AA137),"")</f>
        <v/>
      </c>
      <c r="AP137" t="str">
        <f t="shared" si="14"/>
        <v/>
      </c>
      <c r="AQ137" t="str">
        <f t="shared" si="15"/>
        <v/>
      </c>
      <c r="AR137" t="str">
        <f t="shared" si="16"/>
        <v/>
      </c>
      <c r="AS137" t="str">
        <f t="shared" si="17"/>
        <v/>
      </c>
    </row>
    <row r="138" spans="5:45" x14ac:dyDescent="0.25">
      <c r="E138" t="str">
        <f ca="1"/>
        <v/>
      </c>
      <c r="F138" t="str">
        <f ca="1"/>
        <v/>
      </c>
      <c r="P138" t="e" cm="1">
        <f t="array" ref="P138">INDEX($B$2:$D$40,MOD(ROW()-ROW($B$2),ROWS($B$2:$D$40))+1,INT((ROW()-ROW($B$2))/ROWS($B$2:$D$40))+1)</f>
        <v>#REF!</v>
      </c>
      <c r="Q138" t="e">
        <f t="shared" ca="1" si="18"/>
        <v>#N/A</v>
      </c>
      <c r="R138" t="str" cm="1">
        <f t="array" aca="1" ref="R138" ca="1">IFERROR(INDIRECT("$P"&amp;Q138),"")</f>
        <v/>
      </c>
      <c r="U138" t="e" cm="1">
        <f t="array" ref="U138">INDEX($C$2:$D$40,MOD(ROW()-ROW($C$2),ROWS($C$2:$D$40))+1,INT((ROW()-ROW($C$2))/ROWS($C$2:$D$40))+1)</f>
        <v>#REF!</v>
      </c>
      <c r="V138" t="e">
        <f t="shared" ca="1" si="19"/>
        <v>#N/A</v>
      </c>
      <c r="W138" t="str" cm="1">
        <f t="array" aca="1" ref="W138" ca="1">IFERROR(INDIRECT("$U"&amp;V138),"")</f>
        <v/>
      </c>
      <c r="Z138" cm="1">
        <f t="array" ref="Z138">INDEX($AE$2:$AS$40,MOD(ROW()-ROW($AE$2),ROWS($AE$2:$AS$40))+1,INT((ROW()-ROW($AE$2))/ROWS($AE$2:$AS$40))+1)</f>
        <v>0</v>
      </c>
      <c r="AA138">
        <f t="shared" ca="1" si="20"/>
        <v>442</v>
      </c>
      <c r="AB138" t="str" cm="1">
        <f t="array" aca="1" ref="AB138" ca="1">IFERROR(INDIRECT("$Z"&amp;AA138),"")</f>
        <v/>
      </c>
      <c r="AP138" t="str">
        <f t="shared" si="14"/>
        <v/>
      </c>
      <c r="AQ138" t="str">
        <f t="shared" si="15"/>
        <v/>
      </c>
      <c r="AR138" t="str">
        <f t="shared" si="16"/>
        <v/>
      </c>
      <c r="AS138" t="str">
        <f t="shared" si="17"/>
        <v/>
      </c>
    </row>
    <row r="139" spans="5:45" x14ac:dyDescent="0.25">
      <c r="E139" t="str">
        <f ca="1"/>
        <v/>
      </c>
      <c r="F139" t="str">
        <f ca="1"/>
        <v/>
      </c>
      <c r="P139" t="e" cm="1">
        <f t="array" ref="P139">INDEX($B$2:$D$40,MOD(ROW()-ROW($B$2),ROWS($B$2:$D$40))+1,INT((ROW()-ROW($B$2))/ROWS($B$2:$D$40))+1)</f>
        <v>#REF!</v>
      </c>
      <c r="Q139" t="e">
        <f t="shared" ca="1" si="18"/>
        <v>#N/A</v>
      </c>
      <c r="R139" t="str" cm="1">
        <f t="array" aca="1" ref="R139" ca="1">IFERROR(INDIRECT("$P"&amp;Q139),"")</f>
        <v/>
      </c>
      <c r="U139" t="e" cm="1">
        <f t="array" ref="U139">INDEX($C$2:$D$40,MOD(ROW()-ROW($C$2),ROWS($C$2:$D$40))+1,INT((ROW()-ROW($C$2))/ROWS($C$2:$D$40))+1)</f>
        <v>#REF!</v>
      </c>
      <c r="V139" t="e">
        <f t="shared" ca="1" si="19"/>
        <v>#N/A</v>
      </c>
      <c r="W139" t="str" cm="1">
        <f t="array" aca="1" ref="W139" ca="1">IFERROR(INDIRECT("$U"&amp;V139),"")</f>
        <v/>
      </c>
      <c r="Z139" cm="1">
        <f t="array" ref="Z139">INDEX($AE$2:$AS$40,MOD(ROW()-ROW($AE$2),ROWS($AE$2:$AS$40))+1,INT((ROW()-ROW($AE$2))/ROWS($AE$2:$AS$40))+1)</f>
        <v>0</v>
      </c>
      <c r="AA139">
        <f t="shared" ca="1" si="20"/>
        <v>443</v>
      </c>
      <c r="AB139" t="str" cm="1">
        <f t="array" aca="1" ref="AB139" ca="1">IFERROR(INDIRECT("$Z"&amp;AA139),"")</f>
        <v/>
      </c>
      <c r="AP139" t="str">
        <f t="shared" si="14"/>
        <v/>
      </c>
      <c r="AQ139" t="str">
        <f t="shared" si="15"/>
        <v/>
      </c>
      <c r="AR139" t="str">
        <f t="shared" si="16"/>
        <v/>
      </c>
      <c r="AS139" t="str">
        <f t="shared" si="17"/>
        <v/>
      </c>
    </row>
    <row r="140" spans="5:45" x14ac:dyDescent="0.25">
      <c r="E140" t="str">
        <f ca="1"/>
        <v/>
      </c>
      <c r="F140" t="str">
        <f ca="1"/>
        <v/>
      </c>
      <c r="P140" t="e" cm="1">
        <f t="array" ref="P140">INDEX($B$2:$D$40,MOD(ROW()-ROW($B$2),ROWS($B$2:$D$40))+1,INT((ROW()-ROW($B$2))/ROWS($B$2:$D$40))+1)</f>
        <v>#REF!</v>
      </c>
      <c r="Q140" t="e">
        <f t="shared" ca="1" si="18"/>
        <v>#N/A</v>
      </c>
      <c r="R140" t="str" cm="1">
        <f t="array" aca="1" ref="R140" ca="1">IFERROR(INDIRECT("$P"&amp;Q140),"")</f>
        <v/>
      </c>
      <c r="U140" t="e" cm="1">
        <f t="array" ref="U140">INDEX($C$2:$D$40,MOD(ROW()-ROW($C$2),ROWS($C$2:$D$40))+1,INT((ROW()-ROW($C$2))/ROWS($C$2:$D$40))+1)</f>
        <v>#REF!</v>
      </c>
      <c r="V140" t="e">
        <f t="shared" ca="1" si="19"/>
        <v>#N/A</v>
      </c>
      <c r="W140" t="str" cm="1">
        <f t="array" aca="1" ref="W140" ca="1">IFERROR(INDIRECT("$U"&amp;V140),"")</f>
        <v/>
      </c>
      <c r="Z140" cm="1">
        <f t="array" ref="Z140">INDEX($AE$2:$AS$40,MOD(ROW()-ROW($AE$2),ROWS($AE$2:$AS$40))+1,INT((ROW()-ROW($AE$2))/ROWS($AE$2:$AS$40))+1)</f>
        <v>0</v>
      </c>
      <c r="AA140">
        <f t="shared" ca="1" si="20"/>
        <v>444</v>
      </c>
      <c r="AB140" t="str" cm="1">
        <f t="array" aca="1" ref="AB140" ca="1">IFERROR(INDIRECT("$Z"&amp;AA140),"")</f>
        <v/>
      </c>
      <c r="AP140" t="str">
        <f t="shared" si="14"/>
        <v/>
      </c>
      <c r="AQ140" t="str">
        <f t="shared" si="15"/>
        <v/>
      </c>
      <c r="AR140" t="str">
        <f t="shared" si="16"/>
        <v/>
      </c>
      <c r="AS140" t="str">
        <f t="shared" si="17"/>
        <v/>
      </c>
    </row>
    <row r="141" spans="5:45" x14ac:dyDescent="0.25">
      <c r="E141" t="str">
        <f ca="1"/>
        <v/>
      </c>
      <c r="F141" t="str">
        <f ca="1"/>
        <v/>
      </c>
      <c r="P141" t="e" cm="1">
        <f t="array" ref="P141">INDEX($B$2:$D$40,MOD(ROW()-ROW($B$2),ROWS($B$2:$D$40))+1,INT((ROW()-ROW($B$2))/ROWS($B$2:$D$40))+1)</f>
        <v>#REF!</v>
      </c>
      <c r="Q141" t="e">
        <f t="shared" ca="1" si="18"/>
        <v>#N/A</v>
      </c>
      <c r="R141" t="str" cm="1">
        <f t="array" aca="1" ref="R141" ca="1">IFERROR(INDIRECT("$P"&amp;Q141),"")</f>
        <v/>
      </c>
      <c r="U141" t="e" cm="1">
        <f t="array" ref="U141">INDEX($C$2:$D$40,MOD(ROW()-ROW($C$2),ROWS($C$2:$D$40))+1,INT((ROW()-ROW($C$2))/ROWS($C$2:$D$40))+1)</f>
        <v>#REF!</v>
      </c>
      <c r="V141" t="e">
        <f t="shared" ca="1" si="19"/>
        <v>#N/A</v>
      </c>
      <c r="W141" t="str" cm="1">
        <f t="array" aca="1" ref="W141" ca="1">IFERROR(INDIRECT("$U"&amp;V141),"")</f>
        <v/>
      </c>
      <c r="Z141" cm="1">
        <f t="array" ref="Z141">INDEX($AE$2:$AS$40,MOD(ROW()-ROW($AE$2),ROWS($AE$2:$AS$40))+1,INT((ROW()-ROW($AE$2))/ROWS($AE$2:$AS$40))+1)</f>
        <v>0</v>
      </c>
      <c r="AA141">
        <f t="shared" ca="1" si="20"/>
        <v>445</v>
      </c>
      <c r="AB141" t="str" cm="1">
        <f t="array" aca="1" ref="AB141" ca="1">IFERROR(INDIRECT("$Z"&amp;AA141),"")</f>
        <v/>
      </c>
      <c r="AP141" t="str">
        <f t="shared" si="14"/>
        <v/>
      </c>
      <c r="AQ141" t="str">
        <f t="shared" si="15"/>
        <v/>
      </c>
      <c r="AR141" t="str">
        <f t="shared" si="16"/>
        <v/>
      </c>
      <c r="AS141" t="str">
        <f t="shared" si="17"/>
        <v/>
      </c>
    </row>
    <row r="142" spans="5:45" x14ac:dyDescent="0.25">
      <c r="E142" t="str">
        <f ca="1"/>
        <v/>
      </c>
      <c r="F142" t="str">
        <f ca="1"/>
        <v/>
      </c>
      <c r="P142" t="e" cm="1">
        <f t="array" ref="P142">INDEX($B$2:$D$40,MOD(ROW()-ROW($B$2),ROWS($B$2:$D$40))+1,INT((ROW()-ROW($B$2))/ROWS($B$2:$D$40))+1)</f>
        <v>#REF!</v>
      </c>
      <c r="Q142" t="e">
        <f t="shared" ca="1" si="18"/>
        <v>#N/A</v>
      </c>
      <c r="R142" t="str" cm="1">
        <f t="array" aca="1" ref="R142" ca="1">IFERROR(INDIRECT("$P"&amp;Q142),"")</f>
        <v/>
      </c>
      <c r="U142" t="e" cm="1">
        <f t="array" ref="U142">INDEX($C$2:$D$40,MOD(ROW()-ROW($C$2),ROWS($C$2:$D$40))+1,INT((ROW()-ROW($C$2))/ROWS($C$2:$D$40))+1)</f>
        <v>#REF!</v>
      </c>
      <c r="V142" t="e">
        <f t="shared" ca="1" si="19"/>
        <v>#N/A</v>
      </c>
      <c r="W142" t="str" cm="1">
        <f t="array" aca="1" ref="W142" ca="1">IFERROR(INDIRECT("$U"&amp;V142),"")</f>
        <v/>
      </c>
      <c r="Z142" cm="1">
        <f t="array" ref="Z142">INDEX($AE$2:$AS$40,MOD(ROW()-ROW($AE$2),ROWS($AE$2:$AS$40))+1,INT((ROW()-ROW($AE$2))/ROWS($AE$2:$AS$40))+1)</f>
        <v>0</v>
      </c>
      <c r="AA142">
        <f t="shared" ca="1" si="20"/>
        <v>446</v>
      </c>
      <c r="AB142" t="str" cm="1">
        <f t="array" aca="1" ref="AB142" ca="1">IFERROR(INDIRECT("$Z"&amp;AA142),"")</f>
        <v/>
      </c>
      <c r="AP142" t="str">
        <f t="shared" si="14"/>
        <v/>
      </c>
      <c r="AQ142" t="str">
        <f t="shared" si="15"/>
        <v/>
      </c>
      <c r="AR142" t="str">
        <f t="shared" si="16"/>
        <v/>
      </c>
      <c r="AS142" t="str">
        <f t="shared" si="17"/>
        <v/>
      </c>
    </row>
    <row r="143" spans="5:45" x14ac:dyDescent="0.25">
      <c r="E143" t="str">
        <f ca="1"/>
        <v/>
      </c>
      <c r="F143" t="str">
        <f ca="1"/>
        <v/>
      </c>
      <c r="P143" t="e" cm="1">
        <f t="array" ref="P143">INDEX($B$2:$D$40,MOD(ROW()-ROW($B$2),ROWS($B$2:$D$40))+1,INT((ROW()-ROW($B$2))/ROWS($B$2:$D$40))+1)</f>
        <v>#REF!</v>
      </c>
      <c r="Q143" t="e">
        <f t="shared" ca="1" si="18"/>
        <v>#N/A</v>
      </c>
      <c r="R143" t="str" cm="1">
        <f t="array" aca="1" ref="R143" ca="1">IFERROR(INDIRECT("$P"&amp;Q143),"")</f>
        <v/>
      </c>
      <c r="U143" t="e" cm="1">
        <f t="array" ref="U143">INDEX($C$2:$D$40,MOD(ROW()-ROW($C$2),ROWS($C$2:$D$40))+1,INT((ROW()-ROW($C$2))/ROWS($C$2:$D$40))+1)</f>
        <v>#REF!</v>
      </c>
      <c r="V143" t="e">
        <f t="shared" ca="1" si="19"/>
        <v>#N/A</v>
      </c>
      <c r="W143" t="str" cm="1">
        <f t="array" aca="1" ref="W143" ca="1">IFERROR(INDIRECT("$U"&amp;V143),"")</f>
        <v/>
      </c>
      <c r="Z143" cm="1">
        <f t="array" ref="Z143">INDEX($AE$2:$AS$40,MOD(ROW()-ROW($AE$2),ROWS($AE$2:$AS$40))+1,INT((ROW()-ROW($AE$2))/ROWS($AE$2:$AS$40))+1)</f>
        <v>0</v>
      </c>
      <c r="AA143">
        <f t="shared" ca="1" si="20"/>
        <v>447</v>
      </c>
      <c r="AB143" t="str" cm="1">
        <f t="array" aca="1" ref="AB143" ca="1">IFERROR(INDIRECT("$Z"&amp;AA143),"")</f>
        <v/>
      </c>
      <c r="AP143" t="str">
        <f t="shared" si="14"/>
        <v/>
      </c>
      <c r="AQ143" t="str">
        <f t="shared" si="15"/>
        <v/>
      </c>
      <c r="AR143" t="str">
        <f t="shared" si="16"/>
        <v/>
      </c>
      <c r="AS143" t="str">
        <f t="shared" si="17"/>
        <v/>
      </c>
    </row>
    <row r="144" spans="5:45" x14ac:dyDescent="0.25">
      <c r="E144" t="str">
        <f ca="1"/>
        <v/>
      </c>
      <c r="F144" t="str">
        <f ca="1"/>
        <v/>
      </c>
      <c r="P144" t="e" cm="1">
        <f t="array" ref="P144">INDEX($B$2:$D$40,MOD(ROW()-ROW($B$2),ROWS($B$2:$D$40))+1,INT((ROW()-ROW($B$2))/ROWS($B$2:$D$40))+1)</f>
        <v>#REF!</v>
      </c>
      <c r="Q144" t="e">
        <f t="shared" ca="1" si="18"/>
        <v>#N/A</v>
      </c>
      <c r="R144" t="str" cm="1">
        <f t="array" aca="1" ref="R144" ca="1">IFERROR(INDIRECT("$P"&amp;Q144),"")</f>
        <v/>
      </c>
      <c r="U144" t="e" cm="1">
        <f t="array" ref="U144">INDEX($C$2:$D$40,MOD(ROW()-ROW($C$2),ROWS($C$2:$D$40))+1,INT((ROW()-ROW($C$2))/ROWS($C$2:$D$40))+1)</f>
        <v>#REF!</v>
      </c>
      <c r="V144" t="e">
        <f t="shared" ca="1" si="19"/>
        <v>#N/A</v>
      </c>
      <c r="W144" t="str" cm="1">
        <f t="array" aca="1" ref="W144" ca="1">IFERROR(INDIRECT("$U"&amp;V144),"")</f>
        <v/>
      </c>
      <c r="Z144" cm="1">
        <f t="array" ref="Z144">INDEX($AE$2:$AS$40,MOD(ROW()-ROW($AE$2),ROWS($AE$2:$AS$40))+1,INT((ROW()-ROW($AE$2))/ROWS($AE$2:$AS$40))+1)</f>
        <v>0</v>
      </c>
      <c r="AA144">
        <f t="shared" ca="1" si="20"/>
        <v>448</v>
      </c>
      <c r="AB144" t="str" cm="1">
        <f t="array" aca="1" ref="AB144" ca="1">IFERROR(INDIRECT("$Z"&amp;AA144),"")</f>
        <v/>
      </c>
      <c r="AP144" t="str">
        <f t="shared" si="14"/>
        <v/>
      </c>
      <c r="AQ144" t="str">
        <f t="shared" si="15"/>
        <v/>
      </c>
      <c r="AR144" t="str">
        <f t="shared" si="16"/>
        <v/>
      </c>
      <c r="AS144" t="str">
        <f t="shared" si="17"/>
        <v/>
      </c>
    </row>
    <row r="145" spans="5:45" x14ac:dyDescent="0.25">
      <c r="E145" t="str">
        <f ca="1"/>
        <v/>
      </c>
      <c r="F145" t="str">
        <f ca="1"/>
        <v/>
      </c>
      <c r="P145" t="e" cm="1">
        <f t="array" ref="P145">INDEX($B$2:$D$40,MOD(ROW()-ROW($B$2),ROWS($B$2:$D$40))+1,INT((ROW()-ROW($B$2))/ROWS($B$2:$D$40))+1)</f>
        <v>#REF!</v>
      </c>
      <c r="Q145" t="e">
        <f t="shared" ca="1" si="18"/>
        <v>#N/A</v>
      </c>
      <c r="R145" t="str" cm="1">
        <f t="array" aca="1" ref="R145" ca="1">IFERROR(INDIRECT("$P"&amp;Q145),"")</f>
        <v/>
      </c>
      <c r="U145" t="e" cm="1">
        <f t="array" ref="U145">INDEX($C$2:$D$40,MOD(ROW()-ROW($C$2),ROWS($C$2:$D$40))+1,INT((ROW()-ROW($C$2))/ROWS($C$2:$D$40))+1)</f>
        <v>#REF!</v>
      </c>
      <c r="V145" t="e">
        <f t="shared" ca="1" si="19"/>
        <v>#N/A</v>
      </c>
      <c r="W145" t="str" cm="1">
        <f t="array" aca="1" ref="W145" ca="1">IFERROR(INDIRECT("$U"&amp;V145),"")</f>
        <v/>
      </c>
      <c r="Z145" cm="1">
        <f t="array" ref="Z145">INDEX($AE$2:$AS$40,MOD(ROW()-ROW($AE$2),ROWS($AE$2:$AS$40))+1,INT((ROW()-ROW($AE$2))/ROWS($AE$2:$AS$40))+1)</f>
        <v>0</v>
      </c>
      <c r="AA145">
        <f t="shared" ca="1" si="20"/>
        <v>449</v>
      </c>
      <c r="AB145" t="str" cm="1">
        <f t="array" aca="1" ref="AB145" ca="1">IFERROR(INDIRECT("$Z"&amp;AA145),"")</f>
        <v/>
      </c>
      <c r="AP145" t="str">
        <f t="shared" si="14"/>
        <v/>
      </c>
      <c r="AQ145" t="str">
        <f t="shared" si="15"/>
        <v/>
      </c>
      <c r="AR145" t="str">
        <f t="shared" si="16"/>
        <v/>
      </c>
      <c r="AS145" t="str">
        <f t="shared" si="17"/>
        <v/>
      </c>
    </row>
    <row r="146" spans="5:45" x14ac:dyDescent="0.25">
      <c r="E146" t="str">
        <f ca="1"/>
        <v/>
      </c>
      <c r="F146" t="str">
        <f ca="1"/>
        <v/>
      </c>
      <c r="P146" t="e" cm="1">
        <f t="array" ref="P146">INDEX($B$2:$D$40,MOD(ROW()-ROW($B$2),ROWS($B$2:$D$40))+1,INT((ROW()-ROW($B$2))/ROWS($B$2:$D$40))+1)</f>
        <v>#REF!</v>
      </c>
      <c r="Q146" t="e">
        <f t="shared" ca="1" si="18"/>
        <v>#N/A</v>
      </c>
      <c r="R146" t="str" cm="1">
        <f t="array" aca="1" ref="R146" ca="1">IFERROR(INDIRECT("$P"&amp;Q146),"")</f>
        <v/>
      </c>
      <c r="U146" t="e" cm="1">
        <f t="array" ref="U146">INDEX($C$2:$D$40,MOD(ROW()-ROW($C$2),ROWS($C$2:$D$40))+1,INT((ROW()-ROW($C$2))/ROWS($C$2:$D$40))+1)</f>
        <v>#REF!</v>
      </c>
      <c r="V146" t="e">
        <f t="shared" ca="1" si="19"/>
        <v>#N/A</v>
      </c>
      <c r="W146" t="str" cm="1">
        <f t="array" aca="1" ref="W146" ca="1">IFERROR(INDIRECT("$U"&amp;V146),"")</f>
        <v/>
      </c>
      <c r="Z146" cm="1">
        <f t="array" ref="Z146">INDEX($AE$2:$AS$40,MOD(ROW()-ROW($AE$2),ROWS($AE$2:$AS$40))+1,INT((ROW()-ROW($AE$2))/ROWS($AE$2:$AS$40))+1)</f>
        <v>0</v>
      </c>
      <c r="AA146">
        <f t="shared" ca="1" si="20"/>
        <v>450</v>
      </c>
      <c r="AB146" t="str" cm="1">
        <f t="array" aca="1" ref="AB146" ca="1">IFERROR(INDIRECT("$Z"&amp;AA146),"")</f>
        <v/>
      </c>
      <c r="AP146" t="str">
        <f t="shared" si="14"/>
        <v/>
      </c>
      <c r="AQ146" t="str">
        <f t="shared" si="15"/>
        <v/>
      </c>
      <c r="AR146" t="str">
        <f t="shared" si="16"/>
        <v/>
      </c>
      <c r="AS146" t="str">
        <f t="shared" si="17"/>
        <v/>
      </c>
    </row>
    <row r="147" spans="5:45" x14ac:dyDescent="0.25">
      <c r="E147" t="str">
        <f ca="1"/>
        <v/>
      </c>
      <c r="F147" t="str">
        <f ca="1"/>
        <v/>
      </c>
      <c r="P147" t="e" cm="1">
        <f t="array" ref="P147">INDEX($B$2:$D$40,MOD(ROW()-ROW($B$2),ROWS($B$2:$D$40))+1,INT((ROW()-ROW($B$2))/ROWS($B$2:$D$40))+1)</f>
        <v>#REF!</v>
      </c>
      <c r="Q147" t="e">
        <f t="shared" ca="1" si="18"/>
        <v>#N/A</v>
      </c>
      <c r="R147" t="str" cm="1">
        <f t="array" aca="1" ref="R147" ca="1">IFERROR(INDIRECT("$P"&amp;Q147),"")</f>
        <v/>
      </c>
      <c r="U147" t="e" cm="1">
        <f t="array" ref="U147">INDEX($C$2:$D$40,MOD(ROW()-ROW($C$2),ROWS($C$2:$D$40))+1,INT((ROW()-ROW($C$2))/ROWS($C$2:$D$40))+1)</f>
        <v>#REF!</v>
      </c>
      <c r="V147" t="e">
        <f t="shared" ca="1" si="19"/>
        <v>#N/A</v>
      </c>
      <c r="W147" t="str" cm="1">
        <f t="array" aca="1" ref="W147" ca="1">IFERROR(INDIRECT("$U"&amp;V147),"")</f>
        <v/>
      </c>
      <c r="Z147" cm="1">
        <f t="array" ref="Z147">INDEX($AE$2:$AS$40,MOD(ROW()-ROW($AE$2),ROWS($AE$2:$AS$40))+1,INT((ROW()-ROW($AE$2))/ROWS($AE$2:$AS$40))+1)</f>
        <v>0</v>
      </c>
      <c r="AA147">
        <f t="shared" ca="1" si="20"/>
        <v>451</v>
      </c>
      <c r="AB147" t="str" cm="1">
        <f t="array" aca="1" ref="AB147" ca="1">IFERROR(INDIRECT("$Z"&amp;AA147),"")</f>
        <v/>
      </c>
      <c r="AP147" t="str">
        <f t="shared" si="14"/>
        <v/>
      </c>
      <c r="AQ147" t="str">
        <f t="shared" si="15"/>
        <v/>
      </c>
      <c r="AR147" t="str">
        <f t="shared" si="16"/>
        <v/>
      </c>
      <c r="AS147" t="str">
        <f t="shared" si="17"/>
        <v/>
      </c>
    </row>
    <row r="148" spans="5:45" x14ac:dyDescent="0.25">
      <c r="E148" t="str">
        <f ca="1"/>
        <v/>
      </c>
      <c r="F148" t="str">
        <f ca="1"/>
        <v/>
      </c>
      <c r="P148" t="e" cm="1">
        <f t="array" ref="P148">INDEX($B$2:$D$40,MOD(ROW()-ROW($B$2),ROWS($B$2:$D$40))+1,INT((ROW()-ROW($B$2))/ROWS($B$2:$D$40))+1)</f>
        <v>#REF!</v>
      </c>
      <c r="Q148" t="e">
        <f t="shared" ca="1" si="18"/>
        <v>#N/A</v>
      </c>
      <c r="R148" t="str" cm="1">
        <f t="array" aca="1" ref="R148" ca="1">IFERROR(INDIRECT("$P"&amp;Q148),"")</f>
        <v/>
      </c>
      <c r="U148" t="e" cm="1">
        <f t="array" ref="U148">INDEX($C$2:$D$40,MOD(ROW()-ROW($C$2),ROWS($C$2:$D$40))+1,INT((ROW()-ROW($C$2))/ROWS($C$2:$D$40))+1)</f>
        <v>#REF!</v>
      </c>
      <c r="V148" t="e">
        <f t="shared" ca="1" si="19"/>
        <v>#N/A</v>
      </c>
      <c r="W148" t="str" cm="1">
        <f t="array" aca="1" ref="W148" ca="1">IFERROR(INDIRECT("$U"&amp;V148),"")</f>
        <v/>
      </c>
      <c r="Z148" cm="1">
        <f t="array" ref="Z148">INDEX($AE$2:$AS$40,MOD(ROW()-ROW($AE$2),ROWS($AE$2:$AS$40))+1,INT((ROW()-ROW($AE$2))/ROWS($AE$2:$AS$40))+1)</f>
        <v>0</v>
      </c>
      <c r="AA148">
        <f t="shared" ca="1" si="20"/>
        <v>452</v>
      </c>
      <c r="AB148" t="str" cm="1">
        <f t="array" aca="1" ref="AB148" ca="1">IFERROR(INDIRECT("$Z"&amp;AA148),"")</f>
        <v/>
      </c>
      <c r="AP148" t="str">
        <f t="shared" si="14"/>
        <v/>
      </c>
      <c r="AQ148" t="str">
        <f t="shared" si="15"/>
        <v/>
      </c>
      <c r="AR148" t="str">
        <f t="shared" si="16"/>
        <v/>
      </c>
      <c r="AS148" t="str">
        <f t="shared" si="17"/>
        <v/>
      </c>
    </row>
    <row r="149" spans="5:45" x14ac:dyDescent="0.25">
      <c r="E149" t="str">
        <f ca="1"/>
        <v/>
      </c>
      <c r="F149" t="str">
        <f ca="1"/>
        <v/>
      </c>
      <c r="P149" t="e" cm="1">
        <f t="array" ref="P149">INDEX($B$2:$D$40,MOD(ROW()-ROW($B$2),ROWS($B$2:$D$40))+1,INT((ROW()-ROW($B$2))/ROWS($B$2:$D$40))+1)</f>
        <v>#REF!</v>
      </c>
      <c r="Q149" t="e">
        <f t="shared" ca="1" si="18"/>
        <v>#N/A</v>
      </c>
      <c r="R149" t="str" cm="1">
        <f t="array" aca="1" ref="R149" ca="1">IFERROR(INDIRECT("$P"&amp;Q149),"")</f>
        <v/>
      </c>
      <c r="U149" t="e" cm="1">
        <f t="array" ref="U149">INDEX($C$2:$D$40,MOD(ROW()-ROW($C$2),ROWS($C$2:$D$40))+1,INT((ROW()-ROW($C$2))/ROWS($C$2:$D$40))+1)</f>
        <v>#REF!</v>
      </c>
      <c r="V149" t="e">
        <f t="shared" ca="1" si="19"/>
        <v>#N/A</v>
      </c>
      <c r="W149" t="str" cm="1">
        <f t="array" aca="1" ref="W149" ca="1">IFERROR(INDIRECT("$U"&amp;V149),"")</f>
        <v/>
      </c>
      <c r="Z149" cm="1">
        <f t="array" ref="Z149">INDEX($AE$2:$AS$40,MOD(ROW()-ROW($AE$2),ROWS($AE$2:$AS$40))+1,INT((ROW()-ROW($AE$2))/ROWS($AE$2:$AS$40))+1)</f>
        <v>0</v>
      </c>
      <c r="AA149">
        <f t="shared" ca="1" si="20"/>
        <v>453</v>
      </c>
      <c r="AB149" t="str" cm="1">
        <f t="array" aca="1" ref="AB149" ca="1">IFERROR(INDIRECT("$Z"&amp;AA149),"")</f>
        <v/>
      </c>
      <c r="AP149" t="str">
        <f t="shared" si="14"/>
        <v/>
      </c>
      <c r="AQ149" t="str">
        <f t="shared" si="15"/>
        <v/>
      </c>
      <c r="AR149" t="str">
        <f t="shared" si="16"/>
        <v/>
      </c>
      <c r="AS149" t="str">
        <f t="shared" si="17"/>
        <v/>
      </c>
    </row>
    <row r="150" spans="5:45" x14ac:dyDescent="0.25">
      <c r="E150" t="str">
        <f ca="1"/>
        <v/>
      </c>
      <c r="F150" t="str">
        <f ca="1"/>
        <v/>
      </c>
      <c r="P150" t="e" cm="1">
        <f t="array" ref="P150">INDEX($B$2:$D$40,MOD(ROW()-ROW($B$2),ROWS($B$2:$D$40))+1,INT((ROW()-ROW($B$2))/ROWS($B$2:$D$40))+1)</f>
        <v>#REF!</v>
      </c>
      <c r="Q150" t="e">
        <f t="shared" ca="1" si="18"/>
        <v>#N/A</v>
      </c>
      <c r="R150" t="str" cm="1">
        <f t="array" aca="1" ref="R150" ca="1">IFERROR(INDIRECT("$P"&amp;Q150),"")</f>
        <v/>
      </c>
      <c r="U150" t="e" cm="1">
        <f t="array" ref="U150">INDEX($C$2:$D$40,MOD(ROW()-ROW($C$2),ROWS($C$2:$D$40))+1,INT((ROW()-ROW($C$2))/ROWS($C$2:$D$40))+1)</f>
        <v>#REF!</v>
      </c>
      <c r="V150" t="e">
        <f t="shared" ca="1" si="19"/>
        <v>#N/A</v>
      </c>
      <c r="W150" t="str" cm="1">
        <f t="array" aca="1" ref="W150" ca="1">IFERROR(INDIRECT("$U"&amp;V150),"")</f>
        <v/>
      </c>
      <c r="Z150" cm="1">
        <f t="array" ref="Z150">INDEX($AE$2:$AS$40,MOD(ROW()-ROW($AE$2),ROWS($AE$2:$AS$40))+1,INT((ROW()-ROW($AE$2))/ROWS($AE$2:$AS$40))+1)</f>
        <v>0</v>
      </c>
      <c r="AA150">
        <f t="shared" ca="1" si="20"/>
        <v>454</v>
      </c>
      <c r="AB150" t="str" cm="1">
        <f t="array" aca="1" ref="AB150" ca="1">IFERROR(INDIRECT("$Z"&amp;AA150),"")</f>
        <v/>
      </c>
      <c r="AP150" t="str">
        <f t="shared" si="14"/>
        <v/>
      </c>
      <c r="AQ150" t="str">
        <f t="shared" si="15"/>
        <v/>
      </c>
      <c r="AR150" t="str">
        <f t="shared" si="16"/>
        <v/>
      </c>
      <c r="AS150" t="str">
        <f t="shared" si="17"/>
        <v/>
      </c>
    </row>
    <row r="151" spans="5:45" x14ac:dyDescent="0.25">
      <c r="E151" t="str">
        <f ca="1"/>
        <v/>
      </c>
      <c r="F151" t="str">
        <f ca="1"/>
        <v/>
      </c>
      <c r="P151" t="e" cm="1">
        <f t="array" ref="P151">INDEX($B$2:$D$40,MOD(ROW()-ROW($B$2),ROWS($B$2:$D$40))+1,INT((ROW()-ROW($B$2))/ROWS($B$2:$D$40))+1)</f>
        <v>#REF!</v>
      </c>
      <c r="Q151" t="e">
        <f t="shared" ca="1" si="18"/>
        <v>#N/A</v>
      </c>
      <c r="R151" t="str" cm="1">
        <f t="array" aca="1" ref="R151" ca="1">IFERROR(INDIRECT("$P"&amp;Q151),"")</f>
        <v/>
      </c>
      <c r="U151" t="e" cm="1">
        <f t="array" ref="U151">INDEX($C$2:$D$40,MOD(ROW()-ROW($C$2),ROWS($C$2:$D$40))+1,INT((ROW()-ROW($C$2))/ROWS($C$2:$D$40))+1)</f>
        <v>#REF!</v>
      </c>
      <c r="V151" t="e">
        <f t="shared" ca="1" si="19"/>
        <v>#N/A</v>
      </c>
      <c r="W151" t="str" cm="1">
        <f t="array" aca="1" ref="W151" ca="1">IFERROR(INDIRECT("$U"&amp;V151),"")</f>
        <v/>
      </c>
      <c r="Z151" cm="1">
        <f t="array" ref="Z151">INDEX($AE$2:$AS$40,MOD(ROW()-ROW($AE$2),ROWS($AE$2:$AS$40))+1,INT((ROW()-ROW($AE$2))/ROWS($AE$2:$AS$40))+1)</f>
        <v>0</v>
      </c>
      <c r="AA151">
        <f t="shared" ca="1" si="20"/>
        <v>455</v>
      </c>
      <c r="AB151" t="str" cm="1">
        <f t="array" aca="1" ref="AB151" ca="1">IFERROR(INDIRECT("$Z"&amp;AA151),"")</f>
        <v/>
      </c>
      <c r="AP151" t="str">
        <f t="shared" si="14"/>
        <v/>
      </c>
      <c r="AQ151" t="str">
        <f t="shared" si="15"/>
        <v/>
      </c>
      <c r="AR151" t="str">
        <f t="shared" si="16"/>
        <v/>
      </c>
      <c r="AS151" t="str">
        <f t="shared" si="17"/>
        <v/>
      </c>
    </row>
    <row r="152" spans="5:45" x14ac:dyDescent="0.25">
      <c r="E152" t="str">
        <f ca="1"/>
        <v/>
      </c>
      <c r="F152" t="str">
        <f ca="1"/>
        <v/>
      </c>
      <c r="P152" t="e" cm="1">
        <f t="array" ref="P152">INDEX($B$2:$D$40,MOD(ROW()-ROW($B$2),ROWS($B$2:$D$40))+1,INT((ROW()-ROW($B$2))/ROWS($B$2:$D$40))+1)</f>
        <v>#REF!</v>
      </c>
      <c r="Q152" t="e">
        <f t="shared" ca="1" si="18"/>
        <v>#N/A</v>
      </c>
      <c r="R152" t="str" cm="1">
        <f t="array" aca="1" ref="R152" ca="1">IFERROR(INDIRECT("$P"&amp;Q152),"")</f>
        <v/>
      </c>
      <c r="U152" t="e" cm="1">
        <f t="array" ref="U152">INDEX($C$2:$D$40,MOD(ROW()-ROW($C$2),ROWS($C$2:$D$40))+1,INT((ROW()-ROW($C$2))/ROWS($C$2:$D$40))+1)</f>
        <v>#REF!</v>
      </c>
      <c r="V152" t="e">
        <f t="shared" ca="1" si="19"/>
        <v>#N/A</v>
      </c>
      <c r="W152" t="str" cm="1">
        <f t="array" aca="1" ref="W152" ca="1">IFERROR(INDIRECT("$U"&amp;V152),"")</f>
        <v/>
      </c>
      <c r="Z152" cm="1">
        <f t="array" ref="Z152">INDEX($AE$2:$AS$40,MOD(ROW()-ROW($AE$2),ROWS($AE$2:$AS$40))+1,INT((ROW()-ROW($AE$2))/ROWS($AE$2:$AS$40))+1)</f>
        <v>0</v>
      </c>
      <c r="AA152">
        <f t="shared" ca="1" si="20"/>
        <v>456</v>
      </c>
      <c r="AB152" t="str" cm="1">
        <f t="array" aca="1" ref="AB152" ca="1">IFERROR(INDIRECT("$Z"&amp;AA152),"")</f>
        <v/>
      </c>
      <c r="AP152" t="str">
        <f t="shared" si="14"/>
        <v/>
      </c>
      <c r="AQ152" t="str">
        <f t="shared" si="15"/>
        <v/>
      </c>
      <c r="AR152" t="str">
        <f t="shared" si="16"/>
        <v/>
      </c>
      <c r="AS152" t="str">
        <f t="shared" si="17"/>
        <v/>
      </c>
    </row>
    <row r="153" spans="5:45" x14ac:dyDescent="0.25">
      <c r="E153" t="str">
        <f ca="1"/>
        <v/>
      </c>
      <c r="F153" t="str">
        <f ca="1"/>
        <v/>
      </c>
      <c r="P153" t="e" cm="1">
        <f t="array" ref="P153">INDEX($B$2:$D$40,MOD(ROW()-ROW($B$2),ROWS($B$2:$D$40))+1,INT((ROW()-ROW($B$2))/ROWS($B$2:$D$40))+1)</f>
        <v>#REF!</v>
      </c>
      <c r="Q153" t="e">
        <f t="shared" ca="1" si="18"/>
        <v>#N/A</v>
      </c>
      <c r="R153" t="str" cm="1">
        <f t="array" aca="1" ref="R153" ca="1">IFERROR(INDIRECT("$P"&amp;Q153),"")</f>
        <v/>
      </c>
      <c r="U153" t="e" cm="1">
        <f t="array" ref="U153">INDEX($C$2:$D$40,MOD(ROW()-ROW($C$2),ROWS($C$2:$D$40))+1,INT((ROW()-ROW($C$2))/ROWS($C$2:$D$40))+1)</f>
        <v>#REF!</v>
      </c>
      <c r="V153" t="e">
        <f t="shared" ca="1" si="19"/>
        <v>#N/A</v>
      </c>
      <c r="W153" t="str" cm="1">
        <f t="array" aca="1" ref="W153" ca="1">IFERROR(INDIRECT("$U"&amp;V153),"")</f>
        <v/>
      </c>
      <c r="Z153" cm="1">
        <f t="array" ref="Z153">INDEX($AE$2:$AS$40,MOD(ROW()-ROW($AE$2),ROWS($AE$2:$AS$40))+1,INT((ROW()-ROW($AE$2))/ROWS($AE$2:$AS$40))+1)</f>
        <v>0</v>
      </c>
      <c r="AA153">
        <f t="shared" ca="1" si="20"/>
        <v>457</v>
      </c>
      <c r="AB153" t="str" cm="1">
        <f t="array" aca="1" ref="AB153" ca="1">IFERROR(INDIRECT("$Z"&amp;AA153),"")</f>
        <v/>
      </c>
      <c r="AP153" t="str">
        <f t="shared" si="14"/>
        <v/>
      </c>
      <c r="AQ153" t="str">
        <f t="shared" si="15"/>
        <v/>
      </c>
      <c r="AR153" t="str">
        <f t="shared" si="16"/>
        <v/>
      </c>
      <c r="AS153" t="str">
        <f t="shared" si="17"/>
        <v/>
      </c>
    </row>
    <row r="154" spans="5:45" x14ac:dyDescent="0.25">
      <c r="E154" t="str">
        <f ca="1"/>
        <v/>
      </c>
      <c r="F154" t="str">
        <f ca="1"/>
        <v/>
      </c>
      <c r="P154" t="e" cm="1">
        <f t="array" ref="P154">INDEX($B$2:$D$40,MOD(ROW()-ROW($B$2),ROWS($B$2:$D$40))+1,INT((ROW()-ROW($B$2))/ROWS($B$2:$D$40))+1)</f>
        <v>#REF!</v>
      </c>
      <c r="Q154" t="e">
        <f t="shared" ca="1" si="18"/>
        <v>#N/A</v>
      </c>
      <c r="R154" t="str" cm="1">
        <f t="array" aca="1" ref="R154" ca="1">IFERROR(INDIRECT("$P"&amp;Q154),"")</f>
        <v/>
      </c>
      <c r="U154" t="e" cm="1">
        <f t="array" ref="U154">INDEX($C$2:$D$40,MOD(ROW()-ROW($C$2),ROWS($C$2:$D$40))+1,INT((ROW()-ROW($C$2))/ROWS($C$2:$D$40))+1)</f>
        <v>#REF!</v>
      </c>
      <c r="V154" t="e">
        <f t="shared" ca="1" si="19"/>
        <v>#N/A</v>
      </c>
      <c r="W154" t="str" cm="1">
        <f t="array" aca="1" ref="W154" ca="1">IFERROR(INDIRECT("$U"&amp;V154),"")</f>
        <v/>
      </c>
      <c r="Z154" cm="1">
        <f t="array" ref="Z154">INDEX($AE$2:$AS$40,MOD(ROW()-ROW($AE$2),ROWS($AE$2:$AS$40))+1,INT((ROW()-ROW($AE$2))/ROWS($AE$2:$AS$40))+1)</f>
        <v>0</v>
      </c>
      <c r="AA154">
        <f t="shared" ca="1" si="20"/>
        <v>458</v>
      </c>
      <c r="AB154" t="str" cm="1">
        <f t="array" aca="1" ref="AB154" ca="1">IFERROR(INDIRECT("$Z"&amp;AA154),"")</f>
        <v/>
      </c>
      <c r="AP154" t="str">
        <f t="shared" si="14"/>
        <v/>
      </c>
      <c r="AQ154" t="str">
        <f t="shared" si="15"/>
        <v/>
      </c>
      <c r="AR154" t="str">
        <f t="shared" si="16"/>
        <v/>
      </c>
      <c r="AS154" t="str">
        <f t="shared" si="17"/>
        <v/>
      </c>
    </row>
    <row r="155" spans="5:45" x14ac:dyDescent="0.25">
      <c r="E155" t="str">
        <f ca="1"/>
        <v/>
      </c>
      <c r="F155" t="str">
        <f ca="1"/>
        <v/>
      </c>
      <c r="P155" t="e" cm="1">
        <f t="array" ref="P155">INDEX($B$2:$D$40,MOD(ROW()-ROW($B$2),ROWS($B$2:$D$40))+1,INT((ROW()-ROW($B$2))/ROWS($B$2:$D$40))+1)</f>
        <v>#REF!</v>
      </c>
      <c r="Q155" t="e">
        <f t="shared" ca="1" si="18"/>
        <v>#N/A</v>
      </c>
      <c r="R155" t="str" cm="1">
        <f t="array" aca="1" ref="R155" ca="1">IFERROR(INDIRECT("$P"&amp;Q155),"")</f>
        <v/>
      </c>
      <c r="U155" t="e" cm="1">
        <f t="array" ref="U155">INDEX($C$2:$D$40,MOD(ROW()-ROW($C$2),ROWS($C$2:$D$40))+1,INT((ROW()-ROW($C$2))/ROWS($C$2:$D$40))+1)</f>
        <v>#REF!</v>
      </c>
      <c r="V155" t="e">
        <f t="shared" ca="1" si="19"/>
        <v>#N/A</v>
      </c>
      <c r="W155" t="str" cm="1">
        <f t="array" aca="1" ref="W155" ca="1">IFERROR(INDIRECT("$U"&amp;V155),"")</f>
        <v/>
      </c>
      <c r="Z155" cm="1">
        <f t="array" ref="Z155">INDEX($AE$2:$AS$40,MOD(ROW()-ROW($AE$2),ROWS($AE$2:$AS$40))+1,INT((ROW()-ROW($AE$2))/ROWS($AE$2:$AS$40))+1)</f>
        <v>0</v>
      </c>
      <c r="AA155">
        <f t="shared" ca="1" si="20"/>
        <v>459</v>
      </c>
      <c r="AB155" t="str" cm="1">
        <f t="array" aca="1" ref="AB155" ca="1">IFERROR(INDIRECT("$Z"&amp;AA155),"")</f>
        <v/>
      </c>
      <c r="AP155" t="str">
        <f t="shared" si="14"/>
        <v/>
      </c>
      <c r="AQ155" t="str">
        <f t="shared" si="15"/>
        <v/>
      </c>
      <c r="AR155" t="str">
        <f t="shared" si="16"/>
        <v/>
      </c>
      <c r="AS155" t="str">
        <f t="shared" si="17"/>
        <v/>
      </c>
    </row>
    <row r="156" spans="5:45" x14ac:dyDescent="0.25">
      <c r="E156" t="str">
        <f ca="1"/>
        <v/>
      </c>
      <c r="F156" t="str">
        <f ca="1"/>
        <v/>
      </c>
      <c r="P156" t="e" cm="1">
        <f t="array" ref="P156">INDEX($B$2:$D$40,MOD(ROW()-ROW($B$2),ROWS($B$2:$D$40))+1,INT((ROW()-ROW($B$2))/ROWS($B$2:$D$40))+1)</f>
        <v>#REF!</v>
      </c>
      <c r="Q156" t="e">
        <f t="shared" ca="1" si="18"/>
        <v>#N/A</v>
      </c>
      <c r="R156" t="str" cm="1">
        <f t="array" aca="1" ref="R156" ca="1">IFERROR(INDIRECT("$P"&amp;Q156),"")</f>
        <v/>
      </c>
      <c r="U156" t="e" cm="1">
        <f t="array" ref="U156">INDEX($C$2:$D$40,MOD(ROW()-ROW($C$2),ROWS($C$2:$D$40))+1,INT((ROW()-ROW($C$2))/ROWS($C$2:$D$40))+1)</f>
        <v>#REF!</v>
      </c>
      <c r="V156" t="e">
        <f t="shared" ca="1" si="19"/>
        <v>#N/A</v>
      </c>
      <c r="W156" t="str" cm="1">
        <f t="array" aca="1" ref="W156" ca="1">IFERROR(INDIRECT("$U"&amp;V156),"")</f>
        <v/>
      </c>
      <c r="Z156" cm="1">
        <f t="array" ref="Z156">INDEX($AE$2:$AS$40,MOD(ROW()-ROW($AE$2),ROWS($AE$2:$AS$40))+1,INT((ROW()-ROW($AE$2))/ROWS($AE$2:$AS$40))+1)</f>
        <v>0</v>
      </c>
      <c r="AA156">
        <f t="shared" ca="1" si="20"/>
        <v>460</v>
      </c>
      <c r="AB156" t="str" cm="1">
        <f t="array" aca="1" ref="AB156" ca="1">IFERROR(INDIRECT("$Z"&amp;AA156),"")</f>
        <v/>
      </c>
      <c r="AP156" t="str">
        <f t="shared" si="14"/>
        <v/>
      </c>
      <c r="AQ156" t="str">
        <f t="shared" si="15"/>
        <v/>
      </c>
      <c r="AR156" t="str">
        <f t="shared" si="16"/>
        <v/>
      </c>
      <c r="AS156" t="str">
        <f t="shared" si="17"/>
        <v/>
      </c>
    </row>
    <row r="157" spans="5:45" x14ac:dyDescent="0.25">
      <c r="E157" t="str">
        <f ca="1"/>
        <v/>
      </c>
      <c r="F157" t="str">
        <f ca="1"/>
        <v/>
      </c>
      <c r="P157" t="e" cm="1">
        <f t="array" ref="P157">INDEX($B$2:$D$40,MOD(ROW()-ROW($B$2),ROWS($B$2:$D$40))+1,INT((ROW()-ROW($B$2))/ROWS($B$2:$D$40))+1)</f>
        <v>#REF!</v>
      </c>
      <c r="Q157" t="e">
        <f t="shared" ca="1" si="18"/>
        <v>#N/A</v>
      </c>
      <c r="R157" t="str" cm="1">
        <f t="array" aca="1" ref="R157" ca="1">IFERROR(INDIRECT("$P"&amp;Q157),"")</f>
        <v/>
      </c>
      <c r="U157" t="e" cm="1">
        <f t="array" ref="U157">INDEX($C$2:$D$40,MOD(ROW()-ROW($C$2),ROWS($C$2:$D$40))+1,INT((ROW()-ROW($C$2))/ROWS($C$2:$D$40))+1)</f>
        <v>#REF!</v>
      </c>
      <c r="V157" t="e">
        <f t="shared" ca="1" si="19"/>
        <v>#N/A</v>
      </c>
      <c r="W157" t="str" cm="1">
        <f t="array" aca="1" ref="W157" ca="1">IFERROR(INDIRECT("$U"&amp;V157),"")</f>
        <v/>
      </c>
      <c r="Z157" cm="1">
        <f t="array" ref="Z157">INDEX($AE$2:$AS$40,MOD(ROW()-ROW($AE$2),ROWS($AE$2:$AS$40))+1,INT((ROW()-ROW($AE$2))/ROWS($AE$2:$AS$40))+1)</f>
        <v>0</v>
      </c>
      <c r="AA157">
        <f t="shared" ca="1" si="20"/>
        <v>461</v>
      </c>
      <c r="AB157" t="str" cm="1">
        <f t="array" aca="1" ref="AB157" ca="1">IFERROR(INDIRECT("$Z"&amp;AA157),"")</f>
        <v/>
      </c>
      <c r="AP157" t="str">
        <f t="shared" si="14"/>
        <v/>
      </c>
      <c r="AQ157" t="str">
        <f t="shared" si="15"/>
        <v/>
      </c>
      <c r="AR157" t="str">
        <f t="shared" si="16"/>
        <v/>
      </c>
      <c r="AS157" t="str">
        <f t="shared" si="17"/>
        <v/>
      </c>
    </row>
    <row r="158" spans="5:45" x14ac:dyDescent="0.25">
      <c r="E158" t="str">
        <f ca="1"/>
        <v/>
      </c>
      <c r="F158" t="str">
        <f ca="1"/>
        <v/>
      </c>
      <c r="P158" t="e" cm="1">
        <f t="array" ref="P158">INDEX($B$2:$D$40,MOD(ROW()-ROW($B$2),ROWS($B$2:$D$40))+1,INT((ROW()-ROW($B$2))/ROWS($B$2:$D$40))+1)</f>
        <v>#REF!</v>
      </c>
      <c r="Q158" t="e">
        <f t="shared" ca="1" si="18"/>
        <v>#N/A</v>
      </c>
      <c r="R158" t="str" cm="1">
        <f t="array" aca="1" ref="R158" ca="1">IFERROR(INDIRECT("$P"&amp;Q158),"")</f>
        <v/>
      </c>
      <c r="U158" t="e" cm="1">
        <f t="array" ref="U158">INDEX($C$2:$D$40,MOD(ROW()-ROW($C$2),ROWS($C$2:$D$40))+1,INT((ROW()-ROW($C$2))/ROWS($C$2:$D$40))+1)</f>
        <v>#REF!</v>
      </c>
      <c r="V158" t="e">
        <f t="shared" ca="1" si="19"/>
        <v>#N/A</v>
      </c>
      <c r="W158" t="str" cm="1">
        <f t="array" aca="1" ref="W158" ca="1">IFERROR(INDIRECT("$U"&amp;V158),"")</f>
        <v/>
      </c>
      <c r="Z158" t="str" cm="1">
        <f t="array" aca="1" ref="Z158" ca="1">INDEX($AE$2:$AS$40,MOD(ROW()-ROW($AE$2),ROWS($AE$2:$AS$40))+1,INT((ROW()-ROW($AE$2))/ROWS($AE$2:$AS$40))+1)</f>
        <v>cooling_coil</v>
      </c>
      <c r="AA158">
        <f t="shared" ca="1" si="20"/>
        <v>462</v>
      </c>
      <c r="AB158" t="str" cm="1">
        <f t="array" aca="1" ref="AB158" ca="1">IFERROR(INDIRECT("$Z"&amp;AA158),"")</f>
        <v/>
      </c>
      <c r="AP158" t="str">
        <f t="shared" si="14"/>
        <v/>
      </c>
      <c r="AQ158" t="str">
        <f t="shared" si="15"/>
        <v/>
      </c>
      <c r="AR158" t="str">
        <f t="shared" si="16"/>
        <v/>
      </c>
      <c r="AS158" t="str">
        <f t="shared" si="17"/>
        <v/>
      </c>
    </row>
    <row r="159" spans="5:45" x14ac:dyDescent="0.25">
      <c r="E159" t="str">
        <f ca="1"/>
        <v/>
      </c>
      <c r="F159" t="str">
        <f ca="1"/>
        <v/>
      </c>
      <c r="P159" t="e" cm="1">
        <f t="array" ref="P159">INDEX($B$2:$D$40,MOD(ROW()-ROW($B$2),ROWS($B$2:$D$40))+1,INT((ROW()-ROW($B$2))/ROWS($B$2:$D$40))+1)</f>
        <v>#REF!</v>
      </c>
      <c r="Q159" t="e">
        <f t="shared" ca="1" si="18"/>
        <v>#N/A</v>
      </c>
      <c r="R159" t="str" cm="1">
        <f t="array" aca="1" ref="R159" ca="1">IFERROR(INDIRECT("$P"&amp;Q159),"")</f>
        <v/>
      </c>
      <c r="U159" t="e" cm="1">
        <f t="array" ref="U159">INDEX($C$2:$D$40,MOD(ROW()-ROW($C$2),ROWS($C$2:$D$40))+1,INT((ROW()-ROW($C$2))/ROWS($C$2:$D$40))+1)</f>
        <v>#REF!</v>
      </c>
      <c r="V159" t="e">
        <f t="shared" ca="1" si="19"/>
        <v>#N/A</v>
      </c>
      <c r="W159" t="str" cm="1">
        <f t="array" aca="1" ref="W159" ca="1">IFERROR(INDIRECT("$U"&amp;V159),"")</f>
        <v/>
      </c>
      <c r="Z159" t="str" cm="1">
        <f t="array" aca="1" ref="Z159" ca="1">INDEX($AE$2:$AS$40,MOD(ROW()-ROW($AE$2),ROWS($AE$2:$AS$40))+1,INT((ROW()-ROW($AE$2))/ROWS($AE$2:$AS$40))+1)</f>
        <v>heating_coil</v>
      </c>
      <c r="AA159">
        <f t="shared" ca="1" si="20"/>
        <v>463</v>
      </c>
      <c r="AB159" t="str" cm="1">
        <f t="array" aca="1" ref="AB159" ca="1">IFERROR(INDIRECT("$Z"&amp;AA159),"")</f>
        <v/>
      </c>
      <c r="AP159" t="str">
        <f t="shared" si="14"/>
        <v/>
      </c>
      <c r="AQ159" t="str">
        <f t="shared" si="15"/>
        <v/>
      </c>
      <c r="AR159" t="str">
        <f t="shared" si="16"/>
        <v/>
      </c>
      <c r="AS159" t="str">
        <f t="shared" si="17"/>
        <v/>
      </c>
    </row>
    <row r="160" spans="5:45" x14ac:dyDescent="0.25">
      <c r="E160" t="str">
        <f ca="1"/>
        <v/>
      </c>
      <c r="F160" t="str">
        <f ca="1"/>
        <v/>
      </c>
      <c r="P160" t="e" cm="1">
        <f t="array" ref="P160">INDEX($B$2:$D$40,MOD(ROW()-ROW($B$2),ROWS($B$2:$D$40))+1,INT((ROW()-ROW($B$2))/ROWS($B$2:$D$40))+1)</f>
        <v>#REF!</v>
      </c>
      <c r="Q160" t="e">
        <f t="shared" ca="1" si="18"/>
        <v>#N/A</v>
      </c>
      <c r="R160" t="str" cm="1">
        <f t="array" aca="1" ref="R160" ca="1">IFERROR(INDIRECT("$P"&amp;Q160),"")</f>
        <v/>
      </c>
      <c r="U160" t="e" cm="1">
        <f t="array" ref="U160">INDEX($C$2:$D$40,MOD(ROW()-ROW($C$2),ROWS($C$2:$D$40))+1,INT((ROW()-ROW($C$2))/ROWS($C$2:$D$40))+1)</f>
        <v>#REF!</v>
      </c>
      <c r="V160" t="e">
        <f t="shared" ca="1" si="19"/>
        <v>#N/A</v>
      </c>
      <c r="W160" t="str" cm="1">
        <f t="array" aca="1" ref="W160" ca="1">IFERROR(INDIRECT("$U"&amp;V160),"")</f>
        <v/>
      </c>
      <c r="Z160" cm="1">
        <f t="array" ref="Z160">INDEX($AE$2:$AS$40,MOD(ROW()-ROW($AE$2),ROWS($AE$2:$AS$40))+1,INT((ROW()-ROW($AE$2))/ROWS($AE$2:$AS$40))+1)</f>
        <v>0</v>
      </c>
      <c r="AA160">
        <f t="shared" ca="1" si="20"/>
        <v>464</v>
      </c>
      <c r="AB160" t="str" cm="1">
        <f t="array" aca="1" ref="AB160" ca="1">IFERROR(INDIRECT("$Z"&amp;AA160),"")</f>
        <v/>
      </c>
      <c r="AP160" t="str">
        <f t="shared" si="14"/>
        <v/>
      </c>
      <c r="AQ160" t="str">
        <f t="shared" si="15"/>
        <v/>
      </c>
      <c r="AR160" t="str">
        <f t="shared" si="16"/>
        <v/>
      </c>
      <c r="AS160" t="str">
        <f t="shared" si="17"/>
        <v/>
      </c>
    </row>
    <row r="161" spans="5:45" x14ac:dyDescent="0.25">
      <c r="E161" t="str">
        <f ca="1"/>
        <v/>
      </c>
      <c r="F161" t="str">
        <f ca="1"/>
        <v/>
      </c>
      <c r="P161" t="e" cm="1">
        <f t="array" ref="P161">INDEX($B$2:$D$40,MOD(ROW()-ROW($B$2),ROWS($B$2:$D$40))+1,INT((ROW()-ROW($B$2))/ROWS($B$2:$D$40))+1)</f>
        <v>#REF!</v>
      </c>
      <c r="Q161" t="e">
        <f t="shared" ca="1" si="18"/>
        <v>#N/A</v>
      </c>
      <c r="R161" t="str" cm="1">
        <f t="array" aca="1" ref="R161" ca="1">IFERROR(INDIRECT("$P"&amp;Q161),"")</f>
        <v/>
      </c>
      <c r="U161" t="e" cm="1">
        <f t="array" ref="U161">INDEX($C$2:$D$40,MOD(ROW()-ROW($C$2),ROWS($C$2:$D$40))+1,INT((ROW()-ROW($C$2))/ROWS($C$2:$D$40))+1)</f>
        <v>#REF!</v>
      </c>
      <c r="V161" t="e">
        <f t="shared" ca="1" si="19"/>
        <v>#N/A</v>
      </c>
      <c r="W161" t="str" cm="1">
        <f t="array" aca="1" ref="W161" ca="1">IFERROR(INDIRECT("$U"&amp;V161),"")</f>
        <v/>
      </c>
      <c r="Z161" cm="1">
        <f t="array" ref="Z161">INDEX($AE$2:$AS$40,MOD(ROW()-ROW($AE$2),ROWS($AE$2:$AS$40))+1,INT((ROW()-ROW($AE$2))/ROWS($AE$2:$AS$40))+1)</f>
        <v>0</v>
      </c>
      <c r="AA161">
        <f t="shared" ca="1" si="20"/>
        <v>465</v>
      </c>
      <c r="AB161" t="str" cm="1">
        <f t="array" aca="1" ref="AB161" ca="1">IFERROR(INDIRECT("$Z"&amp;AA161),"")</f>
        <v/>
      </c>
      <c r="AP161" t="str">
        <f t="shared" si="14"/>
        <v/>
      </c>
      <c r="AQ161" t="str">
        <f t="shared" si="15"/>
        <v/>
      </c>
      <c r="AR161" t="str">
        <f t="shared" si="16"/>
        <v/>
      </c>
      <c r="AS161" t="str">
        <f t="shared" si="17"/>
        <v/>
      </c>
    </row>
    <row r="162" spans="5:45" x14ac:dyDescent="0.25">
      <c r="E162" t="str">
        <f ca="1"/>
        <v/>
      </c>
      <c r="F162" t="str">
        <f ca="1"/>
        <v/>
      </c>
      <c r="P162" t="e" cm="1">
        <f t="array" ref="P162">INDEX($B$2:$D$40,MOD(ROW()-ROW($B$2),ROWS($B$2:$D$40))+1,INT((ROW()-ROW($B$2))/ROWS($B$2:$D$40))+1)</f>
        <v>#REF!</v>
      </c>
      <c r="Q162" t="e">
        <f t="shared" ca="1" si="18"/>
        <v>#N/A</v>
      </c>
      <c r="R162" t="str" cm="1">
        <f t="array" aca="1" ref="R162" ca="1">IFERROR(INDIRECT("$P"&amp;Q162),"")</f>
        <v/>
      </c>
      <c r="U162" t="e" cm="1">
        <f t="array" ref="U162">INDEX($C$2:$D$40,MOD(ROW()-ROW($C$2),ROWS($C$2:$D$40))+1,INT((ROW()-ROW($C$2))/ROWS($C$2:$D$40))+1)</f>
        <v>#REF!</v>
      </c>
      <c r="V162" t="e">
        <f t="shared" ca="1" si="19"/>
        <v>#N/A</v>
      </c>
      <c r="W162" t="str" cm="1">
        <f t="array" aca="1" ref="W162" ca="1">IFERROR(INDIRECT("$U"&amp;V162),"")</f>
        <v/>
      </c>
      <c r="Z162" cm="1">
        <f t="array" ref="Z162">INDEX($AE$2:$AS$40,MOD(ROW()-ROW($AE$2),ROWS($AE$2:$AS$40))+1,INT((ROW()-ROW($AE$2))/ROWS($AE$2:$AS$40))+1)</f>
        <v>0</v>
      </c>
      <c r="AA162">
        <f t="shared" ca="1" si="20"/>
        <v>466</v>
      </c>
      <c r="AB162" t="str" cm="1">
        <f t="array" aca="1" ref="AB162" ca="1">IFERROR(INDIRECT("$Z"&amp;AA162),"")</f>
        <v/>
      </c>
      <c r="AP162" t="str">
        <f t="shared" si="14"/>
        <v/>
      </c>
      <c r="AQ162" t="str">
        <f t="shared" si="15"/>
        <v/>
      </c>
      <c r="AR162" t="str">
        <f t="shared" si="16"/>
        <v/>
      </c>
      <c r="AS162" t="str">
        <f t="shared" si="17"/>
        <v/>
      </c>
    </row>
    <row r="163" spans="5:45" x14ac:dyDescent="0.25">
      <c r="E163" t="str">
        <f ca="1"/>
        <v/>
      </c>
      <c r="F163" t="str">
        <f ca="1"/>
        <v/>
      </c>
      <c r="P163" t="e" cm="1">
        <f t="array" ref="P163">INDEX($B$2:$D$40,MOD(ROW()-ROW($B$2),ROWS($B$2:$D$40))+1,INT((ROW()-ROW($B$2))/ROWS($B$2:$D$40))+1)</f>
        <v>#REF!</v>
      </c>
      <c r="Q163" t="e">
        <f t="shared" ca="1" si="18"/>
        <v>#N/A</v>
      </c>
      <c r="R163" t="str" cm="1">
        <f t="array" aca="1" ref="R163" ca="1">IFERROR(INDIRECT("$P"&amp;Q163),"")</f>
        <v/>
      </c>
      <c r="U163" t="e" cm="1">
        <f t="array" ref="U163">INDEX($C$2:$D$40,MOD(ROW()-ROW($C$2),ROWS($C$2:$D$40))+1,INT((ROW()-ROW($C$2))/ROWS($C$2:$D$40))+1)</f>
        <v>#REF!</v>
      </c>
      <c r="V163" t="e">
        <f t="shared" ca="1" si="19"/>
        <v>#N/A</v>
      </c>
      <c r="W163" t="str" cm="1">
        <f t="array" aca="1" ref="W163" ca="1">IFERROR(INDIRECT("$U"&amp;V163),"")</f>
        <v/>
      </c>
      <c r="Z163" cm="1">
        <f t="array" ref="Z163">INDEX($AE$2:$AS$40,MOD(ROW()-ROW($AE$2),ROWS($AE$2:$AS$40))+1,INT((ROW()-ROW($AE$2))/ROWS($AE$2:$AS$40))+1)</f>
        <v>0</v>
      </c>
      <c r="AA163">
        <f t="shared" ca="1" si="20"/>
        <v>467</v>
      </c>
      <c r="AB163" t="str" cm="1">
        <f t="array" aca="1" ref="AB163" ca="1">IFERROR(INDIRECT("$Z"&amp;AA163),"")</f>
        <v/>
      </c>
      <c r="AP163" t="str">
        <f t="shared" si="14"/>
        <v/>
      </c>
      <c r="AQ163" t="str">
        <f t="shared" si="15"/>
        <v/>
      </c>
      <c r="AR163" t="str">
        <f t="shared" si="16"/>
        <v/>
      </c>
      <c r="AS163" t="str">
        <f t="shared" si="17"/>
        <v/>
      </c>
    </row>
    <row r="164" spans="5:45" x14ac:dyDescent="0.25">
      <c r="E164" t="str">
        <f ca="1"/>
        <v/>
      </c>
      <c r="F164" t="str">
        <f ca="1"/>
        <v/>
      </c>
      <c r="P164" t="e" cm="1">
        <f t="array" ref="P164">INDEX($B$2:$D$40,MOD(ROW()-ROW($B$2),ROWS($B$2:$D$40))+1,INT((ROW()-ROW($B$2))/ROWS($B$2:$D$40))+1)</f>
        <v>#REF!</v>
      </c>
      <c r="Q164" t="e">
        <f t="shared" ca="1" si="18"/>
        <v>#N/A</v>
      </c>
      <c r="R164" t="str" cm="1">
        <f t="array" aca="1" ref="R164" ca="1">IFERROR(INDIRECT("$P"&amp;Q164),"")</f>
        <v/>
      </c>
      <c r="U164" t="e" cm="1">
        <f t="array" ref="U164">INDEX($C$2:$D$40,MOD(ROW()-ROW($C$2),ROWS($C$2:$D$40))+1,INT((ROW()-ROW($C$2))/ROWS($C$2:$D$40))+1)</f>
        <v>#REF!</v>
      </c>
      <c r="V164" t="e">
        <f t="shared" ca="1" si="19"/>
        <v>#N/A</v>
      </c>
      <c r="W164" t="str" cm="1">
        <f t="array" aca="1" ref="W164" ca="1">IFERROR(INDIRECT("$U"&amp;V164),"")</f>
        <v/>
      </c>
      <c r="Z164" cm="1">
        <f t="array" ref="Z164">INDEX($AE$2:$AS$40,MOD(ROW()-ROW($AE$2),ROWS($AE$2:$AS$40))+1,INT((ROW()-ROW($AE$2))/ROWS($AE$2:$AS$40))+1)</f>
        <v>0</v>
      </c>
      <c r="AA164">
        <f t="shared" ca="1" si="20"/>
        <v>468</v>
      </c>
      <c r="AB164" t="str" cm="1">
        <f t="array" aca="1" ref="AB164" ca="1">IFERROR(INDIRECT("$Z"&amp;AA164),"")</f>
        <v/>
      </c>
      <c r="AP164" t="str">
        <f t="shared" si="14"/>
        <v/>
      </c>
      <c r="AQ164" t="str">
        <f t="shared" si="15"/>
        <v/>
      </c>
      <c r="AR164" t="str">
        <f t="shared" si="16"/>
        <v/>
      </c>
      <c r="AS164" t="str">
        <f t="shared" si="17"/>
        <v/>
      </c>
    </row>
    <row r="165" spans="5:45" x14ac:dyDescent="0.25">
      <c r="E165" t="str">
        <f ca="1"/>
        <v/>
      </c>
      <c r="F165" t="str">
        <f ca="1"/>
        <v/>
      </c>
      <c r="P165" t="e" cm="1">
        <f t="array" ref="P165">INDEX($B$2:$D$40,MOD(ROW()-ROW($B$2),ROWS($B$2:$D$40))+1,INT((ROW()-ROW($B$2))/ROWS($B$2:$D$40))+1)</f>
        <v>#REF!</v>
      </c>
      <c r="Q165" t="e">
        <f t="shared" ca="1" si="18"/>
        <v>#N/A</v>
      </c>
      <c r="R165" t="str" cm="1">
        <f t="array" aca="1" ref="R165" ca="1">IFERROR(INDIRECT("$P"&amp;Q165),"")</f>
        <v/>
      </c>
      <c r="U165" t="e" cm="1">
        <f t="array" ref="U165">INDEX($C$2:$D$40,MOD(ROW()-ROW($C$2),ROWS($C$2:$D$40))+1,INT((ROW()-ROW($C$2))/ROWS($C$2:$D$40))+1)</f>
        <v>#REF!</v>
      </c>
      <c r="V165" t="e">
        <f t="shared" ca="1" si="19"/>
        <v>#N/A</v>
      </c>
      <c r="W165" t="str" cm="1">
        <f t="array" aca="1" ref="W165" ca="1">IFERROR(INDIRECT("$U"&amp;V165),"")</f>
        <v/>
      </c>
      <c r="Z165" cm="1">
        <f t="array" ref="Z165">INDEX($AE$2:$AS$40,MOD(ROW()-ROW($AE$2),ROWS($AE$2:$AS$40))+1,INT((ROW()-ROW($AE$2))/ROWS($AE$2:$AS$40))+1)</f>
        <v>0</v>
      </c>
      <c r="AA165">
        <f t="shared" ca="1" si="20"/>
        <v>469</v>
      </c>
      <c r="AB165" t="str" cm="1">
        <f t="array" aca="1" ref="AB165" ca="1">IFERROR(INDIRECT("$Z"&amp;AA165),"")</f>
        <v/>
      </c>
      <c r="AP165" t="str">
        <f t="shared" si="14"/>
        <v/>
      </c>
      <c r="AQ165" t="str">
        <f t="shared" si="15"/>
        <v/>
      </c>
      <c r="AR165" t="str">
        <f t="shared" si="16"/>
        <v/>
      </c>
      <c r="AS165" t="str">
        <f t="shared" si="17"/>
        <v/>
      </c>
    </row>
    <row r="166" spans="5:45" x14ac:dyDescent="0.25">
      <c r="E166" t="str">
        <f ca="1"/>
        <v/>
      </c>
      <c r="F166" t="str">
        <f ca="1"/>
        <v/>
      </c>
      <c r="P166" t="e" cm="1">
        <f t="array" ref="P166">INDEX($B$2:$D$40,MOD(ROW()-ROW($B$2),ROWS($B$2:$D$40))+1,INT((ROW()-ROW($B$2))/ROWS($B$2:$D$40))+1)</f>
        <v>#REF!</v>
      </c>
      <c r="Q166" t="e">
        <f t="shared" ca="1" si="18"/>
        <v>#N/A</v>
      </c>
      <c r="R166" t="str" cm="1">
        <f t="array" aca="1" ref="R166" ca="1">IFERROR(INDIRECT("$P"&amp;Q166),"")</f>
        <v/>
      </c>
      <c r="U166" t="e" cm="1">
        <f t="array" ref="U166">INDEX($C$2:$D$40,MOD(ROW()-ROW($C$2),ROWS($C$2:$D$40))+1,INT((ROW()-ROW($C$2))/ROWS($C$2:$D$40))+1)</f>
        <v>#REF!</v>
      </c>
      <c r="V166" t="e">
        <f t="shared" ca="1" si="19"/>
        <v>#N/A</v>
      </c>
      <c r="W166" t="str" cm="1">
        <f t="array" aca="1" ref="W166" ca="1">IFERROR(INDIRECT("$U"&amp;V166),"")</f>
        <v/>
      </c>
      <c r="Z166" cm="1">
        <f t="array" ref="Z166">INDEX($AE$2:$AS$40,MOD(ROW()-ROW($AE$2),ROWS($AE$2:$AS$40))+1,INT((ROW()-ROW($AE$2))/ROWS($AE$2:$AS$40))+1)</f>
        <v>0</v>
      </c>
      <c r="AA166">
        <f t="shared" ca="1" si="20"/>
        <v>470</v>
      </c>
      <c r="AB166" t="str" cm="1">
        <f t="array" aca="1" ref="AB166" ca="1">IFERROR(INDIRECT("$Z"&amp;AA166),"")</f>
        <v>cooling_coil (waterside)</v>
      </c>
      <c r="AP166" t="str">
        <f t="shared" si="14"/>
        <v/>
      </c>
      <c r="AQ166" t="str">
        <f t="shared" si="15"/>
        <v/>
      </c>
      <c r="AR166" t="str">
        <f t="shared" si="16"/>
        <v/>
      </c>
      <c r="AS166" t="str">
        <f t="shared" si="17"/>
        <v/>
      </c>
    </row>
    <row r="167" spans="5:45" x14ac:dyDescent="0.25">
      <c r="E167" t="str">
        <f ca="1"/>
        <v/>
      </c>
      <c r="F167" t="str">
        <f ca="1"/>
        <v/>
      </c>
      <c r="P167" t="e" cm="1">
        <f t="array" ref="P167">INDEX($B$2:$D$40,MOD(ROW()-ROW($B$2),ROWS($B$2:$D$40))+1,INT((ROW()-ROW($B$2))/ROWS($B$2:$D$40))+1)</f>
        <v>#REF!</v>
      </c>
      <c r="Q167" t="e">
        <f t="shared" ca="1" si="18"/>
        <v>#N/A</v>
      </c>
      <c r="R167" t="str" cm="1">
        <f t="array" aca="1" ref="R167" ca="1">IFERROR(INDIRECT("$P"&amp;Q167),"")</f>
        <v/>
      </c>
      <c r="U167" t="e" cm="1">
        <f t="array" ref="U167">INDEX($C$2:$D$40,MOD(ROW()-ROW($C$2),ROWS($C$2:$D$40))+1,INT((ROW()-ROW($C$2))/ROWS($C$2:$D$40))+1)</f>
        <v>#REF!</v>
      </c>
      <c r="V167" t="e">
        <f t="shared" ca="1" si="19"/>
        <v>#N/A</v>
      </c>
      <c r="W167" t="str" cm="1">
        <f t="array" aca="1" ref="W167" ca="1">IFERROR(INDIRECT("$U"&amp;V167),"")</f>
        <v/>
      </c>
      <c r="Z167" cm="1">
        <f t="array" ref="Z167">INDEX($AE$2:$AS$40,MOD(ROW()-ROW($AE$2),ROWS($AE$2:$AS$40))+1,INT((ROW()-ROW($AE$2))/ROWS($AE$2:$AS$40))+1)</f>
        <v>0</v>
      </c>
      <c r="AA167">
        <f t="shared" ca="1" si="20"/>
        <v>471</v>
      </c>
      <c r="AB167" t="str" cm="1">
        <f t="array" aca="1" ref="AB167" ca="1">IFERROR(INDIRECT("$Z"&amp;AA167),"")</f>
        <v>heating_coil (waterside)</v>
      </c>
      <c r="AP167" t="str">
        <f t="shared" si="14"/>
        <v/>
      </c>
      <c r="AQ167" t="str">
        <f t="shared" si="15"/>
        <v/>
      </c>
      <c r="AR167" t="str">
        <f t="shared" si="16"/>
        <v/>
      </c>
      <c r="AS167" t="str">
        <f t="shared" si="17"/>
        <v/>
      </c>
    </row>
    <row r="168" spans="5:45" x14ac:dyDescent="0.25">
      <c r="E168" t="str">
        <f ca="1"/>
        <v/>
      </c>
      <c r="F168" t="str">
        <f ca="1"/>
        <v/>
      </c>
      <c r="P168" t="e" cm="1">
        <f t="array" ref="P168">INDEX($B$2:$D$40,MOD(ROW()-ROW($B$2),ROWS($B$2:$D$40))+1,INT((ROW()-ROW($B$2))/ROWS($B$2:$D$40))+1)</f>
        <v>#REF!</v>
      </c>
      <c r="Q168" t="e">
        <f t="shared" ca="1" si="18"/>
        <v>#N/A</v>
      </c>
      <c r="R168" t="str" cm="1">
        <f t="array" aca="1" ref="R168" ca="1">IFERROR(INDIRECT("$P"&amp;Q168),"")</f>
        <v/>
      </c>
      <c r="U168" t="e" cm="1">
        <f t="array" ref="U168">INDEX($C$2:$D$40,MOD(ROW()-ROW($C$2),ROWS($C$2:$D$40))+1,INT((ROW()-ROW($C$2))/ROWS($C$2:$D$40))+1)</f>
        <v>#REF!</v>
      </c>
      <c r="V168" t="e">
        <f t="shared" ca="1" si="19"/>
        <v>#N/A</v>
      </c>
      <c r="W168" t="str" cm="1">
        <f t="array" aca="1" ref="W168" ca="1">IFERROR(INDIRECT("$U"&amp;V168),"")</f>
        <v/>
      </c>
      <c r="Z168" cm="1">
        <f t="array" ref="Z168">INDEX($AE$2:$AS$40,MOD(ROW()-ROW($AE$2),ROWS($AE$2:$AS$40))+1,INT((ROW()-ROW($AE$2))/ROWS($AE$2:$AS$40))+1)</f>
        <v>0</v>
      </c>
      <c r="AA168">
        <f t="shared" ca="1" si="20"/>
        <v>472</v>
      </c>
      <c r="AB168" t="str" cm="1">
        <f t="array" aca="1" ref="AB168" ca="1">IFERROR(INDIRECT("$Z"&amp;AA168),"")</f>
        <v/>
      </c>
      <c r="AP168" t="str">
        <f t="shared" si="14"/>
        <v/>
      </c>
      <c r="AQ168" t="str">
        <f t="shared" si="15"/>
        <v/>
      </c>
      <c r="AR168" t="str">
        <f t="shared" si="16"/>
        <v/>
      </c>
      <c r="AS168" t="str">
        <f t="shared" si="17"/>
        <v/>
      </c>
    </row>
    <row r="169" spans="5:45" x14ac:dyDescent="0.25">
      <c r="E169" t="str">
        <f ca="1"/>
        <v/>
      </c>
      <c r="F169" t="str">
        <f ca="1"/>
        <v/>
      </c>
      <c r="P169" t="e" cm="1">
        <f t="array" ref="P169">INDEX($B$2:$D$40,MOD(ROW()-ROW($B$2),ROWS($B$2:$D$40))+1,INT((ROW()-ROW($B$2))/ROWS($B$2:$D$40))+1)</f>
        <v>#REF!</v>
      </c>
      <c r="Q169" t="e">
        <f t="shared" ca="1" si="18"/>
        <v>#N/A</v>
      </c>
      <c r="R169" t="str" cm="1">
        <f t="array" aca="1" ref="R169" ca="1">IFERROR(INDIRECT("$P"&amp;Q169),"")</f>
        <v/>
      </c>
      <c r="U169" t="e" cm="1">
        <f t="array" ref="U169">INDEX($C$2:$D$40,MOD(ROW()-ROW($C$2),ROWS($C$2:$D$40))+1,INT((ROW()-ROW($C$2))/ROWS($C$2:$D$40))+1)</f>
        <v>#REF!</v>
      </c>
      <c r="V169" t="e">
        <f t="shared" ca="1" si="19"/>
        <v>#N/A</v>
      </c>
      <c r="W169" t="str" cm="1">
        <f t="array" aca="1" ref="W169" ca="1">IFERROR(INDIRECT("$U"&amp;V169),"")</f>
        <v/>
      </c>
      <c r="Z169" cm="1">
        <f t="array" ref="Z169">INDEX($AE$2:$AS$40,MOD(ROW()-ROW($AE$2),ROWS($AE$2:$AS$40))+1,INT((ROW()-ROW($AE$2))/ROWS($AE$2:$AS$40))+1)</f>
        <v>0</v>
      </c>
      <c r="AA169">
        <f t="shared" ca="1" si="20"/>
        <v>473</v>
      </c>
      <c r="AB169" t="str" cm="1">
        <f t="array" aca="1" ref="AB169" ca="1">IFERROR(INDIRECT("$Z"&amp;AA169),"")</f>
        <v/>
      </c>
      <c r="AP169" t="str">
        <f t="shared" si="14"/>
        <v/>
      </c>
      <c r="AQ169" t="str">
        <f t="shared" si="15"/>
        <v/>
      </c>
      <c r="AR169" t="str">
        <f t="shared" si="16"/>
        <v/>
      </c>
      <c r="AS169" t="str">
        <f t="shared" si="17"/>
        <v/>
      </c>
    </row>
    <row r="170" spans="5:45" x14ac:dyDescent="0.25">
      <c r="E170" t="str">
        <f ca="1"/>
        <v/>
      </c>
      <c r="F170" t="str">
        <f ca="1"/>
        <v/>
      </c>
      <c r="P170" t="e" cm="1">
        <f t="array" ref="P170">INDEX($B$2:$D$40,MOD(ROW()-ROW($B$2),ROWS($B$2:$D$40))+1,INT((ROW()-ROW($B$2))/ROWS($B$2:$D$40))+1)</f>
        <v>#REF!</v>
      </c>
      <c r="Q170" t="e">
        <f t="shared" ca="1" si="18"/>
        <v>#N/A</v>
      </c>
      <c r="R170" t="str" cm="1">
        <f t="array" aca="1" ref="R170" ca="1">IFERROR(INDIRECT("$P"&amp;Q170),"")</f>
        <v/>
      </c>
      <c r="U170" t="e" cm="1">
        <f t="array" ref="U170">INDEX($C$2:$D$40,MOD(ROW()-ROW($C$2),ROWS($C$2:$D$40))+1,INT((ROW()-ROW($C$2))/ROWS($C$2:$D$40))+1)</f>
        <v>#REF!</v>
      </c>
      <c r="V170" t="e">
        <f t="shared" ca="1" si="19"/>
        <v>#N/A</v>
      </c>
      <c r="W170" t="str" cm="1">
        <f t="array" aca="1" ref="W170" ca="1">IFERROR(INDIRECT("$U"&amp;V170),"")</f>
        <v/>
      </c>
      <c r="Z170" cm="1">
        <f t="array" ref="Z170">INDEX($AE$2:$AS$40,MOD(ROW()-ROW($AE$2),ROWS($AE$2:$AS$40))+1,INT((ROW()-ROW($AE$2))/ROWS($AE$2:$AS$40))+1)</f>
        <v>0</v>
      </c>
      <c r="AA170">
        <f t="shared" ca="1" si="20"/>
        <v>474</v>
      </c>
      <c r="AB170" t="str" cm="1">
        <f t="array" aca="1" ref="AB170" ca="1">IFERROR(INDIRECT("$Z"&amp;AA170),"")</f>
        <v/>
      </c>
      <c r="AP170" t="str">
        <f t="shared" si="14"/>
        <v/>
      </c>
      <c r="AQ170" t="str">
        <f t="shared" si="15"/>
        <v/>
      </c>
      <c r="AR170" t="str">
        <f t="shared" si="16"/>
        <v/>
      </c>
      <c r="AS170" t="str">
        <f t="shared" si="17"/>
        <v/>
      </c>
    </row>
    <row r="171" spans="5:45" x14ac:dyDescent="0.25">
      <c r="E171" t="str">
        <f ca="1"/>
        <v/>
      </c>
      <c r="F171" t="str">
        <f ca="1"/>
        <v/>
      </c>
      <c r="P171" t="e" cm="1">
        <f t="array" ref="P171">INDEX($B$2:$D$40,MOD(ROW()-ROW($B$2),ROWS($B$2:$D$40))+1,INT((ROW()-ROW($B$2))/ROWS($B$2:$D$40))+1)</f>
        <v>#REF!</v>
      </c>
      <c r="Q171" t="e">
        <f t="shared" ca="1" si="18"/>
        <v>#N/A</v>
      </c>
      <c r="R171" t="str" cm="1">
        <f t="array" aca="1" ref="R171" ca="1">IFERROR(INDIRECT("$P"&amp;Q171),"")</f>
        <v/>
      </c>
      <c r="U171" t="e" cm="1">
        <f t="array" ref="U171">INDEX($C$2:$D$40,MOD(ROW()-ROW($C$2),ROWS($C$2:$D$40))+1,INT((ROW()-ROW($C$2))/ROWS($C$2:$D$40))+1)</f>
        <v>#REF!</v>
      </c>
      <c r="V171" t="e">
        <f t="shared" ca="1" si="19"/>
        <v>#N/A</v>
      </c>
      <c r="W171" t="str" cm="1">
        <f t="array" aca="1" ref="W171" ca="1">IFERROR(INDIRECT("$U"&amp;V171),"")</f>
        <v/>
      </c>
      <c r="Z171" cm="1">
        <f t="array" ref="Z171">INDEX($AE$2:$AS$40,MOD(ROW()-ROW($AE$2),ROWS($AE$2:$AS$40))+1,INT((ROW()-ROW($AE$2))/ROWS($AE$2:$AS$40))+1)</f>
        <v>0</v>
      </c>
      <c r="AA171">
        <f t="shared" ca="1" si="20"/>
        <v>475</v>
      </c>
      <c r="AB171" t="str" cm="1">
        <f t="array" aca="1" ref="AB171" ca="1">IFERROR(INDIRECT("$Z"&amp;AA171),"")</f>
        <v/>
      </c>
      <c r="AP171" t="str">
        <f t="shared" si="14"/>
        <v/>
      </c>
      <c r="AQ171" t="str">
        <f t="shared" si="15"/>
        <v/>
      </c>
      <c r="AR171" t="str">
        <f t="shared" si="16"/>
        <v/>
      </c>
      <c r="AS171" t="str">
        <f t="shared" si="17"/>
        <v/>
      </c>
    </row>
    <row r="172" spans="5:45" x14ac:dyDescent="0.25">
      <c r="E172" t="str">
        <f ca="1"/>
        <v/>
      </c>
      <c r="F172" t="str">
        <f ca="1"/>
        <v/>
      </c>
      <c r="P172" t="e" cm="1">
        <f t="array" ref="P172">INDEX($B$2:$D$40,MOD(ROW()-ROW($B$2),ROWS($B$2:$D$40))+1,INT((ROW()-ROW($B$2))/ROWS($B$2:$D$40))+1)</f>
        <v>#REF!</v>
      </c>
      <c r="Q172" t="e">
        <f t="shared" ca="1" si="18"/>
        <v>#N/A</v>
      </c>
      <c r="R172" t="str" cm="1">
        <f t="array" aca="1" ref="R172" ca="1">IFERROR(INDIRECT("$P"&amp;Q172),"")</f>
        <v/>
      </c>
      <c r="U172" t="e" cm="1">
        <f t="array" ref="U172">INDEX($C$2:$D$40,MOD(ROW()-ROW($C$2),ROWS($C$2:$D$40))+1,INT((ROW()-ROW($C$2))/ROWS($C$2:$D$40))+1)</f>
        <v>#REF!</v>
      </c>
      <c r="V172" t="e">
        <f t="shared" ca="1" si="19"/>
        <v>#N/A</v>
      </c>
      <c r="W172" t="str" cm="1">
        <f t="array" aca="1" ref="W172" ca="1">IFERROR(INDIRECT("$U"&amp;V172),"")</f>
        <v/>
      </c>
      <c r="Z172" cm="1">
        <f t="array" ref="Z172">INDEX($AE$2:$AS$40,MOD(ROW()-ROW($AE$2),ROWS($AE$2:$AS$40))+1,INT((ROW()-ROW($AE$2))/ROWS($AE$2:$AS$40))+1)</f>
        <v>0</v>
      </c>
      <c r="AA172">
        <f t="shared" ca="1" si="20"/>
        <v>476</v>
      </c>
      <c r="AB172" t="str" cm="1">
        <f t="array" aca="1" ref="AB172" ca="1">IFERROR(INDIRECT("$Z"&amp;AA172),"")</f>
        <v/>
      </c>
      <c r="AP172" t="str">
        <f t="shared" si="14"/>
        <v/>
      </c>
      <c r="AQ172" t="str">
        <f t="shared" si="15"/>
        <v/>
      </c>
      <c r="AR172" t="str">
        <f t="shared" si="16"/>
        <v/>
      </c>
      <c r="AS172" t="str">
        <f t="shared" si="17"/>
        <v/>
      </c>
    </row>
    <row r="173" spans="5:45" x14ac:dyDescent="0.25">
      <c r="E173" t="str">
        <f ca="1"/>
        <v/>
      </c>
      <c r="F173" t="str">
        <f ca="1"/>
        <v/>
      </c>
      <c r="P173" t="e" cm="1">
        <f t="array" ref="P173">INDEX($B$2:$D$40,MOD(ROW()-ROW($B$2),ROWS($B$2:$D$40))+1,INT((ROW()-ROW($B$2))/ROWS($B$2:$D$40))+1)</f>
        <v>#REF!</v>
      </c>
      <c r="Q173" t="e">
        <f t="shared" ca="1" si="18"/>
        <v>#N/A</v>
      </c>
      <c r="R173" t="str" cm="1">
        <f t="array" aca="1" ref="R173" ca="1">IFERROR(INDIRECT("$P"&amp;Q173),"")</f>
        <v/>
      </c>
      <c r="U173" t="e" cm="1">
        <f t="array" ref="U173">INDEX($C$2:$D$40,MOD(ROW()-ROW($C$2),ROWS($C$2:$D$40))+1,INT((ROW()-ROW($C$2))/ROWS($C$2:$D$40))+1)</f>
        <v>#REF!</v>
      </c>
      <c r="V173" t="e">
        <f t="shared" ca="1" si="19"/>
        <v>#N/A</v>
      </c>
      <c r="W173" t="str" cm="1">
        <f t="array" aca="1" ref="W173" ca="1">IFERROR(INDIRECT("$U"&amp;V173),"")</f>
        <v/>
      </c>
      <c r="Z173" cm="1">
        <f t="array" ref="Z173">INDEX($AE$2:$AS$40,MOD(ROW()-ROW($AE$2),ROWS($AE$2:$AS$40))+1,INT((ROW()-ROW($AE$2))/ROWS($AE$2:$AS$40))+1)</f>
        <v>0</v>
      </c>
      <c r="AA173">
        <f t="shared" ca="1" si="20"/>
        <v>477</v>
      </c>
      <c r="AB173" t="str" cm="1">
        <f t="array" aca="1" ref="AB173" ca="1">IFERROR(INDIRECT("$Z"&amp;AA173),"")</f>
        <v/>
      </c>
      <c r="AP173" t="str">
        <f t="shared" si="14"/>
        <v/>
      </c>
      <c r="AQ173" t="str">
        <f t="shared" si="15"/>
        <v/>
      </c>
      <c r="AR173" t="str">
        <f t="shared" si="16"/>
        <v/>
      </c>
      <c r="AS173" t="str">
        <f t="shared" si="17"/>
        <v/>
      </c>
    </row>
    <row r="174" spans="5:45" x14ac:dyDescent="0.25">
      <c r="E174" t="str">
        <f ca="1"/>
        <v/>
      </c>
      <c r="F174" t="str">
        <f ca="1"/>
        <v/>
      </c>
      <c r="P174" t="e" cm="1">
        <f t="array" ref="P174">INDEX($B$2:$D$40,MOD(ROW()-ROW($B$2),ROWS($B$2:$D$40))+1,INT((ROW()-ROW($B$2))/ROWS($B$2:$D$40))+1)</f>
        <v>#REF!</v>
      </c>
      <c r="Q174" t="e">
        <f t="shared" ca="1" si="18"/>
        <v>#N/A</v>
      </c>
      <c r="R174" t="str" cm="1">
        <f t="array" aca="1" ref="R174" ca="1">IFERROR(INDIRECT("$P"&amp;Q174),"")</f>
        <v/>
      </c>
      <c r="U174" t="e" cm="1">
        <f t="array" ref="U174">INDEX($C$2:$D$40,MOD(ROW()-ROW($C$2),ROWS($C$2:$D$40))+1,INT((ROW()-ROW($C$2))/ROWS($C$2:$D$40))+1)</f>
        <v>#REF!</v>
      </c>
      <c r="V174" t="e">
        <f t="shared" ca="1" si="19"/>
        <v>#N/A</v>
      </c>
      <c r="W174" t="str" cm="1">
        <f t="array" aca="1" ref="W174" ca="1">IFERROR(INDIRECT("$U"&amp;V174),"")</f>
        <v/>
      </c>
      <c r="Z174" cm="1">
        <f t="array" ref="Z174">INDEX($AE$2:$AS$40,MOD(ROW()-ROW($AE$2),ROWS($AE$2:$AS$40))+1,INT((ROW()-ROW($AE$2))/ROWS($AE$2:$AS$40))+1)</f>
        <v>0</v>
      </c>
      <c r="AA174">
        <f t="shared" ca="1" si="20"/>
        <v>478</v>
      </c>
      <c r="AB174" t="str" cm="1">
        <f t="array" aca="1" ref="AB174" ca="1">IFERROR(INDIRECT("$Z"&amp;AA174),"")</f>
        <v/>
      </c>
      <c r="AP174" t="str">
        <f t="shared" si="14"/>
        <v/>
      </c>
      <c r="AQ174" t="str">
        <f t="shared" si="15"/>
        <v/>
      </c>
      <c r="AR174" t="str">
        <f t="shared" si="16"/>
        <v/>
      </c>
      <c r="AS174" t="str">
        <f t="shared" si="17"/>
        <v/>
      </c>
    </row>
    <row r="175" spans="5:45" x14ac:dyDescent="0.25">
      <c r="E175" t="str">
        <f ca="1"/>
        <v/>
      </c>
      <c r="F175" t="str">
        <f ca="1"/>
        <v/>
      </c>
      <c r="P175" t="e" cm="1">
        <f t="array" ref="P175">INDEX($B$2:$D$40,MOD(ROW()-ROW($B$2),ROWS($B$2:$D$40))+1,INT((ROW()-ROW($B$2))/ROWS($B$2:$D$40))+1)</f>
        <v>#REF!</v>
      </c>
      <c r="Q175" t="e">
        <f t="shared" ca="1" si="18"/>
        <v>#N/A</v>
      </c>
      <c r="R175" t="str" cm="1">
        <f t="array" aca="1" ref="R175" ca="1">IFERROR(INDIRECT("$P"&amp;Q175),"")</f>
        <v/>
      </c>
      <c r="U175" t="e" cm="1">
        <f t="array" ref="U175">INDEX($C$2:$D$40,MOD(ROW()-ROW($C$2),ROWS($C$2:$D$40))+1,INT((ROW()-ROW($C$2))/ROWS($C$2:$D$40))+1)</f>
        <v>#REF!</v>
      </c>
      <c r="V175" t="e">
        <f t="shared" ca="1" si="19"/>
        <v>#N/A</v>
      </c>
      <c r="W175" t="str" cm="1">
        <f t="array" aca="1" ref="W175" ca="1">IFERROR(INDIRECT("$U"&amp;V175),"")</f>
        <v/>
      </c>
      <c r="Z175" cm="1">
        <f t="array" ref="Z175">INDEX($AE$2:$AS$40,MOD(ROW()-ROW($AE$2),ROWS($AE$2:$AS$40))+1,INT((ROW()-ROW($AE$2))/ROWS($AE$2:$AS$40))+1)</f>
        <v>0</v>
      </c>
      <c r="AA175">
        <f t="shared" ca="1" si="20"/>
        <v>479</v>
      </c>
      <c r="AB175" t="str" cm="1">
        <f t="array" aca="1" ref="AB175" ca="1">IFERROR(INDIRECT("$Z"&amp;AA175),"")</f>
        <v/>
      </c>
      <c r="AP175" t="str">
        <f t="shared" si="14"/>
        <v/>
      </c>
      <c r="AQ175" t="str">
        <f t="shared" si="15"/>
        <v/>
      </c>
      <c r="AR175" t="str">
        <f t="shared" si="16"/>
        <v/>
      </c>
      <c r="AS175" t="str">
        <f t="shared" si="17"/>
        <v/>
      </c>
    </row>
    <row r="176" spans="5:45" x14ac:dyDescent="0.25">
      <c r="E176" t="str">
        <f ca="1"/>
        <v/>
      </c>
      <c r="F176" t="str">
        <f ca="1"/>
        <v/>
      </c>
      <c r="P176" t="e" cm="1">
        <f t="array" ref="P176">INDEX($B$2:$D$40,MOD(ROW()-ROW($B$2),ROWS($B$2:$D$40))+1,INT((ROW()-ROW($B$2))/ROWS($B$2:$D$40))+1)</f>
        <v>#REF!</v>
      </c>
      <c r="Q176" t="e">
        <f t="shared" ca="1" si="18"/>
        <v>#N/A</v>
      </c>
      <c r="R176" t="str" cm="1">
        <f t="array" aca="1" ref="R176" ca="1">IFERROR(INDIRECT("$P"&amp;Q176),"")</f>
        <v/>
      </c>
      <c r="U176" t="e" cm="1">
        <f t="array" ref="U176">INDEX($C$2:$D$40,MOD(ROW()-ROW($C$2),ROWS($C$2:$D$40))+1,INT((ROW()-ROW($C$2))/ROWS($C$2:$D$40))+1)</f>
        <v>#REF!</v>
      </c>
      <c r="V176" t="e">
        <f t="shared" ca="1" si="19"/>
        <v>#N/A</v>
      </c>
      <c r="W176" t="str" cm="1">
        <f t="array" aca="1" ref="W176" ca="1">IFERROR(INDIRECT("$U"&amp;V176),"")</f>
        <v/>
      </c>
      <c r="Z176" cm="1">
        <f t="array" ref="Z176">INDEX($AE$2:$AS$40,MOD(ROW()-ROW($AE$2),ROWS($AE$2:$AS$40))+1,INT((ROW()-ROW($AE$2))/ROWS($AE$2:$AS$40))+1)</f>
        <v>0</v>
      </c>
      <c r="AA176">
        <f t="shared" ca="1" si="20"/>
        <v>480</v>
      </c>
      <c r="AB176" t="str" cm="1">
        <f t="array" aca="1" ref="AB176" ca="1">IFERROR(INDIRECT("$Z"&amp;AA176),"")</f>
        <v/>
      </c>
      <c r="AP176" t="str">
        <f t="shared" si="14"/>
        <v/>
      </c>
      <c r="AQ176" t="str">
        <f t="shared" si="15"/>
        <v/>
      </c>
      <c r="AR176" t="str">
        <f t="shared" si="16"/>
        <v/>
      </c>
      <c r="AS176" t="str">
        <f t="shared" si="17"/>
        <v/>
      </c>
    </row>
    <row r="177" spans="5:45" x14ac:dyDescent="0.25">
      <c r="E177" t="str">
        <f ca="1"/>
        <v/>
      </c>
      <c r="F177" t="str">
        <f ca="1"/>
        <v/>
      </c>
      <c r="P177" t="e" cm="1">
        <f t="array" ref="P177">INDEX($B$2:$D$40,MOD(ROW()-ROW($B$2),ROWS($B$2:$D$40))+1,INT((ROW()-ROW($B$2))/ROWS($B$2:$D$40))+1)</f>
        <v>#REF!</v>
      </c>
      <c r="Q177" t="e">
        <f t="shared" ca="1" si="18"/>
        <v>#N/A</v>
      </c>
      <c r="R177" t="str" cm="1">
        <f t="array" aca="1" ref="R177" ca="1">IFERROR(INDIRECT("$P"&amp;Q177),"")</f>
        <v/>
      </c>
      <c r="U177" t="e" cm="1">
        <f t="array" ref="U177">INDEX($C$2:$D$40,MOD(ROW()-ROW($C$2),ROWS($C$2:$D$40))+1,INT((ROW()-ROW($C$2))/ROWS($C$2:$D$40))+1)</f>
        <v>#REF!</v>
      </c>
      <c r="V177" t="e">
        <f t="shared" ca="1" si="19"/>
        <v>#N/A</v>
      </c>
      <c r="W177" t="str" cm="1">
        <f t="array" aca="1" ref="W177" ca="1">IFERROR(INDIRECT("$U"&amp;V177),"")</f>
        <v/>
      </c>
      <c r="Z177" cm="1">
        <f t="array" ref="Z177">INDEX($AE$2:$AS$40,MOD(ROW()-ROW($AE$2),ROWS($AE$2:$AS$40))+1,INT((ROW()-ROW($AE$2))/ROWS($AE$2:$AS$40))+1)</f>
        <v>0</v>
      </c>
      <c r="AA177">
        <f t="shared" ca="1" si="20"/>
        <v>481</v>
      </c>
      <c r="AB177" t="str" cm="1">
        <f t="array" aca="1" ref="AB177" ca="1">IFERROR(INDIRECT("$Z"&amp;AA177),"")</f>
        <v/>
      </c>
      <c r="AP177" t="str">
        <f t="shared" si="14"/>
        <v/>
      </c>
      <c r="AQ177" t="str">
        <f t="shared" si="15"/>
        <v/>
      </c>
      <c r="AR177" t="str">
        <f t="shared" si="16"/>
        <v/>
      </c>
      <c r="AS177" t="str">
        <f t="shared" si="17"/>
        <v/>
      </c>
    </row>
    <row r="178" spans="5:45" x14ac:dyDescent="0.25">
      <c r="E178" t="str">
        <f ca="1"/>
        <v/>
      </c>
      <c r="F178" t="str">
        <f ca="1"/>
        <v/>
      </c>
      <c r="P178" t="e" cm="1">
        <f t="array" ref="P178">INDEX($B$2:$D$40,MOD(ROW()-ROW($B$2),ROWS($B$2:$D$40))+1,INT((ROW()-ROW($B$2))/ROWS($B$2:$D$40))+1)</f>
        <v>#REF!</v>
      </c>
      <c r="Q178" t="e">
        <f t="shared" ca="1" si="18"/>
        <v>#N/A</v>
      </c>
      <c r="R178" t="str" cm="1">
        <f t="array" aca="1" ref="R178" ca="1">IFERROR(INDIRECT("$P"&amp;Q178),"")</f>
        <v/>
      </c>
      <c r="U178" t="e" cm="1">
        <f t="array" ref="U178">INDEX($C$2:$D$40,MOD(ROW()-ROW($C$2),ROWS($C$2:$D$40))+1,INT((ROW()-ROW($C$2))/ROWS($C$2:$D$40))+1)</f>
        <v>#REF!</v>
      </c>
      <c r="V178" t="e">
        <f t="shared" ca="1" si="19"/>
        <v>#N/A</v>
      </c>
      <c r="W178" t="str" cm="1">
        <f t="array" aca="1" ref="W178" ca="1">IFERROR(INDIRECT("$U"&amp;V178),"")</f>
        <v/>
      </c>
      <c r="Z178" cm="1">
        <f t="array" ref="Z178">INDEX($AE$2:$AS$40,MOD(ROW()-ROW($AE$2),ROWS($AE$2:$AS$40))+1,INT((ROW()-ROW($AE$2))/ROWS($AE$2:$AS$40))+1)</f>
        <v>0</v>
      </c>
      <c r="AA178">
        <f t="shared" ca="1" si="20"/>
        <v>482</v>
      </c>
      <c r="AB178" t="str" cm="1">
        <f t="array" aca="1" ref="AB178" ca="1">IFERROR(INDIRECT("$Z"&amp;AA178),"")</f>
        <v/>
      </c>
      <c r="AP178" t="str">
        <f t="shared" si="14"/>
        <v/>
      </c>
      <c r="AQ178" t="str">
        <f t="shared" si="15"/>
        <v/>
      </c>
      <c r="AR178" t="str">
        <f t="shared" si="16"/>
        <v/>
      </c>
      <c r="AS178" t="str">
        <f t="shared" si="17"/>
        <v/>
      </c>
    </row>
    <row r="179" spans="5:45" x14ac:dyDescent="0.25">
      <c r="E179" t="str">
        <f ca="1"/>
        <v/>
      </c>
      <c r="F179" t="str">
        <f ca="1"/>
        <v/>
      </c>
      <c r="P179" t="e" cm="1">
        <f t="array" ref="P179">INDEX($B$2:$D$40,MOD(ROW()-ROW($B$2),ROWS($B$2:$D$40))+1,INT((ROW()-ROW($B$2))/ROWS($B$2:$D$40))+1)</f>
        <v>#REF!</v>
      </c>
      <c r="Q179" t="e">
        <f t="shared" ca="1" si="18"/>
        <v>#N/A</v>
      </c>
      <c r="R179" t="str" cm="1">
        <f t="array" aca="1" ref="R179" ca="1">IFERROR(INDIRECT("$P"&amp;Q179),"")</f>
        <v/>
      </c>
      <c r="U179" t="e" cm="1">
        <f t="array" ref="U179">INDEX($C$2:$D$40,MOD(ROW()-ROW($C$2),ROWS($C$2:$D$40))+1,INT((ROW()-ROW($C$2))/ROWS($C$2:$D$40))+1)</f>
        <v>#REF!</v>
      </c>
      <c r="V179" t="e">
        <f t="shared" ca="1" si="19"/>
        <v>#N/A</v>
      </c>
      <c r="W179" t="str" cm="1">
        <f t="array" aca="1" ref="W179" ca="1">IFERROR(INDIRECT("$U"&amp;V179),"")</f>
        <v/>
      </c>
      <c r="Z179" cm="1">
        <f t="array" ref="Z179">INDEX($AE$2:$AS$40,MOD(ROW()-ROW($AE$2),ROWS($AE$2:$AS$40))+1,INT((ROW()-ROW($AE$2))/ROWS($AE$2:$AS$40))+1)</f>
        <v>0</v>
      </c>
      <c r="AA179">
        <f t="shared" ca="1" si="20"/>
        <v>483</v>
      </c>
      <c r="AB179" t="str" cm="1">
        <f t="array" aca="1" ref="AB179" ca="1">IFERROR(INDIRECT("$Z"&amp;AA179),"")</f>
        <v/>
      </c>
      <c r="AP179" t="str">
        <f t="shared" si="14"/>
        <v/>
      </c>
      <c r="AQ179" t="str">
        <f t="shared" si="15"/>
        <v/>
      </c>
      <c r="AR179" t="str">
        <f t="shared" si="16"/>
        <v/>
      </c>
      <c r="AS179" t="str">
        <f t="shared" si="17"/>
        <v/>
      </c>
    </row>
    <row r="180" spans="5:45" x14ac:dyDescent="0.25">
      <c r="E180" t="str">
        <f ca="1"/>
        <v/>
      </c>
      <c r="F180" t="str">
        <f ca="1"/>
        <v/>
      </c>
      <c r="P180" t="e" cm="1">
        <f t="array" ref="P180">INDEX($B$2:$D$40,MOD(ROW()-ROW($B$2),ROWS($B$2:$D$40))+1,INT((ROW()-ROW($B$2))/ROWS($B$2:$D$40))+1)</f>
        <v>#REF!</v>
      </c>
      <c r="Q180" t="e">
        <f t="shared" ca="1" si="18"/>
        <v>#N/A</v>
      </c>
      <c r="R180" t="str" cm="1">
        <f t="array" aca="1" ref="R180" ca="1">IFERROR(INDIRECT("$P"&amp;Q180),"")</f>
        <v/>
      </c>
      <c r="U180" t="e" cm="1">
        <f t="array" ref="U180">INDEX($C$2:$D$40,MOD(ROW()-ROW($C$2),ROWS($C$2:$D$40))+1,INT((ROW()-ROW($C$2))/ROWS($C$2:$D$40))+1)</f>
        <v>#REF!</v>
      </c>
      <c r="V180" t="e">
        <f t="shared" ca="1" si="19"/>
        <v>#N/A</v>
      </c>
      <c r="W180" t="str" cm="1">
        <f t="array" aca="1" ref="W180" ca="1">IFERROR(INDIRECT("$U"&amp;V180),"")</f>
        <v/>
      </c>
      <c r="Z180" cm="1">
        <f t="array" ref="Z180">INDEX($AE$2:$AS$40,MOD(ROW()-ROW($AE$2),ROWS($AE$2:$AS$40))+1,INT((ROW()-ROW($AE$2))/ROWS($AE$2:$AS$40))+1)</f>
        <v>0</v>
      </c>
      <c r="AA180">
        <f t="shared" ca="1" si="20"/>
        <v>484</v>
      </c>
      <c r="AB180" t="str" cm="1">
        <f t="array" aca="1" ref="AB180" ca="1">IFERROR(INDIRECT("$Z"&amp;AA180),"")</f>
        <v/>
      </c>
      <c r="AP180" t="str">
        <f t="shared" si="14"/>
        <v/>
      </c>
      <c r="AQ180" t="str">
        <f t="shared" si="15"/>
        <v/>
      </c>
      <c r="AR180" t="str">
        <f t="shared" si="16"/>
        <v/>
      </c>
      <c r="AS180" t="str">
        <f t="shared" si="17"/>
        <v/>
      </c>
    </row>
    <row r="181" spans="5:45" x14ac:dyDescent="0.25">
      <c r="E181" t="str">
        <f ca="1"/>
        <v/>
      </c>
      <c r="F181" t="str">
        <f ca="1"/>
        <v/>
      </c>
      <c r="P181" t="e" cm="1">
        <f t="array" ref="P181">INDEX($B$2:$D$40,MOD(ROW()-ROW($B$2),ROWS($B$2:$D$40))+1,INT((ROW()-ROW($B$2))/ROWS($B$2:$D$40))+1)</f>
        <v>#REF!</v>
      </c>
      <c r="Q181" t="e">
        <f t="shared" ca="1" si="18"/>
        <v>#N/A</v>
      </c>
      <c r="R181" t="str" cm="1">
        <f t="array" aca="1" ref="R181" ca="1">IFERROR(INDIRECT("$P"&amp;Q181),"")</f>
        <v/>
      </c>
      <c r="U181" t="e" cm="1">
        <f t="array" ref="U181">INDEX($C$2:$D$40,MOD(ROW()-ROW($C$2),ROWS($C$2:$D$40))+1,INT((ROW()-ROW($C$2))/ROWS($C$2:$D$40))+1)</f>
        <v>#REF!</v>
      </c>
      <c r="V181" t="e">
        <f t="shared" ca="1" si="19"/>
        <v>#N/A</v>
      </c>
      <c r="W181" t="str" cm="1">
        <f t="array" aca="1" ref="W181" ca="1">IFERROR(INDIRECT("$U"&amp;V181),"")</f>
        <v/>
      </c>
      <c r="Z181" cm="1">
        <f t="array" ref="Z181">INDEX($AE$2:$AS$40,MOD(ROW()-ROW($AE$2),ROWS($AE$2:$AS$40))+1,INT((ROW()-ROW($AE$2))/ROWS($AE$2:$AS$40))+1)</f>
        <v>0</v>
      </c>
      <c r="AA181">
        <f t="shared" ca="1" si="20"/>
        <v>485</v>
      </c>
      <c r="AB181" t="str" cm="1">
        <f t="array" aca="1" ref="AB181" ca="1">IFERROR(INDIRECT("$Z"&amp;AA181),"")</f>
        <v/>
      </c>
      <c r="AP181" t="str">
        <f t="shared" si="14"/>
        <v/>
      </c>
      <c r="AQ181" t="str">
        <f t="shared" si="15"/>
        <v/>
      </c>
      <c r="AR181" t="str">
        <f t="shared" si="16"/>
        <v/>
      </c>
      <c r="AS181" t="str">
        <f t="shared" si="17"/>
        <v/>
      </c>
    </row>
    <row r="182" spans="5:45" x14ac:dyDescent="0.25">
      <c r="E182" t="str">
        <f ca="1"/>
        <v/>
      </c>
      <c r="F182" t="str">
        <f ca="1"/>
        <v/>
      </c>
      <c r="P182" t="e" cm="1">
        <f t="array" ref="P182">INDEX($B$2:$D$40,MOD(ROW()-ROW($B$2),ROWS($B$2:$D$40))+1,INT((ROW()-ROW($B$2))/ROWS($B$2:$D$40))+1)</f>
        <v>#REF!</v>
      </c>
      <c r="Q182" t="e">
        <f t="shared" ca="1" si="18"/>
        <v>#N/A</v>
      </c>
      <c r="R182" t="str" cm="1">
        <f t="array" aca="1" ref="R182" ca="1">IFERROR(INDIRECT("$P"&amp;Q182),"")</f>
        <v/>
      </c>
      <c r="U182" t="e" cm="1">
        <f t="array" ref="U182">INDEX($C$2:$D$40,MOD(ROW()-ROW($C$2),ROWS($C$2:$D$40))+1,INT((ROW()-ROW($C$2))/ROWS($C$2:$D$40))+1)</f>
        <v>#REF!</v>
      </c>
      <c r="V182" t="e">
        <f t="shared" ca="1" si="19"/>
        <v>#N/A</v>
      </c>
      <c r="W182" t="str" cm="1">
        <f t="array" aca="1" ref="W182" ca="1">IFERROR(INDIRECT("$U"&amp;V182),"")</f>
        <v/>
      </c>
      <c r="Z182" cm="1">
        <f t="array" ref="Z182">INDEX($AE$2:$AS$40,MOD(ROW()-ROW($AE$2),ROWS($AE$2:$AS$40))+1,INT((ROW()-ROW($AE$2))/ROWS($AE$2:$AS$40))+1)</f>
        <v>0</v>
      </c>
      <c r="AA182">
        <f t="shared" ca="1" si="20"/>
        <v>486</v>
      </c>
      <c r="AB182" t="str" cm="1">
        <f t="array" aca="1" ref="AB182" ca="1">IFERROR(INDIRECT("$Z"&amp;AA182),"")</f>
        <v/>
      </c>
      <c r="AP182" t="str">
        <f t="shared" si="14"/>
        <v/>
      </c>
      <c r="AQ182" t="str">
        <f t="shared" si="15"/>
        <v/>
      </c>
      <c r="AR182" t="str">
        <f t="shared" si="16"/>
        <v/>
      </c>
      <c r="AS182" t="str">
        <f t="shared" si="17"/>
        <v/>
      </c>
    </row>
    <row r="183" spans="5:45" x14ac:dyDescent="0.25">
      <c r="E183" t="str">
        <f ca="1"/>
        <v/>
      </c>
      <c r="F183" t="str">
        <f ca="1"/>
        <v/>
      </c>
      <c r="P183" t="e" cm="1">
        <f t="array" ref="P183">INDEX($B$2:$D$40,MOD(ROW()-ROW($B$2),ROWS($B$2:$D$40))+1,INT((ROW()-ROW($B$2))/ROWS($B$2:$D$40))+1)</f>
        <v>#REF!</v>
      </c>
      <c r="Q183" t="e">
        <f t="shared" ca="1" si="18"/>
        <v>#N/A</v>
      </c>
      <c r="R183" t="str" cm="1">
        <f t="array" aca="1" ref="R183" ca="1">IFERROR(INDIRECT("$P"&amp;Q183),"")</f>
        <v/>
      </c>
      <c r="U183" t="e" cm="1">
        <f t="array" ref="U183">INDEX($C$2:$D$40,MOD(ROW()-ROW($C$2),ROWS($C$2:$D$40))+1,INT((ROW()-ROW($C$2))/ROWS($C$2:$D$40))+1)</f>
        <v>#REF!</v>
      </c>
      <c r="V183" t="e">
        <f t="shared" ca="1" si="19"/>
        <v>#N/A</v>
      </c>
      <c r="W183" t="str" cm="1">
        <f t="array" aca="1" ref="W183" ca="1">IFERROR(INDIRECT("$U"&amp;V183),"")</f>
        <v/>
      </c>
      <c r="Z183" cm="1">
        <f t="array" ref="Z183">INDEX($AE$2:$AS$40,MOD(ROW()-ROW($AE$2),ROWS($AE$2:$AS$40))+1,INT((ROW()-ROW($AE$2))/ROWS($AE$2:$AS$40))+1)</f>
        <v>0</v>
      </c>
      <c r="AA183">
        <f t="shared" ca="1" si="20"/>
        <v>487</v>
      </c>
      <c r="AB183" t="str" cm="1">
        <f t="array" aca="1" ref="AB183" ca="1">IFERROR(INDIRECT("$Z"&amp;AA183),"")</f>
        <v/>
      </c>
      <c r="AP183" t="str">
        <f t="shared" si="14"/>
        <v/>
      </c>
      <c r="AQ183" t="str">
        <f t="shared" si="15"/>
        <v/>
      </c>
      <c r="AR183" t="str">
        <f t="shared" si="16"/>
        <v/>
      </c>
      <c r="AS183" t="str">
        <f t="shared" si="17"/>
        <v/>
      </c>
    </row>
    <row r="184" spans="5:45" x14ac:dyDescent="0.25">
      <c r="E184" t="str">
        <f ca="1"/>
        <v/>
      </c>
      <c r="F184" t="str">
        <f ca="1"/>
        <v/>
      </c>
      <c r="P184" t="e" cm="1">
        <f t="array" ref="P184">INDEX($B$2:$D$40,MOD(ROW()-ROW($B$2),ROWS($B$2:$D$40))+1,INT((ROW()-ROW($B$2))/ROWS($B$2:$D$40))+1)</f>
        <v>#REF!</v>
      </c>
      <c r="Q184" t="e">
        <f t="shared" ca="1" si="18"/>
        <v>#N/A</v>
      </c>
      <c r="R184" t="str" cm="1">
        <f t="array" aca="1" ref="R184" ca="1">IFERROR(INDIRECT("$P"&amp;Q184),"")</f>
        <v/>
      </c>
      <c r="U184" t="e" cm="1">
        <f t="array" ref="U184">INDEX($C$2:$D$40,MOD(ROW()-ROW($C$2),ROWS($C$2:$D$40))+1,INT((ROW()-ROW($C$2))/ROWS($C$2:$D$40))+1)</f>
        <v>#REF!</v>
      </c>
      <c r="V184" t="e">
        <f t="shared" ca="1" si="19"/>
        <v>#N/A</v>
      </c>
      <c r="W184" t="str" cm="1">
        <f t="array" aca="1" ref="W184" ca="1">IFERROR(INDIRECT("$U"&amp;V184),"")</f>
        <v/>
      </c>
      <c r="Z184" cm="1">
        <f t="array" ref="Z184">INDEX($AE$2:$AS$40,MOD(ROW()-ROW($AE$2),ROWS($AE$2:$AS$40))+1,INT((ROW()-ROW($AE$2))/ROWS($AE$2:$AS$40))+1)</f>
        <v>0</v>
      </c>
      <c r="AA184">
        <f t="shared" ca="1" si="20"/>
        <v>488</v>
      </c>
      <c r="AB184" t="str" cm="1">
        <f t="array" aca="1" ref="AB184" ca="1">IFERROR(INDIRECT("$Z"&amp;AA184),"")</f>
        <v/>
      </c>
      <c r="AP184" t="str">
        <f t="shared" si="14"/>
        <v/>
      </c>
      <c r="AQ184" t="str">
        <f t="shared" si="15"/>
        <v/>
      </c>
      <c r="AR184" t="str">
        <f t="shared" si="16"/>
        <v/>
      </c>
      <c r="AS184" t="str">
        <f t="shared" si="17"/>
        <v/>
      </c>
    </row>
    <row r="185" spans="5:45" x14ac:dyDescent="0.25">
      <c r="E185" t="str">
        <f ca="1"/>
        <v/>
      </c>
      <c r="F185" t="str">
        <f ca="1"/>
        <v/>
      </c>
      <c r="P185" t="e" cm="1">
        <f t="array" ref="P185">INDEX($B$2:$D$40,MOD(ROW()-ROW($B$2),ROWS($B$2:$D$40))+1,INT((ROW()-ROW($B$2))/ROWS($B$2:$D$40))+1)</f>
        <v>#REF!</v>
      </c>
      <c r="Q185" t="e">
        <f t="shared" ca="1" si="18"/>
        <v>#N/A</v>
      </c>
      <c r="R185" t="str" cm="1">
        <f t="array" aca="1" ref="R185" ca="1">IFERROR(INDIRECT("$P"&amp;Q185),"")</f>
        <v/>
      </c>
      <c r="U185" t="e" cm="1">
        <f t="array" ref="U185">INDEX($C$2:$D$40,MOD(ROW()-ROW($C$2),ROWS($C$2:$D$40))+1,INT((ROW()-ROW($C$2))/ROWS($C$2:$D$40))+1)</f>
        <v>#REF!</v>
      </c>
      <c r="V185" t="e">
        <f t="shared" ca="1" si="19"/>
        <v>#N/A</v>
      </c>
      <c r="W185" t="str" cm="1">
        <f t="array" aca="1" ref="W185" ca="1">IFERROR(INDIRECT("$U"&amp;V185),"")</f>
        <v/>
      </c>
      <c r="Z185" cm="1">
        <f t="array" ref="Z185">INDEX($AE$2:$AS$40,MOD(ROW()-ROW($AE$2),ROWS($AE$2:$AS$40))+1,INT((ROW()-ROW($AE$2))/ROWS($AE$2:$AS$40))+1)</f>
        <v>0</v>
      </c>
      <c r="AA185">
        <f t="shared" ca="1" si="20"/>
        <v>489</v>
      </c>
      <c r="AB185" t="str" cm="1">
        <f t="array" aca="1" ref="AB185" ca="1">IFERROR(INDIRECT("$Z"&amp;AA185),"")</f>
        <v/>
      </c>
      <c r="AP185" t="str">
        <f t="shared" si="14"/>
        <v/>
      </c>
      <c r="AQ185" t="str">
        <f t="shared" si="15"/>
        <v/>
      </c>
      <c r="AR185" t="str">
        <f t="shared" si="16"/>
        <v/>
      </c>
      <c r="AS185" t="str">
        <f t="shared" si="17"/>
        <v/>
      </c>
    </row>
    <row r="186" spans="5:45" x14ac:dyDescent="0.25">
      <c r="E186" t="str">
        <f ca="1"/>
        <v/>
      </c>
      <c r="F186" t="str">
        <f ca="1"/>
        <v/>
      </c>
      <c r="P186" t="e" cm="1">
        <f t="array" ref="P186">INDEX($B$2:$D$40,MOD(ROW()-ROW($B$2),ROWS($B$2:$D$40))+1,INT((ROW()-ROW($B$2))/ROWS($B$2:$D$40))+1)</f>
        <v>#REF!</v>
      </c>
      <c r="Q186" t="e">
        <f t="shared" ca="1" si="18"/>
        <v>#N/A</v>
      </c>
      <c r="R186" t="str" cm="1">
        <f t="array" aca="1" ref="R186" ca="1">IFERROR(INDIRECT("$P"&amp;Q186),"")</f>
        <v/>
      </c>
      <c r="U186" t="e" cm="1">
        <f t="array" ref="U186">INDEX($C$2:$D$40,MOD(ROW()-ROW($C$2),ROWS($C$2:$D$40))+1,INT((ROW()-ROW($C$2))/ROWS($C$2:$D$40))+1)</f>
        <v>#REF!</v>
      </c>
      <c r="V186" t="e">
        <f t="shared" ca="1" si="19"/>
        <v>#N/A</v>
      </c>
      <c r="W186" t="str" cm="1">
        <f t="array" aca="1" ref="W186" ca="1">IFERROR(INDIRECT("$U"&amp;V186),"")</f>
        <v/>
      </c>
      <c r="Z186" cm="1">
        <f t="array" ref="Z186">INDEX($AE$2:$AS$40,MOD(ROW()-ROW($AE$2),ROWS($AE$2:$AS$40))+1,INT((ROW()-ROW($AE$2))/ROWS($AE$2:$AS$40))+1)</f>
        <v>0</v>
      </c>
      <c r="AA186">
        <f t="shared" ca="1" si="20"/>
        <v>490</v>
      </c>
      <c r="AB186" t="str" cm="1">
        <f t="array" aca="1" ref="AB186" ca="1">IFERROR(INDIRECT("$Z"&amp;AA186),"")</f>
        <v/>
      </c>
      <c r="AP186" t="str">
        <f t="shared" si="14"/>
        <v/>
      </c>
      <c r="AQ186" t="str">
        <f t="shared" si="15"/>
        <v/>
      </c>
      <c r="AR186" t="str">
        <f t="shared" si="16"/>
        <v/>
      </c>
      <c r="AS186" t="str">
        <f t="shared" si="17"/>
        <v/>
      </c>
    </row>
    <row r="187" spans="5:45" x14ac:dyDescent="0.25">
      <c r="E187" t="str">
        <f ca="1"/>
        <v/>
      </c>
      <c r="F187" t="str">
        <f ca="1"/>
        <v/>
      </c>
      <c r="P187" t="e" cm="1">
        <f t="array" ref="P187">INDEX($B$2:$D$40,MOD(ROW()-ROW($B$2),ROWS($B$2:$D$40))+1,INT((ROW()-ROW($B$2))/ROWS($B$2:$D$40))+1)</f>
        <v>#REF!</v>
      </c>
      <c r="Q187" t="e">
        <f t="shared" ca="1" si="18"/>
        <v>#N/A</v>
      </c>
      <c r="R187" t="str" cm="1">
        <f t="array" aca="1" ref="R187" ca="1">IFERROR(INDIRECT("$P"&amp;Q187),"")</f>
        <v/>
      </c>
      <c r="U187" t="e" cm="1">
        <f t="array" ref="U187">INDEX($C$2:$D$40,MOD(ROW()-ROW($C$2),ROWS($C$2:$D$40))+1,INT((ROW()-ROW($C$2))/ROWS($C$2:$D$40))+1)</f>
        <v>#REF!</v>
      </c>
      <c r="V187" t="e">
        <f t="shared" ca="1" si="19"/>
        <v>#N/A</v>
      </c>
      <c r="W187" t="str" cm="1">
        <f t="array" aca="1" ref="W187" ca="1">IFERROR(INDIRECT("$U"&amp;V187),"")</f>
        <v/>
      </c>
      <c r="Z187" cm="1">
        <f t="array" ref="Z187">INDEX($AE$2:$AS$40,MOD(ROW()-ROW($AE$2),ROWS($AE$2:$AS$40))+1,INT((ROW()-ROW($AE$2))/ROWS($AE$2:$AS$40))+1)</f>
        <v>0</v>
      </c>
      <c r="AA187">
        <f t="shared" ca="1" si="20"/>
        <v>491</v>
      </c>
      <c r="AB187" t="str" cm="1">
        <f t="array" aca="1" ref="AB187" ca="1">IFERROR(INDIRECT("$Z"&amp;AA187),"")</f>
        <v/>
      </c>
      <c r="AP187" t="str">
        <f t="shared" si="14"/>
        <v/>
      </c>
      <c r="AQ187" t="str">
        <f t="shared" si="15"/>
        <v/>
      </c>
      <c r="AR187" t="str">
        <f t="shared" si="16"/>
        <v/>
      </c>
      <c r="AS187" t="str">
        <f t="shared" si="17"/>
        <v/>
      </c>
    </row>
    <row r="188" spans="5:45" x14ac:dyDescent="0.25">
      <c r="E188" t="str">
        <f ca="1"/>
        <v/>
      </c>
      <c r="F188" t="str">
        <f ca="1"/>
        <v/>
      </c>
      <c r="P188" t="e" cm="1">
        <f t="array" ref="P188">INDEX($B$2:$D$40,MOD(ROW()-ROW($B$2),ROWS($B$2:$D$40))+1,INT((ROW()-ROW($B$2))/ROWS($B$2:$D$40))+1)</f>
        <v>#REF!</v>
      </c>
      <c r="Q188" t="e">
        <f t="shared" ca="1" si="18"/>
        <v>#N/A</v>
      </c>
      <c r="R188" t="str" cm="1">
        <f t="array" aca="1" ref="R188" ca="1">IFERROR(INDIRECT("$P"&amp;Q188),"")</f>
        <v/>
      </c>
      <c r="U188" t="e" cm="1">
        <f t="array" ref="U188">INDEX($C$2:$D$40,MOD(ROW()-ROW($C$2),ROWS($C$2:$D$40))+1,INT((ROW()-ROW($C$2))/ROWS($C$2:$D$40))+1)</f>
        <v>#REF!</v>
      </c>
      <c r="V188" t="e">
        <f t="shared" ca="1" si="19"/>
        <v>#N/A</v>
      </c>
      <c r="W188" t="str" cm="1">
        <f t="array" aca="1" ref="W188" ca="1">IFERROR(INDIRECT("$U"&amp;V188),"")</f>
        <v/>
      </c>
      <c r="Z188" cm="1">
        <f t="array" ref="Z188">INDEX($AE$2:$AS$40,MOD(ROW()-ROW($AE$2),ROWS($AE$2:$AS$40))+1,INT((ROW()-ROW($AE$2))/ROWS($AE$2:$AS$40))+1)</f>
        <v>0</v>
      </c>
      <c r="AA188">
        <f t="shared" ca="1" si="20"/>
        <v>492</v>
      </c>
      <c r="AB188" t="str" cm="1">
        <f t="array" aca="1" ref="AB188" ca="1">IFERROR(INDIRECT("$Z"&amp;AA188),"")</f>
        <v/>
      </c>
      <c r="AP188" t="str">
        <f t="shared" si="14"/>
        <v/>
      </c>
      <c r="AQ188" t="str">
        <f t="shared" si="15"/>
        <v/>
      </c>
      <c r="AR188" t="str">
        <f t="shared" si="16"/>
        <v/>
      </c>
      <c r="AS188" t="str">
        <f t="shared" si="17"/>
        <v/>
      </c>
    </row>
    <row r="189" spans="5:45" x14ac:dyDescent="0.25">
      <c r="E189" t="str">
        <f ca="1"/>
        <v/>
      </c>
      <c r="F189" t="str">
        <f ca="1"/>
        <v/>
      </c>
      <c r="P189" t="e" cm="1">
        <f t="array" ref="P189">INDEX($B$2:$D$40,MOD(ROW()-ROW($B$2),ROWS($B$2:$D$40))+1,INT((ROW()-ROW($B$2))/ROWS($B$2:$D$40))+1)</f>
        <v>#REF!</v>
      </c>
      <c r="Q189" t="e">
        <f t="shared" ca="1" si="18"/>
        <v>#N/A</v>
      </c>
      <c r="R189" t="str" cm="1">
        <f t="array" aca="1" ref="R189" ca="1">IFERROR(INDIRECT("$P"&amp;Q189),"")</f>
        <v/>
      </c>
      <c r="U189" t="e" cm="1">
        <f t="array" ref="U189">INDEX($C$2:$D$40,MOD(ROW()-ROW($C$2),ROWS($C$2:$D$40))+1,INT((ROW()-ROW($C$2))/ROWS($C$2:$D$40))+1)</f>
        <v>#REF!</v>
      </c>
      <c r="V189" t="e">
        <f t="shared" ca="1" si="19"/>
        <v>#N/A</v>
      </c>
      <c r="W189" t="str" cm="1">
        <f t="array" aca="1" ref="W189" ca="1">IFERROR(INDIRECT("$U"&amp;V189),"")</f>
        <v/>
      </c>
      <c r="Z189" cm="1">
        <f t="array" ref="Z189">INDEX($AE$2:$AS$40,MOD(ROW()-ROW($AE$2),ROWS($AE$2:$AS$40))+1,INT((ROW()-ROW($AE$2))/ROWS($AE$2:$AS$40))+1)</f>
        <v>0</v>
      </c>
      <c r="AA189">
        <f t="shared" ca="1" si="20"/>
        <v>493</v>
      </c>
      <c r="AB189" t="str" cm="1">
        <f t="array" aca="1" ref="AB189" ca="1">IFERROR(INDIRECT("$Z"&amp;AA189),"")</f>
        <v/>
      </c>
      <c r="AP189" t="str">
        <f t="shared" si="14"/>
        <v/>
      </c>
      <c r="AQ189" t="str">
        <f t="shared" si="15"/>
        <v/>
      </c>
      <c r="AR189" t="str">
        <f t="shared" si="16"/>
        <v/>
      </c>
      <c r="AS189" t="str">
        <f t="shared" si="17"/>
        <v/>
      </c>
    </row>
    <row r="190" spans="5:45" x14ac:dyDescent="0.25">
      <c r="E190" t="str">
        <f ca="1"/>
        <v/>
      </c>
      <c r="F190" t="str">
        <f ca="1"/>
        <v/>
      </c>
      <c r="P190" t="e" cm="1">
        <f t="array" ref="P190">INDEX($B$2:$D$40,MOD(ROW()-ROW($B$2),ROWS($B$2:$D$40))+1,INT((ROW()-ROW($B$2))/ROWS($B$2:$D$40))+1)</f>
        <v>#REF!</v>
      </c>
      <c r="Q190" t="e">
        <f t="shared" ca="1" si="18"/>
        <v>#N/A</v>
      </c>
      <c r="R190" t="str" cm="1">
        <f t="array" aca="1" ref="R190" ca="1">IFERROR(INDIRECT("$P"&amp;Q190),"")</f>
        <v/>
      </c>
      <c r="U190" t="e" cm="1">
        <f t="array" ref="U190">INDEX($C$2:$D$40,MOD(ROW()-ROW($C$2),ROWS($C$2:$D$40))+1,INT((ROW()-ROW($C$2))/ROWS($C$2:$D$40))+1)</f>
        <v>#REF!</v>
      </c>
      <c r="V190" t="e">
        <f t="shared" ca="1" si="19"/>
        <v>#N/A</v>
      </c>
      <c r="W190" t="str" cm="1">
        <f t="array" aca="1" ref="W190" ca="1">IFERROR(INDIRECT("$U"&amp;V190),"")</f>
        <v/>
      </c>
      <c r="Z190" cm="1">
        <f t="array" ref="Z190">INDEX($AE$2:$AS$40,MOD(ROW()-ROW($AE$2),ROWS($AE$2:$AS$40))+1,INT((ROW()-ROW($AE$2))/ROWS($AE$2:$AS$40))+1)</f>
        <v>0</v>
      </c>
      <c r="AA190">
        <f t="shared" ca="1" si="20"/>
        <v>494</v>
      </c>
      <c r="AB190" t="str" cm="1">
        <f t="array" aca="1" ref="AB190" ca="1">IFERROR(INDIRECT("$Z"&amp;AA190),"")</f>
        <v/>
      </c>
      <c r="AP190" t="str">
        <f t="shared" si="14"/>
        <v/>
      </c>
      <c r="AQ190" t="str">
        <f t="shared" si="15"/>
        <v/>
      </c>
      <c r="AR190" t="str">
        <f t="shared" si="16"/>
        <v/>
      </c>
      <c r="AS190" t="str">
        <f t="shared" si="17"/>
        <v/>
      </c>
    </row>
    <row r="191" spans="5:45" x14ac:dyDescent="0.25">
      <c r="E191" t="str">
        <f ca="1"/>
        <v/>
      </c>
      <c r="F191" t="str">
        <f ca="1"/>
        <v/>
      </c>
      <c r="P191" t="e" cm="1">
        <f t="array" ref="P191">INDEX($B$2:$D$40,MOD(ROW()-ROW($B$2),ROWS($B$2:$D$40))+1,INT((ROW()-ROW($B$2))/ROWS($B$2:$D$40))+1)</f>
        <v>#REF!</v>
      </c>
      <c r="Q191" t="e">
        <f t="shared" ca="1" si="18"/>
        <v>#N/A</v>
      </c>
      <c r="R191" t="str" cm="1">
        <f t="array" aca="1" ref="R191" ca="1">IFERROR(INDIRECT("$P"&amp;Q191),"")</f>
        <v/>
      </c>
      <c r="U191" t="e" cm="1">
        <f t="array" ref="U191">INDEX($C$2:$D$40,MOD(ROW()-ROW($C$2),ROWS($C$2:$D$40))+1,INT((ROW()-ROW($C$2))/ROWS($C$2:$D$40))+1)</f>
        <v>#REF!</v>
      </c>
      <c r="V191" t="e">
        <f t="shared" ca="1" si="19"/>
        <v>#N/A</v>
      </c>
      <c r="W191" t="str" cm="1">
        <f t="array" aca="1" ref="W191" ca="1">IFERROR(INDIRECT("$U"&amp;V191),"")</f>
        <v/>
      </c>
      <c r="Z191" cm="1">
        <f t="array" ref="Z191">INDEX($AE$2:$AS$40,MOD(ROW()-ROW($AE$2),ROWS($AE$2:$AS$40))+1,INT((ROW()-ROW($AE$2))/ROWS($AE$2:$AS$40))+1)</f>
        <v>0</v>
      </c>
      <c r="AA191">
        <f t="shared" ca="1" si="20"/>
        <v>495</v>
      </c>
      <c r="AB191" t="str" cm="1">
        <f t="array" aca="1" ref="AB191" ca="1">IFERROR(INDIRECT("$Z"&amp;AA191),"")</f>
        <v/>
      </c>
      <c r="AP191" t="str">
        <f t="shared" si="14"/>
        <v/>
      </c>
      <c r="AQ191" t="str">
        <f t="shared" si="15"/>
        <v/>
      </c>
      <c r="AR191" t="str">
        <f t="shared" si="16"/>
        <v/>
      </c>
      <c r="AS191" t="str">
        <f t="shared" si="17"/>
        <v/>
      </c>
    </row>
    <row r="192" spans="5:45" x14ac:dyDescent="0.25">
      <c r="E192" t="str">
        <f ca="1"/>
        <v/>
      </c>
      <c r="F192" t="str">
        <f ca="1"/>
        <v/>
      </c>
      <c r="P192" t="e" cm="1">
        <f t="array" ref="P192">INDEX($B$2:$D$40,MOD(ROW()-ROW($B$2),ROWS($B$2:$D$40))+1,INT((ROW()-ROW($B$2))/ROWS($B$2:$D$40))+1)</f>
        <v>#REF!</v>
      </c>
      <c r="Q192" t="e">
        <f t="shared" ca="1" si="18"/>
        <v>#N/A</v>
      </c>
      <c r="R192" t="str" cm="1">
        <f t="array" aca="1" ref="R192" ca="1">IFERROR(INDIRECT("$P"&amp;Q192),"")</f>
        <v/>
      </c>
      <c r="U192" t="e" cm="1">
        <f t="array" ref="U192">INDEX($C$2:$D$40,MOD(ROW()-ROW($C$2),ROWS($C$2:$D$40))+1,INT((ROW()-ROW($C$2))/ROWS($C$2:$D$40))+1)</f>
        <v>#REF!</v>
      </c>
      <c r="V192" t="e">
        <f t="shared" ca="1" si="19"/>
        <v>#N/A</v>
      </c>
      <c r="W192" t="str" cm="1">
        <f t="array" aca="1" ref="W192" ca="1">IFERROR(INDIRECT("$U"&amp;V192),"")</f>
        <v/>
      </c>
      <c r="Z192" cm="1">
        <f t="array" ref="Z192">INDEX($AE$2:$AS$40,MOD(ROW()-ROW($AE$2),ROWS($AE$2:$AS$40))+1,INT((ROW()-ROW($AE$2))/ROWS($AE$2:$AS$40))+1)</f>
        <v>0</v>
      </c>
      <c r="AA192">
        <f t="shared" ca="1" si="20"/>
        <v>496</v>
      </c>
      <c r="AB192" t="str" cm="1">
        <f t="array" aca="1" ref="AB192" ca="1">IFERROR(INDIRECT("$Z"&amp;AA192),"")</f>
        <v/>
      </c>
      <c r="AP192" t="str">
        <f t="shared" si="14"/>
        <v/>
      </c>
      <c r="AQ192" t="str">
        <f t="shared" si="15"/>
        <v/>
      </c>
      <c r="AR192" t="str">
        <f t="shared" si="16"/>
        <v/>
      </c>
      <c r="AS192" t="str">
        <f t="shared" si="17"/>
        <v/>
      </c>
    </row>
    <row r="193" spans="5:45" x14ac:dyDescent="0.25">
      <c r="E193" t="str">
        <f ca="1"/>
        <v/>
      </c>
      <c r="F193" t="str">
        <f ca="1"/>
        <v/>
      </c>
      <c r="P193" t="e" cm="1">
        <f t="array" ref="P193">INDEX($B$2:$D$40,MOD(ROW()-ROW($B$2),ROWS($B$2:$D$40))+1,INT((ROW()-ROW($B$2))/ROWS($B$2:$D$40))+1)</f>
        <v>#REF!</v>
      </c>
      <c r="Q193" t="e">
        <f t="shared" ca="1" si="18"/>
        <v>#N/A</v>
      </c>
      <c r="R193" t="str" cm="1">
        <f t="array" aca="1" ref="R193" ca="1">IFERROR(INDIRECT("$P"&amp;Q193),"")</f>
        <v/>
      </c>
      <c r="U193" t="e" cm="1">
        <f t="array" ref="U193">INDEX($C$2:$D$40,MOD(ROW()-ROW($C$2),ROWS($C$2:$D$40))+1,INT((ROW()-ROW($C$2))/ROWS($C$2:$D$40))+1)</f>
        <v>#REF!</v>
      </c>
      <c r="V193" t="e">
        <f t="shared" ca="1" si="19"/>
        <v>#N/A</v>
      </c>
      <c r="W193" t="str" cm="1">
        <f t="array" aca="1" ref="W193" ca="1">IFERROR(INDIRECT("$U"&amp;V193),"")</f>
        <v/>
      </c>
      <c r="Z193" cm="1">
        <f t="array" ref="Z193">INDEX($AE$2:$AS$40,MOD(ROW()-ROW($AE$2),ROWS($AE$2:$AS$40))+1,INT((ROW()-ROW($AE$2))/ROWS($AE$2:$AS$40))+1)</f>
        <v>0</v>
      </c>
      <c r="AA193">
        <f t="shared" ca="1" si="20"/>
        <v>497</v>
      </c>
      <c r="AB193" t="str" cm="1">
        <f t="array" aca="1" ref="AB193" ca="1">IFERROR(INDIRECT("$Z"&amp;AA193),"")</f>
        <v/>
      </c>
      <c r="AP193" t="str">
        <f t="shared" si="14"/>
        <v/>
      </c>
      <c r="AQ193" t="str">
        <f t="shared" si="15"/>
        <v/>
      </c>
      <c r="AR193" t="str">
        <f t="shared" si="16"/>
        <v/>
      </c>
      <c r="AS193" t="str">
        <f t="shared" si="17"/>
        <v/>
      </c>
    </row>
    <row r="194" spans="5:45" x14ac:dyDescent="0.25">
      <c r="E194" t="str">
        <f ca="1"/>
        <v/>
      </c>
      <c r="F194" t="str">
        <f ca="1"/>
        <v/>
      </c>
      <c r="P194" t="e" cm="1">
        <f t="array" ref="P194">INDEX($B$2:$D$40,MOD(ROW()-ROW($B$2),ROWS($B$2:$D$40))+1,INT((ROW()-ROW($B$2))/ROWS($B$2:$D$40))+1)</f>
        <v>#REF!</v>
      </c>
      <c r="Q194" t="e">
        <f t="shared" ca="1" si="18"/>
        <v>#N/A</v>
      </c>
      <c r="R194" t="str" cm="1">
        <f t="array" aca="1" ref="R194" ca="1">IFERROR(INDIRECT("$P"&amp;Q194),"")</f>
        <v/>
      </c>
      <c r="U194" t="e" cm="1">
        <f t="array" ref="U194">INDEX($C$2:$D$40,MOD(ROW()-ROW($C$2),ROWS($C$2:$D$40))+1,INT((ROW()-ROW($C$2))/ROWS($C$2:$D$40))+1)</f>
        <v>#REF!</v>
      </c>
      <c r="V194" t="e">
        <f t="shared" ca="1" si="19"/>
        <v>#N/A</v>
      </c>
      <c r="W194" t="str" cm="1">
        <f t="array" aca="1" ref="W194" ca="1">IFERROR(INDIRECT("$U"&amp;V194),"")</f>
        <v/>
      </c>
      <c r="Z194" cm="1">
        <f t="array" ref="Z194">INDEX($AE$2:$AS$40,MOD(ROW()-ROW($AE$2),ROWS($AE$2:$AS$40))+1,INT((ROW()-ROW($AE$2))/ROWS($AE$2:$AS$40))+1)</f>
        <v>0</v>
      </c>
      <c r="AA194">
        <f t="shared" ca="1" si="20"/>
        <v>498</v>
      </c>
      <c r="AB194" t="str" cm="1">
        <f t="array" aca="1" ref="AB194" ca="1">IFERROR(INDIRECT("$Z"&amp;AA194),"")</f>
        <v/>
      </c>
      <c r="AP194" t="str">
        <f t="shared" si="14"/>
        <v/>
      </c>
      <c r="AQ194" t="str">
        <f t="shared" si="15"/>
        <v/>
      </c>
      <c r="AR194" t="str">
        <f t="shared" si="16"/>
        <v/>
      </c>
      <c r="AS194" t="str">
        <f t="shared" si="17"/>
        <v/>
      </c>
    </row>
    <row r="195" spans="5:45" x14ac:dyDescent="0.25">
      <c r="E195" t="str">
        <f ca="1"/>
        <v/>
      </c>
      <c r="F195" t="str">
        <f ca="1"/>
        <v/>
      </c>
      <c r="P195" t="e" cm="1">
        <f t="array" ref="P195">INDEX($B$2:$D$40,MOD(ROW()-ROW($B$2),ROWS($B$2:$D$40))+1,INT((ROW()-ROW($B$2))/ROWS($B$2:$D$40))+1)</f>
        <v>#REF!</v>
      </c>
      <c r="Q195" t="e">
        <f t="shared" ca="1" si="18"/>
        <v>#N/A</v>
      </c>
      <c r="R195" t="str" cm="1">
        <f t="array" aca="1" ref="R195" ca="1">IFERROR(INDIRECT("$P"&amp;Q195),"")</f>
        <v/>
      </c>
      <c r="U195" t="e" cm="1">
        <f t="array" ref="U195">INDEX($C$2:$D$40,MOD(ROW()-ROW($C$2),ROWS($C$2:$D$40))+1,INT((ROW()-ROW($C$2))/ROWS($C$2:$D$40))+1)</f>
        <v>#REF!</v>
      </c>
      <c r="V195" t="e">
        <f t="shared" ca="1" si="19"/>
        <v>#N/A</v>
      </c>
      <c r="W195" t="str" cm="1">
        <f t="array" aca="1" ref="W195" ca="1">IFERROR(INDIRECT("$U"&amp;V195),"")</f>
        <v/>
      </c>
      <c r="Z195" cm="1">
        <f t="array" ref="Z195">INDEX($AE$2:$AS$40,MOD(ROW()-ROW($AE$2),ROWS($AE$2:$AS$40))+1,INT((ROW()-ROW($AE$2))/ROWS($AE$2:$AS$40))+1)</f>
        <v>0</v>
      </c>
      <c r="AA195">
        <f t="shared" ca="1" si="20"/>
        <v>499</v>
      </c>
      <c r="AB195" t="str" cm="1">
        <f t="array" aca="1" ref="AB195" ca="1">IFERROR(INDIRECT("$Z"&amp;AA195),"")</f>
        <v/>
      </c>
      <c r="AP195" t="str">
        <f t="shared" ref="AP195:AP258" si="21">IF(AI195&lt;&gt;"", _xlfn.CONCAT(AI195, " (airside)"), "")</f>
        <v/>
      </c>
      <c r="AQ195" t="str">
        <f t="shared" ref="AQ195:AQ258" si="22">IF(AI195&lt;&gt;"", _xlfn.CONCAT(AI195, " (waterside)"), "")</f>
        <v/>
      </c>
      <c r="AR195" t="str">
        <f t="shared" ref="AR195:AR258" si="23">IF(AJ195&lt;&gt;"", _xlfn.CONCAT(AJ195, " (supply)"), "")</f>
        <v/>
      </c>
      <c r="AS195" t="str">
        <f t="shared" ref="AS195:AS258" si="24">IF(AJ195&lt;&gt;"", _xlfn.CONCAT(AJ195, " (exhaust)"), "")</f>
        <v/>
      </c>
    </row>
    <row r="196" spans="5:45" x14ac:dyDescent="0.25">
      <c r="E196" t="str">
        <f ca="1"/>
        <v/>
      </c>
      <c r="F196" t="str">
        <f ca="1"/>
        <v/>
      </c>
      <c r="P196" t="e" cm="1">
        <f t="array" ref="P196">INDEX($B$2:$D$40,MOD(ROW()-ROW($B$2),ROWS($B$2:$D$40))+1,INT((ROW()-ROW($B$2))/ROWS($B$2:$D$40))+1)</f>
        <v>#REF!</v>
      </c>
      <c r="Q196" t="e">
        <f t="shared" ref="Q196:Q259" ca="1" si="25">MATCH("*",INDIRECT(ADDRESS(Q195+1,16,1)&amp;":$P$1000"),0)+Q195</f>
        <v>#N/A</v>
      </c>
      <c r="R196" t="str" cm="1">
        <f t="array" aca="1" ref="R196" ca="1">IFERROR(INDIRECT("$P"&amp;Q196),"")</f>
        <v/>
      </c>
      <c r="U196" t="e" cm="1">
        <f t="array" ref="U196">INDEX($C$2:$D$40,MOD(ROW()-ROW($C$2),ROWS($C$2:$D$40))+1,INT((ROW()-ROW($C$2))/ROWS($C$2:$D$40))+1)</f>
        <v>#REF!</v>
      </c>
      <c r="V196" t="e">
        <f t="shared" ref="V196:V259" ca="1" si="26">MATCH("*",INDIRECT(ADDRESS(V195+1,21,1)&amp;":$U$1000"),0)+V195</f>
        <v>#N/A</v>
      </c>
      <c r="W196" t="str" cm="1">
        <f t="array" aca="1" ref="W196" ca="1">IFERROR(INDIRECT("$U"&amp;V196),"")</f>
        <v/>
      </c>
      <c r="Z196" cm="1">
        <f t="array" ref="Z196">INDEX($AE$2:$AS$40,MOD(ROW()-ROW($AE$2),ROWS($AE$2:$AS$40))+1,INT((ROW()-ROW($AE$2))/ROWS($AE$2:$AS$40))+1)</f>
        <v>0</v>
      </c>
      <c r="AA196">
        <f t="shared" ref="AA196:AA259" ca="1" si="27">MATCH("*",INDIRECT(ADDRESS(AA195+1,26,1)&amp;":$Z$1000"),0)+AA195</f>
        <v>500</v>
      </c>
      <c r="AB196" t="str" cm="1">
        <f t="array" aca="1" ref="AB196" ca="1">IFERROR(INDIRECT("$Z"&amp;AA196),"")</f>
        <v/>
      </c>
      <c r="AP196" t="str">
        <f t="shared" si="21"/>
        <v/>
      </c>
      <c r="AQ196" t="str">
        <f t="shared" si="22"/>
        <v/>
      </c>
      <c r="AR196" t="str">
        <f t="shared" si="23"/>
        <v/>
      </c>
      <c r="AS196" t="str">
        <f t="shared" si="24"/>
        <v/>
      </c>
    </row>
    <row r="197" spans="5:45" x14ac:dyDescent="0.25">
      <c r="E197" t="str">
        <f ca="1"/>
        <v/>
      </c>
      <c r="F197" t="str">
        <f ca="1"/>
        <v/>
      </c>
      <c r="P197" t="e" cm="1">
        <f t="array" ref="P197">INDEX($B$2:$D$40,MOD(ROW()-ROW($B$2),ROWS($B$2:$D$40))+1,INT((ROW()-ROW($B$2))/ROWS($B$2:$D$40))+1)</f>
        <v>#REF!</v>
      </c>
      <c r="Q197" t="e">
        <f t="shared" ca="1" si="25"/>
        <v>#N/A</v>
      </c>
      <c r="R197" t="str" cm="1">
        <f t="array" aca="1" ref="R197" ca="1">IFERROR(INDIRECT("$P"&amp;Q197),"")</f>
        <v/>
      </c>
      <c r="U197" t="e" cm="1">
        <f t="array" ref="U197">INDEX($C$2:$D$40,MOD(ROW()-ROW($C$2),ROWS($C$2:$D$40))+1,INT((ROW()-ROW($C$2))/ROWS($C$2:$D$40))+1)</f>
        <v>#REF!</v>
      </c>
      <c r="V197" t="e">
        <f t="shared" ca="1" si="26"/>
        <v>#N/A</v>
      </c>
      <c r="W197" t="str" cm="1">
        <f t="array" aca="1" ref="W197" ca="1">IFERROR(INDIRECT("$U"&amp;V197),"")</f>
        <v/>
      </c>
      <c r="Z197" t="str" cm="1">
        <f t="array" aca="1" ref="Z197" ca="1">INDEX($AE$2:$AS$40,MOD(ROW()-ROW($AE$2),ROWS($AE$2:$AS$40))+1,INT((ROW()-ROW($AE$2))/ROWS($AE$2:$AS$40))+1)</f>
        <v>HF04_heat_exchanger</v>
      </c>
      <c r="AA197">
        <f t="shared" ca="1" si="27"/>
        <v>501</v>
      </c>
      <c r="AB197" t="str" cm="1">
        <f t="array" aca="1" ref="AB197" ca="1">IFERROR(INDIRECT("$Z"&amp;AA197),"")</f>
        <v/>
      </c>
      <c r="AP197" t="str">
        <f t="shared" si="21"/>
        <v/>
      </c>
      <c r="AQ197" t="str">
        <f t="shared" si="22"/>
        <v/>
      </c>
      <c r="AR197" t="str">
        <f t="shared" si="23"/>
        <v/>
      </c>
      <c r="AS197" t="str">
        <f t="shared" si="24"/>
        <v/>
      </c>
    </row>
    <row r="198" spans="5:45" x14ac:dyDescent="0.25">
      <c r="E198" t="str">
        <f ca="1"/>
        <v/>
      </c>
      <c r="F198" t="str">
        <f ca="1"/>
        <v/>
      </c>
      <c r="P198" t="e" cm="1">
        <f t="array" ref="P198">INDEX($B$2:$D$40,MOD(ROW()-ROW($B$2),ROWS($B$2:$D$40))+1,INT((ROW()-ROW($B$2))/ROWS($B$2:$D$40))+1)</f>
        <v>#REF!</v>
      </c>
      <c r="Q198" t="e">
        <f t="shared" ca="1" si="25"/>
        <v>#N/A</v>
      </c>
      <c r="R198" t="str" cm="1">
        <f t="array" aca="1" ref="R198" ca="1">IFERROR(INDIRECT("$P"&amp;Q198),"")</f>
        <v/>
      </c>
      <c r="U198" t="e" cm="1">
        <f t="array" ref="U198">INDEX($C$2:$D$40,MOD(ROW()-ROW($C$2),ROWS($C$2:$D$40))+1,INT((ROW()-ROW($C$2))/ROWS($C$2:$D$40))+1)</f>
        <v>#REF!</v>
      </c>
      <c r="V198" t="e">
        <f t="shared" ca="1" si="26"/>
        <v>#N/A</v>
      </c>
      <c r="W198" t="str" cm="1">
        <f t="array" aca="1" ref="W198" ca="1">IFERROR(INDIRECT("$U"&amp;V198),"")</f>
        <v/>
      </c>
      <c r="Z198" cm="1">
        <f t="array" ref="Z198">INDEX($AE$2:$AS$40,MOD(ROW()-ROW($AE$2),ROWS($AE$2:$AS$40))+1,INT((ROW()-ROW($AE$2))/ROWS($AE$2:$AS$40))+1)</f>
        <v>0</v>
      </c>
      <c r="AA198">
        <f t="shared" ca="1" si="27"/>
        <v>502</v>
      </c>
      <c r="AB198" t="str" cm="1">
        <f t="array" aca="1" ref="AB198" ca="1">IFERROR(INDIRECT("$Z"&amp;AA198),"")</f>
        <v/>
      </c>
      <c r="AP198" t="str">
        <f t="shared" si="21"/>
        <v/>
      </c>
      <c r="AQ198" t="str">
        <f t="shared" si="22"/>
        <v/>
      </c>
      <c r="AR198" t="str">
        <f t="shared" si="23"/>
        <v/>
      </c>
      <c r="AS198" t="str">
        <f t="shared" si="24"/>
        <v/>
      </c>
    </row>
    <row r="199" spans="5:45" x14ac:dyDescent="0.25">
      <c r="E199" t="str">
        <f ca="1"/>
        <v/>
      </c>
      <c r="F199" t="str">
        <f ca="1"/>
        <v/>
      </c>
      <c r="P199" t="e" cm="1">
        <f t="array" ref="P199">INDEX($B$2:$D$40,MOD(ROW()-ROW($B$2),ROWS($B$2:$D$40))+1,INT((ROW()-ROW($B$2))/ROWS($B$2:$D$40))+1)</f>
        <v>#REF!</v>
      </c>
      <c r="Q199" t="e">
        <f t="shared" ca="1" si="25"/>
        <v>#N/A</v>
      </c>
      <c r="R199" t="str" cm="1">
        <f t="array" aca="1" ref="R199" ca="1">IFERROR(INDIRECT("$P"&amp;Q199),"")</f>
        <v/>
      </c>
      <c r="U199" t="e" cm="1">
        <f t="array" ref="U199">INDEX($C$2:$D$40,MOD(ROW()-ROW($C$2),ROWS($C$2:$D$40))+1,INT((ROW()-ROW($C$2))/ROWS($C$2:$D$40))+1)</f>
        <v>#REF!</v>
      </c>
      <c r="V199" t="e">
        <f t="shared" ca="1" si="26"/>
        <v>#N/A</v>
      </c>
      <c r="W199" t="str" cm="1">
        <f t="array" aca="1" ref="W199" ca="1">IFERROR(INDIRECT("$U"&amp;V199),"")</f>
        <v/>
      </c>
      <c r="Z199" cm="1">
        <f t="array" ref="Z199">INDEX($AE$2:$AS$40,MOD(ROW()-ROW($AE$2),ROWS($AE$2:$AS$40))+1,INT((ROW()-ROW($AE$2))/ROWS($AE$2:$AS$40))+1)</f>
        <v>0</v>
      </c>
      <c r="AA199">
        <f t="shared" ca="1" si="27"/>
        <v>503</v>
      </c>
      <c r="AB199" t="str" cm="1">
        <f t="array" aca="1" ref="AB199" ca="1">IFERROR(INDIRECT("$Z"&amp;AA199),"")</f>
        <v/>
      </c>
      <c r="AP199" t="str">
        <f t="shared" si="21"/>
        <v/>
      </c>
      <c r="AQ199" t="str">
        <f t="shared" si="22"/>
        <v/>
      </c>
      <c r="AR199" t="str">
        <f t="shared" si="23"/>
        <v/>
      </c>
      <c r="AS199" t="str">
        <f t="shared" si="24"/>
        <v/>
      </c>
    </row>
    <row r="200" spans="5:45" x14ac:dyDescent="0.25">
      <c r="E200" t="str">
        <f ca="1"/>
        <v/>
      </c>
      <c r="F200" t="str">
        <f ca="1"/>
        <v/>
      </c>
      <c r="P200" t="e" cm="1">
        <f t="array" ref="P200">INDEX($B$2:$D$40,MOD(ROW()-ROW($B$2),ROWS($B$2:$D$40))+1,INT((ROW()-ROW($B$2))/ROWS($B$2:$D$40))+1)</f>
        <v>#REF!</v>
      </c>
      <c r="Q200" t="e">
        <f t="shared" ca="1" si="25"/>
        <v>#N/A</v>
      </c>
      <c r="R200" t="str" cm="1">
        <f t="array" aca="1" ref="R200" ca="1">IFERROR(INDIRECT("$P"&amp;Q200),"")</f>
        <v/>
      </c>
      <c r="U200" t="e" cm="1">
        <f t="array" ref="U200">INDEX($C$2:$D$40,MOD(ROW()-ROW($C$2),ROWS($C$2:$D$40))+1,INT((ROW()-ROW($C$2))/ROWS($C$2:$D$40))+1)</f>
        <v>#REF!</v>
      </c>
      <c r="V200" t="e">
        <f t="shared" ca="1" si="26"/>
        <v>#N/A</v>
      </c>
      <c r="W200" t="str" cm="1">
        <f t="array" aca="1" ref="W200" ca="1">IFERROR(INDIRECT("$U"&amp;V200),"")</f>
        <v/>
      </c>
      <c r="Z200" cm="1">
        <f t="array" ref="Z200">INDEX($AE$2:$AS$40,MOD(ROW()-ROW($AE$2),ROWS($AE$2:$AS$40))+1,INT((ROW()-ROW($AE$2))/ROWS($AE$2:$AS$40))+1)</f>
        <v>0</v>
      </c>
      <c r="AA200">
        <f t="shared" ca="1" si="27"/>
        <v>504</v>
      </c>
      <c r="AB200" t="str" cm="1">
        <f t="array" aca="1" ref="AB200" ca="1">IFERROR(INDIRECT("$Z"&amp;AA200),"")</f>
        <v/>
      </c>
      <c r="AP200" t="str">
        <f t="shared" si="21"/>
        <v/>
      </c>
      <c r="AQ200" t="str">
        <f t="shared" si="22"/>
        <v/>
      </c>
      <c r="AR200" t="str">
        <f t="shared" si="23"/>
        <v/>
      </c>
      <c r="AS200" t="str">
        <f t="shared" si="24"/>
        <v/>
      </c>
    </row>
    <row r="201" spans="5:45" x14ac:dyDescent="0.25">
      <c r="E201" t="str">
        <f ca="1"/>
        <v/>
      </c>
      <c r="F201" t="str">
        <f ca="1"/>
        <v/>
      </c>
      <c r="P201" t="e" cm="1">
        <f t="array" ref="P201">INDEX($B$2:$D$40,MOD(ROW()-ROW($B$2),ROWS($B$2:$D$40))+1,INT((ROW()-ROW($B$2))/ROWS($B$2:$D$40))+1)</f>
        <v>#REF!</v>
      </c>
      <c r="Q201" t="e">
        <f t="shared" ca="1" si="25"/>
        <v>#N/A</v>
      </c>
      <c r="R201" t="str" cm="1">
        <f t="array" aca="1" ref="R201" ca="1">IFERROR(INDIRECT("$P"&amp;Q201),"")</f>
        <v/>
      </c>
      <c r="U201" t="e" cm="1">
        <f t="array" ref="U201">INDEX($C$2:$D$40,MOD(ROW()-ROW($C$2),ROWS($C$2:$D$40))+1,INT((ROW()-ROW($C$2))/ROWS($C$2:$D$40))+1)</f>
        <v>#REF!</v>
      </c>
      <c r="V201" t="e">
        <f t="shared" ca="1" si="26"/>
        <v>#N/A</v>
      </c>
      <c r="W201" t="str" cm="1">
        <f t="array" aca="1" ref="W201" ca="1">IFERROR(INDIRECT("$U"&amp;V201),"")</f>
        <v/>
      </c>
      <c r="Z201" cm="1">
        <f t="array" ref="Z201">INDEX($AE$2:$AS$40,MOD(ROW()-ROW($AE$2),ROWS($AE$2:$AS$40))+1,INT((ROW()-ROW($AE$2))/ROWS($AE$2:$AS$40))+1)</f>
        <v>0</v>
      </c>
      <c r="AA201">
        <f t="shared" ca="1" si="27"/>
        <v>505</v>
      </c>
      <c r="AB201" t="str" cm="1">
        <f t="array" aca="1" ref="AB201" ca="1">IFERROR(INDIRECT("$Z"&amp;AA201),"")</f>
        <v/>
      </c>
      <c r="AP201" t="str">
        <f t="shared" si="21"/>
        <v/>
      </c>
      <c r="AQ201" t="str">
        <f t="shared" si="22"/>
        <v/>
      </c>
      <c r="AR201" t="str">
        <f t="shared" si="23"/>
        <v/>
      </c>
      <c r="AS201" t="str">
        <f t="shared" si="24"/>
        <v/>
      </c>
    </row>
    <row r="202" spans="5:45" x14ac:dyDescent="0.25">
      <c r="E202" t="str">
        <f ca="1"/>
        <v/>
      </c>
      <c r="F202" t="str">
        <f ca="1"/>
        <v/>
      </c>
      <c r="P202" t="e" cm="1">
        <f t="array" ref="P202">INDEX($B$2:$D$40,MOD(ROW()-ROW($B$2),ROWS($B$2:$D$40))+1,INT((ROW()-ROW($B$2))/ROWS($B$2:$D$40))+1)</f>
        <v>#REF!</v>
      </c>
      <c r="Q202" t="e">
        <f t="shared" ca="1" si="25"/>
        <v>#N/A</v>
      </c>
      <c r="R202" t="str" cm="1">
        <f t="array" aca="1" ref="R202" ca="1">IFERROR(INDIRECT("$P"&amp;Q202),"")</f>
        <v/>
      </c>
      <c r="U202" t="e" cm="1">
        <f t="array" ref="U202">INDEX($C$2:$D$40,MOD(ROW()-ROW($C$2),ROWS($C$2:$D$40))+1,INT((ROW()-ROW($C$2))/ROWS($C$2:$D$40))+1)</f>
        <v>#REF!</v>
      </c>
      <c r="V202" t="e">
        <f t="shared" ca="1" si="26"/>
        <v>#N/A</v>
      </c>
      <c r="W202" t="str" cm="1">
        <f t="array" aca="1" ref="W202" ca="1">IFERROR(INDIRECT("$U"&amp;V202),"")</f>
        <v/>
      </c>
      <c r="Z202" cm="1">
        <f t="array" ref="Z202">INDEX($AE$2:$AS$40,MOD(ROW()-ROW($AE$2),ROWS($AE$2:$AS$40))+1,INT((ROW()-ROW($AE$2))/ROWS($AE$2:$AS$40))+1)</f>
        <v>0</v>
      </c>
      <c r="AA202">
        <f t="shared" ca="1" si="27"/>
        <v>506</v>
      </c>
      <c r="AB202" t="str" cm="1">
        <f t="array" aca="1" ref="AB202" ca="1">IFERROR(INDIRECT("$Z"&amp;AA202),"")</f>
        <v/>
      </c>
      <c r="AP202" t="str">
        <f t="shared" si="21"/>
        <v/>
      </c>
      <c r="AQ202" t="str">
        <f t="shared" si="22"/>
        <v/>
      </c>
      <c r="AR202" t="str">
        <f t="shared" si="23"/>
        <v/>
      </c>
      <c r="AS202" t="str">
        <f t="shared" si="24"/>
        <v/>
      </c>
    </row>
    <row r="203" spans="5:45" x14ac:dyDescent="0.25">
      <c r="E203" t="str">
        <f ca="1"/>
        <v/>
      </c>
      <c r="F203" t="str">
        <f ca="1"/>
        <v/>
      </c>
      <c r="P203" t="e" cm="1">
        <f t="array" ref="P203">INDEX($B$2:$D$40,MOD(ROW()-ROW($B$2),ROWS($B$2:$D$40))+1,INT((ROW()-ROW($B$2))/ROWS($B$2:$D$40))+1)</f>
        <v>#REF!</v>
      </c>
      <c r="Q203" t="e">
        <f t="shared" ca="1" si="25"/>
        <v>#N/A</v>
      </c>
      <c r="R203" t="str" cm="1">
        <f t="array" aca="1" ref="R203" ca="1">IFERROR(INDIRECT("$P"&amp;Q203),"")</f>
        <v/>
      </c>
      <c r="U203" t="e" cm="1">
        <f t="array" ref="U203">INDEX($C$2:$D$40,MOD(ROW()-ROW($C$2),ROWS($C$2:$D$40))+1,INT((ROW()-ROW($C$2))/ROWS($C$2:$D$40))+1)</f>
        <v>#REF!</v>
      </c>
      <c r="V203" t="e">
        <f t="shared" ca="1" si="26"/>
        <v>#N/A</v>
      </c>
      <c r="W203" t="str" cm="1">
        <f t="array" aca="1" ref="W203" ca="1">IFERROR(INDIRECT("$U"&amp;V203),"")</f>
        <v/>
      </c>
      <c r="Z203" cm="1">
        <f t="array" ref="Z203">INDEX($AE$2:$AS$40,MOD(ROW()-ROW($AE$2),ROWS($AE$2:$AS$40))+1,INT((ROW()-ROW($AE$2))/ROWS($AE$2:$AS$40))+1)</f>
        <v>0</v>
      </c>
      <c r="AA203">
        <f t="shared" ca="1" si="27"/>
        <v>507</v>
      </c>
      <c r="AB203" t="str" cm="1">
        <f t="array" aca="1" ref="AB203" ca="1">IFERROR(INDIRECT("$Z"&amp;AA203),"")</f>
        <v/>
      </c>
      <c r="AP203" t="str">
        <f t="shared" si="21"/>
        <v/>
      </c>
      <c r="AQ203" t="str">
        <f t="shared" si="22"/>
        <v/>
      </c>
      <c r="AR203" t="str">
        <f t="shared" si="23"/>
        <v/>
      </c>
      <c r="AS203" t="str">
        <f t="shared" si="24"/>
        <v/>
      </c>
    </row>
    <row r="204" spans="5:45" x14ac:dyDescent="0.25">
      <c r="E204" t="str">
        <f ca="1"/>
        <v/>
      </c>
      <c r="F204" t="str">
        <f ca="1"/>
        <v/>
      </c>
      <c r="P204" t="e" cm="1">
        <f t="array" ref="P204">INDEX($B$2:$D$40,MOD(ROW()-ROW($B$2),ROWS($B$2:$D$40))+1,INT((ROW()-ROW($B$2))/ROWS($B$2:$D$40))+1)</f>
        <v>#REF!</v>
      </c>
      <c r="Q204" t="e">
        <f t="shared" ca="1" si="25"/>
        <v>#N/A</v>
      </c>
      <c r="R204" t="str" cm="1">
        <f t="array" aca="1" ref="R204" ca="1">IFERROR(INDIRECT("$P"&amp;Q204),"")</f>
        <v/>
      </c>
      <c r="U204" t="e" cm="1">
        <f t="array" ref="U204">INDEX($C$2:$D$40,MOD(ROW()-ROW($C$2),ROWS($C$2:$D$40))+1,INT((ROW()-ROW($C$2))/ROWS($C$2:$D$40))+1)</f>
        <v>#REF!</v>
      </c>
      <c r="V204" t="e">
        <f t="shared" ca="1" si="26"/>
        <v>#N/A</v>
      </c>
      <c r="W204" t="str" cm="1">
        <f t="array" aca="1" ref="W204" ca="1">IFERROR(INDIRECT("$U"&amp;V204),"")</f>
        <v/>
      </c>
      <c r="Z204" cm="1">
        <f t="array" ref="Z204">INDEX($AE$2:$AS$40,MOD(ROW()-ROW($AE$2),ROWS($AE$2:$AS$40))+1,INT((ROW()-ROW($AE$2))/ROWS($AE$2:$AS$40))+1)</f>
        <v>0</v>
      </c>
      <c r="AA204">
        <f t="shared" ca="1" si="27"/>
        <v>508</v>
      </c>
      <c r="AB204" t="str" cm="1">
        <f t="array" aca="1" ref="AB204" ca="1">IFERROR(INDIRECT("$Z"&amp;AA204),"")</f>
        <v/>
      </c>
      <c r="AP204" t="str">
        <f t="shared" si="21"/>
        <v/>
      </c>
      <c r="AQ204" t="str">
        <f t="shared" si="22"/>
        <v/>
      </c>
      <c r="AR204" t="str">
        <f t="shared" si="23"/>
        <v/>
      </c>
      <c r="AS204" t="str">
        <f t="shared" si="24"/>
        <v/>
      </c>
    </row>
    <row r="205" spans="5:45" x14ac:dyDescent="0.25">
      <c r="E205" t="str">
        <f ca="1"/>
        <v/>
      </c>
      <c r="F205" t="str">
        <f ca="1"/>
        <v/>
      </c>
      <c r="P205" t="e" cm="1">
        <f t="array" ref="P205">INDEX($B$2:$D$40,MOD(ROW()-ROW($B$2),ROWS($B$2:$D$40))+1,INT((ROW()-ROW($B$2))/ROWS($B$2:$D$40))+1)</f>
        <v>#REF!</v>
      </c>
      <c r="Q205" t="e">
        <f t="shared" ca="1" si="25"/>
        <v>#N/A</v>
      </c>
      <c r="R205" t="str" cm="1">
        <f t="array" aca="1" ref="R205" ca="1">IFERROR(INDIRECT("$P"&amp;Q205),"")</f>
        <v/>
      </c>
      <c r="U205" t="e" cm="1">
        <f t="array" ref="U205">INDEX($C$2:$D$40,MOD(ROW()-ROW($C$2),ROWS($C$2:$D$40))+1,INT((ROW()-ROW($C$2))/ROWS($C$2:$D$40))+1)</f>
        <v>#REF!</v>
      </c>
      <c r="V205" t="e">
        <f t="shared" ca="1" si="26"/>
        <v>#N/A</v>
      </c>
      <c r="W205" t="str" cm="1">
        <f t="array" aca="1" ref="W205" ca="1">IFERROR(INDIRECT("$U"&amp;V205),"")</f>
        <v/>
      </c>
      <c r="Z205" cm="1">
        <f t="array" ref="Z205">INDEX($AE$2:$AS$40,MOD(ROW()-ROW($AE$2),ROWS($AE$2:$AS$40))+1,INT((ROW()-ROW($AE$2))/ROWS($AE$2:$AS$40))+1)</f>
        <v>0</v>
      </c>
      <c r="AA205">
        <f t="shared" ca="1" si="27"/>
        <v>509</v>
      </c>
      <c r="AB205" t="str" cm="1">
        <f t="array" aca="1" ref="AB205" ca="1">IFERROR(INDIRECT("$Z"&amp;AA205),"")</f>
        <v>HF04_heat_exchanger (supply)</v>
      </c>
      <c r="AP205" t="str">
        <f t="shared" si="21"/>
        <v/>
      </c>
      <c r="AQ205" t="str">
        <f t="shared" si="22"/>
        <v/>
      </c>
      <c r="AR205" t="str">
        <f t="shared" si="23"/>
        <v/>
      </c>
      <c r="AS205" t="str">
        <f t="shared" si="24"/>
        <v/>
      </c>
    </row>
    <row r="206" spans="5:45" x14ac:dyDescent="0.25">
      <c r="E206" t="str">
        <f ca="1"/>
        <v/>
      </c>
      <c r="F206" t="str">
        <f ca="1"/>
        <v/>
      </c>
      <c r="P206" t="e" cm="1">
        <f t="array" ref="P206">INDEX($B$2:$D$40,MOD(ROW()-ROW($B$2),ROWS($B$2:$D$40))+1,INT((ROW()-ROW($B$2))/ROWS($B$2:$D$40))+1)</f>
        <v>#REF!</v>
      </c>
      <c r="Q206" t="e">
        <f t="shared" ca="1" si="25"/>
        <v>#N/A</v>
      </c>
      <c r="R206" t="str" cm="1">
        <f t="array" aca="1" ref="R206" ca="1">IFERROR(INDIRECT("$P"&amp;Q206),"")</f>
        <v/>
      </c>
      <c r="U206" t="e" cm="1">
        <f t="array" ref="U206">INDEX($C$2:$D$40,MOD(ROW()-ROW($C$2),ROWS($C$2:$D$40))+1,INT((ROW()-ROW($C$2))/ROWS($C$2:$D$40))+1)</f>
        <v>#REF!</v>
      </c>
      <c r="V206" t="e">
        <f t="shared" ca="1" si="26"/>
        <v>#N/A</v>
      </c>
      <c r="W206" t="str" cm="1">
        <f t="array" aca="1" ref="W206" ca="1">IFERROR(INDIRECT("$U"&amp;V206),"")</f>
        <v/>
      </c>
      <c r="Z206" cm="1">
        <f t="array" ref="Z206">INDEX($AE$2:$AS$40,MOD(ROW()-ROW($AE$2),ROWS($AE$2:$AS$40))+1,INT((ROW()-ROW($AE$2))/ROWS($AE$2:$AS$40))+1)</f>
        <v>0</v>
      </c>
      <c r="AA206">
        <f t="shared" ca="1" si="27"/>
        <v>510</v>
      </c>
      <c r="AB206" t="str" cm="1">
        <f t="array" aca="1" ref="AB206" ca="1">IFERROR(INDIRECT("$Z"&amp;AA206),"")</f>
        <v/>
      </c>
      <c r="AP206" t="str">
        <f t="shared" si="21"/>
        <v/>
      </c>
      <c r="AQ206" t="str">
        <f t="shared" si="22"/>
        <v/>
      </c>
      <c r="AR206" t="str">
        <f t="shared" si="23"/>
        <v/>
      </c>
      <c r="AS206" t="str">
        <f t="shared" si="24"/>
        <v/>
      </c>
    </row>
    <row r="207" spans="5:45" x14ac:dyDescent="0.25">
      <c r="E207" t="str">
        <f ca="1"/>
        <v/>
      </c>
      <c r="F207" t="str">
        <f ca="1"/>
        <v/>
      </c>
      <c r="P207" t="e" cm="1">
        <f t="array" ref="P207">INDEX($B$2:$D$40,MOD(ROW()-ROW($B$2),ROWS($B$2:$D$40))+1,INT((ROW()-ROW($B$2))/ROWS($B$2:$D$40))+1)</f>
        <v>#REF!</v>
      </c>
      <c r="Q207" t="e">
        <f t="shared" ca="1" si="25"/>
        <v>#N/A</v>
      </c>
      <c r="R207" t="str" cm="1">
        <f t="array" aca="1" ref="R207" ca="1">IFERROR(INDIRECT("$P"&amp;Q207),"")</f>
        <v/>
      </c>
      <c r="U207" t="e" cm="1">
        <f t="array" ref="U207">INDEX($C$2:$D$40,MOD(ROW()-ROW($C$2),ROWS($C$2:$D$40))+1,INT((ROW()-ROW($C$2))/ROWS($C$2:$D$40))+1)</f>
        <v>#REF!</v>
      </c>
      <c r="V207" t="e">
        <f t="shared" ca="1" si="26"/>
        <v>#N/A</v>
      </c>
      <c r="W207" t="str" cm="1">
        <f t="array" aca="1" ref="W207" ca="1">IFERROR(INDIRECT("$U"&amp;V207),"")</f>
        <v/>
      </c>
      <c r="Z207" cm="1">
        <f t="array" ref="Z207">INDEX($AE$2:$AS$40,MOD(ROW()-ROW($AE$2),ROWS($AE$2:$AS$40))+1,INT((ROW()-ROW($AE$2))/ROWS($AE$2:$AS$40))+1)</f>
        <v>0</v>
      </c>
      <c r="AA207">
        <f t="shared" ca="1" si="27"/>
        <v>511</v>
      </c>
      <c r="AB207" t="str" cm="1">
        <f t="array" aca="1" ref="AB207" ca="1">IFERROR(INDIRECT("$Z"&amp;AA207),"")</f>
        <v/>
      </c>
      <c r="AP207" t="str">
        <f t="shared" si="21"/>
        <v/>
      </c>
      <c r="AQ207" t="str">
        <f t="shared" si="22"/>
        <v/>
      </c>
      <c r="AR207" t="str">
        <f t="shared" si="23"/>
        <v/>
      </c>
      <c r="AS207" t="str">
        <f t="shared" si="24"/>
        <v/>
      </c>
    </row>
    <row r="208" spans="5:45" x14ac:dyDescent="0.25">
      <c r="E208" t="str">
        <f ca="1"/>
        <v/>
      </c>
      <c r="F208" t="str">
        <f ca="1"/>
        <v/>
      </c>
      <c r="P208" t="e" cm="1">
        <f t="array" ref="P208">INDEX($B$2:$D$40,MOD(ROW()-ROW($B$2),ROWS($B$2:$D$40))+1,INT((ROW()-ROW($B$2))/ROWS($B$2:$D$40))+1)</f>
        <v>#REF!</v>
      </c>
      <c r="Q208" t="e">
        <f t="shared" ca="1" si="25"/>
        <v>#N/A</v>
      </c>
      <c r="R208" t="str" cm="1">
        <f t="array" aca="1" ref="R208" ca="1">IFERROR(INDIRECT("$P"&amp;Q208),"")</f>
        <v/>
      </c>
      <c r="U208" t="e" cm="1">
        <f t="array" ref="U208">INDEX($C$2:$D$40,MOD(ROW()-ROW($C$2),ROWS($C$2:$D$40))+1,INT((ROW()-ROW($C$2))/ROWS($C$2:$D$40))+1)</f>
        <v>#REF!</v>
      </c>
      <c r="V208" t="e">
        <f t="shared" ca="1" si="26"/>
        <v>#N/A</v>
      </c>
      <c r="W208" t="str" cm="1">
        <f t="array" aca="1" ref="W208" ca="1">IFERROR(INDIRECT("$U"&amp;V208),"")</f>
        <v/>
      </c>
      <c r="Z208" cm="1">
        <f t="array" ref="Z208">INDEX($AE$2:$AS$40,MOD(ROW()-ROW($AE$2),ROWS($AE$2:$AS$40))+1,INT((ROW()-ROW($AE$2))/ROWS($AE$2:$AS$40))+1)</f>
        <v>0</v>
      </c>
      <c r="AA208">
        <f t="shared" ca="1" si="27"/>
        <v>512</v>
      </c>
      <c r="AB208" t="str" cm="1">
        <f t="array" aca="1" ref="AB208" ca="1">IFERROR(INDIRECT("$Z"&amp;AA208),"")</f>
        <v/>
      </c>
      <c r="AP208" t="str">
        <f t="shared" si="21"/>
        <v/>
      </c>
      <c r="AQ208" t="str">
        <f t="shared" si="22"/>
        <v/>
      </c>
      <c r="AR208" t="str">
        <f t="shared" si="23"/>
        <v/>
      </c>
      <c r="AS208" t="str">
        <f t="shared" si="24"/>
        <v/>
      </c>
    </row>
    <row r="209" spans="5:45" x14ac:dyDescent="0.25">
      <c r="E209" t="str">
        <f ca="1"/>
        <v/>
      </c>
      <c r="F209" t="str">
        <f ca="1"/>
        <v/>
      </c>
      <c r="P209" t="e" cm="1">
        <f t="array" ref="P209">INDEX($B$2:$D$40,MOD(ROW()-ROW($B$2),ROWS($B$2:$D$40))+1,INT((ROW()-ROW($B$2))/ROWS($B$2:$D$40))+1)</f>
        <v>#REF!</v>
      </c>
      <c r="Q209" t="e">
        <f t="shared" ca="1" si="25"/>
        <v>#N/A</v>
      </c>
      <c r="R209" t="str" cm="1">
        <f t="array" aca="1" ref="R209" ca="1">IFERROR(INDIRECT("$P"&amp;Q209),"")</f>
        <v/>
      </c>
      <c r="U209" t="e" cm="1">
        <f t="array" ref="U209">INDEX($C$2:$D$40,MOD(ROW()-ROW($C$2),ROWS($C$2:$D$40))+1,INT((ROW()-ROW($C$2))/ROWS($C$2:$D$40))+1)</f>
        <v>#REF!</v>
      </c>
      <c r="V209" t="e">
        <f t="shared" ca="1" si="26"/>
        <v>#N/A</v>
      </c>
      <c r="W209" t="str" cm="1">
        <f t="array" aca="1" ref="W209" ca="1">IFERROR(INDIRECT("$U"&amp;V209),"")</f>
        <v/>
      </c>
      <c r="Z209" cm="1">
        <f t="array" ref="Z209">INDEX($AE$2:$AS$40,MOD(ROW()-ROW($AE$2),ROWS($AE$2:$AS$40))+1,INT((ROW()-ROW($AE$2))/ROWS($AE$2:$AS$40))+1)</f>
        <v>0</v>
      </c>
      <c r="AA209">
        <f t="shared" ca="1" si="27"/>
        <v>513</v>
      </c>
      <c r="AB209" t="str" cm="1">
        <f t="array" aca="1" ref="AB209" ca="1">IFERROR(INDIRECT("$Z"&amp;AA209),"")</f>
        <v/>
      </c>
      <c r="AP209" t="str">
        <f t="shared" si="21"/>
        <v/>
      </c>
      <c r="AQ209" t="str">
        <f t="shared" si="22"/>
        <v/>
      </c>
      <c r="AR209" t="str">
        <f t="shared" si="23"/>
        <v/>
      </c>
      <c r="AS209" t="str">
        <f t="shared" si="24"/>
        <v/>
      </c>
    </row>
    <row r="210" spans="5:45" x14ac:dyDescent="0.25">
      <c r="E210" t="str">
        <f ca="1"/>
        <v/>
      </c>
      <c r="F210" t="str">
        <f ca="1"/>
        <v/>
      </c>
      <c r="P210" t="e" cm="1">
        <f t="array" ref="P210">INDEX($B$2:$D$40,MOD(ROW()-ROW($B$2),ROWS($B$2:$D$40))+1,INT((ROW()-ROW($B$2))/ROWS($B$2:$D$40))+1)</f>
        <v>#REF!</v>
      </c>
      <c r="Q210" t="e">
        <f t="shared" ca="1" si="25"/>
        <v>#N/A</v>
      </c>
      <c r="R210" t="str" cm="1">
        <f t="array" aca="1" ref="R210" ca="1">IFERROR(INDIRECT("$P"&amp;Q210),"")</f>
        <v/>
      </c>
      <c r="U210" t="e" cm="1">
        <f t="array" ref="U210">INDEX($C$2:$D$40,MOD(ROW()-ROW($C$2),ROWS($C$2:$D$40))+1,INT((ROW()-ROW($C$2))/ROWS($C$2:$D$40))+1)</f>
        <v>#REF!</v>
      </c>
      <c r="V210" t="e">
        <f t="shared" ca="1" si="26"/>
        <v>#N/A</v>
      </c>
      <c r="W210" t="str" cm="1">
        <f t="array" aca="1" ref="W210" ca="1">IFERROR(INDIRECT("$U"&amp;V210),"")</f>
        <v/>
      </c>
      <c r="Z210" cm="1">
        <f t="array" ref="Z210">INDEX($AE$2:$AS$40,MOD(ROW()-ROW($AE$2),ROWS($AE$2:$AS$40))+1,INT((ROW()-ROW($AE$2))/ROWS($AE$2:$AS$40))+1)</f>
        <v>0</v>
      </c>
      <c r="AA210">
        <f t="shared" ca="1" si="27"/>
        <v>514</v>
      </c>
      <c r="AB210" t="str" cm="1">
        <f t="array" aca="1" ref="AB210" ca="1">IFERROR(INDIRECT("$Z"&amp;AA210),"")</f>
        <v/>
      </c>
      <c r="AP210" t="str">
        <f t="shared" si="21"/>
        <v/>
      </c>
      <c r="AQ210" t="str">
        <f t="shared" si="22"/>
        <v/>
      </c>
      <c r="AR210" t="str">
        <f t="shared" si="23"/>
        <v/>
      </c>
      <c r="AS210" t="str">
        <f t="shared" si="24"/>
        <v/>
      </c>
    </row>
    <row r="211" spans="5:45" x14ac:dyDescent="0.25">
      <c r="E211" t="str">
        <f ca="1"/>
        <v/>
      </c>
      <c r="F211" t="str">
        <f ca="1"/>
        <v/>
      </c>
      <c r="P211" t="e" cm="1">
        <f t="array" ref="P211">INDEX($B$2:$D$40,MOD(ROW()-ROW($B$2),ROWS($B$2:$D$40))+1,INT((ROW()-ROW($B$2))/ROWS($B$2:$D$40))+1)</f>
        <v>#REF!</v>
      </c>
      <c r="Q211" t="e">
        <f t="shared" ca="1" si="25"/>
        <v>#N/A</v>
      </c>
      <c r="R211" t="str" cm="1">
        <f t="array" aca="1" ref="R211" ca="1">IFERROR(INDIRECT("$P"&amp;Q211),"")</f>
        <v/>
      </c>
      <c r="U211" t="e" cm="1">
        <f t="array" ref="U211">INDEX($C$2:$D$40,MOD(ROW()-ROW($C$2),ROWS($C$2:$D$40))+1,INT((ROW()-ROW($C$2))/ROWS($C$2:$D$40))+1)</f>
        <v>#REF!</v>
      </c>
      <c r="V211" t="e">
        <f t="shared" ca="1" si="26"/>
        <v>#N/A</v>
      </c>
      <c r="W211" t="str" cm="1">
        <f t="array" aca="1" ref="W211" ca="1">IFERROR(INDIRECT("$U"&amp;V211),"")</f>
        <v/>
      </c>
      <c r="Z211" cm="1">
        <f t="array" ref="Z211">INDEX($AE$2:$AS$40,MOD(ROW()-ROW($AE$2),ROWS($AE$2:$AS$40))+1,INT((ROW()-ROW($AE$2))/ROWS($AE$2:$AS$40))+1)</f>
        <v>0</v>
      </c>
      <c r="AA211">
        <f t="shared" ca="1" si="27"/>
        <v>515</v>
      </c>
      <c r="AB211" t="str" cm="1">
        <f t="array" aca="1" ref="AB211" ca="1">IFERROR(INDIRECT("$Z"&amp;AA211),"")</f>
        <v/>
      </c>
      <c r="AP211" t="str">
        <f t="shared" si="21"/>
        <v/>
      </c>
      <c r="AQ211" t="str">
        <f t="shared" si="22"/>
        <v/>
      </c>
      <c r="AR211" t="str">
        <f t="shared" si="23"/>
        <v/>
      </c>
      <c r="AS211" t="str">
        <f t="shared" si="24"/>
        <v/>
      </c>
    </row>
    <row r="212" spans="5:45" x14ac:dyDescent="0.25">
      <c r="E212" t="str">
        <f ca="1"/>
        <v/>
      </c>
      <c r="F212" t="str">
        <f ca="1"/>
        <v/>
      </c>
      <c r="P212" t="e" cm="1">
        <f t="array" ref="P212">INDEX($B$2:$D$40,MOD(ROW()-ROW($B$2),ROWS($B$2:$D$40))+1,INT((ROW()-ROW($B$2))/ROWS($B$2:$D$40))+1)</f>
        <v>#REF!</v>
      </c>
      <c r="Q212" t="e">
        <f t="shared" ca="1" si="25"/>
        <v>#N/A</v>
      </c>
      <c r="R212" t="str" cm="1">
        <f t="array" aca="1" ref="R212" ca="1">IFERROR(INDIRECT("$P"&amp;Q212),"")</f>
        <v/>
      </c>
      <c r="U212" t="e" cm="1">
        <f t="array" ref="U212">INDEX($C$2:$D$40,MOD(ROW()-ROW($C$2),ROWS($C$2:$D$40))+1,INT((ROW()-ROW($C$2))/ROWS($C$2:$D$40))+1)</f>
        <v>#REF!</v>
      </c>
      <c r="V212" t="e">
        <f t="shared" ca="1" si="26"/>
        <v>#N/A</v>
      </c>
      <c r="W212" t="str" cm="1">
        <f t="array" aca="1" ref="W212" ca="1">IFERROR(INDIRECT("$U"&amp;V212),"")</f>
        <v/>
      </c>
      <c r="Z212" cm="1">
        <f t="array" ref="Z212">INDEX($AE$2:$AS$40,MOD(ROW()-ROW($AE$2),ROWS($AE$2:$AS$40))+1,INT((ROW()-ROW($AE$2))/ROWS($AE$2:$AS$40))+1)</f>
        <v>0</v>
      </c>
      <c r="AA212">
        <f t="shared" ca="1" si="27"/>
        <v>516</v>
      </c>
      <c r="AB212" t="str" cm="1">
        <f t="array" aca="1" ref="AB212" ca="1">IFERROR(INDIRECT("$Z"&amp;AA212),"")</f>
        <v/>
      </c>
      <c r="AP212" t="str">
        <f t="shared" si="21"/>
        <v/>
      </c>
      <c r="AQ212" t="str">
        <f t="shared" si="22"/>
        <v/>
      </c>
      <c r="AR212" t="str">
        <f t="shared" si="23"/>
        <v/>
      </c>
      <c r="AS212" t="str">
        <f t="shared" si="24"/>
        <v/>
      </c>
    </row>
    <row r="213" spans="5:45" x14ac:dyDescent="0.25">
      <c r="E213" t="str">
        <f ca="1"/>
        <v/>
      </c>
      <c r="F213" t="str">
        <f ca="1"/>
        <v/>
      </c>
      <c r="P213" t="e" cm="1">
        <f t="array" ref="P213">INDEX($B$2:$D$40,MOD(ROW()-ROW($B$2),ROWS($B$2:$D$40))+1,INT((ROW()-ROW($B$2))/ROWS($B$2:$D$40))+1)</f>
        <v>#REF!</v>
      </c>
      <c r="Q213" t="e">
        <f t="shared" ca="1" si="25"/>
        <v>#N/A</v>
      </c>
      <c r="R213" t="str" cm="1">
        <f t="array" aca="1" ref="R213" ca="1">IFERROR(INDIRECT("$P"&amp;Q213),"")</f>
        <v/>
      </c>
      <c r="U213" t="e" cm="1">
        <f t="array" ref="U213">INDEX($C$2:$D$40,MOD(ROW()-ROW($C$2),ROWS($C$2:$D$40))+1,INT((ROW()-ROW($C$2))/ROWS($C$2:$D$40))+1)</f>
        <v>#REF!</v>
      </c>
      <c r="V213" t="e">
        <f t="shared" ca="1" si="26"/>
        <v>#N/A</v>
      </c>
      <c r="W213" t="str" cm="1">
        <f t="array" aca="1" ref="W213" ca="1">IFERROR(INDIRECT("$U"&amp;V213),"")</f>
        <v/>
      </c>
      <c r="Z213" cm="1">
        <f t="array" ref="Z213">INDEX($AE$2:$AS$40,MOD(ROW()-ROW($AE$2),ROWS($AE$2:$AS$40))+1,INT((ROW()-ROW($AE$2))/ROWS($AE$2:$AS$40))+1)</f>
        <v>0</v>
      </c>
      <c r="AA213">
        <f t="shared" ca="1" si="27"/>
        <v>517</v>
      </c>
      <c r="AB213" t="str" cm="1">
        <f t="array" aca="1" ref="AB213" ca="1">IFERROR(INDIRECT("$Z"&amp;AA213),"")</f>
        <v/>
      </c>
      <c r="AP213" t="str">
        <f t="shared" si="21"/>
        <v/>
      </c>
      <c r="AQ213" t="str">
        <f t="shared" si="22"/>
        <v/>
      </c>
      <c r="AR213" t="str">
        <f t="shared" si="23"/>
        <v/>
      </c>
      <c r="AS213" t="str">
        <f t="shared" si="24"/>
        <v/>
      </c>
    </row>
    <row r="214" spans="5:45" x14ac:dyDescent="0.25">
      <c r="E214" t="str">
        <f ca="1"/>
        <v/>
      </c>
      <c r="F214" t="str">
        <f ca="1"/>
        <v/>
      </c>
      <c r="P214" t="e" cm="1">
        <f t="array" ref="P214">INDEX($B$2:$D$40,MOD(ROW()-ROW($B$2),ROWS($B$2:$D$40))+1,INT((ROW()-ROW($B$2))/ROWS($B$2:$D$40))+1)</f>
        <v>#REF!</v>
      </c>
      <c r="Q214" t="e">
        <f t="shared" ca="1" si="25"/>
        <v>#N/A</v>
      </c>
      <c r="R214" t="str" cm="1">
        <f t="array" aca="1" ref="R214" ca="1">IFERROR(INDIRECT("$P"&amp;Q214),"")</f>
        <v/>
      </c>
      <c r="U214" t="e" cm="1">
        <f t="array" ref="U214">INDEX($C$2:$D$40,MOD(ROW()-ROW($C$2),ROWS($C$2:$D$40))+1,INT((ROW()-ROW($C$2))/ROWS($C$2:$D$40))+1)</f>
        <v>#REF!</v>
      </c>
      <c r="V214" t="e">
        <f t="shared" ca="1" si="26"/>
        <v>#N/A</v>
      </c>
      <c r="W214" t="str" cm="1">
        <f t="array" aca="1" ref="W214" ca="1">IFERROR(INDIRECT("$U"&amp;V214),"")</f>
        <v/>
      </c>
      <c r="Z214" cm="1">
        <f t="array" ref="Z214">INDEX($AE$2:$AS$40,MOD(ROW()-ROW($AE$2),ROWS($AE$2:$AS$40))+1,INT((ROW()-ROW($AE$2))/ROWS($AE$2:$AS$40))+1)</f>
        <v>0</v>
      </c>
      <c r="AA214">
        <f t="shared" ca="1" si="27"/>
        <v>518</v>
      </c>
      <c r="AB214" t="str" cm="1">
        <f t="array" aca="1" ref="AB214" ca="1">IFERROR(INDIRECT("$Z"&amp;AA214),"")</f>
        <v/>
      </c>
      <c r="AP214" t="str">
        <f t="shared" si="21"/>
        <v/>
      </c>
      <c r="AQ214" t="str">
        <f t="shared" si="22"/>
        <v/>
      </c>
      <c r="AR214" t="str">
        <f t="shared" si="23"/>
        <v/>
      </c>
      <c r="AS214" t="str">
        <f t="shared" si="24"/>
        <v/>
      </c>
    </row>
    <row r="215" spans="5:45" x14ac:dyDescent="0.25">
      <c r="E215" t="str">
        <f ca="1"/>
        <v/>
      </c>
      <c r="F215" t="str">
        <f ca="1"/>
        <v/>
      </c>
      <c r="P215" t="e" cm="1">
        <f t="array" ref="P215">INDEX($B$2:$D$40,MOD(ROW()-ROW($B$2),ROWS($B$2:$D$40))+1,INT((ROW()-ROW($B$2))/ROWS($B$2:$D$40))+1)</f>
        <v>#REF!</v>
      </c>
      <c r="Q215" t="e">
        <f t="shared" ca="1" si="25"/>
        <v>#N/A</v>
      </c>
      <c r="R215" t="str" cm="1">
        <f t="array" aca="1" ref="R215" ca="1">IFERROR(INDIRECT("$P"&amp;Q215),"")</f>
        <v/>
      </c>
      <c r="U215" t="e" cm="1">
        <f t="array" ref="U215">INDEX($C$2:$D$40,MOD(ROW()-ROW($C$2),ROWS($C$2:$D$40))+1,INT((ROW()-ROW($C$2))/ROWS($C$2:$D$40))+1)</f>
        <v>#REF!</v>
      </c>
      <c r="V215" t="e">
        <f t="shared" ca="1" si="26"/>
        <v>#N/A</v>
      </c>
      <c r="W215" t="str" cm="1">
        <f t="array" aca="1" ref="W215" ca="1">IFERROR(INDIRECT("$U"&amp;V215),"")</f>
        <v/>
      </c>
      <c r="Z215" cm="1">
        <f t="array" ref="Z215">INDEX($AE$2:$AS$40,MOD(ROW()-ROW($AE$2),ROWS($AE$2:$AS$40))+1,INT((ROW()-ROW($AE$2))/ROWS($AE$2:$AS$40))+1)</f>
        <v>0</v>
      </c>
      <c r="AA215">
        <f t="shared" ca="1" si="27"/>
        <v>519</v>
      </c>
      <c r="AB215" t="str" cm="1">
        <f t="array" aca="1" ref="AB215" ca="1">IFERROR(INDIRECT("$Z"&amp;AA215),"")</f>
        <v/>
      </c>
      <c r="AP215" t="str">
        <f t="shared" si="21"/>
        <v/>
      </c>
      <c r="AQ215" t="str">
        <f t="shared" si="22"/>
        <v/>
      </c>
      <c r="AR215" t="str">
        <f t="shared" si="23"/>
        <v/>
      </c>
      <c r="AS215" t="str">
        <f t="shared" si="24"/>
        <v/>
      </c>
    </row>
    <row r="216" spans="5:45" x14ac:dyDescent="0.25">
      <c r="E216" t="str">
        <f ca="1"/>
        <v/>
      </c>
      <c r="F216" t="str">
        <f ca="1"/>
        <v/>
      </c>
      <c r="P216" t="e" cm="1">
        <f t="array" ref="P216">INDEX($B$2:$D$40,MOD(ROW()-ROW($B$2),ROWS($B$2:$D$40))+1,INT((ROW()-ROW($B$2))/ROWS($B$2:$D$40))+1)</f>
        <v>#REF!</v>
      </c>
      <c r="Q216" t="e">
        <f t="shared" ca="1" si="25"/>
        <v>#N/A</v>
      </c>
      <c r="R216" t="str" cm="1">
        <f t="array" aca="1" ref="R216" ca="1">IFERROR(INDIRECT("$P"&amp;Q216),"")</f>
        <v/>
      </c>
      <c r="U216" t="e" cm="1">
        <f t="array" ref="U216">INDEX($C$2:$D$40,MOD(ROW()-ROW($C$2),ROWS($C$2:$D$40))+1,INT((ROW()-ROW($C$2))/ROWS($C$2:$D$40))+1)</f>
        <v>#REF!</v>
      </c>
      <c r="V216" t="e">
        <f t="shared" ca="1" si="26"/>
        <v>#N/A</v>
      </c>
      <c r="W216" t="str" cm="1">
        <f t="array" aca="1" ref="W216" ca="1">IFERROR(INDIRECT("$U"&amp;V216),"")</f>
        <v/>
      </c>
      <c r="Z216" cm="1">
        <f t="array" ref="Z216">INDEX($AE$2:$AS$40,MOD(ROW()-ROW($AE$2),ROWS($AE$2:$AS$40))+1,INT((ROW()-ROW($AE$2))/ROWS($AE$2:$AS$40))+1)</f>
        <v>0</v>
      </c>
      <c r="AA216">
        <f t="shared" ca="1" si="27"/>
        <v>520</v>
      </c>
      <c r="AB216" t="str" cm="1">
        <f t="array" aca="1" ref="AB216" ca="1">IFERROR(INDIRECT("$Z"&amp;AA216),"")</f>
        <v/>
      </c>
      <c r="AP216" t="str">
        <f t="shared" si="21"/>
        <v/>
      </c>
      <c r="AQ216" t="str">
        <f t="shared" si="22"/>
        <v/>
      </c>
      <c r="AR216" t="str">
        <f t="shared" si="23"/>
        <v/>
      </c>
      <c r="AS216" t="str">
        <f t="shared" si="24"/>
        <v/>
      </c>
    </row>
    <row r="217" spans="5:45" x14ac:dyDescent="0.25">
      <c r="E217" t="str">
        <f ca="1"/>
        <v/>
      </c>
      <c r="F217" t="str">
        <f ca="1"/>
        <v/>
      </c>
      <c r="P217" t="e" cm="1">
        <f t="array" ref="P217">INDEX($B$2:$D$40,MOD(ROW()-ROW($B$2),ROWS($B$2:$D$40))+1,INT((ROW()-ROW($B$2))/ROWS($B$2:$D$40))+1)</f>
        <v>#REF!</v>
      </c>
      <c r="Q217" t="e">
        <f t="shared" ca="1" si="25"/>
        <v>#N/A</v>
      </c>
      <c r="R217" t="str" cm="1">
        <f t="array" aca="1" ref="R217" ca="1">IFERROR(INDIRECT("$P"&amp;Q217),"")</f>
        <v/>
      </c>
      <c r="U217" t="e" cm="1">
        <f t="array" ref="U217">INDEX($C$2:$D$40,MOD(ROW()-ROW($C$2),ROWS($C$2:$D$40))+1,INT((ROW()-ROW($C$2))/ROWS($C$2:$D$40))+1)</f>
        <v>#REF!</v>
      </c>
      <c r="V217" t="e">
        <f t="shared" ca="1" si="26"/>
        <v>#N/A</v>
      </c>
      <c r="W217" t="str" cm="1">
        <f t="array" aca="1" ref="W217" ca="1">IFERROR(INDIRECT("$U"&amp;V217),"")</f>
        <v/>
      </c>
      <c r="Z217" cm="1">
        <f t="array" ref="Z217">INDEX($AE$2:$AS$40,MOD(ROW()-ROW($AE$2),ROWS($AE$2:$AS$40))+1,INT((ROW()-ROW($AE$2))/ROWS($AE$2:$AS$40))+1)</f>
        <v>0</v>
      </c>
      <c r="AA217">
        <f t="shared" ca="1" si="27"/>
        <v>521</v>
      </c>
      <c r="AB217" t="str" cm="1">
        <f t="array" aca="1" ref="AB217" ca="1">IFERROR(INDIRECT("$Z"&amp;AA217),"")</f>
        <v/>
      </c>
      <c r="AP217" t="str">
        <f t="shared" si="21"/>
        <v/>
      </c>
      <c r="AQ217" t="str">
        <f t="shared" si="22"/>
        <v/>
      </c>
      <c r="AR217" t="str">
        <f t="shared" si="23"/>
        <v/>
      </c>
      <c r="AS217" t="str">
        <f t="shared" si="24"/>
        <v/>
      </c>
    </row>
    <row r="218" spans="5:45" x14ac:dyDescent="0.25">
      <c r="E218" t="str">
        <f ca="1"/>
        <v/>
      </c>
      <c r="F218" t="str">
        <f ca="1"/>
        <v/>
      </c>
      <c r="P218" t="e" cm="1">
        <f t="array" ref="P218">INDEX($B$2:$D$40,MOD(ROW()-ROW($B$2),ROWS($B$2:$D$40))+1,INT((ROW()-ROW($B$2))/ROWS($B$2:$D$40))+1)</f>
        <v>#REF!</v>
      </c>
      <c r="Q218" t="e">
        <f t="shared" ca="1" si="25"/>
        <v>#N/A</v>
      </c>
      <c r="R218" t="str" cm="1">
        <f t="array" aca="1" ref="R218" ca="1">IFERROR(INDIRECT("$P"&amp;Q218),"")</f>
        <v/>
      </c>
      <c r="U218" t="e" cm="1">
        <f t="array" ref="U218">INDEX($C$2:$D$40,MOD(ROW()-ROW($C$2),ROWS($C$2:$D$40))+1,INT((ROW()-ROW($C$2))/ROWS($C$2:$D$40))+1)</f>
        <v>#REF!</v>
      </c>
      <c r="V218" t="e">
        <f t="shared" ca="1" si="26"/>
        <v>#N/A</v>
      </c>
      <c r="W218" t="str" cm="1">
        <f t="array" aca="1" ref="W218" ca="1">IFERROR(INDIRECT("$U"&amp;V218),"")</f>
        <v/>
      </c>
      <c r="Z218" cm="1">
        <f t="array" ref="Z218">INDEX($AE$2:$AS$40,MOD(ROW()-ROW($AE$2),ROWS($AE$2:$AS$40))+1,INT((ROW()-ROW($AE$2))/ROWS($AE$2:$AS$40))+1)</f>
        <v>0</v>
      </c>
      <c r="AA218">
        <f t="shared" ca="1" si="27"/>
        <v>522</v>
      </c>
      <c r="AB218" t="str" cm="1">
        <f t="array" aca="1" ref="AB218" ca="1">IFERROR(INDIRECT("$Z"&amp;AA218),"")</f>
        <v/>
      </c>
      <c r="AP218" t="str">
        <f t="shared" si="21"/>
        <v/>
      </c>
      <c r="AQ218" t="str">
        <f t="shared" si="22"/>
        <v/>
      </c>
      <c r="AR218" t="str">
        <f t="shared" si="23"/>
        <v/>
      </c>
      <c r="AS218" t="str">
        <f t="shared" si="24"/>
        <v/>
      </c>
    </row>
    <row r="219" spans="5:45" x14ac:dyDescent="0.25">
      <c r="E219" t="str">
        <f ca="1"/>
        <v/>
      </c>
      <c r="F219" t="str">
        <f ca="1"/>
        <v/>
      </c>
      <c r="P219" t="e" cm="1">
        <f t="array" ref="P219">INDEX($B$2:$D$40,MOD(ROW()-ROW($B$2),ROWS($B$2:$D$40))+1,INT((ROW()-ROW($B$2))/ROWS($B$2:$D$40))+1)</f>
        <v>#REF!</v>
      </c>
      <c r="Q219" t="e">
        <f t="shared" ca="1" si="25"/>
        <v>#N/A</v>
      </c>
      <c r="R219" t="str" cm="1">
        <f t="array" aca="1" ref="R219" ca="1">IFERROR(INDIRECT("$P"&amp;Q219),"")</f>
        <v/>
      </c>
      <c r="U219" t="e" cm="1">
        <f t="array" ref="U219">INDEX($C$2:$D$40,MOD(ROW()-ROW($C$2),ROWS($C$2:$D$40))+1,INT((ROW()-ROW($C$2))/ROWS($C$2:$D$40))+1)</f>
        <v>#REF!</v>
      </c>
      <c r="V219" t="e">
        <f t="shared" ca="1" si="26"/>
        <v>#N/A</v>
      </c>
      <c r="W219" t="str" cm="1">
        <f t="array" aca="1" ref="W219" ca="1">IFERROR(INDIRECT("$U"&amp;V219),"")</f>
        <v/>
      </c>
      <c r="Z219" cm="1">
        <f t="array" ref="Z219">INDEX($AE$2:$AS$40,MOD(ROW()-ROW($AE$2),ROWS($AE$2:$AS$40))+1,INT((ROW()-ROW($AE$2))/ROWS($AE$2:$AS$40))+1)</f>
        <v>0</v>
      </c>
      <c r="AA219">
        <f t="shared" ca="1" si="27"/>
        <v>523</v>
      </c>
      <c r="AB219" t="str" cm="1">
        <f t="array" aca="1" ref="AB219" ca="1">IFERROR(INDIRECT("$Z"&amp;AA219),"")</f>
        <v/>
      </c>
      <c r="AP219" t="str">
        <f t="shared" si="21"/>
        <v/>
      </c>
      <c r="AQ219" t="str">
        <f t="shared" si="22"/>
        <v/>
      </c>
      <c r="AR219" t="str">
        <f t="shared" si="23"/>
        <v/>
      </c>
      <c r="AS219" t="str">
        <f t="shared" si="24"/>
        <v/>
      </c>
    </row>
    <row r="220" spans="5:45" x14ac:dyDescent="0.25">
      <c r="E220" t="str">
        <f ca="1"/>
        <v/>
      </c>
      <c r="F220" t="str">
        <f ca="1"/>
        <v/>
      </c>
      <c r="P220" t="e" cm="1">
        <f t="array" ref="P220">INDEX($B$2:$D$40,MOD(ROW()-ROW($B$2),ROWS($B$2:$D$40))+1,INT((ROW()-ROW($B$2))/ROWS($B$2:$D$40))+1)</f>
        <v>#REF!</v>
      </c>
      <c r="Q220" t="e">
        <f t="shared" ca="1" si="25"/>
        <v>#N/A</v>
      </c>
      <c r="R220" t="str" cm="1">
        <f t="array" aca="1" ref="R220" ca="1">IFERROR(INDIRECT("$P"&amp;Q220),"")</f>
        <v/>
      </c>
      <c r="U220" t="e" cm="1">
        <f t="array" ref="U220">INDEX($C$2:$D$40,MOD(ROW()-ROW($C$2),ROWS($C$2:$D$40))+1,INT((ROW()-ROW($C$2))/ROWS($C$2:$D$40))+1)</f>
        <v>#REF!</v>
      </c>
      <c r="V220" t="e">
        <f t="shared" ca="1" si="26"/>
        <v>#N/A</v>
      </c>
      <c r="W220" t="str" cm="1">
        <f t="array" aca="1" ref="W220" ca="1">IFERROR(INDIRECT("$U"&amp;V220),"")</f>
        <v/>
      </c>
      <c r="Z220" cm="1">
        <f t="array" ref="Z220">INDEX($AE$2:$AS$40,MOD(ROW()-ROW($AE$2),ROWS($AE$2:$AS$40))+1,INT((ROW()-ROW($AE$2))/ROWS($AE$2:$AS$40))+1)</f>
        <v>0</v>
      </c>
      <c r="AA220">
        <f t="shared" ca="1" si="27"/>
        <v>524</v>
      </c>
      <c r="AB220" t="str" cm="1">
        <f t="array" aca="1" ref="AB220" ca="1">IFERROR(INDIRECT("$Z"&amp;AA220),"")</f>
        <v/>
      </c>
      <c r="AP220" t="str">
        <f t="shared" si="21"/>
        <v/>
      </c>
      <c r="AQ220" t="str">
        <f t="shared" si="22"/>
        <v/>
      </c>
      <c r="AR220" t="str">
        <f t="shared" si="23"/>
        <v/>
      </c>
      <c r="AS220" t="str">
        <f t="shared" si="24"/>
        <v/>
      </c>
    </row>
    <row r="221" spans="5:45" x14ac:dyDescent="0.25">
      <c r="E221" t="str">
        <f ca="1"/>
        <v/>
      </c>
      <c r="F221" t="str">
        <f ca="1"/>
        <v/>
      </c>
      <c r="P221" t="e" cm="1">
        <f t="array" ref="P221">INDEX($B$2:$D$40,MOD(ROW()-ROW($B$2),ROWS($B$2:$D$40))+1,INT((ROW()-ROW($B$2))/ROWS($B$2:$D$40))+1)</f>
        <v>#REF!</v>
      </c>
      <c r="Q221" t="e">
        <f t="shared" ca="1" si="25"/>
        <v>#N/A</v>
      </c>
      <c r="R221" t="str" cm="1">
        <f t="array" aca="1" ref="R221" ca="1">IFERROR(INDIRECT("$P"&amp;Q221),"")</f>
        <v/>
      </c>
      <c r="U221" t="e" cm="1">
        <f t="array" ref="U221">INDEX($C$2:$D$40,MOD(ROW()-ROW($C$2),ROWS($C$2:$D$40))+1,INT((ROW()-ROW($C$2))/ROWS($C$2:$D$40))+1)</f>
        <v>#REF!</v>
      </c>
      <c r="V221" t="e">
        <f t="shared" ca="1" si="26"/>
        <v>#N/A</v>
      </c>
      <c r="W221" t="str" cm="1">
        <f t="array" aca="1" ref="W221" ca="1">IFERROR(INDIRECT("$U"&amp;V221),"")</f>
        <v/>
      </c>
      <c r="Z221" cm="1">
        <f t="array" ref="Z221">INDEX($AE$2:$AS$40,MOD(ROW()-ROW($AE$2),ROWS($AE$2:$AS$40))+1,INT((ROW()-ROW($AE$2))/ROWS($AE$2:$AS$40))+1)</f>
        <v>0</v>
      </c>
      <c r="AA221">
        <f t="shared" ca="1" si="27"/>
        <v>525</v>
      </c>
      <c r="AB221" t="str" cm="1">
        <f t="array" aca="1" ref="AB221" ca="1">IFERROR(INDIRECT("$Z"&amp;AA221),"")</f>
        <v/>
      </c>
      <c r="AP221" t="str">
        <f t="shared" si="21"/>
        <v/>
      </c>
      <c r="AQ221" t="str">
        <f t="shared" si="22"/>
        <v/>
      </c>
      <c r="AR221" t="str">
        <f t="shared" si="23"/>
        <v/>
      </c>
      <c r="AS221" t="str">
        <f t="shared" si="24"/>
        <v/>
      </c>
    </row>
    <row r="222" spans="5:45" x14ac:dyDescent="0.25">
      <c r="E222" t="str">
        <f ca="1"/>
        <v/>
      </c>
      <c r="F222" t="str">
        <f ca="1"/>
        <v/>
      </c>
      <c r="P222" t="e" cm="1">
        <f t="array" ref="P222">INDEX($B$2:$D$40,MOD(ROW()-ROW($B$2),ROWS($B$2:$D$40))+1,INT((ROW()-ROW($B$2))/ROWS($B$2:$D$40))+1)</f>
        <v>#REF!</v>
      </c>
      <c r="Q222" t="e">
        <f t="shared" ca="1" si="25"/>
        <v>#N/A</v>
      </c>
      <c r="R222" t="str" cm="1">
        <f t="array" aca="1" ref="R222" ca="1">IFERROR(INDIRECT("$P"&amp;Q222),"")</f>
        <v/>
      </c>
      <c r="U222" t="e" cm="1">
        <f t="array" ref="U222">INDEX($C$2:$D$40,MOD(ROW()-ROW($C$2),ROWS($C$2:$D$40))+1,INT((ROW()-ROW($C$2))/ROWS($C$2:$D$40))+1)</f>
        <v>#REF!</v>
      </c>
      <c r="V222" t="e">
        <f t="shared" ca="1" si="26"/>
        <v>#N/A</v>
      </c>
      <c r="W222" t="str" cm="1">
        <f t="array" aca="1" ref="W222" ca="1">IFERROR(INDIRECT("$U"&amp;V222),"")</f>
        <v/>
      </c>
      <c r="Z222" cm="1">
        <f t="array" ref="Z222">INDEX($AE$2:$AS$40,MOD(ROW()-ROW($AE$2),ROWS($AE$2:$AS$40))+1,INT((ROW()-ROW($AE$2))/ROWS($AE$2:$AS$40))+1)</f>
        <v>0</v>
      </c>
      <c r="AA222">
        <f t="shared" ca="1" si="27"/>
        <v>526</v>
      </c>
      <c r="AB222" t="str" cm="1">
        <f t="array" aca="1" ref="AB222" ca="1">IFERROR(INDIRECT("$Z"&amp;AA222),"")</f>
        <v/>
      </c>
      <c r="AP222" t="str">
        <f t="shared" si="21"/>
        <v/>
      </c>
      <c r="AQ222" t="str">
        <f t="shared" si="22"/>
        <v/>
      </c>
      <c r="AR222" t="str">
        <f t="shared" si="23"/>
        <v/>
      </c>
      <c r="AS222" t="str">
        <f t="shared" si="24"/>
        <v/>
      </c>
    </row>
    <row r="223" spans="5:45" x14ac:dyDescent="0.25">
      <c r="E223" t="str">
        <f ca="1"/>
        <v/>
      </c>
      <c r="F223" t="str">
        <f ca="1"/>
        <v/>
      </c>
      <c r="P223" t="e" cm="1">
        <f t="array" ref="P223">INDEX($B$2:$D$40,MOD(ROW()-ROW($B$2),ROWS($B$2:$D$40))+1,INT((ROW()-ROW($B$2))/ROWS($B$2:$D$40))+1)</f>
        <v>#REF!</v>
      </c>
      <c r="Q223" t="e">
        <f t="shared" ca="1" si="25"/>
        <v>#N/A</v>
      </c>
      <c r="R223" t="str" cm="1">
        <f t="array" aca="1" ref="R223" ca="1">IFERROR(INDIRECT("$P"&amp;Q223),"")</f>
        <v/>
      </c>
      <c r="U223" t="e" cm="1">
        <f t="array" ref="U223">INDEX($C$2:$D$40,MOD(ROW()-ROW($C$2),ROWS($C$2:$D$40))+1,INT((ROW()-ROW($C$2))/ROWS($C$2:$D$40))+1)</f>
        <v>#REF!</v>
      </c>
      <c r="V223" t="e">
        <f t="shared" ca="1" si="26"/>
        <v>#N/A</v>
      </c>
      <c r="W223" t="str" cm="1">
        <f t="array" aca="1" ref="W223" ca="1">IFERROR(INDIRECT("$U"&amp;V223),"")</f>
        <v/>
      </c>
      <c r="Z223" cm="1">
        <f t="array" ref="Z223">INDEX($AE$2:$AS$40,MOD(ROW()-ROW($AE$2),ROWS($AE$2:$AS$40))+1,INT((ROW()-ROW($AE$2))/ROWS($AE$2:$AS$40))+1)</f>
        <v>0</v>
      </c>
      <c r="AA223">
        <f t="shared" ca="1" si="27"/>
        <v>527</v>
      </c>
      <c r="AB223" t="str" cm="1">
        <f t="array" aca="1" ref="AB223" ca="1">IFERROR(INDIRECT("$Z"&amp;AA223),"")</f>
        <v/>
      </c>
      <c r="AP223" t="str">
        <f t="shared" si="21"/>
        <v/>
      </c>
      <c r="AQ223" t="str">
        <f t="shared" si="22"/>
        <v/>
      </c>
      <c r="AR223" t="str">
        <f t="shared" si="23"/>
        <v/>
      </c>
      <c r="AS223" t="str">
        <f t="shared" si="24"/>
        <v/>
      </c>
    </row>
    <row r="224" spans="5:45" x14ac:dyDescent="0.25">
      <c r="E224" t="str">
        <f ca="1"/>
        <v/>
      </c>
      <c r="F224" t="str">
        <f ca="1"/>
        <v/>
      </c>
      <c r="P224" t="e" cm="1">
        <f t="array" ref="P224">INDEX($B$2:$D$40,MOD(ROW()-ROW($B$2),ROWS($B$2:$D$40))+1,INT((ROW()-ROW($B$2))/ROWS($B$2:$D$40))+1)</f>
        <v>#REF!</v>
      </c>
      <c r="Q224" t="e">
        <f t="shared" ca="1" si="25"/>
        <v>#N/A</v>
      </c>
      <c r="R224" t="str" cm="1">
        <f t="array" aca="1" ref="R224" ca="1">IFERROR(INDIRECT("$P"&amp;Q224),"")</f>
        <v/>
      </c>
      <c r="U224" t="e" cm="1">
        <f t="array" ref="U224">INDEX($C$2:$D$40,MOD(ROW()-ROW($C$2),ROWS($C$2:$D$40))+1,INT((ROW()-ROW($C$2))/ROWS($C$2:$D$40))+1)</f>
        <v>#REF!</v>
      </c>
      <c r="V224" t="e">
        <f t="shared" ca="1" si="26"/>
        <v>#N/A</v>
      </c>
      <c r="W224" t="str" cm="1">
        <f t="array" aca="1" ref="W224" ca="1">IFERROR(INDIRECT("$U"&amp;V224),"")</f>
        <v/>
      </c>
      <c r="Z224" cm="1">
        <f t="array" ref="Z224">INDEX($AE$2:$AS$40,MOD(ROW()-ROW($AE$2),ROWS($AE$2:$AS$40))+1,INT((ROW()-ROW($AE$2))/ROWS($AE$2:$AS$40))+1)</f>
        <v>0</v>
      </c>
      <c r="AA224">
        <f t="shared" ca="1" si="27"/>
        <v>528</v>
      </c>
      <c r="AB224" t="str" cm="1">
        <f t="array" aca="1" ref="AB224" ca="1">IFERROR(INDIRECT("$Z"&amp;AA224),"")</f>
        <v/>
      </c>
      <c r="AP224" t="str">
        <f t="shared" si="21"/>
        <v/>
      </c>
      <c r="AQ224" t="str">
        <f t="shared" si="22"/>
        <v/>
      </c>
      <c r="AR224" t="str">
        <f t="shared" si="23"/>
        <v/>
      </c>
      <c r="AS224" t="str">
        <f t="shared" si="24"/>
        <v/>
      </c>
    </row>
    <row r="225" spans="5:45" x14ac:dyDescent="0.25">
      <c r="E225" t="str">
        <f ca="1"/>
        <v/>
      </c>
      <c r="F225" t="str">
        <f ca="1"/>
        <v/>
      </c>
      <c r="P225" t="e" cm="1">
        <f t="array" ref="P225">INDEX($B$2:$D$40,MOD(ROW()-ROW($B$2),ROWS($B$2:$D$40))+1,INT((ROW()-ROW($B$2))/ROWS($B$2:$D$40))+1)</f>
        <v>#REF!</v>
      </c>
      <c r="Q225" t="e">
        <f t="shared" ca="1" si="25"/>
        <v>#N/A</v>
      </c>
      <c r="R225" t="str" cm="1">
        <f t="array" aca="1" ref="R225" ca="1">IFERROR(INDIRECT("$P"&amp;Q225),"")</f>
        <v/>
      </c>
      <c r="U225" t="e" cm="1">
        <f t="array" ref="U225">INDEX($C$2:$D$40,MOD(ROW()-ROW($C$2),ROWS($C$2:$D$40))+1,INT((ROW()-ROW($C$2))/ROWS($C$2:$D$40))+1)</f>
        <v>#REF!</v>
      </c>
      <c r="V225" t="e">
        <f t="shared" ca="1" si="26"/>
        <v>#N/A</v>
      </c>
      <c r="W225" t="str" cm="1">
        <f t="array" aca="1" ref="W225" ca="1">IFERROR(INDIRECT("$U"&amp;V225),"")</f>
        <v/>
      </c>
      <c r="Z225" cm="1">
        <f t="array" ref="Z225">INDEX($AE$2:$AS$40,MOD(ROW()-ROW($AE$2),ROWS($AE$2:$AS$40))+1,INT((ROW()-ROW($AE$2))/ROWS($AE$2:$AS$40))+1)</f>
        <v>0</v>
      </c>
      <c r="AA225">
        <f t="shared" ca="1" si="27"/>
        <v>529</v>
      </c>
      <c r="AB225" t="str" cm="1">
        <f t="array" aca="1" ref="AB225" ca="1">IFERROR(INDIRECT("$Z"&amp;AA225),"")</f>
        <v/>
      </c>
      <c r="AP225" t="str">
        <f t="shared" si="21"/>
        <v/>
      </c>
      <c r="AQ225" t="str">
        <f t="shared" si="22"/>
        <v/>
      </c>
      <c r="AR225" t="str">
        <f t="shared" si="23"/>
        <v/>
      </c>
      <c r="AS225" t="str">
        <f t="shared" si="24"/>
        <v/>
      </c>
    </row>
    <row r="226" spans="5:45" x14ac:dyDescent="0.25">
      <c r="E226" t="str">
        <f ca="1"/>
        <v/>
      </c>
      <c r="F226" t="str">
        <f ca="1"/>
        <v/>
      </c>
      <c r="P226" t="e" cm="1">
        <f t="array" ref="P226">INDEX($B$2:$D$40,MOD(ROW()-ROW($B$2),ROWS($B$2:$D$40))+1,INT((ROW()-ROW($B$2))/ROWS($B$2:$D$40))+1)</f>
        <v>#REF!</v>
      </c>
      <c r="Q226" t="e">
        <f t="shared" ca="1" si="25"/>
        <v>#N/A</v>
      </c>
      <c r="R226" t="str" cm="1">
        <f t="array" aca="1" ref="R226" ca="1">IFERROR(INDIRECT("$P"&amp;Q226),"")</f>
        <v/>
      </c>
      <c r="U226" t="e" cm="1">
        <f t="array" ref="U226">INDEX($C$2:$D$40,MOD(ROW()-ROW($C$2),ROWS($C$2:$D$40))+1,INT((ROW()-ROW($C$2))/ROWS($C$2:$D$40))+1)</f>
        <v>#REF!</v>
      </c>
      <c r="V226" t="e">
        <f t="shared" ca="1" si="26"/>
        <v>#N/A</v>
      </c>
      <c r="W226" t="str" cm="1">
        <f t="array" aca="1" ref="W226" ca="1">IFERROR(INDIRECT("$U"&amp;V226),"")</f>
        <v/>
      </c>
      <c r="Z226" cm="1">
        <f t="array" ref="Z226">INDEX($AE$2:$AS$40,MOD(ROW()-ROW($AE$2),ROWS($AE$2:$AS$40))+1,INT((ROW()-ROW($AE$2))/ROWS($AE$2:$AS$40))+1)</f>
        <v>0</v>
      </c>
      <c r="AA226">
        <f t="shared" ca="1" si="27"/>
        <v>530</v>
      </c>
      <c r="AB226" t="str" cm="1">
        <f t="array" aca="1" ref="AB226" ca="1">IFERROR(INDIRECT("$Z"&amp;AA226),"")</f>
        <v/>
      </c>
      <c r="AP226" t="str">
        <f t="shared" si="21"/>
        <v/>
      </c>
      <c r="AQ226" t="str">
        <f t="shared" si="22"/>
        <v/>
      </c>
      <c r="AR226" t="str">
        <f t="shared" si="23"/>
        <v/>
      </c>
      <c r="AS226" t="str">
        <f t="shared" si="24"/>
        <v/>
      </c>
    </row>
    <row r="227" spans="5:45" x14ac:dyDescent="0.25">
      <c r="E227" t="str">
        <f ca="1"/>
        <v/>
      </c>
      <c r="F227" t="str">
        <f ca="1"/>
        <v/>
      </c>
      <c r="P227" t="e" cm="1">
        <f t="array" ref="P227">INDEX($B$2:$D$40,MOD(ROW()-ROW($B$2),ROWS($B$2:$D$40))+1,INT((ROW()-ROW($B$2))/ROWS($B$2:$D$40))+1)</f>
        <v>#REF!</v>
      </c>
      <c r="Q227" t="e">
        <f t="shared" ca="1" si="25"/>
        <v>#N/A</v>
      </c>
      <c r="R227" t="str" cm="1">
        <f t="array" aca="1" ref="R227" ca="1">IFERROR(INDIRECT("$P"&amp;Q227),"")</f>
        <v/>
      </c>
      <c r="U227" t="e" cm="1">
        <f t="array" ref="U227">INDEX($C$2:$D$40,MOD(ROW()-ROW($C$2),ROWS($C$2:$D$40))+1,INT((ROW()-ROW($C$2))/ROWS($C$2:$D$40))+1)</f>
        <v>#REF!</v>
      </c>
      <c r="V227" t="e">
        <f t="shared" ca="1" si="26"/>
        <v>#N/A</v>
      </c>
      <c r="W227" t="str" cm="1">
        <f t="array" aca="1" ref="W227" ca="1">IFERROR(INDIRECT("$U"&amp;V227),"")</f>
        <v/>
      </c>
      <c r="Z227" cm="1">
        <f t="array" ref="Z227">INDEX($AE$2:$AS$40,MOD(ROW()-ROW($AE$2),ROWS($AE$2:$AS$40))+1,INT((ROW()-ROW($AE$2))/ROWS($AE$2:$AS$40))+1)</f>
        <v>0</v>
      </c>
      <c r="AA227">
        <f t="shared" ca="1" si="27"/>
        <v>531</v>
      </c>
      <c r="AB227" t="str" cm="1">
        <f t="array" aca="1" ref="AB227" ca="1">IFERROR(INDIRECT("$Z"&amp;AA227),"")</f>
        <v/>
      </c>
      <c r="AP227" t="str">
        <f t="shared" si="21"/>
        <v/>
      </c>
      <c r="AQ227" t="str">
        <f t="shared" si="22"/>
        <v/>
      </c>
      <c r="AR227" t="str">
        <f t="shared" si="23"/>
        <v/>
      </c>
      <c r="AS227" t="str">
        <f t="shared" si="24"/>
        <v/>
      </c>
    </row>
    <row r="228" spans="5:45" x14ac:dyDescent="0.25">
      <c r="E228" t="str">
        <f ca="1"/>
        <v/>
      </c>
      <c r="F228" t="str">
        <f ca="1"/>
        <v/>
      </c>
      <c r="P228" t="e" cm="1">
        <f t="array" ref="P228">INDEX($B$2:$D$40,MOD(ROW()-ROW($B$2),ROWS($B$2:$D$40))+1,INT((ROW()-ROW($B$2))/ROWS($B$2:$D$40))+1)</f>
        <v>#REF!</v>
      </c>
      <c r="Q228" t="e">
        <f t="shared" ca="1" si="25"/>
        <v>#N/A</v>
      </c>
      <c r="R228" t="str" cm="1">
        <f t="array" aca="1" ref="R228" ca="1">IFERROR(INDIRECT("$P"&amp;Q228),"")</f>
        <v/>
      </c>
      <c r="U228" t="e" cm="1">
        <f t="array" ref="U228">INDEX($C$2:$D$40,MOD(ROW()-ROW($C$2),ROWS($C$2:$D$40))+1,INT((ROW()-ROW($C$2))/ROWS($C$2:$D$40))+1)</f>
        <v>#REF!</v>
      </c>
      <c r="V228" t="e">
        <f t="shared" ca="1" si="26"/>
        <v>#N/A</v>
      </c>
      <c r="W228" t="str" cm="1">
        <f t="array" aca="1" ref="W228" ca="1">IFERROR(INDIRECT("$U"&amp;V228),"")</f>
        <v/>
      </c>
      <c r="Z228" cm="1">
        <f t="array" ref="Z228">INDEX($AE$2:$AS$40,MOD(ROW()-ROW($AE$2),ROWS($AE$2:$AS$40))+1,INT((ROW()-ROW($AE$2))/ROWS($AE$2:$AS$40))+1)</f>
        <v>0</v>
      </c>
      <c r="AA228">
        <f t="shared" ca="1" si="27"/>
        <v>532</v>
      </c>
      <c r="AB228" t="str" cm="1">
        <f t="array" aca="1" ref="AB228" ca="1">IFERROR(INDIRECT("$Z"&amp;AA228),"")</f>
        <v/>
      </c>
      <c r="AP228" t="str">
        <f t="shared" si="21"/>
        <v/>
      </c>
      <c r="AQ228" t="str">
        <f t="shared" si="22"/>
        <v/>
      </c>
      <c r="AR228" t="str">
        <f t="shared" si="23"/>
        <v/>
      </c>
      <c r="AS228" t="str">
        <f t="shared" si="24"/>
        <v/>
      </c>
    </row>
    <row r="229" spans="5:45" x14ac:dyDescent="0.25">
      <c r="E229" t="str">
        <f ca="1"/>
        <v/>
      </c>
      <c r="F229" t="str">
        <f ca="1"/>
        <v/>
      </c>
      <c r="P229" t="e" cm="1">
        <f t="array" ref="P229">INDEX($B$2:$D$40,MOD(ROW()-ROW($B$2),ROWS($B$2:$D$40))+1,INT((ROW()-ROW($B$2))/ROWS($B$2:$D$40))+1)</f>
        <v>#REF!</v>
      </c>
      <c r="Q229" t="e">
        <f t="shared" ca="1" si="25"/>
        <v>#N/A</v>
      </c>
      <c r="R229" t="str" cm="1">
        <f t="array" aca="1" ref="R229" ca="1">IFERROR(INDIRECT("$P"&amp;Q229),"")</f>
        <v/>
      </c>
      <c r="U229" t="e" cm="1">
        <f t="array" ref="U229">INDEX($C$2:$D$40,MOD(ROW()-ROW($C$2),ROWS($C$2:$D$40))+1,INT((ROW()-ROW($C$2))/ROWS($C$2:$D$40))+1)</f>
        <v>#REF!</v>
      </c>
      <c r="V229" t="e">
        <f t="shared" ca="1" si="26"/>
        <v>#N/A</v>
      </c>
      <c r="W229" t="str" cm="1">
        <f t="array" aca="1" ref="W229" ca="1">IFERROR(INDIRECT("$U"&amp;V229),"")</f>
        <v/>
      </c>
      <c r="Z229" cm="1">
        <f t="array" ref="Z229">INDEX($AE$2:$AS$40,MOD(ROW()-ROW($AE$2),ROWS($AE$2:$AS$40))+1,INT((ROW()-ROW($AE$2))/ROWS($AE$2:$AS$40))+1)</f>
        <v>0</v>
      </c>
      <c r="AA229">
        <f t="shared" ca="1" si="27"/>
        <v>533</v>
      </c>
      <c r="AB229" t="str" cm="1">
        <f t="array" aca="1" ref="AB229" ca="1">IFERROR(INDIRECT("$Z"&amp;AA229),"")</f>
        <v/>
      </c>
      <c r="AP229" t="str">
        <f t="shared" si="21"/>
        <v/>
      </c>
      <c r="AQ229" t="str">
        <f t="shared" si="22"/>
        <v/>
      </c>
      <c r="AR229" t="str">
        <f t="shared" si="23"/>
        <v/>
      </c>
      <c r="AS229" t="str">
        <f t="shared" si="24"/>
        <v/>
      </c>
    </row>
    <row r="230" spans="5:45" x14ac:dyDescent="0.25">
      <c r="E230" t="str">
        <f ca="1"/>
        <v/>
      </c>
      <c r="F230" t="str">
        <f ca="1"/>
        <v/>
      </c>
      <c r="P230" t="e" cm="1">
        <f t="array" ref="P230">INDEX($B$2:$D$40,MOD(ROW()-ROW($B$2),ROWS($B$2:$D$40))+1,INT((ROW()-ROW($B$2))/ROWS($B$2:$D$40))+1)</f>
        <v>#REF!</v>
      </c>
      <c r="Q230" t="e">
        <f t="shared" ca="1" si="25"/>
        <v>#N/A</v>
      </c>
      <c r="R230" t="str" cm="1">
        <f t="array" aca="1" ref="R230" ca="1">IFERROR(INDIRECT("$P"&amp;Q230),"")</f>
        <v/>
      </c>
      <c r="U230" t="e" cm="1">
        <f t="array" ref="U230">INDEX($C$2:$D$40,MOD(ROW()-ROW($C$2),ROWS($C$2:$D$40))+1,INT((ROW()-ROW($C$2))/ROWS($C$2:$D$40))+1)</f>
        <v>#REF!</v>
      </c>
      <c r="V230" t="e">
        <f t="shared" ca="1" si="26"/>
        <v>#N/A</v>
      </c>
      <c r="W230" t="str" cm="1">
        <f t="array" aca="1" ref="W230" ca="1">IFERROR(INDIRECT("$U"&amp;V230),"")</f>
        <v/>
      </c>
      <c r="Z230" cm="1">
        <f t="array" ref="Z230">INDEX($AE$2:$AS$40,MOD(ROW()-ROW($AE$2),ROWS($AE$2:$AS$40))+1,INT((ROW()-ROW($AE$2))/ROWS($AE$2:$AS$40))+1)</f>
        <v>0</v>
      </c>
      <c r="AA230">
        <f t="shared" ca="1" si="27"/>
        <v>534</v>
      </c>
      <c r="AB230" t="str" cm="1">
        <f t="array" aca="1" ref="AB230" ca="1">IFERROR(INDIRECT("$Z"&amp;AA230),"")</f>
        <v/>
      </c>
      <c r="AP230" t="str">
        <f t="shared" si="21"/>
        <v/>
      </c>
      <c r="AQ230" t="str">
        <f t="shared" si="22"/>
        <v/>
      </c>
      <c r="AR230" t="str">
        <f t="shared" si="23"/>
        <v/>
      </c>
      <c r="AS230" t="str">
        <f t="shared" si="24"/>
        <v/>
      </c>
    </row>
    <row r="231" spans="5:45" x14ac:dyDescent="0.25">
      <c r="E231" t="str">
        <f ca="1"/>
        <v/>
      </c>
      <c r="F231" t="str">
        <f ca="1"/>
        <v/>
      </c>
      <c r="P231" t="e" cm="1">
        <f t="array" ref="P231">INDEX($B$2:$D$40,MOD(ROW()-ROW($B$2),ROWS($B$2:$D$40))+1,INT((ROW()-ROW($B$2))/ROWS($B$2:$D$40))+1)</f>
        <v>#REF!</v>
      </c>
      <c r="Q231" t="e">
        <f t="shared" ca="1" si="25"/>
        <v>#N/A</v>
      </c>
      <c r="R231" t="str" cm="1">
        <f t="array" aca="1" ref="R231" ca="1">IFERROR(INDIRECT("$P"&amp;Q231),"")</f>
        <v/>
      </c>
      <c r="U231" t="e" cm="1">
        <f t="array" ref="U231">INDEX($C$2:$D$40,MOD(ROW()-ROW($C$2),ROWS($C$2:$D$40))+1,INT((ROW()-ROW($C$2))/ROWS($C$2:$D$40))+1)</f>
        <v>#REF!</v>
      </c>
      <c r="V231" t="e">
        <f t="shared" ca="1" si="26"/>
        <v>#N/A</v>
      </c>
      <c r="W231" t="str" cm="1">
        <f t="array" aca="1" ref="W231" ca="1">IFERROR(INDIRECT("$U"&amp;V231),"")</f>
        <v/>
      </c>
      <c r="Z231" cm="1">
        <f t="array" ref="Z231">INDEX($AE$2:$AS$40,MOD(ROW()-ROW($AE$2),ROWS($AE$2:$AS$40))+1,INT((ROW()-ROW($AE$2))/ROWS($AE$2:$AS$40))+1)</f>
        <v>0</v>
      </c>
      <c r="AA231">
        <f t="shared" ca="1" si="27"/>
        <v>535</v>
      </c>
      <c r="AB231" t="str" cm="1">
        <f t="array" aca="1" ref="AB231" ca="1">IFERROR(INDIRECT("$Z"&amp;AA231),"")</f>
        <v/>
      </c>
      <c r="AP231" t="str">
        <f t="shared" si="21"/>
        <v/>
      </c>
      <c r="AQ231" t="str">
        <f t="shared" si="22"/>
        <v/>
      </c>
      <c r="AR231" t="str">
        <f t="shared" si="23"/>
        <v/>
      </c>
      <c r="AS231" t="str">
        <f t="shared" si="24"/>
        <v/>
      </c>
    </row>
    <row r="232" spans="5:45" x14ac:dyDescent="0.25">
      <c r="E232" t="str">
        <f ca="1"/>
        <v/>
      </c>
      <c r="F232" t="str">
        <f ca="1"/>
        <v/>
      </c>
      <c r="P232" t="e" cm="1">
        <f t="array" ref="P232">INDEX($B$2:$D$40,MOD(ROW()-ROW($B$2),ROWS($B$2:$D$40))+1,INT((ROW()-ROW($B$2))/ROWS($B$2:$D$40))+1)</f>
        <v>#REF!</v>
      </c>
      <c r="Q232" t="e">
        <f t="shared" ca="1" si="25"/>
        <v>#N/A</v>
      </c>
      <c r="R232" t="str" cm="1">
        <f t="array" aca="1" ref="R232" ca="1">IFERROR(INDIRECT("$P"&amp;Q232),"")</f>
        <v/>
      </c>
      <c r="U232" t="e" cm="1">
        <f t="array" ref="U232">INDEX($C$2:$D$40,MOD(ROW()-ROW($C$2),ROWS($C$2:$D$40))+1,INT((ROW()-ROW($C$2))/ROWS($C$2:$D$40))+1)</f>
        <v>#REF!</v>
      </c>
      <c r="V232" t="e">
        <f t="shared" ca="1" si="26"/>
        <v>#N/A</v>
      </c>
      <c r="W232" t="str" cm="1">
        <f t="array" aca="1" ref="W232" ca="1">IFERROR(INDIRECT("$U"&amp;V232),"")</f>
        <v/>
      </c>
      <c r="Z232" cm="1">
        <f t="array" ref="Z232">INDEX($AE$2:$AS$40,MOD(ROW()-ROW($AE$2),ROWS($AE$2:$AS$40))+1,INT((ROW()-ROW($AE$2))/ROWS($AE$2:$AS$40))+1)</f>
        <v>0</v>
      </c>
      <c r="AA232">
        <f t="shared" ca="1" si="27"/>
        <v>536</v>
      </c>
      <c r="AB232" t="str" cm="1">
        <f t="array" aca="1" ref="AB232" ca="1">IFERROR(INDIRECT("$Z"&amp;AA232),"")</f>
        <v/>
      </c>
      <c r="AP232" t="str">
        <f t="shared" si="21"/>
        <v/>
      </c>
      <c r="AQ232" t="str">
        <f t="shared" si="22"/>
        <v/>
      </c>
      <c r="AR232" t="str">
        <f t="shared" si="23"/>
        <v/>
      </c>
      <c r="AS232" t="str">
        <f t="shared" si="24"/>
        <v/>
      </c>
    </row>
    <row r="233" spans="5:45" x14ac:dyDescent="0.25">
      <c r="E233" t="str">
        <f ca="1"/>
        <v/>
      </c>
      <c r="F233" t="str">
        <f ca="1"/>
        <v/>
      </c>
      <c r="P233" t="e" cm="1">
        <f t="array" ref="P233">INDEX($B$2:$D$40,MOD(ROW()-ROW($B$2),ROWS($B$2:$D$40))+1,INT((ROW()-ROW($B$2))/ROWS($B$2:$D$40))+1)</f>
        <v>#REF!</v>
      </c>
      <c r="Q233" t="e">
        <f t="shared" ca="1" si="25"/>
        <v>#N/A</v>
      </c>
      <c r="R233" t="str" cm="1">
        <f t="array" aca="1" ref="R233" ca="1">IFERROR(INDIRECT("$P"&amp;Q233),"")</f>
        <v/>
      </c>
      <c r="U233" t="e" cm="1">
        <f t="array" ref="U233">INDEX($C$2:$D$40,MOD(ROW()-ROW($C$2),ROWS($C$2:$D$40))+1,INT((ROW()-ROW($C$2))/ROWS($C$2:$D$40))+1)</f>
        <v>#REF!</v>
      </c>
      <c r="V233" t="e">
        <f t="shared" ca="1" si="26"/>
        <v>#N/A</v>
      </c>
      <c r="W233" t="str" cm="1">
        <f t="array" aca="1" ref="W233" ca="1">IFERROR(INDIRECT("$U"&amp;V233),"")</f>
        <v/>
      </c>
      <c r="Z233" cm="1">
        <f t="array" ref="Z233">INDEX($AE$2:$AS$40,MOD(ROW()-ROW($AE$2),ROWS($AE$2:$AS$40))+1,INT((ROW()-ROW($AE$2))/ROWS($AE$2:$AS$40))+1)</f>
        <v>0</v>
      </c>
      <c r="AA233">
        <f t="shared" ca="1" si="27"/>
        <v>537</v>
      </c>
      <c r="AB233" t="str" cm="1">
        <f t="array" aca="1" ref="AB233" ca="1">IFERROR(INDIRECT("$Z"&amp;AA233),"")</f>
        <v/>
      </c>
      <c r="AP233" t="str">
        <f t="shared" si="21"/>
        <v/>
      </c>
      <c r="AQ233" t="str">
        <f t="shared" si="22"/>
        <v/>
      </c>
      <c r="AR233" t="str">
        <f t="shared" si="23"/>
        <v/>
      </c>
      <c r="AS233" t="str">
        <f t="shared" si="24"/>
        <v/>
      </c>
    </row>
    <row r="234" spans="5:45" x14ac:dyDescent="0.25">
      <c r="E234" t="str">
        <f ca="1"/>
        <v/>
      </c>
      <c r="F234" t="str">
        <f ca="1"/>
        <v/>
      </c>
      <c r="P234" t="e" cm="1">
        <f t="array" ref="P234">INDEX($B$2:$D$40,MOD(ROW()-ROW($B$2),ROWS($B$2:$D$40))+1,INT((ROW()-ROW($B$2))/ROWS($B$2:$D$40))+1)</f>
        <v>#REF!</v>
      </c>
      <c r="Q234" t="e">
        <f t="shared" ca="1" si="25"/>
        <v>#N/A</v>
      </c>
      <c r="R234" t="str" cm="1">
        <f t="array" aca="1" ref="R234" ca="1">IFERROR(INDIRECT("$P"&amp;Q234),"")</f>
        <v/>
      </c>
      <c r="U234" t="e" cm="1">
        <f t="array" ref="U234">INDEX($C$2:$D$40,MOD(ROW()-ROW($C$2),ROWS($C$2:$D$40))+1,INT((ROW()-ROW($C$2))/ROWS($C$2:$D$40))+1)</f>
        <v>#REF!</v>
      </c>
      <c r="V234" t="e">
        <f t="shared" ca="1" si="26"/>
        <v>#N/A</v>
      </c>
      <c r="W234" t="str" cm="1">
        <f t="array" aca="1" ref="W234" ca="1">IFERROR(INDIRECT("$U"&amp;V234),"")</f>
        <v/>
      </c>
      <c r="Z234" cm="1">
        <f t="array" ref="Z234">INDEX($AE$2:$AS$40,MOD(ROW()-ROW($AE$2),ROWS($AE$2:$AS$40))+1,INT((ROW()-ROW($AE$2))/ROWS($AE$2:$AS$40))+1)</f>
        <v>0</v>
      </c>
      <c r="AA234">
        <f t="shared" ca="1" si="27"/>
        <v>538</v>
      </c>
      <c r="AB234" t="str" cm="1">
        <f t="array" aca="1" ref="AB234" ca="1">IFERROR(INDIRECT("$Z"&amp;AA234),"")</f>
        <v/>
      </c>
      <c r="AP234" t="str">
        <f t="shared" si="21"/>
        <v/>
      </c>
      <c r="AQ234" t="str">
        <f t="shared" si="22"/>
        <v/>
      </c>
      <c r="AR234" t="str">
        <f t="shared" si="23"/>
        <v/>
      </c>
      <c r="AS234" t="str">
        <f t="shared" si="24"/>
        <v/>
      </c>
    </row>
    <row r="235" spans="5:45" x14ac:dyDescent="0.25">
      <c r="E235" t="str">
        <f ca="1"/>
        <v/>
      </c>
      <c r="F235" t="str">
        <f ca="1"/>
        <v/>
      </c>
      <c r="P235" t="e" cm="1">
        <f t="array" ref="P235">INDEX($B$2:$D$40,MOD(ROW()-ROW($B$2),ROWS($B$2:$D$40))+1,INT((ROW()-ROW($B$2))/ROWS($B$2:$D$40))+1)</f>
        <v>#REF!</v>
      </c>
      <c r="Q235" t="e">
        <f t="shared" ca="1" si="25"/>
        <v>#N/A</v>
      </c>
      <c r="R235" t="str" cm="1">
        <f t="array" aca="1" ref="R235" ca="1">IFERROR(INDIRECT("$P"&amp;Q235),"")</f>
        <v/>
      </c>
      <c r="U235" t="e" cm="1">
        <f t="array" ref="U235">INDEX($C$2:$D$40,MOD(ROW()-ROW($C$2),ROWS($C$2:$D$40))+1,INT((ROW()-ROW($C$2))/ROWS($C$2:$D$40))+1)</f>
        <v>#REF!</v>
      </c>
      <c r="V235" t="e">
        <f t="shared" ca="1" si="26"/>
        <v>#N/A</v>
      </c>
      <c r="W235" t="str" cm="1">
        <f t="array" aca="1" ref="W235" ca="1">IFERROR(INDIRECT("$U"&amp;V235),"")</f>
        <v/>
      </c>
      <c r="Z235" cm="1">
        <f t="array" ref="Z235">INDEX($AE$2:$AS$40,MOD(ROW()-ROW($AE$2),ROWS($AE$2:$AS$40))+1,INT((ROW()-ROW($AE$2))/ROWS($AE$2:$AS$40))+1)</f>
        <v>0</v>
      </c>
      <c r="AA235">
        <f t="shared" ca="1" si="27"/>
        <v>539</v>
      </c>
      <c r="AB235" t="str" cm="1">
        <f t="array" aca="1" ref="AB235" ca="1">IFERROR(INDIRECT("$Z"&amp;AA235),"")</f>
        <v/>
      </c>
      <c r="AP235" t="str">
        <f t="shared" si="21"/>
        <v/>
      </c>
      <c r="AQ235" t="str">
        <f t="shared" si="22"/>
        <v/>
      </c>
      <c r="AR235" t="str">
        <f t="shared" si="23"/>
        <v/>
      </c>
      <c r="AS235" t="str">
        <f t="shared" si="24"/>
        <v/>
      </c>
    </row>
    <row r="236" spans="5:45" x14ac:dyDescent="0.25">
      <c r="E236" t="str">
        <f ca="1"/>
        <v/>
      </c>
      <c r="F236" t="str">
        <f ca="1"/>
        <v/>
      </c>
      <c r="P236" t="e" cm="1">
        <f t="array" ref="P236">INDEX($B$2:$D$40,MOD(ROW()-ROW($B$2),ROWS($B$2:$D$40))+1,INT((ROW()-ROW($B$2))/ROWS($B$2:$D$40))+1)</f>
        <v>#REF!</v>
      </c>
      <c r="Q236" t="e">
        <f t="shared" ca="1" si="25"/>
        <v>#N/A</v>
      </c>
      <c r="R236" t="str" cm="1">
        <f t="array" aca="1" ref="R236" ca="1">IFERROR(INDIRECT("$P"&amp;Q236),"")</f>
        <v/>
      </c>
      <c r="U236" t="e" cm="1">
        <f t="array" ref="U236">INDEX($C$2:$D$40,MOD(ROW()-ROW($C$2),ROWS($C$2:$D$40))+1,INT((ROW()-ROW($C$2))/ROWS($C$2:$D$40))+1)</f>
        <v>#REF!</v>
      </c>
      <c r="V236" t="e">
        <f t="shared" ca="1" si="26"/>
        <v>#N/A</v>
      </c>
      <c r="W236" t="str" cm="1">
        <f t="array" aca="1" ref="W236" ca="1">IFERROR(INDIRECT("$U"&amp;V236),"")</f>
        <v/>
      </c>
      <c r="Z236" t="str" cm="1">
        <f t="array" aca="1" ref="Z236" ca="1">INDEX($AE$2:$AS$40,MOD(ROW()-ROW($AE$2),ROWS($AE$2:$AS$40))+1,INT((ROW()-ROW($AE$2))/ROWS($AE$2:$AS$40))+1)</f>
        <v>supply_fan</v>
      </c>
      <c r="AA236">
        <f t="shared" ca="1" si="27"/>
        <v>540</v>
      </c>
      <c r="AB236" t="str" cm="1">
        <f t="array" aca="1" ref="AB236" ca="1">IFERROR(INDIRECT("$Z"&amp;AA236),"")</f>
        <v/>
      </c>
      <c r="AP236" t="str">
        <f t="shared" si="21"/>
        <v/>
      </c>
      <c r="AQ236" t="str">
        <f t="shared" si="22"/>
        <v/>
      </c>
      <c r="AR236" t="str">
        <f t="shared" si="23"/>
        <v/>
      </c>
      <c r="AS236" t="str">
        <f t="shared" si="24"/>
        <v/>
      </c>
    </row>
    <row r="237" spans="5:45" x14ac:dyDescent="0.25">
      <c r="E237" t="str">
        <f ca="1"/>
        <v/>
      </c>
      <c r="F237" t="str">
        <f ca="1"/>
        <v/>
      </c>
      <c r="P237" t="e" cm="1">
        <f t="array" ref="P237">INDEX($B$2:$D$40,MOD(ROW()-ROW($B$2),ROWS($B$2:$D$40))+1,INT((ROW()-ROW($B$2))/ROWS($B$2:$D$40))+1)</f>
        <v>#REF!</v>
      </c>
      <c r="Q237" t="e">
        <f t="shared" ca="1" si="25"/>
        <v>#N/A</v>
      </c>
      <c r="R237" t="str" cm="1">
        <f t="array" aca="1" ref="R237" ca="1">IFERROR(INDIRECT("$P"&amp;Q237),"")</f>
        <v/>
      </c>
      <c r="U237" t="e" cm="1">
        <f t="array" ref="U237">INDEX($C$2:$D$40,MOD(ROW()-ROW($C$2),ROWS($C$2:$D$40))+1,INT((ROW()-ROW($C$2))/ROWS($C$2:$D$40))+1)</f>
        <v>#REF!</v>
      </c>
      <c r="V237" t="e">
        <f t="shared" ca="1" si="26"/>
        <v>#N/A</v>
      </c>
      <c r="W237" t="str" cm="1">
        <f t="array" aca="1" ref="W237" ca="1">IFERROR(INDIRECT("$U"&amp;V237),"")</f>
        <v/>
      </c>
      <c r="Z237" t="str" cm="1">
        <f t="array" aca="1" ref="Z237" ca="1">INDEX($AE$2:$AS$40,MOD(ROW()-ROW($AE$2),ROWS($AE$2:$AS$40))+1,INT((ROW()-ROW($AE$2))/ROWS($AE$2:$AS$40))+1)</f>
        <v>exhaust_fan</v>
      </c>
      <c r="AA237">
        <f t="shared" ca="1" si="27"/>
        <v>541</v>
      </c>
      <c r="AB237" t="str" cm="1">
        <f t="array" aca="1" ref="AB237" ca="1">IFERROR(INDIRECT("$Z"&amp;AA237),"")</f>
        <v/>
      </c>
      <c r="AP237" t="str">
        <f t="shared" si="21"/>
        <v/>
      </c>
      <c r="AQ237" t="str">
        <f t="shared" si="22"/>
        <v/>
      </c>
      <c r="AR237" t="str">
        <f t="shared" si="23"/>
        <v/>
      </c>
      <c r="AS237" t="str">
        <f t="shared" si="24"/>
        <v/>
      </c>
    </row>
    <row r="238" spans="5:45" x14ac:dyDescent="0.25">
      <c r="E238" t="str">
        <f ca="1"/>
        <v/>
      </c>
      <c r="F238" t="str">
        <f ca="1"/>
        <v/>
      </c>
      <c r="P238" t="e" cm="1">
        <f t="array" ref="P238">INDEX($B$2:$D$40,MOD(ROW()-ROW($B$2),ROWS($B$2:$D$40))+1,INT((ROW()-ROW($B$2))/ROWS($B$2:$D$40))+1)</f>
        <v>#REF!</v>
      </c>
      <c r="Q238" t="e">
        <f t="shared" ca="1" si="25"/>
        <v>#N/A</v>
      </c>
      <c r="R238" t="str" cm="1">
        <f t="array" aca="1" ref="R238" ca="1">IFERROR(INDIRECT("$P"&amp;Q238),"")</f>
        <v/>
      </c>
      <c r="U238" t="e" cm="1">
        <f t="array" ref="U238">INDEX($C$2:$D$40,MOD(ROW()-ROW($C$2),ROWS($C$2:$D$40))+1,INT((ROW()-ROW($C$2))/ROWS($C$2:$D$40))+1)</f>
        <v>#REF!</v>
      </c>
      <c r="V238" t="e">
        <f t="shared" ca="1" si="26"/>
        <v>#N/A</v>
      </c>
      <c r="W238" t="str" cm="1">
        <f t="array" aca="1" ref="W238" ca="1">IFERROR(INDIRECT("$U"&amp;V238),"")</f>
        <v/>
      </c>
      <c r="Z238" cm="1">
        <f t="array" ref="Z238">INDEX($AE$2:$AS$40,MOD(ROW()-ROW($AE$2),ROWS($AE$2:$AS$40))+1,INT((ROW()-ROW($AE$2))/ROWS($AE$2:$AS$40))+1)</f>
        <v>0</v>
      </c>
      <c r="AA238">
        <f t="shared" ca="1" si="27"/>
        <v>542</v>
      </c>
      <c r="AB238" t="str" cm="1">
        <f t="array" aca="1" ref="AB238" ca="1">IFERROR(INDIRECT("$Z"&amp;AA238),"")</f>
        <v/>
      </c>
      <c r="AP238" t="str">
        <f t="shared" si="21"/>
        <v/>
      </c>
      <c r="AQ238" t="str">
        <f t="shared" si="22"/>
        <v/>
      </c>
      <c r="AR238" t="str">
        <f t="shared" si="23"/>
        <v/>
      </c>
      <c r="AS238" t="str">
        <f t="shared" si="24"/>
        <v/>
      </c>
    </row>
    <row r="239" spans="5:45" x14ac:dyDescent="0.25">
      <c r="E239" t="str">
        <f ca="1"/>
        <v/>
      </c>
      <c r="F239" t="str">
        <f ca="1"/>
        <v/>
      </c>
      <c r="P239" t="e" cm="1">
        <f t="array" ref="P239">INDEX($B$2:$D$40,MOD(ROW()-ROW($B$2),ROWS($B$2:$D$40))+1,INT((ROW()-ROW($B$2))/ROWS($B$2:$D$40))+1)</f>
        <v>#REF!</v>
      </c>
      <c r="Q239" t="e">
        <f t="shared" ca="1" si="25"/>
        <v>#N/A</v>
      </c>
      <c r="R239" t="str" cm="1">
        <f t="array" aca="1" ref="R239" ca="1">IFERROR(INDIRECT("$P"&amp;Q239),"")</f>
        <v/>
      </c>
      <c r="U239" t="e" cm="1">
        <f t="array" ref="U239">INDEX($C$2:$D$40,MOD(ROW()-ROW($C$2),ROWS($C$2:$D$40))+1,INT((ROW()-ROW($C$2))/ROWS($C$2:$D$40))+1)</f>
        <v>#REF!</v>
      </c>
      <c r="V239" t="e">
        <f t="shared" ca="1" si="26"/>
        <v>#N/A</v>
      </c>
      <c r="W239" t="str" cm="1">
        <f t="array" aca="1" ref="W239" ca="1">IFERROR(INDIRECT("$U"&amp;V239),"")</f>
        <v/>
      </c>
      <c r="Z239" cm="1">
        <f t="array" ref="Z239">INDEX($AE$2:$AS$40,MOD(ROW()-ROW($AE$2),ROWS($AE$2:$AS$40))+1,INT((ROW()-ROW($AE$2))/ROWS($AE$2:$AS$40))+1)</f>
        <v>0</v>
      </c>
      <c r="AA239">
        <f t="shared" ca="1" si="27"/>
        <v>543</v>
      </c>
      <c r="AB239" t="str" cm="1">
        <f t="array" aca="1" ref="AB239" ca="1">IFERROR(INDIRECT("$Z"&amp;AA239),"")</f>
        <v/>
      </c>
      <c r="AP239" t="str">
        <f t="shared" si="21"/>
        <v/>
      </c>
      <c r="AQ239" t="str">
        <f t="shared" si="22"/>
        <v/>
      </c>
      <c r="AR239" t="str">
        <f t="shared" si="23"/>
        <v/>
      </c>
      <c r="AS239" t="str">
        <f t="shared" si="24"/>
        <v/>
      </c>
    </row>
    <row r="240" spans="5:45" x14ac:dyDescent="0.25">
      <c r="E240" t="str">
        <f ca="1"/>
        <v/>
      </c>
      <c r="F240" t="str">
        <f ca="1"/>
        <v/>
      </c>
      <c r="P240" t="e" cm="1">
        <f t="array" ref="P240">INDEX($B$2:$D$40,MOD(ROW()-ROW($B$2),ROWS($B$2:$D$40))+1,INT((ROW()-ROW($B$2))/ROWS($B$2:$D$40))+1)</f>
        <v>#REF!</v>
      </c>
      <c r="Q240" t="e">
        <f t="shared" ca="1" si="25"/>
        <v>#N/A</v>
      </c>
      <c r="R240" t="str" cm="1">
        <f t="array" aca="1" ref="R240" ca="1">IFERROR(INDIRECT("$P"&amp;Q240),"")</f>
        <v/>
      </c>
      <c r="U240" t="e" cm="1">
        <f t="array" ref="U240">INDEX($C$2:$D$40,MOD(ROW()-ROW($C$2),ROWS($C$2:$D$40))+1,INT((ROW()-ROW($C$2))/ROWS($C$2:$D$40))+1)</f>
        <v>#REF!</v>
      </c>
      <c r="V240" t="e">
        <f t="shared" ca="1" si="26"/>
        <v>#N/A</v>
      </c>
      <c r="W240" t="str" cm="1">
        <f t="array" aca="1" ref="W240" ca="1">IFERROR(INDIRECT("$U"&amp;V240),"")</f>
        <v/>
      </c>
      <c r="Z240" cm="1">
        <f t="array" ref="Z240">INDEX($AE$2:$AS$40,MOD(ROW()-ROW($AE$2),ROWS($AE$2:$AS$40))+1,INT((ROW()-ROW($AE$2))/ROWS($AE$2:$AS$40))+1)</f>
        <v>0</v>
      </c>
      <c r="AA240">
        <f t="shared" ca="1" si="27"/>
        <v>544</v>
      </c>
      <c r="AB240" t="str" cm="1">
        <f t="array" aca="1" ref="AB240" ca="1">IFERROR(INDIRECT("$Z"&amp;AA240),"")</f>
        <v/>
      </c>
      <c r="AP240" t="str">
        <f t="shared" si="21"/>
        <v/>
      </c>
      <c r="AQ240" t="str">
        <f t="shared" si="22"/>
        <v/>
      </c>
      <c r="AR240" t="str">
        <f t="shared" si="23"/>
        <v/>
      </c>
      <c r="AS240" t="str">
        <f t="shared" si="24"/>
        <v/>
      </c>
    </row>
    <row r="241" spans="5:45" x14ac:dyDescent="0.25">
      <c r="E241" t="str">
        <f ca="1"/>
        <v/>
      </c>
      <c r="F241" t="str">
        <f ca="1"/>
        <v/>
      </c>
      <c r="P241" t="e" cm="1">
        <f t="array" ref="P241">INDEX($B$2:$D$40,MOD(ROW()-ROW($B$2),ROWS($B$2:$D$40))+1,INT((ROW()-ROW($B$2))/ROWS($B$2:$D$40))+1)</f>
        <v>#REF!</v>
      </c>
      <c r="Q241" t="e">
        <f t="shared" ca="1" si="25"/>
        <v>#N/A</v>
      </c>
      <c r="R241" t="str" cm="1">
        <f t="array" aca="1" ref="R241" ca="1">IFERROR(INDIRECT("$P"&amp;Q241),"")</f>
        <v/>
      </c>
      <c r="U241" t="e" cm="1">
        <f t="array" ref="U241">INDEX($C$2:$D$40,MOD(ROW()-ROW($C$2),ROWS($C$2:$D$40))+1,INT((ROW()-ROW($C$2))/ROWS($C$2:$D$40))+1)</f>
        <v>#REF!</v>
      </c>
      <c r="V241" t="e">
        <f t="shared" ca="1" si="26"/>
        <v>#N/A</v>
      </c>
      <c r="W241" t="str" cm="1">
        <f t="array" aca="1" ref="W241" ca="1">IFERROR(INDIRECT("$U"&amp;V241),"")</f>
        <v/>
      </c>
      <c r="Z241" cm="1">
        <f t="array" ref="Z241">INDEX($AE$2:$AS$40,MOD(ROW()-ROW($AE$2),ROWS($AE$2:$AS$40))+1,INT((ROW()-ROW($AE$2))/ROWS($AE$2:$AS$40))+1)</f>
        <v>0</v>
      </c>
      <c r="AA241">
        <f t="shared" ca="1" si="27"/>
        <v>545</v>
      </c>
      <c r="AB241" t="str" cm="1">
        <f t="array" aca="1" ref="AB241" ca="1">IFERROR(INDIRECT("$Z"&amp;AA241),"")</f>
        <v/>
      </c>
      <c r="AP241" t="str">
        <f t="shared" si="21"/>
        <v/>
      </c>
      <c r="AQ241" t="str">
        <f t="shared" si="22"/>
        <v/>
      </c>
      <c r="AR241" t="str">
        <f t="shared" si="23"/>
        <v/>
      </c>
      <c r="AS241" t="str">
        <f t="shared" si="24"/>
        <v/>
      </c>
    </row>
    <row r="242" spans="5:45" x14ac:dyDescent="0.25">
      <c r="E242" t="str">
        <f ca="1"/>
        <v/>
      </c>
      <c r="F242" t="str">
        <f ca="1"/>
        <v/>
      </c>
      <c r="P242" t="e" cm="1">
        <f t="array" ref="P242">INDEX($B$2:$D$40,MOD(ROW()-ROW($B$2),ROWS($B$2:$D$40))+1,INT((ROW()-ROW($B$2))/ROWS($B$2:$D$40))+1)</f>
        <v>#REF!</v>
      </c>
      <c r="Q242" t="e">
        <f t="shared" ca="1" si="25"/>
        <v>#N/A</v>
      </c>
      <c r="R242" t="str" cm="1">
        <f t="array" aca="1" ref="R242" ca="1">IFERROR(INDIRECT("$P"&amp;Q242),"")</f>
        <v/>
      </c>
      <c r="U242" t="e" cm="1">
        <f t="array" ref="U242">INDEX($C$2:$D$40,MOD(ROW()-ROW($C$2),ROWS($C$2:$D$40))+1,INT((ROW()-ROW($C$2))/ROWS($C$2:$D$40))+1)</f>
        <v>#REF!</v>
      </c>
      <c r="V242" t="e">
        <f t="shared" ca="1" si="26"/>
        <v>#N/A</v>
      </c>
      <c r="W242" t="str" cm="1">
        <f t="array" aca="1" ref="W242" ca="1">IFERROR(INDIRECT("$U"&amp;V242),"")</f>
        <v/>
      </c>
      <c r="Z242" cm="1">
        <f t="array" ref="Z242">INDEX($AE$2:$AS$40,MOD(ROW()-ROW($AE$2),ROWS($AE$2:$AS$40))+1,INT((ROW()-ROW($AE$2))/ROWS($AE$2:$AS$40))+1)</f>
        <v>0</v>
      </c>
      <c r="AA242">
        <f t="shared" ca="1" si="27"/>
        <v>546</v>
      </c>
      <c r="AB242" t="str" cm="1">
        <f t="array" aca="1" ref="AB242" ca="1">IFERROR(INDIRECT("$Z"&amp;AA242),"")</f>
        <v/>
      </c>
      <c r="AP242" t="str">
        <f t="shared" si="21"/>
        <v/>
      </c>
      <c r="AQ242" t="str">
        <f t="shared" si="22"/>
        <v/>
      </c>
      <c r="AR242" t="str">
        <f t="shared" si="23"/>
        <v/>
      </c>
      <c r="AS242" t="str">
        <f t="shared" si="24"/>
        <v/>
      </c>
    </row>
    <row r="243" spans="5:45" x14ac:dyDescent="0.25">
      <c r="E243" t="str">
        <f ca="1"/>
        <v/>
      </c>
      <c r="F243" t="str">
        <f ca="1"/>
        <v/>
      </c>
      <c r="P243" t="e" cm="1">
        <f t="array" ref="P243">INDEX($B$2:$D$40,MOD(ROW()-ROW($B$2),ROWS($B$2:$D$40))+1,INT((ROW()-ROW($B$2))/ROWS($B$2:$D$40))+1)</f>
        <v>#REF!</v>
      </c>
      <c r="Q243" t="e">
        <f t="shared" ca="1" si="25"/>
        <v>#N/A</v>
      </c>
      <c r="R243" t="str" cm="1">
        <f t="array" aca="1" ref="R243" ca="1">IFERROR(INDIRECT("$P"&amp;Q243),"")</f>
        <v/>
      </c>
      <c r="U243" t="e" cm="1">
        <f t="array" ref="U243">INDEX($C$2:$D$40,MOD(ROW()-ROW($C$2),ROWS($C$2:$D$40))+1,INT((ROW()-ROW($C$2))/ROWS($C$2:$D$40))+1)</f>
        <v>#REF!</v>
      </c>
      <c r="V243" t="e">
        <f t="shared" ca="1" si="26"/>
        <v>#N/A</v>
      </c>
      <c r="W243" t="str" cm="1">
        <f t="array" aca="1" ref="W243" ca="1">IFERROR(INDIRECT("$U"&amp;V243),"")</f>
        <v/>
      </c>
      <c r="Z243" cm="1">
        <f t="array" ref="Z243">INDEX($AE$2:$AS$40,MOD(ROW()-ROW($AE$2),ROWS($AE$2:$AS$40))+1,INT((ROW()-ROW($AE$2))/ROWS($AE$2:$AS$40))+1)</f>
        <v>0</v>
      </c>
      <c r="AA243">
        <f t="shared" ca="1" si="27"/>
        <v>547</v>
      </c>
      <c r="AB243" t="str" cm="1">
        <f t="array" aca="1" ref="AB243" ca="1">IFERROR(INDIRECT("$Z"&amp;AA243),"")</f>
        <v/>
      </c>
      <c r="AP243" t="str">
        <f t="shared" si="21"/>
        <v/>
      </c>
      <c r="AQ243" t="str">
        <f t="shared" si="22"/>
        <v/>
      </c>
      <c r="AR243" t="str">
        <f t="shared" si="23"/>
        <v/>
      </c>
      <c r="AS243" t="str">
        <f t="shared" si="24"/>
        <v/>
      </c>
    </row>
    <row r="244" spans="5:45" x14ac:dyDescent="0.25">
      <c r="E244" t="str">
        <f ca="1"/>
        <v/>
      </c>
      <c r="F244" t="str">
        <f ca="1"/>
        <v/>
      </c>
      <c r="P244" t="e" cm="1">
        <f t="array" ref="P244">INDEX($B$2:$D$40,MOD(ROW()-ROW($B$2),ROWS($B$2:$D$40))+1,INT((ROW()-ROW($B$2))/ROWS($B$2:$D$40))+1)</f>
        <v>#REF!</v>
      </c>
      <c r="Q244" t="e">
        <f t="shared" ca="1" si="25"/>
        <v>#N/A</v>
      </c>
      <c r="R244" t="str" cm="1">
        <f t="array" aca="1" ref="R244" ca="1">IFERROR(INDIRECT("$P"&amp;Q244),"")</f>
        <v/>
      </c>
      <c r="U244" t="e" cm="1">
        <f t="array" ref="U244">INDEX($C$2:$D$40,MOD(ROW()-ROW($C$2),ROWS($C$2:$D$40))+1,INT((ROW()-ROW($C$2))/ROWS($C$2:$D$40))+1)</f>
        <v>#REF!</v>
      </c>
      <c r="V244" t="e">
        <f t="shared" ca="1" si="26"/>
        <v>#N/A</v>
      </c>
      <c r="W244" t="str" cm="1">
        <f t="array" aca="1" ref="W244" ca="1">IFERROR(INDIRECT("$U"&amp;V244),"")</f>
        <v/>
      </c>
      <c r="Z244" cm="1">
        <f t="array" ref="Z244">INDEX($AE$2:$AS$40,MOD(ROW()-ROW($AE$2),ROWS($AE$2:$AS$40))+1,INT((ROW()-ROW($AE$2))/ROWS($AE$2:$AS$40))+1)</f>
        <v>0</v>
      </c>
      <c r="AA244">
        <f t="shared" ca="1" si="27"/>
        <v>548</v>
      </c>
      <c r="AB244" t="str" cm="1">
        <f t="array" aca="1" ref="AB244" ca="1">IFERROR(INDIRECT("$Z"&amp;AA244),"")</f>
        <v>HF04_heat_exchanger (exhaust)</v>
      </c>
      <c r="AP244" t="str">
        <f t="shared" si="21"/>
        <v/>
      </c>
      <c r="AQ244" t="str">
        <f t="shared" si="22"/>
        <v/>
      </c>
      <c r="AR244" t="str">
        <f t="shared" si="23"/>
        <v/>
      </c>
      <c r="AS244" t="str">
        <f t="shared" si="24"/>
        <v/>
      </c>
    </row>
    <row r="245" spans="5:45" x14ac:dyDescent="0.25">
      <c r="E245" t="str">
        <f ca="1"/>
        <v/>
      </c>
      <c r="F245" t="str">
        <f ca="1"/>
        <v/>
      </c>
      <c r="P245" t="e" cm="1">
        <f t="array" ref="P245">INDEX($B$2:$D$40,MOD(ROW()-ROW($B$2),ROWS($B$2:$D$40))+1,INT((ROW()-ROW($B$2))/ROWS($B$2:$D$40))+1)</f>
        <v>#REF!</v>
      </c>
      <c r="Q245" t="e">
        <f t="shared" ca="1" si="25"/>
        <v>#N/A</v>
      </c>
      <c r="R245" t="str" cm="1">
        <f t="array" aca="1" ref="R245" ca="1">IFERROR(INDIRECT("$P"&amp;Q245),"")</f>
        <v/>
      </c>
      <c r="U245" t="e" cm="1">
        <f t="array" ref="U245">INDEX($C$2:$D$40,MOD(ROW()-ROW($C$2),ROWS($C$2:$D$40))+1,INT((ROW()-ROW($C$2))/ROWS($C$2:$D$40))+1)</f>
        <v>#REF!</v>
      </c>
      <c r="V245" t="e">
        <f t="shared" ca="1" si="26"/>
        <v>#N/A</v>
      </c>
      <c r="W245" t="str" cm="1">
        <f t="array" aca="1" ref="W245" ca="1">IFERROR(INDIRECT("$U"&amp;V245),"")</f>
        <v/>
      </c>
      <c r="Z245" cm="1">
        <f t="array" ref="Z245">INDEX($AE$2:$AS$40,MOD(ROW()-ROW($AE$2),ROWS($AE$2:$AS$40))+1,INT((ROW()-ROW($AE$2))/ROWS($AE$2:$AS$40))+1)</f>
        <v>0</v>
      </c>
      <c r="AA245">
        <f t="shared" ca="1" si="27"/>
        <v>549</v>
      </c>
      <c r="AB245" t="str" cm="1">
        <f t="array" aca="1" ref="AB245" ca="1">IFERROR(INDIRECT("$Z"&amp;AA245),"")</f>
        <v/>
      </c>
      <c r="AP245" t="str">
        <f t="shared" si="21"/>
        <v/>
      </c>
      <c r="AQ245" t="str">
        <f t="shared" si="22"/>
        <v/>
      </c>
      <c r="AR245" t="str">
        <f t="shared" si="23"/>
        <v/>
      </c>
      <c r="AS245" t="str">
        <f t="shared" si="24"/>
        <v/>
      </c>
    </row>
    <row r="246" spans="5:45" x14ac:dyDescent="0.25">
      <c r="E246" t="str">
        <f ca="1"/>
        <v/>
      </c>
      <c r="F246" t="str">
        <f ca="1"/>
        <v/>
      </c>
      <c r="P246" t="e" cm="1">
        <f t="array" ref="P246">INDEX($B$2:$D$40,MOD(ROW()-ROW($B$2),ROWS($B$2:$D$40))+1,INT((ROW()-ROW($B$2))/ROWS($B$2:$D$40))+1)</f>
        <v>#REF!</v>
      </c>
      <c r="Q246" t="e">
        <f t="shared" ca="1" si="25"/>
        <v>#N/A</v>
      </c>
      <c r="R246" t="str" cm="1">
        <f t="array" aca="1" ref="R246" ca="1">IFERROR(INDIRECT("$P"&amp;Q246),"")</f>
        <v/>
      </c>
      <c r="U246" t="e" cm="1">
        <f t="array" ref="U246">INDEX($C$2:$D$40,MOD(ROW()-ROW($C$2),ROWS($C$2:$D$40))+1,INT((ROW()-ROW($C$2))/ROWS($C$2:$D$40))+1)</f>
        <v>#REF!</v>
      </c>
      <c r="V246" t="e">
        <f t="shared" ca="1" si="26"/>
        <v>#N/A</v>
      </c>
      <c r="W246" t="str" cm="1">
        <f t="array" aca="1" ref="W246" ca="1">IFERROR(INDIRECT("$U"&amp;V246),"")</f>
        <v/>
      </c>
      <c r="Z246" cm="1">
        <f t="array" ref="Z246">INDEX($AE$2:$AS$40,MOD(ROW()-ROW($AE$2),ROWS($AE$2:$AS$40))+1,INT((ROW()-ROW($AE$2))/ROWS($AE$2:$AS$40))+1)</f>
        <v>0</v>
      </c>
      <c r="AA246">
        <f t="shared" ca="1" si="27"/>
        <v>550</v>
      </c>
      <c r="AB246" t="str" cm="1">
        <f t="array" aca="1" ref="AB246" ca="1">IFERROR(INDIRECT("$Z"&amp;AA246),"")</f>
        <v/>
      </c>
      <c r="AP246" t="str">
        <f t="shared" si="21"/>
        <v/>
      </c>
      <c r="AQ246" t="str">
        <f t="shared" si="22"/>
        <v/>
      </c>
      <c r="AR246" t="str">
        <f t="shared" si="23"/>
        <v/>
      </c>
      <c r="AS246" t="str">
        <f t="shared" si="24"/>
        <v/>
      </c>
    </row>
    <row r="247" spans="5:45" x14ac:dyDescent="0.25">
      <c r="E247" t="str">
        <f ca="1"/>
        <v/>
      </c>
      <c r="F247" t="str">
        <f ca="1"/>
        <v/>
      </c>
      <c r="P247" t="e" cm="1">
        <f t="array" ref="P247">INDEX($B$2:$D$40,MOD(ROW()-ROW($B$2),ROWS($B$2:$D$40))+1,INT((ROW()-ROW($B$2))/ROWS($B$2:$D$40))+1)</f>
        <v>#REF!</v>
      </c>
      <c r="Q247" t="e">
        <f t="shared" ca="1" si="25"/>
        <v>#N/A</v>
      </c>
      <c r="R247" t="str" cm="1">
        <f t="array" aca="1" ref="R247" ca="1">IFERROR(INDIRECT("$P"&amp;Q247),"")</f>
        <v/>
      </c>
      <c r="U247" t="e" cm="1">
        <f t="array" ref="U247">INDEX($C$2:$D$40,MOD(ROW()-ROW($C$2),ROWS($C$2:$D$40))+1,INT((ROW()-ROW($C$2))/ROWS($C$2:$D$40))+1)</f>
        <v>#REF!</v>
      </c>
      <c r="V247" t="e">
        <f t="shared" ca="1" si="26"/>
        <v>#N/A</v>
      </c>
      <c r="W247" t="str" cm="1">
        <f t="array" aca="1" ref="W247" ca="1">IFERROR(INDIRECT("$U"&amp;V247),"")</f>
        <v/>
      </c>
      <c r="Z247" cm="1">
        <f t="array" ref="Z247">INDEX($AE$2:$AS$40,MOD(ROW()-ROW($AE$2),ROWS($AE$2:$AS$40))+1,INT((ROW()-ROW($AE$2))/ROWS($AE$2:$AS$40))+1)</f>
        <v>0</v>
      </c>
      <c r="AA247">
        <f t="shared" ca="1" si="27"/>
        <v>551</v>
      </c>
      <c r="AB247" t="str" cm="1">
        <f t="array" aca="1" ref="AB247" ca="1">IFERROR(INDIRECT("$Z"&amp;AA247),"")</f>
        <v/>
      </c>
      <c r="AP247" t="str">
        <f t="shared" si="21"/>
        <v/>
      </c>
      <c r="AQ247" t="str">
        <f t="shared" si="22"/>
        <v/>
      </c>
      <c r="AR247" t="str">
        <f t="shared" si="23"/>
        <v/>
      </c>
      <c r="AS247" t="str">
        <f t="shared" si="24"/>
        <v/>
      </c>
    </row>
    <row r="248" spans="5:45" x14ac:dyDescent="0.25">
      <c r="E248" t="str">
        <f ca="1"/>
        <v/>
      </c>
      <c r="F248" t="str">
        <f ca="1"/>
        <v/>
      </c>
      <c r="P248" t="e" cm="1">
        <f t="array" ref="P248">INDEX($B$2:$D$40,MOD(ROW()-ROW($B$2),ROWS($B$2:$D$40))+1,INT((ROW()-ROW($B$2))/ROWS($B$2:$D$40))+1)</f>
        <v>#REF!</v>
      </c>
      <c r="Q248" t="e">
        <f t="shared" ca="1" si="25"/>
        <v>#N/A</v>
      </c>
      <c r="R248" t="str" cm="1">
        <f t="array" aca="1" ref="R248" ca="1">IFERROR(INDIRECT("$P"&amp;Q248),"")</f>
        <v/>
      </c>
      <c r="U248" t="e" cm="1">
        <f t="array" ref="U248">INDEX($C$2:$D$40,MOD(ROW()-ROW($C$2),ROWS($C$2:$D$40))+1,INT((ROW()-ROW($C$2))/ROWS($C$2:$D$40))+1)</f>
        <v>#REF!</v>
      </c>
      <c r="V248" t="e">
        <f t="shared" ca="1" si="26"/>
        <v>#N/A</v>
      </c>
      <c r="W248" t="str" cm="1">
        <f t="array" aca="1" ref="W248" ca="1">IFERROR(INDIRECT("$U"&amp;V248),"")</f>
        <v/>
      </c>
      <c r="Z248" cm="1">
        <f t="array" ref="Z248">INDEX($AE$2:$AS$40,MOD(ROW()-ROW($AE$2),ROWS($AE$2:$AS$40))+1,INT((ROW()-ROW($AE$2))/ROWS($AE$2:$AS$40))+1)</f>
        <v>0</v>
      </c>
      <c r="AA248">
        <f t="shared" ca="1" si="27"/>
        <v>552</v>
      </c>
      <c r="AB248" t="str" cm="1">
        <f t="array" aca="1" ref="AB248" ca="1">IFERROR(INDIRECT("$Z"&amp;AA248),"")</f>
        <v/>
      </c>
      <c r="AP248" t="str">
        <f t="shared" si="21"/>
        <v/>
      </c>
      <c r="AQ248" t="str">
        <f t="shared" si="22"/>
        <v/>
      </c>
      <c r="AR248" t="str">
        <f t="shared" si="23"/>
        <v/>
      </c>
      <c r="AS248" t="str">
        <f t="shared" si="24"/>
        <v/>
      </c>
    </row>
    <row r="249" spans="5:45" x14ac:dyDescent="0.25">
      <c r="E249" t="str">
        <f ca="1"/>
        <v/>
      </c>
      <c r="F249" t="str">
        <f ca="1"/>
        <v/>
      </c>
      <c r="P249" t="e" cm="1">
        <f t="array" ref="P249">INDEX($B$2:$D$40,MOD(ROW()-ROW($B$2),ROWS($B$2:$D$40))+1,INT((ROW()-ROW($B$2))/ROWS($B$2:$D$40))+1)</f>
        <v>#REF!</v>
      </c>
      <c r="Q249" t="e">
        <f t="shared" ca="1" si="25"/>
        <v>#N/A</v>
      </c>
      <c r="R249" t="str" cm="1">
        <f t="array" aca="1" ref="R249" ca="1">IFERROR(INDIRECT("$P"&amp;Q249),"")</f>
        <v/>
      </c>
      <c r="U249" t="e" cm="1">
        <f t="array" ref="U249">INDEX($C$2:$D$40,MOD(ROW()-ROW($C$2),ROWS($C$2:$D$40))+1,INT((ROW()-ROW($C$2))/ROWS($C$2:$D$40))+1)</f>
        <v>#REF!</v>
      </c>
      <c r="V249" t="e">
        <f t="shared" ca="1" si="26"/>
        <v>#N/A</v>
      </c>
      <c r="W249" t="str" cm="1">
        <f t="array" aca="1" ref="W249" ca="1">IFERROR(INDIRECT("$U"&amp;V249),"")</f>
        <v/>
      </c>
      <c r="Z249" cm="1">
        <f t="array" ref="Z249">INDEX($AE$2:$AS$40,MOD(ROW()-ROW($AE$2),ROWS($AE$2:$AS$40))+1,INT((ROW()-ROW($AE$2))/ROWS($AE$2:$AS$40))+1)</f>
        <v>0</v>
      </c>
      <c r="AA249">
        <f t="shared" ca="1" si="27"/>
        <v>553</v>
      </c>
      <c r="AB249" t="str" cm="1">
        <f t="array" aca="1" ref="AB249" ca="1">IFERROR(INDIRECT("$Z"&amp;AA249),"")</f>
        <v/>
      </c>
      <c r="AP249" t="str">
        <f t="shared" si="21"/>
        <v/>
      </c>
      <c r="AQ249" t="str">
        <f t="shared" si="22"/>
        <v/>
      </c>
      <c r="AR249" t="str">
        <f t="shared" si="23"/>
        <v/>
      </c>
      <c r="AS249" t="str">
        <f t="shared" si="24"/>
        <v/>
      </c>
    </row>
    <row r="250" spans="5:45" x14ac:dyDescent="0.25">
      <c r="E250" t="str">
        <f ca="1"/>
        <v/>
      </c>
      <c r="F250" t="str">
        <f ca="1"/>
        <v/>
      </c>
      <c r="P250" t="e" cm="1">
        <f t="array" ref="P250">INDEX($B$2:$D$40,MOD(ROW()-ROW($B$2),ROWS($B$2:$D$40))+1,INT((ROW()-ROW($B$2))/ROWS($B$2:$D$40))+1)</f>
        <v>#REF!</v>
      </c>
      <c r="Q250" t="e">
        <f t="shared" ca="1" si="25"/>
        <v>#N/A</v>
      </c>
      <c r="R250" t="str" cm="1">
        <f t="array" aca="1" ref="R250" ca="1">IFERROR(INDIRECT("$P"&amp;Q250),"")</f>
        <v/>
      </c>
      <c r="U250" t="e" cm="1">
        <f t="array" ref="U250">INDEX($C$2:$D$40,MOD(ROW()-ROW($C$2),ROWS($C$2:$D$40))+1,INT((ROW()-ROW($C$2))/ROWS($C$2:$D$40))+1)</f>
        <v>#REF!</v>
      </c>
      <c r="V250" t="e">
        <f t="shared" ca="1" si="26"/>
        <v>#N/A</v>
      </c>
      <c r="W250" t="str" cm="1">
        <f t="array" aca="1" ref="W250" ca="1">IFERROR(INDIRECT("$U"&amp;V250),"")</f>
        <v/>
      </c>
      <c r="Z250" cm="1">
        <f t="array" ref="Z250">INDEX($AE$2:$AS$40,MOD(ROW()-ROW($AE$2),ROWS($AE$2:$AS$40))+1,INT((ROW()-ROW($AE$2))/ROWS($AE$2:$AS$40))+1)</f>
        <v>0</v>
      </c>
      <c r="AA250">
        <f t="shared" ca="1" si="27"/>
        <v>554</v>
      </c>
      <c r="AB250" t="str" cm="1">
        <f t="array" aca="1" ref="AB250" ca="1">IFERROR(INDIRECT("$Z"&amp;AA250),"")</f>
        <v/>
      </c>
      <c r="AP250" t="str">
        <f t="shared" si="21"/>
        <v/>
      </c>
      <c r="AQ250" t="str">
        <f t="shared" si="22"/>
        <v/>
      </c>
      <c r="AR250" t="str">
        <f t="shared" si="23"/>
        <v/>
      </c>
      <c r="AS250" t="str">
        <f t="shared" si="24"/>
        <v/>
      </c>
    </row>
    <row r="251" spans="5:45" x14ac:dyDescent="0.25">
      <c r="E251" t="str">
        <f ca="1"/>
        <v/>
      </c>
      <c r="F251" t="str">
        <f ca="1"/>
        <v/>
      </c>
      <c r="P251" t="e" cm="1">
        <f t="array" ref="P251">INDEX($B$2:$D$40,MOD(ROW()-ROW($B$2),ROWS($B$2:$D$40))+1,INT((ROW()-ROW($B$2))/ROWS($B$2:$D$40))+1)</f>
        <v>#REF!</v>
      </c>
      <c r="Q251" t="e">
        <f t="shared" ca="1" si="25"/>
        <v>#N/A</v>
      </c>
      <c r="R251" t="str" cm="1">
        <f t="array" aca="1" ref="R251" ca="1">IFERROR(INDIRECT("$P"&amp;Q251),"")</f>
        <v/>
      </c>
      <c r="U251" t="e" cm="1">
        <f t="array" ref="U251">INDEX($C$2:$D$40,MOD(ROW()-ROW($C$2),ROWS($C$2:$D$40))+1,INT((ROW()-ROW($C$2))/ROWS($C$2:$D$40))+1)</f>
        <v>#REF!</v>
      </c>
      <c r="V251" t="e">
        <f t="shared" ca="1" si="26"/>
        <v>#N/A</v>
      </c>
      <c r="W251" t="str" cm="1">
        <f t="array" aca="1" ref="W251" ca="1">IFERROR(INDIRECT("$U"&amp;V251),"")</f>
        <v/>
      </c>
      <c r="Z251" cm="1">
        <f t="array" ref="Z251">INDEX($AE$2:$AS$40,MOD(ROW()-ROW($AE$2),ROWS($AE$2:$AS$40))+1,INT((ROW()-ROW($AE$2))/ROWS($AE$2:$AS$40))+1)</f>
        <v>0</v>
      </c>
      <c r="AA251">
        <f t="shared" ca="1" si="27"/>
        <v>555</v>
      </c>
      <c r="AB251" t="str" cm="1">
        <f t="array" aca="1" ref="AB251" ca="1">IFERROR(INDIRECT("$Z"&amp;AA251),"")</f>
        <v/>
      </c>
      <c r="AP251" t="str">
        <f t="shared" si="21"/>
        <v/>
      </c>
      <c r="AQ251" t="str">
        <f t="shared" si="22"/>
        <v/>
      </c>
      <c r="AR251" t="str">
        <f t="shared" si="23"/>
        <v/>
      </c>
      <c r="AS251" t="str">
        <f t="shared" si="24"/>
        <v/>
      </c>
    </row>
    <row r="252" spans="5:45" x14ac:dyDescent="0.25">
      <c r="E252" t="str">
        <f ca="1"/>
        <v/>
      </c>
      <c r="F252" t="str">
        <f ca="1"/>
        <v/>
      </c>
      <c r="P252" t="e" cm="1">
        <f t="array" ref="P252">INDEX($B$2:$D$40,MOD(ROW()-ROW($B$2),ROWS($B$2:$D$40))+1,INT((ROW()-ROW($B$2))/ROWS($B$2:$D$40))+1)</f>
        <v>#REF!</v>
      </c>
      <c r="Q252" t="e">
        <f t="shared" ca="1" si="25"/>
        <v>#N/A</v>
      </c>
      <c r="R252" t="str" cm="1">
        <f t="array" aca="1" ref="R252" ca="1">IFERROR(INDIRECT("$P"&amp;Q252),"")</f>
        <v/>
      </c>
      <c r="U252" t="e" cm="1">
        <f t="array" ref="U252">INDEX($C$2:$D$40,MOD(ROW()-ROW($C$2),ROWS($C$2:$D$40))+1,INT((ROW()-ROW($C$2))/ROWS($C$2:$D$40))+1)</f>
        <v>#REF!</v>
      </c>
      <c r="V252" t="e">
        <f t="shared" ca="1" si="26"/>
        <v>#N/A</v>
      </c>
      <c r="W252" t="str" cm="1">
        <f t="array" aca="1" ref="W252" ca="1">IFERROR(INDIRECT("$U"&amp;V252),"")</f>
        <v/>
      </c>
      <c r="Z252" cm="1">
        <f t="array" ref="Z252">INDEX($AE$2:$AS$40,MOD(ROW()-ROW($AE$2),ROWS($AE$2:$AS$40))+1,INT((ROW()-ROW($AE$2))/ROWS($AE$2:$AS$40))+1)</f>
        <v>0</v>
      </c>
      <c r="AA252">
        <f t="shared" ca="1" si="27"/>
        <v>556</v>
      </c>
      <c r="AB252" t="str" cm="1">
        <f t="array" aca="1" ref="AB252" ca="1">IFERROR(INDIRECT("$Z"&amp;AA252),"")</f>
        <v/>
      </c>
      <c r="AP252" t="str">
        <f t="shared" si="21"/>
        <v/>
      </c>
      <c r="AQ252" t="str">
        <f t="shared" si="22"/>
        <v/>
      </c>
      <c r="AR252" t="str">
        <f t="shared" si="23"/>
        <v/>
      </c>
      <c r="AS252" t="str">
        <f t="shared" si="24"/>
        <v/>
      </c>
    </row>
    <row r="253" spans="5:45" x14ac:dyDescent="0.25">
      <c r="E253" t="str">
        <f ca="1"/>
        <v/>
      </c>
      <c r="F253" t="str">
        <f ca="1"/>
        <v/>
      </c>
      <c r="P253" t="e" cm="1">
        <f t="array" ref="P253">INDEX($B$2:$D$40,MOD(ROW()-ROW($B$2),ROWS($B$2:$D$40))+1,INT((ROW()-ROW($B$2))/ROWS($B$2:$D$40))+1)</f>
        <v>#REF!</v>
      </c>
      <c r="Q253" t="e">
        <f t="shared" ca="1" si="25"/>
        <v>#N/A</v>
      </c>
      <c r="R253" t="str" cm="1">
        <f t="array" aca="1" ref="R253" ca="1">IFERROR(INDIRECT("$P"&amp;Q253),"")</f>
        <v/>
      </c>
      <c r="U253" t="e" cm="1">
        <f t="array" ref="U253">INDEX($C$2:$D$40,MOD(ROW()-ROW($C$2),ROWS($C$2:$D$40))+1,INT((ROW()-ROW($C$2))/ROWS($C$2:$D$40))+1)</f>
        <v>#REF!</v>
      </c>
      <c r="V253" t="e">
        <f t="shared" ca="1" si="26"/>
        <v>#N/A</v>
      </c>
      <c r="W253" t="str" cm="1">
        <f t="array" aca="1" ref="W253" ca="1">IFERROR(INDIRECT("$U"&amp;V253),"")</f>
        <v/>
      </c>
      <c r="Z253" cm="1">
        <f t="array" ref="Z253">INDEX($AE$2:$AS$40,MOD(ROW()-ROW($AE$2),ROWS($AE$2:$AS$40))+1,INT((ROW()-ROW($AE$2))/ROWS($AE$2:$AS$40))+1)</f>
        <v>0</v>
      </c>
      <c r="AA253">
        <f t="shared" ca="1" si="27"/>
        <v>557</v>
      </c>
      <c r="AB253" t="str" cm="1">
        <f t="array" aca="1" ref="AB253" ca="1">IFERROR(INDIRECT("$Z"&amp;AA253),"")</f>
        <v/>
      </c>
      <c r="AP253" t="str">
        <f t="shared" si="21"/>
        <v/>
      </c>
      <c r="AQ253" t="str">
        <f t="shared" si="22"/>
        <v/>
      </c>
      <c r="AR253" t="str">
        <f t="shared" si="23"/>
        <v/>
      </c>
      <c r="AS253" t="str">
        <f t="shared" si="24"/>
        <v/>
      </c>
    </row>
    <row r="254" spans="5:45" x14ac:dyDescent="0.25">
      <c r="E254" t="str">
        <f ca="1"/>
        <v/>
      </c>
      <c r="F254" t="str">
        <f ca="1"/>
        <v/>
      </c>
      <c r="P254" t="e" cm="1">
        <f t="array" ref="P254">INDEX($B$2:$D$40,MOD(ROW()-ROW($B$2),ROWS($B$2:$D$40))+1,INT((ROW()-ROW($B$2))/ROWS($B$2:$D$40))+1)</f>
        <v>#REF!</v>
      </c>
      <c r="Q254" t="e">
        <f t="shared" ca="1" si="25"/>
        <v>#N/A</v>
      </c>
      <c r="R254" t="str" cm="1">
        <f t="array" aca="1" ref="R254" ca="1">IFERROR(INDIRECT("$P"&amp;Q254),"")</f>
        <v/>
      </c>
      <c r="U254" t="e" cm="1">
        <f t="array" ref="U254">INDEX($C$2:$D$40,MOD(ROW()-ROW($C$2),ROWS($C$2:$D$40))+1,INT((ROW()-ROW($C$2))/ROWS($C$2:$D$40))+1)</f>
        <v>#REF!</v>
      </c>
      <c r="V254" t="e">
        <f t="shared" ca="1" si="26"/>
        <v>#N/A</v>
      </c>
      <c r="W254" t="str" cm="1">
        <f t="array" aca="1" ref="W254" ca="1">IFERROR(INDIRECT("$U"&amp;V254),"")</f>
        <v/>
      </c>
      <c r="Z254" cm="1">
        <f t="array" ref="Z254">INDEX($AE$2:$AS$40,MOD(ROW()-ROW($AE$2),ROWS($AE$2:$AS$40))+1,INT((ROW()-ROW($AE$2))/ROWS($AE$2:$AS$40))+1)</f>
        <v>0</v>
      </c>
      <c r="AA254">
        <f t="shared" ca="1" si="27"/>
        <v>558</v>
      </c>
      <c r="AB254" t="str" cm="1">
        <f t="array" aca="1" ref="AB254" ca="1">IFERROR(INDIRECT("$Z"&amp;AA254),"")</f>
        <v/>
      </c>
      <c r="AP254" t="str">
        <f t="shared" si="21"/>
        <v/>
      </c>
      <c r="AQ254" t="str">
        <f t="shared" si="22"/>
        <v/>
      </c>
      <c r="AR254" t="str">
        <f t="shared" si="23"/>
        <v/>
      </c>
      <c r="AS254" t="str">
        <f t="shared" si="24"/>
        <v/>
      </c>
    </row>
    <row r="255" spans="5:45" x14ac:dyDescent="0.25">
      <c r="E255" t="str">
        <f ca="1"/>
        <v/>
      </c>
      <c r="F255" t="str">
        <f ca="1"/>
        <v/>
      </c>
      <c r="P255" t="e" cm="1">
        <f t="array" ref="P255">INDEX($B$2:$D$40,MOD(ROW()-ROW($B$2),ROWS($B$2:$D$40))+1,INT((ROW()-ROW($B$2))/ROWS($B$2:$D$40))+1)</f>
        <v>#REF!</v>
      </c>
      <c r="Q255" t="e">
        <f t="shared" ca="1" si="25"/>
        <v>#N/A</v>
      </c>
      <c r="R255" t="str" cm="1">
        <f t="array" aca="1" ref="R255" ca="1">IFERROR(INDIRECT("$P"&amp;Q255),"")</f>
        <v/>
      </c>
      <c r="U255" t="e" cm="1">
        <f t="array" ref="U255">INDEX($C$2:$D$40,MOD(ROW()-ROW($C$2),ROWS($C$2:$D$40))+1,INT((ROW()-ROW($C$2))/ROWS($C$2:$D$40))+1)</f>
        <v>#REF!</v>
      </c>
      <c r="V255" t="e">
        <f t="shared" ca="1" si="26"/>
        <v>#N/A</v>
      </c>
      <c r="W255" t="str" cm="1">
        <f t="array" aca="1" ref="W255" ca="1">IFERROR(INDIRECT("$U"&amp;V255),"")</f>
        <v/>
      </c>
      <c r="Z255" cm="1">
        <f t="array" ref="Z255">INDEX($AE$2:$AS$40,MOD(ROW()-ROW($AE$2),ROWS($AE$2:$AS$40))+1,INT((ROW()-ROW($AE$2))/ROWS($AE$2:$AS$40))+1)</f>
        <v>0</v>
      </c>
      <c r="AA255">
        <f t="shared" ca="1" si="27"/>
        <v>559</v>
      </c>
      <c r="AB255" t="str" cm="1">
        <f t="array" aca="1" ref="AB255" ca="1">IFERROR(INDIRECT("$Z"&amp;AA255),"")</f>
        <v/>
      </c>
      <c r="AP255" t="str">
        <f t="shared" si="21"/>
        <v/>
      </c>
      <c r="AQ255" t="str">
        <f t="shared" si="22"/>
        <v/>
      </c>
      <c r="AR255" t="str">
        <f t="shared" si="23"/>
        <v/>
      </c>
      <c r="AS255" t="str">
        <f t="shared" si="24"/>
        <v/>
      </c>
    </row>
    <row r="256" spans="5:45" x14ac:dyDescent="0.25">
      <c r="E256" t="str">
        <f ca="1"/>
        <v/>
      </c>
      <c r="F256" t="str">
        <f ca="1"/>
        <v/>
      </c>
      <c r="P256" t="e" cm="1">
        <f t="array" ref="P256">INDEX($B$2:$D$40,MOD(ROW()-ROW($B$2),ROWS($B$2:$D$40))+1,INT((ROW()-ROW($B$2))/ROWS($B$2:$D$40))+1)</f>
        <v>#REF!</v>
      </c>
      <c r="Q256" t="e">
        <f t="shared" ca="1" si="25"/>
        <v>#N/A</v>
      </c>
      <c r="R256" t="str" cm="1">
        <f t="array" aca="1" ref="R256" ca="1">IFERROR(INDIRECT("$P"&amp;Q256),"")</f>
        <v/>
      </c>
      <c r="U256" t="e" cm="1">
        <f t="array" ref="U256">INDEX($C$2:$D$40,MOD(ROW()-ROW($C$2),ROWS($C$2:$D$40))+1,INT((ROW()-ROW($C$2))/ROWS($C$2:$D$40))+1)</f>
        <v>#REF!</v>
      </c>
      <c r="V256" t="e">
        <f t="shared" ca="1" si="26"/>
        <v>#N/A</v>
      </c>
      <c r="W256" t="str" cm="1">
        <f t="array" aca="1" ref="W256" ca="1">IFERROR(INDIRECT("$U"&amp;V256),"")</f>
        <v/>
      </c>
      <c r="Z256" cm="1">
        <f t="array" ref="Z256">INDEX($AE$2:$AS$40,MOD(ROW()-ROW($AE$2),ROWS($AE$2:$AS$40))+1,INT((ROW()-ROW($AE$2))/ROWS($AE$2:$AS$40))+1)</f>
        <v>0</v>
      </c>
      <c r="AA256">
        <f t="shared" ca="1" si="27"/>
        <v>560</v>
      </c>
      <c r="AB256" t="str" cm="1">
        <f t="array" aca="1" ref="AB256" ca="1">IFERROR(INDIRECT("$Z"&amp;AA256),"")</f>
        <v/>
      </c>
      <c r="AP256" t="str">
        <f t="shared" si="21"/>
        <v/>
      </c>
      <c r="AQ256" t="str">
        <f t="shared" si="22"/>
        <v/>
      </c>
      <c r="AR256" t="str">
        <f t="shared" si="23"/>
        <v/>
      </c>
      <c r="AS256" t="str">
        <f t="shared" si="24"/>
        <v/>
      </c>
    </row>
    <row r="257" spans="5:45" x14ac:dyDescent="0.25">
      <c r="E257" t="str">
        <f ca="1"/>
        <v/>
      </c>
      <c r="F257" t="str">
        <f ca="1"/>
        <v/>
      </c>
      <c r="P257" t="e" cm="1">
        <f t="array" ref="P257">INDEX($B$2:$D$40,MOD(ROW()-ROW($B$2),ROWS($B$2:$D$40))+1,INT((ROW()-ROW($B$2))/ROWS($B$2:$D$40))+1)</f>
        <v>#REF!</v>
      </c>
      <c r="Q257" t="e">
        <f t="shared" ca="1" si="25"/>
        <v>#N/A</v>
      </c>
      <c r="R257" t="str" cm="1">
        <f t="array" aca="1" ref="R257" ca="1">IFERROR(INDIRECT("$P"&amp;Q257),"")</f>
        <v/>
      </c>
      <c r="U257" t="e" cm="1">
        <f t="array" ref="U257">INDEX($C$2:$D$40,MOD(ROW()-ROW($C$2),ROWS($C$2:$D$40))+1,INT((ROW()-ROW($C$2))/ROWS($C$2:$D$40))+1)</f>
        <v>#REF!</v>
      </c>
      <c r="V257" t="e">
        <f t="shared" ca="1" si="26"/>
        <v>#N/A</v>
      </c>
      <c r="W257" t="str" cm="1">
        <f t="array" aca="1" ref="W257" ca="1">IFERROR(INDIRECT("$U"&amp;V257),"")</f>
        <v/>
      </c>
      <c r="Z257" cm="1">
        <f t="array" ref="Z257">INDEX($AE$2:$AS$40,MOD(ROW()-ROW($AE$2),ROWS($AE$2:$AS$40))+1,INT((ROW()-ROW($AE$2))/ROWS($AE$2:$AS$40))+1)</f>
        <v>0</v>
      </c>
      <c r="AA257">
        <f t="shared" ca="1" si="27"/>
        <v>561</v>
      </c>
      <c r="AB257" t="str" cm="1">
        <f t="array" aca="1" ref="AB257" ca="1">IFERROR(INDIRECT("$Z"&amp;AA257),"")</f>
        <v/>
      </c>
      <c r="AP257" t="str">
        <f t="shared" si="21"/>
        <v/>
      </c>
      <c r="AQ257" t="str">
        <f t="shared" si="22"/>
        <v/>
      </c>
      <c r="AR257" t="str">
        <f t="shared" si="23"/>
        <v/>
      </c>
      <c r="AS257" t="str">
        <f t="shared" si="24"/>
        <v/>
      </c>
    </row>
    <row r="258" spans="5:45" x14ac:dyDescent="0.25">
      <c r="E258" t="str">
        <f ca="1"/>
        <v/>
      </c>
      <c r="F258" t="str">
        <f ca="1"/>
        <v/>
      </c>
      <c r="P258" t="e" cm="1">
        <f t="array" ref="P258">INDEX($B$2:$D$40,MOD(ROW()-ROW($B$2),ROWS($B$2:$D$40))+1,INT((ROW()-ROW($B$2))/ROWS($B$2:$D$40))+1)</f>
        <v>#REF!</v>
      </c>
      <c r="Q258" t="e">
        <f t="shared" ca="1" si="25"/>
        <v>#N/A</v>
      </c>
      <c r="R258" t="str" cm="1">
        <f t="array" aca="1" ref="R258" ca="1">IFERROR(INDIRECT("$P"&amp;Q258),"")</f>
        <v/>
      </c>
      <c r="U258" t="e" cm="1">
        <f t="array" ref="U258">INDEX($C$2:$D$40,MOD(ROW()-ROW($C$2),ROWS($C$2:$D$40))+1,INT((ROW()-ROW($C$2))/ROWS($C$2:$D$40))+1)</f>
        <v>#REF!</v>
      </c>
      <c r="V258" t="e">
        <f t="shared" ca="1" si="26"/>
        <v>#N/A</v>
      </c>
      <c r="W258" t="str" cm="1">
        <f t="array" aca="1" ref="W258" ca="1">IFERROR(INDIRECT("$U"&amp;V258),"")</f>
        <v/>
      </c>
      <c r="Z258" cm="1">
        <f t="array" ref="Z258">INDEX($AE$2:$AS$40,MOD(ROW()-ROW($AE$2),ROWS($AE$2:$AS$40))+1,INT((ROW()-ROW($AE$2))/ROWS($AE$2:$AS$40))+1)</f>
        <v>0</v>
      </c>
      <c r="AA258">
        <f t="shared" ca="1" si="27"/>
        <v>562</v>
      </c>
      <c r="AB258" t="str" cm="1">
        <f t="array" aca="1" ref="AB258" ca="1">IFERROR(INDIRECT("$Z"&amp;AA258),"")</f>
        <v/>
      </c>
      <c r="AP258" t="str">
        <f t="shared" si="21"/>
        <v/>
      </c>
      <c r="AQ258" t="str">
        <f t="shared" si="22"/>
        <v/>
      </c>
      <c r="AR258" t="str">
        <f t="shared" si="23"/>
        <v/>
      </c>
      <c r="AS258" t="str">
        <f t="shared" si="24"/>
        <v/>
      </c>
    </row>
    <row r="259" spans="5:45" x14ac:dyDescent="0.25">
      <c r="E259" t="str">
        <f ca="1"/>
        <v/>
      </c>
      <c r="F259" t="str">
        <f ca="1"/>
        <v/>
      </c>
      <c r="P259" t="e" cm="1">
        <f t="array" ref="P259">INDEX($B$2:$D$40,MOD(ROW()-ROW($B$2),ROWS($B$2:$D$40))+1,INT((ROW()-ROW($B$2))/ROWS($B$2:$D$40))+1)</f>
        <v>#REF!</v>
      </c>
      <c r="Q259" t="e">
        <f t="shared" ca="1" si="25"/>
        <v>#N/A</v>
      </c>
      <c r="R259" t="str" cm="1">
        <f t="array" aca="1" ref="R259" ca="1">IFERROR(INDIRECT("$P"&amp;Q259),"")</f>
        <v/>
      </c>
      <c r="U259" t="e" cm="1">
        <f t="array" ref="U259">INDEX($C$2:$D$40,MOD(ROW()-ROW($C$2),ROWS($C$2:$D$40))+1,INT((ROW()-ROW($C$2))/ROWS($C$2:$D$40))+1)</f>
        <v>#REF!</v>
      </c>
      <c r="V259" t="e">
        <f t="shared" ca="1" si="26"/>
        <v>#N/A</v>
      </c>
      <c r="W259" t="str" cm="1">
        <f t="array" aca="1" ref="W259" ca="1">IFERROR(INDIRECT("$U"&amp;V259),"")</f>
        <v/>
      </c>
      <c r="Z259" cm="1">
        <f t="array" ref="Z259">INDEX($AE$2:$AS$40,MOD(ROW()-ROW($AE$2),ROWS($AE$2:$AS$40))+1,INT((ROW()-ROW($AE$2))/ROWS($AE$2:$AS$40))+1)</f>
        <v>0</v>
      </c>
      <c r="AA259">
        <f t="shared" ca="1" si="27"/>
        <v>563</v>
      </c>
      <c r="AB259" t="str" cm="1">
        <f t="array" aca="1" ref="AB259" ca="1">IFERROR(INDIRECT("$Z"&amp;AA259),"")</f>
        <v/>
      </c>
      <c r="AP259" t="str">
        <f t="shared" ref="AP259:AP322" si="28">IF(AI259&lt;&gt;"", _xlfn.CONCAT(AI259, " (airside)"), "")</f>
        <v/>
      </c>
      <c r="AQ259" t="str">
        <f t="shared" ref="AQ259:AQ322" si="29">IF(AI259&lt;&gt;"", _xlfn.CONCAT(AI259, " (waterside)"), "")</f>
        <v/>
      </c>
      <c r="AR259" t="str">
        <f t="shared" ref="AR259:AR322" si="30">IF(AJ259&lt;&gt;"", _xlfn.CONCAT(AJ259, " (supply)"), "")</f>
        <v/>
      </c>
      <c r="AS259" t="str">
        <f t="shared" ref="AS259:AS322" si="31">IF(AJ259&lt;&gt;"", _xlfn.CONCAT(AJ259, " (exhaust)"), "")</f>
        <v/>
      </c>
    </row>
    <row r="260" spans="5:45" x14ac:dyDescent="0.25">
      <c r="E260" t="str">
        <f ca="1"/>
        <v/>
      </c>
      <c r="F260" t="str">
        <f ca="1"/>
        <v/>
      </c>
      <c r="P260" t="e" cm="1">
        <f t="array" ref="P260">INDEX($B$2:$D$40,MOD(ROW()-ROW($B$2),ROWS($B$2:$D$40))+1,INT((ROW()-ROW($B$2))/ROWS($B$2:$D$40))+1)</f>
        <v>#REF!</v>
      </c>
      <c r="Q260" t="e">
        <f t="shared" ref="Q260:Q323" ca="1" si="32">MATCH("*",INDIRECT(ADDRESS(Q259+1,16,1)&amp;":$P$1000"),0)+Q259</f>
        <v>#N/A</v>
      </c>
      <c r="R260" t="str" cm="1">
        <f t="array" aca="1" ref="R260" ca="1">IFERROR(INDIRECT("$P"&amp;Q260),"")</f>
        <v/>
      </c>
      <c r="U260" t="e" cm="1">
        <f t="array" ref="U260">INDEX($C$2:$D$40,MOD(ROW()-ROW($C$2),ROWS($C$2:$D$40))+1,INT((ROW()-ROW($C$2))/ROWS($C$2:$D$40))+1)</f>
        <v>#REF!</v>
      </c>
      <c r="V260" t="e">
        <f t="shared" ref="V260:V323" ca="1" si="33">MATCH("*",INDIRECT(ADDRESS(V259+1,21,1)&amp;":$U$1000"),0)+V259</f>
        <v>#N/A</v>
      </c>
      <c r="W260" t="str" cm="1">
        <f t="array" aca="1" ref="W260" ca="1">IFERROR(INDIRECT("$U"&amp;V260),"")</f>
        <v/>
      </c>
      <c r="Z260" cm="1">
        <f t="array" ref="Z260">INDEX($AE$2:$AS$40,MOD(ROW()-ROW($AE$2),ROWS($AE$2:$AS$40))+1,INT((ROW()-ROW($AE$2))/ROWS($AE$2:$AS$40))+1)</f>
        <v>0</v>
      </c>
      <c r="AA260">
        <f t="shared" ref="AA260:AA323" ca="1" si="34">MATCH("*",INDIRECT(ADDRESS(AA259+1,26,1)&amp;":$Z$1000"),0)+AA259</f>
        <v>564</v>
      </c>
      <c r="AB260" t="str" cm="1">
        <f t="array" aca="1" ref="AB260" ca="1">IFERROR(INDIRECT("$Z"&amp;AA260),"")</f>
        <v/>
      </c>
      <c r="AP260" t="str">
        <f t="shared" si="28"/>
        <v/>
      </c>
      <c r="AQ260" t="str">
        <f t="shared" si="29"/>
        <v/>
      </c>
      <c r="AR260" t="str">
        <f t="shared" si="30"/>
        <v/>
      </c>
      <c r="AS260" t="str">
        <f t="shared" si="31"/>
        <v/>
      </c>
    </row>
    <row r="261" spans="5:45" x14ac:dyDescent="0.25">
      <c r="E261" t="str">
        <f ca="1"/>
        <v/>
      </c>
      <c r="F261" t="str">
        <f ca="1"/>
        <v/>
      </c>
      <c r="P261" t="e" cm="1">
        <f t="array" ref="P261">INDEX($B$2:$D$40,MOD(ROW()-ROW($B$2),ROWS($B$2:$D$40))+1,INT((ROW()-ROW($B$2))/ROWS($B$2:$D$40))+1)</f>
        <v>#REF!</v>
      </c>
      <c r="Q261" t="e">
        <f t="shared" ca="1" si="32"/>
        <v>#N/A</v>
      </c>
      <c r="R261" t="str" cm="1">
        <f t="array" aca="1" ref="R261" ca="1">IFERROR(INDIRECT("$P"&amp;Q261),"")</f>
        <v/>
      </c>
      <c r="U261" t="e" cm="1">
        <f t="array" ref="U261">INDEX($C$2:$D$40,MOD(ROW()-ROW($C$2),ROWS($C$2:$D$40))+1,INT((ROW()-ROW($C$2))/ROWS($C$2:$D$40))+1)</f>
        <v>#REF!</v>
      </c>
      <c r="V261" t="e">
        <f t="shared" ca="1" si="33"/>
        <v>#N/A</v>
      </c>
      <c r="W261" t="str" cm="1">
        <f t="array" aca="1" ref="W261" ca="1">IFERROR(INDIRECT("$U"&amp;V261),"")</f>
        <v/>
      </c>
      <c r="Z261" cm="1">
        <f t="array" ref="Z261">INDEX($AE$2:$AS$40,MOD(ROW()-ROW($AE$2),ROWS($AE$2:$AS$40))+1,INT((ROW()-ROW($AE$2))/ROWS($AE$2:$AS$40))+1)</f>
        <v>0</v>
      </c>
      <c r="AA261">
        <f t="shared" ca="1" si="34"/>
        <v>565</v>
      </c>
      <c r="AB261" t="str" cm="1">
        <f t="array" aca="1" ref="AB261" ca="1">IFERROR(INDIRECT("$Z"&amp;AA261),"")</f>
        <v/>
      </c>
      <c r="AP261" t="str">
        <f t="shared" si="28"/>
        <v/>
      </c>
      <c r="AQ261" t="str">
        <f t="shared" si="29"/>
        <v/>
      </c>
      <c r="AR261" t="str">
        <f t="shared" si="30"/>
        <v/>
      </c>
      <c r="AS261" t="str">
        <f t="shared" si="31"/>
        <v/>
      </c>
    </row>
    <row r="262" spans="5:45" x14ac:dyDescent="0.25">
      <c r="E262" t="str">
        <f ca="1"/>
        <v/>
      </c>
      <c r="F262" t="str">
        <f ca="1"/>
        <v/>
      </c>
      <c r="P262" t="e" cm="1">
        <f t="array" ref="P262">INDEX($B$2:$D$40,MOD(ROW()-ROW($B$2),ROWS($B$2:$D$40))+1,INT((ROW()-ROW($B$2))/ROWS($B$2:$D$40))+1)</f>
        <v>#REF!</v>
      </c>
      <c r="Q262" t="e">
        <f t="shared" ca="1" si="32"/>
        <v>#N/A</v>
      </c>
      <c r="R262" t="str" cm="1">
        <f t="array" aca="1" ref="R262" ca="1">IFERROR(INDIRECT("$P"&amp;Q262),"")</f>
        <v/>
      </c>
      <c r="U262" t="e" cm="1">
        <f t="array" ref="U262">INDEX($C$2:$D$40,MOD(ROW()-ROW($C$2),ROWS($C$2:$D$40))+1,INT((ROW()-ROW($C$2))/ROWS($C$2:$D$40))+1)</f>
        <v>#REF!</v>
      </c>
      <c r="V262" t="e">
        <f t="shared" ca="1" si="33"/>
        <v>#N/A</v>
      </c>
      <c r="W262" t="str" cm="1">
        <f t="array" aca="1" ref="W262" ca="1">IFERROR(INDIRECT("$U"&amp;V262),"")</f>
        <v/>
      </c>
      <c r="Z262" cm="1">
        <f t="array" ref="Z262">INDEX($AE$2:$AS$40,MOD(ROW()-ROW($AE$2),ROWS($AE$2:$AS$40))+1,INT((ROW()-ROW($AE$2))/ROWS($AE$2:$AS$40))+1)</f>
        <v>0</v>
      </c>
      <c r="AA262">
        <f t="shared" ca="1" si="34"/>
        <v>566</v>
      </c>
      <c r="AB262" t="str" cm="1">
        <f t="array" aca="1" ref="AB262" ca="1">IFERROR(INDIRECT("$Z"&amp;AA262),"")</f>
        <v/>
      </c>
      <c r="AP262" t="str">
        <f t="shared" si="28"/>
        <v/>
      </c>
      <c r="AQ262" t="str">
        <f t="shared" si="29"/>
        <v/>
      </c>
      <c r="AR262" t="str">
        <f t="shared" si="30"/>
        <v/>
      </c>
      <c r="AS262" t="str">
        <f t="shared" si="31"/>
        <v/>
      </c>
    </row>
    <row r="263" spans="5:45" x14ac:dyDescent="0.25">
      <c r="E263" t="str">
        <f ca="1"/>
        <v/>
      </c>
      <c r="F263" t="str">
        <f ca="1"/>
        <v/>
      </c>
      <c r="P263" t="e" cm="1">
        <f t="array" ref="P263">INDEX($B$2:$D$40,MOD(ROW()-ROW($B$2),ROWS($B$2:$D$40))+1,INT((ROW()-ROW($B$2))/ROWS($B$2:$D$40))+1)</f>
        <v>#REF!</v>
      </c>
      <c r="Q263" t="e">
        <f t="shared" ca="1" si="32"/>
        <v>#N/A</v>
      </c>
      <c r="R263" t="str" cm="1">
        <f t="array" aca="1" ref="R263" ca="1">IFERROR(INDIRECT("$P"&amp;Q263),"")</f>
        <v/>
      </c>
      <c r="U263" t="e" cm="1">
        <f t="array" ref="U263">INDEX($C$2:$D$40,MOD(ROW()-ROW($C$2),ROWS($C$2:$D$40))+1,INT((ROW()-ROW($C$2))/ROWS($C$2:$D$40))+1)</f>
        <v>#REF!</v>
      </c>
      <c r="V263" t="e">
        <f t="shared" ca="1" si="33"/>
        <v>#N/A</v>
      </c>
      <c r="W263" t="str" cm="1">
        <f t="array" aca="1" ref="W263" ca="1">IFERROR(INDIRECT("$U"&amp;V263),"")</f>
        <v/>
      </c>
      <c r="Z263" cm="1">
        <f t="array" ref="Z263">INDEX($AE$2:$AS$40,MOD(ROW()-ROW($AE$2),ROWS($AE$2:$AS$40))+1,INT((ROW()-ROW($AE$2))/ROWS($AE$2:$AS$40))+1)</f>
        <v>0</v>
      </c>
      <c r="AA263">
        <f t="shared" ca="1" si="34"/>
        <v>567</v>
      </c>
      <c r="AB263" t="str" cm="1">
        <f t="array" aca="1" ref="AB263" ca="1">IFERROR(INDIRECT("$Z"&amp;AA263),"")</f>
        <v/>
      </c>
      <c r="AP263" t="str">
        <f t="shared" si="28"/>
        <v/>
      </c>
      <c r="AQ263" t="str">
        <f t="shared" si="29"/>
        <v/>
      </c>
      <c r="AR263" t="str">
        <f t="shared" si="30"/>
        <v/>
      </c>
      <c r="AS263" t="str">
        <f t="shared" si="31"/>
        <v/>
      </c>
    </row>
    <row r="264" spans="5:45" x14ac:dyDescent="0.25">
      <c r="E264" t="str">
        <f ca="1"/>
        <v/>
      </c>
      <c r="F264" t="str">
        <f ca="1"/>
        <v/>
      </c>
      <c r="P264" t="e" cm="1">
        <f t="array" ref="P264">INDEX($B$2:$D$40,MOD(ROW()-ROW($B$2),ROWS($B$2:$D$40))+1,INT((ROW()-ROW($B$2))/ROWS($B$2:$D$40))+1)</f>
        <v>#REF!</v>
      </c>
      <c r="Q264" t="e">
        <f t="shared" ca="1" si="32"/>
        <v>#N/A</v>
      </c>
      <c r="R264" t="str" cm="1">
        <f t="array" aca="1" ref="R264" ca="1">IFERROR(INDIRECT("$P"&amp;Q264),"")</f>
        <v/>
      </c>
      <c r="U264" t="e" cm="1">
        <f t="array" ref="U264">INDEX($C$2:$D$40,MOD(ROW()-ROW($C$2),ROWS($C$2:$D$40))+1,INT((ROW()-ROW($C$2))/ROWS($C$2:$D$40))+1)</f>
        <v>#REF!</v>
      </c>
      <c r="V264" t="e">
        <f t="shared" ca="1" si="33"/>
        <v>#N/A</v>
      </c>
      <c r="W264" t="str" cm="1">
        <f t="array" aca="1" ref="W264" ca="1">IFERROR(INDIRECT("$U"&amp;V264),"")</f>
        <v/>
      </c>
      <c r="Z264" cm="1">
        <f t="array" ref="Z264">INDEX($AE$2:$AS$40,MOD(ROW()-ROW($AE$2),ROWS($AE$2:$AS$40))+1,INT((ROW()-ROW($AE$2))/ROWS($AE$2:$AS$40))+1)</f>
        <v>0</v>
      </c>
      <c r="AA264">
        <f t="shared" ca="1" si="34"/>
        <v>568</v>
      </c>
      <c r="AB264" t="str" cm="1">
        <f t="array" aca="1" ref="AB264" ca="1">IFERROR(INDIRECT("$Z"&amp;AA264),"")</f>
        <v/>
      </c>
      <c r="AP264" t="str">
        <f t="shared" si="28"/>
        <v/>
      </c>
      <c r="AQ264" t="str">
        <f t="shared" si="29"/>
        <v/>
      </c>
      <c r="AR264" t="str">
        <f t="shared" si="30"/>
        <v/>
      </c>
      <c r="AS264" t="str">
        <f t="shared" si="31"/>
        <v/>
      </c>
    </row>
    <row r="265" spans="5:45" x14ac:dyDescent="0.25">
      <c r="E265" t="str">
        <f ca="1"/>
        <v/>
      </c>
      <c r="F265" t="str">
        <f ca="1"/>
        <v/>
      </c>
      <c r="P265" t="e" cm="1">
        <f t="array" ref="P265">INDEX($B$2:$D$40,MOD(ROW()-ROW($B$2),ROWS($B$2:$D$40))+1,INT((ROW()-ROW($B$2))/ROWS($B$2:$D$40))+1)</f>
        <v>#REF!</v>
      </c>
      <c r="Q265" t="e">
        <f t="shared" ca="1" si="32"/>
        <v>#N/A</v>
      </c>
      <c r="R265" t="str" cm="1">
        <f t="array" aca="1" ref="R265" ca="1">IFERROR(INDIRECT("$P"&amp;Q265),"")</f>
        <v/>
      </c>
      <c r="U265" t="e" cm="1">
        <f t="array" ref="U265">INDEX($C$2:$D$40,MOD(ROW()-ROW($C$2),ROWS($C$2:$D$40))+1,INT((ROW()-ROW($C$2))/ROWS($C$2:$D$40))+1)</f>
        <v>#REF!</v>
      </c>
      <c r="V265" t="e">
        <f t="shared" ca="1" si="33"/>
        <v>#N/A</v>
      </c>
      <c r="W265" t="str" cm="1">
        <f t="array" aca="1" ref="W265" ca="1">IFERROR(INDIRECT("$U"&amp;V265),"")</f>
        <v/>
      </c>
      <c r="Z265" cm="1">
        <f t="array" ref="Z265">INDEX($AE$2:$AS$40,MOD(ROW()-ROW($AE$2),ROWS($AE$2:$AS$40))+1,INT((ROW()-ROW($AE$2))/ROWS($AE$2:$AS$40))+1)</f>
        <v>0</v>
      </c>
      <c r="AA265">
        <f t="shared" ca="1" si="34"/>
        <v>569</v>
      </c>
      <c r="AB265" t="str" cm="1">
        <f t="array" aca="1" ref="AB265" ca="1">IFERROR(INDIRECT("$Z"&amp;AA265),"")</f>
        <v/>
      </c>
      <c r="AP265" t="str">
        <f t="shared" si="28"/>
        <v/>
      </c>
      <c r="AQ265" t="str">
        <f t="shared" si="29"/>
        <v/>
      </c>
      <c r="AR265" t="str">
        <f t="shared" si="30"/>
        <v/>
      </c>
      <c r="AS265" t="str">
        <f t="shared" si="31"/>
        <v/>
      </c>
    </row>
    <row r="266" spans="5:45" x14ac:dyDescent="0.25">
      <c r="E266" t="str">
        <f ca="1"/>
        <v/>
      </c>
      <c r="F266" t="str">
        <f ca="1"/>
        <v/>
      </c>
      <c r="P266" t="e" cm="1">
        <f t="array" ref="P266">INDEX($B$2:$D$40,MOD(ROW()-ROW($B$2),ROWS($B$2:$D$40))+1,INT((ROW()-ROW($B$2))/ROWS($B$2:$D$40))+1)</f>
        <v>#REF!</v>
      </c>
      <c r="Q266" t="e">
        <f t="shared" ca="1" si="32"/>
        <v>#N/A</v>
      </c>
      <c r="R266" t="str" cm="1">
        <f t="array" aca="1" ref="R266" ca="1">IFERROR(INDIRECT("$P"&amp;Q266),"")</f>
        <v/>
      </c>
      <c r="U266" t="e" cm="1">
        <f t="array" ref="U266">INDEX($C$2:$D$40,MOD(ROW()-ROW($C$2),ROWS($C$2:$D$40))+1,INT((ROW()-ROW($C$2))/ROWS($C$2:$D$40))+1)</f>
        <v>#REF!</v>
      </c>
      <c r="V266" t="e">
        <f t="shared" ca="1" si="33"/>
        <v>#N/A</v>
      </c>
      <c r="W266" t="str" cm="1">
        <f t="array" aca="1" ref="W266" ca="1">IFERROR(INDIRECT("$U"&amp;V266),"")</f>
        <v/>
      </c>
      <c r="Z266" cm="1">
        <f t="array" ref="Z266">INDEX($AE$2:$AS$40,MOD(ROW()-ROW($AE$2),ROWS($AE$2:$AS$40))+1,INT((ROW()-ROW($AE$2))/ROWS($AE$2:$AS$40))+1)</f>
        <v>0</v>
      </c>
      <c r="AA266">
        <f t="shared" ca="1" si="34"/>
        <v>570</v>
      </c>
      <c r="AB266" t="str" cm="1">
        <f t="array" aca="1" ref="AB266" ca="1">IFERROR(INDIRECT("$Z"&amp;AA266),"")</f>
        <v/>
      </c>
      <c r="AP266" t="str">
        <f t="shared" si="28"/>
        <v/>
      </c>
      <c r="AQ266" t="str">
        <f t="shared" si="29"/>
        <v/>
      </c>
      <c r="AR266" t="str">
        <f t="shared" si="30"/>
        <v/>
      </c>
      <c r="AS266" t="str">
        <f t="shared" si="31"/>
        <v/>
      </c>
    </row>
    <row r="267" spans="5:45" x14ac:dyDescent="0.25">
      <c r="E267" t="str">
        <f ca="1"/>
        <v/>
      </c>
      <c r="F267" t="str">
        <f ca="1"/>
        <v/>
      </c>
      <c r="P267" t="e" cm="1">
        <f t="array" ref="P267">INDEX($B$2:$D$40,MOD(ROW()-ROW($B$2),ROWS($B$2:$D$40))+1,INT((ROW()-ROW($B$2))/ROWS($B$2:$D$40))+1)</f>
        <v>#REF!</v>
      </c>
      <c r="Q267" t="e">
        <f t="shared" ca="1" si="32"/>
        <v>#N/A</v>
      </c>
      <c r="R267" t="str" cm="1">
        <f t="array" aca="1" ref="R267" ca="1">IFERROR(INDIRECT("$P"&amp;Q267),"")</f>
        <v/>
      </c>
      <c r="U267" t="e" cm="1">
        <f t="array" ref="U267">INDEX($C$2:$D$40,MOD(ROW()-ROW($C$2),ROWS($C$2:$D$40))+1,INT((ROW()-ROW($C$2))/ROWS($C$2:$D$40))+1)</f>
        <v>#REF!</v>
      </c>
      <c r="V267" t="e">
        <f t="shared" ca="1" si="33"/>
        <v>#N/A</v>
      </c>
      <c r="W267" t="str" cm="1">
        <f t="array" aca="1" ref="W267" ca="1">IFERROR(INDIRECT("$U"&amp;V267),"")</f>
        <v/>
      </c>
      <c r="Z267" cm="1">
        <f t="array" ref="Z267">INDEX($AE$2:$AS$40,MOD(ROW()-ROW($AE$2),ROWS($AE$2:$AS$40))+1,INT((ROW()-ROW($AE$2))/ROWS($AE$2:$AS$40))+1)</f>
        <v>0</v>
      </c>
      <c r="AA267">
        <f t="shared" ca="1" si="34"/>
        <v>571</v>
      </c>
      <c r="AB267" t="str" cm="1">
        <f t="array" aca="1" ref="AB267" ca="1">IFERROR(INDIRECT("$Z"&amp;AA267),"")</f>
        <v/>
      </c>
      <c r="AP267" t="str">
        <f t="shared" si="28"/>
        <v/>
      </c>
      <c r="AQ267" t="str">
        <f t="shared" si="29"/>
        <v/>
      </c>
      <c r="AR267" t="str">
        <f t="shared" si="30"/>
        <v/>
      </c>
      <c r="AS267" t="str">
        <f t="shared" si="31"/>
        <v/>
      </c>
    </row>
    <row r="268" spans="5:45" x14ac:dyDescent="0.25">
      <c r="E268" t="str">
        <f ca="1"/>
        <v/>
      </c>
      <c r="F268" t="str">
        <f ca="1"/>
        <v/>
      </c>
      <c r="P268" t="e" cm="1">
        <f t="array" ref="P268">INDEX($B$2:$D$40,MOD(ROW()-ROW($B$2),ROWS($B$2:$D$40))+1,INT((ROW()-ROW($B$2))/ROWS($B$2:$D$40))+1)</f>
        <v>#REF!</v>
      </c>
      <c r="Q268" t="e">
        <f t="shared" ca="1" si="32"/>
        <v>#N/A</v>
      </c>
      <c r="R268" t="str" cm="1">
        <f t="array" aca="1" ref="R268" ca="1">IFERROR(INDIRECT("$P"&amp;Q268),"")</f>
        <v/>
      </c>
      <c r="U268" t="e" cm="1">
        <f t="array" ref="U268">INDEX($C$2:$D$40,MOD(ROW()-ROW($C$2),ROWS($C$2:$D$40))+1,INT((ROW()-ROW($C$2))/ROWS($C$2:$D$40))+1)</f>
        <v>#REF!</v>
      </c>
      <c r="V268" t="e">
        <f t="shared" ca="1" si="33"/>
        <v>#N/A</v>
      </c>
      <c r="W268" t="str" cm="1">
        <f t="array" aca="1" ref="W268" ca="1">IFERROR(INDIRECT("$U"&amp;V268),"")</f>
        <v/>
      </c>
      <c r="Z268" cm="1">
        <f t="array" ref="Z268">INDEX($AE$2:$AS$40,MOD(ROW()-ROW($AE$2),ROWS($AE$2:$AS$40))+1,INT((ROW()-ROW($AE$2))/ROWS($AE$2:$AS$40))+1)</f>
        <v>0</v>
      </c>
      <c r="AA268">
        <f t="shared" ca="1" si="34"/>
        <v>572</v>
      </c>
      <c r="AB268" t="str" cm="1">
        <f t="array" aca="1" ref="AB268" ca="1">IFERROR(INDIRECT("$Z"&amp;AA268),"")</f>
        <v/>
      </c>
      <c r="AP268" t="str">
        <f t="shared" si="28"/>
        <v/>
      </c>
      <c r="AQ268" t="str">
        <f t="shared" si="29"/>
        <v/>
      </c>
      <c r="AR268" t="str">
        <f t="shared" si="30"/>
        <v/>
      </c>
      <c r="AS268" t="str">
        <f t="shared" si="31"/>
        <v/>
      </c>
    </row>
    <row r="269" spans="5:45" x14ac:dyDescent="0.25">
      <c r="E269" t="str">
        <f ca="1"/>
        <v/>
      </c>
      <c r="F269" t="str">
        <f ca="1"/>
        <v/>
      </c>
      <c r="P269" t="e" cm="1">
        <f t="array" ref="P269">INDEX($B$2:$D$40,MOD(ROW()-ROW($B$2),ROWS($B$2:$D$40))+1,INT((ROW()-ROW($B$2))/ROWS($B$2:$D$40))+1)</f>
        <v>#REF!</v>
      </c>
      <c r="Q269" t="e">
        <f t="shared" ca="1" si="32"/>
        <v>#N/A</v>
      </c>
      <c r="R269" t="str" cm="1">
        <f t="array" aca="1" ref="R269" ca="1">IFERROR(INDIRECT("$P"&amp;Q269),"")</f>
        <v/>
      </c>
      <c r="U269" t="e" cm="1">
        <f t="array" ref="U269">INDEX($C$2:$D$40,MOD(ROW()-ROW($C$2),ROWS($C$2:$D$40))+1,INT((ROW()-ROW($C$2))/ROWS($C$2:$D$40))+1)</f>
        <v>#REF!</v>
      </c>
      <c r="V269" t="e">
        <f t="shared" ca="1" si="33"/>
        <v>#N/A</v>
      </c>
      <c r="W269" t="str" cm="1">
        <f t="array" aca="1" ref="W269" ca="1">IFERROR(INDIRECT("$U"&amp;V269),"")</f>
        <v/>
      </c>
      <c r="Z269" cm="1">
        <f t="array" ref="Z269">INDEX($AE$2:$AS$40,MOD(ROW()-ROW($AE$2),ROWS($AE$2:$AS$40))+1,INT((ROW()-ROW($AE$2))/ROWS($AE$2:$AS$40))+1)</f>
        <v>0</v>
      </c>
      <c r="AA269">
        <f t="shared" ca="1" si="34"/>
        <v>573</v>
      </c>
      <c r="AB269" t="str" cm="1">
        <f t="array" aca="1" ref="AB269" ca="1">IFERROR(INDIRECT("$Z"&amp;AA269),"")</f>
        <v/>
      </c>
      <c r="AP269" t="str">
        <f t="shared" si="28"/>
        <v/>
      </c>
      <c r="AQ269" t="str">
        <f t="shared" si="29"/>
        <v/>
      </c>
      <c r="AR269" t="str">
        <f t="shared" si="30"/>
        <v/>
      </c>
      <c r="AS269" t="str">
        <f t="shared" si="31"/>
        <v/>
      </c>
    </row>
    <row r="270" spans="5:45" x14ac:dyDescent="0.25">
      <c r="E270" t="str">
        <f ca="1"/>
        <v/>
      </c>
      <c r="F270" t="str">
        <f ca="1"/>
        <v/>
      </c>
      <c r="P270" t="e" cm="1">
        <f t="array" ref="P270">INDEX($B$2:$D$40,MOD(ROW()-ROW($B$2),ROWS($B$2:$D$40))+1,INT((ROW()-ROW($B$2))/ROWS($B$2:$D$40))+1)</f>
        <v>#REF!</v>
      </c>
      <c r="Q270" t="e">
        <f t="shared" ca="1" si="32"/>
        <v>#N/A</v>
      </c>
      <c r="R270" t="str" cm="1">
        <f t="array" aca="1" ref="R270" ca="1">IFERROR(INDIRECT("$P"&amp;Q270),"")</f>
        <v/>
      </c>
      <c r="U270" t="e" cm="1">
        <f t="array" ref="U270">INDEX($C$2:$D$40,MOD(ROW()-ROW($C$2),ROWS($C$2:$D$40))+1,INT((ROW()-ROW($C$2))/ROWS($C$2:$D$40))+1)</f>
        <v>#REF!</v>
      </c>
      <c r="V270" t="e">
        <f t="shared" ca="1" si="33"/>
        <v>#N/A</v>
      </c>
      <c r="W270" t="str" cm="1">
        <f t="array" aca="1" ref="W270" ca="1">IFERROR(INDIRECT("$U"&amp;V270),"")</f>
        <v/>
      </c>
      <c r="Z270" cm="1">
        <f t="array" ref="Z270">INDEX($AE$2:$AS$40,MOD(ROW()-ROW($AE$2),ROWS($AE$2:$AS$40))+1,INT((ROW()-ROW($AE$2))/ROWS($AE$2:$AS$40))+1)</f>
        <v>0</v>
      </c>
      <c r="AA270">
        <f t="shared" ca="1" si="34"/>
        <v>574</v>
      </c>
      <c r="AB270" t="str" cm="1">
        <f t="array" aca="1" ref="AB270" ca="1">IFERROR(INDIRECT("$Z"&amp;AA270),"")</f>
        <v/>
      </c>
      <c r="AP270" t="str">
        <f t="shared" si="28"/>
        <v/>
      </c>
      <c r="AQ270" t="str">
        <f t="shared" si="29"/>
        <v/>
      </c>
      <c r="AR270" t="str">
        <f t="shared" si="30"/>
        <v/>
      </c>
      <c r="AS270" t="str">
        <f t="shared" si="31"/>
        <v/>
      </c>
    </row>
    <row r="271" spans="5:45" x14ac:dyDescent="0.25">
      <c r="E271" t="str">
        <f ca="1"/>
        <v/>
      </c>
      <c r="F271" t="str">
        <f ca="1"/>
        <v/>
      </c>
      <c r="P271" t="e" cm="1">
        <f t="array" ref="P271">INDEX($B$2:$D$40,MOD(ROW()-ROW($B$2),ROWS($B$2:$D$40))+1,INT((ROW()-ROW($B$2))/ROWS($B$2:$D$40))+1)</f>
        <v>#REF!</v>
      </c>
      <c r="Q271" t="e">
        <f t="shared" ca="1" si="32"/>
        <v>#N/A</v>
      </c>
      <c r="R271" t="str" cm="1">
        <f t="array" aca="1" ref="R271" ca="1">IFERROR(INDIRECT("$P"&amp;Q271),"")</f>
        <v/>
      </c>
      <c r="U271" t="e" cm="1">
        <f t="array" ref="U271">INDEX($C$2:$D$40,MOD(ROW()-ROW($C$2),ROWS($C$2:$D$40))+1,INT((ROW()-ROW($C$2))/ROWS($C$2:$D$40))+1)</f>
        <v>#REF!</v>
      </c>
      <c r="V271" t="e">
        <f t="shared" ca="1" si="33"/>
        <v>#N/A</v>
      </c>
      <c r="W271" t="str" cm="1">
        <f t="array" aca="1" ref="W271" ca="1">IFERROR(INDIRECT("$U"&amp;V271),"")</f>
        <v/>
      </c>
      <c r="Z271" cm="1">
        <f t="array" ref="Z271">INDEX($AE$2:$AS$40,MOD(ROW()-ROW($AE$2),ROWS($AE$2:$AS$40))+1,INT((ROW()-ROW($AE$2))/ROWS($AE$2:$AS$40))+1)</f>
        <v>0</v>
      </c>
      <c r="AA271">
        <f t="shared" ca="1" si="34"/>
        <v>575</v>
      </c>
      <c r="AB271" t="str" cm="1">
        <f t="array" aca="1" ref="AB271" ca="1">IFERROR(INDIRECT("$Z"&amp;AA271),"")</f>
        <v/>
      </c>
      <c r="AP271" t="str">
        <f t="shared" si="28"/>
        <v/>
      </c>
      <c r="AQ271" t="str">
        <f t="shared" si="29"/>
        <v/>
      </c>
      <c r="AR271" t="str">
        <f t="shared" si="30"/>
        <v/>
      </c>
      <c r="AS271" t="str">
        <f t="shared" si="31"/>
        <v/>
      </c>
    </row>
    <row r="272" spans="5:45" x14ac:dyDescent="0.25">
      <c r="E272" t="str">
        <f ca="1"/>
        <v/>
      </c>
      <c r="F272" t="str">
        <f ca="1"/>
        <v/>
      </c>
      <c r="P272" t="e" cm="1">
        <f t="array" ref="P272">INDEX($B$2:$D$40,MOD(ROW()-ROW($B$2),ROWS($B$2:$D$40))+1,INT((ROW()-ROW($B$2))/ROWS($B$2:$D$40))+1)</f>
        <v>#REF!</v>
      </c>
      <c r="Q272" t="e">
        <f t="shared" ca="1" si="32"/>
        <v>#N/A</v>
      </c>
      <c r="R272" t="str" cm="1">
        <f t="array" aca="1" ref="R272" ca="1">IFERROR(INDIRECT("$P"&amp;Q272),"")</f>
        <v/>
      </c>
      <c r="U272" t="e" cm="1">
        <f t="array" ref="U272">INDEX($C$2:$D$40,MOD(ROW()-ROW($C$2),ROWS($C$2:$D$40))+1,INT((ROW()-ROW($C$2))/ROWS($C$2:$D$40))+1)</f>
        <v>#REF!</v>
      </c>
      <c r="V272" t="e">
        <f t="shared" ca="1" si="33"/>
        <v>#N/A</v>
      </c>
      <c r="W272" t="str" cm="1">
        <f t="array" aca="1" ref="W272" ca="1">IFERROR(INDIRECT("$U"&amp;V272),"")</f>
        <v/>
      </c>
      <c r="Z272" cm="1">
        <f t="array" ref="Z272">INDEX($AE$2:$AS$40,MOD(ROW()-ROW($AE$2),ROWS($AE$2:$AS$40))+1,INT((ROW()-ROW($AE$2))/ROWS($AE$2:$AS$40))+1)</f>
        <v>0</v>
      </c>
      <c r="AA272">
        <f t="shared" ca="1" si="34"/>
        <v>576</v>
      </c>
      <c r="AB272" t="str" cm="1">
        <f t="array" aca="1" ref="AB272" ca="1">IFERROR(INDIRECT("$Z"&amp;AA272),"")</f>
        <v/>
      </c>
      <c r="AP272" t="str">
        <f t="shared" si="28"/>
        <v/>
      </c>
      <c r="AQ272" t="str">
        <f t="shared" si="29"/>
        <v/>
      </c>
      <c r="AR272" t="str">
        <f t="shared" si="30"/>
        <v/>
      </c>
      <c r="AS272" t="str">
        <f t="shared" si="31"/>
        <v/>
      </c>
    </row>
    <row r="273" spans="5:45" x14ac:dyDescent="0.25">
      <c r="E273" t="str">
        <f ca="1"/>
        <v/>
      </c>
      <c r="F273" t="str">
        <f ca="1"/>
        <v/>
      </c>
      <c r="P273" t="e" cm="1">
        <f t="array" ref="P273">INDEX($B$2:$D$40,MOD(ROW()-ROW($B$2),ROWS($B$2:$D$40))+1,INT((ROW()-ROW($B$2))/ROWS($B$2:$D$40))+1)</f>
        <v>#REF!</v>
      </c>
      <c r="Q273" t="e">
        <f t="shared" ca="1" si="32"/>
        <v>#N/A</v>
      </c>
      <c r="R273" t="str" cm="1">
        <f t="array" aca="1" ref="R273" ca="1">IFERROR(INDIRECT("$P"&amp;Q273),"")</f>
        <v/>
      </c>
      <c r="U273" t="e" cm="1">
        <f t="array" ref="U273">INDEX($C$2:$D$40,MOD(ROW()-ROW($C$2),ROWS($C$2:$D$40))+1,INT((ROW()-ROW($C$2))/ROWS($C$2:$D$40))+1)</f>
        <v>#REF!</v>
      </c>
      <c r="V273" t="e">
        <f t="shared" ca="1" si="33"/>
        <v>#N/A</v>
      </c>
      <c r="W273" t="str" cm="1">
        <f t="array" aca="1" ref="W273" ca="1">IFERROR(INDIRECT("$U"&amp;V273),"")</f>
        <v/>
      </c>
      <c r="Z273" cm="1">
        <f t="array" ref="Z273">INDEX($AE$2:$AS$40,MOD(ROW()-ROW($AE$2),ROWS($AE$2:$AS$40))+1,INT((ROW()-ROW($AE$2))/ROWS($AE$2:$AS$40))+1)</f>
        <v>0</v>
      </c>
      <c r="AA273">
        <f t="shared" ca="1" si="34"/>
        <v>577</v>
      </c>
      <c r="AB273" t="str" cm="1">
        <f t="array" aca="1" ref="AB273" ca="1">IFERROR(INDIRECT("$Z"&amp;AA273),"")</f>
        <v/>
      </c>
      <c r="AP273" t="str">
        <f t="shared" si="28"/>
        <v/>
      </c>
      <c r="AQ273" t="str">
        <f t="shared" si="29"/>
        <v/>
      </c>
      <c r="AR273" t="str">
        <f t="shared" si="30"/>
        <v/>
      </c>
      <c r="AS273" t="str">
        <f t="shared" si="31"/>
        <v/>
      </c>
    </row>
    <row r="274" spans="5:45" x14ac:dyDescent="0.25">
      <c r="E274" t="str">
        <f ca="1"/>
        <v/>
      </c>
      <c r="F274" t="str">
        <f ca="1"/>
        <v/>
      </c>
      <c r="P274" t="e" cm="1">
        <f t="array" ref="P274">INDEX($B$2:$D$40,MOD(ROW()-ROW($B$2),ROWS($B$2:$D$40))+1,INT((ROW()-ROW($B$2))/ROWS($B$2:$D$40))+1)</f>
        <v>#REF!</v>
      </c>
      <c r="Q274" t="e">
        <f t="shared" ca="1" si="32"/>
        <v>#N/A</v>
      </c>
      <c r="R274" t="str" cm="1">
        <f t="array" aca="1" ref="R274" ca="1">IFERROR(INDIRECT("$P"&amp;Q274),"")</f>
        <v/>
      </c>
      <c r="U274" t="e" cm="1">
        <f t="array" ref="U274">INDEX($C$2:$D$40,MOD(ROW()-ROW($C$2),ROWS($C$2:$D$40))+1,INT((ROW()-ROW($C$2))/ROWS($C$2:$D$40))+1)</f>
        <v>#REF!</v>
      </c>
      <c r="V274" t="e">
        <f t="shared" ca="1" si="33"/>
        <v>#N/A</v>
      </c>
      <c r="W274" t="str" cm="1">
        <f t="array" aca="1" ref="W274" ca="1">IFERROR(INDIRECT("$U"&amp;V274),"")</f>
        <v/>
      </c>
      <c r="Z274" cm="1">
        <f t="array" ref="Z274">INDEX($AE$2:$AS$40,MOD(ROW()-ROW($AE$2),ROWS($AE$2:$AS$40))+1,INT((ROW()-ROW($AE$2))/ROWS($AE$2:$AS$40))+1)</f>
        <v>0</v>
      </c>
      <c r="AA274">
        <f t="shared" ca="1" si="34"/>
        <v>578</v>
      </c>
      <c r="AB274" t="str" cm="1">
        <f t="array" aca="1" ref="AB274" ca="1">IFERROR(INDIRECT("$Z"&amp;AA274),"")</f>
        <v/>
      </c>
      <c r="AP274" t="str">
        <f t="shared" si="28"/>
        <v/>
      </c>
      <c r="AQ274" t="str">
        <f t="shared" si="29"/>
        <v/>
      </c>
      <c r="AR274" t="str">
        <f t="shared" si="30"/>
        <v/>
      </c>
      <c r="AS274" t="str">
        <f t="shared" si="31"/>
        <v/>
      </c>
    </row>
    <row r="275" spans="5:45" x14ac:dyDescent="0.25">
      <c r="E275" t="str">
        <f ca="1"/>
        <v/>
      </c>
      <c r="F275" t="str">
        <f ca="1"/>
        <v/>
      </c>
      <c r="P275" t="e" cm="1">
        <f t="array" ref="P275">INDEX($B$2:$D$40,MOD(ROW()-ROW($B$2),ROWS($B$2:$D$40))+1,INT((ROW()-ROW($B$2))/ROWS($B$2:$D$40))+1)</f>
        <v>#REF!</v>
      </c>
      <c r="Q275" t="e">
        <f t="shared" ca="1" si="32"/>
        <v>#N/A</v>
      </c>
      <c r="R275" t="str" cm="1">
        <f t="array" aca="1" ref="R275" ca="1">IFERROR(INDIRECT("$P"&amp;Q275),"")</f>
        <v/>
      </c>
      <c r="U275" t="e" cm="1">
        <f t="array" ref="U275">INDEX($C$2:$D$40,MOD(ROW()-ROW($C$2),ROWS($C$2:$D$40))+1,INT((ROW()-ROW($C$2))/ROWS($C$2:$D$40))+1)</f>
        <v>#REF!</v>
      </c>
      <c r="V275" t="e">
        <f t="shared" ca="1" si="33"/>
        <v>#N/A</v>
      </c>
      <c r="W275" t="str" cm="1">
        <f t="array" aca="1" ref="W275" ca="1">IFERROR(INDIRECT("$U"&amp;V275),"")</f>
        <v/>
      </c>
      <c r="Z275" t="str" cm="1">
        <f t="array" aca="1" ref="Z275" ca="1">INDEX($AE$2:$AS$40,MOD(ROW()-ROW($AE$2),ROWS($AE$2:$AS$40))+1,INT((ROW()-ROW($AE$2))/ROWS($AE$2:$AS$40))+1)</f>
        <v>Space_9_temperature_heating_controller</v>
      </c>
      <c r="AA275">
        <f t="shared" ca="1" si="34"/>
        <v>579</v>
      </c>
      <c r="AB275" t="str" cm="1">
        <f t="array" aca="1" ref="AB275" ca="1">IFERROR(INDIRECT("$Z"&amp;AA275),"")</f>
        <v/>
      </c>
      <c r="AP275" t="str">
        <f t="shared" si="28"/>
        <v/>
      </c>
      <c r="AQ275" t="str">
        <f t="shared" si="29"/>
        <v/>
      </c>
      <c r="AR275" t="str">
        <f t="shared" si="30"/>
        <v/>
      </c>
      <c r="AS275" t="str">
        <f t="shared" si="31"/>
        <v/>
      </c>
    </row>
    <row r="276" spans="5:45" x14ac:dyDescent="0.25">
      <c r="E276" t="str">
        <f ca="1"/>
        <v/>
      </c>
      <c r="F276" t="str">
        <f ca="1"/>
        <v/>
      </c>
      <c r="P276" t="e" cm="1">
        <f t="array" ref="P276">INDEX($B$2:$D$40,MOD(ROW()-ROW($B$2),ROWS($B$2:$D$40))+1,INT((ROW()-ROW($B$2))/ROWS($B$2:$D$40))+1)</f>
        <v>#REF!</v>
      </c>
      <c r="Q276" t="e">
        <f t="shared" ca="1" si="32"/>
        <v>#N/A</v>
      </c>
      <c r="R276" t="str" cm="1">
        <f t="array" aca="1" ref="R276" ca="1">IFERROR(INDIRECT("$P"&amp;Q276),"")</f>
        <v/>
      </c>
      <c r="U276" t="e" cm="1">
        <f t="array" ref="U276">INDEX($C$2:$D$40,MOD(ROW()-ROW($C$2),ROWS($C$2:$D$40))+1,INT((ROW()-ROW($C$2))/ROWS($C$2:$D$40))+1)</f>
        <v>#REF!</v>
      </c>
      <c r="V276" t="e">
        <f t="shared" ca="1" si="33"/>
        <v>#N/A</v>
      </c>
      <c r="W276" t="str" cm="1">
        <f t="array" aca="1" ref="W276" ca="1">IFERROR(INDIRECT("$U"&amp;V276),"")</f>
        <v/>
      </c>
      <c r="Z276" t="str" cm="1">
        <f t="array" aca="1" ref="Z276" ca="1">INDEX($AE$2:$AS$40,MOD(ROW()-ROW($AE$2),ROWS($AE$2:$AS$40))+1,INT((ROW()-ROW($AE$2))/ROWS($AE$2:$AS$40))+1)</f>
        <v>Space_9_co2_controller</v>
      </c>
      <c r="AA276">
        <f t="shared" ca="1" si="34"/>
        <v>580</v>
      </c>
      <c r="AB276" t="str" cm="1">
        <f t="array" aca="1" ref="AB276" ca="1">IFERROR(INDIRECT("$Z"&amp;AA276),"")</f>
        <v/>
      </c>
      <c r="AP276" t="str">
        <f t="shared" si="28"/>
        <v/>
      </c>
      <c r="AQ276" t="str">
        <f t="shared" si="29"/>
        <v/>
      </c>
      <c r="AR276" t="str">
        <f t="shared" si="30"/>
        <v/>
      </c>
      <c r="AS276" t="str">
        <f t="shared" si="31"/>
        <v/>
      </c>
    </row>
    <row r="277" spans="5:45" x14ac:dyDescent="0.25">
      <c r="E277" t="str">
        <f ca="1"/>
        <v/>
      </c>
      <c r="F277" t="str">
        <f ca="1"/>
        <v/>
      </c>
      <c r="P277" t="e" cm="1">
        <f t="array" ref="P277">INDEX($B$2:$D$40,MOD(ROW()-ROW($B$2),ROWS($B$2:$D$40))+1,INT((ROW()-ROW($B$2))/ROWS($B$2:$D$40))+1)</f>
        <v>#REF!</v>
      </c>
      <c r="Q277" t="e">
        <f t="shared" ca="1" si="32"/>
        <v>#N/A</v>
      </c>
      <c r="R277" t="str" cm="1">
        <f t="array" aca="1" ref="R277" ca="1">IFERROR(INDIRECT("$P"&amp;Q277),"")</f>
        <v/>
      </c>
      <c r="U277" t="e" cm="1">
        <f t="array" ref="U277">INDEX($C$2:$D$40,MOD(ROW()-ROW($C$2),ROWS($C$2:$D$40))+1,INT((ROW()-ROW($C$2))/ROWS($C$2:$D$40))+1)</f>
        <v>#REF!</v>
      </c>
      <c r="V277" t="e">
        <f t="shared" ca="1" si="33"/>
        <v>#N/A</v>
      </c>
      <c r="W277" t="str" cm="1">
        <f t="array" aca="1" ref="W277" ca="1">IFERROR(INDIRECT("$U"&amp;V277),"")</f>
        <v/>
      </c>
      <c r="Z277" t="str" cm="1">
        <f t="array" aca="1" ref="Z277" ca="1">INDEX($AE$2:$AS$40,MOD(ROW()-ROW($AE$2),ROWS($AE$2:$AS$40))+1,INT((ROW()-ROW($AE$2))/ROWS($AE$2:$AS$40))+1)</f>
        <v>Space_10_temperature_heating_controller</v>
      </c>
      <c r="AA277">
        <f t="shared" ca="1" si="34"/>
        <v>581</v>
      </c>
      <c r="AB277" t="str" cm="1">
        <f t="array" aca="1" ref="AB277" ca="1">IFERROR(INDIRECT("$Z"&amp;AA277),"")</f>
        <v/>
      </c>
      <c r="AP277" t="str">
        <f t="shared" si="28"/>
        <v/>
      </c>
      <c r="AQ277" t="str">
        <f t="shared" si="29"/>
        <v/>
      </c>
      <c r="AR277" t="str">
        <f t="shared" si="30"/>
        <v/>
      </c>
      <c r="AS277" t="str">
        <f t="shared" si="31"/>
        <v/>
      </c>
    </row>
    <row r="278" spans="5:45" x14ac:dyDescent="0.25">
      <c r="E278" t="str">
        <f ca="1"/>
        <v/>
      </c>
      <c r="F278" t="str">
        <f ca="1"/>
        <v/>
      </c>
      <c r="P278" t="e" cm="1">
        <f t="array" ref="P278">INDEX($B$2:$D$40,MOD(ROW()-ROW($B$2),ROWS($B$2:$D$40))+1,INT((ROW()-ROW($B$2))/ROWS($B$2:$D$40))+1)</f>
        <v>#REF!</v>
      </c>
      <c r="Q278" t="e">
        <f t="shared" ca="1" si="32"/>
        <v>#N/A</v>
      </c>
      <c r="R278" t="str" cm="1">
        <f t="array" aca="1" ref="R278" ca="1">IFERROR(INDIRECT("$P"&amp;Q278),"")</f>
        <v/>
      </c>
      <c r="U278" t="e" cm="1">
        <f t="array" ref="U278">INDEX($C$2:$D$40,MOD(ROW()-ROW($C$2),ROWS($C$2:$D$40))+1,INT((ROW()-ROW($C$2))/ROWS($C$2:$D$40))+1)</f>
        <v>#REF!</v>
      </c>
      <c r="V278" t="e">
        <f t="shared" ca="1" si="33"/>
        <v>#N/A</v>
      </c>
      <c r="W278" t="str" cm="1">
        <f t="array" aca="1" ref="W278" ca="1">IFERROR(INDIRECT("$U"&amp;V278),"")</f>
        <v/>
      </c>
      <c r="Z278" t="str" cm="1">
        <f t="array" aca="1" ref="Z278" ca="1">INDEX($AE$2:$AS$40,MOD(ROW()-ROW($AE$2),ROWS($AE$2:$AS$40))+1,INT((ROW()-ROW($AE$2))/ROWS($AE$2:$AS$40))+1)</f>
        <v>Space_10_co2_controller</v>
      </c>
      <c r="AA278">
        <f t="shared" ca="1" si="34"/>
        <v>582</v>
      </c>
      <c r="AB278" t="str" cm="1">
        <f t="array" aca="1" ref="AB278" ca="1">IFERROR(INDIRECT("$Z"&amp;AA278),"")</f>
        <v/>
      </c>
      <c r="AP278" t="str">
        <f t="shared" si="28"/>
        <v/>
      </c>
      <c r="AQ278" t="str">
        <f t="shared" si="29"/>
        <v/>
      </c>
      <c r="AR278" t="str">
        <f t="shared" si="30"/>
        <v/>
      </c>
      <c r="AS278" t="str">
        <f t="shared" si="31"/>
        <v/>
      </c>
    </row>
    <row r="279" spans="5:45" x14ac:dyDescent="0.25">
      <c r="E279" t="str">
        <f ca="1"/>
        <v/>
      </c>
      <c r="F279" t="str">
        <f ca="1"/>
        <v/>
      </c>
      <c r="P279" t="e" cm="1">
        <f t="array" ref="P279">INDEX($B$2:$D$40,MOD(ROW()-ROW($B$2),ROWS($B$2:$D$40))+1,INT((ROW()-ROW($B$2))/ROWS($B$2:$D$40))+1)</f>
        <v>#REF!</v>
      </c>
      <c r="Q279" t="e">
        <f t="shared" ca="1" si="32"/>
        <v>#N/A</v>
      </c>
      <c r="R279" t="str" cm="1">
        <f t="array" aca="1" ref="R279" ca="1">IFERROR(INDIRECT("$P"&amp;Q279),"")</f>
        <v/>
      </c>
      <c r="U279" t="e" cm="1">
        <f t="array" ref="U279">INDEX($C$2:$D$40,MOD(ROW()-ROW($C$2),ROWS($C$2:$D$40))+1,INT((ROW()-ROW($C$2))/ROWS($C$2:$D$40))+1)</f>
        <v>#REF!</v>
      </c>
      <c r="V279" t="e">
        <f t="shared" ca="1" si="33"/>
        <v>#N/A</v>
      </c>
      <c r="W279" t="str" cm="1">
        <f t="array" aca="1" ref="W279" ca="1">IFERROR(INDIRECT("$U"&amp;V279),"")</f>
        <v/>
      </c>
      <c r="Z279" t="str" cm="1">
        <f t="array" aca="1" ref="Z279" ca="1">INDEX($AE$2:$AS$40,MOD(ROW()-ROW($AE$2),ROWS($AE$2:$AS$40))+1,INT((ROW()-ROW($AE$2))/ROWS($AE$2:$AS$40))+1)</f>
        <v>Space_11_temperature_heating_controller</v>
      </c>
      <c r="AA279">
        <f t="shared" ca="1" si="34"/>
        <v>583</v>
      </c>
      <c r="AB279" t="str" cm="1">
        <f t="array" aca="1" ref="AB279" ca="1">IFERROR(INDIRECT("$Z"&amp;AA279),"")</f>
        <v/>
      </c>
      <c r="AP279" t="str">
        <f t="shared" si="28"/>
        <v/>
      </c>
      <c r="AQ279" t="str">
        <f t="shared" si="29"/>
        <v/>
      </c>
      <c r="AR279" t="str">
        <f t="shared" si="30"/>
        <v/>
      </c>
      <c r="AS279" t="str">
        <f t="shared" si="31"/>
        <v/>
      </c>
    </row>
    <row r="280" spans="5:45" x14ac:dyDescent="0.25">
      <c r="E280" t="str">
        <f ca="1"/>
        <v/>
      </c>
      <c r="F280" t="str">
        <f ca="1"/>
        <v/>
      </c>
      <c r="P280" t="e" cm="1">
        <f t="array" ref="P280">INDEX($B$2:$D$40,MOD(ROW()-ROW($B$2),ROWS($B$2:$D$40))+1,INT((ROW()-ROW($B$2))/ROWS($B$2:$D$40))+1)</f>
        <v>#REF!</v>
      </c>
      <c r="Q280" t="e">
        <f t="shared" ca="1" si="32"/>
        <v>#N/A</v>
      </c>
      <c r="R280" t="str" cm="1">
        <f t="array" aca="1" ref="R280" ca="1">IFERROR(INDIRECT("$P"&amp;Q280),"")</f>
        <v/>
      </c>
      <c r="U280" t="e" cm="1">
        <f t="array" ref="U280">INDEX($C$2:$D$40,MOD(ROW()-ROW($C$2),ROWS($C$2:$D$40))+1,INT((ROW()-ROW($C$2))/ROWS($C$2:$D$40))+1)</f>
        <v>#REF!</v>
      </c>
      <c r="V280" t="e">
        <f t="shared" ca="1" si="33"/>
        <v>#N/A</v>
      </c>
      <c r="W280" t="str" cm="1">
        <f t="array" aca="1" ref="W280" ca="1">IFERROR(INDIRECT("$U"&amp;V280),"")</f>
        <v/>
      </c>
      <c r="Z280" t="str" cm="1">
        <f t="array" aca="1" ref="Z280" ca="1">INDEX($AE$2:$AS$40,MOD(ROW()-ROW($AE$2),ROWS($AE$2:$AS$40))+1,INT((ROW()-ROW($AE$2))/ROWS($AE$2:$AS$40))+1)</f>
        <v>Space_11_co2_controller</v>
      </c>
      <c r="AA280">
        <f t="shared" ca="1" si="34"/>
        <v>584</v>
      </c>
      <c r="AB280" t="str" cm="1">
        <f t="array" aca="1" ref="AB280" ca="1">IFERROR(INDIRECT("$Z"&amp;AA280),"")</f>
        <v/>
      </c>
      <c r="AP280" t="str">
        <f t="shared" si="28"/>
        <v/>
      </c>
      <c r="AQ280" t="str">
        <f t="shared" si="29"/>
        <v/>
      </c>
      <c r="AR280" t="str">
        <f t="shared" si="30"/>
        <v/>
      </c>
      <c r="AS280" t="str">
        <f t="shared" si="31"/>
        <v/>
      </c>
    </row>
    <row r="281" spans="5:45" x14ac:dyDescent="0.25">
      <c r="E281" t="str">
        <f ca="1"/>
        <v/>
      </c>
      <c r="F281" t="str">
        <f ca="1"/>
        <v/>
      </c>
      <c r="P281" t="e" cm="1">
        <f t="array" ref="P281">INDEX($B$2:$D$40,MOD(ROW()-ROW($B$2),ROWS($B$2:$D$40))+1,INT((ROW()-ROW($B$2))/ROWS($B$2:$D$40))+1)</f>
        <v>#REF!</v>
      </c>
      <c r="Q281" t="e">
        <f t="shared" ca="1" si="32"/>
        <v>#N/A</v>
      </c>
      <c r="R281" t="str" cm="1">
        <f t="array" aca="1" ref="R281" ca="1">IFERROR(INDIRECT("$P"&amp;Q281),"")</f>
        <v/>
      </c>
      <c r="U281" t="e" cm="1">
        <f t="array" ref="U281">INDEX($C$2:$D$40,MOD(ROW()-ROW($C$2),ROWS($C$2:$D$40))+1,INT((ROW()-ROW($C$2))/ROWS($C$2:$D$40))+1)</f>
        <v>#REF!</v>
      </c>
      <c r="V281" t="e">
        <f t="shared" ca="1" si="33"/>
        <v>#N/A</v>
      </c>
      <c r="W281" t="str" cm="1">
        <f t="array" aca="1" ref="W281" ca="1">IFERROR(INDIRECT("$U"&amp;V281),"")</f>
        <v/>
      </c>
      <c r="Z281" t="str" cm="1">
        <f t="array" aca="1" ref="Z281" ca="1">INDEX($AE$2:$AS$40,MOD(ROW()-ROW($AE$2),ROWS($AE$2:$AS$40))+1,INT((ROW()-ROW($AE$2))/ROWS($AE$2:$AS$40))+1)</f>
        <v>Space_12_temperature_heating_controller</v>
      </c>
      <c r="AA281">
        <f t="shared" ca="1" si="34"/>
        <v>585</v>
      </c>
      <c r="AB281" t="str" cm="1">
        <f t="array" aca="1" ref="AB281" ca="1">IFERROR(INDIRECT("$Z"&amp;AA281),"")</f>
        <v/>
      </c>
      <c r="AP281" t="str">
        <f t="shared" si="28"/>
        <v/>
      </c>
      <c r="AQ281" t="str">
        <f t="shared" si="29"/>
        <v/>
      </c>
      <c r="AR281" t="str">
        <f t="shared" si="30"/>
        <v/>
      </c>
      <c r="AS281" t="str">
        <f t="shared" si="31"/>
        <v/>
      </c>
    </row>
    <row r="282" spans="5:45" x14ac:dyDescent="0.25">
      <c r="E282" t="str">
        <f ca="1"/>
        <v/>
      </c>
      <c r="F282" t="str">
        <f ca="1"/>
        <v/>
      </c>
      <c r="P282" t="e" cm="1">
        <f t="array" ref="P282">INDEX($B$2:$D$40,MOD(ROW()-ROW($B$2),ROWS($B$2:$D$40))+1,INT((ROW()-ROW($B$2))/ROWS($B$2:$D$40))+1)</f>
        <v>#REF!</v>
      </c>
      <c r="Q282" t="e">
        <f t="shared" ca="1" si="32"/>
        <v>#N/A</v>
      </c>
      <c r="R282" t="str" cm="1">
        <f t="array" aca="1" ref="R282" ca="1">IFERROR(INDIRECT("$P"&amp;Q282),"")</f>
        <v/>
      </c>
      <c r="U282" t="e" cm="1">
        <f t="array" ref="U282">INDEX($C$2:$D$40,MOD(ROW()-ROW($C$2),ROWS($C$2:$D$40))+1,INT((ROW()-ROW($C$2))/ROWS($C$2:$D$40))+1)</f>
        <v>#REF!</v>
      </c>
      <c r="V282" t="e">
        <f t="shared" ca="1" si="33"/>
        <v>#N/A</v>
      </c>
      <c r="W282" t="str" cm="1">
        <f t="array" aca="1" ref="W282" ca="1">IFERROR(INDIRECT("$U"&amp;V282),"")</f>
        <v/>
      </c>
      <c r="Z282" t="str" cm="1">
        <f t="array" aca="1" ref="Z282" ca="1">INDEX($AE$2:$AS$40,MOD(ROW()-ROW($AE$2),ROWS($AE$2:$AS$40))+1,INT((ROW()-ROW($AE$2))/ROWS($AE$2:$AS$40))+1)</f>
        <v>Space_12_co2_controller</v>
      </c>
      <c r="AA282">
        <f t="shared" ca="1" si="34"/>
        <v>586</v>
      </c>
      <c r="AB282" t="str" cm="1">
        <f t="array" aca="1" ref="AB282" ca="1">IFERROR(INDIRECT("$Z"&amp;AA282),"")</f>
        <v/>
      </c>
      <c r="AP282" t="str">
        <f t="shared" si="28"/>
        <v/>
      </c>
      <c r="AQ282" t="str">
        <f t="shared" si="29"/>
        <v/>
      </c>
      <c r="AR282" t="str">
        <f t="shared" si="30"/>
        <v/>
      </c>
      <c r="AS282" t="str">
        <f t="shared" si="31"/>
        <v/>
      </c>
    </row>
    <row r="283" spans="5:45" x14ac:dyDescent="0.25">
      <c r="E283" t="str">
        <f ca="1"/>
        <v/>
      </c>
      <c r="F283" t="str">
        <f ca="1"/>
        <v/>
      </c>
      <c r="P283" t="e" cm="1">
        <f t="array" ref="P283">INDEX($B$2:$D$40,MOD(ROW()-ROW($B$2),ROWS($B$2:$D$40))+1,INT((ROW()-ROW($B$2))/ROWS($B$2:$D$40))+1)</f>
        <v>#REF!</v>
      </c>
      <c r="Q283" t="e">
        <f t="shared" ca="1" si="32"/>
        <v>#N/A</v>
      </c>
      <c r="R283" t="str" cm="1">
        <f t="array" aca="1" ref="R283" ca="1">IFERROR(INDIRECT("$P"&amp;Q283),"")</f>
        <v/>
      </c>
      <c r="U283" t="e" cm="1">
        <f t="array" ref="U283">INDEX($C$2:$D$40,MOD(ROW()-ROW($C$2),ROWS($C$2:$D$40))+1,INT((ROW()-ROW($C$2))/ROWS($C$2:$D$40))+1)</f>
        <v>#REF!</v>
      </c>
      <c r="V283" t="e">
        <f t="shared" ca="1" si="33"/>
        <v>#N/A</v>
      </c>
      <c r="W283" t="str" cm="1">
        <f t="array" aca="1" ref="W283" ca="1">IFERROR(INDIRECT("$U"&amp;V283),"")</f>
        <v/>
      </c>
      <c r="Z283" t="str" cm="1">
        <f t="array" aca="1" ref="Z283" ca="1">INDEX($AE$2:$AS$40,MOD(ROW()-ROW($AE$2),ROWS($AE$2:$AS$40))+1,INT((ROW()-ROW($AE$2))/ROWS($AE$2:$AS$40))+1)</f>
        <v>Space_7_temperature_controller</v>
      </c>
      <c r="AA283" t="e">
        <f t="shared" ca="1" si="34"/>
        <v>#N/A</v>
      </c>
      <c r="AB283" t="str" cm="1">
        <f t="array" aca="1" ref="AB283" ca="1">IFERROR(INDIRECT("$Z"&amp;AA283),"")</f>
        <v/>
      </c>
      <c r="AP283" t="str">
        <f t="shared" si="28"/>
        <v/>
      </c>
      <c r="AQ283" t="str">
        <f t="shared" si="29"/>
        <v/>
      </c>
      <c r="AR283" t="str">
        <f t="shared" si="30"/>
        <v/>
      </c>
      <c r="AS283" t="str">
        <f t="shared" si="31"/>
        <v/>
      </c>
    </row>
    <row r="284" spans="5:45" x14ac:dyDescent="0.25">
      <c r="E284" t="str">
        <f ca="1"/>
        <v/>
      </c>
      <c r="F284" t="str">
        <f ca="1"/>
        <v/>
      </c>
      <c r="P284" t="e" cm="1">
        <f t="array" ref="P284">INDEX($B$2:$D$40,MOD(ROW()-ROW($B$2),ROWS($B$2:$D$40))+1,INT((ROW()-ROW($B$2))/ROWS($B$2:$D$40))+1)</f>
        <v>#REF!</v>
      </c>
      <c r="Q284" t="e">
        <f t="shared" ca="1" si="32"/>
        <v>#N/A</v>
      </c>
      <c r="R284" t="str" cm="1">
        <f t="array" aca="1" ref="R284" ca="1">IFERROR(INDIRECT("$P"&amp;Q284),"")</f>
        <v/>
      </c>
      <c r="U284" t="e" cm="1">
        <f t="array" ref="U284">INDEX($C$2:$D$40,MOD(ROW()-ROW($C$2),ROWS($C$2:$D$40))+1,INT((ROW()-ROW($C$2))/ROWS($C$2:$D$40))+1)</f>
        <v>#REF!</v>
      </c>
      <c r="V284" t="e">
        <f t="shared" ca="1" si="33"/>
        <v>#N/A</v>
      </c>
      <c r="W284" t="str" cm="1">
        <f t="array" aca="1" ref="W284" ca="1">IFERROR(INDIRECT("$U"&amp;V284),"")</f>
        <v/>
      </c>
      <c r="Z284" t="str" cm="1">
        <f t="array" aca="1" ref="Z284" ca="1">INDEX($AE$2:$AS$40,MOD(ROW()-ROW($AE$2),ROWS($AE$2:$AS$40))+1,INT((ROW()-ROW($AE$2))/ROWS($AE$2:$AS$40))+1)</f>
        <v>Space_7_co2_controller</v>
      </c>
      <c r="AA284" t="e">
        <f t="shared" ca="1" si="34"/>
        <v>#N/A</v>
      </c>
      <c r="AB284" t="str" cm="1">
        <f t="array" aca="1" ref="AB284" ca="1">IFERROR(INDIRECT("$Z"&amp;AA284),"")</f>
        <v/>
      </c>
      <c r="AP284" t="str">
        <f t="shared" si="28"/>
        <v/>
      </c>
      <c r="AQ284" t="str">
        <f t="shared" si="29"/>
        <v/>
      </c>
      <c r="AR284" t="str">
        <f t="shared" si="30"/>
        <v/>
      </c>
      <c r="AS284" t="str">
        <f t="shared" si="31"/>
        <v/>
      </c>
    </row>
    <row r="285" spans="5:45" x14ac:dyDescent="0.25">
      <c r="E285" t="str">
        <f ca="1"/>
        <v/>
      </c>
      <c r="F285" t="str">
        <f ca="1"/>
        <v/>
      </c>
      <c r="P285" t="e" cm="1">
        <f t="array" ref="P285">INDEX($B$2:$D$40,MOD(ROW()-ROW($B$2),ROWS($B$2:$D$40))+1,INT((ROW()-ROW($B$2))/ROWS($B$2:$D$40))+1)</f>
        <v>#REF!</v>
      </c>
      <c r="Q285" t="e">
        <f t="shared" ca="1" si="32"/>
        <v>#N/A</v>
      </c>
      <c r="R285" t="str" cm="1">
        <f t="array" aca="1" ref="R285" ca="1">IFERROR(INDIRECT("$P"&amp;Q285),"")</f>
        <v/>
      </c>
      <c r="U285" t="e" cm="1">
        <f t="array" ref="U285">INDEX($C$2:$D$40,MOD(ROW()-ROW($C$2),ROWS($C$2:$D$40))+1,INT((ROW()-ROW($C$2))/ROWS($C$2:$D$40))+1)</f>
        <v>#REF!</v>
      </c>
      <c r="V285" t="e">
        <f t="shared" ca="1" si="33"/>
        <v>#N/A</v>
      </c>
      <c r="W285" t="str" cm="1">
        <f t="array" aca="1" ref="W285" ca="1">IFERROR(INDIRECT("$U"&amp;V285),"")</f>
        <v/>
      </c>
      <c r="Z285" t="str" cm="1">
        <f t="array" aca="1" ref="Z285" ca="1">INDEX($AE$2:$AS$40,MOD(ROW()-ROW($AE$2),ROWS($AE$2:$AS$40))+1,INT((ROW()-ROW($AE$2))/ROWS($AE$2:$AS$40))+1)</f>
        <v>Space_6_temperature_controller</v>
      </c>
      <c r="AA285" t="e">
        <f t="shared" ca="1" si="34"/>
        <v>#N/A</v>
      </c>
      <c r="AB285" t="str" cm="1">
        <f t="array" aca="1" ref="AB285" ca="1">IFERROR(INDIRECT("$Z"&amp;AA285),"")</f>
        <v/>
      </c>
      <c r="AP285" t="str">
        <f t="shared" si="28"/>
        <v/>
      </c>
      <c r="AQ285" t="str">
        <f t="shared" si="29"/>
        <v/>
      </c>
      <c r="AR285" t="str">
        <f t="shared" si="30"/>
        <v/>
      </c>
      <c r="AS285" t="str">
        <f t="shared" si="31"/>
        <v/>
      </c>
    </row>
    <row r="286" spans="5:45" x14ac:dyDescent="0.25">
      <c r="E286" t="str">
        <f ca="1"/>
        <v/>
      </c>
      <c r="F286" t="str">
        <f ca="1"/>
        <v/>
      </c>
      <c r="P286" t="e" cm="1">
        <f t="array" ref="P286">INDEX($B$2:$D$40,MOD(ROW()-ROW($B$2),ROWS($B$2:$D$40))+1,INT((ROW()-ROW($B$2))/ROWS($B$2:$D$40))+1)</f>
        <v>#REF!</v>
      </c>
      <c r="Q286" t="e">
        <f t="shared" ca="1" si="32"/>
        <v>#N/A</v>
      </c>
      <c r="R286" t="str" cm="1">
        <f t="array" aca="1" ref="R286" ca="1">IFERROR(INDIRECT("$P"&amp;Q286),"")</f>
        <v/>
      </c>
      <c r="U286" t="e" cm="1">
        <f t="array" ref="U286">INDEX($C$2:$D$40,MOD(ROW()-ROW($C$2),ROWS($C$2:$D$40))+1,INT((ROW()-ROW($C$2))/ROWS($C$2:$D$40))+1)</f>
        <v>#REF!</v>
      </c>
      <c r="V286" t="e">
        <f t="shared" ca="1" si="33"/>
        <v>#N/A</v>
      </c>
      <c r="W286" t="str" cm="1">
        <f t="array" aca="1" ref="W286" ca="1">IFERROR(INDIRECT("$U"&amp;V286),"")</f>
        <v/>
      </c>
      <c r="Z286" t="str" cm="1">
        <f t="array" aca="1" ref="Z286" ca="1">INDEX($AE$2:$AS$40,MOD(ROW()-ROW($AE$2),ROWS($AE$2:$AS$40))+1,INT((ROW()-ROW($AE$2))/ROWS($AE$2:$AS$40))+1)</f>
        <v>Space_8_temperature_controller</v>
      </c>
      <c r="AA286" t="e">
        <f t="shared" ca="1" si="34"/>
        <v>#N/A</v>
      </c>
      <c r="AB286" t="str" cm="1">
        <f t="array" aca="1" ref="AB286" ca="1">IFERROR(INDIRECT("$Z"&amp;AA286),"")</f>
        <v/>
      </c>
      <c r="AP286" t="str">
        <f t="shared" si="28"/>
        <v/>
      </c>
      <c r="AQ286" t="str">
        <f t="shared" si="29"/>
        <v/>
      </c>
      <c r="AR286" t="str">
        <f t="shared" si="30"/>
        <v/>
      </c>
      <c r="AS286" t="str">
        <f t="shared" si="31"/>
        <v/>
      </c>
    </row>
    <row r="287" spans="5:45" x14ac:dyDescent="0.25">
      <c r="E287" t="str">
        <f ca="1"/>
        <v/>
      </c>
      <c r="F287" t="str">
        <f ca="1"/>
        <v/>
      </c>
      <c r="P287" t="e" cm="1">
        <f t="array" ref="P287">INDEX($B$2:$D$40,MOD(ROW()-ROW($B$2),ROWS($B$2:$D$40))+1,INT((ROW()-ROW($B$2))/ROWS($B$2:$D$40))+1)</f>
        <v>#REF!</v>
      </c>
      <c r="Q287" t="e">
        <f t="shared" ca="1" si="32"/>
        <v>#N/A</v>
      </c>
      <c r="R287" t="str" cm="1">
        <f t="array" aca="1" ref="R287" ca="1">IFERROR(INDIRECT("$P"&amp;Q287),"")</f>
        <v/>
      </c>
      <c r="U287" t="e" cm="1">
        <f t="array" ref="U287">INDEX($C$2:$D$40,MOD(ROW()-ROW($C$2),ROWS($C$2:$D$40))+1,INT((ROW()-ROW($C$2))/ROWS($C$2:$D$40))+1)</f>
        <v>#REF!</v>
      </c>
      <c r="V287" t="e">
        <f t="shared" ca="1" si="33"/>
        <v>#N/A</v>
      </c>
      <c r="W287" t="str" cm="1">
        <f t="array" aca="1" ref="W287" ca="1">IFERROR(INDIRECT("$U"&amp;V287),"")</f>
        <v/>
      </c>
      <c r="Z287" t="str" cm="1">
        <f t="array" aca="1" ref="Z287" ca="1">INDEX($AE$2:$AS$40,MOD(ROW()-ROW($AE$2),ROWS($AE$2:$AS$40))+1,INT((ROW()-ROW($AE$2))/ROWS($AE$2:$AS$40))+1)</f>
        <v>Space_8_co2_controller</v>
      </c>
      <c r="AA287" t="e">
        <f t="shared" ca="1" si="34"/>
        <v>#N/A</v>
      </c>
      <c r="AB287" t="str" cm="1">
        <f t="array" aca="1" ref="AB287" ca="1">IFERROR(INDIRECT("$Z"&amp;AA287),"")</f>
        <v/>
      </c>
      <c r="AP287" t="str">
        <f t="shared" si="28"/>
        <v/>
      </c>
      <c r="AQ287" t="str">
        <f t="shared" si="29"/>
        <v/>
      </c>
      <c r="AR287" t="str">
        <f t="shared" si="30"/>
        <v/>
      </c>
      <c r="AS287" t="str">
        <f t="shared" si="31"/>
        <v/>
      </c>
    </row>
    <row r="288" spans="5:45" x14ac:dyDescent="0.25">
      <c r="E288" t="str">
        <f ca="1"/>
        <v/>
      </c>
      <c r="F288" t="str">
        <f ca="1"/>
        <v/>
      </c>
      <c r="P288" t="e" cm="1">
        <f t="array" ref="P288">INDEX($B$2:$D$40,MOD(ROW()-ROW($B$2),ROWS($B$2:$D$40))+1,INT((ROW()-ROW($B$2))/ROWS($B$2:$D$40))+1)</f>
        <v>#REF!</v>
      </c>
      <c r="Q288" t="e">
        <f t="shared" ca="1" si="32"/>
        <v>#N/A</v>
      </c>
      <c r="R288" t="str" cm="1">
        <f t="array" aca="1" ref="R288" ca="1">IFERROR(INDIRECT("$P"&amp;Q288),"")</f>
        <v/>
      </c>
      <c r="U288" t="e" cm="1">
        <f t="array" ref="U288">INDEX($C$2:$D$40,MOD(ROW()-ROW($C$2),ROWS($C$2:$D$40))+1,INT((ROW()-ROW($C$2))/ROWS($C$2:$D$40))+1)</f>
        <v>#REF!</v>
      </c>
      <c r="V288" t="e">
        <f t="shared" ca="1" si="33"/>
        <v>#N/A</v>
      </c>
      <c r="W288" t="str" cm="1">
        <f t="array" aca="1" ref="W288" ca="1">IFERROR(INDIRECT("$U"&amp;V288),"")</f>
        <v/>
      </c>
      <c r="Z288" t="str" cm="1">
        <f t="array" aca="1" ref="Z288" ca="1">INDEX($AE$2:$AS$40,MOD(ROW()-ROW($AE$2),ROWS($AE$2:$AS$40))+1,INT((ROW()-ROW($AE$2))/ROWS($AE$2:$AS$40))+1)</f>
        <v>Space_3_temperature_controller</v>
      </c>
      <c r="AA288" t="e">
        <f t="shared" ca="1" si="34"/>
        <v>#N/A</v>
      </c>
      <c r="AB288" t="str" cm="1">
        <f t="array" aca="1" ref="AB288" ca="1">IFERROR(INDIRECT("$Z"&amp;AA288),"")</f>
        <v/>
      </c>
      <c r="AP288" t="str">
        <f t="shared" si="28"/>
        <v/>
      </c>
      <c r="AQ288" t="str">
        <f t="shared" si="29"/>
        <v/>
      </c>
      <c r="AR288" t="str">
        <f t="shared" si="30"/>
        <v/>
      </c>
      <c r="AS288" t="str">
        <f t="shared" si="31"/>
        <v/>
      </c>
    </row>
    <row r="289" spans="5:45" x14ac:dyDescent="0.25">
      <c r="E289" t="str">
        <f ca="1"/>
        <v/>
      </c>
      <c r="F289" t="str">
        <f ca="1"/>
        <v/>
      </c>
      <c r="P289" t="e" cm="1">
        <f t="array" ref="P289">INDEX($B$2:$D$40,MOD(ROW()-ROW($B$2),ROWS($B$2:$D$40))+1,INT((ROW()-ROW($B$2))/ROWS($B$2:$D$40))+1)</f>
        <v>#REF!</v>
      </c>
      <c r="Q289" t="e">
        <f t="shared" ca="1" si="32"/>
        <v>#N/A</v>
      </c>
      <c r="R289" t="str" cm="1">
        <f t="array" aca="1" ref="R289" ca="1">IFERROR(INDIRECT("$P"&amp;Q289),"")</f>
        <v/>
      </c>
      <c r="U289" t="e" cm="1">
        <f t="array" ref="U289">INDEX($C$2:$D$40,MOD(ROW()-ROW($C$2),ROWS($C$2:$D$40))+1,INT((ROW()-ROW($C$2))/ROWS($C$2:$D$40))+1)</f>
        <v>#REF!</v>
      </c>
      <c r="V289" t="e">
        <f t="shared" ca="1" si="33"/>
        <v>#N/A</v>
      </c>
      <c r="W289" t="str" cm="1">
        <f t="array" aca="1" ref="W289" ca="1">IFERROR(INDIRECT("$U"&amp;V289),"")</f>
        <v/>
      </c>
      <c r="Z289" t="str" cm="1">
        <f t="array" aca="1" ref="Z289" ca="1">INDEX($AE$2:$AS$40,MOD(ROW()-ROW($AE$2),ROWS($AE$2:$AS$40))+1,INT((ROW()-ROW($AE$2))/ROWS($AE$2:$AS$40))+1)</f>
        <v>Space_3_co2_controller</v>
      </c>
      <c r="AA289" t="e">
        <f t="shared" ca="1" si="34"/>
        <v>#N/A</v>
      </c>
      <c r="AB289" t="str" cm="1">
        <f t="array" aca="1" ref="AB289" ca="1">IFERROR(INDIRECT("$Z"&amp;AA289),"")</f>
        <v/>
      </c>
      <c r="AP289" t="str">
        <f t="shared" si="28"/>
        <v/>
      </c>
      <c r="AQ289" t="str">
        <f t="shared" si="29"/>
        <v/>
      </c>
      <c r="AR289" t="str">
        <f t="shared" si="30"/>
        <v/>
      </c>
      <c r="AS289" t="str">
        <f t="shared" si="31"/>
        <v/>
      </c>
    </row>
    <row r="290" spans="5:45" x14ac:dyDescent="0.25">
      <c r="E290" t="str">
        <f ca="1"/>
        <v/>
      </c>
      <c r="F290" t="str">
        <f ca="1"/>
        <v/>
      </c>
      <c r="P290" t="e" cm="1">
        <f t="array" ref="P290">INDEX($B$2:$D$40,MOD(ROW()-ROW($B$2),ROWS($B$2:$D$40))+1,INT((ROW()-ROW($B$2))/ROWS($B$2:$D$40))+1)</f>
        <v>#REF!</v>
      </c>
      <c r="Q290" t="e">
        <f t="shared" ca="1" si="32"/>
        <v>#N/A</v>
      </c>
      <c r="R290" t="str" cm="1">
        <f t="array" aca="1" ref="R290" ca="1">IFERROR(INDIRECT("$P"&amp;Q290),"")</f>
        <v/>
      </c>
      <c r="U290" t="e" cm="1">
        <f t="array" ref="U290">INDEX($C$2:$D$40,MOD(ROW()-ROW($C$2),ROWS($C$2:$D$40))+1,INT((ROW()-ROW($C$2))/ROWS($C$2:$D$40))+1)</f>
        <v>#REF!</v>
      </c>
      <c r="V290" t="e">
        <f t="shared" ca="1" si="33"/>
        <v>#N/A</v>
      </c>
      <c r="W290" t="str" cm="1">
        <f t="array" aca="1" ref="W290" ca="1">IFERROR(INDIRECT("$U"&amp;V290),"")</f>
        <v/>
      </c>
      <c r="Z290" t="str" cm="1">
        <f t="array" aca="1" ref="Z290" ca="1">INDEX($AE$2:$AS$40,MOD(ROW()-ROW($AE$2),ROWS($AE$2:$AS$40))+1,INT((ROW()-ROW($AE$2))/ROWS($AE$2:$AS$40))+1)</f>
        <v>Space_5_temperature_controller</v>
      </c>
      <c r="AA290" t="e">
        <f t="shared" ca="1" si="34"/>
        <v>#N/A</v>
      </c>
      <c r="AB290" t="str" cm="1">
        <f t="array" aca="1" ref="AB290" ca="1">IFERROR(INDIRECT("$Z"&amp;AA290),"")</f>
        <v/>
      </c>
      <c r="AP290" t="str">
        <f t="shared" si="28"/>
        <v/>
      </c>
      <c r="AQ290" t="str">
        <f t="shared" si="29"/>
        <v/>
      </c>
      <c r="AR290" t="str">
        <f t="shared" si="30"/>
        <v/>
      </c>
      <c r="AS290" t="str">
        <f t="shared" si="31"/>
        <v/>
      </c>
    </row>
    <row r="291" spans="5:45" x14ac:dyDescent="0.25">
      <c r="E291" t="str">
        <f ca="1"/>
        <v/>
      </c>
      <c r="F291" t="str">
        <f ca="1"/>
        <v/>
      </c>
      <c r="P291" t="e" cm="1">
        <f t="array" ref="P291">INDEX($B$2:$D$40,MOD(ROW()-ROW($B$2),ROWS($B$2:$D$40))+1,INT((ROW()-ROW($B$2))/ROWS($B$2:$D$40))+1)</f>
        <v>#REF!</v>
      </c>
      <c r="Q291" t="e">
        <f t="shared" ca="1" si="32"/>
        <v>#N/A</v>
      </c>
      <c r="R291" t="str" cm="1">
        <f t="array" aca="1" ref="R291" ca="1">IFERROR(INDIRECT("$P"&amp;Q291),"")</f>
        <v/>
      </c>
      <c r="U291" t="e" cm="1">
        <f t="array" ref="U291">INDEX($C$2:$D$40,MOD(ROW()-ROW($C$2),ROWS($C$2:$D$40))+1,INT((ROW()-ROW($C$2))/ROWS($C$2:$D$40))+1)</f>
        <v>#REF!</v>
      </c>
      <c r="V291" t="e">
        <f t="shared" ca="1" si="33"/>
        <v>#N/A</v>
      </c>
      <c r="W291" t="str" cm="1">
        <f t="array" aca="1" ref="W291" ca="1">IFERROR(INDIRECT("$U"&amp;V291),"")</f>
        <v/>
      </c>
      <c r="Z291" t="str" cm="1">
        <f t="array" aca="1" ref="Z291" ca="1">INDEX($AE$2:$AS$40,MOD(ROW()-ROW($AE$2),ROWS($AE$2:$AS$40))+1,INT((ROW()-ROW($AE$2))/ROWS($AE$2:$AS$40))+1)</f>
        <v>Space_5_co2_controller</v>
      </c>
      <c r="AA291" t="e">
        <f t="shared" ca="1" si="34"/>
        <v>#N/A</v>
      </c>
      <c r="AB291" t="str" cm="1">
        <f t="array" aca="1" ref="AB291" ca="1">IFERROR(INDIRECT("$Z"&amp;AA291),"")</f>
        <v/>
      </c>
      <c r="AP291" t="str">
        <f t="shared" si="28"/>
        <v/>
      </c>
      <c r="AQ291" t="str">
        <f t="shared" si="29"/>
        <v/>
      </c>
      <c r="AR291" t="str">
        <f t="shared" si="30"/>
        <v/>
      </c>
      <c r="AS291" t="str">
        <f t="shared" si="31"/>
        <v/>
      </c>
    </row>
    <row r="292" spans="5:45" x14ac:dyDescent="0.25">
      <c r="E292" t="str">
        <f ca="1"/>
        <v/>
      </c>
      <c r="F292" t="str">
        <f ca="1"/>
        <v/>
      </c>
      <c r="P292" t="e" cm="1">
        <f t="array" ref="P292">INDEX($B$2:$D$40,MOD(ROW()-ROW($B$2),ROWS($B$2:$D$40))+1,INT((ROW()-ROW($B$2))/ROWS($B$2:$D$40))+1)</f>
        <v>#REF!</v>
      </c>
      <c r="Q292" t="e">
        <f t="shared" ca="1" si="32"/>
        <v>#N/A</v>
      </c>
      <c r="R292" t="str" cm="1">
        <f t="array" aca="1" ref="R292" ca="1">IFERROR(INDIRECT("$P"&amp;Q292),"")</f>
        <v/>
      </c>
      <c r="U292" t="e" cm="1">
        <f t="array" ref="U292">INDEX($C$2:$D$40,MOD(ROW()-ROW($C$2),ROWS($C$2:$D$40))+1,INT((ROW()-ROW($C$2))/ROWS($C$2:$D$40))+1)</f>
        <v>#REF!</v>
      </c>
      <c r="V292" t="e">
        <f t="shared" ca="1" si="33"/>
        <v>#N/A</v>
      </c>
      <c r="W292" t="str" cm="1">
        <f t="array" aca="1" ref="W292" ca="1">IFERROR(INDIRECT("$U"&amp;V292),"")</f>
        <v/>
      </c>
      <c r="Z292" t="str" cm="1">
        <f t="array" aca="1" ref="Z292" ca="1">INDEX($AE$2:$AS$40,MOD(ROW()-ROW($AE$2),ROWS($AE$2:$AS$40))+1,INT((ROW()-ROW($AE$2))/ROWS($AE$2:$AS$40))+1)</f>
        <v>Space_4_temperature_controller</v>
      </c>
      <c r="AA292" t="e">
        <f t="shared" ca="1" si="34"/>
        <v>#N/A</v>
      </c>
      <c r="AB292" t="str" cm="1">
        <f t="array" aca="1" ref="AB292" ca="1">IFERROR(INDIRECT("$Z"&amp;AA292),"")</f>
        <v/>
      </c>
      <c r="AP292" t="str">
        <f t="shared" si="28"/>
        <v/>
      </c>
      <c r="AQ292" t="str">
        <f t="shared" si="29"/>
        <v/>
      </c>
      <c r="AR292" t="str">
        <f t="shared" si="30"/>
        <v/>
      </c>
      <c r="AS292" t="str">
        <f t="shared" si="31"/>
        <v/>
      </c>
    </row>
    <row r="293" spans="5:45" x14ac:dyDescent="0.25">
      <c r="E293" t="str">
        <f ca="1"/>
        <v/>
      </c>
      <c r="F293" t="str">
        <f ca="1"/>
        <v/>
      </c>
      <c r="P293" t="e" cm="1">
        <f t="array" ref="P293">INDEX($B$2:$D$40,MOD(ROW()-ROW($B$2),ROWS($B$2:$D$40))+1,INT((ROW()-ROW($B$2))/ROWS($B$2:$D$40))+1)</f>
        <v>#REF!</v>
      </c>
      <c r="Q293" t="e">
        <f t="shared" ca="1" si="32"/>
        <v>#N/A</v>
      </c>
      <c r="R293" t="str" cm="1">
        <f t="array" aca="1" ref="R293" ca="1">IFERROR(INDIRECT("$P"&amp;Q293),"")</f>
        <v/>
      </c>
      <c r="U293" t="e" cm="1">
        <f t="array" ref="U293">INDEX($C$2:$D$40,MOD(ROW()-ROW($C$2),ROWS($C$2:$D$40))+1,INT((ROW()-ROW($C$2))/ROWS($C$2:$D$40))+1)</f>
        <v>#REF!</v>
      </c>
      <c r="V293" t="e">
        <f t="shared" ca="1" si="33"/>
        <v>#N/A</v>
      </c>
      <c r="W293" t="str" cm="1">
        <f t="array" aca="1" ref="W293" ca="1">IFERROR(INDIRECT("$U"&amp;V293),"")</f>
        <v/>
      </c>
      <c r="Z293" t="str" cm="1">
        <f t="array" aca="1" ref="Z293" ca="1">INDEX($AE$2:$AS$40,MOD(ROW()-ROW($AE$2),ROWS($AE$2:$AS$40))+1,INT((ROW()-ROW($AE$2))/ROWS($AE$2:$AS$40))+1)</f>
        <v>Space_1_temperature_controller</v>
      </c>
      <c r="AA293" t="e">
        <f t="shared" ca="1" si="34"/>
        <v>#N/A</v>
      </c>
      <c r="AB293" t="str" cm="1">
        <f t="array" aca="1" ref="AB293" ca="1">IFERROR(INDIRECT("$Z"&amp;AA293),"")</f>
        <v/>
      </c>
      <c r="AP293" t="str">
        <f t="shared" si="28"/>
        <v/>
      </c>
      <c r="AQ293" t="str">
        <f t="shared" si="29"/>
        <v/>
      </c>
      <c r="AR293" t="str">
        <f t="shared" si="30"/>
        <v/>
      </c>
      <c r="AS293" t="str">
        <f t="shared" si="31"/>
        <v/>
      </c>
    </row>
    <row r="294" spans="5:45" x14ac:dyDescent="0.25">
      <c r="E294" t="str">
        <f ca="1"/>
        <v/>
      </c>
      <c r="F294" t="str">
        <f ca="1"/>
        <v/>
      </c>
      <c r="P294" t="e" cm="1">
        <f t="array" ref="P294">INDEX($B$2:$D$40,MOD(ROW()-ROW($B$2),ROWS($B$2:$D$40))+1,INT((ROW()-ROW($B$2))/ROWS($B$2:$D$40))+1)</f>
        <v>#REF!</v>
      </c>
      <c r="Q294" t="e">
        <f t="shared" ca="1" si="32"/>
        <v>#N/A</v>
      </c>
      <c r="R294" t="str" cm="1">
        <f t="array" aca="1" ref="R294" ca="1">IFERROR(INDIRECT("$P"&amp;Q294),"")</f>
        <v/>
      </c>
      <c r="U294" t="e" cm="1">
        <f t="array" ref="U294">INDEX($C$2:$D$40,MOD(ROW()-ROW($C$2),ROWS($C$2:$D$40))+1,INT((ROW()-ROW($C$2))/ROWS($C$2:$D$40))+1)</f>
        <v>#REF!</v>
      </c>
      <c r="V294" t="e">
        <f t="shared" ca="1" si="33"/>
        <v>#N/A</v>
      </c>
      <c r="W294" t="str" cm="1">
        <f t="array" aca="1" ref="W294" ca="1">IFERROR(INDIRECT("$U"&amp;V294),"")</f>
        <v/>
      </c>
      <c r="Z294" t="str" cm="1">
        <f t="array" aca="1" ref="Z294" ca="1">INDEX($AE$2:$AS$40,MOD(ROW()-ROW($AE$2),ROWS($AE$2:$AS$40))+1,INT((ROW()-ROW($AE$2))/ROWS($AE$2:$AS$40))+1)</f>
        <v>Space_1_co2_controller</v>
      </c>
      <c r="AA294" t="e">
        <f t="shared" ca="1" si="34"/>
        <v>#N/A</v>
      </c>
      <c r="AB294" t="str" cm="1">
        <f t="array" aca="1" ref="AB294" ca="1">IFERROR(INDIRECT("$Z"&amp;AA294),"")</f>
        <v/>
      </c>
      <c r="AP294" t="str">
        <f t="shared" si="28"/>
        <v/>
      </c>
      <c r="AQ294" t="str">
        <f t="shared" si="29"/>
        <v/>
      </c>
      <c r="AR294" t="str">
        <f t="shared" si="30"/>
        <v/>
      </c>
      <c r="AS294" t="str">
        <f t="shared" si="31"/>
        <v/>
      </c>
    </row>
    <row r="295" spans="5:45" x14ac:dyDescent="0.25">
      <c r="E295" t="str">
        <f ca="1"/>
        <v/>
      </c>
      <c r="F295" t="str">
        <f ca="1"/>
        <v/>
      </c>
      <c r="P295" t="e" cm="1">
        <f t="array" ref="P295">INDEX($B$2:$D$40,MOD(ROW()-ROW($B$2),ROWS($B$2:$D$40))+1,INT((ROW()-ROW($B$2))/ROWS($B$2:$D$40))+1)</f>
        <v>#REF!</v>
      </c>
      <c r="Q295" t="e">
        <f t="shared" ca="1" si="32"/>
        <v>#N/A</v>
      </c>
      <c r="R295" t="str" cm="1">
        <f t="array" aca="1" ref="R295" ca="1">IFERROR(INDIRECT("$P"&amp;Q295),"")</f>
        <v/>
      </c>
      <c r="U295" t="e" cm="1">
        <f t="array" ref="U295">INDEX($C$2:$D$40,MOD(ROW()-ROW($C$2),ROWS($C$2:$D$40))+1,INT((ROW()-ROW($C$2))/ROWS($C$2:$D$40))+1)</f>
        <v>#REF!</v>
      </c>
      <c r="V295" t="e">
        <f t="shared" ca="1" si="33"/>
        <v>#N/A</v>
      </c>
      <c r="W295" t="str" cm="1">
        <f t="array" aca="1" ref="W295" ca="1">IFERROR(INDIRECT("$U"&amp;V295),"")</f>
        <v/>
      </c>
      <c r="Z295" cm="1">
        <f t="array" ref="Z295">INDEX($AE$2:$AS$40,MOD(ROW()-ROW($AE$2),ROWS($AE$2:$AS$40))+1,INT((ROW()-ROW($AE$2))/ROWS($AE$2:$AS$40))+1)</f>
        <v>0</v>
      </c>
      <c r="AA295" t="e">
        <f t="shared" ca="1" si="34"/>
        <v>#N/A</v>
      </c>
      <c r="AB295" t="str" cm="1">
        <f t="array" aca="1" ref="AB295" ca="1">IFERROR(INDIRECT("$Z"&amp;AA295),"")</f>
        <v/>
      </c>
      <c r="AP295" t="str">
        <f t="shared" si="28"/>
        <v/>
      </c>
      <c r="AQ295" t="str">
        <f t="shared" si="29"/>
        <v/>
      </c>
      <c r="AR295" t="str">
        <f t="shared" si="30"/>
        <v/>
      </c>
      <c r="AS295" t="str">
        <f t="shared" si="31"/>
        <v/>
      </c>
    </row>
    <row r="296" spans="5:45" x14ac:dyDescent="0.25">
      <c r="E296" t="str">
        <f ca="1"/>
        <v/>
      </c>
      <c r="F296" t="str">
        <f ca="1"/>
        <v/>
      </c>
      <c r="P296" t="e" cm="1">
        <f t="array" ref="P296">INDEX($B$2:$D$40,MOD(ROW()-ROW($B$2),ROWS($B$2:$D$40))+1,INT((ROW()-ROW($B$2))/ROWS($B$2:$D$40))+1)</f>
        <v>#REF!</v>
      </c>
      <c r="Q296" t="e">
        <f t="shared" ca="1" si="32"/>
        <v>#N/A</v>
      </c>
      <c r="R296" t="str" cm="1">
        <f t="array" aca="1" ref="R296" ca="1">IFERROR(INDIRECT("$P"&amp;Q296),"")</f>
        <v/>
      </c>
      <c r="U296" t="e" cm="1">
        <f t="array" ref="U296">INDEX($C$2:$D$40,MOD(ROW()-ROW($C$2),ROWS($C$2:$D$40))+1,INT((ROW()-ROW($C$2))/ROWS($C$2:$D$40))+1)</f>
        <v>#REF!</v>
      </c>
      <c r="V296" t="e">
        <f t="shared" ca="1" si="33"/>
        <v>#N/A</v>
      </c>
      <c r="W296" t="str" cm="1">
        <f t="array" aca="1" ref="W296" ca="1">IFERROR(INDIRECT("$U"&amp;V296),"")</f>
        <v/>
      </c>
      <c r="Z296" cm="1">
        <f t="array" ref="Z296">INDEX($AE$2:$AS$40,MOD(ROW()-ROW($AE$2),ROWS($AE$2:$AS$40))+1,INT((ROW()-ROW($AE$2))/ROWS($AE$2:$AS$40))+1)</f>
        <v>0</v>
      </c>
      <c r="AA296" t="e">
        <f t="shared" ca="1" si="34"/>
        <v>#N/A</v>
      </c>
      <c r="AB296" t="str" cm="1">
        <f t="array" aca="1" ref="AB296" ca="1">IFERROR(INDIRECT("$Z"&amp;AA296),"")</f>
        <v/>
      </c>
      <c r="AP296" t="str">
        <f t="shared" si="28"/>
        <v/>
      </c>
      <c r="AQ296" t="str">
        <f t="shared" si="29"/>
        <v/>
      </c>
      <c r="AR296" t="str">
        <f t="shared" si="30"/>
        <v/>
      </c>
      <c r="AS296" t="str">
        <f t="shared" si="31"/>
        <v/>
      </c>
    </row>
    <row r="297" spans="5:45" x14ac:dyDescent="0.25">
      <c r="E297" t="str">
        <f ca="1"/>
        <v/>
      </c>
      <c r="F297" t="str">
        <f ca="1"/>
        <v/>
      </c>
      <c r="P297" t="e" cm="1">
        <f t="array" ref="P297">INDEX($B$2:$D$40,MOD(ROW()-ROW($B$2),ROWS($B$2:$D$40))+1,INT((ROW()-ROW($B$2))/ROWS($B$2:$D$40))+1)</f>
        <v>#REF!</v>
      </c>
      <c r="Q297" t="e">
        <f t="shared" ca="1" si="32"/>
        <v>#N/A</v>
      </c>
      <c r="R297" t="str" cm="1">
        <f t="array" aca="1" ref="R297" ca="1">IFERROR(INDIRECT("$P"&amp;Q297),"")</f>
        <v/>
      </c>
      <c r="U297" t="e" cm="1">
        <f t="array" ref="U297">INDEX($C$2:$D$40,MOD(ROW()-ROW($C$2),ROWS($C$2:$D$40))+1,INT((ROW()-ROW($C$2))/ROWS($C$2:$D$40))+1)</f>
        <v>#REF!</v>
      </c>
      <c r="V297" t="e">
        <f t="shared" ca="1" si="33"/>
        <v>#N/A</v>
      </c>
      <c r="W297" t="str" cm="1">
        <f t="array" aca="1" ref="W297" ca="1">IFERROR(INDIRECT("$U"&amp;V297),"")</f>
        <v/>
      </c>
      <c r="Z297" cm="1">
        <f t="array" ref="Z297">INDEX($AE$2:$AS$40,MOD(ROW()-ROW($AE$2),ROWS($AE$2:$AS$40))+1,INT((ROW()-ROW($AE$2))/ROWS($AE$2:$AS$40))+1)</f>
        <v>0</v>
      </c>
      <c r="AA297" t="e">
        <f t="shared" ca="1" si="34"/>
        <v>#N/A</v>
      </c>
      <c r="AB297" t="str" cm="1">
        <f t="array" aca="1" ref="AB297" ca="1">IFERROR(INDIRECT("$Z"&amp;AA297),"")</f>
        <v/>
      </c>
      <c r="AP297" t="str">
        <f t="shared" si="28"/>
        <v/>
      </c>
      <c r="AQ297" t="str">
        <f t="shared" si="29"/>
        <v/>
      </c>
      <c r="AR297" t="str">
        <f t="shared" si="30"/>
        <v/>
      </c>
      <c r="AS297" t="str">
        <f t="shared" si="31"/>
        <v/>
      </c>
    </row>
    <row r="298" spans="5:45" x14ac:dyDescent="0.25">
      <c r="E298" t="str">
        <f ca="1"/>
        <v/>
      </c>
      <c r="F298" t="str">
        <f ca="1"/>
        <v/>
      </c>
      <c r="P298" t="e" cm="1">
        <f t="array" ref="P298">INDEX($B$2:$D$40,MOD(ROW()-ROW($B$2),ROWS($B$2:$D$40))+1,INT((ROW()-ROW($B$2))/ROWS($B$2:$D$40))+1)</f>
        <v>#REF!</v>
      </c>
      <c r="Q298" t="e">
        <f t="shared" ca="1" si="32"/>
        <v>#N/A</v>
      </c>
      <c r="R298" t="str" cm="1">
        <f t="array" aca="1" ref="R298" ca="1">IFERROR(INDIRECT("$P"&amp;Q298),"")</f>
        <v/>
      </c>
      <c r="U298" t="e" cm="1">
        <f t="array" ref="U298">INDEX($C$2:$D$40,MOD(ROW()-ROW($C$2),ROWS($C$2:$D$40))+1,INT((ROW()-ROW($C$2))/ROWS($C$2:$D$40))+1)</f>
        <v>#REF!</v>
      </c>
      <c r="V298" t="e">
        <f t="shared" ca="1" si="33"/>
        <v>#N/A</v>
      </c>
      <c r="W298" t="str" cm="1">
        <f t="array" aca="1" ref="W298" ca="1">IFERROR(INDIRECT("$U"&amp;V298),"")</f>
        <v/>
      </c>
      <c r="Z298" cm="1">
        <f t="array" ref="Z298">INDEX($AE$2:$AS$40,MOD(ROW()-ROW($AE$2),ROWS($AE$2:$AS$40))+1,INT((ROW()-ROW($AE$2))/ROWS($AE$2:$AS$40))+1)</f>
        <v>0</v>
      </c>
      <c r="AA298" t="e">
        <f t="shared" ca="1" si="34"/>
        <v>#N/A</v>
      </c>
      <c r="AB298" t="str" cm="1">
        <f t="array" aca="1" ref="AB298" ca="1">IFERROR(INDIRECT("$Z"&amp;AA298),"")</f>
        <v/>
      </c>
      <c r="AP298" t="str">
        <f t="shared" si="28"/>
        <v/>
      </c>
      <c r="AQ298" t="str">
        <f t="shared" si="29"/>
        <v/>
      </c>
      <c r="AR298" t="str">
        <f t="shared" si="30"/>
        <v/>
      </c>
      <c r="AS298" t="str">
        <f t="shared" si="31"/>
        <v/>
      </c>
    </row>
    <row r="299" spans="5:45" x14ac:dyDescent="0.25">
      <c r="E299" t="str">
        <f ca="1"/>
        <v/>
      </c>
      <c r="F299" t="str">
        <f ca="1"/>
        <v/>
      </c>
      <c r="P299" t="e" cm="1">
        <f t="array" ref="P299">INDEX($B$2:$D$40,MOD(ROW()-ROW($B$2),ROWS($B$2:$D$40))+1,INT((ROW()-ROW($B$2))/ROWS($B$2:$D$40))+1)</f>
        <v>#REF!</v>
      </c>
      <c r="Q299" t="e">
        <f t="shared" ca="1" si="32"/>
        <v>#N/A</v>
      </c>
      <c r="R299" t="str" cm="1">
        <f t="array" aca="1" ref="R299" ca="1">IFERROR(INDIRECT("$P"&amp;Q299),"")</f>
        <v/>
      </c>
      <c r="U299" t="e" cm="1">
        <f t="array" ref="U299">INDEX($C$2:$D$40,MOD(ROW()-ROW($C$2),ROWS($C$2:$D$40))+1,INT((ROW()-ROW($C$2))/ROWS($C$2:$D$40))+1)</f>
        <v>#REF!</v>
      </c>
      <c r="V299" t="e">
        <f t="shared" ca="1" si="33"/>
        <v>#N/A</v>
      </c>
      <c r="W299" t="str" cm="1">
        <f t="array" aca="1" ref="W299" ca="1">IFERROR(INDIRECT("$U"&amp;V299),"")</f>
        <v/>
      </c>
      <c r="Z299" cm="1">
        <f t="array" ref="Z299">INDEX($AE$2:$AS$40,MOD(ROW()-ROW($AE$2),ROWS($AE$2:$AS$40))+1,INT((ROW()-ROW($AE$2))/ROWS($AE$2:$AS$40))+1)</f>
        <v>0</v>
      </c>
      <c r="AA299" t="e">
        <f t="shared" ca="1" si="34"/>
        <v>#N/A</v>
      </c>
      <c r="AB299" t="str" cm="1">
        <f t="array" aca="1" ref="AB299" ca="1">IFERROR(INDIRECT("$Z"&amp;AA299),"")</f>
        <v/>
      </c>
      <c r="AP299" t="str">
        <f t="shared" si="28"/>
        <v/>
      </c>
      <c r="AQ299" t="str">
        <f t="shared" si="29"/>
        <v/>
      </c>
      <c r="AR299" t="str">
        <f t="shared" si="30"/>
        <v/>
      </c>
      <c r="AS299" t="str">
        <f t="shared" si="31"/>
        <v/>
      </c>
    </row>
    <row r="300" spans="5:45" x14ac:dyDescent="0.25">
      <c r="E300" t="str">
        <f ca="1"/>
        <v/>
      </c>
      <c r="F300" t="str">
        <f ca="1"/>
        <v/>
      </c>
      <c r="P300" t="e" cm="1">
        <f t="array" ref="P300">INDEX($B$2:$D$40,MOD(ROW()-ROW($B$2),ROWS($B$2:$D$40))+1,INT((ROW()-ROW($B$2))/ROWS($B$2:$D$40))+1)</f>
        <v>#REF!</v>
      </c>
      <c r="Q300" t="e">
        <f t="shared" ca="1" si="32"/>
        <v>#N/A</v>
      </c>
      <c r="R300" t="str" cm="1">
        <f t="array" aca="1" ref="R300" ca="1">IFERROR(INDIRECT("$P"&amp;Q300),"")</f>
        <v/>
      </c>
      <c r="U300" t="e" cm="1">
        <f t="array" ref="U300">INDEX($C$2:$D$40,MOD(ROW()-ROW($C$2),ROWS($C$2:$D$40))+1,INT((ROW()-ROW($C$2))/ROWS($C$2:$D$40))+1)</f>
        <v>#REF!</v>
      </c>
      <c r="V300" t="e">
        <f t="shared" ca="1" si="33"/>
        <v>#N/A</v>
      </c>
      <c r="W300" t="str" cm="1">
        <f t="array" aca="1" ref="W300" ca="1">IFERROR(INDIRECT("$U"&amp;V300),"")</f>
        <v/>
      </c>
      <c r="Z300" cm="1">
        <f t="array" ref="Z300">INDEX($AE$2:$AS$40,MOD(ROW()-ROW($AE$2),ROWS($AE$2:$AS$40))+1,INT((ROW()-ROW($AE$2))/ROWS($AE$2:$AS$40))+1)</f>
        <v>0</v>
      </c>
      <c r="AA300" t="e">
        <f t="shared" ca="1" si="34"/>
        <v>#N/A</v>
      </c>
      <c r="AB300" t="str" cm="1">
        <f t="array" aca="1" ref="AB300" ca="1">IFERROR(INDIRECT("$Z"&amp;AA300),"")</f>
        <v/>
      </c>
      <c r="AP300" t="str">
        <f t="shared" si="28"/>
        <v/>
      </c>
      <c r="AQ300" t="str">
        <f t="shared" si="29"/>
        <v/>
      </c>
      <c r="AR300" t="str">
        <f t="shared" si="30"/>
        <v/>
      </c>
      <c r="AS300" t="str">
        <f t="shared" si="31"/>
        <v/>
      </c>
    </row>
    <row r="301" spans="5:45" x14ac:dyDescent="0.25">
      <c r="E301" t="str">
        <f ca="1"/>
        <v/>
      </c>
      <c r="F301" t="str">
        <f ca="1"/>
        <v/>
      </c>
      <c r="P301" t="e" cm="1">
        <f t="array" ref="P301">INDEX($B$2:$D$40,MOD(ROW()-ROW($B$2),ROWS($B$2:$D$40))+1,INT((ROW()-ROW($B$2))/ROWS($B$2:$D$40))+1)</f>
        <v>#REF!</v>
      </c>
      <c r="Q301" t="e">
        <f t="shared" ca="1" si="32"/>
        <v>#N/A</v>
      </c>
      <c r="R301" t="str" cm="1">
        <f t="array" aca="1" ref="R301" ca="1">IFERROR(INDIRECT("$P"&amp;Q301),"")</f>
        <v/>
      </c>
      <c r="U301" t="e" cm="1">
        <f t="array" ref="U301">INDEX($C$2:$D$40,MOD(ROW()-ROW($C$2),ROWS($C$2:$D$40))+1,INT((ROW()-ROW($C$2))/ROWS($C$2:$D$40))+1)</f>
        <v>#REF!</v>
      </c>
      <c r="V301" t="e">
        <f t="shared" ca="1" si="33"/>
        <v>#N/A</v>
      </c>
      <c r="W301" t="str" cm="1">
        <f t="array" aca="1" ref="W301" ca="1">IFERROR(INDIRECT("$U"&amp;V301),"")</f>
        <v/>
      </c>
      <c r="Z301" cm="1">
        <f t="array" ref="Z301">INDEX($AE$2:$AS$40,MOD(ROW()-ROW($AE$2),ROWS($AE$2:$AS$40))+1,INT((ROW()-ROW($AE$2))/ROWS($AE$2:$AS$40))+1)</f>
        <v>0</v>
      </c>
      <c r="AA301" t="e">
        <f t="shared" ca="1" si="34"/>
        <v>#N/A</v>
      </c>
      <c r="AB301" t="str" cm="1">
        <f t="array" aca="1" ref="AB301" ca="1">IFERROR(INDIRECT("$Z"&amp;AA301),"")</f>
        <v/>
      </c>
      <c r="AP301" t="str">
        <f t="shared" si="28"/>
        <v/>
      </c>
      <c r="AQ301" t="str">
        <f t="shared" si="29"/>
        <v/>
      </c>
      <c r="AR301" t="str">
        <f t="shared" si="30"/>
        <v/>
      </c>
      <c r="AS301" t="str">
        <f t="shared" si="31"/>
        <v/>
      </c>
    </row>
    <row r="302" spans="5:45" x14ac:dyDescent="0.25">
      <c r="E302" t="str">
        <f ca="1"/>
        <v/>
      </c>
      <c r="F302" t="str">
        <f ca="1"/>
        <v/>
      </c>
      <c r="P302" t="e" cm="1">
        <f t="array" ref="P302">INDEX($B$2:$D$40,MOD(ROW()-ROW($B$2),ROWS($B$2:$D$40))+1,INT((ROW()-ROW($B$2))/ROWS($B$2:$D$40))+1)</f>
        <v>#REF!</v>
      </c>
      <c r="Q302" t="e">
        <f t="shared" ca="1" si="32"/>
        <v>#N/A</v>
      </c>
      <c r="R302" t="str" cm="1">
        <f t="array" aca="1" ref="R302" ca="1">IFERROR(INDIRECT("$P"&amp;Q302),"")</f>
        <v/>
      </c>
      <c r="U302" t="e" cm="1">
        <f t="array" ref="U302">INDEX($C$2:$D$40,MOD(ROW()-ROW($C$2),ROWS($C$2:$D$40))+1,INT((ROW()-ROW($C$2))/ROWS($C$2:$D$40))+1)</f>
        <v>#REF!</v>
      </c>
      <c r="V302" t="e">
        <f t="shared" ca="1" si="33"/>
        <v>#N/A</v>
      </c>
      <c r="W302" t="str" cm="1">
        <f t="array" aca="1" ref="W302" ca="1">IFERROR(INDIRECT("$U"&amp;V302),"")</f>
        <v/>
      </c>
      <c r="Z302" cm="1">
        <f t="array" ref="Z302">INDEX($AE$2:$AS$40,MOD(ROW()-ROW($AE$2),ROWS($AE$2:$AS$40))+1,INT((ROW()-ROW($AE$2))/ROWS($AE$2:$AS$40))+1)</f>
        <v>0</v>
      </c>
      <c r="AA302" t="e">
        <f t="shared" ca="1" si="34"/>
        <v>#N/A</v>
      </c>
      <c r="AB302" t="str" cm="1">
        <f t="array" aca="1" ref="AB302" ca="1">IFERROR(INDIRECT("$Z"&amp;AA302),"")</f>
        <v/>
      </c>
      <c r="AP302" t="str">
        <f t="shared" si="28"/>
        <v/>
      </c>
      <c r="AQ302" t="str">
        <f t="shared" si="29"/>
        <v/>
      </c>
      <c r="AR302" t="str">
        <f t="shared" si="30"/>
        <v/>
      </c>
      <c r="AS302" t="str">
        <f t="shared" si="31"/>
        <v/>
      </c>
    </row>
    <row r="303" spans="5:45" x14ac:dyDescent="0.25">
      <c r="E303" t="str">
        <f ca="1"/>
        <v/>
      </c>
      <c r="F303" t="str">
        <f ca="1"/>
        <v/>
      </c>
      <c r="P303" t="e" cm="1">
        <f t="array" ref="P303">INDEX($B$2:$D$40,MOD(ROW()-ROW($B$2),ROWS($B$2:$D$40))+1,INT((ROW()-ROW($B$2))/ROWS($B$2:$D$40))+1)</f>
        <v>#REF!</v>
      </c>
      <c r="Q303" t="e">
        <f t="shared" ca="1" si="32"/>
        <v>#N/A</v>
      </c>
      <c r="R303" t="str" cm="1">
        <f t="array" aca="1" ref="R303" ca="1">IFERROR(INDIRECT("$P"&amp;Q303),"")</f>
        <v/>
      </c>
      <c r="U303" t="e" cm="1">
        <f t="array" ref="U303">INDEX($C$2:$D$40,MOD(ROW()-ROW($C$2),ROWS($C$2:$D$40))+1,INT((ROW()-ROW($C$2))/ROWS($C$2:$D$40))+1)</f>
        <v>#REF!</v>
      </c>
      <c r="V303" t="e">
        <f t="shared" ca="1" si="33"/>
        <v>#N/A</v>
      </c>
      <c r="W303" t="str" cm="1">
        <f t="array" aca="1" ref="W303" ca="1">IFERROR(INDIRECT("$U"&amp;V303),"")</f>
        <v/>
      </c>
      <c r="Z303" cm="1">
        <f t="array" ref="Z303">INDEX($AE$2:$AS$40,MOD(ROW()-ROW($AE$2),ROWS($AE$2:$AS$40))+1,INT((ROW()-ROW($AE$2))/ROWS($AE$2:$AS$40))+1)</f>
        <v>0</v>
      </c>
      <c r="AA303" t="e">
        <f t="shared" ca="1" si="34"/>
        <v>#N/A</v>
      </c>
      <c r="AB303" t="str" cm="1">
        <f t="array" aca="1" ref="AB303" ca="1">IFERROR(INDIRECT("$Z"&amp;AA303),"")</f>
        <v/>
      </c>
      <c r="AP303" t="str">
        <f t="shared" si="28"/>
        <v/>
      </c>
      <c r="AQ303" t="str">
        <f t="shared" si="29"/>
        <v/>
      </c>
      <c r="AR303" t="str">
        <f t="shared" si="30"/>
        <v/>
      </c>
      <c r="AS303" t="str">
        <f t="shared" si="31"/>
        <v/>
      </c>
    </row>
    <row r="304" spans="5:45" x14ac:dyDescent="0.25">
      <c r="E304" t="str">
        <f ca="1"/>
        <v/>
      </c>
      <c r="F304" t="str">
        <f ca="1"/>
        <v/>
      </c>
      <c r="P304" t="e" cm="1">
        <f t="array" ref="P304">INDEX($B$2:$D$40,MOD(ROW()-ROW($B$2),ROWS($B$2:$D$40))+1,INT((ROW()-ROW($B$2))/ROWS($B$2:$D$40))+1)</f>
        <v>#REF!</v>
      </c>
      <c r="Q304" t="e">
        <f t="shared" ca="1" si="32"/>
        <v>#N/A</v>
      </c>
      <c r="R304" t="str" cm="1">
        <f t="array" aca="1" ref="R304" ca="1">IFERROR(INDIRECT("$P"&amp;Q304),"")</f>
        <v/>
      </c>
      <c r="U304" t="e" cm="1">
        <f t="array" ref="U304">INDEX($C$2:$D$40,MOD(ROW()-ROW($C$2),ROWS($C$2:$D$40))+1,INT((ROW()-ROW($C$2))/ROWS($C$2:$D$40))+1)</f>
        <v>#REF!</v>
      </c>
      <c r="V304" t="e">
        <f t="shared" ca="1" si="33"/>
        <v>#N/A</v>
      </c>
      <c r="W304" t="str" cm="1">
        <f t="array" aca="1" ref="W304" ca="1">IFERROR(INDIRECT("$U"&amp;V304),"")</f>
        <v/>
      </c>
      <c r="Z304" cm="1">
        <f t="array" ref="Z304">INDEX($AE$2:$AS$40,MOD(ROW()-ROW($AE$2),ROWS($AE$2:$AS$40))+1,INT((ROW()-ROW($AE$2))/ROWS($AE$2:$AS$40))+1)</f>
        <v>0</v>
      </c>
      <c r="AA304" t="e">
        <f t="shared" ca="1" si="34"/>
        <v>#N/A</v>
      </c>
      <c r="AB304" t="str" cm="1">
        <f t="array" aca="1" ref="AB304" ca="1">IFERROR(INDIRECT("$Z"&amp;AA304),"")</f>
        <v/>
      </c>
      <c r="AP304" t="str">
        <f t="shared" si="28"/>
        <v/>
      </c>
      <c r="AQ304" t="str">
        <f t="shared" si="29"/>
        <v/>
      </c>
      <c r="AR304" t="str">
        <f t="shared" si="30"/>
        <v/>
      </c>
      <c r="AS304" t="str">
        <f t="shared" si="31"/>
        <v/>
      </c>
    </row>
    <row r="305" spans="5:45" x14ac:dyDescent="0.25">
      <c r="E305" t="str">
        <f ca="1"/>
        <v/>
      </c>
      <c r="F305" t="str">
        <f ca="1"/>
        <v/>
      </c>
      <c r="P305" t="e" cm="1">
        <f t="array" ref="P305">INDEX($B$2:$D$40,MOD(ROW()-ROW($B$2),ROWS($B$2:$D$40))+1,INT((ROW()-ROW($B$2))/ROWS($B$2:$D$40))+1)</f>
        <v>#REF!</v>
      </c>
      <c r="Q305" t="e">
        <f t="shared" ca="1" si="32"/>
        <v>#N/A</v>
      </c>
      <c r="R305" t="str" cm="1">
        <f t="array" aca="1" ref="R305" ca="1">IFERROR(INDIRECT("$P"&amp;Q305),"")</f>
        <v/>
      </c>
      <c r="U305" t="e" cm="1">
        <f t="array" ref="U305">INDEX($C$2:$D$40,MOD(ROW()-ROW($C$2),ROWS($C$2:$D$40))+1,INT((ROW()-ROW($C$2))/ROWS($C$2:$D$40))+1)</f>
        <v>#REF!</v>
      </c>
      <c r="V305" t="e">
        <f t="shared" ca="1" si="33"/>
        <v>#N/A</v>
      </c>
      <c r="W305" t="str" cm="1">
        <f t="array" aca="1" ref="W305" ca="1">IFERROR(INDIRECT("$U"&amp;V305),"")</f>
        <v/>
      </c>
      <c r="Z305" cm="1">
        <f t="array" ref="Z305">INDEX($AE$2:$AS$40,MOD(ROW()-ROW($AE$2),ROWS($AE$2:$AS$40))+1,INT((ROW()-ROW($AE$2))/ROWS($AE$2:$AS$40))+1)</f>
        <v>0</v>
      </c>
      <c r="AA305" t="e">
        <f t="shared" ca="1" si="34"/>
        <v>#N/A</v>
      </c>
      <c r="AB305" t="str" cm="1">
        <f t="array" aca="1" ref="AB305" ca="1">IFERROR(INDIRECT("$Z"&amp;AA305),"")</f>
        <v/>
      </c>
      <c r="AP305" t="str">
        <f t="shared" si="28"/>
        <v/>
      </c>
      <c r="AQ305" t="str">
        <f t="shared" si="29"/>
        <v/>
      </c>
      <c r="AR305" t="str">
        <f t="shared" si="30"/>
        <v/>
      </c>
      <c r="AS305" t="str">
        <f t="shared" si="31"/>
        <v/>
      </c>
    </row>
    <row r="306" spans="5:45" x14ac:dyDescent="0.25">
      <c r="E306" t="str">
        <f ca="1"/>
        <v/>
      </c>
      <c r="F306" t="str">
        <f ca="1"/>
        <v/>
      </c>
      <c r="P306" t="e" cm="1">
        <f t="array" ref="P306">INDEX($B$2:$D$40,MOD(ROW()-ROW($B$2),ROWS($B$2:$D$40))+1,INT((ROW()-ROW($B$2))/ROWS($B$2:$D$40))+1)</f>
        <v>#REF!</v>
      </c>
      <c r="Q306" t="e">
        <f t="shared" ca="1" si="32"/>
        <v>#N/A</v>
      </c>
      <c r="R306" t="str" cm="1">
        <f t="array" aca="1" ref="R306" ca="1">IFERROR(INDIRECT("$P"&amp;Q306),"")</f>
        <v/>
      </c>
      <c r="U306" t="e" cm="1">
        <f t="array" ref="U306">INDEX($C$2:$D$40,MOD(ROW()-ROW($C$2),ROWS($C$2:$D$40))+1,INT((ROW()-ROW($C$2))/ROWS($C$2:$D$40))+1)</f>
        <v>#REF!</v>
      </c>
      <c r="V306" t="e">
        <f t="shared" ca="1" si="33"/>
        <v>#N/A</v>
      </c>
      <c r="W306" t="str" cm="1">
        <f t="array" aca="1" ref="W306" ca="1">IFERROR(INDIRECT("$U"&amp;V306),"")</f>
        <v/>
      </c>
      <c r="Z306" cm="1">
        <f t="array" ref="Z306">INDEX($AE$2:$AS$40,MOD(ROW()-ROW($AE$2),ROWS($AE$2:$AS$40))+1,INT((ROW()-ROW($AE$2))/ROWS($AE$2:$AS$40))+1)</f>
        <v>0</v>
      </c>
      <c r="AA306" t="e">
        <f t="shared" ca="1" si="34"/>
        <v>#N/A</v>
      </c>
      <c r="AB306" t="str" cm="1">
        <f t="array" aca="1" ref="AB306" ca="1">IFERROR(INDIRECT("$Z"&amp;AA306),"")</f>
        <v/>
      </c>
      <c r="AP306" t="str">
        <f t="shared" si="28"/>
        <v/>
      </c>
      <c r="AQ306" t="str">
        <f t="shared" si="29"/>
        <v/>
      </c>
      <c r="AR306" t="str">
        <f t="shared" si="30"/>
        <v/>
      </c>
      <c r="AS306" t="str">
        <f t="shared" si="31"/>
        <v/>
      </c>
    </row>
    <row r="307" spans="5:45" x14ac:dyDescent="0.25">
      <c r="E307" t="str">
        <f ca="1"/>
        <v/>
      </c>
      <c r="F307" t="str">
        <f ca="1"/>
        <v/>
      </c>
      <c r="P307" t="e" cm="1">
        <f t="array" ref="P307">INDEX($B$2:$D$40,MOD(ROW()-ROW($B$2),ROWS($B$2:$D$40))+1,INT((ROW()-ROW($B$2))/ROWS($B$2:$D$40))+1)</f>
        <v>#REF!</v>
      </c>
      <c r="Q307" t="e">
        <f t="shared" ca="1" si="32"/>
        <v>#N/A</v>
      </c>
      <c r="R307" t="str" cm="1">
        <f t="array" aca="1" ref="R307" ca="1">IFERROR(INDIRECT("$P"&amp;Q307),"")</f>
        <v/>
      </c>
      <c r="U307" t="e" cm="1">
        <f t="array" ref="U307">INDEX($C$2:$D$40,MOD(ROW()-ROW($C$2),ROWS($C$2:$D$40))+1,INT((ROW()-ROW($C$2))/ROWS($C$2:$D$40))+1)</f>
        <v>#REF!</v>
      </c>
      <c r="V307" t="e">
        <f t="shared" ca="1" si="33"/>
        <v>#N/A</v>
      </c>
      <c r="W307" t="str" cm="1">
        <f t="array" aca="1" ref="W307" ca="1">IFERROR(INDIRECT("$U"&amp;V307),"")</f>
        <v/>
      </c>
      <c r="Z307" cm="1">
        <f t="array" ref="Z307">INDEX($AE$2:$AS$40,MOD(ROW()-ROW($AE$2),ROWS($AE$2:$AS$40))+1,INT((ROW()-ROW($AE$2))/ROWS($AE$2:$AS$40))+1)</f>
        <v>0</v>
      </c>
      <c r="AA307" t="e">
        <f t="shared" ca="1" si="34"/>
        <v>#N/A</v>
      </c>
      <c r="AB307" t="str" cm="1">
        <f t="array" aca="1" ref="AB307" ca="1">IFERROR(INDIRECT("$Z"&amp;AA307),"")</f>
        <v/>
      </c>
      <c r="AP307" t="str">
        <f t="shared" si="28"/>
        <v/>
      </c>
      <c r="AQ307" t="str">
        <f t="shared" si="29"/>
        <v/>
      </c>
      <c r="AR307" t="str">
        <f t="shared" si="30"/>
        <v/>
      </c>
      <c r="AS307" t="str">
        <f t="shared" si="31"/>
        <v/>
      </c>
    </row>
    <row r="308" spans="5:45" x14ac:dyDescent="0.25">
      <c r="E308" t="str">
        <f ca="1"/>
        <v/>
      </c>
      <c r="F308" t="str">
        <f ca="1"/>
        <v/>
      </c>
      <c r="P308" t="e" cm="1">
        <f t="array" ref="P308">INDEX($B$2:$D$40,MOD(ROW()-ROW($B$2),ROWS($B$2:$D$40))+1,INT((ROW()-ROW($B$2))/ROWS($B$2:$D$40))+1)</f>
        <v>#REF!</v>
      </c>
      <c r="Q308" t="e">
        <f t="shared" ca="1" si="32"/>
        <v>#N/A</v>
      </c>
      <c r="R308" t="str" cm="1">
        <f t="array" aca="1" ref="R308" ca="1">IFERROR(INDIRECT("$P"&amp;Q308),"")</f>
        <v/>
      </c>
      <c r="U308" t="e" cm="1">
        <f t="array" ref="U308">INDEX($C$2:$D$40,MOD(ROW()-ROW($C$2),ROWS($C$2:$D$40))+1,INT((ROW()-ROW($C$2))/ROWS($C$2:$D$40))+1)</f>
        <v>#REF!</v>
      </c>
      <c r="V308" t="e">
        <f t="shared" ca="1" si="33"/>
        <v>#N/A</v>
      </c>
      <c r="W308" t="str" cm="1">
        <f t="array" aca="1" ref="W308" ca="1">IFERROR(INDIRECT("$U"&amp;V308),"")</f>
        <v/>
      </c>
      <c r="Z308" cm="1">
        <f t="array" ref="Z308">INDEX($AE$2:$AS$40,MOD(ROW()-ROW($AE$2),ROWS($AE$2:$AS$40))+1,INT((ROW()-ROW($AE$2))/ROWS($AE$2:$AS$40))+1)</f>
        <v>0</v>
      </c>
      <c r="AA308" t="e">
        <f t="shared" ca="1" si="34"/>
        <v>#N/A</v>
      </c>
      <c r="AB308" t="str" cm="1">
        <f t="array" aca="1" ref="AB308" ca="1">IFERROR(INDIRECT("$Z"&amp;AA308),"")</f>
        <v/>
      </c>
      <c r="AP308" t="str">
        <f t="shared" si="28"/>
        <v/>
      </c>
      <c r="AQ308" t="str">
        <f t="shared" si="29"/>
        <v/>
      </c>
      <c r="AR308" t="str">
        <f t="shared" si="30"/>
        <v/>
      </c>
      <c r="AS308" t="str">
        <f t="shared" si="31"/>
        <v/>
      </c>
    </row>
    <row r="309" spans="5:45" x14ac:dyDescent="0.25">
      <c r="E309" t="str">
        <f ca="1"/>
        <v/>
      </c>
      <c r="F309" t="str">
        <f ca="1"/>
        <v/>
      </c>
      <c r="P309" t="e" cm="1">
        <f t="array" ref="P309">INDEX($B$2:$D$40,MOD(ROW()-ROW($B$2),ROWS($B$2:$D$40))+1,INT((ROW()-ROW($B$2))/ROWS($B$2:$D$40))+1)</f>
        <v>#REF!</v>
      </c>
      <c r="Q309" t="e">
        <f t="shared" ca="1" si="32"/>
        <v>#N/A</v>
      </c>
      <c r="R309" t="str" cm="1">
        <f t="array" aca="1" ref="R309" ca="1">IFERROR(INDIRECT("$P"&amp;Q309),"")</f>
        <v/>
      </c>
      <c r="U309" t="e" cm="1">
        <f t="array" ref="U309">INDEX($C$2:$D$40,MOD(ROW()-ROW($C$2),ROWS($C$2:$D$40))+1,INT((ROW()-ROW($C$2))/ROWS($C$2:$D$40))+1)</f>
        <v>#REF!</v>
      </c>
      <c r="V309" t="e">
        <f t="shared" ca="1" si="33"/>
        <v>#N/A</v>
      </c>
      <c r="W309" t="str" cm="1">
        <f t="array" aca="1" ref="W309" ca="1">IFERROR(INDIRECT("$U"&amp;V309),"")</f>
        <v/>
      </c>
      <c r="Z309" cm="1">
        <f t="array" ref="Z309">INDEX($AE$2:$AS$40,MOD(ROW()-ROW($AE$2),ROWS($AE$2:$AS$40))+1,INT((ROW()-ROW($AE$2))/ROWS($AE$2:$AS$40))+1)</f>
        <v>0</v>
      </c>
      <c r="AA309" t="e">
        <f t="shared" ca="1" si="34"/>
        <v>#N/A</v>
      </c>
      <c r="AB309" t="str" cm="1">
        <f t="array" aca="1" ref="AB309" ca="1">IFERROR(INDIRECT("$Z"&amp;AA309),"")</f>
        <v/>
      </c>
      <c r="AP309" t="str">
        <f t="shared" si="28"/>
        <v/>
      </c>
      <c r="AQ309" t="str">
        <f t="shared" si="29"/>
        <v/>
      </c>
      <c r="AR309" t="str">
        <f t="shared" si="30"/>
        <v/>
      </c>
      <c r="AS309" t="str">
        <f t="shared" si="31"/>
        <v/>
      </c>
    </row>
    <row r="310" spans="5:45" x14ac:dyDescent="0.25">
      <c r="E310" t="str">
        <f ca="1"/>
        <v/>
      </c>
      <c r="F310" t="str">
        <f ca="1"/>
        <v/>
      </c>
      <c r="P310" t="e" cm="1">
        <f t="array" ref="P310">INDEX($B$2:$D$40,MOD(ROW()-ROW($B$2),ROWS($B$2:$D$40))+1,INT((ROW()-ROW($B$2))/ROWS($B$2:$D$40))+1)</f>
        <v>#REF!</v>
      </c>
      <c r="Q310" t="e">
        <f t="shared" ca="1" si="32"/>
        <v>#N/A</v>
      </c>
      <c r="R310" t="str" cm="1">
        <f t="array" aca="1" ref="R310" ca="1">IFERROR(INDIRECT("$P"&amp;Q310),"")</f>
        <v/>
      </c>
      <c r="U310" t="e" cm="1">
        <f t="array" ref="U310">INDEX($C$2:$D$40,MOD(ROW()-ROW($C$2),ROWS($C$2:$D$40))+1,INT((ROW()-ROW($C$2))/ROWS($C$2:$D$40))+1)</f>
        <v>#REF!</v>
      </c>
      <c r="V310" t="e">
        <f t="shared" ca="1" si="33"/>
        <v>#N/A</v>
      </c>
      <c r="W310" t="str" cm="1">
        <f t="array" aca="1" ref="W310" ca="1">IFERROR(INDIRECT("$U"&amp;V310),"")</f>
        <v/>
      </c>
      <c r="Z310" cm="1">
        <f t="array" ref="Z310">INDEX($AE$2:$AS$40,MOD(ROW()-ROW($AE$2),ROWS($AE$2:$AS$40))+1,INT((ROW()-ROW($AE$2))/ROWS($AE$2:$AS$40))+1)</f>
        <v>0</v>
      </c>
      <c r="AA310" t="e">
        <f t="shared" ca="1" si="34"/>
        <v>#N/A</v>
      </c>
      <c r="AB310" t="str" cm="1">
        <f t="array" aca="1" ref="AB310" ca="1">IFERROR(INDIRECT("$Z"&amp;AA310),"")</f>
        <v/>
      </c>
      <c r="AP310" t="str">
        <f t="shared" si="28"/>
        <v/>
      </c>
      <c r="AQ310" t="str">
        <f t="shared" si="29"/>
        <v/>
      </c>
      <c r="AR310" t="str">
        <f t="shared" si="30"/>
        <v/>
      </c>
      <c r="AS310" t="str">
        <f t="shared" si="31"/>
        <v/>
      </c>
    </row>
    <row r="311" spans="5:45" x14ac:dyDescent="0.25">
      <c r="E311" t="str">
        <f ca="1"/>
        <v/>
      </c>
      <c r="F311" t="str">
        <f ca="1"/>
        <v/>
      </c>
      <c r="P311" t="e" cm="1">
        <f t="array" ref="P311">INDEX($B$2:$D$40,MOD(ROW()-ROW($B$2),ROWS($B$2:$D$40))+1,INT((ROW()-ROW($B$2))/ROWS($B$2:$D$40))+1)</f>
        <v>#REF!</v>
      </c>
      <c r="Q311" t="e">
        <f t="shared" ca="1" si="32"/>
        <v>#N/A</v>
      </c>
      <c r="R311" t="str" cm="1">
        <f t="array" aca="1" ref="R311" ca="1">IFERROR(INDIRECT("$P"&amp;Q311),"")</f>
        <v/>
      </c>
      <c r="U311" t="e" cm="1">
        <f t="array" ref="U311">INDEX($C$2:$D$40,MOD(ROW()-ROW($C$2),ROWS($C$2:$D$40))+1,INT((ROW()-ROW($C$2))/ROWS($C$2:$D$40))+1)</f>
        <v>#REF!</v>
      </c>
      <c r="V311" t="e">
        <f t="shared" ca="1" si="33"/>
        <v>#N/A</v>
      </c>
      <c r="W311" t="str" cm="1">
        <f t="array" aca="1" ref="W311" ca="1">IFERROR(INDIRECT("$U"&amp;V311),"")</f>
        <v/>
      </c>
      <c r="Z311" cm="1">
        <f t="array" ref="Z311">INDEX($AE$2:$AS$40,MOD(ROW()-ROW($AE$2),ROWS($AE$2:$AS$40))+1,INT((ROW()-ROW($AE$2))/ROWS($AE$2:$AS$40))+1)</f>
        <v>0</v>
      </c>
      <c r="AA311" t="e">
        <f t="shared" ca="1" si="34"/>
        <v>#N/A</v>
      </c>
      <c r="AB311" t="str" cm="1">
        <f t="array" aca="1" ref="AB311" ca="1">IFERROR(INDIRECT("$Z"&amp;AA311),"")</f>
        <v/>
      </c>
      <c r="AP311" t="str">
        <f t="shared" si="28"/>
        <v/>
      </c>
      <c r="AQ311" t="str">
        <f t="shared" si="29"/>
        <v/>
      </c>
      <c r="AR311" t="str">
        <f t="shared" si="30"/>
        <v/>
      </c>
      <c r="AS311" t="str">
        <f t="shared" si="31"/>
        <v/>
      </c>
    </row>
    <row r="312" spans="5:45" x14ac:dyDescent="0.25">
      <c r="E312" t="str">
        <f ca="1"/>
        <v/>
      </c>
      <c r="F312" t="str">
        <f ca="1"/>
        <v/>
      </c>
      <c r="P312" t="e" cm="1">
        <f t="array" ref="P312">INDEX($B$2:$D$40,MOD(ROW()-ROW($B$2),ROWS($B$2:$D$40))+1,INT((ROW()-ROW($B$2))/ROWS($B$2:$D$40))+1)</f>
        <v>#REF!</v>
      </c>
      <c r="Q312" t="e">
        <f t="shared" ca="1" si="32"/>
        <v>#N/A</v>
      </c>
      <c r="R312" t="str" cm="1">
        <f t="array" aca="1" ref="R312" ca="1">IFERROR(INDIRECT("$P"&amp;Q312),"")</f>
        <v/>
      </c>
      <c r="U312" t="e" cm="1">
        <f t="array" ref="U312">INDEX($C$2:$D$40,MOD(ROW()-ROW($C$2),ROWS($C$2:$D$40))+1,INT((ROW()-ROW($C$2))/ROWS($C$2:$D$40))+1)</f>
        <v>#REF!</v>
      </c>
      <c r="V312" t="e">
        <f t="shared" ca="1" si="33"/>
        <v>#N/A</v>
      </c>
      <c r="W312" t="str" cm="1">
        <f t="array" aca="1" ref="W312" ca="1">IFERROR(INDIRECT("$U"&amp;V312),"")</f>
        <v/>
      </c>
      <c r="Z312" cm="1">
        <f t="array" ref="Z312">INDEX($AE$2:$AS$40,MOD(ROW()-ROW($AE$2),ROWS($AE$2:$AS$40))+1,INT((ROW()-ROW($AE$2))/ROWS($AE$2:$AS$40))+1)</f>
        <v>0</v>
      </c>
      <c r="AA312" t="e">
        <f t="shared" ca="1" si="34"/>
        <v>#N/A</v>
      </c>
      <c r="AB312" t="str" cm="1">
        <f t="array" aca="1" ref="AB312" ca="1">IFERROR(INDIRECT("$Z"&amp;AA312),"")</f>
        <v/>
      </c>
      <c r="AP312" t="str">
        <f t="shared" si="28"/>
        <v/>
      </c>
      <c r="AQ312" t="str">
        <f t="shared" si="29"/>
        <v/>
      </c>
      <c r="AR312" t="str">
        <f t="shared" si="30"/>
        <v/>
      </c>
      <c r="AS312" t="str">
        <f t="shared" si="31"/>
        <v/>
      </c>
    </row>
    <row r="313" spans="5:45" x14ac:dyDescent="0.25">
      <c r="E313" t="str">
        <f ca="1"/>
        <v/>
      </c>
      <c r="F313" t="str">
        <f ca="1"/>
        <v/>
      </c>
      <c r="P313" t="e" cm="1">
        <f t="array" ref="P313">INDEX($B$2:$D$40,MOD(ROW()-ROW($B$2),ROWS($B$2:$D$40))+1,INT((ROW()-ROW($B$2))/ROWS($B$2:$D$40))+1)</f>
        <v>#REF!</v>
      </c>
      <c r="Q313" t="e">
        <f t="shared" ca="1" si="32"/>
        <v>#N/A</v>
      </c>
      <c r="R313" t="str" cm="1">
        <f t="array" aca="1" ref="R313" ca="1">IFERROR(INDIRECT("$P"&amp;Q313),"")</f>
        <v/>
      </c>
      <c r="U313" t="e" cm="1">
        <f t="array" ref="U313">INDEX($C$2:$D$40,MOD(ROW()-ROW($C$2),ROWS($C$2:$D$40))+1,INT((ROW()-ROW($C$2))/ROWS($C$2:$D$40))+1)</f>
        <v>#REF!</v>
      </c>
      <c r="V313" t="e">
        <f t="shared" ca="1" si="33"/>
        <v>#N/A</v>
      </c>
      <c r="W313" t="str" cm="1">
        <f t="array" aca="1" ref="W313" ca="1">IFERROR(INDIRECT("$U"&amp;V313),"")</f>
        <v/>
      </c>
      <c r="Z313" cm="1">
        <f t="array" ref="Z313">INDEX($AE$2:$AS$40,MOD(ROW()-ROW($AE$2),ROWS($AE$2:$AS$40))+1,INT((ROW()-ROW($AE$2))/ROWS($AE$2:$AS$40))+1)</f>
        <v>0</v>
      </c>
      <c r="AA313" t="e">
        <f t="shared" ca="1" si="34"/>
        <v>#N/A</v>
      </c>
      <c r="AB313" t="str" cm="1">
        <f t="array" aca="1" ref="AB313" ca="1">IFERROR(INDIRECT("$Z"&amp;AA313),"")</f>
        <v/>
      </c>
      <c r="AP313" t="str">
        <f t="shared" si="28"/>
        <v/>
      </c>
      <c r="AQ313" t="str">
        <f t="shared" si="29"/>
        <v/>
      </c>
      <c r="AR313" t="str">
        <f t="shared" si="30"/>
        <v/>
      </c>
      <c r="AS313" t="str">
        <f t="shared" si="31"/>
        <v/>
      </c>
    </row>
    <row r="314" spans="5:45" x14ac:dyDescent="0.25">
      <c r="E314" t="str">
        <f ca="1"/>
        <v/>
      </c>
      <c r="F314" t="str">
        <f ca="1"/>
        <v/>
      </c>
      <c r="P314" t="e" cm="1">
        <f t="array" ref="P314">INDEX($B$2:$D$40,MOD(ROW()-ROW($B$2),ROWS($B$2:$D$40))+1,INT((ROW()-ROW($B$2))/ROWS($B$2:$D$40))+1)</f>
        <v>#REF!</v>
      </c>
      <c r="Q314" t="e">
        <f t="shared" ca="1" si="32"/>
        <v>#N/A</v>
      </c>
      <c r="R314" t="str" cm="1">
        <f t="array" aca="1" ref="R314" ca="1">IFERROR(INDIRECT("$P"&amp;Q314),"")</f>
        <v/>
      </c>
      <c r="U314" t="e" cm="1">
        <f t="array" ref="U314">INDEX($C$2:$D$40,MOD(ROW()-ROW($C$2),ROWS($C$2:$D$40))+1,INT((ROW()-ROW($C$2))/ROWS($C$2:$D$40))+1)</f>
        <v>#REF!</v>
      </c>
      <c r="V314" t="e">
        <f t="shared" ca="1" si="33"/>
        <v>#N/A</v>
      </c>
      <c r="W314" t="str" cm="1">
        <f t="array" aca="1" ref="W314" ca="1">IFERROR(INDIRECT("$U"&amp;V314),"")</f>
        <v/>
      </c>
      <c r="Z314" t="str" cm="1">
        <f t="array" aca="1" ref="Z314" ca="1">INDEX($AE$2:$AS$40,MOD(ROW()-ROW($AE$2),ROWS($AE$2:$AS$40))+1,INT((ROW()-ROW($AE$2))/ROWS($AE$2:$AS$40))+1)</f>
        <v>Space_9_co2_sensor</v>
      </c>
      <c r="AA314" t="e">
        <f t="shared" ca="1" si="34"/>
        <v>#N/A</v>
      </c>
      <c r="AB314" t="str" cm="1">
        <f t="array" aca="1" ref="AB314" ca="1">IFERROR(INDIRECT("$Z"&amp;AA314),"")</f>
        <v/>
      </c>
      <c r="AP314" t="str">
        <f t="shared" si="28"/>
        <v/>
      </c>
      <c r="AQ314" t="str">
        <f t="shared" si="29"/>
        <v/>
      </c>
      <c r="AR314" t="str">
        <f t="shared" si="30"/>
        <v/>
      </c>
      <c r="AS314" t="str">
        <f t="shared" si="31"/>
        <v/>
      </c>
    </row>
    <row r="315" spans="5:45" x14ac:dyDescent="0.25">
      <c r="E315" t="str">
        <f ca="1"/>
        <v/>
      </c>
      <c r="F315" t="str">
        <f ca="1"/>
        <v/>
      </c>
      <c r="P315" t="e" cm="1">
        <f t="array" ref="P315">INDEX($B$2:$D$40,MOD(ROW()-ROW($B$2),ROWS($B$2:$D$40))+1,INT((ROW()-ROW($B$2))/ROWS($B$2:$D$40))+1)</f>
        <v>#REF!</v>
      </c>
      <c r="Q315" t="e">
        <f t="shared" ca="1" si="32"/>
        <v>#N/A</v>
      </c>
      <c r="R315" t="str" cm="1">
        <f t="array" aca="1" ref="R315" ca="1">IFERROR(INDIRECT("$P"&amp;Q315),"")</f>
        <v/>
      </c>
      <c r="U315" t="e" cm="1">
        <f t="array" ref="U315">INDEX($C$2:$D$40,MOD(ROW()-ROW($C$2),ROWS($C$2:$D$40))+1,INT((ROW()-ROW($C$2))/ROWS($C$2:$D$40))+1)</f>
        <v>#REF!</v>
      </c>
      <c r="V315" t="e">
        <f t="shared" ca="1" si="33"/>
        <v>#N/A</v>
      </c>
      <c r="W315" t="str" cm="1">
        <f t="array" aca="1" ref="W315" ca="1">IFERROR(INDIRECT("$U"&amp;V315),"")</f>
        <v/>
      </c>
      <c r="Z315" t="str" cm="1">
        <f t="array" aca="1" ref="Z315" ca="1">INDEX($AE$2:$AS$40,MOD(ROW()-ROW($AE$2),ROWS($AE$2:$AS$40))+1,INT((ROW()-ROW($AE$2))/ROWS($AE$2:$AS$40))+1)</f>
        <v>Space_9_damper_position_sensor</v>
      </c>
      <c r="AA315" t="e">
        <f t="shared" ca="1" si="34"/>
        <v>#N/A</v>
      </c>
      <c r="AB315" t="str" cm="1">
        <f t="array" aca="1" ref="AB315" ca="1">IFERROR(INDIRECT("$Z"&amp;AA315),"")</f>
        <v/>
      </c>
      <c r="AP315" t="str">
        <f t="shared" si="28"/>
        <v/>
      </c>
      <c r="AQ315" t="str">
        <f t="shared" si="29"/>
        <v/>
      </c>
      <c r="AR315" t="str">
        <f t="shared" si="30"/>
        <v/>
      </c>
      <c r="AS315" t="str">
        <f t="shared" si="31"/>
        <v/>
      </c>
    </row>
    <row r="316" spans="5:45" x14ac:dyDescent="0.25">
      <c r="E316" t="str">
        <f ca="1"/>
        <v/>
      </c>
      <c r="F316" t="str">
        <f ca="1"/>
        <v/>
      </c>
      <c r="P316" t="e" cm="1">
        <f t="array" ref="P316">INDEX($B$2:$D$40,MOD(ROW()-ROW($B$2),ROWS($B$2:$D$40))+1,INT((ROW()-ROW($B$2))/ROWS($B$2:$D$40))+1)</f>
        <v>#REF!</v>
      </c>
      <c r="Q316" t="e">
        <f t="shared" ca="1" si="32"/>
        <v>#N/A</v>
      </c>
      <c r="R316" t="str" cm="1">
        <f t="array" aca="1" ref="R316" ca="1">IFERROR(INDIRECT("$P"&amp;Q316),"")</f>
        <v/>
      </c>
      <c r="U316" t="e" cm="1">
        <f t="array" ref="U316">INDEX($C$2:$D$40,MOD(ROW()-ROW($C$2),ROWS($C$2:$D$40))+1,INT((ROW()-ROW($C$2))/ROWS($C$2:$D$40))+1)</f>
        <v>#REF!</v>
      </c>
      <c r="V316" t="e">
        <f t="shared" ca="1" si="33"/>
        <v>#N/A</v>
      </c>
      <c r="W316" t="str" cm="1">
        <f t="array" aca="1" ref="W316" ca="1">IFERROR(INDIRECT("$U"&amp;V316),"")</f>
        <v/>
      </c>
      <c r="Z316" t="str" cm="1">
        <f t="array" aca="1" ref="Z316" ca="1">INDEX($AE$2:$AS$40,MOD(ROW()-ROW($AE$2),ROWS($AE$2:$AS$40))+1,INT((ROW()-ROW($AE$2))/ROWS($AE$2:$AS$40))+1)</f>
        <v>Space_9_temperature_sensor</v>
      </c>
      <c r="AA316" t="e">
        <f t="shared" ca="1" si="34"/>
        <v>#N/A</v>
      </c>
      <c r="AB316" t="str" cm="1">
        <f t="array" aca="1" ref="AB316" ca="1">IFERROR(INDIRECT("$Z"&amp;AA316),"")</f>
        <v/>
      </c>
      <c r="AP316" t="str">
        <f t="shared" si="28"/>
        <v/>
      </c>
      <c r="AQ316" t="str">
        <f t="shared" si="29"/>
        <v/>
      </c>
      <c r="AR316" t="str">
        <f t="shared" si="30"/>
        <v/>
      </c>
      <c r="AS316" t="str">
        <f t="shared" si="31"/>
        <v/>
      </c>
    </row>
    <row r="317" spans="5:45" x14ac:dyDescent="0.25">
      <c r="E317" t="str">
        <f ca="1"/>
        <v/>
      </c>
      <c r="F317" t="str">
        <f ca="1"/>
        <v/>
      </c>
      <c r="P317" t="e" cm="1">
        <f t="array" ref="P317">INDEX($B$2:$D$40,MOD(ROW()-ROW($B$2),ROWS($B$2:$D$40))+1,INT((ROW()-ROW($B$2))/ROWS($B$2:$D$40))+1)</f>
        <v>#REF!</v>
      </c>
      <c r="Q317" t="e">
        <f t="shared" ca="1" si="32"/>
        <v>#N/A</v>
      </c>
      <c r="R317" t="str" cm="1">
        <f t="array" aca="1" ref="R317" ca="1">IFERROR(INDIRECT("$P"&amp;Q317),"")</f>
        <v/>
      </c>
      <c r="U317" t="e" cm="1">
        <f t="array" ref="U317">INDEX($C$2:$D$40,MOD(ROW()-ROW($C$2),ROWS($C$2:$D$40))+1,INT((ROW()-ROW($C$2))/ROWS($C$2:$D$40))+1)</f>
        <v>#REF!</v>
      </c>
      <c r="V317" t="e">
        <f t="shared" ca="1" si="33"/>
        <v>#N/A</v>
      </c>
      <c r="W317" t="str" cm="1">
        <f t="array" aca="1" ref="W317" ca="1">IFERROR(INDIRECT("$U"&amp;V317),"")</f>
        <v/>
      </c>
      <c r="Z317" t="str" cm="1">
        <f t="array" aca="1" ref="Z317" ca="1">INDEX($AE$2:$AS$40,MOD(ROW()-ROW($AE$2),ROWS($AE$2:$AS$40))+1,INT((ROW()-ROW($AE$2))/ROWS($AE$2:$AS$40))+1)</f>
        <v>Space_9_valve_position_sensor</v>
      </c>
      <c r="AA317" t="e">
        <f t="shared" ca="1" si="34"/>
        <v>#N/A</v>
      </c>
      <c r="AB317" t="str" cm="1">
        <f t="array" aca="1" ref="AB317" ca="1">IFERROR(INDIRECT("$Z"&amp;AA317),"")</f>
        <v/>
      </c>
      <c r="AP317" t="str">
        <f t="shared" si="28"/>
        <v/>
      </c>
      <c r="AQ317" t="str">
        <f t="shared" si="29"/>
        <v/>
      </c>
      <c r="AR317" t="str">
        <f t="shared" si="30"/>
        <v/>
      </c>
      <c r="AS317" t="str">
        <f t="shared" si="31"/>
        <v/>
      </c>
    </row>
    <row r="318" spans="5:45" x14ac:dyDescent="0.25">
      <c r="E318" t="str">
        <f ca="1"/>
        <v/>
      </c>
      <c r="F318" t="str">
        <f ca="1"/>
        <v/>
      </c>
      <c r="P318" t="e" cm="1">
        <f t="array" ref="P318">INDEX($B$2:$D$40,MOD(ROW()-ROW($B$2),ROWS($B$2:$D$40))+1,INT((ROW()-ROW($B$2))/ROWS($B$2:$D$40))+1)</f>
        <v>#REF!</v>
      </c>
      <c r="Q318" t="e">
        <f t="shared" ca="1" si="32"/>
        <v>#N/A</v>
      </c>
      <c r="R318" t="str" cm="1">
        <f t="array" aca="1" ref="R318" ca="1">IFERROR(INDIRECT("$P"&amp;Q318),"")</f>
        <v/>
      </c>
      <c r="U318" t="e" cm="1">
        <f t="array" ref="U318">INDEX($C$2:$D$40,MOD(ROW()-ROW($C$2),ROWS($C$2:$D$40))+1,INT((ROW()-ROW($C$2))/ROWS($C$2:$D$40))+1)</f>
        <v>#REF!</v>
      </c>
      <c r="V318" t="e">
        <f t="shared" ca="1" si="33"/>
        <v>#N/A</v>
      </c>
      <c r="W318" t="str" cm="1">
        <f t="array" aca="1" ref="W318" ca="1">IFERROR(INDIRECT("$U"&amp;V318),"")</f>
        <v/>
      </c>
      <c r="Z318" t="str" cm="1">
        <f t="array" aca="1" ref="Z318" ca="1">INDEX($AE$2:$AS$40,MOD(ROW()-ROW($AE$2),ROWS($AE$2:$AS$40))+1,INT((ROW()-ROW($AE$2))/ROWS($AE$2:$AS$40))+1)</f>
        <v>Space_10_co2_sensor</v>
      </c>
      <c r="AA318" t="e">
        <f t="shared" ca="1" si="34"/>
        <v>#N/A</v>
      </c>
      <c r="AB318" t="str" cm="1">
        <f t="array" aca="1" ref="AB318" ca="1">IFERROR(INDIRECT("$Z"&amp;AA318),"")</f>
        <v/>
      </c>
      <c r="AP318" t="str">
        <f t="shared" si="28"/>
        <v/>
      </c>
      <c r="AQ318" t="str">
        <f t="shared" si="29"/>
        <v/>
      </c>
      <c r="AR318" t="str">
        <f t="shared" si="30"/>
        <v/>
      </c>
      <c r="AS318" t="str">
        <f t="shared" si="31"/>
        <v/>
      </c>
    </row>
    <row r="319" spans="5:45" x14ac:dyDescent="0.25">
      <c r="E319" t="str">
        <f ca="1"/>
        <v/>
      </c>
      <c r="F319" t="str">
        <f ca="1"/>
        <v/>
      </c>
      <c r="P319" t="e" cm="1">
        <f t="array" ref="P319">INDEX($B$2:$D$40,MOD(ROW()-ROW($B$2),ROWS($B$2:$D$40))+1,INT((ROW()-ROW($B$2))/ROWS($B$2:$D$40))+1)</f>
        <v>#REF!</v>
      </c>
      <c r="Q319" t="e">
        <f t="shared" ca="1" si="32"/>
        <v>#N/A</v>
      </c>
      <c r="R319" t="str" cm="1">
        <f t="array" aca="1" ref="R319" ca="1">IFERROR(INDIRECT("$P"&amp;Q319),"")</f>
        <v/>
      </c>
      <c r="U319" t="e" cm="1">
        <f t="array" ref="U319">INDEX($C$2:$D$40,MOD(ROW()-ROW($C$2),ROWS($C$2:$D$40))+1,INT((ROW()-ROW($C$2))/ROWS($C$2:$D$40))+1)</f>
        <v>#REF!</v>
      </c>
      <c r="V319" t="e">
        <f t="shared" ca="1" si="33"/>
        <v>#N/A</v>
      </c>
      <c r="W319" t="str" cm="1">
        <f t="array" aca="1" ref="W319" ca="1">IFERROR(INDIRECT("$U"&amp;V319),"")</f>
        <v/>
      </c>
      <c r="Z319" t="str" cm="1">
        <f t="array" aca="1" ref="Z319" ca="1">INDEX($AE$2:$AS$40,MOD(ROW()-ROW($AE$2),ROWS($AE$2:$AS$40))+1,INT((ROW()-ROW($AE$2))/ROWS($AE$2:$AS$40))+1)</f>
        <v>Space_10_damper_position_sensor</v>
      </c>
      <c r="AA319" t="e">
        <f t="shared" ca="1" si="34"/>
        <v>#N/A</v>
      </c>
      <c r="AB319" t="str" cm="1">
        <f t="array" aca="1" ref="AB319" ca="1">IFERROR(INDIRECT("$Z"&amp;AA319),"")</f>
        <v/>
      </c>
      <c r="AP319" t="str">
        <f t="shared" si="28"/>
        <v/>
      </c>
      <c r="AQ319" t="str">
        <f t="shared" si="29"/>
        <v/>
      </c>
      <c r="AR319" t="str">
        <f t="shared" si="30"/>
        <v/>
      </c>
      <c r="AS319" t="str">
        <f t="shared" si="31"/>
        <v/>
      </c>
    </row>
    <row r="320" spans="5:45" x14ac:dyDescent="0.25">
      <c r="E320" t="str">
        <f ca="1"/>
        <v/>
      </c>
      <c r="F320" t="str">
        <f ca="1"/>
        <v/>
      </c>
      <c r="P320" t="e" cm="1">
        <f t="array" ref="P320">INDEX($B$2:$D$40,MOD(ROW()-ROW($B$2),ROWS($B$2:$D$40))+1,INT((ROW()-ROW($B$2))/ROWS($B$2:$D$40))+1)</f>
        <v>#REF!</v>
      </c>
      <c r="Q320" t="e">
        <f t="shared" ca="1" si="32"/>
        <v>#N/A</v>
      </c>
      <c r="R320" t="str" cm="1">
        <f t="array" aca="1" ref="R320" ca="1">IFERROR(INDIRECT("$P"&amp;Q320),"")</f>
        <v/>
      </c>
      <c r="U320" t="e" cm="1">
        <f t="array" ref="U320">INDEX($C$2:$D$40,MOD(ROW()-ROW($C$2),ROWS($C$2:$D$40))+1,INT((ROW()-ROW($C$2))/ROWS($C$2:$D$40))+1)</f>
        <v>#REF!</v>
      </c>
      <c r="V320" t="e">
        <f t="shared" ca="1" si="33"/>
        <v>#N/A</v>
      </c>
      <c r="W320" t="str" cm="1">
        <f t="array" aca="1" ref="W320" ca="1">IFERROR(INDIRECT("$U"&amp;V320),"")</f>
        <v/>
      </c>
      <c r="Z320" t="str" cm="1">
        <f t="array" aca="1" ref="Z320" ca="1">INDEX($AE$2:$AS$40,MOD(ROW()-ROW($AE$2),ROWS($AE$2:$AS$40))+1,INT((ROW()-ROW($AE$2))/ROWS($AE$2:$AS$40))+1)</f>
        <v>Space_10_temperature_sensor</v>
      </c>
      <c r="AA320" t="e">
        <f t="shared" ca="1" si="34"/>
        <v>#N/A</v>
      </c>
      <c r="AB320" t="str" cm="1">
        <f t="array" aca="1" ref="AB320" ca="1">IFERROR(INDIRECT("$Z"&amp;AA320),"")</f>
        <v/>
      </c>
      <c r="AP320" t="str">
        <f t="shared" si="28"/>
        <v/>
      </c>
      <c r="AQ320" t="str">
        <f t="shared" si="29"/>
        <v/>
      </c>
      <c r="AR320" t="str">
        <f t="shared" si="30"/>
        <v/>
      </c>
      <c r="AS320" t="str">
        <f t="shared" si="31"/>
        <v/>
      </c>
    </row>
    <row r="321" spans="5:45" x14ac:dyDescent="0.25">
      <c r="E321" t="str">
        <f ca="1"/>
        <v/>
      </c>
      <c r="F321" t="str">
        <f ca="1"/>
        <v/>
      </c>
      <c r="P321" t="e" cm="1">
        <f t="array" ref="P321">INDEX($B$2:$D$40,MOD(ROW()-ROW($B$2),ROWS($B$2:$D$40))+1,INT((ROW()-ROW($B$2))/ROWS($B$2:$D$40))+1)</f>
        <v>#REF!</v>
      </c>
      <c r="Q321" t="e">
        <f t="shared" ca="1" si="32"/>
        <v>#N/A</v>
      </c>
      <c r="R321" t="str" cm="1">
        <f t="array" aca="1" ref="R321" ca="1">IFERROR(INDIRECT("$P"&amp;Q321),"")</f>
        <v/>
      </c>
      <c r="U321" t="e" cm="1">
        <f t="array" ref="U321">INDEX($C$2:$D$40,MOD(ROW()-ROW($C$2),ROWS($C$2:$D$40))+1,INT((ROW()-ROW($C$2))/ROWS($C$2:$D$40))+1)</f>
        <v>#REF!</v>
      </c>
      <c r="V321" t="e">
        <f t="shared" ca="1" si="33"/>
        <v>#N/A</v>
      </c>
      <c r="W321" t="str" cm="1">
        <f t="array" aca="1" ref="W321" ca="1">IFERROR(INDIRECT("$U"&amp;V321),"")</f>
        <v/>
      </c>
      <c r="Z321" t="str" cm="1">
        <f t="array" aca="1" ref="Z321" ca="1">INDEX($AE$2:$AS$40,MOD(ROW()-ROW($AE$2),ROWS($AE$2:$AS$40))+1,INT((ROW()-ROW($AE$2))/ROWS($AE$2:$AS$40))+1)</f>
        <v>Space_10_valve_position_sensor</v>
      </c>
      <c r="AA321" t="e">
        <f t="shared" ca="1" si="34"/>
        <v>#N/A</v>
      </c>
      <c r="AB321" t="str" cm="1">
        <f t="array" aca="1" ref="AB321" ca="1">IFERROR(INDIRECT("$Z"&amp;AA321),"")</f>
        <v/>
      </c>
      <c r="AP321" t="str">
        <f t="shared" si="28"/>
        <v/>
      </c>
      <c r="AQ321" t="str">
        <f t="shared" si="29"/>
        <v/>
      </c>
      <c r="AR321" t="str">
        <f t="shared" si="30"/>
        <v/>
      </c>
      <c r="AS321" t="str">
        <f t="shared" si="31"/>
        <v/>
      </c>
    </row>
    <row r="322" spans="5:45" x14ac:dyDescent="0.25">
      <c r="E322" t="str">
        <f ca="1"/>
        <v/>
      </c>
      <c r="F322" t="str">
        <f ca="1"/>
        <v/>
      </c>
      <c r="P322" t="e" cm="1">
        <f t="array" ref="P322">INDEX($B$2:$D$40,MOD(ROW()-ROW($B$2),ROWS($B$2:$D$40))+1,INT((ROW()-ROW($B$2))/ROWS($B$2:$D$40))+1)</f>
        <v>#REF!</v>
      </c>
      <c r="Q322" t="e">
        <f t="shared" ca="1" si="32"/>
        <v>#N/A</v>
      </c>
      <c r="R322" t="str" cm="1">
        <f t="array" aca="1" ref="R322" ca="1">IFERROR(INDIRECT("$P"&amp;Q322),"")</f>
        <v/>
      </c>
      <c r="U322" t="e" cm="1">
        <f t="array" ref="U322">INDEX($C$2:$D$40,MOD(ROW()-ROW($C$2),ROWS($C$2:$D$40))+1,INT((ROW()-ROW($C$2))/ROWS($C$2:$D$40))+1)</f>
        <v>#REF!</v>
      </c>
      <c r="V322" t="e">
        <f t="shared" ca="1" si="33"/>
        <v>#N/A</v>
      </c>
      <c r="W322" t="str" cm="1">
        <f t="array" aca="1" ref="W322" ca="1">IFERROR(INDIRECT("$U"&amp;V322),"")</f>
        <v/>
      </c>
      <c r="Z322" t="str" cm="1">
        <f t="array" aca="1" ref="Z322" ca="1">INDEX($AE$2:$AS$40,MOD(ROW()-ROW($AE$2),ROWS($AE$2:$AS$40))+1,INT((ROW()-ROW($AE$2))/ROWS($AE$2:$AS$40))+1)</f>
        <v>Space_11_co2_sensor</v>
      </c>
      <c r="AA322" t="e">
        <f t="shared" ca="1" si="34"/>
        <v>#N/A</v>
      </c>
      <c r="AB322" t="str" cm="1">
        <f t="array" aca="1" ref="AB322" ca="1">IFERROR(INDIRECT("$Z"&amp;AA322),"")</f>
        <v/>
      </c>
      <c r="AP322" t="str">
        <f t="shared" si="28"/>
        <v/>
      </c>
      <c r="AQ322" t="str">
        <f t="shared" si="29"/>
        <v/>
      </c>
      <c r="AR322" t="str">
        <f t="shared" si="30"/>
        <v/>
      </c>
      <c r="AS322" t="str">
        <f t="shared" si="31"/>
        <v/>
      </c>
    </row>
    <row r="323" spans="5:45" x14ac:dyDescent="0.25">
      <c r="E323" t="str">
        <f ca="1"/>
        <v/>
      </c>
      <c r="F323" t="str">
        <f ca="1"/>
        <v/>
      </c>
      <c r="P323" t="e" cm="1">
        <f t="array" ref="P323">INDEX($B$2:$D$40,MOD(ROW()-ROW($B$2),ROWS($B$2:$D$40))+1,INT((ROW()-ROW($B$2))/ROWS($B$2:$D$40))+1)</f>
        <v>#REF!</v>
      </c>
      <c r="Q323" t="e">
        <f t="shared" ca="1" si="32"/>
        <v>#N/A</v>
      </c>
      <c r="R323" t="str" cm="1">
        <f t="array" aca="1" ref="R323" ca="1">IFERROR(INDIRECT("$P"&amp;Q323),"")</f>
        <v/>
      </c>
      <c r="U323" t="e" cm="1">
        <f t="array" ref="U323">INDEX($C$2:$D$40,MOD(ROW()-ROW($C$2),ROWS($C$2:$D$40))+1,INT((ROW()-ROW($C$2))/ROWS($C$2:$D$40))+1)</f>
        <v>#REF!</v>
      </c>
      <c r="V323" t="e">
        <f t="shared" ca="1" si="33"/>
        <v>#N/A</v>
      </c>
      <c r="W323" t="str" cm="1">
        <f t="array" aca="1" ref="W323" ca="1">IFERROR(INDIRECT("$U"&amp;V323),"")</f>
        <v/>
      </c>
      <c r="Z323" t="str" cm="1">
        <f t="array" aca="1" ref="Z323" ca="1">INDEX($AE$2:$AS$40,MOD(ROW()-ROW($AE$2),ROWS($AE$2:$AS$40))+1,INT((ROW()-ROW($AE$2))/ROWS($AE$2:$AS$40))+1)</f>
        <v>Space_11_damper_position_sensor</v>
      </c>
      <c r="AA323" t="e">
        <f t="shared" ca="1" si="34"/>
        <v>#N/A</v>
      </c>
      <c r="AB323" t="str" cm="1">
        <f t="array" aca="1" ref="AB323" ca="1">IFERROR(INDIRECT("$Z"&amp;AA323),"")</f>
        <v/>
      </c>
      <c r="AP323" t="str">
        <f t="shared" ref="AP323:AP386" si="35">IF(AI323&lt;&gt;"", _xlfn.CONCAT(AI323, " (airside)"), "")</f>
        <v/>
      </c>
      <c r="AQ323" t="str">
        <f t="shared" ref="AQ323:AQ386" si="36">IF(AI323&lt;&gt;"", _xlfn.CONCAT(AI323, " (waterside)"), "")</f>
        <v/>
      </c>
      <c r="AR323" t="str">
        <f t="shared" ref="AR323:AR386" si="37">IF(AJ323&lt;&gt;"", _xlfn.CONCAT(AJ323, " (supply)"), "")</f>
        <v/>
      </c>
      <c r="AS323" t="str">
        <f t="shared" ref="AS323:AS386" si="38">IF(AJ323&lt;&gt;"", _xlfn.CONCAT(AJ323, " (exhaust)"), "")</f>
        <v/>
      </c>
    </row>
    <row r="324" spans="5:45" x14ac:dyDescent="0.25">
      <c r="E324" t="str">
        <f ca="1"/>
        <v/>
      </c>
      <c r="F324" t="str">
        <f ca="1"/>
        <v/>
      </c>
      <c r="P324" t="e" cm="1">
        <f t="array" ref="P324">INDEX($B$2:$D$40,MOD(ROW()-ROW($B$2),ROWS($B$2:$D$40))+1,INT((ROW()-ROW($B$2))/ROWS($B$2:$D$40))+1)</f>
        <v>#REF!</v>
      </c>
      <c r="Q324" t="e">
        <f t="shared" ref="Q324:Q387" ca="1" si="39">MATCH("*",INDIRECT(ADDRESS(Q323+1,16,1)&amp;":$P$1000"),0)+Q323</f>
        <v>#N/A</v>
      </c>
      <c r="R324" t="str" cm="1">
        <f t="array" aca="1" ref="R324" ca="1">IFERROR(INDIRECT("$P"&amp;Q324),"")</f>
        <v/>
      </c>
      <c r="U324" t="e" cm="1">
        <f t="array" ref="U324">INDEX($C$2:$D$40,MOD(ROW()-ROW($C$2),ROWS($C$2:$D$40))+1,INT((ROW()-ROW($C$2))/ROWS($C$2:$D$40))+1)</f>
        <v>#REF!</v>
      </c>
      <c r="V324" t="e">
        <f t="shared" ref="V324:V387" ca="1" si="40">MATCH("*",INDIRECT(ADDRESS(V323+1,21,1)&amp;":$U$1000"),0)+V323</f>
        <v>#N/A</v>
      </c>
      <c r="W324" t="str" cm="1">
        <f t="array" aca="1" ref="W324" ca="1">IFERROR(INDIRECT("$U"&amp;V324),"")</f>
        <v/>
      </c>
      <c r="Z324" t="str" cm="1">
        <f t="array" aca="1" ref="Z324" ca="1">INDEX($AE$2:$AS$40,MOD(ROW()-ROW($AE$2),ROWS($AE$2:$AS$40))+1,INT((ROW()-ROW($AE$2))/ROWS($AE$2:$AS$40))+1)</f>
        <v>Space_11_temperature_sensor</v>
      </c>
      <c r="AA324" t="e">
        <f t="shared" ref="AA324:AA387" ca="1" si="41">MATCH("*",INDIRECT(ADDRESS(AA323+1,26,1)&amp;":$Z$1000"),0)+AA323</f>
        <v>#N/A</v>
      </c>
      <c r="AB324" t="str" cm="1">
        <f t="array" aca="1" ref="AB324" ca="1">IFERROR(INDIRECT("$Z"&amp;AA324),"")</f>
        <v/>
      </c>
      <c r="AP324" t="str">
        <f t="shared" si="35"/>
        <v/>
      </c>
      <c r="AQ324" t="str">
        <f t="shared" si="36"/>
        <v/>
      </c>
      <c r="AR324" t="str">
        <f t="shared" si="37"/>
        <v/>
      </c>
      <c r="AS324" t="str">
        <f t="shared" si="38"/>
        <v/>
      </c>
    </row>
    <row r="325" spans="5:45" x14ac:dyDescent="0.25">
      <c r="E325" t="str">
        <f ca="1"/>
        <v/>
      </c>
      <c r="F325" t="str">
        <f ca="1"/>
        <v/>
      </c>
      <c r="P325" t="e" cm="1">
        <f t="array" ref="P325">INDEX($B$2:$D$40,MOD(ROW()-ROW($B$2),ROWS($B$2:$D$40))+1,INT((ROW()-ROW($B$2))/ROWS($B$2:$D$40))+1)</f>
        <v>#REF!</v>
      </c>
      <c r="Q325" t="e">
        <f t="shared" ca="1" si="39"/>
        <v>#N/A</v>
      </c>
      <c r="R325" t="str" cm="1">
        <f t="array" aca="1" ref="R325" ca="1">IFERROR(INDIRECT("$P"&amp;Q325),"")</f>
        <v/>
      </c>
      <c r="U325" t="e" cm="1">
        <f t="array" ref="U325">INDEX($C$2:$D$40,MOD(ROW()-ROW($C$2),ROWS($C$2:$D$40))+1,INT((ROW()-ROW($C$2))/ROWS($C$2:$D$40))+1)</f>
        <v>#REF!</v>
      </c>
      <c r="V325" t="e">
        <f t="shared" ca="1" si="40"/>
        <v>#N/A</v>
      </c>
      <c r="W325" t="str" cm="1">
        <f t="array" aca="1" ref="W325" ca="1">IFERROR(INDIRECT("$U"&amp;V325),"")</f>
        <v/>
      </c>
      <c r="Z325" t="str" cm="1">
        <f t="array" aca="1" ref="Z325" ca="1">INDEX($AE$2:$AS$40,MOD(ROW()-ROW($AE$2),ROWS($AE$2:$AS$40))+1,INT((ROW()-ROW($AE$2))/ROWS($AE$2:$AS$40))+1)</f>
        <v>Space_11_valve_position_sensor</v>
      </c>
      <c r="AA325" t="e">
        <f t="shared" ca="1" si="41"/>
        <v>#N/A</v>
      </c>
      <c r="AB325" t="str" cm="1">
        <f t="array" aca="1" ref="AB325" ca="1">IFERROR(INDIRECT("$Z"&amp;AA325),"")</f>
        <v/>
      </c>
      <c r="AP325" t="str">
        <f t="shared" si="35"/>
        <v/>
      </c>
      <c r="AQ325" t="str">
        <f t="shared" si="36"/>
        <v/>
      </c>
      <c r="AR325" t="str">
        <f t="shared" si="37"/>
        <v/>
      </c>
      <c r="AS325" t="str">
        <f t="shared" si="38"/>
        <v/>
      </c>
    </row>
    <row r="326" spans="5:45" x14ac:dyDescent="0.25">
      <c r="E326" t="str">
        <f ca="1"/>
        <v/>
      </c>
      <c r="F326" t="str">
        <f ca="1"/>
        <v/>
      </c>
      <c r="P326" t="e" cm="1">
        <f t="array" ref="P326">INDEX($B$2:$D$40,MOD(ROW()-ROW($B$2),ROWS($B$2:$D$40))+1,INT((ROW()-ROW($B$2))/ROWS($B$2:$D$40))+1)</f>
        <v>#REF!</v>
      </c>
      <c r="Q326" t="e">
        <f t="shared" ca="1" si="39"/>
        <v>#N/A</v>
      </c>
      <c r="R326" t="str" cm="1">
        <f t="array" aca="1" ref="R326" ca="1">IFERROR(INDIRECT("$P"&amp;Q326),"")</f>
        <v/>
      </c>
      <c r="U326" t="e" cm="1">
        <f t="array" ref="U326">INDEX($C$2:$D$40,MOD(ROW()-ROW($C$2),ROWS($C$2:$D$40))+1,INT((ROW()-ROW($C$2))/ROWS($C$2:$D$40))+1)</f>
        <v>#REF!</v>
      </c>
      <c r="V326" t="e">
        <f t="shared" ca="1" si="40"/>
        <v>#N/A</v>
      </c>
      <c r="W326" t="str" cm="1">
        <f t="array" aca="1" ref="W326" ca="1">IFERROR(INDIRECT("$U"&amp;V326),"")</f>
        <v/>
      </c>
      <c r="Z326" t="str" cm="1">
        <f t="array" aca="1" ref="Z326" ca="1">INDEX($AE$2:$AS$40,MOD(ROW()-ROW($AE$2),ROWS($AE$2:$AS$40))+1,INT((ROW()-ROW($AE$2))/ROWS($AE$2:$AS$40))+1)</f>
        <v>Space_12_co2_sensor</v>
      </c>
      <c r="AA326" t="e">
        <f t="shared" ca="1" si="41"/>
        <v>#N/A</v>
      </c>
      <c r="AB326" t="str" cm="1">
        <f t="array" aca="1" ref="AB326" ca="1">IFERROR(INDIRECT("$Z"&amp;AA326),"")</f>
        <v/>
      </c>
      <c r="AP326" t="str">
        <f t="shared" si="35"/>
        <v/>
      </c>
      <c r="AQ326" t="str">
        <f t="shared" si="36"/>
        <v/>
      </c>
      <c r="AR326" t="str">
        <f t="shared" si="37"/>
        <v/>
      </c>
      <c r="AS326" t="str">
        <f t="shared" si="38"/>
        <v/>
      </c>
    </row>
    <row r="327" spans="5:45" x14ac:dyDescent="0.25">
      <c r="E327" t="str">
        <f ca="1"/>
        <v/>
      </c>
      <c r="F327" t="str">
        <f ca="1"/>
        <v/>
      </c>
      <c r="P327" t="e" cm="1">
        <f t="array" ref="P327">INDEX($B$2:$D$40,MOD(ROW()-ROW($B$2),ROWS($B$2:$D$40))+1,INT((ROW()-ROW($B$2))/ROWS($B$2:$D$40))+1)</f>
        <v>#REF!</v>
      </c>
      <c r="Q327" t="e">
        <f t="shared" ca="1" si="39"/>
        <v>#N/A</v>
      </c>
      <c r="R327" t="str" cm="1">
        <f t="array" aca="1" ref="R327" ca="1">IFERROR(INDIRECT("$P"&amp;Q327),"")</f>
        <v/>
      </c>
      <c r="U327" t="e" cm="1">
        <f t="array" ref="U327">INDEX($C$2:$D$40,MOD(ROW()-ROW($C$2),ROWS($C$2:$D$40))+1,INT((ROW()-ROW($C$2))/ROWS($C$2:$D$40))+1)</f>
        <v>#REF!</v>
      </c>
      <c r="V327" t="e">
        <f t="shared" ca="1" si="40"/>
        <v>#N/A</v>
      </c>
      <c r="W327" t="str" cm="1">
        <f t="array" aca="1" ref="W327" ca="1">IFERROR(INDIRECT("$U"&amp;V327),"")</f>
        <v/>
      </c>
      <c r="Z327" t="str" cm="1">
        <f t="array" aca="1" ref="Z327" ca="1">INDEX($AE$2:$AS$40,MOD(ROW()-ROW($AE$2),ROWS($AE$2:$AS$40))+1,INT((ROW()-ROW($AE$2))/ROWS($AE$2:$AS$40))+1)</f>
        <v>Space_12_damper_position_sensor</v>
      </c>
      <c r="AA327" t="e">
        <f t="shared" ca="1" si="41"/>
        <v>#N/A</v>
      </c>
      <c r="AB327" t="str" cm="1">
        <f t="array" aca="1" ref="AB327" ca="1">IFERROR(INDIRECT("$Z"&amp;AA327),"")</f>
        <v/>
      </c>
      <c r="AP327" t="str">
        <f t="shared" si="35"/>
        <v/>
      </c>
      <c r="AQ327" t="str">
        <f t="shared" si="36"/>
        <v/>
      </c>
      <c r="AR327" t="str">
        <f t="shared" si="37"/>
        <v/>
      </c>
      <c r="AS327" t="str">
        <f t="shared" si="38"/>
        <v/>
      </c>
    </row>
    <row r="328" spans="5:45" x14ac:dyDescent="0.25">
      <c r="E328" t="str">
        <f ca="1"/>
        <v/>
      </c>
      <c r="F328" t="str">
        <f ca="1"/>
        <v/>
      </c>
      <c r="P328" t="e" cm="1">
        <f t="array" ref="P328">INDEX($B$2:$D$40,MOD(ROW()-ROW($B$2),ROWS($B$2:$D$40))+1,INT((ROW()-ROW($B$2))/ROWS($B$2:$D$40))+1)</f>
        <v>#REF!</v>
      </c>
      <c r="Q328" t="e">
        <f t="shared" ca="1" si="39"/>
        <v>#N/A</v>
      </c>
      <c r="R328" t="str" cm="1">
        <f t="array" aca="1" ref="R328" ca="1">IFERROR(INDIRECT("$P"&amp;Q328),"")</f>
        <v/>
      </c>
      <c r="U328" t="e" cm="1">
        <f t="array" ref="U328">INDEX($C$2:$D$40,MOD(ROW()-ROW($C$2),ROWS($C$2:$D$40))+1,INT((ROW()-ROW($C$2))/ROWS($C$2:$D$40))+1)</f>
        <v>#REF!</v>
      </c>
      <c r="V328" t="e">
        <f t="shared" ca="1" si="40"/>
        <v>#N/A</v>
      </c>
      <c r="W328" t="str" cm="1">
        <f t="array" aca="1" ref="W328" ca="1">IFERROR(INDIRECT("$U"&amp;V328),"")</f>
        <v/>
      </c>
      <c r="Z328" t="str" cm="1">
        <f t="array" aca="1" ref="Z328" ca="1">INDEX($AE$2:$AS$40,MOD(ROW()-ROW($AE$2),ROWS($AE$2:$AS$40))+1,INT((ROW()-ROW($AE$2))/ROWS($AE$2:$AS$40))+1)</f>
        <v>Space_12_temperature_sensor</v>
      </c>
      <c r="AA328" t="e">
        <f t="shared" ca="1" si="41"/>
        <v>#N/A</v>
      </c>
      <c r="AB328" t="str" cm="1">
        <f t="array" aca="1" ref="AB328" ca="1">IFERROR(INDIRECT("$Z"&amp;AA328),"")</f>
        <v/>
      </c>
      <c r="AP328" t="str">
        <f t="shared" si="35"/>
        <v/>
      </c>
      <c r="AQ328" t="str">
        <f t="shared" si="36"/>
        <v/>
      </c>
      <c r="AR328" t="str">
        <f t="shared" si="37"/>
        <v/>
      </c>
      <c r="AS328" t="str">
        <f t="shared" si="38"/>
        <v/>
      </c>
    </row>
    <row r="329" spans="5:45" x14ac:dyDescent="0.25">
      <c r="E329" t="str">
        <f ca="1"/>
        <v/>
      </c>
      <c r="F329" t="str">
        <f ca="1"/>
        <v/>
      </c>
      <c r="P329" t="e" cm="1">
        <f t="array" ref="P329">INDEX($B$2:$D$40,MOD(ROW()-ROW($B$2),ROWS($B$2:$D$40))+1,INT((ROW()-ROW($B$2))/ROWS($B$2:$D$40))+1)</f>
        <v>#REF!</v>
      </c>
      <c r="Q329" t="e">
        <f t="shared" ca="1" si="39"/>
        <v>#N/A</v>
      </c>
      <c r="R329" t="str" cm="1">
        <f t="array" aca="1" ref="R329" ca="1">IFERROR(INDIRECT("$P"&amp;Q329),"")</f>
        <v/>
      </c>
      <c r="U329" t="e" cm="1">
        <f t="array" ref="U329">INDEX($C$2:$D$40,MOD(ROW()-ROW($C$2),ROWS($C$2:$D$40))+1,INT((ROW()-ROW($C$2))/ROWS($C$2:$D$40))+1)</f>
        <v>#REF!</v>
      </c>
      <c r="V329" t="e">
        <f t="shared" ca="1" si="40"/>
        <v>#N/A</v>
      </c>
      <c r="W329" t="str" cm="1">
        <f t="array" aca="1" ref="W329" ca="1">IFERROR(INDIRECT("$U"&amp;V329),"")</f>
        <v/>
      </c>
      <c r="Z329" t="str" cm="1">
        <f t="array" aca="1" ref="Z329" ca="1">INDEX($AE$2:$AS$40,MOD(ROW()-ROW($AE$2),ROWS($AE$2:$AS$40))+1,INT((ROW()-ROW($AE$2))/ROWS($AE$2:$AS$40))+1)</f>
        <v>Space_12_valve_position_sensor</v>
      </c>
      <c r="AA329" t="e">
        <f t="shared" ca="1" si="41"/>
        <v>#N/A</v>
      </c>
      <c r="AB329" t="str" cm="1">
        <f t="array" aca="1" ref="AB329" ca="1">IFERROR(INDIRECT("$Z"&amp;AA329),"")</f>
        <v/>
      </c>
      <c r="AP329" t="str">
        <f t="shared" si="35"/>
        <v/>
      </c>
      <c r="AQ329" t="str">
        <f t="shared" si="36"/>
        <v/>
      </c>
      <c r="AR329" t="str">
        <f t="shared" si="37"/>
        <v/>
      </c>
      <c r="AS329" t="str">
        <f t="shared" si="38"/>
        <v/>
      </c>
    </row>
    <row r="330" spans="5:45" x14ac:dyDescent="0.25">
      <c r="E330" t="str">
        <f ca="1"/>
        <v/>
      </c>
      <c r="F330" t="str">
        <f ca="1"/>
        <v/>
      </c>
      <c r="P330" t="e" cm="1">
        <f t="array" ref="P330">INDEX($B$2:$D$40,MOD(ROW()-ROW($B$2),ROWS($B$2:$D$40))+1,INT((ROW()-ROW($B$2))/ROWS($B$2:$D$40))+1)</f>
        <v>#REF!</v>
      </c>
      <c r="Q330" t="e">
        <f t="shared" ca="1" si="39"/>
        <v>#N/A</v>
      </c>
      <c r="R330" t="str" cm="1">
        <f t="array" aca="1" ref="R330" ca="1">IFERROR(INDIRECT("$P"&amp;Q330),"")</f>
        <v/>
      </c>
      <c r="U330" t="e" cm="1">
        <f t="array" ref="U330">INDEX($C$2:$D$40,MOD(ROW()-ROW($C$2),ROWS($C$2:$D$40))+1,INT((ROW()-ROW($C$2))/ROWS($C$2:$D$40))+1)</f>
        <v>#REF!</v>
      </c>
      <c r="V330" t="e">
        <f t="shared" ca="1" si="40"/>
        <v>#N/A</v>
      </c>
      <c r="W330" t="str" cm="1">
        <f t="array" aca="1" ref="W330" ca="1">IFERROR(INDIRECT("$U"&amp;V330),"")</f>
        <v/>
      </c>
      <c r="Z330" t="str" cm="1">
        <f t="array" aca="1" ref="Z330" ca="1">INDEX($AE$2:$AS$40,MOD(ROW()-ROW($AE$2),ROWS($AE$2:$AS$40))+1,INT((ROW()-ROW($AE$2))/ROWS($AE$2:$AS$40))+1)</f>
        <v>BPA001</v>
      </c>
      <c r="AA330" t="e">
        <f t="shared" ca="1" si="41"/>
        <v>#N/A</v>
      </c>
      <c r="AB330" t="str" cm="1">
        <f t="array" aca="1" ref="AB330" ca="1">IFERROR(INDIRECT("$Z"&amp;AA330),"")</f>
        <v/>
      </c>
      <c r="AP330" t="str">
        <f t="shared" si="35"/>
        <v/>
      </c>
      <c r="AQ330" t="str">
        <f t="shared" si="36"/>
        <v/>
      </c>
      <c r="AR330" t="str">
        <f t="shared" si="37"/>
        <v/>
      </c>
      <c r="AS330" t="str">
        <f t="shared" si="38"/>
        <v/>
      </c>
    </row>
    <row r="331" spans="5:45" x14ac:dyDescent="0.25">
      <c r="E331" t="str">
        <f ca="1"/>
        <v/>
      </c>
      <c r="F331" t="str">
        <f ca="1"/>
        <v/>
      </c>
      <c r="P331" t="e" cm="1">
        <f t="array" ref="P331">INDEX($B$2:$D$40,MOD(ROW()-ROW($B$2),ROWS($B$2:$D$40))+1,INT((ROW()-ROW($B$2))/ROWS($B$2:$D$40))+1)</f>
        <v>#REF!</v>
      </c>
      <c r="Q331" t="e">
        <f t="shared" ca="1" si="39"/>
        <v>#N/A</v>
      </c>
      <c r="R331" t="str" cm="1">
        <f t="array" aca="1" ref="R331" ca="1">IFERROR(INDIRECT("$P"&amp;Q331),"")</f>
        <v/>
      </c>
      <c r="U331" t="e" cm="1">
        <f t="array" ref="U331">INDEX($C$2:$D$40,MOD(ROW()-ROW($C$2),ROWS($C$2:$D$40))+1,INT((ROW()-ROW($C$2))/ROWS($C$2:$D$40))+1)</f>
        <v>#REF!</v>
      </c>
      <c r="V331" t="e">
        <f t="shared" ca="1" si="40"/>
        <v>#N/A</v>
      </c>
      <c r="W331" t="str" cm="1">
        <f t="array" aca="1" ref="W331" ca="1">IFERROR(INDIRECT("$U"&amp;V331),"")</f>
        <v/>
      </c>
      <c r="Z331" t="str" cm="1">
        <f t="array" aca="1" ref="Z331" ca="1">INDEX($AE$2:$AS$40,MOD(ROW()-ROW($AE$2),ROWS($AE$2:$AS$40))+1,INT((ROW()-ROW($AE$2))/ROWS($AE$2:$AS$40))+1)</f>
        <v>BPA002</v>
      </c>
      <c r="AA331" t="e">
        <f t="shared" ca="1" si="41"/>
        <v>#N/A</v>
      </c>
      <c r="AB331" t="str" cm="1">
        <f t="array" aca="1" ref="AB331" ca="1">IFERROR(INDIRECT("$Z"&amp;AA331),"")</f>
        <v/>
      </c>
      <c r="AP331" t="str">
        <f t="shared" si="35"/>
        <v/>
      </c>
      <c r="AQ331" t="str">
        <f t="shared" si="36"/>
        <v/>
      </c>
      <c r="AR331" t="str">
        <f t="shared" si="37"/>
        <v/>
      </c>
      <c r="AS331" t="str">
        <f t="shared" si="38"/>
        <v/>
      </c>
    </row>
    <row r="332" spans="5:45" x14ac:dyDescent="0.25">
      <c r="E332" t="str">
        <f ca="1"/>
        <v/>
      </c>
      <c r="F332" t="str">
        <f ca="1"/>
        <v/>
      </c>
      <c r="P332" t="e" cm="1">
        <f t="array" ref="P332">INDEX($B$2:$D$40,MOD(ROW()-ROW($B$2),ROWS($B$2:$D$40))+1,INT((ROW()-ROW($B$2))/ROWS($B$2:$D$40))+1)</f>
        <v>#REF!</v>
      </c>
      <c r="Q332" t="e">
        <f t="shared" ca="1" si="39"/>
        <v>#N/A</v>
      </c>
      <c r="R332" t="str" cm="1">
        <f t="array" aca="1" ref="R332" ca="1">IFERROR(INDIRECT("$P"&amp;Q332),"")</f>
        <v/>
      </c>
      <c r="U332" t="e" cm="1">
        <f t="array" ref="U332">INDEX($C$2:$D$40,MOD(ROW()-ROW($C$2),ROWS($C$2:$D$40))+1,INT((ROW()-ROW($C$2))/ROWS($C$2:$D$40))+1)</f>
        <v>#REF!</v>
      </c>
      <c r="V332" t="e">
        <f t="shared" ca="1" si="40"/>
        <v>#N/A</v>
      </c>
      <c r="W332" t="str" cm="1">
        <f t="array" aca="1" ref="W332" ca="1">IFERROR(INDIRECT("$U"&amp;V332),"")</f>
        <v/>
      </c>
      <c r="Z332" t="str" cm="1">
        <f t="array" aca="1" ref="Z332" ca="1">INDEX($AE$2:$AS$40,MOD(ROW()-ROW($AE$2),ROWS($AE$2:$AS$40))+1,INT((ROW()-ROW($AE$2))/ROWS($AE$2:$AS$40))+1)</f>
        <v>BPA003_exhaust</v>
      </c>
      <c r="AA332" t="e">
        <f t="shared" ca="1" si="41"/>
        <v>#N/A</v>
      </c>
      <c r="AB332" t="str" cm="1">
        <f t="array" aca="1" ref="AB332" ca="1">IFERROR(INDIRECT("$Z"&amp;AA332),"")</f>
        <v/>
      </c>
      <c r="AP332" t="str">
        <f t="shared" si="35"/>
        <v/>
      </c>
      <c r="AQ332" t="str">
        <f t="shared" si="36"/>
        <v/>
      </c>
      <c r="AR332" t="str">
        <f t="shared" si="37"/>
        <v/>
      </c>
      <c r="AS332" t="str">
        <f t="shared" si="38"/>
        <v/>
      </c>
    </row>
    <row r="333" spans="5:45" x14ac:dyDescent="0.25">
      <c r="E333" t="str">
        <f ca="1"/>
        <v/>
      </c>
      <c r="F333" t="str">
        <f ca="1"/>
        <v/>
      </c>
      <c r="P333" t="e" cm="1">
        <f t="array" ref="P333">INDEX($B$2:$D$40,MOD(ROW()-ROW($B$2),ROWS($B$2:$D$40))+1,INT((ROW()-ROW($B$2))/ROWS($B$2:$D$40))+1)</f>
        <v>#REF!</v>
      </c>
      <c r="Q333" t="e">
        <f t="shared" ca="1" si="39"/>
        <v>#N/A</v>
      </c>
      <c r="R333" t="str" cm="1">
        <f t="array" aca="1" ref="R333" ca="1">IFERROR(INDIRECT("$P"&amp;Q333),"")</f>
        <v/>
      </c>
      <c r="U333" t="e" cm="1">
        <f t="array" ref="U333">INDEX($C$2:$D$40,MOD(ROW()-ROW($C$2),ROWS($C$2:$D$40))+1,INT((ROW()-ROW($C$2))/ROWS($C$2:$D$40))+1)</f>
        <v>#REF!</v>
      </c>
      <c r="V333" t="e">
        <f t="shared" ca="1" si="40"/>
        <v>#N/A</v>
      </c>
      <c r="W333" t="str" cm="1">
        <f t="array" aca="1" ref="W333" ca="1">IFERROR(INDIRECT("$U"&amp;V333),"")</f>
        <v/>
      </c>
      <c r="Z333" t="str" cm="1">
        <f t="array" aca="1" ref="Z333" ca="1">INDEX($AE$2:$AS$40,MOD(ROW()-ROW($AE$2),ROWS($AE$2:$AS$40))+1,INT((ROW()-ROW($AE$2))/ROWS($AE$2:$AS$40))+1)</f>
        <v>BPA003_supply</v>
      </c>
      <c r="AA333" t="e">
        <f t="shared" ca="1" si="41"/>
        <v>#N/A</v>
      </c>
      <c r="AB333" t="str" cm="1">
        <f t="array" aca="1" ref="AB333" ca="1">IFERROR(INDIRECT("$Z"&amp;AA333),"")</f>
        <v/>
      </c>
      <c r="AP333" t="str">
        <f t="shared" si="35"/>
        <v/>
      </c>
      <c r="AQ333" t="str">
        <f t="shared" si="36"/>
        <v/>
      </c>
      <c r="AR333" t="str">
        <f t="shared" si="37"/>
        <v/>
      </c>
      <c r="AS333" t="str">
        <f t="shared" si="38"/>
        <v/>
      </c>
    </row>
    <row r="334" spans="5:45" x14ac:dyDescent="0.25">
      <c r="E334" t="str">
        <f ca="1"/>
        <v/>
      </c>
      <c r="F334" t="str">
        <f ca="1"/>
        <v/>
      </c>
      <c r="P334" t="e" cm="1">
        <f t="array" ref="P334">INDEX($B$2:$D$40,MOD(ROW()-ROW($B$2),ROWS($B$2:$D$40))+1,INT((ROW()-ROW($B$2))/ROWS($B$2:$D$40))+1)</f>
        <v>#REF!</v>
      </c>
      <c r="Q334" t="e">
        <f t="shared" ca="1" si="39"/>
        <v>#N/A</v>
      </c>
      <c r="R334" t="str" cm="1">
        <f t="array" aca="1" ref="R334" ca="1">IFERROR(INDIRECT("$P"&amp;Q334),"")</f>
        <v/>
      </c>
      <c r="U334" t="e" cm="1">
        <f t="array" ref="U334">INDEX($C$2:$D$40,MOD(ROW()-ROW($C$2),ROWS($C$2:$D$40))+1,INT((ROW()-ROW($C$2))/ROWS($C$2:$D$40))+1)</f>
        <v>#REF!</v>
      </c>
      <c r="V334" t="e">
        <f t="shared" ca="1" si="40"/>
        <v>#N/A</v>
      </c>
      <c r="W334" t="str" cm="1">
        <f t="array" aca="1" ref="W334" ca="1">IFERROR(INDIRECT("$U"&amp;V334),"")</f>
        <v/>
      </c>
      <c r="Z334" t="str" cm="1">
        <f t="array" aca="1" ref="Z334" ca="1">INDEX($AE$2:$AS$40,MOD(ROW()-ROW($AE$2),ROWS($AE$2:$AS$40))+1,INT((ROW()-ROW($AE$2))/ROWS($AE$2:$AS$40))+1)</f>
        <v>BPA004_exhaust_fan</v>
      </c>
      <c r="AA334" t="e">
        <f t="shared" ca="1" si="41"/>
        <v>#N/A</v>
      </c>
      <c r="AB334" t="str" cm="1">
        <f t="array" aca="1" ref="AB334" ca="1">IFERROR(INDIRECT("$Z"&amp;AA334),"")</f>
        <v/>
      </c>
      <c r="AP334" t="str">
        <f t="shared" si="35"/>
        <v/>
      </c>
      <c r="AQ334" t="str">
        <f t="shared" si="36"/>
        <v/>
      </c>
      <c r="AR334" t="str">
        <f t="shared" si="37"/>
        <v/>
      </c>
      <c r="AS334" t="str">
        <f t="shared" si="38"/>
        <v/>
      </c>
    </row>
    <row r="335" spans="5:45" x14ac:dyDescent="0.25">
      <c r="E335" t="str">
        <f ca="1"/>
        <v/>
      </c>
      <c r="F335" t="str">
        <f ca="1"/>
        <v/>
      </c>
      <c r="P335" t="e" cm="1">
        <f t="array" ref="P335">INDEX($B$2:$D$40,MOD(ROW()-ROW($B$2),ROWS($B$2:$D$40))+1,INT((ROW()-ROW($B$2))/ROWS($B$2:$D$40))+1)</f>
        <v>#REF!</v>
      </c>
      <c r="Q335" t="e">
        <f t="shared" ca="1" si="39"/>
        <v>#N/A</v>
      </c>
      <c r="R335" t="str" cm="1">
        <f t="array" aca="1" ref="R335" ca="1">IFERROR(INDIRECT("$P"&amp;Q335),"")</f>
        <v/>
      </c>
      <c r="U335" t="e" cm="1">
        <f t="array" ref="U335">INDEX($C$2:$D$40,MOD(ROW()-ROW($C$2),ROWS($C$2:$D$40))+1,INT((ROW()-ROW($C$2))/ROWS($C$2:$D$40))+1)</f>
        <v>#REF!</v>
      </c>
      <c r="V335" t="e">
        <f t="shared" ca="1" si="40"/>
        <v>#N/A</v>
      </c>
      <c r="W335" t="str" cm="1">
        <f t="array" aca="1" ref="W335" ca="1">IFERROR(INDIRECT("$U"&amp;V335),"")</f>
        <v/>
      </c>
      <c r="Z335" t="str" cm="1">
        <f t="array" aca="1" ref="Z335" ca="1">INDEX($AE$2:$AS$40,MOD(ROW()-ROW($AE$2),ROWS($AE$2:$AS$40))+1,INT((ROW()-ROW($AE$2))/ROWS($AE$2:$AS$40))+1)</f>
        <v>BPA004_exhaust</v>
      </c>
      <c r="AA335" t="e">
        <f t="shared" ca="1" si="41"/>
        <v>#N/A</v>
      </c>
      <c r="AB335" t="str" cm="1">
        <f t="array" aca="1" ref="AB335" ca="1">IFERROR(INDIRECT("$Z"&amp;AA335),"")</f>
        <v/>
      </c>
      <c r="AP335" t="str">
        <f t="shared" si="35"/>
        <v/>
      </c>
      <c r="AQ335" t="str">
        <f t="shared" si="36"/>
        <v/>
      </c>
      <c r="AR335" t="str">
        <f t="shared" si="37"/>
        <v/>
      </c>
      <c r="AS335" t="str">
        <f t="shared" si="38"/>
        <v/>
      </c>
    </row>
    <row r="336" spans="5:45" x14ac:dyDescent="0.25">
      <c r="E336" t="str">
        <f ca="1"/>
        <v/>
      </c>
      <c r="F336" t="str">
        <f ca="1"/>
        <v/>
      </c>
      <c r="P336" t="e" cm="1">
        <f t="array" ref="P336">INDEX($B$2:$D$40,MOD(ROW()-ROW($B$2),ROWS($B$2:$D$40))+1,INT((ROW()-ROW($B$2))/ROWS($B$2:$D$40))+1)</f>
        <v>#REF!</v>
      </c>
      <c r="Q336" t="e">
        <f t="shared" ca="1" si="39"/>
        <v>#N/A</v>
      </c>
      <c r="R336" t="str" cm="1">
        <f t="array" aca="1" ref="R336" ca="1">IFERROR(INDIRECT("$P"&amp;Q336),"")</f>
        <v/>
      </c>
      <c r="U336" t="e" cm="1">
        <f t="array" ref="U336">INDEX($C$2:$D$40,MOD(ROW()-ROW($C$2),ROWS($C$2:$D$40))+1,INT((ROW()-ROW($C$2))/ROWS($C$2:$D$40))+1)</f>
        <v>#REF!</v>
      </c>
      <c r="V336" t="e">
        <f t="shared" ca="1" si="40"/>
        <v>#N/A</v>
      </c>
      <c r="W336" t="str" cm="1">
        <f t="array" aca="1" ref="W336" ca="1">IFERROR(INDIRECT("$U"&amp;V336),"")</f>
        <v/>
      </c>
      <c r="Z336" t="str" cm="1">
        <f t="array" aca="1" ref="Z336" ca="1">INDEX($AE$2:$AS$40,MOD(ROW()-ROW($AE$2),ROWS($AE$2:$AS$40))+1,INT((ROW()-ROW($AE$2))/ROWS($AE$2:$AS$40))+1)</f>
        <v>BTA001</v>
      </c>
      <c r="AA336" t="e">
        <f t="shared" ca="1" si="41"/>
        <v>#N/A</v>
      </c>
      <c r="AB336" t="str" cm="1">
        <f t="array" aca="1" ref="AB336" ca="1">IFERROR(INDIRECT("$Z"&amp;AA336),"")</f>
        <v/>
      </c>
      <c r="AP336" t="str">
        <f t="shared" si="35"/>
        <v/>
      </c>
      <c r="AQ336" t="str">
        <f t="shared" si="36"/>
        <v/>
      </c>
      <c r="AR336" t="str">
        <f t="shared" si="37"/>
        <v/>
      </c>
      <c r="AS336" t="str">
        <f t="shared" si="38"/>
        <v/>
      </c>
    </row>
    <row r="337" spans="5:45" x14ac:dyDescent="0.25">
      <c r="E337" t="str">
        <f ca="1"/>
        <v/>
      </c>
      <c r="F337" t="str">
        <f ca="1"/>
        <v/>
      </c>
      <c r="P337" t="e" cm="1">
        <f t="array" ref="P337">INDEX($B$2:$D$40,MOD(ROW()-ROW($B$2),ROWS($B$2:$D$40))+1,INT((ROW()-ROW($B$2))/ROWS($B$2:$D$40))+1)</f>
        <v>#REF!</v>
      </c>
      <c r="Q337" t="e">
        <f t="shared" ca="1" si="39"/>
        <v>#N/A</v>
      </c>
      <c r="R337" t="str" cm="1">
        <f t="array" aca="1" ref="R337" ca="1">IFERROR(INDIRECT("$P"&amp;Q337),"")</f>
        <v/>
      </c>
      <c r="U337" t="e" cm="1">
        <f t="array" ref="U337">INDEX($C$2:$D$40,MOD(ROW()-ROW($C$2),ROWS($C$2:$D$40))+1,INT((ROW()-ROW($C$2))/ROWS($C$2:$D$40))+1)</f>
        <v>#REF!</v>
      </c>
      <c r="V337" t="e">
        <f t="shared" ca="1" si="40"/>
        <v>#N/A</v>
      </c>
      <c r="W337" t="str" cm="1">
        <f t="array" aca="1" ref="W337" ca="1">IFERROR(INDIRECT("$U"&amp;V337),"")</f>
        <v/>
      </c>
      <c r="Z337" t="str" cm="1">
        <f t="array" aca="1" ref="Z337" ca="1">INDEX($AE$2:$AS$40,MOD(ROW()-ROW($AE$2),ROWS($AE$2:$AS$40))+1,INT((ROW()-ROW($AE$2))/ROWS($AE$2:$AS$40))+1)</f>
        <v>BTA002</v>
      </c>
      <c r="AA337" t="e">
        <f t="shared" ca="1" si="41"/>
        <v>#N/A</v>
      </c>
      <c r="AB337" t="str" cm="1">
        <f t="array" aca="1" ref="AB337" ca="1">IFERROR(INDIRECT("$Z"&amp;AA337),"")</f>
        <v/>
      </c>
      <c r="AP337" t="str">
        <f t="shared" si="35"/>
        <v/>
      </c>
      <c r="AQ337" t="str">
        <f t="shared" si="36"/>
        <v/>
      </c>
      <c r="AR337" t="str">
        <f t="shared" si="37"/>
        <v/>
      </c>
      <c r="AS337" t="str">
        <f t="shared" si="38"/>
        <v/>
      </c>
    </row>
    <row r="338" spans="5:45" x14ac:dyDescent="0.25">
      <c r="E338" t="str">
        <f ca="1"/>
        <v/>
      </c>
      <c r="F338" t="str">
        <f ca="1"/>
        <v/>
      </c>
      <c r="P338" t="e" cm="1">
        <f t="array" ref="P338">INDEX($B$2:$D$40,MOD(ROW()-ROW($B$2),ROWS($B$2:$D$40))+1,INT((ROW()-ROW($B$2))/ROWS($B$2:$D$40))+1)</f>
        <v>#REF!</v>
      </c>
      <c r="Q338" t="e">
        <f t="shared" ca="1" si="39"/>
        <v>#N/A</v>
      </c>
      <c r="R338" t="str" cm="1">
        <f t="array" aca="1" ref="R338" ca="1">IFERROR(INDIRECT("$P"&amp;Q338),"")</f>
        <v/>
      </c>
      <c r="U338" t="e" cm="1">
        <f t="array" ref="U338">INDEX($C$2:$D$40,MOD(ROW()-ROW($C$2),ROWS($C$2:$D$40))+1,INT((ROW()-ROW($C$2))/ROWS($C$2:$D$40))+1)</f>
        <v>#REF!</v>
      </c>
      <c r="V338" t="e">
        <f t="shared" ca="1" si="40"/>
        <v>#N/A</v>
      </c>
      <c r="W338" t="str" cm="1">
        <f t="array" aca="1" ref="W338" ca="1">IFERROR(INDIRECT("$U"&amp;V338),"")</f>
        <v/>
      </c>
      <c r="Z338" t="str" cm="1">
        <f t="array" aca="1" ref="Z338" ca="1">INDEX($AE$2:$AS$40,MOD(ROW()-ROW($AE$2),ROWS($AE$2:$AS$40))+1,INT((ROW()-ROW($AE$2))/ROWS($AE$2:$AS$40))+1)</f>
        <v>BTA003</v>
      </c>
      <c r="AA338" t="e">
        <f t="shared" ca="1" si="41"/>
        <v>#N/A</v>
      </c>
      <c r="AB338" t="str" cm="1">
        <f t="array" aca="1" ref="AB338" ca="1">IFERROR(INDIRECT("$Z"&amp;AA338),"")</f>
        <v/>
      </c>
      <c r="AP338" t="str">
        <f t="shared" si="35"/>
        <v/>
      </c>
      <c r="AQ338" t="str">
        <f t="shared" si="36"/>
        <v/>
      </c>
      <c r="AR338" t="str">
        <f t="shared" si="37"/>
        <v/>
      </c>
      <c r="AS338" t="str">
        <f t="shared" si="38"/>
        <v/>
      </c>
    </row>
    <row r="339" spans="5:45" x14ac:dyDescent="0.25">
      <c r="E339" t="str">
        <f ca="1"/>
        <v/>
      </c>
      <c r="F339" t="str">
        <f ca="1"/>
        <v/>
      </c>
      <c r="P339" t="e" cm="1">
        <f t="array" ref="P339">INDEX($B$2:$D$40,MOD(ROW()-ROW($B$2),ROWS($B$2:$D$40))+1,INT((ROW()-ROW($B$2))/ROWS($B$2:$D$40))+1)</f>
        <v>#REF!</v>
      </c>
      <c r="Q339" t="e">
        <f t="shared" ca="1" si="39"/>
        <v>#N/A</v>
      </c>
      <c r="R339" t="str" cm="1">
        <f t="array" aca="1" ref="R339" ca="1">IFERROR(INDIRECT("$P"&amp;Q339),"")</f>
        <v/>
      </c>
      <c r="U339" t="e" cm="1">
        <f t="array" ref="U339">INDEX($C$2:$D$40,MOD(ROW()-ROW($C$2),ROWS($C$2:$D$40))+1,INT((ROW()-ROW($C$2))/ROWS($C$2:$D$40))+1)</f>
        <v>#REF!</v>
      </c>
      <c r="V339" t="e">
        <f t="shared" ca="1" si="40"/>
        <v>#N/A</v>
      </c>
      <c r="W339" t="str" cm="1">
        <f t="array" aca="1" ref="W339" ca="1">IFERROR(INDIRECT("$U"&amp;V339),"")</f>
        <v/>
      </c>
      <c r="Z339" t="str" cm="1">
        <f t="array" aca="1" ref="Z339" ca="1">INDEX($AE$2:$AS$40,MOD(ROW()-ROW($AE$2),ROWS($AE$2:$AS$40))+1,INT((ROW()-ROW($AE$2))/ROWS($AE$2:$AS$40))+1)</f>
        <v>BTA004</v>
      </c>
      <c r="AA339" t="e">
        <f t="shared" ca="1" si="41"/>
        <v>#N/A</v>
      </c>
      <c r="AB339" t="str" cm="1">
        <f t="array" aca="1" ref="AB339" ca="1">IFERROR(INDIRECT("$Z"&amp;AA339),"")</f>
        <v/>
      </c>
      <c r="AP339" t="str">
        <f t="shared" si="35"/>
        <v/>
      </c>
      <c r="AQ339" t="str">
        <f t="shared" si="36"/>
        <v/>
      </c>
      <c r="AR339" t="str">
        <f t="shared" si="37"/>
        <v/>
      </c>
      <c r="AS339" t="str">
        <f t="shared" si="38"/>
        <v/>
      </c>
    </row>
    <row r="340" spans="5:45" x14ac:dyDescent="0.25">
      <c r="E340" t="str">
        <f ca="1"/>
        <v/>
      </c>
      <c r="F340" t="str">
        <f ca="1"/>
        <v/>
      </c>
      <c r="P340" t="e" cm="1">
        <f t="array" ref="P340">INDEX($B$2:$D$40,MOD(ROW()-ROW($B$2),ROWS($B$2:$D$40))+1,INT((ROW()-ROW($B$2))/ROWS($B$2:$D$40))+1)</f>
        <v>#REF!</v>
      </c>
      <c r="Q340" t="e">
        <f t="shared" ca="1" si="39"/>
        <v>#N/A</v>
      </c>
      <c r="R340" t="str" cm="1">
        <f t="array" aca="1" ref="R340" ca="1">IFERROR(INDIRECT("$P"&amp;Q340),"")</f>
        <v/>
      </c>
      <c r="U340" t="e" cm="1">
        <f t="array" ref="U340">INDEX($C$2:$D$40,MOD(ROW()-ROW($C$2),ROWS($C$2:$D$40))+1,INT((ROW()-ROW($C$2))/ROWS($C$2:$D$40))+1)</f>
        <v>#REF!</v>
      </c>
      <c r="V340" t="e">
        <f t="shared" ca="1" si="40"/>
        <v>#N/A</v>
      </c>
      <c r="W340" t="str" cm="1">
        <f t="array" aca="1" ref="W340" ca="1">IFERROR(INDIRECT("$U"&amp;V340),"")</f>
        <v/>
      </c>
      <c r="Z340" t="str" cm="1">
        <f t="array" aca="1" ref="Z340" ca="1">INDEX($AE$2:$AS$40,MOD(ROW()-ROW($AE$2),ROWS($AE$2:$AS$40))+1,INT((ROW()-ROW($AE$2))/ROWS($AE$2:$AS$40))+1)</f>
        <v>BTA005</v>
      </c>
      <c r="AA340" t="e">
        <f t="shared" ca="1" si="41"/>
        <v>#N/A</v>
      </c>
      <c r="AB340" t="str" cm="1">
        <f t="array" aca="1" ref="AB340" ca="1">IFERROR(INDIRECT("$Z"&amp;AA340),"")</f>
        <v/>
      </c>
      <c r="AP340" t="str">
        <f t="shared" si="35"/>
        <v/>
      </c>
      <c r="AQ340" t="str">
        <f t="shared" si="36"/>
        <v/>
      </c>
      <c r="AR340" t="str">
        <f t="shared" si="37"/>
        <v/>
      </c>
      <c r="AS340" t="str">
        <f t="shared" si="38"/>
        <v/>
      </c>
    </row>
    <row r="341" spans="5:45" x14ac:dyDescent="0.25">
      <c r="E341" t="str">
        <f ca="1"/>
        <v/>
      </c>
      <c r="F341" t="str">
        <f ca="1"/>
        <v/>
      </c>
      <c r="P341" t="e" cm="1">
        <f t="array" ref="P341">INDEX($B$2:$D$40,MOD(ROW()-ROW($B$2),ROWS($B$2:$D$40))+1,INT((ROW()-ROW($B$2))/ROWS($B$2:$D$40))+1)</f>
        <v>#REF!</v>
      </c>
      <c r="Q341" t="e">
        <f t="shared" ca="1" si="39"/>
        <v>#N/A</v>
      </c>
      <c r="R341" t="str" cm="1">
        <f t="array" aca="1" ref="R341" ca="1">IFERROR(INDIRECT("$P"&amp;Q341),"")</f>
        <v/>
      </c>
      <c r="U341" t="e" cm="1">
        <f t="array" ref="U341">INDEX($C$2:$D$40,MOD(ROW()-ROW($C$2),ROWS($C$2:$D$40))+1,INT((ROW()-ROW($C$2))/ROWS($C$2:$D$40))+1)</f>
        <v>#REF!</v>
      </c>
      <c r="V341" t="e">
        <f t="shared" ca="1" si="40"/>
        <v>#N/A</v>
      </c>
      <c r="W341" t="str" cm="1">
        <f t="array" aca="1" ref="W341" ca="1">IFERROR(INDIRECT("$U"&amp;V341),"")</f>
        <v/>
      </c>
      <c r="Z341" t="str" cm="1">
        <f t="array" aca="1" ref="Z341" ca="1">INDEX($AE$2:$AS$40,MOD(ROW()-ROW($AE$2),ROWS($AE$2:$AS$40))+1,INT((ROW()-ROW($AE$2))/ROWS($AE$2:$AS$40))+1)</f>
        <v>BTA006</v>
      </c>
      <c r="AA341" t="e">
        <f t="shared" ca="1" si="41"/>
        <v>#N/A</v>
      </c>
      <c r="AB341" t="str" cm="1">
        <f t="array" aca="1" ref="AB341" ca="1">IFERROR(INDIRECT("$Z"&amp;AA341),"")</f>
        <v/>
      </c>
      <c r="AP341" t="str">
        <f t="shared" si="35"/>
        <v/>
      </c>
      <c r="AQ341" t="str">
        <f t="shared" si="36"/>
        <v/>
      </c>
      <c r="AR341" t="str">
        <f t="shared" si="37"/>
        <v/>
      </c>
      <c r="AS341" t="str">
        <f t="shared" si="38"/>
        <v/>
      </c>
    </row>
    <row r="342" spans="5:45" x14ac:dyDescent="0.25">
      <c r="E342" t="str">
        <f ca="1"/>
        <v/>
      </c>
      <c r="F342" t="str">
        <f ca="1"/>
        <v/>
      </c>
      <c r="P342" t="e" cm="1">
        <f t="array" ref="P342">INDEX($B$2:$D$40,MOD(ROW()-ROW($B$2),ROWS($B$2:$D$40))+1,INT((ROW()-ROW($B$2))/ROWS($B$2:$D$40))+1)</f>
        <v>#REF!</v>
      </c>
      <c r="Q342" t="e">
        <f t="shared" ca="1" si="39"/>
        <v>#N/A</v>
      </c>
      <c r="R342" t="str" cm="1">
        <f t="array" aca="1" ref="R342" ca="1">IFERROR(INDIRECT("$P"&amp;Q342),"")</f>
        <v/>
      </c>
      <c r="U342" t="e" cm="1">
        <f t="array" ref="U342">INDEX($C$2:$D$40,MOD(ROW()-ROW($C$2),ROWS($C$2:$D$40))+1,INT((ROW()-ROW($C$2))/ROWS($C$2:$D$40))+1)</f>
        <v>#REF!</v>
      </c>
      <c r="V342" t="e">
        <f t="shared" ca="1" si="40"/>
        <v>#N/A</v>
      </c>
      <c r="W342" t="str" cm="1">
        <f t="array" aca="1" ref="W342" ca="1">IFERROR(INDIRECT("$U"&amp;V342),"")</f>
        <v/>
      </c>
      <c r="Z342" t="str" cm="1">
        <f t="array" aca="1" ref="Z342" ca="1">INDEX($AE$2:$AS$40,MOD(ROW()-ROW($AE$2),ROWS($AE$2:$AS$40))+1,INT((ROW()-ROW($AE$2))/ROWS($AE$2:$AS$40))+1)</f>
        <v>Space_7_co2_sensor</v>
      </c>
      <c r="AA342" t="e">
        <f t="shared" ca="1" si="41"/>
        <v>#N/A</v>
      </c>
      <c r="AB342" t="str" cm="1">
        <f t="array" aca="1" ref="AB342" ca="1">IFERROR(INDIRECT("$Z"&amp;AA342),"")</f>
        <v/>
      </c>
      <c r="AP342" t="str">
        <f t="shared" si="35"/>
        <v/>
      </c>
      <c r="AQ342" t="str">
        <f t="shared" si="36"/>
        <v/>
      </c>
      <c r="AR342" t="str">
        <f t="shared" si="37"/>
        <v/>
      </c>
      <c r="AS342" t="str">
        <f t="shared" si="38"/>
        <v/>
      </c>
    </row>
    <row r="343" spans="5:45" x14ac:dyDescent="0.25">
      <c r="E343" t="str">
        <f ca="1"/>
        <v/>
      </c>
      <c r="F343" t="str">
        <f ca="1"/>
        <v/>
      </c>
      <c r="P343" t="e" cm="1">
        <f t="array" ref="P343">INDEX($B$2:$D$40,MOD(ROW()-ROW($B$2),ROWS($B$2:$D$40))+1,INT((ROW()-ROW($B$2))/ROWS($B$2:$D$40))+1)</f>
        <v>#REF!</v>
      </c>
      <c r="Q343" t="e">
        <f t="shared" ca="1" si="39"/>
        <v>#N/A</v>
      </c>
      <c r="R343" t="str" cm="1">
        <f t="array" aca="1" ref="R343" ca="1">IFERROR(INDIRECT("$P"&amp;Q343),"")</f>
        <v/>
      </c>
      <c r="U343" t="e" cm="1">
        <f t="array" ref="U343">INDEX($C$2:$D$40,MOD(ROW()-ROW($C$2),ROWS($C$2:$D$40))+1,INT((ROW()-ROW($C$2))/ROWS($C$2:$D$40))+1)</f>
        <v>#REF!</v>
      </c>
      <c r="V343" t="e">
        <f t="shared" ca="1" si="40"/>
        <v>#N/A</v>
      </c>
      <c r="W343" t="str" cm="1">
        <f t="array" aca="1" ref="W343" ca="1">IFERROR(INDIRECT("$U"&amp;V343),"")</f>
        <v/>
      </c>
      <c r="Z343" t="str" cm="1">
        <f t="array" aca="1" ref="Z343" ca="1">INDEX($AE$2:$AS$40,MOD(ROW()-ROW($AE$2),ROWS($AE$2:$AS$40))+1,INT((ROW()-ROW($AE$2))/ROWS($AE$2:$AS$40))+1)</f>
        <v>Space_7_damper_position_sensor</v>
      </c>
      <c r="AA343" t="e">
        <f t="shared" ca="1" si="41"/>
        <v>#N/A</v>
      </c>
      <c r="AB343" t="str" cm="1">
        <f t="array" aca="1" ref="AB343" ca="1">IFERROR(INDIRECT("$Z"&amp;AA343),"")</f>
        <v/>
      </c>
      <c r="AP343" t="str">
        <f t="shared" si="35"/>
        <v/>
      </c>
      <c r="AQ343" t="str">
        <f t="shared" si="36"/>
        <v/>
      </c>
      <c r="AR343" t="str">
        <f t="shared" si="37"/>
        <v/>
      </c>
      <c r="AS343" t="str">
        <f t="shared" si="38"/>
        <v/>
      </c>
    </row>
    <row r="344" spans="5:45" x14ac:dyDescent="0.25">
      <c r="E344" t="str">
        <f ca="1"/>
        <v/>
      </c>
      <c r="F344" t="str">
        <f ca="1"/>
        <v/>
      </c>
      <c r="P344" t="e" cm="1">
        <f t="array" ref="P344">INDEX($B$2:$D$40,MOD(ROW()-ROW($B$2),ROWS($B$2:$D$40))+1,INT((ROW()-ROW($B$2))/ROWS($B$2:$D$40))+1)</f>
        <v>#REF!</v>
      </c>
      <c r="Q344" t="e">
        <f t="shared" ca="1" si="39"/>
        <v>#N/A</v>
      </c>
      <c r="R344" t="str" cm="1">
        <f t="array" aca="1" ref="R344" ca="1">IFERROR(INDIRECT("$P"&amp;Q344),"")</f>
        <v/>
      </c>
      <c r="U344" t="e" cm="1">
        <f t="array" ref="U344">INDEX($C$2:$D$40,MOD(ROW()-ROW($C$2),ROWS($C$2:$D$40))+1,INT((ROW()-ROW($C$2))/ROWS($C$2:$D$40))+1)</f>
        <v>#REF!</v>
      </c>
      <c r="V344" t="e">
        <f t="shared" ca="1" si="40"/>
        <v>#N/A</v>
      </c>
      <c r="W344" t="str" cm="1">
        <f t="array" aca="1" ref="W344" ca="1">IFERROR(INDIRECT("$U"&amp;V344),"")</f>
        <v/>
      </c>
      <c r="Z344" t="str" cm="1">
        <f t="array" aca="1" ref="Z344" ca="1">INDEX($AE$2:$AS$40,MOD(ROW()-ROW($AE$2),ROWS($AE$2:$AS$40))+1,INT((ROW()-ROW($AE$2))/ROWS($AE$2:$AS$40))+1)</f>
        <v>Space_7_temperature_sensor</v>
      </c>
      <c r="AA344" t="e">
        <f t="shared" ca="1" si="41"/>
        <v>#N/A</v>
      </c>
      <c r="AB344" t="str" cm="1">
        <f t="array" aca="1" ref="AB344" ca="1">IFERROR(INDIRECT("$Z"&amp;AA344),"")</f>
        <v/>
      </c>
      <c r="AP344" t="str">
        <f t="shared" si="35"/>
        <v/>
      </c>
      <c r="AQ344" t="str">
        <f t="shared" si="36"/>
        <v/>
      </c>
      <c r="AR344" t="str">
        <f t="shared" si="37"/>
        <v/>
      </c>
      <c r="AS344" t="str">
        <f t="shared" si="38"/>
        <v/>
      </c>
    </row>
    <row r="345" spans="5:45" x14ac:dyDescent="0.25">
      <c r="E345" t="str">
        <f ca="1"/>
        <v/>
      </c>
      <c r="F345" t="str">
        <f ca="1"/>
        <v/>
      </c>
      <c r="P345" t="e" cm="1">
        <f t="array" ref="P345">INDEX($B$2:$D$40,MOD(ROW()-ROW($B$2),ROWS($B$2:$D$40))+1,INT((ROW()-ROW($B$2))/ROWS($B$2:$D$40))+1)</f>
        <v>#REF!</v>
      </c>
      <c r="Q345" t="e">
        <f t="shared" ca="1" si="39"/>
        <v>#N/A</v>
      </c>
      <c r="R345" t="str" cm="1">
        <f t="array" aca="1" ref="R345" ca="1">IFERROR(INDIRECT("$P"&amp;Q345),"")</f>
        <v/>
      </c>
      <c r="U345" t="e" cm="1">
        <f t="array" ref="U345">INDEX($C$2:$D$40,MOD(ROW()-ROW($C$2),ROWS($C$2:$D$40))+1,INT((ROW()-ROW($C$2))/ROWS($C$2:$D$40))+1)</f>
        <v>#REF!</v>
      </c>
      <c r="V345" t="e">
        <f t="shared" ca="1" si="40"/>
        <v>#N/A</v>
      </c>
      <c r="W345" t="str" cm="1">
        <f t="array" aca="1" ref="W345" ca="1">IFERROR(INDIRECT("$U"&amp;V345),"")</f>
        <v/>
      </c>
      <c r="Z345" t="str" cm="1">
        <f t="array" aca="1" ref="Z345" ca="1">INDEX($AE$2:$AS$40,MOD(ROW()-ROW($AE$2),ROWS($AE$2:$AS$40))+1,INT((ROW()-ROW($AE$2))/ROWS($AE$2:$AS$40))+1)</f>
        <v>Space_7_valve_position_sensor</v>
      </c>
      <c r="AA345" t="e">
        <f t="shared" ca="1" si="41"/>
        <v>#N/A</v>
      </c>
      <c r="AB345" t="str" cm="1">
        <f t="array" aca="1" ref="AB345" ca="1">IFERROR(INDIRECT("$Z"&amp;AA345),"")</f>
        <v/>
      </c>
      <c r="AP345" t="str">
        <f t="shared" si="35"/>
        <v/>
      </c>
      <c r="AQ345" t="str">
        <f t="shared" si="36"/>
        <v/>
      </c>
      <c r="AR345" t="str">
        <f t="shared" si="37"/>
        <v/>
      </c>
      <c r="AS345" t="str">
        <f t="shared" si="38"/>
        <v/>
      </c>
    </row>
    <row r="346" spans="5:45" x14ac:dyDescent="0.25">
      <c r="E346" t="str">
        <f ca="1"/>
        <v/>
      </c>
      <c r="F346" t="str">
        <f ca="1"/>
        <v/>
      </c>
      <c r="P346" t="e" cm="1">
        <f t="array" ref="P346">INDEX($B$2:$D$40,MOD(ROW()-ROW($B$2),ROWS($B$2:$D$40))+1,INT((ROW()-ROW($B$2))/ROWS($B$2:$D$40))+1)</f>
        <v>#REF!</v>
      </c>
      <c r="Q346" t="e">
        <f t="shared" ca="1" si="39"/>
        <v>#N/A</v>
      </c>
      <c r="R346" t="str" cm="1">
        <f t="array" aca="1" ref="R346" ca="1">IFERROR(INDIRECT("$P"&amp;Q346),"")</f>
        <v/>
      </c>
      <c r="U346" t="e" cm="1">
        <f t="array" ref="U346">INDEX($C$2:$D$40,MOD(ROW()-ROW($C$2),ROWS($C$2:$D$40))+1,INT((ROW()-ROW($C$2))/ROWS($C$2:$D$40))+1)</f>
        <v>#REF!</v>
      </c>
      <c r="V346" t="e">
        <f t="shared" ca="1" si="40"/>
        <v>#N/A</v>
      </c>
      <c r="W346" t="str" cm="1">
        <f t="array" aca="1" ref="W346" ca="1">IFERROR(INDIRECT("$U"&amp;V346),"")</f>
        <v/>
      </c>
      <c r="Z346" t="str" cm="1">
        <f t="array" aca="1" ref="Z346" ca="1">INDEX($AE$2:$AS$40,MOD(ROW()-ROW($AE$2),ROWS($AE$2:$AS$40))+1,INT((ROW()-ROW($AE$2))/ROWS($AE$2:$AS$40))+1)</f>
        <v>Space_6_co2_sensor</v>
      </c>
      <c r="AA346" t="e">
        <f t="shared" ca="1" si="41"/>
        <v>#N/A</v>
      </c>
      <c r="AB346" t="str" cm="1">
        <f t="array" aca="1" ref="AB346" ca="1">IFERROR(INDIRECT("$Z"&amp;AA346),"")</f>
        <v/>
      </c>
      <c r="AP346" t="str">
        <f t="shared" si="35"/>
        <v/>
      </c>
      <c r="AQ346" t="str">
        <f t="shared" si="36"/>
        <v/>
      </c>
      <c r="AR346" t="str">
        <f t="shared" si="37"/>
        <v/>
      </c>
      <c r="AS346" t="str">
        <f t="shared" si="38"/>
        <v/>
      </c>
    </row>
    <row r="347" spans="5:45" x14ac:dyDescent="0.25">
      <c r="E347" t="str">
        <f ca="1"/>
        <v/>
      </c>
      <c r="F347" t="str">
        <f ca="1"/>
        <v/>
      </c>
      <c r="P347" t="e" cm="1">
        <f t="array" ref="P347">INDEX($B$2:$D$40,MOD(ROW()-ROW($B$2),ROWS($B$2:$D$40))+1,INT((ROW()-ROW($B$2))/ROWS($B$2:$D$40))+1)</f>
        <v>#REF!</v>
      </c>
      <c r="Q347" t="e">
        <f t="shared" ca="1" si="39"/>
        <v>#N/A</v>
      </c>
      <c r="R347" t="str" cm="1">
        <f t="array" aca="1" ref="R347" ca="1">IFERROR(INDIRECT("$P"&amp;Q347),"")</f>
        <v/>
      </c>
      <c r="U347" t="e" cm="1">
        <f t="array" ref="U347">INDEX($C$2:$D$40,MOD(ROW()-ROW($C$2),ROWS($C$2:$D$40))+1,INT((ROW()-ROW($C$2))/ROWS($C$2:$D$40))+1)</f>
        <v>#REF!</v>
      </c>
      <c r="V347" t="e">
        <f t="shared" ca="1" si="40"/>
        <v>#N/A</v>
      </c>
      <c r="W347" t="str" cm="1">
        <f t="array" aca="1" ref="W347" ca="1">IFERROR(INDIRECT("$U"&amp;V347),"")</f>
        <v/>
      </c>
      <c r="Z347" t="str" cm="1">
        <f t="array" aca="1" ref="Z347" ca="1">INDEX($AE$2:$AS$40,MOD(ROW()-ROW($AE$2),ROWS($AE$2:$AS$40))+1,INT((ROW()-ROW($AE$2))/ROWS($AE$2:$AS$40))+1)</f>
        <v>Space_6_damper_position_sensor</v>
      </c>
      <c r="AA347" t="e">
        <f t="shared" ca="1" si="41"/>
        <v>#N/A</v>
      </c>
      <c r="AB347" t="str" cm="1">
        <f t="array" aca="1" ref="AB347" ca="1">IFERROR(INDIRECT("$Z"&amp;AA347),"")</f>
        <v/>
      </c>
      <c r="AP347" t="str">
        <f t="shared" si="35"/>
        <v/>
      </c>
      <c r="AQ347" t="str">
        <f t="shared" si="36"/>
        <v/>
      </c>
      <c r="AR347" t="str">
        <f t="shared" si="37"/>
        <v/>
      </c>
      <c r="AS347" t="str">
        <f t="shared" si="38"/>
        <v/>
      </c>
    </row>
    <row r="348" spans="5:45" x14ac:dyDescent="0.25">
      <c r="E348" t="str">
        <f ca="1"/>
        <v/>
      </c>
      <c r="F348" t="str">
        <f ca="1"/>
        <v/>
      </c>
      <c r="P348" t="e" cm="1">
        <f t="array" ref="P348">INDEX($B$2:$D$40,MOD(ROW()-ROW($B$2),ROWS($B$2:$D$40))+1,INT((ROW()-ROW($B$2))/ROWS($B$2:$D$40))+1)</f>
        <v>#REF!</v>
      </c>
      <c r="Q348" t="e">
        <f t="shared" ca="1" si="39"/>
        <v>#N/A</v>
      </c>
      <c r="R348" t="str" cm="1">
        <f t="array" aca="1" ref="R348" ca="1">IFERROR(INDIRECT("$P"&amp;Q348),"")</f>
        <v/>
      </c>
      <c r="U348" t="e" cm="1">
        <f t="array" ref="U348">INDEX($C$2:$D$40,MOD(ROW()-ROW($C$2),ROWS($C$2:$D$40))+1,INT((ROW()-ROW($C$2))/ROWS($C$2:$D$40))+1)</f>
        <v>#REF!</v>
      </c>
      <c r="V348" t="e">
        <f t="shared" ca="1" si="40"/>
        <v>#N/A</v>
      </c>
      <c r="W348" t="str" cm="1">
        <f t="array" aca="1" ref="W348" ca="1">IFERROR(INDIRECT("$U"&amp;V348),"")</f>
        <v/>
      </c>
      <c r="Z348" t="str" cm="1">
        <f t="array" aca="1" ref="Z348" ca="1">INDEX($AE$2:$AS$40,MOD(ROW()-ROW($AE$2),ROWS($AE$2:$AS$40))+1,INT((ROW()-ROW($AE$2))/ROWS($AE$2:$AS$40))+1)</f>
        <v>Space_6_temperature_sensor</v>
      </c>
      <c r="AA348" t="e">
        <f t="shared" ca="1" si="41"/>
        <v>#N/A</v>
      </c>
      <c r="AB348" t="str" cm="1">
        <f t="array" aca="1" ref="AB348" ca="1">IFERROR(INDIRECT("$Z"&amp;AA348),"")</f>
        <v/>
      </c>
      <c r="AP348" t="str">
        <f t="shared" si="35"/>
        <v/>
      </c>
      <c r="AQ348" t="str">
        <f t="shared" si="36"/>
        <v/>
      </c>
      <c r="AR348" t="str">
        <f t="shared" si="37"/>
        <v/>
      </c>
      <c r="AS348" t="str">
        <f t="shared" si="38"/>
        <v/>
      </c>
    </row>
    <row r="349" spans="5:45" x14ac:dyDescent="0.25">
      <c r="E349" t="str">
        <f ca="1"/>
        <v/>
      </c>
      <c r="F349" t="str">
        <f ca="1"/>
        <v/>
      </c>
      <c r="P349" t="e" cm="1">
        <f t="array" ref="P349">INDEX($B$2:$D$40,MOD(ROW()-ROW($B$2),ROWS($B$2:$D$40))+1,INT((ROW()-ROW($B$2))/ROWS($B$2:$D$40))+1)</f>
        <v>#REF!</v>
      </c>
      <c r="Q349" t="e">
        <f t="shared" ca="1" si="39"/>
        <v>#N/A</v>
      </c>
      <c r="R349" t="str" cm="1">
        <f t="array" aca="1" ref="R349" ca="1">IFERROR(INDIRECT("$P"&amp;Q349),"")</f>
        <v/>
      </c>
      <c r="U349" t="e" cm="1">
        <f t="array" ref="U349">INDEX($C$2:$D$40,MOD(ROW()-ROW($C$2),ROWS($C$2:$D$40))+1,INT((ROW()-ROW($C$2))/ROWS($C$2:$D$40))+1)</f>
        <v>#REF!</v>
      </c>
      <c r="V349" t="e">
        <f t="shared" ca="1" si="40"/>
        <v>#N/A</v>
      </c>
      <c r="W349" t="str" cm="1">
        <f t="array" aca="1" ref="W349" ca="1">IFERROR(INDIRECT("$U"&amp;V349),"")</f>
        <v/>
      </c>
      <c r="Z349" t="str" cm="1">
        <f t="array" aca="1" ref="Z349" ca="1">INDEX($AE$2:$AS$40,MOD(ROW()-ROW($AE$2),ROWS($AE$2:$AS$40))+1,INT((ROW()-ROW($AE$2))/ROWS($AE$2:$AS$40))+1)</f>
        <v>Space_6_valve_position_sensor</v>
      </c>
      <c r="AA349" t="e">
        <f t="shared" ca="1" si="41"/>
        <v>#N/A</v>
      </c>
      <c r="AB349" t="str" cm="1">
        <f t="array" aca="1" ref="AB349" ca="1">IFERROR(INDIRECT("$Z"&amp;AA349),"")</f>
        <v/>
      </c>
      <c r="AP349" t="str">
        <f t="shared" si="35"/>
        <v/>
      </c>
      <c r="AQ349" t="str">
        <f t="shared" si="36"/>
        <v/>
      </c>
      <c r="AR349" t="str">
        <f t="shared" si="37"/>
        <v/>
      </c>
      <c r="AS349" t="str">
        <f t="shared" si="38"/>
        <v/>
      </c>
    </row>
    <row r="350" spans="5:45" x14ac:dyDescent="0.25">
      <c r="E350" t="str">
        <f ca="1"/>
        <v/>
      </c>
      <c r="F350" t="str">
        <f ca="1"/>
        <v/>
      </c>
      <c r="P350" t="e" cm="1">
        <f t="array" ref="P350">INDEX($B$2:$D$40,MOD(ROW()-ROW($B$2),ROWS($B$2:$D$40))+1,INT((ROW()-ROW($B$2))/ROWS($B$2:$D$40))+1)</f>
        <v>#REF!</v>
      </c>
      <c r="Q350" t="e">
        <f t="shared" ca="1" si="39"/>
        <v>#N/A</v>
      </c>
      <c r="R350" t="str" cm="1">
        <f t="array" aca="1" ref="R350" ca="1">IFERROR(INDIRECT("$P"&amp;Q350),"")</f>
        <v/>
      </c>
      <c r="U350" t="e" cm="1">
        <f t="array" ref="U350">INDEX($C$2:$D$40,MOD(ROW()-ROW($C$2),ROWS($C$2:$D$40))+1,INT((ROW()-ROW($C$2))/ROWS($C$2:$D$40))+1)</f>
        <v>#REF!</v>
      </c>
      <c r="V350" t="e">
        <f t="shared" ca="1" si="40"/>
        <v>#N/A</v>
      </c>
      <c r="W350" t="str" cm="1">
        <f t="array" aca="1" ref="W350" ca="1">IFERROR(INDIRECT("$U"&amp;V350),"")</f>
        <v/>
      </c>
      <c r="Z350" t="str" cm="1">
        <f t="array" aca="1" ref="Z350" ca="1">INDEX($AE$2:$AS$40,MOD(ROW()-ROW($AE$2),ROWS($AE$2:$AS$40))+1,INT((ROW()-ROW($AE$2))/ROWS($AE$2:$AS$40))+1)</f>
        <v>Space_8_co2_sensor</v>
      </c>
      <c r="AA350" t="e">
        <f t="shared" ca="1" si="41"/>
        <v>#N/A</v>
      </c>
      <c r="AB350" t="str" cm="1">
        <f t="array" aca="1" ref="AB350" ca="1">IFERROR(INDIRECT("$Z"&amp;AA350),"")</f>
        <v/>
      </c>
      <c r="AP350" t="str">
        <f t="shared" si="35"/>
        <v/>
      </c>
      <c r="AQ350" t="str">
        <f t="shared" si="36"/>
        <v/>
      </c>
      <c r="AR350" t="str">
        <f t="shared" si="37"/>
        <v/>
      </c>
      <c r="AS350" t="str">
        <f t="shared" si="38"/>
        <v/>
      </c>
    </row>
    <row r="351" spans="5:45" x14ac:dyDescent="0.25">
      <c r="E351" t="str">
        <f ca="1"/>
        <v/>
      </c>
      <c r="F351" t="str">
        <f ca="1"/>
        <v/>
      </c>
      <c r="P351" t="e" cm="1">
        <f t="array" ref="P351">INDEX($B$2:$D$40,MOD(ROW()-ROW($B$2),ROWS($B$2:$D$40))+1,INT((ROW()-ROW($B$2))/ROWS($B$2:$D$40))+1)</f>
        <v>#REF!</v>
      </c>
      <c r="Q351" t="e">
        <f t="shared" ca="1" si="39"/>
        <v>#N/A</v>
      </c>
      <c r="R351" t="str" cm="1">
        <f t="array" aca="1" ref="R351" ca="1">IFERROR(INDIRECT("$P"&amp;Q351),"")</f>
        <v/>
      </c>
      <c r="U351" t="e" cm="1">
        <f t="array" ref="U351">INDEX($C$2:$D$40,MOD(ROW()-ROW($C$2),ROWS($C$2:$D$40))+1,INT((ROW()-ROW($C$2))/ROWS($C$2:$D$40))+1)</f>
        <v>#REF!</v>
      </c>
      <c r="V351" t="e">
        <f t="shared" ca="1" si="40"/>
        <v>#N/A</v>
      </c>
      <c r="W351" t="str" cm="1">
        <f t="array" aca="1" ref="W351" ca="1">IFERROR(INDIRECT("$U"&amp;V351),"")</f>
        <v/>
      </c>
      <c r="Z351" t="str" cm="1">
        <f t="array" aca="1" ref="Z351" ca="1">INDEX($AE$2:$AS$40,MOD(ROW()-ROW($AE$2),ROWS($AE$2:$AS$40))+1,INT((ROW()-ROW($AE$2))/ROWS($AE$2:$AS$40))+1)</f>
        <v>Space_8_damper_position_sensor</v>
      </c>
      <c r="AA351" t="e">
        <f t="shared" ca="1" si="41"/>
        <v>#N/A</v>
      </c>
      <c r="AB351" t="str" cm="1">
        <f t="array" aca="1" ref="AB351" ca="1">IFERROR(INDIRECT("$Z"&amp;AA351),"")</f>
        <v/>
      </c>
      <c r="AP351" t="str">
        <f t="shared" si="35"/>
        <v/>
      </c>
      <c r="AQ351" t="str">
        <f t="shared" si="36"/>
        <v/>
      </c>
      <c r="AR351" t="str">
        <f t="shared" si="37"/>
        <v/>
      </c>
      <c r="AS351" t="str">
        <f t="shared" si="38"/>
        <v/>
      </c>
    </row>
    <row r="352" spans="5:45" x14ac:dyDescent="0.25">
      <c r="E352" t="str">
        <f ca="1"/>
        <v/>
      </c>
      <c r="F352" t="str">
        <f ca="1"/>
        <v/>
      </c>
      <c r="P352" t="e" cm="1">
        <f t="array" ref="P352">INDEX($B$2:$D$40,MOD(ROW()-ROW($B$2),ROWS($B$2:$D$40))+1,INT((ROW()-ROW($B$2))/ROWS($B$2:$D$40))+1)</f>
        <v>#REF!</v>
      </c>
      <c r="Q352" t="e">
        <f t="shared" ca="1" si="39"/>
        <v>#N/A</v>
      </c>
      <c r="R352" t="str" cm="1">
        <f t="array" aca="1" ref="R352" ca="1">IFERROR(INDIRECT("$P"&amp;Q352),"")</f>
        <v/>
      </c>
      <c r="U352" t="e" cm="1">
        <f t="array" ref="U352">INDEX($C$2:$D$40,MOD(ROW()-ROW($C$2),ROWS($C$2:$D$40))+1,INT((ROW()-ROW($C$2))/ROWS($C$2:$D$40))+1)</f>
        <v>#REF!</v>
      </c>
      <c r="V352" t="e">
        <f t="shared" ca="1" si="40"/>
        <v>#N/A</v>
      </c>
      <c r="W352" t="str" cm="1">
        <f t="array" aca="1" ref="W352" ca="1">IFERROR(INDIRECT("$U"&amp;V352),"")</f>
        <v/>
      </c>
      <c r="Z352" t="str" cm="1">
        <f t="array" aca="1" ref="Z352" ca="1">INDEX($AE$2:$AS$40,MOD(ROW()-ROW($AE$2),ROWS($AE$2:$AS$40))+1,INT((ROW()-ROW($AE$2))/ROWS($AE$2:$AS$40))+1)</f>
        <v>Space_8_temperature_sensor</v>
      </c>
      <c r="AA352" t="e">
        <f t="shared" ca="1" si="41"/>
        <v>#N/A</v>
      </c>
      <c r="AB352" t="str" cm="1">
        <f t="array" aca="1" ref="AB352" ca="1">IFERROR(INDIRECT("$Z"&amp;AA352),"")</f>
        <v/>
      </c>
      <c r="AP352" t="str">
        <f t="shared" si="35"/>
        <v/>
      </c>
      <c r="AQ352" t="str">
        <f t="shared" si="36"/>
        <v/>
      </c>
      <c r="AR352" t="str">
        <f t="shared" si="37"/>
        <v/>
      </c>
      <c r="AS352" t="str">
        <f t="shared" si="38"/>
        <v/>
      </c>
    </row>
    <row r="353" spans="5:45" x14ac:dyDescent="0.25">
      <c r="E353" t="str">
        <f ca="1"/>
        <v/>
      </c>
      <c r="F353" t="str">
        <f ca="1"/>
        <v/>
      </c>
      <c r="P353" t="e" cm="1">
        <f t="array" ref="P353">INDEX($B$2:$D$40,MOD(ROW()-ROW($B$2),ROWS($B$2:$D$40))+1,INT((ROW()-ROW($B$2))/ROWS($B$2:$D$40))+1)</f>
        <v>#REF!</v>
      </c>
      <c r="Q353" t="e">
        <f t="shared" ca="1" si="39"/>
        <v>#N/A</v>
      </c>
      <c r="R353" t="str" cm="1">
        <f t="array" aca="1" ref="R353" ca="1">IFERROR(INDIRECT("$P"&amp;Q353),"")</f>
        <v/>
      </c>
      <c r="U353" t="e" cm="1">
        <f t="array" ref="U353">INDEX($C$2:$D$40,MOD(ROW()-ROW($C$2),ROWS($C$2:$D$40))+1,INT((ROW()-ROW($C$2))/ROWS($C$2:$D$40))+1)</f>
        <v>#REF!</v>
      </c>
      <c r="V353" t="e">
        <f t="shared" ca="1" si="40"/>
        <v>#N/A</v>
      </c>
      <c r="W353" t="str" cm="1">
        <f t="array" aca="1" ref="W353" ca="1">IFERROR(INDIRECT("$U"&amp;V353),"")</f>
        <v/>
      </c>
      <c r="Z353" t="e" cm="1">
        <f t="array" aca="1" ref="Z353" ca="1">INDEX($AE$2:$AS$40,MOD(ROW()-ROW($AE$2),ROWS($AE$2:$AS$40))+1,INT((ROW()-ROW($AE$2))/ROWS($AE$2:$AS$40))+1)</f>
        <v>#REF!</v>
      </c>
      <c r="AA353" t="e">
        <f t="shared" ca="1" si="41"/>
        <v>#N/A</v>
      </c>
      <c r="AB353" t="str" cm="1">
        <f t="array" aca="1" ref="AB353" ca="1">IFERROR(INDIRECT("$Z"&amp;AA353),"")</f>
        <v/>
      </c>
      <c r="AP353" t="str">
        <f t="shared" si="35"/>
        <v/>
      </c>
      <c r="AQ353" t="str">
        <f t="shared" si="36"/>
        <v/>
      </c>
      <c r="AR353" t="str">
        <f t="shared" si="37"/>
        <v/>
      </c>
      <c r="AS353" t="str">
        <f t="shared" si="38"/>
        <v/>
      </c>
    </row>
    <row r="354" spans="5:45" x14ac:dyDescent="0.25">
      <c r="E354" t="str">
        <f ca="1"/>
        <v/>
      </c>
      <c r="F354" t="str">
        <f ca="1"/>
        <v/>
      </c>
      <c r="P354" t="e" cm="1">
        <f t="array" ref="P354">INDEX($B$2:$D$40,MOD(ROW()-ROW($B$2),ROWS($B$2:$D$40))+1,INT((ROW()-ROW($B$2))/ROWS($B$2:$D$40))+1)</f>
        <v>#REF!</v>
      </c>
      <c r="Q354" t="e">
        <f t="shared" ca="1" si="39"/>
        <v>#N/A</v>
      </c>
      <c r="R354" t="str" cm="1">
        <f t="array" aca="1" ref="R354" ca="1">IFERROR(INDIRECT("$P"&amp;Q354),"")</f>
        <v/>
      </c>
      <c r="U354" t="e" cm="1">
        <f t="array" ref="U354">INDEX($C$2:$D$40,MOD(ROW()-ROW($C$2),ROWS($C$2:$D$40))+1,INT((ROW()-ROW($C$2))/ROWS($C$2:$D$40))+1)</f>
        <v>#REF!</v>
      </c>
      <c r="V354" t="e">
        <f t="shared" ca="1" si="40"/>
        <v>#N/A</v>
      </c>
      <c r="W354" t="str" cm="1">
        <f t="array" aca="1" ref="W354" ca="1">IFERROR(INDIRECT("$U"&amp;V354),"")</f>
        <v/>
      </c>
      <c r="Z354" cm="1">
        <f t="array" ref="Z354">INDEX($AE$2:$AS$40,MOD(ROW()-ROW($AE$2),ROWS($AE$2:$AS$40))+1,INT((ROW()-ROW($AE$2))/ROWS($AE$2:$AS$40))+1)</f>
        <v>0</v>
      </c>
      <c r="AA354" t="e">
        <f t="shared" ca="1" si="41"/>
        <v>#N/A</v>
      </c>
      <c r="AB354" t="str" cm="1">
        <f t="array" aca="1" ref="AB354" ca="1">IFERROR(INDIRECT("$Z"&amp;AA354),"")</f>
        <v/>
      </c>
      <c r="AP354" t="str">
        <f t="shared" si="35"/>
        <v/>
      </c>
      <c r="AQ354" t="str">
        <f t="shared" si="36"/>
        <v/>
      </c>
      <c r="AR354" t="str">
        <f t="shared" si="37"/>
        <v/>
      </c>
      <c r="AS354" t="str">
        <f t="shared" si="38"/>
        <v/>
      </c>
    </row>
    <row r="355" spans="5:45" x14ac:dyDescent="0.25">
      <c r="E355" t="str">
        <f ca="1"/>
        <v/>
      </c>
      <c r="F355" t="str">
        <f ca="1"/>
        <v/>
      </c>
      <c r="P355" t="e" cm="1">
        <f t="array" ref="P355">INDEX($B$2:$D$40,MOD(ROW()-ROW($B$2),ROWS($B$2:$D$40))+1,INT((ROW()-ROW($B$2))/ROWS($B$2:$D$40))+1)</f>
        <v>#REF!</v>
      </c>
      <c r="Q355" t="e">
        <f t="shared" ca="1" si="39"/>
        <v>#N/A</v>
      </c>
      <c r="R355" t="str" cm="1">
        <f t="array" aca="1" ref="R355" ca="1">IFERROR(INDIRECT("$P"&amp;Q355),"")</f>
        <v/>
      </c>
      <c r="U355" t="e" cm="1">
        <f t="array" ref="U355">INDEX($C$2:$D$40,MOD(ROW()-ROW($C$2),ROWS($C$2:$D$40))+1,INT((ROW()-ROW($C$2))/ROWS($C$2:$D$40))+1)</f>
        <v>#REF!</v>
      </c>
      <c r="V355" t="e">
        <f t="shared" ca="1" si="40"/>
        <v>#N/A</v>
      </c>
      <c r="W355" t="str" cm="1">
        <f t="array" aca="1" ref="W355" ca="1">IFERROR(INDIRECT("$U"&amp;V355),"")</f>
        <v/>
      </c>
      <c r="Z355" cm="1">
        <f t="array" ref="Z355">INDEX($AE$2:$AS$40,MOD(ROW()-ROW($AE$2),ROWS($AE$2:$AS$40))+1,INT((ROW()-ROW($AE$2))/ROWS($AE$2:$AS$40))+1)</f>
        <v>0</v>
      </c>
      <c r="AA355" t="e">
        <f t="shared" ca="1" si="41"/>
        <v>#N/A</v>
      </c>
      <c r="AB355" t="str" cm="1">
        <f t="array" aca="1" ref="AB355" ca="1">IFERROR(INDIRECT("$Z"&amp;AA355),"")</f>
        <v/>
      </c>
      <c r="AP355" t="str">
        <f t="shared" si="35"/>
        <v/>
      </c>
      <c r="AQ355" t="str">
        <f t="shared" si="36"/>
        <v/>
      </c>
      <c r="AR355" t="str">
        <f t="shared" si="37"/>
        <v/>
      </c>
      <c r="AS355" t="str">
        <f t="shared" si="38"/>
        <v/>
      </c>
    </row>
    <row r="356" spans="5:45" x14ac:dyDescent="0.25">
      <c r="E356" t="str">
        <f ca="1"/>
        <v/>
      </c>
      <c r="F356" t="str">
        <f ca="1"/>
        <v/>
      </c>
      <c r="P356" t="e" cm="1">
        <f t="array" ref="P356">INDEX($B$2:$D$40,MOD(ROW()-ROW($B$2),ROWS($B$2:$D$40))+1,INT((ROW()-ROW($B$2))/ROWS($B$2:$D$40))+1)</f>
        <v>#REF!</v>
      </c>
      <c r="Q356" t="e">
        <f t="shared" ca="1" si="39"/>
        <v>#N/A</v>
      </c>
      <c r="R356" t="str" cm="1">
        <f t="array" aca="1" ref="R356" ca="1">IFERROR(INDIRECT("$P"&amp;Q356),"")</f>
        <v/>
      </c>
      <c r="U356" t="e" cm="1">
        <f t="array" ref="U356">INDEX($C$2:$D$40,MOD(ROW()-ROW($C$2),ROWS($C$2:$D$40))+1,INT((ROW()-ROW($C$2))/ROWS($C$2:$D$40))+1)</f>
        <v>#REF!</v>
      </c>
      <c r="V356" t="e">
        <f t="shared" ca="1" si="40"/>
        <v>#N/A</v>
      </c>
      <c r="W356" t="str" cm="1">
        <f t="array" aca="1" ref="W356" ca="1">IFERROR(INDIRECT("$U"&amp;V356),"")</f>
        <v/>
      </c>
      <c r="Z356" cm="1">
        <f t="array" ref="Z356">INDEX($AE$2:$AS$40,MOD(ROW()-ROW($AE$2),ROWS($AE$2:$AS$40))+1,INT((ROW()-ROW($AE$2))/ROWS($AE$2:$AS$40))+1)</f>
        <v>0</v>
      </c>
      <c r="AA356" t="e">
        <f t="shared" ca="1" si="41"/>
        <v>#N/A</v>
      </c>
      <c r="AB356" t="str" cm="1">
        <f t="array" aca="1" ref="AB356" ca="1">IFERROR(INDIRECT("$Z"&amp;AA356),"")</f>
        <v/>
      </c>
      <c r="AP356" t="str">
        <f t="shared" si="35"/>
        <v/>
      </c>
      <c r="AQ356" t="str">
        <f t="shared" si="36"/>
        <v/>
      </c>
      <c r="AR356" t="str">
        <f t="shared" si="37"/>
        <v/>
      </c>
      <c r="AS356" t="str">
        <f t="shared" si="38"/>
        <v/>
      </c>
    </row>
    <row r="357" spans="5:45" x14ac:dyDescent="0.25">
      <c r="E357" t="str">
        <f ca="1"/>
        <v/>
      </c>
      <c r="F357" t="str">
        <f ca="1"/>
        <v/>
      </c>
      <c r="P357" t="e" cm="1">
        <f t="array" ref="P357">INDEX($B$2:$D$40,MOD(ROW()-ROW($B$2),ROWS($B$2:$D$40))+1,INT((ROW()-ROW($B$2))/ROWS($B$2:$D$40))+1)</f>
        <v>#REF!</v>
      </c>
      <c r="Q357" t="e">
        <f t="shared" ca="1" si="39"/>
        <v>#N/A</v>
      </c>
      <c r="R357" t="str" cm="1">
        <f t="array" aca="1" ref="R357" ca="1">IFERROR(INDIRECT("$P"&amp;Q357),"")</f>
        <v/>
      </c>
      <c r="U357" t="e" cm="1">
        <f t="array" ref="U357">INDEX($C$2:$D$40,MOD(ROW()-ROW($C$2),ROWS($C$2:$D$40))+1,INT((ROW()-ROW($C$2))/ROWS($C$2:$D$40))+1)</f>
        <v>#REF!</v>
      </c>
      <c r="V357" t="e">
        <f t="shared" ca="1" si="40"/>
        <v>#N/A</v>
      </c>
      <c r="W357" t="str" cm="1">
        <f t="array" aca="1" ref="W357" ca="1">IFERROR(INDIRECT("$U"&amp;V357),"")</f>
        <v/>
      </c>
      <c r="Z357" cm="1">
        <f t="array" ref="Z357">INDEX($AE$2:$AS$40,MOD(ROW()-ROW($AE$2),ROWS($AE$2:$AS$40))+1,INT((ROW()-ROW($AE$2))/ROWS($AE$2:$AS$40))+1)</f>
        <v>0</v>
      </c>
      <c r="AA357" t="e">
        <f t="shared" ca="1" si="41"/>
        <v>#N/A</v>
      </c>
      <c r="AB357" t="str" cm="1">
        <f t="array" aca="1" ref="AB357" ca="1">IFERROR(INDIRECT("$Z"&amp;AA357),"")</f>
        <v/>
      </c>
      <c r="AP357" t="str">
        <f t="shared" si="35"/>
        <v/>
      </c>
      <c r="AQ357" t="str">
        <f t="shared" si="36"/>
        <v/>
      </c>
      <c r="AR357" t="str">
        <f t="shared" si="37"/>
        <v/>
      </c>
      <c r="AS357" t="str">
        <f t="shared" si="38"/>
        <v/>
      </c>
    </row>
    <row r="358" spans="5:45" x14ac:dyDescent="0.25">
      <c r="E358" t="str">
        <f ca="1"/>
        <v/>
      </c>
      <c r="F358" t="str">
        <f ca="1"/>
        <v/>
      </c>
      <c r="P358" t="e" cm="1">
        <f t="array" ref="P358">INDEX($B$2:$D$40,MOD(ROW()-ROW($B$2),ROWS($B$2:$D$40))+1,INT((ROW()-ROW($B$2))/ROWS($B$2:$D$40))+1)</f>
        <v>#REF!</v>
      </c>
      <c r="Q358" t="e">
        <f t="shared" ca="1" si="39"/>
        <v>#N/A</v>
      </c>
      <c r="R358" t="str" cm="1">
        <f t="array" aca="1" ref="R358" ca="1">IFERROR(INDIRECT("$P"&amp;Q358),"")</f>
        <v/>
      </c>
      <c r="U358" t="e" cm="1">
        <f t="array" ref="U358">INDEX($C$2:$D$40,MOD(ROW()-ROW($C$2),ROWS($C$2:$D$40))+1,INT((ROW()-ROW($C$2))/ROWS($C$2:$D$40))+1)</f>
        <v>#REF!</v>
      </c>
      <c r="V358" t="e">
        <f t="shared" ca="1" si="40"/>
        <v>#N/A</v>
      </c>
      <c r="W358" t="str" cm="1">
        <f t="array" aca="1" ref="W358" ca="1">IFERROR(INDIRECT("$U"&amp;V358),"")</f>
        <v/>
      </c>
      <c r="Z358" cm="1">
        <f t="array" ref="Z358">INDEX($AE$2:$AS$40,MOD(ROW()-ROW($AE$2),ROWS($AE$2:$AS$40))+1,INT((ROW()-ROW($AE$2))/ROWS($AE$2:$AS$40))+1)</f>
        <v>0</v>
      </c>
      <c r="AA358" t="e">
        <f t="shared" ca="1" si="41"/>
        <v>#N/A</v>
      </c>
      <c r="AB358" t="str" cm="1">
        <f t="array" aca="1" ref="AB358" ca="1">IFERROR(INDIRECT("$Z"&amp;AA358),"")</f>
        <v/>
      </c>
      <c r="AP358" t="str">
        <f t="shared" si="35"/>
        <v/>
      </c>
      <c r="AQ358" t="str">
        <f t="shared" si="36"/>
        <v/>
      </c>
      <c r="AR358" t="str">
        <f t="shared" si="37"/>
        <v/>
      </c>
      <c r="AS358" t="str">
        <f t="shared" si="38"/>
        <v/>
      </c>
    </row>
    <row r="359" spans="5:45" x14ac:dyDescent="0.25">
      <c r="E359" t="str">
        <f ca="1"/>
        <v/>
      </c>
      <c r="F359" t="str">
        <f ca="1"/>
        <v/>
      </c>
      <c r="P359" t="e" cm="1">
        <f t="array" ref="P359">INDEX($B$2:$D$40,MOD(ROW()-ROW($B$2),ROWS($B$2:$D$40))+1,INT((ROW()-ROW($B$2))/ROWS($B$2:$D$40))+1)</f>
        <v>#REF!</v>
      </c>
      <c r="Q359" t="e">
        <f t="shared" ca="1" si="39"/>
        <v>#N/A</v>
      </c>
      <c r="R359" t="str" cm="1">
        <f t="array" aca="1" ref="R359" ca="1">IFERROR(INDIRECT("$P"&amp;Q359),"")</f>
        <v/>
      </c>
      <c r="U359" t="e" cm="1">
        <f t="array" ref="U359">INDEX($C$2:$D$40,MOD(ROW()-ROW($C$2),ROWS($C$2:$D$40))+1,INT((ROW()-ROW($C$2))/ROWS($C$2:$D$40))+1)</f>
        <v>#REF!</v>
      </c>
      <c r="V359" t="e">
        <f t="shared" ca="1" si="40"/>
        <v>#N/A</v>
      </c>
      <c r="W359" t="str" cm="1">
        <f t="array" aca="1" ref="W359" ca="1">IFERROR(INDIRECT("$U"&amp;V359),"")</f>
        <v/>
      </c>
      <c r="Z359" cm="1">
        <f t="array" ref="Z359">INDEX($AE$2:$AS$40,MOD(ROW()-ROW($AE$2),ROWS($AE$2:$AS$40))+1,INT((ROW()-ROW($AE$2))/ROWS($AE$2:$AS$40))+1)</f>
        <v>0</v>
      </c>
      <c r="AA359" t="e">
        <f t="shared" ca="1" si="41"/>
        <v>#N/A</v>
      </c>
      <c r="AB359" t="str" cm="1">
        <f t="array" aca="1" ref="AB359" ca="1">IFERROR(INDIRECT("$Z"&amp;AA359),"")</f>
        <v/>
      </c>
      <c r="AP359" t="str">
        <f t="shared" si="35"/>
        <v/>
      </c>
      <c r="AQ359" t="str">
        <f t="shared" si="36"/>
        <v/>
      </c>
      <c r="AR359" t="str">
        <f t="shared" si="37"/>
        <v/>
      </c>
      <c r="AS359" t="str">
        <f t="shared" si="38"/>
        <v/>
      </c>
    </row>
    <row r="360" spans="5:45" x14ac:dyDescent="0.25">
      <c r="E360" t="str">
        <f ca="1"/>
        <v/>
      </c>
      <c r="F360" t="str">
        <f ca="1"/>
        <v/>
      </c>
      <c r="P360" t="e" cm="1">
        <f t="array" ref="P360">INDEX($B$2:$D$40,MOD(ROW()-ROW($B$2),ROWS($B$2:$D$40))+1,INT((ROW()-ROW($B$2))/ROWS($B$2:$D$40))+1)</f>
        <v>#REF!</v>
      </c>
      <c r="Q360" t="e">
        <f t="shared" ca="1" si="39"/>
        <v>#N/A</v>
      </c>
      <c r="R360" t="str" cm="1">
        <f t="array" aca="1" ref="R360" ca="1">IFERROR(INDIRECT("$P"&amp;Q360),"")</f>
        <v/>
      </c>
      <c r="U360" t="e" cm="1">
        <f t="array" ref="U360">INDEX($C$2:$D$40,MOD(ROW()-ROW($C$2),ROWS($C$2:$D$40))+1,INT((ROW()-ROW($C$2))/ROWS($C$2:$D$40))+1)</f>
        <v>#REF!</v>
      </c>
      <c r="V360" t="e">
        <f t="shared" ca="1" si="40"/>
        <v>#N/A</v>
      </c>
      <c r="W360" t="str" cm="1">
        <f t="array" aca="1" ref="W360" ca="1">IFERROR(INDIRECT("$U"&amp;V360),"")</f>
        <v/>
      </c>
      <c r="Z360" cm="1">
        <f t="array" ref="Z360">INDEX($AE$2:$AS$40,MOD(ROW()-ROW($AE$2),ROWS($AE$2:$AS$40))+1,INT((ROW()-ROW($AE$2))/ROWS($AE$2:$AS$40))+1)</f>
        <v>0</v>
      </c>
      <c r="AA360" t="e">
        <f t="shared" ca="1" si="41"/>
        <v>#N/A</v>
      </c>
      <c r="AB360" t="str" cm="1">
        <f t="array" aca="1" ref="AB360" ca="1">IFERROR(INDIRECT("$Z"&amp;AA360),"")</f>
        <v/>
      </c>
      <c r="AP360" t="str">
        <f t="shared" si="35"/>
        <v/>
      </c>
      <c r="AQ360" t="str">
        <f t="shared" si="36"/>
        <v/>
      </c>
      <c r="AR360" t="str">
        <f t="shared" si="37"/>
        <v/>
      </c>
      <c r="AS360" t="str">
        <f t="shared" si="38"/>
        <v/>
      </c>
    </row>
    <row r="361" spans="5:45" x14ac:dyDescent="0.25">
      <c r="E361" t="str">
        <f ca="1"/>
        <v/>
      </c>
      <c r="F361" t="str">
        <f ca="1"/>
        <v/>
      </c>
      <c r="P361" t="e" cm="1">
        <f t="array" ref="P361">INDEX($B$2:$D$40,MOD(ROW()-ROW($B$2),ROWS($B$2:$D$40))+1,INT((ROW()-ROW($B$2))/ROWS($B$2:$D$40))+1)</f>
        <v>#REF!</v>
      </c>
      <c r="Q361" t="e">
        <f t="shared" ca="1" si="39"/>
        <v>#N/A</v>
      </c>
      <c r="R361" t="str" cm="1">
        <f t="array" aca="1" ref="R361" ca="1">IFERROR(INDIRECT("$P"&amp;Q361),"")</f>
        <v/>
      </c>
      <c r="U361" t="e" cm="1">
        <f t="array" ref="U361">INDEX($C$2:$D$40,MOD(ROW()-ROW($C$2),ROWS($C$2:$D$40))+1,INT((ROW()-ROW($C$2))/ROWS($C$2:$D$40))+1)</f>
        <v>#REF!</v>
      </c>
      <c r="V361" t="e">
        <f t="shared" ca="1" si="40"/>
        <v>#N/A</v>
      </c>
      <c r="W361" t="str" cm="1">
        <f t="array" aca="1" ref="W361" ca="1">IFERROR(INDIRECT("$U"&amp;V361),"")</f>
        <v/>
      </c>
      <c r="Z361" cm="1">
        <f t="array" ref="Z361">INDEX($AE$2:$AS$40,MOD(ROW()-ROW($AE$2),ROWS($AE$2:$AS$40))+1,INT((ROW()-ROW($AE$2))/ROWS($AE$2:$AS$40))+1)</f>
        <v>0</v>
      </c>
      <c r="AA361" t="e">
        <f t="shared" ca="1" si="41"/>
        <v>#N/A</v>
      </c>
      <c r="AB361" t="str" cm="1">
        <f t="array" aca="1" ref="AB361" ca="1">IFERROR(INDIRECT("$Z"&amp;AA361),"")</f>
        <v/>
      </c>
      <c r="AP361" t="str">
        <f t="shared" si="35"/>
        <v/>
      </c>
      <c r="AQ361" t="str">
        <f t="shared" si="36"/>
        <v/>
      </c>
      <c r="AR361" t="str">
        <f t="shared" si="37"/>
        <v/>
      </c>
      <c r="AS361" t="str">
        <f t="shared" si="38"/>
        <v/>
      </c>
    </row>
    <row r="362" spans="5:45" x14ac:dyDescent="0.25">
      <c r="E362" t="str">
        <f ca="1"/>
        <v/>
      </c>
      <c r="F362" t="str">
        <f ca="1"/>
        <v/>
      </c>
      <c r="P362" t="e" cm="1">
        <f t="array" ref="P362">INDEX($B$2:$D$40,MOD(ROW()-ROW($B$2),ROWS($B$2:$D$40))+1,INT((ROW()-ROW($B$2))/ROWS($B$2:$D$40))+1)</f>
        <v>#REF!</v>
      </c>
      <c r="Q362" t="e">
        <f t="shared" ca="1" si="39"/>
        <v>#N/A</v>
      </c>
      <c r="R362" t="str" cm="1">
        <f t="array" aca="1" ref="R362" ca="1">IFERROR(INDIRECT("$P"&amp;Q362),"")</f>
        <v/>
      </c>
      <c r="U362" t="e" cm="1">
        <f t="array" ref="U362">INDEX($C$2:$D$40,MOD(ROW()-ROW($C$2),ROWS($C$2:$D$40))+1,INT((ROW()-ROW($C$2))/ROWS($C$2:$D$40))+1)</f>
        <v>#REF!</v>
      </c>
      <c r="V362" t="e">
        <f t="shared" ca="1" si="40"/>
        <v>#N/A</v>
      </c>
      <c r="W362" t="str" cm="1">
        <f t="array" aca="1" ref="W362" ca="1">IFERROR(INDIRECT("$U"&amp;V362),"")</f>
        <v/>
      </c>
      <c r="Z362" cm="1">
        <f t="array" ref="Z362">INDEX($AE$2:$AS$40,MOD(ROW()-ROW($AE$2),ROWS($AE$2:$AS$40))+1,INT((ROW()-ROW($AE$2))/ROWS($AE$2:$AS$40))+1)</f>
        <v>0</v>
      </c>
      <c r="AA362" t="e">
        <f t="shared" ca="1" si="41"/>
        <v>#N/A</v>
      </c>
      <c r="AB362" t="str" cm="1">
        <f t="array" aca="1" ref="AB362" ca="1">IFERROR(INDIRECT("$Z"&amp;AA362),"")</f>
        <v/>
      </c>
      <c r="AP362" t="str">
        <f t="shared" si="35"/>
        <v/>
      </c>
      <c r="AQ362" t="str">
        <f t="shared" si="36"/>
        <v/>
      </c>
      <c r="AR362" t="str">
        <f t="shared" si="37"/>
        <v/>
      </c>
      <c r="AS362" t="str">
        <f t="shared" si="38"/>
        <v/>
      </c>
    </row>
    <row r="363" spans="5:45" x14ac:dyDescent="0.25">
      <c r="E363" t="str">
        <f ca="1"/>
        <v/>
      </c>
      <c r="F363" t="str">
        <f ca="1"/>
        <v/>
      </c>
      <c r="P363" t="e" cm="1">
        <f t="array" ref="P363">INDEX($B$2:$D$40,MOD(ROW()-ROW($B$2),ROWS($B$2:$D$40))+1,INT((ROW()-ROW($B$2))/ROWS($B$2:$D$40))+1)</f>
        <v>#REF!</v>
      </c>
      <c r="Q363" t="e">
        <f t="shared" ca="1" si="39"/>
        <v>#N/A</v>
      </c>
      <c r="R363" t="str" cm="1">
        <f t="array" aca="1" ref="R363" ca="1">IFERROR(INDIRECT("$P"&amp;Q363),"")</f>
        <v/>
      </c>
      <c r="U363" t="e" cm="1">
        <f t="array" ref="U363">INDEX($C$2:$D$40,MOD(ROW()-ROW($C$2),ROWS($C$2:$D$40))+1,INT((ROW()-ROW($C$2))/ROWS($C$2:$D$40))+1)</f>
        <v>#REF!</v>
      </c>
      <c r="V363" t="e">
        <f t="shared" ca="1" si="40"/>
        <v>#N/A</v>
      </c>
      <c r="W363" t="str" cm="1">
        <f t="array" aca="1" ref="W363" ca="1">IFERROR(INDIRECT("$U"&amp;V363),"")</f>
        <v/>
      </c>
      <c r="Z363" cm="1">
        <f t="array" ref="Z363">INDEX($AE$2:$AS$40,MOD(ROW()-ROW($AE$2),ROWS($AE$2:$AS$40))+1,INT((ROW()-ROW($AE$2))/ROWS($AE$2:$AS$40))+1)</f>
        <v>0</v>
      </c>
      <c r="AA363" t="e">
        <f t="shared" ca="1" si="41"/>
        <v>#N/A</v>
      </c>
      <c r="AB363" t="str" cm="1">
        <f t="array" aca="1" ref="AB363" ca="1">IFERROR(INDIRECT("$Z"&amp;AA363),"")</f>
        <v/>
      </c>
      <c r="AP363" t="str">
        <f t="shared" si="35"/>
        <v/>
      </c>
      <c r="AQ363" t="str">
        <f t="shared" si="36"/>
        <v/>
      </c>
      <c r="AR363" t="str">
        <f t="shared" si="37"/>
        <v/>
      </c>
      <c r="AS363" t="str">
        <f t="shared" si="38"/>
        <v/>
      </c>
    </row>
    <row r="364" spans="5:45" x14ac:dyDescent="0.25">
      <c r="E364" t="str">
        <f ca="1"/>
        <v/>
      </c>
      <c r="F364" t="str">
        <f ca="1"/>
        <v/>
      </c>
      <c r="P364" t="e" cm="1">
        <f t="array" ref="P364">INDEX($B$2:$D$40,MOD(ROW()-ROW($B$2),ROWS($B$2:$D$40))+1,INT((ROW()-ROW($B$2))/ROWS($B$2:$D$40))+1)</f>
        <v>#REF!</v>
      </c>
      <c r="Q364" t="e">
        <f t="shared" ca="1" si="39"/>
        <v>#N/A</v>
      </c>
      <c r="R364" t="str" cm="1">
        <f t="array" aca="1" ref="R364" ca="1">IFERROR(INDIRECT("$P"&amp;Q364),"")</f>
        <v/>
      </c>
      <c r="U364" t="e" cm="1">
        <f t="array" ref="U364">INDEX($C$2:$D$40,MOD(ROW()-ROW($C$2),ROWS($C$2:$D$40))+1,INT((ROW()-ROW($C$2))/ROWS($C$2:$D$40))+1)</f>
        <v>#REF!</v>
      </c>
      <c r="V364" t="e">
        <f t="shared" ca="1" si="40"/>
        <v>#N/A</v>
      </c>
      <c r="W364" t="str" cm="1">
        <f t="array" aca="1" ref="W364" ca="1">IFERROR(INDIRECT("$U"&amp;V364),"")</f>
        <v/>
      </c>
      <c r="Z364" cm="1">
        <f t="array" ref="Z364">INDEX($AE$2:$AS$40,MOD(ROW()-ROW($AE$2),ROWS($AE$2:$AS$40))+1,INT((ROW()-ROW($AE$2))/ROWS($AE$2:$AS$40))+1)</f>
        <v>0</v>
      </c>
      <c r="AA364" t="e">
        <f t="shared" ca="1" si="41"/>
        <v>#N/A</v>
      </c>
      <c r="AB364" t="str" cm="1">
        <f t="array" aca="1" ref="AB364" ca="1">IFERROR(INDIRECT("$Z"&amp;AA364),"")</f>
        <v/>
      </c>
      <c r="AP364" t="str">
        <f t="shared" si="35"/>
        <v/>
      </c>
      <c r="AQ364" t="str">
        <f t="shared" si="36"/>
        <v/>
      </c>
      <c r="AR364" t="str">
        <f t="shared" si="37"/>
        <v/>
      </c>
      <c r="AS364" t="str">
        <f t="shared" si="38"/>
        <v/>
      </c>
    </row>
    <row r="365" spans="5:45" x14ac:dyDescent="0.25">
      <c r="E365" t="str">
        <f ca="1"/>
        <v/>
      </c>
      <c r="F365" t="str">
        <f ca="1"/>
        <v/>
      </c>
      <c r="P365" t="e" cm="1">
        <f t="array" ref="P365">INDEX($B$2:$D$40,MOD(ROW()-ROW($B$2),ROWS($B$2:$D$40))+1,INT((ROW()-ROW($B$2))/ROWS($B$2:$D$40))+1)</f>
        <v>#REF!</v>
      </c>
      <c r="Q365" t="e">
        <f t="shared" ca="1" si="39"/>
        <v>#N/A</v>
      </c>
      <c r="R365" t="str" cm="1">
        <f t="array" aca="1" ref="R365" ca="1">IFERROR(INDIRECT("$P"&amp;Q365),"")</f>
        <v/>
      </c>
      <c r="U365" t="e" cm="1">
        <f t="array" ref="U365">INDEX($C$2:$D$40,MOD(ROW()-ROW($C$2),ROWS($C$2:$D$40))+1,INT((ROW()-ROW($C$2))/ROWS($C$2:$D$40))+1)</f>
        <v>#REF!</v>
      </c>
      <c r="V365" t="e">
        <f t="shared" ca="1" si="40"/>
        <v>#N/A</v>
      </c>
      <c r="W365" t="str" cm="1">
        <f t="array" aca="1" ref="W365" ca="1">IFERROR(INDIRECT("$U"&amp;V365),"")</f>
        <v/>
      </c>
      <c r="Z365" cm="1">
        <f t="array" ref="Z365">INDEX($AE$2:$AS$40,MOD(ROW()-ROW($AE$2),ROWS($AE$2:$AS$40))+1,INT((ROW()-ROW($AE$2))/ROWS($AE$2:$AS$40))+1)</f>
        <v>0</v>
      </c>
      <c r="AA365" t="e">
        <f t="shared" ca="1" si="41"/>
        <v>#N/A</v>
      </c>
      <c r="AB365" t="str" cm="1">
        <f t="array" aca="1" ref="AB365" ca="1">IFERROR(INDIRECT("$Z"&amp;AA365),"")</f>
        <v/>
      </c>
      <c r="AP365" t="str">
        <f t="shared" si="35"/>
        <v/>
      </c>
      <c r="AQ365" t="str">
        <f t="shared" si="36"/>
        <v/>
      </c>
      <c r="AR365" t="str">
        <f t="shared" si="37"/>
        <v/>
      </c>
      <c r="AS365" t="str">
        <f t="shared" si="38"/>
        <v/>
      </c>
    </row>
    <row r="366" spans="5:45" x14ac:dyDescent="0.25">
      <c r="E366" t="str">
        <f ca="1"/>
        <v/>
      </c>
      <c r="F366" t="str">
        <f ca="1"/>
        <v/>
      </c>
      <c r="P366" t="e" cm="1">
        <f t="array" ref="P366">INDEX($B$2:$D$40,MOD(ROW()-ROW($B$2),ROWS($B$2:$D$40))+1,INT((ROW()-ROW($B$2))/ROWS($B$2:$D$40))+1)</f>
        <v>#REF!</v>
      </c>
      <c r="Q366" t="e">
        <f t="shared" ca="1" si="39"/>
        <v>#N/A</v>
      </c>
      <c r="R366" t="str" cm="1">
        <f t="array" aca="1" ref="R366" ca="1">IFERROR(INDIRECT("$P"&amp;Q366),"")</f>
        <v/>
      </c>
      <c r="U366" t="e" cm="1">
        <f t="array" ref="U366">INDEX($C$2:$D$40,MOD(ROW()-ROW($C$2),ROWS($C$2:$D$40))+1,INT((ROW()-ROW($C$2))/ROWS($C$2:$D$40))+1)</f>
        <v>#REF!</v>
      </c>
      <c r="V366" t="e">
        <f t="shared" ca="1" si="40"/>
        <v>#N/A</v>
      </c>
      <c r="W366" t="str" cm="1">
        <f t="array" aca="1" ref="W366" ca="1">IFERROR(INDIRECT("$U"&amp;V366),"")</f>
        <v/>
      </c>
      <c r="Z366" cm="1">
        <f t="array" ref="Z366">INDEX($AE$2:$AS$40,MOD(ROW()-ROW($AE$2),ROWS($AE$2:$AS$40))+1,INT((ROW()-ROW($AE$2))/ROWS($AE$2:$AS$40))+1)</f>
        <v>0</v>
      </c>
      <c r="AA366" t="e">
        <f t="shared" ca="1" si="41"/>
        <v>#N/A</v>
      </c>
      <c r="AB366" t="str" cm="1">
        <f t="array" aca="1" ref="AB366" ca="1">IFERROR(INDIRECT("$Z"&amp;AA366),"")</f>
        <v/>
      </c>
      <c r="AP366" t="str">
        <f t="shared" si="35"/>
        <v/>
      </c>
      <c r="AQ366" t="str">
        <f t="shared" si="36"/>
        <v/>
      </c>
      <c r="AR366" t="str">
        <f t="shared" si="37"/>
        <v/>
      </c>
      <c r="AS366" t="str">
        <f t="shared" si="38"/>
        <v/>
      </c>
    </row>
    <row r="367" spans="5:45" x14ac:dyDescent="0.25">
      <c r="E367" t="str">
        <f ca="1"/>
        <v/>
      </c>
      <c r="F367" t="str">
        <f ca="1"/>
        <v/>
      </c>
      <c r="P367" t="e" cm="1">
        <f t="array" ref="P367">INDEX($B$2:$D$40,MOD(ROW()-ROW($B$2),ROWS($B$2:$D$40))+1,INT((ROW()-ROW($B$2))/ROWS($B$2:$D$40))+1)</f>
        <v>#REF!</v>
      </c>
      <c r="Q367" t="e">
        <f t="shared" ca="1" si="39"/>
        <v>#N/A</v>
      </c>
      <c r="R367" t="str" cm="1">
        <f t="array" aca="1" ref="R367" ca="1">IFERROR(INDIRECT("$P"&amp;Q367),"")</f>
        <v/>
      </c>
      <c r="U367" t="e" cm="1">
        <f t="array" ref="U367">INDEX($C$2:$D$40,MOD(ROW()-ROW($C$2),ROWS($C$2:$D$40))+1,INT((ROW()-ROW($C$2))/ROWS($C$2:$D$40))+1)</f>
        <v>#REF!</v>
      </c>
      <c r="V367" t="e">
        <f t="shared" ca="1" si="40"/>
        <v>#N/A</v>
      </c>
      <c r="W367" t="str" cm="1">
        <f t="array" aca="1" ref="W367" ca="1">IFERROR(INDIRECT("$U"&amp;V367),"")</f>
        <v/>
      </c>
      <c r="Z367" cm="1">
        <f t="array" ref="Z367">INDEX($AE$2:$AS$40,MOD(ROW()-ROW($AE$2),ROWS($AE$2:$AS$40))+1,INT((ROW()-ROW($AE$2))/ROWS($AE$2:$AS$40))+1)</f>
        <v>0</v>
      </c>
      <c r="AA367" t="e">
        <f t="shared" ca="1" si="41"/>
        <v>#N/A</v>
      </c>
      <c r="AB367" t="str" cm="1">
        <f t="array" aca="1" ref="AB367" ca="1">IFERROR(INDIRECT("$Z"&amp;AA367),"")</f>
        <v/>
      </c>
      <c r="AP367" t="str">
        <f t="shared" si="35"/>
        <v/>
      </c>
      <c r="AQ367" t="str">
        <f t="shared" si="36"/>
        <v/>
      </c>
      <c r="AR367" t="str">
        <f t="shared" si="37"/>
        <v/>
      </c>
      <c r="AS367" t="str">
        <f t="shared" si="38"/>
        <v/>
      </c>
    </row>
    <row r="368" spans="5:45" x14ac:dyDescent="0.25">
      <c r="E368" t="str">
        <f ca="1"/>
        <v/>
      </c>
      <c r="F368" t="str">
        <f ca="1"/>
        <v/>
      </c>
      <c r="P368" t="e" cm="1">
        <f t="array" ref="P368">INDEX($B$2:$D$40,MOD(ROW()-ROW($B$2),ROWS($B$2:$D$40))+1,INT((ROW()-ROW($B$2))/ROWS($B$2:$D$40))+1)</f>
        <v>#REF!</v>
      </c>
      <c r="Q368" t="e">
        <f t="shared" ca="1" si="39"/>
        <v>#N/A</v>
      </c>
      <c r="R368" t="str" cm="1">
        <f t="array" aca="1" ref="R368" ca="1">IFERROR(INDIRECT("$P"&amp;Q368),"")</f>
        <v/>
      </c>
      <c r="U368" t="e" cm="1">
        <f t="array" ref="U368">INDEX($C$2:$D$40,MOD(ROW()-ROW($C$2),ROWS($C$2:$D$40))+1,INT((ROW()-ROW($C$2))/ROWS($C$2:$D$40))+1)</f>
        <v>#REF!</v>
      </c>
      <c r="V368" t="e">
        <f t="shared" ca="1" si="40"/>
        <v>#N/A</v>
      </c>
      <c r="W368" t="str" cm="1">
        <f t="array" aca="1" ref="W368" ca="1">IFERROR(INDIRECT("$U"&amp;V368),"")</f>
        <v/>
      </c>
      <c r="Z368" cm="1">
        <f t="array" ref="Z368">INDEX($AE$2:$AS$40,MOD(ROW()-ROW($AE$2),ROWS($AE$2:$AS$40))+1,INT((ROW()-ROW($AE$2))/ROWS($AE$2:$AS$40))+1)</f>
        <v>0</v>
      </c>
      <c r="AA368" t="e">
        <f t="shared" ca="1" si="41"/>
        <v>#N/A</v>
      </c>
      <c r="AB368" t="str" cm="1">
        <f t="array" aca="1" ref="AB368" ca="1">IFERROR(INDIRECT("$Z"&amp;AA368),"")</f>
        <v/>
      </c>
      <c r="AP368" t="str">
        <f t="shared" si="35"/>
        <v/>
      </c>
      <c r="AQ368" t="str">
        <f t="shared" si="36"/>
        <v/>
      </c>
      <c r="AR368" t="str">
        <f t="shared" si="37"/>
        <v/>
      </c>
      <c r="AS368" t="str">
        <f t="shared" si="38"/>
        <v/>
      </c>
    </row>
    <row r="369" spans="5:45" x14ac:dyDescent="0.25">
      <c r="E369" t="str">
        <f ca="1"/>
        <v/>
      </c>
      <c r="F369" t="str">
        <f ca="1"/>
        <v/>
      </c>
      <c r="P369" t="e" cm="1">
        <f t="array" ref="P369">INDEX($B$2:$D$40,MOD(ROW()-ROW($B$2),ROWS($B$2:$D$40))+1,INT((ROW()-ROW($B$2))/ROWS($B$2:$D$40))+1)</f>
        <v>#REF!</v>
      </c>
      <c r="Q369" t="e">
        <f t="shared" ca="1" si="39"/>
        <v>#N/A</v>
      </c>
      <c r="R369" t="str" cm="1">
        <f t="array" aca="1" ref="R369" ca="1">IFERROR(INDIRECT("$P"&amp;Q369),"")</f>
        <v/>
      </c>
      <c r="U369" t="e" cm="1">
        <f t="array" ref="U369">INDEX($C$2:$D$40,MOD(ROW()-ROW($C$2),ROWS($C$2:$D$40))+1,INT((ROW()-ROW($C$2))/ROWS($C$2:$D$40))+1)</f>
        <v>#REF!</v>
      </c>
      <c r="V369" t="e">
        <f t="shared" ca="1" si="40"/>
        <v>#N/A</v>
      </c>
      <c r="W369" t="str" cm="1">
        <f t="array" aca="1" ref="W369" ca="1">IFERROR(INDIRECT("$U"&amp;V369),"")</f>
        <v/>
      </c>
      <c r="Z369" cm="1">
        <f t="array" ref="Z369">INDEX($AE$2:$AS$40,MOD(ROW()-ROW($AE$2),ROWS($AE$2:$AS$40))+1,INT((ROW()-ROW($AE$2))/ROWS($AE$2:$AS$40))+1)</f>
        <v>0</v>
      </c>
      <c r="AA369" t="e">
        <f t="shared" ca="1" si="41"/>
        <v>#N/A</v>
      </c>
      <c r="AB369" t="str" cm="1">
        <f t="array" aca="1" ref="AB369" ca="1">IFERROR(INDIRECT("$Z"&amp;AA369),"")</f>
        <v/>
      </c>
      <c r="AP369" t="str">
        <f t="shared" si="35"/>
        <v/>
      </c>
      <c r="AQ369" t="str">
        <f t="shared" si="36"/>
        <v/>
      </c>
      <c r="AR369" t="str">
        <f t="shared" si="37"/>
        <v/>
      </c>
      <c r="AS369" t="str">
        <f t="shared" si="38"/>
        <v/>
      </c>
    </row>
    <row r="370" spans="5:45" x14ac:dyDescent="0.25">
      <c r="E370" t="str">
        <f ca="1"/>
        <v/>
      </c>
      <c r="F370" t="str">
        <f ca="1"/>
        <v/>
      </c>
      <c r="P370" t="e" cm="1">
        <f t="array" ref="P370">INDEX($B$2:$D$40,MOD(ROW()-ROW($B$2),ROWS($B$2:$D$40))+1,INT((ROW()-ROW($B$2))/ROWS($B$2:$D$40))+1)</f>
        <v>#REF!</v>
      </c>
      <c r="Q370" t="e">
        <f t="shared" ca="1" si="39"/>
        <v>#N/A</v>
      </c>
      <c r="R370" t="str" cm="1">
        <f t="array" aca="1" ref="R370" ca="1">IFERROR(INDIRECT("$P"&amp;Q370),"")</f>
        <v/>
      </c>
      <c r="U370" t="e" cm="1">
        <f t="array" ref="U370">INDEX($C$2:$D$40,MOD(ROW()-ROW($C$2),ROWS($C$2:$D$40))+1,INT((ROW()-ROW($C$2))/ROWS($C$2:$D$40))+1)</f>
        <v>#REF!</v>
      </c>
      <c r="V370" t="e">
        <f t="shared" ca="1" si="40"/>
        <v>#N/A</v>
      </c>
      <c r="W370" t="str" cm="1">
        <f t="array" aca="1" ref="W370" ca="1">IFERROR(INDIRECT("$U"&amp;V370),"")</f>
        <v/>
      </c>
      <c r="Z370" cm="1">
        <f t="array" ref="Z370">INDEX($AE$2:$AS$40,MOD(ROW()-ROW($AE$2),ROWS($AE$2:$AS$40))+1,INT((ROW()-ROW($AE$2))/ROWS($AE$2:$AS$40))+1)</f>
        <v>0</v>
      </c>
      <c r="AA370" t="e">
        <f t="shared" ca="1" si="41"/>
        <v>#N/A</v>
      </c>
      <c r="AB370" t="str" cm="1">
        <f t="array" aca="1" ref="AB370" ca="1">IFERROR(INDIRECT("$Z"&amp;AA370),"")</f>
        <v/>
      </c>
      <c r="AP370" t="str">
        <f t="shared" si="35"/>
        <v/>
      </c>
      <c r="AQ370" t="str">
        <f t="shared" si="36"/>
        <v/>
      </c>
      <c r="AR370" t="str">
        <f t="shared" si="37"/>
        <v/>
      </c>
      <c r="AS370" t="str">
        <f t="shared" si="38"/>
        <v/>
      </c>
    </row>
    <row r="371" spans="5:45" x14ac:dyDescent="0.25">
      <c r="E371" t="str">
        <f ca="1"/>
        <v/>
      </c>
      <c r="F371" t="str">
        <f ca="1"/>
        <v/>
      </c>
      <c r="P371" t="e" cm="1">
        <f t="array" ref="P371">INDEX($B$2:$D$40,MOD(ROW()-ROW($B$2),ROWS($B$2:$D$40))+1,INT((ROW()-ROW($B$2))/ROWS($B$2:$D$40))+1)</f>
        <v>#REF!</v>
      </c>
      <c r="Q371" t="e">
        <f t="shared" ca="1" si="39"/>
        <v>#N/A</v>
      </c>
      <c r="R371" t="str" cm="1">
        <f t="array" aca="1" ref="R371" ca="1">IFERROR(INDIRECT("$P"&amp;Q371),"")</f>
        <v/>
      </c>
      <c r="U371" t="e" cm="1">
        <f t="array" ref="U371">INDEX($C$2:$D$40,MOD(ROW()-ROW($C$2),ROWS($C$2:$D$40))+1,INT((ROW()-ROW($C$2))/ROWS($C$2:$D$40))+1)</f>
        <v>#REF!</v>
      </c>
      <c r="V371" t="e">
        <f t="shared" ca="1" si="40"/>
        <v>#N/A</v>
      </c>
      <c r="W371" t="str" cm="1">
        <f t="array" aca="1" ref="W371" ca="1">IFERROR(INDIRECT("$U"&amp;V371),"")</f>
        <v/>
      </c>
      <c r="Z371" cm="1">
        <f t="array" ref="Z371">INDEX($AE$2:$AS$40,MOD(ROW()-ROW($AE$2),ROWS($AE$2:$AS$40))+1,INT((ROW()-ROW($AE$2))/ROWS($AE$2:$AS$40))+1)</f>
        <v>0</v>
      </c>
      <c r="AA371" t="e">
        <f t="shared" ca="1" si="41"/>
        <v>#N/A</v>
      </c>
      <c r="AB371" t="str" cm="1">
        <f t="array" aca="1" ref="AB371" ca="1">IFERROR(INDIRECT("$Z"&amp;AA371),"")</f>
        <v/>
      </c>
      <c r="AP371" t="str">
        <f t="shared" si="35"/>
        <v/>
      </c>
      <c r="AQ371" t="str">
        <f t="shared" si="36"/>
        <v/>
      </c>
      <c r="AR371" t="str">
        <f t="shared" si="37"/>
        <v/>
      </c>
      <c r="AS371" t="str">
        <f t="shared" si="38"/>
        <v/>
      </c>
    </row>
    <row r="372" spans="5:45" x14ac:dyDescent="0.25">
      <c r="E372" t="str">
        <f ca="1"/>
        <v/>
      </c>
      <c r="F372" t="str">
        <f ca="1"/>
        <v/>
      </c>
      <c r="P372" t="e" cm="1">
        <f t="array" ref="P372">INDEX($B$2:$D$40,MOD(ROW()-ROW($B$2),ROWS($B$2:$D$40))+1,INT((ROW()-ROW($B$2))/ROWS($B$2:$D$40))+1)</f>
        <v>#REF!</v>
      </c>
      <c r="Q372" t="e">
        <f t="shared" ca="1" si="39"/>
        <v>#N/A</v>
      </c>
      <c r="R372" t="str" cm="1">
        <f t="array" aca="1" ref="R372" ca="1">IFERROR(INDIRECT("$P"&amp;Q372),"")</f>
        <v/>
      </c>
      <c r="U372" t="e" cm="1">
        <f t="array" ref="U372">INDEX($C$2:$D$40,MOD(ROW()-ROW($C$2),ROWS($C$2:$D$40))+1,INT((ROW()-ROW($C$2))/ROWS($C$2:$D$40))+1)</f>
        <v>#REF!</v>
      </c>
      <c r="V372" t="e">
        <f t="shared" ca="1" si="40"/>
        <v>#N/A</v>
      </c>
      <c r="W372" t="str" cm="1">
        <f t="array" aca="1" ref="W372" ca="1">IFERROR(INDIRECT("$U"&amp;V372),"")</f>
        <v/>
      </c>
      <c r="Z372" cm="1">
        <f t="array" ref="Z372">INDEX($AE$2:$AS$40,MOD(ROW()-ROW($AE$2),ROWS($AE$2:$AS$40))+1,INT((ROW()-ROW($AE$2))/ROWS($AE$2:$AS$40))+1)</f>
        <v>0</v>
      </c>
      <c r="AA372" t="e">
        <f t="shared" ca="1" si="41"/>
        <v>#N/A</v>
      </c>
      <c r="AB372" t="str" cm="1">
        <f t="array" aca="1" ref="AB372" ca="1">IFERROR(INDIRECT("$Z"&amp;AA372),"")</f>
        <v/>
      </c>
      <c r="AP372" t="str">
        <f t="shared" si="35"/>
        <v/>
      </c>
      <c r="AQ372" t="str">
        <f t="shared" si="36"/>
        <v/>
      </c>
      <c r="AR372" t="str">
        <f t="shared" si="37"/>
        <v/>
      </c>
      <c r="AS372" t="str">
        <f t="shared" si="38"/>
        <v/>
      </c>
    </row>
    <row r="373" spans="5:45" x14ac:dyDescent="0.25">
      <c r="E373" t="str">
        <f ca="1"/>
        <v/>
      </c>
      <c r="F373" t="str">
        <f ca="1"/>
        <v/>
      </c>
      <c r="P373" t="e" cm="1">
        <f t="array" ref="P373">INDEX($B$2:$D$40,MOD(ROW()-ROW($B$2),ROWS($B$2:$D$40))+1,INT((ROW()-ROW($B$2))/ROWS($B$2:$D$40))+1)</f>
        <v>#REF!</v>
      </c>
      <c r="Q373" t="e">
        <f t="shared" ca="1" si="39"/>
        <v>#N/A</v>
      </c>
      <c r="R373" t="str" cm="1">
        <f t="array" aca="1" ref="R373" ca="1">IFERROR(INDIRECT("$P"&amp;Q373),"")</f>
        <v/>
      </c>
      <c r="U373" t="e" cm="1">
        <f t="array" ref="U373">INDEX($C$2:$D$40,MOD(ROW()-ROW($C$2),ROWS($C$2:$D$40))+1,INT((ROW()-ROW($C$2))/ROWS($C$2:$D$40))+1)</f>
        <v>#REF!</v>
      </c>
      <c r="V373" t="e">
        <f t="shared" ca="1" si="40"/>
        <v>#N/A</v>
      </c>
      <c r="W373" t="str" cm="1">
        <f t="array" aca="1" ref="W373" ca="1">IFERROR(INDIRECT("$U"&amp;V373),"")</f>
        <v/>
      </c>
      <c r="Z373" cm="1">
        <f t="array" ref="Z373">INDEX($AE$2:$AS$40,MOD(ROW()-ROW($AE$2),ROWS($AE$2:$AS$40))+1,INT((ROW()-ROW($AE$2))/ROWS($AE$2:$AS$40))+1)</f>
        <v>0</v>
      </c>
      <c r="AA373" t="e">
        <f t="shared" ca="1" si="41"/>
        <v>#N/A</v>
      </c>
      <c r="AB373" t="str" cm="1">
        <f t="array" aca="1" ref="AB373" ca="1">IFERROR(INDIRECT("$Z"&amp;AA373),"")</f>
        <v/>
      </c>
      <c r="AP373" t="str">
        <f t="shared" si="35"/>
        <v/>
      </c>
      <c r="AQ373" t="str">
        <f t="shared" si="36"/>
        <v/>
      </c>
      <c r="AR373" t="str">
        <f t="shared" si="37"/>
        <v/>
      </c>
      <c r="AS373" t="str">
        <f t="shared" si="38"/>
        <v/>
      </c>
    </row>
    <row r="374" spans="5:45" x14ac:dyDescent="0.25">
      <c r="E374" t="str">
        <f ca="1"/>
        <v/>
      </c>
      <c r="F374" t="str">
        <f ca="1"/>
        <v/>
      </c>
      <c r="P374" t="e" cm="1">
        <f t="array" ref="P374">INDEX($B$2:$D$40,MOD(ROW()-ROW($B$2),ROWS($B$2:$D$40))+1,INT((ROW()-ROW($B$2))/ROWS($B$2:$D$40))+1)</f>
        <v>#REF!</v>
      </c>
      <c r="Q374" t="e">
        <f t="shared" ca="1" si="39"/>
        <v>#N/A</v>
      </c>
      <c r="R374" t="str" cm="1">
        <f t="array" aca="1" ref="R374" ca="1">IFERROR(INDIRECT("$P"&amp;Q374),"")</f>
        <v/>
      </c>
      <c r="U374" t="e" cm="1">
        <f t="array" ref="U374">INDEX($C$2:$D$40,MOD(ROW()-ROW($C$2),ROWS($C$2:$D$40))+1,INT((ROW()-ROW($C$2))/ROWS($C$2:$D$40))+1)</f>
        <v>#REF!</v>
      </c>
      <c r="V374" t="e">
        <f t="shared" ca="1" si="40"/>
        <v>#N/A</v>
      </c>
      <c r="W374" t="str" cm="1">
        <f t="array" aca="1" ref="W374" ca="1">IFERROR(INDIRECT("$U"&amp;V374),"")</f>
        <v/>
      </c>
      <c r="Z374" cm="1">
        <f t="array" ref="Z374">INDEX($AE$2:$AS$40,MOD(ROW()-ROW($AE$2),ROWS($AE$2:$AS$40))+1,INT((ROW()-ROW($AE$2))/ROWS($AE$2:$AS$40))+1)</f>
        <v>0</v>
      </c>
      <c r="AA374" t="e">
        <f t="shared" ca="1" si="41"/>
        <v>#N/A</v>
      </c>
      <c r="AB374" t="str" cm="1">
        <f t="array" aca="1" ref="AB374" ca="1">IFERROR(INDIRECT("$Z"&amp;AA374),"")</f>
        <v/>
      </c>
      <c r="AP374" t="str">
        <f t="shared" si="35"/>
        <v/>
      </c>
      <c r="AQ374" t="str">
        <f t="shared" si="36"/>
        <v/>
      </c>
      <c r="AR374" t="str">
        <f t="shared" si="37"/>
        <v/>
      </c>
      <c r="AS374" t="str">
        <f t="shared" si="38"/>
        <v/>
      </c>
    </row>
    <row r="375" spans="5:45" x14ac:dyDescent="0.25">
      <c r="E375" t="str">
        <f ca="1"/>
        <v/>
      </c>
      <c r="F375" t="str">
        <f ca="1"/>
        <v/>
      </c>
      <c r="P375" t="e" cm="1">
        <f t="array" ref="P375">INDEX($B$2:$D$40,MOD(ROW()-ROW($B$2),ROWS($B$2:$D$40))+1,INT((ROW()-ROW($B$2))/ROWS($B$2:$D$40))+1)</f>
        <v>#REF!</v>
      </c>
      <c r="Q375" t="e">
        <f t="shared" ca="1" si="39"/>
        <v>#N/A</v>
      </c>
      <c r="R375" t="str" cm="1">
        <f t="array" aca="1" ref="R375" ca="1">IFERROR(INDIRECT("$P"&amp;Q375),"")</f>
        <v/>
      </c>
      <c r="U375" t="e" cm="1">
        <f t="array" ref="U375">INDEX($C$2:$D$40,MOD(ROW()-ROW($C$2),ROWS($C$2:$D$40))+1,INT((ROW()-ROW($C$2))/ROWS($C$2:$D$40))+1)</f>
        <v>#REF!</v>
      </c>
      <c r="V375" t="e">
        <f t="shared" ca="1" si="40"/>
        <v>#N/A</v>
      </c>
      <c r="W375" t="str" cm="1">
        <f t="array" aca="1" ref="W375" ca="1">IFERROR(INDIRECT("$U"&amp;V375),"")</f>
        <v/>
      </c>
      <c r="Z375" cm="1">
        <f t="array" ref="Z375">INDEX($AE$2:$AS$40,MOD(ROW()-ROW($AE$2),ROWS($AE$2:$AS$40))+1,INT((ROW()-ROW($AE$2))/ROWS($AE$2:$AS$40))+1)</f>
        <v>0</v>
      </c>
      <c r="AA375" t="e">
        <f t="shared" ca="1" si="41"/>
        <v>#N/A</v>
      </c>
      <c r="AB375" t="str" cm="1">
        <f t="array" aca="1" ref="AB375" ca="1">IFERROR(INDIRECT("$Z"&amp;AA375),"")</f>
        <v/>
      </c>
      <c r="AP375" t="str">
        <f t="shared" si="35"/>
        <v/>
      </c>
      <c r="AQ375" t="str">
        <f t="shared" si="36"/>
        <v/>
      </c>
      <c r="AR375" t="str">
        <f t="shared" si="37"/>
        <v/>
      </c>
      <c r="AS375" t="str">
        <f t="shared" si="38"/>
        <v/>
      </c>
    </row>
    <row r="376" spans="5:45" x14ac:dyDescent="0.25">
      <c r="E376" t="str">
        <f ca="1"/>
        <v/>
      </c>
      <c r="F376" t="str">
        <f ca="1"/>
        <v/>
      </c>
      <c r="P376" t="e" cm="1">
        <f t="array" ref="P376">INDEX($B$2:$D$40,MOD(ROW()-ROW($B$2),ROWS($B$2:$D$40))+1,INT((ROW()-ROW($B$2))/ROWS($B$2:$D$40))+1)</f>
        <v>#REF!</v>
      </c>
      <c r="Q376" t="e">
        <f t="shared" ca="1" si="39"/>
        <v>#N/A</v>
      </c>
      <c r="R376" t="str" cm="1">
        <f t="array" aca="1" ref="R376" ca="1">IFERROR(INDIRECT("$P"&amp;Q376),"")</f>
        <v/>
      </c>
      <c r="U376" t="e" cm="1">
        <f t="array" ref="U376">INDEX($C$2:$D$40,MOD(ROW()-ROW($C$2),ROWS($C$2:$D$40))+1,INT((ROW()-ROW($C$2))/ROWS($C$2:$D$40))+1)</f>
        <v>#REF!</v>
      </c>
      <c r="V376" t="e">
        <f t="shared" ca="1" si="40"/>
        <v>#N/A</v>
      </c>
      <c r="W376" t="str" cm="1">
        <f t="array" aca="1" ref="W376" ca="1">IFERROR(INDIRECT("$U"&amp;V376),"")</f>
        <v/>
      </c>
      <c r="Z376" cm="1">
        <f t="array" ref="Z376">INDEX($AE$2:$AS$40,MOD(ROW()-ROW($AE$2),ROWS($AE$2:$AS$40))+1,INT((ROW()-ROW($AE$2))/ROWS($AE$2:$AS$40))+1)</f>
        <v>0</v>
      </c>
      <c r="AA376" t="e">
        <f t="shared" ca="1" si="41"/>
        <v>#N/A</v>
      </c>
      <c r="AB376" t="str" cm="1">
        <f t="array" aca="1" ref="AB376" ca="1">IFERROR(INDIRECT("$Z"&amp;AA376),"")</f>
        <v/>
      </c>
      <c r="AP376" t="str">
        <f t="shared" si="35"/>
        <v/>
      </c>
      <c r="AQ376" t="str">
        <f t="shared" si="36"/>
        <v/>
      </c>
      <c r="AR376" t="str">
        <f t="shared" si="37"/>
        <v/>
      </c>
      <c r="AS376" t="str">
        <f t="shared" si="38"/>
        <v/>
      </c>
    </row>
    <row r="377" spans="5:45" x14ac:dyDescent="0.25">
      <c r="E377" t="str">
        <f ca="1"/>
        <v/>
      </c>
      <c r="F377" t="str">
        <f ca="1"/>
        <v/>
      </c>
      <c r="P377" t="e" cm="1">
        <f t="array" ref="P377">INDEX($B$2:$D$40,MOD(ROW()-ROW($B$2),ROWS($B$2:$D$40))+1,INT((ROW()-ROW($B$2))/ROWS($B$2:$D$40))+1)</f>
        <v>#REF!</v>
      </c>
      <c r="Q377" t="e">
        <f t="shared" ca="1" si="39"/>
        <v>#N/A</v>
      </c>
      <c r="R377" t="str" cm="1">
        <f t="array" aca="1" ref="R377" ca="1">IFERROR(INDIRECT("$P"&amp;Q377),"")</f>
        <v/>
      </c>
      <c r="U377" t="e" cm="1">
        <f t="array" ref="U377">INDEX($C$2:$D$40,MOD(ROW()-ROW($C$2),ROWS($C$2:$D$40))+1,INT((ROW()-ROW($C$2))/ROWS($C$2:$D$40))+1)</f>
        <v>#REF!</v>
      </c>
      <c r="V377" t="e">
        <f t="shared" ca="1" si="40"/>
        <v>#N/A</v>
      </c>
      <c r="W377" t="str" cm="1">
        <f t="array" aca="1" ref="W377" ca="1">IFERROR(INDIRECT("$U"&amp;V377),"")</f>
        <v/>
      </c>
      <c r="Z377" cm="1">
        <f t="array" ref="Z377">INDEX($AE$2:$AS$40,MOD(ROW()-ROW($AE$2),ROWS($AE$2:$AS$40))+1,INT((ROW()-ROW($AE$2))/ROWS($AE$2:$AS$40))+1)</f>
        <v>0</v>
      </c>
      <c r="AA377" t="e">
        <f t="shared" ca="1" si="41"/>
        <v>#N/A</v>
      </c>
      <c r="AB377" t="str" cm="1">
        <f t="array" aca="1" ref="AB377" ca="1">IFERROR(INDIRECT("$Z"&amp;AA377),"")</f>
        <v/>
      </c>
      <c r="AP377" t="str">
        <f t="shared" si="35"/>
        <v/>
      </c>
      <c r="AQ377" t="str">
        <f t="shared" si="36"/>
        <v/>
      </c>
      <c r="AR377" t="str">
        <f t="shared" si="37"/>
        <v/>
      </c>
      <c r="AS377" t="str">
        <f t="shared" si="38"/>
        <v/>
      </c>
    </row>
    <row r="378" spans="5:45" x14ac:dyDescent="0.25">
      <c r="E378" t="str">
        <f ca="1"/>
        <v/>
      </c>
      <c r="F378" t="str">
        <f ca="1"/>
        <v/>
      </c>
      <c r="P378" t="e" cm="1">
        <f t="array" ref="P378">INDEX($B$2:$D$40,MOD(ROW()-ROW($B$2),ROWS($B$2:$D$40))+1,INT((ROW()-ROW($B$2))/ROWS($B$2:$D$40))+1)</f>
        <v>#REF!</v>
      </c>
      <c r="Q378" t="e">
        <f t="shared" ca="1" si="39"/>
        <v>#N/A</v>
      </c>
      <c r="R378" t="str" cm="1">
        <f t="array" aca="1" ref="R378" ca="1">IFERROR(INDIRECT("$P"&amp;Q378),"")</f>
        <v/>
      </c>
      <c r="U378" t="e" cm="1">
        <f t="array" ref="U378">INDEX($C$2:$D$40,MOD(ROW()-ROW($C$2),ROWS($C$2:$D$40))+1,INT((ROW()-ROW($C$2))/ROWS($C$2:$D$40))+1)</f>
        <v>#REF!</v>
      </c>
      <c r="V378" t="e">
        <f t="shared" ca="1" si="40"/>
        <v>#N/A</v>
      </c>
      <c r="W378" t="str" cm="1">
        <f t="array" aca="1" ref="W378" ca="1">IFERROR(INDIRECT("$U"&amp;V378),"")</f>
        <v/>
      </c>
      <c r="Z378" cm="1">
        <f t="array" ref="Z378">INDEX($AE$2:$AS$40,MOD(ROW()-ROW($AE$2),ROWS($AE$2:$AS$40))+1,INT((ROW()-ROW($AE$2))/ROWS($AE$2:$AS$40))+1)</f>
        <v>0</v>
      </c>
      <c r="AA378" t="e">
        <f t="shared" ca="1" si="41"/>
        <v>#N/A</v>
      </c>
      <c r="AB378" t="str" cm="1">
        <f t="array" aca="1" ref="AB378" ca="1">IFERROR(INDIRECT("$Z"&amp;AA378),"")</f>
        <v/>
      </c>
      <c r="AP378" t="str">
        <f t="shared" si="35"/>
        <v/>
      </c>
      <c r="AQ378" t="str">
        <f t="shared" si="36"/>
        <v/>
      </c>
      <c r="AR378" t="str">
        <f t="shared" si="37"/>
        <v/>
      </c>
      <c r="AS378" t="str">
        <f t="shared" si="38"/>
        <v/>
      </c>
    </row>
    <row r="379" spans="5:45" x14ac:dyDescent="0.25">
      <c r="E379" t="str">
        <f ca="1"/>
        <v/>
      </c>
      <c r="F379" t="str">
        <f ca="1"/>
        <v/>
      </c>
      <c r="P379" t="e" cm="1">
        <f t="array" ref="P379">INDEX($B$2:$D$40,MOD(ROW()-ROW($B$2),ROWS($B$2:$D$40))+1,INT((ROW()-ROW($B$2))/ROWS($B$2:$D$40))+1)</f>
        <v>#REF!</v>
      </c>
      <c r="Q379" t="e">
        <f t="shared" ca="1" si="39"/>
        <v>#N/A</v>
      </c>
      <c r="R379" t="str" cm="1">
        <f t="array" aca="1" ref="R379" ca="1">IFERROR(INDIRECT("$P"&amp;Q379),"")</f>
        <v/>
      </c>
      <c r="U379" t="e" cm="1">
        <f t="array" ref="U379">INDEX($C$2:$D$40,MOD(ROW()-ROW($C$2),ROWS($C$2:$D$40))+1,INT((ROW()-ROW($C$2))/ROWS($C$2:$D$40))+1)</f>
        <v>#REF!</v>
      </c>
      <c r="V379" t="e">
        <f t="shared" ca="1" si="40"/>
        <v>#N/A</v>
      </c>
      <c r="W379" t="str" cm="1">
        <f t="array" aca="1" ref="W379" ca="1">IFERROR(INDIRECT("$U"&amp;V379),"")</f>
        <v/>
      </c>
      <c r="Z379" cm="1">
        <f t="array" ref="Z379">INDEX($AE$2:$AS$40,MOD(ROW()-ROW($AE$2),ROWS($AE$2:$AS$40))+1,INT((ROW()-ROW($AE$2))/ROWS($AE$2:$AS$40))+1)</f>
        <v>0</v>
      </c>
      <c r="AA379" t="e">
        <f t="shared" ca="1" si="41"/>
        <v>#N/A</v>
      </c>
      <c r="AB379" t="str" cm="1">
        <f t="array" aca="1" ref="AB379" ca="1">IFERROR(INDIRECT("$Z"&amp;AA379),"")</f>
        <v/>
      </c>
      <c r="AP379" t="str">
        <f t="shared" si="35"/>
        <v/>
      </c>
      <c r="AQ379" t="str">
        <f t="shared" si="36"/>
        <v/>
      </c>
      <c r="AR379" t="str">
        <f t="shared" si="37"/>
        <v/>
      </c>
      <c r="AS379" t="str">
        <f t="shared" si="38"/>
        <v/>
      </c>
    </row>
    <row r="380" spans="5:45" x14ac:dyDescent="0.25">
      <c r="E380" t="str">
        <f ca="1"/>
        <v/>
      </c>
      <c r="F380" t="str">
        <f ca="1"/>
        <v/>
      </c>
      <c r="P380" t="e" cm="1">
        <f t="array" ref="P380">INDEX($B$2:$D$40,MOD(ROW()-ROW($B$2),ROWS($B$2:$D$40))+1,INT((ROW()-ROW($B$2))/ROWS($B$2:$D$40))+1)</f>
        <v>#REF!</v>
      </c>
      <c r="Q380" t="e">
        <f t="shared" ca="1" si="39"/>
        <v>#N/A</v>
      </c>
      <c r="R380" t="str" cm="1">
        <f t="array" aca="1" ref="R380" ca="1">IFERROR(INDIRECT("$P"&amp;Q380),"")</f>
        <v/>
      </c>
      <c r="U380" t="e" cm="1">
        <f t="array" ref="U380">INDEX($C$2:$D$40,MOD(ROW()-ROW($C$2),ROWS($C$2:$D$40))+1,INT((ROW()-ROW($C$2))/ROWS($C$2:$D$40))+1)</f>
        <v>#REF!</v>
      </c>
      <c r="V380" t="e">
        <f t="shared" ca="1" si="40"/>
        <v>#N/A</v>
      </c>
      <c r="W380" t="str" cm="1">
        <f t="array" aca="1" ref="W380" ca="1">IFERROR(INDIRECT("$U"&amp;V380),"")</f>
        <v/>
      </c>
      <c r="Z380" cm="1">
        <f t="array" ref="Z380">INDEX($AE$2:$AS$40,MOD(ROW()-ROW($AE$2),ROWS($AE$2:$AS$40))+1,INT((ROW()-ROW($AE$2))/ROWS($AE$2:$AS$40))+1)</f>
        <v>0</v>
      </c>
      <c r="AA380" t="e">
        <f t="shared" ca="1" si="41"/>
        <v>#N/A</v>
      </c>
      <c r="AB380" t="str" cm="1">
        <f t="array" aca="1" ref="AB380" ca="1">IFERROR(INDIRECT("$Z"&amp;AA380),"")</f>
        <v/>
      </c>
      <c r="AP380" t="str">
        <f t="shared" si="35"/>
        <v/>
      </c>
      <c r="AQ380" t="str">
        <f t="shared" si="36"/>
        <v/>
      </c>
      <c r="AR380" t="str">
        <f t="shared" si="37"/>
        <v/>
      </c>
      <c r="AS380" t="str">
        <f t="shared" si="38"/>
        <v/>
      </c>
    </row>
    <row r="381" spans="5:45" x14ac:dyDescent="0.25">
      <c r="E381" t="str">
        <f ca="1"/>
        <v/>
      </c>
      <c r="F381" t="str">
        <f ca="1"/>
        <v/>
      </c>
      <c r="P381" t="e" cm="1">
        <f t="array" ref="P381">INDEX($B$2:$D$40,MOD(ROW()-ROW($B$2),ROWS($B$2:$D$40))+1,INT((ROW()-ROW($B$2))/ROWS($B$2:$D$40))+1)</f>
        <v>#REF!</v>
      </c>
      <c r="Q381" t="e">
        <f t="shared" ca="1" si="39"/>
        <v>#N/A</v>
      </c>
      <c r="R381" t="str" cm="1">
        <f t="array" aca="1" ref="R381" ca="1">IFERROR(INDIRECT("$P"&amp;Q381),"")</f>
        <v/>
      </c>
      <c r="U381" t="e" cm="1">
        <f t="array" ref="U381">INDEX($C$2:$D$40,MOD(ROW()-ROW($C$2),ROWS($C$2:$D$40))+1,INT((ROW()-ROW($C$2))/ROWS($C$2:$D$40))+1)</f>
        <v>#REF!</v>
      </c>
      <c r="V381" t="e">
        <f t="shared" ca="1" si="40"/>
        <v>#N/A</v>
      </c>
      <c r="W381" t="str" cm="1">
        <f t="array" aca="1" ref="W381" ca="1">IFERROR(INDIRECT("$U"&amp;V381),"")</f>
        <v/>
      </c>
      <c r="Z381" cm="1">
        <f t="array" ref="Z381">INDEX($AE$2:$AS$40,MOD(ROW()-ROW($AE$2),ROWS($AE$2:$AS$40))+1,INT((ROW()-ROW($AE$2))/ROWS($AE$2:$AS$40))+1)</f>
        <v>0</v>
      </c>
      <c r="AA381" t="e">
        <f t="shared" ca="1" si="41"/>
        <v>#N/A</v>
      </c>
      <c r="AB381" t="str" cm="1">
        <f t="array" aca="1" ref="AB381" ca="1">IFERROR(INDIRECT("$Z"&amp;AA381),"")</f>
        <v/>
      </c>
      <c r="AP381" t="str">
        <f t="shared" si="35"/>
        <v/>
      </c>
      <c r="AQ381" t="str">
        <f t="shared" si="36"/>
        <v/>
      </c>
      <c r="AR381" t="str">
        <f t="shared" si="37"/>
        <v/>
      </c>
      <c r="AS381" t="str">
        <f t="shared" si="38"/>
        <v/>
      </c>
    </row>
    <row r="382" spans="5:45" x14ac:dyDescent="0.25">
      <c r="E382" t="str">
        <f ca="1"/>
        <v/>
      </c>
      <c r="F382" t="str">
        <f ca="1"/>
        <v/>
      </c>
      <c r="P382" t="e" cm="1">
        <f t="array" ref="P382">INDEX($B$2:$D$40,MOD(ROW()-ROW($B$2),ROWS($B$2:$D$40))+1,INT((ROW()-ROW($B$2))/ROWS($B$2:$D$40))+1)</f>
        <v>#REF!</v>
      </c>
      <c r="Q382" t="e">
        <f t="shared" ca="1" si="39"/>
        <v>#N/A</v>
      </c>
      <c r="R382" t="str" cm="1">
        <f t="array" aca="1" ref="R382" ca="1">IFERROR(INDIRECT("$P"&amp;Q382),"")</f>
        <v/>
      </c>
      <c r="U382" t="e" cm="1">
        <f t="array" ref="U382">INDEX($C$2:$D$40,MOD(ROW()-ROW($C$2),ROWS($C$2:$D$40))+1,INT((ROW()-ROW($C$2))/ROWS($C$2:$D$40))+1)</f>
        <v>#REF!</v>
      </c>
      <c r="V382" t="e">
        <f t="shared" ca="1" si="40"/>
        <v>#N/A</v>
      </c>
      <c r="W382" t="str" cm="1">
        <f t="array" aca="1" ref="W382" ca="1">IFERROR(INDIRECT("$U"&amp;V382),"")</f>
        <v/>
      </c>
      <c r="Z382" cm="1">
        <f t="array" ref="Z382">INDEX($AE$2:$AS$40,MOD(ROW()-ROW($AE$2),ROWS($AE$2:$AS$40))+1,INT((ROW()-ROW($AE$2))/ROWS($AE$2:$AS$40))+1)</f>
        <v>0</v>
      </c>
      <c r="AA382" t="e">
        <f t="shared" ca="1" si="41"/>
        <v>#N/A</v>
      </c>
      <c r="AB382" t="str" cm="1">
        <f t="array" aca="1" ref="AB382" ca="1">IFERROR(INDIRECT("$Z"&amp;AA382),"")</f>
        <v/>
      </c>
      <c r="AP382" t="str">
        <f t="shared" si="35"/>
        <v/>
      </c>
      <c r="AQ382" t="str">
        <f t="shared" si="36"/>
        <v/>
      </c>
      <c r="AR382" t="str">
        <f t="shared" si="37"/>
        <v/>
      </c>
      <c r="AS382" t="str">
        <f t="shared" si="38"/>
        <v/>
      </c>
    </row>
    <row r="383" spans="5:45" x14ac:dyDescent="0.25">
      <c r="E383" t="str">
        <f ca="1"/>
        <v/>
      </c>
      <c r="F383" t="str">
        <f ca="1"/>
        <v/>
      </c>
      <c r="P383" t="e" cm="1">
        <f t="array" ref="P383">INDEX($B$2:$D$40,MOD(ROW()-ROW($B$2),ROWS($B$2:$D$40))+1,INT((ROW()-ROW($B$2))/ROWS($B$2:$D$40))+1)</f>
        <v>#REF!</v>
      </c>
      <c r="Q383" t="e">
        <f t="shared" ca="1" si="39"/>
        <v>#N/A</v>
      </c>
      <c r="R383" t="str" cm="1">
        <f t="array" aca="1" ref="R383" ca="1">IFERROR(INDIRECT("$P"&amp;Q383),"")</f>
        <v/>
      </c>
      <c r="U383" t="e" cm="1">
        <f t="array" ref="U383">INDEX($C$2:$D$40,MOD(ROW()-ROW($C$2),ROWS($C$2:$D$40))+1,INT((ROW()-ROW($C$2))/ROWS($C$2:$D$40))+1)</f>
        <v>#REF!</v>
      </c>
      <c r="V383" t="e">
        <f t="shared" ca="1" si="40"/>
        <v>#N/A</v>
      </c>
      <c r="W383" t="str" cm="1">
        <f t="array" aca="1" ref="W383" ca="1">IFERROR(INDIRECT("$U"&amp;V383),"")</f>
        <v/>
      </c>
      <c r="Z383" cm="1">
        <f t="array" ref="Z383">INDEX($AE$2:$AS$40,MOD(ROW()-ROW($AE$2),ROWS($AE$2:$AS$40))+1,INT((ROW()-ROW($AE$2))/ROWS($AE$2:$AS$40))+1)</f>
        <v>0</v>
      </c>
      <c r="AA383" t="e">
        <f t="shared" ca="1" si="41"/>
        <v>#N/A</v>
      </c>
      <c r="AB383" t="str" cm="1">
        <f t="array" aca="1" ref="AB383" ca="1">IFERROR(INDIRECT("$Z"&amp;AA383),"")</f>
        <v/>
      </c>
      <c r="AP383" t="str">
        <f t="shared" si="35"/>
        <v/>
      </c>
      <c r="AQ383" t="str">
        <f t="shared" si="36"/>
        <v/>
      </c>
      <c r="AR383" t="str">
        <f t="shared" si="37"/>
        <v/>
      </c>
      <c r="AS383" t="str">
        <f t="shared" si="38"/>
        <v/>
      </c>
    </row>
    <row r="384" spans="5:45" x14ac:dyDescent="0.25">
      <c r="E384" t="str">
        <f ca="1"/>
        <v/>
      </c>
      <c r="F384" t="str">
        <f ca="1"/>
        <v/>
      </c>
      <c r="P384" t="e" cm="1">
        <f t="array" ref="P384">INDEX($B$2:$D$40,MOD(ROW()-ROW($B$2),ROWS($B$2:$D$40))+1,INT((ROW()-ROW($B$2))/ROWS($B$2:$D$40))+1)</f>
        <v>#REF!</v>
      </c>
      <c r="Q384" t="e">
        <f t="shared" ca="1" si="39"/>
        <v>#N/A</v>
      </c>
      <c r="R384" t="str" cm="1">
        <f t="array" aca="1" ref="R384" ca="1">IFERROR(INDIRECT("$P"&amp;Q384),"")</f>
        <v/>
      </c>
      <c r="U384" t="e" cm="1">
        <f t="array" ref="U384">INDEX($C$2:$D$40,MOD(ROW()-ROW($C$2),ROWS($C$2:$D$40))+1,INT((ROW()-ROW($C$2))/ROWS($C$2:$D$40))+1)</f>
        <v>#REF!</v>
      </c>
      <c r="V384" t="e">
        <f t="shared" ca="1" si="40"/>
        <v>#N/A</v>
      </c>
      <c r="W384" t="str" cm="1">
        <f t="array" aca="1" ref="W384" ca="1">IFERROR(INDIRECT("$U"&amp;V384),"")</f>
        <v/>
      </c>
      <c r="Z384" cm="1">
        <f t="array" ref="Z384">INDEX($AE$2:$AS$40,MOD(ROW()-ROW($AE$2),ROWS($AE$2:$AS$40))+1,INT((ROW()-ROW($AE$2))/ROWS($AE$2:$AS$40))+1)</f>
        <v>0</v>
      </c>
      <c r="AA384" t="e">
        <f t="shared" ca="1" si="41"/>
        <v>#N/A</v>
      </c>
      <c r="AB384" t="str" cm="1">
        <f t="array" aca="1" ref="AB384" ca="1">IFERROR(INDIRECT("$Z"&amp;AA384),"")</f>
        <v/>
      </c>
      <c r="AP384" t="str">
        <f t="shared" si="35"/>
        <v/>
      </c>
      <c r="AQ384" t="str">
        <f t="shared" si="36"/>
        <v/>
      </c>
      <c r="AR384" t="str">
        <f t="shared" si="37"/>
        <v/>
      </c>
      <c r="AS384" t="str">
        <f t="shared" si="38"/>
        <v/>
      </c>
    </row>
    <row r="385" spans="5:45" x14ac:dyDescent="0.25">
      <c r="E385" t="str">
        <f ca="1"/>
        <v/>
      </c>
      <c r="F385" t="str">
        <f ca="1"/>
        <v/>
      </c>
      <c r="P385" t="e" cm="1">
        <f t="array" ref="P385">INDEX($B$2:$D$40,MOD(ROW()-ROW($B$2),ROWS($B$2:$D$40))+1,INT((ROW()-ROW($B$2))/ROWS($B$2:$D$40))+1)</f>
        <v>#REF!</v>
      </c>
      <c r="Q385" t="e">
        <f t="shared" ca="1" si="39"/>
        <v>#N/A</v>
      </c>
      <c r="R385" t="str" cm="1">
        <f t="array" aca="1" ref="R385" ca="1">IFERROR(INDIRECT("$P"&amp;Q385),"")</f>
        <v/>
      </c>
      <c r="U385" t="e" cm="1">
        <f t="array" ref="U385">INDEX($C$2:$D$40,MOD(ROW()-ROW($C$2),ROWS($C$2:$D$40))+1,INT((ROW()-ROW($C$2))/ROWS($C$2:$D$40))+1)</f>
        <v>#REF!</v>
      </c>
      <c r="V385" t="e">
        <f t="shared" ca="1" si="40"/>
        <v>#N/A</v>
      </c>
      <c r="W385" t="str" cm="1">
        <f t="array" aca="1" ref="W385" ca="1">IFERROR(INDIRECT("$U"&amp;V385),"")</f>
        <v/>
      </c>
      <c r="Z385" cm="1">
        <f t="array" ref="Z385">INDEX($AE$2:$AS$40,MOD(ROW()-ROW($AE$2),ROWS($AE$2:$AS$40))+1,INT((ROW()-ROW($AE$2))/ROWS($AE$2:$AS$40))+1)</f>
        <v>0</v>
      </c>
      <c r="AA385" t="e">
        <f t="shared" ca="1" si="41"/>
        <v>#N/A</v>
      </c>
      <c r="AB385" t="str" cm="1">
        <f t="array" aca="1" ref="AB385" ca="1">IFERROR(INDIRECT("$Z"&amp;AA385),"")</f>
        <v/>
      </c>
      <c r="AP385" t="str">
        <f t="shared" si="35"/>
        <v/>
      </c>
      <c r="AQ385" t="str">
        <f t="shared" si="36"/>
        <v/>
      </c>
      <c r="AR385" t="str">
        <f t="shared" si="37"/>
        <v/>
      </c>
      <c r="AS385" t="str">
        <f t="shared" si="38"/>
        <v/>
      </c>
    </row>
    <row r="386" spans="5:45" x14ac:dyDescent="0.25">
      <c r="E386" t="str">
        <f ca="1"/>
        <v/>
      </c>
      <c r="F386" t="str">
        <f ca="1"/>
        <v/>
      </c>
      <c r="P386" t="e" cm="1">
        <f t="array" ref="P386">INDEX($B$2:$D$40,MOD(ROW()-ROW($B$2),ROWS($B$2:$D$40))+1,INT((ROW()-ROW($B$2))/ROWS($B$2:$D$40))+1)</f>
        <v>#REF!</v>
      </c>
      <c r="Q386" t="e">
        <f t="shared" ca="1" si="39"/>
        <v>#N/A</v>
      </c>
      <c r="R386" t="str" cm="1">
        <f t="array" aca="1" ref="R386" ca="1">IFERROR(INDIRECT("$P"&amp;Q386),"")</f>
        <v/>
      </c>
      <c r="U386" t="e" cm="1">
        <f t="array" ref="U386">INDEX($C$2:$D$40,MOD(ROW()-ROW($C$2),ROWS($C$2:$D$40))+1,INT((ROW()-ROW($C$2))/ROWS($C$2:$D$40))+1)</f>
        <v>#REF!</v>
      </c>
      <c r="V386" t="e">
        <f t="shared" ca="1" si="40"/>
        <v>#N/A</v>
      </c>
      <c r="W386" t="str" cm="1">
        <f t="array" aca="1" ref="W386" ca="1">IFERROR(INDIRECT("$U"&amp;V386),"")</f>
        <v/>
      </c>
      <c r="Z386" cm="1">
        <f t="array" ref="Z386">INDEX($AE$2:$AS$40,MOD(ROW()-ROW($AE$2),ROWS($AE$2:$AS$40))+1,INT((ROW()-ROW($AE$2))/ROWS($AE$2:$AS$40))+1)</f>
        <v>0</v>
      </c>
      <c r="AA386" t="e">
        <f t="shared" ca="1" si="41"/>
        <v>#N/A</v>
      </c>
      <c r="AB386" t="str" cm="1">
        <f t="array" aca="1" ref="AB386" ca="1">IFERROR(INDIRECT("$Z"&amp;AA386),"")</f>
        <v/>
      </c>
      <c r="AP386" t="str">
        <f t="shared" si="35"/>
        <v/>
      </c>
      <c r="AQ386" t="str">
        <f t="shared" si="36"/>
        <v/>
      </c>
      <c r="AR386" t="str">
        <f t="shared" si="37"/>
        <v/>
      </c>
      <c r="AS386" t="str">
        <f t="shared" si="38"/>
        <v/>
      </c>
    </row>
    <row r="387" spans="5:45" x14ac:dyDescent="0.25">
      <c r="E387" t="str">
        <f ca="1"/>
        <v/>
      </c>
      <c r="F387" t="str">
        <f ca="1"/>
        <v/>
      </c>
      <c r="P387" t="e" cm="1">
        <f t="array" ref="P387">INDEX($B$2:$D$40,MOD(ROW()-ROW($B$2),ROWS($B$2:$D$40))+1,INT((ROW()-ROW($B$2))/ROWS($B$2:$D$40))+1)</f>
        <v>#REF!</v>
      </c>
      <c r="Q387" t="e">
        <f t="shared" ca="1" si="39"/>
        <v>#N/A</v>
      </c>
      <c r="R387" t="str" cm="1">
        <f t="array" aca="1" ref="R387" ca="1">IFERROR(INDIRECT("$P"&amp;Q387),"")</f>
        <v/>
      </c>
      <c r="U387" t="e" cm="1">
        <f t="array" ref="U387">INDEX($C$2:$D$40,MOD(ROW()-ROW($C$2),ROWS($C$2:$D$40))+1,INT((ROW()-ROW($C$2))/ROWS($C$2:$D$40))+1)</f>
        <v>#REF!</v>
      </c>
      <c r="V387" t="e">
        <f t="shared" ca="1" si="40"/>
        <v>#N/A</v>
      </c>
      <c r="W387" t="str" cm="1">
        <f t="array" aca="1" ref="W387" ca="1">IFERROR(INDIRECT("$U"&amp;V387),"")</f>
        <v/>
      </c>
      <c r="Z387" cm="1">
        <f t="array" ref="Z387">INDEX($AE$2:$AS$40,MOD(ROW()-ROW($AE$2),ROWS($AE$2:$AS$40))+1,INT((ROW()-ROW($AE$2))/ROWS($AE$2:$AS$40))+1)</f>
        <v>0</v>
      </c>
      <c r="AA387" t="e">
        <f t="shared" ca="1" si="41"/>
        <v>#N/A</v>
      </c>
      <c r="AB387" t="str" cm="1">
        <f t="array" aca="1" ref="AB387" ca="1">IFERROR(INDIRECT("$Z"&amp;AA387),"")</f>
        <v/>
      </c>
      <c r="AP387" t="str">
        <f t="shared" ref="AP387:AP450" si="42">IF(AI387&lt;&gt;"", _xlfn.CONCAT(AI387, " (airside)"), "")</f>
        <v/>
      </c>
      <c r="AQ387" t="str">
        <f t="shared" ref="AQ387:AQ450" si="43">IF(AI387&lt;&gt;"", _xlfn.CONCAT(AI387, " (waterside)"), "")</f>
        <v/>
      </c>
      <c r="AR387" t="str">
        <f t="shared" ref="AR387:AR450" si="44">IF(AJ387&lt;&gt;"", _xlfn.CONCAT(AJ387, " (supply)"), "")</f>
        <v/>
      </c>
      <c r="AS387" t="str">
        <f t="shared" ref="AS387:AS450" si="45">IF(AJ387&lt;&gt;"", _xlfn.CONCAT(AJ387, " (exhaust)"), "")</f>
        <v/>
      </c>
    </row>
    <row r="388" spans="5:45" x14ac:dyDescent="0.25">
      <c r="E388" t="str">
        <f ca="1"/>
        <v/>
      </c>
      <c r="F388" t="str">
        <f ca="1"/>
        <v/>
      </c>
      <c r="P388" t="e" cm="1">
        <f t="array" ref="P388">INDEX($B$2:$D$40,MOD(ROW()-ROW($B$2),ROWS($B$2:$D$40))+1,INT((ROW()-ROW($B$2))/ROWS($B$2:$D$40))+1)</f>
        <v>#REF!</v>
      </c>
      <c r="Q388" t="e">
        <f t="shared" ref="Q388:Q451" ca="1" si="46">MATCH("*",INDIRECT(ADDRESS(Q387+1,16,1)&amp;":$P$1000"),0)+Q387</f>
        <v>#N/A</v>
      </c>
      <c r="R388" t="str" cm="1">
        <f t="array" aca="1" ref="R388" ca="1">IFERROR(INDIRECT("$P"&amp;Q388),"")</f>
        <v/>
      </c>
      <c r="U388" t="e" cm="1">
        <f t="array" ref="U388">INDEX($C$2:$D$40,MOD(ROW()-ROW($C$2),ROWS($C$2:$D$40))+1,INT((ROW()-ROW($C$2))/ROWS($C$2:$D$40))+1)</f>
        <v>#REF!</v>
      </c>
      <c r="V388" t="e">
        <f t="shared" ref="V388:V451" ca="1" si="47">MATCH("*",INDIRECT(ADDRESS(V387+1,21,1)&amp;":$U$1000"),0)+V387</f>
        <v>#N/A</v>
      </c>
      <c r="W388" t="str" cm="1">
        <f t="array" aca="1" ref="W388" ca="1">IFERROR(INDIRECT("$U"&amp;V388),"")</f>
        <v/>
      </c>
      <c r="Z388" cm="1">
        <f t="array" ref="Z388">INDEX($AE$2:$AS$40,MOD(ROW()-ROW($AE$2),ROWS($AE$2:$AS$40))+1,INT((ROW()-ROW($AE$2))/ROWS($AE$2:$AS$40))+1)</f>
        <v>0</v>
      </c>
      <c r="AA388" t="e">
        <f t="shared" ref="AA388:AA451" ca="1" si="48">MATCH("*",INDIRECT(ADDRESS(AA387+1,26,1)&amp;":$Z$1000"),0)+AA387</f>
        <v>#N/A</v>
      </c>
      <c r="AB388" t="str" cm="1">
        <f t="array" aca="1" ref="AB388" ca="1">IFERROR(INDIRECT("$Z"&amp;AA388),"")</f>
        <v/>
      </c>
      <c r="AP388" t="str">
        <f t="shared" si="42"/>
        <v/>
      </c>
      <c r="AQ388" t="str">
        <f t="shared" si="43"/>
        <v/>
      </c>
      <c r="AR388" t="str">
        <f t="shared" si="44"/>
        <v/>
      </c>
      <c r="AS388" t="str">
        <f t="shared" si="45"/>
        <v/>
      </c>
    </row>
    <row r="389" spans="5:45" x14ac:dyDescent="0.25">
      <c r="E389" t="str">
        <f ca="1"/>
        <v/>
      </c>
      <c r="F389" t="str">
        <f ca="1"/>
        <v/>
      </c>
      <c r="P389" t="e" cm="1">
        <f t="array" ref="P389">INDEX($B$2:$D$40,MOD(ROW()-ROW($B$2),ROWS($B$2:$D$40))+1,INT((ROW()-ROW($B$2))/ROWS($B$2:$D$40))+1)</f>
        <v>#REF!</v>
      </c>
      <c r="Q389" t="e">
        <f t="shared" ca="1" si="46"/>
        <v>#N/A</v>
      </c>
      <c r="R389" t="str" cm="1">
        <f t="array" aca="1" ref="R389" ca="1">IFERROR(INDIRECT("$P"&amp;Q389),"")</f>
        <v/>
      </c>
      <c r="U389" t="e" cm="1">
        <f t="array" ref="U389">INDEX($C$2:$D$40,MOD(ROW()-ROW($C$2),ROWS($C$2:$D$40))+1,INT((ROW()-ROW($C$2))/ROWS($C$2:$D$40))+1)</f>
        <v>#REF!</v>
      </c>
      <c r="V389" t="e">
        <f t="shared" ca="1" si="47"/>
        <v>#N/A</v>
      </c>
      <c r="W389" t="str" cm="1">
        <f t="array" aca="1" ref="W389" ca="1">IFERROR(INDIRECT("$U"&amp;V389),"")</f>
        <v/>
      </c>
      <c r="Z389" cm="1">
        <f t="array" ref="Z389">INDEX($AE$2:$AS$40,MOD(ROW()-ROW($AE$2),ROWS($AE$2:$AS$40))+1,INT((ROW()-ROW($AE$2))/ROWS($AE$2:$AS$40))+1)</f>
        <v>0</v>
      </c>
      <c r="AA389" t="e">
        <f t="shared" ca="1" si="48"/>
        <v>#N/A</v>
      </c>
      <c r="AB389" t="str" cm="1">
        <f t="array" aca="1" ref="AB389" ca="1">IFERROR(INDIRECT("$Z"&amp;AA389),"")</f>
        <v/>
      </c>
      <c r="AP389" t="str">
        <f t="shared" si="42"/>
        <v/>
      </c>
      <c r="AQ389" t="str">
        <f t="shared" si="43"/>
        <v/>
      </c>
      <c r="AR389" t="str">
        <f t="shared" si="44"/>
        <v/>
      </c>
      <c r="AS389" t="str">
        <f t="shared" si="45"/>
        <v/>
      </c>
    </row>
    <row r="390" spans="5:45" x14ac:dyDescent="0.25">
      <c r="E390" t="str">
        <f ca="1"/>
        <v/>
      </c>
      <c r="F390" t="str">
        <f ca="1"/>
        <v/>
      </c>
      <c r="P390" t="e" cm="1">
        <f t="array" ref="P390">INDEX($B$2:$D$40,MOD(ROW()-ROW($B$2),ROWS($B$2:$D$40))+1,INT((ROW()-ROW($B$2))/ROWS($B$2:$D$40))+1)</f>
        <v>#REF!</v>
      </c>
      <c r="Q390" t="e">
        <f t="shared" ca="1" si="46"/>
        <v>#N/A</v>
      </c>
      <c r="R390" t="str" cm="1">
        <f t="array" aca="1" ref="R390" ca="1">IFERROR(INDIRECT("$P"&amp;Q390),"")</f>
        <v/>
      </c>
      <c r="U390" t="e" cm="1">
        <f t="array" ref="U390">INDEX($C$2:$D$40,MOD(ROW()-ROW($C$2),ROWS($C$2:$D$40))+1,INT((ROW()-ROW($C$2))/ROWS($C$2:$D$40))+1)</f>
        <v>#REF!</v>
      </c>
      <c r="V390" t="e">
        <f t="shared" ca="1" si="47"/>
        <v>#N/A</v>
      </c>
      <c r="W390" t="str" cm="1">
        <f t="array" aca="1" ref="W390" ca="1">IFERROR(INDIRECT("$U"&amp;V390),"")</f>
        <v/>
      </c>
      <c r="Z390" cm="1">
        <f t="array" ref="Z390">INDEX($AE$2:$AS$40,MOD(ROW()-ROW($AE$2),ROWS($AE$2:$AS$40))+1,INT((ROW()-ROW($AE$2))/ROWS($AE$2:$AS$40))+1)</f>
        <v>0</v>
      </c>
      <c r="AA390" t="e">
        <f t="shared" ca="1" si="48"/>
        <v>#N/A</v>
      </c>
      <c r="AB390" t="str" cm="1">
        <f t="array" aca="1" ref="AB390" ca="1">IFERROR(INDIRECT("$Z"&amp;AA390),"")</f>
        <v/>
      </c>
      <c r="AP390" t="str">
        <f t="shared" si="42"/>
        <v/>
      </c>
      <c r="AQ390" t="str">
        <f t="shared" si="43"/>
        <v/>
      </c>
      <c r="AR390" t="str">
        <f t="shared" si="44"/>
        <v/>
      </c>
      <c r="AS390" t="str">
        <f t="shared" si="45"/>
        <v/>
      </c>
    </row>
    <row r="391" spans="5:45" x14ac:dyDescent="0.25">
      <c r="E391" t="str">
        <f ca="1"/>
        <v/>
      </c>
      <c r="F391" t="str">
        <f ca="1"/>
        <v/>
      </c>
      <c r="P391" t="e" cm="1">
        <f t="array" ref="P391">INDEX($B$2:$D$40,MOD(ROW()-ROW($B$2),ROWS($B$2:$D$40))+1,INT((ROW()-ROW($B$2))/ROWS($B$2:$D$40))+1)</f>
        <v>#REF!</v>
      </c>
      <c r="Q391" t="e">
        <f t="shared" ca="1" si="46"/>
        <v>#N/A</v>
      </c>
      <c r="R391" t="str" cm="1">
        <f t="array" aca="1" ref="R391" ca="1">IFERROR(INDIRECT("$P"&amp;Q391),"")</f>
        <v/>
      </c>
      <c r="U391" t="e" cm="1">
        <f t="array" ref="U391">INDEX($C$2:$D$40,MOD(ROW()-ROW($C$2),ROWS($C$2:$D$40))+1,INT((ROW()-ROW($C$2))/ROWS($C$2:$D$40))+1)</f>
        <v>#REF!</v>
      </c>
      <c r="V391" t="e">
        <f t="shared" ca="1" si="47"/>
        <v>#N/A</v>
      </c>
      <c r="W391" t="str" cm="1">
        <f t="array" aca="1" ref="W391" ca="1">IFERROR(INDIRECT("$U"&amp;V391),"")</f>
        <v/>
      </c>
      <c r="Z391" cm="1">
        <f t="array" ref="Z391">INDEX($AE$2:$AS$40,MOD(ROW()-ROW($AE$2),ROWS($AE$2:$AS$40))+1,INT((ROW()-ROW($AE$2))/ROWS($AE$2:$AS$40))+1)</f>
        <v>0</v>
      </c>
      <c r="AA391" t="e">
        <f t="shared" ca="1" si="48"/>
        <v>#N/A</v>
      </c>
      <c r="AB391" t="str" cm="1">
        <f t="array" aca="1" ref="AB391" ca="1">IFERROR(INDIRECT("$Z"&amp;AA391),"")</f>
        <v/>
      </c>
      <c r="AP391" t="str">
        <f t="shared" si="42"/>
        <v/>
      </c>
      <c r="AQ391" t="str">
        <f t="shared" si="43"/>
        <v/>
      </c>
      <c r="AR391" t="str">
        <f t="shared" si="44"/>
        <v/>
      </c>
      <c r="AS391" t="str">
        <f t="shared" si="45"/>
        <v/>
      </c>
    </row>
    <row r="392" spans="5:45" x14ac:dyDescent="0.25">
      <c r="E392" t="str">
        <f ca="1"/>
        <v/>
      </c>
      <c r="F392" t="str">
        <f ca="1"/>
        <v/>
      </c>
      <c r="P392" t="e" cm="1">
        <f t="array" ref="P392">INDEX($B$2:$D$40,MOD(ROW()-ROW($B$2),ROWS($B$2:$D$40))+1,INT((ROW()-ROW($B$2))/ROWS($B$2:$D$40))+1)</f>
        <v>#REF!</v>
      </c>
      <c r="Q392" t="e">
        <f t="shared" ca="1" si="46"/>
        <v>#N/A</v>
      </c>
      <c r="R392" t="str" cm="1">
        <f t="array" aca="1" ref="R392" ca="1">IFERROR(INDIRECT("$P"&amp;Q392),"")</f>
        <v/>
      </c>
      <c r="U392" t="e" cm="1">
        <f t="array" ref="U392">INDEX($C$2:$D$40,MOD(ROW()-ROW($C$2),ROWS($C$2:$D$40))+1,INT((ROW()-ROW($C$2))/ROWS($C$2:$D$40))+1)</f>
        <v>#REF!</v>
      </c>
      <c r="V392" t="e">
        <f t="shared" ca="1" si="47"/>
        <v>#N/A</v>
      </c>
      <c r="W392" t="str" cm="1">
        <f t="array" aca="1" ref="W392" ca="1">IFERROR(INDIRECT("$U"&amp;V392),"")</f>
        <v/>
      </c>
      <c r="Z392" t="str" cm="1">
        <f t="array" ref="Z392">INDEX($AE$2:$AS$40,MOD(ROW()-ROW($AE$2),ROWS($AE$2:$AS$40))+1,INT((ROW()-ROW($AE$2))/ROWS($AE$2:$AS$40))+1)</f>
        <v>outdoor_environment</v>
      </c>
      <c r="AA392" t="e">
        <f t="shared" ca="1" si="48"/>
        <v>#N/A</v>
      </c>
      <c r="AB392" t="str" cm="1">
        <f t="array" aca="1" ref="AB392" ca="1">IFERROR(INDIRECT("$Z"&amp;AA392),"")</f>
        <v/>
      </c>
      <c r="AP392" t="str">
        <f t="shared" si="42"/>
        <v/>
      </c>
      <c r="AQ392" t="str">
        <f t="shared" si="43"/>
        <v/>
      </c>
      <c r="AR392" t="str">
        <f t="shared" si="44"/>
        <v/>
      </c>
      <c r="AS392" t="str">
        <f t="shared" si="45"/>
        <v/>
      </c>
    </row>
    <row r="393" spans="5:45" x14ac:dyDescent="0.25">
      <c r="E393" t="str">
        <f ca="1"/>
        <v/>
      </c>
      <c r="F393" t="str">
        <f ca="1"/>
        <v/>
      </c>
      <c r="P393" t="e" cm="1">
        <f t="array" ref="P393">INDEX($B$2:$D$40,MOD(ROW()-ROW($B$2),ROWS($B$2:$D$40))+1,INT((ROW()-ROW($B$2))/ROWS($B$2:$D$40))+1)</f>
        <v>#REF!</v>
      </c>
      <c r="Q393" t="e">
        <f t="shared" ca="1" si="46"/>
        <v>#N/A</v>
      </c>
      <c r="R393" t="str" cm="1">
        <f t="array" aca="1" ref="R393" ca="1">IFERROR(INDIRECT("$P"&amp;Q393),"")</f>
        <v/>
      </c>
      <c r="U393" t="e" cm="1">
        <f t="array" ref="U393">INDEX($C$2:$D$40,MOD(ROW()-ROW($C$2),ROWS($C$2:$D$40))+1,INT((ROW()-ROW($C$2))/ROWS($C$2:$D$40))+1)</f>
        <v>#REF!</v>
      </c>
      <c r="V393" t="e">
        <f t="shared" ca="1" si="47"/>
        <v>#N/A</v>
      </c>
      <c r="W393" t="str" cm="1">
        <f t="array" aca="1" ref="W393" ca="1">IFERROR(INDIRECT("$U"&amp;V393),"")</f>
        <v/>
      </c>
      <c r="Z393" cm="1">
        <f t="array" ref="Z393">INDEX($AE$2:$AS$40,MOD(ROW()-ROW($AE$2),ROWS($AE$2:$AS$40))+1,INT((ROW()-ROW($AE$2))/ROWS($AE$2:$AS$40))+1)</f>
        <v>0</v>
      </c>
      <c r="AA393" t="e">
        <f t="shared" ca="1" si="48"/>
        <v>#N/A</v>
      </c>
      <c r="AB393" t="str" cm="1">
        <f t="array" aca="1" ref="AB393" ca="1">IFERROR(INDIRECT("$Z"&amp;AA393),"")</f>
        <v/>
      </c>
      <c r="AP393" t="str">
        <f t="shared" si="42"/>
        <v/>
      </c>
      <c r="AQ393" t="str">
        <f t="shared" si="43"/>
        <v/>
      </c>
      <c r="AR393" t="str">
        <f t="shared" si="44"/>
        <v/>
      </c>
      <c r="AS393" t="str">
        <f t="shared" si="45"/>
        <v/>
      </c>
    </row>
    <row r="394" spans="5:45" x14ac:dyDescent="0.25">
      <c r="E394" t="str">
        <f ca="1"/>
        <v/>
      </c>
      <c r="F394" t="str">
        <f ca="1"/>
        <v/>
      </c>
      <c r="P394" t="e" cm="1">
        <f t="array" ref="P394">INDEX($B$2:$D$40,MOD(ROW()-ROW($B$2),ROWS($B$2:$D$40))+1,INT((ROW()-ROW($B$2))/ROWS($B$2:$D$40))+1)</f>
        <v>#REF!</v>
      </c>
      <c r="Q394" t="e">
        <f t="shared" ca="1" si="46"/>
        <v>#N/A</v>
      </c>
      <c r="R394" t="str" cm="1">
        <f t="array" aca="1" ref="R394" ca="1">IFERROR(INDIRECT("$P"&amp;Q394),"")</f>
        <v/>
      </c>
      <c r="U394" t="e" cm="1">
        <f t="array" ref="U394">INDEX($C$2:$D$40,MOD(ROW()-ROW($C$2),ROWS($C$2:$D$40))+1,INT((ROW()-ROW($C$2))/ROWS($C$2:$D$40))+1)</f>
        <v>#REF!</v>
      </c>
      <c r="V394" t="e">
        <f t="shared" ca="1" si="47"/>
        <v>#N/A</v>
      </c>
      <c r="W394" t="str" cm="1">
        <f t="array" aca="1" ref="W394" ca="1">IFERROR(INDIRECT("$U"&amp;V394),"")</f>
        <v/>
      </c>
      <c r="Z394" cm="1">
        <f t="array" ref="Z394">INDEX($AE$2:$AS$40,MOD(ROW()-ROW($AE$2),ROWS($AE$2:$AS$40))+1,INT((ROW()-ROW($AE$2))/ROWS($AE$2:$AS$40))+1)</f>
        <v>0</v>
      </c>
      <c r="AA394" t="e">
        <f t="shared" ca="1" si="48"/>
        <v>#N/A</v>
      </c>
      <c r="AB394" t="str" cm="1">
        <f t="array" aca="1" ref="AB394" ca="1">IFERROR(INDIRECT("$Z"&amp;AA394),"")</f>
        <v/>
      </c>
      <c r="AP394" t="str">
        <f t="shared" si="42"/>
        <v/>
      </c>
      <c r="AQ394" t="str">
        <f t="shared" si="43"/>
        <v/>
      </c>
      <c r="AR394" t="str">
        <f t="shared" si="44"/>
        <v/>
      </c>
      <c r="AS394" t="str">
        <f t="shared" si="45"/>
        <v/>
      </c>
    </row>
    <row r="395" spans="5:45" x14ac:dyDescent="0.25">
      <c r="E395" t="str">
        <f ca="1"/>
        <v/>
      </c>
      <c r="F395" t="str">
        <f ca="1"/>
        <v/>
      </c>
      <c r="P395" t="e" cm="1">
        <f t="array" ref="P395">INDEX($B$2:$D$40,MOD(ROW()-ROW($B$2),ROWS($B$2:$D$40))+1,INT((ROW()-ROW($B$2))/ROWS($B$2:$D$40))+1)</f>
        <v>#REF!</v>
      </c>
      <c r="Q395" t="e">
        <f t="shared" ca="1" si="46"/>
        <v>#N/A</v>
      </c>
      <c r="R395" t="str" cm="1">
        <f t="array" aca="1" ref="R395" ca="1">IFERROR(INDIRECT("$P"&amp;Q395),"")</f>
        <v/>
      </c>
      <c r="U395" t="e" cm="1">
        <f t="array" ref="U395">INDEX($C$2:$D$40,MOD(ROW()-ROW($C$2),ROWS($C$2:$D$40))+1,INT((ROW()-ROW($C$2))/ROWS($C$2:$D$40))+1)</f>
        <v>#REF!</v>
      </c>
      <c r="V395" t="e">
        <f t="shared" ca="1" si="47"/>
        <v>#N/A</v>
      </c>
      <c r="W395" t="str" cm="1">
        <f t="array" aca="1" ref="W395" ca="1">IFERROR(INDIRECT("$U"&amp;V395),"")</f>
        <v/>
      </c>
      <c r="Z395" cm="1">
        <f t="array" ref="Z395">INDEX($AE$2:$AS$40,MOD(ROW()-ROW($AE$2),ROWS($AE$2:$AS$40))+1,INT((ROW()-ROW($AE$2))/ROWS($AE$2:$AS$40))+1)</f>
        <v>0</v>
      </c>
      <c r="AA395" t="e">
        <f t="shared" ca="1" si="48"/>
        <v>#N/A</v>
      </c>
      <c r="AB395" t="str" cm="1">
        <f t="array" aca="1" ref="AB395" ca="1">IFERROR(INDIRECT("$Z"&amp;AA395),"")</f>
        <v/>
      </c>
      <c r="AP395" t="str">
        <f t="shared" si="42"/>
        <v/>
      </c>
      <c r="AQ395" t="str">
        <f t="shared" si="43"/>
        <v/>
      </c>
      <c r="AR395" t="str">
        <f t="shared" si="44"/>
        <v/>
      </c>
      <c r="AS395" t="str">
        <f t="shared" si="45"/>
        <v/>
      </c>
    </row>
    <row r="396" spans="5:45" x14ac:dyDescent="0.25">
      <c r="E396" t="str">
        <f ca="1"/>
        <v/>
      </c>
      <c r="F396" t="str">
        <f ca="1"/>
        <v/>
      </c>
      <c r="P396" t="e" cm="1">
        <f t="array" ref="P396">INDEX($B$2:$D$40,MOD(ROW()-ROW($B$2),ROWS($B$2:$D$40))+1,INT((ROW()-ROW($B$2))/ROWS($B$2:$D$40))+1)</f>
        <v>#REF!</v>
      </c>
      <c r="Q396" t="e">
        <f t="shared" ca="1" si="46"/>
        <v>#N/A</v>
      </c>
      <c r="R396" t="str" cm="1">
        <f t="array" aca="1" ref="R396" ca="1">IFERROR(INDIRECT("$P"&amp;Q396),"")</f>
        <v/>
      </c>
      <c r="U396" t="e" cm="1">
        <f t="array" ref="U396">INDEX($C$2:$D$40,MOD(ROW()-ROW($C$2),ROWS($C$2:$D$40))+1,INT((ROW()-ROW($C$2))/ROWS($C$2:$D$40))+1)</f>
        <v>#REF!</v>
      </c>
      <c r="V396" t="e">
        <f t="shared" ca="1" si="47"/>
        <v>#N/A</v>
      </c>
      <c r="W396" t="str" cm="1">
        <f t="array" aca="1" ref="W396" ca="1">IFERROR(INDIRECT("$U"&amp;V396),"")</f>
        <v/>
      </c>
      <c r="Z396" cm="1">
        <f t="array" ref="Z396">INDEX($AE$2:$AS$40,MOD(ROW()-ROW($AE$2),ROWS($AE$2:$AS$40))+1,INT((ROW()-ROW($AE$2))/ROWS($AE$2:$AS$40))+1)</f>
        <v>0</v>
      </c>
      <c r="AA396" t="e">
        <f t="shared" ca="1" si="48"/>
        <v>#N/A</v>
      </c>
      <c r="AB396" t="str" cm="1">
        <f t="array" aca="1" ref="AB396" ca="1">IFERROR(INDIRECT("$Z"&amp;AA396),"")</f>
        <v/>
      </c>
      <c r="AP396" t="str">
        <f t="shared" si="42"/>
        <v/>
      </c>
      <c r="AQ396" t="str">
        <f t="shared" si="43"/>
        <v/>
      </c>
      <c r="AR396" t="str">
        <f t="shared" si="44"/>
        <v/>
      </c>
      <c r="AS396" t="str">
        <f t="shared" si="45"/>
        <v/>
      </c>
    </row>
    <row r="397" spans="5:45" x14ac:dyDescent="0.25">
      <c r="E397" t="str">
        <f ca="1"/>
        <v/>
      </c>
      <c r="F397" t="str">
        <f ca="1"/>
        <v/>
      </c>
      <c r="P397" t="e" cm="1">
        <f t="array" ref="P397">INDEX($B$2:$D$40,MOD(ROW()-ROW($B$2),ROWS($B$2:$D$40))+1,INT((ROW()-ROW($B$2))/ROWS($B$2:$D$40))+1)</f>
        <v>#REF!</v>
      </c>
      <c r="Q397" t="e">
        <f t="shared" ca="1" si="46"/>
        <v>#N/A</v>
      </c>
      <c r="R397" t="str" cm="1">
        <f t="array" aca="1" ref="R397" ca="1">IFERROR(INDIRECT("$P"&amp;Q397),"")</f>
        <v/>
      </c>
      <c r="U397" t="e" cm="1">
        <f t="array" ref="U397">INDEX($C$2:$D$40,MOD(ROW()-ROW($C$2),ROWS($C$2:$D$40))+1,INT((ROW()-ROW($C$2))/ROWS($C$2:$D$40))+1)</f>
        <v>#REF!</v>
      </c>
      <c r="V397" t="e">
        <f t="shared" ca="1" si="47"/>
        <v>#N/A</v>
      </c>
      <c r="W397" t="str" cm="1">
        <f t="array" aca="1" ref="W397" ca="1">IFERROR(INDIRECT("$U"&amp;V397),"")</f>
        <v/>
      </c>
      <c r="Z397" cm="1">
        <f t="array" ref="Z397">INDEX($AE$2:$AS$40,MOD(ROW()-ROW($AE$2),ROWS($AE$2:$AS$40))+1,INT((ROW()-ROW($AE$2))/ROWS($AE$2:$AS$40))+1)</f>
        <v>0</v>
      </c>
      <c r="AA397" t="e">
        <f t="shared" ca="1" si="48"/>
        <v>#N/A</v>
      </c>
      <c r="AB397" t="str" cm="1">
        <f t="array" aca="1" ref="AB397" ca="1">IFERROR(INDIRECT("$Z"&amp;AA397),"")</f>
        <v/>
      </c>
      <c r="AP397" t="str">
        <f t="shared" si="42"/>
        <v/>
      </c>
      <c r="AQ397" t="str">
        <f t="shared" si="43"/>
        <v/>
      </c>
      <c r="AR397" t="str">
        <f t="shared" si="44"/>
        <v/>
      </c>
      <c r="AS397" t="str">
        <f t="shared" si="45"/>
        <v/>
      </c>
    </row>
    <row r="398" spans="5:45" x14ac:dyDescent="0.25">
      <c r="E398" t="str">
        <f ca="1"/>
        <v/>
      </c>
      <c r="F398" t="str">
        <f ca="1"/>
        <v/>
      </c>
      <c r="P398" t="e" cm="1">
        <f t="array" ref="P398">INDEX($B$2:$D$40,MOD(ROW()-ROW($B$2),ROWS($B$2:$D$40))+1,INT((ROW()-ROW($B$2))/ROWS($B$2:$D$40))+1)</f>
        <v>#REF!</v>
      </c>
      <c r="Q398" t="e">
        <f t="shared" ca="1" si="46"/>
        <v>#N/A</v>
      </c>
      <c r="R398" t="str" cm="1">
        <f t="array" aca="1" ref="R398" ca="1">IFERROR(INDIRECT("$P"&amp;Q398),"")</f>
        <v/>
      </c>
      <c r="U398" t="e" cm="1">
        <f t="array" ref="U398">INDEX($C$2:$D$40,MOD(ROW()-ROW($C$2),ROWS($C$2:$D$40))+1,INT((ROW()-ROW($C$2))/ROWS($C$2:$D$40))+1)</f>
        <v>#REF!</v>
      </c>
      <c r="V398" t="e">
        <f t="shared" ca="1" si="47"/>
        <v>#N/A</v>
      </c>
      <c r="W398" t="str" cm="1">
        <f t="array" aca="1" ref="W398" ca="1">IFERROR(INDIRECT("$U"&amp;V398),"")</f>
        <v/>
      </c>
      <c r="Z398" cm="1">
        <f t="array" ref="Z398">INDEX($AE$2:$AS$40,MOD(ROW()-ROW($AE$2),ROWS($AE$2:$AS$40))+1,INT((ROW()-ROW($AE$2))/ROWS($AE$2:$AS$40))+1)</f>
        <v>0</v>
      </c>
      <c r="AA398" t="e">
        <f t="shared" ca="1" si="48"/>
        <v>#N/A</v>
      </c>
      <c r="AB398" t="str" cm="1">
        <f t="array" aca="1" ref="AB398" ca="1">IFERROR(INDIRECT("$Z"&amp;AA398),"")</f>
        <v/>
      </c>
      <c r="AP398" t="str">
        <f t="shared" si="42"/>
        <v/>
      </c>
      <c r="AQ398" t="str">
        <f t="shared" si="43"/>
        <v/>
      </c>
      <c r="AR398" t="str">
        <f t="shared" si="44"/>
        <v/>
      </c>
      <c r="AS398" t="str">
        <f t="shared" si="45"/>
        <v/>
      </c>
    </row>
    <row r="399" spans="5:45" x14ac:dyDescent="0.25">
      <c r="E399" t="str">
        <f ca="1"/>
        <v/>
      </c>
      <c r="F399" t="str">
        <f ca="1"/>
        <v/>
      </c>
      <c r="P399" t="e" cm="1">
        <f t="array" ref="P399">INDEX($B$2:$D$40,MOD(ROW()-ROW($B$2),ROWS($B$2:$D$40))+1,INT((ROW()-ROW($B$2))/ROWS($B$2:$D$40))+1)</f>
        <v>#REF!</v>
      </c>
      <c r="Q399" t="e">
        <f t="shared" ca="1" si="46"/>
        <v>#N/A</v>
      </c>
      <c r="R399" t="str" cm="1">
        <f t="array" aca="1" ref="R399" ca="1">IFERROR(INDIRECT("$P"&amp;Q399),"")</f>
        <v/>
      </c>
      <c r="U399" t="e" cm="1">
        <f t="array" ref="U399">INDEX($C$2:$D$40,MOD(ROW()-ROW($C$2),ROWS($C$2:$D$40))+1,INT((ROW()-ROW($C$2))/ROWS($C$2:$D$40))+1)</f>
        <v>#REF!</v>
      </c>
      <c r="V399" t="e">
        <f t="shared" ca="1" si="47"/>
        <v>#N/A</v>
      </c>
      <c r="W399" t="str" cm="1">
        <f t="array" aca="1" ref="W399" ca="1">IFERROR(INDIRECT("$U"&amp;V399),"")</f>
        <v/>
      </c>
      <c r="Z399" cm="1">
        <f t="array" ref="Z399">INDEX($AE$2:$AS$40,MOD(ROW()-ROW($AE$2),ROWS($AE$2:$AS$40))+1,INT((ROW()-ROW($AE$2))/ROWS($AE$2:$AS$40))+1)</f>
        <v>0</v>
      </c>
      <c r="AA399" t="e">
        <f t="shared" ca="1" si="48"/>
        <v>#N/A</v>
      </c>
      <c r="AB399" t="str" cm="1">
        <f t="array" aca="1" ref="AB399" ca="1">IFERROR(INDIRECT("$Z"&amp;AA399),"")</f>
        <v/>
      </c>
      <c r="AP399" t="str">
        <f t="shared" si="42"/>
        <v/>
      </c>
      <c r="AQ399" t="str">
        <f t="shared" si="43"/>
        <v/>
      </c>
      <c r="AR399" t="str">
        <f t="shared" si="44"/>
        <v/>
      </c>
      <c r="AS399" t="str">
        <f t="shared" si="45"/>
        <v/>
      </c>
    </row>
    <row r="400" spans="5:45" x14ac:dyDescent="0.25">
      <c r="E400" t="str">
        <f ca="1"/>
        <v/>
      </c>
      <c r="F400" t="str">
        <f ca="1"/>
        <v/>
      </c>
      <c r="P400" t="e" cm="1">
        <f t="array" ref="P400">INDEX($B$2:$D$40,MOD(ROW()-ROW($B$2),ROWS($B$2:$D$40))+1,INT((ROW()-ROW($B$2))/ROWS($B$2:$D$40))+1)</f>
        <v>#REF!</v>
      </c>
      <c r="Q400" t="e">
        <f t="shared" ca="1" si="46"/>
        <v>#N/A</v>
      </c>
      <c r="R400" t="str" cm="1">
        <f t="array" aca="1" ref="R400" ca="1">IFERROR(INDIRECT("$P"&amp;Q400),"")</f>
        <v/>
      </c>
      <c r="U400" t="e" cm="1">
        <f t="array" ref="U400">INDEX($C$2:$D$40,MOD(ROW()-ROW($C$2),ROWS($C$2:$D$40))+1,INT((ROW()-ROW($C$2))/ROWS($C$2:$D$40))+1)</f>
        <v>#REF!</v>
      </c>
      <c r="V400" t="e">
        <f t="shared" ca="1" si="47"/>
        <v>#N/A</v>
      </c>
      <c r="W400" t="str" cm="1">
        <f t="array" aca="1" ref="W400" ca="1">IFERROR(INDIRECT("$U"&amp;V400),"")</f>
        <v/>
      </c>
      <c r="Z400" cm="1">
        <f t="array" ref="Z400">INDEX($AE$2:$AS$40,MOD(ROW()-ROW($AE$2),ROWS($AE$2:$AS$40))+1,INT((ROW()-ROW($AE$2))/ROWS($AE$2:$AS$40))+1)</f>
        <v>0</v>
      </c>
      <c r="AA400" t="e">
        <f t="shared" ca="1" si="48"/>
        <v>#N/A</v>
      </c>
      <c r="AB400" t="str" cm="1">
        <f t="array" aca="1" ref="AB400" ca="1">IFERROR(INDIRECT("$Z"&amp;AA400),"")</f>
        <v/>
      </c>
      <c r="AP400" t="str">
        <f t="shared" si="42"/>
        <v/>
      </c>
      <c r="AQ400" t="str">
        <f t="shared" si="43"/>
        <v/>
      </c>
      <c r="AR400" t="str">
        <f t="shared" si="44"/>
        <v/>
      </c>
      <c r="AS400" t="str">
        <f t="shared" si="45"/>
        <v/>
      </c>
    </row>
    <row r="401" spans="5:45" x14ac:dyDescent="0.25">
      <c r="E401" t="str">
        <f ca="1"/>
        <v/>
      </c>
      <c r="F401" t="str">
        <f ca="1"/>
        <v/>
      </c>
      <c r="P401" t="e" cm="1">
        <f t="array" ref="P401">INDEX($B$2:$D$40,MOD(ROW()-ROW($B$2),ROWS($B$2:$D$40))+1,INT((ROW()-ROW($B$2))/ROWS($B$2:$D$40))+1)</f>
        <v>#REF!</v>
      </c>
      <c r="Q401" t="e">
        <f t="shared" ca="1" si="46"/>
        <v>#N/A</v>
      </c>
      <c r="R401" t="str" cm="1">
        <f t="array" aca="1" ref="R401" ca="1">IFERROR(INDIRECT("$P"&amp;Q401),"")</f>
        <v/>
      </c>
      <c r="U401" t="e" cm="1">
        <f t="array" ref="U401">INDEX($C$2:$D$40,MOD(ROW()-ROW($C$2),ROWS($C$2:$D$40))+1,INT((ROW()-ROW($C$2))/ROWS($C$2:$D$40))+1)</f>
        <v>#REF!</v>
      </c>
      <c r="V401" t="e">
        <f t="shared" ca="1" si="47"/>
        <v>#N/A</v>
      </c>
      <c r="W401" t="str" cm="1">
        <f t="array" aca="1" ref="W401" ca="1">IFERROR(INDIRECT("$U"&amp;V401),"")</f>
        <v/>
      </c>
      <c r="Z401" cm="1">
        <f t="array" ref="Z401">INDEX($AE$2:$AS$40,MOD(ROW()-ROW($AE$2),ROWS($AE$2:$AS$40))+1,INT((ROW()-ROW($AE$2))/ROWS($AE$2:$AS$40))+1)</f>
        <v>0</v>
      </c>
      <c r="AA401" t="e">
        <f t="shared" ca="1" si="48"/>
        <v>#N/A</v>
      </c>
      <c r="AB401" t="str" cm="1">
        <f t="array" aca="1" ref="AB401" ca="1">IFERROR(INDIRECT("$Z"&amp;AA401),"")</f>
        <v/>
      </c>
      <c r="AP401" t="str">
        <f t="shared" si="42"/>
        <v/>
      </c>
      <c r="AQ401" t="str">
        <f t="shared" si="43"/>
        <v/>
      </c>
      <c r="AR401" t="str">
        <f t="shared" si="44"/>
        <v/>
      </c>
      <c r="AS401" t="str">
        <f t="shared" si="45"/>
        <v/>
      </c>
    </row>
    <row r="402" spans="5:45" x14ac:dyDescent="0.25">
      <c r="E402" t="str">
        <f ca="1"/>
        <v/>
      </c>
      <c r="F402" t="str">
        <f ca="1"/>
        <v/>
      </c>
      <c r="P402" t="e" cm="1">
        <f t="array" ref="P402">INDEX($B$2:$D$40,MOD(ROW()-ROW($B$2),ROWS($B$2:$D$40))+1,INT((ROW()-ROW($B$2))/ROWS($B$2:$D$40))+1)</f>
        <v>#REF!</v>
      </c>
      <c r="Q402" t="e">
        <f t="shared" ca="1" si="46"/>
        <v>#N/A</v>
      </c>
      <c r="R402" t="str" cm="1">
        <f t="array" aca="1" ref="R402" ca="1">IFERROR(INDIRECT("$P"&amp;Q402),"")</f>
        <v/>
      </c>
      <c r="U402" t="e" cm="1">
        <f t="array" ref="U402">INDEX($C$2:$D$40,MOD(ROW()-ROW($C$2),ROWS($C$2:$D$40))+1,INT((ROW()-ROW($C$2))/ROWS($C$2:$D$40))+1)</f>
        <v>#REF!</v>
      </c>
      <c r="V402" t="e">
        <f t="shared" ca="1" si="47"/>
        <v>#N/A</v>
      </c>
      <c r="W402" t="str" cm="1">
        <f t="array" aca="1" ref="W402" ca="1">IFERROR(INDIRECT("$U"&amp;V402),"")</f>
        <v/>
      </c>
      <c r="Z402" cm="1">
        <f t="array" ref="Z402">INDEX($AE$2:$AS$40,MOD(ROW()-ROW($AE$2),ROWS($AE$2:$AS$40))+1,INT((ROW()-ROW($AE$2))/ROWS($AE$2:$AS$40))+1)</f>
        <v>0</v>
      </c>
      <c r="AA402" t="e">
        <f t="shared" ca="1" si="48"/>
        <v>#N/A</v>
      </c>
      <c r="AB402" t="str" cm="1">
        <f t="array" aca="1" ref="AB402" ca="1">IFERROR(INDIRECT("$Z"&amp;AA402),"")</f>
        <v/>
      </c>
      <c r="AP402" t="str">
        <f t="shared" si="42"/>
        <v/>
      </c>
      <c r="AQ402" t="str">
        <f t="shared" si="43"/>
        <v/>
      </c>
      <c r="AR402" t="str">
        <f t="shared" si="44"/>
        <v/>
      </c>
      <c r="AS402" t="str">
        <f t="shared" si="45"/>
        <v/>
      </c>
    </row>
    <row r="403" spans="5:45" x14ac:dyDescent="0.25">
      <c r="E403" t="str">
        <f ca="1"/>
        <v/>
      </c>
      <c r="F403" t="str">
        <f ca="1"/>
        <v/>
      </c>
      <c r="P403" t="e" cm="1">
        <f t="array" ref="P403">INDEX($B$2:$D$40,MOD(ROW()-ROW($B$2),ROWS($B$2:$D$40))+1,INT((ROW()-ROW($B$2))/ROWS($B$2:$D$40))+1)</f>
        <v>#REF!</v>
      </c>
      <c r="Q403" t="e">
        <f t="shared" ca="1" si="46"/>
        <v>#N/A</v>
      </c>
      <c r="R403" t="str" cm="1">
        <f t="array" aca="1" ref="R403" ca="1">IFERROR(INDIRECT("$P"&amp;Q403),"")</f>
        <v/>
      </c>
      <c r="U403" t="e" cm="1">
        <f t="array" ref="U403">INDEX($C$2:$D$40,MOD(ROW()-ROW($C$2),ROWS($C$2:$D$40))+1,INT((ROW()-ROW($C$2))/ROWS($C$2:$D$40))+1)</f>
        <v>#REF!</v>
      </c>
      <c r="V403" t="e">
        <f t="shared" ca="1" si="47"/>
        <v>#N/A</v>
      </c>
      <c r="W403" t="str" cm="1">
        <f t="array" aca="1" ref="W403" ca="1">IFERROR(INDIRECT("$U"&amp;V403),"")</f>
        <v/>
      </c>
      <c r="Z403" cm="1">
        <f t="array" ref="Z403">INDEX($AE$2:$AS$40,MOD(ROW()-ROW($AE$2),ROWS($AE$2:$AS$40))+1,INT((ROW()-ROW($AE$2))/ROWS($AE$2:$AS$40))+1)</f>
        <v>0</v>
      </c>
      <c r="AA403" t="e">
        <f t="shared" ca="1" si="48"/>
        <v>#N/A</v>
      </c>
      <c r="AB403" t="str" cm="1">
        <f t="array" aca="1" ref="AB403" ca="1">IFERROR(INDIRECT("$Z"&amp;AA403),"")</f>
        <v/>
      </c>
      <c r="AP403" t="str">
        <f t="shared" si="42"/>
        <v/>
      </c>
      <c r="AQ403" t="str">
        <f t="shared" si="43"/>
        <v/>
      </c>
      <c r="AR403" t="str">
        <f t="shared" si="44"/>
        <v/>
      </c>
      <c r="AS403" t="str">
        <f t="shared" si="45"/>
        <v/>
      </c>
    </row>
    <row r="404" spans="5:45" x14ac:dyDescent="0.25">
      <c r="E404" t="str">
        <f ca="1"/>
        <v/>
      </c>
      <c r="F404" t="str">
        <f ca="1"/>
        <v/>
      </c>
      <c r="P404" t="e" cm="1">
        <f t="array" ref="P404">INDEX($B$2:$D$40,MOD(ROW()-ROW($B$2),ROWS($B$2:$D$40))+1,INT((ROW()-ROW($B$2))/ROWS($B$2:$D$40))+1)</f>
        <v>#REF!</v>
      </c>
      <c r="Q404" t="e">
        <f t="shared" ca="1" si="46"/>
        <v>#N/A</v>
      </c>
      <c r="R404" t="str" cm="1">
        <f t="array" aca="1" ref="R404" ca="1">IFERROR(INDIRECT("$P"&amp;Q404),"")</f>
        <v/>
      </c>
      <c r="U404" t="e" cm="1">
        <f t="array" ref="U404">INDEX($C$2:$D$40,MOD(ROW()-ROW($C$2),ROWS($C$2:$D$40))+1,INT((ROW()-ROW($C$2))/ROWS($C$2:$D$40))+1)</f>
        <v>#REF!</v>
      </c>
      <c r="V404" t="e">
        <f t="shared" ca="1" si="47"/>
        <v>#N/A</v>
      </c>
      <c r="W404" t="str" cm="1">
        <f t="array" aca="1" ref="W404" ca="1">IFERROR(INDIRECT("$U"&amp;V404),"")</f>
        <v/>
      </c>
      <c r="Z404" cm="1">
        <f t="array" ref="Z404">INDEX($AE$2:$AS$40,MOD(ROW()-ROW($AE$2),ROWS($AE$2:$AS$40))+1,INT((ROW()-ROW($AE$2))/ROWS($AE$2:$AS$40))+1)</f>
        <v>0</v>
      </c>
      <c r="AA404" t="e">
        <f t="shared" ca="1" si="48"/>
        <v>#N/A</v>
      </c>
      <c r="AB404" t="str" cm="1">
        <f t="array" aca="1" ref="AB404" ca="1">IFERROR(INDIRECT("$Z"&amp;AA404),"")</f>
        <v/>
      </c>
      <c r="AP404" t="str">
        <f t="shared" si="42"/>
        <v/>
      </c>
      <c r="AQ404" t="str">
        <f t="shared" si="43"/>
        <v/>
      </c>
      <c r="AR404" t="str">
        <f t="shared" si="44"/>
        <v/>
      </c>
      <c r="AS404" t="str">
        <f t="shared" si="45"/>
        <v/>
      </c>
    </row>
    <row r="405" spans="5:45" x14ac:dyDescent="0.25">
      <c r="E405" t="str">
        <f ca="1"/>
        <v/>
      </c>
      <c r="F405" t="str">
        <f ca="1"/>
        <v/>
      </c>
      <c r="P405" t="e" cm="1">
        <f t="array" ref="P405">INDEX($B$2:$D$40,MOD(ROW()-ROW($B$2),ROWS($B$2:$D$40))+1,INT((ROW()-ROW($B$2))/ROWS($B$2:$D$40))+1)</f>
        <v>#REF!</v>
      </c>
      <c r="Q405" t="e">
        <f t="shared" ca="1" si="46"/>
        <v>#N/A</v>
      </c>
      <c r="R405" t="str" cm="1">
        <f t="array" aca="1" ref="R405" ca="1">IFERROR(INDIRECT("$P"&amp;Q405),"")</f>
        <v/>
      </c>
      <c r="U405" t="e" cm="1">
        <f t="array" ref="U405">INDEX($C$2:$D$40,MOD(ROW()-ROW($C$2),ROWS($C$2:$D$40))+1,INT((ROW()-ROW($C$2))/ROWS($C$2:$D$40))+1)</f>
        <v>#REF!</v>
      </c>
      <c r="V405" t="e">
        <f t="shared" ca="1" si="47"/>
        <v>#N/A</v>
      </c>
      <c r="W405" t="str" cm="1">
        <f t="array" aca="1" ref="W405" ca="1">IFERROR(INDIRECT("$U"&amp;V405),"")</f>
        <v/>
      </c>
      <c r="Z405" cm="1">
        <f t="array" ref="Z405">INDEX($AE$2:$AS$40,MOD(ROW()-ROW($AE$2),ROWS($AE$2:$AS$40))+1,INT((ROW()-ROW($AE$2))/ROWS($AE$2:$AS$40))+1)</f>
        <v>0</v>
      </c>
      <c r="AA405" t="e">
        <f t="shared" ca="1" si="48"/>
        <v>#N/A</v>
      </c>
      <c r="AB405" t="str" cm="1">
        <f t="array" aca="1" ref="AB405" ca="1">IFERROR(INDIRECT("$Z"&amp;AA405),"")</f>
        <v/>
      </c>
      <c r="AP405" t="str">
        <f t="shared" si="42"/>
        <v/>
      </c>
      <c r="AQ405" t="str">
        <f t="shared" si="43"/>
        <v/>
      </c>
      <c r="AR405" t="str">
        <f t="shared" si="44"/>
        <v/>
      </c>
      <c r="AS405" t="str">
        <f t="shared" si="45"/>
        <v/>
      </c>
    </row>
    <row r="406" spans="5:45" x14ac:dyDescent="0.25">
      <c r="E406" t="str">
        <f ca="1"/>
        <v/>
      </c>
      <c r="F406" t="str">
        <f ca="1"/>
        <v/>
      </c>
      <c r="P406" t="e" cm="1">
        <f t="array" ref="P406">INDEX($B$2:$D$40,MOD(ROW()-ROW($B$2),ROWS($B$2:$D$40))+1,INT((ROW()-ROW($B$2))/ROWS($B$2:$D$40))+1)</f>
        <v>#REF!</v>
      </c>
      <c r="Q406" t="e">
        <f t="shared" ca="1" si="46"/>
        <v>#N/A</v>
      </c>
      <c r="R406" t="str" cm="1">
        <f t="array" aca="1" ref="R406" ca="1">IFERROR(INDIRECT("$P"&amp;Q406),"")</f>
        <v/>
      </c>
      <c r="U406" t="e" cm="1">
        <f t="array" ref="U406">INDEX($C$2:$D$40,MOD(ROW()-ROW($C$2),ROWS($C$2:$D$40))+1,INT((ROW()-ROW($C$2))/ROWS($C$2:$D$40))+1)</f>
        <v>#REF!</v>
      </c>
      <c r="V406" t="e">
        <f t="shared" ca="1" si="47"/>
        <v>#N/A</v>
      </c>
      <c r="W406" t="str" cm="1">
        <f t="array" aca="1" ref="W406" ca="1">IFERROR(INDIRECT("$U"&amp;V406),"")</f>
        <v/>
      </c>
      <c r="Z406" cm="1">
        <f t="array" ref="Z406">INDEX($AE$2:$AS$40,MOD(ROW()-ROW($AE$2),ROWS($AE$2:$AS$40))+1,INT((ROW()-ROW($AE$2))/ROWS($AE$2:$AS$40))+1)</f>
        <v>0</v>
      </c>
      <c r="AA406" t="e">
        <f t="shared" ca="1" si="48"/>
        <v>#N/A</v>
      </c>
      <c r="AB406" t="str" cm="1">
        <f t="array" aca="1" ref="AB406" ca="1">IFERROR(INDIRECT("$Z"&amp;AA406),"")</f>
        <v/>
      </c>
      <c r="AP406" t="str">
        <f t="shared" si="42"/>
        <v/>
      </c>
      <c r="AQ406" t="str">
        <f t="shared" si="43"/>
        <v/>
      </c>
      <c r="AR406" t="str">
        <f t="shared" si="44"/>
        <v/>
      </c>
      <c r="AS406" t="str">
        <f t="shared" si="45"/>
        <v/>
      </c>
    </row>
    <row r="407" spans="5:45" x14ac:dyDescent="0.25">
      <c r="E407" t="str">
        <f ca="1"/>
        <v/>
      </c>
      <c r="F407" t="str">
        <f ca="1"/>
        <v/>
      </c>
      <c r="P407" t="e" cm="1">
        <f t="array" ref="P407">INDEX($B$2:$D$40,MOD(ROW()-ROW($B$2),ROWS($B$2:$D$40))+1,INT((ROW()-ROW($B$2))/ROWS($B$2:$D$40))+1)</f>
        <v>#REF!</v>
      </c>
      <c r="Q407" t="e">
        <f t="shared" ca="1" si="46"/>
        <v>#N/A</v>
      </c>
      <c r="R407" t="str" cm="1">
        <f t="array" aca="1" ref="R407" ca="1">IFERROR(INDIRECT("$P"&amp;Q407),"")</f>
        <v/>
      </c>
      <c r="U407" t="e" cm="1">
        <f t="array" ref="U407">INDEX($C$2:$D$40,MOD(ROW()-ROW($C$2),ROWS($C$2:$D$40))+1,INT((ROW()-ROW($C$2))/ROWS($C$2:$D$40))+1)</f>
        <v>#REF!</v>
      </c>
      <c r="V407" t="e">
        <f t="shared" ca="1" si="47"/>
        <v>#N/A</v>
      </c>
      <c r="W407" t="str" cm="1">
        <f t="array" aca="1" ref="W407" ca="1">IFERROR(INDIRECT("$U"&amp;V407),"")</f>
        <v/>
      </c>
      <c r="Z407" cm="1">
        <f t="array" ref="Z407">INDEX($AE$2:$AS$40,MOD(ROW()-ROW($AE$2),ROWS($AE$2:$AS$40))+1,INT((ROW()-ROW($AE$2))/ROWS($AE$2:$AS$40))+1)</f>
        <v>0</v>
      </c>
      <c r="AA407" t="e">
        <f t="shared" ca="1" si="48"/>
        <v>#N/A</v>
      </c>
      <c r="AB407" t="str" cm="1">
        <f t="array" aca="1" ref="AB407" ca="1">IFERROR(INDIRECT("$Z"&amp;AA407),"")</f>
        <v/>
      </c>
      <c r="AP407" t="str">
        <f t="shared" si="42"/>
        <v/>
      </c>
      <c r="AQ407" t="str">
        <f t="shared" si="43"/>
        <v/>
      </c>
      <c r="AR407" t="str">
        <f t="shared" si="44"/>
        <v/>
      </c>
      <c r="AS407" t="str">
        <f t="shared" si="45"/>
        <v/>
      </c>
    </row>
    <row r="408" spans="5:45" x14ac:dyDescent="0.25">
      <c r="E408" t="str">
        <f ca="1"/>
        <v/>
      </c>
      <c r="F408" t="str">
        <f ca="1"/>
        <v/>
      </c>
      <c r="P408" t="e" cm="1">
        <f t="array" ref="P408">INDEX($B$2:$D$40,MOD(ROW()-ROW($B$2),ROWS($B$2:$D$40))+1,INT((ROW()-ROW($B$2))/ROWS($B$2:$D$40))+1)</f>
        <v>#REF!</v>
      </c>
      <c r="Q408" t="e">
        <f t="shared" ca="1" si="46"/>
        <v>#N/A</v>
      </c>
      <c r="R408" t="str" cm="1">
        <f t="array" aca="1" ref="R408" ca="1">IFERROR(INDIRECT("$P"&amp;Q408),"")</f>
        <v/>
      </c>
      <c r="U408" t="e" cm="1">
        <f t="array" ref="U408">INDEX($C$2:$D$40,MOD(ROW()-ROW($C$2),ROWS($C$2:$D$40))+1,INT((ROW()-ROW($C$2))/ROWS($C$2:$D$40))+1)</f>
        <v>#REF!</v>
      </c>
      <c r="V408" t="e">
        <f t="shared" ca="1" si="47"/>
        <v>#N/A</v>
      </c>
      <c r="W408" t="str" cm="1">
        <f t="array" aca="1" ref="W408" ca="1">IFERROR(INDIRECT("$U"&amp;V408),"")</f>
        <v/>
      </c>
      <c r="Z408" cm="1">
        <f t="array" ref="Z408">INDEX($AE$2:$AS$40,MOD(ROW()-ROW($AE$2),ROWS($AE$2:$AS$40))+1,INT((ROW()-ROW($AE$2))/ROWS($AE$2:$AS$40))+1)</f>
        <v>0</v>
      </c>
      <c r="AA408" t="e">
        <f t="shared" ca="1" si="48"/>
        <v>#N/A</v>
      </c>
      <c r="AB408" t="str" cm="1">
        <f t="array" aca="1" ref="AB408" ca="1">IFERROR(INDIRECT("$Z"&amp;AA408),"")</f>
        <v/>
      </c>
      <c r="AP408" t="str">
        <f t="shared" si="42"/>
        <v/>
      </c>
      <c r="AQ408" t="str">
        <f t="shared" si="43"/>
        <v/>
      </c>
      <c r="AR408" t="str">
        <f t="shared" si="44"/>
        <v/>
      </c>
      <c r="AS408" t="str">
        <f t="shared" si="45"/>
        <v/>
      </c>
    </row>
    <row r="409" spans="5:45" x14ac:dyDescent="0.25">
      <c r="E409" t="str">
        <f ca="1"/>
        <v/>
      </c>
      <c r="F409" t="str">
        <f ca="1"/>
        <v/>
      </c>
      <c r="P409" t="e" cm="1">
        <f t="array" ref="P409">INDEX($B$2:$D$40,MOD(ROW()-ROW($B$2),ROWS($B$2:$D$40))+1,INT((ROW()-ROW($B$2))/ROWS($B$2:$D$40))+1)</f>
        <v>#REF!</v>
      </c>
      <c r="Q409" t="e">
        <f t="shared" ca="1" si="46"/>
        <v>#N/A</v>
      </c>
      <c r="R409" t="str" cm="1">
        <f t="array" aca="1" ref="R409" ca="1">IFERROR(INDIRECT("$P"&amp;Q409),"")</f>
        <v/>
      </c>
      <c r="U409" t="e" cm="1">
        <f t="array" ref="U409">INDEX($C$2:$D$40,MOD(ROW()-ROW($C$2),ROWS($C$2:$D$40))+1,INT((ROW()-ROW($C$2))/ROWS($C$2:$D$40))+1)</f>
        <v>#REF!</v>
      </c>
      <c r="V409" t="e">
        <f t="shared" ca="1" si="47"/>
        <v>#N/A</v>
      </c>
      <c r="W409" t="str" cm="1">
        <f t="array" aca="1" ref="W409" ca="1">IFERROR(INDIRECT("$U"&amp;V409),"")</f>
        <v/>
      </c>
      <c r="Z409" cm="1">
        <f t="array" ref="Z409">INDEX($AE$2:$AS$40,MOD(ROW()-ROW($AE$2),ROWS($AE$2:$AS$40))+1,INT((ROW()-ROW($AE$2))/ROWS($AE$2:$AS$40))+1)</f>
        <v>0</v>
      </c>
      <c r="AA409" t="e">
        <f t="shared" ca="1" si="48"/>
        <v>#N/A</v>
      </c>
      <c r="AB409" t="str" cm="1">
        <f t="array" aca="1" ref="AB409" ca="1">IFERROR(INDIRECT("$Z"&amp;AA409),"")</f>
        <v/>
      </c>
      <c r="AP409" t="str">
        <f t="shared" si="42"/>
        <v/>
      </c>
      <c r="AQ409" t="str">
        <f t="shared" si="43"/>
        <v/>
      </c>
      <c r="AR409" t="str">
        <f t="shared" si="44"/>
        <v/>
      </c>
      <c r="AS409" t="str">
        <f t="shared" si="45"/>
        <v/>
      </c>
    </row>
    <row r="410" spans="5:45" x14ac:dyDescent="0.25">
      <c r="E410" t="str">
        <f ca="1"/>
        <v/>
      </c>
      <c r="F410" t="str">
        <f ca="1"/>
        <v/>
      </c>
      <c r="P410" t="e" cm="1">
        <f t="array" ref="P410">INDEX($B$2:$D$40,MOD(ROW()-ROW($B$2),ROWS($B$2:$D$40))+1,INT((ROW()-ROW($B$2))/ROWS($B$2:$D$40))+1)</f>
        <v>#REF!</v>
      </c>
      <c r="Q410" t="e">
        <f t="shared" ca="1" si="46"/>
        <v>#N/A</v>
      </c>
      <c r="R410" t="str" cm="1">
        <f t="array" aca="1" ref="R410" ca="1">IFERROR(INDIRECT("$P"&amp;Q410),"")</f>
        <v/>
      </c>
      <c r="U410" t="e" cm="1">
        <f t="array" ref="U410">INDEX($C$2:$D$40,MOD(ROW()-ROW($C$2),ROWS($C$2:$D$40))+1,INT((ROW()-ROW($C$2))/ROWS($C$2:$D$40))+1)</f>
        <v>#REF!</v>
      </c>
      <c r="V410" t="e">
        <f t="shared" ca="1" si="47"/>
        <v>#N/A</v>
      </c>
      <c r="W410" t="str" cm="1">
        <f t="array" aca="1" ref="W410" ca="1">IFERROR(INDIRECT("$U"&amp;V410),"")</f>
        <v/>
      </c>
      <c r="Z410" cm="1">
        <f t="array" ref="Z410">INDEX($AE$2:$AS$40,MOD(ROW()-ROW($AE$2),ROWS($AE$2:$AS$40))+1,INT((ROW()-ROW($AE$2))/ROWS($AE$2:$AS$40))+1)</f>
        <v>0</v>
      </c>
      <c r="AA410" t="e">
        <f t="shared" ca="1" si="48"/>
        <v>#N/A</v>
      </c>
      <c r="AB410" t="str" cm="1">
        <f t="array" aca="1" ref="AB410" ca="1">IFERROR(INDIRECT("$Z"&amp;AA410),"")</f>
        <v/>
      </c>
      <c r="AP410" t="str">
        <f t="shared" si="42"/>
        <v/>
      </c>
      <c r="AQ410" t="str">
        <f t="shared" si="43"/>
        <v/>
      </c>
      <c r="AR410" t="str">
        <f t="shared" si="44"/>
        <v/>
      </c>
      <c r="AS410" t="str">
        <f t="shared" si="45"/>
        <v/>
      </c>
    </row>
    <row r="411" spans="5:45" x14ac:dyDescent="0.25">
      <c r="E411" t="str">
        <f ca="1"/>
        <v/>
      </c>
      <c r="F411" t="str">
        <f ca="1"/>
        <v/>
      </c>
      <c r="P411" t="e" cm="1">
        <f t="array" ref="P411">INDEX($B$2:$D$40,MOD(ROW()-ROW($B$2),ROWS($B$2:$D$40))+1,INT((ROW()-ROW($B$2))/ROWS($B$2:$D$40))+1)</f>
        <v>#REF!</v>
      </c>
      <c r="Q411" t="e">
        <f t="shared" ca="1" si="46"/>
        <v>#N/A</v>
      </c>
      <c r="R411" t="str" cm="1">
        <f t="array" aca="1" ref="R411" ca="1">IFERROR(INDIRECT("$P"&amp;Q411),"")</f>
        <v/>
      </c>
      <c r="U411" t="e" cm="1">
        <f t="array" ref="U411">INDEX($C$2:$D$40,MOD(ROW()-ROW($C$2),ROWS($C$2:$D$40))+1,INT((ROW()-ROW($C$2))/ROWS($C$2:$D$40))+1)</f>
        <v>#REF!</v>
      </c>
      <c r="V411" t="e">
        <f t="shared" ca="1" si="47"/>
        <v>#N/A</v>
      </c>
      <c r="W411" t="str" cm="1">
        <f t="array" aca="1" ref="W411" ca="1">IFERROR(INDIRECT("$U"&amp;V411),"")</f>
        <v/>
      </c>
      <c r="Z411" cm="1">
        <f t="array" ref="Z411">INDEX($AE$2:$AS$40,MOD(ROW()-ROW($AE$2),ROWS($AE$2:$AS$40))+1,INT((ROW()-ROW($AE$2))/ROWS($AE$2:$AS$40))+1)</f>
        <v>0</v>
      </c>
      <c r="AA411" t="e">
        <f t="shared" ca="1" si="48"/>
        <v>#N/A</v>
      </c>
      <c r="AB411" t="str" cm="1">
        <f t="array" aca="1" ref="AB411" ca="1">IFERROR(INDIRECT("$Z"&amp;AA411),"")</f>
        <v/>
      </c>
      <c r="AP411" t="str">
        <f t="shared" si="42"/>
        <v/>
      </c>
      <c r="AQ411" t="str">
        <f t="shared" si="43"/>
        <v/>
      </c>
      <c r="AR411" t="str">
        <f t="shared" si="44"/>
        <v/>
      </c>
      <c r="AS411" t="str">
        <f t="shared" si="45"/>
        <v/>
      </c>
    </row>
    <row r="412" spans="5:45" x14ac:dyDescent="0.25">
      <c r="E412" t="str">
        <f ca="1"/>
        <v/>
      </c>
      <c r="F412" t="str">
        <f ca="1"/>
        <v/>
      </c>
      <c r="P412" t="e" cm="1">
        <f t="array" ref="P412">INDEX($B$2:$D$40,MOD(ROW()-ROW($B$2),ROWS($B$2:$D$40))+1,INT((ROW()-ROW($B$2))/ROWS($B$2:$D$40))+1)</f>
        <v>#REF!</v>
      </c>
      <c r="Q412" t="e">
        <f t="shared" ca="1" si="46"/>
        <v>#N/A</v>
      </c>
      <c r="R412" t="str" cm="1">
        <f t="array" aca="1" ref="R412" ca="1">IFERROR(INDIRECT("$P"&amp;Q412),"")</f>
        <v/>
      </c>
      <c r="U412" t="e" cm="1">
        <f t="array" ref="U412">INDEX($C$2:$D$40,MOD(ROW()-ROW($C$2),ROWS($C$2:$D$40))+1,INT((ROW()-ROW($C$2))/ROWS($C$2:$D$40))+1)</f>
        <v>#REF!</v>
      </c>
      <c r="V412" t="e">
        <f t="shared" ca="1" si="47"/>
        <v>#N/A</v>
      </c>
      <c r="W412" t="str" cm="1">
        <f t="array" aca="1" ref="W412" ca="1">IFERROR(INDIRECT("$U"&amp;V412),"")</f>
        <v/>
      </c>
      <c r="Z412" cm="1">
        <f t="array" ref="Z412">INDEX($AE$2:$AS$40,MOD(ROW()-ROW($AE$2),ROWS($AE$2:$AS$40))+1,INT((ROW()-ROW($AE$2))/ROWS($AE$2:$AS$40))+1)</f>
        <v>0</v>
      </c>
      <c r="AA412" t="e">
        <f t="shared" ca="1" si="48"/>
        <v>#N/A</v>
      </c>
      <c r="AB412" t="str" cm="1">
        <f t="array" aca="1" ref="AB412" ca="1">IFERROR(INDIRECT("$Z"&amp;AA412),"")</f>
        <v/>
      </c>
      <c r="AP412" t="str">
        <f t="shared" si="42"/>
        <v/>
      </c>
      <c r="AQ412" t="str">
        <f t="shared" si="43"/>
        <v/>
      </c>
      <c r="AR412" t="str">
        <f t="shared" si="44"/>
        <v/>
      </c>
      <c r="AS412" t="str">
        <f t="shared" si="45"/>
        <v/>
      </c>
    </row>
    <row r="413" spans="5:45" x14ac:dyDescent="0.25">
      <c r="E413" t="str">
        <f ca="1"/>
        <v/>
      </c>
      <c r="F413" t="str">
        <f ca="1"/>
        <v/>
      </c>
      <c r="P413" t="e" cm="1">
        <f t="array" ref="P413">INDEX($B$2:$D$40,MOD(ROW()-ROW($B$2),ROWS($B$2:$D$40))+1,INT((ROW()-ROW($B$2))/ROWS($B$2:$D$40))+1)</f>
        <v>#REF!</v>
      </c>
      <c r="Q413" t="e">
        <f t="shared" ca="1" si="46"/>
        <v>#N/A</v>
      </c>
      <c r="R413" t="str" cm="1">
        <f t="array" aca="1" ref="R413" ca="1">IFERROR(INDIRECT("$P"&amp;Q413),"")</f>
        <v/>
      </c>
      <c r="U413" t="e" cm="1">
        <f t="array" ref="U413">INDEX($C$2:$D$40,MOD(ROW()-ROW($C$2),ROWS($C$2:$D$40))+1,INT((ROW()-ROW($C$2))/ROWS($C$2:$D$40))+1)</f>
        <v>#REF!</v>
      </c>
      <c r="V413" t="e">
        <f t="shared" ca="1" si="47"/>
        <v>#N/A</v>
      </c>
      <c r="W413" t="str" cm="1">
        <f t="array" aca="1" ref="W413" ca="1">IFERROR(INDIRECT("$U"&amp;V413),"")</f>
        <v/>
      </c>
      <c r="Z413" cm="1">
        <f t="array" ref="Z413">INDEX($AE$2:$AS$40,MOD(ROW()-ROW($AE$2),ROWS($AE$2:$AS$40))+1,INT((ROW()-ROW($AE$2))/ROWS($AE$2:$AS$40))+1)</f>
        <v>0</v>
      </c>
      <c r="AA413" t="e">
        <f t="shared" ca="1" si="48"/>
        <v>#N/A</v>
      </c>
      <c r="AB413" t="str" cm="1">
        <f t="array" aca="1" ref="AB413" ca="1">IFERROR(INDIRECT("$Z"&amp;AA413),"")</f>
        <v/>
      </c>
      <c r="AP413" t="str">
        <f t="shared" si="42"/>
        <v/>
      </c>
      <c r="AQ413" t="str">
        <f t="shared" si="43"/>
        <v/>
      </c>
      <c r="AR413" t="str">
        <f t="shared" si="44"/>
        <v/>
      </c>
      <c r="AS413" t="str">
        <f t="shared" si="45"/>
        <v/>
      </c>
    </row>
    <row r="414" spans="5:45" x14ac:dyDescent="0.25">
      <c r="E414" t="str">
        <f ca="1"/>
        <v/>
      </c>
      <c r="F414" t="str">
        <f ca="1"/>
        <v/>
      </c>
      <c r="P414" t="e" cm="1">
        <f t="array" ref="P414">INDEX($B$2:$D$40,MOD(ROW()-ROW($B$2),ROWS($B$2:$D$40))+1,INT((ROW()-ROW($B$2))/ROWS($B$2:$D$40))+1)</f>
        <v>#REF!</v>
      </c>
      <c r="Q414" t="e">
        <f t="shared" ca="1" si="46"/>
        <v>#N/A</v>
      </c>
      <c r="R414" t="str" cm="1">
        <f t="array" aca="1" ref="R414" ca="1">IFERROR(INDIRECT("$P"&amp;Q414),"")</f>
        <v/>
      </c>
      <c r="U414" t="e" cm="1">
        <f t="array" ref="U414">INDEX($C$2:$D$40,MOD(ROW()-ROW($C$2),ROWS($C$2:$D$40))+1,INT((ROW()-ROW($C$2))/ROWS($C$2:$D$40))+1)</f>
        <v>#REF!</v>
      </c>
      <c r="V414" t="e">
        <f t="shared" ca="1" si="47"/>
        <v>#N/A</v>
      </c>
      <c r="W414" t="str" cm="1">
        <f t="array" aca="1" ref="W414" ca="1">IFERROR(INDIRECT("$U"&amp;V414),"")</f>
        <v/>
      </c>
      <c r="Z414" cm="1">
        <f t="array" ref="Z414">INDEX($AE$2:$AS$40,MOD(ROW()-ROW($AE$2),ROWS($AE$2:$AS$40))+1,INT((ROW()-ROW($AE$2))/ROWS($AE$2:$AS$40))+1)</f>
        <v>0</v>
      </c>
      <c r="AA414" t="e">
        <f t="shared" ca="1" si="48"/>
        <v>#N/A</v>
      </c>
      <c r="AB414" t="str" cm="1">
        <f t="array" aca="1" ref="AB414" ca="1">IFERROR(INDIRECT("$Z"&amp;AA414),"")</f>
        <v/>
      </c>
      <c r="AP414" t="str">
        <f t="shared" si="42"/>
        <v/>
      </c>
      <c r="AQ414" t="str">
        <f t="shared" si="43"/>
        <v/>
      </c>
      <c r="AR414" t="str">
        <f t="shared" si="44"/>
        <v/>
      </c>
      <c r="AS414" t="str">
        <f t="shared" si="45"/>
        <v/>
      </c>
    </row>
    <row r="415" spans="5:45" x14ac:dyDescent="0.25">
      <c r="E415" t="str">
        <f ca="1"/>
        <v/>
      </c>
      <c r="F415" t="str">
        <f ca="1"/>
        <v/>
      </c>
      <c r="P415" t="e" cm="1">
        <f t="array" ref="P415">INDEX($B$2:$D$40,MOD(ROW()-ROW($B$2),ROWS($B$2:$D$40))+1,INT((ROW()-ROW($B$2))/ROWS($B$2:$D$40))+1)</f>
        <v>#REF!</v>
      </c>
      <c r="Q415" t="e">
        <f t="shared" ca="1" si="46"/>
        <v>#N/A</v>
      </c>
      <c r="R415" t="str" cm="1">
        <f t="array" aca="1" ref="R415" ca="1">IFERROR(INDIRECT("$P"&amp;Q415),"")</f>
        <v/>
      </c>
      <c r="U415" t="e" cm="1">
        <f t="array" ref="U415">INDEX($C$2:$D$40,MOD(ROW()-ROW($C$2),ROWS($C$2:$D$40))+1,INT((ROW()-ROW($C$2))/ROWS($C$2:$D$40))+1)</f>
        <v>#REF!</v>
      </c>
      <c r="V415" t="e">
        <f t="shared" ca="1" si="47"/>
        <v>#N/A</v>
      </c>
      <c r="W415" t="str" cm="1">
        <f t="array" aca="1" ref="W415" ca="1">IFERROR(INDIRECT("$U"&amp;V415),"")</f>
        <v/>
      </c>
      <c r="Z415" cm="1">
        <f t="array" ref="Z415">INDEX($AE$2:$AS$40,MOD(ROW()-ROW($AE$2),ROWS($AE$2:$AS$40))+1,INT((ROW()-ROW($AE$2))/ROWS($AE$2:$AS$40))+1)</f>
        <v>0</v>
      </c>
      <c r="AA415" t="e">
        <f t="shared" ca="1" si="48"/>
        <v>#N/A</v>
      </c>
      <c r="AB415" t="str" cm="1">
        <f t="array" aca="1" ref="AB415" ca="1">IFERROR(INDIRECT("$Z"&amp;AA415),"")</f>
        <v/>
      </c>
      <c r="AP415" t="str">
        <f t="shared" si="42"/>
        <v/>
      </c>
      <c r="AQ415" t="str">
        <f t="shared" si="43"/>
        <v/>
      </c>
      <c r="AR415" t="str">
        <f t="shared" si="44"/>
        <v/>
      </c>
      <c r="AS415" t="str">
        <f t="shared" si="45"/>
        <v/>
      </c>
    </row>
    <row r="416" spans="5:45" x14ac:dyDescent="0.25">
      <c r="E416" t="str">
        <f ca="1"/>
        <v/>
      </c>
      <c r="F416" t="str">
        <f ca="1"/>
        <v/>
      </c>
      <c r="P416" t="e" cm="1">
        <f t="array" ref="P416">INDEX($B$2:$D$40,MOD(ROW()-ROW($B$2),ROWS($B$2:$D$40))+1,INT((ROW()-ROW($B$2))/ROWS($B$2:$D$40))+1)</f>
        <v>#REF!</v>
      </c>
      <c r="Q416" t="e">
        <f t="shared" ca="1" si="46"/>
        <v>#N/A</v>
      </c>
      <c r="R416" t="str" cm="1">
        <f t="array" aca="1" ref="R416" ca="1">IFERROR(INDIRECT("$P"&amp;Q416),"")</f>
        <v/>
      </c>
      <c r="U416" t="e" cm="1">
        <f t="array" ref="U416">INDEX($C$2:$D$40,MOD(ROW()-ROW($C$2),ROWS($C$2:$D$40))+1,INT((ROW()-ROW($C$2))/ROWS($C$2:$D$40))+1)</f>
        <v>#REF!</v>
      </c>
      <c r="V416" t="e">
        <f t="shared" ca="1" si="47"/>
        <v>#N/A</v>
      </c>
      <c r="W416" t="str" cm="1">
        <f t="array" aca="1" ref="W416" ca="1">IFERROR(INDIRECT("$U"&amp;V416),"")</f>
        <v/>
      </c>
      <c r="Z416" cm="1">
        <f t="array" ref="Z416">INDEX($AE$2:$AS$40,MOD(ROW()-ROW($AE$2),ROWS($AE$2:$AS$40))+1,INT((ROW()-ROW($AE$2))/ROWS($AE$2:$AS$40))+1)</f>
        <v>0</v>
      </c>
      <c r="AA416" t="e">
        <f t="shared" ca="1" si="48"/>
        <v>#N/A</v>
      </c>
      <c r="AB416" t="str" cm="1">
        <f t="array" aca="1" ref="AB416" ca="1">IFERROR(INDIRECT("$Z"&amp;AA416),"")</f>
        <v/>
      </c>
      <c r="AP416" t="str">
        <f t="shared" si="42"/>
        <v/>
      </c>
      <c r="AQ416" t="str">
        <f t="shared" si="43"/>
        <v/>
      </c>
      <c r="AR416" t="str">
        <f t="shared" si="44"/>
        <v/>
      </c>
      <c r="AS416" t="str">
        <f t="shared" si="45"/>
        <v/>
      </c>
    </row>
    <row r="417" spans="5:45" x14ac:dyDescent="0.25">
      <c r="E417" t="str">
        <f ca="1"/>
        <v/>
      </c>
      <c r="F417" t="str">
        <f ca="1"/>
        <v/>
      </c>
      <c r="P417" t="e" cm="1">
        <f t="array" ref="P417">INDEX($B$2:$D$40,MOD(ROW()-ROW($B$2),ROWS($B$2:$D$40))+1,INT((ROW()-ROW($B$2))/ROWS($B$2:$D$40))+1)</f>
        <v>#REF!</v>
      </c>
      <c r="Q417" t="e">
        <f t="shared" ca="1" si="46"/>
        <v>#N/A</v>
      </c>
      <c r="R417" t="str" cm="1">
        <f t="array" aca="1" ref="R417" ca="1">IFERROR(INDIRECT("$P"&amp;Q417),"")</f>
        <v/>
      </c>
      <c r="U417" t="e" cm="1">
        <f t="array" ref="U417">INDEX($C$2:$D$40,MOD(ROW()-ROW($C$2),ROWS($C$2:$D$40))+1,INT((ROW()-ROW($C$2))/ROWS($C$2:$D$40))+1)</f>
        <v>#REF!</v>
      </c>
      <c r="V417" t="e">
        <f t="shared" ca="1" si="47"/>
        <v>#N/A</v>
      </c>
      <c r="W417" t="str" cm="1">
        <f t="array" aca="1" ref="W417" ca="1">IFERROR(INDIRECT("$U"&amp;V417),"")</f>
        <v/>
      </c>
      <c r="Z417" cm="1">
        <f t="array" ref="Z417">INDEX($AE$2:$AS$40,MOD(ROW()-ROW($AE$2),ROWS($AE$2:$AS$40))+1,INT((ROW()-ROW($AE$2))/ROWS($AE$2:$AS$40))+1)</f>
        <v>0</v>
      </c>
      <c r="AA417" t="e">
        <f t="shared" ca="1" si="48"/>
        <v>#N/A</v>
      </c>
      <c r="AB417" t="str" cm="1">
        <f t="array" aca="1" ref="AB417" ca="1">IFERROR(INDIRECT("$Z"&amp;AA417),"")</f>
        <v/>
      </c>
      <c r="AP417" t="str">
        <f t="shared" si="42"/>
        <v/>
      </c>
      <c r="AQ417" t="str">
        <f t="shared" si="43"/>
        <v/>
      </c>
      <c r="AR417" t="str">
        <f t="shared" si="44"/>
        <v/>
      </c>
      <c r="AS417" t="str">
        <f t="shared" si="45"/>
        <v/>
      </c>
    </row>
    <row r="418" spans="5:45" x14ac:dyDescent="0.25">
      <c r="E418" t="str">
        <f ca="1"/>
        <v/>
      </c>
      <c r="F418" t="str">
        <f ca="1"/>
        <v/>
      </c>
      <c r="P418" t="e" cm="1">
        <f t="array" ref="P418">INDEX($B$2:$D$40,MOD(ROW()-ROW($B$2),ROWS($B$2:$D$40))+1,INT((ROW()-ROW($B$2))/ROWS($B$2:$D$40))+1)</f>
        <v>#REF!</v>
      </c>
      <c r="Q418" t="e">
        <f t="shared" ca="1" si="46"/>
        <v>#N/A</v>
      </c>
      <c r="R418" t="str" cm="1">
        <f t="array" aca="1" ref="R418" ca="1">IFERROR(INDIRECT("$P"&amp;Q418),"")</f>
        <v/>
      </c>
      <c r="U418" t="e" cm="1">
        <f t="array" ref="U418">INDEX($C$2:$D$40,MOD(ROW()-ROW($C$2),ROWS($C$2:$D$40))+1,INT((ROW()-ROW($C$2))/ROWS($C$2:$D$40))+1)</f>
        <v>#REF!</v>
      </c>
      <c r="V418" t="e">
        <f t="shared" ca="1" si="47"/>
        <v>#N/A</v>
      </c>
      <c r="W418" t="str" cm="1">
        <f t="array" aca="1" ref="W418" ca="1">IFERROR(INDIRECT("$U"&amp;V418),"")</f>
        <v/>
      </c>
      <c r="Z418" cm="1">
        <f t="array" ref="Z418">INDEX($AE$2:$AS$40,MOD(ROW()-ROW($AE$2),ROWS($AE$2:$AS$40))+1,INT((ROW()-ROW($AE$2))/ROWS($AE$2:$AS$40))+1)</f>
        <v>0</v>
      </c>
      <c r="AA418" t="e">
        <f t="shared" ca="1" si="48"/>
        <v>#N/A</v>
      </c>
      <c r="AB418" t="str" cm="1">
        <f t="array" aca="1" ref="AB418" ca="1">IFERROR(INDIRECT("$Z"&amp;AA418),"")</f>
        <v/>
      </c>
      <c r="AP418" t="str">
        <f t="shared" si="42"/>
        <v/>
      </c>
      <c r="AQ418" t="str">
        <f t="shared" si="43"/>
        <v/>
      </c>
      <c r="AR418" t="str">
        <f t="shared" si="44"/>
        <v/>
      </c>
      <c r="AS418" t="str">
        <f t="shared" si="45"/>
        <v/>
      </c>
    </row>
    <row r="419" spans="5:45" x14ac:dyDescent="0.25">
      <c r="E419" t="str">
        <f ca="1"/>
        <v/>
      </c>
      <c r="F419" t="str">
        <f ca="1"/>
        <v/>
      </c>
      <c r="P419" t="e" cm="1">
        <f t="array" ref="P419">INDEX($B$2:$D$40,MOD(ROW()-ROW($B$2),ROWS($B$2:$D$40))+1,INT((ROW()-ROW($B$2))/ROWS($B$2:$D$40))+1)</f>
        <v>#REF!</v>
      </c>
      <c r="Q419" t="e">
        <f t="shared" ca="1" si="46"/>
        <v>#N/A</v>
      </c>
      <c r="R419" t="str" cm="1">
        <f t="array" aca="1" ref="R419" ca="1">IFERROR(INDIRECT("$P"&amp;Q419),"")</f>
        <v/>
      </c>
      <c r="U419" t="e" cm="1">
        <f t="array" ref="U419">INDEX($C$2:$D$40,MOD(ROW()-ROW($C$2),ROWS($C$2:$D$40))+1,INT((ROW()-ROW($C$2))/ROWS($C$2:$D$40))+1)</f>
        <v>#REF!</v>
      </c>
      <c r="V419" t="e">
        <f t="shared" ca="1" si="47"/>
        <v>#N/A</v>
      </c>
      <c r="W419" t="str" cm="1">
        <f t="array" aca="1" ref="W419" ca="1">IFERROR(INDIRECT("$U"&amp;V419),"")</f>
        <v/>
      </c>
      <c r="Z419" cm="1">
        <f t="array" ref="Z419">INDEX($AE$2:$AS$40,MOD(ROW()-ROW($AE$2),ROWS($AE$2:$AS$40))+1,INT((ROW()-ROW($AE$2))/ROWS($AE$2:$AS$40))+1)</f>
        <v>0</v>
      </c>
      <c r="AA419" t="e">
        <f t="shared" ca="1" si="48"/>
        <v>#N/A</v>
      </c>
      <c r="AB419" t="str" cm="1">
        <f t="array" aca="1" ref="AB419" ca="1">IFERROR(INDIRECT("$Z"&amp;AA419),"")</f>
        <v/>
      </c>
      <c r="AP419" t="str">
        <f t="shared" si="42"/>
        <v/>
      </c>
      <c r="AQ419" t="str">
        <f t="shared" si="43"/>
        <v/>
      </c>
      <c r="AR419" t="str">
        <f t="shared" si="44"/>
        <v/>
      </c>
      <c r="AS419" t="str">
        <f t="shared" si="45"/>
        <v/>
      </c>
    </row>
    <row r="420" spans="5:45" x14ac:dyDescent="0.25">
      <c r="E420" t="str">
        <f ca="1"/>
        <v/>
      </c>
      <c r="F420" t="str">
        <f ca="1"/>
        <v/>
      </c>
      <c r="P420" t="e" cm="1">
        <f t="array" ref="P420">INDEX($B$2:$D$40,MOD(ROW()-ROW($B$2),ROWS($B$2:$D$40))+1,INT((ROW()-ROW($B$2))/ROWS($B$2:$D$40))+1)</f>
        <v>#REF!</v>
      </c>
      <c r="Q420" t="e">
        <f t="shared" ca="1" si="46"/>
        <v>#N/A</v>
      </c>
      <c r="R420" t="str" cm="1">
        <f t="array" aca="1" ref="R420" ca="1">IFERROR(INDIRECT("$P"&amp;Q420),"")</f>
        <v/>
      </c>
      <c r="U420" t="e" cm="1">
        <f t="array" ref="U420">INDEX($C$2:$D$40,MOD(ROW()-ROW($C$2),ROWS($C$2:$D$40))+1,INT((ROW()-ROW($C$2))/ROWS($C$2:$D$40))+1)</f>
        <v>#REF!</v>
      </c>
      <c r="V420" t="e">
        <f t="shared" ca="1" si="47"/>
        <v>#N/A</v>
      </c>
      <c r="W420" t="str" cm="1">
        <f t="array" aca="1" ref="W420" ca="1">IFERROR(INDIRECT("$U"&amp;V420),"")</f>
        <v/>
      </c>
      <c r="Z420" cm="1">
        <f t="array" ref="Z420">INDEX($AE$2:$AS$40,MOD(ROW()-ROW($AE$2),ROWS($AE$2:$AS$40))+1,INT((ROW()-ROW($AE$2))/ROWS($AE$2:$AS$40))+1)</f>
        <v>0</v>
      </c>
      <c r="AA420" t="e">
        <f t="shared" ca="1" si="48"/>
        <v>#N/A</v>
      </c>
      <c r="AB420" t="str" cm="1">
        <f t="array" aca="1" ref="AB420" ca="1">IFERROR(INDIRECT("$Z"&amp;AA420),"")</f>
        <v/>
      </c>
      <c r="AP420" t="str">
        <f t="shared" si="42"/>
        <v/>
      </c>
      <c r="AQ420" t="str">
        <f t="shared" si="43"/>
        <v/>
      </c>
      <c r="AR420" t="str">
        <f t="shared" si="44"/>
        <v/>
      </c>
      <c r="AS420" t="str">
        <f t="shared" si="45"/>
        <v/>
      </c>
    </row>
    <row r="421" spans="5:45" x14ac:dyDescent="0.25">
      <c r="E421" t="str">
        <f ca="1"/>
        <v/>
      </c>
      <c r="F421" t="str">
        <f ca="1"/>
        <v/>
      </c>
      <c r="P421" t="e" cm="1">
        <f t="array" ref="P421">INDEX($B$2:$D$40,MOD(ROW()-ROW($B$2),ROWS($B$2:$D$40))+1,INT((ROW()-ROW($B$2))/ROWS($B$2:$D$40))+1)</f>
        <v>#REF!</v>
      </c>
      <c r="Q421" t="e">
        <f t="shared" ca="1" si="46"/>
        <v>#N/A</v>
      </c>
      <c r="R421" t="str" cm="1">
        <f t="array" aca="1" ref="R421" ca="1">IFERROR(INDIRECT("$P"&amp;Q421),"")</f>
        <v/>
      </c>
      <c r="U421" t="e" cm="1">
        <f t="array" ref="U421">INDEX($C$2:$D$40,MOD(ROW()-ROW($C$2),ROWS($C$2:$D$40))+1,INT((ROW()-ROW($C$2))/ROWS($C$2:$D$40))+1)</f>
        <v>#REF!</v>
      </c>
      <c r="V421" t="e">
        <f t="shared" ca="1" si="47"/>
        <v>#N/A</v>
      </c>
      <c r="W421" t="str" cm="1">
        <f t="array" aca="1" ref="W421" ca="1">IFERROR(INDIRECT("$U"&amp;V421),"")</f>
        <v/>
      </c>
      <c r="Z421" cm="1">
        <f t="array" ref="Z421">INDEX($AE$2:$AS$40,MOD(ROW()-ROW($AE$2),ROWS($AE$2:$AS$40))+1,INT((ROW()-ROW($AE$2))/ROWS($AE$2:$AS$40))+1)</f>
        <v>0</v>
      </c>
      <c r="AA421" t="e">
        <f t="shared" ca="1" si="48"/>
        <v>#N/A</v>
      </c>
      <c r="AB421" t="str" cm="1">
        <f t="array" aca="1" ref="AB421" ca="1">IFERROR(INDIRECT("$Z"&amp;AA421),"")</f>
        <v/>
      </c>
      <c r="AP421" t="str">
        <f t="shared" si="42"/>
        <v/>
      </c>
      <c r="AQ421" t="str">
        <f t="shared" si="43"/>
        <v/>
      </c>
      <c r="AR421" t="str">
        <f t="shared" si="44"/>
        <v/>
      </c>
      <c r="AS421" t="str">
        <f t="shared" si="45"/>
        <v/>
      </c>
    </row>
    <row r="422" spans="5:45" x14ac:dyDescent="0.25">
      <c r="E422" t="str">
        <f ca="1"/>
        <v/>
      </c>
      <c r="F422" t="str">
        <f ca="1"/>
        <v/>
      </c>
      <c r="P422" t="e" cm="1">
        <f t="array" ref="P422">INDEX($B$2:$D$40,MOD(ROW()-ROW($B$2),ROWS($B$2:$D$40))+1,INT((ROW()-ROW($B$2))/ROWS($B$2:$D$40))+1)</f>
        <v>#REF!</v>
      </c>
      <c r="Q422" t="e">
        <f t="shared" ca="1" si="46"/>
        <v>#N/A</v>
      </c>
      <c r="R422" t="str" cm="1">
        <f t="array" aca="1" ref="R422" ca="1">IFERROR(INDIRECT("$P"&amp;Q422),"")</f>
        <v/>
      </c>
      <c r="U422" t="e" cm="1">
        <f t="array" ref="U422">INDEX($C$2:$D$40,MOD(ROW()-ROW($C$2),ROWS($C$2:$D$40))+1,INT((ROW()-ROW($C$2))/ROWS($C$2:$D$40))+1)</f>
        <v>#REF!</v>
      </c>
      <c r="V422" t="e">
        <f t="shared" ca="1" si="47"/>
        <v>#N/A</v>
      </c>
      <c r="W422" t="str" cm="1">
        <f t="array" aca="1" ref="W422" ca="1">IFERROR(INDIRECT("$U"&amp;V422),"")</f>
        <v/>
      </c>
      <c r="Z422" cm="1">
        <f t="array" ref="Z422">INDEX($AE$2:$AS$40,MOD(ROW()-ROW($AE$2),ROWS($AE$2:$AS$40))+1,INT((ROW()-ROW($AE$2))/ROWS($AE$2:$AS$40))+1)</f>
        <v>0</v>
      </c>
      <c r="AA422" t="e">
        <f t="shared" ca="1" si="48"/>
        <v>#N/A</v>
      </c>
      <c r="AB422" t="str" cm="1">
        <f t="array" aca="1" ref="AB422" ca="1">IFERROR(INDIRECT("$Z"&amp;AA422),"")</f>
        <v/>
      </c>
      <c r="AP422" t="str">
        <f t="shared" si="42"/>
        <v/>
      </c>
      <c r="AQ422" t="str">
        <f t="shared" si="43"/>
        <v/>
      </c>
      <c r="AR422" t="str">
        <f t="shared" si="44"/>
        <v/>
      </c>
      <c r="AS422" t="str">
        <f t="shared" si="45"/>
        <v/>
      </c>
    </row>
    <row r="423" spans="5:45" x14ac:dyDescent="0.25">
      <c r="E423" t="str">
        <f ca="1"/>
        <v/>
      </c>
      <c r="F423" t="str">
        <f ca="1"/>
        <v/>
      </c>
      <c r="P423" t="e" cm="1">
        <f t="array" ref="P423">INDEX($B$2:$D$40,MOD(ROW()-ROW($B$2),ROWS($B$2:$D$40))+1,INT((ROW()-ROW($B$2))/ROWS($B$2:$D$40))+1)</f>
        <v>#REF!</v>
      </c>
      <c r="Q423" t="e">
        <f t="shared" ca="1" si="46"/>
        <v>#N/A</v>
      </c>
      <c r="R423" t="str" cm="1">
        <f t="array" aca="1" ref="R423" ca="1">IFERROR(INDIRECT("$P"&amp;Q423),"")</f>
        <v/>
      </c>
      <c r="U423" t="e" cm="1">
        <f t="array" ref="U423">INDEX($C$2:$D$40,MOD(ROW()-ROW($C$2),ROWS($C$2:$D$40))+1,INT((ROW()-ROW($C$2))/ROWS($C$2:$D$40))+1)</f>
        <v>#REF!</v>
      </c>
      <c r="V423" t="e">
        <f t="shared" ca="1" si="47"/>
        <v>#N/A</v>
      </c>
      <c r="W423" t="str" cm="1">
        <f t="array" aca="1" ref="W423" ca="1">IFERROR(INDIRECT("$U"&amp;V423),"")</f>
        <v/>
      </c>
      <c r="Z423" cm="1">
        <f t="array" ref="Z423">INDEX($AE$2:$AS$40,MOD(ROW()-ROW($AE$2),ROWS($AE$2:$AS$40))+1,INT((ROW()-ROW($AE$2))/ROWS($AE$2:$AS$40))+1)</f>
        <v>0</v>
      </c>
      <c r="AA423" t="e">
        <f t="shared" ca="1" si="48"/>
        <v>#N/A</v>
      </c>
      <c r="AB423" t="str" cm="1">
        <f t="array" aca="1" ref="AB423" ca="1">IFERROR(INDIRECT("$Z"&amp;AA423),"")</f>
        <v/>
      </c>
      <c r="AP423" t="str">
        <f t="shared" si="42"/>
        <v/>
      </c>
      <c r="AQ423" t="str">
        <f t="shared" si="43"/>
        <v/>
      </c>
      <c r="AR423" t="str">
        <f t="shared" si="44"/>
        <v/>
      </c>
      <c r="AS423" t="str">
        <f t="shared" si="45"/>
        <v/>
      </c>
    </row>
    <row r="424" spans="5:45" x14ac:dyDescent="0.25">
      <c r="E424" t="str">
        <f ca="1"/>
        <v/>
      </c>
      <c r="F424" t="str">
        <f ca="1"/>
        <v/>
      </c>
      <c r="P424" t="e" cm="1">
        <f t="array" ref="P424">INDEX($B$2:$D$40,MOD(ROW()-ROW($B$2),ROWS($B$2:$D$40))+1,INT((ROW()-ROW($B$2))/ROWS($B$2:$D$40))+1)</f>
        <v>#REF!</v>
      </c>
      <c r="Q424" t="e">
        <f t="shared" ca="1" si="46"/>
        <v>#N/A</v>
      </c>
      <c r="R424" t="str" cm="1">
        <f t="array" aca="1" ref="R424" ca="1">IFERROR(INDIRECT("$P"&amp;Q424),"")</f>
        <v/>
      </c>
      <c r="U424" t="e" cm="1">
        <f t="array" ref="U424">INDEX($C$2:$D$40,MOD(ROW()-ROW($C$2),ROWS($C$2:$D$40))+1,INT((ROW()-ROW($C$2))/ROWS($C$2:$D$40))+1)</f>
        <v>#REF!</v>
      </c>
      <c r="V424" t="e">
        <f t="shared" ca="1" si="47"/>
        <v>#N/A</v>
      </c>
      <c r="W424" t="str" cm="1">
        <f t="array" aca="1" ref="W424" ca="1">IFERROR(INDIRECT("$U"&amp;V424),"")</f>
        <v/>
      </c>
      <c r="Z424" cm="1">
        <f t="array" ref="Z424">INDEX($AE$2:$AS$40,MOD(ROW()-ROW($AE$2),ROWS($AE$2:$AS$40))+1,INT((ROW()-ROW($AE$2))/ROWS($AE$2:$AS$40))+1)</f>
        <v>0</v>
      </c>
      <c r="AA424" t="e">
        <f t="shared" ca="1" si="48"/>
        <v>#N/A</v>
      </c>
      <c r="AB424" t="str" cm="1">
        <f t="array" aca="1" ref="AB424" ca="1">IFERROR(INDIRECT("$Z"&amp;AA424),"")</f>
        <v/>
      </c>
      <c r="AP424" t="str">
        <f t="shared" si="42"/>
        <v/>
      </c>
      <c r="AQ424" t="str">
        <f t="shared" si="43"/>
        <v/>
      </c>
      <c r="AR424" t="str">
        <f t="shared" si="44"/>
        <v/>
      </c>
      <c r="AS424" t="str">
        <f t="shared" si="45"/>
        <v/>
      </c>
    </row>
    <row r="425" spans="5:45" x14ac:dyDescent="0.25">
      <c r="E425" t="str">
        <f ca="1"/>
        <v/>
      </c>
      <c r="F425" t="str">
        <f ca="1"/>
        <v/>
      </c>
      <c r="P425" t="e" cm="1">
        <f t="array" ref="P425">INDEX($B$2:$D$40,MOD(ROW()-ROW($B$2),ROWS($B$2:$D$40))+1,INT((ROW()-ROW($B$2))/ROWS($B$2:$D$40))+1)</f>
        <v>#REF!</v>
      </c>
      <c r="Q425" t="e">
        <f t="shared" ca="1" si="46"/>
        <v>#N/A</v>
      </c>
      <c r="R425" t="str" cm="1">
        <f t="array" aca="1" ref="R425" ca="1">IFERROR(INDIRECT("$P"&amp;Q425),"")</f>
        <v/>
      </c>
      <c r="U425" t="e" cm="1">
        <f t="array" ref="U425">INDEX($C$2:$D$40,MOD(ROW()-ROW($C$2),ROWS($C$2:$D$40))+1,INT((ROW()-ROW($C$2))/ROWS($C$2:$D$40))+1)</f>
        <v>#REF!</v>
      </c>
      <c r="V425" t="e">
        <f t="shared" ca="1" si="47"/>
        <v>#N/A</v>
      </c>
      <c r="W425" t="str" cm="1">
        <f t="array" aca="1" ref="W425" ca="1">IFERROR(INDIRECT("$U"&amp;V425),"")</f>
        <v/>
      </c>
      <c r="Z425" cm="1">
        <f t="array" ref="Z425">INDEX($AE$2:$AS$40,MOD(ROW()-ROW($AE$2),ROWS($AE$2:$AS$40))+1,INT((ROW()-ROW($AE$2))/ROWS($AE$2:$AS$40))+1)</f>
        <v>0</v>
      </c>
      <c r="AA425" t="e">
        <f t="shared" ca="1" si="48"/>
        <v>#N/A</v>
      </c>
      <c r="AB425" t="str" cm="1">
        <f t="array" aca="1" ref="AB425" ca="1">IFERROR(INDIRECT("$Z"&amp;AA425),"")</f>
        <v/>
      </c>
      <c r="AP425" t="str">
        <f t="shared" si="42"/>
        <v/>
      </c>
      <c r="AQ425" t="str">
        <f t="shared" si="43"/>
        <v/>
      </c>
      <c r="AR425" t="str">
        <f t="shared" si="44"/>
        <v/>
      </c>
      <c r="AS425" t="str">
        <f t="shared" si="45"/>
        <v/>
      </c>
    </row>
    <row r="426" spans="5:45" x14ac:dyDescent="0.25">
      <c r="E426" t="str">
        <f ca="1"/>
        <v/>
      </c>
      <c r="F426" t="str">
        <f ca="1"/>
        <v/>
      </c>
      <c r="P426" t="e" cm="1">
        <f t="array" ref="P426">INDEX($B$2:$D$40,MOD(ROW()-ROW($B$2),ROWS($B$2:$D$40))+1,INT((ROW()-ROW($B$2))/ROWS($B$2:$D$40))+1)</f>
        <v>#REF!</v>
      </c>
      <c r="Q426" t="e">
        <f t="shared" ca="1" si="46"/>
        <v>#N/A</v>
      </c>
      <c r="R426" t="str" cm="1">
        <f t="array" aca="1" ref="R426" ca="1">IFERROR(INDIRECT("$P"&amp;Q426),"")</f>
        <v/>
      </c>
      <c r="U426" t="e" cm="1">
        <f t="array" ref="U426">INDEX($C$2:$D$40,MOD(ROW()-ROW($C$2),ROWS($C$2:$D$40))+1,INT((ROW()-ROW($C$2))/ROWS($C$2:$D$40))+1)</f>
        <v>#REF!</v>
      </c>
      <c r="V426" t="e">
        <f t="shared" ca="1" si="47"/>
        <v>#N/A</v>
      </c>
      <c r="W426" t="str" cm="1">
        <f t="array" aca="1" ref="W426" ca="1">IFERROR(INDIRECT("$U"&amp;V426),"")</f>
        <v/>
      </c>
      <c r="Z426" cm="1">
        <f t="array" ref="Z426">INDEX($AE$2:$AS$40,MOD(ROW()-ROW($AE$2),ROWS($AE$2:$AS$40))+1,INT((ROW()-ROW($AE$2))/ROWS($AE$2:$AS$40))+1)</f>
        <v>0</v>
      </c>
      <c r="AA426" t="e">
        <f t="shared" ca="1" si="48"/>
        <v>#N/A</v>
      </c>
      <c r="AB426" t="str" cm="1">
        <f t="array" aca="1" ref="AB426" ca="1">IFERROR(INDIRECT("$Z"&amp;AA426),"")</f>
        <v/>
      </c>
      <c r="AP426" t="str">
        <f t="shared" si="42"/>
        <v/>
      </c>
      <c r="AQ426" t="str">
        <f t="shared" si="43"/>
        <v/>
      </c>
      <c r="AR426" t="str">
        <f t="shared" si="44"/>
        <v/>
      </c>
      <c r="AS426" t="str">
        <f t="shared" si="45"/>
        <v/>
      </c>
    </row>
    <row r="427" spans="5:45" x14ac:dyDescent="0.25">
      <c r="E427" t="str">
        <f ca="1"/>
        <v/>
      </c>
      <c r="F427" t="str">
        <f ca="1"/>
        <v/>
      </c>
      <c r="P427" t="e" cm="1">
        <f t="array" ref="P427">INDEX($B$2:$D$40,MOD(ROW()-ROW($B$2),ROWS($B$2:$D$40))+1,INT((ROW()-ROW($B$2))/ROWS($B$2:$D$40))+1)</f>
        <v>#REF!</v>
      </c>
      <c r="Q427" t="e">
        <f t="shared" ca="1" si="46"/>
        <v>#N/A</v>
      </c>
      <c r="R427" t="str" cm="1">
        <f t="array" aca="1" ref="R427" ca="1">IFERROR(INDIRECT("$P"&amp;Q427),"")</f>
        <v/>
      </c>
      <c r="U427" t="e" cm="1">
        <f t="array" ref="U427">INDEX($C$2:$D$40,MOD(ROW()-ROW($C$2),ROWS($C$2:$D$40))+1,INT((ROW()-ROW($C$2))/ROWS($C$2:$D$40))+1)</f>
        <v>#REF!</v>
      </c>
      <c r="V427" t="e">
        <f t="shared" ca="1" si="47"/>
        <v>#N/A</v>
      </c>
      <c r="W427" t="str" cm="1">
        <f t="array" aca="1" ref="W427" ca="1">IFERROR(INDIRECT("$U"&amp;V427),"")</f>
        <v/>
      </c>
      <c r="Z427" cm="1">
        <f t="array" ref="Z427">INDEX($AE$2:$AS$40,MOD(ROW()-ROW($AE$2),ROWS($AE$2:$AS$40))+1,INT((ROW()-ROW($AE$2))/ROWS($AE$2:$AS$40))+1)</f>
        <v>0</v>
      </c>
      <c r="AA427" t="e">
        <f t="shared" ca="1" si="48"/>
        <v>#N/A</v>
      </c>
      <c r="AB427" t="str" cm="1">
        <f t="array" aca="1" ref="AB427" ca="1">IFERROR(INDIRECT("$Z"&amp;AA427),"")</f>
        <v/>
      </c>
      <c r="AP427" t="str">
        <f t="shared" si="42"/>
        <v/>
      </c>
      <c r="AQ427" t="str">
        <f t="shared" si="43"/>
        <v/>
      </c>
      <c r="AR427" t="str">
        <f t="shared" si="44"/>
        <v/>
      </c>
      <c r="AS427" t="str">
        <f t="shared" si="45"/>
        <v/>
      </c>
    </row>
    <row r="428" spans="5:45" x14ac:dyDescent="0.25">
      <c r="E428" t="str">
        <f ca="1"/>
        <v/>
      </c>
      <c r="F428" t="str">
        <f ca="1"/>
        <v/>
      </c>
      <c r="P428" t="e" cm="1">
        <f t="array" ref="P428">INDEX($B$2:$D$40,MOD(ROW()-ROW($B$2),ROWS($B$2:$D$40))+1,INT((ROW()-ROW($B$2))/ROWS($B$2:$D$40))+1)</f>
        <v>#REF!</v>
      </c>
      <c r="Q428" t="e">
        <f t="shared" ca="1" si="46"/>
        <v>#N/A</v>
      </c>
      <c r="R428" t="str" cm="1">
        <f t="array" aca="1" ref="R428" ca="1">IFERROR(INDIRECT("$P"&amp;Q428),"")</f>
        <v/>
      </c>
      <c r="U428" t="e" cm="1">
        <f t="array" ref="U428">INDEX($C$2:$D$40,MOD(ROW()-ROW($C$2),ROWS($C$2:$D$40))+1,INT((ROW()-ROW($C$2))/ROWS($C$2:$D$40))+1)</f>
        <v>#REF!</v>
      </c>
      <c r="V428" t="e">
        <f t="shared" ca="1" si="47"/>
        <v>#N/A</v>
      </c>
      <c r="W428" t="str" cm="1">
        <f t="array" aca="1" ref="W428" ca="1">IFERROR(INDIRECT("$U"&amp;V428),"")</f>
        <v/>
      </c>
      <c r="Z428" cm="1">
        <f t="array" ref="Z428">INDEX($AE$2:$AS$40,MOD(ROW()-ROW($AE$2),ROWS($AE$2:$AS$40))+1,INT((ROW()-ROW($AE$2))/ROWS($AE$2:$AS$40))+1)</f>
        <v>0</v>
      </c>
      <c r="AA428" t="e">
        <f t="shared" ca="1" si="48"/>
        <v>#N/A</v>
      </c>
      <c r="AB428" t="str" cm="1">
        <f t="array" aca="1" ref="AB428" ca="1">IFERROR(INDIRECT("$Z"&amp;AA428),"")</f>
        <v/>
      </c>
      <c r="AP428" t="str">
        <f t="shared" si="42"/>
        <v/>
      </c>
      <c r="AQ428" t="str">
        <f t="shared" si="43"/>
        <v/>
      </c>
      <c r="AR428" t="str">
        <f t="shared" si="44"/>
        <v/>
      </c>
      <c r="AS428" t="str">
        <f t="shared" si="45"/>
        <v/>
      </c>
    </row>
    <row r="429" spans="5:45" x14ac:dyDescent="0.25">
      <c r="E429" t="str">
        <f ca="1"/>
        <v/>
      </c>
      <c r="F429" t="str">
        <f ca="1"/>
        <v/>
      </c>
      <c r="P429" t="e" cm="1">
        <f t="array" ref="P429">INDEX($B$2:$D$40,MOD(ROW()-ROW($B$2),ROWS($B$2:$D$40))+1,INT((ROW()-ROW($B$2))/ROWS($B$2:$D$40))+1)</f>
        <v>#REF!</v>
      </c>
      <c r="Q429" t="e">
        <f t="shared" ca="1" si="46"/>
        <v>#N/A</v>
      </c>
      <c r="R429" t="str" cm="1">
        <f t="array" aca="1" ref="R429" ca="1">IFERROR(INDIRECT("$P"&amp;Q429),"")</f>
        <v/>
      </c>
      <c r="U429" t="e" cm="1">
        <f t="array" ref="U429">INDEX($C$2:$D$40,MOD(ROW()-ROW($C$2),ROWS($C$2:$D$40))+1,INT((ROW()-ROW($C$2))/ROWS($C$2:$D$40))+1)</f>
        <v>#REF!</v>
      </c>
      <c r="V429" t="e">
        <f t="shared" ca="1" si="47"/>
        <v>#N/A</v>
      </c>
      <c r="W429" t="str" cm="1">
        <f t="array" aca="1" ref="W429" ca="1">IFERROR(INDIRECT("$U"&amp;V429),"")</f>
        <v/>
      </c>
      <c r="Z429" cm="1">
        <f t="array" ref="Z429">INDEX($AE$2:$AS$40,MOD(ROW()-ROW($AE$2),ROWS($AE$2:$AS$40))+1,INT((ROW()-ROW($AE$2))/ROWS($AE$2:$AS$40))+1)</f>
        <v>0</v>
      </c>
      <c r="AA429" t="e">
        <f t="shared" ca="1" si="48"/>
        <v>#N/A</v>
      </c>
      <c r="AB429" t="str" cm="1">
        <f t="array" aca="1" ref="AB429" ca="1">IFERROR(INDIRECT("$Z"&amp;AA429),"")</f>
        <v/>
      </c>
      <c r="AP429" t="str">
        <f t="shared" si="42"/>
        <v/>
      </c>
      <c r="AQ429" t="str">
        <f t="shared" si="43"/>
        <v/>
      </c>
      <c r="AR429" t="str">
        <f t="shared" si="44"/>
        <v/>
      </c>
      <c r="AS429" t="str">
        <f t="shared" si="45"/>
        <v/>
      </c>
    </row>
    <row r="430" spans="5:45" x14ac:dyDescent="0.25">
      <c r="E430" t="str">
        <f ca="1"/>
        <v/>
      </c>
      <c r="F430" t="str">
        <f ca="1"/>
        <v/>
      </c>
      <c r="P430" t="e" cm="1">
        <f t="array" ref="P430">INDEX($B$2:$D$40,MOD(ROW()-ROW($B$2),ROWS($B$2:$D$40))+1,INT((ROW()-ROW($B$2))/ROWS($B$2:$D$40))+1)</f>
        <v>#REF!</v>
      </c>
      <c r="Q430" t="e">
        <f t="shared" ca="1" si="46"/>
        <v>#N/A</v>
      </c>
      <c r="R430" t="str" cm="1">
        <f t="array" aca="1" ref="R430" ca="1">IFERROR(INDIRECT("$P"&amp;Q430),"")</f>
        <v/>
      </c>
      <c r="U430" t="e" cm="1">
        <f t="array" ref="U430">INDEX($C$2:$D$40,MOD(ROW()-ROW($C$2),ROWS($C$2:$D$40))+1,INT((ROW()-ROW($C$2))/ROWS($C$2:$D$40))+1)</f>
        <v>#REF!</v>
      </c>
      <c r="V430" t="e">
        <f t="shared" ca="1" si="47"/>
        <v>#N/A</v>
      </c>
      <c r="W430" t="str" cm="1">
        <f t="array" aca="1" ref="W430" ca="1">IFERROR(INDIRECT("$U"&amp;V430),"")</f>
        <v/>
      </c>
      <c r="Z430" cm="1">
        <f t="array" ref="Z430">INDEX($AE$2:$AS$40,MOD(ROW()-ROW($AE$2),ROWS($AE$2:$AS$40))+1,INT((ROW()-ROW($AE$2))/ROWS($AE$2:$AS$40))+1)</f>
        <v>0</v>
      </c>
      <c r="AA430" t="e">
        <f t="shared" ca="1" si="48"/>
        <v>#N/A</v>
      </c>
      <c r="AB430" t="str" cm="1">
        <f t="array" aca="1" ref="AB430" ca="1">IFERROR(INDIRECT("$Z"&amp;AA430),"")</f>
        <v/>
      </c>
      <c r="AP430" t="str">
        <f t="shared" si="42"/>
        <v/>
      </c>
      <c r="AQ430" t="str">
        <f t="shared" si="43"/>
        <v/>
      </c>
      <c r="AR430" t="str">
        <f t="shared" si="44"/>
        <v/>
      </c>
      <c r="AS430" t="str">
        <f t="shared" si="45"/>
        <v/>
      </c>
    </row>
    <row r="431" spans="5:45" x14ac:dyDescent="0.25">
      <c r="E431" t="str">
        <f ca="1"/>
        <v/>
      </c>
      <c r="F431" t="str">
        <f ca="1"/>
        <v/>
      </c>
      <c r="P431" t="e" cm="1">
        <f t="array" ref="P431">INDEX($B$2:$D$40,MOD(ROW()-ROW($B$2),ROWS($B$2:$D$40))+1,INT((ROW()-ROW($B$2))/ROWS($B$2:$D$40))+1)</f>
        <v>#REF!</v>
      </c>
      <c r="Q431" t="e">
        <f t="shared" ca="1" si="46"/>
        <v>#N/A</v>
      </c>
      <c r="R431" t="str" cm="1">
        <f t="array" aca="1" ref="R431" ca="1">IFERROR(INDIRECT("$P"&amp;Q431),"")</f>
        <v/>
      </c>
      <c r="U431" t="e" cm="1">
        <f t="array" ref="U431">INDEX($C$2:$D$40,MOD(ROW()-ROW($C$2),ROWS($C$2:$D$40))+1,INT((ROW()-ROW($C$2))/ROWS($C$2:$D$40))+1)</f>
        <v>#REF!</v>
      </c>
      <c r="V431" t="e">
        <f t="shared" ca="1" si="47"/>
        <v>#N/A</v>
      </c>
      <c r="W431" t="str" cm="1">
        <f t="array" aca="1" ref="W431" ca="1">IFERROR(INDIRECT("$U"&amp;V431),"")</f>
        <v/>
      </c>
      <c r="Z431" t="str" cm="1">
        <f t="array" aca="1" ref="Z431" ca="1">INDEX($AE$2:$AS$40,MOD(ROW()-ROW($AE$2),ROWS($AE$2:$AS$40))+1,INT((ROW()-ROW($AE$2))/ROWS($AE$2:$AS$40))+1)</f>
        <v>cooling_coil (airside)</v>
      </c>
      <c r="AA431" t="e">
        <f t="shared" ca="1" si="48"/>
        <v>#N/A</v>
      </c>
      <c r="AB431" t="str" cm="1">
        <f t="array" aca="1" ref="AB431" ca="1">IFERROR(INDIRECT("$Z"&amp;AA431),"")</f>
        <v/>
      </c>
      <c r="AP431" t="str">
        <f t="shared" si="42"/>
        <v/>
      </c>
      <c r="AQ431" t="str">
        <f t="shared" si="43"/>
        <v/>
      </c>
      <c r="AR431" t="str">
        <f t="shared" si="44"/>
        <v/>
      </c>
      <c r="AS431" t="str">
        <f t="shared" si="45"/>
        <v/>
      </c>
    </row>
    <row r="432" spans="5:45" x14ac:dyDescent="0.25">
      <c r="E432" t="str">
        <f ca="1"/>
        <v/>
      </c>
      <c r="F432" t="str">
        <f ca="1"/>
        <v/>
      </c>
      <c r="P432" t="e" cm="1">
        <f t="array" ref="P432">INDEX($B$2:$D$40,MOD(ROW()-ROW($B$2),ROWS($B$2:$D$40))+1,INT((ROW()-ROW($B$2))/ROWS($B$2:$D$40))+1)</f>
        <v>#REF!</v>
      </c>
      <c r="Q432" t="e">
        <f t="shared" ca="1" si="46"/>
        <v>#N/A</v>
      </c>
      <c r="R432" t="str" cm="1">
        <f t="array" aca="1" ref="R432" ca="1">IFERROR(INDIRECT("$P"&amp;Q432),"")</f>
        <v/>
      </c>
      <c r="U432" t="e" cm="1">
        <f t="array" ref="U432">INDEX($C$2:$D$40,MOD(ROW()-ROW($C$2),ROWS($C$2:$D$40))+1,INT((ROW()-ROW($C$2))/ROWS($C$2:$D$40))+1)</f>
        <v>#REF!</v>
      </c>
      <c r="V432" t="e">
        <f t="shared" ca="1" si="47"/>
        <v>#N/A</v>
      </c>
      <c r="W432" t="str" cm="1">
        <f t="array" aca="1" ref="W432" ca="1">IFERROR(INDIRECT("$U"&amp;V432),"")</f>
        <v/>
      </c>
      <c r="Z432" t="str" cm="1">
        <f t="array" aca="1" ref="Z432" ca="1">INDEX($AE$2:$AS$40,MOD(ROW()-ROW($AE$2),ROWS($AE$2:$AS$40))+1,INT((ROW()-ROW($AE$2))/ROWS($AE$2:$AS$40))+1)</f>
        <v>heating_coil (airside)</v>
      </c>
      <c r="AA432" t="e">
        <f t="shared" ca="1" si="48"/>
        <v>#N/A</v>
      </c>
      <c r="AB432" t="str" cm="1">
        <f t="array" aca="1" ref="AB432" ca="1">IFERROR(INDIRECT("$Z"&amp;AA432),"")</f>
        <v/>
      </c>
      <c r="AP432" t="str">
        <f t="shared" si="42"/>
        <v/>
      </c>
      <c r="AQ432" t="str">
        <f t="shared" si="43"/>
        <v/>
      </c>
      <c r="AR432" t="str">
        <f t="shared" si="44"/>
        <v/>
      </c>
      <c r="AS432" t="str">
        <f t="shared" si="45"/>
        <v/>
      </c>
    </row>
    <row r="433" spans="5:45" x14ac:dyDescent="0.25">
      <c r="E433" t="str">
        <f ca="1"/>
        <v/>
      </c>
      <c r="F433" t="str">
        <f ca="1"/>
        <v/>
      </c>
      <c r="P433" t="e" cm="1">
        <f t="array" ref="P433">INDEX($B$2:$D$40,MOD(ROW()-ROW($B$2),ROWS($B$2:$D$40))+1,INT((ROW()-ROW($B$2))/ROWS($B$2:$D$40))+1)</f>
        <v>#REF!</v>
      </c>
      <c r="Q433" t="e">
        <f t="shared" ca="1" si="46"/>
        <v>#N/A</v>
      </c>
      <c r="R433" t="str" cm="1">
        <f t="array" aca="1" ref="R433" ca="1">IFERROR(INDIRECT("$P"&amp;Q433),"")</f>
        <v/>
      </c>
      <c r="U433" t="e" cm="1">
        <f t="array" ref="U433">INDEX($C$2:$D$40,MOD(ROW()-ROW($C$2),ROWS($C$2:$D$40))+1,INT((ROW()-ROW($C$2))/ROWS($C$2:$D$40))+1)</f>
        <v>#REF!</v>
      </c>
      <c r="V433" t="e">
        <f t="shared" ca="1" si="47"/>
        <v>#N/A</v>
      </c>
      <c r="W433" t="str" cm="1">
        <f t="array" aca="1" ref="W433" ca="1">IFERROR(INDIRECT("$U"&amp;V433),"")</f>
        <v/>
      </c>
      <c r="Z433" t="str" cm="1">
        <f t="array" ref="Z433">INDEX($AE$2:$AS$40,MOD(ROW()-ROW($AE$2),ROWS($AE$2:$AS$40))+1,INT((ROW()-ROW($AE$2))/ROWS($AE$2:$AS$40))+1)</f>
        <v/>
      </c>
      <c r="AA433" t="e">
        <f t="shared" ca="1" si="48"/>
        <v>#N/A</v>
      </c>
      <c r="AB433" t="str" cm="1">
        <f t="array" aca="1" ref="AB433" ca="1">IFERROR(INDIRECT("$Z"&amp;AA433),"")</f>
        <v/>
      </c>
      <c r="AP433" t="str">
        <f t="shared" si="42"/>
        <v/>
      </c>
      <c r="AQ433" t="str">
        <f t="shared" si="43"/>
        <v/>
      </c>
      <c r="AR433" t="str">
        <f t="shared" si="44"/>
        <v/>
      </c>
      <c r="AS433" t="str">
        <f t="shared" si="45"/>
        <v/>
      </c>
    </row>
    <row r="434" spans="5:45" x14ac:dyDescent="0.25">
      <c r="E434" t="str">
        <f ca="1"/>
        <v/>
      </c>
      <c r="F434" t="str">
        <f ca="1"/>
        <v/>
      </c>
      <c r="P434" t="e" cm="1">
        <f t="array" ref="P434">INDEX($B$2:$D$40,MOD(ROW()-ROW($B$2),ROWS($B$2:$D$40))+1,INT((ROW()-ROW($B$2))/ROWS($B$2:$D$40))+1)</f>
        <v>#REF!</v>
      </c>
      <c r="Q434" t="e">
        <f t="shared" ca="1" si="46"/>
        <v>#N/A</v>
      </c>
      <c r="R434" t="str" cm="1">
        <f t="array" aca="1" ref="R434" ca="1">IFERROR(INDIRECT("$P"&amp;Q434),"")</f>
        <v/>
      </c>
      <c r="U434" t="e" cm="1">
        <f t="array" ref="U434">INDEX($C$2:$D$40,MOD(ROW()-ROW($C$2),ROWS($C$2:$D$40))+1,INT((ROW()-ROW($C$2))/ROWS($C$2:$D$40))+1)</f>
        <v>#REF!</v>
      </c>
      <c r="V434" t="e">
        <f t="shared" ca="1" si="47"/>
        <v>#N/A</v>
      </c>
      <c r="W434" t="str" cm="1">
        <f t="array" aca="1" ref="W434" ca="1">IFERROR(INDIRECT("$U"&amp;V434),"")</f>
        <v/>
      </c>
      <c r="Z434" t="str" cm="1">
        <f t="array" ref="Z434">INDEX($AE$2:$AS$40,MOD(ROW()-ROW($AE$2),ROWS($AE$2:$AS$40))+1,INT((ROW()-ROW($AE$2))/ROWS($AE$2:$AS$40))+1)</f>
        <v/>
      </c>
      <c r="AA434" t="e">
        <f t="shared" ca="1" si="48"/>
        <v>#N/A</v>
      </c>
      <c r="AB434" t="str" cm="1">
        <f t="array" aca="1" ref="AB434" ca="1">IFERROR(INDIRECT("$Z"&amp;AA434),"")</f>
        <v/>
      </c>
      <c r="AP434" t="str">
        <f t="shared" si="42"/>
        <v/>
      </c>
      <c r="AQ434" t="str">
        <f t="shared" si="43"/>
        <v/>
      </c>
      <c r="AR434" t="str">
        <f t="shared" si="44"/>
        <v/>
      </c>
      <c r="AS434" t="str">
        <f t="shared" si="45"/>
        <v/>
      </c>
    </row>
    <row r="435" spans="5:45" x14ac:dyDescent="0.25">
      <c r="E435" t="str">
        <f ca="1"/>
        <v/>
      </c>
      <c r="F435" t="str">
        <f ca="1"/>
        <v/>
      </c>
      <c r="P435" t="e" cm="1">
        <f t="array" ref="P435">INDEX($B$2:$D$40,MOD(ROW()-ROW($B$2),ROWS($B$2:$D$40))+1,INT((ROW()-ROW($B$2))/ROWS($B$2:$D$40))+1)</f>
        <v>#REF!</v>
      </c>
      <c r="Q435" t="e">
        <f t="shared" ca="1" si="46"/>
        <v>#N/A</v>
      </c>
      <c r="R435" t="str" cm="1">
        <f t="array" aca="1" ref="R435" ca="1">IFERROR(INDIRECT("$P"&amp;Q435),"")</f>
        <v/>
      </c>
      <c r="U435" t="e" cm="1">
        <f t="array" ref="U435">INDEX($C$2:$D$40,MOD(ROW()-ROW($C$2),ROWS($C$2:$D$40))+1,INT((ROW()-ROW($C$2))/ROWS($C$2:$D$40))+1)</f>
        <v>#REF!</v>
      </c>
      <c r="V435" t="e">
        <f t="shared" ca="1" si="47"/>
        <v>#N/A</v>
      </c>
      <c r="W435" t="str" cm="1">
        <f t="array" aca="1" ref="W435" ca="1">IFERROR(INDIRECT("$U"&amp;V435),"")</f>
        <v/>
      </c>
      <c r="Z435" t="str" cm="1">
        <f t="array" ref="Z435">INDEX($AE$2:$AS$40,MOD(ROW()-ROW($AE$2),ROWS($AE$2:$AS$40))+1,INT((ROW()-ROW($AE$2))/ROWS($AE$2:$AS$40))+1)</f>
        <v/>
      </c>
      <c r="AA435" t="e">
        <f t="shared" ca="1" si="48"/>
        <v>#N/A</v>
      </c>
      <c r="AB435" t="str" cm="1">
        <f t="array" aca="1" ref="AB435" ca="1">IFERROR(INDIRECT("$Z"&amp;AA435),"")</f>
        <v/>
      </c>
      <c r="AP435" t="str">
        <f t="shared" si="42"/>
        <v/>
      </c>
      <c r="AQ435" t="str">
        <f t="shared" si="43"/>
        <v/>
      </c>
      <c r="AR435" t="str">
        <f t="shared" si="44"/>
        <v/>
      </c>
      <c r="AS435" t="str">
        <f t="shared" si="45"/>
        <v/>
      </c>
    </row>
    <row r="436" spans="5:45" x14ac:dyDescent="0.25">
      <c r="E436" t="str">
        <f ca="1"/>
        <v/>
      </c>
      <c r="F436" t="str">
        <f ca="1"/>
        <v/>
      </c>
      <c r="P436" t="e" cm="1">
        <f t="array" ref="P436">INDEX($B$2:$D$40,MOD(ROW()-ROW($B$2),ROWS($B$2:$D$40))+1,INT((ROW()-ROW($B$2))/ROWS($B$2:$D$40))+1)</f>
        <v>#REF!</v>
      </c>
      <c r="Q436" t="e">
        <f t="shared" ca="1" si="46"/>
        <v>#N/A</v>
      </c>
      <c r="R436" t="str" cm="1">
        <f t="array" aca="1" ref="R436" ca="1">IFERROR(INDIRECT("$P"&amp;Q436),"")</f>
        <v/>
      </c>
      <c r="U436" t="e" cm="1">
        <f t="array" ref="U436">INDEX($C$2:$D$40,MOD(ROW()-ROW($C$2),ROWS($C$2:$D$40))+1,INT((ROW()-ROW($C$2))/ROWS($C$2:$D$40))+1)</f>
        <v>#REF!</v>
      </c>
      <c r="V436" t="e">
        <f t="shared" ca="1" si="47"/>
        <v>#N/A</v>
      </c>
      <c r="W436" t="str" cm="1">
        <f t="array" aca="1" ref="W436" ca="1">IFERROR(INDIRECT("$U"&amp;V436),"")</f>
        <v/>
      </c>
      <c r="Z436" t="str" cm="1">
        <f t="array" ref="Z436">INDEX($AE$2:$AS$40,MOD(ROW()-ROW($AE$2),ROWS($AE$2:$AS$40))+1,INT((ROW()-ROW($AE$2))/ROWS($AE$2:$AS$40))+1)</f>
        <v/>
      </c>
      <c r="AA436" t="e">
        <f t="shared" ca="1" si="48"/>
        <v>#N/A</v>
      </c>
      <c r="AB436" t="str" cm="1">
        <f t="array" aca="1" ref="AB436" ca="1">IFERROR(INDIRECT("$Z"&amp;AA436),"")</f>
        <v/>
      </c>
      <c r="AP436" t="str">
        <f t="shared" si="42"/>
        <v/>
      </c>
      <c r="AQ436" t="str">
        <f t="shared" si="43"/>
        <v/>
      </c>
      <c r="AR436" t="str">
        <f t="shared" si="44"/>
        <v/>
      </c>
      <c r="AS436" t="str">
        <f t="shared" si="45"/>
        <v/>
      </c>
    </row>
    <row r="437" spans="5:45" x14ac:dyDescent="0.25">
      <c r="E437" t="str">
        <f ca="1"/>
        <v/>
      </c>
      <c r="F437" t="str">
        <f ca="1"/>
        <v/>
      </c>
      <c r="P437" t="e" cm="1">
        <f t="array" ref="P437">INDEX($B$2:$D$40,MOD(ROW()-ROW($B$2),ROWS($B$2:$D$40))+1,INT((ROW()-ROW($B$2))/ROWS($B$2:$D$40))+1)</f>
        <v>#REF!</v>
      </c>
      <c r="Q437" t="e">
        <f t="shared" ca="1" si="46"/>
        <v>#N/A</v>
      </c>
      <c r="R437" t="str" cm="1">
        <f t="array" aca="1" ref="R437" ca="1">IFERROR(INDIRECT("$P"&amp;Q437),"")</f>
        <v/>
      </c>
      <c r="U437" t="e" cm="1">
        <f t="array" ref="U437">INDEX($C$2:$D$40,MOD(ROW()-ROW($C$2),ROWS($C$2:$D$40))+1,INT((ROW()-ROW($C$2))/ROWS($C$2:$D$40))+1)</f>
        <v>#REF!</v>
      </c>
      <c r="V437" t="e">
        <f t="shared" ca="1" si="47"/>
        <v>#N/A</v>
      </c>
      <c r="W437" t="str" cm="1">
        <f t="array" aca="1" ref="W437" ca="1">IFERROR(INDIRECT("$U"&amp;V437),"")</f>
        <v/>
      </c>
      <c r="Z437" t="str" cm="1">
        <f t="array" ref="Z437">INDEX($AE$2:$AS$40,MOD(ROW()-ROW($AE$2),ROWS($AE$2:$AS$40))+1,INT((ROW()-ROW($AE$2))/ROWS($AE$2:$AS$40))+1)</f>
        <v/>
      </c>
      <c r="AA437" t="e">
        <f t="shared" ca="1" si="48"/>
        <v>#N/A</v>
      </c>
      <c r="AB437" t="str" cm="1">
        <f t="array" aca="1" ref="AB437" ca="1">IFERROR(INDIRECT("$Z"&amp;AA437),"")</f>
        <v/>
      </c>
      <c r="AP437" t="str">
        <f t="shared" si="42"/>
        <v/>
      </c>
      <c r="AQ437" t="str">
        <f t="shared" si="43"/>
        <v/>
      </c>
      <c r="AR437" t="str">
        <f t="shared" si="44"/>
        <v/>
      </c>
      <c r="AS437" t="str">
        <f t="shared" si="45"/>
        <v/>
      </c>
    </row>
    <row r="438" spans="5:45" x14ac:dyDescent="0.25">
      <c r="E438" t="str">
        <f ca="1"/>
        <v/>
      </c>
      <c r="F438" t="str">
        <f ca="1"/>
        <v/>
      </c>
      <c r="P438" t="e" cm="1">
        <f t="array" ref="P438">INDEX($B$2:$D$40,MOD(ROW()-ROW($B$2),ROWS($B$2:$D$40))+1,INT((ROW()-ROW($B$2))/ROWS($B$2:$D$40))+1)</f>
        <v>#REF!</v>
      </c>
      <c r="Q438" t="e">
        <f t="shared" ca="1" si="46"/>
        <v>#N/A</v>
      </c>
      <c r="R438" t="str" cm="1">
        <f t="array" aca="1" ref="R438" ca="1">IFERROR(INDIRECT("$P"&amp;Q438),"")</f>
        <v/>
      </c>
      <c r="U438" t="e" cm="1">
        <f t="array" ref="U438">INDEX($C$2:$D$40,MOD(ROW()-ROW($C$2),ROWS($C$2:$D$40))+1,INT((ROW()-ROW($C$2))/ROWS($C$2:$D$40))+1)</f>
        <v>#REF!</v>
      </c>
      <c r="V438" t="e">
        <f t="shared" ca="1" si="47"/>
        <v>#N/A</v>
      </c>
      <c r="W438" t="str" cm="1">
        <f t="array" aca="1" ref="W438" ca="1">IFERROR(INDIRECT("$U"&amp;V438),"")</f>
        <v/>
      </c>
      <c r="Z438" t="str" cm="1">
        <f t="array" ref="Z438">INDEX($AE$2:$AS$40,MOD(ROW()-ROW($AE$2),ROWS($AE$2:$AS$40))+1,INT((ROW()-ROW($AE$2))/ROWS($AE$2:$AS$40))+1)</f>
        <v/>
      </c>
      <c r="AA438" t="e">
        <f t="shared" ca="1" si="48"/>
        <v>#N/A</v>
      </c>
      <c r="AB438" t="str" cm="1">
        <f t="array" aca="1" ref="AB438" ca="1">IFERROR(INDIRECT("$Z"&amp;AA438),"")</f>
        <v/>
      </c>
      <c r="AP438" t="str">
        <f t="shared" si="42"/>
        <v/>
      </c>
      <c r="AQ438" t="str">
        <f t="shared" si="43"/>
        <v/>
      </c>
      <c r="AR438" t="str">
        <f t="shared" si="44"/>
        <v/>
      </c>
      <c r="AS438" t="str">
        <f t="shared" si="45"/>
        <v/>
      </c>
    </row>
    <row r="439" spans="5:45" x14ac:dyDescent="0.25">
      <c r="E439" t="str">
        <f ca="1"/>
        <v/>
      </c>
      <c r="F439" t="str">
        <f ca="1"/>
        <v/>
      </c>
      <c r="P439" t="e" cm="1">
        <f t="array" ref="P439">INDEX($B$2:$D$40,MOD(ROW()-ROW($B$2),ROWS($B$2:$D$40))+1,INT((ROW()-ROW($B$2))/ROWS($B$2:$D$40))+1)</f>
        <v>#REF!</v>
      </c>
      <c r="Q439" t="e">
        <f t="shared" ca="1" si="46"/>
        <v>#N/A</v>
      </c>
      <c r="R439" t="str" cm="1">
        <f t="array" aca="1" ref="R439" ca="1">IFERROR(INDIRECT("$P"&amp;Q439),"")</f>
        <v/>
      </c>
      <c r="U439" t="e" cm="1">
        <f t="array" ref="U439">INDEX($C$2:$D$40,MOD(ROW()-ROW($C$2),ROWS($C$2:$D$40))+1,INT((ROW()-ROW($C$2))/ROWS($C$2:$D$40))+1)</f>
        <v>#REF!</v>
      </c>
      <c r="V439" t="e">
        <f t="shared" ca="1" si="47"/>
        <v>#N/A</v>
      </c>
      <c r="W439" t="str" cm="1">
        <f t="array" aca="1" ref="W439" ca="1">IFERROR(INDIRECT("$U"&amp;V439),"")</f>
        <v/>
      </c>
      <c r="Z439" t="str" cm="1">
        <f t="array" ref="Z439">INDEX($AE$2:$AS$40,MOD(ROW()-ROW($AE$2),ROWS($AE$2:$AS$40))+1,INT((ROW()-ROW($AE$2))/ROWS($AE$2:$AS$40))+1)</f>
        <v/>
      </c>
      <c r="AA439" t="e">
        <f t="shared" ca="1" si="48"/>
        <v>#N/A</v>
      </c>
      <c r="AB439" t="str" cm="1">
        <f t="array" aca="1" ref="AB439" ca="1">IFERROR(INDIRECT("$Z"&amp;AA439),"")</f>
        <v/>
      </c>
      <c r="AP439" t="str">
        <f t="shared" si="42"/>
        <v/>
      </c>
      <c r="AQ439" t="str">
        <f t="shared" si="43"/>
        <v/>
      </c>
      <c r="AR439" t="str">
        <f t="shared" si="44"/>
        <v/>
      </c>
      <c r="AS439" t="str">
        <f t="shared" si="45"/>
        <v/>
      </c>
    </row>
    <row r="440" spans="5:45" x14ac:dyDescent="0.25">
      <c r="E440" t="str">
        <f ca="1"/>
        <v/>
      </c>
      <c r="F440" t="str">
        <f ca="1"/>
        <v/>
      </c>
      <c r="P440" t="e" cm="1">
        <f t="array" ref="P440">INDEX($B$2:$D$40,MOD(ROW()-ROW($B$2),ROWS($B$2:$D$40))+1,INT((ROW()-ROW($B$2))/ROWS($B$2:$D$40))+1)</f>
        <v>#REF!</v>
      </c>
      <c r="Q440" t="e">
        <f t="shared" ca="1" si="46"/>
        <v>#N/A</v>
      </c>
      <c r="R440" t="str" cm="1">
        <f t="array" aca="1" ref="R440" ca="1">IFERROR(INDIRECT("$P"&amp;Q440),"")</f>
        <v/>
      </c>
      <c r="U440" t="e" cm="1">
        <f t="array" ref="U440">INDEX($C$2:$D$40,MOD(ROW()-ROW($C$2),ROWS($C$2:$D$40))+1,INT((ROW()-ROW($C$2))/ROWS($C$2:$D$40))+1)</f>
        <v>#REF!</v>
      </c>
      <c r="V440" t="e">
        <f t="shared" ca="1" si="47"/>
        <v>#N/A</v>
      </c>
      <c r="W440" t="str" cm="1">
        <f t="array" aca="1" ref="W440" ca="1">IFERROR(INDIRECT("$U"&amp;V440),"")</f>
        <v/>
      </c>
      <c r="Z440" t="str" cm="1">
        <f t="array" ref="Z440">INDEX($AE$2:$AS$40,MOD(ROW()-ROW($AE$2),ROWS($AE$2:$AS$40))+1,INT((ROW()-ROW($AE$2))/ROWS($AE$2:$AS$40))+1)</f>
        <v/>
      </c>
      <c r="AA440" t="e">
        <f t="shared" ca="1" si="48"/>
        <v>#N/A</v>
      </c>
      <c r="AB440" t="str" cm="1">
        <f t="array" aca="1" ref="AB440" ca="1">IFERROR(INDIRECT("$Z"&amp;AA440),"")</f>
        <v/>
      </c>
      <c r="AP440" t="str">
        <f t="shared" si="42"/>
        <v/>
      </c>
      <c r="AQ440" t="str">
        <f t="shared" si="43"/>
        <v/>
      </c>
      <c r="AR440" t="str">
        <f t="shared" si="44"/>
        <v/>
      </c>
      <c r="AS440" t="str">
        <f t="shared" si="45"/>
        <v/>
      </c>
    </row>
    <row r="441" spans="5:45" x14ac:dyDescent="0.25">
      <c r="E441" t="str">
        <f ca="1"/>
        <v/>
      </c>
      <c r="F441" t="str">
        <f ca="1"/>
        <v/>
      </c>
      <c r="P441" t="e" cm="1">
        <f t="array" ref="P441">INDEX($B$2:$D$40,MOD(ROW()-ROW($B$2),ROWS($B$2:$D$40))+1,INT((ROW()-ROW($B$2))/ROWS($B$2:$D$40))+1)</f>
        <v>#REF!</v>
      </c>
      <c r="Q441" t="e">
        <f t="shared" ca="1" si="46"/>
        <v>#N/A</v>
      </c>
      <c r="R441" t="str" cm="1">
        <f t="array" aca="1" ref="R441" ca="1">IFERROR(INDIRECT("$P"&amp;Q441),"")</f>
        <v/>
      </c>
      <c r="U441" t="e" cm="1">
        <f t="array" ref="U441">INDEX($C$2:$D$40,MOD(ROW()-ROW($C$2),ROWS($C$2:$D$40))+1,INT((ROW()-ROW($C$2))/ROWS($C$2:$D$40))+1)</f>
        <v>#REF!</v>
      </c>
      <c r="V441" t="e">
        <f t="shared" ca="1" si="47"/>
        <v>#N/A</v>
      </c>
      <c r="W441" t="str" cm="1">
        <f t="array" aca="1" ref="W441" ca="1">IFERROR(INDIRECT("$U"&amp;V441),"")</f>
        <v/>
      </c>
      <c r="Z441" t="str" cm="1">
        <f t="array" ref="Z441">INDEX($AE$2:$AS$40,MOD(ROW()-ROW($AE$2),ROWS($AE$2:$AS$40))+1,INT((ROW()-ROW($AE$2))/ROWS($AE$2:$AS$40))+1)</f>
        <v/>
      </c>
      <c r="AA441" t="e">
        <f t="shared" ca="1" si="48"/>
        <v>#N/A</v>
      </c>
      <c r="AB441" t="str" cm="1">
        <f t="array" aca="1" ref="AB441" ca="1">IFERROR(INDIRECT("$Z"&amp;AA441),"")</f>
        <v/>
      </c>
      <c r="AP441" t="str">
        <f t="shared" si="42"/>
        <v/>
      </c>
      <c r="AQ441" t="str">
        <f t="shared" si="43"/>
        <v/>
      </c>
      <c r="AR441" t="str">
        <f t="shared" si="44"/>
        <v/>
      </c>
      <c r="AS441" t="str">
        <f t="shared" si="45"/>
        <v/>
      </c>
    </row>
    <row r="442" spans="5:45" x14ac:dyDescent="0.25">
      <c r="E442" t="str">
        <f ca="1"/>
        <v/>
      </c>
      <c r="F442" t="str">
        <f ca="1"/>
        <v/>
      </c>
      <c r="P442" t="e" cm="1">
        <f t="array" ref="P442">INDEX($B$2:$D$40,MOD(ROW()-ROW($B$2),ROWS($B$2:$D$40))+1,INT((ROW()-ROW($B$2))/ROWS($B$2:$D$40))+1)</f>
        <v>#REF!</v>
      </c>
      <c r="Q442" t="e">
        <f t="shared" ca="1" si="46"/>
        <v>#N/A</v>
      </c>
      <c r="R442" t="str" cm="1">
        <f t="array" aca="1" ref="R442" ca="1">IFERROR(INDIRECT("$P"&amp;Q442),"")</f>
        <v/>
      </c>
      <c r="U442" t="e" cm="1">
        <f t="array" ref="U442">INDEX($C$2:$D$40,MOD(ROW()-ROW($C$2),ROWS($C$2:$D$40))+1,INT((ROW()-ROW($C$2))/ROWS($C$2:$D$40))+1)</f>
        <v>#REF!</v>
      </c>
      <c r="V442" t="e">
        <f t="shared" ca="1" si="47"/>
        <v>#N/A</v>
      </c>
      <c r="W442" t="str" cm="1">
        <f t="array" aca="1" ref="W442" ca="1">IFERROR(INDIRECT("$U"&amp;V442),"")</f>
        <v/>
      </c>
      <c r="Z442" t="str" cm="1">
        <f t="array" ref="Z442">INDEX($AE$2:$AS$40,MOD(ROW()-ROW($AE$2),ROWS($AE$2:$AS$40))+1,INT((ROW()-ROW($AE$2))/ROWS($AE$2:$AS$40))+1)</f>
        <v/>
      </c>
      <c r="AA442" t="e">
        <f t="shared" ca="1" si="48"/>
        <v>#N/A</v>
      </c>
      <c r="AB442" t="str" cm="1">
        <f t="array" aca="1" ref="AB442" ca="1">IFERROR(INDIRECT("$Z"&amp;AA442),"")</f>
        <v/>
      </c>
      <c r="AP442" t="str">
        <f t="shared" si="42"/>
        <v/>
      </c>
      <c r="AQ442" t="str">
        <f t="shared" si="43"/>
        <v/>
      </c>
      <c r="AR442" t="str">
        <f t="shared" si="44"/>
        <v/>
      </c>
      <c r="AS442" t="str">
        <f t="shared" si="45"/>
        <v/>
      </c>
    </row>
    <row r="443" spans="5:45" x14ac:dyDescent="0.25">
      <c r="E443" t="str">
        <f ca="1"/>
        <v/>
      </c>
      <c r="F443" t="str">
        <f ca="1"/>
        <v/>
      </c>
      <c r="P443" t="e" cm="1">
        <f t="array" ref="P443">INDEX($B$2:$D$40,MOD(ROW()-ROW($B$2),ROWS($B$2:$D$40))+1,INT((ROW()-ROW($B$2))/ROWS($B$2:$D$40))+1)</f>
        <v>#REF!</v>
      </c>
      <c r="Q443" t="e">
        <f t="shared" ca="1" si="46"/>
        <v>#N/A</v>
      </c>
      <c r="R443" t="str" cm="1">
        <f t="array" aca="1" ref="R443" ca="1">IFERROR(INDIRECT("$P"&amp;Q443),"")</f>
        <v/>
      </c>
      <c r="U443" t="e" cm="1">
        <f t="array" ref="U443">INDEX($C$2:$D$40,MOD(ROW()-ROW($C$2),ROWS($C$2:$D$40))+1,INT((ROW()-ROW($C$2))/ROWS($C$2:$D$40))+1)</f>
        <v>#REF!</v>
      </c>
      <c r="V443" t="e">
        <f t="shared" ca="1" si="47"/>
        <v>#N/A</v>
      </c>
      <c r="W443" t="str" cm="1">
        <f t="array" aca="1" ref="W443" ca="1">IFERROR(INDIRECT("$U"&amp;V443),"")</f>
        <v/>
      </c>
      <c r="Z443" t="str" cm="1">
        <f t="array" ref="Z443">INDEX($AE$2:$AS$40,MOD(ROW()-ROW($AE$2),ROWS($AE$2:$AS$40))+1,INT((ROW()-ROW($AE$2))/ROWS($AE$2:$AS$40))+1)</f>
        <v/>
      </c>
      <c r="AA443" t="e">
        <f t="shared" ca="1" si="48"/>
        <v>#N/A</v>
      </c>
      <c r="AB443" t="str" cm="1">
        <f t="array" aca="1" ref="AB443" ca="1">IFERROR(INDIRECT("$Z"&amp;AA443),"")</f>
        <v/>
      </c>
      <c r="AP443" t="str">
        <f t="shared" si="42"/>
        <v/>
      </c>
      <c r="AQ443" t="str">
        <f t="shared" si="43"/>
        <v/>
      </c>
      <c r="AR443" t="str">
        <f t="shared" si="44"/>
        <v/>
      </c>
      <c r="AS443" t="str">
        <f t="shared" si="45"/>
        <v/>
      </c>
    </row>
    <row r="444" spans="5:45" x14ac:dyDescent="0.25">
      <c r="E444" t="str">
        <f ca="1"/>
        <v/>
      </c>
      <c r="F444" t="str">
        <f ca="1"/>
        <v/>
      </c>
      <c r="P444" t="e" cm="1">
        <f t="array" ref="P444">INDEX($B$2:$D$40,MOD(ROW()-ROW($B$2),ROWS($B$2:$D$40))+1,INT((ROW()-ROW($B$2))/ROWS($B$2:$D$40))+1)</f>
        <v>#REF!</v>
      </c>
      <c r="Q444" t="e">
        <f t="shared" ca="1" si="46"/>
        <v>#N/A</v>
      </c>
      <c r="R444" t="str" cm="1">
        <f t="array" aca="1" ref="R444" ca="1">IFERROR(INDIRECT("$P"&amp;Q444),"")</f>
        <v/>
      </c>
      <c r="U444" t="e" cm="1">
        <f t="array" ref="U444">INDEX($C$2:$D$40,MOD(ROW()-ROW($C$2),ROWS($C$2:$D$40))+1,INT((ROW()-ROW($C$2))/ROWS($C$2:$D$40))+1)</f>
        <v>#REF!</v>
      </c>
      <c r="V444" t="e">
        <f t="shared" ca="1" si="47"/>
        <v>#N/A</v>
      </c>
      <c r="W444" t="str" cm="1">
        <f t="array" aca="1" ref="W444" ca="1">IFERROR(INDIRECT("$U"&amp;V444),"")</f>
        <v/>
      </c>
      <c r="Z444" t="str" cm="1">
        <f t="array" ref="Z444">INDEX($AE$2:$AS$40,MOD(ROW()-ROW($AE$2),ROWS($AE$2:$AS$40))+1,INT((ROW()-ROW($AE$2))/ROWS($AE$2:$AS$40))+1)</f>
        <v/>
      </c>
      <c r="AA444" t="e">
        <f t="shared" ca="1" si="48"/>
        <v>#N/A</v>
      </c>
      <c r="AB444" t="str" cm="1">
        <f t="array" aca="1" ref="AB444" ca="1">IFERROR(INDIRECT("$Z"&amp;AA444),"")</f>
        <v/>
      </c>
      <c r="AP444" t="str">
        <f t="shared" si="42"/>
        <v/>
      </c>
      <c r="AQ444" t="str">
        <f t="shared" si="43"/>
        <v/>
      </c>
      <c r="AR444" t="str">
        <f t="shared" si="44"/>
        <v/>
      </c>
      <c r="AS444" t="str">
        <f t="shared" si="45"/>
        <v/>
      </c>
    </row>
    <row r="445" spans="5:45" x14ac:dyDescent="0.25">
      <c r="E445" t="str">
        <f ca="1"/>
        <v/>
      </c>
      <c r="F445" t="str">
        <f ca="1"/>
        <v/>
      </c>
      <c r="P445" t="e" cm="1">
        <f t="array" ref="P445">INDEX($B$2:$D$40,MOD(ROW()-ROW($B$2),ROWS($B$2:$D$40))+1,INT((ROW()-ROW($B$2))/ROWS($B$2:$D$40))+1)</f>
        <v>#REF!</v>
      </c>
      <c r="Q445" t="e">
        <f t="shared" ca="1" si="46"/>
        <v>#N/A</v>
      </c>
      <c r="R445" t="str" cm="1">
        <f t="array" aca="1" ref="R445" ca="1">IFERROR(INDIRECT("$P"&amp;Q445),"")</f>
        <v/>
      </c>
      <c r="U445" t="e" cm="1">
        <f t="array" ref="U445">INDEX($C$2:$D$40,MOD(ROW()-ROW($C$2),ROWS($C$2:$D$40))+1,INT((ROW()-ROW($C$2))/ROWS($C$2:$D$40))+1)</f>
        <v>#REF!</v>
      </c>
      <c r="V445" t="e">
        <f t="shared" ca="1" si="47"/>
        <v>#N/A</v>
      </c>
      <c r="W445" t="str" cm="1">
        <f t="array" aca="1" ref="W445" ca="1">IFERROR(INDIRECT("$U"&amp;V445),"")</f>
        <v/>
      </c>
      <c r="Z445" t="str" cm="1">
        <f t="array" ref="Z445">INDEX($AE$2:$AS$40,MOD(ROW()-ROW($AE$2),ROWS($AE$2:$AS$40))+1,INT((ROW()-ROW($AE$2))/ROWS($AE$2:$AS$40))+1)</f>
        <v/>
      </c>
      <c r="AA445" t="e">
        <f t="shared" ca="1" si="48"/>
        <v>#N/A</v>
      </c>
      <c r="AB445" t="str" cm="1">
        <f t="array" aca="1" ref="AB445" ca="1">IFERROR(INDIRECT("$Z"&amp;AA445),"")</f>
        <v/>
      </c>
      <c r="AP445" t="str">
        <f t="shared" si="42"/>
        <v/>
      </c>
      <c r="AQ445" t="str">
        <f t="shared" si="43"/>
        <v/>
      </c>
      <c r="AR445" t="str">
        <f t="shared" si="44"/>
        <v/>
      </c>
      <c r="AS445" t="str">
        <f t="shared" si="45"/>
        <v/>
      </c>
    </row>
    <row r="446" spans="5:45" x14ac:dyDescent="0.25">
      <c r="E446" t="str">
        <f ca="1"/>
        <v/>
      </c>
      <c r="F446" t="str">
        <f ca="1"/>
        <v/>
      </c>
      <c r="P446" t="e" cm="1">
        <f t="array" ref="P446">INDEX($B$2:$D$40,MOD(ROW()-ROW($B$2),ROWS($B$2:$D$40))+1,INT((ROW()-ROW($B$2))/ROWS($B$2:$D$40))+1)</f>
        <v>#REF!</v>
      </c>
      <c r="Q446" t="e">
        <f t="shared" ca="1" si="46"/>
        <v>#N/A</v>
      </c>
      <c r="R446" t="str" cm="1">
        <f t="array" aca="1" ref="R446" ca="1">IFERROR(INDIRECT("$P"&amp;Q446),"")</f>
        <v/>
      </c>
      <c r="U446" t="e" cm="1">
        <f t="array" ref="U446">INDEX($C$2:$D$40,MOD(ROW()-ROW($C$2),ROWS($C$2:$D$40))+1,INT((ROW()-ROW($C$2))/ROWS($C$2:$D$40))+1)</f>
        <v>#REF!</v>
      </c>
      <c r="V446" t="e">
        <f t="shared" ca="1" si="47"/>
        <v>#N/A</v>
      </c>
      <c r="W446" t="str" cm="1">
        <f t="array" aca="1" ref="W446" ca="1">IFERROR(INDIRECT("$U"&amp;V446),"")</f>
        <v/>
      </c>
      <c r="Z446" t="str" cm="1">
        <f t="array" ref="Z446">INDEX($AE$2:$AS$40,MOD(ROW()-ROW($AE$2),ROWS($AE$2:$AS$40))+1,INT((ROW()-ROW($AE$2))/ROWS($AE$2:$AS$40))+1)</f>
        <v/>
      </c>
      <c r="AA446" t="e">
        <f t="shared" ca="1" si="48"/>
        <v>#N/A</v>
      </c>
      <c r="AB446" t="str" cm="1">
        <f t="array" aca="1" ref="AB446" ca="1">IFERROR(INDIRECT("$Z"&amp;AA446),"")</f>
        <v/>
      </c>
      <c r="AP446" t="str">
        <f t="shared" si="42"/>
        <v/>
      </c>
      <c r="AQ446" t="str">
        <f t="shared" si="43"/>
        <v/>
      </c>
      <c r="AR446" t="str">
        <f t="shared" si="44"/>
        <v/>
      </c>
      <c r="AS446" t="str">
        <f t="shared" si="45"/>
        <v/>
      </c>
    </row>
    <row r="447" spans="5:45" x14ac:dyDescent="0.25">
      <c r="E447" t="str">
        <f ca="1"/>
        <v/>
      </c>
      <c r="F447" t="str">
        <f ca="1"/>
        <v/>
      </c>
      <c r="P447" t="e" cm="1">
        <f t="array" ref="P447">INDEX($B$2:$D$40,MOD(ROW()-ROW($B$2),ROWS($B$2:$D$40))+1,INT((ROW()-ROW($B$2))/ROWS($B$2:$D$40))+1)</f>
        <v>#REF!</v>
      </c>
      <c r="Q447" t="e">
        <f t="shared" ca="1" si="46"/>
        <v>#N/A</v>
      </c>
      <c r="R447" t="str" cm="1">
        <f t="array" aca="1" ref="R447" ca="1">IFERROR(INDIRECT("$P"&amp;Q447),"")</f>
        <v/>
      </c>
      <c r="U447" t="e" cm="1">
        <f t="array" ref="U447">INDEX($C$2:$D$40,MOD(ROW()-ROW($C$2),ROWS($C$2:$D$40))+1,INT((ROW()-ROW($C$2))/ROWS($C$2:$D$40))+1)</f>
        <v>#REF!</v>
      </c>
      <c r="V447" t="e">
        <f t="shared" ca="1" si="47"/>
        <v>#N/A</v>
      </c>
      <c r="W447" t="str" cm="1">
        <f t="array" aca="1" ref="W447" ca="1">IFERROR(INDIRECT("$U"&amp;V447),"")</f>
        <v/>
      </c>
      <c r="Z447" t="str" cm="1">
        <f t="array" ref="Z447">INDEX($AE$2:$AS$40,MOD(ROW()-ROW($AE$2),ROWS($AE$2:$AS$40))+1,INT((ROW()-ROW($AE$2))/ROWS($AE$2:$AS$40))+1)</f>
        <v/>
      </c>
      <c r="AA447" t="e">
        <f t="shared" ca="1" si="48"/>
        <v>#N/A</v>
      </c>
      <c r="AB447" t="str" cm="1">
        <f t="array" aca="1" ref="AB447" ca="1">IFERROR(INDIRECT("$Z"&amp;AA447),"")</f>
        <v/>
      </c>
      <c r="AP447" t="str">
        <f t="shared" si="42"/>
        <v/>
      </c>
      <c r="AQ447" t="str">
        <f t="shared" si="43"/>
        <v/>
      </c>
      <c r="AR447" t="str">
        <f t="shared" si="44"/>
        <v/>
      </c>
      <c r="AS447" t="str">
        <f t="shared" si="45"/>
        <v/>
      </c>
    </row>
    <row r="448" spans="5:45" x14ac:dyDescent="0.25">
      <c r="E448" t="str">
        <f ca="1"/>
        <v/>
      </c>
      <c r="F448" t="str">
        <f ca="1"/>
        <v/>
      </c>
      <c r="P448" t="e" cm="1">
        <f t="array" ref="P448">INDEX($B$2:$D$40,MOD(ROW()-ROW($B$2),ROWS($B$2:$D$40))+1,INT((ROW()-ROW($B$2))/ROWS($B$2:$D$40))+1)</f>
        <v>#REF!</v>
      </c>
      <c r="Q448" t="e">
        <f t="shared" ca="1" si="46"/>
        <v>#N/A</v>
      </c>
      <c r="R448" t="str" cm="1">
        <f t="array" aca="1" ref="R448" ca="1">IFERROR(INDIRECT("$P"&amp;Q448),"")</f>
        <v/>
      </c>
      <c r="U448" t="e" cm="1">
        <f t="array" ref="U448">INDEX($C$2:$D$40,MOD(ROW()-ROW($C$2),ROWS($C$2:$D$40))+1,INT((ROW()-ROW($C$2))/ROWS($C$2:$D$40))+1)</f>
        <v>#REF!</v>
      </c>
      <c r="V448" t="e">
        <f t="shared" ca="1" si="47"/>
        <v>#N/A</v>
      </c>
      <c r="W448" t="str" cm="1">
        <f t="array" aca="1" ref="W448" ca="1">IFERROR(INDIRECT("$U"&amp;V448),"")</f>
        <v/>
      </c>
      <c r="Z448" t="str" cm="1">
        <f t="array" ref="Z448">INDEX($AE$2:$AS$40,MOD(ROW()-ROW($AE$2),ROWS($AE$2:$AS$40))+1,INT((ROW()-ROW($AE$2))/ROWS($AE$2:$AS$40))+1)</f>
        <v/>
      </c>
      <c r="AA448" t="e">
        <f t="shared" ca="1" si="48"/>
        <v>#N/A</v>
      </c>
      <c r="AB448" t="str" cm="1">
        <f t="array" aca="1" ref="AB448" ca="1">IFERROR(INDIRECT("$Z"&amp;AA448),"")</f>
        <v/>
      </c>
      <c r="AP448" t="str">
        <f t="shared" si="42"/>
        <v/>
      </c>
      <c r="AQ448" t="str">
        <f t="shared" si="43"/>
        <v/>
      </c>
      <c r="AR448" t="str">
        <f t="shared" si="44"/>
        <v/>
      </c>
      <c r="AS448" t="str">
        <f t="shared" si="45"/>
        <v/>
      </c>
    </row>
    <row r="449" spans="5:45" x14ac:dyDescent="0.25">
      <c r="E449" t="str">
        <f ca="1"/>
        <v/>
      </c>
      <c r="F449" t="str">
        <f ca="1"/>
        <v/>
      </c>
      <c r="P449" t="e" cm="1">
        <f t="array" ref="P449">INDEX($B$2:$D$40,MOD(ROW()-ROW($B$2),ROWS($B$2:$D$40))+1,INT((ROW()-ROW($B$2))/ROWS($B$2:$D$40))+1)</f>
        <v>#REF!</v>
      </c>
      <c r="Q449" t="e">
        <f t="shared" ca="1" si="46"/>
        <v>#N/A</v>
      </c>
      <c r="R449" t="str" cm="1">
        <f t="array" aca="1" ref="R449" ca="1">IFERROR(INDIRECT("$P"&amp;Q449),"")</f>
        <v/>
      </c>
      <c r="U449" t="e" cm="1">
        <f t="array" ref="U449">INDEX($C$2:$D$40,MOD(ROW()-ROW($C$2),ROWS($C$2:$D$40))+1,INT((ROW()-ROW($C$2))/ROWS($C$2:$D$40))+1)</f>
        <v>#REF!</v>
      </c>
      <c r="V449" t="e">
        <f t="shared" ca="1" si="47"/>
        <v>#N/A</v>
      </c>
      <c r="W449" t="str" cm="1">
        <f t="array" aca="1" ref="W449" ca="1">IFERROR(INDIRECT("$U"&amp;V449),"")</f>
        <v/>
      </c>
      <c r="Z449" t="str" cm="1">
        <f t="array" ref="Z449">INDEX($AE$2:$AS$40,MOD(ROW()-ROW($AE$2),ROWS($AE$2:$AS$40))+1,INT((ROW()-ROW($AE$2))/ROWS($AE$2:$AS$40))+1)</f>
        <v/>
      </c>
      <c r="AA449" t="e">
        <f t="shared" ca="1" si="48"/>
        <v>#N/A</v>
      </c>
      <c r="AB449" t="str" cm="1">
        <f t="array" aca="1" ref="AB449" ca="1">IFERROR(INDIRECT("$Z"&amp;AA449),"")</f>
        <v/>
      </c>
      <c r="AP449" t="str">
        <f t="shared" si="42"/>
        <v/>
      </c>
      <c r="AQ449" t="str">
        <f t="shared" si="43"/>
        <v/>
      </c>
      <c r="AR449" t="str">
        <f t="shared" si="44"/>
        <v/>
      </c>
      <c r="AS449" t="str">
        <f t="shared" si="45"/>
        <v/>
      </c>
    </row>
    <row r="450" spans="5:45" x14ac:dyDescent="0.25">
      <c r="E450" t="str">
        <f ca="1"/>
        <v/>
      </c>
      <c r="F450" t="str">
        <f ca="1"/>
        <v/>
      </c>
      <c r="P450" t="e" cm="1">
        <f t="array" ref="P450">INDEX($B$2:$D$40,MOD(ROW()-ROW($B$2),ROWS($B$2:$D$40))+1,INT((ROW()-ROW($B$2))/ROWS($B$2:$D$40))+1)</f>
        <v>#REF!</v>
      </c>
      <c r="Q450" t="e">
        <f t="shared" ca="1" si="46"/>
        <v>#N/A</v>
      </c>
      <c r="R450" t="str" cm="1">
        <f t="array" aca="1" ref="R450" ca="1">IFERROR(INDIRECT("$P"&amp;Q450),"")</f>
        <v/>
      </c>
      <c r="U450" t="e" cm="1">
        <f t="array" ref="U450">INDEX($C$2:$D$40,MOD(ROW()-ROW($C$2),ROWS($C$2:$D$40))+1,INT((ROW()-ROW($C$2))/ROWS($C$2:$D$40))+1)</f>
        <v>#REF!</v>
      </c>
      <c r="V450" t="e">
        <f t="shared" ca="1" si="47"/>
        <v>#N/A</v>
      </c>
      <c r="W450" t="str" cm="1">
        <f t="array" aca="1" ref="W450" ca="1">IFERROR(INDIRECT("$U"&amp;V450),"")</f>
        <v/>
      </c>
      <c r="Z450" t="str" cm="1">
        <f t="array" ref="Z450">INDEX($AE$2:$AS$40,MOD(ROW()-ROW($AE$2),ROWS($AE$2:$AS$40))+1,INT((ROW()-ROW($AE$2))/ROWS($AE$2:$AS$40))+1)</f>
        <v/>
      </c>
      <c r="AA450" t="e">
        <f t="shared" ca="1" si="48"/>
        <v>#N/A</v>
      </c>
      <c r="AB450" t="str" cm="1">
        <f t="array" aca="1" ref="AB450" ca="1">IFERROR(INDIRECT("$Z"&amp;AA450),"")</f>
        <v/>
      </c>
      <c r="AP450" t="str">
        <f t="shared" si="42"/>
        <v/>
      </c>
      <c r="AQ450" t="str">
        <f t="shared" si="43"/>
        <v/>
      </c>
      <c r="AR450" t="str">
        <f t="shared" si="44"/>
        <v/>
      </c>
      <c r="AS450" t="str">
        <f t="shared" si="45"/>
        <v/>
      </c>
    </row>
    <row r="451" spans="5:45" x14ac:dyDescent="0.25">
      <c r="E451" t="str">
        <f ca="1"/>
        <v/>
      </c>
      <c r="F451" t="str">
        <f ca="1"/>
        <v/>
      </c>
      <c r="P451" t="e" cm="1">
        <f t="array" ref="P451">INDEX($B$2:$D$40,MOD(ROW()-ROW($B$2),ROWS($B$2:$D$40))+1,INT((ROW()-ROW($B$2))/ROWS($B$2:$D$40))+1)</f>
        <v>#REF!</v>
      </c>
      <c r="Q451" t="e">
        <f t="shared" ca="1" si="46"/>
        <v>#N/A</v>
      </c>
      <c r="R451" t="str" cm="1">
        <f t="array" aca="1" ref="R451" ca="1">IFERROR(INDIRECT("$P"&amp;Q451),"")</f>
        <v/>
      </c>
      <c r="U451" t="e" cm="1">
        <f t="array" ref="U451">INDEX($C$2:$D$40,MOD(ROW()-ROW($C$2),ROWS($C$2:$D$40))+1,INT((ROW()-ROW($C$2))/ROWS($C$2:$D$40))+1)</f>
        <v>#REF!</v>
      </c>
      <c r="V451" t="e">
        <f t="shared" ca="1" si="47"/>
        <v>#N/A</v>
      </c>
      <c r="W451" t="str" cm="1">
        <f t="array" aca="1" ref="W451" ca="1">IFERROR(INDIRECT("$U"&amp;V451),"")</f>
        <v/>
      </c>
      <c r="Z451" t="str" cm="1">
        <f t="array" ref="Z451">INDEX($AE$2:$AS$40,MOD(ROW()-ROW($AE$2),ROWS($AE$2:$AS$40))+1,INT((ROW()-ROW($AE$2))/ROWS($AE$2:$AS$40))+1)</f>
        <v/>
      </c>
      <c r="AA451" t="e">
        <f t="shared" ca="1" si="48"/>
        <v>#N/A</v>
      </c>
      <c r="AB451" t="str" cm="1">
        <f t="array" aca="1" ref="AB451" ca="1">IFERROR(INDIRECT("$Z"&amp;AA451),"")</f>
        <v/>
      </c>
      <c r="AP451" t="str">
        <f t="shared" ref="AP451:AP514" si="49">IF(AI451&lt;&gt;"", _xlfn.CONCAT(AI451, " (airside)"), "")</f>
        <v/>
      </c>
      <c r="AQ451" t="str">
        <f t="shared" ref="AQ451:AQ514" si="50">IF(AI451&lt;&gt;"", _xlfn.CONCAT(AI451, " (waterside)"), "")</f>
        <v/>
      </c>
      <c r="AR451" t="str">
        <f t="shared" ref="AR451:AR514" si="51">IF(AJ451&lt;&gt;"", _xlfn.CONCAT(AJ451, " (supply)"), "")</f>
        <v/>
      </c>
      <c r="AS451" t="str">
        <f t="shared" ref="AS451:AS514" si="52">IF(AJ451&lt;&gt;"", _xlfn.CONCAT(AJ451, " (exhaust)"), "")</f>
        <v/>
      </c>
    </row>
    <row r="452" spans="5:45" x14ac:dyDescent="0.25">
      <c r="E452" t="str">
        <f ca="1"/>
        <v/>
      </c>
      <c r="F452" t="str">
        <f ca="1"/>
        <v/>
      </c>
      <c r="P452" t="e" cm="1">
        <f t="array" ref="P452">INDEX($B$2:$D$40,MOD(ROW()-ROW($B$2),ROWS($B$2:$D$40))+1,INT((ROW()-ROW($B$2))/ROWS($B$2:$D$40))+1)</f>
        <v>#REF!</v>
      </c>
      <c r="Q452" t="e">
        <f t="shared" ref="Q452:Q515" ca="1" si="53">MATCH("*",INDIRECT(ADDRESS(Q451+1,16,1)&amp;":$P$1000"),0)+Q451</f>
        <v>#N/A</v>
      </c>
      <c r="R452" t="str" cm="1">
        <f t="array" aca="1" ref="R452" ca="1">IFERROR(INDIRECT("$P"&amp;Q452),"")</f>
        <v/>
      </c>
      <c r="U452" t="e" cm="1">
        <f t="array" ref="U452">INDEX($C$2:$D$40,MOD(ROW()-ROW($C$2),ROWS($C$2:$D$40))+1,INT((ROW()-ROW($C$2))/ROWS($C$2:$D$40))+1)</f>
        <v>#REF!</v>
      </c>
      <c r="V452" t="e">
        <f t="shared" ref="V452:V515" ca="1" si="54">MATCH("*",INDIRECT(ADDRESS(V451+1,21,1)&amp;":$U$1000"),0)+V451</f>
        <v>#N/A</v>
      </c>
      <c r="W452" t="str" cm="1">
        <f t="array" aca="1" ref="W452" ca="1">IFERROR(INDIRECT("$U"&amp;V452),"")</f>
        <v/>
      </c>
      <c r="Z452" t="str" cm="1">
        <f t="array" ref="Z452">INDEX($AE$2:$AS$40,MOD(ROW()-ROW($AE$2),ROWS($AE$2:$AS$40))+1,INT((ROW()-ROW($AE$2))/ROWS($AE$2:$AS$40))+1)</f>
        <v/>
      </c>
      <c r="AA452" t="e">
        <f t="shared" ref="AA452:AA515" ca="1" si="55">MATCH("*",INDIRECT(ADDRESS(AA451+1,26,1)&amp;":$Z$1000"),0)+AA451</f>
        <v>#N/A</v>
      </c>
      <c r="AB452" t="str" cm="1">
        <f t="array" aca="1" ref="AB452" ca="1">IFERROR(INDIRECT("$Z"&amp;AA452),"")</f>
        <v/>
      </c>
      <c r="AP452" t="str">
        <f t="shared" si="49"/>
        <v/>
      </c>
      <c r="AQ452" t="str">
        <f t="shared" si="50"/>
        <v/>
      </c>
      <c r="AR452" t="str">
        <f t="shared" si="51"/>
        <v/>
      </c>
      <c r="AS452" t="str">
        <f t="shared" si="52"/>
        <v/>
      </c>
    </row>
    <row r="453" spans="5:45" x14ac:dyDescent="0.25">
      <c r="E453" t="str">
        <f ca="1"/>
        <v/>
      </c>
      <c r="F453" t="str">
        <f ca="1"/>
        <v/>
      </c>
      <c r="P453" t="e" cm="1">
        <f t="array" ref="P453">INDEX($B$2:$D$40,MOD(ROW()-ROW($B$2),ROWS($B$2:$D$40))+1,INT((ROW()-ROW($B$2))/ROWS($B$2:$D$40))+1)</f>
        <v>#REF!</v>
      </c>
      <c r="Q453" t="e">
        <f t="shared" ca="1" si="53"/>
        <v>#N/A</v>
      </c>
      <c r="R453" t="str" cm="1">
        <f t="array" aca="1" ref="R453" ca="1">IFERROR(INDIRECT("$P"&amp;Q453),"")</f>
        <v/>
      </c>
      <c r="U453" t="e" cm="1">
        <f t="array" ref="U453">INDEX($C$2:$D$40,MOD(ROW()-ROW($C$2),ROWS($C$2:$D$40))+1,INT((ROW()-ROW($C$2))/ROWS($C$2:$D$40))+1)</f>
        <v>#REF!</v>
      </c>
      <c r="V453" t="e">
        <f t="shared" ca="1" si="54"/>
        <v>#N/A</v>
      </c>
      <c r="W453" t="str" cm="1">
        <f t="array" aca="1" ref="W453" ca="1">IFERROR(INDIRECT("$U"&amp;V453),"")</f>
        <v/>
      </c>
      <c r="Z453" t="str" cm="1">
        <f t="array" ref="Z453">INDEX($AE$2:$AS$40,MOD(ROW()-ROW($AE$2),ROWS($AE$2:$AS$40))+1,INT((ROW()-ROW($AE$2))/ROWS($AE$2:$AS$40))+1)</f>
        <v/>
      </c>
      <c r="AA453" t="e">
        <f t="shared" ca="1" si="55"/>
        <v>#N/A</v>
      </c>
      <c r="AB453" t="str" cm="1">
        <f t="array" aca="1" ref="AB453" ca="1">IFERROR(INDIRECT("$Z"&amp;AA453),"")</f>
        <v/>
      </c>
      <c r="AP453" t="str">
        <f t="shared" si="49"/>
        <v/>
      </c>
      <c r="AQ453" t="str">
        <f t="shared" si="50"/>
        <v/>
      </c>
      <c r="AR453" t="str">
        <f t="shared" si="51"/>
        <v/>
      </c>
      <c r="AS453" t="str">
        <f t="shared" si="52"/>
        <v/>
      </c>
    </row>
    <row r="454" spans="5:45" x14ac:dyDescent="0.25">
      <c r="E454" t="str">
        <f ca="1"/>
        <v/>
      </c>
      <c r="F454" t="str">
        <f ca="1"/>
        <v/>
      </c>
      <c r="P454" t="e" cm="1">
        <f t="array" ref="P454">INDEX($B$2:$D$40,MOD(ROW()-ROW($B$2),ROWS($B$2:$D$40))+1,INT((ROW()-ROW($B$2))/ROWS($B$2:$D$40))+1)</f>
        <v>#REF!</v>
      </c>
      <c r="Q454" t="e">
        <f t="shared" ca="1" si="53"/>
        <v>#N/A</v>
      </c>
      <c r="R454" t="str" cm="1">
        <f t="array" aca="1" ref="R454" ca="1">IFERROR(INDIRECT("$P"&amp;Q454),"")</f>
        <v/>
      </c>
      <c r="U454" t="e" cm="1">
        <f t="array" ref="U454">INDEX($C$2:$D$40,MOD(ROW()-ROW($C$2),ROWS($C$2:$D$40))+1,INT((ROW()-ROW($C$2))/ROWS($C$2:$D$40))+1)</f>
        <v>#REF!</v>
      </c>
      <c r="V454" t="e">
        <f t="shared" ca="1" si="54"/>
        <v>#N/A</v>
      </c>
      <c r="W454" t="str" cm="1">
        <f t="array" aca="1" ref="W454" ca="1">IFERROR(INDIRECT("$U"&amp;V454),"")</f>
        <v/>
      </c>
      <c r="Z454" t="str" cm="1">
        <f t="array" ref="Z454">INDEX($AE$2:$AS$40,MOD(ROW()-ROW($AE$2),ROWS($AE$2:$AS$40))+1,INT((ROW()-ROW($AE$2))/ROWS($AE$2:$AS$40))+1)</f>
        <v/>
      </c>
      <c r="AA454" t="e">
        <f t="shared" ca="1" si="55"/>
        <v>#N/A</v>
      </c>
      <c r="AB454" t="str" cm="1">
        <f t="array" aca="1" ref="AB454" ca="1">IFERROR(INDIRECT("$Z"&amp;AA454),"")</f>
        <v/>
      </c>
      <c r="AP454" t="str">
        <f t="shared" si="49"/>
        <v/>
      </c>
      <c r="AQ454" t="str">
        <f t="shared" si="50"/>
        <v/>
      </c>
      <c r="AR454" t="str">
        <f t="shared" si="51"/>
        <v/>
      </c>
      <c r="AS454" t="str">
        <f t="shared" si="52"/>
        <v/>
      </c>
    </row>
    <row r="455" spans="5:45" x14ac:dyDescent="0.25">
      <c r="E455" t="str">
        <f ca="1"/>
        <v/>
      </c>
      <c r="F455" t="str">
        <f ca="1"/>
        <v/>
      </c>
      <c r="P455" t="e" cm="1">
        <f t="array" ref="P455">INDEX($B$2:$D$40,MOD(ROW()-ROW($B$2),ROWS($B$2:$D$40))+1,INT((ROW()-ROW($B$2))/ROWS($B$2:$D$40))+1)</f>
        <v>#REF!</v>
      </c>
      <c r="Q455" t="e">
        <f t="shared" ca="1" si="53"/>
        <v>#N/A</v>
      </c>
      <c r="R455" t="str" cm="1">
        <f t="array" aca="1" ref="R455" ca="1">IFERROR(INDIRECT("$P"&amp;Q455),"")</f>
        <v/>
      </c>
      <c r="U455" t="e" cm="1">
        <f t="array" ref="U455">INDEX($C$2:$D$40,MOD(ROW()-ROW($C$2),ROWS($C$2:$D$40))+1,INT((ROW()-ROW($C$2))/ROWS($C$2:$D$40))+1)</f>
        <v>#REF!</v>
      </c>
      <c r="V455" t="e">
        <f t="shared" ca="1" si="54"/>
        <v>#N/A</v>
      </c>
      <c r="W455" t="str" cm="1">
        <f t="array" aca="1" ref="W455" ca="1">IFERROR(INDIRECT("$U"&amp;V455),"")</f>
        <v/>
      </c>
      <c r="Z455" t="str" cm="1">
        <f t="array" ref="Z455">INDEX($AE$2:$AS$40,MOD(ROW()-ROW($AE$2),ROWS($AE$2:$AS$40))+1,INT((ROW()-ROW($AE$2))/ROWS($AE$2:$AS$40))+1)</f>
        <v/>
      </c>
      <c r="AA455" t="e">
        <f t="shared" ca="1" si="55"/>
        <v>#N/A</v>
      </c>
      <c r="AB455" t="str" cm="1">
        <f t="array" aca="1" ref="AB455" ca="1">IFERROR(INDIRECT("$Z"&amp;AA455),"")</f>
        <v/>
      </c>
      <c r="AP455" t="str">
        <f t="shared" si="49"/>
        <v/>
      </c>
      <c r="AQ455" t="str">
        <f t="shared" si="50"/>
        <v/>
      </c>
      <c r="AR455" t="str">
        <f t="shared" si="51"/>
        <v/>
      </c>
      <c r="AS455" t="str">
        <f t="shared" si="52"/>
        <v/>
      </c>
    </row>
    <row r="456" spans="5:45" x14ac:dyDescent="0.25">
      <c r="E456" t="str">
        <f ca="1"/>
        <v/>
      </c>
      <c r="F456" t="str">
        <f ca="1"/>
        <v/>
      </c>
      <c r="P456" t="e" cm="1">
        <f t="array" ref="P456">INDEX($B$2:$D$40,MOD(ROW()-ROW($B$2),ROWS($B$2:$D$40))+1,INT((ROW()-ROW($B$2))/ROWS($B$2:$D$40))+1)</f>
        <v>#REF!</v>
      </c>
      <c r="Q456" t="e">
        <f t="shared" ca="1" si="53"/>
        <v>#N/A</v>
      </c>
      <c r="R456" t="str" cm="1">
        <f t="array" aca="1" ref="R456" ca="1">IFERROR(INDIRECT("$P"&amp;Q456),"")</f>
        <v/>
      </c>
      <c r="U456" t="e" cm="1">
        <f t="array" ref="U456">INDEX($C$2:$D$40,MOD(ROW()-ROW($C$2),ROWS($C$2:$D$40))+1,INT((ROW()-ROW($C$2))/ROWS($C$2:$D$40))+1)</f>
        <v>#REF!</v>
      </c>
      <c r="V456" t="e">
        <f t="shared" ca="1" si="54"/>
        <v>#N/A</v>
      </c>
      <c r="W456" t="str" cm="1">
        <f t="array" aca="1" ref="W456" ca="1">IFERROR(INDIRECT("$U"&amp;V456),"")</f>
        <v/>
      </c>
      <c r="Z456" t="str" cm="1">
        <f t="array" ref="Z456">INDEX($AE$2:$AS$40,MOD(ROW()-ROW($AE$2),ROWS($AE$2:$AS$40))+1,INT((ROW()-ROW($AE$2))/ROWS($AE$2:$AS$40))+1)</f>
        <v/>
      </c>
      <c r="AA456" t="e">
        <f t="shared" ca="1" si="55"/>
        <v>#N/A</v>
      </c>
      <c r="AB456" t="str" cm="1">
        <f t="array" aca="1" ref="AB456" ca="1">IFERROR(INDIRECT("$Z"&amp;AA456),"")</f>
        <v/>
      </c>
      <c r="AP456" t="str">
        <f t="shared" si="49"/>
        <v/>
      </c>
      <c r="AQ456" t="str">
        <f t="shared" si="50"/>
        <v/>
      </c>
      <c r="AR456" t="str">
        <f t="shared" si="51"/>
        <v/>
      </c>
      <c r="AS456" t="str">
        <f t="shared" si="52"/>
        <v/>
      </c>
    </row>
    <row r="457" spans="5:45" x14ac:dyDescent="0.25">
      <c r="E457" t="str">
        <f ca="1"/>
        <v/>
      </c>
      <c r="F457" t="str">
        <f ca="1"/>
        <v/>
      </c>
      <c r="P457" t="e" cm="1">
        <f t="array" ref="P457">INDEX($B$2:$D$40,MOD(ROW()-ROW($B$2),ROWS($B$2:$D$40))+1,INT((ROW()-ROW($B$2))/ROWS($B$2:$D$40))+1)</f>
        <v>#REF!</v>
      </c>
      <c r="Q457" t="e">
        <f t="shared" ca="1" si="53"/>
        <v>#N/A</v>
      </c>
      <c r="R457" t="str" cm="1">
        <f t="array" aca="1" ref="R457" ca="1">IFERROR(INDIRECT("$P"&amp;Q457),"")</f>
        <v/>
      </c>
      <c r="U457" t="e" cm="1">
        <f t="array" ref="U457">INDEX($C$2:$D$40,MOD(ROW()-ROW($C$2),ROWS($C$2:$D$40))+1,INT((ROW()-ROW($C$2))/ROWS($C$2:$D$40))+1)</f>
        <v>#REF!</v>
      </c>
      <c r="V457" t="e">
        <f t="shared" ca="1" si="54"/>
        <v>#N/A</v>
      </c>
      <c r="W457" t="str" cm="1">
        <f t="array" aca="1" ref="W457" ca="1">IFERROR(INDIRECT("$U"&amp;V457),"")</f>
        <v/>
      </c>
      <c r="Z457" t="str" cm="1">
        <f t="array" ref="Z457">INDEX($AE$2:$AS$40,MOD(ROW()-ROW($AE$2),ROWS($AE$2:$AS$40))+1,INT((ROW()-ROW($AE$2))/ROWS($AE$2:$AS$40))+1)</f>
        <v/>
      </c>
      <c r="AA457" t="e">
        <f t="shared" ca="1" si="55"/>
        <v>#N/A</v>
      </c>
      <c r="AB457" t="str" cm="1">
        <f t="array" aca="1" ref="AB457" ca="1">IFERROR(INDIRECT("$Z"&amp;AA457),"")</f>
        <v/>
      </c>
      <c r="AP457" t="str">
        <f t="shared" si="49"/>
        <v/>
      </c>
      <c r="AQ457" t="str">
        <f t="shared" si="50"/>
        <v/>
      </c>
      <c r="AR457" t="str">
        <f t="shared" si="51"/>
        <v/>
      </c>
      <c r="AS457" t="str">
        <f t="shared" si="52"/>
        <v/>
      </c>
    </row>
    <row r="458" spans="5:45" x14ac:dyDescent="0.25">
      <c r="E458" t="str">
        <f ca="1"/>
        <v/>
      </c>
      <c r="F458" t="str">
        <f ca="1"/>
        <v/>
      </c>
      <c r="P458" t="e" cm="1">
        <f t="array" ref="P458">INDEX($B$2:$D$40,MOD(ROW()-ROW($B$2),ROWS($B$2:$D$40))+1,INT((ROW()-ROW($B$2))/ROWS($B$2:$D$40))+1)</f>
        <v>#REF!</v>
      </c>
      <c r="Q458" t="e">
        <f t="shared" ca="1" si="53"/>
        <v>#N/A</v>
      </c>
      <c r="R458" t="str" cm="1">
        <f t="array" aca="1" ref="R458" ca="1">IFERROR(INDIRECT("$P"&amp;Q458),"")</f>
        <v/>
      </c>
      <c r="U458" t="e" cm="1">
        <f t="array" ref="U458">INDEX($C$2:$D$40,MOD(ROW()-ROW($C$2),ROWS($C$2:$D$40))+1,INT((ROW()-ROW($C$2))/ROWS($C$2:$D$40))+1)</f>
        <v>#REF!</v>
      </c>
      <c r="V458" t="e">
        <f t="shared" ca="1" si="54"/>
        <v>#N/A</v>
      </c>
      <c r="W458" t="str" cm="1">
        <f t="array" aca="1" ref="W458" ca="1">IFERROR(INDIRECT("$U"&amp;V458),"")</f>
        <v/>
      </c>
      <c r="Z458" t="str" cm="1">
        <f t="array" ref="Z458">INDEX($AE$2:$AS$40,MOD(ROW()-ROW($AE$2),ROWS($AE$2:$AS$40))+1,INT((ROW()-ROW($AE$2))/ROWS($AE$2:$AS$40))+1)</f>
        <v/>
      </c>
      <c r="AA458" t="e">
        <f t="shared" ca="1" si="55"/>
        <v>#N/A</v>
      </c>
      <c r="AB458" t="str" cm="1">
        <f t="array" aca="1" ref="AB458" ca="1">IFERROR(INDIRECT("$Z"&amp;AA458),"")</f>
        <v/>
      </c>
      <c r="AP458" t="str">
        <f t="shared" si="49"/>
        <v/>
      </c>
      <c r="AQ458" t="str">
        <f t="shared" si="50"/>
        <v/>
      </c>
      <c r="AR458" t="str">
        <f t="shared" si="51"/>
        <v/>
      </c>
      <c r="AS458" t="str">
        <f t="shared" si="52"/>
        <v/>
      </c>
    </row>
    <row r="459" spans="5:45" x14ac:dyDescent="0.25">
      <c r="E459" t="str">
        <f ca="1"/>
        <v/>
      </c>
      <c r="F459" t="str">
        <f ca="1"/>
        <v/>
      </c>
      <c r="P459" t="e" cm="1">
        <f t="array" ref="P459">INDEX($B$2:$D$40,MOD(ROW()-ROW($B$2),ROWS($B$2:$D$40))+1,INT((ROW()-ROW($B$2))/ROWS($B$2:$D$40))+1)</f>
        <v>#REF!</v>
      </c>
      <c r="Q459" t="e">
        <f t="shared" ca="1" si="53"/>
        <v>#N/A</v>
      </c>
      <c r="R459" t="str" cm="1">
        <f t="array" aca="1" ref="R459" ca="1">IFERROR(INDIRECT("$P"&amp;Q459),"")</f>
        <v/>
      </c>
      <c r="U459" t="e" cm="1">
        <f t="array" ref="U459">INDEX($C$2:$D$40,MOD(ROW()-ROW($C$2),ROWS($C$2:$D$40))+1,INT((ROW()-ROW($C$2))/ROWS($C$2:$D$40))+1)</f>
        <v>#REF!</v>
      </c>
      <c r="V459" t="e">
        <f t="shared" ca="1" si="54"/>
        <v>#N/A</v>
      </c>
      <c r="W459" t="str" cm="1">
        <f t="array" aca="1" ref="W459" ca="1">IFERROR(INDIRECT("$U"&amp;V459),"")</f>
        <v/>
      </c>
      <c r="Z459" t="str" cm="1">
        <f t="array" ref="Z459">INDEX($AE$2:$AS$40,MOD(ROW()-ROW($AE$2),ROWS($AE$2:$AS$40))+1,INT((ROW()-ROW($AE$2))/ROWS($AE$2:$AS$40))+1)</f>
        <v/>
      </c>
      <c r="AA459" t="e">
        <f t="shared" ca="1" si="55"/>
        <v>#N/A</v>
      </c>
      <c r="AB459" t="str" cm="1">
        <f t="array" aca="1" ref="AB459" ca="1">IFERROR(INDIRECT("$Z"&amp;AA459),"")</f>
        <v/>
      </c>
      <c r="AP459" t="str">
        <f t="shared" si="49"/>
        <v/>
      </c>
      <c r="AQ459" t="str">
        <f t="shared" si="50"/>
        <v/>
      </c>
      <c r="AR459" t="str">
        <f t="shared" si="51"/>
        <v/>
      </c>
      <c r="AS459" t="str">
        <f t="shared" si="52"/>
        <v/>
      </c>
    </row>
    <row r="460" spans="5:45" x14ac:dyDescent="0.25">
      <c r="E460" t="str">
        <f ca="1"/>
        <v/>
      </c>
      <c r="F460" t="str">
        <f ca="1"/>
        <v/>
      </c>
      <c r="P460" t="e" cm="1">
        <f t="array" ref="P460">INDEX($B$2:$D$40,MOD(ROW()-ROW($B$2),ROWS($B$2:$D$40))+1,INT((ROW()-ROW($B$2))/ROWS($B$2:$D$40))+1)</f>
        <v>#REF!</v>
      </c>
      <c r="Q460" t="e">
        <f t="shared" ca="1" si="53"/>
        <v>#N/A</v>
      </c>
      <c r="R460" t="str" cm="1">
        <f t="array" aca="1" ref="R460" ca="1">IFERROR(INDIRECT("$P"&amp;Q460),"")</f>
        <v/>
      </c>
      <c r="U460" t="e" cm="1">
        <f t="array" ref="U460">INDEX($C$2:$D$40,MOD(ROW()-ROW($C$2),ROWS($C$2:$D$40))+1,INT((ROW()-ROW($C$2))/ROWS($C$2:$D$40))+1)</f>
        <v>#REF!</v>
      </c>
      <c r="V460" t="e">
        <f t="shared" ca="1" si="54"/>
        <v>#N/A</v>
      </c>
      <c r="W460" t="str" cm="1">
        <f t="array" aca="1" ref="W460" ca="1">IFERROR(INDIRECT("$U"&amp;V460),"")</f>
        <v/>
      </c>
      <c r="Z460" t="str" cm="1">
        <f t="array" ref="Z460">INDEX($AE$2:$AS$40,MOD(ROW()-ROW($AE$2),ROWS($AE$2:$AS$40))+1,INT((ROW()-ROW($AE$2))/ROWS($AE$2:$AS$40))+1)</f>
        <v/>
      </c>
      <c r="AA460" t="e">
        <f t="shared" ca="1" si="55"/>
        <v>#N/A</v>
      </c>
      <c r="AB460" t="str" cm="1">
        <f t="array" aca="1" ref="AB460" ca="1">IFERROR(INDIRECT("$Z"&amp;AA460),"")</f>
        <v/>
      </c>
      <c r="AP460" t="str">
        <f t="shared" si="49"/>
        <v/>
      </c>
      <c r="AQ460" t="str">
        <f t="shared" si="50"/>
        <v/>
      </c>
      <c r="AR460" t="str">
        <f t="shared" si="51"/>
        <v/>
      </c>
      <c r="AS460" t="str">
        <f t="shared" si="52"/>
        <v/>
      </c>
    </row>
    <row r="461" spans="5:45" x14ac:dyDescent="0.25">
      <c r="E461" t="str">
        <f ca="1"/>
        <v/>
      </c>
      <c r="F461" t="str">
        <f ca="1"/>
        <v/>
      </c>
      <c r="P461" t="e" cm="1">
        <f t="array" ref="P461">INDEX($B$2:$D$40,MOD(ROW()-ROW($B$2),ROWS($B$2:$D$40))+1,INT((ROW()-ROW($B$2))/ROWS($B$2:$D$40))+1)</f>
        <v>#REF!</v>
      </c>
      <c r="Q461" t="e">
        <f t="shared" ca="1" si="53"/>
        <v>#N/A</v>
      </c>
      <c r="R461" t="str" cm="1">
        <f t="array" aca="1" ref="R461" ca="1">IFERROR(INDIRECT("$P"&amp;Q461),"")</f>
        <v/>
      </c>
      <c r="U461" t="e" cm="1">
        <f t="array" ref="U461">INDEX($C$2:$D$40,MOD(ROW()-ROW($C$2),ROWS($C$2:$D$40))+1,INT((ROW()-ROW($C$2))/ROWS($C$2:$D$40))+1)</f>
        <v>#REF!</v>
      </c>
      <c r="V461" t="e">
        <f t="shared" ca="1" si="54"/>
        <v>#N/A</v>
      </c>
      <c r="W461" t="str" cm="1">
        <f t="array" aca="1" ref="W461" ca="1">IFERROR(INDIRECT("$U"&amp;V461),"")</f>
        <v/>
      </c>
      <c r="Z461" t="str" cm="1">
        <f t="array" ref="Z461">INDEX($AE$2:$AS$40,MOD(ROW()-ROW($AE$2),ROWS($AE$2:$AS$40))+1,INT((ROW()-ROW($AE$2))/ROWS($AE$2:$AS$40))+1)</f>
        <v/>
      </c>
      <c r="AA461" t="e">
        <f t="shared" ca="1" si="55"/>
        <v>#N/A</v>
      </c>
      <c r="AB461" t="str" cm="1">
        <f t="array" aca="1" ref="AB461" ca="1">IFERROR(INDIRECT("$Z"&amp;AA461),"")</f>
        <v/>
      </c>
      <c r="AP461" t="str">
        <f t="shared" si="49"/>
        <v/>
      </c>
      <c r="AQ461" t="str">
        <f t="shared" si="50"/>
        <v/>
      </c>
      <c r="AR461" t="str">
        <f t="shared" si="51"/>
        <v/>
      </c>
      <c r="AS461" t="str">
        <f t="shared" si="52"/>
        <v/>
      </c>
    </row>
    <row r="462" spans="5:45" x14ac:dyDescent="0.25">
      <c r="E462" t="str">
        <f ca="1"/>
        <v/>
      </c>
      <c r="F462" t="str">
        <f ca="1"/>
        <v/>
      </c>
      <c r="P462" t="e" cm="1">
        <f t="array" ref="P462">INDEX($B$2:$D$40,MOD(ROW()-ROW($B$2),ROWS($B$2:$D$40))+1,INT((ROW()-ROW($B$2))/ROWS($B$2:$D$40))+1)</f>
        <v>#REF!</v>
      </c>
      <c r="Q462" t="e">
        <f t="shared" ca="1" si="53"/>
        <v>#N/A</v>
      </c>
      <c r="R462" t="str" cm="1">
        <f t="array" aca="1" ref="R462" ca="1">IFERROR(INDIRECT("$P"&amp;Q462),"")</f>
        <v/>
      </c>
      <c r="U462" t="e" cm="1">
        <f t="array" ref="U462">INDEX($C$2:$D$40,MOD(ROW()-ROW($C$2),ROWS($C$2:$D$40))+1,INT((ROW()-ROW($C$2))/ROWS($C$2:$D$40))+1)</f>
        <v>#REF!</v>
      </c>
      <c r="V462" t="e">
        <f t="shared" ca="1" si="54"/>
        <v>#N/A</v>
      </c>
      <c r="W462" t="str" cm="1">
        <f t="array" aca="1" ref="W462" ca="1">IFERROR(INDIRECT("$U"&amp;V462),"")</f>
        <v/>
      </c>
      <c r="Z462" t="str" cm="1">
        <f t="array" ref="Z462">INDEX($AE$2:$AS$40,MOD(ROW()-ROW($AE$2),ROWS($AE$2:$AS$40))+1,INT((ROW()-ROW($AE$2))/ROWS($AE$2:$AS$40))+1)</f>
        <v/>
      </c>
      <c r="AA462" t="e">
        <f t="shared" ca="1" si="55"/>
        <v>#N/A</v>
      </c>
      <c r="AB462" t="str" cm="1">
        <f t="array" aca="1" ref="AB462" ca="1">IFERROR(INDIRECT("$Z"&amp;AA462),"")</f>
        <v/>
      </c>
      <c r="AP462" t="str">
        <f t="shared" si="49"/>
        <v/>
      </c>
      <c r="AQ462" t="str">
        <f t="shared" si="50"/>
        <v/>
      </c>
      <c r="AR462" t="str">
        <f t="shared" si="51"/>
        <v/>
      </c>
      <c r="AS462" t="str">
        <f t="shared" si="52"/>
        <v/>
      </c>
    </row>
    <row r="463" spans="5:45" x14ac:dyDescent="0.25">
      <c r="E463" t="str">
        <f ca="1"/>
        <v/>
      </c>
      <c r="F463" t="str">
        <f ca="1"/>
        <v/>
      </c>
      <c r="P463" t="e" cm="1">
        <f t="array" ref="P463">INDEX($B$2:$D$40,MOD(ROW()-ROW($B$2),ROWS($B$2:$D$40))+1,INT((ROW()-ROW($B$2))/ROWS($B$2:$D$40))+1)</f>
        <v>#REF!</v>
      </c>
      <c r="Q463" t="e">
        <f t="shared" ca="1" si="53"/>
        <v>#N/A</v>
      </c>
      <c r="R463" t="str" cm="1">
        <f t="array" aca="1" ref="R463" ca="1">IFERROR(INDIRECT("$P"&amp;Q463),"")</f>
        <v/>
      </c>
      <c r="U463" t="e" cm="1">
        <f t="array" ref="U463">INDEX($C$2:$D$40,MOD(ROW()-ROW($C$2),ROWS($C$2:$D$40))+1,INT((ROW()-ROW($C$2))/ROWS($C$2:$D$40))+1)</f>
        <v>#REF!</v>
      </c>
      <c r="V463" t="e">
        <f t="shared" ca="1" si="54"/>
        <v>#N/A</v>
      </c>
      <c r="W463" t="str" cm="1">
        <f t="array" aca="1" ref="W463" ca="1">IFERROR(INDIRECT("$U"&amp;V463),"")</f>
        <v/>
      </c>
      <c r="Z463" t="str" cm="1">
        <f t="array" ref="Z463">INDEX($AE$2:$AS$40,MOD(ROW()-ROW($AE$2),ROWS($AE$2:$AS$40))+1,INT((ROW()-ROW($AE$2))/ROWS($AE$2:$AS$40))+1)</f>
        <v/>
      </c>
      <c r="AA463" t="e">
        <f t="shared" ca="1" si="55"/>
        <v>#N/A</v>
      </c>
      <c r="AB463" t="str" cm="1">
        <f t="array" aca="1" ref="AB463" ca="1">IFERROR(INDIRECT("$Z"&amp;AA463),"")</f>
        <v/>
      </c>
      <c r="AP463" t="str">
        <f t="shared" si="49"/>
        <v/>
      </c>
      <c r="AQ463" t="str">
        <f t="shared" si="50"/>
        <v/>
      </c>
      <c r="AR463" t="str">
        <f t="shared" si="51"/>
        <v/>
      </c>
      <c r="AS463" t="str">
        <f t="shared" si="52"/>
        <v/>
      </c>
    </row>
    <row r="464" spans="5:45" x14ac:dyDescent="0.25">
      <c r="E464" t="str">
        <f ca="1"/>
        <v/>
      </c>
      <c r="F464" t="str">
        <f ca="1"/>
        <v/>
      </c>
      <c r="P464" t="e" cm="1">
        <f t="array" ref="P464">INDEX($B$2:$D$40,MOD(ROW()-ROW($B$2),ROWS($B$2:$D$40))+1,INT((ROW()-ROW($B$2))/ROWS($B$2:$D$40))+1)</f>
        <v>#REF!</v>
      </c>
      <c r="Q464" t="e">
        <f t="shared" ca="1" si="53"/>
        <v>#N/A</v>
      </c>
      <c r="R464" t="str" cm="1">
        <f t="array" aca="1" ref="R464" ca="1">IFERROR(INDIRECT("$P"&amp;Q464),"")</f>
        <v/>
      </c>
      <c r="U464" t="e" cm="1">
        <f t="array" ref="U464">INDEX($C$2:$D$40,MOD(ROW()-ROW($C$2),ROWS($C$2:$D$40))+1,INT((ROW()-ROW($C$2))/ROWS($C$2:$D$40))+1)</f>
        <v>#REF!</v>
      </c>
      <c r="V464" t="e">
        <f t="shared" ca="1" si="54"/>
        <v>#N/A</v>
      </c>
      <c r="W464" t="str" cm="1">
        <f t="array" aca="1" ref="W464" ca="1">IFERROR(INDIRECT("$U"&amp;V464),"")</f>
        <v/>
      </c>
      <c r="Z464" t="str" cm="1">
        <f t="array" ref="Z464">INDEX($AE$2:$AS$40,MOD(ROW()-ROW($AE$2),ROWS($AE$2:$AS$40))+1,INT((ROW()-ROW($AE$2))/ROWS($AE$2:$AS$40))+1)</f>
        <v/>
      </c>
      <c r="AA464" t="e">
        <f t="shared" ca="1" si="55"/>
        <v>#N/A</v>
      </c>
      <c r="AB464" t="str" cm="1">
        <f t="array" aca="1" ref="AB464" ca="1">IFERROR(INDIRECT("$Z"&amp;AA464),"")</f>
        <v/>
      </c>
      <c r="AP464" t="str">
        <f t="shared" si="49"/>
        <v/>
      </c>
      <c r="AQ464" t="str">
        <f t="shared" si="50"/>
        <v/>
      </c>
      <c r="AR464" t="str">
        <f t="shared" si="51"/>
        <v/>
      </c>
      <c r="AS464" t="str">
        <f t="shared" si="52"/>
        <v/>
      </c>
    </row>
    <row r="465" spans="5:45" x14ac:dyDescent="0.25">
      <c r="E465" t="str">
        <f ca="1"/>
        <v/>
      </c>
      <c r="F465" t="str">
        <f ca="1"/>
        <v/>
      </c>
      <c r="P465" t="e" cm="1">
        <f t="array" ref="P465">INDEX($B$2:$D$40,MOD(ROW()-ROW($B$2),ROWS($B$2:$D$40))+1,INT((ROW()-ROW($B$2))/ROWS($B$2:$D$40))+1)</f>
        <v>#REF!</v>
      </c>
      <c r="Q465" t="e">
        <f t="shared" ca="1" si="53"/>
        <v>#N/A</v>
      </c>
      <c r="R465" t="str" cm="1">
        <f t="array" aca="1" ref="R465" ca="1">IFERROR(INDIRECT("$P"&amp;Q465),"")</f>
        <v/>
      </c>
      <c r="U465" t="e" cm="1">
        <f t="array" ref="U465">INDEX($C$2:$D$40,MOD(ROW()-ROW($C$2),ROWS($C$2:$D$40))+1,INT((ROW()-ROW($C$2))/ROWS($C$2:$D$40))+1)</f>
        <v>#REF!</v>
      </c>
      <c r="V465" t="e">
        <f t="shared" ca="1" si="54"/>
        <v>#N/A</v>
      </c>
      <c r="W465" t="str" cm="1">
        <f t="array" aca="1" ref="W465" ca="1">IFERROR(INDIRECT("$U"&amp;V465),"")</f>
        <v/>
      </c>
      <c r="Z465" t="str" cm="1">
        <f t="array" ref="Z465">INDEX($AE$2:$AS$40,MOD(ROW()-ROW($AE$2),ROWS($AE$2:$AS$40))+1,INT((ROW()-ROW($AE$2))/ROWS($AE$2:$AS$40))+1)</f>
        <v/>
      </c>
      <c r="AA465" t="e">
        <f t="shared" ca="1" si="55"/>
        <v>#N/A</v>
      </c>
      <c r="AB465" t="str" cm="1">
        <f t="array" aca="1" ref="AB465" ca="1">IFERROR(INDIRECT("$Z"&amp;AA465),"")</f>
        <v/>
      </c>
      <c r="AP465" t="str">
        <f t="shared" si="49"/>
        <v/>
      </c>
      <c r="AQ465" t="str">
        <f t="shared" si="50"/>
        <v/>
      </c>
      <c r="AR465" t="str">
        <f t="shared" si="51"/>
        <v/>
      </c>
      <c r="AS465" t="str">
        <f t="shared" si="52"/>
        <v/>
      </c>
    </row>
    <row r="466" spans="5:45" x14ac:dyDescent="0.25">
      <c r="E466" t="str">
        <f ca="1"/>
        <v/>
      </c>
      <c r="F466" t="str">
        <f ca="1"/>
        <v/>
      </c>
      <c r="P466" t="e" cm="1">
        <f t="array" ref="P466">INDEX($B$2:$D$40,MOD(ROW()-ROW($B$2),ROWS($B$2:$D$40))+1,INT((ROW()-ROW($B$2))/ROWS($B$2:$D$40))+1)</f>
        <v>#REF!</v>
      </c>
      <c r="Q466" t="e">
        <f t="shared" ca="1" si="53"/>
        <v>#N/A</v>
      </c>
      <c r="R466" t="str" cm="1">
        <f t="array" aca="1" ref="R466" ca="1">IFERROR(INDIRECT("$P"&amp;Q466),"")</f>
        <v/>
      </c>
      <c r="U466" t="e" cm="1">
        <f t="array" ref="U466">INDEX($C$2:$D$40,MOD(ROW()-ROW($C$2),ROWS($C$2:$D$40))+1,INT((ROW()-ROW($C$2))/ROWS($C$2:$D$40))+1)</f>
        <v>#REF!</v>
      </c>
      <c r="V466" t="e">
        <f t="shared" ca="1" si="54"/>
        <v>#N/A</v>
      </c>
      <c r="W466" t="str" cm="1">
        <f t="array" aca="1" ref="W466" ca="1">IFERROR(INDIRECT("$U"&amp;V466),"")</f>
        <v/>
      </c>
      <c r="Z466" t="str" cm="1">
        <f t="array" ref="Z466">INDEX($AE$2:$AS$40,MOD(ROW()-ROW($AE$2),ROWS($AE$2:$AS$40))+1,INT((ROW()-ROW($AE$2))/ROWS($AE$2:$AS$40))+1)</f>
        <v/>
      </c>
      <c r="AA466" t="e">
        <f t="shared" ca="1" si="55"/>
        <v>#N/A</v>
      </c>
      <c r="AB466" t="str" cm="1">
        <f t="array" aca="1" ref="AB466" ca="1">IFERROR(INDIRECT("$Z"&amp;AA466),"")</f>
        <v/>
      </c>
      <c r="AP466" t="str">
        <f t="shared" si="49"/>
        <v/>
      </c>
      <c r="AQ466" t="str">
        <f t="shared" si="50"/>
        <v/>
      </c>
      <c r="AR466" t="str">
        <f t="shared" si="51"/>
        <v/>
      </c>
      <c r="AS466" t="str">
        <f t="shared" si="52"/>
        <v/>
      </c>
    </row>
    <row r="467" spans="5:45" x14ac:dyDescent="0.25">
      <c r="E467" t="str">
        <f ca="1"/>
        <v/>
      </c>
      <c r="F467" t="str">
        <f ca="1"/>
        <v/>
      </c>
      <c r="P467" t="e" cm="1">
        <f t="array" ref="P467">INDEX($B$2:$D$40,MOD(ROW()-ROW($B$2),ROWS($B$2:$D$40))+1,INT((ROW()-ROW($B$2))/ROWS($B$2:$D$40))+1)</f>
        <v>#REF!</v>
      </c>
      <c r="Q467" t="e">
        <f t="shared" ca="1" si="53"/>
        <v>#N/A</v>
      </c>
      <c r="R467" t="str" cm="1">
        <f t="array" aca="1" ref="R467" ca="1">IFERROR(INDIRECT("$P"&amp;Q467),"")</f>
        <v/>
      </c>
      <c r="U467" t="e" cm="1">
        <f t="array" ref="U467">INDEX($C$2:$D$40,MOD(ROW()-ROW($C$2),ROWS($C$2:$D$40))+1,INT((ROW()-ROW($C$2))/ROWS($C$2:$D$40))+1)</f>
        <v>#REF!</v>
      </c>
      <c r="V467" t="e">
        <f t="shared" ca="1" si="54"/>
        <v>#N/A</v>
      </c>
      <c r="W467" t="str" cm="1">
        <f t="array" aca="1" ref="W467" ca="1">IFERROR(INDIRECT("$U"&amp;V467),"")</f>
        <v/>
      </c>
      <c r="Z467" t="str" cm="1">
        <f t="array" ref="Z467">INDEX($AE$2:$AS$40,MOD(ROW()-ROW($AE$2),ROWS($AE$2:$AS$40))+1,INT((ROW()-ROW($AE$2))/ROWS($AE$2:$AS$40))+1)</f>
        <v/>
      </c>
      <c r="AA467" t="e">
        <f t="shared" ca="1" si="55"/>
        <v>#N/A</v>
      </c>
      <c r="AB467" t="str" cm="1">
        <f t="array" aca="1" ref="AB467" ca="1">IFERROR(INDIRECT("$Z"&amp;AA467),"")</f>
        <v/>
      </c>
      <c r="AP467" t="str">
        <f t="shared" si="49"/>
        <v/>
      </c>
      <c r="AQ467" t="str">
        <f t="shared" si="50"/>
        <v/>
      </c>
      <c r="AR467" t="str">
        <f t="shared" si="51"/>
        <v/>
      </c>
      <c r="AS467" t="str">
        <f t="shared" si="52"/>
        <v/>
      </c>
    </row>
    <row r="468" spans="5:45" x14ac:dyDescent="0.25">
      <c r="E468" t="str">
        <f ca="1"/>
        <v/>
      </c>
      <c r="F468" t="str">
        <f ca="1"/>
        <v/>
      </c>
      <c r="P468" t="e" cm="1">
        <f t="array" ref="P468">INDEX($B$2:$D$40,MOD(ROW()-ROW($B$2),ROWS($B$2:$D$40))+1,INT((ROW()-ROW($B$2))/ROWS($B$2:$D$40))+1)</f>
        <v>#REF!</v>
      </c>
      <c r="Q468" t="e">
        <f t="shared" ca="1" si="53"/>
        <v>#N/A</v>
      </c>
      <c r="R468" t="str" cm="1">
        <f t="array" aca="1" ref="R468" ca="1">IFERROR(INDIRECT("$P"&amp;Q468),"")</f>
        <v/>
      </c>
      <c r="U468" t="e" cm="1">
        <f t="array" ref="U468">INDEX($C$2:$D$40,MOD(ROW()-ROW($C$2),ROWS($C$2:$D$40))+1,INT((ROW()-ROW($C$2))/ROWS($C$2:$D$40))+1)</f>
        <v>#REF!</v>
      </c>
      <c r="V468" t="e">
        <f t="shared" ca="1" si="54"/>
        <v>#N/A</v>
      </c>
      <c r="W468" t="str" cm="1">
        <f t="array" aca="1" ref="W468" ca="1">IFERROR(INDIRECT("$U"&amp;V468),"")</f>
        <v/>
      </c>
      <c r="Z468" t="str" cm="1">
        <f t="array" ref="Z468">INDEX($AE$2:$AS$40,MOD(ROW()-ROW($AE$2),ROWS($AE$2:$AS$40))+1,INT((ROW()-ROW($AE$2))/ROWS($AE$2:$AS$40))+1)</f>
        <v/>
      </c>
      <c r="AA468" t="e">
        <f t="shared" ca="1" si="55"/>
        <v>#N/A</v>
      </c>
      <c r="AB468" t="str" cm="1">
        <f t="array" aca="1" ref="AB468" ca="1">IFERROR(INDIRECT("$Z"&amp;AA468),"")</f>
        <v/>
      </c>
      <c r="AP468" t="str">
        <f t="shared" si="49"/>
        <v/>
      </c>
      <c r="AQ468" t="str">
        <f t="shared" si="50"/>
        <v/>
      </c>
      <c r="AR468" t="str">
        <f t="shared" si="51"/>
        <v/>
      </c>
      <c r="AS468" t="str">
        <f t="shared" si="52"/>
        <v/>
      </c>
    </row>
    <row r="469" spans="5:45" x14ac:dyDescent="0.25">
      <c r="E469" t="str">
        <f ca="1"/>
        <v/>
      </c>
      <c r="F469" t="str">
        <f ca="1"/>
        <v/>
      </c>
      <c r="P469" t="e" cm="1">
        <f t="array" ref="P469">INDEX($B$2:$D$40,MOD(ROW()-ROW($B$2),ROWS($B$2:$D$40))+1,INT((ROW()-ROW($B$2))/ROWS($B$2:$D$40))+1)</f>
        <v>#REF!</v>
      </c>
      <c r="Q469" t="e">
        <f t="shared" ca="1" si="53"/>
        <v>#N/A</v>
      </c>
      <c r="R469" t="str" cm="1">
        <f t="array" aca="1" ref="R469" ca="1">IFERROR(INDIRECT("$P"&amp;Q469),"")</f>
        <v/>
      </c>
      <c r="U469" t="e" cm="1">
        <f t="array" ref="U469">INDEX($C$2:$D$40,MOD(ROW()-ROW($C$2),ROWS($C$2:$D$40))+1,INT((ROW()-ROW($C$2))/ROWS($C$2:$D$40))+1)</f>
        <v>#REF!</v>
      </c>
      <c r="V469" t="e">
        <f t="shared" ca="1" si="54"/>
        <v>#N/A</v>
      </c>
      <c r="W469" t="str" cm="1">
        <f t="array" aca="1" ref="W469" ca="1">IFERROR(INDIRECT("$U"&amp;V469),"")</f>
        <v/>
      </c>
      <c r="Z469" t="str" cm="1">
        <f t="array" ref="Z469">INDEX($AE$2:$AS$40,MOD(ROW()-ROW($AE$2),ROWS($AE$2:$AS$40))+1,INT((ROW()-ROW($AE$2))/ROWS($AE$2:$AS$40))+1)</f>
        <v/>
      </c>
      <c r="AA469" t="e">
        <f t="shared" ca="1" si="55"/>
        <v>#N/A</v>
      </c>
      <c r="AB469" t="str" cm="1">
        <f t="array" aca="1" ref="AB469" ca="1">IFERROR(INDIRECT("$Z"&amp;AA469),"")</f>
        <v/>
      </c>
      <c r="AP469" t="str">
        <f t="shared" si="49"/>
        <v/>
      </c>
      <c r="AQ469" t="str">
        <f t="shared" si="50"/>
        <v/>
      </c>
      <c r="AR469" t="str">
        <f t="shared" si="51"/>
        <v/>
      </c>
      <c r="AS469" t="str">
        <f t="shared" si="52"/>
        <v/>
      </c>
    </row>
    <row r="470" spans="5:45" x14ac:dyDescent="0.25">
      <c r="E470" t="str">
        <f ca="1"/>
        <v/>
      </c>
      <c r="F470" t="str">
        <f ca="1"/>
        <v/>
      </c>
      <c r="P470" t="e" cm="1">
        <f t="array" ref="P470">INDEX($B$2:$D$40,MOD(ROW()-ROW($B$2),ROWS($B$2:$D$40))+1,INT((ROW()-ROW($B$2))/ROWS($B$2:$D$40))+1)</f>
        <v>#REF!</v>
      </c>
      <c r="Q470" t="e">
        <f t="shared" ca="1" si="53"/>
        <v>#N/A</v>
      </c>
      <c r="R470" t="str" cm="1">
        <f t="array" aca="1" ref="R470" ca="1">IFERROR(INDIRECT("$P"&amp;Q470),"")</f>
        <v/>
      </c>
      <c r="U470" t="e" cm="1">
        <f t="array" ref="U470">INDEX($C$2:$D$40,MOD(ROW()-ROW($C$2),ROWS($C$2:$D$40))+1,INT((ROW()-ROW($C$2))/ROWS($C$2:$D$40))+1)</f>
        <v>#REF!</v>
      </c>
      <c r="V470" t="e">
        <f t="shared" ca="1" si="54"/>
        <v>#N/A</v>
      </c>
      <c r="W470" t="str" cm="1">
        <f t="array" aca="1" ref="W470" ca="1">IFERROR(INDIRECT("$U"&amp;V470),"")</f>
        <v/>
      </c>
      <c r="Z470" t="str" cm="1">
        <f t="array" aca="1" ref="Z470" ca="1">INDEX($AE$2:$AS$40,MOD(ROW()-ROW($AE$2),ROWS($AE$2:$AS$40))+1,INT((ROW()-ROW($AE$2))/ROWS($AE$2:$AS$40))+1)</f>
        <v>cooling_coil (waterside)</v>
      </c>
      <c r="AA470" t="e">
        <f t="shared" ca="1" si="55"/>
        <v>#N/A</v>
      </c>
      <c r="AB470" t="str" cm="1">
        <f t="array" aca="1" ref="AB470" ca="1">IFERROR(INDIRECT("$Z"&amp;AA470),"")</f>
        <v/>
      </c>
      <c r="AP470" t="str">
        <f t="shared" si="49"/>
        <v/>
      </c>
      <c r="AQ470" t="str">
        <f t="shared" si="50"/>
        <v/>
      </c>
      <c r="AR470" t="str">
        <f t="shared" si="51"/>
        <v/>
      </c>
      <c r="AS470" t="str">
        <f t="shared" si="52"/>
        <v/>
      </c>
    </row>
    <row r="471" spans="5:45" x14ac:dyDescent="0.25">
      <c r="E471" t="str">
        <f ca="1"/>
        <v/>
      </c>
      <c r="F471" t="str">
        <f ca="1"/>
        <v/>
      </c>
      <c r="P471" t="e" cm="1">
        <f t="array" ref="P471">INDEX($B$2:$D$40,MOD(ROW()-ROW($B$2),ROWS($B$2:$D$40))+1,INT((ROW()-ROW($B$2))/ROWS($B$2:$D$40))+1)</f>
        <v>#REF!</v>
      </c>
      <c r="Q471" t="e">
        <f t="shared" ca="1" si="53"/>
        <v>#N/A</v>
      </c>
      <c r="R471" t="str" cm="1">
        <f t="array" aca="1" ref="R471" ca="1">IFERROR(INDIRECT("$P"&amp;Q471),"")</f>
        <v/>
      </c>
      <c r="U471" t="e" cm="1">
        <f t="array" ref="U471">INDEX($C$2:$D$40,MOD(ROW()-ROW($C$2),ROWS($C$2:$D$40))+1,INT((ROW()-ROW($C$2))/ROWS($C$2:$D$40))+1)</f>
        <v>#REF!</v>
      </c>
      <c r="V471" t="e">
        <f t="shared" ca="1" si="54"/>
        <v>#N/A</v>
      </c>
      <c r="W471" t="str" cm="1">
        <f t="array" aca="1" ref="W471" ca="1">IFERROR(INDIRECT("$U"&amp;V471),"")</f>
        <v/>
      </c>
      <c r="Z471" t="str" cm="1">
        <f t="array" aca="1" ref="Z471" ca="1">INDEX($AE$2:$AS$40,MOD(ROW()-ROW($AE$2),ROWS($AE$2:$AS$40))+1,INT((ROW()-ROW($AE$2))/ROWS($AE$2:$AS$40))+1)</f>
        <v>heating_coil (waterside)</v>
      </c>
      <c r="AA471" t="e">
        <f t="shared" ca="1" si="55"/>
        <v>#N/A</v>
      </c>
      <c r="AB471" t="str" cm="1">
        <f t="array" aca="1" ref="AB471" ca="1">IFERROR(INDIRECT("$Z"&amp;AA471),"")</f>
        <v/>
      </c>
      <c r="AP471" t="str">
        <f t="shared" si="49"/>
        <v/>
      </c>
      <c r="AQ471" t="str">
        <f t="shared" si="50"/>
        <v/>
      </c>
      <c r="AR471" t="str">
        <f t="shared" si="51"/>
        <v/>
      </c>
      <c r="AS471" t="str">
        <f t="shared" si="52"/>
        <v/>
      </c>
    </row>
    <row r="472" spans="5:45" x14ac:dyDescent="0.25">
      <c r="E472" t="str">
        <f ca="1"/>
        <v/>
      </c>
      <c r="F472" t="str">
        <f ca="1"/>
        <v/>
      </c>
      <c r="P472" t="e" cm="1">
        <f t="array" ref="P472">INDEX($B$2:$D$40,MOD(ROW()-ROW($B$2),ROWS($B$2:$D$40))+1,INT((ROW()-ROW($B$2))/ROWS($B$2:$D$40))+1)</f>
        <v>#REF!</v>
      </c>
      <c r="Q472" t="e">
        <f t="shared" ca="1" si="53"/>
        <v>#N/A</v>
      </c>
      <c r="R472" t="str" cm="1">
        <f t="array" aca="1" ref="R472" ca="1">IFERROR(INDIRECT("$P"&amp;Q472),"")</f>
        <v/>
      </c>
      <c r="U472" t="e" cm="1">
        <f t="array" ref="U472">INDEX($C$2:$D$40,MOD(ROW()-ROW($C$2),ROWS($C$2:$D$40))+1,INT((ROW()-ROW($C$2))/ROWS($C$2:$D$40))+1)</f>
        <v>#REF!</v>
      </c>
      <c r="V472" t="e">
        <f t="shared" ca="1" si="54"/>
        <v>#N/A</v>
      </c>
      <c r="W472" t="str" cm="1">
        <f t="array" aca="1" ref="W472" ca="1">IFERROR(INDIRECT("$U"&amp;V472),"")</f>
        <v/>
      </c>
      <c r="Z472" t="str" cm="1">
        <f t="array" ref="Z472">INDEX($AE$2:$AS$40,MOD(ROW()-ROW($AE$2),ROWS($AE$2:$AS$40))+1,INT((ROW()-ROW($AE$2))/ROWS($AE$2:$AS$40))+1)</f>
        <v/>
      </c>
      <c r="AA472" t="e">
        <f t="shared" ca="1" si="55"/>
        <v>#N/A</v>
      </c>
      <c r="AB472" t="str" cm="1">
        <f t="array" aca="1" ref="AB472" ca="1">IFERROR(INDIRECT("$Z"&amp;AA472),"")</f>
        <v/>
      </c>
      <c r="AP472" t="str">
        <f t="shared" si="49"/>
        <v/>
      </c>
      <c r="AQ472" t="str">
        <f t="shared" si="50"/>
        <v/>
      </c>
      <c r="AR472" t="str">
        <f t="shared" si="51"/>
        <v/>
      </c>
      <c r="AS472" t="str">
        <f t="shared" si="52"/>
        <v/>
      </c>
    </row>
    <row r="473" spans="5:45" x14ac:dyDescent="0.25">
      <c r="E473" t="str">
        <f ca="1"/>
        <v/>
      </c>
      <c r="F473" t="str">
        <f ca="1"/>
        <v/>
      </c>
      <c r="P473" t="e" cm="1">
        <f t="array" ref="P473">INDEX($B$2:$D$40,MOD(ROW()-ROW($B$2),ROWS($B$2:$D$40))+1,INT((ROW()-ROW($B$2))/ROWS($B$2:$D$40))+1)</f>
        <v>#REF!</v>
      </c>
      <c r="Q473" t="e">
        <f t="shared" ca="1" si="53"/>
        <v>#N/A</v>
      </c>
      <c r="R473" t="str" cm="1">
        <f t="array" aca="1" ref="R473" ca="1">IFERROR(INDIRECT("$P"&amp;Q473),"")</f>
        <v/>
      </c>
      <c r="U473" t="e" cm="1">
        <f t="array" ref="U473">INDEX($C$2:$D$40,MOD(ROW()-ROW($C$2),ROWS($C$2:$D$40))+1,INT((ROW()-ROW($C$2))/ROWS($C$2:$D$40))+1)</f>
        <v>#REF!</v>
      </c>
      <c r="V473" t="e">
        <f t="shared" ca="1" si="54"/>
        <v>#N/A</v>
      </c>
      <c r="W473" t="str" cm="1">
        <f t="array" aca="1" ref="W473" ca="1">IFERROR(INDIRECT("$U"&amp;V473),"")</f>
        <v/>
      </c>
      <c r="Z473" t="str" cm="1">
        <f t="array" ref="Z473">INDEX($AE$2:$AS$40,MOD(ROW()-ROW($AE$2),ROWS($AE$2:$AS$40))+1,INT((ROW()-ROW($AE$2))/ROWS($AE$2:$AS$40))+1)</f>
        <v/>
      </c>
      <c r="AA473" t="e">
        <f t="shared" ca="1" si="55"/>
        <v>#N/A</v>
      </c>
      <c r="AB473" t="str" cm="1">
        <f t="array" aca="1" ref="AB473" ca="1">IFERROR(INDIRECT("$Z"&amp;AA473),"")</f>
        <v/>
      </c>
      <c r="AP473" t="str">
        <f t="shared" si="49"/>
        <v/>
      </c>
      <c r="AQ473" t="str">
        <f t="shared" si="50"/>
        <v/>
      </c>
      <c r="AR473" t="str">
        <f t="shared" si="51"/>
        <v/>
      </c>
      <c r="AS473" t="str">
        <f t="shared" si="52"/>
        <v/>
      </c>
    </row>
    <row r="474" spans="5:45" x14ac:dyDescent="0.25">
      <c r="E474" t="str">
        <f ca="1"/>
        <v/>
      </c>
      <c r="F474" t="str">
        <f ca="1"/>
        <v/>
      </c>
      <c r="P474" t="e" cm="1">
        <f t="array" ref="P474">INDEX($B$2:$D$40,MOD(ROW()-ROW($B$2),ROWS($B$2:$D$40))+1,INT((ROW()-ROW($B$2))/ROWS($B$2:$D$40))+1)</f>
        <v>#REF!</v>
      </c>
      <c r="Q474" t="e">
        <f t="shared" ca="1" si="53"/>
        <v>#N/A</v>
      </c>
      <c r="R474" t="str" cm="1">
        <f t="array" aca="1" ref="R474" ca="1">IFERROR(INDIRECT("$P"&amp;Q474),"")</f>
        <v/>
      </c>
      <c r="U474" t="e" cm="1">
        <f t="array" ref="U474">INDEX($C$2:$D$40,MOD(ROW()-ROW($C$2),ROWS($C$2:$D$40))+1,INT((ROW()-ROW($C$2))/ROWS($C$2:$D$40))+1)</f>
        <v>#REF!</v>
      </c>
      <c r="V474" t="e">
        <f t="shared" ca="1" si="54"/>
        <v>#N/A</v>
      </c>
      <c r="W474" t="str" cm="1">
        <f t="array" aca="1" ref="W474" ca="1">IFERROR(INDIRECT("$U"&amp;V474),"")</f>
        <v/>
      </c>
      <c r="Z474" t="str" cm="1">
        <f t="array" ref="Z474">INDEX($AE$2:$AS$40,MOD(ROW()-ROW($AE$2),ROWS($AE$2:$AS$40))+1,INT((ROW()-ROW($AE$2))/ROWS($AE$2:$AS$40))+1)</f>
        <v/>
      </c>
      <c r="AA474" t="e">
        <f t="shared" ca="1" si="55"/>
        <v>#N/A</v>
      </c>
      <c r="AB474" t="str" cm="1">
        <f t="array" aca="1" ref="AB474" ca="1">IFERROR(INDIRECT("$Z"&amp;AA474),"")</f>
        <v/>
      </c>
      <c r="AP474" t="str">
        <f t="shared" si="49"/>
        <v/>
      </c>
      <c r="AQ474" t="str">
        <f t="shared" si="50"/>
        <v/>
      </c>
      <c r="AR474" t="str">
        <f t="shared" si="51"/>
        <v/>
      </c>
      <c r="AS474" t="str">
        <f t="shared" si="52"/>
        <v/>
      </c>
    </row>
    <row r="475" spans="5:45" x14ac:dyDescent="0.25">
      <c r="E475" t="str">
        <f ca="1"/>
        <v/>
      </c>
      <c r="F475" t="str">
        <f ca="1"/>
        <v/>
      </c>
      <c r="P475" t="e" cm="1">
        <f t="array" ref="P475">INDEX($B$2:$D$40,MOD(ROW()-ROW($B$2),ROWS($B$2:$D$40))+1,INT((ROW()-ROW($B$2))/ROWS($B$2:$D$40))+1)</f>
        <v>#REF!</v>
      </c>
      <c r="Q475" t="e">
        <f t="shared" ca="1" si="53"/>
        <v>#N/A</v>
      </c>
      <c r="R475" t="str" cm="1">
        <f t="array" aca="1" ref="R475" ca="1">IFERROR(INDIRECT("$P"&amp;Q475),"")</f>
        <v/>
      </c>
      <c r="U475" t="e" cm="1">
        <f t="array" ref="U475">INDEX($C$2:$D$40,MOD(ROW()-ROW($C$2),ROWS($C$2:$D$40))+1,INT((ROW()-ROW($C$2))/ROWS($C$2:$D$40))+1)</f>
        <v>#REF!</v>
      </c>
      <c r="V475" t="e">
        <f t="shared" ca="1" si="54"/>
        <v>#N/A</v>
      </c>
      <c r="W475" t="str" cm="1">
        <f t="array" aca="1" ref="W475" ca="1">IFERROR(INDIRECT("$U"&amp;V475),"")</f>
        <v/>
      </c>
      <c r="Z475" t="str" cm="1">
        <f t="array" ref="Z475">INDEX($AE$2:$AS$40,MOD(ROW()-ROW($AE$2),ROWS($AE$2:$AS$40))+1,INT((ROW()-ROW($AE$2))/ROWS($AE$2:$AS$40))+1)</f>
        <v/>
      </c>
      <c r="AA475" t="e">
        <f t="shared" ca="1" si="55"/>
        <v>#N/A</v>
      </c>
      <c r="AB475" t="str" cm="1">
        <f t="array" aca="1" ref="AB475" ca="1">IFERROR(INDIRECT("$Z"&amp;AA475),"")</f>
        <v/>
      </c>
      <c r="AP475" t="str">
        <f t="shared" si="49"/>
        <v/>
      </c>
      <c r="AQ475" t="str">
        <f t="shared" si="50"/>
        <v/>
      </c>
      <c r="AR475" t="str">
        <f t="shared" si="51"/>
        <v/>
      </c>
      <c r="AS475" t="str">
        <f t="shared" si="52"/>
        <v/>
      </c>
    </row>
    <row r="476" spans="5:45" x14ac:dyDescent="0.25">
      <c r="E476" t="str">
        <f ca="1"/>
        <v/>
      </c>
      <c r="F476" t="str">
        <f ca="1"/>
        <v/>
      </c>
      <c r="P476" t="e" cm="1">
        <f t="array" ref="P476">INDEX($B$2:$D$40,MOD(ROW()-ROW($B$2),ROWS($B$2:$D$40))+1,INT((ROW()-ROW($B$2))/ROWS($B$2:$D$40))+1)</f>
        <v>#REF!</v>
      </c>
      <c r="Q476" t="e">
        <f t="shared" ca="1" si="53"/>
        <v>#N/A</v>
      </c>
      <c r="R476" t="str" cm="1">
        <f t="array" aca="1" ref="R476" ca="1">IFERROR(INDIRECT("$P"&amp;Q476),"")</f>
        <v/>
      </c>
      <c r="U476" t="e" cm="1">
        <f t="array" ref="U476">INDEX($C$2:$D$40,MOD(ROW()-ROW($C$2),ROWS($C$2:$D$40))+1,INT((ROW()-ROW($C$2))/ROWS($C$2:$D$40))+1)</f>
        <v>#REF!</v>
      </c>
      <c r="V476" t="e">
        <f t="shared" ca="1" si="54"/>
        <v>#N/A</v>
      </c>
      <c r="W476" t="str" cm="1">
        <f t="array" aca="1" ref="W476" ca="1">IFERROR(INDIRECT("$U"&amp;V476),"")</f>
        <v/>
      </c>
      <c r="Z476" t="str" cm="1">
        <f t="array" ref="Z476">INDEX($AE$2:$AS$40,MOD(ROW()-ROW($AE$2),ROWS($AE$2:$AS$40))+1,INT((ROW()-ROW($AE$2))/ROWS($AE$2:$AS$40))+1)</f>
        <v/>
      </c>
      <c r="AA476" t="e">
        <f t="shared" ca="1" si="55"/>
        <v>#N/A</v>
      </c>
      <c r="AB476" t="str" cm="1">
        <f t="array" aca="1" ref="AB476" ca="1">IFERROR(INDIRECT("$Z"&amp;AA476),"")</f>
        <v/>
      </c>
      <c r="AP476" t="str">
        <f t="shared" si="49"/>
        <v/>
      </c>
      <c r="AQ476" t="str">
        <f t="shared" si="50"/>
        <v/>
      </c>
      <c r="AR476" t="str">
        <f t="shared" si="51"/>
        <v/>
      </c>
      <c r="AS476" t="str">
        <f t="shared" si="52"/>
        <v/>
      </c>
    </row>
    <row r="477" spans="5:45" x14ac:dyDescent="0.25">
      <c r="E477" t="str">
        <f ca="1"/>
        <v/>
      </c>
      <c r="F477" t="str">
        <f ca="1"/>
        <v/>
      </c>
      <c r="P477" t="e" cm="1">
        <f t="array" ref="P477">INDEX($B$2:$D$40,MOD(ROW()-ROW($B$2),ROWS($B$2:$D$40))+1,INT((ROW()-ROW($B$2))/ROWS($B$2:$D$40))+1)</f>
        <v>#REF!</v>
      </c>
      <c r="Q477" t="e">
        <f t="shared" ca="1" si="53"/>
        <v>#N/A</v>
      </c>
      <c r="R477" t="str" cm="1">
        <f t="array" aca="1" ref="R477" ca="1">IFERROR(INDIRECT("$P"&amp;Q477),"")</f>
        <v/>
      </c>
      <c r="U477" t="e" cm="1">
        <f t="array" ref="U477">INDEX($C$2:$D$40,MOD(ROW()-ROW($C$2),ROWS($C$2:$D$40))+1,INT((ROW()-ROW($C$2))/ROWS($C$2:$D$40))+1)</f>
        <v>#REF!</v>
      </c>
      <c r="V477" t="e">
        <f t="shared" ca="1" si="54"/>
        <v>#N/A</v>
      </c>
      <c r="W477" t="str" cm="1">
        <f t="array" aca="1" ref="W477" ca="1">IFERROR(INDIRECT("$U"&amp;V477),"")</f>
        <v/>
      </c>
      <c r="Z477" t="str" cm="1">
        <f t="array" ref="Z477">INDEX($AE$2:$AS$40,MOD(ROW()-ROW($AE$2),ROWS($AE$2:$AS$40))+1,INT((ROW()-ROW($AE$2))/ROWS($AE$2:$AS$40))+1)</f>
        <v/>
      </c>
      <c r="AA477" t="e">
        <f t="shared" ca="1" si="55"/>
        <v>#N/A</v>
      </c>
      <c r="AB477" t="str" cm="1">
        <f t="array" aca="1" ref="AB477" ca="1">IFERROR(INDIRECT("$Z"&amp;AA477),"")</f>
        <v/>
      </c>
      <c r="AP477" t="str">
        <f t="shared" si="49"/>
        <v/>
      </c>
      <c r="AQ477" t="str">
        <f t="shared" si="50"/>
        <v/>
      </c>
      <c r="AR477" t="str">
        <f t="shared" si="51"/>
        <v/>
      </c>
      <c r="AS477" t="str">
        <f t="shared" si="52"/>
        <v/>
      </c>
    </row>
    <row r="478" spans="5:45" x14ac:dyDescent="0.25">
      <c r="E478" t="str">
        <f ca="1"/>
        <v/>
      </c>
      <c r="F478" t="str">
        <f ca="1"/>
        <v/>
      </c>
      <c r="P478" t="e" cm="1">
        <f t="array" ref="P478">INDEX($B$2:$D$40,MOD(ROW()-ROW($B$2),ROWS($B$2:$D$40))+1,INT((ROW()-ROW($B$2))/ROWS($B$2:$D$40))+1)</f>
        <v>#REF!</v>
      </c>
      <c r="Q478" t="e">
        <f t="shared" ca="1" si="53"/>
        <v>#N/A</v>
      </c>
      <c r="R478" t="str" cm="1">
        <f t="array" aca="1" ref="R478" ca="1">IFERROR(INDIRECT("$P"&amp;Q478),"")</f>
        <v/>
      </c>
      <c r="U478" t="e" cm="1">
        <f t="array" ref="U478">INDEX($C$2:$D$40,MOD(ROW()-ROW($C$2),ROWS($C$2:$D$40))+1,INT((ROW()-ROW($C$2))/ROWS($C$2:$D$40))+1)</f>
        <v>#REF!</v>
      </c>
      <c r="V478" t="e">
        <f t="shared" ca="1" si="54"/>
        <v>#N/A</v>
      </c>
      <c r="W478" t="str" cm="1">
        <f t="array" aca="1" ref="W478" ca="1">IFERROR(INDIRECT("$U"&amp;V478),"")</f>
        <v/>
      </c>
      <c r="Z478" t="str" cm="1">
        <f t="array" ref="Z478">INDEX($AE$2:$AS$40,MOD(ROW()-ROW($AE$2),ROWS($AE$2:$AS$40))+1,INT((ROW()-ROW($AE$2))/ROWS($AE$2:$AS$40))+1)</f>
        <v/>
      </c>
      <c r="AA478" t="e">
        <f t="shared" ca="1" si="55"/>
        <v>#N/A</v>
      </c>
      <c r="AB478" t="str" cm="1">
        <f t="array" aca="1" ref="AB478" ca="1">IFERROR(INDIRECT("$Z"&amp;AA478),"")</f>
        <v/>
      </c>
      <c r="AP478" t="str">
        <f t="shared" si="49"/>
        <v/>
      </c>
      <c r="AQ478" t="str">
        <f t="shared" si="50"/>
        <v/>
      </c>
      <c r="AR478" t="str">
        <f t="shared" si="51"/>
        <v/>
      </c>
      <c r="AS478" t="str">
        <f t="shared" si="52"/>
        <v/>
      </c>
    </row>
    <row r="479" spans="5:45" x14ac:dyDescent="0.25">
      <c r="E479" t="str">
        <f ca="1"/>
        <v/>
      </c>
      <c r="F479" t="str">
        <f ca="1"/>
        <v/>
      </c>
      <c r="P479" t="e" cm="1">
        <f t="array" ref="P479">INDEX($B$2:$D$40,MOD(ROW()-ROW($B$2),ROWS($B$2:$D$40))+1,INT((ROW()-ROW($B$2))/ROWS($B$2:$D$40))+1)</f>
        <v>#REF!</v>
      </c>
      <c r="Q479" t="e">
        <f t="shared" ca="1" si="53"/>
        <v>#N/A</v>
      </c>
      <c r="R479" t="str" cm="1">
        <f t="array" aca="1" ref="R479" ca="1">IFERROR(INDIRECT("$P"&amp;Q479),"")</f>
        <v/>
      </c>
      <c r="U479" t="e" cm="1">
        <f t="array" ref="U479">INDEX($C$2:$D$40,MOD(ROW()-ROW($C$2),ROWS($C$2:$D$40))+1,INT((ROW()-ROW($C$2))/ROWS($C$2:$D$40))+1)</f>
        <v>#REF!</v>
      </c>
      <c r="V479" t="e">
        <f t="shared" ca="1" si="54"/>
        <v>#N/A</v>
      </c>
      <c r="W479" t="str" cm="1">
        <f t="array" aca="1" ref="W479" ca="1">IFERROR(INDIRECT("$U"&amp;V479),"")</f>
        <v/>
      </c>
      <c r="Z479" t="str" cm="1">
        <f t="array" ref="Z479">INDEX($AE$2:$AS$40,MOD(ROW()-ROW($AE$2),ROWS($AE$2:$AS$40))+1,INT((ROW()-ROW($AE$2))/ROWS($AE$2:$AS$40))+1)</f>
        <v/>
      </c>
      <c r="AA479" t="e">
        <f t="shared" ca="1" si="55"/>
        <v>#N/A</v>
      </c>
      <c r="AB479" t="str" cm="1">
        <f t="array" aca="1" ref="AB479" ca="1">IFERROR(INDIRECT("$Z"&amp;AA479),"")</f>
        <v/>
      </c>
      <c r="AP479" t="str">
        <f t="shared" si="49"/>
        <v/>
      </c>
      <c r="AQ479" t="str">
        <f t="shared" si="50"/>
        <v/>
      </c>
      <c r="AR479" t="str">
        <f t="shared" si="51"/>
        <v/>
      </c>
      <c r="AS479" t="str">
        <f t="shared" si="52"/>
        <v/>
      </c>
    </row>
    <row r="480" spans="5:45" x14ac:dyDescent="0.25">
      <c r="E480" t="str">
        <f ca="1"/>
        <v/>
      </c>
      <c r="F480" t="str">
        <f ca="1"/>
        <v/>
      </c>
      <c r="P480" t="e" cm="1">
        <f t="array" ref="P480">INDEX($B$2:$D$40,MOD(ROW()-ROW($B$2),ROWS($B$2:$D$40))+1,INT((ROW()-ROW($B$2))/ROWS($B$2:$D$40))+1)</f>
        <v>#REF!</v>
      </c>
      <c r="Q480" t="e">
        <f t="shared" ca="1" si="53"/>
        <v>#N/A</v>
      </c>
      <c r="R480" t="str" cm="1">
        <f t="array" aca="1" ref="R480" ca="1">IFERROR(INDIRECT("$P"&amp;Q480),"")</f>
        <v/>
      </c>
      <c r="U480" t="e" cm="1">
        <f t="array" ref="U480">INDEX($C$2:$D$40,MOD(ROW()-ROW($C$2),ROWS($C$2:$D$40))+1,INT((ROW()-ROW($C$2))/ROWS($C$2:$D$40))+1)</f>
        <v>#REF!</v>
      </c>
      <c r="V480" t="e">
        <f t="shared" ca="1" si="54"/>
        <v>#N/A</v>
      </c>
      <c r="W480" t="str" cm="1">
        <f t="array" aca="1" ref="W480" ca="1">IFERROR(INDIRECT("$U"&amp;V480),"")</f>
        <v/>
      </c>
      <c r="Z480" t="str" cm="1">
        <f t="array" ref="Z480">INDEX($AE$2:$AS$40,MOD(ROW()-ROW($AE$2),ROWS($AE$2:$AS$40))+1,INT((ROW()-ROW($AE$2))/ROWS($AE$2:$AS$40))+1)</f>
        <v/>
      </c>
      <c r="AA480" t="e">
        <f t="shared" ca="1" si="55"/>
        <v>#N/A</v>
      </c>
      <c r="AB480" t="str" cm="1">
        <f t="array" aca="1" ref="AB480" ca="1">IFERROR(INDIRECT("$Z"&amp;AA480),"")</f>
        <v/>
      </c>
      <c r="AP480" t="str">
        <f t="shared" si="49"/>
        <v/>
      </c>
      <c r="AQ480" t="str">
        <f t="shared" si="50"/>
        <v/>
      </c>
      <c r="AR480" t="str">
        <f t="shared" si="51"/>
        <v/>
      </c>
      <c r="AS480" t="str">
        <f t="shared" si="52"/>
        <v/>
      </c>
    </row>
    <row r="481" spans="5:45" x14ac:dyDescent="0.25">
      <c r="E481" t="str">
        <f ca="1"/>
        <v/>
      </c>
      <c r="F481" t="str">
        <f ca="1"/>
        <v/>
      </c>
      <c r="P481" t="e" cm="1">
        <f t="array" ref="P481">INDEX($B$2:$D$40,MOD(ROW()-ROW($B$2),ROWS($B$2:$D$40))+1,INT((ROW()-ROW($B$2))/ROWS($B$2:$D$40))+1)</f>
        <v>#REF!</v>
      </c>
      <c r="Q481" t="e">
        <f t="shared" ca="1" si="53"/>
        <v>#N/A</v>
      </c>
      <c r="R481" t="str" cm="1">
        <f t="array" aca="1" ref="R481" ca="1">IFERROR(INDIRECT("$P"&amp;Q481),"")</f>
        <v/>
      </c>
      <c r="U481" t="e" cm="1">
        <f t="array" ref="U481">INDEX($C$2:$D$40,MOD(ROW()-ROW($C$2),ROWS($C$2:$D$40))+1,INT((ROW()-ROW($C$2))/ROWS($C$2:$D$40))+1)</f>
        <v>#REF!</v>
      </c>
      <c r="V481" t="e">
        <f t="shared" ca="1" si="54"/>
        <v>#N/A</v>
      </c>
      <c r="W481" t="str" cm="1">
        <f t="array" aca="1" ref="W481" ca="1">IFERROR(INDIRECT("$U"&amp;V481),"")</f>
        <v/>
      </c>
      <c r="Z481" t="str" cm="1">
        <f t="array" ref="Z481">INDEX($AE$2:$AS$40,MOD(ROW()-ROW($AE$2),ROWS($AE$2:$AS$40))+1,INT((ROW()-ROW($AE$2))/ROWS($AE$2:$AS$40))+1)</f>
        <v/>
      </c>
      <c r="AA481" t="e">
        <f t="shared" ca="1" si="55"/>
        <v>#N/A</v>
      </c>
      <c r="AB481" t="str" cm="1">
        <f t="array" aca="1" ref="AB481" ca="1">IFERROR(INDIRECT("$Z"&amp;AA481),"")</f>
        <v/>
      </c>
      <c r="AP481" t="str">
        <f t="shared" si="49"/>
        <v/>
      </c>
      <c r="AQ481" t="str">
        <f t="shared" si="50"/>
        <v/>
      </c>
      <c r="AR481" t="str">
        <f t="shared" si="51"/>
        <v/>
      </c>
      <c r="AS481" t="str">
        <f t="shared" si="52"/>
        <v/>
      </c>
    </row>
    <row r="482" spans="5:45" x14ac:dyDescent="0.25">
      <c r="E482" t="str">
        <f ca="1"/>
        <v/>
      </c>
      <c r="F482" t="str">
        <f ca="1"/>
        <v/>
      </c>
      <c r="P482" t="e" cm="1">
        <f t="array" ref="P482">INDEX($B$2:$D$40,MOD(ROW()-ROW($B$2),ROWS($B$2:$D$40))+1,INT((ROW()-ROW($B$2))/ROWS($B$2:$D$40))+1)</f>
        <v>#REF!</v>
      </c>
      <c r="Q482" t="e">
        <f t="shared" ca="1" si="53"/>
        <v>#N/A</v>
      </c>
      <c r="R482" t="str" cm="1">
        <f t="array" aca="1" ref="R482" ca="1">IFERROR(INDIRECT("$P"&amp;Q482),"")</f>
        <v/>
      </c>
      <c r="U482" t="e" cm="1">
        <f t="array" ref="U482">INDEX($C$2:$D$40,MOD(ROW()-ROW($C$2),ROWS($C$2:$D$40))+1,INT((ROW()-ROW($C$2))/ROWS($C$2:$D$40))+1)</f>
        <v>#REF!</v>
      </c>
      <c r="V482" t="e">
        <f t="shared" ca="1" si="54"/>
        <v>#N/A</v>
      </c>
      <c r="W482" t="str" cm="1">
        <f t="array" aca="1" ref="W482" ca="1">IFERROR(INDIRECT("$U"&amp;V482),"")</f>
        <v/>
      </c>
      <c r="Z482" t="str" cm="1">
        <f t="array" ref="Z482">INDEX($AE$2:$AS$40,MOD(ROW()-ROW($AE$2),ROWS($AE$2:$AS$40))+1,INT((ROW()-ROW($AE$2))/ROWS($AE$2:$AS$40))+1)</f>
        <v/>
      </c>
      <c r="AA482" t="e">
        <f t="shared" ca="1" si="55"/>
        <v>#N/A</v>
      </c>
      <c r="AB482" t="str" cm="1">
        <f t="array" aca="1" ref="AB482" ca="1">IFERROR(INDIRECT("$Z"&amp;AA482),"")</f>
        <v/>
      </c>
      <c r="AP482" t="str">
        <f t="shared" si="49"/>
        <v/>
      </c>
      <c r="AQ482" t="str">
        <f t="shared" si="50"/>
        <v/>
      </c>
      <c r="AR482" t="str">
        <f t="shared" si="51"/>
        <v/>
      </c>
      <c r="AS482" t="str">
        <f t="shared" si="52"/>
        <v/>
      </c>
    </row>
    <row r="483" spans="5:45" x14ac:dyDescent="0.25">
      <c r="E483" t="str">
        <f ca="1"/>
        <v/>
      </c>
      <c r="F483" t="str">
        <f ca="1"/>
        <v/>
      </c>
      <c r="P483" t="e" cm="1">
        <f t="array" ref="P483">INDEX($B$2:$D$40,MOD(ROW()-ROW($B$2),ROWS($B$2:$D$40))+1,INT((ROW()-ROW($B$2))/ROWS($B$2:$D$40))+1)</f>
        <v>#REF!</v>
      </c>
      <c r="Q483" t="e">
        <f t="shared" ca="1" si="53"/>
        <v>#N/A</v>
      </c>
      <c r="R483" t="str" cm="1">
        <f t="array" aca="1" ref="R483" ca="1">IFERROR(INDIRECT("$P"&amp;Q483),"")</f>
        <v/>
      </c>
      <c r="U483" t="e" cm="1">
        <f t="array" ref="U483">INDEX($C$2:$D$40,MOD(ROW()-ROW($C$2),ROWS($C$2:$D$40))+1,INT((ROW()-ROW($C$2))/ROWS($C$2:$D$40))+1)</f>
        <v>#REF!</v>
      </c>
      <c r="V483" t="e">
        <f t="shared" ca="1" si="54"/>
        <v>#N/A</v>
      </c>
      <c r="W483" t="str" cm="1">
        <f t="array" aca="1" ref="W483" ca="1">IFERROR(INDIRECT("$U"&amp;V483),"")</f>
        <v/>
      </c>
      <c r="Z483" t="str" cm="1">
        <f t="array" ref="Z483">INDEX($AE$2:$AS$40,MOD(ROW()-ROW($AE$2),ROWS($AE$2:$AS$40))+1,INT((ROW()-ROW($AE$2))/ROWS($AE$2:$AS$40))+1)</f>
        <v/>
      </c>
      <c r="AA483" t="e">
        <f t="shared" ca="1" si="55"/>
        <v>#N/A</v>
      </c>
      <c r="AB483" t="str" cm="1">
        <f t="array" aca="1" ref="AB483" ca="1">IFERROR(INDIRECT("$Z"&amp;AA483),"")</f>
        <v/>
      </c>
      <c r="AP483" t="str">
        <f t="shared" si="49"/>
        <v/>
      </c>
      <c r="AQ483" t="str">
        <f t="shared" si="50"/>
        <v/>
      </c>
      <c r="AR483" t="str">
        <f t="shared" si="51"/>
        <v/>
      </c>
      <c r="AS483" t="str">
        <f t="shared" si="52"/>
        <v/>
      </c>
    </row>
    <row r="484" spans="5:45" x14ac:dyDescent="0.25">
      <c r="E484" t="str">
        <f ca="1"/>
        <v/>
      </c>
      <c r="F484" t="str">
        <f ca="1"/>
        <v/>
      </c>
      <c r="P484" t="e" cm="1">
        <f t="array" ref="P484">INDEX($B$2:$D$40,MOD(ROW()-ROW($B$2),ROWS($B$2:$D$40))+1,INT((ROW()-ROW($B$2))/ROWS($B$2:$D$40))+1)</f>
        <v>#REF!</v>
      </c>
      <c r="Q484" t="e">
        <f t="shared" ca="1" si="53"/>
        <v>#N/A</v>
      </c>
      <c r="R484" t="str" cm="1">
        <f t="array" aca="1" ref="R484" ca="1">IFERROR(INDIRECT("$P"&amp;Q484),"")</f>
        <v/>
      </c>
      <c r="U484" t="e" cm="1">
        <f t="array" ref="U484">INDEX($C$2:$D$40,MOD(ROW()-ROW($C$2),ROWS($C$2:$D$40))+1,INT((ROW()-ROW($C$2))/ROWS($C$2:$D$40))+1)</f>
        <v>#REF!</v>
      </c>
      <c r="V484" t="e">
        <f t="shared" ca="1" si="54"/>
        <v>#N/A</v>
      </c>
      <c r="W484" t="str" cm="1">
        <f t="array" aca="1" ref="W484" ca="1">IFERROR(INDIRECT("$U"&amp;V484),"")</f>
        <v/>
      </c>
      <c r="Z484" t="str" cm="1">
        <f t="array" ref="Z484">INDEX($AE$2:$AS$40,MOD(ROW()-ROW($AE$2),ROWS($AE$2:$AS$40))+1,INT((ROW()-ROW($AE$2))/ROWS($AE$2:$AS$40))+1)</f>
        <v/>
      </c>
      <c r="AA484" t="e">
        <f t="shared" ca="1" si="55"/>
        <v>#N/A</v>
      </c>
      <c r="AB484" t="str" cm="1">
        <f t="array" aca="1" ref="AB484" ca="1">IFERROR(INDIRECT("$Z"&amp;AA484),"")</f>
        <v/>
      </c>
      <c r="AP484" t="str">
        <f t="shared" si="49"/>
        <v/>
      </c>
      <c r="AQ484" t="str">
        <f t="shared" si="50"/>
        <v/>
      </c>
      <c r="AR484" t="str">
        <f t="shared" si="51"/>
        <v/>
      </c>
      <c r="AS484" t="str">
        <f t="shared" si="52"/>
        <v/>
      </c>
    </row>
    <row r="485" spans="5:45" x14ac:dyDescent="0.25">
      <c r="E485" t="str">
        <f ca="1"/>
        <v/>
      </c>
      <c r="F485" t="str">
        <f ca="1"/>
        <v/>
      </c>
      <c r="P485" t="e" cm="1">
        <f t="array" ref="P485">INDEX($B$2:$D$40,MOD(ROW()-ROW($B$2),ROWS($B$2:$D$40))+1,INT((ROW()-ROW($B$2))/ROWS($B$2:$D$40))+1)</f>
        <v>#REF!</v>
      </c>
      <c r="Q485" t="e">
        <f t="shared" ca="1" si="53"/>
        <v>#N/A</v>
      </c>
      <c r="R485" t="str" cm="1">
        <f t="array" aca="1" ref="R485" ca="1">IFERROR(INDIRECT("$P"&amp;Q485),"")</f>
        <v/>
      </c>
      <c r="U485" t="e" cm="1">
        <f t="array" ref="U485">INDEX($C$2:$D$40,MOD(ROW()-ROW($C$2),ROWS($C$2:$D$40))+1,INT((ROW()-ROW($C$2))/ROWS($C$2:$D$40))+1)</f>
        <v>#REF!</v>
      </c>
      <c r="V485" t="e">
        <f t="shared" ca="1" si="54"/>
        <v>#N/A</v>
      </c>
      <c r="W485" t="str" cm="1">
        <f t="array" aca="1" ref="W485" ca="1">IFERROR(INDIRECT("$U"&amp;V485),"")</f>
        <v/>
      </c>
      <c r="Z485" t="str" cm="1">
        <f t="array" ref="Z485">INDEX($AE$2:$AS$40,MOD(ROW()-ROW($AE$2),ROWS($AE$2:$AS$40))+1,INT((ROW()-ROW($AE$2))/ROWS($AE$2:$AS$40))+1)</f>
        <v/>
      </c>
      <c r="AA485" t="e">
        <f t="shared" ca="1" si="55"/>
        <v>#N/A</v>
      </c>
      <c r="AB485" t="str" cm="1">
        <f t="array" aca="1" ref="AB485" ca="1">IFERROR(INDIRECT("$Z"&amp;AA485),"")</f>
        <v/>
      </c>
      <c r="AP485" t="str">
        <f t="shared" si="49"/>
        <v/>
      </c>
      <c r="AQ485" t="str">
        <f t="shared" si="50"/>
        <v/>
      </c>
      <c r="AR485" t="str">
        <f t="shared" si="51"/>
        <v/>
      </c>
      <c r="AS485" t="str">
        <f t="shared" si="52"/>
        <v/>
      </c>
    </row>
    <row r="486" spans="5:45" x14ac:dyDescent="0.25">
      <c r="E486" t="str">
        <f ca="1"/>
        <v/>
      </c>
      <c r="F486" t="str">
        <f ca="1"/>
        <v/>
      </c>
      <c r="P486" t="e" cm="1">
        <f t="array" ref="P486">INDEX($B$2:$D$40,MOD(ROW()-ROW($B$2),ROWS($B$2:$D$40))+1,INT((ROW()-ROW($B$2))/ROWS($B$2:$D$40))+1)</f>
        <v>#REF!</v>
      </c>
      <c r="Q486" t="e">
        <f t="shared" ca="1" si="53"/>
        <v>#N/A</v>
      </c>
      <c r="R486" t="str" cm="1">
        <f t="array" aca="1" ref="R486" ca="1">IFERROR(INDIRECT("$P"&amp;Q486),"")</f>
        <v/>
      </c>
      <c r="U486" t="e" cm="1">
        <f t="array" ref="U486">INDEX($C$2:$D$40,MOD(ROW()-ROW($C$2),ROWS($C$2:$D$40))+1,INT((ROW()-ROW($C$2))/ROWS($C$2:$D$40))+1)</f>
        <v>#REF!</v>
      </c>
      <c r="V486" t="e">
        <f t="shared" ca="1" si="54"/>
        <v>#N/A</v>
      </c>
      <c r="W486" t="str" cm="1">
        <f t="array" aca="1" ref="W486" ca="1">IFERROR(INDIRECT("$U"&amp;V486),"")</f>
        <v/>
      </c>
      <c r="Z486" t="str" cm="1">
        <f t="array" ref="Z486">INDEX($AE$2:$AS$40,MOD(ROW()-ROW($AE$2),ROWS($AE$2:$AS$40))+1,INT((ROW()-ROW($AE$2))/ROWS($AE$2:$AS$40))+1)</f>
        <v/>
      </c>
      <c r="AA486" t="e">
        <f t="shared" ca="1" si="55"/>
        <v>#N/A</v>
      </c>
      <c r="AB486" t="str" cm="1">
        <f t="array" aca="1" ref="AB486" ca="1">IFERROR(INDIRECT("$Z"&amp;AA486),"")</f>
        <v/>
      </c>
      <c r="AP486" t="str">
        <f t="shared" si="49"/>
        <v/>
      </c>
      <c r="AQ486" t="str">
        <f t="shared" si="50"/>
        <v/>
      </c>
      <c r="AR486" t="str">
        <f t="shared" si="51"/>
        <v/>
      </c>
      <c r="AS486" t="str">
        <f t="shared" si="52"/>
        <v/>
      </c>
    </row>
    <row r="487" spans="5:45" x14ac:dyDescent="0.25">
      <c r="E487" t="str">
        <f ca="1"/>
        <v/>
      </c>
      <c r="F487" t="str">
        <f ca="1"/>
        <v/>
      </c>
      <c r="P487" t="e" cm="1">
        <f t="array" ref="P487">INDEX($B$2:$D$40,MOD(ROW()-ROW($B$2),ROWS($B$2:$D$40))+1,INT((ROW()-ROW($B$2))/ROWS($B$2:$D$40))+1)</f>
        <v>#REF!</v>
      </c>
      <c r="Q487" t="e">
        <f t="shared" ca="1" si="53"/>
        <v>#N/A</v>
      </c>
      <c r="R487" t="str" cm="1">
        <f t="array" aca="1" ref="R487" ca="1">IFERROR(INDIRECT("$P"&amp;Q487),"")</f>
        <v/>
      </c>
      <c r="U487" t="e" cm="1">
        <f t="array" ref="U487">INDEX($C$2:$D$40,MOD(ROW()-ROW($C$2),ROWS($C$2:$D$40))+1,INT((ROW()-ROW($C$2))/ROWS($C$2:$D$40))+1)</f>
        <v>#REF!</v>
      </c>
      <c r="V487" t="e">
        <f t="shared" ca="1" si="54"/>
        <v>#N/A</v>
      </c>
      <c r="W487" t="str" cm="1">
        <f t="array" aca="1" ref="W487" ca="1">IFERROR(INDIRECT("$U"&amp;V487),"")</f>
        <v/>
      </c>
      <c r="Z487" t="str" cm="1">
        <f t="array" ref="Z487">INDEX($AE$2:$AS$40,MOD(ROW()-ROW($AE$2),ROWS($AE$2:$AS$40))+1,INT((ROW()-ROW($AE$2))/ROWS($AE$2:$AS$40))+1)</f>
        <v/>
      </c>
      <c r="AA487" t="e">
        <f t="shared" ca="1" si="55"/>
        <v>#N/A</v>
      </c>
      <c r="AB487" t="str" cm="1">
        <f t="array" aca="1" ref="AB487" ca="1">IFERROR(INDIRECT("$Z"&amp;AA487),"")</f>
        <v/>
      </c>
      <c r="AP487" t="str">
        <f t="shared" si="49"/>
        <v/>
      </c>
      <c r="AQ487" t="str">
        <f t="shared" si="50"/>
        <v/>
      </c>
      <c r="AR487" t="str">
        <f t="shared" si="51"/>
        <v/>
      </c>
      <c r="AS487" t="str">
        <f t="shared" si="52"/>
        <v/>
      </c>
    </row>
    <row r="488" spans="5:45" x14ac:dyDescent="0.25">
      <c r="E488" t="str">
        <f ca="1"/>
        <v/>
      </c>
      <c r="F488" t="str">
        <f ca="1"/>
        <v/>
      </c>
      <c r="P488" t="e" cm="1">
        <f t="array" ref="P488">INDEX($B$2:$D$40,MOD(ROW()-ROW($B$2),ROWS($B$2:$D$40))+1,INT((ROW()-ROW($B$2))/ROWS($B$2:$D$40))+1)</f>
        <v>#REF!</v>
      </c>
      <c r="Q488" t="e">
        <f t="shared" ca="1" si="53"/>
        <v>#N/A</v>
      </c>
      <c r="R488" t="str" cm="1">
        <f t="array" aca="1" ref="R488" ca="1">IFERROR(INDIRECT("$P"&amp;Q488),"")</f>
        <v/>
      </c>
      <c r="U488" t="e" cm="1">
        <f t="array" ref="U488">INDEX($C$2:$D$40,MOD(ROW()-ROW($C$2),ROWS($C$2:$D$40))+1,INT((ROW()-ROW($C$2))/ROWS($C$2:$D$40))+1)</f>
        <v>#REF!</v>
      </c>
      <c r="V488" t="e">
        <f t="shared" ca="1" si="54"/>
        <v>#N/A</v>
      </c>
      <c r="W488" t="str" cm="1">
        <f t="array" aca="1" ref="W488" ca="1">IFERROR(INDIRECT("$U"&amp;V488),"")</f>
        <v/>
      </c>
      <c r="Z488" t="str" cm="1">
        <f t="array" ref="Z488">INDEX($AE$2:$AS$40,MOD(ROW()-ROW($AE$2),ROWS($AE$2:$AS$40))+1,INT((ROW()-ROW($AE$2))/ROWS($AE$2:$AS$40))+1)</f>
        <v/>
      </c>
      <c r="AA488" t="e">
        <f t="shared" ca="1" si="55"/>
        <v>#N/A</v>
      </c>
      <c r="AB488" t="str" cm="1">
        <f t="array" aca="1" ref="AB488" ca="1">IFERROR(INDIRECT("$Z"&amp;AA488),"")</f>
        <v/>
      </c>
      <c r="AP488" t="str">
        <f t="shared" si="49"/>
        <v/>
      </c>
      <c r="AQ488" t="str">
        <f t="shared" si="50"/>
        <v/>
      </c>
      <c r="AR488" t="str">
        <f t="shared" si="51"/>
        <v/>
      </c>
      <c r="AS488" t="str">
        <f t="shared" si="52"/>
        <v/>
      </c>
    </row>
    <row r="489" spans="5:45" x14ac:dyDescent="0.25">
      <c r="E489" t="str">
        <f ca="1"/>
        <v/>
      </c>
      <c r="F489" t="str">
        <f ca="1"/>
        <v/>
      </c>
      <c r="P489" t="e" cm="1">
        <f t="array" ref="P489">INDEX($B$2:$D$40,MOD(ROW()-ROW($B$2),ROWS($B$2:$D$40))+1,INT((ROW()-ROW($B$2))/ROWS($B$2:$D$40))+1)</f>
        <v>#REF!</v>
      </c>
      <c r="Q489" t="e">
        <f t="shared" ca="1" si="53"/>
        <v>#N/A</v>
      </c>
      <c r="R489" t="str" cm="1">
        <f t="array" aca="1" ref="R489" ca="1">IFERROR(INDIRECT("$P"&amp;Q489),"")</f>
        <v/>
      </c>
      <c r="U489" t="e" cm="1">
        <f t="array" ref="U489">INDEX($C$2:$D$40,MOD(ROW()-ROW($C$2),ROWS($C$2:$D$40))+1,INT((ROW()-ROW($C$2))/ROWS($C$2:$D$40))+1)</f>
        <v>#REF!</v>
      </c>
      <c r="V489" t="e">
        <f t="shared" ca="1" si="54"/>
        <v>#N/A</v>
      </c>
      <c r="W489" t="str" cm="1">
        <f t="array" aca="1" ref="W489" ca="1">IFERROR(INDIRECT("$U"&amp;V489),"")</f>
        <v/>
      </c>
      <c r="Z489" t="str" cm="1">
        <f t="array" ref="Z489">INDEX($AE$2:$AS$40,MOD(ROW()-ROW($AE$2),ROWS($AE$2:$AS$40))+1,INT((ROW()-ROW($AE$2))/ROWS($AE$2:$AS$40))+1)</f>
        <v/>
      </c>
      <c r="AA489" t="e">
        <f t="shared" ca="1" si="55"/>
        <v>#N/A</v>
      </c>
      <c r="AB489" t="str" cm="1">
        <f t="array" aca="1" ref="AB489" ca="1">IFERROR(INDIRECT("$Z"&amp;AA489),"")</f>
        <v/>
      </c>
      <c r="AP489" t="str">
        <f t="shared" si="49"/>
        <v/>
      </c>
      <c r="AQ489" t="str">
        <f t="shared" si="50"/>
        <v/>
      </c>
      <c r="AR489" t="str">
        <f t="shared" si="51"/>
        <v/>
      </c>
      <c r="AS489" t="str">
        <f t="shared" si="52"/>
        <v/>
      </c>
    </row>
    <row r="490" spans="5:45" x14ac:dyDescent="0.25">
      <c r="E490" t="str">
        <f ca="1"/>
        <v/>
      </c>
      <c r="F490" t="str">
        <f ca="1"/>
        <v/>
      </c>
      <c r="P490" t="e" cm="1">
        <f t="array" ref="P490">INDEX($B$2:$D$40,MOD(ROW()-ROW($B$2),ROWS($B$2:$D$40))+1,INT((ROW()-ROW($B$2))/ROWS($B$2:$D$40))+1)</f>
        <v>#REF!</v>
      </c>
      <c r="Q490" t="e">
        <f t="shared" ca="1" si="53"/>
        <v>#N/A</v>
      </c>
      <c r="R490" t="str" cm="1">
        <f t="array" aca="1" ref="R490" ca="1">IFERROR(INDIRECT("$P"&amp;Q490),"")</f>
        <v/>
      </c>
      <c r="U490" t="e" cm="1">
        <f t="array" ref="U490">INDEX($C$2:$D$40,MOD(ROW()-ROW($C$2),ROWS($C$2:$D$40))+1,INT((ROW()-ROW($C$2))/ROWS($C$2:$D$40))+1)</f>
        <v>#REF!</v>
      </c>
      <c r="V490" t="e">
        <f t="shared" ca="1" si="54"/>
        <v>#N/A</v>
      </c>
      <c r="W490" t="str" cm="1">
        <f t="array" aca="1" ref="W490" ca="1">IFERROR(INDIRECT("$U"&amp;V490),"")</f>
        <v/>
      </c>
      <c r="Z490" t="str" cm="1">
        <f t="array" ref="Z490">INDEX($AE$2:$AS$40,MOD(ROW()-ROW($AE$2),ROWS($AE$2:$AS$40))+1,INT((ROW()-ROW($AE$2))/ROWS($AE$2:$AS$40))+1)</f>
        <v/>
      </c>
      <c r="AA490" t="e">
        <f t="shared" ca="1" si="55"/>
        <v>#N/A</v>
      </c>
      <c r="AB490" t="str" cm="1">
        <f t="array" aca="1" ref="AB490" ca="1">IFERROR(INDIRECT("$Z"&amp;AA490),"")</f>
        <v/>
      </c>
      <c r="AP490" t="str">
        <f t="shared" si="49"/>
        <v/>
      </c>
      <c r="AQ490" t="str">
        <f t="shared" si="50"/>
        <v/>
      </c>
      <c r="AR490" t="str">
        <f t="shared" si="51"/>
        <v/>
      </c>
      <c r="AS490" t="str">
        <f t="shared" si="52"/>
        <v/>
      </c>
    </row>
    <row r="491" spans="5:45" x14ac:dyDescent="0.25">
      <c r="E491" t="str">
        <f ca="1"/>
        <v/>
      </c>
      <c r="F491" t="str">
        <f ca="1"/>
        <v/>
      </c>
      <c r="P491" t="e" cm="1">
        <f t="array" ref="P491">INDEX($B$2:$D$40,MOD(ROW()-ROW($B$2),ROWS($B$2:$D$40))+1,INT((ROW()-ROW($B$2))/ROWS($B$2:$D$40))+1)</f>
        <v>#REF!</v>
      </c>
      <c r="Q491" t="e">
        <f t="shared" ca="1" si="53"/>
        <v>#N/A</v>
      </c>
      <c r="R491" t="str" cm="1">
        <f t="array" aca="1" ref="R491" ca="1">IFERROR(INDIRECT("$P"&amp;Q491),"")</f>
        <v/>
      </c>
      <c r="U491" t="e" cm="1">
        <f t="array" ref="U491">INDEX($C$2:$D$40,MOD(ROW()-ROW($C$2),ROWS($C$2:$D$40))+1,INT((ROW()-ROW($C$2))/ROWS($C$2:$D$40))+1)</f>
        <v>#REF!</v>
      </c>
      <c r="V491" t="e">
        <f t="shared" ca="1" si="54"/>
        <v>#N/A</v>
      </c>
      <c r="W491" t="str" cm="1">
        <f t="array" aca="1" ref="W491" ca="1">IFERROR(INDIRECT("$U"&amp;V491),"")</f>
        <v/>
      </c>
      <c r="Z491" t="str" cm="1">
        <f t="array" ref="Z491">INDEX($AE$2:$AS$40,MOD(ROW()-ROW($AE$2),ROWS($AE$2:$AS$40))+1,INT((ROW()-ROW($AE$2))/ROWS($AE$2:$AS$40))+1)</f>
        <v/>
      </c>
      <c r="AA491" t="e">
        <f t="shared" ca="1" si="55"/>
        <v>#N/A</v>
      </c>
      <c r="AB491" t="str" cm="1">
        <f t="array" aca="1" ref="AB491" ca="1">IFERROR(INDIRECT("$Z"&amp;AA491),"")</f>
        <v/>
      </c>
      <c r="AP491" t="str">
        <f t="shared" si="49"/>
        <v/>
      </c>
      <c r="AQ491" t="str">
        <f t="shared" si="50"/>
        <v/>
      </c>
      <c r="AR491" t="str">
        <f t="shared" si="51"/>
        <v/>
      </c>
      <c r="AS491" t="str">
        <f t="shared" si="52"/>
        <v/>
      </c>
    </row>
    <row r="492" spans="5:45" x14ac:dyDescent="0.25">
      <c r="E492" t="str">
        <f ca="1"/>
        <v/>
      </c>
      <c r="F492" t="str">
        <f ca="1"/>
        <v/>
      </c>
      <c r="P492" t="e" cm="1">
        <f t="array" ref="P492">INDEX($B$2:$D$40,MOD(ROW()-ROW($B$2),ROWS($B$2:$D$40))+1,INT((ROW()-ROW($B$2))/ROWS($B$2:$D$40))+1)</f>
        <v>#REF!</v>
      </c>
      <c r="Q492" t="e">
        <f t="shared" ca="1" si="53"/>
        <v>#N/A</v>
      </c>
      <c r="R492" t="str" cm="1">
        <f t="array" aca="1" ref="R492" ca="1">IFERROR(INDIRECT("$P"&amp;Q492),"")</f>
        <v/>
      </c>
      <c r="U492" t="e" cm="1">
        <f t="array" ref="U492">INDEX($C$2:$D$40,MOD(ROW()-ROW($C$2),ROWS($C$2:$D$40))+1,INT((ROW()-ROW($C$2))/ROWS($C$2:$D$40))+1)</f>
        <v>#REF!</v>
      </c>
      <c r="V492" t="e">
        <f t="shared" ca="1" si="54"/>
        <v>#N/A</v>
      </c>
      <c r="W492" t="str" cm="1">
        <f t="array" aca="1" ref="W492" ca="1">IFERROR(INDIRECT("$U"&amp;V492),"")</f>
        <v/>
      </c>
      <c r="Z492" t="str" cm="1">
        <f t="array" ref="Z492">INDEX($AE$2:$AS$40,MOD(ROW()-ROW($AE$2),ROWS($AE$2:$AS$40))+1,INT((ROW()-ROW($AE$2))/ROWS($AE$2:$AS$40))+1)</f>
        <v/>
      </c>
      <c r="AA492" t="e">
        <f t="shared" ca="1" si="55"/>
        <v>#N/A</v>
      </c>
      <c r="AB492" t="str" cm="1">
        <f t="array" aca="1" ref="AB492" ca="1">IFERROR(INDIRECT("$Z"&amp;AA492),"")</f>
        <v/>
      </c>
      <c r="AP492" t="str">
        <f t="shared" si="49"/>
        <v/>
      </c>
      <c r="AQ492" t="str">
        <f t="shared" si="50"/>
        <v/>
      </c>
      <c r="AR492" t="str">
        <f t="shared" si="51"/>
        <v/>
      </c>
      <c r="AS492" t="str">
        <f t="shared" si="52"/>
        <v/>
      </c>
    </row>
    <row r="493" spans="5:45" x14ac:dyDescent="0.25">
      <c r="E493" t="str">
        <f ca="1"/>
        <v/>
      </c>
      <c r="F493" t="str">
        <f ca="1"/>
        <v/>
      </c>
      <c r="P493" t="e" cm="1">
        <f t="array" ref="P493">INDEX($B$2:$D$40,MOD(ROW()-ROW($B$2),ROWS($B$2:$D$40))+1,INT((ROW()-ROW($B$2))/ROWS($B$2:$D$40))+1)</f>
        <v>#REF!</v>
      </c>
      <c r="Q493" t="e">
        <f t="shared" ca="1" si="53"/>
        <v>#N/A</v>
      </c>
      <c r="R493" t="str" cm="1">
        <f t="array" aca="1" ref="R493" ca="1">IFERROR(INDIRECT("$P"&amp;Q493),"")</f>
        <v/>
      </c>
      <c r="U493" t="e" cm="1">
        <f t="array" ref="U493">INDEX($C$2:$D$40,MOD(ROW()-ROW($C$2),ROWS($C$2:$D$40))+1,INT((ROW()-ROW($C$2))/ROWS($C$2:$D$40))+1)</f>
        <v>#REF!</v>
      </c>
      <c r="V493" t="e">
        <f t="shared" ca="1" si="54"/>
        <v>#N/A</v>
      </c>
      <c r="W493" t="str" cm="1">
        <f t="array" aca="1" ref="W493" ca="1">IFERROR(INDIRECT("$U"&amp;V493),"")</f>
        <v/>
      </c>
      <c r="Z493" t="str" cm="1">
        <f t="array" ref="Z493">INDEX($AE$2:$AS$40,MOD(ROW()-ROW($AE$2),ROWS($AE$2:$AS$40))+1,INT((ROW()-ROW($AE$2))/ROWS($AE$2:$AS$40))+1)</f>
        <v/>
      </c>
      <c r="AA493" t="e">
        <f t="shared" ca="1" si="55"/>
        <v>#N/A</v>
      </c>
      <c r="AB493" t="str" cm="1">
        <f t="array" aca="1" ref="AB493" ca="1">IFERROR(INDIRECT("$Z"&amp;AA493),"")</f>
        <v/>
      </c>
      <c r="AP493" t="str">
        <f t="shared" si="49"/>
        <v/>
      </c>
      <c r="AQ493" t="str">
        <f t="shared" si="50"/>
        <v/>
      </c>
      <c r="AR493" t="str">
        <f t="shared" si="51"/>
        <v/>
      </c>
      <c r="AS493" t="str">
        <f t="shared" si="52"/>
        <v/>
      </c>
    </row>
    <row r="494" spans="5:45" x14ac:dyDescent="0.25">
      <c r="E494" t="str">
        <f ca="1"/>
        <v/>
      </c>
      <c r="F494" t="str">
        <f ca="1"/>
        <v/>
      </c>
      <c r="P494" t="e" cm="1">
        <f t="array" ref="P494">INDEX($B$2:$D$40,MOD(ROW()-ROW($B$2),ROWS($B$2:$D$40))+1,INT((ROW()-ROW($B$2))/ROWS($B$2:$D$40))+1)</f>
        <v>#REF!</v>
      </c>
      <c r="Q494" t="e">
        <f t="shared" ca="1" si="53"/>
        <v>#N/A</v>
      </c>
      <c r="R494" t="str" cm="1">
        <f t="array" aca="1" ref="R494" ca="1">IFERROR(INDIRECT("$P"&amp;Q494),"")</f>
        <v/>
      </c>
      <c r="U494" t="e" cm="1">
        <f t="array" ref="U494">INDEX($C$2:$D$40,MOD(ROW()-ROW($C$2),ROWS($C$2:$D$40))+1,INT((ROW()-ROW($C$2))/ROWS($C$2:$D$40))+1)</f>
        <v>#REF!</v>
      </c>
      <c r="V494" t="e">
        <f t="shared" ca="1" si="54"/>
        <v>#N/A</v>
      </c>
      <c r="W494" t="str" cm="1">
        <f t="array" aca="1" ref="W494" ca="1">IFERROR(INDIRECT("$U"&amp;V494),"")</f>
        <v/>
      </c>
      <c r="Z494" t="str" cm="1">
        <f t="array" ref="Z494">INDEX($AE$2:$AS$40,MOD(ROW()-ROW($AE$2),ROWS($AE$2:$AS$40))+1,INT((ROW()-ROW($AE$2))/ROWS($AE$2:$AS$40))+1)</f>
        <v/>
      </c>
      <c r="AA494" t="e">
        <f t="shared" ca="1" si="55"/>
        <v>#N/A</v>
      </c>
      <c r="AB494" t="str" cm="1">
        <f t="array" aca="1" ref="AB494" ca="1">IFERROR(INDIRECT("$Z"&amp;AA494),"")</f>
        <v/>
      </c>
      <c r="AP494" t="str">
        <f t="shared" si="49"/>
        <v/>
      </c>
      <c r="AQ494" t="str">
        <f t="shared" si="50"/>
        <v/>
      </c>
      <c r="AR494" t="str">
        <f t="shared" si="51"/>
        <v/>
      </c>
      <c r="AS494" t="str">
        <f t="shared" si="52"/>
        <v/>
      </c>
    </row>
    <row r="495" spans="5:45" x14ac:dyDescent="0.25">
      <c r="E495" t="str">
        <f ca="1"/>
        <v/>
      </c>
      <c r="F495" t="str">
        <f ca="1"/>
        <v/>
      </c>
      <c r="P495" t="e" cm="1">
        <f t="array" ref="P495">INDEX($B$2:$D$40,MOD(ROW()-ROW($B$2),ROWS($B$2:$D$40))+1,INT((ROW()-ROW($B$2))/ROWS($B$2:$D$40))+1)</f>
        <v>#REF!</v>
      </c>
      <c r="Q495" t="e">
        <f t="shared" ca="1" si="53"/>
        <v>#N/A</v>
      </c>
      <c r="R495" t="str" cm="1">
        <f t="array" aca="1" ref="R495" ca="1">IFERROR(INDIRECT("$P"&amp;Q495),"")</f>
        <v/>
      </c>
      <c r="U495" t="e" cm="1">
        <f t="array" ref="U495">INDEX($C$2:$D$40,MOD(ROW()-ROW($C$2),ROWS($C$2:$D$40))+1,INT((ROW()-ROW($C$2))/ROWS($C$2:$D$40))+1)</f>
        <v>#REF!</v>
      </c>
      <c r="V495" t="e">
        <f t="shared" ca="1" si="54"/>
        <v>#N/A</v>
      </c>
      <c r="W495" t="str" cm="1">
        <f t="array" aca="1" ref="W495" ca="1">IFERROR(INDIRECT("$U"&amp;V495),"")</f>
        <v/>
      </c>
      <c r="Z495" t="str" cm="1">
        <f t="array" ref="Z495">INDEX($AE$2:$AS$40,MOD(ROW()-ROW($AE$2),ROWS($AE$2:$AS$40))+1,INT((ROW()-ROW($AE$2))/ROWS($AE$2:$AS$40))+1)</f>
        <v/>
      </c>
      <c r="AA495" t="e">
        <f t="shared" ca="1" si="55"/>
        <v>#N/A</v>
      </c>
      <c r="AB495" t="str" cm="1">
        <f t="array" aca="1" ref="AB495" ca="1">IFERROR(INDIRECT("$Z"&amp;AA495),"")</f>
        <v/>
      </c>
      <c r="AP495" t="str">
        <f t="shared" si="49"/>
        <v/>
      </c>
      <c r="AQ495" t="str">
        <f t="shared" si="50"/>
        <v/>
      </c>
      <c r="AR495" t="str">
        <f t="shared" si="51"/>
        <v/>
      </c>
      <c r="AS495" t="str">
        <f t="shared" si="52"/>
        <v/>
      </c>
    </row>
    <row r="496" spans="5:45" x14ac:dyDescent="0.25">
      <c r="E496" t="str">
        <f ca="1"/>
        <v/>
      </c>
      <c r="F496" t="str">
        <f ca="1"/>
        <v/>
      </c>
      <c r="P496" t="e" cm="1">
        <f t="array" ref="P496">INDEX($B$2:$D$40,MOD(ROW()-ROW($B$2),ROWS($B$2:$D$40))+1,INT((ROW()-ROW($B$2))/ROWS($B$2:$D$40))+1)</f>
        <v>#REF!</v>
      </c>
      <c r="Q496" t="e">
        <f t="shared" ca="1" si="53"/>
        <v>#N/A</v>
      </c>
      <c r="R496" t="str" cm="1">
        <f t="array" aca="1" ref="R496" ca="1">IFERROR(INDIRECT("$P"&amp;Q496),"")</f>
        <v/>
      </c>
      <c r="U496" t="e" cm="1">
        <f t="array" ref="U496">INDEX($C$2:$D$40,MOD(ROW()-ROW($C$2),ROWS($C$2:$D$40))+1,INT((ROW()-ROW($C$2))/ROWS($C$2:$D$40))+1)</f>
        <v>#REF!</v>
      </c>
      <c r="V496" t="e">
        <f t="shared" ca="1" si="54"/>
        <v>#N/A</v>
      </c>
      <c r="W496" t="str" cm="1">
        <f t="array" aca="1" ref="W496" ca="1">IFERROR(INDIRECT("$U"&amp;V496),"")</f>
        <v/>
      </c>
      <c r="Z496" t="str" cm="1">
        <f t="array" ref="Z496">INDEX($AE$2:$AS$40,MOD(ROW()-ROW($AE$2),ROWS($AE$2:$AS$40))+1,INT((ROW()-ROW($AE$2))/ROWS($AE$2:$AS$40))+1)</f>
        <v/>
      </c>
      <c r="AA496" t="e">
        <f t="shared" ca="1" si="55"/>
        <v>#N/A</v>
      </c>
      <c r="AB496" t="str" cm="1">
        <f t="array" aca="1" ref="AB496" ca="1">IFERROR(INDIRECT("$Z"&amp;AA496),"")</f>
        <v/>
      </c>
      <c r="AP496" t="str">
        <f t="shared" si="49"/>
        <v/>
      </c>
      <c r="AQ496" t="str">
        <f t="shared" si="50"/>
        <v/>
      </c>
      <c r="AR496" t="str">
        <f t="shared" si="51"/>
        <v/>
      </c>
      <c r="AS496" t="str">
        <f t="shared" si="52"/>
        <v/>
      </c>
    </row>
    <row r="497" spans="5:45" x14ac:dyDescent="0.25">
      <c r="E497" t="str">
        <f ca="1"/>
        <v/>
      </c>
      <c r="F497" t="str">
        <f ca="1"/>
        <v/>
      </c>
      <c r="P497" t="e" cm="1">
        <f t="array" ref="P497">INDEX($B$2:$D$40,MOD(ROW()-ROW($B$2),ROWS($B$2:$D$40))+1,INT((ROW()-ROW($B$2))/ROWS($B$2:$D$40))+1)</f>
        <v>#REF!</v>
      </c>
      <c r="Q497" t="e">
        <f t="shared" ca="1" si="53"/>
        <v>#N/A</v>
      </c>
      <c r="R497" t="str" cm="1">
        <f t="array" aca="1" ref="R497" ca="1">IFERROR(INDIRECT("$P"&amp;Q497),"")</f>
        <v/>
      </c>
      <c r="U497" t="e" cm="1">
        <f t="array" ref="U497">INDEX($C$2:$D$40,MOD(ROW()-ROW($C$2),ROWS($C$2:$D$40))+1,INT((ROW()-ROW($C$2))/ROWS($C$2:$D$40))+1)</f>
        <v>#REF!</v>
      </c>
      <c r="V497" t="e">
        <f t="shared" ca="1" si="54"/>
        <v>#N/A</v>
      </c>
      <c r="W497" t="str" cm="1">
        <f t="array" aca="1" ref="W497" ca="1">IFERROR(INDIRECT("$U"&amp;V497),"")</f>
        <v/>
      </c>
      <c r="Z497" t="str" cm="1">
        <f t="array" ref="Z497">INDEX($AE$2:$AS$40,MOD(ROW()-ROW($AE$2),ROWS($AE$2:$AS$40))+1,INT((ROW()-ROW($AE$2))/ROWS($AE$2:$AS$40))+1)</f>
        <v/>
      </c>
      <c r="AA497" t="e">
        <f t="shared" ca="1" si="55"/>
        <v>#N/A</v>
      </c>
      <c r="AB497" t="str" cm="1">
        <f t="array" aca="1" ref="AB497" ca="1">IFERROR(INDIRECT("$Z"&amp;AA497),"")</f>
        <v/>
      </c>
      <c r="AP497" t="str">
        <f t="shared" si="49"/>
        <v/>
      </c>
      <c r="AQ497" t="str">
        <f t="shared" si="50"/>
        <v/>
      </c>
      <c r="AR497" t="str">
        <f t="shared" si="51"/>
        <v/>
      </c>
      <c r="AS497" t="str">
        <f t="shared" si="52"/>
        <v/>
      </c>
    </row>
    <row r="498" spans="5:45" x14ac:dyDescent="0.25">
      <c r="E498" t="str">
        <f ca="1"/>
        <v/>
      </c>
      <c r="F498" t="str">
        <f ca="1"/>
        <v/>
      </c>
      <c r="P498" t="e" cm="1">
        <f t="array" ref="P498">INDEX($B$2:$D$40,MOD(ROW()-ROW($B$2),ROWS($B$2:$D$40))+1,INT((ROW()-ROW($B$2))/ROWS($B$2:$D$40))+1)</f>
        <v>#REF!</v>
      </c>
      <c r="Q498" t="e">
        <f t="shared" ca="1" si="53"/>
        <v>#N/A</v>
      </c>
      <c r="R498" t="str" cm="1">
        <f t="array" aca="1" ref="R498" ca="1">IFERROR(INDIRECT("$P"&amp;Q498),"")</f>
        <v/>
      </c>
      <c r="U498" t="e" cm="1">
        <f t="array" ref="U498">INDEX($C$2:$D$40,MOD(ROW()-ROW($C$2),ROWS($C$2:$D$40))+1,INT((ROW()-ROW($C$2))/ROWS($C$2:$D$40))+1)</f>
        <v>#REF!</v>
      </c>
      <c r="V498" t="e">
        <f t="shared" ca="1" si="54"/>
        <v>#N/A</v>
      </c>
      <c r="W498" t="str" cm="1">
        <f t="array" aca="1" ref="W498" ca="1">IFERROR(INDIRECT("$U"&amp;V498),"")</f>
        <v/>
      </c>
      <c r="Z498" t="str" cm="1">
        <f t="array" ref="Z498">INDEX($AE$2:$AS$40,MOD(ROW()-ROW($AE$2),ROWS($AE$2:$AS$40))+1,INT((ROW()-ROW($AE$2))/ROWS($AE$2:$AS$40))+1)</f>
        <v/>
      </c>
      <c r="AA498" t="e">
        <f t="shared" ca="1" si="55"/>
        <v>#N/A</v>
      </c>
      <c r="AB498" t="str" cm="1">
        <f t="array" aca="1" ref="AB498" ca="1">IFERROR(INDIRECT("$Z"&amp;AA498),"")</f>
        <v/>
      </c>
      <c r="AP498" t="str">
        <f t="shared" si="49"/>
        <v/>
      </c>
      <c r="AQ498" t="str">
        <f t="shared" si="50"/>
        <v/>
      </c>
      <c r="AR498" t="str">
        <f t="shared" si="51"/>
        <v/>
      </c>
      <c r="AS498" t="str">
        <f t="shared" si="52"/>
        <v/>
      </c>
    </row>
    <row r="499" spans="5:45" x14ac:dyDescent="0.25">
      <c r="E499" t="str">
        <f ca="1"/>
        <v/>
      </c>
      <c r="F499" t="str">
        <f ca="1"/>
        <v/>
      </c>
      <c r="P499" t="e" cm="1">
        <f t="array" ref="P499">INDEX($B$2:$D$40,MOD(ROW()-ROW($B$2),ROWS($B$2:$D$40))+1,INT((ROW()-ROW($B$2))/ROWS($B$2:$D$40))+1)</f>
        <v>#REF!</v>
      </c>
      <c r="Q499" t="e">
        <f t="shared" ca="1" si="53"/>
        <v>#N/A</v>
      </c>
      <c r="R499" t="str" cm="1">
        <f t="array" aca="1" ref="R499" ca="1">IFERROR(INDIRECT("$P"&amp;Q499),"")</f>
        <v/>
      </c>
      <c r="U499" t="e" cm="1">
        <f t="array" ref="U499">INDEX($C$2:$D$40,MOD(ROW()-ROW($C$2),ROWS($C$2:$D$40))+1,INT((ROW()-ROW($C$2))/ROWS($C$2:$D$40))+1)</f>
        <v>#REF!</v>
      </c>
      <c r="V499" t="e">
        <f t="shared" ca="1" si="54"/>
        <v>#N/A</v>
      </c>
      <c r="W499" t="str" cm="1">
        <f t="array" aca="1" ref="W499" ca="1">IFERROR(INDIRECT("$U"&amp;V499),"")</f>
        <v/>
      </c>
      <c r="Z499" t="str" cm="1">
        <f t="array" ref="Z499">INDEX($AE$2:$AS$40,MOD(ROW()-ROW($AE$2),ROWS($AE$2:$AS$40))+1,INT((ROW()-ROW($AE$2))/ROWS($AE$2:$AS$40))+1)</f>
        <v/>
      </c>
      <c r="AA499" t="e">
        <f t="shared" ca="1" si="55"/>
        <v>#N/A</v>
      </c>
      <c r="AB499" t="str" cm="1">
        <f t="array" aca="1" ref="AB499" ca="1">IFERROR(INDIRECT("$Z"&amp;AA499),"")</f>
        <v/>
      </c>
      <c r="AP499" t="str">
        <f t="shared" si="49"/>
        <v/>
      </c>
      <c r="AQ499" t="str">
        <f t="shared" si="50"/>
        <v/>
      </c>
      <c r="AR499" t="str">
        <f t="shared" si="51"/>
        <v/>
      </c>
      <c r="AS499" t="str">
        <f t="shared" si="52"/>
        <v/>
      </c>
    </row>
    <row r="500" spans="5:45" x14ac:dyDescent="0.25">
      <c r="E500" t="str">
        <f ca="1"/>
        <v/>
      </c>
      <c r="F500" t="str">
        <f ca="1"/>
        <v/>
      </c>
      <c r="P500" t="e" cm="1">
        <f t="array" ref="P500">INDEX($B$2:$D$40,MOD(ROW()-ROW($B$2),ROWS($B$2:$D$40))+1,INT((ROW()-ROW($B$2))/ROWS($B$2:$D$40))+1)</f>
        <v>#REF!</v>
      </c>
      <c r="Q500" t="e">
        <f t="shared" ca="1" si="53"/>
        <v>#N/A</v>
      </c>
      <c r="R500" t="str" cm="1">
        <f t="array" aca="1" ref="R500" ca="1">IFERROR(INDIRECT("$P"&amp;Q500),"")</f>
        <v/>
      </c>
      <c r="U500" t="e" cm="1">
        <f t="array" ref="U500">INDEX($C$2:$D$40,MOD(ROW()-ROW($C$2),ROWS($C$2:$D$40))+1,INT((ROW()-ROW($C$2))/ROWS($C$2:$D$40))+1)</f>
        <v>#REF!</v>
      </c>
      <c r="V500" t="e">
        <f t="shared" ca="1" si="54"/>
        <v>#N/A</v>
      </c>
      <c r="W500" t="str" cm="1">
        <f t="array" aca="1" ref="W500" ca="1">IFERROR(INDIRECT("$U"&amp;V500),"")</f>
        <v/>
      </c>
      <c r="Z500" t="str" cm="1">
        <f t="array" ref="Z500">INDEX($AE$2:$AS$40,MOD(ROW()-ROW($AE$2),ROWS($AE$2:$AS$40))+1,INT((ROW()-ROW($AE$2))/ROWS($AE$2:$AS$40))+1)</f>
        <v/>
      </c>
      <c r="AA500" t="e">
        <f t="shared" ca="1" si="55"/>
        <v>#N/A</v>
      </c>
      <c r="AB500" t="str" cm="1">
        <f t="array" aca="1" ref="AB500" ca="1">IFERROR(INDIRECT("$Z"&amp;AA500),"")</f>
        <v/>
      </c>
      <c r="AP500" t="str">
        <f t="shared" si="49"/>
        <v/>
      </c>
      <c r="AQ500" t="str">
        <f t="shared" si="50"/>
        <v/>
      </c>
      <c r="AR500" t="str">
        <f t="shared" si="51"/>
        <v/>
      </c>
      <c r="AS500" t="str">
        <f t="shared" si="52"/>
        <v/>
      </c>
    </row>
    <row r="501" spans="5:45" x14ac:dyDescent="0.25">
      <c r="E501" t="str">
        <f ca="1"/>
        <v/>
      </c>
      <c r="F501" t="str">
        <f ca="1"/>
        <v/>
      </c>
      <c r="P501" t="e" cm="1">
        <f t="array" ref="P501">INDEX($B$2:$D$40,MOD(ROW()-ROW($B$2),ROWS($B$2:$D$40))+1,INT((ROW()-ROW($B$2))/ROWS($B$2:$D$40))+1)</f>
        <v>#REF!</v>
      </c>
      <c r="Q501" t="e">
        <f t="shared" ca="1" si="53"/>
        <v>#N/A</v>
      </c>
      <c r="R501" t="str" cm="1">
        <f t="array" aca="1" ref="R501" ca="1">IFERROR(INDIRECT("$P"&amp;Q501),"")</f>
        <v/>
      </c>
      <c r="U501" t="e" cm="1">
        <f t="array" ref="U501">INDEX($C$2:$D$40,MOD(ROW()-ROW($C$2),ROWS($C$2:$D$40))+1,INT((ROW()-ROW($C$2))/ROWS($C$2:$D$40))+1)</f>
        <v>#REF!</v>
      </c>
      <c r="V501" t="e">
        <f t="shared" ca="1" si="54"/>
        <v>#N/A</v>
      </c>
      <c r="W501" t="str" cm="1">
        <f t="array" aca="1" ref="W501" ca="1">IFERROR(INDIRECT("$U"&amp;V501),"")</f>
        <v/>
      </c>
      <c r="Z501" t="str" cm="1">
        <f t="array" ref="Z501">INDEX($AE$2:$AS$40,MOD(ROW()-ROW($AE$2),ROWS($AE$2:$AS$40))+1,INT((ROW()-ROW($AE$2))/ROWS($AE$2:$AS$40))+1)</f>
        <v/>
      </c>
      <c r="AA501" t="e">
        <f t="shared" ca="1" si="55"/>
        <v>#N/A</v>
      </c>
      <c r="AB501" t="str" cm="1">
        <f t="array" aca="1" ref="AB501" ca="1">IFERROR(INDIRECT("$Z"&amp;AA501),"")</f>
        <v/>
      </c>
      <c r="AP501" t="str">
        <f t="shared" si="49"/>
        <v/>
      </c>
      <c r="AQ501" t="str">
        <f t="shared" si="50"/>
        <v/>
      </c>
      <c r="AR501" t="str">
        <f t="shared" si="51"/>
        <v/>
      </c>
      <c r="AS501" t="str">
        <f t="shared" si="52"/>
        <v/>
      </c>
    </row>
    <row r="502" spans="5:45" x14ac:dyDescent="0.25">
      <c r="E502" t="str">
        <f ca="1"/>
        <v/>
      </c>
      <c r="F502" t="str">
        <f ca="1"/>
        <v/>
      </c>
      <c r="P502" t="e" cm="1">
        <f t="array" ref="P502">INDEX($B$2:$D$40,MOD(ROW()-ROW($B$2),ROWS($B$2:$D$40))+1,INT((ROW()-ROW($B$2))/ROWS($B$2:$D$40))+1)</f>
        <v>#REF!</v>
      </c>
      <c r="Q502" t="e">
        <f t="shared" ca="1" si="53"/>
        <v>#N/A</v>
      </c>
      <c r="R502" t="str" cm="1">
        <f t="array" aca="1" ref="R502" ca="1">IFERROR(INDIRECT("$P"&amp;Q502),"")</f>
        <v/>
      </c>
      <c r="U502" t="e" cm="1">
        <f t="array" ref="U502">INDEX($C$2:$D$40,MOD(ROW()-ROW($C$2),ROWS($C$2:$D$40))+1,INT((ROW()-ROW($C$2))/ROWS($C$2:$D$40))+1)</f>
        <v>#REF!</v>
      </c>
      <c r="V502" t="e">
        <f t="shared" ca="1" si="54"/>
        <v>#N/A</v>
      </c>
      <c r="W502" t="str" cm="1">
        <f t="array" aca="1" ref="W502" ca="1">IFERROR(INDIRECT("$U"&amp;V502),"")</f>
        <v/>
      </c>
      <c r="Z502" t="str" cm="1">
        <f t="array" ref="Z502">INDEX($AE$2:$AS$40,MOD(ROW()-ROW($AE$2),ROWS($AE$2:$AS$40))+1,INT((ROW()-ROW($AE$2))/ROWS($AE$2:$AS$40))+1)</f>
        <v/>
      </c>
      <c r="AA502" t="e">
        <f t="shared" ca="1" si="55"/>
        <v>#N/A</v>
      </c>
      <c r="AB502" t="str" cm="1">
        <f t="array" aca="1" ref="AB502" ca="1">IFERROR(INDIRECT("$Z"&amp;AA502),"")</f>
        <v/>
      </c>
      <c r="AP502" t="str">
        <f t="shared" si="49"/>
        <v/>
      </c>
      <c r="AQ502" t="str">
        <f t="shared" si="50"/>
        <v/>
      </c>
      <c r="AR502" t="str">
        <f t="shared" si="51"/>
        <v/>
      </c>
      <c r="AS502" t="str">
        <f t="shared" si="52"/>
        <v/>
      </c>
    </row>
    <row r="503" spans="5:45" x14ac:dyDescent="0.25">
      <c r="E503" t="str">
        <f ca="1"/>
        <v/>
      </c>
      <c r="F503" t="str">
        <f ca="1"/>
        <v/>
      </c>
      <c r="P503" t="e" cm="1">
        <f t="array" ref="P503">INDEX($B$2:$D$40,MOD(ROW()-ROW($B$2),ROWS($B$2:$D$40))+1,INT((ROW()-ROW($B$2))/ROWS($B$2:$D$40))+1)</f>
        <v>#REF!</v>
      </c>
      <c r="Q503" t="e">
        <f t="shared" ca="1" si="53"/>
        <v>#N/A</v>
      </c>
      <c r="R503" t="str" cm="1">
        <f t="array" aca="1" ref="R503" ca="1">IFERROR(INDIRECT("$P"&amp;Q503),"")</f>
        <v/>
      </c>
      <c r="U503" t="e" cm="1">
        <f t="array" ref="U503">INDEX($C$2:$D$40,MOD(ROW()-ROW($C$2),ROWS($C$2:$D$40))+1,INT((ROW()-ROW($C$2))/ROWS($C$2:$D$40))+1)</f>
        <v>#REF!</v>
      </c>
      <c r="V503" t="e">
        <f t="shared" ca="1" si="54"/>
        <v>#N/A</v>
      </c>
      <c r="W503" t="str" cm="1">
        <f t="array" aca="1" ref="W503" ca="1">IFERROR(INDIRECT("$U"&amp;V503),"")</f>
        <v/>
      </c>
      <c r="Z503" t="str" cm="1">
        <f t="array" ref="Z503">INDEX($AE$2:$AS$40,MOD(ROW()-ROW($AE$2),ROWS($AE$2:$AS$40))+1,INT((ROW()-ROW($AE$2))/ROWS($AE$2:$AS$40))+1)</f>
        <v/>
      </c>
      <c r="AA503" t="e">
        <f t="shared" ca="1" si="55"/>
        <v>#N/A</v>
      </c>
      <c r="AB503" t="str" cm="1">
        <f t="array" aca="1" ref="AB503" ca="1">IFERROR(INDIRECT("$Z"&amp;AA503),"")</f>
        <v/>
      </c>
      <c r="AP503" t="str">
        <f t="shared" si="49"/>
        <v/>
      </c>
      <c r="AQ503" t="str">
        <f t="shared" si="50"/>
        <v/>
      </c>
      <c r="AR503" t="str">
        <f t="shared" si="51"/>
        <v/>
      </c>
      <c r="AS503" t="str">
        <f t="shared" si="52"/>
        <v/>
      </c>
    </row>
    <row r="504" spans="5:45" x14ac:dyDescent="0.25">
      <c r="E504" t="str">
        <f ca="1"/>
        <v/>
      </c>
      <c r="F504" t="str">
        <f ca="1"/>
        <v/>
      </c>
      <c r="P504" t="e" cm="1">
        <f t="array" ref="P504">INDEX($B$2:$D$40,MOD(ROW()-ROW($B$2),ROWS($B$2:$D$40))+1,INT((ROW()-ROW($B$2))/ROWS($B$2:$D$40))+1)</f>
        <v>#REF!</v>
      </c>
      <c r="Q504" t="e">
        <f t="shared" ca="1" si="53"/>
        <v>#N/A</v>
      </c>
      <c r="R504" t="str" cm="1">
        <f t="array" aca="1" ref="R504" ca="1">IFERROR(INDIRECT("$P"&amp;Q504),"")</f>
        <v/>
      </c>
      <c r="U504" t="e" cm="1">
        <f t="array" ref="U504">INDEX($C$2:$D$40,MOD(ROW()-ROW($C$2),ROWS($C$2:$D$40))+1,INT((ROW()-ROW($C$2))/ROWS($C$2:$D$40))+1)</f>
        <v>#REF!</v>
      </c>
      <c r="V504" t="e">
        <f t="shared" ca="1" si="54"/>
        <v>#N/A</v>
      </c>
      <c r="W504" t="str" cm="1">
        <f t="array" aca="1" ref="W504" ca="1">IFERROR(INDIRECT("$U"&amp;V504),"")</f>
        <v/>
      </c>
      <c r="Z504" t="str" cm="1">
        <f t="array" ref="Z504">INDEX($AE$2:$AS$40,MOD(ROW()-ROW($AE$2),ROWS($AE$2:$AS$40))+1,INT((ROW()-ROW($AE$2))/ROWS($AE$2:$AS$40))+1)</f>
        <v/>
      </c>
      <c r="AA504" t="e">
        <f t="shared" ca="1" si="55"/>
        <v>#N/A</v>
      </c>
      <c r="AB504" t="str" cm="1">
        <f t="array" aca="1" ref="AB504" ca="1">IFERROR(INDIRECT("$Z"&amp;AA504),"")</f>
        <v/>
      </c>
      <c r="AP504" t="str">
        <f t="shared" si="49"/>
        <v/>
      </c>
      <c r="AQ504" t="str">
        <f t="shared" si="50"/>
        <v/>
      </c>
      <c r="AR504" t="str">
        <f t="shared" si="51"/>
        <v/>
      </c>
      <c r="AS504" t="str">
        <f t="shared" si="52"/>
        <v/>
      </c>
    </row>
    <row r="505" spans="5:45" x14ac:dyDescent="0.25">
      <c r="E505" t="str">
        <f ca="1"/>
        <v/>
      </c>
      <c r="F505" t="str">
        <f ca="1"/>
        <v/>
      </c>
      <c r="P505" t="e" cm="1">
        <f t="array" ref="P505">INDEX($B$2:$D$40,MOD(ROW()-ROW($B$2),ROWS($B$2:$D$40))+1,INT((ROW()-ROW($B$2))/ROWS($B$2:$D$40))+1)</f>
        <v>#REF!</v>
      </c>
      <c r="Q505" t="e">
        <f t="shared" ca="1" si="53"/>
        <v>#N/A</v>
      </c>
      <c r="R505" t="str" cm="1">
        <f t="array" aca="1" ref="R505" ca="1">IFERROR(INDIRECT("$P"&amp;Q505),"")</f>
        <v/>
      </c>
      <c r="U505" t="e" cm="1">
        <f t="array" ref="U505">INDEX($C$2:$D$40,MOD(ROW()-ROW($C$2),ROWS($C$2:$D$40))+1,INT((ROW()-ROW($C$2))/ROWS($C$2:$D$40))+1)</f>
        <v>#REF!</v>
      </c>
      <c r="V505" t="e">
        <f t="shared" ca="1" si="54"/>
        <v>#N/A</v>
      </c>
      <c r="W505" t="str" cm="1">
        <f t="array" aca="1" ref="W505" ca="1">IFERROR(INDIRECT("$U"&amp;V505),"")</f>
        <v/>
      </c>
      <c r="Z505" t="str" cm="1">
        <f t="array" ref="Z505">INDEX($AE$2:$AS$40,MOD(ROW()-ROW($AE$2),ROWS($AE$2:$AS$40))+1,INT((ROW()-ROW($AE$2))/ROWS($AE$2:$AS$40))+1)</f>
        <v/>
      </c>
      <c r="AA505" t="e">
        <f t="shared" ca="1" si="55"/>
        <v>#N/A</v>
      </c>
      <c r="AB505" t="str" cm="1">
        <f t="array" aca="1" ref="AB505" ca="1">IFERROR(INDIRECT("$Z"&amp;AA505),"")</f>
        <v/>
      </c>
      <c r="AP505" t="str">
        <f t="shared" si="49"/>
        <v/>
      </c>
      <c r="AQ505" t="str">
        <f t="shared" si="50"/>
        <v/>
      </c>
      <c r="AR505" t="str">
        <f t="shared" si="51"/>
        <v/>
      </c>
      <c r="AS505" t="str">
        <f t="shared" si="52"/>
        <v/>
      </c>
    </row>
    <row r="506" spans="5:45" x14ac:dyDescent="0.25">
      <c r="E506" t="str">
        <f ca="1"/>
        <v/>
      </c>
      <c r="F506" t="str">
        <f ca="1"/>
        <v/>
      </c>
      <c r="P506" t="e" cm="1">
        <f t="array" ref="P506">INDEX($B$2:$D$40,MOD(ROW()-ROW($B$2),ROWS($B$2:$D$40))+1,INT((ROW()-ROW($B$2))/ROWS($B$2:$D$40))+1)</f>
        <v>#REF!</v>
      </c>
      <c r="Q506" t="e">
        <f t="shared" ca="1" si="53"/>
        <v>#N/A</v>
      </c>
      <c r="R506" t="str" cm="1">
        <f t="array" aca="1" ref="R506" ca="1">IFERROR(INDIRECT("$P"&amp;Q506),"")</f>
        <v/>
      </c>
      <c r="U506" t="e" cm="1">
        <f t="array" ref="U506">INDEX($C$2:$D$40,MOD(ROW()-ROW($C$2),ROWS($C$2:$D$40))+1,INT((ROW()-ROW($C$2))/ROWS($C$2:$D$40))+1)</f>
        <v>#REF!</v>
      </c>
      <c r="V506" t="e">
        <f t="shared" ca="1" si="54"/>
        <v>#N/A</v>
      </c>
      <c r="W506" t="str" cm="1">
        <f t="array" aca="1" ref="W506" ca="1">IFERROR(INDIRECT("$U"&amp;V506),"")</f>
        <v/>
      </c>
      <c r="Z506" t="str" cm="1">
        <f t="array" ref="Z506">INDEX($AE$2:$AS$40,MOD(ROW()-ROW($AE$2),ROWS($AE$2:$AS$40))+1,INT((ROW()-ROW($AE$2))/ROWS($AE$2:$AS$40))+1)</f>
        <v/>
      </c>
      <c r="AA506" t="e">
        <f t="shared" ca="1" si="55"/>
        <v>#N/A</v>
      </c>
      <c r="AB506" t="str" cm="1">
        <f t="array" aca="1" ref="AB506" ca="1">IFERROR(INDIRECT("$Z"&amp;AA506),"")</f>
        <v/>
      </c>
      <c r="AP506" t="str">
        <f t="shared" si="49"/>
        <v/>
      </c>
      <c r="AQ506" t="str">
        <f t="shared" si="50"/>
        <v/>
      </c>
      <c r="AR506" t="str">
        <f t="shared" si="51"/>
        <v/>
      </c>
      <c r="AS506" t="str">
        <f t="shared" si="52"/>
        <v/>
      </c>
    </row>
    <row r="507" spans="5:45" x14ac:dyDescent="0.25">
      <c r="E507" t="str">
        <f ca="1"/>
        <v/>
      </c>
      <c r="F507" t="str">
        <f ca="1"/>
        <v/>
      </c>
      <c r="P507" t="e" cm="1">
        <f t="array" ref="P507">INDEX($B$2:$D$40,MOD(ROW()-ROW($B$2),ROWS($B$2:$D$40))+1,INT((ROW()-ROW($B$2))/ROWS($B$2:$D$40))+1)</f>
        <v>#REF!</v>
      </c>
      <c r="Q507" t="e">
        <f t="shared" ca="1" si="53"/>
        <v>#N/A</v>
      </c>
      <c r="R507" t="str" cm="1">
        <f t="array" aca="1" ref="R507" ca="1">IFERROR(INDIRECT("$P"&amp;Q507),"")</f>
        <v/>
      </c>
      <c r="U507" t="e" cm="1">
        <f t="array" ref="U507">INDEX($C$2:$D$40,MOD(ROW()-ROW($C$2),ROWS($C$2:$D$40))+1,INT((ROW()-ROW($C$2))/ROWS($C$2:$D$40))+1)</f>
        <v>#REF!</v>
      </c>
      <c r="V507" t="e">
        <f t="shared" ca="1" si="54"/>
        <v>#N/A</v>
      </c>
      <c r="W507" t="str" cm="1">
        <f t="array" aca="1" ref="W507" ca="1">IFERROR(INDIRECT("$U"&amp;V507),"")</f>
        <v/>
      </c>
      <c r="Z507" t="str" cm="1">
        <f t="array" ref="Z507">INDEX($AE$2:$AS$40,MOD(ROW()-ROW($AE$2),ROWS($AE$2:$AS$40))+1,INT((ROW()-ROW($AE$2))/ROWS($AE$2:$AS$40))+1)</f>
        <v/>
      </c>
      <c r="AA507" t="e">
        <f t="shared" ca="1" si="55"/>
        <v>#N/A</v>
      </c>
      <c r="AB507" t="str" cm="1">
        <f t="array" aca="1" ref="AB507" ca="1">IFERROR(INDIRECT("$Z"&amp;AA507),"")</f>
        <v/>
      </c>
      <c r="AP507" t="str">
        <f t="shared" si="49"/>
        <v/>
      </c>
      <c r="AQ507" t="str">
        <f t="shared" si="50"/>
        <v/>
      </c>
      <c r="AR507" t="str">
        <f t="shared" si="51"/>
        <v/>
      </c>
      <c r="AS507" t="str">
        <f t="shared" si="52"/>
        <v/>
      </c>
    </row>
    <row r="508" spans="5:45" x14ac:dyDescent="0.25">
      <c r="E508" t="str">
        <f ca="1"/>
        <v/>
      </c>
      <c r="F508" t="str">
        <f ca="1"/>
        <v/>
      </c>
      <c r="P508" t="e" cm="1">
        <f t="array" ref="P508">INDEX($B$2:$D$40,MOD(ROW()-ROW($B$2),ROWS($B$2:$D$40))+1,INT((ROW()-ROW($B$2))/ROWS($B$2:$D$40))+1)</f>
        <v>#REF!</v>
      </c>
      <c r="Q508" t="e">
        <f t="shared" ca="1" si="53"/>
        <v>#N/A</v>
      </c>
      <c r="R508" t="str" cm="1">
        <f t="array" aca="1" ref="R508" ca="1">IFERROR(INDIRECT("$P"&amp;Q508),"")</f>
        <v/>
      </c>
      <c r="U508" t="e" cm="1">
        <f t="array" ref="U508">INDEX($C$2:$D$40,MOD(ROW()-ROW($C$2),ROWS($C$2:$D$40))+1,INT((ROW()-ROW($C$2))/ROWS($C$2:$D$40))+1)</f>
        <v>#REF!</v>
      </c>
      <c r="V508" t="e">
        <f t="shared" ca="1" si="54"/>
        <v>#N/A</v>
      </c>
      <c r="W508" t="str" cm="1">
        <f t="array" aca="1" ref="W508" ca="1">IFERROR(INDIRECT("$U"&amp;V508),"")</f>
        <v/>
      </c>
      <c r="Z508" t="str" cm="1">
        <f t="array" ref="Z508">INDEX($AE$2:$AS$40,MOD(ROW()-ROW($AE$2),ROWS($AE$2:$AS$40))+1,INT((ROW()-ROW($AE$2))/ROWS($AE$2:$AS$40))+1)</f>
        <v/>
      </c>
      <c r="AA508" t="e">
        <f t="shared" ca="1" si="55"/>
        <v>#N/A</v>
      </c>
      <c r="AB508" t="str" cm="1">
        <f t="array" aca="1" ref="AB508" ca="1">IFERROR(INDIRECT("$Z"&amp;AA508),"")</f>
        <v/>
      </c>
      <c r="AP508" t="str">
        <f t="shared" si="49"/>
        <v/>
      </c>
      <c r="AQ508" t="str">
        <f t="shared" si="50"/>
        <v/>
      </c>
      <c r="AR508" t="str">
        <f t="shared" si="51"/>
        <v/>
      </c>
      <c r="AS508" t="str">
        <f t="shared" si="52"/>
        <v/>
      </c>
    </row>
    <row r="509" spans="5:45" x14ac:dyDescent="0.25">
      <c r="E509" t="str">
        <f ca="1"/>
        <v/>
      </c>
      <c r="F509" t="str">
        <f ca="1"/>
        <v/>
      </c>
      <c r="P509" t="e" cm="1">
        <f t="array" ref="P509">INDEX($B$2:$D$40,MOD(ROW()-ROW($B$2),ROWS($B$2:$D$40))+1,INT((ROW()-ROW($B$2))/ROWS($B$2:$D$40))+1)</f>
        <v>#REF!</v>
      </c>
      <c r="Q509" t="e">
        <f t="shared" ca="1" si="53"/>
        <v>#N/A</v>
      </c>
      <c r="R509" t="str" cm="1">
        <f t="array" aca="1" ref="R509" ca="1">IFERROR(INDIRECT("$P"&amp;Q509),"")</f>
        <v/>
      </c>
      <c r="U509" t="e" cm="1">
        <f t="array" ref="U509">INDEX($C$2:$D$40,MOD(ROW()-ROW($C$2),ROWS($C$2:$D$40))+1,INT((ROW()-ROW($C$2))/ROWS($C$2:$D$40))+1)</f>
        <v>#REF!</v>
      </c>
      <c r="V509" t="e">
        <f t="shared" ca="1" si="54"/>
        <v>#N/A</v>
      </c>
      <c r="W509" t="str" cm="1">
        <f t="array" aca="1" ref="W509" ca="1">IFERROR(INDIRECT("$U"&amp;V509),"")</f>
        <v/>
      </c>
      <c r="Z509" t="str" cm="1">
        <f t="array" aca="1" ref="Z509" ca="1">INDEX($AE$2:$AS$40,MOD(ROW()-ROW($AE$2),ROWS($AE$2:$AS$40))+1,INT((ROW()-ROW($AE$2))/ROWS($AE$2:$AS$40))+1)</f>
        <v>HF04_heat_exchanger (supply)</v>
      </c>
      <c r="AA509" t="e">
        <f t="shared" ca="1" si="55"/>
        <v>#N/A</v>
      </c>
      <c r="AB509" t="str" cm="1">
        <f t="array" aca="1" ref="AB509" ca="1">IFERROR(INDIRECT("$Z"&amp;AA509),"")</f>
        <v/>
      </c>
      <c r="AP509" t="str">
        <f t="shared" si="49"/>
        <v/>
      </c>
      <c r="AQ509" t="str">
        <f t="shared" si="50"/>
        <v/>
      </c>
      <c r="AR509" t="str">
        <f t="shared" si="51"/>
        <v/>
      </c>
      <c r="AS509" t="str">
        <f t="shared" si="52"/>
        <v/>
      </c>
    </row>
    <row r="510" spans="5:45" x14ac:dyDescent="0.25">
      <c r="E510" t="str">
        <f ca="1"/>
        <v/>
      </c>
      <c r="F510" t="str">
        <f ca="1"/>
        <v/>
      </c>
      <c r="P510" t="e" cm="1">
        <f t="array" ref="P510">INDEX($B$2:$D$40,MOD(ROW()-ROW($B$2),ROWS($B$2:$D$40))+1,INT((ROW()-ROW($B$2))/ROWS($B$2:$D$40))+1)</f>
        <v>#REF!</v>
      </c>
      <c r="Q510" t="e">
        <f t="shared" ca="1" si="53"/>
        <v>#N/A</v>
      </c>
      <c r="R510" t="str" cm="1">
        <f t="array" aca="1" ref="R510" ca="1">IFERROR(INDIRECT("$P"&amp;Q510),"")</f>
        <v/>
      </c>
      <c r="U510" t="e" cm="1">
        <f t="array" ref="U510">INDEX($C$2:$D$40,MOD(ROW()-ROW($C$2),ROWS($C$2:$D$40))+1,INT((ROW()-ROW($C$2))/ROWS($C$2:$D$40))+1)</f>
        <v>#REF!</v>
      </c>
      <c r="V510" t="e">
        <f t="shared" ca="1" si="54"/>
        <v>#N/A</v>
      </c>
      <c r="W510" t="str" cm="1">
        <f t="array" aca="1" ref="W510" ca="1">IFERROR(INDIRECT("$U"&amp;V510),"")</f>
        <v/>
      </c>
      <c r="Z510" t="str" cm="1">
        <f t="array" ref="Z510">INDEX($AE$2:$AS$40,MOD(ROW()-ROW($AE$2),ROWS($AE$2:$AS$40))+1,INT((ROW()-ROW($AE$2))/ROWS($AE$2:$AS$40))+1)</f>
        <v/>
      </c>
      <c r="AA510" t="e">
        <f t="shared" ca="1" si="55"/>
        <v>#N/A</v>
      </c>
      <c r="AB510" t="str" cm="1">
        <f t="array" aca="1" ref="AB510" ca="1">IFERROR(INDIRECT("$Z"&amp;AA510),"")</f>
        <v/>
      </c>
      <c r="AP510" t="str">
        <f t="shared" si="49"/>
        <v/>
      </c>
      <c r="AQ510" t="str">
        <f t="shared" si="50"/>
        <v/>
      </c>
      <c r="AR510" t="str">
        <f t="shared" si="51"/>
        <v/>
      </c>
      <c r="AS510" t="str">
        <f t="shared" si="52"/>
        <v/>
      </c>
    </row>
    <row r="511" spans="5:45" x14ac:dyDescent="0.25">
      <c r="E511" t="str">
        <f ca="1"/>
        <v/>
      </c>
      <c r="F511" t="str">
        <f ca="1"/>
        <v/>
      </c>
      <c r="P511" t="e" cm="1">
        <f t="array" ref="P511">INDEX($B$2:$D$40,MOD(ROW()-ROW($B$2),ROWS($B$2:$D$40))+1,INT((ROW()-ROW($B$2))/ROWS($B$2:$D$40))+1)</f>
        <v>#REF!</v>
      </c>
      <c r="Q511" t="e">
        <f t="shared" ca="1" si="53"/>
        <v>#N/A</v>
      </c>
      <c r="R511" t="str" cm="1">
        <f t="array" aca="1" ref="R511" ca="1">IFERROR(INDIRECT("$P"&amp;Q511),"")</f>
        <v/>
      </c>
      <c r="U511" t="e" cm="1">
        <f t="array" ref="U511">INDEX($C$2:$D$40,MOD(ROW()-ROW($C$2),ROWS($C$2:$D$40))+1,INT((ROW()-ROW($C$2))/ROWS($C$2:$D$40))+1)</f>
        <v>#REF!</v>
      </c>
      <c r="V511" t="e">
        <f t="shared" ca="1" si="54"/>
        <v>#N/A</v>
      </c>
      <c r="W511" t="str" cm="1">
        <f t="array" aca="1" ref="W511" ca="1">IFERROR(INDIRECT("$U"&amp;V511),"")</f>
        <v/>
      </c>
      <c r="Z511" t="str" cm="1">
        <f t="array" ref="Z511">INDEX($AE$2:$AS$40,MOD(ROW()-ROW($AE$2),ROWS($AE$2:$AS$40))+1,INT((ROW()-ROW($AE$2))/ROWS($AE$2:$AS$40))+1)</f>
        <v/>
      </c>
      <c r="AA511" t="e">
        <f t="shared" ca="1" si="55"/>
        <v>#N/A</v>
      </c>
      <c r="AB511" t="str" cm="1">
        <f t="array" aca="1" ref="AB511" ca="1">IFERROR(INDIRECT("$Z"&amp;AA511),"")</f>
        <v/>
      </c>
      <c r="AP511" t="str">
        <f t="shared" si="49"/>
        <v/>
      </c>
      <c r="AQ511" t="str">
        <f t="shared" si="50"/>
        <v/>
      </c>
      <c r="AR511" t="str">
        <f t="shared" si="51"/>
        <v/>
      </c>
      <c r="AS511" t="str">
        <f t="shared" si="52"/>
        <v/>
      </c>
    </row>
    <row r="512" spans="5:45" x14ac:dyDescent="0.25">
      <c r="E512" t="str">
        <f ca="1"/>
        <v/>
      </c>
      <c r="F512" t="str">
        <f ca="1"/>
        <v/>
      </c>
      <c r="P512" t="e" cm="1">
        <f t="array" ref="P512">INDEX($B$2:$D$40,MOD(ROW()-ROW($B$2),ROWS($B$2:$D$40))+1,INT((ROW()-ROW($B$2))/ROWS($B$2:$D$40))+1)</f>
        <v>#REF!</v>
      </c>
      <c r="Q512" t="e">
        <f t="shared" ca="1" si="53"/>
        <v>#N/A</v>
      </c>
      <c r="R512" t="str" cm="1">
        <f t="array" aca="1" ref="R512" ca="1">IFERROR(INDIRECT("$P"&amp;Q512),"")</f>
        <v/>
      </c>
      <c r="U512" t="e" cm="1">
        <f t="array" ref="U512">INDEX($C$2:$D$40,MOD(ROW()-ROW($C$2),ROWS($C$2:$D$40))+1,INT((ROW()-ROW($C$2))/ROWS($C$2:$D$40))+1)</f>
        <v>#REF!</v>
      </c>
      <c r="V512" t="e">
        <f t="shared" ca="1" si="54"/>
        <v>#N/A</v>
      </c>
      <c r="W512" t="str" cm="1">
        <f t="array" aca="1" ref="W512" ca="1">IFERROR(INDIRECT("$U"&amp;V512),"")</f>
        <v/>
      </c>
      <c r="Z512" t="str" cm="1">
        <f t="array" ref="Z512">INDEX($AE$2:$AS$40,MOD(ROW()-ROW($AE$2),ROWS($AE$2:$AS$40))+1,INT((ROW()-ROW($AE$2))/ROWS($AE$2:$AS$40))+1)</f>
        <v/>
      </c>
      <c r="AA512" t="e">
        <f t="shared" ca="1" si="55"/>
        <v>#N/A</v>
      </c>
      <c r="AB512" t="str" cm="1">
        <f t="array" aca="1" ref="AB512" ca="1">IFERROR(INDIRECT("$Z"&amp;AA512),"")</f>
        <v/>
      </c>
      <c r="AP512" t="str">
        <f t="shared" si="49"/>
        <v/>
      </c>
      <c r="AQ512" t="str">
        <f t="shared" si="50"/>
        <v/>
      </c>
      <c r="AR512" t="str">
        <f t="shared" si="51"/>
        <v/>
      </c>
      <c r="AS512" t="str">
        <f t="shared" si="52"/>
        <v/>
      </c>
    </row>
    <row r="513" spans="5:45" x14ac:dyDescent="0.25">
      <c r="E513" t="str">
        <f ca="1"/>
        <v/>
      </c>
      <c r="F513" t="str">
        <f ca="1"/>
        <v/>
      </c>
      <c r="P513" t="e" cm="1">
        <f t="array" ref="P513">INDEX($B$2:$D$40,MOD(ROW()-ROW($B$2),ROWS($B$2:$D$40))+1,INT((ROW()-ROW($B$2))/ROWS($B$2:$D$40))+1)</f>
        <v>#REF!</v>
      </c>
      <c r="Q513" t="e">
        <f t="shared" ca="1" si="53"/>
        <v>#N/A</v>
      </c>
      <c r="R513" t="str" cm="1">
        <f t="array" aca="1" ref="R513" ca="1">IFERROR(INDIRECT("$P"&amp;Q513),"")</f>
        <v/>
      </c>
      <c r="U513" t="e" cm="1">
        <f t="array" ref="U513">INDEX($C$2:$D$40,MOD(ROW()-ROW($C$2),ROWS($C$2:$D$40))+1,INT((ROW()-ROW($C$2))/ROWS($C$2:$D$40))+1)</f>
        <v>#REF!</v>
      </c>
      <c r="V513" t="e">
        <f t="shared" ca="1" si="54"/>
        <v>#N/A</v>
      </c>
      <c r="W513" t="str" cm="1">
        <f t="array" aca="1" ref="W513" ca="1">IFERROR(INDIRECT("$U"&amp;V513),"")</f>
        <v/>
      </c>
      <c r="Z513" t="str" cm="1">
        <f t="array" ref="Z513">INDEX($AE$2:$AS$40,MOD(ROW()-ROW($AE$2),ROWS($AE$2:$AS$40))+1,INT((ROW()-ROW($AE$2))/ROWS($AE$2:$AS$40))+1)</f>
        <v/>
      </c>
      <c r="AA513" t="e">
        <f t="shared" ca="1" si="55"/>
        <v>#N/A</v>
      </c>
      <c r="AB513" t="str" cm="1">
        <f t="array" aca="1" ref="AB513" ca="1">IFERROR(INDIRECT("$Z"&amp;AA513),"")</f>
        <v/>
      </c>
      <c r="AP513" t="str">
        <f t="shared" si="49"/>
        <v/>
      </c>
      <c r="AQ513" t="str">
        <f t="shared" si="50"/>
        <v/>
      </c>
      <c r="AR513" t="str">
        <f t="shared" si="51"/>
        <v/>
      </c>
      <c r="AS513" t="str">
        <f t="shared" si="52"/>
        <v/>
      </c>
    </row>
    <row r="514" spans="5:45" x14ac:dyDescent="0.25">
      <c r="E514" t="str">
        <f ca="1"/>
        <v/>
      </c>
      <c r="F514" t="str">
        <f ca="1"/>
        <v/>
      </c>
      <c r="P514" t="e" cm="1">
        <f t="array" ref="P514">INDEX($B$2:$D$40,MOD(ROW()-ROW($B$2),ROWS($B$2:$D$40))+1,INT((ROW()-ROW($B$2))/ROWS($B$2:$D$40))+1)</f>
        <v>#REF!</v>
      </c>
      <c r="Q514" t="e">
        <f t="shared" ca="1" si="53"/>
        <v>#N/A</v>
      </c>
      <c r="R514" t="str" cm="1">
        <f t="array" aca="1" ref="R514" ca="1">IFERROR(INDIRECT("$P"&amp;Q514),"")</f>
        <v/>
      </c>
      <c r="U514" t="e" cm="1">
        <f t="array" ref="U514">INDEX($C$2:$D$40,MOD(ROW()-ROW($C$2),ROWS($C$2:$D$40))+1,INT((ROW()-ROW($C$2))/ROWS($C$2:$D$40))+1)</f>
        <v>#REF!</v>
      </c>
      <c r="V514" t="e">
        <f t="shared" ca="1" si="54"/>
        <v>#N/A</v>
      </c>
      <c r="W514" t="str" cm="1">
        <f t="array" aca="1" ref="W514" ca="1">IFERROR(INDIRECT("$U"&amp;V514),"")</f>
        <v/>
      </c>
      <c r="Z514" t="str" cm="1">
        <f t="array" ref="Z514">INDEX($AE$2:$AS$40,MOD(ROW()-ROW($AE$2),ROWS($AE$2:$AS$40))+1,INT((ROW()-ROW($AE$2))/ROWS($AE$2:$AS$40))+1)</f>
        <v/>
      </c>
      <c r="AA514" t="e">
        <f t="shared" ca="1" si="55"/>
        <v>#N/A</v>
      </c>
      <c r="AB514" t="str" cm="1">
        <f t="array" aca="1" ref="AB514" ca="1">IFERROR(INDIRECT("$Z"&amp;AA514),"")</f>
        <v/>
      </c>
      <c r="AP514" t="str">
        <f t="shared" si="49"/>
        <v/>
      </c>
      <c r="AQ514" t="str">
        <f t="shared" si="50"/>
        <v/>
      </c>
      <c r="AR514" t="str">
        <f t="shared" si="51"/>
        <v/>
      </c>
      <c r="AS514" t="str">
        <f t="shared" si="52"/>
        <v/>
      </c>
    </row>
    <row r="515" spans="5:45" x14ac:dyDescent="0.25">
      <c r="E515" t="str">
        <f ca="1"/>
        <v/>
      </c>
      <c r="F515" t="str">
        <f ca="1"/>
        <v/>
      </c>
      <c r="P515" t="e" cm="1">
        <f t="array" ref="P515">INDEX($B$2:$D$40,MOD(ROW()-ROW($B$2),ROWS($B$2:$D$40))+1,INT((ROW()-ROW($B$2))/ROWS($B$2:$D$40))+1)</f>
        <v>#REF!</v>
      </c>
      <c r="Q515" t="e">
        <f t="shared" ca="1" si="53"/>
        <v>#N/A</v>
      </c>
      <c r="R515" t="str" cm="1">
        <f t="array" aca="1" ref="R515" ca="1">IFERROR(INDIRECT("$P"&amp;Q515),"")</f>
        <v/>
      </c>
      <c r="U515" t="e" cm="1">
        <f t="array" ref="U515">INDEX($C$2:$D$40,MOD(ROW()-ROW($C$2),ROWS($C$2:$D$40))+1,INT((ROW()-ROW($C$2))/ROWS($C$2:$D$40))+1)</f>
        <v>#REF!</v>
      </c>
      <c r="V515" t="e">
        <f t="shared" ca="1" si="54"/>
        <v>#N/A</v>
      </c>
      <c r="W515" t="str" cm="1">
        <f t="array" aca="1" ref="W515" ca="1">IFERROR(INDIRECT("$U"&amp;V515),"")</f>
        <v/>
      </c>
      <c r="Z515" t="str" cm="1">
        <f t="array" ref="Z515">INDEX($AE$2:$AS$40,MOD(ROW()-ROW($AE$2),ROWS($AE$2:$AS$40))+1,INT((ROW()-ROW($AE$2))/ROWS($AE$2:$AS$40))+1)</f>
        <v/>
      </c>
      <c r="AA515" t="e">
        <f t="shared" ca="1" si="55"/>
        <v>#N/A</v>
      </c>
      <c r="AB515" t="str" cm="1">
        <f t="array" aca="1" ref="AB515" ca="1">IFERROR(INDIRECT("$Z"&amp;AA515),"")</f>
        <v/>
      </c>
      <c r="AP515" t="str">
        <f t="shared" ref="AP515:AP578" si="56">IF(AI515&lt;&gt;"", _xlfn.CONCAT(AI515, " (airside)"), "")</f>
        <v/>
      </c>
      <c r="AQ515" t="str">
        <f t="shared" ref="AQ515:AQ578" si="57">IF(AI515&lt;&gt;"", _xlfn.CONCAT(AI515, " (waterside)"), "")</f>
        <v/>
      </c>
      <c r="AR515" t="str">
        <f t="shared" ref="AR515:AR578" si="58">IF(AJ515&lt;&gt;"", _xlfn.CONCAT(AJ515, " (supply)"), "")</f>
        <v/>
      </c>
      <c r="AS515" t="str">
        <f t="shared" ref="AS515:AS578" si="59">IF(AJ515&lt;&gt;"", _xlfn.CONCAT(AJ515, " (exhaust)"), "")</f>
        <v/>
      </c>
    </row>
    <row r="516" spans="5:45" x14ac:dyDescent="0.25">
      <c r="E516" t="str">
        <f ca="1"/>
        <v/>
      </c>
      <c r="F516" t="str">
        <f ca="1"/>
        <v/>
      </c>
      <c r="P516" t="e" cm="1">
        <f t="array" ref="P516">INDEX($B$2:$D$40,MOD(ROW()-ROW($B$2),ROWS($B$2:$D$40))+1,INT((ROW()-ROW($B$2))/ROWS($B$2:$D$40))+1)</f>
        <v>#REF!</v>
      </c>
      <c r="Q516" t="e">
        <f t="shared" ref="Q516:Q579" ca="1" si="60">MATCH("*",INDIRECT(ADDRESS(Q515+1,16,1)&amp;":$P$1000"),0)+Q515</f>
        <v>#N/A</v>
      </c>
      <c r="R516" t="str" cm="1">
        <f t="array" aca="1" ref="R516" ca="1">IFERROR(INDIRECT("$P"&amp;Q516),"")</f>
        <v/>
      </c>
      <c r="U516" t="e" cm="1">
        <f t="array" ref="U516">INDEX($C$2:$D$40,MOD(ROW()-ROW($C$2),ROWS($C$2:$D$40))+1,INT((ROW()-ROW($C$2))/ROWS($C$2:$D$40))+1)</f>
        <v>#REF!</v>
      </c>
      <c r="V516" t="e">
        <f t="shared" ref="V516:V579" ca="1" si="61">MATCH("*",INDIRECT(ADDRESS(V515+1,21,1)&amp;":$U$1000"),0)+V515</f>
        <v>#N/A</v>
      </c>
      <c r="W516" t="str" cm="1">
        <f t="array" aca="1" ref="W516" ca="1">IFERROR(INDIRECT("$U"&amp;V516),"")</f>
        <v/>
      </c>
      <c r="Z516" t="str" cm="1">
        <f t="array" ref="Z516">INDEX($AE$2:$AS$40,MOD(ROW()-ROW($AE$2),ROWS($AE$2:$AS$40))+1,INT((ROW()-ROW($AE$2))/ROWS($AE$2:$AS$40))+1)</f>
        <v/>
      </c>
      <c r="AA516" t="e">
        <f t="shared" ref="AA516:AA579" ca="1" si="62">MATCH("*",INDIRECT(ADDRESS(AA515+1,26,1)&amp;":$Z$1000"),0)+AA515</f>
        <v>#N/A</v>
      </c>
      <c r="AB516" t="str" cm="1">
        <f t="array" aca="1" ref="AB516" ca="1">IFERROR(INDIRECT("$Z"&amp;AA516),"")</f>
        <v/>
      </c>
      <c r="AP516" t="str">
        <f t="shared" si="56"/>
        <v/>
      </c>
      <c r="AQ516" t="str">
        <f t="shared" si="57"/>
        <v/>
      </c>
      <c r="AR516" t="str">
        <f t="shared" si="58"/>
        <v/>
      </c>
      <c r="AS516" t="str">
        <f t="shared" si="59"/>
        <v/>
      </c>
    </row>
    <row r="517" spans="5:45" x14ac:dyDescent="0.25">
      <c r="E517" t="str">
        <f ca="1"/>
        <v/>
      </c>
      <c r="F517" t="str">
        <f ca="1"/>
        <v/>
      </c>
      <c r="P517" t="e" cm="1">
        <f t="array" ref="P517">INDEX($B$2:$D$40,MOD(ROW()-ROW($B$2),ROWS($B$2:$D$40))+1,INT((ROW()-ROW($B$2))/ROWS($B$2:$D$40))+1)</f>
        <v>#REF!</v>
      </c>
      <c r="Q517" t="e">
        <f t="shared" ca="1" si="60"/>
        <v>#N/A</v>
      </c>
      <c r="R517" t="str" cm="1">
        <f t="array" aca="1" ref="R517" ca="1">IFERROR(INDIRECT("$P"&amp;Q517),"")</f>
        <v/>
      </c>
      <c r="U517" t="e" cm="1">
        <f t="array" ref="U517">INDEX($C$2:$D$40,MOD(ROW()-ROW($C$2),ROWS($C$2:$D$40))+1,INT((ROW()-ROW($C$2))/ROWS($C$2:$D$40))+1)</f>
        <v>#REF!</v>
      </c>
      <c r="V517" t="e">
        <f t="shared" ca="1" si="61"/>
        <v>#N/A</v>
      </c>
      <c r="W517" t="str" cm="1">
        <f t="array" aca="1" ref="W517" ca="1">IFERROR(INDIRECT("$U"&amp;V517),"")</f>
        <v/>
      </c>
      <c r="Z517" t="str" cm="1">
        <f t="array" ref="Z517">INDEX($AE$2:$AS$40,MOD(ROW()-ROW($AE$2),ROWS($AE$2:$AS$40))+1,INT((ROW()-ROW($AE$2))/ROWS($AE$2:$AS$40))+1)</f>
        <v/>
      </c>
      <c r="AA517" t="e">
        <f t="shared" ca="1" si="62"/>
        <v>#N/A</v>
      </c>
      <c r="AB517" t="str" cm="1">
        <f t="array" aca="1" ref="AB517" ca="1">IFERROR(INDIRECT("$Z"&amp;AA517),"")</f>
        <v/>
      </c>
      <c r="AP517" t="str">
        <f t="shared" si="56"/>
        <v/>
      </c>
      <c r="AQ517" t="str">
        <f t="shared" si="57"/>
        <v/>
      </c>
      <c r="AR517" t="str">
        <f t="shared" si="58"/>
        <v/>
      </c>
      <c r="AS517" t="str">
        <f t="shared" si="59"/>
        <v/>
      </c>
    </row>
    <row r="518" spans="5:45" x14ac:dyDescent="0.25">
      <c r="E518" t="str">
        <f ca="1"/>
        <v/>
      </c>
      <c r="F518" t="str">
        <f ca="1"/>
        <v/>
      </c>
      <c r="P518" t="e" cm="1">
        <f t="array" ref="P518">INDEX($B$2:$D$40,MOD(ROW()-ROW($B$2),ROWS($B$2:$D$40))+1,INT((ROW()-ROW($B$2))/ROWS($B$2:$D$40))+1)</f>
        <v>#REF!</v>
      </c>
      <c r="Q518" t="e">
        <f t="shared" ca="1" si="60"/>
        <v>#N/A</v>
      </c>
      <c r="R518" t="str" cm="1">
        <f t="array" aca="1" ref="R518" ca="1">IFERROR(INDIRECT("$P"&amp;Q518),"")</f>
        <v/>
      </c>
      <c r="U518" t="e" cm="1">
        <f t="array" ref="U518">INDEX($C$2:$D$40,MOD(ROW()-ROW($C$2),ROWS($C$2:$D$40))+1,INT((ROW()-ROW($C$2))/ROWS($C$2:$D$40))+1)</f>
        <v>#REF!</v>
      </c>
      <c r="V518" t="e">
        <f t="shared" ca="1" si="61"/>
        <v>#N/A</v>
      </c>
      <c r="W518" t="str" cm="1">
        <f t="array" aca="1" ref="W518" ca="1">IFERROR(INDIRECT("$U"&amp;V518),"")</f>
        <v/>
      </c>
      <c r="Z518" t="str" cm="1">
        <f t="array" ref="Z518">INDEX($AE$2:$AS$40,MOD(ROW()-ROW($AE$2),ROWS($AE$2:$AS$40))+1,INT((ROW()-ROW($AE$2))/ROWS($AE$2:$AS$40))+1)</f>
        <v/>
      </c>
      <c r="AA518" t="e">
        <f t="shared" ca="1" si="62"/>
        <v>#N/A</v>
      </c>
      <c r="AB518" t="str" cm="1">
        <f t="array" aca="1" ref="AB518" ca="1">IFERROR(INDIRECT("$Z"&amp;AA518),"")</f>
        <v/>
      </c>
      <c r="AP518" t="str">
        <f t="shared" si="56"/>
        <v/>
      </c>
      <c r="AQ518" t="str">
        <f t="shared" si="57"/>
        <v/>
      </c>
      <c r="AR518" t="str">
        <f t="shared" si="58"/>
        <v/>
      </c>
      <c r="AS518" t="str">
        <f t="shared" si="59"/>
        <v/>
      </c>
    </row>
    <row r="519" spans="5:45" x14ac:dyDescent="0.25">
      <c r="E519" t="str">
        <f ca="1"/>
        <v/>
      </c>
      <c r="F519" t="str">
        <f ca="1"/>
        <v/>
      </c>
      <c r="P519" t="e" cm="1">
        <f t="array" ref="P519">INDEX($B$2:$D$40,MOD(ROW()-ROW($B$2),ROWS($B$2:$D$40))+1,INT((ROW()-ROW($B$2))/ROWS($B$2:$D$40))+1)</f>
        <v>#REF!</v>
      </c>
      <c r="Q519" t="e">
        <f t="shared" ca="1" si="60"/>
        <v>#N/A</v>
      </c>
      <c r="R519" t="str" cm="1">
        <f t="array" aca="1" ref="R519" ca="1">IFERROR(INDIRECT("$P"&amp;Q519),"")</f>
        <v/>
      </c>
      <c r="U519" t="e" cm="1">
        <f t="array" ref="U519">INDEX($C$2:$D$40,MOD(ROW()-ROW($C$2),ROWS($C$2:$D$40))+1,INT((ROW()-ROW($C$2))/ROWS($C$2:$D$40))+1)</f>
        <v>#REF!</v>
      </c>
      <c r="V519" t="e">
        <f t="shared" ca="1" si="61"/>
        <v>#N/A</v>
      </c>
      <c r="W519" t="str" cm="1">
        <f t="array" aca="1" ref="W519" ca="1">IFERROR(INDIRECT("$U"&amp;V519),"")</f>
        <v/>
      </c>
      <c r="Z519" t="str" cm="1">
        <f t="array" ref="Z519">INDEX($AE$2:$AS$40,MOD(ROW()-ROW($AE$2),ROWS($AE$2:$AS$40))+1,INT((ROW()-ROW($AE$2))/ROWS($AE$2:$AS$40))+1)</f>
        <v/>
      </c>
      <c r="AA519" t="e">
        <f t="shared" ca="1" si="62"/>
        <v>#N/A</v>
      </c>
      <c r="AB519" t="str" cm="1">
        <f t="array" aca="1" ref="AB519" ca="1">IFERROR(INDIRECT("$Z"&amp;AA519),"")</f>
        <v/>
      </c>
      <c r="AP519" t="str">
        <f t="shared" si="56"/>
        <v/>
      </c>
      <c r="AQ519" t="str">
        <f t="shared" si="57"/>
        <v/>
      </c>
      <c r="AR519" t="str">
        <f t="shared" si="58"/>
        <v/>
      </c>
      <c r="AS519" t="str">
        <f t="shared" si="59"/>
        <v/>
      </c>
    </row>
    <row r="520" spans="5:45" x14ac:dyDescent="0.25">
      <c r="E520" t="str">
        <f ca="1"/>
        <v/>
      </c>
      <c r="F520" t="str">
        <f ca="1"/>
        <v/>
      </c>
      <c r="P520" t="e" cm="1">
        <f t="array" ref="P520">INDEX($B$2:$D$40,MOD(ROW()-ROW($B$2),ROWS($B$2:$D$40))+1,INT((ROW()-ROW($B$2))/ROWS($B$2:$D$40))+1)</f>
        <v>#REF!</v>
      </c>
      <c r="Q520" t="e">
        <f t="shared" ca="1" si="60"/>
        <v>#N/A</v>
      </c>
      <c r="R520" t="str" cm="1">
        <f t="array" aca="1" ref="R520" ca="1">IFERROR(INDIRECT("$P"&amp;Q520),"")</f>
        <v/>
      </c>
      <c r="U520" t="e" cm="1">
        <f t="array" ref="U520">INDEX($C$2:$D$40,MOD(ROW()-ROW($C$2),ROWS($C$2:$D$40))+1,INT((ROW()-ROW($C$2))/ROWS($C$2:$D$40))+1)</f>
        <v>#REF!</v>
      </c>
      <c r="V520" t="e">
        <f t="shared" ca="1" si="61"/>
        <v>#N/A</v>
      </c>
      <c r="W520" t="str" cm="1">
        <f t="array" aca="1" ref="W520" ca="1">IFERROR(INDIRECT("$U"&amp;V520),"")</f>
        <v/>
      </c>
      <c r="Z520" t="str" cm="1">
        <f t="array" ref="Z520">INDEX($AE$2:$AS$40,MOD(ROW()-ROW($AE$2),ROWS($AE$2:$AS$40))+1,INT((ROW()-ROW($AE$2))/ROWS($AE$2:$AS$40))+1)</f>
        <v/>
      </c>
      <c r="AA520" t="e">
        <f t="shared" ca="1" si="62"/>
        <v>#N/A</v>
      </c>
      <c r="AB520" t="str" cm="1">
        <f t="array" aca="1" ref="AB520" ca="1">IFERROR(INDIRECT("$Z"&amp;AA520),"")</f>
        <v/>
      </c>
      <c r="AP520" t="str">
        <f t="shared" si="56"/>
        <v/>
      </c>
      <c r="AQ520" t="str">
        <f t="shared" si="57"/>
        <v/>
      </c>
      <c r="AR520" t="str">
        <f t="shared" si="58"/>
        <v/>
      </c>
      <c r="AS520" t="str">
        <f t="shared" si="59"/>
        <v/>
      </c>
    </row>
    <row r="521" spans="5:45" x14ac:dyDescent="0.25">
      <c r="E521" t="str">
        <f ca="1"/>
        <v/>
      </c>
      <c r="F521" t="str">
        <f ca="1"/>
        <v/>
      </c>
      <c r="P521" t="e" cm="1">
        <f t="array" ref="P521">INDEX($B$2:$D$40,MOD(ROW()-ROW($B$2),ROWS($B$2:$D$40))+1,INT((ROW()-ROW($B$2))/ROWS($B$2:$D$40))+1)</f>
        <v>#REF!</v>
      </c>
      <c r="Q521" t="e">
        <f t="shared" ca="1" si="60"/>
        <v>#N/A</v>
      </c>
      <c r="R521" t="str" cm="1">
        <f t="array" aca="1" ref="R521" ca="1">IFERROR(INDIRECT("$P"&amp;Q521),"")</f>
        <v/>
      </c>
      <c r="U521" t="e" cm="1">
        <f t="array" ref="U521">INDEX($C$2:$D$40,MOD(ROW()-ROW($C$2),ROWS($C$2:$D$40))+1,INT((ROW()-ROW($C$2))/ROWS($C$2:$D$40))+1)</f>
        <v>#REF!</v>
      </c>
      <c r="V521" t="e">
        <f t="shared" ca="1" si="61"/>
        <v>#N/A</v>
      </c>
      <c r="W521" t="str" cm="1">
        <f t="array" aca="1" ref="W521" ca="1">IFERROR(INDIRECT("$U"&amp;V521),"")</f>
        <v/>
      </c>
      <c r="Z521" t="str" cm="1">
        <f t="array" ref="Z521">INDEX($AE$2:$AS$40,MOD(ROW()-ROW($AE$2),ROWS($AE$2:$AS$40))+1,INT((ROW()-ROW($AE$2))/ROWS($AE$2:$AS$40))+1)</f>
        <v/>
      </c>
      <c r="AA521" t="e">
        <f t="shared" ca="1" si="62"/>
        <v>#N/A</v>
      </c>
      <c r="AB521" t="str" cm="1">
        <f t="array" aca="1" ref="AB521" ca="1">IFERROR(INDIRECT("$Z"&amp;AA521),"")</f>
        <v/>
      </c>
      <c r="AP521" t="str">
        <f t="shared" si="56"/>
        <v/>
      </c>
      <c r="AQ521" t="str">
        <f t="shared" si="57"/>
        <v/>
      </c>
      <c r="AR521" t="str">
        <f t="shared" si="58"/>
        <v/>
      </c>
      <c r="AS521" t="str">
        <f t="shared" si="59"/>
        <v/>
      </c>
    </row>
    <row r="522" spans="5:45" x14ac:dyDescent="0.25">
      <c r="E522" t="str">
        <f ca="1"/>
        <v/>
      </c>
      <c r="F522" t="str">
        <f ca="1"/>
        <v/>
      </c>
      <c r="P522" t="e" cm="1">
        <f t="array" ref="P522">INDEX($B$2:$D$40,MOD(ROW()-ROW($B$2),ROWS($B$2:$D$40))+1,INT((ROW()-ROW($B$2))/ROWS($B$2:$D$40))+1)</f>
        <v>#REF!</v>
      </c>
      <c r="Q522" t="e">
        <f t="shared" ca="1" si="60"/>
        <v>#N/A</v>
      </c>
      <c r="R522" t="str" cm="1">
        <f t="array" aca="1" ref="R522" ca="1">IFERROR(INDIRECT("$P"&amp;Q522),"")</f>
        <v/>
      </c>
      <c r="U522" t="e" cm="1">
        <f t="array" ref="U522">INDEX($C$2:$D$40,MOD(ROW()-ROW($C$2),ROWS($C$2:$D$40))+1,INT((ROW()-ROW($C$2))/ROWS($C$2:$D$40))+1)</f>
        <v>#REF!</v>
      </c>
      <c r="V522" t="e">
        <f t="shared" ca="1" si="61"/>
        <v>#N/A</v>
      </c>
      <c r="W522" t="str" cm="1">
        <f t="array" aca="1" ref="W522" ca="1">IFERROR(INDIRECT("$U"&amp;V522),"")</f>
        <v/>
      </c>
      <c r="Z522" t="str" cm="1">
        <f t="array" ref="Z522">INDEX($AE$2:$AS$40,MOD(ROW()-ROW($AE$2),ROWS($AE$2:$AS$40))+1,INT((ROW()-ROW($AE$2))/ROWS($AE$2:$AS$40))+1)</f>
        <v/>
      </c>
      <c r="AA522" t="e">
        <f t="shared" ca="1" si="62"/>
        <v>#N/A</v>
      </c>
      <c r="AB522" t="str" cm="1">
        <f t="array" aca="1" ref="AB522" ca="1">IFERROR(INDIRECT("$Z"&amp;AA522),"")</f>
        <v/>
      </c>
      <c r="AP522" t="str">
        <f t="shared" si="56"/>
        <v/>
      </c>
      <c r="AQ522" t="str">
        <f t="shared" si="57"/>
        <v/>
      </c>
      <c r="AR522" t="str">
        <f t="shared" si="58"/>
        <v/>
      </c>
      <c r="AS522" t="str">
        <f t="shared" si="59"/>
        <v/>
      </c>
    </row>
    <row r="523" spans="5:45" x14ac:dyDescent="0.25">
      <c r="E523" t="str">
        <f ca="1"/>
        <v/>
      </c>
      <c r="F523" t="str">
        <f ca="1"/>
        <v/>
      </c>
      <c r="P523" t="e" cm="1">
        <f t="array" ref="P523">INDEX($B$2:$D$40,MOD(ROW()-ROW($B$2),ROWS($B$2:$D$40))+1,INT((ROW()-ROW($B$2))/ROWS($B$2:$D$40))+1)</f>
        <v>#REF!</v>
      </c>
      <c r="Q523" t="e">
        <f t="shared" ca="1" si="60"/>
        <v>#N/A</v>
      </c>
      <c r="R523" t="str" cm="1">
        <f t="array" aca="1" ref="R523" ca="1">IFERROR(INDIRECT("$P"&amp;Q523),"")</f>
        <v/>
      </c>
      <c r="U523" t="e" cm="1">
        <f t="array" ref="U523">INDEX($C$2:$D$40,MOD(ROW()-ROW($C$2),ROWS($C$2:$D$40))+1,INT((ROW()-ROW($C$2))/ROWS($C$2:$D$40))+1)</f>
        <v>#REF!</v>
      </c>
      <c r="V523" t="e">
        <f t="shared" ca="1" si="61"/>
        <v>#N/A</v>
      </c>
      <c r="W523" t="str" cm="1">
        <f t="array" aca="1" ref="W523" ca="1">IFERROR(INDIRECT("$U"&amp;V523),"")</f>
        <v/>
      </c>
      <c r="Z523" t="str" cm="1">
        <f t="array" ref="Z523">INDEX($AE$2:$AS$40,MOD(ROW()-ROW($AE$2),ROWS($AE$2:$AS$40))+1,INT((ROW()-ROW($AE$2))/ROWS($AE$2:$AS$40))+1)</f>
        <v/>
      </c>
      <c r="AA523" t="e">
        <f t="shared" ca="1" si="62"/>
        <v>#N/A</v>
      </c>
      <c r="AB523" t="str" cm="1">
        <f t="array" aca="1" ref="AB523" ca="1">IFERROR(INDIRECT("$Z"&amp;AA523),"")</f>
        <v/>
      </c>
      <c r="AP523" t="str">
        <f t="shared" si="56"/>
        <v/>
      </c>
      <c r="AQ523" t="str">
        <f t="shared" si="57"/>
        <v/>
      </c>
      <c r="AR523" t="str">
        <f t="shared" si="58"/>
        <v/>
      </c>
      <c r="AS523" t="str">
        <f t="shared" si="59"/>
        <v/>
      </c>
    </row>
    <row r="524" spans="5:45" x14ac:dyDescent="0.25">
      <c r="E524" t="str">
        <f ca="1"/>
        <v/>
      </c>
      <c r="F524" t="str">
        <f ca="1"/>
        <v/>
      </c>
      <c r="P524" t="e" cm="1">
        <f t="array" ref="P524">INDEX($B$2:$D$40,MOD(ROW()-ROW($B$2),ROWS($B$2:$D$40))+1,INT((ROW()-ROW($B$2))/ROWS($B$2:$D$40))+1)</f>
        <v>#REF!</v>
      </c>
      <c r="Q524" t="e">
        <f t="shared" ca="1" si="60"/>
        <v>#N/A</v>
      </c>
      <c r="R524" t="str" cm="1">
        <f t="array" aca="1" ref="R524" ca="1">IFERROR(INDIRECT("$P"&amp;Q524),"")</f>
        <v/>
      </c>
      <c r="U524" t="e" cm="1">
        <f t="array" ref="U524">INDEX($C$2:$D$40,MOD(ROW()-ROW($C$2),ROWS($C$2:$D$40))+1,INT((ROW()-ROW($C$2))/ROWS($C$2:$D$40))+1)</f>
        <v>#REF!</v>
      </c>
      <c r="V524" t="e">
        <f t="shared" ca="1" si="61"/>
        <v>#N/A</v>
      </c>
      <c r="W524" t="str" cm="1">
        <f t="array" aca="1" ref="W524" ca="1">IFERROR(INDIRECT("$U"&amp;V524),"")</f>
        <v/>
      </c>
      <c r="Z524" t="str" cm="1">
        <f t="array" ref="Z524">INDEX($AE$2:$AS$40,MOD(ROW()-ROW($AE$2),ROWS($AE$2:$AS$40))+1,INT((ROW()-ROW($AE$2))/ROWS($AE$2:$AS$40))+1)</f>
        <v/>
      </c>
      <c r="AA524" t="e">
        <f t="shared" ca="1" si="62"/>
        <v>#N/A</v>
      </c>
      <c r="AB524" t="str" cm="1">
        <f t="array" aca="1" ref="AB524" ca="1">IFERROR(INDIRECT("$Z"&amp;AA524),"")</f>
        <v/>
      </c>
      <c r="AP524" t="str">
        <f t="shared" si="56"/>
        <v/>
      </c>
      <c r="AQ524" t="str">
        <f t="shared" si="57"/>
        <v/>
      </c>
      <c r="AR524" t="str">
        <f t="shared" si="58"/>
        <v/>
      </c>
      <c r="AS524" t="str">
        <f t="shared" si="59"/>
        <v/>
      </c>
    </row>
    <row r="525" spans="5:45" x14ac:dyDescent="0.25">
      <c r="E525" t="str">
        <f ca="1"/>
        <v/>
      </c>
      <c r="F525" t="str">
        <f ca="1"/>
        <v/>
      </c>
      <c r="P525" t="e" cm="1">
        <f t="array" ref="P525">INDEX($B$2:$D$40,MOD(ROW()-ROW($B$2),ROWS($B$2:$D$40))+1,INT((ROW()-ROW($B$2))/ROWS($B$2:$D$40))+1)</f>
        <v>#REF!</v>
      </c>
      <c r="Q525" t="e">
        <f t="shared" ca="1" si="60"/>
        <v>#N/A</v>
      </c>
      <c r="R525" t="str" cm="1">
        <f t="array" aca="1" ref="R525" ca="1">IFERROR(INDIRECT("$P"&amp;Q525),"")</f>
        <v/>
      </c>
      <c r="U525" t="e" cm="1">
        <f t="array" ref="U525">INDEX($C$2:$D$40,MOD(ROW()-ROW($C$2),ROWS($C$2:$D$40))+1,INT((ROW()-ROW($C$2))/ROWS($C$2:$D$40))+1)</f>
        <v>#REF!</v>
      </c>
      <c r="V525" t="e">
        <f t="shared" ca="1" si="61"/>
        <v>#N/A</v>
      </c>
      <c r="W525" t="str" cm="1">
        <f t="array" aca="1" ref="W525" ca="1">IFERROR(INDIRECT("$U"&amp;V525),"")</f>
        <v/>
      </c>
      <c r="Z525" t="str" cm="1">
        <f t="array" ref="Z525">INDEX($AE$2:$AS$40,MOD(ROW()-ROW($AE$2),ROWS($AE$2:$AS$40))+1,INT((ROW()-ROW($AE$2))/ROWS($AE$2:$AS$40))+1)</f>
        <v/>
      </c>
      <c r="AA525" t="e">
        <f t="shared" ca="1" si="62"/>
        <v>#N/A</v>
      </c>
      <c r="AB525" t="str" cm="1">
        <f t="array" aca="1" ref="AB525" ca="1">IFERROR(INDIRECT("$Z"&amp;AA525),"")</f>
        <v/>
      </c>
      <c r="AP525" t="str">
        <f t="shared" si="56"/>
        <v/>
      </c>
      <c r="AQ525" t="str">
        <f t="shared" si="57"/>
        <v/>
      </c>
      <c r="AR525" t="str">
        <f t="shared" si="58"/>
        <v/>
      </c>
      <c r="AS525" t="str">
        <f t="shared" si="59"/>
        <v/>
      </c>
    </row>
    <row r="526" spans="5:45" x14ac:dyDescent="0.25">
      <c r="E526" t="str">
        <f ca="1"/>
        <v/>
      </c>
      <c r="F526" t="str">
        <f ca="1"/>
        <v/>
      </c>
      <c r="P526" t="e" cm="1">
        <f t="array" ref="P526">INDEX($B$2:$D$40,MOD(ROW()-ROW($B$2),ROWS($B$2:$D$40))+1,INT((ROW()-ROW($B$2))/ROWS($B$2:$D$40))+1)</f>
        <v>#REF!</v>
      </c>
      <c r="Q526" t="e">
        <f t="shared" ca="1" si="60"/>
        <v>#N/A</v>
      </c>
      <c r="R526" t="str" cm="1">
        <f t="array" aca="1" ref="R526" ca="1">IFERROR(INDIRECT("$P"&amp;Q526),"")</f>
        <v/>
      </c>
      <c r="U526" t="e" cm="1">
        <f t="array" ref="U526">INDEX($C$2:$D$40,MOD(ROW()-ROW($C$2),ROWS($C$2:$D$40))+1,INT((ROW()-ROW($C$2))/ROWS($C$2:$D$40))+1)</f>
        <v>#REF!</v>
      </c>
      <c r="V526" t="e">
        <f t="shared" ca="1" si="61"/>
        <v>#N/A</v>
      </c>
      <c r="W526" t="str" cm="1">
        <f t="array" aca="1" ref="W526" ca="1">IFERROR(INDIRECT("$U"&amp;V526),"")</f>
        <v/>
      </c>
      <c r="Z526" t="str" cm="1">
        <f t="array" ref="Z526">INDEX($AE$2:$AS$40,MOD(ROW()-ROW($AE$2),ROWS($AE$2:$AS$40))+1,INT((ROW()-ROW($AE$2))/ROWS($AE$2:$AS$40))+1)</f>
        <v/>
      </c>
      <c r="AA526" t="e">
        <f t="shared" ca="1" si="62"/>
        <v>#N/A</v>
      </c>
      <c r="AB526" t="str" cm="1">
        <f t="array" aca="1" ref="AB526" ca="1">IFERROR(INDIRECT("$Z"&amp;AA526),"")</f>
        <v/>
      </c>
      <c r="AP526" t="str">
        <f t="shared" si="56"/>
        <v/>
      </c>
      <c r="AQ526" t="str">
        <f t="shared" si="57"/>
        <v/>
      </c>
      <c r="AR526" t="str">
        <f t="shared" si="58"/>
        <v/>
      </c>
      <c r="AS526" t="str">
        <f t="shared" si="59"/>
        <v/>
      </c>
    </row>
    <row r="527" spans="5:45" x14ac:dyDescent="0.25">
      <c r="E527" t="str">
        <f ca="1"/>
        <v/>
      </c>
      <c r="F527" t="str">
        <f ca="1"/>
        <v/>
      </c>
      <c r="P527" t="e" cm="1">
        <f t="array" ref="P527">INDEX($B$2:$D$40,MOD(ROW()-ROW($B$2),ROWS($B$2:$D$40))+1,INT((ROW()-ROW($B$2))/ROWS($B$2:$D$40))+1)</f>
        <v>#REF!</v>
      </c>
      <c r="Q527" t="e">
        <f t="shared" ca="1" si="60"/>
        <v>#N/A</v>
      </c>
      <c r="R527" t="str" cm="1">
        <f t="array" aca="1" ref="R527" ca="1">IFERROR(INDIRECT("$P"&amp;Q527),"")</f>
        <v/>
      </c>
      <c r="U527" t="e" cm="1">
        <f t="array" ref="U527">INDEX($C$2:$D$40,MOD(ROW()-ROW($C$2),ROWS($C$2:$D$40))+1,INT((ROW()-ROW($C$2))/ROWS($C$2:$D$40))+1)</f>
        <v>#REF!</v>
      </c>
      <c r="V527" t="e">
        <f t="shared" ca="1" si="61"/>
        <v>#N/A</v>
      </c>
      <c r="W527" t="str" cm="1">
        <f t="array" aca="1" ref="W527" ca="1">IFERROR(INDIRECT("$U"&amp;V527),"")</f>
        <v/>
      </c>
      <c r="Z527" t="str" cm="1">
        <f t="array" ref="Z527">INDEX($AE$2:$AS$40,MOD(ROW()-ROW($AE$2),ROWS($AE$2:$AS$40))+1,INT((ROW()-ROW($AE$2))/ROWS($AE$2:$AS$40))+1)</f>
        <v/>
      </c>
      <c r="AA527" t="e">
        <f t="shared" ca="1" si="62"/>
        <v>#N/A</v>
      </c>
      <c r="AB527" t="str" cm="1">
        <f t="array" aca="1" ref="AB527" ca="1">IFERROR(INDIRECT("$Z"&amp;AA527),"")</f>
        <v/>
      </c>
      <c r="AP527" t="str">
        <f t="shared" si="56"/>
        <v/>
      </c>
      <c r="AQ527" t="str">
        <f t="shared" si="57"/>
        <v/>
      </c>
      <c r="AR527" t="str">
        <f t="shared" si="58"/>
        <v/>
      </c>
      <c r="AS527" t="str">
        <f t="shared" si="59"/>
        <v/>
      </c>
    </row>
    <row r="528" spans="5:45" x14ac:dyDescent="0.25">
      <c r="E528" t="str">
        <f ca="1"/>
        <v/>
      </c>
      <c r="F528" t="str">
        <f ca="1"/>
        <v/>
      </c>
      <c r="P528" t="e" cm="1">
        <f t="array" ref="P528">INDEX($B$2:$D$40,MOD(ROW()-ROW($B$2),ROWS($B$2:$D$40))+1,INT((ROW()-ROW($B$2))/ROWS($B$2:$D$40))+1)</f>
        <v>#REF!</v>
      </c>
      <c r="Q528" t="e">
        <f t="shared" ca="1" si="60"/>
        <v>#N/A</v>
      </c>
      <c r="R528" t="str" cm="1">
        <f t="array" aca="1" ref="R528" ca="1">IFERROR(INDIRECT("$P"&amp;Q528),"")</f>
        <v/>
      </c>
      <c r="U528" t="e" cm="1">
        <f t="array" ref="U528">INDEX($C$2:$D$40,MOD(ROW()-ROW($C$2),ROWS($C$2:$D$40))+1,INT((ROW()-ROW($C$2))/ROWS($C$2:$D$40))+1)</f>
        <v>#REF!</v>
      </c>
      <c r="V528" t="e">
        <f t="shared" ca="1" si="61"/>
        <v>#N/A</v>
      </c>
      <c r="W528" t="str" cm="1">
        <f t="array" aca="1" ref="W528" ca="1">IFERROR(INDIRECT("$U"&amp;V528),"")</f>
        <v/>
      </c>
      <c r="Z528" t="str" cm="1">
        <f t="array" ref="Z528">INDEX($AE$2:$AS$40,MOD(ROW()-ROW($AE$2),ROWS($AE$2:$AS$40))+1,INT((ROW()-ROW($AE$2))/ROWS($AE$2:$AS$40))+1)</f>
        <v/>
      </c>
      <c r="AA528" t="e">
        <f t="shared" ca="1" si="62"/>
        <v>#N/A</v>
      </c>
      <c r="AB528" t="str" cm="1">
        <f t="array" aca="1" ref="AB528" ca="1">IFERROR(INDIRECT("$Z"&amp;AA528),"")</f>
        <v/>
      </c>
      <c r="AP528" t="str">
        <f t="shared" si="56"/>
        <v/>
      </c>
      <c r="AQ528" t="str">
        <f t="shared" si="57"/>
        <v/>
      </c>
      <c r="AR528" t="str">
        <f t="shared" si="58"/>
        <v/>
      </c>
      <c r="AS528" t="str">
        <f t="shared" si="59"/>
        <v/>
      </c>
    </row>
    <row r="529" spans="5:45" x14ac:dyDescent="0.25">
      <c r="E529" t="str">
        <f ca="1"/>
        <v/>
      </c>
      <c r="F529" t="str">
        <f ca="1"/>
        <v/>
      </c>
      <c r="P529" t="e" cm="1">
        <f t="array" ref="P529">INDEX($B$2:$D$40,MOD(ROW()-ROW($B$2),ROWS($B$2:$D$40))+1,INT((ROW()-ROW($B$2))/ROWS($B$2:$D$40))+1)</f>
        <v>#REF!</v>
      </c>
      <c r="Q529" t="e">
        <f t="shared" ca="1" si="60"/>
        <v>#N/A</v>
      </c>
      <c r="R529" t="str" cm="1">
        <f t="array" aca="1" ref="R529" ca="1">IFERROR(INDIRECT("$P"&amp;Q529),"")</f>
        <v/>
      </c>
      <c r="U529" t="e" cm="1">
        <f t="array" ref="U529">INDEX($C$2:$D$40,MOD(ROW()-ROW($C$2),ROWS($C$2:$D$40))+1,INT((ROW()-ROW($C$2))/ROWS($C$2:$D$40))+1)</f>
        <v>#REF!</v>
      </c>
      <c r="V529" t="e">
        <f t="shared" ca="1" si="61"/>
        <v>#N/A</v>
      </c>
      <c r="W529" t="str" cm="1">
        <f t="array" aca="1" ref="W529" ca="1">IFERROR(INDIRECT("$U"&amp;V529),"")</f>
        <v/>
      </c>
      <c r="Z529" t="str" cm="1">
        <f t="array" ref="Z529">INDEX($AE$2:$AS$40,MOD(ROW()-ROW($AE$2),ROWS($AE$2:$AS$40))+1,INT((ROW()-ROW($AE$2))/ROWS($AE$2:$AS$40))+1)</f>
        <v/>
      </c>
      <c r="AA529" t="e">
        <f t="shared" ca="1" si="62"/>
        <v>#N/A</v>
      </c>
      <c r="AB529" t="str" cm="1">
        <f t="array" aca="1" ref="AB529" ca="1">IFERROR(INDIRECT("$Z"&amp;AA529),"")</f>
        <v/>
      </c>
      <c r="AP529" t="str">
        <f t="shared" si="56"/>
        <v/>
      </c>
      <c r="AQ529" t="str">
        <f t="shared" si="57"/>
        <v/>
      </c>
      <c r="AR529" t="str">
        <f t="shared" si="58"/>
        <v/>
      </c>
      <c r="AS529" t="str">
        <f t="shared" si="59"/>
        <v/>
      </c>
    </row>
    <row r="530" spans="5:45" x14ac:dyDescent="0.25">
      <c r="E530" t="str">
        <f ca="1"/>
        <v/>
      </c>
      <c r="F530" t="str">
        <f ca="1"/>
        <v/>
      </c>
      <c r="P530" t="e" cm="1">
        <f t="array" ref="P530">INDEX($B$2:$D$40,MOD(ROW()-ROW($B$2),ROWS($B$2:$D$40))+1,INT((ROW()-ROW($B$2))/ROWS($B$2:$D$40))+1)</f>
        <v>#REF!</v>
      </c>
      <c r="Q530" t="e">
        <f t="shared" ca="1" si="60"/>
        <v>#N/A</v>
      </c>
      <c r="R530" t="str" cm="1">
        <f t="array" aca="1" ref="R530" ca="1">IFERROR(INDIRECT("$P"&amp;Q530),"")</f>
        <v/>
      </c>
      <c r="U530" t="e" cm="1">
        <f t="array" ref="U530">INDEX($C$2:$D$40,MOD(ROW()-ROW($C$2),ROWS($C$2:$D$40))+1,INT((ROW()-ROW($C$2))/ROWS($C$2:$D$40))+1)</f>
        <v>#REF!</v>
      </c>
      <c r="V530" t="e">
        <f t="shared" ca="1" si="61"/>
        <v>#N/A</v>
      </c>
      <c r="W530" t="str" cm="1">
        <f t="array" aca="1" ref="W530" ca="1">IFERROR(INDIRECT("$U"&amp;V530),"")</f>
        <v/>
      </c>
      <c r="Z530" t="str" cm="1">
        <f t="array" ref="Z530">INDEX($AE$2:$AS$40,MOD(ROW()-ROW($AE$2),ROWS($AE$2:$AS$40))+1,INT((ROW()-ROW($AE$2))/ROWS($AE$2:$AS$40))+1)</f>
        <v/>
      </c>
      <c r="AA530" t="e">
        <f t="shared" ca="1" si="62"/>
        <v>#N/A</v>
      </c>
      <c r="AB530" t="str" cm="1">
        <f t="array" aca="1" ref="AB530" ca="1">IFERROR(INDIRECT("$Z"&amp;AA530),"")</f>
        <v/>
      </c>
      <c r="AP530" t="str">
        <f t="shared" si="56"/>
        <v/>
      </c>
      <c r="AQ530" t="str">
        <f t="shared" si="57"/>
        <v/>
      </c>
      <c r="AR530" t="str">
        <f t="shared" si="58"/>
        <v/>
      </c>
      <c r="AS530" t="str">
        <f t="shared" si="59"/>
        <v/>
      </c>
    </row>
    <row r="531" spans="5:45" x14ac:dyDescent="0.25">
      <c r="E531" t="str">
        <f ca="1"/>
        <v/>
      </c>
      <c r="F531" t="str">
        <f ca="1"/>
        <v/>
      </c>
      <c r="P531" t="e" cm="1">
        <f t="array" ref="P531">INDEX($B$2:$D$40,MOD(ROW()-ROW($B$2),ROWS($B$2:$D$40))+1,INT((ROW()-ROW($B$2))/ROWS($B$2:$D$40))+1)</f>
        <v>#REF!</v>
      </c>
      <c r="Q531" t="e">
        <f t="shared" ca="1" si="60"/>
        <v>#N/A</v>
      </c>
      <c r="R531" t="str" cm="1">
        <f t="array" aca="1" ref="R531" ca="1">IFERROR(INDIRECT("$P"&amp;Q531),"")</f>
        <v/>
      </c>
      <c r="U531" t="e" cm="1">
        <f t="array" ref="U531">INDEX($C$2:$D$40,MOD(ROW()-ROW($C$2),ROWS($C$2:$D$40))+1,INT((ROW()-ROW($C$2))/ROWS($C$2:$D$40))+1)</f>
        <v>#REF!</v>
      </c>
      <c r="V531" t="e">
        <f t="shared" ca="1" si="61"/>
        <v>#N/A</v>
      </c>
      <c r="W531" t="str" cm="1">
        <f t="array" aca="1" ref="W531" ca="1">IFERROR(INDIRECT("$U"&amp;V531),"")</f>
        <v/>
      </c>
      <c r="Z531" t="str" cm="1">
        <f t="array" ref="Z531">INDEX($AE$2:$AS$40,MOD(ROW()-ROW($AE$2),ROWS($AE$2:$AS$40))+1,INT((ROW()-ROW($AE$2))/ROWS($AE$2:$AS$40))+1)</f>
        <v/>
      </c>
      <c r="AA531" t="e">
        <f t="shared" ca="1" si="62"/>
        <v>#N/A</v>
      </c>
      <c r="AB531" t="str" cm="1">
        <f t="array" aca="1" ref="AB531" ca="1">IFERROR(INDIRECT("$Z"&amp;AA531),"")</f>
        <v/>
      </c>
      <c r="AP531" t="str">
        <f t="shared" si="56"/>
        <v/>
      </c>
      <c r="AQ531" t="str">
        <f t="shared" si="57"/>
        <v/>
      </c>
      <c r="AR531" t="str">
        <f t="shared" si="58"/>
        <v/>
      </c>
      <c r="AS531" t="str">
        <f t="shared" si="59"/>
        <v/>
      </c>
    </row>
    <row r="532" spans="5:45" x14ac:dyDescent="0.25">
      <c r="E532" t="str">
        <f ca="1"/>
        <v/>
      </c>
      <c r="F532" t="str">
        <f ca="1"/>
        <v/>
      </c>
      <c r="P532" t="e" cm="1">
        <f t="array" ref="P532">INDEX($B$2:$D$40,MOD(ROW()-ROW($B$2),ROWS($B$2:$D$40))+1,INT((ROW()-ROW($B$2))/ROWS($B$2:$D$40))+1)</f>
        <v>#REF!</v>
      </c>
      <c r="Q532" t="e">
        <f t="shared" ca="1" si="60"/>
        <v>#N/A</v>
      </c>
      <c r="R532" t="str" cm="1">
        <f t="array" aca="1" ref="R532" ca="1">IFERROR(INDIRECT("$P"&amp;Q532),"")</f>
        <v/>
      </c>
      <c r="U532" t="e" cm="1">
        <f t="array" ref="U532">INDEX($C$2:$D$40,MOD(ROW()-ROW($C$2),ROWS($C$2:$D$40))+1,INT((ROW()-ROW($C$2))/ROWS($C$2:$D$40))+1)</f>
        <v>#REF!</v>
      </c>
      <c r="V532" t="e">
        <f t="shared" ca="1" si="61"/>
        <v>#N/A</v>
      </c>
      <c r="W532" t="str" cm="1">
        <f t="array" aca="1" ref="W532" ca="1">IFERROR(INDIRECT("$U"&amp;V532),"")</f>
        <v/>
      </c>
      <c r="Z532" t="str" cm="1">
        <f t="array" ref="Z532">INDEX($AE$2:$AS$40,MOD(ROW()-ROW($AE$2),ROWS($AE$2:$AS$40))+1,INT((ROW()-ROW($AE$2))/ROWS($AE$2:$AS$40))+1)</f>
        <v/>
      </c>
      <c r="AA532" t="e">
        <f t="shared" ca="1" si="62"/>
        <v>#N/A</v>
      </c>
      <c r="AB532" t="str" cm="1">
        <f t="array" aca="1" ref="AB532" ca="1">IFERROR(INDIRECT("$Z"&amp;AA532),"")</f>
        <v/>
      </c>
      <c r="AP532" t="str">
        <f t="shared" si="56"/>
        <v/>
      </c>
      <c r="AQ532" t="str">
        <f t="shared" si="57"/>
        <v/>
      </c>
      <c r="AR532" t="str">
        <f t="shared" si="58"/>
        <v/>
      </c>
      <c r="AS532" t="str">
        <f t="shared" si="59"/>
        <v/>
      </c>
    </row>
    <row r="533" spans="5:45" x14ac:dyDescent="0.25">
      <c r="E533" t="str">
        <f ca="1"/>
        <v/>
      </c>
      <c r="F533" t="str">
        <f ca="1"/>
        <v/>
      </c>
      <c r="P533" t="e" cm="1">
        <f t="array" ref="P533">INDEX($B$2:$D$40,MOD(ROW()-ROW($B$2),ROWS($B$2:$D$40))+1,INT((ROW()-ROW($B$2))/ROWS($B$2:$D$40))+1)</f>
        <v>#REF!</v>
      </c>
      <c r="Q533" t="e">
        <f t="shared" ca="1" si="60"/>
        <v>#N/A</v>
      </c>
      <c r="R533" t="str" cm="1">
        <f t="array" aca="1" ref="R533" ca="1">IFERROR(INDIRECT("$P"&amp;Q533),"")</f>
        <v/>
      </c>
      <c r="U533" t="e" cm="1">
        <f t="array" ref="U533">INDEX($C$2:$D$40,MOD(ROW()-ROW($C$2),ROWS($C$2:$D$40))+1,INT((ROW()-ROW($C$2))/ROWS($C$2:$D$40))+1)</f>
        <v>#REF!</v>
      </c>
      <c r="V533" t="e">
        <f t="shared" ca="1" si="61"/>
        <v>#N/A</v>
      </c>
      <c r="W533" t="str" cm="1">
        <f t="array" aca="1" ref="W533" ca="1">IFERROR(INDIRECT("$U"&amp;V533),"")</f>
        <v/>
      </c>
      <c r="Z533" t="str" cm="1">
        <f t="array" ref="Z533">INDEX($AE$2:$AS$40,MOD(ROW()-ROW($AE$2),ROWS($AE$2:$AS$40))+1,INT((ROW()-ROW($AE$2))/ROWS($AE$2:$AS$40))+1)</f>
        <v/>
      </c>
      <c r="AA533" t="e">
        <f t="shared" ca="1" si="62"/>
        <v>#N/A</v>
      </c>
      <c r="AB533" t="str" cm="1">
        <f t="array" aca="1" ref="AB533" ca="1">IFERROR(INDIRECT("$Z"&amp;AA533),"")</f>
        <v/>
      </c>
      <c r="AP533" t="str">
        <f t="shared" si="56"/>
        <v/>
      </c>
      <c r="AQ533" t="str">
        <f t="shared" si="57"/>
        <v/>
      </c>
      <c r="AR533" t="str">
        <f t="shared" si="58"/>
        <v/>
      </c>
      <c r="AS533" t="str">
        <f t="shared" si="59"/>
        <v/>
      </c>
    </row>
    <row r="534" spans="5:45" x14ac:dyDescent="0.25">
      <c r="E534" t="str">
        <f ca="1"/>
        <v/>
      </c>
      <c r="F534" t="str">
        <f ca="1"/>
        <v/>
      </c>
      <c r="P534" t="e" cm="1">
        <f t="array" ref="P534">INDEX($B$2:$D$40,MOD(ROW()-ROW($B$2),ROWS($B$2:$D$40))+1,INT((ROW()-ROW($B$2))/ROWS($B$2:$D$40))+1)</f>
        <v>#REF!</v>
      </c>
      <c r="Q534" t="e">
        <f t="shared" ca="1" si="60"/>
        <v>#N/A</v>
      </c>
      <c r="R534" t="str" cm="1">
        <f t="array" aca="1" ref="R534" ca="1">IFERROR(INDIRECT("$P"&amp;Q534),"")</f>
        <v/>
      </c>
      <c r="U534" t="e" cm="1">
        <f t="array" ref="U534">INDEX($C$2:$D$40,MOD(ROW()-ROW($C$2),ROWS($C$2:$D$40))+1,INT((ROW()-ROW($C$2))/ROWS($C$2:$D$40))+1)</f>
        <v>#REF!</v>
      </c>
      <c r="V534" t="e">
        <f t="shared" ca="1" si="61"/>
        <v>#N/A</v>
      </c>
      <c r="W534" t="str" cm="1">
        <f t="array" aca="1" ref="W534" ca="1">IFERROR(INDIRECT("$U"&amp;V534),"")</f>
        <v/>
      </c>
      <c r="Z534" t="str" cm="1">
        <f t="array" ref="Z534">INDEX($AE$2:$AS$40,MOD(ROW()-ROW($AE$2),ROWS($AE$2:$AS$40))+1,INT((ROW()-ROW($AE$2))/ROWS($AE$2:$AS$40))+1)</f>
        <v/>
      </c>
      <c r="AA534" t="e">
        <f t="shared" ca="1" si="62"/>
        <v>#N/A</v>
      </c>
      <c r="AB534" t="str" cm="1">
        <f t="array" aca="1" ref="AB534" ca="1">IFERROR(INDIRECT("$Z"&amp;AA534),"")</f>
        <v/>
      </c>
      <c r="AP534" t="str">
        <f t="shared" si="56"/>
        <v/>
      </c>
      <c r="AQ534" t="str">
        <f t="shared" si="57"/>
        <v/>
      </c>
      <c r="AR534" t="str">
        <f t="shared" si="58"/>
        <v/>
      </c>
      <c r="AS534" t="str">
        <f t="shared" si="59"/>
        <v/>
      </c>
    </row>
    <row r="535" spans="5:45" x14ac:dyDescent="0.25">
      <c r="E535" t="str">
        <f ca="1"/>
        <v/>
      </c>
      <c r="F535" t="str">
        <f ca="1"/>
        <v/>
      </c>
      <c r="P535" t="e" cm="1">
        <f t="array" ref="P535">INDEX($B$2:$D$40,MOD(ROW()-ROW($B$2),ROWS($B$2:$D$40))+1,INT((ROW()-ROW($B$2))/ROWS($B$2:$D$40))+1)</f>
        <v>#REF!</v>
      </c>
      <c r="Q535" t="e">
        <f t="shared" ca="1" si="60"/>
        <v>#N/A</v>
      </c>
      <c r="R535" t="str" cm="1">
        <f t="array" aca="1" ref="R535" ca="1">IFERROR(INDIRECT("$P"&amp;Q535),"")</f>
        <v/>
      </c>
      <c r="U535" t="e" cm="1">
        <f t="array" ref="U535">INDEX($C$2:$D$40,MOD(ROW()-ROW($C$2),ROWS($C$2:$D$40))+1,INT((ROW()-ROW($C$2))/ROWS($C$2:$D$40))+1)</f>
        <v>#REF!</v>
      </c>
      <c r="V535" t="e">
        <f t="shared" ca="1" si="61"/>
        <v>#N/A</v>
      </c>
      <c r="W535" t="str" cm="1">
        <f t="array" aca="1" ref="W535" ca="1">IFERROR(INDIRECT("$U"&amp;V535),"")</f>
        <v/>
      </c>
      <c r="Z535" t="str" cm="1">
        <f t="array" ref="Z535">INDEX($AE$2:$AS$40,MOD(ROW()-ROW($AE$2),ROWS($AE$2:$AS$40))+1,INT((ROW()-ROW($AE$2))/ROWS($AE$2:$AS$40))+1)</f>
        <v/>
      </c>
      <c r="AA535" t="e">
        <f t="shared" ca="1" si="62"/>
        <v>#N/A</v>
      </c>
      <c r="AB535" t="str" cm="1">
        <f t="array" aca="1" ref="AB535" ca="1">IFERROR(INDIRECT("$Z"&amp;AA535),"")</f>
        <v/>
      </c>
      <c r="AP535" t="str">
        <f t="shared" si="56"/>
        <v/>
      </c>
      <c r="AQ535" t="str">
        <f t="shared" si="57"/>
        <v/>
      </c>
      <c r="AR535" t="str">
        <f t="shared" si="58"/>
        <v/>
      </c>
      <c r="AS535" t="str">
        <f t="shared" si="59"/>
        <v/>
      </c>
    </row>
    <row r="536" spans="5:45" x14ac:dyDescent="0.25">
      <c r="E536" t="str">
        <f ca="1"/>
        <v/>
      </c>
      <c r="F536" t="str">
        <f ca="1"/>
        <v/>
      </c>
      <c r="P536" t="e" cm="1">
        <f t="array" ref="P536">INDEX($B$2:$D$40,MOD(ROW()-ROW($B$2),ROWS($B$2:$D$40))+1,INT((ROW()-ROW($B$2))/ROWS($B$2:$D$40))+1)</f>
        <v>#REF!</v>
      </c>
      <c r="Q536" t="e">
        <f t="shared" ca="1" si="60"/>
        <v>#N/A</v>
      </c>
      <c r="R536" t="str" cm="1">
        <f t="array" aca="1" ref="R536" ca="1">IFERROR(INDIRECT("$P"&amp;Q536),"")</f>
        <v/>
      </c>
      <c r="U536" t="e" cm="1">
        <f t="array" ref="U536">INDEX($C$2:$D$40,MOD(ROW()-ROW($C$2),ROWS($C$2:$D$40))+1,INT((ROW()-ROW($C$2))/ROWS($C$2:$D$40))+1)</f>
        <v>#REF!</v>
      </c>
      <c r="V536" t="e">
        <f t="shared" ca="1" si="61"/>
        <v>#N/A</v>
      </c>
      <c r="W536" t="str" cm="1">
        <f t="array" aca="1" ref="W536" ca="1">IFERROR(INDIRECT("$U"&amp;V536),"")</f>
        <v/>
      </c>
      <c r="Z536" t="str" cm="1">
        <f t="array" ref="Z536">INDEX($AE$2:$AS$40,MOD(ROW()-ROW($AE$2),ROWS($AE$2:$AS$40))+1,INT((ROW()-ROW($AE$2))/ROWS($AE$2:$AS$40))+1)</f>
        <v/>
      </c>
      <c r="AA536" t="e">
        <f t="shared" ca="1" si="62"/>
        <v>#N/A</v>
      </c>
      <c r="AB536" t="str" cm="1">
        <f t="array" aca="1" ref="AB536" ca="1">IFERROR(INDIRECT("$Z"&amp;AA536),"")</f>
        <v/>
      </c>
      <c r="AP536" t="str">
        <f t="shared" si="56"/>
        <v/>
      </c>
      <c r="AQ536" t="str">
        <f t="shared" si="57"/>
        <v/>
      </c>
      <c r="AR536" t="str">
        <f t="shared" si="58"/>
        <v/>
      </c>
      <c r="AS536" t="str">
        <f t="shared" si="59"/>
        <v/>
      </c>
    </row>
    <row r="537" spans="5:45" x14ac:dyDescent="0.25">
      <c r="E537" t="str">
        <f ca="1"/>
        <v/>
      </c>
      <c r="F537" t="str">
        <f ca="1"/>
        <v/>
      </c>
      <c r="P537" t="e" cm="1">
        <f t="array" ref="P537">INDEX($B$2:$D$40,MOD(ROW()-ROW($B$2),ROWS($B$2:$D$40))+1,INT((ROW()-ROW($B$2))/ROWS($B$2:$D$40))+1)</f>
        <v>#REF!</v>
      </c>
      <c r="Q537" t="e">
        <f t="shared" ca="1" si="60"/>
        <v>#N/A</v>
      </c>
      <c r="R537" t="str" cm="1">
        <f t="array" aca="1" ref="R537" ca="1">IFERROR(INDIRECT("$P"&amp;Q537),"")</f>
        <v/>
      </c>
      <c r="U537" t="e" cm="1">
        <f t="array" ref="U537">INDEX($C$2:$D$40,MOD(ROW()-ROW($C$2),ROWS($C$2:$D$40))+1,INT((ROW()-ROW($C$2))/ROWS($C$2:$D$40))+1)</f>
        <v>#REF!</v>
      </c>
      <c r="V537" t="e">
        <f t="shared" ca="1" si="61"/>
        <v>#N/A</v>
      </c>
      <c r="W537" t="str" cm="1">
        <f t="array" aca="1" ref="W537" ca="1">IFERROR(INDIRECT("$U"&amp;V537),"")</f>
        <v/>
      </c>
      <c r="Z537" t="str" cm="1">
        <f t="array" ref="Z537">INDEX($AE$2:$AS$40,MOD(ROW()-ROW($AE$2),ROWS($AE$2:$AS$40))+1,INT((ROW()-ROW($AE$2))/ROWS($AE$2:$AS$40))+1)</f>
        <v/>
      </c>
      <c r="AA537" t="e">
        <f t="shared" ca="1" si="62"/>
        <v>#N/A</v>
      </c>
      <c r="AB537" t="str" cm="1">
        <f t="array" aca="1" ref="AB537" ca="1">IFERROR(INDIRECT("$Z"&amp;AA537),"")</f>
        <v/>
      </c>
      <c r="AP537" t="str">
        <f t="shared" si="56"/>
        <v/>
      </c>
      <c r="AQ537" t="str">
        <f t="shared" si="57"/>
        <v/>
      </c>
      <c r="AR537" t="str">
        <f t="shared" si="58"/>
        <v/>
      </c>
      <c r="AS537" t="str">
        <f t="shared" si="59"/>
        <v/>
      </c>
    </row>
    <row r="538" spans="5:45" x14ac:dyDescent="0.25">
      <c r="E538" t="str">
        <f ca="1"/>
        <v/>
      </c>
      <c r="F538" t="str">
        <f ca="1"/>
        <v/>
      </c>
      <c r="P538" t="e" cm="1">
        <f t="array" ref="P538">INDEX($B$2:$D$40,MOD(ROW()-ROW($B$2),ROWS($B$2:$D$40))+1,INT((ROW()-ROW($B$2))/ROWS($B$2:$D$40))+1)</f>
        <v>#REF!</v>
      </c>
      <c r="Q538" t="e">
        <f t="shared" ca="1" si="60"/>
        <v>#N/A</v>
      </c>
      <c r="R538" t="str" cm="1">
        <f t="array" aca="1" ref="R538" ca="1">IFERROR(INDIRECT("$P"&amp;Q538),"")</f>
        <v/>
      </c>
      <c r="U538" t="e" cm="1">
        <f t="array" ref="U538">INDEX($C$2:$D$40,MOD(ROW()-ROW($C$2),ROWS($C$2:$D$40))+1,INT((ROW()-ROW($C$2))/ROWS($C$2:$D$40))+1)</f>
        <v>#REF!</v>
      </c>
      <c r="V538" t="e">
        <f t="shared" ca="1" si="61"/>
        <v>#N/A</v>
      </c>
      <c r="W538" t="str" cm="1">
        <f t="array" aca="1" ref="W538" ca="1">IFERROR(INDIRECT("$U"&amp;V538),"")</f>
        <v/>
      </c>
      <c r="Z538" t="str" cm="1">
        <f t="array" ref="Z538">INDEX($AE$2:$AS$40,MOD(ROW()-ROW($AE$2),ROWS($AE$2:$AS$40))+1,INT((ROW()-ROW($AE$2))/ROWS($AE$2:$AS$40))+1)</f>
        <v/>
      </c>
      <c r="AA538" t="e">
        <f t="shared" ca="1" si="62"/>
        <v>#N/A</v>
      </c>
      <c r="AB538" t="str" cm="1">
        <f t="array" aca="1" ref="AB538" ca="1">IFERROR(INDIRECT("$Z"&amp;AA538),"")</f>
        <v/>
      </c>
      <c r="AP538" t="str">
        <f t="shared" si="56"/>
        <v/>
      </c>
      <c r="AQ538" t="str">
        <f t="shared" si="57"/>
        <v/>
      </c>
      <c r="AR538" t="str">
        <f t="shared" si="58"/>
        <v/>
      </c>
      <c r="AS538" t="str">
        <f t="shared" si="59"/>
        <v/>
      </c>
    </row>
    <row r="539" spans="5:45" x14ac:dyDescent="0.25">
      <c r="E539" t="str">
        <f ca="1"/>
        <v/>
      </c>
      <c r="F539" t="str">
        <f ca="1"/>
        <v/>
      </c>
      <c r="P539" t="e" cm="1">
        <f t="array" ref="P539">INDEX($B$2:$D$40,MOD(ROW()-ROW($B$2),ROWS($B$2:$D$40))+1,INT((ROW()-ROW($B$2))/ROWS($B$2:$D$40))+1)</f>
        <v>#REF!</v>
      </c>
      <c r="Q539" t="e">
        <f t="shared" ca="1" si="60"/>
        <v>#N/A</v>
      </c>
      <c r="R539" t="str" cm="1">
        <f t="array" aca="1" ref="R539" ca="1">IFERROR(INDIRECT("$P"&amp;Q539),"")</f>
        <v/>
      </c>
      <c r="U539" t="e" cm="1">
        <f t="array" ref="U539">INDEX($C$2:$D$40,MOD(ROW()-ROW($C$2),ROWS($C$2:$D$40))+1,INT((ROW()-ROW($C$2))/ROWS($C$2:$D$40))+1)</f>
        <v>#REF!</v>
      </c>
      <c r="V539" t="e">
        <f t="shared" ca="1" si="61"/>
        <v>#N/A</v>
      </c>
      <c r="W539" t="str" cm="1">
        <f t="array" aca="1" ref="W539" ca="1">IFERROR(INDIRECT("$U"&amp;V539),"")</f>
        <v/>
      </c>
      <c r="Z539" t="str" cm="1">
        <f t="array" ref="Z539">INDEX($AE$2:$AS$40,MOD(ROW()-ROW($AE$2),ROWS($AE$2:$AS$40))+1,INT((ROW()-ROW($AE$2))/ROWS($AE$2:$AS$40))+1)</f>
        <v/>
      </c>
      <c r="AA539" t="e">
        <f t="shared" ca="1" si="62"/>
        <v>#N/A</v>
      </c>
      <c r="AB539" t="str" cm="1">
        <f t="array" aca="1" ref="AB539" ca="1">IFERROR(INDIRECT("$Z"&amp;AA539),"")</f>
        <v/>
      </c>
      <c r="AP539" t="str">
        <f t="shared" si="56"/>
        <v/>
      </c>
      <c r="AQ539" t="str">
        <f t="shared" si="57"/>
        <v/>
      </c>
      <c r="AR539" t="str">
        <f t="shared" si="58"/>
        <v/>
      </c>
      <c r="AS539" t="str">
        <f t="shared" si="59"/>
        <v/>
      </c>
    </row>
    <row r="540" spans="5:45" x14ac:dyDescent="0.25">
      <c r="E540" t="str">
        <f ca="1"/>
        <v/>
      </c>
      <c r="F540" t="str">
        <f ca="1"/>
        <v/>
      </c>
      <c r="P540" t="e" cm="1">
        <f t="array" ref="P540">INDEX($B$2:$D$40,MOD(ROW()-ROW($B$2),ROWS($B$2:$D$40))+1,INT((ROW()-ROW($B$2))/ROWS($B$2:$D$40))+1)</f>
        <v>#REF!</v>
      </c>
      <c r="Q540" t="e">
        <f t="shared" ca="1" si="60"/>
        <v>#N/A</v>
      </c>
      <c r="R540" t="str" cm="1">
        <f t="array" aca="1" ref="R540" ca="1">IFERROR(INDIRECT("$P"&amp;Q540),"")</f>
        <v/>
      </c>
      <c r="U540" t="e" cm="1">
        <f t="array" ref="U540">INDEX($C$2:$D$40,MOD(ROW()-ROW($C$2),ROWS($C$2:$D$40))+1,INT((ROW()-ROW($C$2))/ROWS($C$2:$D$40))+1)</f>
        <v>#REF!</v>
      </c>
      <c r="V540" t="e">
        <f t="shared" ca="1" si="61"/>
        <v>#N/A</v>
      </c>
      <c r="W540" t="str" cm="1">
        <f t="array" aca="1" ref="W540" ca="1">IFERROR(INDIRECT("$U"&amp;V540),"")</f>
        <v/>
      </c>
      <c r="Z540" t="str" cm="1">
        <f t="array" ref="Z540">INDEX($AE$2:$AS$40,MOD(ROW()-ROW($AE$2),ROWS($AE$2:$AS$40))+1,INT((ROW()-ROW($AE$2))/ROWS($AE$2:$AS$40))+1)</f>
        <v/>
      </c>
      <c r="AA540" t="e">
        <f t="shared" ca="1" si="62"/>
        <v>#N/A</v>
      </c>
      <c r="AB540" t="str" cm="1">
        <f t="array" aca="1" ref="AB540" ca="1">IFERROR(INDIRECT("$Z"&amp;AA540),"")</f>
        <v/>
      </c>
      <c r="AP540" t="str">
        <f t="shared" si="56"/>
        <v/>
      </c>
      <c r="AQ540" t="str">
        <f t="shared" si="57"/>
        <v/>
      </c>
      <c r="AR540" t="str">
        <f t="shared" si="58"/>
        <v/>
      </c>
      <c r="AS540" t="str">
        <f t="shared" si="59"/>
        <v/>
      </c>
    </row>
    <row r="541" spans="5:45" x14ac:dyDescent="0.25">
      <c r="E541" t="str">
        <f ca="1"/>
        <v/>
      </c>
      <c r="F541" t="str">
        <f ca="1"/>
        <v/>
      </c>
      <c r="P541" t="e" cm="1">
        <f t="array" ref="P541">INDEX($B$2:$D$40,MOD(ROW()-ROW($B$2),ROWS($B$2:$D$40))+1,INT((ROW()-ROW($B$2))/ROWS($B$2:$D$40))+1)</f>
        <v>#REF!</v>
      </c>
      <c r="Q541" t="e">
        <f t="shared" ca="1" si="60"/>
        <v>#N/A</v>
      </c>
      <c r="R541" t="str" cm="1">
        <f t="array" aca="1" ref="R541" ca="1">IFERROR(INDIRECT("$P"&amp;Q541),"")</f>
        <v/>
      </c>
      <c r="U541" t="e" cm="1">
        <f t="array" ref="U541">INDEX($C$2:$D$40,MOD(ROW()-ROW($C$2),ROWS($C$2:$D$40))+1,INT((ROW()-ROW($C$2))/ROWS($C$2:$D$40))+1)</f>
        <v>#REF!</v>
      </c>
      <c r="V541" t="e">
        <f t="shared" ca="1" si="61"/>
        <v>#N/A</v>
      </c>
      <c r="W541" t="str" cm="1">
        <f t="array" aca="1" ref="W541" ca="1">IFERROR(INDIRECT("$U"&amp;V541),"")</f>
        <v/>
      </c>
      <c r="Z541" t="str" cm="1">
        <f t="array" ref="Z541">INDEX($AE$2:$AS$40,MOD(ROW()-ROW($AE$2),ROWS($AE$2:$AS$40))+1,INT((ROW()-ROW($AE$2))/ROWS($AE$2:$AS$40))+1)</f>
        <v/>
      </c>
      <c r="AA541" t="e">
        <f t="shared" ca="1" si="62"/>
        <v>#N/A</v>
      </c>
      <c r="AB541" t="str" cm="1">
        <f t="array" aca="1" ref="AB541" ca="1">IFERROR(INDIRECT("$Z"&amp;AA541),"")</f>
        <v/>
      </c>
      <c r="AP541" t="str">
        <f t="shared" si="56"/>
        <v/>
      </c>
      <c r="AQ541" t="str">
        <f t="shared" si="57"/>
        <v/>
      </c>
      <c r="AR541" t="str">
        <f t="shared" si="58"/>
        <v/>
      </c>
      <c r="AS541" t="str">
        <f t="shared" si="59"/>
        <v/>
      </c>
    </row>
    <row r="542" spans="5:45" x14ac:dyDescent="0.25">
      <c r="E542" t="str">
        <f ca="1"/>
        <v/>
      </c>
      <c r="F542" t="str">
        <f ca="1"/>
        <v/>
      </c>
      <c r="P542" t="e" cm="1">
        <f t="array" ref="P542">INDEX($B$2:$D$40,MOD(ROW()-ROW($B$2),ROWS($B$2:$D$40))+1,INT((ROW()-ROW($B$2))/ROWS($B$2:$D$40))+1)</f>
        <v>#REF!</v>
      </c>
      <c r="Q542" t="e">
        <f t="shared" ca="1" si="60"/>
        <v>#N/A</v>
      </c>
      <c r="R542" t="str" cm="1">
        <f t="array" aca="1" ref="R542" ca="1">IFERROR(INDIRECT("$P"&amp;Q542),"")</f>
        <v/>
      </c>
      <c r="U542" t="e" cm="1">
        <f t="array" ref="U542">INDEX($C$2:$D$40,MOD(ROW()-ROW($C$2),ROWS($C$2:$D$40))+1,INT((ROW()-ROW($C$2))/ROWS($C$2:$D$40))+1)</f>
        <v>#REF!</v>
      </c>
      <c r="V542" t="e">
        <f t="shared" ca="1" si="61"/>
        <v>#N/A</v>
      </c>
      <c r="W542" t="str" cm="1">
        <f t="array" aca="1" ref="W542" ca="1">IFERROR(INDIRECT("$U"&amp;V542),"")</f>
        <v/>
      </c>
      <c r="Z542" t="str" cm="1">
        <f t="array" ref="Z542">INDEX($AE$2:$AS$40,MOD(ROW()-ROW($AE$2),ROWS($AE$2:$AS$40))+1,INT((ROW()-ROW($AE$2))/ROWS($AE$2:$AS$40))+1)</f>
        <v/>
      </c>
      <c r="AA542" t="e">
        <f t="shared" ca="1" si="62"/>
        <v>#N/A</v>
      </c>
      <c r="AB542" t="str" cm="1">
        <f t="array" aca="1" ref="AB542" ca="1">IFERROR(INDIRECT("$Z"&amp;AA542),"")</f>
        <v/>
      </c>
      <c r="AP542" t="str">
        <f t="shared" si="56"/>
        <v/>
      </c>
      <c r="AQ542" t="str">
        <f t="shared" si="57"/>
        <v/>
      </c>
      <c r="AR542" t="str">
        <f t="shared" si="58"/>
        <v/>
      </c>
      <c r="AS542" t="str">
        <f t="shared" si="59"/>
        <v/>
      </c>
    </row>
    <row r="543" spans="5:45" x14ac:dyDescent="0.25">
      <c r="E543" t="str">
        <f ca="1"/>
        <v/>
      </c>
      <c r="F543" t="str">
        <f ca="1"/>
        <v/>
      </c>
      <c r="P543" t="e" cm="1">
        <f t="array" ref="P543">INDEX($B$2:$D$40,MOD(ROW()-ROW($B$2),ROWS($B$2:$D$40))+1,INT((ROW()-ROW($B$2))/ROWS($B$2:$D$40))+1)</f>
        <v>#REF!</v>
      </c>
      <c r="Q543" t="e">
        <f t="shared" ca="1" si="60"/>
        <v>#N/A</v>
      </c>
      <c r="R543" t="str" cm="1">
        <f t="array" aca="1" ref="R543" ca="1">IFERROR(INDIRECT("$P"&amp;Q543),"")</f>
        <v/>
      </c>
      <c r="U543" t="e" cm="1">
        <f t="array" ref="U543">INDEX($C$2:$D$40,MOD(ROW()-ROW($C$2),ROWS($C$2:$D$40))+1,INT((ROW()-ROW($C$2))/ROWS($C$2:$D$40))+1)</f>
        <v>#REF!</v>
      </c>
      <c r="V543" t="e">
        <f t="shared" ca="1" si="61"/>
        <v>#N/A</v>
      </c>
      <c r="W543" t="str" cm="1">
        <f t="array" aca="1" ref="W543" ca="1">IFERROR(INDIRECT("$U"&amp;V543),"")</f>
        <v/>
      </c>
      <c r="Z543" t="str" cm="1">
        <f t="array" ref="Z543">INDEX($AE$2:$AS$40,MOD(ROW()-ROW($AE$2),ROWS($AE$2:$AS$40))+1,INT((ROW()-ROW($AE$2))/ROWS($AE$2:$AS$40))+1)</f>
        <v/>
      </c>
      <c r="AA543" t="e">
        <f t="shared" ca="1" si="62"/>
        <v>#N/A</v>
      </c>
      <c r="AB543" t="str" cm="1">
        <f t="array" aca="1" ref="AB543" ca="1">IFERROR(INDIRECT("$Z"&amp;AA543),"")</f>
        <v/>
      </c>
      <c r="AP543" t="str">
        <f t="shared" si="56"/>
        <v/>
      </c>
      <c r="AQ543" t="str">
        <f t="shared" si="57"/>
        <v/>
      </c>
      <c r="AR543" t="str">
        <f t="shared" si="58"/>
        <v/>
      </c>
      <c r="AS543" t="str">
        <f t="shared" si="59"/>
        <v/>
      </c>
    </row>
    <row r="544" spans="5:45" x14ac:dyDescent="0.25">
      <c r="E544" t="str">
        <f ca="1"/>
        <v/>
      </c>
      <c r="F544" t="str">
        <f ca="1"/>
        <v/>
      </c>
      <c r="P544" t="e" cm="1">
        <f t="array" ref="P544">INDEX($B$2:$D$40,MOD(ROW()-ROW($B$2),ROWS($B$2:$D$40))+1,INT((ROW()-ROW($B$2))/ROWS($B$2:$D$40))+1)</f>
        <v>#REF!</v>
      </c>
      <c r="Q544" t="e">
        <f t="shared" ca="1" si="60"/>
        <v>#N/A</v>
      </c>
      <c r="R544" t="str" cm="1">
        <f t="array" aca="1" ref="R544" ca="1">IFERROR(INDIRECT("$P"&amp;Q544),"")</f>
        <v/>
      </c>
      <c r="U544" t="e" cm="1">
        <f t="array" ref="U544">INDEX($C$2:$D$40,MOD(ROW()-ROW($C$2),ROWS($C$2:$D$40))+1,INT((ROW()-ROW($C$2))/ROWS($C$2:$D$40))+1)</f>
        <v>#REF!</v>
      </c>
      <c r="V544" t="e">
        <f t="shared" ca="1" si="61"/>
        <v>#N/A</v>
      </c>
      <c r="W544" t="str" cm="1">
        <f t="array" aca="1" ref="W544" ca="1">IFERROR(INDIRECT("$U"&amp;V544),"")</f>
        <v/>
      </c>
      <c r="Z544" t="str" cm="1">
        <f t="array" ref="Z544">INDEX($AE$2:$AS$40,MOD(ROW()-ROW($AE$2),ROWS($AE$2:$AS$40))+1,INT((ROW()-ROW($AE$2))/ROWS($AE$2:$AS$40))+1)</f>
        <v/>
      </c>
      <c r="AA544" t="e">
        <f t="shared" ca="1" si="62"/>
        <v>#N/A</v>
      </c>
      <c r="AB544" t="str" cm="1">
        <f t="array" aca="1" ref="AB544" ca="1">IFERROR(INDIRECT("$Z"&amp;AA544),"")</f>
        <v/>
      </c>
      <c r="AP544" t="str">
        <f t="shared" si="56"/>
        <v/>
      </c>
      <c r="AQ544" t="str">
        <f t="shared" si="57"/>
        <v/>
      </c>
      <c r="AR544" t="str">
        <f t="shared" si="58"/>
        <v/>
      </c>
      <c r="AS544" t="str">
        <f t="shared" si="59"/>
        <v/>
      </c>
    </row>
    <row r="545" spans="5:45" x14ac:dyDescent="0.25">
      <c r="E545" t="str">
        <f ca="1"/>
        <v/>
      </c>
      <c r="F545" t="str">
        <f ca="1"/>
        <v/>
      </c>
      <c r="P545" t="e" cm="1">
        <f t="array" ref="P545">INDEX($B$2:$D$40,MOD(ROW()-ROW($B$2),ROWS($B$2:$D$40))+1,INT((ROW()-ROW($B$2))/ROWS($B$2:$D$40))+1)</f>
        <v>#REF!</v>
      </c>
      <c r="Q545" t="e">
        <f t="shared" ca="1" si="60"/>
        <v>#N/A</v>
      </c>
      <c r="R545" t="str" cm="1">
        <f t="array" aca="1" ref="R545" ca="1">IFERROR(INDIRECT("$P"&amp;Q545),"")</f>
        <v/>
      </c>
      <c r="U545" t="e" cm="1">
        <f t="array" ref="U545">INDEX($C$2:$D$40,MOD(ROW()-ROW($C$2),ROWS($C$2:$D$40))+1,INT((ROW()-ROW($C$2))/ROWS($C$2:$D$40))+1)</f>
        <v>#REF!</v>
      </c>
      <c r="V545" t="e">
        <f t="shared" ca="1" si="61"/>
        <v>#N/A</v>
      </c>
      <c r="W545" t="str" cm="1">
        <f t="array" aca="1" ref="W545" ca="1">IFERROR(INDIRECT("$U"&amp;V545),"")</f>
        <v/>
      </c>
      <c r="Z545" t="str" cm="1">
        <f t="array" ref="Z545">INDEX($AE$2:$AS$40,MOD(ROW()-ROW($AE$2),ROWS($AE$2:$AS$40))+1,INT((ROW()-ROW($AE$2))/ROWS($AE$2:$AS$40))+1)</f>
        <v/>
      </c>
      <c r="AA545" t="e">
        <f t="shared" ca="1" si="62"/>
        <v>#N/A</v>
      </c>
      <c r="AB545" t="str" cm="1">
        <f t="array" aca="1" ref="AB545" ca="1">IFERROR(INDIRECT("$Z"&amp;AA545),"")</f>
        <v/>
      </c>
      <c r="AP545" t="str">
        <f t="shared" si="56"/>
        <v/>
      </c>
      <c r="AQ545" t="str">
        <f t="shared" si="57"/>
        <v/>
      </c>
      <c r="AR545" t="str">
        <f t="shared" si="58"/>
        <v/>
      </c>
      <c r="AS545" t="str">
        <f t="shared" si="59"/>
        <v/>
      </c>
    </row>
    <row r="546" spans="5:45" x14ac:dyDescent="0.25">
      <c r="E546" t="str">
        <f ca="1"/>
        <v/>
      </c>
      <c r="F546" t="str">
        <f ca="1"/>
        <v/>
      </c>
      <c r="P546" t="e" cm="1">
        <f t="array" ref="P546">INDEX($B$2:$D$40,MOD(ROW()-ROW($B$2),ROWS($B$2:$D$40))+1,INT((ROW()-ROW($B$2))/ROWS($B$2:$D$40))+1)</f>
        <v>#REF!</v>
      </c>
      <c r="Q546" t="e">
        <f t="shared" ca="1" si="60"/>
        <v>#N/A</v>
      </c>
      <c r="R546" t="str" cm="1">
        <f t="array" aca="1" ref="R546" ca="1">IFERROR(INDIRECT("$P"&amp;Q546),"")</f>
        <v/>
      </c>
      <c r="U546" t="e" cm="1">
        <f t="array" ref="U546">INDEX($C$2:$D$40,MOD(ROW()-ROW($C$2),ROWS($C$2:$D$40))+1,INT((ROW()-ROW($C$2))/ROWS($C$2:$D$40))+1)</f>
        <v>#REF!</v>
      </c>
      <c r="V546" t="e">
        <f t="shared" ca="1" si="61"/>
        <v>#N/A</v>
      </c>
      <c r="W546" t="str" cm="1">
        <f t="array" aca="1" ref="W546" ca="1">IFERROR(INDIRECT("$U"&amp;V546),"")</f>
        <v/>
      </c>
      <c r="Z546" t="str" cm="1">
        <f t="array" ref="Z546">INDEX($AE$2:$AS$40,MOD(ROW()-ROW($AE$2),ROWS($AE$2:$AS$40))+1,INT((ROW()-ROW($AE$2))/ROWS($AE$2:$AS$40))+1)</f>
        <v/>
      </c>
      <c r="AA546" t="e">
        <f t="shared" ca="1" si="62"/>
        <v>#N/A</v>
      </c>
      <c r="AB546" t="str" cm="1">
        <f t="array" aca="1" ref="AB546" ca="1">IFERROR(INDIRECT("$Z"&amp;AA546),"")</f>
        <v/>
      </c>
      <c r="AP546" t="str">
        <f t="shared" si="56"/>
        <v/>
      </c>
      <c r="AQ546" t="str">
        <f t="shared" si="57"/>
        <v/>
      </c>
      <c r="AR546" t="str">
        <f t="shared" si="58"/>
        <v/>
      </c>
      <c r="AS546" t="str">
        <f t="shared" si="59"/>
        <v/>
      </c>
    </row>
    <row r="547" spans="5:45" x14ac:dyDescent="0.25">
      <c r="E547" t="str">
        <f ca="1"/>
        <v/>
      </c>
      <c r="F547" t="str">
        <f ca="1"/>
        <v/>
      </c>
      <c r="P547" t="e" cm="1">
        <f t="array" ref="P547">INDEX($B$2:$D$40,MOD(ROW()-ROW($B$2),ROWS($B$2:$D$40))+1,INT((ROW()-ROW($B$2))/ROWS($B$2:$D$40))+1)</f>
        <v>#REF!</v>
      </c>
      <c r="Q547" t="e">
        <f t="shared" ca="1" si="60"/>
        <v>#N/A</v>
      </c>
      <c r="R547" t="str" cm="1">
        <f t="array" aca="1" ref="R547" ca="1">IFERROR(INDIRECT("$P"&amp;Q547),"")</f>
        <v/>
      </c>
      <c r="U547" t="e" cm="1">
        <f t="array" ref="U547">INDEX($C$2:$D$40,MOD(ROW()-ROW($C$2),ROWS($C$2:$D$40))+1,INT((ROW()-ROW($C$2))/ROWS($C$2:$D$40))+1)</f>
        <v>#REF!</v>
      </c>
      <c r="V547" t="e">
        <f t="shared" ca="1" si="61"/>
        <v>#N/A</v>
      </c>
      <c r="W547" t="str" cm="1">
        <f t="array" aca="1" ref="W547" ca="1">IFERROR(INDIRECT("$U"&amp;V547),"")</f>
        <v/>
      </c>
      <c r="Z547" t="str" cm="1">
        <f t="array" ref="Z547">INDEX($AE$2:$AS$40,MOD(ROW()-ROW($AE$2),ROWS($AE$2:$AS$40))+1,INT((ROW()-ROW($AE$2))/ROWS($AE$2:$AS$40))+1)</f>
        <v/>
      </c>
      <c r="AA547" t="e">
        <f t="shared" ca="1" si="62"/>
        <v>#N/A</v>
      </c>
      <c r="AB547" t="str" cm="1">
        <f t="array" aca="1" ref="AB547" ca="1">IFERROR(INDIRECT("$Z"&amp;AA547),"")</f>
        <v/>
      </c>
      <c r="AP547" t="str">
        <f t="shared" si="56"/>
        <v/>
      </c>
      <c r="AQ547" t="str">
        <f t="shared" si="57"/>
        <v/>
      </c>
      <c r="AR547" t="str">
        <f t="shared" si="58"/>
        <v/>
      </c>
      <c r="AS547" t="str">
        <f t="shared" si="59"/>
        <v/>
      </c>
    </row>
    <row r="548" spans="5:45" x14ac:dyDescent="0.25">
      <c r="E548" t="str">
        <f ca="1"/>
        <v/>
      </c>
      <c r="F548" t="str">
        <f ca="1"/>
        <v/>
      </c>
      <c r="P548" t="e" cm="1">
        <f t="array" ref="P548">INDEX($B$2:$D$40,MOD(ROW()-ROW($B$2),ROWS($B$2:$D$40))+1,INT((ROW()-ROW($B$2))/ROWS($B$2:$D$40))+1)</f>
        <v>#REF!</v>
      </c>
      <c r="Q548" t="e">
        <f t="shared" ca="1" si="60"/>
        <v>#N/A</v>
      </c>
      <c r="R548" t="str" cm="1">
        <f t="array" aca="1" ref="R548" ca="1">IFERROR(INDIRECT("$P"&amp;Q548),"")</f>
        <v/>
      </c>
      <c r="U548" t="e" cm="1">
        <f t="array" ref="U548">INDEX($C$2:$D$40,MOD(ROW()-ROW($C$2),ROWS($C$2:$D$40))+1,INT((ROW()-ROW($C$2))/ROWS($C$2:$D$40))+1)</f>
        <v>#REF!</v>
      </c>
      <c r="V548" t="e">
        <f t="shared" ca="1" si="61"/>
        <v>#N/A</v>
      </c>
      <c r="W548" t="str" cm="1">
        <f t="array" aca="1" ref="W548" ca="1">IFERROR(INDIRECT("$U"&amp;V548),"")</f>
        <v/>
      </c>
      <c r="Z548" t="str" cm="1">
        <f t="array" aca="1" ref="Z548" ca="1">INDEX($AE$2:$AS$40,MOD(ROW()-ROW($AE$2),ROWS($AE$2:$AS$40))+1,INT((ROW()-ROW($AE$2))/ROWS($AE$2:$AS$40))+1)</f>
        <v>HF04_heat_exchanger (exhaust)</v>
      </c>
      <c r="AA548" t="e">
        <f t="shared" ca="1" si="62"/>
        <v>#N/A</v>
      </c>
      <c r="AB548" t="str" cm="1">
        <f t="array" aca="1" ref="AB548" ca="1">IFERROR(INDIRECT("$Z"&amp;AA548),"")</f>
        <v/>
      </c>
      <c r="AP548" t="str">
        <f t="shared" si="56"/>
        <v/>
      </c>
      <c r="AQ548" t="str">
        <f t="shared" si="57"/>
        <v/>
      </c>
      <c r="AR548" t="str">
        <f t="shared" si="58"/>
        <v/>
      </c>
      <c r="AS548" t="str">
        <f t="shared" si="59"/>
        <v/>
      </c>
    </row>
    <row r="549" spans="5:45" x14ac:dyDescent="0.25">
      <c r="E549" t="str">
        <f ca="1"/>
        <v/>
      </c>
      <c r="F549" t="str">
        <f ca="1"/>
        <v/>
      </c>
      <c r="P549" t="e" cm="1">
        <f t="array" ref="P549">INDEX($B$2:$D$40,MOD(ROW()-ROW($B$2),ROWS($B$2:$D$40))+1,INT((ROW()-ROW($B$2))/ROWS($B$2:$D$40))+1)</f>
        <v>#REF!</v>
      </c>
      <c r="Q549" t="e">
        <f t="shared" ca="1" si="60"/>
        <v>#N/A</v>
      </c>
      <c r="R549" t="str" cm="1">
        <f t="array" aca="1" ref="R549" ca="1">IFERROR(INDIRECT("$P"&amp;Q549),"")</f>
        <v/>
      </c>
      <c r="U549" t="e" cm="1">
        <f t="array" ref="U549">INDEX($C$2:$D$40,MOD(ROW()-ROW($C$2),ROWS($C$2:$D$40))+1,INT((ROW()-ROW($C$2))/ROWS($C$2:$D$40))+1)</f>
        <v>#REF!</v>
      </c>
      <c r="V549" t="e">
        <f t="shared" ca="1" si="61"/>
        <v>#N/A</v>
      </c>
      <c r="W549" t="str" cm="1">
        <f t="array" aca="1" ref="W549" ca="1">IFERROR(INDIRECT("$U"&amp;V549),"")</f>
        <v/>
      </c>
      <c r="Z549" t="str" cm="1">
        <f t="array" ref="Z549">INDEX($AE$2:$AS$40,MOD(ROW()-ROW($AE$2),ROWS($AE$2:$AS$40))+1,INT((ROW()-ROW($AE$2))/ROWS($AE$2:$AS$40))+1)</f>
        <v/>
      </c>
      <c r="AA549" t="e">
        <f t="shared" ca="1" si="62"/>
        <v>#N/A</v>
      </c>
      <c r="AB549" t="str" cm="1">
        <f t="array" aca="1" ref="AB549" ca="1">IFERROR(INDIRECT("$Z"&amp;AA549),"")</f>
        <v/>
      </c>
      <c r="AP549" t="str">
        <f t="shared" si="56"/>
        <v/>
      </c>
      <c r="AQ549" t="str">
        <f t="shared" si="57"/>
        <v/>
      </c>
      <c r="AR549" t="str">
        <f t="shared" si="58"/>
        <v/>
      </c>
      <c r="AS549" t="str">
        <f t="shared" si="59"/>
        <v/>
      </c>
    </row>
    <row r="550" spans="5:45" x14ac:dyDescent="0.25">
      <c r="E550" t="str">
        <f ca="1"/>
        <v/>
      </c>
      <c r="F550" t="str">
        <f ca="1"/>
        <v/>
      </c>
      <c r="P550" t="e" cm="1">
        <f t="array" ref="P550">INDEX($B$2:$D$40,MOD(ROW()-ROW($B$2),ROWS($B$2:$D$40))+1,INT((ROW()-ROW($B$2))/ROWS($B$2:$D$40))+1)</f>
        <v>#REF!</v>
      </c>
      <c r="Q550" t="e">
        <f t="shared" ca="1" si="60"/>
        <v>#N/A</v>
      </c>
      <c r="R550" t="str" cm="1">
        <f t="array" aca="1" ref="R550" ca="1">IFERROR(INDIRECT("$P"&amp;Q550),"")</f>
        <v/>
      </c>
      <c r="U550" t="e" cm="1">
        <f t="array" ref="U550">INDEX($C$2:$D$40,MOD(ROW()-ROW($C$2),ROWS($C$2:$D$40))+1,INT((ROW()-ROW($C$2))/ROWS($C$2:$D$40))+1)</f>
        <v>#REF!</v>
      </c>
      <c r="V550" t="e">
        <f t="shared" ca="1" si="61"/>
        <v>#N/A</v>
      </c>
      <c r="W550" t="str" cm="1">
        <f t="array" aca="1" ref="W550" ca="1">IFERROR(INDIRECT("$U"&amp;V550),"")</f>
        <v/>
      </c>
      <c r="Z550" t="str" cm="1">
        <f t="array" ref="Z550">INDEX($AE$2:$AS$40,MOD(ROW()-ROW($AE$2),ROWS($AE$2:$AS$40))+1,INT((ROW()-ROW($AE$2))/ROWS($AE$2:$AS$40))+1)</f>
        <v/>
      </c>
      <c r="AA550" t="e">
        <f t="shared" ca="1" si="62"/>
        <v>#N/A</v>
      </c>
      <c r="AB550" t="str" cm="1">
        <f t="array" aca="1" ref="AB550" ca="1">IFERROR(INDIRECT("$Z"&amp;AA550),"")</f>
        <v/>
      </c>
      <c r="AP550" t="str">
        <f t="shared" si="56"/>
        <v/>
      </c>
      <c r="AQ550" t="str">
        <f t="shared" si="57"/>
        <v/>
      </c>
      <c r="AR550" t="str">
        <f t="shared" si="58"/>
        <v/>
      </c>
      <c r="AS550" t="str">
        <f t="shared" si="59"/>
        <v/>
      </c>
    </row>
    <row r="551" spans="5:45" x14ac:dyDescent="0.25">
      <c r="E551" t="str">
        <f ca="1"/>
        <v/>
      </c>
      <c r="F551" t="str">
        <f ca="1"/>
        <v/>
      </c>
      <c r="P551" t="e" cm="1">
        <f t="array" ref="P551">INDEX($B$2:$D$40,MOD(ROW()-ROW($B$2),ROWS($B$2:$D$40))+1,INT((ROW()-ROW($B$2))/ROWS($B$2:$D$40))+1)</f>
        <v>#REF!</v>
      </c>
      <c r="Q551" t="e">
        <f t="shared" ca="1" si="60"/>
        <v>#N/A</v>
      </c>
      <c r="R551" t="str" cm="1">
        <f t="array" aca="1" ref="R551" ca="1">IFERROR(INDIRECT("$P"&amp;Q551),"")</f>
        <v/>
      </c>
      <c r="U551" t="e" cm="1">
        <f t="array" ref="U551">INDEX($C$2:$D$40,MOD(ROW()-ROW($C$2),ROWS($C$2:$D$40))+1,INT((ROW()-ROW($C$2))/ROWS($C$2:$D$40))+1)</f>
        <v>#REF!</v>
      </c>
      <c r="V551" t="e">
        <f t="shared" ca="1" si="61"/>
        <v>#N/A</v>
      </c>
      <c r="W551" t="str" cm="1">
        <f t="array" aca="1" ref="W551" ca="1">IFERROR(INDIRECT("$U"&amp;V551),"")</f>
        <v/>
      </c>
      <c r="Z551" t="str" cm="1">
        <f t="array" ref="Z551">INDEX($AE$2:$AS$40,MOD(ROW()-ROW($AE$2),ROWS($AE$2:$AS$40))+1,INT((ROW()-ROW($AE$2))/ROWS($AE$2:$AS$40))+1)</f>
        <v/>
      </c>
      <c r="AA551" t="e">
        <f t="shared" ca="1" si="62"/>
        <v>#N/A</v>
      </c>
      <c r="AB551" t="str" cm="1">
        <f t="array" aca="1" ref="AB551" ca="1">IFERROR(INDIRECT("$Z"&amp;AA551),"")</f>
        <v/>
      </c>
      <c r="AP551" t="str">
        <f t="shared" si="56"/>
        <v/>
      </c>
      <c r="AQ551" t="str">
        <f t="shared" si="57"/>
        <v/>
      </c>
      <c r="AR551" t="str">
        <f t="shared" si="58"/>
        <v/>
      </c>
      <c r="AS551" t="str">
        <f t="shared" si="59"/>
        <v/>
      </c>
    </row>
    <row r="552" spans="5:45" x14ac:dyDescent="0.25">
      <c r="E552" t="str">
        <f ca="1"/>
        <v/>
      </c>
      <c r="F552" t="str">
        <f ca="1"/>
        <v/>
      </c>
      <c r="P552" t="e" cm="1">
        <f t="array" ref="P552">INDEX($B$2:$D$40,MOD(ROW()-ROW($B$2),ROWS($B$2:$D$40))+1,INT((ROW()-ROW($B$2))/ROWS($B$2:$D$40))+1)</f>
        <v>#REF!</v>
      </c>
      <c r="Q552" t="e">
        <f t="shared" ca="1" si="60"/>
        <v>#N/A</v>
      </c>
      <c r="R552" t="str" cm="1">
        <f t="array" aca="1" ref="R552" ca="1">IFERROR(INDIRECT("$P"&amp;Q552),"")</f>
        <v/>
      </c>
      <c r="U552" t="e" cm="1">
        <f t="array" ref="U552">INDEX($C$2:$D$40,MOD(ROW()-ROW($C$2),ROWS($C$2:$D$40))+1,INT((ROW()-ROW($C$2))/ROWS($C$2:$D$40))+1)</f>
        <v>#REF!</v>
      </c>
      <c r="V552" t="e">
        <f t="shared" ca="1" si="61"/>
        <v>#N/A</v>
      </c>
      <c r="W552" t="str" cm="1">
        <f t="array" aca="1" ref="W552" ca="1">IFERROR(INDIRECT("$U"&amp;V552),"")</f>
        <v/>
      </c>
      <c r="Z552" t="str" cm="1">
        <f t="array" ref="Z552">INDEX($AE$2:$AS$40,MOD(ROW()-ROW($AE$2),ROWS($AE$2:$AS$40))+1,INT((ROW()-ROW($AE$2))/ROWS($AE$2:$AS$40))+1)</f>
        <v/>
      </c>
      <c r="AA552" t="e">
        <f t="shared" ca="1" si="62"/>
        <v>#N/A</v>
      </c>
      <c r="AB552" t="str" cm="1">
        <f t="array" aca="1" ref="AB552" ca="1">IFERROR(INDIRECT("$Z"&amp;AA552),"")</f>
        <v/>
      </c>
      <c r="AP552" t="str">
        <f t="shared" si="56"/>
        <v/>
      </c>
      <c r="AQ552" t="str">
        <f t="shared" si="57"/>
        <v/>
      </c>
      <c r="AR552" t="str">
        <f t="shared" si="58"/>
        <v/>
      </c>
      <c r="AS552" t="str">
        <f t="shared" si="59"/>
        <v/>
      </c>
    </row>
    <row r="553" spans="5:45" x14ac:dyDescent="0.25">
      <c r="E553" t="str">
        <f ca="1"/>
        <v/>
      </c>
      <c r="F553" t="str">
        <f ca="1"/>
        <v/>
      </c>
      <c r="P553" t="e" cm="1">
        <f t="array" ref="P553">INDEX($B$2:$D$40,MOD(ROW()-ROW($B$2),ROWS($B$2:$D$40))+1,INT((ROW()-ROW($B$2))/ROWS($B$2:$D$40))+1)</f>
        <v>#REF!</v>
      </c>
      <c r="Q553" t="e">
        <f t="shared" ca="1" si="60"/>
        <v>#N/A</v>
      </c>
      <c r="R553" t="str" cm="1">
        <f t="array" aca="1" ref="R553" ca="1">IFERROR(INDIRECT("$P"&amp;Q553),"")</f>
        <v/>
      </c>
      <c r="U553" t="e" cm="1">
        <f t="array" ref="U553">INDEX($C$2:$D$40,MOD(ROW()-ROW($C$2),ROWS($C$2:$D$40))+1,INT((ROW()-ROW($C$2))/ROWS($C$2:$D$40))+1)</f>
        <v>#REF!</v>
      </c>
      <c r="V553" t="e">
        <f t="shared" ca="1" si="61"/>
        <v>#N/A</v>
      </c>
      <c r="W553" t="str" cm="1">
        <f t="array" aca="1" ref="W553" ca="1">IFERROR(INDIRECT("$U"&amp;V553),"")</f>
        <v/>
      </c>
      <c r="Z553" t="str" cm="1">
        <f t="array" ref="Z553">INDEX($AE$2:$AS$40,MOD(ROW()-ROW($AE$2),ROWS($AE$2:$AS$40))+1,INT((ROW()-ROW($AE$2))/ROWS($AE$2:$AS$40))+1)</f>
        <v/>
      </c>
      <c r="AA553" t="e">
        <f t="shared" ca="1" si="62"/>
        <v>#N/A</v>
      </c>
      <c r="AB553" t="str" cm="1">
        <f t="array" aca="1" ref="AB553" ca="1">IFERROR(INDIRECT("$Z"&amp;AA553),"")</f>
        <v/>
      </c>
      <c r="AP553" t="str">
        <f t="shared" si="56"/>
        <v/>
      </c>
      <c r="AQ553" t="str">
        <f t="shared" si="57"/>
        <v/>
      </c>
      <c r="AR553" t="str">
        <f t="shared" si="58"/>
        <v/>
      </c>
      <c r="AS553" t="str">
        <f t="shared" si="59"/>
        <v/>
      </c>
    </row>
    <row r="554" spans="5:45" x14ac:dyDescent="0.25">
      <c r="E554" t="str">
        <f ca="1"/>
        <v/>
      </c>
      <c r="F554" t="str">
        <f ca="1"/>
        <v/>
      </c>
      <c r="P554" t="e" cm="1">
        <f t="array" ref="P554">INDEX($B$2:$D$40,MOD(ROW()-ROW($B$2),ROWS($B$2:$D$40))+1,INT((ROW()-ROW($B$2))/ROWS($B$2:$D$40))+1)</f>
        <v>#REF!</v>
      </c>
      <c r="Q554" t="e">
        <f t="shared" ca="1" si="60"/>
        <v>#N/A</v>
      </c>
      <c r="R554" t="str" cm="1">
        <f t="array" aca="1" ref="R554" ca="1">IFERROR(INDIRECT("$P"&amp;Q554),"")</f>
        <v/>
      </c>
      <c r="U554" t="e" cm="1">
        <f t="array" ref="U554">INDEX($C$2:$D$40,MOD(ROW()-ROW($C$2),ROWS($C$2:$D$40))+1,INT((ROW()-ROW($C$2))/ROWS($C$2:$D$40))+1)</f>
        <v>#REF!</v>
      </c>
      <c r="V554" t="e">
        <f t="shared" ca="1" si="61"/>
        <v>#N/A</v>
      </c>
      <c r="W554" t="str" cm="1">
        <f t="array" aca="1" ref="W554" ca="1">IFERROR(INDIRECT("$U"&amp;V554),"")</f>
        <v/>
      </c>
      <c r="Z554" t="str" cm="1">
        <f t="array" ref="Z554">INDEX($AE$2:$AS$40,MOD(ROW()-ROW($AE$2),ROWS($AE$2:$AS$40))+1,INT((ROW()-ROW($AE$2))/ROWS($AE$2:$AS$40))+1)</f>
        <v/>
      </c>
      <c r="AA554" t="e">
        <f t="shared" ca="1" si="62"/>
        <v>#N/A</v>
      </c>
      <c r="AB554" t="str" cm="1">
        <f t="array" aca="1" ref="AB554" ca="1">IFERROR(INDIRECT("$Z"&amp;AA554),"")</f>
        <v/>
      </c>
      <c r="AP554" t="str">
        <f t="shared" si="56"/>
        <v/>
      </c>
      <c r="AQ554" t="str">
        <f t="shared" si="57"/>
        <v/>
      </c>
      <c r="AR554" t="str">
        <f t="shared" si="58"/>
        <v/>
      </c>
      <c r="AS554" t="str">
        <f t="shared" si="59"/>
        <v/>
      </c>
    </row>
    <row r="555" spans="5:45" x14ac:dyDescent="0.25">
      <c r="E555" t="str">
        <f ca="1"/>
        <v/>
      </c>
      <c r="F555" t="str">
        <f ca="1"/>
        <v/>
      </c>
      <c r="P555" t="e" cm="1">
        <f t="array" ref="P555">INDEX($B$2:$D$40,MOD(ROW()-ROW($B$2),ROWS($B$2:$D$40))+1,INT((ROW()-ROW($B$2))/ROWS($B$2:$D$40))+1)</f>
        <v>#REF!</v>
      </c>
      <c r="Q555" t="e">
        <f t="shared" ca="1" si="60"/>
        <v>#N/A</v>
      </c>
      <c r="R555" t="str" cm="1">
        <f t="array" aca="1" ref="R555" ca="1">IFERROR(INDIRECT("$P"&amp;Q555),"")</f>
        <v/>
      </c>
      <c r="U555" t="e" cm="1">
        <f t="array" ref="U555">INDEX($C$2:$D$40,MOD(ROW()-ROW($C$2),ROWS($C$2:$D$40))+1,INT((ROW()-ROW($C$2))/ROWS($C$2:$D$40))+1)</f>
        <v>#REF!</v>
      </c>
      <c r="V555" t="e">
        <f t="shared" ca="1" si="61"/>
        <v>#N/A</v>
      </c>
      <c r="W555" t="str" cm="1">
        <f t="array" aca="1" ref="W555" ca="1">IFERROR(INDIRECT("$U"&amp;V555),"")</f>
        <v/>
      </c>
      <c r="Z555" t="str" cm="1">
        <f t="array" ref="Z555">INDEX($AE$2:$AS$40,MOD(ROW()-ROW($AE$2),ROWS($AE$2:$AS$40))+1,INT((ROW()-ROW($AE$2))/ROWS($AE$2:$AS$40))+1)</f>
        <v/>
      </c>
      <c r="AA555" t="e">
        <f t="shared" ca="1" si="62"/>
        <v>#N/A</v>
      </c>
      <c r="AB555" t="str" cm="1">
        <f t="array" aca="1" ref="AB555" ca="1">IFERROR(INDIRECT("$Z"&amp;AA555),"")</f>
        <v/>
      </c>
      <c r="AP555" t="str">
        <f t="shared" si="56"/>
        <v/>
      </c>
      <c r="AQ555" t="str">
        <f t="shared" si="57"/>
        <v/>
      </c>
      <c r="AR555" t="str">
        <f t="shared" si="58"/>
        <v/>
      </c>
      <c r="AS555" t="str">
        <f t="shared" si="59"/>
        <v/>
      </c>
    </row>
    <row r="556" spans="5:45" x14ac:dyDescent="0.25">
      <c r="E556" t="str">
        <f ca="1"/>
        <v/>
      </c>
      <c r="F556" t="str">
        <f ca="1"/>
        <v/>
      </c>
      <c r="P556" t="e" cm="1">
        <f t="array" ref="P556">INDEX($B$2:$D$40,MOD(ROW()-ROW($B$2),ROWS($B$2:$D$40))+1,INT((ROW()-ROW($B$2))/ROWS($B$2:$D$40))+1)</f>
        <v>#REF!</v>
      </c>
      <c r="Q556" t="e">
        <f t="shared" ca="1" si="60"/>
        <v>#N/A</v>
      </c>
      <c r="R556" t="str" cm="1">
        <f t="array" aca="1" ref="R556" ca="1">IFERROR(INDIRECT("$P"&amp;Q556),"")</f>
        <v/>
      </c>
      <c r="U556" t="e" cm="1">
        <f t="array" ref="U556">INDEX($C$2:$D$40,MOD(ROW()-ROW($C$2),ROWS($C$2:$D$40))+1,INT((ROW()-ROW($C$2))/ROWS($C$2:$D$40))+1)</f>
        <v>#REF!</v>
      </c>
      <c r="V556" t="e">
        <f t="shared" ca="1" si="61"/>
        <v>#N/A</v>
      </c>
      <c r="W556" t="str" cm="1">
        <f t="array" aca="1" ref="W556" ca="1">IFERROR(INDIRECT("$U"&amp;V556),"")</f>
        <v/>
      </c>
      <c r="Z556" t="str" cm="1">
        <f t="array" ref="Z556">INDEX($AE$2:$AS$40,MOD(ROW()-ROW($AE$2),ROWS($AE$2:$AS$40))+1,INT((ROW()-ROW($AE$2))/ROWS($AE$2:$AS$40))+1)</f>
        <v/>
      </c>
      <c r="AA556" t="e">
        <f t="shared" ca="1" si="62"/>
        <v>#N/A</v>
      </c>
      <c r="AB556" t="str" cm="1">
        <f t="array" aca="1" ref="AB556" ca="1">IFERROR(INDIRECT("$Z"&amp;AA556),"")</f>
        <v/>
      </c>
      <c r="AP556" t="str">
        <f t="shared" si="56"/>
        <v/>
      </c>
      <c r="AQ556" t="str">
        <f t="shared" si="57"/>
        <v/>
      </c>
      <c r="AR556" t="str">
        <f t="shared" si="58"/>
        <v/>
      </c>
      <c r="AS556" t="str">
        <f t="shared" si="59"/>
        <v/>
      </c>
    </row>
    <row r="557" spans="5:45" x14ac:dyDescent="0.25">
      <c r="E557" t="str">
        <f ca="1"/>
        <v/>
      </c>
      <c r="F557" t="str">
        <f ca="1"/>
        <v/>
      </c>
      <c r="P557" t="e" cm="1">
        <f t="array" ref="P557">INDEX($B$2:$D$40,MOD(ROW()-ROW($B$2),ROWS($B$2:$D$40))+1,INT((ROW()-ROW($B$2))/ROWS($B$2:$D$40))+1)</f>
        <v>#REF!</v>
      </c>
      <c r="Q557" t="e">
        <f t="shared" ca="1" si="60"/>
        <v>#N/A</v>
      </c>
      <c r="R557" t="str" cm="1">
        <f t="array" aca="1" ref="R557" ca="1">IFERROR(INDIRECT("$P"&amp;Q557),"")</f>
        <v/>
      </c>
      <c r="U557" t="e" cm="1">
        <f t="array" ref="U557">INDEX($C$2:$D$40,MOD(ROW()-ROW($C$2),ROWS($C$2:$D$40))+1,INT((ROW()-ROW($C$2))/ROWS($C$2:$D$40))+1)</f>
        <v>#REF!</v>
      </c>
      <c r="V557" t="e">
        <f t="shared" ca="1" si="61"/>
        <v>#N/A</v>
      </c>
      <c r="W557" t="str" cm="1">
        <f t="array" aca="1" ref="W557" ca="1">IFERROR(INDIRECT("$U"&amp;V557),"")</f>
        <v/>
      </c>
      <c r="Z557" t="str" cm="1">
        <f t="array" ref="Z557">INDEX($AE$2:$AS$40,MOD(ROW()-ROW($AE$2),ROWS($AE$2:$AS$40))+1,INT((ROW()-ROW($AE$2))/ROWS($AE$2:$AS$40))+1)</f>
        <v/>
      </c>
      <c r="AA557" t="e">
        <f t="shared" ca="1" si="62"/>
        <v>#N/A</v>
      </c>
      <c r="AB557" t="str" cm="1">
        <f t="array" aca="1" ref="AB557" ca="1">IFERROR(INDIRECT("$Z"&amp;AA557),"")</f>
        <v/>
      </c>
      <c r="AP557" t="str">
        <f t="shared" si="56"/>
        <v/>
      </c>
      <c r="AQ557" t="str">
        <f t="shared" si="57"/>
        <v/>
      </c>
      <c r="AR557" t="str">
        <f t="shared" si="58"/>
        <v/>
      </c>
      <c r="AS557" t="str">
        <f t="shared" si="59"/>
        <v/>
      </c>
    </row>
    <row r="558" spans="5:45" x14ac:dyDescent="0.25">
      <c r="E558" t="str">
        <f ca="1"/>
        <v/>
      </c>
      <c r="F558" t="str">
        <f ca="1"/>
        <v/>
      </c>
      <c r="P558" t="e" cm="1">
        <f t="array" ref="P558">INDEX($B$2:$D$40,MOD(ROW()-ROW($B$2),ROWS($B$2:$D$40))+1,INT((ROW()-ROW($B$2))/ROWS($B$2:$D$40))+1)</f>
        <v>#REF!</v>
      </c>
      <c r="Q558" t="e">
        <f t="shared" ca="1" si="60"/>
        <v>#N/A</v>
      </c>
      <c r="R558" t="str" cm="1">
        <f t="array" aca="1" ref="R558" ca="1">IFERROR(INDIRECT("$P"&amp;Q558),"")</f>
        <v/>
      </c>
      <c r="U558" t="e" cm="1">
        <f t="array" ref="U558">INDEX($C$2:$D$40,MOD(ROW()-ROW($C$2),ROWS($C$2:$D$40))+1,INT((ROW()-ROW($C$2))/ROWS($C$2:$D$40))+1)</f>
        <v>#REF!</v>
      </c>
      <c r="V558" t="e">
        <f t="shared" ca="1" si="61"/>
        <v>#N/A</v>
      </c>
      <c r="W558" t="str" cm="1">
        <f t="array" aca="1" ref="W558" ca="1">IFERROR(INDIRECT("$U"&amp;V558),"")</f>
        <v/>
      </c>
      <c r="Z558" t="str" cm="1">
        <f t="array" ref="Z558">INDEX($AE$2:$AS$40,MOD(ROW()-ROW($AE$2),ROWS($AE$2:$AS$40))+1,INT((ROW()-ROW($AE$2))/ROWS($AE$2:$AS$40))+1)</f>
        <v/>
      </c>
      <c r="AA558" t="e">
        <f t="shared" ca="1" si="62"/>
        <v>#N/A</v>
      </c>
      <c r="AB558" t="str" cm="1">
        <f t="array" aca="1" ref="AB558" ca="1">IFERROR(INDIRECT("$Z"&amp;AA558),"")</f>
        <v/>
      </c>
      <c r="AP558" t="str">
        <f t="shared" si="56"/>
        <v/>
      </c>
      <c r="AQ558" t="str">
        <f t="shared" si="57"/>
        <v/>
      </c>
      <c r="AR558" t="str">
        <f t="shared" si="58"/>
        <v/>
      </c>
      <c r="AS558" t="str">
        <f t="shared" si="59"/>
        <v/>
      </c>
    </row>
    <row r="559" spans="5:45" x14ac:dyDescent="0.25">
      <c r="E559" t="str">
        <f ca="1"/>
        <v/>
      </c>
      <c r="F559" t="str">
        <f ca="1"/>
        <v/>
      </c>
      <c r="P559" t="e" cm="1">
        <f t="array" ref="P559">INDEX($B$2:$D$40,MOD(ROW()-ROW($B$2),ROWS($B$2:$D$40))+1,INT((ROW()-ROW($B$2))/ROWS($B$2:$D$40))+1)</f>
        <v>#REF!</v>
      </c>
      <c r="Q559" t="e">
        <f t="shared" ca="1" si="60"/>
        <v>#N/A</v>
      </c>
      <c r="R559" t="str" cm="1">
        <f t="array" aca="1" ref="R559" ca="1">IFERROR(INDIRECT("$P"&amp;Q559),"")</f>
        <v/>
      </c>
      <c r="U559" t="e" cm="1">
        <f t="array" ref="U559">INDEX($C$2:$D$40,MOD(ROW()-ROW($C$2),ROWS($C$2:$D$40))+1,INT((ROW()-ROW($C$2))/ROWS($C$2:$D$40))+1)</f>
        <v>#REF!</v>
      </c>
      <c r="V559" t="e">
        <f t="shared" ca="1" si="61"/>
        <v>#N/A</v>
      </c>
      <c r="W559" t="str" cm="1">
        <f t="array" aca="1" ref="W559" ca="1">IFERROR(INDIRECT("$U"&amp;V559),"")</f>
        <v/>
      </c>
      <c r="Z559" t="str" cm="1">
        <f t="array" ref="Z559">INDEX($AE$2:$AS$40,MOD(ROW()-ROW($AE$2),ROWS($AE$2:$AS$40))+1,INT((ROW()-ROW($AE$2))/ROWS($AE$2:$AS$40))+1)</f>
        <v/>
      </c>
      <c r="AA559" t="e">
        <f t="shared" ca="1" si="62"/>
        <v>#N/A</v>
      </c>
      <c r="AB559" t="str" cm="1">
        <f t="array" aca="1" ref="AB559" ca="1">IFERROR(INDIRECT("$Z"&amp;AA559),"")</f>
        <v/>
      </c>
      <c r="AP559" t="str">
        <f t="shared" si="56"/>
        <v/>
      </c>
      <c r="AQ559" t="str">
        <f t="shared" si="57"/>
        <v/>
      </c>
      <c r="AR559" t="str">
        <f t="shared" si="58"/>
        <v/>
      </c>
      <c r="AS559" t="str">
        <f t="shared" si="59"/>
        <v/>
      </c>
    </row>
    <row r="560" spans="5:45" x14ac:dyDescent="0.25">
      <c r="E560" t="str">
        <f ca="1"/>
        <v/>
      </c>
      <c r="F560" t="str">
        <f ca="1"/>
        <v/>
      </c>
      <c r="P560" t="e" cm="1">
        <f t="array" ref="P560">INDEX($B$2:$D$40,MOD(ROW()-ROW($B$2),ROWS($B$2:$D$40))+1,INT((ROW()-ROW($B$2))/ROWS($B$2:$D$40))+1)</f>
        <v>#REF!</v>
      </c>
      <c r="Q560" t="e">
        <f t="shared" ca="1" si="60"/>
        <v>#N/A</v>
      </c>
      <c r="R560" t="str" cm="1">
        <f t="array" aca="1" ref="R560" ca="1">IFERROR(INDIRECT("$P"&amp;Q560),"")</f>
        <v/>
      </c>
      <c r="U560" t="e" cm="1">
        <f t="array" ref="U560">INDEX($C$2:$D$40,MOD(ROW()-ROW($C$2),ROWS($C$2:$D$40))+1,INT((ROW()-ROW($C$2))/ROWS($C$2:$D$40))+1)</f>
        <v>#REF!</v>
      </c>
      <c r="V560" t="e">
        <f t="shared" ca="1" si="61"/>
        <v>#N/A</v>
      </c>
      <c r="W560" t="str" cm="1">
        <f t="array" aca="1" ref="W560" ca="1">IFERROR(INDIRECT("$U"&amp;V560),"")</f>
        <v/>
      </c>
      <c r="Z560" t="str" cm="1">
        <f t="array" ref="Z560">INDEX($AE$2:$AS$40,MOD(ROW()-ROW($AE$2),ROWS($AE$2:$AS$40))+1,INT((ROW()-ROW($AE$2))/ROWS($AE$2:$AS$40))+1)</f>
        <v/>
      </c>
      <c r="AA560" t="e">
        <f t="shared" ca="1" si="62"/>
        <v>#N/A</v>
      </c>
      <c r="AB560" t="str" cm="1">
        <f t="array" aca="1" ref="AB560" ca="1">IFERROR(INDIRECT("$Z"&amp;AA560),"")</f>
        <v/>
      </c>
      <c r="AP560" t="str">
        <f t="shared" si="56"/>
        <v/>
      </c>
      <c r="AQ560" t="str">
        <f t="shared" si="57"/>
        <v/>
      </c>
      <c r="AR560" t="str">
        <f t="shared" si="58"/>
        <v/>
      </c>
      <c r="AS560" t="str">
        <f t="shared" si="59"/>
        <v/>
      </c>
    </row>
    <row r="561" spans="5:45" x14ac:dyDescent="0.25">
      <c r="E561" t="str">
        <f ca="1"/>
        <v/>
      </c>
      <c r="F561" t="str">
        <f ca="1"/>
        <v/>
      </c>
      <c r="P561" t="e" cm="1">
        <f t="array" ref="P561">INDEX($B$2:$D$40,MOD(ROW()-ROW($B$2),ROWS($B$2:$D$40))+1,INT((ROW()-ROW($B$2))/ROWS($B$2:$D$40))+1)</f>
        <v>#REF!</v>
      </c>
      <c r="Q561" t="e">
        <f t="shared" ca="1" si="60"/>
        <v>#N/A</v>
      </c>
      <c r="R561" t="str" cm="1">
        <f t="array" aca="1" ref="R561" ca="1">IFERROR(INDIRECT("$P"&amp;Q561),"")</f>
        <v/>
      </c>
      <c r="U561" t="e" cm="1">
        <f t="array" ref="U561">INDEX($C$2:$D$40,MOD(ROW()-ROW($C$2),ROWS($C$2:$D$40))+1,INT((ROW()-ROW($C$2))/ROWS($C$2:$D$40))+1)</f>
        <v>#REF!</v>
      </c>
      <c r="V561" t="e">
        <f t="shared" ca="1" si="61"/>
        <v>#N/A</v>
      </c>
      <c r="W561" t="str" cm="1">
        <f t="array" aca="1" ref="W561" ca="1">IFERROR(INDIRECT("$U"&amp;V561),"")</f>
        <v/>
      </c>
      <c r="Z561" t="str" cm="1">
        <f t="array" ref="Z561">INDEX($AE$2:$AS$40,MOD(ROW()-ROW($AE$2),ROWS($AE$2:$AS$40))+1,INT((ROW()-ROW($AE$2))/ROWS($AE$2:$AS$40))+1)</f>
        <v/>
      </c>
      <c r="AA561" t="e">
        <f t="shared" ca="1" si="62"/>
        <v>#N/A</v>
      </c>
      <c r="AB561" t="str" cm="1">
        <f t="array" aca="1" ref="AB561" ca="1">IFERROR(INDIRECT("$Z"&amp;AA561),"")</f>
        <v/>
      </c>
      <c r="AP561" t="str">
        <f t="shared" si="56"/>
        <v/>
      </c>
      <c r="AQ561" t="str">
        <f t="shared" si="57"/>
        <v/>
      </c>
      <c r="AR561" t="str">
        <f t="shared" si="58"/>
        <v/>
      </c>
      <c r="AS561" t="str">
        <f t="shared" si="59"/>
        <v/>
      </c>
    </row>
    <row r="562" spans="5:45" x14ac:dyDescent="0.25">
      <c r="E562" t="str">
        <f ca="1"/>
        <v/>
      </c>
      <c r="F562" t="str">
        <f ca="1"/>
        <v/>
      </c>
      <c r="P562" t="e" cm="1">
        <f t="array" ref="P562">INDEX($B$2:$D$40,MOD(ROW()-ROW($B$2),ROWS($B$2:$D$40))+1,INT((ROW()-ROW($B$2))/ROWS($B$2:$D$40))+1)</f>
        <v>#REF!</v>
      </c>
      <c r="Q562" t="e">
        <f t="shared" ca="1" si="60"/>
        <v>#N/A</v>
      </c>
      <c r="R562" t="str" cm="1">
        <f t="array" aca="1" ref="R562" ca="1">IFERROR(INDIRECT("$P"&amp;Q562),"")</f>
        <v/>
      </c>
      <c r="U562" t="e" cm="1">
        <f t="array" ref="U562">INDEX($C$2:$D$40,MOD(ROW()-ROW($C$2),ROWS($C$2:$D$40))+1,INT((ROW()-ROW($C$2))/ROWS($C$2:$D$40))+1)</f>
        <v>#REF!</v>
      </c>
      <c r="V562" t="e">
        <f t="shared" ca="1" si="61"/>
        <v>#N/A</v>
      </c>
      <c r="W562" t="str" cm="1">
        <f t="array" aca="1" ref="W562" ca="1">IFERROR(INDIRECT("$U"&amp;V562),"")</f>
        <v/>
      </c>
      <c r="Z562" t="str" cm="1">
        <f t="array" ref="Z562">INDEX($AE$2:$AS$40,MOD(ROW()-ROW($AE$2),ROWS($AE$2:$AS$40))+1,INT((ROW()-ROW($AE$2))/ROWS($AE$2:$AS$40))+1)</f>
        <v/>
      </c>
      <c r="AA562" t="e">
        <f t="shared" ca="1" si="62"/>
        <v>#N/A</v>
      </c>
      <c r="AB562" t="str" cm="1">
        <f t="array" aca="1" ref="AB562" ca="1">IFERROR(INDIRECT("$Z"&amp;AA562),"")</f>
        <v/>
      </c>
      <c r="AP562" t="str">
        <f t="shared" si="56"/>
        <v/>
      </c>
      <c r="AQ562" t="str">
        <f t="shared" si="57"/>
        <v/>
      </c>
      <c r="AR562" t="str">
        <f t="shared" si="58"/>
        <v/>
      </c>
      <c r="AS562" t="str">
        <f t="shared" si="59"/>
        <v/>
      </c>
    </row>
    <row r="563" spans="5:45" x14ac:dyDescent="0.25">
      <c r="E563" t="str">
        <f ca="1"/>
        <v/>
      </c>
      <c r="F563" t="str">
        <f ca="1"/>
        <v/>
      </c>
      <c r="P563" t="e" cm="1">
        <f t="array" ref="P563">INDEX($B$2:$D$40,MOD(ROW()-ROW($B$2),ROWS($B$2:$D$40))+1,INT((ROW()-ROW($B$2))/ROWS($B$2:$D$40))+1)</f>
        <v>#REF!</v>
      </c>
      <c r="Q563" t="e">
        <f t="shared" ca="1" si="60"/>
        <v>#N/A</v>
      </c>
      <c r="R563" t="str" cm="1">
        <f t="array" aca="1" ref="R563" ca="1">IFERROR(INDIRECT("$P"&amp;Q563),"")</f>
        <v/>
      </c>
      <c r="U563" t="e" cm="1">
        <f t="array" ref="U563">INDEX($C$2:$D$40,MOD(ROW()-ROW($C$2),ROWS($C$2:$D$40))+1,INT((ROW()-ROW($C$2))/ROWS($C$2:$D$40))+1)</f>
        <v>#REF!</v>
      </c>
      <c r="V563" t="e">
        <f t="shared" ca="1" si="61"/>
        <v>#N/A</v>
      </c>
      <c r="W563" t="str" cm="1">
        <f t="array" aca="1" ref="W563" ca="1">IFERROR(INDIRECT("$U"&amp;V563),"")</f>
        <v/>
      </c>
      <c r="Z563" t="str" cm="1">
        <f t="array" ref="Z563">INDEX($AE$2:$AS$40,MOD(ROW()-ROW($AE$2),ROWS($AE$2:$AS$40))+1,INT((ROW()-ROW($AE$2))/ROWS($AE$2:$AS$40))+1)</f>
        <v/>
      </c>
      <c r="AA563" t="e">
        <f t="shared" ca="1" si="62"/>
        <v>#N/A</v>
      </c>
      <c r="AB563" t="str" cm="1">
        <f t="array" aca="1" ref="AB563" ca="1">IFERROR(INDIRECT("$Z"&amp;AA563),"")</f>
        <v/>
      </c>
      <c r="AP563" t="str">
        <f t="shared" si="56"/>
        <v/>
      </c>
      <c r="AQ563" t="str">
        <f t="shared" si="57"/>
        <v/>
      </c>
      <c r="AR563" t="str">
        <f t="shared" si="58"/>
        <v/>
      </c>
      <c r="AS563" t="str">
        <f t="shared" si="59"/>
        <v/>
      </c>
    </row>
    <row r="564" spans="5:45" x14ac:dyDescent="0.25">
      <c r="E564" t="str">
        <f ca="1"/>
        <v/>
      </c>
      <c r="F564" t="str">
        <f ca="1"/>
        <v/>
      </c>
      <c r="P564" t="e" cm="1">
        <f t="array" ref="P564">INDEX($B$2:$D$40,MOD(ROW()-ROW($B$2),ROWS($B$2:$D$40))+1,INT((ROW()-ROW($B$2))/ROWS($B$2:$D$40))+1)</f>
        <v>#REF!</v>
      </c>
      <c r="Q564" t="e">
        <f t="shared" ca="1" si="60"/>
        <v>#N/A</v>
      </c>
      <c r="R564" t="str" cm="1">
        <f t="array" aca="1" ref="R564" ca="1">IFERROR(INDIRECT("$P"&amp;Q564),"")</f>
        <v/>
      </c>
      <c r="U564" t="e" cm="1">
        <f t="array" ref="U564">INDEX($C$2:$D$40,MOD(ROW()-ROW($C$2),ROWS($C$2:$D$40))+1,INT((ROW()-ROW($C$2))/ROWS($C$2:$D$40))+1)</f>
        <v>#REF!</v>
      </c>
      <c r="V564" t="e">
        <f t="shared" ca="1" si="61"/>
        <v>#N/A</v>
      </c>
      <c r="W564" t="str" cm="1">
        <f t="array" aca="1" ref="W564" ca="1">IFERROR(INDIRECT("$U"&amp;V564),"")</f>
        <v/>
      </c>
      <c r="Z564" t="str" cm="1">
        <f t="array" ref="Z564">INDEX($AE$2:$AS$40,MOD(ROW()-ROW($AE$2),ROWS($AE$2:$AS$40))+1,INT((ROW()-ROW($AE$2))/ROWS($AE$2:$AS$40))+1)</f>
        <v/>
      </c>
      <c r="AA564" t="e">
        <f t="shared" ca="1" si="62"/>
        <v>#N/A</v>
      </c>
      <c r="AB564" t="str" cm="1">
        <f t="array" aca="1" ref="AB564" ca="1">IFERROR(INDIRECT("$Z"&amp;AA564),"")</f>
        <v/>
      </c>
      <c r="AP564" t="str">
        <f t="shared" si="56"/>
        <v/>
      </c>
      <c r="AQ564" t="str">
        <f t="shared" si="57"/>
        <v/>
      </c>
      <c r="AR564" t="str">
        <f t="shared" si="58"/>
        <v/>
      </c>
      <c r="AS564" t="str">
        <f t="shared" si="59"/>
        <v/>
      </c>
    </row>
    <row r="565" spans="5:45" x14ac:dyDescent="0.25">
      <c r="E565" t="str">
        <f ca="1"/>
        <v/>
      </c>
      <c r="F565" t="str">
        <f ca="1"/>
        <v/>
      </c>
      <c r="P565" t="e" cm="1">
        <f t="array" ref="P565">INDEX($B$2:$D$40,MOD(ROW()-ROW($B$2),ROWS($B$2:$D$40))+1,INT((ROW()-ROW($B$2))/ROWS($B$2:$D$40))+1)</f>
        <v>#REF!</v>
      </c>
      <c r="Q565" t="e">
        <f t="shared" ca="1" si="60"/>
        <v>#N/A</v>
      </c>
      <c r="R565" t="str" cm="1">
        <f t="array" aca="1" ref="R565" ca="1">IFERROR(INDIRECT("$P"&amp;Q565),"")</f>
        <v/>
      </c>
      <c r="U565" t="e" cm="1">
        <f t="array" ref="U565">INDEX($C$2:$D$40,MOD(ROW()-ROW($C$2),ROWS($C$2:$D$40))+1,INT((ROW()-ROW($C$2))/ROWS($C$2:$D$40))+1)</f>
        <v>#REF!</v>
      </c>
      <c r="V565" t="e">
        <f t="shared" ca="1" si="61"/>
        <v>#N/A</v>
      </c>
      <c r="W565" t="str" cm="1">
        <f t="array" aca="1" ref="W565" ca="1">IFERROR(INDIRECT("$U"&amp;V565),"")</f>
        <v/>
      </c>
      <c r="Z565" t="str" cm="1">
        <f t="array" ref="Z565">INDEX($AE$2:$AS$40,MOD(ROW()-ROW($AE$2),ROWS($AE$2:$AS$40))+1,INT((ROW()-ROW($AE$2))/ROWS($AE$2:$AS$40))+1)</f>
        <v/>
      </c>
      <c r="AA565" t="e">
        <f t="shared" ca="1" si="62"/>
        <v>#N/A</v>
      </c>
      <c r="AB565" t="str" cm="1">
        <f t="array" aca="1" ref="AB565" ca="1">IFERROR(INDIRECT("$Z"&amp;AA565),"")</f>
        <v/>
      </c>
      <c r="AP565" t="str">
        <f t="shared" si="56"/>
        <v/>
      </c>
      <c r="AQ565" t="str">
        <f t="shared" si="57"/>
        <v/>
      </c>
      <c r="AR565" t="str">
        <f t="shared" si="58"/>
        <v/>
      </c>
      <c r="AS565" t="str">
        <f t="shared" si="59"/>
        <v/>
      </c>
    </row>
    <row r="566" spans="5:45" x14ac:dyDescent="0.25">
      <c r="E566" t="str">
        <f ca="1"/>
        <v/>
      </c>
      <c r="F566" t="str">
        <f ca="1"/>
        <v/>
      </c>
      <c r="P566" t="e" cm="1">
        <f t="array" ref="P566">INDEX($B$2:$D$40,MOD(ROW()-ROW($B$2),ROWS($B$2:$D$40))+1,INT((ROW()-ROW($B$2))/ROWS($B$2:$D$40))+1)</f>
        <v>#REF!</v>
      </c>
      <c r="Q566" t="e">
        <f t="shared" ca="1" si="60"/>
        <v>#N/A</v>
      </c>
      <c r="R566" t="str" cm="1">
        <f t="array" aca="1" ref="R566" ca="1">IFERROR(INDIRECT("$P"&amp;Q566),"")</f>
        <v/>
      </c>
      <c r="U566" t="e" cm="1">
        <f t="array" ref="U566">INDEX($C$2:$D$40,MOD(ROW()-ROW($C$2),ROWS($C$2:$D$40))+1,INT((ROW()-ROW($C$2))/ROWS($C$2:$D$40))+1)</f>
        <v>#REF!</v>
      </c>
      <c r="V566" t="e">
        <f t="shared" ca="1" si="61"/>
        <v>#N/A</v>
      </c>
      <c r="W566" t="str" cm="1">
        <f t="array" aca="1" ref="W566" ca="1">IFERROR(INDIRECT("$U"&amp;V566),"")</f>
        <v/>
      </c>
      <c r="Z566" t="str" cm="1">
        <f t="array" ref="Z566">INDEX($AE$2:$AS$40,MOD(ROW()-ROW($AE$2),ROWS($AE$2:$AS$40))+1,INT((ROW()-ROW($AE$2))/ROWS($AE$2:$AS$40))+1)</f>
        <v/>
      </c>
      <c r="AA566" t="e">
        <f t="shared" ca="1" si="62"/>
        <v>#N/A</v>
      </c>
      <c r="AB566" t="str" cm="1">
        <f t="array" aca="1" ref="AB566" ca="1">IFERROR(INDIRECT("$Z"&amp;AA566),"")</f>
        <v/>
      </c>
      <c r="AP566" t="str">
        <f t="shared" si="56"/>
        <v/>
      </c>
      <c r="AQ566" t="str">
        <f t="shared" si="57"/>
        <v/>
      </c>
      <c r="AR566" t="str">
        <f t="shared" si="58"/>
        <v/>
      </c>
      <c r="AS566" t="str">
        <f t="shared" si="59"/>
        <v/>
      </c>
    </row>
    <row r="567" spans="5:45" x14ac:dyDescent="0.25">
      <c r="E567" t="str">
        <f ca="1"/>
        <v/>
      </c>
      <c r="F567" t="str">
        <f ca="1"/>
        <v/>
      </c>
      <c r="P567" t="e" cm="1">
        <f t="array" ref="P567">INDEX($B$2:$D$40,MOD(ROW()-ROW($B$2),ROWS($B$2:$D$40))+1,INT((ROW()-ROW($B$2))/ROWS($B$2:$D$40))+1)</f>
        <v>#REF!</v>
      </c>
      <c r="Q567" t="e">
        <f t="shared" ca="1" si="60"/>
        <v>#N/A</v>
      </c>
      <c r="R567" t="str" cm="1">
        <f t="array" aca="1" ref="R567" ca="1">IFERROR(INDIRECT("$P"&amp;Q567),"")</f>
        <v/>
      </c>
      <c r="U567" t="e" cm="1">
        <f t="array" ref="U567">INDEX($C$2:$D$40,MOD(ROW()-ROW($C$2),ROWS($C$2:$D$40))+1,INT((ROW()-ROW($C$2))/ROWS($C$2:$D$40))+1)</f>
        <v>#REF!</v>
      </c>
      <c r="V567" t="e">
        <f t="shared" ca="1" si="61"/>
        <v>#N/A</v>
      </c>
      <c r="W567" t="str" cm="1">
        <f t="array" aca="1" ref="W567" ca="1">IFERROR(INDIRECT("$U"&amp;V567),"")</f>
        <v/>
      </c>
      <c r="Z567" t="str" cm="1">
        <f t="array" ref="Z567">INDEX($AE$2:$AS$40,MOD(ROW()-ROW($AE$2),ROWS($AE$2:$AS$40))+1,INT((ROW()-ROW($AE$2))/ROWS($AE$2:$AS$40))+1)</f>
        <v/>
      </c>
      <c r="AA567" t="e">
        <f t="shared" ca="1" si="62"/>
        <v>#N/A</v>
      </c>
      <c r="AB567" t="str" cm="1">
        <f t="array" aca="1" ref="AB567" ca="1">IFERROR(INDIRECT("$Z"&amp;AA567),"")</f>
        <v/>
      </c>
      <c r="AP567" t="str">
        <f t="shared" si="56"/>
        <v/>
      </c>
      <c r="AQ567" t="str">
        <f t="shared" si="57"/>
        <v/>
      </c>
      <c r="AR567" t="str">
        <f t="shared" si="58"/>
        <v/>
      </c>
      <c r="AS567" t="str">
        <f t="shared" si="59"/>
        <v/>
      </c>
    </row>
    <row r="568" spans="5:45" x14ac:dyDescent="0.25">
      <c r="E568" t="str">
        <f ca="1"/>
        <v/>
      </c>
      <c r="F568" t="str">
        <f ca="1"/>
        <v/>
      </c>
      <c r="P568" t="e" cm="1">
        <f t="array" ref="P568">INDEX($B$2:$D$40,MOD(ROW()-ROW($B$2),ROWS($B$2:$D$40))+1,INT((ROW()-ROW($B$2))/ROWS($B$2:$D$40))+1)</f>
        <v>#REF!</v>
      </c>
      <c r="Q568" t="e">
        <f t="shared" ca="1" si="60"/>
        <v>#N/A</v>
      </c>
      <c r="R568" t="str" cm="1">
        <f t="array" aca="1" ref="R568" ca="1">IFERROR(INDIRECT("$P"&amp;Q568),"")</f>
        <v/>
      </c>
      <c r="U568" t="e" cm="1">
        <f t="array" ref="U568">INDEX($C$2:$D$40,MOD(ROW()-ROW($C$2),ROWS($C$2:$D$40))+1,INT((ROW()-ROW($C$2))/ROWS($C$2:$D$40))+1)</f>
        <v>#REF!</v>
      </c>
      <c r="V568" t="e">
        <f t="shared" ca="1" si="61"/>
        <v>#N/A</v>
      </c>
      <c r="W568" t="str" cm="1">
        <f t="array" aca="1" ref="W568" ca="1">IFERROR(INDIRECT("$U"&amp;V568),"")</f>
        <v/>
      </c>
      <c r="Z568" t="str" cm="1">
        <f t="array" ref="Z568">INDEX($AE$2:$AS$40,MOD(ROW()-ROW($AE$2),ROWS($AE$2:$AS$40))+1,INT((ROW()-ROW($AE$2))/ROWS($AE$2:$AS$40))+1)</f>
        <v/>
      </c>
      <c r="AA568" t="e">
        <f t="shared" ca="1" si="62"/>
        <v>#N/A</v>
      </c>
      <c r="AB568" t="str" cm="1">
        <f t="array" aca="1" ref="AB568" ca="1">IFERROR(INDIRECT("$Z"&amp;AA568),"")</f>
        <v/>
      </c>
      <c r="AP568" t="str">
        <f t="shared" si="56"/>
        <v/>
      </c>
      <c r="AQ568" t="str">
        <f t="shared" si="57"/>
        <v/>
      </c>
      <c r="AR568" t="str">
        <f t="shared" si="58"/>
        <v/>
      </c>
      <c r="AS568" t="str">
        <f t="shared" si="59"/>
        <v/>
      </c>
    </row>
    <row r="569" spans="5:45" x14ac:dyDescent="0.25">
      <c r="E569" t="str">
        <f ca="1"/>
        <v/>
      </c>
      <c r="F569" t="str">
        <f ca="1"/>
        <v/>
      </c>
      <c r="P569" t="e" cm="1">
        <f t="array" ref="P569">INDEX($B$2:$D$40,MOD(ROW()-ROW($B$2),ROWS($B$2:$D$40))+1,INT((ROW()-ROW($B$2))/ROWS($B$2:$D$40))+1)</f>
        <v>#REF!</v>
      </c>
      <c r="Q569" t="e">
        <f t="shared" ca="1" si="60"/>
        <v>#N/A</v>
      </c>
      <c r="R569" t="str" cm="1">
        <f t="array" aca="1" ref="R569" ca="1">IFERROR(INDIRECT("$P"&amp;Q569),"")</f>
        <v/>
      </c>
      <c r="U569" t="e" cm="1">
        <f t="array" ref="U569">INDEX($C$2:$D$40,MOD(ROW()-ROW($C$2),ROWS($C$2:$D$40))+1,INT((ROW()-ROW($C$2))/ROWS($C$2:$D$40))+1)</f>
        <v>#REF!</v>
      </c>
      <c r="V569" t="e">
        <f t="shared" ca="1" si="61"/>
        <v>#N/A</v>
      </c>
      <c r="W569" t="str" cm="1">
        <f t="array" aca="1" ref="W569" ca="1">IFERROR(INDIRECT("$U"&amp;V569),"")</f>
        <v/>
      </c>
      <c r="Z569" t="str" cm="1">
        <f t="array" ref="Z569">INDEX($AE$2:$AS$40,MOD(ROW()-ROW($AE$2),ROWS($AE$2:$AS$40))+1,INT((ROW()-ROW($AE$2))/ROWS($AE$2:$AS$40))+1)</f>
        <v/>
      </c>
      <c r="AA569" t="e">
        <f t="shared" ca="1" si="62"/>
        <v>#N/A</v>
      </c>
      <c r="AB569" t="str" cm="1">
        <f t="array" aca="1" ref="AB569" ca="1">IFERROR(INDIRECT("$Z"&amp;AA569),"")</f>
        <v/>
      </c>
      <c r="AP569" t="str">
        <f t="shared" si="56"/>
        <v/>
      </c>
      <c r="AQ569" t="str">
        <f t="shared" si="57"/>
        <v/>
      </c>
      <c r="AR569" t="str">
        <f t="shared" si="58"/>
        <v/>
      </c>
      <c r="AS569" t="str">
        <f t="shared" si="59"/>
        <v/>
      </c>
    </row>
    <row r="570" spans="5:45" x14ac:dyDescent="0.25">
      <c r="E570" t="str">
        <f ca="1"/>
        <v/>
      </c>
      <c r="F570" t="str">
        <f ca="1"/>
        <v/>
      </c>
      <c r="P570" t="e" cm="1">
        <f t="array" ref="P570">INDEX($B$2:$D$40,MOD(ROW()-ROW($B$2),ROWS($B$2:$D$40))+1,INT((ROW()-ROW($B$2))/ROWS($B$2:$D$40))+1)</f>
        <v>#REF!</v>
      </c>
      <c r="Q570" t="e">
        <f t="shared" ca="1" si="60"/>
        <v>#N/A</v>
      </c>
      <c r="R570" t="str" cm="1">
        <f t="array" aca="1" ref="R570" ca="1">IFERROR(INDIRECT("$P"&amp;Q570),"")</f>
        <v/>
      </c>
      <c r="U570" t="e" cm="1">
        <f t="array" ref="U570">INDEX($C$2:$D$40,MOD(ROW()-ROW($C$2),ROWS($C$2:$D$40))+1,INT((ROW()-ROW($C$2))/ROWS($C$2:$D$40))+1)</f>
        <v>#REF!</v>
      </c>
      <c r="V570" t="e">
        <f t="shared" ca="1" si="61"/>
        <v>#N/A</v>
      </c>
      <c r="W570" t="str" cm="1">
        <f t="array" aca="1" ref="W570" ca="1">IFERROR(INDIRECT("$U"&amp;V570),"")</f>
        <v/>
      </c>
      <c r="Z570" t="str" cm="1">
        <f t="array" ref="Z570">INDEX($AE$2:$AS$40,MOD(ROW()-ROW($AE$2),ROWS($AE$2:$AS$40))+1,INT((ROW()-ROW($AE$2))/ROWS($AE$2:$AS$40))+1)</f>
        <v/>
      </c>
      <c r="AA570" t="e">
        <f t="shared" ca="1" si="62"/>
        <v>#N/A</v>
      </c>
      <c r="AB570" t="str" cm="1">
        <f t="array" aca="1" ref="AB570" ca="1">IFERROR(INDIRECT("$Z"&amp;AA570),"")</f>
        <v/>
      </c>
      <c r="AP570" t="str">
        <f t="shared" si="56"/>
        <v/>
      </c>
      <c r="AQ570" t="str">
        <f t="shared" si="57"/>
        <v/>
      </c>
      <c r="AR570" t="str">
        <f t="shared" si="58"/>
        <v/>
      </c>
      <c r="AS570" t="str">
        <f t="shared" si="59"/>
        <v/>
      </c>
    </row>
    <row r="571" spans="5:45" x14ac:dyDescent="0.25">
      <c r="E571" t="str">
        <f ca="1"/>
        <v/>
      </c>
      <c r="F571" t="str">
        <f ca="1"/>
        <v/>
      </c>
      <c r="P571" t="e" cm="1">
        <f t="array" ref="P571">INDEX($B$2:$D$40,MOD(ROW()-ROW($B$2),ROWS($B$2:$D$40))+1,INT((ROW()-ROW($B$2))/ROWS($B$2:$D$40))+1)</f>
        <v>#REF!</v>
      </c>
      <c r="Q571" t="e">
        <f t="shared" ca="1" si="60"/>
        <v>#N/A</v>
      </c>
      <c r="R571" t="str" cm="1">
        <f t="array" aca="1" ref="R571" ca="1">IFERROR(INDIRECT("$P"&amp;Q571),"")</f>
        <v/>
      </c>
      <c r="U571" t="e" cm="1">
        <f t="array" ref="U571">INDEX($C$2:$D$40,MOD(ROW()-ROW($C$2),ROWS($C$2:$D$40))+1,INT((ROW()-ROW($C$2))/ROWS($C$2:$D$40))+1)</f>
        <v>#REF!</v>
      </c>
      <c r="V571" t="e">
        <f t="shared" ca="1" si="61"/>
        <v>#N/A</v>
      </c>
      <c r="W571" t="str" cm="1">
        <f t="array" aca="1" ref="W571" ca="1">IFERROR(INDIRECT("$U"&amp;V571),"")</f>
        <v/>
      </c>
      <c r="Z571" t="str" cm="1">
        <f t="array" ref="Z571">INDEX($AE$2:$AS$40,MOD(ROW()-ROW($AE$2),ROWS($AE$2:$AS$40))+1,INT((ROW()-ROW($AE$2))/ROWS($AE$2:$AS$40))+1)</f>
        <v/>
      </c>
      <c r="AA571" t="e">
        <f t="shared" ca="1" si="62"/>
        <v>#N/A</v>
      </c>
      <c r="AB571" t="str" cm="1">
        <f t="array" aca="1" ref="AB571" ca="1">IFERROR(INDIRECT("$Z"&amp;AA571),"")</f>
        <v/>
      </c>
      <c r="AP571" t="str">
        <f t="shared" si="56"/>
        <v/>
      </c>
      <c r="AQ571" t="str">
        <f t="shared" si="57"/>
        <v/>
      </c>
      <c r="AR571" t="str">
        <f t="shared" si="58"/>
        <v/>
      </c>
      <c r="AS571" t="str">
        <f t="shared" si="59"/>
        <v/>
      </c>
    </row>
    <row r="572" spans="5:45" x14ac:dyDescent="0.25">
      <c r="E572" t="str">
        <f ca="1"/>
        <v/>
      </c>
      <c r="F572" t="str">
        <f ca="1"/>
        <v/>
      </c>
      <c r="P572" t="e" cm="1">
        <f t="array" ref="P572">INDEX($B$2:$D$40,MOD(ROW()-ROW($B$2),ROWS($B$2:$D$40))+1,INT((ROW()-ROW($B$2))/ROWS($B$2:$D$40))+1)</f>
        <v>#REF!</v>
      </c>
      <c r="Q572" t="e">
        <f t="shared" ca="1" si="60"/>
        <v>#N/A</v>
      </c>
      <c r="R572" t="str" cm="1">
        <f t="array" aca="1" ref="R572" ca="1">IFERROR(INDIRECT("$P"&amp;Q572),"")</f>
        <v/>
      </c>
      <c r="U572" t="e" cm="1">
        <f t="array" ref="U572">INDEX($C$2:$D$40,MOD(ROW()-ROW($C$2),ROWS($C$2:$D$40))+1,INT((ROW()-ROW($C$2))/ROWS($C$2:$D$40))+1)</f>
        <v>#REF!</v>
      </c>
      <c r="V572" t="e">
        <f t="shared" ca="1" si="61"/>
        <v>#N/A</v>
      </c>
      <c r="W572" t="str" cm="1">
        <f t="array" aca="1" ref="W572" ca="1">IFERROR(INDIRECT("$U"&amp;V572),"")</f>
        <v/>
      </c>
      <c r="Z572" t="str" cm="1">
        <f t="array" ref="Z572">INDEX($AE$2:$AS$40,MOD(ROW()-ROW($AE$2),ROWS($AE$2:$AS$40))+1,INT((ROW()-ROW($AE$2))/ROWS($AE$2:$AS$40))+1)</f>
        <v/>
      </c>
      <c r="AA572" t="e">
        <f t="shared" ca="1" si="62"/>
        <v>#N/A</v>
      </c>
      <c r="AB572" t="str" cm="1">
        <f t="array" aca="1" ref="AB572" ca="1">IFERROR(INDIRECT("$Z"&amp;AA572),"")</f>
        <v/>
      </c>
      <c r="AP572" t="str">
        <f t="shared" si="56"/>
        <v/>
      </c>
      <c r="AQ572" t="str">
        <f t="shared" si="57"/>
        <v/>
      </c>
      <c r="AR572" t="str">
        <f t="shared" si="58"/>
        <v/>
      </c>
      <c r="AS572" t="str">
        <f t="shared" si="59"/>
        <v/>
      </c>
    </row>
    <row r="573" spans="5:45" x14ac:dyDescent="0.25">
      <c r="E573" t="str">
        <f ca="1"/>
        <v/>
      </c>
      <c r="F573" t="str">
        <f ca="1"/>
        <v/>
      </c>
      <c r="P573" t="e" cm="1">
        <f t="array" ref="P573">INDEX($B$2:$D$40,MOD(ROW()-ROW($B$2),ROWS($B$2:$D$40))+1,INT((ROW()-ROW($B$2))/ROWS($B$2:$D$40))+1)</f>
        <v>#REF!</v>
      </c>
      <c r="Q573" t="e">
        <f t="shared" ca="1" si="60"/>
        <v>#N/A</v>
      </c>
      <c r="R573" t="str" cm="1">
        <f t="array" aca="1" ref="R573" ca="1">IFERROR(INDIRECT("$P"&amp;Q573),"")</f>
        <v/>
      </c>
      <c r="U573" t="e" cm="1">
        <f t="array" ref="U573">INDEX($C$2:$D$40,MOD(ROW()-ROW($C$2),ROWS($C$2:$D$40))+1,INT((ROW()-ROW($C$2))/ROWS($C$2:$D$40))+1)</f>
        <v>#REF!</v>
      </c>
      <c r="V573" t="e">
        <f t="shared" ca="1" si="61"/>
        <v>#N/A</v>
      </c>
      <c r="W573" t="str" cm="1">
        <f t="array" aca="1" ref="W573" ca="1">IFERROR(INDIRECT("$U"&amp;V573),"")</f>
        <v/>
      </c>
      <c r="Z573" t="str" cm="1">
        <f t="array" ref="Z573">INDEX($AE$2:$AS$40,MOD(ROW()-ROW($AE$2),ROWS($AE$2:$AS$40))+1,INT((ROW()-ROW($AE$2))/ROWS($AE$2:$AS$40))+1)</f>
        <v/>
      </c>
      <c r="AA573" t="e">
        <f t="shared" ca="1" si="62"/>
        <v>#N/A</v>
      </c>
      <c r="AB573" t="str" cm="1">
        <f t="array" aca="1" ref="AB573" ca="1">IFERROR(INDIRECT("$Z"&amp;AA573),"")</f>
        <v/>
      </c>
      <c r="AP573" t="str">
        <f t="shared" si="56"/>
        <v/>
      </c>
      <c r="AQ573" t="str">
        <f t="shared" si="57"/>
        <v/>
      </c>
      <c r="AR573" t="str">
        <f t="shared" si="58"/>
        <v/>
      </c>
      <c r="AS573" t="str">
        <f t="shared" si="59"/>
        <v/>
      </c>
    </row>
    <row r="574" spans="5:45" x14ac:dyDescent="0.25">
      <c r="E574" t="str">
        <f ca="1"/>
        <v/>
      </c>
      <c r="F574" t="str">
        <f ca="1"/>
        <v/>
      </c>
      <c r="P574" t="e" cm="1">
        <f t="array" ref="P574">INDEX($B$2:$D$40,MOD(ROW()-ROW($B$2),ROWS($B$2:$D$40))+1,INT((ROW()-ROW($B$2))/ROWS($B$2:$D$40))+1)</f>
        <v>#REF!</v>
      </c>
      <c r="Q574" t="e">
        <f t="shared" ca="1" si="60"/>
        <v>#N/A</v>
      </c>
      <c r="R574" t="str" cm="1">
        <f t="array" aca="1" ref="R574" ca="1">IFERROR(INDIRECT("$P"&amp;Q574),"")</f>
        <v/>
      </c>
      <c r="U574" t="e" cm="1">
        <f t="array" ref="U574">INDEX($C$2:$D$40,MOD(ROW()-ROW($C$2),ROWS($C$2:$D$40))+1,INT((ROW()-ROW($C$2))/ROWS($C$2:$D$40))+1)</f>
        <v>#REF!</v>
      </c>
      <c r="V574" t="e">
        <f t="shared" ca="1" si="61"/>
        <v>#N/A</v>
      </c>
      <c r="W574" t="str" cm="1">
        <f t="array" aca="1" ref="W574" ca="1">IFERROR(INDIRECT("$U"&amp;V574),"")</f>
        <v/>
      </c>
      <c r="Z574" t="str" cm="1">
        <f t="array" ref="Z574">INDEX($AE$2:$AS$40,MOD(ROW()-ROW($AE$2),ROWS($AE$2:$AS$40))+1,INT((ROW()-ROW($AE$2))/ROWS($AE$2:$AS$40))+1)</f>
        <v/>
      </c>
      <c r="AA574" t="e">
        <f t="shared" ca="1" si="62"/>
        <v>#N/A</v>
      </c>
      <c r="AB574" t="str" cm="1">
        <f t="array" aca="1" ref="AB574" ca="1">IFERROR(INDIRECT("$Z"&amp;AA574),"")</f>
        <v/>
      </c>
      <c r="AP574" t="str">
        <f t="shared" si="56"/>
        <v/>
      </c>
      <c r="AQ574" t="str">
        <f t="shared" si="57"/>
        <v/>
      </c>
      <c r="AR574" t="str">
        <f t="shared" si="58"/>
        <v/>
      </c>
      <c r="AS574" t="str">
        <f t="shared" si="59"/>
        <v/>
      </c>
    </row>
    <row r="575" spans="5:45" x14ac:dyDescent="0.25">
      <c r="E575" t="str">
        <f ca="1"/>
        <v/>
      </c>
      <c r="F575" t="str">
        <f ca="1"/>
        <v/>
      </c>
      <c r="P575" t="e" cm="1">
        <f t="array" ref="P575">INDEX($B$2:$D$40,MOD(ROW()-ROW($B$2),ROWS($B$2:$D$40))+1,INT((ROW()-ROW($B$2))/ROWS($B$2:$D$40))+1)</f>
        <v>#REF!</v>
      </c>
      <c r="Q575" t="e">
        <f t="shared" ca="1" si="60"/>
        <v>#N/A</v>
      </c>
      <c r="R575" t="str" cm="1">
        <f t="array" aca="1" ref="R575" ca="1">IFERROR(INDIRECT("$P"&amp;Q575),"")</f>
        <v/>
      </c>
      <c r="U575" t="e" cm="1">
        <f t="array" ref="U575">INDEX($C$2:$D$40,MOD(ROW()-ROW($C$2),ROWS($C$2:$D$40))+1,INT((ROW()-ROW($C$2))/ROWS($C$2:$D$40))+1)</f>
        <v>#REF!</v>
      </c>
      <c r="V575" t="e">
        <f t="shared" ca="1" si="61"/>
        <v>#N/A</v>
      </c>
      <c r="W575" t="str" cm="1">
        <f t="array" aca="1" ref="W575" ca="1">IFERROR(INDIRECT("$U"&amp;V575),"")</f>
        <v/>
      </c>
      <c r="Z575" t="str" cm="1">
        <f t="array" ref="Z575">INDEX($AE$2:$AS$40,MOD(ROW()-ROW($AE$2),ROWS($AE$2:$AS$40))+1,INT((ROW()-ROW($AE$2))/ROWS($AE$2:$AS$40))+1)</f>
        <v/>
      </c>
      <c r="AA575" t="e">
        <f t="shared" ca="1" si="62"/>
        <v>#N/A</v>
      </c>
      <c r="AB575" t="str" cm="1">
        <f t="array" aca="1" ref="AB575" ca="1">IFERROR(INDIRECT("$Z"&amp;AA575),"")</f>
        <v/>
      </c>
      <c r="AP575" t="str">
        <f t="shared" si="56"/>
        <v/>
      </c>
      <c r="AQ575" t="str">
        <f t="shared" si="57"/>
        <v/>
      </c>
      <c r="AR575" t="str">
        <f t="shared" si="58"/>
        <v/>
      </c>
      <c r="AS575" t="str">
        <f t="shared" si="59"/>
        <v/>
      </c>
    </row>
    <row r="576" spans="5:45" x14ac:dyDescent="0.25">
      <c r="E576" t="str">
        <f ca="1"/>
        <v/>
      </c>
      <c r="F576" t="str">
        <f ca="1"/>
        <v/>
      </c>
      <c r="P576" t="e" cm="1">
        <f t="array" ref="P576">INDEX($B$2:$D$40,MOD(ROW()-ROW($B$2),ROWS($B$2:$D$40))+1,INT((ROW()-ROW($B$2))/ROWS($B$2:$D$40))+1)</f>
        <v>#REF!</v>
      </c>
      <c r="Q576" t="e">
        <f t="shared" ca="1" si="60"/>
        <v>#N/A</v>
      </c>
      <c r="R576" t="str" cm="1">
        <f t="array" aca="1" ref="R576" ca="1">IFERROR(INDIRECT("$P"&amp;Q576),"")</f>
        <v/>
      </c>
      <c r="U576" t="e" cm="1">
        <f t="array" ref="U576">INDEX($C$2:$D$40,MOD(ROW()-ROW($C$2),ROWS($C$2:$D$40))+1,INT((ROW()-ROW($C$2))/ROWS($C$2:$D$40))+1)</f>
        <v>#REF!</v>
      </c>
      <c r="V576" t="e">
        <f t="shared" ca="1" si="61"/>
        <v>#N/A</v>
      </c>
      <c r="W576" t="str" cm="1">
        <f t="array" aca="1" ref="W576" ca="1">IFERROR(INDIRECT("$U"&amp;V576),"")</f>
        <v/>
      </c>
      <c r="Z576" t="str" cm="1">
        <f t="array" ref="Z576">INDEX($AE$2:$AS$40,MOD(ROW()-ROW($AE$2),ROWS($AE$2:$AS$40))+1,INT((ROW()-ROW($AE$2))/ROWS($AE$2:$AS$40))+1)</f>
        <v/>
      </c>
      <c r="AA576" t="e">
        <f t="shared" ca="1" si="62"/>
        <v>#N/A</v>
      </c>
      <c r="AB576" t="str" cm="1">
        <f t="array" aca="1" ref="AB576" ca="1">IFERROR(INDIRECT("$Z"&amp;AA576),"")</f>
        <v/>
      </c>
      <c r="AP576" t="str">
        <f t="shared" si="56"/>
        <v/>
      </c>
      <c r="AQ576" t="str">
        <f t="shared" si="57"/>
        <v/>
      </c>
      <c r="AR576" t="str">
        <f t="shared" si="58"/>
        <v/>
      </c>
      <c r="AS576" t="str">
        <f t="shared" si="59"/>
        <v/>
      </c>
    </row>
    <row r="577" spans="5:45" x14ac:dyDescent="0.25">
      <c r="E577" t="str">
        <f ca="1"/>
        <v/>
      </c>
      <c r="F577" t="str">
        <f ca="1"/>
        <v/>
      </c>
      <c r="P577" t="e" cm="1">
        <f t="array" ref="P577">INDEX($B$2:$D$40,MOD(ROW()-ROW($B$2),ROWS($B$2:$D$40))+1,INT((ROW()-ROW($B$2))/ROWS($B$2:$D$40))+1)</f>
        <v>#REF!</v>
      </c>
      <c r="Q577" t="e">
        <f t="shared" ca="1" si="60"/>
        <v>#N/A</v>
      </c>
      <c r="R577" t="str" cm="1">
        <f t="array" aca="1" ref="R577" ca="1">IFERROR(INDIRECT("$P"&amp;Q577),"")</f>
        <v/>
      </c>
      <c r="U577" t="e" cm="1">
        <f t="array" ref="U577">INDEX($C$2:$D$40,MOD(ROW()-ROW($C$2),ROWS($C$2:$D$40))+1,INT((ROW()-ROW($C$2))/ROWS($C$2:$D$40))+1)</f>
        <v>#REF!</v>
      </c>
      <c r="V577" t="e">
        <f t="shared" ca="1" si="61"/>
        <v>#N/A</v>
      </c>
      <c r="W577" t="str" cm="1">
        <f t="array" aca="1" ref="W577" ca="1">IFERROR(INDIRECT("$U"&amp;V577),"")</f>
        <v/>
      </c>
      <c r="Z577" t="str" cm="1">
        <f t="array" ref="Z577">INDEX($AE$2:$AS$40,MOD(ROW()-ROW($AE$2),ROWS($AE$2:$AS$40))+1,INT((ROW()-ROW($AE$2))/ROWS($AE$2:$AS$40))+1)</f>
        <v/>
      </c>
      <c r="AA577" t="e">
        <f t="shared" ca="1" si="62"/>
        <v>#N/A</v>
      </c>
      <c r="AB577" t="str" cm="1">
        <f t="array" aca="1" ref="AB577" ca="1">IFERROR(INDIRECT("$Z"&amp;AA577),"")</f>
        <v/>
      </c>
      <c r="AP577" t="str">
        <f t="shared" si="56"/>
        <v/>
      </c>
      <c r="AQ577" t="str">
        <f t="shared" si="57"/>
        <v/>
      </c>
      <c r="AR577" t="str">
        <f t="shared" si="58"/>
        <v/>
      </c>
      <c r="AS577" t="str">
        <f t="shared" si="59"/>
        <v/>
      </c>
    </row>
    <row r="578" spans="5:45" x14ac:dyDescent="0.25">
      <c r="E578" t="str">
        <f ca="1"/>
        <v/>
      </c>
      <c r="F578" t="str">
        <f ca="1"/>
        <v/>
      </c>
      <c r="P578" t="e" cm="1">
        <f t="array" ref="P578">INDEX($B$2:$D$40,MOD(ROW()-ROW($B$2),ROWS($B$2:$D$40))+1,INT((ROW()-ROW($B$2))/ROWS($B$2:$D$40))+1)</f>
        <v>#REF!</v>
      </c>
      <c r="Q578" t="e">
        <f t="shared" ca="1" si="60"/>
        <v>#N/A</v>
      </c>
      <c r="R578" t="str" cm="1">
        <f t="array" aca="1" ref="R578" ca="1">IFERROR(INDIRECT("$P"&amp;Q578),"")</f>
        <v/>
      </c>
      <c r="U578" t="e" cm="1">
        <f t="array" ref="U578">INDEX($C$2:$D$40,MOD(ROW()-ROW($C$2),ROWS($C$2:$D$40))+1,INT((ROW()-ROW($C$2))/ROWS($C$2:$D$40))+1)</f>
        <v>#REF!</v>
      </c>
      <c r="V578" t="e">
        <f t="shared" ca="1" si="61"/>
        <v>#N/A</v>
      </c>
      <c r="W578" t="str" cm="1">
        <f t="array" aca="1" ref="W578" ca="1">IFERROR(INDIRECT("$U"&amp;V578),"")</f>
        <v/>
      </c>
      <c r="Z578" t="str" cm="1">
        <f t="array" ref="Z578">INDEX($AE$2:$AS$40,MOD(ROW()-ROW($AE$2),ROWS($AE$2:$AS$40))+1,INT((ROW()-ROW($AE$2))/ROWS($AE$2:$AS$40))+1)</f>
        <v/>
      </c>
      <c r="AA578" t="e">
        <f t="shared" ca="1" si="62"/>
        <v>#N/A</v>
      </c>
      <c r="AB578" t="str" cm="1">
        <f t="array" aca="1" ref="AB578" ca="1">IFERROR(INDIRECT("$Z"&amp;AA578),"")</f>
        <v/>
      </c>
      <c r="AP578" t="str">
        <f t="shared" si="56"/>
        <v/>
      </c>
      <c r="AQ578" t="str">
        <f t="shared" si="57"/>
        <v/>
      </c>
      <c r="AR578" t="str">
        <f t="shared" si="58"/>
        <v/>
      </c>
      <c r="AS578" t="str">
        <f t="shared" si="59"/>
        <v/>
      </c>
    </row>
    <row r="579" spans="5:45" x14ac:dyDescent="0.25">
      <c r="E579" t="str">
        <f ca="1"/>
        <v/>
      </c>
      <c r="F579" t="str">
        <f ca="1"/>
        <v/>
      </c>
      <c r="P579" t="e" cm="1">
        <f t="array" ref="P579">INDEX($B$2:$D$40,MOD(ROW()-ROW($B$2),ROWS($B$2:$D$40))+1,INT((ROW()-ROW($B$2))/ROWS($B$2:$D$40))+1)</f>
        <v>#REF!</v>
      </c>
      <c r="Q579" t="e">
        <f t="shared" ca="1" si="60"/>
        <v>#N/A</v>
      </c>
      <c r="R579" t="str" cm="1">
        <f t="array" aca="1" ref="R579" ca="1">IFERROR(INDIRECT("$P"&amp;Q579),"")</f>
        <v/>
      </c>
      <c r="U579" t="e" cm="1">
        <f t="array" ref="U579">INDEX($C$2:$D$40,MOD(ROW()-ROW($C$2),ROWS($C$2:$D$40))+1,INT((ROW()-ROW($C$2))/ROWS($C$2:$D$40))+1)</f>
        <v>#REF!</v>
      </c>
      <c r="V579" t="e">
        <f t="shared" ca="1" si="61"/>
        <v>#N/A</v>
      </c>
      <c r="W579" t="str" cm="1">
        <f t="array" aca="1" ref="W579" ca="1">IFERROR(INDIRECT("$U"&amp;V579),"")</f>
        <v/>
      </c>
      <c r="Z579" t="str" cm="1">
        <f t="array" ref="Z579">INDEX($AE$2:$AS$40,MOD(ROW()-ROW($AE$2),ROWS($AE$2:$AS$40))+1,INT((ROW()-ROW($AE$2))/ROWS($AE$2:$AS$40))+1)</f>
        <v/>
      </c>
      <c r="AA579" t="e">
        <f t="shared" ca="1" si="62"/>
        <v>#N/A</v>
      </c>
      <c r="AB579" t="str" cm="1">
        <f t="array" aca="1" ref="AB579" ca="1">IFERROR(INDIRECT("$Z"&amp;AA579),"")</f>
        <v/>
      </c>
      <c r="AP579" t="str">
        <f t="shared" ref="AP579:AP642" si="63">IF(AI579&lt;&gt;"", _xlfn.CONCAT(AI579, " (airside)"), "")</f>
        <v/>
      </c>
      <c r="AQ579" t="str">
        <f t="shared" ref="AQ579:AQ642" si="64">IF(AI579&lt;&gt;"", _xlfn.CONCAT(AI579, " (waterside)"), "")</f>
        <v/>
      </c>
      <c r="AR579" t="str">
        <f t="shared" ref="AR579:AR642" si="65">IF(AJ579&lt;&gt;"", _xlfn.CONCAT(AJ579, " (supply)"), "")</f>
        <v/>
      </c>
      <c r="AS579" t="str">
        <f t="shared" ref="AS579:AS642" si="66">IF(AJ579&lt;&gt;"", _xlfn.CONCAT(AJ579, " (exhaust)"), "")</f>
        <v/>
      </c>
    </row>
    <row r="580" spans="5:45" x14ac:dyDescent="0.25">
      <c r="E580" t="str">
        <f ca="1"/>
        <v/>
      </c>
      <c r="F580" t="str">
        <f ca="1"/>
        <v/>
      </c>
      <c r="P580" t="e" cm="1">
        <f t="array" ref="P580">INDEX($B$2:$D$40,MOD(ROW()-ROW($B$2),ROWS($B$2:$D$40))+1,INT((ROW()-ROW($B$2))/ROWS($B$2:$D$40))+1)</f>
        <v>#REF!</v>
      </c>
      <c r="Q580" t="e">
        <f t="shared" ref="Q580:Q643" ca="1" si="67">MATCH("*",INDIRECT(ADDRESS(Q579+1,16,1)&amp;":$P$1000"),0)+Q579</f>
        <v>#N/A</v>
      </c>
      <c r="R580" t="str" cm="1">
        <f t="array" aca="1" ref="R580" ca="1">IFERROR(INDIRECT("$P"&amp;Q580),"")</f>
        <v/>
      </c>
      <c r="U580" t="e" cm="1">
        <f t="array" ref="U580">INDEX($C$2:$D$40,MOD(ROW()-ROW($C$2),ROWS($C$2:$D$40))+1,INT((ROW()-ROW($C$2))/ROWS($C$2:$D$40))+1)</f>
        <v>#REF!</v>
      </c>
      <c r="V580" t="e">
        <f t="shared" ref="V580:V643" ca="1" si="68">MATCH("*",INDIRECT(ADDRESS(V579+1,21,1)&amp;":$U$1000"),0)+V579</f>
        <v>#N/A</v>
      </c>
      <c r="W580" t="str" cm="1">
        <f t="array" aca="1" ref="W580" ca="1">IFERROR(INDIRECT("$U"&amp;V580),"")</f>
        <v/>
      </c>
      <c r="Z580" t="str" cm="1">
        <f t="array" ref="Z580">INDEX($AE$2:$AS$40,MOD(ROW()-ROW($AE$2),ROWS($AE$2:$AS$40))+1,INT((ROW()-ROW($AE$2))/ROWS($AE$2:$AS$40))+1)</f>
        <v/>
      </c>
      <c r="AA580" t="e">
        <f t="shared" ref="AA580:AA643" ca="1" si="69">MATCH("*",INDIRECT(ADDRESS(AA579+1,26,1)&amp;":$Z$1000"),0)+AA579</f>
        <v>#N/A</v>
      </c>
      <c r="AB580" t="str" cm="1">
        <f t="array" aca="1" ref="AB580" ca="1">IFERROR(INDIRECT("$Z"&amp;AA580),"")</f>
        <v/>
      </c>
      <c r="AP580" t="str">
        <f t="shared" si="63"/>
        <v/>
      </c>
      <c r="AQ580" t="str">
        <f t="shared" si="64"/>
        <v/>
      </c>
      <c r="AR580" t="str">
        <f t="shared" si="65"/>
        <v/>
      </c>
      <c r="AS580" t="str">
        <f t="shared" si="66"/>
        <v/>
      </c>
    </row>
    <row r="581" spans="5:45" x14ac:dyDescent="0.25">
      <c r="E581" t="str">
        <f ca="1"/>
        <v/>
      </c>
      <c r="F581" t="str">
        <f ca="1"/>
        <v/>
      </c>
      <c r="P581" t="e" cm="1">
        <f t="array" ref="P581">INDEX($B$2:$D$40,MOD(ROW()-ROW($B$2),ROWS($B$2:$D$40))+1,INT((ROW()-ROW($B$2))/ROWS($B$2:$D$40))+1)</f>
        <v>#REF!</v>
      </c>
      <c r="Q581" t="e">
        <f t="shared" ca="1" si="67"/>
        <v>#N/A</v>
      </c>
      <c r="R581" t="str" cm="1">
        <f t="array" aca="1" ref="R581" ca="1">IFERROR(INDIRECT("$P"&amp;Q581),"")</f>
        <v/>
      </c>
      <c r="U581" t="e" cm="1">
        <f t="array" ref="U581">INDEX($C$2:$D$40,MOD(ROW()-ROW($C$2),ROWS($C$2:$D$40))+1,INT((ROW()-ROW($C$2))/ROWS($C$2:$D$40))+1)</f>
        <v>#REF!</v>
      </c>
      <c r="V581" t="e">
        <f t="shared" ca="1" si="68"/>
        <v>#N/A</v>
      </c>
      <c r="W581" t="str" cm="1">
        <f t="array" aca="1" ref="W581" ca="1">IFERROR(INDIRECT("$U"&amp;V581),"")</f>
        <v/>
      </c>
      <c r="Z581" t="str" cm="1">
        <f t="array" ref="Z581">INDEX($AE$2:$AS$40,MOD(ROW()-ROW($AE$2),ROWS($AE$2:$AS$40))+1,INT((ROW()-ROW($AE$2))/ROWS($AE$2:$AS$40))+1)</f>
        <v/>
      </c>
      <c r="AA581" t="e">
        <f t="shared" ca="1" si="69"/>
        <v>#N/A</v>
      </c>
      <c r="AB581" t="str" cm="1">
        <f t="array" aca="1" ref="AB581" ca="1">IFERROR(INDIRECT("$Z"&amp;AA581),"")</f>
        <v/>
      </c>
      <c r="AP581" t="str">
        <f t="shared" si="63"/>
        <v/>
      </c>
      <c r="AQ581" t="str">
        <f t="shared" si="64"/>
        <v/>
      </c>
      <c r="AR581" t="str">
        <f t="shared" si="65"/>
        <v/>
      </c>
      <c r="AS581" t="str">
        <f t="shared" si="66"/>
        <v/>
      </c>
    </row>
    <row r="582" spans="5:45" x14ac:dyDescent="0.25">
      <c r="E582" t="str">
        <f ca="1"/>
        <v/>
      </c>
      <c r="F582" t="str">
        <f ca="1"/>
        <v/>
      </c>
      <c r="P582" t="e" cm="1">
        <f t="array" ref="P582">INDEX($B$2:$D$40,MOD(ROW()-ROW($B$2),ROWS($B$2:$D$40))+1,INT((ROW()-ROW($B$2))/ROWS($B$2:$D$40))+1)</f>
        <v>#REF!</v>
      </c>
      <c r="Q582" t="e">
        <f t="shared" ca="1" si="67"/>
        <v>#N/A</v>
      </c>
      <c r="R582" t="str" cm="1">
        <f t="array" aca="1" ref="R582" ca="1">IFERROR(INDIRECT("$P"&amp;Q582),"")</f>
        <v/>
      </c>
      <c r="U582" t="e" cm="1">
        <f t="array" ref="U582">INDEX($C$2:$D$40,MOD(ROW()-ROW($C$2),ROWS($C$2:$D$40))+1,INT((ROW()-ROW($C$2))/ROWS($C$2:$D$40))+1)</f>
        <v>#REF!</v>
      </c>
      <c r="V582" t="e">
        <f t="shared" ca="1" si="68"/>
        <v>#N/A</v>
      </c>
      <c r="W582" t="str" cm="1">
        <f t="array" aca="1" ref="W582" ca="1">IFERROR(INDIRECT("$U"&amp;V582),"")</f>
        <v/>
      </c>
      <c r="Z582" t="str" cm="1">
        <f t="array" ref="Z582">INDEX($AE$2:$AS$40,MOD(ROW()-ROW($AE$2),ROWS($AE$2:$AS$40))+1,INT((ROW()-ROW($AE$2))/ROWS($AE$2:$AS$40))+1)</f>
        <v/>
      </c>
      <c r="AA582" t="e">
        <f t="shared" ca="1" si="69"/>
        <v>#N/A</v>
      </c>
      <c r="AB582" t="str" cm="1">
        <f t="array" aca="1" ref="AB582" ca="1">IFERROR(INDIRECT("$Z"&amp;AA582),"")</f>
        <v/>
      </c>
      <c r="AP582" t="str">
        <f t="shared" si="63"/>
        <v/>
      </c>
      <c r="AQ582" t="str">
        <f t="shared" si="64"/>
        <v/>
      </c>
      <c r="AR582" t="str">
        <f t="shared" si="65"/>
        <v/>
      </c>
      <c r="AS582" t="str">
        <f t="shared" si="66"/>
        <v/>
      </c>
    </row>
    <row r="583" spans="5:45" x14ac:dyDescent="0.25">
      <c r="E583" t="str">
        <f ca="1"/>
        <v/>
      </c>
      <c r="F583" t="str">
        <f ca="1"/>
        <v/>
      </c>
      <c r="P583" t="e" cm="1">
        <f t="array" ref="P583">INDEX($B$2:$D$40,MOD(ROW()-ROW($B$2),ROWS($B$2:$D$40))+1,INT((ROW()-ROW($B$2))/ROWS($B$2:$D$40))+1)</f>
        <v>#REF!</v>
      </c>
      <c r="Q583" t="e">
        <f t="shared" ca="1" si="67"/>
        <v>#N/A</v>
      </c>
      <c r="R583" t="str" cm="1">
        <f t="array" aca="1" ref="R583" ca="1">IFERROR(INDIRECT("$P"&amp;Q583),"")</f>
        <v/>
      </c>
      <c r="U583" t="e" cm="1">
        <f t="array" ref="U583">INDEX($C$2:$D$40,MOD(ROW()-ROW($C$2),ROWS($C$2:$D$40))+1,INT((ROW()-ROW($C$2))/ROWS($C$2:$D$40))+1)</f>
        <v>#REF!</v>
      </c>
      <c r="V583" t="e">
        <f t="shared" ca="1" si="68"/>
        <v>#N/A</v>
      </c>
      <c r="W583" t="str" cm="1">
        <f t="array" aca="1" ref="W583" ca="1">IFERROR(INDIRECT("$U"&amp;V583),"")</f>
        <v/>
      </c>
      <c r="Z583" t="str" cm="1">
        <f t="array" ref="Z583">INDEX($AE$2:$AS$40,MOD(ROW()-ROW($AE$2),ROWS($AE$2:$AS$40))+1,INT((ROW()-ROW($AE$2))/ROWS($AE$2:$AS$40))+1)</f>
        <v/>
      </c>
      <c r="AA583" t="e">
        <f t="shared" ca="1" si="69"/>
        <v>#N/A</v>
      </c>
      <c r="AB583" t="str" cm="1">
        <f t="array" aca="1" ref="AB583" ca="1">IFERROR(INDIRECT("$Z"&amp;AA583),"")</f>
        <v/>
      </c>
      <c r="AP583" t="str">
        <f t="shared" si="63"/>
        <v/>
      </c>
      <c r="AQ583" t="str">
        <f t="shared" si="64"/>
        <v/>
      </c>
      <c r="AR583" t="str">
        <f t="shared" si="65"/>
        <v/>
      </c>
      <c r="AS583" t="str">
        <f t="shared" si="66"/>
        <v/>
      </c>
    </row>
    <row r="584" spans="5:45" x14ac:dyDescent="0.25">
      <c r="E584" t="str">
        <f ca="1"/>
        <v/>
      </c>
      <c r="F584" t="str">
        <f ca="1"/>
        <v/>
      </c>
      <c r="P584" t="e" cm="1">
        <f t="array" ref="P584">INDEX($B$2:$D$40,MOD(ROW()-ROW($B$2),ROWS($B$2:$D$40))+1,INT((ROW()-ROW($B$2))/ROWS($B$2:$D$40))+1)</f>
        <v>#REF!</v>
      </c>
      <c r="Q584" t="e">
        <f t="shared" ca="1" si="67"/>
        <v>#N/A</v>
      </c>
      <c r="R584" t="str" cm="1">
        <f t="array" aca="1" ref="R584" ca="1">IFERROR(INDIRECT("$P"&amp;Q584),"")</f>
        <v/>
      </c>
      <c r="U584" t="e" cm="1">
        <f t="array" ref="U584">INDEX($C$2:$D$40,MOD(ROW()-ROW($C$2),ROWS($C$2:$D$40))+1,INT((ROW()-ROW($C$2))/ROWS($C$2:$D$40))+1)</f>
        <v>#REF!</v>
      </c>
      <c r="V584" t="e">
        <f t="shared" ca="1" si="68"/>
        <v>#N/A</v>
      </c>
      <c r="W584" t="str" cm="1">
        <f t="array" aca="1" ref="W584" ca="1">IFERROR(INDIRECT("$U"&amp;V584),"")</f>
        <v/>
      </c>
      <c r="Z584" t="str" cm="1">
        <f t="array" ref="Z584">INDEX($AE$2:$AS$40,MOD(ROW()-ROW($AE$2),ROWS($AE$2:$AS$40))+1,INT((ROW()-ROW($AE$2))/ROWS($AE$2:$AS$40))+1)</f>
        <v/>
      </c>
      <c r="AA584" t="e">
        <f t="shared" ca="1" si="69"/>
        <v>#N/A</v>
      </c>
      <c r="AB584" t="str" cm="1">
        <f t="array" aca="1" ref="AB584" ca="1">IFERROR(INDIRECT("$Z"&amp;AA584),"")</f>
        <v/>
      </c>
      <c r="AP584" t="str">
        <f t="shared" si="63"/>
        <v/>
      </c>
      <c r="AQ584" t="str">
        <f t="shared" si="64"/>
        <v/>
      </c>
      <c r="AR584" t="str">
        <f t="shared" si="65"/>
        <v/>
      </c>
      <c r="AS584" t="str">
        <f t="shared" si="66"/>
        <v/>
      </c>
    </row>
    <row r="585" spans="5:45" x14ac:dyDescent="0.25">
      <c r="E585" t="str">
        <f ca="1"/>
        <v/>
      </c>
      <c r="F585" t="str">
        <f ca="1"/>
        <v/>
      </c>
      <c r="P585" t="e" cm="1">
        <f t="array" ref="P585">INDEX($B$2:$D$40,MOD(ROW()-ROW($B$2),ROWS($B$2:$D$40))+1,INT((ROW()-ROW($B$2))/ROWS($B$2:$D$40))+1)</f>
        <v>#REF!</v>
      </c>
      <c r="Q585" t="e">
        <f t="shared" ca="1" si="67"/>
        <v>#N/A</v>
      </c>
      <c r="R585" t="str" cm="1">
        <f t="array" aca="1" ref="R585" ca="1">IFERROR(INDIRECT("$P"&amp;Q585),"")</f>
        <v/>
      </c>
      <c r="U585" t="e" cm="1">
        <f t="array" ref="U585">INDEX($C$2:$D$40,MOD(ROW()-ROW($C$2),ROWS($C$2:$D$40))+1,INT((ROW()-ROW($C$2))/ROWS($C$2:$D$40))+1)</f>
        <v>#REF!</v>
      </c>
      <c r="V585" t="e">
        <f t="shared" ca="1" si="68"/>
        <v>#N/A</v>
      </c>
      <c r="W585" t="str" cm="1">
        <f t="array" aca="1" ref="W585" ca="1">IFERROR(INDIRECT("$U"&amp;V585),"")</f>
        <v/>
      </c>
      <c r="Z585" t="str" cm="1">
        <f t="array" ref="Z585">INDEX($AE$2:$AS$40,MOD(ROW()-ROW($AE$2),ROWS($AE$2:$AS$40))+1,INT((ROW()-ROW($AE$2))/ROWS($AE$2:$AS$40))+1)</f>
        <v/>
      </c>
      <c r="AA585" t="e">
        <f t="shared" ca="1" si="69"/>
        <v>#N/A</v>
      </c>
      <c r="AB585" t="str" cm="1">
        <f t="array" aca="1" ref="AB585" ca="1">IFERROR(INDIRECT("$Z"&amp;AA585),"")</f>
        <v/>
      </c>
      <c r="AP585" t="str">
        <f t="shared" si="63"/>
        <v/>
      </c>
      <c r="AQ585" t="str">
        <f t="shared" si="64"/>
        <v/>
      </c>
      <c r="AR585" t="str">
        <f t="shared" si="65"/>
        <v/>
      </c>
      <c r="AS585" t="str">
        <f t="shared" si="66"/>
        <v/>
      </c>
    </row>
    <row r="586" spans="5:45" x14ac:dyDescent="0.25">
      <c r="E586" t="str">
        <f ca="1"/>
        <v/>
      </c>
      <c r="F586" t="str">
        <f ca="1"/>
        <v/>
      </c>
      <c r="P586" t="e" cm="1">
        <f t="array" ref="P586">INDEX($B$2:$D$40,MOD(ROW()-ROW($B$2),ROWS($B$2:$D$40))+1,INT((ROW()-ROW($B$2))/ROWS($B$2:$D$40))+1)</f>
        <v>#REF!</v>
      </c>
      <c r="Q586" t="e">
        <f t="shared" ca="1" si="67"/>
        <v>#N/A</v>
      </c>
      <c r="R586" t="str" cm="1">
        <f t="array" aca="1" ref="R586" ca="1">IFERROR(INDIRECT("$P"&amp;Q586),"")</f>
        <v/>
      </c>
      <c r="U586" t="e" cm="1">
        <f t="array" ref="U586">INDEX($C$2:$D$40,MOD(ROW()-ROW($C$2),ROWS($C$2:$D$40))+1,INT((ROW()-ROW($C$2))/ROWS($C$2:$D$40))+1)</f>
        <v>#REF!</v>
      </c>
      <c r="V586" t="e">
        <f t="shared" ca="1" si="68"/>
        <v>#N/A</v>
      </c>
      <c r="W586" t="str" cm="1">
        <f t="array" aca="1" ref="W586" ca="1">IFERROR(INDIRECT("$U"&amp;V586),"")</f>
        <v/>
      </c>
      <c r="Z586" t="str" cm="1">
        <f t="array" ref="Z586">INDEX($AE$2:$AS$40,MOD(ROW()-ROW($AE$2),ROWS($AE$2:$AS$40))+1,INT((ROW()-ROW($AE$2))/ROWS($AE$2:$AS$40))+1)</f>
        <v/>
      </c>
      <c r="AA586" t="e">
        <f t="shared" ca="1" si="69"/>
        <v>#N/A</v>
      </c>
      <c r="AB586" t="str" cm="1">
        <f t="array" aca="1" ref="AB586" ca="1">IFERROR(INDIRECT("$Z"&amp;AA586),"")</f>
        <v/>
      </c>
      <c r="AP586" t="str">
        <f t="shared" si="63"/>
        <v/>
      </c>
      <c r="AQ586" t="str">
        <f t="shared" si="64"/>
        <v/>
      </c>
      <c r="AR586" t="str">
        <f t="shared" si="65"/>
        <v/>
      </c>
      <c r="AS586" t="str">
        <f t="shared" si="66"/>
        <v/>
      </c>
    </row>
    <row r="587" spans="5:45" x14ac:dyDescent="0.25">
      <c r="E587" t="str">
        <f ca="1"/>
        <v/>
      </c>
      <c r="F587" t="str">
        <f ca="1"/>
        <v/>
      </c>
      <c r="P587" t="e" cm="1">
        <f t="array" ref="P587">INDEX($B$2:$D$40,MOD(ROW()-ROW($B$2),ROWS($B$2:$D$40))+1,INT((ROW()-ROW($B$2))/ROWS($B$2:$D$40))+1)</f>
        <v>#REF!</v>
      </c>
      <c r="Q587" t="e">
        <f t="shared" ca="1" si="67"/>
        <v>#N/A</v>
      </c>
      <c r="R587" t="str" cm="1">
        <f t="array" aca="1" ref="R587" ca="1">IFERROR(INDIRECT("$P"&amp;Q587),"")</f>
        <v/>
      </c>
      <c r="U587" t="e" cm="1">
        <f t="array" ref="U587">INDEX($C$2:$D$40,MOD(ROW()-ROW($C$2),ROWS($C$2:$D$40))+1,INT((ROW()-ROW($C$2))/ROWS($C$2:$D$40))+1)</f>
        <v>#REF!</v>
      </c>
      <c r="V587" t="e">
        <f t="shared" ca="1" si="68"/>
        <v>#N/A</v>
      </c>
      <c r="W587" t="str" cm="1">
        <f t="array" aca="1" ref="W587" ca="1">IFERROR(INDIRECT("$U"&amp;V587),"")</f>
        <v/>
      </c>
      <c r="Z587" t="e" cm="1">
        <f t="array" ref="Z587">INDEX($AE$2:$AS$40,MOD(ROW()-ROW($AE$2),ROWS($AE$2:$AS$40))+1,INT((ROW()-ROW($AE$2))/ROWS($AE$2:$AS$40))+1)</f>
        <v>#REF!</v>
      </c>
      <c r="AA587" t="e">
        <f t="shared" ca="1" si="69"/>
        <v>#N/A</v>
      </c>
      <c r="AB587" t="str" cm="1">
        <f t="array" aca="1" ref="AB587" ca="1">IFERROR(INDIRECT("$Z"&amp;AA587),"")</f>
        <v/>
      </c>
      <c r="AP587" t="str">
        <f t="shared" si="63"/>
        <v/>
      </c>
      <c r="AQ587" t="str">
        <f t="shared" si="64"/>
        <v/>
      </c>
      <c r="AR587" t="str">
        <f t="shared" si="65"/>
        <v/>
      </c>
      <c r="AS587" t="str">
        <f t="shared" si="66"/>
        <v/>
      </c>
    </row>
    <row r="588" spans="5:45" x14ac:dyDescent="0.25">
      <c r="E588" t="str">
        <f ca="1"/>
        <v/>
      </c>
      <c r="F588" t="str">
        <f ca="1"/>
        <v/>
      </c>
      <c r="P588" t="e" cm="1">
        <f t="array" ref="P588">INDEX($B$2:$D$40,MOD(ROW()-ROW($B$2),ROWS($B$2:$D$40))+1,INT((ROW()-ROW($B$2))/ROWS($B$2:$D$40))+1)</f>
        <v>#REF!</v>
      </c>
      <c r="Q588" t="e">
        <f t="shared" ca="1" si="67"/>
        <v>#N/A</v>
      </c>
      <c r="R588" t="str" cm="1">
        <f t="array" aca="1" ref="R588" ca="1">IFERROR(INDIRECT("$P"&amp;Q588),"")</f>
        <v/>
      </c>
      <c r="U588" t="e" cm="1">
        <f t="array" ref="U588">INDEX($C$2:$D$40,MOD(ROW()-ROW($C$2),ROWS($C$2:$D$40))+1,INT((ROW()-ROW($C$2))/ROWS($C$2:$D$40))+1)</f>
        <v>#REF!</v>
      </c>
      <c r="V588" t="e">
        <f t="shared" ca="1" si="68"/>
        <v>#N/A</v>
      </c>
      <c r="W588" t="str" cm="1">
        <f t="array" aca="1" ref="W588" ca="1">IFERROR(INDIRECT("$U"&amp;V588),"")</f>
        <v/>
      </c>
      <c r="Z588" t="e" cm="1">
        <f t="array" ref="Z588">INDEX($AE$2:$AS$40,MOD(ROW()-ROW($AE$2),ROWS($AE$2:$AS$40))+1,INT((ROW()-ROW($AE$2))/ROWS($AE$2:$AS$40))+1)</f>
        <v>#REF!</v>
      </c>
      <c r="AA588" t="e">
        <f t="shared" ca="1" si="69"/>
        <v>#N/A</v>
      </c>
      <c r="AB588" t="str" cm="1">
        <f t="array" aca="1" ref="AB588" ca="1">IFERROR(INDIRECT("$Z"&amp;AA588),"")</f>
        <v/>
      </c>
      <c r="AP588" t="str">
        <f t="shared" si="63"/>
        <v/>
      </c>
      <c r="AQ588" t="str">
        <f t="shared" si="64"/>
        <v/>
      </c>
      <c r="AR588" t="str">
        <f t="shared" si="65"/>
        <v/>
      </c>
      <c r="AS588" t="str">
        <f t="shared" si="66"/>
        <v/>
      </c>
    </row>
    <row r="589" spans="5:45" x14ac:dyDescent="0.25">
      <c r="E589" t="str">
        <f ca="1"/>
        <v/>
      </c>
      <c r="F589" t="str">
        <f ca="1"/>
        <v/>
      </c>
      <c r="P589" t="e" cm="1">
        <f t="array" ref="P589">INDEX($B$2:$D$40,MOD(ROW()-ROW($B$2),ROWS($B$2:$D$40))+1,INT((ROW()-ROW($B$2))/ROWS($B$2:$D$40))+1)</f>
        <v>#REF!</v>
      </c>
      <c r="Q589" t="e">
        <f t="shared" ca="1" si="67"/>
        <v>#N/A</v>
      </c>
      <c r="R589" t="str" cm="1">
        <f t="array" aca="1" ref="R589" ca="1">IFERROR(INDIRECT("$P"&amp;Q589),"")</f>
        <v/>
      </c>
      <c r="U589" t="e" cm="1">
        <f t="array" ref="U589">INDEX($C$2:$D$40,MOD(ROW()-ROW($C$2),ROWS($C$2:$D$40))+1,INT((ROW()-ROW($C$2))/ROWS($C$2:$D$40))+1)</f>
        <v>#REF!</v>
      </c>
      <c r="V589" t="e">
        <f t="shared" ca="1" si="68"/>
        <v>#N/A</v>
      </c>
      <c r="W589" t="str" cm="1">
        <f t="array" aca="1" ref="W589" ca="1">IFERROR(INDIRECT("$U"&amp;V589),"")</f>
        <v/>
      </c>
      <c r="Z589" t="e" cm="1">
        <f t="array" ref="Z589">INDEX($AE$2:$AS$40,MOD(ROW()-ROW($AE$2),ROWS($AE$2:$AS$40))+1,INT((ROW()-ROW($AE$2))/ROWS($AE$2:$AS$40))+1)</f>
        <v>#REF!</v>
      </c>
      <c r="AA589" t="e">
        <f t="shared" ca="1" si="69"/>
        <v>#N/A</v>
      </c>
      <c r="AB589" t="str" cm="1">
        <f t="array" aca="1" ref="AB589" ca="1">IFERROR(INDIRECT("$Z"&amp;AA589),"")</f>
        <v/>
      </c>
      <c r="AP589" t="str">
        <f t="shared" si="63"/>
        <v/>
      </c>
      <c r="AQ589" t="str">
        <f t="shared" si="64"/>
        <v/>
      </c>
      <c r="AR589" t="str">
        <f t="shared" si="65"/>
        <v/>
      </c>
      <c r="AS589" t="str">
        <f t="shared" si="66"/>
        <v/>
      </c>
    </row>
    <row r="590" spans="5:45" x14ac:dyDescent="0.25">
      <c r="E590" t="str">
        <f ca="1"/>
        <v/>
      </c>
      <c r="F590" t="str">
        <f ca="1"/>
        <v/>
      </c>
      <c r="P590" t="e" cm="1">
        <f t="array" ref="P590">INDEX($B$2:$D$40,MOD(ROW()-ROW($B$2),ROWS($B$2:$D$40))+1,INT((ROW()-ROW($B$2))/ROWS($B$2:$D$40))+1)</f>
        <v>#REF!</v>
      </c>
      <c r="Q590" t="e">
        <f t="shared" ca="1" si="67"/>
        <v>#N/A</v>
      </c>
      <c r="R590" t="str" cm="1">
        <f t="array" aca="1" ref="R590" ca="1">IFERROR(INDIRECT("$P"&amp;Q590),"")</f>
        <v/>
      </c>
      <c r="U590" t="e" cm="1">
        <f t="array" ref="U590">INDEX($C$2:$D$40,MOD(ROW()-ROW($C$2),ROWS($C$2:$D$40))+1,INT((ROW()-ROW($C$2))/ROWS($C$2:$D$40))+1)</f>
        <v>#REF!</v>
      </c>
      <c r="V590" t="e">
        <f t="shared" ca="1" si="68"/>
        <v>#N/A</v>
      </c>
      <c r="W590" t="str" cm="1">
        <f t="array" aca="1" ref="W590" ca="1">IFERROR(INDIRECT("$U"&amp;V590),"")</f>
        <v/>
      </c>
      <c r="Z590" t="e" cm="1">
        <f t="array" ref="Z590">INDEX($AE$2:$AS$40,MOD(ROW()-ROW($AE$2),ROWS($AE$2:$AS$40))+1,INT((ROW()-ROW($AE$2))/ROWS($AE$2:$AS$40))+1)</f>
        <v>#REF!</v>
      </c>
      <c r="AA590" t="e">
        <f t="shared" ca="1" si="69"/>
        <v>#N/A</v>
      </c>
      <c r="AB590" t="str" cm="1">
        <f t="array" aca="1" ref="AB590" ca="1">IFERROR(INDIRECT("$Z"&amp;AA590),"")</f>
        <v/>
      </c>
      <c r="AP590" t="str">
        <f t="shared" si="63"/>
        <v/>
      </c>
      <c r="AQ590" t="str">
        <f t="shared" si="64"/>
        <v/>
      </c>
      <c r="AR590" t="str">
        <f t="shared" si="65"/>
        <v/>
      </c>
      <c r="AS590" t="str">
        <f t="shared" si="66"/>
        <v/>
      </c>
    </row>
    <row r="591" spans="5:45" x14ac:dyDescent="0.25">
      <c r="E591" t="str">
        <f ca="1"/>
        <v/>
      </c>
      <c r="F591" t="str">
        <f ca="1"/>
        <v/>
      </c>
      <c r="P591" t="e" cm="1">
        <f t="array" ref="P591">INDEX($B$2:$D$40,MOD(ROW()-ROW($B$2),ROWS($B$2:$D$40))+1,INT((ROW()-ROW($B$2))/ROWS($B$2:$D$40))+1)</f>
        <v>#REF!</v>
      </c>
      <c r="Q591" t="e">
        <f t="shared" ca="1" si="67"/>
        <v>#N/A</v>
      </c>
      <c r="R591" t="str" cm="1">
        <f t="array" aca="1" ref="R591" ca="1">IFERROR(INDIRECT("$P"&amp;Q591),"")</f>
        <v/>
      </c>
      <c r="U591" t="e" cm="1">
        <f t="array" ref="U591">INDEX($C$2:$D$40,MOD(ROW()-ROW($C$2),ROWS($C$2:$D$40))+1,INT((ROW()-ROW($C$2))/ROWS($C$2:$D$40))+1)</f>
        <v>#REF!</v>
      </c>
      <c r="V591" t="e">
        <f t="shared" ca="1" si="68"/>
        <v>#N/A</v>
      </c>
      <c r="W591" t="str" cm="1">
        <f t="array" aca="1" ref="W591" ca="1">IFERROR(INDIRECT("$U"&amp;V591),"")</f>
        <v/>
      </c>
      <c r="Z591" t="e" cm="1">
        <f t="array" ref="Z591">INDEX($AE$2:$AS$40,MOD(ROW()-ROW($AE$2),ROWS($AE$2:$AS$40))+1,INT((ROW()-ROW($AE$2))/ROWS($AE$2:$AS$40))+1)</f>
        <v>#REF!</v>
      </c>
      <c r="AA591" t="e">
        <f t="shared" ca="1" si="69"/>
        <v>#N/A</v>
      </c>
      <c r="AB591" t="str" cm="1">
        <f t="array" aca="1" ref="AB591" ca="1">IFERROR(INDIRECT("$Z"&amp;AA591),"")</f>
        <v/>
      </c>
      <c r="AP591" t="str">
        <f t="shared" si="63"/>
        <v/>
      </c>
      <c r="AQ591" t="str">
        <f t="shared" si="64"/>
        <v/>
      </c>
      <c r="AR591" t="str">
        <f t="shared" si="65"/>
        <v/>
      </c>
      <c r="AS591" t="str">
        <f t="shared" si="66"/>
        <v/>
      </c>
    </row>
    <row r="592" spans="5:45" x14ac:dyDescent="0.25">
      <c r="E592" t="str">
        <f ca="1"/>
        <v/>
      </c>
      <c r="F592" t="str">
        <f ca="1"/>
        <v/>
      </c>
      <c r="P592" t="e" cm="1">
        <f t="array" ref="P592">INDEX($B$2:$D$40,MOD(ROW()-ROW($B$2),ROWS($B$2:$D$40))+1,INT((ROW()-ROW($B$2))/ROWS($B$2:$D$40))+1)</f>
        <v>#REF!</v>
      </c>
      <c r="Q592" t="e">
        <f t="shared" ca="1" si="67"/>
        <v>#N/A</v>
      </c>
      <c r="R592" t="str" cm="1">
        <f t="array" aca="1" ref="R592" ca="1">IFERROR(INDIRECT("$P"&amp;Q592),"")</f>
        <v/>
      </c>
      <c r="U592" t="e" cm="1">
        <f t="array" ref="U592">INDEX($C$2:$D$40,MOD(ROW()-ROW($C$2),ROWS($C$2:$D$40))+1,INT((ROW()-ROW($C$2))/ROWS($C$2:$D$40))+1)</f>
        <v>#REF!</v>
      </c>
      <c r="V592" t="e">
        <f t="shared" ca="1" si="68"/>
        <v>#N/A</v>
      </c>
      <c r="W592" t="str" cm="1">
        <f t="array" aca="1" ref="W592" ca="1">IFERROR(INDIRECT("$U"&amp;V592),"")</f>
        <v/>
      </c>
      <c r="Z592" t="e" cm="1">
        <f t="array" ref="Z592">INDEX($AE$2:$AS$40,MOD(ROW()-ROW($AE$2),ROWS($AE$2:$AS$40))+1,INT((ROW()-ROW($AE$2))/ROWS($AE$2:$AS$40))+1)</f>
        <v>#REF!</v>
      </c>
      <c r="AA592" t="e">
        <f t="shared" ca="1" si="69"/>
        <v>#N/A</v>
      </c>
      <c r="AB592" t="str" cm="1">
        <f t="array" aca="1" ref="AB592" ca="1">IFERROR(INDIRECT("$Z"&amp;AA592),"")</f>
        <v/>
      </c>
      <c r="AP592" t="str">
        <f t="shared" si="63"/>
        <v/>
      </c>
      <c r="AQ592" t="str">
        <f t="shared" si="64"/>
        <v/>
      </c>
      <c r="AR592" t="str">
        <f t="shared" si="65"/>
        <v/>
      </c>
      <c r="AS592" t="str">
        <f t="shared" si="66"/>
        <v/>
      </c>
    </row>
    <row r="593" spans="5:45" x14ac:dyDescent="0.25">
      <c r="E593" t="str">
        <f ca="1"/>
        <v/>
      </c>
      <c r="F593" t="str">
        <f ca="1"/>
        <v/>
      </c>
      <c r="P593" t="e" cm="1">
        <f t="array" ref="P593">INDEX($B$2:$D$40,MOD(ROW()-ROW($B$2),ROWS($B$2:$D$40))+1,INT((ROW()-ROW($B$2))/ROWS($B$2:$D$40))+1)</f>
        <v>#REF!</v>
      </c>
      <c r="Q593" t="e">
        <f t="shared" ca="1" si="67"/>
        <v>#N/A</v>
      </c>
      <c r="R593" t="str" cm="1">
        <f t="array" aca="1" ref="R593" ca="1">IFERROR(INDIRECT("$P"&amp;Q593),"")</f>
        <v/>
      </c>
      <c r="U593" t="e" cm="1">
        <f t="array" ref="U593">INDEX($C$2:$D$40,MOD(ROW()-ROW($C$2),ROWS($C$2:$D$40))+1,INT((ROW()-ROW($C$2))/ROWS($C$2:$D$40))+1)</f>
        <v>#REF!</v>
      </c>
      <c r="V593" t="e">
        <f t="shared" ca="1" si="68"/>
        <v>#N/A</v>
      </c>
      <c r="W593" t="str" cm="1">
        <f t="array" aca="1" ref="W593" ca="1">IFERROR(INDIRECT("$U"&amp;V593),"")</f>
        <v/>
      </c>
      <c r="Z593" t="e" cm="1">
        <f t="array" ref="Z593">INDEX($AE$2:$AS$40,MOD(ROW()-ROW($AE$2),ROWS($AE$2:$AS$40))+1,INT((ROW()-ROW($AE$2))/ROWS($AE$2:$AS$40))+1)</f>
        <v>#REF!</v>
      </c>
      <c r="AA593" t="e">
        <f t="shared" ca="1" si="69"/>
        <v>#N/A</v>
      </c>
      <c r="AB593" t="str" cm="1">
        <f t="array" aca="1" ref="AB593" ca="1">IFERROR(INDIRECT("$Z"&amp;AA593),"")</f>
        <v/>
      </c>
      <c r="AP593" t="str">
        <f t="shared" si="63"/>
        <v/>
      </c>
      <c r="AQ593" t="str">
        <f t="shared" si="64"/>
        <v/>
      </c>
      <c r="AR593" t="str">
        <f t="shared" si="65"/>
        <v/>
      </c>
      <c r="AS593" t="str">
        <f t="shared" si="66"/>
        <v/>
      </c>
    </row>
    <row r="594" spans="5:45" x14ac:dyDescent="0.25">
      <c r="E594" t="str">
        <f ca="1"/>
        <v/>
      </c>
      <c r="F594" t="str">
        <f ca="1"/>
        <v/>
      </c>
      <c r="P594" t="e" cm="1">
        <f t="array" ref="P594">INDEX($B$2:$D$40,MOD(ROW()-ROW($B$2),ROWS($B$2:$D$40))+1,INT((ROW()-ROW($B$2))/ROWS($B$2:$D$40))+1)</f>
        <v>#REF!</v>
      </c>
      <c r="Q594" t="e">
        <f t="shared" ca="1" si="67"/>
        <v>#N/A</v>
      </c>
      <c r="R594" t="str" cm="1">
        <f t="array" aca="1" ref="R594" ca="1">IFERROR(INDIRECT("$P"&amp;Q594),"")</f>
        <v/>
      </c>
      <c r="U594" t="e" cm="1">
        <f t="array" ref="U594">INDEX($C$2:$D$40,MOD(ROW()-ROW($C$2),ROWS($C$2:$D$40))+1,INT((ROW()-ROW($C$2))/ROWS($C$2:$D$40))+1)</f>
        <v>#REF!</v>
      </c>
      <c r="V594" t="e">
        <f t="shared" ca="1" si="68"/>
        <v>#N/A</v>
      </c>
      <c r="W594" t="str" cm="1">
        <f t="array" aca="1" ref="W594" ca="1">IFERROR(INDIRECT("$U"&amp;V594),"")</f>
        <v/>
      </c>
      <c r="Z594" t="e" cm="1">
        <f t="array" ref="Z594">INDEX($AE$2:$AS$40,MOD(ROW()-ROW($AE$2),ROWS($AE$2:$AS$40))+1,INT((ROW()-ROW($AE$2))/ROWS($AE$2:$AS$40))+1)</f>
        <v>#REF!</v>
      </c>
      <c r="AA594" t="e">
        <f t="shared" ca="1" si="69"/>
        <v>#N/A</v>
      </c>
      <c r="AB594" t="str" cm="1">
        <f t="array" aca="1" ref="AB594" ca="1">IFERROR(INDIRECT("$Z"&amp;AA594),"")</f>
        <v/>
      </c>
      <c r="AP594" t="str">
        <f t="shared" si="63"/>
        <v/>
      </c>
      <c r="AQ594" t="str">
        <f t="shared" si="64"/>
        <v/>
      </c>
      <c r="AR594" t="str">
        <f t="shared" si="65"/>
        <v/>
      </c>
      <c r="AS594" t="str">
        <f t="shared" si="66"/>
        <v/>
      </c>
    </row>
    <row r="595" spans="5:45" x14ac:dyDescent="0.25">
      <c r="E595" t="str">
        <f ca="1"/>
        <v/>
      </c>
      <c r="F595" t="str">
        <f ca="1"/>
        <v/>
      </c>
      <c r="P595" t="e" cm="1">
        <f t="array" ref="P595">INDEX($B$2:$D$40,MOD(ROW()-ROW($B$2),ROWS($B$2:$D$40))+1,INT((ROW()-ROW($B$2))/ROWS($B$2:$D$40))+1)</f>
        <v>#REF!</v>
      </c>
      <c r="Q595" t="e">
        <f t="shared" ca="1" si="67"/>
        <v>#N/A</v>
      </c>
      <c r="R595" t="str" cm="1">
        <f t="array" aca="1" ref="R595" ca="1">IFERROR(INDIRECT("$P"&amp;Q595),"")</f>
        <v/>
      </c>
      <c r="U595" t="e" cm="1">
        <f t="array" ref="U595">INDEX($C$2:$D$40,MOD(ROW()-ROW($C$2),ROWS($C$2:$D$40))+1,INT((ROW()-ROW($C$2))/ROWS($C$2:$D$40))+1)</f>
        <v>#REF!</v>
      </c>
      <c r="V595" t="e">
        <f t="shared" ca="1" si="68"/>
        <v>#N/A</v>
      </c>
      <c r="W595" t="str" cm="1">
        <f t="array" aca="1" ref="W595" ca="1">IFERROR(INDIRECT("$U"&amp;V595),"")</f>
        <v/>
      </c>
      <c r="Z595" t="e" cm="1">
        <f t="array" ref="Z595">INDEX($AE$2:$AS$40,MOD(ROW()-ROW($AE$2),ROWS($AE$2:$AS$40))+1,INT((ROW()-ROW($AE$2))/ROWS($AE$2:$AS$40))+1)</f>
        <v>#REF!</v>
      </c>
      <c r="AA595" t="e">
        <f t="shared" ca="1" si="69"/>
        <v>#N/A</v>
      </c>
      <c r="AB595" t="str" cm="1">
        <f t="array" aca="1" ref="AB595" ca="1">IFERROR(INDIRECT("$Z"&amp;AA595),"")</f>
        <v/>
      </c>
      <c r="AP595" t="str">
        <f t="shared" si="63"/>
        <v/>
      </c>
      <c r="AQ595" t="str">
        <f t="shared" si="64"/>
        <v/>
      </c>
      <c r="AR595" t="str">
        <f t="shared" si="65"/>
        <v/>
      </c>
      <c r="AS595" t="str">
        <f t="shared" si="66"/>
        <v/>
      </c>
    </row>
    <row r="596" spans="5:45" x14ac:dyDescent="0.25">
      <c r="E596" t="str">
        <f ca="1"/>
        <v/>
      </c>
      <c r="F596" t="str">
        <f ca="1"/>
        <v/>
      </c>
      <c r="P596" t="e" cm="1">
        <f t="array" ref="P596">INDEX($B$2:$D$40,MOD(ROW()-ROW($B$2),ROWS($B$2:$D$40))+1,INT((ROW()-ROW($B$2))/ROWS($B$2:$D$40))+1)</f>
        <v>#REF!</v>
      </c>
      <c r="Q596" t="e">
        <f t="shared" ca="1" si="67"/>
        <v>#N/A</v>
      </c>
      <c r="R596" t="str" cm="1">
        <f t="array" aca="1" ref="R596" ca="1">IFERROR(INDIRECT("$P"&amp;Q596),"")</f>
        <v/>
      </c>
      <c r="U596" t="e" cm="1">
        <f t="array" ref="U596">INDEX($C$2:$D$40,MOD(ROW()-ROW($C$2),ROWS($C$2:$D$40))+1,INT((ROW()-ROW($C$2))/ROWS($C$2:$D$40))+1)</f>
        <v>#REF!</v>
      </c>
      <c r="V596" t="e">
        <f t="shared" ca="1" si="68"/>
        <v>#N/A</v>
      </c>
      <c r="W596" t="str" cm="1">
        <f t="array" aca="1" ref="W596" ca="1">IFERROR(INDIRECT("$U"&amp;V596),"")</f>
        <v/>
      </c>
      <c r="Z596" t="e" cm="1">
        <f t="array" ref="Z596">INDEX($AE$2:$AS$40,MOD(ROW()-ROW($AE$2),ROWS($AE$2:$AS$40))+1,INT((ROW()-ROW($AE$2))/ROWS($AE$2:$AS$40))+1)</f>
        <v>#REF!</v>
      </c>
      <c r="AA596" t="e">
        <f t="shared" ca="1" si="69"/>
        <v>#N/A</v>
      </c>
      <c r="AB596" t="str" cm="1">
        <f t="array" aca="1" ref="AB596" ca="1">IFERROR(INDIRECT("$Z"&amp;AA596),"")</f>
        <v/>
      </c>
      <c r="AP596" t="str">
        <f t="shared" si="63"/>
        <v/>
      </c>
      <c r="AQ596" t="str">
        <f t="shared" si="64"/>
        <v/>
      </c>
      <c r="AR596" t="str">
        <f t="shared" si="65"/>
        <v/>
      </c>
      <c r="AS596" t="str">
        <f t="shared" si="66"/>
        <v/>
      </c>
    </row>
    <row r="597" spans="5:45" x14ac:dyDescent="0.25">
      <c r="E597" t="str">
        <f ca="1"/>
        <v/>
      </c>
      <c r="F597" t="str">
        <f ca="1"/>
        <v/>
      </c>
      <c r="P597" t="e" cm="1">
        <f t="array" ref="P597">INDEX($B$2:$D$40,MOD(ROW()-ROW($B$2),ROWS($B$2:$D$40))+1,INT((ROW()-ROW($B$2))/ROWS($B$2:$D$40))+1)</f>
        <v>#REF!</v>
      </c>
      <c r="Q597" t="e">
        <f t="shared" ca="1" si="67"/>
        <v>#N/A</v>
      </c>
      <c r="R597" t="str" cm="1">
        <f t="array" aca="1" ref="R597" ca="1">IFERROR(INDIRECT("$P"&amp;Q597),"")</f>
        <v/>
      </c>
      <c r="U597" t="e" cm="1">
        <f t="array" ref="U597">INDEX($C$2:$D$40,MOD(ROW()-ROW($C$2),ROWS($C$2:$D$40))+1,INT((ROW()-ROW($C$2))/ROWS($C$2:$D$40))+1)</f>
        <v>#REF!</v>
      </c>
      <c r="V597" t="e">
        <f t="shared" ca="1" si="68"/>
        <v>#N/A</v>
      </c>
      <c r="W597" t="str" cm="1">
        <f t="array" aca="1" ref="W597" ca="1">IFERROR(INDIRECT("$U"&amp;V597),"")</f>
        <v/>
      </c>
      <c r="Z597" t="e" cm="1">
        <f t="array" ref="Z597">INDEX($AE$2:$AS$40,MOD(ROW()-ROW($AE$2),ROWS($AE$2:$AS$40))+1,INT((ROW()-ROW($AE$2))/ROWS($AE$2:$AS$40))+1)</f>
        <v>#REF!</v>
      </c>
      <c r="AA597" t="e">
        <f t="shared" ca="1" si="69"/>
        <v>#N/A</v>
      </c>
      <c r="AB597" t="str" cm="1">
        <f t="array" aca="1" ref="AB597" ca="1">IFERROR(INDIRECT("$Z"&amp;AA597),"")</f>
        <v/>
      </c>
      <c r="AP597" t="str">
        <f t="shared" si="63"/>
        <v/>
      </c>
      <c r="AQ597" t="str">
        <f t="shared" si="64"/>
        <v/>
      </c>
      <c r="AR597" t="str">
        <f t="shared" si="65"/>
        <v/>
      </c>
      <c r="AS597" t="str">
        <f t="shared" si="66"/>
        <v/>
      </c>
    </row>
    <row r="598" spans="5:45" x14ac:dyDescent="0.25">
      <c r="E598" t="str">
        <f ca="1"/>
        <v/>
      </c>
      <c r="F598" t="str">
        <f ca="1"/>
        <v/>
      </c>
      <c r="P598" t="e" cm="1">
        <f t="array" ref="P598">INDEX($B$2:$D$40,MOD(ROW()-ROW($B$2),ROWS($B$2:$D$40))+1,INT((ROW()-ROW($B$2))/ROWS($B$2:$D$40))+1)</f>
        <v>#REF!</v>
      </c>
      <c r="Q598" t="e">
        <f t="shared" ca="1" si="67"/>
        <v>#N/A</v>
      </c>
      <c r="R598" t="str" cm="1">
        <f t="array" aca="1" ref="R598" ca="1">IFERROR(INDIRECT("$P"&amp;Q598),"")</f>
        <v/>
      </c>
      <c r="U598" t="e" cm="1">
        <f t="array" ref="U598">INDEX($C$2:$D$40,MOD(ROW()-ROW($C$2),ROWS($C$2:$D$40))+1,INT((ROW()-ROW($C$2))/ROWS($C$2:$D$40))+1)</f>
        <v>#REF!</v>
      </c>
      <c r="V598" t="e">
        <f t="shared" ca="1" si="68"/>
        <v>#N/A</v>
      </c>
      <c r="W598" t="str" cm="1">
        <f t="array" aca="1" ref="W598" ca="1">IFERROR(INDIRECT("$U"&amp;V598),"")</f>
        <v/>
      </c>
      <c r="Z598" t="e" cm="1">
        <f t="array" ref="Z598">INDEX($AE$2:$AS$40,MOD(ROW()-ROW($AE$2),ROWS($AE$2:$AS$40))+1,INT((ROW()-ROW($AE$2))/ROWS($AE$2:$AS$40))+1)</f>
        <v>#REF!</v>
      </c>
      <c r="AA598" t="e">
        <f t="shared" ca="1" si="69"/>
        <v>#N/A</v>
      </c>
      <c r="AB598" t="str" cm="1">
        <f t="array" aca="1" ref="AB598" ca="1">IFERROR(INDIRECT("$Z"&amp;AA598),"")</f>
        <v/>
      </c>
      <c r="AP598" t="str">
        <f t="shared" si="63"/>
        <v/>
      </c>
      <c r="AQ598" t="str">
        <f t="shared" si="64"/>
        <v/>
      </c>
      <c r="AR598" t="str">
        <f t="shared" si="65"/>
        <v/>
      </c>
      <c r="AS598" t="str">
        <f t="shared" si="66"/>
        <v/>
      </c>
    </row>
    <row r="599" spans="5:45" x14ac:dyDescent="0.25">
      <c r="E599" t="str">
        <f ca="1"/>
        <v/>
      </c>
      <c r="F599" t="str">
        <f ca="1"/>
        <v/>
      </c>
      <c r="P599" t="e" cm="1">
        <f t="array" ref="P599">INDEX($B$2:$D$40,MOD(ROW()-ROW($B$2),ROWS($B$2:$D$40))+1,INT((ROW()-ROW($B$2))/ROWS($B$2:$D$40))+1)</f>
        <v>#REF!</v>
      </c>
      <c r="Q599" t="e">
        <f t="shared" ca="1" si="67"/>
        <v>#N/A</v>
      </c>
      <c r="R599" t="str" cm="1">
        <f t="array" aca="1" ref="R599" ca="1">IFERROR(INDIRECT("$P"&amp;Q599),"")</f>
        <v/>
      </c>
      <c r="U599" t="e" cm="1">
        <f t="array" ref="U599">INDEX($C$2:$D$40,MOD(ROW()-ROW($C$2),ROWS($C$2:$D$40))+1,INT((ROW()-ROW($C$2))/ROWS($C$2:$D$40))+1)</f>
        <v>#REF!</v>
      </c>
      <c r="V599" t="e">
        <f t="shared" ca="1" si="68"/>
        <v>#N/A</v>
      </c>
      <c r="W599" t="str" cm="1">
        <f t="array" aca="1" ref="W599" ca="1">IFERROR(INDIRECT("$U"&amp;V599),"")</f>
        <v/>
      </c>
      <c r="Z599" t="e" cm="1">
        <f t="array" ref="Z599">INDEX($AE$2:$AS$40,MOD(ROW()-ROW($AE$2),ROWS($AE$2:$AS$40))+1,INT((ROW()-ROW($AE$2))/ROWS($AE$2:$AS$40))+1)</f>
        <v>#REF!</v>
      </c>
      <c r="AA599" t="e">
        <f t="shared" ca="1" si="69"/>
        <v>#N/A</v>
      </c>
      <c r="AB599" t="str" cm="1">
        <f t="array" aca="1" ref="AB599" ca="1">IFERROR(INDIRECT("$Z"&amp;AA599),"")</f>
        <v/>
      </c>
      <c r="AP599" t="str">
        <f t="shared" si="63"/>
        <v/>
      </c>
      <c r="AQ599" t="str">
        <f t="shared" si="64"/>
        <v/>
      </c>
      <c r="AR599" t="str">
        <f t="shared" si="65"/>
        <v/>
      </c>
      <c r="AS599" t="str">
        <f t="shared" si="66"/>
        <v/>
      </c>
    </row>
    <row r="600" spans="5:45" x14ac:dyDescent="0.25">
      <c r="E600" t="str">
        <f ca="1"/>
        <v/>
      </c>
      <c r="F600" t="str">
        <f ca="1"/>
        <v/>
      </c>
      <c r="P600" t="e" cm="1">
        <f t="array" ref="P600">INDEX($B$2:$D$40,MOD(ROW()-ROW($B$2),ROWS($B$2:$D$40))+1,INT((ROW()-ROW($B$2))/ROWS($B$2:$D$40))+1)</f>
        <v>#REF!</v>
      </c>
      <c r="Q600" t="e">
        <f t="shared" ca="1" si="67"/>
        <v>#N/A</v>
      </c>
      <c r="R600" t="str" cm="1">
        <f t="array" aca="1" ref="R600" ca="1">IFERROR(INDIRECT("$P"&amp;Q600),"")</f>
        <v/>
      </c>
      <c r="U600" t="e" cm="1">
        <f t="array" ref="U600">INDEX($C$2:$D$40,MOD(ROW()-ROW($C$2),ROWS($C$2:$D$40))+1,INT((ROW()-ROW($C$2))/ROWS($C$2:$D$40))+1)</f>
        <v>#REF!</v>
      </c>
      <c r="V600" t="e">
        <f t="shared" ca="1" si="68"/>
        <v>#N/A</v>
      </c>
      <c r="W600" t="str" cm="1">
        <f t="array" aca="1" ref="W600" ca="1">IFERROR(INDIRECT("$U"&amp;V600),"")</f>
        <v/>
      </c>
      <c r="Z600" t="e" cm="1">
        <f t="array" ref="Z600">INDEX($AE$2:$AS$40,MOD(ROW()-ROW($AE$2),ROWS($AE$2:$AS$40))+1,INT((ROW()-ROW($AE$2))/ROWS($AE$2:$AS$40))+1)</f>
        <v>#REF!</v>
      </c>
      <c r="AA600" t="e">
        <f t="shared" ca="1" si="69"/>
        <v>#N/A</v>
      </c>
      <c r="AB600" t="str" cm="1">
        <f t="array" aca="1" ref="AB600" ca="1">IFERROR(INDIRECT("$Z"&amp;AA600),"")</f>
        <v/>
      </c>
      <c r="AP600" t="str">
        <f t="shared" si="63"/>
        <v/>
      </c>
      <c r="AQ600" t="str">
        <f t="shared" si="64"/>
        <v/>
      </c>
      <c r="AR600" t="str">
        <f t="shared" si="65"/>
        <v/>
      </c>
      <c r="AS600" t="str">
        <f t="shared" si="66"/>
        <v/>
      </c>
    </row>
    <row r="601" spans="5:45" x14ac:dyDescent="0.25">
      <c r="E601" t="str">
        <f ca="1"/>
        <v/>
      </c>
      <c r="F601" t="str">
        <f ca="1"/>
        <v/>
      </c>
      <c r="P601" t="e" cm="1">
        <f t="array" ref="P601">INDEX($B$2:$D$40,MOD(ROW()-ROW($B$2),ROWS($B$2:$D$40))+1,INT((ROW()-ROW($B$2))/ROWS($B$2:$D$40))+1)</f>
        <v>#REF!</v>
      </c>
      <c r="Q601" t="e">
        <f t="shared" ca="1" si="67"/>
        <v>#N/A</v>
      </c>
      <c r="R601" t="str" cm="1">
        <f t="array" aca="1" ref="R601" ca="1">IFERROR(INDIRECT("$P"&amp;Q601),"")</f>
        <v/>
      </c>
      <c r="U601" t="e" cm="1">
        <f t="array" ref="U601">INDEX($C$2:$D$40,MOD(ROW()-ROW($C$2),ROWS($C$2:$D$40))+1,INT((ROW()-ROW($C$2))/ROWS($C$2:$D$40))+1)</f>
        <v>#REF!</v>
      </c>
      <c r="V601" t="e">
        <f t="shared" ca="1" si="68"/>
        <v>#N/A</v>
      </c>
      <c r="W601" t="str" cm="1">
        <f t="array" aca="1" ref="W601" ca="1">IFERROR(INDIRECT("$U"&amp;V601),"")</f>
        <v/>
      </c>
      <c r="Z601" t="e" cm="1">
        <f t="array" ref="Z601">INDEX($AE$2:$AS$40,MOD(ROW()-ROW($AE$2),ROWS($AE$2:$AS$40))+1,INT((ROW()-ROW($AE$2))/ROWS($AE$2:$AS$40))+1)</f>
        <v>#REF!</v>
      </c>
      <c r="AA601" t="e">
        <f t="shared" ca="1" si="69"/>
        <v>#N/A</v>
      </c>
      <c r="AB601" t="str" cm="1">
        <f t="array" aca="1" ref="AB601" ca="1">IFERROR(INDIRECT("$Z"&amp;AA601),"")</f>
        <v/>
      </c>
      <c r="AP601" t="str">
        <f t="shared" si="63"/>
        <v/>
      </c>
      <c r="AQ601" t="str">
        <f t="shared" si="64"/>
        <v/>
      </c>
      <c r="AR601" t="str">
        <f t="shared" si="65"/>
        <v/>
      </c>
      <c r="AS601" t="str">
        <f t="shared" si="66"/>
        <v/>
      </c>
    </row>
    <row r="602" spans="5:45" x14ac:dyDescent="0.25">
      <c r="E602" t="str">
        <f ca="1"/>
        <v/>
      </c>
      <c r="F602" t="str">
        <f ca="1"/>
        <v/>
      </c>
      <c r="P602" t="e" cm="1">
        <f t="array" ref="P602">INDEX($B$2:$D$40,MOD(ROW()-ROW($B$2),ROWS($B$2:$D$40))+1,INT((ROW()-ROW($B$2))/ROWS($B$2:$D$40))+1)</f>
        <v>#REF!</v>
      </c>
      <c r="Q602" t="e">
        <f t="shared" ca="1" si="67"/>
        <v>#N/A</v>
      </c>
      <c r="R602" t="str" cm="1">
        <f t="array" aca="1" ref="R602" ca="1">IFERROR(INDIRECT("$P"&amp;Q602),"")</f>
        <v/>
      </c>
      <c r="U602" t="e" cm="1">
        <f t="array" ref="U602">INDEX($C$2:$D$40,MOD(ROW()-ROW($C$2),ROWS($C$2:$D$40))+1,INT((ROW()-ROW($C$2))/ROWS($C$2:$D$40))+1)</f>
        <v>#REF!</v>
      </c>
      <c r="V602" t="e">
        <f t="shared" ca="1" si="68"/>
        <v>#N/A</v>
      </c>
      <c r="W602" t="str" cm="1">
        <f t="array" aca="1" ref="W602" ca="1">IFERROR(INDIRECT("$U"&amp;V602),"")</f>
        <v/>
      </c>
      <c r="Z602" t="e" cm="1">
        <f t="array" ref="Z602">INDEX($AE$2:$AS$40,MOD(ROW()-ROW($AE$2),ROWS($AE$2:$AS$40))+1,INT((ROW()-ROW($AE$2))/ROWS($AE$2:$AS$40))+1)</f>
        <v>#REF!</v>
      </c>
      <c r="AA602" t="e">
        <f t="shared" ca="1" si="69"/>
        <v>#N/A</v>
      </c>
      <c r="AB602" t="str" cm="1">
        <f t="array" aca="1" ref="AB602" ca="1">IFERROR(INDIRECT("$Z"&amp;AA602),"")</f>
        <v/>
      </c>
      <c r="AP602" t="str">
        <f t="shared" si="63"/>
        <v/>
      </c>
      <c r="AQ602" t="str">
        <f t="shared" si="64"/>
        <v/>
      </c>
      <c r="AR602" t="str">
        <f t="shared" si="65"/>
        <v/>
      </c>
      <c r="AS602" t="str">
        <f t="shared" si="66"/>
        <v/>
      </c>
    </row>
    <row r="603" spans="5:45" x14ac:dyDescent="0.25">
      <c r="E603" t="str">
        <f ca="1"/>
        <v/>
      </c>
      <c r="F603" t="str">
        <f ca="1"/>
        <v/>
      </c>
      <c r="P603" t="e" cm="1">
        <f t="array" ref="P603">INDEX($B$2:$D$40,MOD(ROW()-ROW($B$2),ROWS($B$2:$D$40))+1,INT((ROW()-ROW($B$2))/ROWS($B$2:$D$40))+1)</f>
        <v>#REF!</v>
      </c>
      <c r="Q603" t="e">
        <f t="shared" ca="1" si="67"/>
        <v>#N/A</v>
      </c>
      <c r="R603" t="str" cm="1">
        <f t="array" aca="1" ref="R603" ca="1">IFERROR(INDIRECT("$P"&amp;Q603),"")</f>
        <v/>
      </c>
      <c r="U603" t="e" cm="1">
        <f t="array" ref="U603">INDEX($C$2:$D$40,MOD(ROW()-ROW($C$2),ROWS($C$2:$D$40))+1,INT((ROW()-ROW($C$2))/ROWS($C$2:$D$40))+1)</f>
        <v>#REF!</v>
      </c>
      <c r="V603" t="e">
        <f t="shared" ca="1" si="68"/>
        <v>#N/A</v>
      </c>
      <c r="W603" t="str" cm="1">
        <f t="array" aca="1" ref="W603" ca="1">IFERROR(INDIRECT("$U"&amp;V603),"")</f>
        <v/>
      </c>
      <c r="Z603" t="e" cm="1">
        <f t="array" ref="Z603">INDEX($AE$2:$AS$40,MOD(ROW()-ROW($AE$2),ROWS($AE$2:$AS$40))+1,INT((ROW()-ROW($AE$2))/ROWS($AE$2:$AS$40))+1)</f>
        <v>#REF!</v>
      </c>
      <c r="AA603" t="e">
        <f t="shared" ca="1" si="69"/>
        <v>#N/A</v>
      </c>
      <c r="AB603" t="str" cm="1">
        <f t="array" aca="1" ref="AB603" ca="1">IFERROR(INDIRECT("$Z"&amp;AA603),"")</f>
        <v/>
      </c>
      <c r="AP603" t="str">
        <f t="shared" si="63"/>
        <v/>
      </c>
      <c r="AQ603" t="str">
        <f t="shared" si="64"/>
        <v/>
      </c>
      <c r="AR603" t="str">
        <f t="shared" si="65"/>
        <v/>
      </c>
      <c r="AS603" t="str">
        <f t="shared" si="66"/>
        <v/>
      </c>
    </row>
    <row r="604" spans="5:45" x14ac:dyDescent="0.25">
      <c r="E604" t="str">
        <f ca="1"/>
        <v/>
      </c>
      <c r="F604" t="str">
        <f ca="1"/>
        <v/>
      </c>
      <c r="P604" t="e" cm="1">
        <f t="array" ref="P604">INDEX($B$2:$D$40,MOD(ROW()-ROW($B$2),ROWS($B$2:$D$40))+1,INT((ROW()-ROW($B$2))/ROWS($B$2:$D$40))+1)</f>
        <v>#REF!</v>
      </c>
      <c r="Q604" t="e">
        <f t="shared" ca="1" si="67"/>
        <v>#N/A</v>
      </c>
      <c r="R604" t="str" cm="1">
        <f t="array" aca="1" ref="R604" ca="1">IFERROR(INDIRECT("$P"&amp;Q604),"")</f>
        <v/>
      </c>
      <c r="U604" t="e" cm="1">
        <f t="array" ref="U604">INDEX($C$2:$D$40,MOD(ROW()-ROW($C$2),ROWS($C$2:$D$40))+1,INT((ROW()-ROW($C$2))/ROWS($C$2:$D$40))+1)</f>
        <v>#REF!</v>
      </c>
      <c r="V604" t="e">
        <f t="shared" ca="1" si="68"/>
        <v>#N/A</v>
      </c>
      <c r="W604" t="str" cm="1">
        <f t="array" aca="1" ref="W604" ca="1">IFERROR(INDIRECT("$U"&amp;V604),"")</f>
        <v/>
      </c>
      <c r="Z604" t="e" cm="1">
        <f t="array" ref="Z604">INDEX($AE$2:$AS$40,MOD(ROW()-ROW($AE$2),ROWS($AE$2:$AS$40))+1,INT((ROW()-ROW($AE$2))/ROWS($AE$2:$AS$40))+1)</f>
        <v>#REF!</v>
      </c>
      <c r="AA604" t="e">
        <f t="shared" ca="1" si="69"/>
        <v>#N/A</v>
      </c>
      <c r="AB604" t="str" cm="1">
        <f t="array" aca="1" ref="AB604" ca="1">IFERROR(INDIRECT("$Z"&amp;AA604),"")</f>
        <v/>
      </c>
      <c r="AP604" t="str">
        <f t="shared" si="63"/>
        <v/>
      </c>
      <c r="AQ604" t="str">
        <f t="shared" si="64"/>
        <v/>
      </c>
      <c r="AR604" t="str">
        <f t="shared" si="65"/>
        <v/>
      </c>
      <c r="AS604" t="str">
        <f t="shared" si="66"/>
        <v/>
      </c>
    </row>
    <row r="605" spans="5:45" x14ac:dyDescent="0.25">
      <c r="E605" t="str">
        <f ca="1"/>
        <v/>
      </c>
      <c r="F605" t="str">
        <f ca="1"/>
        <v/>
      </c>
      <c r="P605" t="e" cm="1">
        <f t="array" ref="P605">INDEX($B$2:$D$40,MOD(ROW()-ROW($B$2),ROWS($B$2:$D$40))+1,INT((ROW()-ROW($B$2))/ROWS($B$2:$D$40))+1)</f>
        <v>#REF!</v>
      </c>
      <c r="Q605" t="e">
        <f t="shared" ca="1" si="67"/>
        <v>#N/A</v>
      </c>
      <c r="R605" t="str" cm="1">
        <f t="array" aca="1" ref="R605" ca="1">IFERROR(INDIRECT("$P"&amp;Q605),"")</f>
        <v/>
      </c>
      <c r="U605" t="e" cm="1">
        <f t="array" ref="U605">INDEX($C$2:$D$40,MOD(ROW()-ROW($C$2),ROWS($C$2:$D$40))+1,INT((ROW()-ROW($C$2))/ROWS($C$2:$D$40))+1)</f>
        <v>#REF!</v>
      </c>
      <c r="V605" t="e">
        <f t="shared" ca="1" si="68"/>
        <v>#N/A</v>
      </c>
      <c r="W605" t="str" cm="1">
        <f t="array" aca="1" ref="W605" ca="1">IFERROR(INDIRECT("$U"&amp;V605),"")</f>
        <v/>
      </c>
      <c r="Z605" t="e" cm="1">
        <f t="array" ref="Z605">INDEX($AE$2:$AS$40,MOD(ROW()-ROW($AE$2),ROWS($AE$2:$AS$40))+1,INT((ROW()-ROW($AE$2))/ROWS($AE$2:$AS$40))+1)</f>
        <v>#REF!</v>
      </c>
      <c r="AA605" t="e">
        <f t="shared" ca="1" si="69"/>
        <v>#N/A</v>
      </c>
      <c r="AB605" t="str" cm="1">
        <f t="array" aca="1" ref="AB605" ca="1">IFERROR(INDIRECT("$Z"&amp;AA605),"")</f>
        <v/>
      </c>
      <c r="AP605" t="str">
        <f t="shared" si="63"/>
        <v/>
      </c>
      <c r="AQ605" t="str">
        <f t="shared" si="64"/>
        <v/>
      </c>
      <c r="AR605" t="str">
        <f t="shared" si="65"/>
        <v/>
      </c>
      <c r="AS605" t="str">
        <f t="shared" si="66"/>
        <v/>
      </c>
    </row>
    <row r="606" spans="5:45" x14ac:dyDescent="0.25">
      <c r="E606" t="str">
        <f ca="1"/>
        <v/>
      </c>
      <c r="F606" t="str">
        <f ca="1"/>
        <v/>
      </c>
      <c r="P606" t="e" cm="1">
        <f t="array" ref="P606">INDEX($B$2:$D$40,MOD(ROW()-ROW($B$2),ROWS($B$2:$D$40))+1,INT((ROW()-ROW($B$2))/ROWS($B$2:$D$40))+1)</f>
        <v>#REF!</v>
      </c>
      <c r="Q606" t="e">
        <f t="shared" ca="1" si="67"/>
        <v>#N/A</v>
      </c>
      <c r="R606" t="str" cm="1">
        <f t="array" aca="1" ref="R606" ca="1">IFERROR(INDIRECT("$P"&amp;Q606),"")</f>
        <v/>
      </c>
      <c r="U606" t="e" cm="1">
        <f t="array" ref="U606">INDEX($C$2:$D$40,MOD(ROW()-ROW($C$2),ROWS($C$2:$D$40))+1,INT((ROW()-ROW($C$2))/ROWS($C$2:$D$40))+1)</f>
        <v>#REF!</v>
      </c>
      <c r="V606" t="e">
        <f t="shared" ca="1" si="68"/>
        <v>#N/A</v>
      </c>
      <c r="W606" t="str" cm="1">
        <f t="array" aca="1" ref="W606" ca="1">IFERROR(INDIRECT("$U"&amp;V606),"")</f>
        <v/>
      </c>
      <c r="Z606" t="e" cm="1">
        <f t="array" ref="Z606">INDEX($AE$2:$AS$40,MOD(ROW()-ROW($AE$2),ROWS($AE$2:$AS$40))+1,INT((ROW()-ROW($AE$2))/ROWS($AE$2:$AS$40))+1)</f>
        <v>#REF!</v>
      </c>
      <c r="AA606" t="e">
        <f t="shared" ca="1" si="69"/>
        <v>#N/A</v>
      </c>
      <c r="AB606" t="str" cm="1">
        <f t="array" aca="1" ref="AB606" ca="1">IFERROR(INDIRECT("$Z"&amp;AA606),"")</f>
        <v/>
      </c>
      <c r="AP606" t="str">
        <f t="shared" si="63"/>
        <v/>
      </c>
      <c r="AQ606" t="str">
        <f t="shared" si="64"/>
        <v/>
      </c>
      <c r="AR606" t="str">
        <f t="shared" si="65"/>
        <v/>
      </c>
      <c r="AS606" t="str">
        <f t="shared" si="66"/>
        <v/>
      </c>
    </row>
    <row r="607" spans="5:45" x14ac:dyDescent="0.25">
      <c r="E607" t="str">
        <f ca="1"/>
        <v/>
      </c>
      <c r="F607" t="str">
        <f ca="1"/>
        <v/>
      </c>
      <c r="P607" t="e" cm="1">
        <f t="array" ref="P607">INDEX($B$2:$D$40,MOD(ROW()-ROW($B$2),ROWS($B$2:$D$40))+1,INT((ROW()-ROW($B$2))/ROWS($B$2:$D$40))+1)</f>
        <v>#REF!</v>
      </c>
      <c r="Q607" t="e">
        <f t="shared" ca="1" si="67"/>
        <v>#N/A</v>
      </c>
      <c r="R607" t="str" cm="1">
        <f t="array" aca="1" ref="R607" ca="1">IFERROR(INDIRECT("$P"&amp;Q607),"")</f>
        <v/>
      </c>
      <c r="U607" t="e" cm="1">
        <f t="array" ref="U607">INDEX($C$2:$D$40,MOD(ROW()-ROW($C$2),ROWS($C$2:$D$40))+1,INT((ROW()-ROW($C$2))/ROWS($C$2:$D$40))+1)</f>
        <v>#REF!</v>
      </c>
      <c r="V607" t="e">
        <f t="shared" ca="1" si="68"/>
        <v>#N/A</v>
      </c>
      <c r="W607" t="str" cm="1">
        <f t="array" aca="1" ref="W607" ca="1">IFERROR(INDIRECT("$U"&amp;V607),"")</f>
        <v/>
      </c>
      <c r="Z607" t="e" cm="1">
        <f t="array" ref="Z607">INDEX($AE$2:$AS$40,MOD(ROW()-ROW($AE$2),ROWS($AE$2:$AS$40))+1,INT((ROW()-ROW($AE$2))/ROWS($AE$2:$AS$40))+1)</f>
        <v>#REF!</v>
      </c>
      <c r="AA607" t="e">
        <f t="shared" ca="1" si="69"/>
        <v>#N/A</v>
      </c>
      <c r="AB607" t="str" cm="1">
        <f t="array" aca="1" ref="AB607" ca="1">IFERROR(INDIRECT("$Z"&amp;AA607),"")</f>
        <v/>
      </c>
      <c r="AP607" t="str">
        <f t="shared" si="63"/>
        <v/>
      </c>
      <c r="AQ607" t="str">
        <f t="shared" si="64"/>
        <v/>
      </c>
      <c r="AR607" t="str">
        <f t="shared" si="65"/>
        <v/>
      </c>
      <c r="AS607" t="str">
        <f t="shared" si="66"/>
        <v/>
      </c>
    </row>
    <row r="608" spans="5:45" x14ac:dyDescent="0.25">
      <c r="E608" t="str">
        <f ca="1"/>
        <v/>
      </c>
      <c r="F608" t="str">
        <f ca="1"/>
        <v/>
      </c>
      <c r="P608" t="e" cm="1">
        <f t="array" ref="P608">INDEX($B$2:$D$40,MOD(ROW()-ROW($B$2),ROWS($B$2:$D$40))+1,INT((ROW()-ROW($B$2))/ROWS($B$2:$D$40))+1)</f>
        <v>#REF!</v>
      </c>
      <c r="Q608" t="e">
        <f t="shared" ca="1" si="67"/>
        <v>#N/A</v>
      </c>
      <c r="R608" t="str" cm="1">
        <f t="array" aca="1" ref="R608" ca="1">IFERROR(INDIRECT("$P"&amp;Q608),"")</f>
        <v/>
      </c>
      <c r="U608" t="e" cm="1">
        <f t="array" ref="U608">INDEX($C$2:$D$40,MOD(ROW()-ROW($C$2),ROWS($C$2:$D$40))+1,INT((ROW()-ROW($C$2))/ROWS($C$2:$D$40))+1)</f>
        <v>#REF!</v>
      </c>
      <c r="V608" t="e">
        <f t="shared" ca="1" si="68"/>
        <v>#N/A</v>
      </c>
      <c r="W608" t="str" cm="1">
        <f t="array" aca="1" ref="W608" ca="1">IFERROR(INDIRECT("$U"&amp;V608),"")</f>
        <v/>
      </c>
      <c r="Z608" t="e" cm="1">
        <f t="array" ref="Z608">INDEX($AE$2:$AS$40,MOD(ROW()-ROW($AE$2),ROWS($AE$2:$AS$40))+1,INT((ROW()-ROW($AE$2))/ROWS($AE$2:$AS$40))+1)</f>
        <v>#REF!</v>
      </c>
      <c r="AA608" t="e">
        <f t="shared" ca="1" si="69"/>
        <v>#N/A</v>
      </c>
      <c r="AB608" t="str" cm="1">
        <f t="array" aca="1" ref="AB608" ca="1">IFERROR(INDIRECT("$Z"&amp;AA608),"")</f>
        <v/>
      </c>
      <c r="AP608" t="str">
        <f t="shared" si="63"/>
        <v/>
      </c>
      <c r="AQ608" t="str">
        <f t="shared" si="64"/>
        <v/>
      </c>
      <c r="AR608" t="str">
        <f t="shared" si="65"/>
        <v/>
      </c>
      <c r="AS608" t="str">
        <f t="shared" si="66"/>
        <v/>
      </c>
    </row>
    <row r="609" spans="5:45" x14ac:dyDescent="0.25">
      <c r="E609" t="str">
        <f ca="1"/>
        <v/>
      </c>
      <c r="F609" t="str">
        <f ca="1"/>
        <v/>
      </c>
      <c r="P609" t="e" cm="1">
        <f t="array" ref="P609">INDEX($B$2:$D$40,MOD(ROW()-ROW($B$2),ROWS($B$2:$D$40))+1,INT((ROW()-ROW($B$2))/ROWS($B$2:$D$40))+1)</f>
        <v>#REF!</v>
      </c>
      <c r="Q609" t="e">
        <f t="shared" ca="1" si="67"/>
        <v>#N/A</v>
      </c>
      <c r="R609" t="str" cm="1">
        <f t="array" aca="1" ref="R609" ca="1">IFERROR(INDIRECT("$P"&amp;Q609),"")</f>
        <v/>
      </c>
      <c r="U609" t="e" cm="1">
        <f t="array" ref="U609">INDEX($C$2:$D$40,MOD(ROW()-ROW($C$2),ROWS($C$2:$D$40))+1,INT((ROW()-ROW($C$2))/ROWS($C$2:$D$40))+1)</f>
        <v>#REF!</v>
      </c>
      <c r="V609" t="e">
        <f t="shared" ca="1" si="68"/>
        <v>#N/A</v>
      </c>
      <c r="W609" t="str" cm="1">
        <f t="array" aca="1" ref="W609" ca="1">IFERROR(INDIRECT("$U"&amp;V609),"")</f>
        <v/>
      </c>
      <c r="Z609" t="e" cm="1">
        <f t="array" ref="Z609">INDEX($AE$2:$AS$40,MOD(ROW()-ROW($AE$2),ROWS($AE$2:$AS$40))+1,INT((ROW()-ROW($AE$2))/ROWS($AE$2:$AS$40))+1)</f>
        <v>#REF!</v>
      </c>
      <c r="AA609" t="e">
        <f t="shared" ca="1" si="69"/>
        <v>#N/A</v>
      </c>
      <c r="AB609" t="str" cm="1">
        <f t="array" aca="1" ref="AB609" ca="1">IFERROR(INDIRECT("$Z"&amp;AA609),"")</f>
        <v/>
      </c>
      <c r="AP609" t="str">
        <f t="shared" si="63"/>
        <v/>
      </c>
      <c r="AQ609" t="str">
        <f t="shared" si="64"/>
        <v/>
      </c>
      <c r="AR609" t="str">
        <f t="shared" si="65"/>
        <v/>
      </c>
      <c r="AS609" t="str">
        <f t="shared" si="66"/>
        <v/>
      </c>
    </row>
    <row r="610" spans="5:45" x14ac:dyDescent="0.25">
      <c r="E610" t="str">
        <f ca="1"/>
        <v/>
      </c>
      <c r="F610" t="str">
        <f ca="1"/>
        <v/>
      </c>
      <c r="P610" t="e" cm="1">
        <f t="array" ref="P610">INDEX($B$2:$D$40,MOD(ROW()-ROW($B$2),ROWS($B$2:$D$40))+1,INT((ROW()-ROW($B$2))/ROWS($B$2:$D$40))+1)</f>
        <v>#REF!</v>
      </c>
      <c r="Q610" t="e">
        <f t="shared" ca="1" si="67"/>
        <v>#N/A</v>
      </c>
      <c r="R610" t="str" cm="1">
        <f t="array" aca="1" ref="R610" ca="1">IFERROR(INDIRECT("$P"&amp;Q610),"")</f>
        <v/>
      </c>
      <c r="U610" t="e" cm="1">
        <f t="array" ref="U610">INDEX($C$2:$D$40,MOD(ROW()-ROW($C$2),ROWS($C$2:$D$40))+1,INT((ROW()-ROW($C$2))/ROWS($C$2:$D$40))+1)</f>
        <v>#REF!</v>
      </c>
      <c r="V610" t="e">
        <f t="shared" ca="1" si="68"/>
        <v>#N/A</v>
      </c>
      <c r="W610" t="str" cm="1">
        <f t="array" aca="1" ref="W610" ca="1">IFERROR(INDIRECT("$U"&amp;V610),"")</f>
        <v/>
      </c>
      <c r="Z610" t="e" cm="1">
        <f t="array" ref="Z610">INDEX($AE$2:$AS$40,MOD(ROW()-ROW($AE$2),ROWS($AE$2:$AS$40))+1,INT((ROW()-ROW($AE$2))/ROWS($AE$2:$AS$40))+1)</f>
        <v>#REF!</v>
      </c>
      <c r="AA610" t="e">
        <f t="shared" ca="1" si="69"/>
        <v>#N/A</v>
      </c>
      <c r="AB610" t="str" cm="1">
        <f t="array" aca="1" ref="AB610" ca="1">IFERROR(INDIRECT("$Z"&amp;AA610),"")</f>
        <v/>
      </c>
      <c r="AP610" t="str">
        <f t="shared" si="63"/>
        <v/>
      </c>
      <c r="AQ610" t="str">
        <f t="shared" si="64"/>
        <v/>
      </c>
      <c r="AR610" t="str">
        <f t="shared" si="65"/>
        <v/>
      </c>
      <c r="AS610" t="str">
        <f t="shared" si="66"/>
        <v/>
      </c>
    </row>
    <row r="611" spans="5:45" x14ac:dyDescent="0.25">
      <c r="E611" t="str">
        <f ca="1"/>
        <v/>
      </c>
      <c r="F611" t="str">
        <f ca="1"/>
        <v/>
      </c>
      <c r="P611" t="e" cm="1">
        <f t="array" ref="P611">INDEX($B$2:$D$40,MOD(ROW()-ROW($B$2),ROWS($B$2:$D$40))+1,INT((ROW()-ROW($B$2))/ROWS($B$2:$D$40))+1)</f>
        <v>#REF!</v>
      </c>
      <c r="Q611" t="e">
        <f t="shared" ca="1" si="67"/>
        <v>#N/A</v>
      </c>
      <c r="R611" t="str" cm="1">
        <f t="array" aca="1" ref="R611" ca="1">IFERROR(INDIRECT("$P"&amp;Q611),"")</f>
        <v/>
      </c>
      <c r="U611" t="e" cm="1">
        <f t="array" ref="U611">INDEX($C$2:$D$40,MOD(ROW()-ROW($C$2),ROWS($C$2:$D$40))+1,INT((ROW()-ROW($C$2))/ROWS($C$2:$D$40))+1)</f>
        <v>#REF!</v>
      </c>
      <c r="V611" t="e">
        <f t="shared" ca="1" si="68"/>
        <v>#N/A</v>
      </c>
      <c r="W611" t="str" cm="1">
        <f t="array" aca="1" ref="W611" ca="1">IFERROR(INDIRECT("$U"&amp;V611),"")</f>
        <v/>
      </c>
      <c r="Z611" t="e" cm="1">
        <f t="array" ref="Z611">INDEX($AE$2:$AS$40,MOD(ROW()-ROW($AE$2),ROWS($AE$2:$AS$40))+1,INT((ROW()-ROW($AE$2))/ROWS($AE$2:$AS$40))+1)</f>
        <v>#REF!</v>
      </c>
      <c r="AA611" t="e">
        <f t="shared" ca="1" si="69"/>
        <v>#N/A</v>
      </c>
      <c r="AB611" t="str" cm="1">
        <f t="array" aca="1" ref="AB611" ca="1">IFERROR(INDIRECT("$Z"&amp;AA611),"")</f>
        <v/>
      </c>
      <c r="AP611" t="str">
        <f t="shared" si="63"/>
        <v/>
      </c>
      <c r="AQ611" t="str">
        <f t="shared" si="64"/>
        <v/>
      </c>
      <c r="AR611" t="str">
        <f t="shared" si="65"/>
        <v/>
      </c>
      <c r="AS611" t="str">
        <f t="shared" si="66"/>
        <v/>
      </c>
    </row>
    <row r="612" spans="5:45" x14ac:dyDescent="0.25">
      <c r="E612" t="str">
        <f ca="1"/>
        <v/>
      </c>
      <c r="F612" t="str">
        <f ca="1"/>
        <v/>
      </c>
      <c r="P612" t="e" cm="1">
        <f t="array" ref="P612">INDEX($B$2:$D$40,MOD(ROW()-ROW($B$2),ROWS($B$2:$D$40))+1,INT((ROW()-ROW($B$2))/ROWS($B$2:$D$40))+1)</f>
        <v>#REF!</v>
      </c>
      <c r="Q612" t="e">
        <f t="shared" ca="1" si="67"/>
        <v>#N/A</v>
      </c>
      <c r="R612" t="str" cm="1">
        <f t="array" aca="1" ref="R612" ca="1">IFERROR(INDIRECT("$P"&amp;Q612),"")</f>
        <v/>
      </c>
      <c r="U612" t="e" cm="1">
        <f t="array" ref="U612">INDEX($C$2:$D$40,MOD(ROW()-ROW($C$2),ROWS($C$2:$D$40))+1,INT((ROW()-ROW($C$2))/ROWS($C$2:$D$40))+1)</f>
        <v>#REF!</v>
      </c>
      <c r="V612" t="e">
        <f t="shared" ca="1" si="68"/>
        <v>#N/A</v>
      </c>
      <c r="W612" t="str" cm="1">
        <f t="array" aca="1" ref="W612" ca="1">IFERROR(INDIRECT("$U"&amp;V612),"")</f>
        <v/>
      </c>
      <c r="Z612" t="e" cm="1">
        <f t="array" ref="Z612">INDEX($AE$2:$AS$40,MOD(ROW()-ROW($AE$2),ROWS($AE$2:$AS$40))+1,INT((ROW()-ROW($AE$2))/ROWS($AE$2:$AS$40))+1)</f>
        <v>#REF!</v>
      </c>
      <c r="AA612" t="e">
        <f t="shared" ca="1" si="69"/>
        <v>#N/A</v>
      </c>
      <c r="AB612" t="str" cm="1">
        <f t="array" aca="1" ref="AB612" ca="1">IFERROR(INDIRECT("$Z"&amp;AA612),"")</f>
        <v/>
      </c>
      <c r="AP612" t="str">
        <f t="shared" si="63"/>
        <v/>
      </c>
      <c r="AQ612" t="str">
        <f t="shared" si="64"/>
        <v/>
      </c>
      <c r="AR612" t="str">
        <f t="shared" si="65"/>
        <v/>
      </c>
      <c r="AS612" t="str">
        <f t="shared" si="66"/>
        <v/>
      </c>
    </row>
    <row r="613" spans="5:45" x14ac:dyDescent="0.25">
      <c r="E613" t="str">
        <f ca="1"/>
        <v/>
      </c>
      <c r="F613" t="str">
        <f ca="1"/>
        <v/>
      </c>
      <c r="P613" t="e" cm="1">
        <f t="array" ref="P613">INDEX($B$2:$D$40,MOD(ROW()-ROW($B$2),ROWS($B$2:$D$40))+1,INT((ROW()-ROW($B$2))/ROWS($B$2:$D$40))+1)</f>
        <v>#REF!</v>
      </c>
      <c r="Q613" t="e">
        <f t="shared" ca="1" si="67"/>
        <v>#N/A</v>
      </c>
      <c r="R613" t="str" cm="1">
        <f t="array" aca="1" ref="R613" ca="1">IFERROR(INDIRECT("$P"&amp;Q613),"")</f>
        <v/>
      </c>
      <c r="U613" t="e" cm="1">
        <f t="array" ref="U613">INDEX($C$2:$D$40,MOD(ROW()-ROW($C$2),ROWS($C$2:$D$40))+1,INT((ROW()-ROW($C$2))/ROWS($C$2:$D$40))+1)</f>
        <v>#REF!</v>
      </c>
      <c r="V613" t="e">
        <f t="shared" ca="1" si="68"/>
        <v>#N/A</v>
      </c>
      <c r="W613" t="str" cm="1">
        <f t="array" aca="1" ref="W613" ca="1">IFERROR(INDIRECT("$U"&amp;V613),"")</f>
        <v/>
      </c>
      <c r="Z613" t="e" cm="1">
        <f t="array" ref="Z613">INDEX($AE$2:$AS$40,MOD(ROW()-ROW($AE$2),ROWS($AE$2:$AS$40))+1,INT((ROW()-ROW($AE$2))/ROWS($AE$2:$AS$40))+1)</f>
        <v>#REF!</v>
      </c>
      <c r="AA613" t="e">
        <f t="shared" ca="1" si="69"/>
        <v>#N/A</v>
      </c>
      <c r="AB613" t="str" cm="1">
        <f t="array" aca="1" ref="AB613" ca="1">IFERROR(INDIRECT("$Z"&amp;AA613),"")</f>
        <v/>
      </c>
      <c r="AP613" t="str">
        <f t="shared" si="63"/>
        <v/>
      </c>
      <c r="AQ613" t="str">
        <f t="shared" si="64"/>
        <v/>
      </c>
      <c r="AR613" t="str">
        <f t="shared" si="65"/>
        <v/>
      </c>
      <c r="AS613" t="str">
        <f t="shared" si="66"/>
        <v/>
      </c>
    </row>
    <row r="614" spans="5:45" x14ac:dyDescent="0.25">
      <c r="E614" t="str">
        <f ca="1"/>
        <v/>
      </c>
      <c r="F614" t="str">
        <f ca="1"/>
        <v/>
      </c>
      <c r="P614" t="e" cm="1">
        <f t="array" ref="P614">INDEX($B$2:$D$40,MOD(ROW()-ROW($B$2),ROWS($B$2:$D$40))+1,INT((ROW()-ROW($B$2))/ROWS($B$2:$D$40))+1)</f>
        <v>#REF!</v>
      </c>
      <c r="Q614" t="e">
        <f t="shared" ca="1" si="67"/>
        <v>#N/A</v>
      </c>
      <c r="R614" t="str" cm="1">
        <f t="array" aca="1" ref="R614" ca="1">IFERROR(INDIRECT("$P"&amp;Q614),"")</f>
        <v/>
      </c>
      <c r="U614" t="e" cm="1">
        <f t="array" ref="U614">INDEX($C$2:$D$40,MOD(ROW()-ROW($C$2),ROWS($C$2:$D$40))+1,INT((ROW()-ROW($C$2))/ROWS($C$2:$D$40))+1)</f>
        <v>#REF!</v>
      </c>
      <c r="V614" t="e">
        <f t="shared" ca="1" si="68"/>
        <v>#N/A</v>
      </c>
      <c r="W614" t="str" cm="1">
        <f t="array" aca="1" ref="W614" ca="1">IFERROR(INDIRECT("$U"&amp;V614),"")</f>
        <v/>
      </c>
      <c r="Z614" t="e" cm="1">
        <f t="array" ref="Z614">INDEX($AE$2:$AS$40,MOD(ROW()-ROW($AE$2),ROWS($AE$2:$AS$40))+1,INT((ROW()-ROW($AE$2))/ROWS($AE$2:$AS$40))+1)</f>
        <v>#REF!</v>
      </c>
      <c r="AA614" t="e">
        <f t="shared" ca="1" si="69"/>
        <v>#N/A</v>
      </c>
      <c r="AB614" t="str" cm="1">
        <f t="array" aca="1" ref="AB614" ca="1">IFERROR(INDIRECT("$Z"&amp;AA614),"")</f>
        <v/>
      </c>
      <c r="AP614" t="str">
        <f t="shared" si="63"/>
        <v/>
      </c>
      <c r="AQ614" t="str">
        <f t="shared" si="64"/>
        <v/>
      </c>
      <c r="AR614" t="str">
        <f t="shared" si="65"/>
        <v/>
      </c>
      <c r="AS614" t="str">
        <f t="shared" si="66"/>
        <v/>
      </c>
    </row>
    <row r="615" spans="5:45" x14ac:dyDescent="0.25">
      <c r="E615" t="str">
        <f ca="1"/>
        <v/>
      </c>
      <c r="F615" t="str">
        <f ca="1"/>
        <v/>
      </c>
      <c r="P615" t="e" cm="1">
        <f t="array" ref="P615">INDEX($B$2:$D$40,MOD(ROW()-ROW($B$2),ROWS($B$2:$D$40))+1,INT((ROW()-ROW($B$2))/ROWS($B$2:$D$40))+1)</f>
        <v>#REF!</v>
      </c>
      <c r="Q615" t="e">
        <f t="shared" ca="1" si="67"/>
        <v>#N/A</v>
      </c>
      <c r="R615" t="str" cm="1">
        <f t="array" aca="1" ref="R615" ca="1">IFERROR(INDIRECT("$P"&amp;Q615),"")</f>
        <v/>
      </c>
      <c r="U615" t="e" cm="1">
        <f t="array" ref="U615">INDEX($C$2:$D$40,MOD(ROW()-ROW($C$2),ROWS($C$2:$D$40))+1,INT((ROW()-ROW($C$2))/ROWS($C$2:$D$40))+1)</f>
        <v>#REF!</v>
      </c>
      <c r="V615" t="e">
        <f t="shared" ca="1" si="68"/>
        <v>#N/A</v>
      </c>
      <c r="W615" t="str" cm="1">
        <f t="array" aca="1" ref="W615" ca="1">IFERROR(INDIRECT("$U"&amp;V615),"")</f>
        <v/>
      </c>
      <c r="Z615" t="e" cm="1">
        <f t="array" ref="Z615">INDEX($AE$2:$AS$40,MOD(ROW()-ROW($AE$2),ROWS($AE$2:$AS$40))+1,INT((ROW()-ROW($AE$2))/ROWS($AE$2:$AS$40))+1)</f>
        <v>#REF!</v>
      </c>
      <c r="AA615" t="e">
        <f t="shared" ca="1" si="69"/>
        <v>#N/A</v>
      </c>
      <c r="AB615" t="str" cm="1">
        <f t="array" aca="1" ref="AB615" ca="1">IFERROR(INDIRECT("$Z"&amp;AA615),"")</f>
        <v/>
      </c>
      <c r="AP615" t="str">
        <f t="shared" si="63"/>
        <v/>
      </c>
      <c r="AQ615" t="str">
        <f t="shared" si="64"/>
        <v/>
      </c>
      <c r="AR615" t="str">
        <f t="shared" si="65"/>
        <v/>
      </c>
      <c r="AS615" t="str">
        <f t="shared" si="66"/>
        <v/>
      </c>
    </row>
    <row r="616" spans="5:45" x14ac:dyDescent="0.25">
      <c r="E616" t="str">
        <f ca="1"/>
        <v/>
      </c>
      <c r="F616" t="str">
        <f ca="1"/>
        <v/>
      </c>
      <c r="P616" t="e" cm="1">
        <f t="array" ref="P616">INDEX($B$2:$D$40,MOD(ROW()-ROW($B$2),ROWS($B$2:$D$40))+1,INT((ROW()-ROW($B$2))/ROWS($B$2:$D$40))+1)</f>
        <v>#REF!</v>
      </c>
      <c r="Q616" t="e">
        <f t="shared" ca="1" si="67"/>
        <v>#N/A</v>
      </c>
      <c r="R616" t="str" cm="1">
        <f t="array" aca="1" ref="R616" ca="1">IFERROR(INDIRECT("$P"&amp;Q616),"")</f>
        <v/>
      </c>
      <c r="U616" t="e" cm="1">
        <f t="array" ref="U616">INDEX($C$2:$D$40,MOD(ROW()-ROW($C$2),ROWS($C$2:$D$40))+1,INT((ROW()-ROW($C$2))/ROWS($C$2:$D$40))+1)</f>
        <v>#REF!</v>
      </c>
      <c r="V616" t="e">
        <f t="shared" ca="1" si="68"/>
        <v>#N/A</v>
      </c>
      <c r="W616" t="str" cm="1">
        <f t="array" aca="1" ref="W616" ca="1">IFERROR(INDIRECT("$U"&amp;V616),"")</f>
        <v/>
      </c>
      <c r="Z616" t="e" cm="1">
        <f t="array" ref="Z616">INDEX($AE$2:$AS$40,MOD(ROW()-ROW($AE$2),ROWS($AE$2:$AS$40))+1,INT((ROW()-ROW($AE$2))/ROWS($AE$2:$AS$40))+1)</f>
        <v>#REF!</v>
      </c>
      <c r="AA616" t="e">
        <f t="shared" ca="1" si="69"/>
        <v>#N/A</v>
      </c>
      <c r="AB616" t="str" cm="1">
        <f t="array" aca="1" ref="AB616" ca="1">IFERROR(INDIRECT("$Z"&amp;AA616),"")</f>
        <v/>
      </c>
      <c r="AP616" t="str">
        <f t="shared" si="63"/>
        <v/>
      </c>
      <c r="AQ616" t="str">
        <f t="shared" si="64"/>
        <v/>
      </c>
      <c r="AR616" t="str">
        <f t="shared" si="65"/>
        <v/>
      </c>
      <c r="AS616" t="str">
        <f t="shared" si="66"/>
        <v/>
      </c>
    </row>
    <row r="617" spans="5:45" x14ac:dyDescent="0.25">
      <c r="E617" t="str">
        <f ca="1"/>
        <v/>
      </c>
      <c r="F617" t="str">
        <f ca="1"/>
        <v/>
      </c>
      <c r="P617" t="e" cm="1">
        <f t="array" ref="P617">INDEX($B$2:$D$40,MOD(ROW()-ROW($B$2),ROWS($B$2:$D$40))+1,INT((ROW()-ROW($B$2))/ROWS($B$2:$D$40))+1)</f>
        <v>#REF!</v>
      </c>
      <c r="Q617" t="e">
        <f t="shared" ca="1" si="67"/>
        <v>#N/A</v>
      </c>
      <c r="R617" t="str" cm="1">
        <f t="array" aca="1" ref="R617" ca="1">IFERROR(INDIRECT("$P"&amp;Q617),"")</f>
        <v/>
      </c>
      <c r="U617" t="e" cm="1">
        <f t="array" ref="U617">INDEX($C$2:$D$40,MOD(ROW()-ROW($C$2),ROWS($C$2:$D$40))+1,INT((ROW()-ROW($C$2))/ROWS($C$2:$D$40))+1)</f>
        <v>#REF!</v>
      </c>
      <c r="V617" t="e">
        <f t="shared" ca="1" si="68"/>
        <v>#N/A</v>
      </c>
      <c r="W617" t="str" cm="1">
        <f t="array" aca="1" ref="W617" ca="1">IFERROR(INDIRECT("$U"&amp;V617),"")</f>
        <v/>
      </c>
      <c r="Z617" t="e" cm="1">
        <f t="array" ref="Z617">INDEX($AE$2:$AS$40,MOD(ROW()-ROW($AE$2),ROWS($AE$2:$AS$40))+1,INT((ROW()-ROW($AE$2))/ROWS($AE$2:$AS$40))+1)</f>
        <v>#REF!</v>
      </c>
      <c r="AA617" t="e">
        <f t="shared" ca="1" si="69"/>
        <v>#N/A</v>
      </c>
      <c r="AB617" t="str" cm="1">
        <f t="array" aca="1" ref="AB617" ca="1">IFERROR(INDIRECT("$Z"&amp;AA617),"")</f>
        <v/>
      </c>
      <c r="AP617" t="str">
        <f t="shared" si="63"/>
        <v/>
      </c>
      <c r="AQ617" t="str">
        <f t="shared" si="64"/>
        <v/>
      </c>
      <c r="AR617" t="str">
        <f t="shared" si="65"/>
        <v/>
      </c>
      <c r="AS617" t="str">
        <f t="shared" si="66"/>
        <v/>
      </c>
    </row>
    <row r="618" spans="5:45" x14ac:dyDescent="0.25">
      <c r="E618" t="str">
        <f ca="1"/>
        <v/>
      </c>
      <c r="F618" t="str">
        <f ca="1"/>
        <v/>
      </c>
      <c r="P618" t="e" cm="1">
        <f t="array" ref="P618">INDEX($B$2:$D$40,MOD(ROW()-ROW($B$2),ROWS($B$2:$D$40))+1,INT((ROW()-ROW($B$2))/ROWS($B$2:$D$40))+1)</f>
        <v>#REF!</v>
      </c>
      <c r="Q618" t="e">
        <f t="shared" ca="1" si="67"/>
        <v>#N/A</v>
      </c>
      <c r="R618" t="str" cm="1">
        <f t="array" aca="1" ref="R618" ca="1">IFERROR(INDIRECT("$P"&amp;Q618),"")</f>
        <v/>
      </c>
      <c r="U618" t="e" cm="1">
        <f t="array" ref="U618">INDEX($C$2:$D$40,MOD(ROW()-ROW($C$2),ROWS($C$2:$D$40))+1,INT((ROW()-ROW($C$2))/ROWS($C$2:$D$40))+1)</f>
        <v>#REF!</v>
      </c>
      <c r="V618" t="e">
        <f t="shared" ca="1" si="68"/>
        <v>#N/A</v>
      </c>
      <c r="W618" t="str" cm="1">
        <f t="array" aca="1" ref="W618" ca="1">IFERROR(INDIRECT("$U"&amp;V618),"")</f>
        <v/>
      </c>
      <c r="Z618" t="e" cm="1">
        <f t="array" ref="Z618">INDEX($AE$2:$AS$40,MOD(ROW()-ROW($AE$2),ROWS($AE$2:$AS$40))+1,INT((ROW()-ROW($AE$2))/ROWS($AE$2:$AS$40))+1)</f>
        <v>#REF!</v>
      </c>
      <c r="AA618" t="e">
        <f t="shared" ca="1" si="69"/>
        <v>#N/A</v>
      </c>
      <c r="AB618" t="str" cm="1">
        <f t="array" aca="1" ref="AB618" ca="1">IFERROR(INDIRECT("$Z"&amp;AA618),"")</f>
        <v/>
      </c>
      <c r="AP618" t="str">
        <f t="shared" si="63"/>
        <v/>
      </c>
      <c r="AQ618" t="str">
        <f t="shared" si="64"/>
        <v/>
      </c>
      <c r="AR618" t="str">
        <f t="shared" si="65"/>
        <v/>
      </c>
      <c r="AS618" t="str">
        <f t="shared" si="66"/>
        <v/>
      </c>
    </row>
    <row r="619" spans="5:45" x14ac:dyDescent="0.25">
      <c r="E619" t="str">
        <f ca="1"/>
        <v/>
      </c>
      <c r="F619" t="str">
        <f ca="1"/>
        <v/>
      </c>
      <c r="P619" t="e" cm="1">
        <f t="array" ref="P619">INDEX($B$2:$D$40,MOD(ROW()-ROW($B$2),ROWS($B$2:$D$40))+1,INT((ROW()-ROW($B$2))/ROWS($B$2:$D$40))+1)</f>
        <v>#REF!</v>
      </c>
      <c r="Q619" t="e">
        <f t="shared" ca="1" si="67"/>
        <v>#N/A</v>
      </c>
      <c r="R619" t="str" cm="1">
        <f t="array" aca="1" ref="R619" ca="1">IFERROR(INDIRECT("$P"&amp;Q619),"")</f>
        <v/>
      </c>
      <c r="U619" t="e" cm="1">
        <f t="array" ref="U619">INDEX($C$2:$D$40,MOD(ROW()-ROW($C$2),ROWS($C$2:$D$40))+1,INT((ROW()-ROW($C$2))/ROWS($C$2:$D$40))+1)</f>
        <v>#REF!</v>
      </c>
      <c r="V619" t="e">
        <f t="shared" ca="1" si="68"/>
        <v>#N/A</v>
      </c>
      <c r="W619" t="str" cm="1">
        <f t="array" aca="1" ref="W619" ca="1">IFERROR(INDIRECT("$U"&amp;V619),"")</f>
        <v/>
      </c>
      <c r="Z619" t="e" cm="1">
        <f t="array" ref="Z619">INDEX($AE$2:$AS$40,MOD(ROW()-ROW($AE$2),ROWS($AE$2:$AS$40))+1,INT((ROW()-ROW($AE$2))/ROWS($AE$2:$AS$40))+1)</f>
        <v>#REF!</v>
      </c>
      <c r="AA619" t="e">
        <f t="shared" ca="1" si="69"/>
        <v>#N/A</v>
      </c>
      <c r="AB619" t="str" cm="1">
        <f t="array" aca="1" ref="AB619" ca="1">IFERROR(INDIRECT("$Z"&amp;AA619),"")</f>
        <v/>
      </c>
      <c r="AP619" t="str">
        <f t="shared" si="63"/>
        <v/>
      </c>
      <c r="AQ619" t="str">
        <f t="shared" si="64"/>
        <v/>
      </c>
      <c r="AR619" t="str">
        <f t="shared" si="65"/>
        <v/>
      </c>
      <c r="AS619" t="str">
        <f t="shared" si="66"/>
        <v/>
      </c>
    </row>
    <row r="620" spans="5:45" x14ac:dyDescent="0.25">
      <c r="E620" t="str">
        <f ca="1"/>
        <v/>
      </c>
      <c r="F620" t="str">
        <f ca="1"/>
        <v/>
      </c>
      <c r="P620" t="e" cm="1">
        <f t="array" ref="P620">INDEX($B$2:$D$40,MOD(ROW()-ROW($B$2),ROWS($B$2:$D$40))+1,INT((ROW()-ROW($B$2))/ROWS($B$2:$D$40))+1)</f>
        <v>#REF!</v>
      </c>
      <c r="Q620" t="e">
        <f t="shared" ca="1" si="67"/>
        <v>#N/A</v>
      </c>
      <c r="R620" t="str" cm="1">
        <f t="array" aca="1" ref="R620" ca="1">IFERROR(INDIRECT("$P"&amp;Q620),"")</f>
        <v/>
      </c>
      <c r="U620" t="e" cm="1">
        <f t="array" ref="U620">INDEX($C$2:$D$40,MOD(ROW()-ROW($C$2),ROWS($C$2:$D$40))+1,INT((ROW()-ROW($C$2))/ROWS($C$2:$D$40))+1)</f>
        <v>#REF!</v>
      </c>
      <c r="V620" t="e">
        <f t="shared" ca="1" si="68"/>
        <v>#N/A</v>
      </c>
      <c r="W620" t="str" cm="1">
        <f t="array" aca="1" ref="W620" ca="1">IFERROR(INDIRECT("$U"&amp;V620),"")</f>
        <v/>
      </c>
      <c r="Z620" t="e" cm="1">
        <f t="array" ref="Z620">INDEX($AE$2:$AS$40,MOD(ROW()-ROW($AE$2),ROWS($AE$2:$AS$40))+1,INT((ROW()-ROW($AE$2))/ROWS($AE$2:$AS$40))+1)</f>
        <v>#REF!</v>
      </c>
      <c r="AA620" t="e">
        <f t="shared" ca="1" si="69"/>
        <v>#N/A</v>
      </c>
      <c r="AB620" t="str" cm="1">
        <f t="array" aca="1" ref="AB620" ca="1">IFERROR(INDIRECT("$Z"&amp;AA620),"")</f>
        <v/>
      </c>
      <c r="AP620" t="str">
        <f t="shared" si="63"/>
        <v/>
      </c>
      <c r="AQ620" t="str">
        <f t="shared" si="64"/>
        <v/>
      </c>
      <c r="AR620" t="str">
        <f t="shared" si="65"/>
        <v/>
      </c>
      <c r="AS620" t="str">
        <f t="shared" si="66"/>
        <v/>
      </c>
    </row>
    <row r="621" spans="5:45" x14ac:dyDescent="0.25">
      <c r="E621" t="str">
        <f ca="1"/>
        <v/>
      </c>
      <c r="F621" t="str">
        <f ca="1"/>
        <v/>
      </c>
      <c r="P621" t="e" cm="1">
        <f t="array" ref="P621">INDEX($B$2:$D$40,MOD(ROW()-ROW($B$2),ROWS($B$2:$D$40))+1,INT((ROW()-ROW($B$2))/ROWS($B$2:$D$40))+1)</f>
        <v>#REF!</v>
      </c>
      <c r="Q621" t="e">
        <f t="shared" ca="1" si="67"/>
        <v>#N/A</v>
      </c>
      <c r="R621" t="str" cm="1">
        <f t="array" aca="1" ref="R621" ca="1">IFERROR(INDIRECT("$P"&amp;Q621),"")</f>
        <v/>
      </c>
      <c r="U621" t="e" cm="1">
        <f t="array" ref="U621">INDEX($C$2:$D$40,MOD(ROW()-ROW($C$2),ROWS($C$2:$D$40))+1,INT((ROW()-ROW($C$2))/ROWS($C$2:$D$40))+1)</f>
        <v>#REF!</v>
      </c>
      <c r="V621" t="e">
        <f t="shared" ca="1" si="68"/>
        <v>#N/A</v>
      </c>
      <c r="W621" t="str" cm="1">
        <f t="array" aca="1" ref="W621" ca="1">IFERROR(INDIRECT("$U"&amp;V621),"")</f>
        <v/>
      </c>
      <c r="Z621" t="e" cm="1">
        <f t="array" ref="Z621">INDEX($AE$2:$AS$40,MOD(ROW()-ROW($AE$2),ROWS($AE$2:$AS$40))+1,INT((ROW()-ROW($AE$2))/ROWS($AE$2:$AS$40))+1)</f>
        <v>#REF!</v>
      </c>
      <c r="AA621" t="e">
        <f t="shared" ca="1" si="69"/>
        <v>#N/A</v>
      </c>
      <c r="AB621" t="str" cm="1">
        <f t="array" aca="1" ref="AB621" ca="1">IFERROR(INDIRECT("$Z"&amp;AA621),"")</f>
        <v/>
      </c>
      <c r="AP621" t="str">
        <f t="shared" si="63"/>
        <v/>
      </c>
      <c r="AQ621" t="str">
        <f t="shared" si="64"/>
        <v/>
      </c>
      <c r="AR621" t="str">
        <f t="shared" si="65"/>
        <v/>
      </c>
      <c r="AS621" t="str">
        <f t="shared" si="66"/>
        <v/>
      </c>
    </row>
    <row r="622" spans="5:45" x14ac:dyDescent="0.25">
      <c r="E622" t="str">
        <f ca="1"/>
        <v/>
      </c>
      <c r="F622" t="str">
        <f ca="1"/>
        <v/>
      </c>
      <c r="P622" t="e" cm="1">
        <f t="array" ref="P622">INDEX($B$2:$D$40,MOD(ROW()-ROW($B$2),ROWS($B$2:$D$40))+1,INT((ROW()-ROW($B$2))/ROWS($B$2:$D$40))+1)</f>
        <v>#REF!</v>
      </c>
      <c r="Q622" t="e">
        <f t="shared" ca="1" si="67"/>
        <v>#N/A</v>
      </c>
      <c r="R622" t="str" cm="1">
        <f t="array" aca="1" ref="R622" ca="1">IFERROR(INDIRECT("$P"&amp;Q622),"")</f>
        <v/>
      </c>
      <c r="U622" t="e" cm="1">
        <f t="array" ref="U622">INDEX($C$2:$D$40,MOD(ROW()-ROW($C$2),ROWS($C$2:$D$40))+1,INT((ROW()-ROW($C$2))/ROWS($C$2:$D$40))+1)</f>
        <v>#REF!</v>
      </c>
      <c r="V622" t="e">
        <f t="shared" ca="1" si="68"/>
        <v>#N/A</v>
      </c>
      <c r="W622" t="str" cm="1">
        <f t="array" aca="1" ref="W622" ca="1">IFERROR(INDIRECT("$U"&amp;V622),"")</f>
        <v/>
      </c>
      <c r="Z622" t="e" cm="1">
        <f t="array" ref="Z622">INDEX($AE$2:$AS$40,MOD(ROW()-ROW($AE$2),ROWS($AE$2:$AS$40))+1,INT((ROW()-ROW($AE$2))/ROWS($AE$2:$AS$40))+1)</f>
        <v>#REF!</v>
      </c>
      <c r="AA622" t="e">
        <f t="shared" ca="1" si="69"/>
        <v>#N/A</v>
      </c>
      <c r="AB622" t="str" cm="1">
        <f t="array" aca="1" ref="AB622" ca="1">IFERROR(INDIRECT("$Z"&amp;AA622),"")</f>
        <v/>
      </c>
      <c r="AP622" t="str">
        <f t="shared" si="63"/>
        <v/>
      </c>
      <c r="AQ622" t="str">
        <f t="shared" si="64"/>
        <v/>
      </c>
      <c r="AR622" t="str">
        <f t="shared" si="65"/>
        <v/>
      </c>
      <c r="AS622" t="str">
        <f t="shared" si="66"/>
        <v/>
      </c>
    </row>
    <row r="623" spans="5:45" x14ac:dyDescent="0.25">
      <c r="E623" t="str">
        <f ca="1"/>
        <v/>
      </c>
      <c r="F623" t="str">
        <f ca="1"/>
        <v/>
      </c>
      <c r="P623" t="e" cm="1">
        <f t="array" ref="P623">INDEX($B$2:$D$40,MOD(ROW()-ROW($B$2),ROWS($B$2:$D$40))+1,INT((ROW()-ROW($B$2))/ROWS($B$2:$D$40))+1)</f>
        <v>#REF!</v>
      </c>
      <c r="Q623" t="e">
        <f t="shared" ca="1" si="67"/>
        <v>#N/A</v>
      </c>
      <c r="R623" t="str" cm="1">
        <f t="array" aca="1" ref="R623" ca="1">IFERROR(INDIRECT("$P"&amp;Q623),"")</f>
        <v/>
      </c>
      <c r="U623" t="e" cm="1">
        <f t="array" ref="U623">INDEX($C$2:$D$40,MOD(ROW()-ROW($C$2),ROWS($C$2:$D$40))+1,INT((ROW()-ROW($C$2))/ROWS($C$2:$D$40))+1)</f>
        <v>#REF!</v>
      </c>
      <c r="V623" t="e">
        <f t="shared" ca="1" si="68"/>
        <v>#N/A</v>
      </c>
      <c r="W623" t="str" cm="1">
        <f t="array" aca="1" ref="W623" ca="1">IFERROR(INDIRECT("$U"&amp;V623),"")</f>
        <v/>
      </c>
      <c r="Z623" t="e" cm="1">
        <f t="array" ref="Z623">INDEX($AE$2:$AS$40,MOD(ROW()-ROW($AE$2),ROWS($AE$2:$AS$40))+1,INT((ROW()-ROW($AE$2))/ROWS($AE$2:$AS$40))+1)</f>
        <v>#REF!</v>
      </c>
      <c r="AA623" t="e">
        <f t="shared" ca="1" si="69"/>
        <v>#N/A</v>
      </c>
      <c r="AB623" t="str" cm="1">
        <f t="array" aca="1" ref="AB623" ca="1">IFERROR(INDIRECT("$Z"&amp;AA623),"")</f>
        <v/>
      </c>
      <c r="AP623" t="str">
        <f t="shared" si="63"/>
        <v/>
      </c>
      <c r="AQ623" t="str">
        <f t="shared" si="64"/>
        <v/>
      </c>
      <c r="AR623" t="str">
        <f t="shared" si="65"/>
        <v/>
      </c>
      <c r="AS623" t="str">
        <f t="shared" si="66"/>
        <v/>
      </c>
    </row>
    <row r="624" spans="5:45" x14ac:dyDescent="0.25">
      <c r="E624" t="str">
        <f ca="1"/>
        <v/>
      </c>
      <c r="F624" t="str">
        <f ca="1"/>
        <v/>
      </c>
      <c r="P624" t="e" cm="1">
        <f t="array" ref="P624">INDEX($B$2:$D$40,MOD(ROW()-ROW($B$2),ROWS($B$2:$D$40))+1,INT((ROW()-ROW($B$2))/ROWS($B$2:$D$40))+1)</f>
        <v>#REF!</v>
      </c>
      <c r="Q624" t="e">
        <f t="shared" ca="1" si="67"/>
        <v>#N/A</v>
      </c>
      <c r="R624" t="str" cm="1">
        <f t="array" aca="1" ref="R624" ca="1">IFERROR(INDIRECT("$P"&amp;Q624),"")</f>
        <v/>
      </c>
      <c r="U624" t="e" cm="1">
        <f t="array" ref="U624">INDEX($C$2:$D$40,MOD(ROW()-ROW($C$2),ROWS($C$2:$D$40))+1,INT((ROW()-ROW($C$2))/ROWS($C$2:$D$40))+1)</f>
        <v>#REF!</v>
      </c>
      <c r="V624" t="e">
        <f t="shared" ca="1" si="68"/>
        <v>#N/A</v>
      </c>
      <c r="W624" t="str" cm="1">
        <f t="array" aca="1" ref="W624" ca="1">IFERROR(INDIRECT("$U"&amp;V624),"")</f>
        <v/>
      </c>
      <c r="Z624" t="e" cm="1">
        <f t="array" ref="Z624">INDEX($AE$2:$AS$40,MOD(ROW()-ROW($AE$2),ROWS($AE$2:$AS$40))+1,INT((ROW()-ROW($AE$2))/ROWS($AE$2:$AS$40))+1)</f>
        <v>#REF!</v>
      </c>
      <c r="AA624" t="e">
        <f t="shared" ca="1" si="69"/>
        <v>#N/A</v>
      </c>
      <c r="AB624" t="str" cm="1">
        <f t="array" aca="1" ref="AB624" ca="1">IFERROR(INDIRECT("$Z"&amp;AA624),"")</f>
        <v/>
      </c>
      <c r="AP624" t="str">
        <f t="shared" si="63"/>
        <v/>
      </c>
      <c r="AQ624" t="str">
        <f t="shared" si="64"/>
        <v/>
      </c>
      <c r="AR624" t="str">
        <f t="shared" si="65"/>
        <v/>
      </c>
      <c r="AS624" t="str">
        <f t="shared" si="66"/>
        <v/>
      </c>
    </row>
    <row r="625" spans="5:45" x14ac:dyDescent="0.25">
      <c r="E625" t="str">
        <f ca="1"/>
        <v/>
      </c>
      <c r="F625" t="str">
        <f ca="1"/>
        <v/>
      </c>
      <c r="P625" t="e" cm="1">
        <f t="array" ref="P625">INDEX($B$2:$D$40,MOD(ROW()-ROW($B$2),ROWS($B$2:$D$40))+1,INT((ROW()-ROW($B$2))/ROWS($B$2:$D$40))+1)</f>
        <v>#REF!</v>
      </c>
      <c r="Q625" t="e">
        <f t="shared" ca="1" si="67"/>
        <v>#N/A</v>
      </c>
      <c r="R625" t="str" cm="1">
        <f t="array" aca="1" ref="R625" ca="1">IFERROR(INDIRECT("$P"&amp;Q625),"")</f>
        <v/>
      </c>
      <c r="U625" t="e" cm="1">
        <f t="array" ref="U625">INDEX($C$2:$D$40,MOD(ROW()-ROW($C$2),ROWS($C$2:$D$40))+1,INT((ROW()-ROW($C$2))/ROWS($C$2:$D$40))+1)</f>
        <v>#REF!</v>
      </c>
      <c r="V625" t="e">
        <f t="shared" ca="1" si="68"/>
        <v>#N/A</v>
      </c>
      <c r="W625" t="str" cm="1">
        <f t="array" aca="1" ref="W625" ca="1">IFERROR(INDIRECT("$U"&amp;V625),"")</f>
        <v/>
      </c>
      <c r="Z625" t="e" cm="1">
        <f t="array" ref="Z625">INDEX($AE$2:$AS$40,MOD(ROW()-ROW($AE$2),ROWS($AE$2:$AS$40))+1,INT((ROW()-ROW($AE$2))/ROWS($AE$2:$AS$40))+1)</f>
        <v>#REF!</v>
      </c>
      <c r="AA625" t="e">
        <f t="shared" ca="1" si="69"/>
        <v>#N/A</v>
      </c>
      <c r="AB625" t="str" cm="1">
        <f t="array" aca="1" ref="AB625" ca="1">IFERROR(INDIRECT("$Z"&amp;AA625),"")</f>
        <v/>
      </c>
      <c r="AP625" t="str">
        <f t="shared" si="63"/>
        <v/>
      </c>
      <c r="AQ625" t="str">
        <f t="shared" si="64"/>
        <v/>
      </c>
      <c r="AR625" t="str">
        <f t="shared" si="65"/>
        <v/>
      </c>
      <c r="AS625" t="str">
        <f t="shared" si="66"/>
        <v/>
      </c>
    </row>
    <row r="626" spans="5:45" x14ac:dyDescent="0.25">
      <c r="E626" t="str">
        <f ca="1"/>
        <v/>
      </c>
      <c r="F626" t="str">
        <f ca="1"/>
        <v/>
      </c>
      <c r="P626" t="e" cm="1">
        <f t="array" ref="P626">INDEX($B$2:$D$40,MOD(ROW()-ROW($B$2),ROWS($B$2:$D$40))+1,INT((ROW()-ROW($B$2))/ROWS($B$2:$D$40))+1)</f>
        <v>#REF!</v>
      </c>
      <c r="Q626" t="e">
        <f t="shared" ca="1" si="67"/>
        <v>#N/A</v>
      </c>
      <c r="R626" t="str" cm="1">
        <f t="array" aca="1" ref="R626" ca="1">IFERROR(INDIRECT("$P"&amp;Q626),"")</f>
        <v/>
      </c>
      <c r="U626" t="e" cm="1">
        <f t="array" ref="U626">INDEX($C$2:$D$40,MOD(ROW()-ROW($C$2),ROWS($C$2:$D$40))+1,INT((ROW()-ROW($C$2))/ROWS($C$2:$D$40))+1)</f>
        <v>#REF!</v>
      </c>
      <c r="V626" t="e">
        <f t="shared" ca="1" si="68"/>
        <v>#N/A</v>
      </c>
      <c r="W626" t="str" cm="1">
        <f t="array" aca="1" ref="W626" ca="1">IFERROR(INDIRECT("$U"&amp;V626),"")</f>
        <v/>
      </c>
      <c r="Z626" t="e" cm="1">
        <f t="array" ref="Z626">INDEX($AE$2:$AS$40,MOD(ROW()-ROW($AE$2),ROWS($AE$2:$AS$40))+1,INT((ROW()-ROW($AE$2))/ROWS($AE$2:$AS$40))+1)</f>
        <v>#REF!</v>
      </c>
      <c r="AA626" t="e">
        <f t="shared" ca="1" si="69"/>
        <v>#N/A</v>
      </c>
      <c r="AB626" t="str" cm="1">
        <f t="array" aca="1" ref="AB626" ca="1">IFERROR(INDIRECT("$Z"&amp;AA626),"")</f>
        <v/>
      </c>
      <c r="AP626" t="str">
        <f t="shared" si="63"/>
        <v/>
      </c>
      <c r="AQ626" t="str">
        <f t="shared" si="64"/>
        <v/>
      </c>
      <c r="AR626" t="str">
        <f t="shared" si="65"/>
        <v/>
      </c>
      <c r="AS626" t="str">
        <f t="shared" si="66"/>
        <v/>
      </c>
    </row>
    <row r="627" spans="5:45" x14ac:dyDescent="0.25">
      <c r="E627" t="str">
        <f ca="1"/>
        <v/>
      </c>
      <c r="F627" t="str">
        <f ca="1"/>
        <v/>
      </c>
      <c r="P627" t="e" cm="1">
        <f t="array" ref="P627">INDEX($B$2:$D$40,MOD(ROW()-ROW($B$2),ROWS($B$2:$D$40))+1,INT((ROW()-ROW($B$2))/ROWS($B$2:$D$40))+1)</f>
        <v>#REF!</v>
      </c>
      <c r="Q627" t="e">
        <f t="shared" ca="1" si="67"/>
        <v>#N/A</v>
      </c>
      <c r="R627" t="str" cm="1">
        <f t="array" aca="1" ref="R627" ca="1">IFERROR(INDIRECT("$P"&amp;Q627),"")</f>
        <v/>
      </c>
      <c r="U627" t="e" cm="1">
        <f t="array" ref="U627">INDEX($C$2:$D$40,MOD(ROW()-ROW($C$2),ROWS($C$2:$D$40))+1,INT((ROW()-ROW($C$2))/ROWS($C$2:$D$40))+1)</f>
        <v>#REF!</v>
      </c>
      <c r="V627" t="e">
        <f t="shared" ca="1" si="68"/>
        <v>#N/A</v>
      </c>
      <c r="W627" t="str" cm="1">
        <f t="array" aca="1" ref="W627" ca="1">IFERROR(INDIRECT("$U"&amp;V627),"")</f>
        <v/>
      </c>
      <c r="Z627" t="e" cm="1">
        <f t="array" ref="Z627">INDEX($AE$2:$AS$40,MOD(ROW()-ROW($AE$2),ROWS($AE$2:$AS$40))+1,INT((ROW()-ROW($AE$2))/ROWS($AE$2:$AS$40))+1)</f>
        <v>#REF!</v>
      </c>
      <c r="AA627" t="e">
        <f t="shared" ca="1" si="69"/>
        <v>#N/A</v>
      </c>
      <c r="AB627" t="str" cm="1">
        <f t="array" aca="1" ref="AB627" ca="1">IFERROR(INDIRECT("$Z"&amp;AA627),"")</f>
        <v/>
      </c>
      <c r="AP627" t="str">
        <f t="shared" si="63"/>
        <v/>
      </c>
      <c r="AQ627" t="str">
        <f t="shared" si="64"/>
        <v/>
      </c>
      <c r="AR627" t="str">
        <f t="shared" si="65"/>
        <v/>
      </c>
      <c r="AS627" t="str">
        <f t="shared" si="66"/>
        <v/>
      </c>
    </row>
    <row r="628" spans="5:45" x14ac:dyDescent="0.25">
      <c r="E628" t="str">
        <f ca="1"/>
        <v/>
      </c>
      <c r="F628" t="str">
        <f ca="1"/>
        <v/>
      </c>
      <c r="P628" t="e" cm="1">
        <f t="array" ref="P628">INDEX($B$2:$D$40,MOD(ROW()-ROW($B$2),ROWS($B$2:$D$40))+1,INT((ROW()-ROW($B$2))/ROWS($B$2:$D$40))+1)</f>
        <v>#REF!</v>
      </c>
      <c r="Q628" t="e">
        <f t="shared" ca="1" si="67"/>
        <v>#N/A</v>
      </c>
      <c r="R628" t="str" cm="1">
        <f t="array" aca="1" ref="R628" ca="1">IFERROR(INDIRECT("$P"&amp;Q628),"")</f>
        <v/>
      </c>
      <c r="U628" t="e" cm="1">
        <f t="array" ref="U628">INDEX($C$2:$D$40,MOD(ROW()-ROW($C$2),ROWS($C$2:$D$40))+1,INT((ROW()-ROW($C$2))/ROWS($C$2:$D$40))+1)</f>
        <v>#REF!</v>
      </c>
      <c r="V628" t="e">
        <f t="shared" ca="1" si="68"/>
        <v>#N/A</v>
      </c>
      <c r="W628" t="str" cm="1">
        <f t="array" aca="1" ref="W628" ca="1">IFERROR(INDIRECT("$U"&amp;V628),"")</f>
        <v/>
      </c>
      <c r="Z628" t="e" cm="1">
        <f t="array" ref="Z628">INDEX($AE$2:$AS$40,MOD(ROW()-ROW($AE$2),ROWS($AE$2:$AS$40))+1,INT((ROW()-ROW($AE$2))/ROWS($AE$2:$AS$40))+1)</f>
        <v>#REF!</v>
      </c>
      <c r="AA628" t="e">
        <f t="shared" ca="1" si="69"/>
        <v>#N/A</v>
      </c>
      <c r="AB628" t="str" cm="1">
        <f t="array" aca="1" ref="AB628" ca="1">IFERROR(INDIRECT("$Z"&amp;AA628),"")</f>
        <v/>
      </c>
      <c r="AP628" t="str">
        <f t="shared" si="63"/>
        <v/>
      </c>
      <c r="AQ628" t="str">
        <f t="shared" si="64"/>
        <v/>
      </c>
      <c r="AR628" t="str">
        <f t="shared" si="65"/>
        <v/>
      </c>
      <c r="AS628" t="str">
        <f t="shared" si="66"/>
        <v/>
      </c>
    </row>
    <row r="629" spans="5:45" x14ac:dyDescent="0.25">
      <c r="E629" t="str">
        <f ca="1"/>
        <v/>
      </c>
      <c r="F629" t="str">
        <f ca="1"/>
        <v/>
      </c>
      <c r="P629" t="e" cm="1">
        <f t="array" ref="P629">INDEX($B$2:$D$40,MOD(ROW()-ROW($B$2),ROWS($B$2:$D$40))+1,INT((ROW()-ROW($B$2))/ROWS($B$2:$D$40))+1)</f>
        <v>#REF!</v>
      </c>
      <c r="Q629" t="e">
        <f t="shared" ca="1" si="67"/>
        <v>#N/A</v>
      </c>
      <c r="R629" t="str" cm="1">
        <f t="array" aca="1" ref="R629" ca="1">IFERROR(INDIRECT("$P"&amp;Q629),"")</f>
        <v/>
      </c>
      <c r="U629" t="e" cm="1">
        <f t="array" ref="U629">INDEX($C$2:$D$40,MOD(ROW()-ROW($C$2),ROWS($C$2:$D$40))+1,INT((ROW()-ROW($C$2))/ROWS($C$2:$D$40))+1)</f>
        <v>#REF!</v>
      </c>
      <c r="V629" t="e">
        <f t="shared" ca="1" si="68"/>
        <v>#N/A</v>
      </c>
      <c r="W629" t="str" cm="1">
        <f t="array" aca="1" ref="W629" ca="1">IFERROR(INDIRECT("$U"&amp;V629),"")</f>
        <v/>
      </c>
      <c r="Z629" t="e" cm="1">
        <f t="array" ref="Z629">INDEX($AE$2:$AS$40,MOD(ROW()-ROW($AE$2),ROWS($AE$2:$AS$40))+1,INT((ROW()-ROW($AE$2))/ROWS($AE$2:$AS$40))+1)</f>
        <v>#REF!</v>
      </c>
      <c r="AA629" t="e">
        <f t="shared" ca="1" si="69"/>
        <v>#N/A</v>
      </c>
      <c r="AB629" t="str" cm="1">
        <f t="array" aca="1" ref="AB629" ca="1">IFERROR(INDIRECT("$Z"&amp;AA629),"")</f>
        <v/>
      </c>
      <c r="AP629" t="str">
        <f t="shared" si="63"/>
        <v/>
      </c>
      <c r="AQ629" t="str">
        <f t="shared" si="64"/>
        <v/>
      </c>
      <c r="AR629" t="str">
        <f t="shared" si="65"/>
        <v/>
      </c>
      <c r="AS629" t="str">
        <f t="shared" si="66"/>
        <v/>
      </c>
    </row>
    <row r="630" spans="5:45" x14ac:dyDescent="0.25">
      <c r="E630" t="str">
        <f ca="1"/>
        <v/>
      </c>
      <c r="F630" t="str">
        <f ca="1"/>
        <v/>
      </c>
      <c r="P630" t="e" cm="1">
        <f t="array" ref="P630">INDEX($B$2:$D$40,MOD(ROW()-ROW($B$2),ROWS($B$2:$D$40))+1,INT((ROW()-ROW($B$2))/ROWS($B$2:$D$40))+1)</f>
        <v>#REF!</v>
      </c>
      <c r="Q630" t="e">
        <f t="shared" ca="1" si="67"/>
        <v>#N/A</v>
      </c>
      <c r="R630" t="str" cm="1">
        <f t="array" aca="1" ref="R630" ca="1">IFERROR(INDIRECT("$P"&amp;Q630),"")</f>
        <v/>
      </c>
      <c r="U630" t="e" cm="1">
        <f t="array" ref="U630">INDEX($C$2:$D$40,MOD(ROW()-ROW($C$2),ROWS($C$2:$D$40))+1,INT((ROW()-ROW($C$2))/ROWS($C$2:$D$40))+1)</f>
        <v>#REF!</v>
      </c>
      <c r="V630" t="e">
        <f t="shared" ca="1" si="68"/>
        <v>#N/A</v>
      </c>
      <c r="W630" t="str" cm="1">
        <f t="array" aca="1" ref="W630" ca="1">IFERROR(INDIRECT("$U"&amp;V630),"")</f>
        <v/>
      </c>
      <c r="Z630" t="e" cm="1">
        <f t="array" ref="Z630">INDEX($AE$2:$AS$40,MOD(ROW()-ROW($AE$2),ROWS($AE$2:$AS$40))+1,INT((ROW()-ROW($AE$2))/ROWS($AE$2:$AS$40))+1)</f>
        <v>#REF!</v>
      </c>
      <c r="AA630" t="e">
        <f t="shared" ca="1" si="69"/>
        <v>#N/A</v>
      </c>
      <c r="AB630" t="str" cm="1">
        <f t="array" aca="1" ref="AB630" ca="1">IFERROR(INDIRECT("$Z"&amp;AA630),"")</f>
        <v/>
      </c>
      <c r="AP630" t="str">
        <f t="shared" si="63"/>
        <v/>
      </c>
      <c r="AQ630" t="str">
        <f t="shared" si="64"/>
        <v/>
      </c>
      <c r="AR630" t="str">
        <f t="shared" si="65"/>
        <v/>
      </c>
      <c r="AS630" t="str">
        <f t="shared" si="66"/>
        <v/>
      </c>
    </row>
    <row r="631" spans="5:45" x14ac:dyDescent="0.25">
      <c r="E631" t="str">
        <f ca="1"/>
        <v/>
      </c>
      <c r="F631" t="str">
        <f ca="1"/>
        <v/>
      </c>
      <c r="P631" t="e" cm="1">
        <f t="array" ref="P631">INDEX($B$2:$D$40,MOD(ROW()-ROW($B$2),ROWS($B$2:$D$40))+1,INT((ROW()-ROW($B$2))/ROWS($B$2:$D$40))+1)</f>
        <v>#REF!</v>
      </c>
      <c r="Q631" t="e">
        <f t="shared" ca="1" si="67"/>
        <v>#N/A</v>
      </c>
      <c r="R631" t="str" cm="1">
        <f t="array" aca="1" ref="R631" ca="1">IFERROR(INDIRECT("$P"&amp;Q631),"")</f>
        <v/>
      </c>
      <c r="U631" t="e" cm="1">
        <f t="array" ref="U631">INDEX($C$2:$D$40,MOD(ROW()-ROW($C$2),ROWS($C$2:$D$40))+1,INT((ROW()-ROW($C$2))/ROWS($C$2:$D$40))+1)</f>
        <v>#REF!</v>
      </c>
      <c r="V631" t="e">
        <f t="shared" ca="1" si="68"/>
        <v>#N/A</v>
      </c>
      <c r="W631" t="str" cm="1">
        <f t="array" aca="1" ref="W631" ca="1">IFERROR(INDIRECT("$U"&amp;V631),"")</f>
        <v/>
      </c>
      <c r="Z631" t="e" cm="1">
        <f t="array" ref="Z631">INDEX($AE$2:$AS$40,MOD(ROW()-ROW($AE$2),ROWS($AE$2:$AS$40))+1,INT((ROW()-ROW($AE$2))/ROWS($AE$2:$AS$40))+1)</f>
        <v>#REF!</v>
      </c>
      <c r="AA631" t="e">
        <f t="shared" ca="1" si="69"/>
        <v>#N/A</v>
      </c>
      <c r="AB631" t="str" cm="1">
        <f t="array" aca="1" ref="AB631" ca="1">IFERROR(INDIRECT("$Z"&amp;AA631),"")</f>
        <v/>
      </c>
      <c r="AP631" t="str">
        <f t="shared" si="63"/>
        <v/>
      </c>
      <c r="AQ631" t="str">
        <f t="shared" si="64"/>
        <v/>
      </c>
      <c r="AR631" t="str">
        <f t="shared" si="65"/>
        <v/>
      </c>
      <c r="AS631" t="str">
        <f t="shared" si="66"/>
        <v/>
      </c>
    </row>
    <row r="632" spans="5:45" x14ac:dyDescent="0.25">
      <c r="E632" t="str">
        <f ca="1"/>
        <v/>
      </c>
      <c r="F632" t="str">
        <f ca="1"/>
        <v/>
      </c>
      <c r="P632" t="e" cm="1">
        <f t="array" ref="P632">INDEX($B$2:$D$40,MOD(ROW()-ROW($B$2),ROWS($B$2:$D$40))+1,INT((ROW()-ROW($B$2))/ROWS($B$2:$D$40))+1)</f>
        <v>#REF!</v>
      </c>
      <c r="Q632" t="e">
        <f t="shared" ca="1" si="67"/>
        <v>#N/A</v>
      </c>
      <c r="R632" t="str" cm="1">
        <f t="array" aca="1" ref="R632" ca="1">IFERROR(INDIRECT("$P"&amp;Q632),"")</f>
        <v/>
      </c>
      <c r="U632" t="e" cm="1">
        <f t="array" ref="U632">INDEX($C$2:$D$40,MOD(ROW()-ROW($C$2),ROWS($C$2:$D$40))+1,INT((ROW()-ROW($C$2))/ROWS($C$2:$D$40))+1)</f>
        <v>#REF!</v>
      </c>
      <c r="V632" t="e">
        <f t="shared" ca="1" si="68"/>
        <v>#N/A</v>
      </c>
      <c r="W632" t="str" cm="1">
        <f t="array" aca="1" ref="W632" ca="1">IFERROR(INDIRECT("$U"&amp;V632),"")</f>
        <v/>
      </c>
      <c r="Z632" t="e" cm="1">
        <f t="array" ref="Z632">INDEX($AE$2:$AS$40,MOD(ROW()-ROW($AE$2),ROWS($AE$2:$AS$40))+1,INT((ROW()-ROW($AE$2))/ROWS($AE$2:$AS$40))+1)</f>
        <v>#REF!</v>
      </c>
      <c r="AA632" t="e">
        <f t="shared" ca="1" si="69"/>
        <v>#N/A</v>
      </c>
      <c r="AB632" t="str" cm="1">
        <f t="array" aca="1" ref="AB632" ca="1">IFERROR(INDIRECT("$Z"&amp;AA632),"")</f>
        <v/>
      </c>
      <c r="AP632" t="str">
        <f t="shared" si="63"/>
        <v/>
      </c>
      <c r="AQ632" t="str">
        <f t="shared" si="64"/>
        <v/>
      </c>
      <c r="AR632" t="str">
        <f t="shared" si="65"/>
        <v/>
      </c>
      <c r="AS632" t="str">
        <f t="shared" si="66"/>
        <v/>
      </c>
    </row>
    <row r="633" spans="5:45" x14ac:dyDescent="0.25">
      <c r="E633" t="str">
        <f ca="1"/>
        <v/>
      </c>
      <c r="F633" t="str">
        <f ca="1"/>
        <v/>
      </c>
      <c r="P633" t="e" cm="1">
        <f t="array" ref="P633">INDEX($B$2:$D$40,MOD(ROW()-ROW($B$2),ROWS($B$2:$D$40))+1,INT((ROW()-ROW($B$2))/ROWS($B$2:$D$40))+1)</f>
        <v>#REF!</v>
      </c>
      <c r="Q633" t="e">
        <f t="shared" ca="1" si="67"/>
        <v>#N/A</v>
      </c>
      <c r="R633" t="str" cm="1">
        <f t="array" aca="1" ref="R633" ca="1">IFERROR(INDIRECT("$P"&amp;Q633),"")</f>
        <v/>
      </c>
      <c r="U633" t="e" cm="1">
        <f t="array" ref="U633">INDEX($C$2:$D$40,MOD(ROW()-ROW($C$2),ROWS($C$2:$D$40))+1,INT((ROW()-ROW($C$2))/ROWS($C$2:$D$40))+1)</f>
        <v>#REF!</v>
      </c>
      <c r="V633" t="e">
        <f t="shared" ca="1" si="68"/>
        <v>#N/A</v>
      </c>
      <c r="W633" t="str" cm="1">
        <f t="array" aca="1" ref="W633" ca="1">IFERROR(INDIRECT("$U"&amp;V633),"")</f>
        <v/>
      </c>
      <c r="Z633" t="e" cm="1">
        <f t="array" ref="Z633">INDEX($AE$2:$AS$40,MOD(ROW()-ROW($AE$2),ROWS($AE$2:$AS$40))+1,INT((ROW()-ROW($AE$2))/ROWS($AE$2:$AS$40))+1)</f>
        <v>#REF!</v>
      </c>
      <c r="AA633" t="e">
        <f t="shared" ca="1" si="69"/>
        <v>#N/A</v>
      </c>
      <c r="AB633" t="str" cm="1">
        <f t="array" aca="1" ref="AB633" ca="1">IFERROR(INDIRECT("$Z"&amp;AA633),"")</f>
        <v/>
      </c>
      <c r="AP633" t="str">
        <f t="shared" si="63"/>
        <v/>
      </c>
      <c r="AQ633" t="str">
        <f t="shared" si="64"/>
        <v/>
      </c>
      <c r="AR633" t="str">
        <f t="shared" si="65"/>
        <v/>
      </c>
      <c r="AS633" t="str">
        <f t="shared" si="66"/>
        <v/>
      </c>
    </row>
    <row r="634" spans="5:45" x14ac:dyDescent="0.25">
      <c r="E634" t="str">
        <f ca="1"/>
        <v/>
      </c>
      <c r="F634" t="str">
        <f ca="1"/>
        <v/>
      </c>
      <c r="P634" t="e" cm="1">
        <f t="array" ref="P634">INDEX($B$2:$D$40,MOD(ROW()-ROW($B$2),ROWS($B$2:$D$40))+1,INT((ROW()-ROW($B$2))/ROWS($B$2:$D$40))+1)</f>
        <v>#REF!</v>
      </c>
      <c r="Q634" t="e">
        <f t="shared" ca="1" si="67"/>
        <v>#N/A</v>
      </c>
      <c r="R634" t="str" cm="1">
        <f t="array" aca="1" ref="R634" ca="1">IFERROR(INDIRECT("$P"&amp;Q634),"")</f>
        <v/>
      </c>
      <c r="U634" t="e" cm="1">
        <f t="array" ref="U634">INDEX($C$2:$D$40,MOD(ROW()-ROW($C$2),ROWS($C$2:$D$40))+1,INT((ROW()-ROW($C$2))/ROWS($C$2:$D$40))+1)</f>
        <v>#REF!</v>
      </c>
      <c r="V634" t="e">
        <f t="shared" ca="1" si="68"/>
        <v>#N/A</v>
      </c>
      <c r="W634" t="str" cm="1">
        <f t="array" aca="1" ref="W634" ca="1">IFERROR(INDIRECT("$U"&amp;V634),"")</f>
        <v/>
      </c>
      <c r="Z634" t="e" cm="1">
        <f t="array" ref="Z634">INDEX($AE$2:$AS$40,MOD(ROW()-ROW($AE$2),ROWS($AE$2:$AS$40))+1,INT((ROW()-ROW($AE$2))/ROWS($AE$2:$AS$40))+1)</f>
        <v>#REF!</v>
      </c>
      <c r="AA634" t="e">
        <f t="shared" ca="1" si="69"/>
        <v>#N/A</v>
      </c>
      <c r="AB634" t="str" cm="1">
        <f t="array" aca="1" ref="AB634" ca="1">IFERROR(INDIRECT("$Z"&amp;AA634),"")</f>
        <v/>
      </c>
      <c r="AP634" t="str">
        <f t="shared" si="63"/>
        <v/>
      </c>
      <c r="AQ634" t="str">
        <f t="shared" si="64"/>
        <v/>
      </c>
      <c r="AR634" t="str">
        <f t="shared" si="65"/>
        <v/>
      </c>
      <c r="AS634" t="str">
        <f t="shared" si="66"/>
        <v/>
      </c>
    </row>
    <row r="635" spans="5:45" x14ac:dyDescent="0.25">
      <c r="E635" t="str">
        <f ca="1"/>
        <v/>
      </c>
      <c r="F635" t="str">
        <f ca="1"/>
        <v/>
      </c>
      <c r="P635" t="e" cm="1">
        <f t="array" ref="P635">INDEX($B$2:$D$40,MOD(ROW()-ROW($B$2),ROWS($B$2:$D$40))+1,INT((ROW()-ROW($B$2))/ROWS($B$2:$D$40))+1)</f>
        <v>#REF!</v>
      </c>
      <c r="Q635" t="e">
        <f t="shared" ca="1" si="67"/>
        <v>#N/A</v>
      </c>
      <c r="R635" t="str" cm="1">
        <f t="array" aca="1" ref="R635" ca="1">IFERROR(INDIRECT("$P"&amp;Q635),"")</f>
        <v/>
      </c>
      <c r="U635" t="e" cm="1">
        <f t="array" ref="U635">INDEX($C$2:$D$40,MOD(ROW()-ROW($C$2),ROWS($C$2:$D$40))+1,INT((ROW()-ROW($C$2))/ROWS($C$2:$D$40))+1)</f>
        <v>#REF!</v>
      </c>
      <c r="V635" t="e">
        <f t="shared" ca="1" si="68"/>
        <v>#N/A</v>
      </c>
      <c r="W635" t="str" cm="1">
        <f t="array" aca="1" ref="W635" ca="1">IFERROR(INDIRECT("$U"&amp;V635),"")</f>
        <v/>
      </c>
      <c r="Z635" t="e" cm="1">
        <f t="array" ref="Z635">INDEX($AE$2:$AS$40,MOD(ROW()-ROW($AE$2),ROWS($AE$2:$AS$40))+1,INT((ROW()-ROW($AE$2))/ROWS($AE$2:$AS$40))+1)</f>
        <v>#REF!</v>
      </c>
      <c r="AA635" t="e">
        <f t="shared" ca="1" si="69"/>
        <v>#N/A</v>
      </c>
      <c r="AB635" t="str" cm="1">
        <f t="array" aca="1" ref="AB635" ca="1">IFERROR(INDIRECT("$Z"&amp;AA635),"")</f>
        <v/>
      </c>
      <c r="AP635" t="str">
        <f t="shared" si="63"/>
        <v/>
      </c>
      <c r="AQ635" t="str">
        <f t="shared" si="64"/>
        <v/>
      </c>
      <c r="AR635" t="str">
        <f t="shared" si="65"/>
        <v/>
      </c>
      <c r="AS635" t="str">
        <f t="shared" si="66"/>
        <v/>
      </c>
    </row>
    <row r="636" spans="5:45" x14ac:dyDescent="0.25">
      <c r="E636" t="str">
        <f ca="1"/>
        <v/>
      </c>
      <c r="F636" t="str">
        <f ca="1"/>
        <v/>
      </c>
      <c r="P636" t="e" cm="1">
        <f t="array" ref="P636">INDEX($B$2:$D$40,MOD(ROW()-ROW($B$2),ROWS($B$2:$D$40))+1,INT((ROW()-ROW($B$2))/ROWS($B$2:$D$40))+1)</f>
        <v>#REF!</v>
      </c>
      <c r="Q636" t="e">
        <f t="shared" ca="1" si="67"/>
        <v>#N/A</v>
      </c>
      <c r="R636" t="str" cm="1">
        <f t="array" aca="1" ref="R636" ca="1">IFERROR(INDIRECT("$P"&amp;Q636),"")</f>
        <v/>
      </c>
      <c r="U636" t="e" cm="1">
        <f t="array" ref="U636">INDEX($C$2:$D$40,MOD(ROW()-ROW($C$2),ROWS($C$2:$D$40))+1,INT((ROW()-ROW($C$2))/ROWS($C$2:$D$40))+1)</f>
        <v>#REF!</v>
      </c>
      <c r="V636" t="e">
        <f t="shared" ca="1" si="68"/>
        <v>#N/A</v>
      </c>
      <c r="W636" t="str" cm="1">
        <f t="array" aca="1" ref="W636" ca="1">IFERROR(INDIRECT("$U"&amp;V636),"")</f>
        <v/>
      </c>
      <c r="Z636" t="e" cm="1">
        <f t="array" ref="Z636">INDEX($AE$2:$AS$40,MOD(ROW()-ROW($AE$2),ROWS($AE$2:$AS$40))+1,INT((ROW()-ROW($AE$2))/ROWS($AE$2:$AS$40))+1)</f>
        <v>#REF!</v>
      </c>
      <c r="AA636" t="e">
        <f t="shared" ca="1" si="69"/>
        <v>#N/A</v>
      </c>
      <c r="AB636" t="str" cm="1">
        <f t="array" aca="1" ref="AB636" ca="1">IFERROR(INDIRECT("$Z"&amp;AA636),"")</f>
        <v/>
      </c>
      <c r="AP636" t="str">
        <f t="shared" si="63"/>
        <v/>
      </c>
      <c r="AQ636" t="str">
        <f t="shared" si="64"/>
        <v/>
      </c>
      <c r="AR636" t="str">
        <f t="shared" si="65"/>
        <v/>
      </c>
      <c r="AS636" t="str">
        <f t="shared" si="66"/>
        <v/>
      </c>
    </row>
    <row r="637" spans="5:45" x14ac:dyDescent="0.25">
      <c r="E637" t="str">
        <f ca="1"/>
        <v/>
      </c>
      <c r="F637" t="str">
        <f ca="1"/>
        <v/>
      </c>
      <c r="P637" t="e" cm="1">
        <f t="array" ref="P637">INDEX($B$2:$D$40,MOD(ROW()-ROW($B$2),ROWS($B$2:$D$40))+1,INT((ROW()-ROW($B$2))/ROWS($B$2:$D$40))+1)</f>
        <v>#REF!</v>
      </c>
      <c r="Q637" t="e">
        <f t="shared" ca="1" si="67"/>
        <v>#N/A</v>
      </c>
      <c r="R637" t="str" cm="1">
        <f t="array" aca="1" ref="R637" ca="1">IFERROR(INDIRECT("$P"&amp;Q637),"")</f>
        <v/>
      </c>
      <c r="U637" t="e" cm="1">
        <f t="array" ref="U637">INDEX($C$2:$D$40,MOD(ROW()-ROW($C$2),ROWS($C$2:$D$40))+1,INT((ROW()-ROW($C$2))/ROWS($C$2:$D$40))+1)</f>
        <v>#REF!</v>
      </c>
      <c r="V637" t="e">
        <f t="shared" ca="1" si="68"/>
        <v>#N/A</v>
      </c>
      <c r="W637" t="str" cm="1">
        <f t="array" aca="1" ref="W637" ca="1">IFERROR(INDIRECT("$U"&amp;V637),"")</f>
        <v/>
      </c>
      <c r="Z637" t="e" cm="1">
        <f t="array" ref="Z637">INDEX($AE$2:$AS$40,MOD(ROW()-ROW($AE$2),ROWS($AE$2:$AS$40))+1,INT((ROW()-ROW($AE$2))/ROWS($AE$2:$AS$40))+1)</f>
        <v>#REF!</v>
      </c>
      <c r="AA637" t="e">
        <f t="shared" ca="1" si="69"/>
        <v>#N/A</v>
      </c>
      <c r="AB637" t="str" cm="1">
        <f t="array" aca="1" ref="AB637" ca="1">IFERROR(INDIRECT("$Z"&amp;AA637),"")</f>
        <v/>
      </c>
      <c r="AP637" t="str">
        <f t="shared" si="63"/>
        <v/>
      </c>
      <c r="AQ637" t="str">
        <f t="shared" si="64"/>
        <v/>
      </c>
      <c r="AR637" t="str">
        <f t="shared" si="65"/>
        <v/>
      </c>
      <c r="AS637" t="str">
        <f t="shared" si="66"/>
        <v/>
      </c>
    </row>
    <row r="638" spans="5:45" x14ac:dyDescent="0.25">
      <c r="E638" t="str">
        <f ca="1"/>
        <v/>
      </c>
      <c r="F638" t="str">
        <f ca="1"/>
        <v/>
      </c>
      <c r="P638" t="e" cm="1">
        <f t="array" ref="P638">INDEX($B$2:$D$40,MOD(ROW()-ROW($B$2),ROWS($B$2:$D$40))+1,INT((ROW()-ROW($B$2))/ROWS($B$2:$D$40))+1)</f>
        <v>#REF!</v>
      </c>
      <c r="Q638" t="e">
        <f t="shared" ca="1" si="67"/>
        <v>#N/A</v>
      </c>
      <c r="R638" t="str" cm="1">
        <f t="array" aca="1" ref="R638" ca="1">IFERROR(INDIRECT("$P"&amp;Q638),"")</f>
        <v/>
      </c>
      <c r="U638" t="e" cm="1">
        <f t="array" ref="U638">INDEX($C$2:$D$40,MOD(ROW()-ROW($C$2),ROWS($C$2:$D$40))+1,INT((ROW()-ROW($C$2))/ROWS($C$2:$D$40))+1)</f>
        <v>#REF!</v>
      </c>
      <c r="V638" t="e">
        <f t="shared" ca="1" si="68"/>
        <v>#N/A</v>
      </c>
      <c r="W638" t="str" cm="1">
        <f t="array" aca="1" ref="W638" ca="1">IFERROR(INDIRECT("$U"&amp;V638),"")</f>
        <v/>
      </c>
      <c r="Z638" t="e" cm="1">
        <f t="array" ref="Z638">INDEX($AE$2:$AS$40,MOD(ROW()-ROW($AE$2),ROWS($AE$2:$AS$40))+1,INT((ROW()-ROW($AE$2))/ROWS($AE$2:$AS$40))+1)</f>
        <v>#REF!</v>
      </c>
      <c r="AA638" t="e">
        <f t="shared" ca="1" si="69"/>
        <v>#N/A</v>
      </c>
      <c r="AB638" t="str" cm="1">
        <f t="array" aca="1" ref="AB638" ca="1">IFERROR(INDIRECT("$Z"&amp;AA638),"")</f>
        <v/>
      </c>
      <c r="AP638" t="str">
        <f t="shared" si="63"/>
        <v/>
      </c>
      <c r="AQ638" t="str">
        <f t="shared" si="64"/>
        <v/>
      </c>
      <c r="AR638" t="str">
        <f t="shared" si="65"/>
        <v/>
      </c>
      <c r="AS638" t="str">
        <f t="shared" si="66"/>
        <v/>
      </c>
    </row>
    <row r="639" spans="5:45" x14ac:dyDescent="0.25">
      <c r="E639" t="str">
        <f ca="1"/>
        <v/>
      </c>
      <c r="F639" t="str">
        <f ca="1"/>
        <v/>
      </c>
      <c r="P639" t="e" cm="1">
        <f t="array" ref="P639">INDEX($B$2:$D$40,MOD(ROW()-ROW($B$2),ROWS($B$2:$D$40))+1,INT((ROW()-ROW($B$2))/ROWS($B$2:$D$40))+1)</f>
        <v>#REF!</v>
      </c>
      <c r="Q639" t="e">
        <f t="shared" ca="1" si="67"/>
        <v>#N/A</v>
      </c>
      <c r="R639" t="str" cm="1">
        <f t="array" aca="1" ref="R639" ca="1">IFERROR(INDIRECT("$P"&amp;Q639),"")</f>
        <v/>
      </c>
      <c r="U639" t="e" cm="1">
        <f t="array" ref="U639">INDEX($C$2:$D$40,MOD(ROW()-ROW($C$2),ROWS($C$2:$D$40))+1,INT((ROW()-ROW($C$2))/ROWS($C$2:$D$40))+1)</f>
        <v>#REF!</v>
      </c>
      <c r="V639" t="e">
        <f t="shared" ca="1" si="68"/>
        <v>#N/A</v>
      </c>
      <c r="W639" t="str" cm="1">
        <f t="array" aca="1" ref="W639" ca="1">IFERROR(INDIRECT("$U"&amp;V639),"")</f>
        <v/>
      </c>
      <c r="Z639" t="e" cm="1">
        <f t="array" ref="Z639">INDEX($AE$2:$AS$40,MOD(ROW()-ROW($AE$2),ROWS($AE$2:$AS$40))+1,INT((ROW()-ROW($AE$2))/ROWS($AE$2:$AS$40))+1)</f>
        <v>#REF!</v>
      </c>
      <c r="AA639" t="e">
        <f t="shared" ca="1" si="69"/>
        <v>#N/A</v>
      </c>
      <c r="AB639" t="str" cm="1">
        <f t="array" aca="1" ref="AB639" ca="1">IFERROR(INDIRECT("$Z"&amp;AA639),"")</f>
        <v/>
      </c>
      <c r="AP639" t="str">
        <f t="shared" si="63"/>
        <v/>
      </c>
      <c r="AQ639" t="str">
        <f t="shared" si="64"/>
        <v/>
      </c>
      <c r="AR639" t="str">
        <f t="shared" si="65"/>
        <v/>
      </c>
      <c r="AS639" t="str">
        <f t="shared" si="66"/>
        <v/>
      </c>
    </row>
    <row r="640" spans="5:45" x14ac:dyDescent="0.25">
      <c r="E640" t="str">
        <f ca="1"/>
        <v/>
      </c>
      <c r="F640" t="str">
        <f ca="1"/>
        <v/>
      </c>
      <c r="P640" t="e" cm="1">
        <f t="array" ref="P640">INDEX($B$2:$D$40,MOD(ROW()-ROW($B$2),ROWS($B$2:$D$40))+1,INT((ROW()-ROW($B$2))/ROWS($B$2:$D$40))+1)</f>
        <v>#REF!</v>
      </c>
      <c r="Q640" t="e">
        <f t="shared" ca="1" si="67"/>
        <v>#N/A</v>
      </c>
      <c r="R640" t="str" cm="1">
        <f t="array" aca="1" ref="R640" ca="1">IFERROR(INDIRECT("$P"&amp;Q640),"")</f>
        <v/>
      </c>
      <c r="U640" t="e" cm="1">
        <f t="array" ref="U640">INDEX($C$2:$D$40,MOD(ROW()-ROW($C$2),ROWS($C$2:$D$40))+1,INT((ROW()-ROW($C$2))/ROWS($C$2:$D$40))+1)</f>
        <v>#REF!</v>
      </c>
      <c r="V640" t="e">
        <f t="shared" ca="1" si="68"/>
        <v>#N/A</v>
      </c>
      <c r="W640" t="str" cm="1">
        <f t="array" aca="1" ref="W640" ca="1">IFERROR(INDIRECT("$U"&amp;V640),"")</f>
        <v/>
      </c>
      <c r="Z640" t="e" cm="1">
        <f t="array" ref="Z640">INDEX($AE$2:$AS$40,MOD(ROW()-ROW($AE$2),ROWS($AE$2:$AS$40))+1,INT((ROW()-ROW($AE$2))/ROWS($AE$2:$AS$40))+1)</f>
        <v>#REF!</v>
      </c>
      <c r="AA640" t="e">
        <f t="shared" ca="1" si="69"/>
        <v>#N/A</v>
      </c>
      <c r="AB640" t="str" cm="1">
        <f t="array" aca="1" ref="AB640" ca="1">IFERROR(INDIRECT("$Z"&amp;AA640),"")</f>
        <v/>
      </c>
      <c r="AP640" t="str">
        <f t="shared" si="63"/>
        <v/>
      </c>
      <c r="AQ640" t="str">
        <f t="shared" si="64"/>
        <v/>
      </c>
      <c r="AR640" t="str">
        <f t="shared" si="65"/>
        <v/>
      </c>
      <c r="AS640" t="str">
        <f t="shared" si="66"/>
        <v/>
      </c>
    </row>
    <row r="641" spans="5:45" x14ac:dyDescent="0.25">
      <c r="E641" t="str">
        <f ca="1"/>
        <v/>
      </c>
      <c r="F641" t="str">
        <f ca="1"/>
        <v/>
      </c>
      <c r="P641" t="e" cm="1">
        <f t="array" ref="P641">INDEX($B$2:$D$40,MOD(ROW()-ROW($B$2),ROWS($B$2:$D$40))+1,INT((ROW()-ROW($B$2))/ROWS($B$2:$D$40))+1)</f>
        <v>#REF!</v>
      </c>
      <c r="Q641" t="e">
        <f t="shared" ca="1" si="67"/>
        <v>#N/A</v>
      </c>
      <c r="R641" t="str" cm="1">
        <f t="array" aca="1" ref="R641" ca="1">IFERROR(INDIRECT("$P"&amp;Q641),"")</f>
        <v/>
      </c>
      <c r="U641" t="e" cm="1">
        <f t="array" ref="U641">INDEX($C$2:$D$40,MOD(ROW()-ROW($C$2),ROWS($C$2:$D$40))+1,INT((ROW()-ROW($C$2))/ROWS($C$2:$D$40))+1)</f>
        <v>#REF!</v>
      </c>
      <c r="V641" t="e">
        <f t="shared" ca="1" si="68"/>
        <v>#N/A</v>
      </c>
      <c r="W641" t="str" cm="1">
        <f t="array" aca="1" ref="W641" ca="1">IFERROR(INDIRECT("$U"&amp;V641),"")</f>
        <v/>
      </c>
      <c r="Z641" t="e" cm="1">
        <f t="array" ref="Z641">INDEX($AE$2:$AS$40,MOD(ROW()-ROW($AE$2),ROWS($AE$2:$AS$40))+1,INT((ROW()-ROW($AE$2))/ROWS($AE$2:$AS$40))+1)</f>
        <v>#REF!</v>
      </c>
      <c r="AA641" t="e">
        <f t="shared" ca="1" si="69"/>
        <v>#N/A</v>
      </c>
      <c r="AB641" t="str" cm="1">
        <f t="array" aca="1" ref="AB641" ca="1">IFERROR(INDIRECT("$Z"&amp;AA641),"")</f>
        <v/>
      </c>
      <c r="AP641" t="str">
        <f t="shared" si="63"/>
        <v/>
      </c>
      <c r="AQ641" t="str">
        <f t="shared" si="64"/>
        <v/>
      </c>
      <c r="AR641" t="str">
        <f t="shared" si="65"/>
        <v/>
      </c>
      <c r="AS641" t="str">
        <f t="shared" si="66"/>
        <v/>
      </c>
    </row>
    <row r="642" spans="5:45" x14ac:dyDescent="0.25">
      <c r="E642" t="str">
        <f ca="1"/>
        <v/>
      </c>
      <c r="F642" t="str">
        <f ca="1"/>
        <v/>
      </c>
      <c r="P642" t="e" cm="1">
        <f t="array" ref="P642">INDEX($B$2:$D$40,MOD(ROW()-ROW($B$2),ROWS($B$2:$D$40))+1,INT((ROW()-ROW($B$2))/ROWS($B$2:$D$40))+1)</f>
        <v>#REF!</v>
      </c>
      <c r="Q642" t="e">
        <f t="shared" ca="1" si="67"/>
        <v>#N/A</v>
      </c>
      <c r="R642" t="str" cm="1">
        <f t="array" aca="1" ref="R642" ca="1">IFERROR(INDIRECT("$P"&amp;Q642),"")</f>
        <v/>
      </c>
      <c r="U642" t="e" cm="1">
        <f t="array" ref="U642">INDEX($C$2:$D$40,MOD(ROW()-ROW($C$2),ROWS($C$2:$D$40))+1,INT((ROW()-ROW($C$2))/ROWS($C$2:$D$40))+1)</f>
        <v>#REF!</v>
      </c>
      <c r="V642" t="e">
        <f t="shared" ca="1" si="68"/>
        <v>#N/A</v>
      </c>
      <c r="W642" t="str" cm="1">
        <f t="array" aca="1" ref="W642" ca="1">IFERROR(INDIRECT("$U"&amp;V642),"")</f>
        <v/>
      </c>
      <c r="Z642" t="e" cm="1">
        <f t="array" ref="Z642">INDEX($AE$2:$AS$40,MOD(ROW()-ROW($AE$2),ROWS($AE$2:$AS$40))+1,INT((ROW()-ROW($AE$2))/ROWS($AE$2:$AS$40))+1)</f>
        <v>#REF!</v>
      </c>
      <c r="AA642" t="e">
        <f t="shared" ca="1" si="69"/>
        <v>#N/A</v>
      </c>
      <c r="AB642" t="str" cm="1">
        <f t="array" aca="1" ref="AB642" ca="1">IFERROR(INDIRECT("$Z"&amp;AA642),"")</f>
        <v/>
      </c>
      <c r="AP642" t="str">
        <f t="shared" si="63"/>
        <v/>
      </c>
      <c r="AQ642" t="str">
        <f t="shared" si="64"/>
        <v/>
      </c>
      <c r="AR642" t="str">
        <f t="shared" si="65"/>
        <v/>
      </c>
      <c r="AS642" t="str">
        <f t="shared" si="66"/>
        <v/>
      </c>
    </row>
    <row r="643" spans="5:45" x14ac:dyDescent="0.25">
      <c r="E643" t="str">
        <f ca="1"/>
        <v/>
      </c>
      <c r="F643" t="str">
        <f ca="1"/>
        <v/>
      </c>
      <c r="P643" t="e" cm="1">
        <f t="array" ref="P643">INDEX($B$2:$D$40,MOD(ROW()-ROW($B$2),ROWS($B$2:$D$40))+1,INT((ROW()-ROW($B$2))/ROWS($B$2:$D$40))+1)</f>
        <v>#REF!</v>
      </c>
      <c r="Q643" t="e">
        <f t="shared" ca="1" si="67"/>
        <v>#N/A</v>
      </c>
      <c r="R643" t="str" cm="1">
        <f t="array" aca="1" ref="R643" ca="1">IFERROR(INDIRECT("$P"&amp;Q643),"")</f>
        <v/>
      </c>
      <c r="U643" t="e" cm="1">
        <f t="array" ref="U643">INDEX($C$2:$D$40,MOD(ROW()-ROW($C$2),ROWS($C$2:$D$40))+1,INT((ROW()-ROW($C$2))/ROWS($C$2:$D$40))+1)</f>
        <v>#REF!</v>
      </c>
      <c r="V643" t="e">
        <f t="shared" ca="1" si="68"/>
        <v>#N/A</v>
      </c>
      <c r="W643" t="str" cm="1">
        <f t="array" aca="1" ref="W643" ca="1">IFERROR(INDIRECT("$U"&amp;V643),"")</f>
        <v/>
      </c>
      <c r="Z643" t="e" cm="1">
        <f t="array" ref="Z643">INDEX($AE$2:$AS$40,MOD(ROW()-ROW($AE$2),ROWS($AE$2:$AS$40))+1,INT((ROW()-ROW($AE$2))/ROWS($AE$2:$AS$40))+1)</f>
        <v>#REF!</v>
      </c>
      <c r="AA643" t="e">
        <f t="shared" ca="1" si="69"/>
        <v>#N/A</v>
      </c>
      <c r="AB643" t="str" cm="1">
        <f t="array" aca="1" ref="AB643" ca="1">IFERROR(INDIRECT("$Z"&amp;AA643),"")</f>
        <v/>
      </c>
      <c r="AP643" t="str">
        <f t="shared" ref="AP643:AP706" si="70">IF(AI643&lt;&gt;"", _xlfn.CONCAT(AI643, " (airside)"), "")</f>
        <v/>
      </c>
      <c r="AQ643" t="str">
        <f t="shared" ref="AQ643:AQ706" si="71">IF(AI643&lt;&gt;"", _xlfn.CONCAT(AI643, " (waterside)"), "")</f>
        <v/>
      </c>
      <c r="AR643" t="str">
        <f t="shared" ref="AR643:AR706" si="72">IF(AJ643&lt;&gt;"", _xlfn.CONCAT(AJ643, " (supply)"), "")</f>
        <v/>
      </c>
      <c r="AS643" t="str">
        <f t="shared" ref="AS643:AS706" si="73">IF(AJ643&lt;&gt;"", _xlfn.CONCAT(AJ643, " (exhaust)"), "")</f>
        <v/>
      </c>
    </row>
    <row r="644" spans="5:45" x14ac:dyDescent="0.25">
      <c r="E644" t="str">
        <f ca="1"/>
        <v/>
      </c>
      <c r="F644" t="str">
        <f ca="1"/>
        <v/>
      </c>
      <c r="P644" t="e" cm="1">
        <f t="array" ref="P644">INDEX($B$2:$D$40,MOD(ROW()-ROW($B$2),ROWS($B$2:$D$40))+1,INT((ROW()-ROW($B$2))/ROWS($B$2:$D$40))+1)</f>
        <v>#REF!</v>
      </c>
      <c r="Q644" t="e">
        <f t="shared" ref="Q644:Q707" ca="1" si="74">MATCH("*",INDIRECT(ADDRESS(Q643+1,16,1)&amp;":$P$1000"),0)+Q643</f>
        <v>#N/A</v>
      </c>
      <c r="R644" t="str" cm="1">
        <f t="array" aca="1" ref="R644" ca="1">IFERROR(INDIRECT("$P"&amp;Q644),"")</f>
        <v/>
      </c>
      <c r="U644" t="e" cm="1">
        <f t="array" ref="U644">INDEX($C$2:$D$40,MOD(ROW()-ROW($C$2),ROWS($C$2:$D$40))+1,INT((ROW()-ROW($C$2))/ROWS($C$2:$D$40))+1)</f>
        <v>#REF!</v>
      </c>
      <c r="V644" t="e">
        <f t="shared" ref="V644:V707" ca="1" si="75">MATCH("*",INDIRECT(ADDRESS(V643+1,21,1)&amp;":$U$1000"),0)+V643</f>
        <v>#N/A</v>
      </c>
      <c r="W644" t="str" cm="1">
        <f t="array" aca="1" ref="W644" ca="1">IFERROR(INDIRECT("$U"&amp;V644),"")</f>
        <v/>
      </c>
      <c r="Z644" t="e" cm="1">
        <f t="array" ref="Z644">INDEX($AE$2:$AS$40,MOD(ROW()-ROW($AE$2),ROWS($AE$2:$AS$40))+1,INT((ROW()-ROW($AE$2))/ROWS($AE$2:$AS$40))+1)</f>
        <v>#REF!</v>
      </c>
      <c r="AA644" t="e">
        <f t="shared" ref="AA644:AA707" ca="1" si="76">MATCH("*",INDIRECT(ADDRESS(AA643+1,26,1)&amp;":$Z$1000"),0)+AA643</f>
        <v>#N/A</v>
      </c>
      <c r="AB644" t="str" cm="1">
        <f t="array" aca="1" ref="AB644" ca="1">IFERROR(INDIRECT("$Z"&amp;AA644),"")</f>
        <v/>
      </c>
      <c r="AP644" t="str">
        <f t="shared" si="70"/>
        <v/>
      </c>
      <c r="AQ644" t="str">
        <f t="shared" si="71"/>
        <v/>
      </c>
      <c r="AR644" t="str">
        <f t="shared" si="72"/>
        <v/>
      </c>
      <c r="AS644" t="str">
        <f t="shared" si="73"/>
        <v/>
      </c>
    </row>
    <row r="645" spans="5:45" x14ac:dyDescent="0.25">
      <c r="E645" t="str">
        <f ca="1"/>
        <v/>
      </c>
      <c r="F645" t="str">
        <f ca="1"/>
        <v/>
      </c>
      <c r="P645" t="e" cm="1">
        <f t="array" ref="P645">INDEX($B$2:$D$40,MOD(ROW()-ROW($B$2),ROWS($B$2:$D$40))+1,INT((ROW()-ROW($B$2))/ROWS($B$2:$D$40))+1)</f>
        <v>#REF!</v>
      </c>
      <c r="Q645" t="e">
        <f t="shared" ca="1" si="74"/>
        <v>#N/A</v>
      </c>
      <c r="R645" t="str" cm="1">
        <f t="array" aca="1" ref="R645" ca="1">IFERROR(INDIRECT("$P"&amp;Q645),"")</f>
        <v/>
      </c>
      <c r="U645" t="e" cm="1">
        <f t="array" ref="U645">INDEX($C$2:$D$40,MOD(ROW()-ROW($C$2),ROWS($C$2:$D$40))+1,INT((ROW()-ROW($C$2))/ROWS($C$2:$D$40))+1)</f>
        <v>#REF!</v>
      </c>
      <c r="V645" t="e">
        <f t="shared" ca="1" si="75"/>
        <v>#N/A</v>
      </c>
      <c r="W645" t="str" cm="1">
        <f t="array" aca="1" ref="W645" ca="1">IFERROR(INDIRECT("$U"&amp;V645),"")</f>
        <v/>
      </c>
      <c r="Z645" t="e" cm="1">
        <f t="array" ref="Z645">INDEX($AE$2:$AS$40,MOD(ROW()-ROW($AE$2),ROWS($AE$2:$AS$40))+1,INT((ROW()-ROW($AE$2))/ROWS($AE$2:$AS$40))+1)</f>
        <v>#REF!</v>
      </c>
      <c r="AA645" t="e">
        <f t="shared" ca="1" si="76"/>
        <v>#N/A</v>
      </c>
      <c r="AB645" t="str" cm="1">
        <f t="array" aca="1" ref="AB645" ca="1">IFERROR(INDIRECT("$Z"&amp;AA645),"")</f>
        <v/>
      </c>
      <c r="AP645" t="str">
        <f t="shared" si="70"/>
        <v/>
      </c>
      <c r="AQ645" t="str">
        <f t="shared" si="71"/>
        <v/>
      </c>
      <c r="AR645" t="str">
        <f t="shared" si="72"/>
        <v/>
      </c>
      <c r="AS645" t="str">
        <f t="shared" si="73"/>
        <v/>
      </c>
    </row>
    <row r="646" spans="5:45" x14ac:dyDescent="0.25">
      <c r="E646" t="str">
        <f ca="1"/>
        <v/>
      </c>
      <c r="F646" t="str">
        <f ca="1"/>
        <v/>
      </c>
      <c r="P646" t="e" cm="1">
        <f t="array" ref="P646">INDEX($B$2:$D$40,MOD(ROW()-ROW($B$2),ROWS($B$2:$D$40))+1,INT((ROW()-ROW($B$2))/ROWS($B$2:$D$40))+1)</f>
        <v>#REF!</v>
      </c>
      <c r="Q646" t="e">
        <f t="shared" ca="1" si="74"/>
        <v>#N/A</v>
      </c>
      <c r="R646" t="str" cm="1">
        <f t="array" aca="1" ref="R646" ca="1">IFERROR(INDIRECT("$P"&amp;Q646),"")</f>
        <v/>
      </c>
      <c r="U646" t="e" cm="1">
        <f t="array" ref="U646">INDEX($C$2:$D$40,MOD(ROW()-ROW($C$2),ROWS($C$2:$D$40))+1,INT((ROW()-ROW($C$2))/ROWS($C$2:$D$40))+1)</f>
        <v>#REF!</v>
      </c>
      <c r="V646" t="e">
        <f t="shared" ca="1" si="75"/>
        <v>#N/A</v>
      </c>
      <c r="W646" t="str" cm="1">
        <f t="array" aca="1" ref="W646" ca="1">IFERROR(INDIRECT("$U"&amp;V646),"")</f>
        <v/>
      </c>
      <c r="Z646" t="e" cm="1">
        <f t="array" ref="Z646">INDEX($AE$2:$AS$40,MOD(ROW()-ROW($AE$2),ROWS($AE$2:$AS$40))+1,INT((ROW()-ROW($AE$2))/ROWS($AE$2:$AS$40))+1)</f>
        <v>#REF!</v>
      </c>
      <c r="AA646" t="e">
        <f t="shared" ca="1" si="76"/>
        <v>#N/A</v>
      </c>
      <c r="AB646" t="str" cm="1">
        <f t="array" aca="1" ref="AB646" ca="1">IFERROR(INDIRECT("$Z"&amp;AA646),"")</f>
        <v/>
      </c>
      <c r="AP646" t="str">
        <f t="shared" si="70"/>
        <v/>
      </c>
      <c r="AQ646" t="str">
        <f t="shared" si="71"/>
        <v/>
      </c>
      <c r="AR646" t="str">
        <f t="shared" si="72"/>
        <v/>
      </c>
      <c r="AS646" t="str">
        <f t="shared" si="73"/>
        <v/>
      </c>
    </row>
    <row r="647" spans="5:45" x14ac:dyDescent="0.25">
      <c r="E647" t="str">
        <f ca="1"/>
        <v/>
      </c>
      <c r="F647" t="str">
        <f ca="1"/>
        <v/>
      </c>
      <c r="P647" t="e" cm="1">
        <f t="array" ref="P647">INDEX($B$2:$D$40,MOD(ROW()-ROW($B$2),ROWS($B$2:$D$40))+1,INT((ROW()-ROW($B$2))/ROWS($B$2:$D$40))+1)</f>
        <v>#REF!</v>
      </c>
      <c r="Q647" t="e">
        <f t="shared" ca="1" si="74"/>
        <v>#N/A</v>
      </c>
      <c r="R647" t="str" cm="1">
        <f t="array" aca="1" ref="R647" ca="1">IFERROR(INDIRECT("$P"&amp;Q647),"")</f>
        <v/>
      </c>
      <c r="U647" t="e" cm="1">
        <f t="array" ref="U647">INDEX($C$2:$D$40,MOD(ROW()-ROW($C$2),ROWS($C$2:$D$40))+1,INT((ROW()-ROW($C$2))/ROWS($C$2:$D$40))+1)</f>
        <v>#REF!</v>
      </c>
      <c r="V647" t="e">
        <f t="shared" ca="1" si="75"/>
        <v>#N/A</v>
      </c>
      <c r="W647" t="str" cm="1">
        <f t="array" aca="1" ref="W647" ca="1">IFERROR(INDIRECT("$U"&amp;V647),"")</f>
        <v/>
      </c>
      <c r="Z647" t="e" cm="1">
        <f t="array" ref="Z647">INDEX($AE$2:$AS$40,MOD(ROW()-ROW($AE$2),ROWS($AE$2:$AS$40))+1,INT((ROW()-ROW($AE$2))/ROWS($AE$2:$AS$40))+1)</f>
        <v>#REF!</v>
      </c>
      <c r="AA647" t="e">
        <f t="shared" ca="1" si="76"/>
        <v>#N/A</v>
      </c>
      <c r="AB647" t="str" cm="1">
        <f t="array" aca="1" ref="AB647" ca="1">IFERROR(INDIRECT("$Z"&amp;AA647),"")</f>
        <v/>
      </c>
      <c r="AP647" t="str">
        <f t="shared" si="70"/>
        <v/>
      </c>
      <c r="AQ647" t="str">
        <f t="shared" si="71"/>
        <v/>
      </c>
      <c r="AR647" t="str">
        <f t="shared" si="72"/>
        <v/>
      </c>
      <c r="AS647" t="str">
        <f t="shared" si="73"/>
        <v/>
      </c>
    </row>
    <row r="648" spans="5:45" x14ac:dyDescent="0.25">
      <c r="E648" t="str">
        <f ca="1"/>
        <v/>
      </c>
      <c r="F648" t="str">
        <f ca="1"/>
        <v/>
      </c>
      <c r="P648" t="e" cm="1">
        <f t="array" ref="P648">INDEX($B$2:$D$40,MOD(ROW()-ROW($B$2),ROWS($B$2:$D$40))+1,INT((ROW()-ROW($B$2))/ROWS($B$2:$D$40))+1)</f>
        <v>#REF!</v>
      </c>
      <c r="Q648" t="e">
        <f t="shared" ca="1" si="74"/>
        <v>#N/A</v>
      </c>
      <c r="R648" t="str" cm="1">
        <f t="array" aca="1" ref="R648" ca="1">IFERROR(INDIRECT("$P"&amp;Q648),"")</f>
        <v/>
      </c>
      <c r="U648" t="e" cm="1">
        <f t="array" ref="U648">INDEX($C$2:$D$40,MOD(ROW()-ROW($C$2),ROWS($C$2:$D$40))+1,INT((ROW()-ROW($C$2))/ROWS($C$2:$D$40))+1)</f>
        <v>#REF!</v>
      </c>
      <c r="V648" t="e">
        <f t="shared" ca="1" si="75"/>
        <v>#N/A</v>
      </c>
      <c r="W648" t="str" cm="1">
        <f t="array" aca="1" ref="W648" ca="1">IFERROR(INDIRECT("$U"&amp;V648),"")</f>
        <v/>
      </c>
      <c r="Z648" t="e" cm="1">
        <f t="array" ref="Z648">INDEX($AE$2:$AS$40,MOD(ROW()-ROW($AE$2),ROWS($AE$2:$AS$40))+1,INT((ROW()-ROW($AE$2))/ROWS($AE$2:$AS$40))+1)</f>
        <v>#REF!</v>
      </c>
      <c r="AA648" t="e">
        <f t="shared" ca="1" si="76"/>
        <v>#N/A</v>
      </c>
      <c r="AB648" t="str" cm="1">
        <f t="array" aca="1" ref="AB648" ca="1">IFERROR(INDIRECT("$Z"&amp;AA648),"")</f>
        <v/>
      </c>
      <c r="AP648" t="str">
        <f t="shared" si="70"/>
        <v/>
      </c>
      <c r="AQ648" t="str">
        <f t="shared" si="71"/>
        <v/>
      </c>
      <c r="AR648" t="str">
        <f t="shared" si="72"/>
        <v/>
      </c>
      <c r="AS648" t="str">
        <f t="shared" si="73"/>
        <v/>
      </c>
    </row>
    <row r="649" spans="5:45" x14ac:dyDescent="0.25">
      <c r="E649" t="str">
        <f ca="1"/>
        <v/>
      </c>
      <c r="F649" t="str">
        <f ca="1"/>
        <v/>
      </c>
      <c r="P649" t="e" cm="1">
        <f t="array" ref="P649">INDEX($B$2:$D$40,MOD(ROW()-ROW($B$2),ROWS($B$2:$D$40))+1,INT((ROW()-ROW($B$2))/ROWS($B$2:$D$40))+1)</f>
        <v>#REF!</v>
      </c>
      <c r="Q649" t="e">
        <f t="shared" ca="1" si="74"/>
        <v>#N/A</v>
      </c>
      <c r="R649" t="str" cm="1">
        <f t="array" aca="1" ref="R649" ca="1">IFERROR(INDIRECT("$P"&amp;Q649),"")</f>
        <v/>
      </c>
      <c r="U649" t="e" cm="1">
        <f t="array" ref="U649">INDEX($C$2:$D$40,MOD(ROW()-ROW($C$2),ROWS($C$2:$D$40))+1,INT((ROW()-ROW($C$2))/ROWS($C$2:$D$40))+1)</f>
        <v>#REF!</v>
      </c>
      <c r="V649" t="e">
        <f t="shared" ca="1" si="75"/>
        <v>#N/A</v>
      </c>
      <c r="W649" t="str" cm="1">
        <f t="array" aca="1" ref="W649" ca="1">IFERROR(INDIRECT("$U"&amp;V649),"")</f>
        <v/>
      </c>
      <c r="Z649" t="e" cm="1">
        <f t="array" ref="Z649">INDEX($AE$2:$AS$40,MOD(ROW()-ROW($AE$2),ROWS($AE$2:$AS$40))+1,INT((ROW()-ROW($AE$2))/ROWS($AE$2:$AS$40))+1)</f>
        <v>#REF!</v>
      </c>
      <c r="AA649" t="e">
        <f t="shared" ca="1" si="76"/>
        <v>#N/A</v>
      </c>
      <c r="AB649" t="str" cm="1">
        <f t="array" aca="1" ref="AB649" ca="1">IFERROR(INDIRECT("$Z"&amp;AA649),"")</f>
        <v/>
      </c>
      <c r="AP649" t="str">
        <f t="shared" si="70"/>
        <v/>
      </c>
      <c r="AQ649" t="str">
        <f t="shared" si="71"/>
        <v/>
      </c>
      <c r="AR649" t="str">
        <f t="shared" si="72"/>
        <v/>
      </c>
      <c r="AS649" t="str">
        <f t="shared" si="73"/>
        <v/>
      </c>
    </row>
    <row r="650" spans="5:45" x14ac:dyDescent="0.25">
      <c r="E650" t="str">
        <f ca="1"/>
        <v/>
      </c>
      <c r="F650" t="str">
        <f ca="1"/>
        <v/>
      </c>
      <c r="P650" t="e" cm="1">
        <f t="array" ref="P650">INDEX($B$2:$D$40,MOD(ROW()-ROW($B$2),ROWS($B$2:$D$40))+1,INT((ROW()-ROW($B$2))/ROWS($B$2:$D$40))+1)</f>
        <v>#REF!</v>
      </c>
      <c r="Q650" t="e">
        <f t="shared" ca="1" si="74"/>
        <v>#N/A</v>
      </c>
      <c r="R650" t="str" cm="1">
        <f t="array" aca="1" ref="R650" ca="1">IFERROR(INDIRECT("$P"&amp;Q650),"")</f>
        <v/>
      </c>
      <c r="U650" t="e" cm="1">
        <f t="array" ref="U650">INDEX($C$2:$D$40,MOD(ROW()-ROW($C$2),ROWS($C$2:$D$40))+1,INT((ROW()-ROW($C$2))/ROWS($C$2:$D$40))+1)</f>
        <v>#REF!</v>
      </c>
      <c r="V650" t="e">
        <f t="shared" ca="1" si="75"/>
        <v>#N/A</v>
      </c>
      <c r="W650" t="str" cm="1">
        <f t="array" aca="1" ref="W650" ca="1">IFERROR(INDIRECT("$U"&amp;V650),"")</f>
        <v/>
      </c>
      <c r="Z650" t="e" cm="1">
        <f t="array" ref="Z650">INDEX($AE$2:$AS$40,MOD(ROW()-ROW($AE$2),ROWS($AE$2:$AS$40))+1,INT((ROW()-ROW($AE$2))/ROWS($AE$2:$AS$40))+1)</f>
        <v>#REF!</v>
      </c>
      <c r="AA650" t="e">
        <f t="shared" ca="1" si="76"/>
        <v>#N/A</v>
      </c>
      <c r="AB650" t="str" cm="1">
        <f t="array" aca="1" ref="AB650" ca="1">IFERROR(INDIRECT("$Z"&amp;AA650),"")</f>
        <v/>
      </c>
      <c r="AP650" t="str">
        <f t="shared" si="70"/>
        <v/>
      </c>
      <c r="AQ650" t="str">
        <f t="shared" si="71"/>
        <v/>
      </c>
      <c r="AR650" t="str">
        <f t="shared" si="72"/>
        <v/>
      </c>
      <c r="AS650" t="str">
        <f t="shared" si="73"/>
        <v/>
      </c>
    </row>
    <row r="651" spans="5:45" x14ac:dyDescent="0.25">
      <c r="E651" t="str">
        <f ca="1"/>
        <v/>
      </c>
      <c r="F651" t="str">
        <f ca="1"/>
        <v/>
      </c>
      <c r="P651" t="e" cm="1">
        <f t="array" ref="P651">INDEX($B$2:$D$40,MOD(ROW()-ROW($B$2),ROWS($B$2:$D$40))+1,INT((ROW()-ROW($B$2))/ROWS($B$2:$D$40))+1)</f>
        <v>#REF!</v>
      </c>
      <c r="Q651" t="e">
        <f t="shared" ca="1" si="74"/>
        <v>#N/A</v>
      </c>
      <c r="R651" t="str" cm="1">
        <f t="array" aca="1" ref="R651" ca="1">IFERROR(INDIRECT("$P"&amp;Q651),"")</f>
        <v/>
      </c>
      <c r="U651" t="e" cm="1">
        <f t="array" ref="U651">INDEX($C$2:$D$40,MOD(ROW()-ROW($C$2),ROWS($C$2:$D$40))+1,INT((ROW()-ROW($C$2))/ROWS($C$2:$D$40))+1)</f>
        <v>#REF!</v>
      </c>
      <c r="V651" t="e">
        <f t="shared" ca="1" si="75"/>
        <v>#N/A</v>
      </c>
      <c r="W651" t="str" cm="1">
        <f t="array" aca="1" ref="W651" ca="1">IFERROR(INDIRECT("$U"&amp;V651),"")</f>
        <v/>
      </c>
      <c r="Z651" t="e" cm="1">
        <f t="array" ref="Z651">INDEX($AE$2:$AS$40,MOD(ROW()-ROW($AE$2),ROWS($AE$2:$AS$40))+1,INT((ROW()-ROW($AE$2))/ROWS($AE$2:$AS$40))+1)</f>
        <v>#REF!</v>
      </c>
      <c r="AA651" t="e">
        <f t="shared" ca="1" si="76"/>
        <v>#N/A</v>
      </c>
      <c r="AB651" t="str" cm="1">
        <f t="array" aca="1" ref="AB651" ca="1">IFERROR(INDIRECT("$Z"&amp;AA651),"")</f>
        <v/>
      </c>
      <c r="AP651" t="str">
        <f t="shared" si="70"/>
        <v/>
      </c>
      <c r="AQ651" t="str">
        <f t="shared" si="71"/>
        <v/>
      </c>
      <c r="AR651" t="str">
        <f t="shared" si="72"/>
        <v/>
      </c>
      <c r="AS651" t="str">
        <f t="shared" si="73"/>
        <v/>
      </c>
    </row>
    <row r="652" spans="5:45" x14ac:dyDescent="0.25">
      <c r="E652" t="str">
        <f ca="1"/>
        <v/>
      </c>
      <c r="F652" t="str">
        <f ca="1"/>
        <v/>
      </c>
      <c r="P652" t="e" cm="1">
        <f t="array" ref="P652">INDEX($B$2:$D$40,MOD(ROW()-ROW($B$2),ROWS($B$2:$D$40))+1,INT((ROW()-ROW($B$2))/ROWS($B$2:$D$40))+1)</f>
        <v>#REF!</v>
      </c>
      <c r="Q652" t="e">
        <f t="shared" ca="1" si="74"/>
        <v>#N/A</v>
      </c>
      <c r="R652" t="str" cm="1">
        <f t="array" aca="1" ref="R652" ca="1">IFERROR(INDIRECT("$P"&amp;Q652),"")</f>
        <v/>
      </c>
      <c r="U652" t="e" cm="1">
        <f t="array" ref="U652">INDEX($C$2:$D$40,MOD(ROW()-ROW($C$2),ROWS($C$2:$D$40))+1,INT((ROW()-ROW($C$2))/ROWS($C$2:$D$40))+1)</f>
        <v>#REF!</v>
      </c>
      <c r="V652" t="e">
        <f t="shared" ca="1" si="75"/>
        <v>#N/A</v>
      </c>
      <c r="W652" t="str" cm="1">
        <f t="array" aca="1" ref="W652" ca="1">IFERROR(INDIRECT("$U"&amp;V652),"")</f>
        <v/>
      </c>
      <c r="Z652" t="e" cm="1">
        <f t="array" ref="Z652">INDEX($AE$2:$AS$40,MOD(ROW()-ROW($AE$2),ROWS($AE$2:$AS$40))+1,INT((ROW()-ROW($AE$2))/ROWS($AE$2:$AS$40))+1)</f>
        <v>#REF!</v>
      </c>
      <c r="AA652" t="e">
        <f t="shared" ca="1" si="76"/>
        <v>#N/A</v>
      </c>
      <c r="AB652" t="str" cm="1">
        <f t="array" aca="1" ref="AB652" ca="1">IFERROR(INDIRECT("$Z"&amp;AA652),"")</f>
        <v/>
      </c>
      <c r="AP652" t="str">
        <f t="shared" si="70"/>
        <v/>
      </c>
      <c r="AQ652" t="str">
        <f t="shared" si="71"/>
        <v/>
      </c>
      <c r="AR652" t="str">
        <f t="shared" si="72"/>
        <v/>
      </c>
      <c r="AS652" t="str">
        <f t="shared" si="73"/>
        <v/>
      </c>
    </row>
    <row r="653" spans="5:45" x14ac:dyDescent="0.25">
      <c r="E653" t="str">
        <f ca="1"/>
        <v/>
      </c>
      <c r="F653" t="str">
        <f ca="1"/>
        <v/>
      </c>
      <c r="P653" t="e" cm="1">
        <f t="array" ref="P653">INDEX($B$2:$D$40,MOD(ROW()-ROW($B$2),ROWS($B$2:$D$40))+1,INT((ROW()-ROW($B$2))/ROWS($B$2:$D$40))+1)</f>
        <v>#REF!</v>
      </c>
      <c r="Q653" t="e">
        <f t="shared" ca="1" si="74"/>
        <v>#N/A</v>
      </c>
      <c r="R653" t="str" cm="1">
        <f t="array" aca="1" ref="R653" ca="1">IFERROR(INDIRECT("$P"&amp;Q653),"")</f>
        <v/>
      </c>
      <c r="U653" t="e" cm="1">
        <f t="array" ref="U653">INDEX($C$2:$D$40,MOD(ROW()-ROW($C$2),ROWS($C$2:$D$40))+1,INT((ROW()-ROW($C$2))/ROWS($C$2:$D$40))+1)</f>
        <v>#REF!</v>
      </c>
      <c r="V653" t="e">
        <f t="shared" ca="1" si="75"/>
        <v>#N/A</v>
      </c>
      <c r="W653" t="str" cm="1">
        <f t="array" aca="1" ref="W653" ca="1">IFERROR(INDIRECT("$U"&amp;V653),"")</f>
        <v/>
      </c>
      <c r="Z653" t="e" cm="1">
        <f t="array" ref="Z653">INDEX($AE$2:$AS$40,MOD(ROW()-ROW($AE$2),ROWS($AE$2:$AS$40))+1,INT((ROW()-ROW($AE$2))/ROWS($AE$2:$AS$40))+1)</f>
        <v>#REF!</v>
      </c>
      <c r="AA653" t="e">
        <f t="shared" ca="1" si="76"/>
        <v>#N/A</v>
      </c>
      <c r="AB653" t="str" cm="1">
        <f t="array" aca="1" ref="AB653" ca="1">IFERROR(INDIRECT("$Z"&amp;AA653),"")</f>
        <v/>
      </c>
      <c r="AP653" t="str">
        <f t="shared" si="70"/>
        <v/>
      </c>
      <c r="AQ653" t="str">
        <f t="shared" si="71"/>
        <v/>
      </c>
      <c r="AR653" t="str">
        <f t="shared" si="72"/>
        <v/>
      </c>
      <c r="AS653" t="str">
        <f t="shared" si="73"/>
        <v/>
      </c>
    </row>
    <row r="654" spans="5:45" x14ac:dyDescent="0.25">
      <c r="E654" t="str">
        <f ca="1"/>
        <v/>
      </c>
      <c r="F654" t="str">
        <f ca="1"/>
        <v/>
      </c>
      <c r="P654" t="e" cm="1">
        <f t="array" ref="P654">INDEX($B$2:$D$40,MOD(ROW()-ROW($B$2),ROWS($B$2:$D$40))+1,INT((ROW()-ROW($B$2))/ROWS($B$2:$D$40))+1)</f>
        <v>#REF!</v>
      </c>
      <c r="Q654" t="e">
        <f t="shared" ca="1" si="74"/>
        <v>#N/A</v>
      </c>
      <c r="R654" t="str" cm="1">
        <f t="array" aca="1" ref="R654" ca="1">IFERROR(INDIRECT("$P"&amp;Q654),"")</f>
        <v/>
      </c>
      <c r="U654" t="e" cm="1">
        <f t="array" ref="U654">INDEX($C$2:$D$40,MOD(ROW()-ROW($C$2),ROWS($C$2:$D$40))+1,INT((ROW()-ROW($C$2))/ROWS($C$2:$D$40))+1)</f>
        <v>#REF!</v>
      </c>
      <c r="V654" t="e">
        <f t="shared" ca="1" si="75"/>
        <v>#N/A</v>
      </c>
      <c r="W654" t="str" cm="1">
        <f t="array" aca="1" ref="W654" ca="1">IFERROR(INDIRECT("$U"&amp;V654),"")</f>
        <v/>
      </c>
      <c r="Z654" t="e" cm="1">
        <f t="array" ref="Z654">INDEX($AE$2:$AS$40,MOD(ROW()-ROW($AE$2),ROWS($AE$2:$AS$40))+1,INT((ROW()-ROW($AE$2))/ROWS($AE$2:$AS$40))+1)</f>
        <v>#REF!</v>
      </c>
      <c r="AA654" t="e">
        <f t="shared" ca="1" si="76"/>
        <v>#N/A</v>
      </c>
      <c r="AB654" t="str" cm="1">
        <f t="array" aca="1" ref="AB654" ca="1">IFERROR(INDIRECT("$Z"&amp;AA654),"")</f>
        <v/>
      </c>
      <c r="AP654" t="str">
        <f t="shared" si="70"/>
        <v/>
      </c>
      <c r="AQ654" t="str">
        <f t="shared" si="71"/>
        <v/>
      </c>
      <c r="AR654" t="str">
        <f t="shared" si="72"/>
        <v/>
      </c>
      <c r="AS654" t="str">
        <f t="shared" si="73"/>
        <v/>
      </c>
    </row>
    <row r="655" spans="5:45" x14ac:dyDescent="0.25">
      <c r="E655" t="str">
        <f ca="1"/>
        <v/>
      </c>
      <c r="F655" t="str">
        <f ca="1"/>
        <v/>
      </c>
      <c r="P655" t="e" cm="1">
        <f t="array" ref="P655">INDEX($B$2:$D$40,MOD(ROW()-ROW($B$2),ROWS($B$2:$D$40))+1,INT((ROW()-ROW($B$2))/ROWS($B$2:$D$40))+1)</f>
        <v>#REF!</v>
      </c>
      <c r="Q655" t="e">
        <f t="shared" ca="1" si="74"/>
        <v>#N/A</v>
      </c>
      <c r="R655" t="str" cm="1">
        <f t="array" aca="1" ref="R655" ca="1">IFERROR(INDIRECT("$P"&amp;Q655),"")</f>
        <v/>
      </c>
      <c r="U655" t="e" cm="1">
        <f t="array" ref="U655">INDEX($C$2:$D$40,MOD(ROW()-ROW($C$2),ROWS($C$2:$D$40))+1,INT((ROW()-ROW($C$2))/ROWS($C$2:$D$40))+1)</f>
        <v>#REF!</v>
      </c>
      <c r="V655" t="e">
        <f t="shared" ca="1" si="75"/>
        <v>#N/A</v>
      </c>
      <c r="W655" t="str" cm="1">
        <f t="array" aca="1" ref="W655" ca="1">IFERROR(INDIRECT("$U"&amp;V655),"")</f>
        <v/>
      </c>
      <c r="Z655" t="e" cm="1">
        <f t="array" ref="Z655">INDEX($AE$2:$AS$40,MOD(ROW()-ROW($AE$2),ROWS($AE$2:$AS$40))+1,INT((ROW()-ROW($AE$2))/ROWS($AE$2:$AS$40))+1)</f>
        <v>#REF!</v>
      </c>
      <c r="AA655" t="e">
        <f t="shared" ca="1" si="76"/>
        <v>#N/A</v>
      </c>
      <c r="AB655" t="str" cm="1">
        <f t="array" aca="1" ref="AB655" ca="1">IFERROR(INDIRECT("$Z"&amp;AA655),"")</f>
        <v/>
      </c>
      <c r="AP655" t="str">
        <f t="shared" si="70"/>
        <v/>
      </c>
      <c r="AQ655" t="str">
        <f t="shared" si="71"/>
        <v/>
      </c>
      <c r="AR655" t="str">
        <f t="shared" si="72"/>
        <v/>
      </c>
      <c r="AS655" t="str">
        <f t="shared" si="73"/>
        <v/>
      </c>
    </row>
    <row r="656" spans="5:45" x14ac:dyDescent="0.25">
      <c r="E656" t="str">
        <f ca="1"/>
        <v/>
      </c>
      <c r="F656" t="str">
        <f ca="1"/>
        <v/>
      </c>
      <c r="P656" t="e" cm="1">
        <f t="array" ref="P656">INDEX($B$2:$D$40,MOD(ROW()-ROW($B$2),ROWS($B$2:$D$40))+1,INT((ROW()-ROW($B$2))/ROWS($B$2:$D$40))+1)</f>
        <v>#REF!</v>
      </c>
      <c r="Q656" t="e">
        <f t="shared" ca="1" si="74"/>
        <v>#N/A</v>
      </c>
      <c r="R656" t="str" cm="1">
        <f t="array" aca="1" ref="R656" ca="1">IFERROR(INDIRECT("$P"&amp;Q656),"")</f>
        <v/>
      </c>
      <c r="U656" t="e" cm="1">
        <f t="array" ref="U656">INDEX($C$2:$D$40,MOD(ROW()-ROW($C$2),ROWS($C$2:$D$40))+1,INT((ROW()-ROW($C$2))/ROWS($C$2:$D$40))+1)</f>
        <v>#REF!</v>
      </c>
      <c r="V656" t="e">
        <f t="shared" ca="1" si="75"/>
        <v>#N/A</v>
      </c>
      <c r="W656" t="str" cm="1">
        <f t="array" aca="1" ref="W656" ca="1">IFERROR(INDIRECT("$U"&amp;V656),"")</f>
        <v/>
      </c>
      <c r="Z656" t="e" cm="1">
        <f t="array" ref="Z656">INDEX($AE$2:$AS$40,MOD(ROW()-ROW($AE$2),ROWS($AE$2:$AS$40))+1,INT((ROW()-ROW($AE$2))/ROWS($AE$2:$AS$40))+1)</f>
        <v>#REF!</v>
      </c>
      <c r="AA656" t="e">
        <f t="shared" ca="1" si="76"/>
        <v>#N/A</v>
      </c>
      <c r="AB656" t="str" cm="1">
        <f t="array" aca="1" ref="AB656" ca="1">IFERROR(INDIRECT("$Z"&amp;AA656),"")</f>
        <v/>
      </c>
      <c r="AP656" t="str">
        <f t="shared" si="70"/>
        <v/>
      </c>
      <c r="AQ656" t="str">
        <f t="shared" si="71"/>
        <v/>
      </c>
      <c r="AR656" t="str">
        <f t="shared" si="72"/>
        <v/>
      </c>
      <c r="AS656" t="str">
        <f t="shared" si="73"/>
        <v/>
      </c>
    </row>
    <row r="657" spans="5:45" x14ac:dyDescent="0.25">
      <c r="E657" t="str">
        <f ca="1"/>
        <v/>
      </c>
      <c r="F657" t="str">
        <f ca="1"/>
        <v/>
      </c>
      <c r="P657" t="e" cm="1">
        <f t="array" ref="P657">INDEX($B$2:$D$40,MOD(ROW()-ROW($B$2),ROWS($B$2:$D$40))+1,INT((ROW()-ROW($B$2))/ROWS($B$2:$D$40))+1)</f>
        <v>#REF!</v>
      </c>
      <c r="Q657" t="e">
        <f t="shared" ca="1" si="74"/>
        <v>#N/A</v>
      </c>
      <c r="R657" t="str" cm="1">
        <f t="array" aca="1" ref="R657" ca="1">IFERROR(INDIRECT("$P"&amp;Q657),"")</f>
        <v/>
      </c>
      <c r="U657" t="e" cm="1">
        <f t="array" ref="U657">INDEX($C$2:$D$40,MOD(ROW()-ROW($C$2),ROWS($C$2:$D$40))+1,INT((ROW()-ROW($C$2))/ROWS($C$2:$D$40))+1)</f>
        <v>#REF!</v>
      </c>
      <c r="V657" t="e">
        <f t="shared" ca="1" si="75"/>
        <v>#N/A</v>
      </c>
      <c r="W657" t="str" cm="1">
        <f t="array" aca="1" ref="W657" ca="1">IFERROR(INDIRECT("$U"&amp;V657),"")</f>
        <v/>
      </c>
      <c r="Z657" t="e" cm="1">
        <f t="array" ref="Z657">INDEX($AE$2:$AS$40,MOD(ROW()-ROW($AE$2),ROWS($AE$2:$AS$40))+1,INT((ROW()-ROW($AE$2))/ROWS($AE$2:$AS$40))+1)</f>
        <v>#REF!</v>
      </c>
      <c r="AA657" t="e">
        <f t="shared" ca="1" si="76"/>
        <v>#N/A</v>
      </c>
      <c r="AB657" t="str" cm="1">
        <f t="array" aca="1" ref="AB657" ca="1">IFERROR(INDIRECT("$Z"&amp;AA657),"")</f>
        <v/>
      </c>
      <c r="AP657" t="str">
        <f t="shared" si="70"/>
        <v/>
      </c>
      <c r="AQ657" t="str">
        <f t="shared" si="71"/>
        <v/>
      </c>
      <c r="AR657" t="str">
        <f t="shared" si="72"/>
        <v/>
      </c>
      <c r="AS657" t="str">
        <f t="shared" si="73"/>
        <v/>
      </c>
    </row>
    <row r="658" spans="5:45" x14ac:dyDescent="0.25">
      <c r="E658" t="str">
        <f ca="1"/>
        <v/>
      </c>
      <c r="F658" t="str">
        <f ca="1"/>
        <v/>
      </c>
      <c r="P658" t="e" cm="1">
        <f t="array" ref="P658">INDEX($B$2:$D$40,MOD(ROW()-ROW($B$2),ROWS($B$2:$D$40))+1,INT((ROW()-ROW($B$2))/ROWS($B$2:$D$40))+1)</f>
        <v>#REF!</v>
      </c>
      <c r="Q658" t="e">
        <f t="shared" ca="1" si="74"/>
        <v>#N/A</v>
      </c>
      <c r="R658" t="str" cm="1">
        <f t="array" aca="1" ref="R658" ca="1">IFERROR(INDIRECT("$P"&amp;Q658),"")</f>
        <v/>
      </c>
      <c r="U658" t="e" cm="1">
        <f t="array" ref="U658">INDEX($C$2:$D$40,MOD(ROW()-ROW($C$2),ROWS($C$2:$D$40))+1,INT((ROW()-ROW($C$2))/ROWS($C$2:$D$40))+1)</f>
        <v>#REF!</v>
      </c>
      <c r="V658" t="e">
        <f t="shared" ca="1" si="75"/>
        <v>#N/A</v>
      </c>
      <c r="W658" t="str" cm="1">
        <f t="array" aca="1" ref="W658" ca="1">IFERROR(INDIRECT("$U"&amp;V658),"")</f>
        <v/>
      </c>
      <c r="Z658" t="e" cm="1">
        <f t="array" ref="Z658">INDEX($AE$2:$AS$40,MOD(ROW()-ROW($AE$2),ROWS($AE$2:$AS$40))+1,INT((ROW()-ROW($AE$2))/ROWS($AE$2:$AS$40))+1)</f>
        <v>#REF!</v>
      </c>
      <c r="AA658" t="e">
        <f t="shared" ca="1" si="76"/>
        <v>#N/A</v>
      </c>
      <c r="AB658" t="str" cm="1">
        <f t="array" aca="1" ref="AB658" ca="1">IFERROR(INDIRECT("$Z"&amp;AA658),"")</f>
        <v/>
      </c>
      <c r="AP658" t="str">
        <f t="shared" si="70"/>
        <v/>
      </c>
      <c r="AQ658" t="str">
        <f t="shared" si="71"/>
        <v/>
      </c>
      <c r="AR658" t="str">
        <f t="shared" si="72"/>
        <v/>
      </c>
      <c r="AS658" t="str">
        <f t="shared" si="73"/>
        <v/>
      </c>
    </row>
    <row r="659" spans="5:45" x14ac:dyDescent="0.25">
      <c r="E659" t="str">
        <f ca="1"/>
        <v/>
      </c>
      <c r="F659" t="str">
        <f ca="1"/>
        <v/>
      </c>
      <c r="P659" t="e" cm="1">
        <f t="array" ref="P659">INDEX($B$2:$D$40,MOD(ROW()-ROW($B$2),ROWS($B$2:$D$40))+1,INT((ROW()-ROW($B$2))/ROWS($B$2:$D$40))+1)</f>
        <v>#REF!</v>
      </c>
      <c r="Q659" t="e">
        <f t="shared" ca="1" si="74"/>
        <v>#N/A</v>
      </c>
      <c r="R659" t="str" cm="1">
        <f t="array" aca="1" ref="R659" ca="1">IFERROR(INDIRECT("$P"&amp;Q659),"")</f>
        <v/>
      </c>
      <c r="U659" t="e" cm="1">
        <f t="array" ref="U659">INDEX($C$2:$D$40,MOD(ROW()-ROW($C$2),ROWS($C$2:$D$40))+1,INT((ROW()-ROW($C$2))/ROWS($C$2:$D$40))+1)</f>
        <v>#REF!</v>
      </c>
      <c r="V659" t="e">
        <f t="shared" ca="1" si="75"/>
        <v>#N/A</v>
      </c>
      <c r="W659" t="str" cm="1">
        <f t="array" aca="1" ref="W659" ca="1">IFERROR(INDIRECT("$U"&amp;V659),"")</f>
        <v/>
      </c>
      <c r="Z659" t="e" cm="1">
        <f t="array" ref="Z659">INDEX($AE$2:$AS$40,MOD(ROW()-ROW($AE$2),ROWS($AE$2:$AS$40))+1,INT((ROW()-ROW($AE$2))/ROWS($AE$2:$AS$40))+1)</f>
        <v>#REF!</v>
      </c>
      <c r="AA659" t="e">
        <f t="shared" ca="1" si="76"/>
        <v>#N/A</v>
      </c>
      <c r="AB659" t="str" cm="1">
        <f t="array" aca="1" ref="AB659" ca="1">IFERROR(INDIRECT("$Z"&amp;AA659),"")</f>
        <v/>
      </c>
      <c r="AP659" t="str">
        <f t="shared" si="70"/>
        <v/>
      </c>
      <c r="AQ659" t="str">
        <f t="shared" si="71"/>
        <v/>
      </c>
      <c r="AR659" t="str">
        <f t="shared" si="72"/>
        <v/>
      </c>
      <c r="AS659" t="str">
        <f t="shared" si="73"/>
        <v/>
      </c>
    </row>
    <row r="660" spans="5:45" x14ac:dyDescent="0.25">
      <c r="E660" t="str">
        <f ca="1"/>
        <v/>
      </c>
      <c r="F660" t="str">
        <f ca="1"/>
        <v/>
      </c>
      <c r="P660" t="e" cm="1">
        <f t="array" ref="P660">INDEX($B$2:$D$40,MOD(ROW()-ROW($B$2),ROWS($B$2:$D$40))+1,INT((ROW()-ROW($B$2))/ROWS($B$2:$D$40))+1)</f>
        <v>#REF!</v>
      </c>
      <c r="Q660" t="e">
        <f t="shared" ca="1" si="74"/>
        <v>#N/A</v>
      </c>
      <c r="R660" t="str" cm="1">
        <f t="array" aca="1" ref="R660" ca="1">IFERROR(INDIRECT("$P"&amp;Q660),"")</f>
        <v/>
      </c>
      <c r="U660" t="e" cm="1">
        <f t="array" ref="U660">INDEX($C$2:$D$40,MOD(ROW()-ROW($C$2),ROWS($C$2:$D$40))+1,INT((ROW()-ROW($C$2))/ROWS($C$2:$D$40))+1)</f>
        <v>#REF!</v>
      </c>
      <c r="V660" t="e">
        <f t="shared" ca="1" si="75"/>
        <v>#N/A</v>
      </c>
      <c r="W660" t="str" cm="1">
        <f t="array" aca="1" ref="W660" ca="1">IFERROR(INDIRECT("$U"&amp;V660),"")</f>
        <v/>
      </c>
      <c r="Z660" t="e" cm="1">
        <f t="array" ref="Z660">INDEX($AE$2:$AS$40,MOD(ROW()-ROW($AE$2),ROWS($AE$2:$AS$40))+1,INT((ROW()-ROW($AE$2))/ROWS($AE$2:$AS$40))+1)</f>
        <v>#REF!</v>
      </c>
      <c r="AA660" t="e">
        <f t="shared" ca="1" si="76"/>
        <v>#N/A</v>
      </c>
      <c r="AB660" t="str" cm="1">
        <f t="array" aca="1" ref="AB660" ca="1">IFERROR(INDIRECT("$Z"&amp;AA660),"")</f>
        <v/>
      </c>
      <c r="AP660" t="str">
        <f t="shared" si="70"/>
        <v/>
      </c>
      <c r="AQ660" t="str">
        <f t="shared" si="71"/>
        <v/>
      </c>
      <c r="AR660" t="str">
        <f t="shared" si="72"/>
        <v/>
      </c>
      <c r="AS660" t="str">
        <f t="shared" si="73"/>
        <v/>
      </c>
    </row>
    <row r="661" spans="5:45" x14ac:dyDescent="0.25">
      <c r="E661" t="str">
        <f ca="1"/>
        <v/>
      </c>
      <c r="F661" t="str">
        <f ca="1"/>
        <v/>
      </c>
      <c r="P661" t="e" cm="1">
        <f t="array" ref="P661">INDEX($B$2:$D$40,MOD(ROW()-ROW($B$2),ROWS($B$2:$D$40))+1,INT((ROW()-ROW($B$2))/ROWS($B$2:$D$40))+1)</f>
        <v>#REF!</v>
      </c>
      <c r="Q661" t="e">
        <f t="shared" ca="1" si="74"/>
        <v>#N/A</v>
      </c>
      <c r="R661" t="str" cm="1">
        <f t="array" aca="1" ref="R661" ca="1">IFERROR(INDIRECT("$P"&amp;Q661),"")</f>
        <v/>
      </c>
      <c r="U661" t="e" cm="1">
        <f t="array" ref="U661">INDEX($C$2:$D$40,MOD(ROW()-ROW($C$2),ROWS($C$2:$D$40))+1,INT((ROW()-ROW($C$2))/ROWS($C$2:$D$40))+1)</f>
        <v>#REF!</v>
      </c>
      <c r="V661" t="e">
        <f t="shared" ca="1" si="75"/>
        <v>#N/A</v>
      </c>
      <c r="W661" t="str" cm="1">
        <f t="array" aca="1" ref="W661" ca="1">IFERROR(INDIRECT("$U"&amp;V661),"")</f>
        <v/>
      </c>
      <c r="Z661" t="e" cm="1">
        <f t="array" ref="Z661">INDEX($AE$2:$AS$40,MOD(ROW()-ROW($AE$2),ROWS($AE$2:$AS$40))+1,INT((ROW()-ROW($AE$2))/ROWS($AE$2:$AS$40))+1)</f>
        <v>#REF!</v>
      </c>
      <c r="AA661" t="e">
        <f t="shared" ca="1" si="76"/>
        <v>#N/A</v>
      </c>
      <c r="AB661" t="str" cm="1">
        <f t="array" aca="1" ref="AB661" ca="1">IFERROR(INDIRECT("$Z"&amp;AA661),"")</f>
        <v/>
      </c>
      <c r="AP661" t="str">
        <f t="shared" si="70"/>
        <v/>
      </c>
      <c r="AQ661" t="str">
        <f t="shared" si="71"/>
        <v/>
      </c>
      <c r="AR661" t="str">
        <f t="shared" si="72"/>
        <v/>
      </c>
      <c r="AS661" t="str">
        <f t="shared" si="73"/>
        <v/>
      </c>
    </row>
    <row r="662" spans="5:45" x14ac:dyDescent="0.25">
      <c r="E662" t="str">
        <f ca="1"/>
        <v/>
      </c>
      <c r="F662" t="str">
        <f ca="1"/>
        <v/>
      </c>
      <c r="P662" t="e" cm="1">
        <f t="array" ref="P662">INDEX($B$2:$D$40,MOD(ROW()-ROW($B$2),ROWS($B$2:$D$40))+1,INT((ROW()-ROW($B$2))/ROWS($B$2:$D$40))+1)</f>
        <v>#REF!</v>
      </c>
      <c r="Q662" t="e">
        <f t="shared" ca="1" si="74"/>
        <v>#N/A</v>
      </c>
      <c r="R662" t="str" cm="1">
        <f t="array" aca="1" ref="R662" ca="1">IFERROR(INDIRECT("$P"&amp;Q662),"")</f>
        <v/>
      </c>
      <c r="U662" t="e" cm="1">
        <f t="array" ref="U662">INDEX($C$2:$D$40,MOD(ROW()-ROW($C$2),ROWS($C$2:$D$40))+1,INT((ROW()-ROW($C$2))/ROWS($C$2:$D$40))+1)</f>
        <v>#REF!</v>
      </c>
      <c r="V662" t="e">
        <f t="shared" ca="1" si="75"/>
        <v>#N/A</v>
      </c>
      <c r="W662" t="str" cm="1">
        <f t="array" aca="1" ref="W662" ca="1">IFERROR(INDIRECT("$U"&amp;V662),"")</f>
        <v/>
      </c>
      <c r="Z662" t="e" cm="1">
        <f t="array" ref="Z662">INDEX($AE$2:$AS$40,MOD(ROW()-ROW($AE$2),ROWS($AE$2:$AS$40))+1,INT((ROW()-ROW($AE$2))/ROWS($AE$2:$AS$40))+1)</f>
        <v>#REF!</v>
      </c>
      <c r="AA662" t="e">
        <f t="shared" ca="1" si="76"/>
        <v>#N/A</v>
      </c>
      <c r="AB662" t="str" cm="1">
        <f t="array" aca="1" ref="AB662" ca="1">IFERROR(INDIRECT("$Z"&amp;AA662),"")</f>
        <v/>
      </c>
      <c r="AP662" t="str">
        <f t="shared" si="70"/>
        <v/>
      </c>
      <c r="AQ662" t="str">
        <f t="shared" si="71"/>
        <v/>
      </c>
      <c r="AR662" t="str">
        <f t="shared" si="72"/>
        <v/>
      </c>
      <c r="AS662" t="str">
        <f t="shared" si="73"/>
        <v/>
      </c>
    </row>
    <row r="663" spans="5:45" x14ac:dyDescent="0.25">
      <c r="E663" t="str">
        <f ca="1"/>
        <v/>
      </c>
      <c r="F663" t="str">
        <f ca="1"/>
        <v/>
      </c>
      <c r="P663" t="e" cm="1">
        <f t="array" ref="P663">INDEX($B$2:$D$40,MOD(ROW()-ROW($B$2),ROWS($B$2:$D$40))+1,INT((ROW()-ROW($B$2))/ROWS($B$2:$D$40))+1)</f>
        <v>#REF!</v>
      </c>
      <c r="Q663" t="e">
        <f t="shared" ca="1" si="74"/>
        <v>#N/A</v>
      </c>
      <c r="R663" t="str" cm="1">
        <f t="array" aca="1" ref="R663" ca="1">IFERROR(INDIRECT("$P"&amp;Q663),"")</f>
        <v/>
      </c>
      <c r="U663" t="e" cm="1">
        <f t="array" ref="U663">INDEX($C$2:$D$40,MOD(ROW()-ROW($C$2),ROWS($C$2:$D$40))+1,INT((ROW()-ROW($C$2))/ROWS($C$2:$D$40))+1)</f>
        <v>#REF!</v>
      </c>
      <c r="V663" t="e">
        <f t="shared" ca="1" si="75"/>
        <v>#N/A</v>
      </c>
      <c r="W663" t="str" cm="1">
        <f t="array" aca="1" ref="W663" ca="1">IFERROR(INDIRECT("$U"&amp;V663),"")</f>
        <v/>
      </c>
      <c r="Z663" t="e" cm="1">
        <f t="array" ref="Z663">INDEX($AE$2:$AS$40,MOD(ROW()-ROW($AE$2),ROWS($AE$2:$AS$40))+1,INT((ROW()-ROW($AE$2))/ROWS($AE$2:$AS$40))+1)</f>
        <v>#REF!</v>
      </c>
      <c r="AA663" t="e">
        <f t="shared" ca="1" si="76"/>
        <v>#N/A</v>
      </c>
      <c r="AB663" t="str" cm="1">
        <f t="array" aca="1" ref="AB663" ca="1">IFERROR(INDIRECT("$Z"&amp;AA663),"")</f>
        <v/>
      </c>
      <c r="AP663" t="str">
        <f t="shared" si="70"/>
        <v/>
      </c>
      <c r="AQ663" t="str">
        <f t="shared" si="71"/>
        <v/>
      </c>
      <c r="AR663" t="str">
        <f t="shared" si="72"/>
        <v/>
      </c>
      <c r="AS663" t="str">
        <f t="shared" si="73"/>
        <v/>
      </c>
    </row>
    <row r="664" spans="5:45" x14ac:dyDescent="0.25">
      <c r="E664" t="str">
        <f ca="1"/>
        <v/>
      </c>
      <c r="F664" t="str">
        <f ca="1"/>
        <v/>
      </c>
      <c r="P664" t="e" cm="1">
        <f t="array" ref="P664">INDEX($B$2:$D$40,MOD(ROW()-ROW($B$2),ROWS($B$2:$D$40))+1,INT((ROW()-ROW($B$2))/ROWS($B$2:$D$40))+1)</f>
        <v>#REF!</v>
      </c>
      <c r="Q664" t="e">
        <f t="shared" ca="1" si="74"/>
        <v>#N/A</v>
      </c>
      <c r="R664" t="str" cm="1">
        <f t="array" aca="1" ref="R664" ca="1">IFERROR(INDIRECT("$P"&amp;Q664),"")</f>
        <v/>
      </c>
      <c r="U664" t="e" cm="1">
        <f t="array" ref="U664">INDEX($C$2:$D$40,MOD(ROW()-ROW($C$2),ROWS($C$2:$D$40))+1,INT((ROW()-ROW($C$2))/ROWS($C$2:$D$40))+1)</f>
        <v>#REF!</v>
      </c>
      <c r="V664" t="e">
        <f t="shared" ca="1" si="75"/>
        <v>#N/A</v>
      </c>
      <c r="W664" t="str" cm="1">
        <f t="array" aca="1" ref="W664" ca="1">IFERROR(INDIRECT("$U"&amp;V664),"")</f>
        <v/>
      </c>
      <c r="Z664" t="e" cm="1">
        <f t="array" ref="Z664">INDEX($AE$2:$AS$40,MOD(ROW()-ROW($AE$2),ROWS($AE$2:$AS$40))+1,INT((ROW()-ROW($AE$2))/ROWS($AE$2:$AS$40))+1)</f>
        <v>#REF!</v>
      </c>
      <c r="AA664" t="e">
        <f t="shared" ca="1" si="76"/>
        <v>#N/A</v>
      </c>
      <c r="AB664" t="str" cm="1">
        <f t="array" aca="1" ref="AB664" ca="1">IFERROR(INDIRECT("$Z"&amp;AA664),"")</f>
        <v/>
      </c>
      <c r="AP664" t="str">
        <f t="shared" si="70"/>
        <v/>
      </c>
      <c r="AQ664" t="str">
        <f t="shared" si="71"/>
        <v/>
      </c>
      <c r="AR664" t="str">
        <f t="shared" si="72"/>
        <v/>
      </c>
      <c r="AS664" t="str">
        <f t="shared" si="73"/>
        <v/>
      </c>
    </row>
    <row r="665" spans="5:45" x14ac:dyDescent="0.25">
      <c r="E665" t="str">
        <f ca="1"/>
        <v/>
      </c>
      <c r="F665" t="str">
        <f ca="1"/>
        <v/>
      </c>
      <c r="P665" t="e" cm="1">
        <f t="array" ref="P665">INDEX($B$2:$D$40,MOD(ROW()-ROW($B$2),ROWS($B$2:$D$40))+1,INT((ROW()-ROW($B$2))/ROWS($B$2:$D$40))+1)</f>
        <v>#REF!</v>
      </c>
      <c r="Q665" t="e">
        <f t="shared" ca="1" si="74"/>
        <v>#N/A</v>
      </c>
      <c r="R665" t="str" cm="1">
        <f t="array" aca="1" ref="R665" ca="1">IFERROR(INDIRECT("$P"&amp;Q665),"")</f>
        <v/>
      </c>
      <c r="U665" t="e" cm="1">
        <f t="array" ref="U665">INDEX($C$2:$D$40,MOD(ROW()-ROW($C$2),ROWS($C$2:$D$40))+1,INT((ROW()-ROW($C$2))/ROWS($C$2:$D$40))+1)</f>
        <v>#REF!</v>
      </c>
      <c r="V665" t="e">
        <f t="shared" ca="1" si="75"/>
        <v>#N/A</v>
      </c>
      <c r="W665" t="str" cm="1">
        <f t="array" aca="1" ref="W665" ca="1">IFERROR(INDIRECT("$U"&amp;V665),"")</f>
        <v/>
      </c>
      <c r="Z665" t="e" cm="1">
        <f t="array" ref="Z665">INDEX($AE$2:$AS$40,MOD(ROW()-ROW($AE$2),ROWS($AE$2:$AS$40))+1,INT((ROW()-ROW($AE$2))/ROWS($AE$2:$AS$40))+1)</f>
        <v>#REF!</v>
      </c>
      <c r="AA665" t="e">
        <f t="shared" ca="1" si="76"/>
        <v>#N/A</v>
      </c>
      <c r="AB665" t="str" cm="1">
        <f t="array" aca="1" ref="AB665" ca="1">IFERROR(INDIRECT("$Z"&amp;AA665),"")</f>
        <v/>
      </c>
      <c r="AP665" t="str">
        <f t="shared" si="70"/>
        <v/>
      </c>
      <c r="AQ665" t="str">
        <f t="shared" si="71"/>
        <v/>
      </c>
      <c r="AR665" t="str">
        <f t="shared" si="72"/>
        <v/>
      </c>
      <c r="AS665" t="str">
        <f t="shared" si="73"/>
        <v/>
      </c>
    </row>
    <row r="666" spans="5:45" x14ac:dyDescent="0.25">
      <c r="E666" t="str">
        <f ca="1"/>
        <v/>
      </c>
      <c r="F666" t="str">
        <f ca="1"/>
        <v/>
      </c>
      <c r="P666" t="e" cm="1">
        <f t="array" ref="P666">INDEX($B$2:$D$40,MOD(ROW()-ROW($B$2),ROWS($B$2:$D$40))+1,INT((ROW()-ROW($B$2))/ROWS($B$2:$D$40))+1)</f>
        <v>#REF!</v>
      </c>
      <c r="Q666" t="e">
        <f t="shared" ca="1" si="74"/>
        <v>#N/A</v>
      </c>
      <c r="R666" t="str" cm="1">
        <f t="array" aca="1" ref="R666" ca="1">IFERROR(INDIRECT("$P"&amp;Q666),"")</f>
        <v/>
      </c>
      <c r="U666" t="e" cm="1">
        <f t="array" ref="U666">INDEX($C$2:$D$40,MOD(ROW()-ROW($C$2),ROWS($C$2:$D$40))+1,INT((ROW()-ROW($C$2))/ROWS($C$2:$D$40))+1)</f>
        <v>#REF!</v>
      </c>
      <c r="V666" t="e">
        <f t="shared" ca="1" si="75"/>
        <v>#N/A</v>
      </c>
      <c r="W666" t="str" cm="1">
        <f t="array" aca="1" ref="W666" ca="1">IFERROR(INDIRECT("$U"&amp;V666),"")</f>
        <v/>
      </c>
      <c r="Z666" t="e" cm="1">
        <f t="array" ref="Z666">INDEX($AE$2:$AS$40,MOD(ROW()-ROW($AE$2),ROWS($AE$2:$AS$40))+1,INT((ROW()-ROW($AE$2))/ROWS($AE$2:$AS$40))+1)</f>
        <v>#REF!</v>
      </c>
      <c r="AA666" t="e">
        <f t="shared" ca="1" si="76"/>
        <v>#N/A</v>
      </c>
      <c r="AB666" t="str" cm="1">
        <f t="array" aca="1" ref="AB666" ca="1">IFERROR(INDIRECT("$Z"&amp;AA666),"")</f>
        <v/>
      </c>
      <c r="AP666" t="str">
        <f t="shared" si="70"/>
        <v/>
      </c>
      <c r="AQ666" t="str">
        <f t="shared" si="71"/>
        <v/>
      </c>
      <c r="AR666" t="str">
        <f t="shared" si="72"/>
        <v/>
      </c>
      <c r="AS666" t="str">
        <f t="shared" si="73"/>
        <v/>
      </c>
    </row>
    <row r="667" spans="5:45" x14ac:dyDescent="0.25">
      <c r="E667" t="str">
        <f ca="1"/>
        <v/>
      </c>
      <c r="F667" t="str">
        <f ca="1"/>
        <v/>
      </c>
      <c r="P667" t="e" cm="1">
        <f t="array" ref="P667">INDEX($B$2:$D$40,MOD(ROW()-ROW($B$2),ROWS($B$2:$D$40))+1,INT((ROW()-ROW($B$2))/ROWS($B$2:$D$40))+1)</f>
        <v>#REF!</v>
      </c>
      <c r="Q667" t="e">
        <f t="shared" ca="1" si="74"/>
        <v>#N/A</v>
      </c>
      <c r="R667" t="str" cm="1">
        <f t="array" aca="1" ref="R667" ca="1">IFERROR(INDIRECT("$P"&amp;Q667),"")</f>
        <v/>
      </c>
      <c r="U667" t="e" cm="1">
        <f t="array" ref="U667">INDEX($C$2:$D$40,MOD(ROW()-ROW($C$2),ROWS($C$2:$D$40))+1,INT((ROW()-ROW($C$2))/ROWS($C$2:$D$40))+1)</f>
        <v>#REF!</v>
      </c>
      <c r="V667" t="e">
        <f t="shared" ca="1" si="75"/>
        <v>#N/A</v>
      </c>
      <c r="W667" t="str" cm="1">
        <f t="array" aca="1" ref="W667" ca="1">IFERROR(INDIRECT("$U"&amp;V667),"")</f>
        <v/>
      </c>
      <c r="Z667" t="e" cm="1">
        <f t="array" ref="Z667">INDEX($AE$2:$AS$40,MOD(ROW()-ROW($AE$2),ROWS($AE$2:$AS$40))+1,INT((ROW()-ROW($AE$2))/ROWS($AE$2:$AS$40))+1)</f>
        <v>#REF!</v>
      </c>
      <c r="AA667" t="e">
        <f t="shared" ca="1" si="76"/>
        <v>#N/A</v>
      </c>
      <c r="AB667" t="str" cm="1">
        <f t="array" aca="1" ref="AB667" ca="1">IFERROR(INDIRECT("$Z"&amp;AA667),"")</f>
        <v/>
      </c>
      <c r="AP667" t="str">
        <f t="shared" si="70"/>
        <v/>
      </c>
      <c r="AQ667" t="str">
        <f t="shared" si="71"/>
        <v/>
      </c>
      <c r="AR667" t="str">
        <f t="shared" si="72"/>
        <v/>
      </c>
      <c r="AS667" t="str">
        <f t="shared" si="73"/>
        <v/>
      </c>
    </row>
    <row r="668" spans="5:45" x14ac:dyDescent="0.25">
      <c r="E668" t="str">
        <f ca="1"/>
        <v/>
      </c>
      <c r="F668" t="str">
        <f ca="1"/>
        <v/>
      </c>
      <c r="P668" t="e" cm="1">
        <f t="array" ref="P668">INDEX($B$2:$D$40,MOD(ROW()-ROW($B$2),ROWS($B$2:$D$40))+1,INT((ROW()-ROW($B$2))/ROWS($B$2:$D$40))+1)</f>
        <v>#REF!</v>
      </c>
      <c r="Q668" t="e">
        <f t="shared" ca="1" si="74"/>
        <v>#N/A</v>
      </c>
      <c r="R668" t="str" cm="1">
        <f t="array" aca="1" ref="R668" ca="1">IFERROR(INDIRECT("$P"&amp;Q668),"")</f>
        <v/>
      </c>
      <c r="U668" t="e" cm="1">
        <f t="array" ref="U668">INDEX($C$2:$D$40,MOD(ROW()-ROW($C$2),ROWS($C$2:$D$40))+1,INT((ROW()-ROW($C$2))/ROWS($C$2:$D$40))+1)</f>
        <v>#REF!</v>
      </c>
      <c r="V668" t="e">
        <f t="shared" ca="1" si="75"/>
        <v>#N/A</v>
      </c>
      <c r="W668" t="str" cm="1">
        <f t="array" aca="1" ref="W668" ca="1">IFERROR(INDIRECT("$U"&amp;V668),"")</f>
        <v/>
      </c>
      <c r="Z668" t="e" cm="1">
        <f t="array" ref="Z668">INDEX($AE$2:$AS$40,MOD(ROW()-ROW($AE$2),ROWS($AE$2:$AS$40))+1,INT((ROW()-ROW($AE$2))/ROWS($AE$2:$AS$40))+1)</f>
        <v>#REF!</v>
      </c>
      <c r="AA668" t="e">
        <f t="shared" ca="1" si="76"/>
        <v>#N/A</v>
      </c>
      <c r="AB668" t="str" cm="1">
        <f t="array" aca="1" ref="AB668" ca="1">IFERROR(INDIRECT("$Z"&amp;AA668),"")</f>
        <v/>
      </c>
      <c r="AP668" t="str">
        <f t="shared" si="70"/>
        <v/>
      </c>
      <c r="AQ668" t="str">
        <f t="shared" si="71"/>
        <v/>
      </c>
      <c r="AR668" t="str">
        <f t="shared" si="72"/>
        <v/>
      </c>
      <c r="AS668" t="str">
        <f t="shared" si="73"/>
        <v/>
      </c>
    </row>
    <row r="669" spans="5:45" x14ac:dyDescent="0.25">
      <c r="E669" t="str">
        <f ca="1"/>
        <v/>
      </c>
      <c r="F669" t="str">
        <f ca="1"/>
        <v/>
      </c>
      <c r="P669" t="e" cm="1">
        <f t="array" ref="P669">INDEX($B$2:$D$40,MOD(ROW()-ROW($B$2),ROWS($B$2:$D$40))+1,INT((ROW()-ROW($B$2))/ROWS($B$2:$D$40))+1)</f>
        <v>#REF!</v>
      </c>
      <c r="Q669" t="e">
        <f t="shared" ca="1" si="74"/>
        <v>#N/A</v>
      </c>
      <c r="R669" t="str" cm="1">
        <f t="array" aca="1" ref="R669" ca="1">IFERROR(INDIRECT("$P"&amp;Q669),"")</f>
        <v/>
      </c>
      <c r="U669" t="e" cm="1">
        <f t="array" ref="U669">INDEX($C$2:$D$40,MOD(ROW()-ROW($C$2),ROWS($C$2:$D$40))+1,INT((ROW()-ROW($C$2))/ROWS($C$2:$D$40))+1)</f>
        <v>#REF!</v>
      </c>
      <c r="V669" t="e">
        <f t="shared" ca="1" si="75"/>
        <v>#N/A</v>
      </c>
      <c r="W669" t="str" cm="1">
        <f t="array" aca="1" ref="W669" ca="1">IFERROR(INDIRECT("$U"&amp;V669),"")</f>
        <v/>
      </c>
      <c r="Z669" t="e" cm="1">
        <f t="array" ref="Z669">INDEX($AE$2:$AS$40,MOD(ROW()-ROW($AE$2),ROWS($AE$2:$AS$40))+1,INT((ROW()-ROW($AE$2))/ROWS($AE$2:$AS$40))+1)</f>
        <v>#REF!</v>
      </c>
      <c r="AA669" t="e">
        <f t="shared" ca="1" si="76"/>
        <v>#N/A</v>
      </c>
      <c r="AB669" t="str" cm="1">
        <f t="array" aca="1" ref="AB669" ca="1">IFERROR(INDIRECT("$Z"&amp;AA669),"")</f>
        <v/>
      </c>
      <c r="AP669" t="str">
        <f t="shared" si="70"/>
        <v/>
      </c>
      <c r="AQ669" t="str">
        <f t="shared" si="71"/>
        <v/>
      </c>
      <c r="AR669" t="str">
        <f t="shared" si="72"/>
        <v/>
      </c>
      <c r="AS669" t="str">
        <f t="shared" si="73"/>
        <v/>
      </c>
    </row>
    <row r="670" spans="5:45" x14ac:dyDescent="0.25">
      <c r="E670" t="str">
        <f ca="1"/>
        <v/>
      </c>
      <c r="F670" t="str">
        <f ca="1"/>
        <v/>
      </c>
      <c r="P670" t="e" cm="1">
        <f t="array" ref="P670">INDEX($B$2:$D$40,MOD(ROW()-ROW($B$2),ROWS($B$2:$D$40))+1,INT((ROW()-ROW($B$2))/ROWS($B$2:$D$40))+1)</f>
        <v>#REF!</v>
      </c>
      <c r="Q670" t="e">
        <f t="shared" ca="1" si="74"/>
        <v>#N/A</v>
      </c>
      <c r="R670" t="str" cm="1">
        <f t="array" aca="1" ref="R670" ca="1">IFERROR(INDIRECT("$P"&amp;Q670),"")</f>
        <v/>
      </c>
      <c r="U670" t="e" cm="1">
        <f t="array" ref="U670">INDEX($C$2:$D$40,MOD(ROW()-ROW($C$2),ROWS($C$2:$D$40))+1,INT((ROW()-ROW($C$2))/ROWS($C$2:$D$40))+1)</f>
        <v>#REF!</v>
      </c>
      <c r="V670" t="e">
        <f t="shared" ca="1" si="75"/>
        <v>#N/A</v>
      </c>
      <c r="W670" t="str" cm="1">
        <f t="array" aca="1" ref="W670" ca="1">IFERROR(INDIRECT("$U"&amp;V670),"")</f>
        <v/>
      </c>
      <c r="Z670" t="e" cm="1">
        <f t="array" ref="Z670">INDEX($AE$2:$AS$40,MOD(ROW()-ROW($AE$2),ROWS($AE$2:$AS$40))+1,INT((ROW()-ROW($AE$2))/ROWS($AE$2:$AS$40))+1)</f>
        <v>#REF!</v>
      </c>
      <c r="AA670" t="e">
        <f t="shared" ca="1" si="76"/>
        <v>#N/A</v>
      </c>
      <c r="AB670" t="str" cm="1">
        <f t="array" aca="1" ref="AB670" ca="1">IFERROR(INDIRECT("$Z"&amp;AA670),"")</f>
        <v/>
      </c>
      <c r="AP670" t="str">
        <f t="shared" si="70"/>
        <v/>
      </c>
      <c r="AQ670" t="str">
        <f t="shared" si="71"/>
        <v/>
      </c>
      <c r="AR670" t="str">
        <f t="shared" si="72"/>
        <v/>
      </c>
      <c r="AS670" t="str">
        <f t="shared" si="73"/>
        <v/>
      </c>
    </row>
    <row r="671" spans="5:45" x14ac:dyDescent="0.25">
      <c r="E671" t="str">
        <f ca="1"/>
        <v/>
      </c>
      <c r="F671" t="str">
        <f ca="1"/>
        <v/>
      </c>
      <c r="P671" t="e" cm="1">
        <f t="array" ref="P671">INDEX($B$2:$D$40,MOD(ROW()-ROW($B$2),ROWS($B$2:$D$40))+1,INT((ROW()-ROW($B$2))/ROWS($B$2:$D$40))+1)</f>
        <v>#REF!</v>
      </c>
      <c r="Q671" t="e">
        <f t="shared" ca="1" si="74"/>
        <v>#N/A</v>
      </c>
      <c r="R671" t="str" cm="1">
        <f t="array" aca="1" ref="R671" ca="1">IFERROR(INDIRECT("$P"&amp;Q671),"")</f>
        <v/>
      </c>
      <c r="U671" t="e" cm="1">
        <f t="array" ref="U671">INDEX($C$2:$D$40,MOD(ROW()-ROW($C$2),ROWS($C$2:$D$40))+1,INT((ROW()-ROW($C$2))/ROWS($C$2:$D$40))+1)</f>
        <v>#REF!</v>
      </c>
      <c r="V671" t="e">
        <f t="shared" ca="1" si="75"/>
        <v>#N/A</v>
      </c>
      <c r="W671" t="str" cm="1">
        <f t="array" aca="1" ref="W671" ca="1">IFERROR(INDIRECT("$U"&amp;V671),"")</f>
        <v/>
      </c>
      <c r="Z671" t="e" cm="1">
        <f t="array" ref="Z671">INDEX($AE$2:$AS$40,MOD(ROW()-ROW($AE$2),ROWS($AE$2:$AS$40))+1,INT((ROW()-ROW($AE$2))/ROWS($AE$2:$AS$40))+1)</f>
        <v>#REF!</v>
      </c>
      <c r="AA671" t="e">
        <f t="shared" ca="1" si="76"/>
        <v>#N/A</v>
      </c>
      <c r="AB671" t="str" cm="1">
        <f t="array" aca="1" ref="AB671" ca="1">IFERROR(INDIRECT("$Z"&amp;AA671),"")</f>
        <v/>
      </c>
      <c r="AP671" t="str">
        <f t="shared" si="70"/>
        <v/>
      </c>
      <c r="AQ671" t="str">
        <f t="shared" si="71"/>
        <v/>
      </c>
      <c r="AR671" t="str">
        <f t="shared" si="72"/>
        <v/>
      </c>
      <c r="AS671" t="str">
        <f t="shared" si="73"/>
        <v/>
      </c>
    </row>
    <row r="672" spans="5:45" x14ac:dyDescent="0.25">
      <c r="E672" t="str">
        <f ca="1"/>
        <v/>
      </c>
      <c r="F672" t="str">
        <f ca="1"/>
        <v/>
      </c>
      <c r="P672" t="e" cm="1">
        <f t="array" ref="P672">INDEX($B$2:$D$40,MOD(ROW()-ROW($B$2),ROWS($B$2:$D$40))+1,INT((ROW()-ROW($B$2))/ROWS($B$2:$D$40))+1)</f>
        <v>#REF!</v>
      </c>
      <c r="Q672" t="e">
        <f t="shared" ca="1" si="74"/>
        <v>#N/A</v>
      </c>
      <c r="R672" t="str" cm="1">
        <f t="array" aca="1" ref="R672" ca="1">IFERROR(INDIRECT("$P"&amp;Q672),"")</f>
        <v/>
      </c>
      <c r="U672" t="e" cm="1">
        <f t="array" ref="U672">INDEX($C$2:$D$40,MOD(ROW()-ROW($C$2),ROWS($C$2:$D$40))+1,INT((ROW()-ROW($C$2))/ROWS($C$2:$D$40))+1)</f>
        <v>#REF!</v>
      </c>
      <c r="V672" t="e">
        <f t="shared" ca="1" si="75"/>
        <v>#N/A</v>
      </c>
      <c r="W672" t="str" cm="1">
        <f t="array" aca="1" ref="W672" ca="1">IFERROR(INDIRECT("$U"&amp;V672),"")</f>
        <v/>
      </c>
      <c r="Z672" t="e" cm="1">
        <f t="array" ref="Z672">INDEX($AE$2:$AS$40,MOD(ROW()-ROW($AE$2),ROWS($AE$2:$AS$40))+1,INT((ROW()-ROW($AE$2))/ROWS($AE$2:$AS$40))+1)</f>
        <v>#REF!</v>
      </c>
      <c r="AA672" t="e">
        <f t="shared" ca="1" si="76"/>
        <v>#N/A</v>
      </c>
      <c r="AB672" t="str" cm="1">
        <f t="array" aca="1" ref="AB672" ca="1">IFERROR(INDIRECT("$Z"&amp;AA672),"")</f>
        <v/>
      </c>
      <c r="AP672" t="str">
        <f t="shared" si="70"/>
        <v/>
      </c>
      <c r="AQ672" t="str">
        <f t="shared" si="71"/>
        <v/>
      </c>
      <c r="AR672" t="str">
        <f t="shared" si="72"/>
        <v/>
      </c>
      <c r="AS672" t="str">
        <f t="shared" si="73"/>
        <v/>
      </c>
    </row>
    <row r="673" spans="5:45" x14ac:dyDescent="0.25">
      <c r="E673" t="str">
        <f ca="1"/>
        <v/>
      </c>
      <c r="F673" t="str">
        <f ca="1"/>
        <v/>
      </c>
      <c r="P673" t="e" cm="1">
        <f t="array" ref="P673">INDEX($B$2:$D$40,MOD(ROW()-ROW($B$2),ROWS($B$2:$D$40))+1,INT((ROW()-ROW($B$2))/ROWS($B$2:$D$40))+1)</f>
        <v>#REF!</v>
      </c>
      <c r="Q673" t="e">
        <f t="shared" ca="1" si="74"/>
        <v>#N/A</v>
      </c>
      <c r="R673" t="str" cm="1">
        <f t="array" aca="1" ref="R673" ca="1">IFERROR(INDIRECT("$P"&amp;Q673),"")</f>
        <v/>
      </c>
      <c r="U673" t="e" cm="1">
        <f t="array" ref="U673">INDEX($C$2:$D$40,MOD(ROW()-ROW($C$2),ROWS($C$2:$D$40))+1,INT((ROW()-ROW($C$2))/ROWS($C$2:$D$40))+1)</f>
        <v>#REF!</v>
      </c>
      <c r="V673" t="e">
        <f t="shared" ca="1" si="75"/>
        <v>#N/A</v>
      </c>
      <c r="W673" t="str" cm="1">
        <f t="array" aca="1" ref="W673" ca="1">IFERROR(INDIRECT("$U"&amp;V673),"")</f>
        <v/>
      </c>
      <c r="Z673" t="e" cm="1">
        <f t="array" ref="Z673">INDEX($AE$2:$AS$40,MOD(ROW()-ROW($AE$2),ROWS($AE$2:$AS$40))+1,INT((ROW()-ROW($AE$2))/ROWS($AE$2:$AS$40))+1)</f>
        <v>#REF!</v>
      </c>
      <c r="AA673" t="e">
        <f t="shared" ca="1" si="76"/>
        <v>#N/A</v>
      </c>
      <c r="AB673" t="str" cm="1">
        <f t="array" aca="1" ref="AB673" ca="1">IFERROR(INDIRECT("$Z"&amp;AA673),"")</f>
        <v/>
      </c>
      <c r="AP673" t="str">
        <f t="shared" si="70"/>
        <v/>
      </c>
      <c r="AQ673" t="str">
        <f t="shared" si="71"/>
        <v/>
      </c>
      <c r="AR673" t="str">
        <f t="shared" si="72"/>
        <v/>
      </c>
      <c r="AS673" t="str">
        <f t="shared" si="73"/>
        <v/>
      </c>
    </row>
    <row r="674" spans="5:45" x14ac:dyDescent="0.25">
      <c r="E674" t="str">
        <f ca="1"/>
        <v/>
      </c>
      <c r="F674" t="str">
        <f ca="1"/>
        <v/>
      </c>
      <c r="P674" t="e" cm="1">
        <f t="array" ref="P674">INDEX($B$2:$D$40,MOD(ROW()-ROW($B$2),ROWS($B$2:$D$40))+1,INT((ROW()-ROW($B$2))/ROWS($B$2:$D$40))+1)</f>
        <v>#REF!</v>
      </c>
      <c r="Q674" t="e">
        <f t="shared" ca="1" si="74"/>
        <v>#N/A</v>
      </c>
      <c r="R674" t="str" cm="1">
        <f t="array" aca="1" ref="R674" ca="1">IFERROR(INDIRECT("$P"&amp;Q674),"")</f>
        <v/>
      </c>
      <c r="U674" t="e" cm="1">
        <f t="array" ref="U674">INDEX($C$2:$D$40,MOD(ROW()-ROW($C$2),ROWS($C$2:$D$40))+1,INT((ROW()-ROW($C$2))/ROWS($C$2:$D$40))+1)</f>
        <v>#REF!</v>
      </c>
      <c r="V674" t="e">
        <f t="shared" ca="1" si="75"/>
        <v>#N/A</v>
      </c>
      <c r="W674" t="str" cm="1">
        <f t="array" aca="1" ref="W674" ca="1">IFERROR(INDIRECT("$U"&amp;V674),"")</f>
        <v/>
      </c>
      <c r="Z674" t="e" cm="1">
        <f t="array" ref="Z674">INDEX($AE$2:$AS$40,MOD(ROW()-ROW($AE$2),ROWS($AE$2:$AS$40))+1,INT((ROW()-ROW($AE$2))/ROWS($AE$2:$AS$40))+1)</f>
        <v>#REF!</v>
      </c>
      <c r="AA674" t="e">
        <f t="shared" ca="1" si="76"/>
        <v>#N/A</v>
      </c>
      <c r="AB674" t="str" cm="1">
        <f t="array" aca="1" ref="AB674" ca="1">IFERROR(INDIRECT("$Z"&amp;AA674),"")</f>
        <v/>
      </c>
      <c r="AP674" t="str">
        <f t="shared" si="70"/>
        <v/>
      </c>
      <c r="AQ674" t="str">
        <f t="shared" si="71"/>
        <v/>
      </c>
      <c r="AR674" t="str">
        <f t="shared" si="72"/>
        <v/>
      </c>
      <c r="AS674" t="str">
        <f t="shared" si="73"/>
        <v/>
      </c>
    </row>
    <row r="675" spans="5:45" x14ac:dyDescent="0.25">
      <c r="E675" t="str">
        <f ca="1"/>
        <v/>
      </c>
      <c r="F675" t="str">
        <f ca="1"/>
        <v/>
      </c>
      <c r="P675" t="e" cm="1">
        <f t="array" ref="P675">INDEX($B$2:$D$40,MOD(ROW()-ROW($B$2),ROWS($B$2:$D$40))+1,INT((ROW()-ROW($B$2))/ROWS($B$2:$D$40))+1)</f>
        <v>#REF!</v>
      </c>
      <c r="Q675" t="e">
        <f t="shared" ca="1" si="74"/>
        <v>#N/A</v>
      </c>
      <c r="R675" t="str" cm="1">
        <f t="array" aca="1" ref="R675" ca="1">IFERROR(INDIRECT("$P"&amp;Q675),"")</f>
        <v/>
      </c>
      <c r="U675" t="e" cm="1">
        <f t="array" ref="U675">INDEX($C$2:$D$40,MOD(ROW()-ROW($C$2),ROWS($C$2:$D$40))+1,INT((ROW()-ROW($C$2))/ROWS($C$2:$D$40))+1)</f>
        <v>#REF!</v>
      </c>
      <c r="V675" t="e">
        <f t="shared" ca="1" si="75"/>
        <v>#N/A</v>
      </c>
      <c r="W675" t="str" cm="1">
        <f t="array" aca="1" ref="W675" ca="1">IFERROR(INDIRECT("$U"&amp;V675),"")</f>
        <v/>
      </c>
      <c r="Z675" t="e" cm="1">
        <f t="array" ref="Z675">INDEX($AE$2:$AS$40,MOD(ROW()-ROW($AE$2),ROWS($AE$2:$AS$40))+1,INT((ROW()-ROW($AE$2))/ROWS($AE$2:$AS$40))+1)</f>
        <v>#REF!</v>
      </c>
      <c r="AA675" t="e">
        <f t="shared" ca="1" si="76"/>
        <v>#N/A</v>
      </c>
      <c r="AB675" t="str" cm="1">
        <f t="array" aca="1" ref="AB675" ca="1">IFERROR(INDIRECT("$Z"&amp;AA675),"")</f>
        <v/>
      </c>
      <c r="AP675" t="str">
        <f t="shared" si="70"/>
        <v/>
      </c>
      <c r="AQ675" t="str">
        <f t="shared" si="71"/>
        <v/>
      </c>
      <c r="AR675" t="str">
        <f t="shared" si="72"/>
        <v/>
      </c>
      <c r="AS675" t="str">
        <f t="shared" si="73"/>
        <v/>
      </c>
    </row>
    <row r="676" spans="5:45" x14ac:dyDescent="0.25">
      <c r="E676" t="str">
        <f ca="1"/>
        <v/>
      </c>
      <c r="F676" t="str">
        <f ca="1"/>
        <v/>
      </c>
      <c r="P676" t="e" cm="1">
        <f t="array" ref="P676">INDEX($B$2:$D$40,MOD(ROW()-ROW($B$2),ROWS($B$2:$D$40))+1,INT((ROW()-ROW($B$2))/ROWS($B$2:$D$40))+1)</f>
        <v>#REF!</v>
      </c>
      <c r="Q676" t="e">
        <f t="shared" ca="1" si="74"/>
        <v>#N/A</v>
      </c>
      <c r="R676" t="str" cm="1">
        <f t="array" aca="1" ref="R676" ca="1">IFERROR(INDIRECT("$P"&amp;Q676),"")</f>
        <v/>
      </c>
      <c r="U676" t="e" cm="1">
        <f t="array" ref="U676">INDEX($C$2:$D$40,MOD(ROW()-ROW($C$2),ROWS($C$2:$D$40))+1,INT((ROW()-ROW($C$2))/ROWS($C$2:$D$40))+1)</f>
        <v>#REF!</v>
      </c>
      <c r="V676" t="e">
        <f t="shared" ca="1" si="75"/>
        <v>#N/A</v>
      </c>
      <c r="W676" t="str" cm="1">
        <f t="array" aca="1" ref="W676" ca="1">IFERROR(INDIRECT("$U"&amp;V676),"")</f>
        <v/>
      </c>
      <c r="Z676" t="e" cm="1">
        <f t="array" ref="Z676">INDEX($AE$2:$AS$40,MOD(ROW()-ROW($AE$2),ROWS($AE$2:$AS$40))+1,INT((ROW()-ROW($AE$2))/ROWS($AE$2:$AS$40))+1)</f>
        <v>#REF!</v>
      </c>
      <c r="AA676" t="e">
        <f t="shared" ca="1" si="76"/>
        <v>#N/A</v>
      </c>
      <c r="AB676" t="str" cm="1">
        <f t="array" aca="1" ref="AB676" ca="1">IFERROR(INDIRECT("$Z"&amp;AA676),"")</f>
        <v/>
      </c>
      <c r="AP676" t="str">
        <f t="shared" si="70"/>
        <v/>
      </c>
      <c r="AQ676" t="str">
        <f t="shared" si="71"/>
        <v/>
      </c>
      <c r="AR676" t="str">
        <f t="shared" si="72"/>
        <v/>
      </c>
      <c r="AS676" t="str">
        <f t="shared" si="73"/>
        <v/>
      </c>
    </row>
    <row r="677" spans="5:45" x14ac:dyDescent="0.25">
      <c r="E677" t="str">
        <f ca="1"/>
        <v/>
      </c>
      <c r="F677" t="str">
        <f ca="1"/>
        <v/>
      </c>
      <c r="P677" t="e" cm="1">
        <f t="array" ref="P677">INDEX($B$2:$D$40,MOD(ROW()-ROW($B$2),ROWS($B$2:$D$40))+1,INT((ROW()-ROW($B$2))/ROWS($B$2:$D$40))+1)</f>
        <v>#REF!</v>
      </c>
      <c r="Q677" t="e">
        <f t="shared" ca="1" si="74"/>
        <v>#N/A</v>
      </c>
      <c r="R677" t="str" cm="1">
        <f t="array" aca="1" ref="R677" ca="1">IFERROR(INDIRECT("$P"&amp;Q677),"")</f>
        <v/>
      </c>
      <c r="U677" t="e" cm="1">
        <f t="array" ref="U677">INDEX($C$2:$D$40,MOD(ROW()-ROW($C$2),ROWS($C$2:$D$40))+1,INT((ROW()-ROW($C$2))/ROWS($C$2:$D$40))+1)</f>
        <v>#REF!</v>
      </c>
      <c r="V677" t="e">
        <f t="shared" ca="1" si="75"/>
        <v>#N/A</v>
      </c>
      <c r="W677" t="str" cm="1">
        <f t="array" aca="1" ref="W677" ca="1">IFERROR(INDIRECT("$U"&amp;V677),"")</f>
        <v/>
      </c>
      <c r="Z677" t="e" cm="1">
        <f t="array" ref="Z677">INDEX($AE$2:$AS$40,MOD(ROW()-ROW($AE$2),ROWS($AE$2:$AS$40))+1,INT((ROW()-ROW($AE$2))/ROWS($AE$2:$AS$40))+1)</f>
        <v>#REF!</v>
      </c>
      <c r="AA677" t="e">
        <f t="shared" ca="1" si="76"/>
        <v>#N/A</v>
      </c>
      <c r="AB677" t="str" cm="1">
        <f t="array" aca="1" ref="AB677" ca="1">IFERROR(INDIRECT("$Z"&amp;AA677),"")</f>
        <v/>
      </c>
      <c r="AP677" t="str">
        <f t="shared" si="70"/>
        <v/>
      </c>
      <c r="AQ677" t="str">
        <f t="shared" si="71"/>
        <v/>
      </c>
      <c r="AR677" t="str">
        <f t="shared" si="72"/>
        <v/>
      </c>
      <c r="AS677" t="str">
        <f t="shared" si="73"/>
        <v/>
      </c>
    </row>
    <row r="678" spans="5:45" x14ac:dyDescent="0.25">
      <c r="E678" t="str">
        <f ca="1"/>
        <v/>
      </c>
      <c r="F678" t="str">
        <f ca="1"/>
        <v/>
      </c>
      <c r="P678" t="e" cm="1">
        <f t="array" ref="P678">INDEX($B$2:$D$40,MOD(ROW()-ROW($B$2),ROWS($B$2:$D$40))+1,INT((ROW()-ROW($B$2))/ROWS($B$2:$D$40))+1)</f>
        <v>#REF!</v>
      </c>
      <c r="Q678" t="e">
        <f t="shared" ca="1" si="74"/>
        <v>#N/A</v>
      </c>
      <c r="R678" t="str" cm="1">
        <f t="array" aca="1" ref="R678" ca="1">IFERROR(INDIRECT("$P"&amp;Q678),"")</f>
        <v/>
      </c>
      <c r="U678" t="e" cm="1">
        <f t="array" ref="U678">INDEX($C$2:$D$40,MOD(ROW()-ROW($C$2),ROWS($C$2:$D$40))+1,INT((ROW()-ROW($C$2))/ROWS($C$2:$D$40))+1)</f>
        <v>#REF!</v>
      </c>
      <c r="V678" t="e">
        <f t="shared" ca="1" si="75"/>
        <v>#N/A</v>
      </c>
      <c r="W678" t="str" cm="1">
        <f t="array" aca="1" ref="W678" ca="1">IFERROR(INDIRECT("$U"&amp;V678),"")</f>
        <v/>
      </c>
      <c r="Z678" t="e" cm="1">
        <f t="array" ref="Z678">INDEX($AE$2:$AS$40,MOD(ROW()-ROW($AE$2),ROWS($AE$2:$AS$40))+1,INT((ROW()-ROW($AE$2))/ROWS($AE$2:$AS$40))+1)</f>
        <v>#REF!</v>
      </c>
      <c r="AA678" t="e">
        <f t="shared" ca="1" si="76"/>
        <v>#N/A</v>
      </c>
      <c r="AB678" t="str" cm="1">
        <f t="array" aca="1" ref="AB678" ca="1">IFERROR(INDIRECT("$Z"&amp;AA678),"")</f>
        <v/>
      </c>
      <c r="AP678" t="str">
        <f t="shared" si="70"/>
        <v/>
      </c>
      <c r="AQ678" t="str">
        <f t="shared" si="71"/>
        <v/>
      </c>
      <c r="AR678" t="str">
        <f t="shared" si="72"/>
        <v/>
      </c>
      <c r="AS678" t="str">
        <f t="shared" si="73"/>
        <v/>
      </c>
    </row>
    <row r="679" spans="5:45" x14ac:dyDescent="0.25">
      <c r="E679" t="str">
        <f ca="1"/>
        <v/>
      </c>
      <c r="F679" t="str">
        <f ca="1"/>
        <v/>
      </c>
      <c r="P679" t="e" cm="1">
        <f t="array" ref="P679">INDEX($B$2:$D$40,MOD(ROW()-ROW($B$2),ROWS($B$2:$D$40))+1,INT((ROW()-ROW($B$2))/ROWS($B$2:$D$40))+1)</f>
        <v>#REF!</v>
      </c>
      <c r="Q679" t="e">
        <f t="shared" ca="1" si="74"/>
        <v>#N/A</v>
      </c>
      <c r="R679" t="str" cm="1">
        <f t="array" aca="1" ref="R679" ca="1">IFERROR(INDIRECT("$P"&amp;Q679),"")</f>
        <v/>
      </c>
      <c r="U679" t="e" cm="1">
        <f t="array" ref="U679">INDEX($C$2:$D$40,MOD(ROW()-ROW($C$2),ROWS($C$2:$D$40))+1,INT((ROW()-ROW($C$2))/ROWS($C$2:$D$40))+1)</f>
        <v>#REF!</v>
      </c>
      <c r="V679" t="e">
        <f t="shared" ca="1" si="75"/>
        <v>#N/A</v>
      </c>
      <c r="W679" t="str" cm="1">
        <f t="array" aca="1" ref="W679" ca="1">IFERROR(INDIRECT("$U"&amp;V679),"")</f>
        <v/>
      </c>
      <c r="Z679" t="e" cm="1">
        <f t="array" ref="Z679">INDEX($AE$2:$AS$40,MOD(ROW()-ROW($AE$2),ROWS($AE$2:$AS$40))+1,INT((ROW()-ROW($AE$2))/ROWS($AE$2:$AS$40))+1)</f>
        <v>#REF!</v>
      </c>
      <c r="AA679" t="e">
        <f t="shared" ca="1" si="76"/>
        <v>#N/A</v>
      </c>
      <c r="AB679" t="str" cm="1">
        <f t="array" aca="1" ref="AB679" ca="1">IFERROR(INDIRECT("$Z"&amp;AA679),"")</f>
        <v/>
      </c>
      <c r="AP679" t="str">
        <f t="shared" si="70"/>
        <v/>
      </c>
      <c r="AQ679" t="str">
        <f t="shared" si="71"/>
        <v/>
      </c>
      <c r="AR679" t="str">
        <f t="shared" si="72"/>
        <v/>
      </c>
      <c r="AS679" t="str">
        <f t="shared" si="73"/>
        <v/>
      </c>
    </row>
    <row r="680" spans="5:45" x14ac:dyDescent="0.25">
      <c r="E680" t="str">
        <f ca="1"/>
        <v/>
      </c>
      <c r="F680" t="str">
        <f ca="1"/>
        <v/>
      </c>
      <c r="P680" t="e" cm="1">
        <f t="array" ref="P680">INDEX($B$2:$D$40,MOD(ROW()-ROW($B$2),ROWS($B$2:$D$40))+1,INT((ROW()-ROW($B$2))/ROWS($B$2:$D$40))+1)</f>
        <v>#REF!</v>
      </c>
      <c r="Q680" t="e">
        <f t="shared" ca="1" si="74"/>
        <v>#N/A</v>
      </c>
      <c r="R680" t="str" cm="1">
        <f t="array" aca="1" ref="R680" ca="1">IFERROR(INDIRECT("$P"&amp;Q680),"")</f>
        <v/>
      </c>
      <c r="U680" t="e" cm="1">
        <f t="array" ref="U680">INDEX($C$2:$D$40,MOD(ROW()-ROW($C$2),ROWS($C$2:$D$40))+1,INT((ROW()-ROW($C$2))/ROWS($C$2:$D$40))+1)</f>
        <v>#REF!</v>
      </c>
      <c r="V680" t="e">
        <f t="shared" ca="1" si="75"/>
        <v>#N/A</v>
      </c>
      <c r="W680" t="str" cm="1">
        <f t="array" aca="1" ref="W680" ca="1">IFERROR(INDIRECT("$U"&amp;V680),"")</f>
        <v/>
      </c>
      <c r="Z680" t="e" cm="1">
        <f t="array" ref="Z680">INDEX($AE$2:$AS$40,MOD(ROW()-ROW($AE$2),ROWS($AE$2:$AS$40))+1,INT((ROW()-ROW($AE$2))/ROWS($AE$2:$AS$40))+1)</f>
        <v>#REF!</v>
      </c>
      <c r="AA680" t="e">
        <f t="shared" ca="1" si="76"/>
        <v>#N/A</v>
      </c>
      <c r="AB680" t="str" cm="1">
        <f t="array" aca="1" ref="AB680" ca="1">IFERROR(INDIRECT("$Z"&amp;AA680),"")</f>
        <v/>
      </c>
      <c r="AP680" t="str">
        <f t="shared" si="70"/>
        <v/>
      </c>
      <c r="AQ680" t="str">
        <f t="shared" si="71"/>
        <v/>
      </c>
      <c r="AR680" t="str">
        <f t="shared" si="72"/>
        <v/>
      </c>
      <c r="AS680" t="str">
        <f t="shared" si="73"/>
        <v/>
      </c>
    </row>
    <row r="681" spans="5:45" x14ac:dyDescent="0.25">
      <c r="E681" t="str">
        <f ca="1"/>
        <v/>
      </c>
      <c r="F681" t="str">
        <f ca="1"/>
        <v/>
      </c>
      <c r="P681" t="e" cm="1">
        <f t="array" ref="P681">INDEX($B$2:$D$40,MOD(ROW()-ROW($B$2),ROWS($B$2:$D$40))+1,INT((ROW()-ROW($B$2))/ROWS($B$2:$D$40))+1)</f>
        <v>#REF!</v>
      </c>
      <c r="Q681" t="e">
        <f t="shared" ca="1" si="74"/>
        <v>#N/A</v>
      </c>
      <c r="R681" t="str" cm="1">
        <f t="array" aca="1" ref="R681" ca="1">IFERROR(INDIRECT("$P"&amp;Q681),"")</f>
        <v/>
      </c>
      <c r="U681" t="e" cm="1">
        <f t="array" ref="U681">INDEX($C$2:$D$40,MOD(ROW()-ROW($C$2),ROWS($C$2:$D$40))+1,INT((ROW()-ROW($C$2))/ROWS($C$2:$D$40))+1)</f>
        <v>#REF!</v>
      </c>
      <c r="V681" t="e">
        <f t="shared" ca="1" si="75"/>
        <v>#N/A</v>
      </c>
      <c r="W681" t="str" cm="1">
        <f t="array" aca="1" ref="W681" ca="1">IFERROR(INDIRECT("$U"&amp;V681),"")</f>
        <v/>
      </c>
      <c r="Z681" t="e" cm="1">
        <f t="array" ref="Z681">INDEX($AE$2:$AS$40,MOD(ROW()-ROW($AE$2),ROWS($AE$2:$AS$40))+1,INT((ROW()-ROW($AE$2))/ROWS($AE$2:$AS$40))+1)</f>
        <v>#REF!</v>
      </c>
      <c r="AA681" t="e">
        <f t="shared" ca="1" si="76"/>
        <v>#N/A</v>
      </c>
      <c r="AB681" t="str" cm="1">
        <f t="array" aca="1" ref="AB681" ca="1">IFERROR(INDIRECT("$Z"&amp;AA681),"")</f>
        <v/>
      </c>
      <c r="AP681" t="str">
        <f t="shared" si="70"/>
        <v/>
      </c>
      <c r="AQ681" t="str">
        <f t="shared" si="71"/>
        <v/>
      </c>
      <c r="AR681" t="str">
        <f t="shared" si="72"/>
        <v/>
      </c>
      <c r="AS681" t="str">
        <f t="shared" si="73"/>
        <v/>
      </c>
    </row>
    <row r="682" spans="5:45" x14ac:dyDescent="0.25">
      <c r="E682" t="str">
        <f ca="1"/>
        <v/>
      </c>
      <c r="F682" t="str">
        <f ca="1"/>
        <v/>
      </c>
      <c r="P682" t="e" cm="1">
        <f t="array" ref="P682">INDEX($B$2:$D$40,MOD(ROW()-ROW($B$2),ROWS($B$2:$D$40))+1,INT((ROW()-ROW($B$2))/ROWS($B$2:$D$40))+1)</f>
        <v>#REF!</v>
      </c>
      <c r="Q682" t="e">
        <f t="shared" ca="1" si="74"/>
        <v>#N/A</v>
      </c>
      <c r="R682" t="str" cm="1">
        <f t="array" aca="1" ref="R682" ca="1">IFERROR(INDIRECT("$P"&amp;Q682),"")</f>
        <v/>
      </c>
      <c r="U682" t="e" cm="1">
        <f t="array" ref="U682">INDEX($C$2:$D$40,MOD(ROW()-ROW($C$2),ROWS($C$2:$D$40))+1,INT((ROW()-ROW($C$2))/ROWS($C$2:$D$40))+1)</f>
        <v>#REF!</v>
      </c>
      <c r="V682" t="e">
        <f t="shared" ca="1" si="75"/>
        <v>#N/A</v>
      </c>
      <c r="W682" t="str" cm="1">
        <f t="array" aca="1" ref="W682" ca="1">IFERROR(INDIRECT("$U"&amp;V682),"")</f>
        <v/>
      </c>
      <c r="Z682" t="e" cm="1">
        <f t="array" ref="Z682">INDEX($AE$2:$AS$40,MOD(ROW()-ROW($AE$2),ROWS($AE$2:$AS$40))+1,INT((ROW()-ROW($AE$2))/ROWS($AE$2:$AS$40))+1)</f>
        <v>#REF!</v>
      </c>
      <c r="AA682" t="e">
        <f t="shared" ca="1" si="76"/>
        <v>#N/A</v>
      </c>
      <c r="AB682" t="str" cm="1">
        <f t="array" aca="1" ref="AB682" ca="1">IFERROR(INDIRECT("$Z"&amp;AA682),"")</f>
        <v/>
      </c>
      <c r="AP682" t="str">
        <f t="shared" si="70"/>
        <v/>
      </c>
      <c r="AQ682" t="str">
        <f t="shared" si="71"/>
        <v/>
      </c>
      <c r="AR682" t="str">
        <f t="shared" si="72"/>
        <v/>
      </c>
      <c r="AS682" t="str">
        <f t="shared" si="73"/>
        <v/>
      </c>
    </row>
    <row r="683" spans="5:45" x14ac:dyDescent="0.25">
      <c r="E683" t="str">
        <f ca="1"/>
        <v/>
      </c>
      <c r="F683" t="str">
        <f ca="1"/>
        <v/>
      </c>
      <c r="P683" t="e" cm="1">
        <f t="array" ref="P683">INDEX($B$2:$D$40,MOD(ROW()-ROW($B$2),ROWS($B$2:$D$40))+1,INT((ROW()-ROW($B$2))/ROWS($B$2:$D$40))+1)</f>
        <v>#REF!</v>
      </c>
      <c r="Q683" t="e">
        <f t="shared" ca="1" si="74"/>
        <v>#N/A</v>
      </c>
      <c r="R683" t="str" cm="1">
        <f t="array" aca="1" ref="R683" ca="1">IFERROR(INDIRECT("$P"&amp;Q683),"")</f>
        <v/>
      </c>
      <c r="U683" t="e" cm="1">
        <f t="array" ref="U683">INDEX($C$2:$D$40,MOD(ROW()-ROW($C$2),ROWS($C$2:$D$40))+1,INT((ROW()-ROW($C$2))/ROWS($C$2:$D$40))+1)</f>
        <v>#REF!</v>
      </c>
      <c r="V683" t="e">
        <f t="shared" ca="1" si="75"/>
        <v>#N/A</v>
      </c>
      <c r="W683" t="str" cm="1">
        <f t="array" aca="1" ref="W683" ca="1">IFERROR(INDIRECT("$U"&amp;V683),"")</f>
        <v/>
      </c>
      <c r="Z683" t="e" cm="1">
        <f t="array" ref="Z683">INDEX($AE$2:$AS$40,MOD(ROW()-ROW($AE$2),ROWS($AE$2:$AS$40))+1,INT((ROW()-ROW($AE$2))/ROWS($AE$2:$AS$40))+1)</f>
        <v>#REF!</v>
      </c>
      <c r="AA683" t="e">
        <f t="shared" ca="1" si="76"/>
        <v>#N/A</v>
      </c>
      <c r="AB683" t="str" cm="1">
        <f t="array" aca="1" ref="AB683" ca="1">IFERROR(INDIRECT("$Z"&amp;AA683),"")</f>
        <v/>
      </c>
      <c r="AP683" t="str">
        <f t="shared" si="70"/>
        <v/>
      </c>
      <c r="AQ683" t="str">
        <f t="shared" si="71"/>
        <v/>
      </c>
      <c r="AR683" t="str">
        <f t="shared" si="72"/>
        <v/>
      </c>
      <c r="AS683" t="str">
        <f t="shared" si="73"/>
        <v/>
      </c>
    </row>
    <row r="684" spans="5:45" x14ac:dyDescent="0.25">
      <c r="E684" t="str">
        <f ca="1"/>
        <v/>
      </c>
      <c r="F684" t="str">
        <f ca="1"/>
        <v/>
      </c>
      <c r="P684" t="e" cm="1">
        <f t="array" ref="P684">INDEX($B$2:$D$40,MOD(ROW()-ROW($B$2),ROWS($B$2:$D$40))+1,INT((ROW()-ROW($B$2))/ROWS($B$2:$D$40))+1)</f>
        <v>#REF!</v>
      </c>
      <c r="Q684" t="e">
        <f t="shared" ca="1" si="74"/>
        <v>#N/A</v>
      </c>
      <c r="R684" t="str" cm="1">
        <f t="array" aca="1" ref="R684" ca="1">IFERROR(INDIRECT("$P"&amp;Q684),"")</f>
        <v/>
      </c>
      <c r="U684" t="e" cm="1">
        <f t="array" ref="U684">INDEX($C$2:$D$40,MOD(ROW()-ROW($C$2),ROWS($C$2:$D$40))+1,INT((ROW()-ROW($C$2))/ROWS($C$2:$D$40))+1)</f>
        <v>#REF!</v>
      </c>
      <c r="V684" t="e">
        <f t="shared" ca="1" si="75"/>
        <v>#N/A</v>
      </c>
      <c r="W684" t="str" cm="1">
        <f t="array" aca="1" ref="W684" ca="1">IFERROR(INDIRECT("$U"&amp;V684),"")</f>
        <v/>
      </c>
      <c r="Z684" t="e" cm="1">
        <f t="array" ref="Z684">INDEX($AE$2:$AS$40,MOD(ROW()-ROW($AE$2),ROWS($AE$2:$AS$40))+1,INT((ROW()-ROW($AE$2))/ROWS($AE$2:$AS$40))+1)</f>
        <v>#REF!</v>
      </c>
      <c r="AA684" t="e">
        <f t="shared" ca="1" si="76"/>
        <v>#N/A</v>
      </c>
      <c r="AB684" t="str" cm="1">
        <f t="array" aca="1" ref="AB684" ca="1">IFERROR(INDIRECT("$Z"&amp;AA684),"")</f>
        <v/>
      </c>
      <c r="AP684" t="str">
        <f t="shared" si="70"/>
        <v/>
      </c>
      <c r="AQ684" t="str">
        <f t="shared" si="71"/>
        <v/>
      </c>
      <c r="AR684" t="str">
        <f t="shared" si="72"/>
        <v/>
      </c>
      <c r="AS684" t="str">
        <f t="shared" si="73"/>
        <v/>
      </c>
    </row>
    <row r="685" spans="5:45" x14ac:dyDescent="0.25">
      <c r="E685" t="str">
        <f ca="1"/>
        <v/>
      </c>
      <c r="F685" t="str">
        <f ca="1"/>
        <v/>
      </c>
      <c r="P685" t="e" cm="1">
        <f t="array" ref="P685">INDEX($B$2:$D$40,MOD(ROW()-ROW($B$2),ROWS($B$2:$D$40))+1,INT((ROW()-ROW($B$2))/ROWS($B$2:$D$40))+1)</f>
        <v>#REF!</v>
      </c>
      <c r="Q685" t="e">
        <f t="shared" ca="1" si="74"/>
        <v>#N/A</v>
      </c>
      <c r="R685" t="str" cm="1">
        <f t="array" aca="1" ref="R685" ca="1">IFERROR(INDIRECT("$P"&amp;Q685),"")</f>
        <v/>
      </c>
      <c r="U685" t="e" cm="1">
        <f t="array" ref="U685">INDEX($C$2:$D$40,MOD(ROW()-ROW($C$2),ROWS($C$2:$D$40))+1,INT((ROW()-ROW($C$2))/ROWS($C$2:$D$40))+1)</f>
        <v>#REF!</v>
      </c>
      <c r="V685" t="e">
        <f t="shared" ca="1" si="75"/>
        <v>#N/A</v>
      </c>
      <c r="W685" t="str" cm="1">
        <f t="array" aca="1" ref="W685" ca="1">IFERROR(INDIRECT("$U"&amp;V685),"")</f>
        <v/>
      </c>
      <c r="Z685" t="e" cm="1">
        <f t="array" ref="Z685">INDEX($AE$2:$AS$40,MOD(ROW()-ROW($AE$2),ROWS($AE$2:$AS$40))+1,INT((ROW()-ROW($AE$2))/ROWS($AE$2:$AS$40))+1)</f>
        <v>#REF!</v>
      </c>
      <c r="AA685" t="e">
        <f t="shared" ca="1" si="76"/>
        <v>#N/A</v>
      </c>
      <c r="AB685" t="str" cm="1">
        <f t="array" aca="1" ref="AB685" ca="1">IFERROR(INDIRECT("$Z"&amp;AA685),"")</f>
        <v/>
      </c>
      <c r="AP685" t="str">
        <f t="shared" si="70"/>
        <v/>
      </c>
      <c r="AQ685" t="str">
        <f t="shared" si="71"/>
        <v/>
      </c>
      <c r="AR685" t="str">
        <f t="shared" si="72"/>
        <v/>
      </c>
      <c r="AS685" t="str">
        <f t="shared" si="73"/>
        <v/>
      </c>
    </row>
    <row r="686" spans="5:45" x14ac:dyDescent="0.25">
      <c r="E686" t="str">
        <f ca="1"/>
        <v/>
      </c>
      <c r="F686" t="str">
        <f ca="1"/>
        <v/>
      </c>
      <c r="P686" t="e" cm="1">
        <f t="array" ref="P686">INDEX($B$2:$D$40,MOD(ROW()-ROW($B$2),ROWS($B$2:$D$40))+1,INT((ROW()-ROW($B$2))/ROWS($B$2:$D$40))+1)</f>
        <v>#REF!</v>
      </c>
      <c r="Q686" t="e">
        <f t="shared" ca="1" si="74"/>
        <v>#N/A</v>
      </c>
      <c r="R686" t="str" cm="1">
        <f t="array" aca="1" ref="R686" ca="1">IFERROR(INDIRECT("$P"&amp;Q686),"")</f>
        <v/>
      </c>
      <c r="U686" t="e" cm="1">
        <f t="array" ref="U686">INDEX($C$2:$D$40,MOD(ROW()-ROW($C$2),ROWS($C$2:$D$40))+1,INT((ROW()-ROW($C$2))/ROWS($C$2:$D$40))+1)</f>
        <v>#REF!</v>
      </c>
      <c r="V686" t="e">
        <f t="shared" ca="1" si="75"/>
        <v>#N/A</v>
      </c>
      <c r="W686" t="str" cm="1">
        <f t="array" aca="1" ref="W686" ca="1">IFERROR(INDIRECT("$U"&amp;V686),"")</f>
        <v/>
      </c>
      <c r="Z686" t="e" cm="1">
        <f t="array" ref="Z686">INDEX($AE$2:$AS$40,MOD(ROW()-ROW($AE$2),ROWS($AE$2:$AS$40))+1,INT((ROW()-ROW($AE$2))/ROWS($AE$2:$AS$40))+1)</f>
        <v>#REF!</v>
      </c>
      <c r="AA686" t="e">
        <f t="shared" ca="1" si="76"/>
        <v>#N/A</v>
      </c>
      <c r="AB686" t="str" cm="1">
        <f t="array" aca="1" ref="AB686" ca="1">IFERROR(INDIRECT("$Z"&amp;AA686),"")</f>
        <v/>
      </c>
      <c r="AP686" t="str">
        <f t="shared" si="70"/>
        <v/>
      </c>
      <c r="AQ686" t="str">
        <f t="shared" si="71"/>
        <v/>
      </c>
      <c r="AR686" t="str">
        <f t="shared" si="72"/>
        <v/>
      </c>
      <c r="AS686" t="str">
        <f t="shared" si="73"/>
        <v/>
      </c>
    </row>
    <row r="687" spans="5:45" x14ac:dyDescent="0.25">
      <c r="E687" t="str">
        <f ca="1"/>
        <v/>
      </c>
      <c r="F687" t="str">
        <f ca="1"/>
        <v/>
      </c>
      <c r="P687" t="e" cm="1">
        <f t="array" ref="P687">INDEX($B$2:$D$40,MOD(ROW()-ROW($B$2),ROWS($B$2:$D$40))+1,INT((ROW()-ROW($B$2))/ROWS($B$2:$D$40))+1)</f>
        <v>#REF!</v>
      </c>
      <c r="Q687" t="e">
        <f t="shared" ca="1" si="74"/>
        <v>#N/A</v>
      </c>
      <c r="R687" t="str" cm="1">
        <f t="array" aca="1" ref="R687" ca="1">IFERROR(INDIRECT("$P"&amp;Q687),"")</f>
        <v/>
      </c>
      <c r="U687" t="e" cm="1">
        <f t="array" ref="U687">INDEX($C$2:$D$40,MOD(ROW()-ROW($C$2),ROWS($C$2:$D$40))+1,INT((ROW()-ROW($C$2))/ROWS($C$2:$D$40))+1)</f>
        <v>#REF!</v>
      </c>
      <c r="V687" t="e">
        <f t="shared" ca="1" si="75"/>
        <v>#N/A</v>
      </c>
      <c r="W687" t="str" cm="1">
        <f t="array" aca="1" ref="W687" ca="1">IFERROR(INDIRECT("$U"&amp;V687),"")</f>
        <v/>
      </c>
      <c r="Z687" t="e" cm="1">
        <f t="array" ref="Z687">INDEX($AE$2:$AS$40,MOD(ROW()-ROW($AE$2),ROWS($AE$2:$AS$40))+1,INT((ROW()-ROW($AE$2))/ROWS($AE$2:$AS$40))+1)</f>
        <v>#REF!</v>
      </c>
      <c r="AA687" t="e">
        <f t="shared" ca="1" si="76"/>
        <v>#N/A</v>
      </c>
      <c r="AB687" t="str" cm="1">
        <f t="array" aca="1" ref="AB687" ca="1">IFERROR(INDIRECT("$Z"&amp;AA687),"")</f>
        <v/>
      </c>
      <c r="AP687" t="str">
        <f t="shared" si="70"/>
        <v/>
      </c>
      <c r="AQ687" t="str">
        <f t="shared" si="71"/>
        <v/>
      </c>
      <c r="AR687" t="str">
        <f t="shared" si="72"/>
        <v/>
      </c>
      <c r="AS687" t="str">
        <f t="shared" si="73"/>
        <v/>
      </c>
    </row>
    <row r="688" spans="5:45" x14ac:dyDescent="0.25">
      <c r="E688" t="str">
        <f ca="1"/>
        <v/>
      </c>
      <c r="F688" t="str">
        <f ca="1"/>
        <v/>
      </c>
      <c r="P688" t="e" cm="1">
        <f t="array" ref="P688">INDEX($B$2:$D$40,MOD(ROW()-ROW($B$2),ROWS($B$2:$D$40))+1,INT((ROW()-ROW($B$2))/ROWS($B$2:$D$40))+1)</f>
        <v>#REF!</v>
      </c>
      <c r="Q688" t="e">
        <f t="shared" ca="1" si="74"/>
        <v>#N/A</v>
      </c>
      <c r="R688" t="str" cm="1">
        <f t="array" aca="1" ref="R688" ca="1">IFERROR(INDIRECT("$P"&amp;Q688),"")</f>
        <v/>
      </c>
      <c r="U688" t="e" cm="1">
        <f t="array" ref="U688">INDEX($C$2:$D$40,MOD(ROW()-ROW($C$2),ROWS($C$2:$D$40))+1,INT((ROW()-ROW($C$2))/ROWS($C$2:$D$40))+1)</f>
        <v>#REF!</v>
      </c>
      <c r="V688" t="e">
        <f t="shared" ca="1" si="75"/>
        <v>#N/A</v>
      </c>
      <c r="W688" t="str" cm="1">
        <f t="array" aca="1" ref="W688" ca="1">IFERROR(INDIRECT("$U"&amp;V688),"")</f>
        <v/>
      </c>
      <c r="Z688" t="e" cm="1">
        <f t="array" ref="Z688">INDEX($AE$2:$AS$40,MOD(ROW()-ROW($AE$2),ROWS($AE$2:$AS$40))+1,INT((ROW()-ROW($AE$2))/ROWS($AE$2:$AS$40))+1)</f>
        <v>#REF!</v>
      </c>
      <c r="AA688" t="e">
        <f t="shared" ca="1" si="76"/>
        <v>#N/A</v>
      </c>
      <c r="AB688" t="str" cm="1">
        <f t="array" aca="1" ref="AB688" ca="1">IFERROR(INDIRECT("$Z"&amp;AA688),"")</f>
        <v/>
      </c>
      <c r="AP688" t="str">
        <f t="shared" si="70"/>
        <v/>
      </c>
      <c r="AQ688" t="str">
        <f t="shared" si="71"/>
        <v/>
      </c>
      <c r="AR688" t="str">
        <f t="shared" si="72"/>
        <v/>
      </c>
      <c r="AS688" t="str">
        <f t="shared" si="73"/>
        <v/>
      </c>
    </row>
    <row r="689" spans="5:45" x14ac:dyDescent="0.25">
      <c r="E689" t="str">
        <f ca="1"/>
        <v/>
      </c>
      <c r="F689" t="str">
        <f ca="1"/>
        <v/>
      </c>
      <c r="P689" t="e" cm="1">
        <f t="array" ref="P689">INDEX($B$2:$D$40,MOD(ROW()-ROW($B$2),ROWS($B$2:$D$40))+1,INT((ROW()-ROW($B$2))/ROWS($B$2:$D$40))+1)</f>
        <v>#REF!</v>
      </c>
      <c r="Q689" t="e">
        <f t="shared" ca="1" si="74"/>
        <v>#N/A</v>
      </c>
      <c r="R689" t="str" cm="1">
        <f t="array" aca="1" ref="R689" ca="1">IFERROR(INDIRECT("$P"&amp;Q689),"")</f>
        <v/>
      </c>
      <c r="U689" t="e" cm="1">
        <f t="array" ref="U689">INDEX($C$2:$D$40,MOD(ROW()-ROW($C$2),ROWS($C$2:$D$40))+1,INT((ROW()-ROW($C$2))/ROWS($C$2:$D$40))+1)</f>
        <v>#REF!</v>
      </c>
      <c r="V689" t="e">
        <f t="shared" ca="1" si="75"/>
        <v>#N/A</v>
      </c>
      <c r="W689" t="str" cm="1">
        <f t="array" aca="1" ref="W689" ca="1">IFERROR(INDIRECT("$U"&amp;V689),"")</f>
        <v/>
      </c>
      <c r="Z689" t="e" cm="1">
        <f t="array" ref="Z689">INDEX($AE$2:$AS$40,MOD(ROW()-ROW($AE$2),ROWS($AE$2:$AS$40))+1,INT((ROW()-ROW($AE$2))/ROWS($AE$2:$AS$40))+1)</f>
        <v>#REF!</v>
      </c>
      <c r="AA689" t="e">
        <f t="shared" ca="1" si="76"/>
        <v>#N/A</v>
      </c>
      <c r="AB689" t="str" cm="1">
        <f t="array" aca="1" ref="AB689" ca="1">IFERROR(INDIRECT("$Z"&amp;AA689),"")</f>
        <v/>
      </c>
      <c r="AP689" t="str">
        <f t="shared" si="70"/>
        <v/>
      </c>
      <c r="AQ689" t="str">
        <f t="shared" si="71"/>
        <v/>
      </c>
      <c r="AR689" t="str">
        <f t="shared" si="72"/>
        <v/>
      </c>
      <c r="AS689" t="str">
        <f t="shared" si="73"/>
        <v/>
      </c>
    </row>
    <row r="690" spans="5:45" x14ac:dyDescent="0.25">
      <c r="E690" t="str">
        <f ca="1"/>
        <v/>
      </c>
      <c r="F690" t="str">
        <f ca="1"/>
        <v/>
      </c>
      <c r="P690" t="e" cm="1">
        <f t="array" ref="P690">INDEX($B$2:$D$40,MOD(ROW()-ROW($B$2),ROWS($B$2:$D$40))+1,INT((ROW()-ROW($B$2))/ROWS($B$2:$D$40))+1)</f>
        <v>#REF!</v>
      </c>
      <c r="Q690" t="e">
        <f t="shared" ca="1" si="74"/>
        <v>#N/A</v>
      </c>
      <c r="R690" t="str" cm="1">
        <f t="array" aca="1" ref="R690" ca="1">IFERROR(INDIRECT("$P"&amp;Q690),"")</f>
        <v/>
      </c>
      <c r="U690" t="e" cm="1">
        <f t="array" ref="U690">INDEX($C$2:$D$40,MOD(ROW()-ROW($C$2),ROWS($C$2:$D$40))+1,INT((ROW()-ROW($C$2))/ROWS($C$2:$D$40))+1)</f>
        <v>#REF!</v>
      </c>
      <c r="V690" t="e">
        <f t="shared" ca="1" si="75"/>
        <v>#N/A</v>
      </c>
      <c r="W690" t="str" cm="1">
        <f t="array" aca="1" ref="W690" ca="1">IFERROR(INDIRECT("$U"&amp;V690),"")</f>
        <v/>
      </c>
      <c r="Z690" t="e" cm="1">
        <f t="array" ref="Z690">INDEX($AE$2:$AS$40,MOD(ROW()-ROW($AE$2),ROWS($AE$2:$AS$40))+1,INT((ROW()-ROW($AE$2))/ROWS($AE$2:$AS$40))+1)</f>
        <v>#REF!</v>
      </c>
      <c r="AA690" t="e">
        <f t="shared" ca="1" si="76"/>
        <v>#N/A</v>
      </c>
      <c r="AB690" t="str" cm="1">
        <f t="array" aca="1" ref="AB690" ca="1">IFERROR(INDIRECT("$Z"&amp;AA690),"")</f>
        <v/>
      </c>
      <c r="AP690" t="str">
        <f t="shared" si="70"/>
        <v/>
      </c>
      <c r="AQ690" t="str">
        <f t="shared" si="71"/>
        <v/>
      </c>
      <c r="AR690" t="str">
        <f t="shared" si="72"/>
        <v/>
      </c>
      <c r="AS690" t="str">
        <f t="shared" si="73"/>
        <v/>
      </c>
    </row>
    <row r="691" spans="5:45" x14ac:dyDescent="0.25">
      <c r="E691" t="str">
        <f ca="1"/>
        <v/>
      </c>
      <c r="F691" t="str">
        <f ca="1"/>
        <v/>
      </c>
      <c r="P691" t="e" cm="1">
        <f t="array" ref="P691">INDEX($B$2:$D$40,MOD(ROW()-ROW($B$2),ROWS($B$2:$D$40))+1,INT((ROW()-ROW($B$2))/ROWS($B$2:$D$40))+1)</f>
        <v>#REF!</v>
      </c>
      <c r="Q691" t="e">
        <f t="shared" ca="1" si="74"/>
        <v>#N/A</v>
      </c>
      <c r="R691" t="str" cm="1">
        <f t="array" aca="1" ref="R691" ca="1">IFERROR(INDIRECT("$P"&amp;Q691),"")</f>
        <v/>
      </c>
      <c r="U691" t="e" cm="1">
        <f t="array" ref="U691">INDEX($C$2:$D$40,MOD(ROW()-ROW($C$2),ROWS($C$2:$D$40))+1,INT((ROW()-ROW($C$2))/ROWS($C$2:$D$40))+1)</f>
        <v>#REF!</v>
      </c>
      <c r="V691" t="e">
        <f t="shared" ca="1" si="75"/>
        <v>#N/A</v>
      </c>
      <c r="W691" t="str" cm="1">
        <f t="array" aca="1" ref="W691" ca="1">IFERROR(INDIRECT("$U"&amp;V691),"")</f>
        <v/>
      </c>
      <c r="Z691" t="e" cm="1">
        <f t="array" ref="Z691">INDEX($AE$2:$AS$40,MOD(ROW()-ROW($AE$2),ROWS($AE$2:$AS$40))+1,INT((ROW()-ROW($AE$2))/ROWS($AE$2:$AS$40))+1)</f>
        <v>#REF!</v>
      </c>
      <c r="AA691" t="e">
        <f t="shared" ca="1" si="76"/>
        <v>#N/A</v>
      </c>
      <c r="AB691" t="str" cm="1">
        <f t="array" aca="1" ref="AB691" ca="1">IFERROR(INDIRECT("$Z"&amp;AA691),"")</f>
        <v/>
      </c>
      <c r="AP691" t="str">
        <f t="shared" si="70"/>
        <v/>
      </c>
      <c r="AQ691" t="str">
        <f t="shared" si="71"/>
        <v/>
      </c>
      <c r="AR691" t="str">
        <f t="shared" si="72"/>
        <v/>
      </c>
      <c r="AS691" t="str">
        <f t="shared" si="73"/>
        <v/>
      </c>
    </row>
    <row r="692" spans="5:45" x14ac:dyDescent="0.25">
      <c r="E692" t="str">
        <f ca="1"/>
        <v/>
      </c>
      <c r="F692" t="str">
        <f ca="1"/>
        <v/>
      </c>
      <c r="P692" t="e" cm="1">
        <f t="array" ref="P692">INDEX($B$2:$D$40,MOD(ROW()-ROW($B$2),ROWS($B$2:$D$40))+1,INT((ROW()-ROW($B$2))/ROWS($B$2:$D$40))+1)</f>
        <v>#REF!</v>
      </c>
      <c r="Q692" t="e">
        <f t="shared" ca="1" si="74"/>
        <v>#N/A</v>
      </c>
      <c r="R692" t="str" cm="1">
        <f t="array" aca="1" ref="R692" ca="1">IFERROR(INDIRECT("$P"&amp;Q692),"")</f>
        <v/>
      </c>
      <c r="U692" t="e" cm="1">
        <f t="array" ref="U692">INDEX($C$2:$D$40,MOD(ROW()-ROW($C$2),ROWS($C$2:$D$40))+1,INT((ROW()-ROW($C$2))/ROWS($C$2:$D$40))+1)</f>
        <v>#REF!</v>
      </c>
      <c r="V692" t="e">
        <f t="shared" ca="1" si="75"/>
        <v>#N/A</v>
      </c>
      <c r="W692" t="str" cm="1">
        <f t="array" aca="1" ref="W692" ca="1">IFERROR(INDIRECT("$U"&amp;V692),"")</f>
        <v/>
      </c>
      <c r="Z692" t="e" cm="1">
        <f t="array" ref="Z692">INDEX($AE$2:$AS$40,MOD(ROW()-ROW($AE$2),ROWS($AE$2:$AS$40))+1,INT((ROW()-ROW($AE$2))/ROWS($AE$2:$AS$40))+1)</f>
        <v>#REF!</v>
      </c>
      <c r="AA692" t="e">
        <f t="shared" ca="1" si="76"/>
        <v>#N/A</v>
      </c>
      <c r="AB692" t="str" cm="1">
        <f t="array" aca="1" ref="AB692" ca="1">IFERROR(INDIRECT("$Z"&amp;AA692),"")</f>
        <v/>
      </c>
      <c r="AP692" t="str">
        <f t="shared" si="70"/>
        <v/>
      </c>
      <c r="AQ692" t="str">
        <f t="shared" si="71"/>
        <v/>
      </c>
      <c r="AR692" t="str">
        <f t="shared" si="72"/>
        <v/>
      </c>
      <c r="AS692" t="str">
        <f t="shared" si="73"/>
        <v/>
      </c>
    </row>
    <row r="693" spans="5:45" x14ac:dyDescent="0.25">
      <c r="E693" t="str">
        <f ca="1"/>
        <v/>
      </c>
      <c r="F693" t="str">
        <f ca="1"/>
        <v/>
      </c>
      <c r="P693" t="e" cm="1">
        <f t="array" ref="P693">INDEX($B$2:$D$40,MOD(ROW()-ROW($B$2),ROWS($B$2:$D$40))+1,INT((ROW()-ROW($B$2))/ROWS($B$2:$D$40))+1)</f>
        <v>#REF!</v>
      </c>
      <c r="Q693" t="e">
        <f t="shared" ca="1" si="74"/>
        <v>#N/A</v>
      </c>
      <c r="R693" t="str" cm="1">
        <f t="array" aca="1" ref="R693" ca="1">IFERROR(INDIRECT("$P"&amp;Q693),"")</f>
        <v/>
      </c>
      <c r="U693" t="e" cm="1">
        <f t="array" ref="U693">INDEX($C$2:$D$40,MOD(ROW()-ROW($C$2),ROWS($C$2:$D$40))+1,INT((ROW()-ROW($C$2))/ROWS($C$2:$D$40))+1)</f>
        <v>#REF!</v>
      </c>
      <c r="V693" t="e">
        <f t="shared" ca="1" si="75"/>
        <v>#N/A</v>
      </c>
      <c r="W693" t="str" cm="1">
        <f t="array" aca="1" ref="W693" ca="1">IFERROR(INDIRECT("$U"&amp;V693),"")</f>
        <v/>
      </c>
      <c r="Z693" t="e" cm="1">
        <f t="array" ref="Z693">INDEX($AE$2:$AS$40,MOD(ROW()-ROW($AE$2),ROWS($AE$2:$AS$40))+1,INT((ROW()-ROW($AE$2))/ROWS($AE$2:$AS$40))+1)</f>
        <v>#REF!</v>
      </c>
      <c r="AA693" t="e">
        <f t="shared" ca="1" si="76"/>
        <v>#N/A</v>
      </c>
      <c r="AB693" t="str" cm="1">
        <f t="array" aca="1" ref="AB693" ca="1">IFERROR(INDIRECT("$Z"&amp;AA693),"")</f>
        <v/>
      </c>
      <c r="AP693" t="str">
        <f t="shared" si="70"/>
        <v/>
      </c>
      <c r="AQ693" t="str">
        <f t="shared" si="71"/>
        <v/>
      </c>
      <c r="AR693" t="str">
        <f t="shared" si="72"/>
        <v/>
      </c>
      <c r="AS693" t="str">
        <f t="shared" si="73"/>
        <v/>
      </c>
    </row>
    <row r="694" spans="5:45" x14ac:dyDescent="0.25">
      <c r="E694" t="str">
        <f ca="1"/>
        <v/>
      </c>
      <c r="F694" t="str">
        <f ca="1"/>
        <v/>
      </c>
      <c r="P694" t="e" cm="1">
        <f t="array" ref="P694">INDEX($B$2:$D$40,MOD(ROW()-ROW($B$2),ROWS($B$2:$D$40))+1,INT((ROW()-ROW($B$2))/ROWS($B$2:$D$40))+1)</f>
        <v>#REF!</v>
      </c>
      <c r="Q694" t="e">
        <f t="shared" ca="1" si="74"/>
        <v>#N/A</v>
      </c>
      <c r="R694" t="str" cm="1">
        <f t="array" aca="1" ref="R694" ca="1">IFERROR(INDIRECT("$P"&amp;Q694),"")</f>
        <v/>
      </c>
      <c r="U694" t="e" cm="1">
        <f t="array" ref="U694">INDEX($C$2:$D$40,MOD(ROW()-ROW($C$2),ROWS($C$2:$D$40))+1,INT((ROW()-ROW($C$2))/ROWS($C$2:$D$40))+1)</f>
        <v>#REF!</v>
      </c>
      <c r="V694" t="e">
        <f t="shared" ca="1" si="75"/>
        <v>#N/A</v>
      </c>
      <c r="W694" t="str" cm="1">
        <f t="array" aca="1" ref="W694" ca="1">IFERROR(INDIRECT("$U"&amp;V694),"")</f>
        <v/>
      </c>
      <c r="Z694" t="e" cm="1">
        <f t="array" ref="Z694">INDEX($AE$2:$AS$40,MOD(ROW()-ROW($AE$2),ROWS($AE$2:$AS$40))+1,INT((ROW()-ROW($AE$2))/ROWS($AE$2:$AS$40))+1)</f>
        <v>#REF!</v>
      </c>
      <c r="AA694" t="e">
        <f t="shared" ca="1" si="76"/>
        <v>#N/A</v>
      </c>
      <c r="AB694" t="str" cm="1">
        <f t="array" aca="1" ref="AB694" ca="1">IFERROR(INDIRECT("$Z"&amp;AA694),"")</f>
        <v/>
      </c>
      <c r="AP694" t="str">
        <f t="shared" si="70"/>
        <v/>
      </c>
      <c r="AQ694" t="str">
        <f t="shared" si="71"/>
        <v/>
      </c>
      <c r="AR694" t="str">
        <f t="shared" si="72"/>
        <v/>
      </c>
      <c r="AS694" t="str">
        <f t="shared" si="73"/>
        <v/>
      </c>
    </row>
    <row r="695" spans="5:45" x14ac:dyDescent="0.25">
      <c r="E695" t="str">
        <f ca="1"/>
        <v/>
      </c>
      <c r="F695" t="str">
        <f ca="1"/>
        <v/>
      </c>
      <c r="P695" t="e" cm="1">
        <f t="array" ref="P695">INDEX($B$2:$D$40,MOD(ROW()-ROW($B$2),ROWS($B$2:$D$40))+1,INT((ROW()-ROW($B$2))/ROWS($B$2:$D$40))+1)</f>
        <v>#REF!</v>
      </c>
      <c r="Q695" t="e">
        <f t="shared" ca="1" si="74"/>
        <v>#N/A</v>
      </c>
      <c r="R695" t="str" cm="1">
        <f t="array" aca="1" ref="R695" ca="1">IFERROR(INDIRECT("$P"&amp;Q695),"")</f>
        <v/>
      </c>
      <c r="U695" t="e" cm="1">
        <f t="array" ref="U695">INDEX($C$2:$D$40,MOD(ROW()-ROW($C$2),ROWS($C$2:$D$40))+1,INT((ROW()-ROW($C$2))/ROWS($C$2:$D$40))+1)</f>
        <v>#REF!</v>
      </c>
      <c r="V695" t="e">
        <f t="shared" ca="1" si="75"/>
        <v>#N/A</v>
      </c>
      <c r="W695" t="str" cm="1">
        <f t="array" aca="1" ref="W695" ca="1">IFERROR(INDIRECT("$U"&amp;V695),"")</f>
        <v/>
      </c>
      <c r="Z695" t="e" cm="1">
        <f t="array" ref="Z695">INDEX($AE$2:$AS$40,MOD(ROW()-ROW($AE$2),ROWS($AE$2:$AS$40))+1,INT((ROW()-ROW($AE$2))/ROWS($AE$2:$AS$40))+1)</f>
        <v>#REF!</v>
      </c>
      <c r="AA695" t="e">
        <f t="shared" ca="1" si="76"/>
        <v>#N/A</v>
      </c>
      <c r="AB695" t="str" cm="1">
        <f t="array" aca="1" ref="AB695" ca="1">IFERROR(INDIRECT("$Z"&amp;AA695),"")</f>
        <v/>
      </c>
      <c r="AP695" t="str">
        <f t="shared" si="70"/>
        <v/>
      </c>
      <c r="AQ695" t="str">
        <f t="shared" si="71"/>
        <v/>
      </c>
      <c r="AR695" t="str">
        <f t="shared" si="72"/>
        <v/>
      </c>
      <c r="AS695" t="str">
        <f t="shared" si="73"/>
        <v/>
      </c>
    </row>
    <row r="696" spans="5:45" x14ac:dyDescent="0.25">
      <c r="E696" t="str">
        <f ca="1"/>
        <v/>
      </c>
      <c r="F696" t="str">
        <f ca="1"/>
        <v/>
      </c>
      <c r="P696" t="e" cm="1">
        <f t="array" ref="P696">INDEX($B$2:$D$40,MOD(ROW()-ROW($B$2),ROWS($B$2:$D$40))+1,INT((ROW()-ROW($B$2))/ROWS($B$2:$D$40))+1)</f>
        <v>#REF!</v>
      </c>
      <c r="Q696" t="e">
        <f t="shared" ca="1" si="74"/>
        <v>#N/A</v>
      </c>
      <c r="R696" t="str" cm="1">
        <f t="array" aca="1" ref="R696" ca="1">IFERROR(INDIRECT("$P"&amp;Q696),"")</f>
        <v/>
      </c>
      <c r="U696" t="e" cm="1">
        <f t="array" ref="U696">INDEX($C$2:$D$40,MOD(ROW()-ROW($C$2),ROWS($C$2:$D$40))+1,INT((ROW()-ROW($C$2))/ROWS($C$2:$D$40))+1)</f>
        <v>#REF!</v>
      </c>
      <c r="V696" t="e">
        <f t="shared" ca="1" si="75"/>
        <v>#N/A</v>
      </c>
      <c r="W696" t="str" cm="1">
        <f t="array" aca="1" ref="W696" ca="1">IFERROR(INDIRECT("$U"&amp;V696),"")</f>
        <v/>
      </c>
      <c r="Z696" t="e" cm="1">
        <f t="array" ref="Z696">INDEX($AE$2:$AS$40,MOD(ROW()-ROW($AE$2),ROWS($AE$2:$AS$40))+1,INT((ROW()-ROW($AE$2))/ROWS($AE$2:$AS$40))+1)</f>
        <v>#REF!</v>
      </c>
      <c r="AA696" t="e">
        <f t="shared" ca="1" si="76"/>
        <v>#N/A</v>
      </c>
      <c r="AB696" t="str" cm="1">
        <f t="array" aca="1" ref="AB696" ca="1">IFERROR(INDIRECT("$Z"&amp;AA696),"")</f>
        <v/>
      </c>
      <c r="AP696" t="str">
        <f t="shared" si="70"/>
        <v/>
      </c>
      <c r="AQ696" t="str">
        <f t="shared" si="71"/>
        <v/>
      </c>
      <c r="AR696" t="str">
        <f t="shared" si="72"/>
        <v/>
      </c>
      <c r="AS696" t="str">
        <f t="shared" si="73"/>
        <v/>
      </c>
    </row>
    <row r="697" spans="5:45" x14ac:dyDescent="0.25">
      <c r="E697" t="str">
        <f ca="1"/>
        <v/>
      </c>
      <c r="F697" t="str">
        <f ca="1"/>
        <v/>
      </c>
      <c r="P697" t="e" cm="1">
        <f t="array" ref="P697">INDEX($B$2:$D$40,MOD(ROW()-ROW($B$2),ROWS($B$2:$D$40))+1,INT((ROW()-ROW($B$2))/ROWS($B$2:$D$40))+1)</f>
        <v>#REF!</v>
      </c>
      <c r="Q697" t="e">
        <f t="shared" ca="1" si="74"/>
        <v>#N/A</v>
      </c>
      <c r="R697" t="str" cm="1">
        <f t="array" aca="1" ref="R697" ca="1">IFERROR(INDIRECT("$P"&amp;Q697),"")</f>
        <v/>
      </c>
      <c r="U697" t="e" cm="1">
        <f t="array" ref="U697">INDEX($C$2:$D$40,MOD(ROW()-ROW($C$2),ROWS($C$2:$D$40))+1,INT((ROW()-ROW($C$2))/ROWS($C$2:$D$40))+1)</f>
        <v>#REF!</v>
      </c>
      <c r="V697" t="e">
        <f t="shared" ca="1" si="75"/>
        <v>#N/A</v>
      </c>
      <c r="W697" t="str" cm="1">
        <f t="array" aca="1" ref="W697" ca="1">IFERROR(INDIRECT("$U"&amp;V697),"")</f>
        <v/>
      </c>
      <c r="Z697" t="e" cm="1">
        <f t="array" ref="Z697">INDEX($AE$2:$AS$40,MOD(ROW()-ROW($AE$2),ROWS($AE$2:$AS$40))+1,INT((ROW()-ROW($AE$2))/ROWS($AE$2:$AS$40))+1)</f>
        <v>#REF!</v>
      </c>
      <c r="AA697" t="e">
        <f t="shared" ca="1" si="76"/>
        <v>#N/A</v>
      </c>
      <c r="AB697" t="str" cm="1">
        <f t="array" aca="1" ref="AB697" ca="1">IFERROR(INDIRECT("$Z"&amp;AA697),"")</f>
        <v/>
      </c>
      <c r="AP697" t="str">
        <f t="shared" si="70"/>
        <v/>
      </c>
      <c r="AQ697" t="str">
        <f t="shared" si="71"/>
        <v/>
      </c>
      <c r="AR697" t="str">
        <f t="shared" si="72"/>
        <v/>
      </c>
      <c r="AS697" t="str">
        <f t="shared" si="73"/>
        <v/>
      </c>
    </row>
    <row r="698" spans="5:45" x14ac:dyDescent="0.25">
      <c r="E698" t="str">
        <f ca="1"/>
        <v/>
      </c>
      <c r="F698" t="str">
        <f ca="1"/>
        <v/>
      </c>
      <c r="P698" t="e" cm="1">
        <f t="array" ref="P698">INDEX($B$2:$D$40,MOD(ROW()-ROW($B$2),ROWS($B$2:$D$40))+1,INT((ROW()-ROW($B$2))/ROWS($B$2:$D$40))+1)</f>
        <v>#REF!</v>
      </c>
      <c r="Q698" t="e">
        <f t="shared" ca="1" si="74"/>
        <v>#N/A</v>
      </c>
      <c r="R698" t="str" cm="1">
        <f t="array" aca="1" ref="R698" ca="1">IFERROR(INDIRECT("$P"&amp;Q698),"")</f>
        <v/>
      </c>
      <c r="U698" t="e" cm="1">
        <f t="array" ref="U698">INDEX($C$2:$D$40,MOD(ROW()-ROW($C$2),ROWS($C$2:$D$40))+1,INT((ROW()-ROW($C$2))/ROWS($C$2:$D$40))+1)</f>
        <v>#REF!</v>
      </c>
      <c r="V698" t="e">
        <f t="shared" ca="1" si="75"/>
        <v>#N/A</v>
      </c>
      <c r="W698" t="str" cm="1">
        <f t="array" aca="1" ref="W698" ca="1">IFERROR(INDIRECT("$U"&amp;V698),"")</f>
        <v/>
      </c>
      <c r="Z698" t="e" cm="1">
        <f t="array" ref="Z698">INDEX($AE$2:$AS$40,MOD(ROW()-ROW($AE$2),ROWS($AE$2:$AS$40))+1,INT((ROW()-ROW($AE$2))/ROWS($AE$2:$AS$40))+1)</f>
        <v>#REF!</v>
      </c>
      <c r="AA698" t="e">
        <f t="shared" ca="1" si="76"/>
        <v>#N/A</v>
      </c>
      <c r="AB698" t="str" cm="1">
        <f t="array" aca="1" ref="AB698" ca="1">IFERROR(INDIRECT("$Z"&amp;AA698),"")</f>
        <v/>
      </c>
      <c r="AP698" t="str">
        <f t="shared" si="70"/>
        <v/>
      </c>
      <c r="AQ698" t="str">
        <f t="shared" si="71"/>
        <v/>
      </c>
      <c r="AR698" t="str">
        <f t="shared" si="72"/>
        <v/>
      </c>
      <c r="AS698" t="str">
        <f t="shared" si="73"/>
        <v/>
      </c>
    </row>
    <row r="699" spans="5:45" x14ac:dyDescent="0.25">
      <c r="E699" t="str">
        <f ca="1"/>
        <v/>
      </c>
      <c r="F699" t="str">
        <f ca="1"/>
        <v/>
      </c>
      <c r="P699" t="e" cm="1">
        <f t="array" ref="P699">INDEX($B$2:$D$40,MOD(ROW()-ROW($B$2),ROWS($B$2:$D$40))+1,INT((ROW()-ROW($B$2))/ROWS($B$2:$D$40))+1)</f>
        <v>#REF!</v>
      </c>
      <c r="Q699" t="e">
        <f t="shared" ca="1" si="74"/>
        <v>#N/A</v>
      </c>
      <c r="R699" t="str" cm="1">
        <f t="array" aca="1" ref="R699" ca="1">IFERROR(INDIRECT("$P"&amp;Q699),"")</f>
        <v/>
      </c>
      <c r="U699" t="e" cm="1">
        <f t="array" ref="U699">INDEX($C$2:$D$40,MOD(ROW()-ROW($C$2),ROWS($C$2:$D$40))+1,INT((ROW()-ROW($C$2))/ROWS($C$2:$D$40))+1)</f>
        <v>#REF!</v>
      </c>
      <c r="V699" t="e">
        <f t="shared" ca="1" si="75"/>
        <v>#N/A</v>
      </c>
      <c r="W699" t="str" cm="1">
        <f t="array" aca="1" ref="W699" ca="1">IFERROR(INDIRECT("$U"&amp;V699),"")</f>
        <v/>
      </c>
      <c r="Z699" t="e" cm="1">
        <f t="array" ref="Z699">INDEX($AE$2:$AS$40,MOD(ROW()-ROW($AE$2),ROWS($AE$2:$AS$40))+1,INT((ROW()-ROW($AE$2))/ROWS($AE$2:$AS$40))+1)</f>
        <v>#REF!</v>
      </c>
      <c r="AA699" t="e">
        <f t="shared" ca="1" si="76"/>
        <v>#N/A</v>
      </c>
      <c r="AB699" t="str" cm="1">
        <f t="array" aca="1" ref="AB699" ca="1">IFERROR(INDIRECT("$Z"&amp;AA699),"")</f>
        <v/>
      </c>
      <c r="AP699" t="str">
        <f t="shared" si="70"/>
        <v/>
      </c>
      <c r="AQ699" t="str">
        <f t="shared" si="71"/>
        <v/>
      </c>
      <c r="AR699" t="str">
        <f t="shared" si="72"/>
        <v/>
      </c>
      <c r="AS699" t="str">
        <f t="shared" si="73"/>
        <v/>
      </c>
    </row>
    <row r="700" spans="5:45" x14ac:dyDescent="0.25">
      <c r="E700" t="str">
        <f ca="1"/>
        <v/>
      </c>
      <c r="F700" t="str">
        <f ca="1"/>
        <v/>
      </c>
      <c r="P700" t="e" cm="1">
        <f t="array" ref="P700">INDEX($B$2:$D$40,MOD(ROW()-ROW($B$2),ROWS($B$2:$D$40))+1,INT((ROW()-ROW($B$2))/ROWS($B$2:$D$40))+1)</f>
        <v>#REF!</v>
      </c>
      <c r="Q700" t="e">
        <f t="shared" ca="1" si="74"/>
        <v>#N/A</v>
      </c>
      <c r="R700" t="str" cm="1">
        <f t="array" aca="1" ref="R700" ca="1">IFERROR(INDIRECT("$P"&amp;Q700),"")</f>
        <v/>
      </c>
      <c r="U700" t="e" cm="1">
        <f t="array" ref="U700">INDEX($C$2:$D$40,MOD(ROW()-ROW($C$2),ROWS($C$2:$D$40))+1,INT((ROW()-ROW($C$2))/ROWS($C$2:$D$40))+1)</f>
        <v>#REF!</v>
      </c>
      <c r="V700" t="e">
        <f t="shared" ca="1" si="75"/>
        <v>#N/A</v>
      </c>
      <c r="W700" t="str" cm="1">
        <f t="array" aca="1" ref="W700" ca="1">IFERROR(INDIRECT("$U"&amp;V700),"")</f>
        <v/>
      </c>
      <c r="Z700" t="e" cm="1">
        <f t="array" ref="Z700">INDEX($AE$2:$AS$40,MOD(ROW()-ROW($AE$2),ROWS($AE$2:$AS$40))+1,INT((ROW()-ROW($AE$2))/ROWS($AE$2:$AS$40))+1)</f>
        <v>#REF!</v>
      </c>
      <c r="AA700" t="e">
        <f t="shared" ca="1" si="76"/>
        <v>#N/A</v>
      </c>
      <c r="AB700" t="str" cm="1">
        <f t="array" aca="1" ref="AB700" ca="1">IFERROR(INDIRECT("$Z"&amp;AA700),"")</f>
        <v/>
      </c>
      <c r="AP700" t="str">
        <f t="shared" si="70"/>
        <v/>
      </c>
      <c r="AQ700" t="str">
        <f t="shared" si="71"/>
        <v/>
      </c>
      <c r="AR700" t="str">
        <f t="shared" si="72"/>
        <v/>
      </c>
      <c r="AS700" t="str">
        <f t="shared" si="73"/>
        <v/>
      </c>
    </row>
    <row r="701" spans="5:45" x14ac:dyDescent="0.25">
      <c r="E701" t="str">
        <f ca="1"/>
        <v/>
      </c>
      <c r="F701" t="str">
        <f ca="1"/>
        <v/>
      </c>
      <c r="P701" t="e" cm="1">
        <f t="array" ref="P701">INDEX($B$2:$D$40,MOD(ROW()-ROW($B$2),ROWS($B$2:$D$40))+1,INT((ROW()-ROW($B$2))/ROWS($B$2:$D$40))+1)</f>
        <v>#REF!</v>
      </c>
      <c r="Q701" t="e">
        <f t="shared" ca="1" si="74"/>
        <v>#N/A</v>
      </c>
      <c r="R701" t="str" cm="1">
        <f t="array" aca="1" ref="R701" ca="1">IFERROR(INDIRECT("$P"&amp;Q701),"")</f>
        <v/>
      </c>
      <c r="U701" t="e" cm="1">
        <f t="array" ref="U701">INDEX($C$2:$D$40,MOD(ROW()-ROW($C$2),ROWS($C$2:$D$40))+1,INT((ROW()-ROW($C$2))/ROWS($C$2:$D$40))+1)</f>
        <v>#REF!</v>
      </c>
      <c r="V701" t="e">
        <f t="shared" ca="1" si="75"/>
        <v>#N/A</v>
      </c>
      <c r="W701" t="str" cm="1">
        <f t="array" aca="1" ref="W701" ca="1">IFERROR(INDIRECT("$U"&amp;V701),"")</f>
        <v/>
      </c>
      <c r="Z701" t="e" cm="1">
        <f t="array" ref="Z701">INDEX($AE$2:$AS$40,MOD(ROW()-ROW($AE$2),ROWS($AE$2:$AS$40))+1,INT((ROW()-ROW($AE$2))/ROWS($AE$2:$AS$40))+1)</f>
        <v>#REF!</v>
      </c>
      <c r="AA701" t="e">
        <f t="shared" ca="1" si="76"/>
        <v>#N/A</v>
      </c>
      <c r="AB701" t="str" cm="1">
        <f t="array" aca="1" ref="AB701" ca="1">IFERROR(INDIRECT("$Z"&amp;AA701),"")</f>
        <v/>
      </c>
      <c r="AP701" t="str">
        <f t="shared" si="70"/>
        <v/>
      </c>
      <c r="AQ701" t="str">
        <f t="shared" si="71"/>
        <v/>
      </c>
      <c r="AR701" t="str">
        <f t="shared" si="72"/>
        <v/>
      </c>
      <c r="AS701" t="str">
        <f t="shared" si="73"/>
        <v/>
      </c>
    </row>
    <row r="702" spans="5:45" x14ac:dyDescent="0.25">
      <c r="E702" t="str">
        <f ca="1"/>
        <v/>
      </c>
      <c r="F702" t="str">
        <f ca="1"/>
        <v/>
      </c>
      <c r="P702" t="e" cm="1">
        <f t="array" ref="P702">INDEX($B$2:$D$40,MOD(ROW()-ROW($B$2),ROWS($B$2:$D$40))+1,INT((ROW()-ROW($B$2))/ROWS($B$2:$D$40))+1)</f>
        <v>#REF!</v>
      </c>
      <c r="Q702" t="e">
        <f t="shared" ca="1" si="74"/>
        <v>#N/A</v>
      </c>
      <c r="R702" t="str" cm="1">
        <f t="array" aca="1" ref="R702" ca="1">IFERROR(INDIRECT("$P"&amp;Q702),"")</f>
        <v/>
      </c>
      <c r="U702" t="e" cm="1">
        <f t="array" ref="U702">INDEX($C$2:$D$40,MOD(ROW()-ROW($C$2),ROWS($C$2:$D$40))+1,INT((ROW()-ROW($C$2))/ROWS($C$2:$D$40))+1)</f>
        <v>#REF!</v>
      </c>
      <c r="V702" t="e">
        <f t="shared" ca="1" si="75"/>
        <v>#N/A</v>
      </c>
      <c r="W702" t="str" cm="1">
        <f t="array" aca="1" ref="W702" ca="1">IFERROR(INDIRECT("$U"&amp;V702),"")</f>
        <v/>
      </c>
      <c r="Z702" t="e" cm="1">
        <f t="array" ref="Z702">INDEX($AE$2:$AS$40,MOD(ROW()-ROW($AE$2),ROWS($AE$2:$AS$40))+1,INT((ROW()-ROW($AE$2))/ROWS($AE$2:$AS$40))+1)</f>
        <v>#REF!</v>
      </c>
      <c r="AA702" t="e">
        <f t="shared" ca="1" si="76"/>
        <v>#N/A</v>
      </c>
      <c r="AB702" t="str" cm="1">
        <f t="array" aca="1" ref="AB702" ca="1">IFERROR(INDIRECT("$Z"&amp;AA702),"")</f>
        <v/>
      </c>
      <c r="AP702" t="str">
        <f t="shared" si="70"/>
        <v/>
      </c>
      <c r="AQ702" t="str">
        <f t="shared" si="71"/>
        <v/>
      </c>
      <c r="AR702" t="str">
        <f t="shared" si="72"/>
        <v/>
      </c>
      <c r="AS702" t="str">
        <f t="shared" si="73"/>
        <v/>
      </c>
    </row>
    <row r="703" spans="5:45" x14ac:dyDescent="0.25">
      <c r="E703" t="str">
        <f ca="1"/>
        <v/>
      </c>
      <c r="F703" t="str">
        <f ca="1"/>
        <v/>
      </c>
      <c r="P703" t="e" cm="1">
        <f t="array" ref="P703">INDEX($B$2:$D$40,MOD(ROW()-ROW($B$2),ROWS($B$2:$D$40))+1,INT((ROW()-ROW($B$2))/ROWS($B$2:$D$40))+1)</f>
        <v>#REF!</v>
      </c>
      <c r="Q703" t="e">
        <f t="shared" ca="1" si="74"/>
        <v>#N/A</v>
      </c>
      <c r="R703" t="str" cm="1">
        <f t="array" aca="1" ref="R703" ca="1">IFERROR(INDIRECT("$P"&amp;Q703),"")</f>
        <v/>
      </c>
      <c r="U703" t="e" cm="1">
        <f t="array" ref="U703">INDEX($C$2:$D$40,MOD(ROW()-ROW($C$2),ROWS($C$2:$D$40))+1,INT((ROW()-ROW($C$2))/ROWS($C$2:$D$40))+1)</f>
        <v>#REF!</v>
      </c>
      <c r="V703" t="e">
        <f t="shared" ca="1" si="75"/>
        <v>#N/A</v>
      </c>
      <c r="W703" t="str" cm="1">
        <f t="array" aca="1" ref="W703" ca="1">IFERROR(INDIRECT("$U"&amp;V703),"")</f>
        <v/>
      </c>
      <c r="Z703" t="e" cm="1">
        <f t="array" ref="Z703">INDEX($AE$2:$AS$40,MOD(ROW()-ROW($AE$2),ROWS($AE$2:$AS$40))+1,INT((ROW()-ROW($AE$2))/ROWS($AE$2:$AS$40))+1)</f>
        <v>#REF!</v>
      </c>
      <c r="AA703" t="e">
        <f t="shared" ca="1" si="76"/>
        <v>#N/A</v>
      </c>
      <c r="AB703" t="str" cm="1">
        <f t="array" aca="1" ref="AB703" ca="1">IFERROR(INDIRECT("$Z"&amp;AA703),"")</f>
        <v/>
      </c>
      <c r="AP703" t="str">
        <f t="shared" si="70"/>
        <v/>
      </c>
      <c r="AQ703" t="str">
        <f t="shared" si="71"/>
        <v/>
      </c>
      <c r="AR703" t="str">
        <f t="shared" si="72"/>
        <v/>
      </c>
      <c r="AS703" t="str">
        <f t="shared" si="73"/>
        <v/>
      </c>
    </row>
    <row r="704" spans="5:45" x14ac:dyDescent="0.25">
      <c r="E704" t="str">
        <f ca="1"/>
        <v/>
      </c>
      <c r="F704" t="str">
        <f ca="1"/>
        <v/>
      </c>
      <c r="P704" t="e" cm="1">
        <f t="array" ref="P704">INDEX($B$2:$D$40,MOD(ROW()-ROW($B$2),ROWS($B$2:$D$40))+1,INT((ROW()-ROW($B$2))/ROWS($B$2:$D$40))+1)</f>
        <v>#REF!</v>
      </c>
      <c r="Q704" t="e">
        <f t="shared" ca="1" si="74"/>
        <v>#N/A</v>
      </c>
      <c r="R704" t="str" cm="1">
        <f t="array" aca="1" ref="R704" ca="1">IFERROR(INDIRECT("$P"&amp;Q704),"")</f>
        <v/>
      </c>
      <c r="U704" t="e" cm="1">
        <f t="array" ref="U704">INDEX($C$2:$D$40,MOD(ROW()-ROW($C$2),ROWS($C$2:$D$40))+1,INT((ROW()-ROW($C$2))/ROWS($C$2:$D$40))+1)</f>
        <v>#REF!</v>
      </c>
      <c r="V704" t="e">
        <f t="shared" ca="1" si="75"/>
        <v>#N/A</v>
      </c>
      <c r="W704" t="str" cm="1">
        <f t="array" aca="1" ref="W704" ca="1">IFERROR(INDIRECT("$U"&amp;V704),"")</f>
        <v/>
      </c>
      <c r="Z704" t="e" cm="1">
        <f t="array" ref="Z704">INDEX($AE$2:$AS$40,MOD(ROW()-ROW($AE$2),ROWS($AE$2:$AS$40))+1,INT((ROW()-ROW($AE$2))/ROWS($AE$2:$AS$40))+1)</f>
        <v>#REF!</v>
      </c>
      <c r="AA704" t="e">
        <f t="shared" ca="1" si="76"/>
        <v>#N/A</v>
      </c>
      <c r="AB704" t="str" cm="1">
        <f t="array" aca="1" ref="AB704" ca="1">IFERROR(INDIRECT("$Z"&amp;AA704),"")</f>
        <v/>
      </c>
      <c r="AP704" t="str">
        <f t="shared" si="70"/>
        <v/>
      </c>
      <c r="AQ704" t="str">
        <f t="shared" si="71"/>
        <v/>
      </c>
      <c r="AR704" t="str">
        <f t="shared" si="72"/>
        <v/>
      </c>
      <c r="AS704" t="str">
        <f t="shared" si="73"/>
        <v/>
      </c>
    </row>
    <row r="705" spans="5:45" x14ac:dyDescent="0.25">
      <c r="E705" t="str">
        <f ca="1"/>
        <v/>
      </c>
      <c r="F705" t="str">
        <f ca="1"/>
        <v/>
      </c>
      <c r="P705" t="e" cm="1">
        <f t="array" ref="P705">INDEX($B$2:$D$40,MOD(ROW()-ROW($B$2),ROWS($B$2:$D$40))+1,INT((ROW()-ROW($B$2))/ROWS($B$2:$D$40))+1)</f>
        <v>#REF!</v>
      </c>
      <c r="Q705" t="e">
        <f t="shared" ca="1" si="74"/>
        <v>#N/A</v>
      </c>
      <c r="R705" t="str" cm="1">
        <f t="array" aca="1" ref="R705" ca="1">IFERROR(INDIRECT("$P"&amp;Q705),"")</f>
        <v/>
      </c>
      <c r="U705" t="e" cm="1">
        <f t="array" ref="U705">INDEX($C$2:$D$40,MOD(ROW()-ROW($C$2),ROWS($C$2:$D$40))+1,INT((ROW()-ROW($C$2))/ROWS($C$2:$D$40))+1)</f>
        <v>#REF!</v>
      </c>
      <c r="V705" t="e">
        <f t="shared" ca="1" si="75"/>
        <v>#N/A</v>
      </c>
      <c r="W705" t="str" cm="1">
        <f t="array" aca="1" ref="W705" ca="1">IFERROR(INDIRECT("$U"&amp;V705),"")</f>
        <v/>
      </c>
      <c r="Z705" t="e" cm="1">
        <f t="array" ref="Z705">INDEX($AE$2:$AS$40,MOD(ROW()-ROW($AE$2),ROWS($AE$2:$AS$40))+1,INT((ROW()-ROW($AE$2))/ROWS($AE$2:$AS$40))+1)</f>
        <v>#REF!</v>
      </c>
      <c r="AA705" t="e">
        <f t="shared" ca="1" si="76"/>
        <v>#N/A</v>
      </c>
      <c r="AB705" t="str" cm="1">
        <f t="array" aca="1" ref="AB705" ca="1">IFERROR(INDIRECT("$Z"&amp;AA705),"")</f>
        <v/>
      </c>
      <c r="AP705" t="str">
        <f t="shared" si="70"/>
        <v/>
      </c>
      <c r="AQ705" t="str">
        <f t="shared" si="71"/>
        <v/>
      </c>
      <c r="AR705" t="str">
        <f t="shared" si="72"/>
        <v/>
      </c>
      <c r="AS705" t="str">
        <f t="shared" si="73"/>
        <v/>
      </c>
    </row>
    <row r="706" spans="5:45" x14ac:dyDescent="0.25">
      <c r="E706" t="str">
        <f ca="1"/>
        <v/>
      </c>
      <c r="F706" t="str">
        <f ca="1"/>
        <v/>
      </c>
      <c r="P706" t="e" cm="1">
        <f t="array" ref="P706">INDEX($B$2:$D$40,MOD(ROW()-ROW($B$2),ROWS($B$2:$D$40))+1,INT((ROW()-ROW($B$2))/ROWS($B$2:$D$40))+1)</f>
        <v>#REF!</v>
      </c>
      <c r="Q706" t="e">
        <f t="shared" ca="1" si="74"/>
        <v>#N/A</v>
      </c>
      <c r="R706" t="str" cm="1">
        <f t="array" aca="1" ref="R706" ca="1">IFERROR(INDIRECT("$P"&amp;Q706),"")</f>
        <v/>
      </c>
      <c r="U706" t="e" cm="1">
        <f t="array" ref="U706">INDEX($C$2:$D$40,MOD(ROW()-ROW($C$2),ROWS($C$2:$D$40))+1,INT((ROW()-ROW($C$2))/ROWS($C$2:$D$40))+1)</f>
        <v>#REF!</v>
      </c>
      <c r="V706" t="e">
        <f t="shared" ca="1" si="75"/>
        <v>#N/A</v>
      </c>
      <c r="W706" t="str" cm="1">
        <f t="array" aca="1" ref="W706" ca="1">IFERROR(INDIRECT("$U"&amp;V706),"")</f>
        <v/>
      </c>
      <c r="Z706" t="e" cm="1">
        <f t="array" ref="Z706">INDEX($AE$2:$AS$40,MOD(ROW()-ROW($AE$2),ROWS($AE$2:$AS$40))+1,INT((ROW()-ROW($AE$2))/ROWS($AE$2:$AS$40))+1)</f>
        <v>#REF!</v>
      </c>
      <c r="AA706" t="e">
        <f t="shared" ca="1" si="76"/>
        <v>#N/A</v>
      </c>
      <c r="AB706" t="str" cm="1">
        <f t="array" aca="1" ref="AB706" ca="1">IFERROR(INDIRECT("$Z"&amp;AA706),"")</f>
        <v/>
      </c>
      <c r="AP706" t="str">
        <f t="shared" si="70"/>
        <v/>
      </c>
      <c r="AQ706" t="str">
        <f t="shared" si="71"/>
        <v/>
      </c>
      <c r="AR706" t="str">
        <f t="shared" si="72"/>
        <v/>
      </c>
      <c r="AS706" t="str">
        <f t="shared" si="73"/>
        <v/>
      </c>
    </row>
    <row r="707" spans="5:45" x14ac:dyDescent="0.25">
      <c r="E707" t="str">
        <f ca="1"/>
        <v/>
      </c>
      <c r="F707" t="str">
        <f ca="1"/>
        <v/>
      </c>
      <c r="P707" t="e" cm="1">
        <f t="array" ref="P707">INDEX($B$2:$D$40,MOD(ROW()-ROW($B$2),ROWS($B$2:$D$40))+1,INT((ROW()-ROW($B$2))/ROWS($B$2:$D$40))+1)</f>
        <v>#REF!</v>
      </c>
      <c r="Q707" t="e">
        <f t="shared" ca="1" si="74"/>
        <v>#N/A</v>
      </c>
      <c r="R707" t="str" cm="1">
        <f t="array" aca="1" ref="R707" ca="1">IFERROR(INDIRECT("$P"&amp;Q707),"")</f>
        <v/>
      </c>
      <c r="U707" t="e" cm="1">
        <f t="array" ref="U707">INDEX($C$2:$D$40,MOD(ROW()-ROW($C$2),ROWS($C$2:$D$40))+1,INT((ROW()-ROW($C$2))/ROWS($C$2:$D$40))+1)</f>
        <v>#REF!</v>
      </c>
      <c r="V707" t="e">
        <f t="shared" ca="1" si="75"/>
        <v>#N/A</v>
      </c>
      <c r="W707" t="str" cm="1">
        <f t="array" aca="1" ref="W707" ca="1">IFERROR(INDIRECT("$U"&amp;V707),"")</f>
        <v/>
      </c>
      <c r="Z707" t="e" cm="1">
        <f t="array" ref="Z707">INDEX($AE$2:$AS$40,MOD(ROW()-ROW($AE$2),ROWS($AE$2:$AS$40))+1,INT((ROW()-ROW($AE$2))/ROWS($AE$2:$AS$40))+1)</f>
        <v>#REF!</v>
      </c>
      <c r="AA707" t="e">
        <f t="shared" ca="1" si="76"/>
        <v>#N/A</v>
      </c>
      <c r="AB707" t="str" cm="1">
        <f t="array" aca="1" ref="AB707" ca="1">IFERROR(INDIRECT("$Z"&amp;AA707),"")</f>
        <v/>
      </c>
      <c r="AP707" t="str">
        <f t="shared" ref="AP707:AP770" si="77">IF(AI707&lt;&gt;"", _xlfn.CONCAT(AI707, " (airside)"), "")</f>
        <v/>
      </c>
      <c r="AQ707" t="str">
        <f t="shared" ref="AQ707:AQ770" si="78">IF(AI707&lt;&gt;"", _xlfn.CONCAT(AI707, " (waterside)"), "")</f>
        <v/>
      </c>
      <c r="AR707" t="str">
        <f t="shared" ref="AR707:AR770" si="79">IF(AJ707&lt;&gt;"", _xlfn.CONCAT(AJ707, " (supply)"), "")</f>
        <v/>
      </c>
      <c r="AS707" t="str">
        <f t="shared" ref="AS707:AS770" si="80">IF(AJ707&lt;&gt;"", _xlfn.CONCAT(AJ707, " (exhaust)"), "")</f>
        <v/>
      </c>
    </row>
    <row r="708" spans="5:45" x14ac:dyDescent="0.25">
      <c r="E708" t="str">
        <f ca="1"/>
        <v/>
      </c>
      <c r="F708" t="str">
        <f ca="1"/>
        <v/>
      </c>
      <c r="P708" t="e" cm="1">
        <f t="array" ref="P708">INDEX($B$2:$D$40,MOD(ROW()-ROW($B$2),ROWS($B$2:$D$40))+1,INT((ROW()-ROW($B$2))/ROWS($B$2:$D$40))+1)</f>
        <v>#REF!</v>
      </c>
      <c r="Q708" t="e">
        <f t="shared" ref="Q708:Q771" ca="1" si="81">MATCH("*",INDIRECT(ADDRESS(Q707+1,16,1)&amp;":$P$1000"),0)+Q707</f>
        <v>#N/A</v>
      </c>
      <c r="R708" t="str" cm="1">
        <f t="array" aca="1" ref="R708" ca="1">IFERROR(INDIRECT("$P"&amp;Q708),"")</f>
        <v/>
      </c>
      <c r="U708" t="e" cm="1">
        <f t="array" ref="U708">INDEX($C$2:$D$40,MOD(ROW()-ROW($C$2),ROWS($C$2:$D$40))+1,INT((ROW()-ROW($C$2))/ROWS($C$2:$D$40))+1)</f>
        <v>#REF!</v>
      </c>
      <c r="V708" t="e">
        <f t="shared" ref="V708:V771" ca="1" si="82">MATCH("*",INDIRECT(ADDRESS(V707+1,21,1)&amp;":$U$1000"),0)+V707</f>
        <v>#N/A</v>
      </c>
      <c r="W708" t="str" cm="1">
        <f t="array" aca="1" ref="W708" ca="1">IFERROR(INDIRECT("$U"&amp;V708),"")</f>
        <v/>
      </c>
      <c r="Z708" t="e" cm="1">
        <f t="array" ref="Z708">INDEX($AE$2:$AS$40,MOD(ROW()-ROW($AE$2),ROWS($AE$2:$AS$40))+1,INT((ROW()-ROW($AE$2))/ROWS($AE$2:$AS$40))+1)</f>
        <v>#REF!</v>
      </c>
      <c r="AA708" t="e">
        <f t="shared" ref="AA708:AA771" ca="1" si="83">MATCH("*",INDIRECT(ADDRESS(AA707+1,26,1)&amp;":$Z$1000"),0)+AA707</f>
        <v>#N/A</v>
      </c>
      <c r="AB708" t="str" cm="1">
        <f t="array" aca="1" ref="AB708" ca="1">IFERROR(INDIRECT("$Z"&amp;AA708),"")</f>
        <v/>
      </c>
      <c r="AP708" t="str">
        <f t="shared" si="77"/>
        <v/>
      </c>
      <c r="AQ708" t="str">
        <f t="shared" si="78"/>
        <v/>
      </c>
      <c r="AR708" t="str">
        <f t="shared" si="79"/>
        <v/>
      </c>
      <c r="AS708" t="str">
        <f t="shared" si="80"/>
        <v/>
      </c>
    </row>
    <row r="709" spans="5:45" x14ac:dyDescent="0.25">
      <c r="E709" t="str">
        <f ca="1"/>
        <v/>
      </c>
      <c r="F709" t="str">
        <f ca="1"/>
        <v/>
      </c>
      <c r="P709" t="e" cm="1">
        <f t="array" ref="P709">INDEX($B$2:$D$40,MOD(ROW()-ROW($B$2),ROWS($B$2:$D$40))+1,INT((ROW()-ROW($B$2))/ROWS($B$2:$D$40))+1)</f>
        <v>#REF!</v>
      </c>
      <c r="Q709" t="e">
        <f t="shared" ca="1" si="81"/>
        <v>#N/A</v>
      </c>
      <c r="R709" t="str" cm="1">
        <f t="array" aca="1" ref="R709" ca="1">IFERROR(INDIRECT("$P"&amp;Q709),"")</f>
        <v/>
      </c>
      <c r="U709" t="e" cm="1">
        <f t="array" ref="U709">INDEX($C$2:$D$40,MOD(ROW()-ROW($C$2),ROWS($C$2:$D$40))+1,INT((ROW()-ROW($C$2))/ROWS($C$2:$D$40))+1)</f>
        <v>#REF!</v>
      </c>
      <c r="V709" t="e">
        <f t="shared" ca="1" si="82"/>
        <v>#N/A</v>
      </c>
      <c r="W709" t="str" cm="1">
        <f t="array" aca="1" ref="W709" ca="1">IFERROR(INDIRECT("$U"&amp;V709),"")</f>
        <v/>
      </c>
      <c r="Z709" t="e" cm="1">
        <f t="array" ref="Z709">INDEX($AE$2:$AS$40,MOD(ROW()-ROW($AE$2),ROWS($AE$2:$AS$40))+1,INT((ROW()-ROW($AE$2))/ROWS($AE$2:$AS$40))+1)</f>
        <v>#REF!</v>
      </c>
      <c r="AA709" t="e">
        <f t="shared" ca="1" si="83"/>
        <v>#N/A</v>
      </c>
      <c r="AB709" t="str" cm="1">
        <f t="array" aca="1" ref="AB709" ca="1">IFERROR(INDIRECT("$Z"&amp;AA709),"")</f>
        <v/>
      </c>
      <c r="AP709" t="str">
        <f t="shared" si="77"/>
        <v/>
      </c>
      <c r="AQ709" t="str">
        <f t="shared" si="78"/>
        <v/>
      </c>
      <c r="AR709" t="str">
        <f t="shared" si="79"/>
        <v/>
      </c>
      <c r="AS709" t="str">
        <f t="shared" si="80"/>
        <v/>
      </c>
    </row>
    <row r="710" spans="5:45" x14ac:dyDescent="0.25">
      <c r="E710" t="str">
        <f ca="1"/>
        <v/>
      </c>
      <c r="F710" t="str">
        <f ca="1"/>
        <v/>
      </c>
      <c r="P710" t="e" cm="1">
        <f t="array" ref="P710">INDEX($B$2:$D$40,MOD(ROW()-ROW($B$2),ROWS($B$2:$D$40))+1,INT((ROW()-ROW($B$2))/ROWS($B$2:$D$40))+1)</f>
        <v>#REF!</v>
      </c>
      <c r="Q710" t="e">
        <f t="shared" ca="1" si="81"/>
        <v>#N/A</v>
      </c>
      <c r="R710" t="str" cm="1">
        <f t="array" aca="1" ref="R710" ca="1">IFERROR(INDIRECT("$P"&amp;Q710),"")</f>
        <v/>
      </c>
      <c r="U710" t="e" cm="1">
        <f t="array" ref="U710">INDEX($C$2:$D$40,MOD(ROW()-ROW($C$2),ROWS($C$2:$D$40))+1,INT((ROW()-ROW($C$2))/ROWS($C$2:$D$40))+1)</f>
        <v>#REF!</v>
      </c>
      <c r="V710" t="e">
        <f t="shared" ca="1" si="82"/>
        <v>#N/A</v>
      </c>
      <c r="W710" t="str" cm="1">
        <f t="array" aca="1" ref="W710" ca="1">IFERROR(INDIRECT("$U"&amp;V710),"")</f>
        <v/>
      </c>
      <c r="Z710" t="e" cm="1">
        <f t="array" ref="Z710">INDEX($AE$2:$AS$40,MOD(ROW()-ROW($AE$2),ROWS($AE$2:$AS$40))+1,INT((ROW()-ROW($AE$2))/ROWS($AE$2:$AS$40))+1)</f>
        <v>#REF!</v>
      </c>
      <c r="AA710" t="e">
        <f t="shared" ca="1" si="83"/>
        <v>#N/A</v>
      </c>
      <c r="AB710" t="str" cm="1">
        <f t="array" aca="1" ref="AB710" ca="1">IFERROR(INDIRECT("$Z"&amp;AA710),"")</f>
        <v/>
      </c>
      <c r="AP710" t="str">
        <f t="shared" si="77"/>
        <v/>
      </c>
      <c r="AQ710" t="str">
        <f t="shared" si="78"/>
        <v/>
      </c>
      <c r="AR710" t="str">
        <f t="shared" si="79"/>
        <v/>
      </c>
      <c r="AS710" t="str">
        <f t="shared" si="80"/>
        <v/>
      </c>
    </row>
    <row r="711" spans="5:45" x14ac:dyDescent="0.25">
      <c r="E711" t="str">
        <f ca="1"/>
        <v/>
      </c>
      <c r="F711" t="str">
        <f ca="1"/>
        <v/>
      </c>
      <c r="P711" t="e" cm="1">
        <f t="array" ref="P711">INDEX($B$2:$D$40,MOD(ROW()-ROW($B$2),ROWS($B$2:$D$40))+1,INT((ROW()-ROW($B$2))/ROWS($B$2:$D$40))+1)</f>
        <v>#REF!</v>
      </c>
      <c r="Q711" t="e">
        <f t="shared" ca="1" si="81"/>
        <v>#N/A</v>
      </c>
      <c r="R711" t="str" cm="1">
        <f t="array" aca="1" ref="R711" ca="1">IFERROR(INDIRECT("$P"&amp;Q711),"")</f>
        <v/>
      </c>
      <c r="U711" t="e" cm="1">
        <f t="array" ref="U711">INDEX($C$2:$D$40,MOD(ROW()-ROW($C$2),ROWS($C$2:$D$40))+1,INT((ROW()-ROW($C$2))/ROWS($C$2:$D$40))+1)</f>
        <v>#REF!</v>
      </c>
      <c r="V711" t="e">
        <f t="shared" ca="1" si="82"/>
        <v>#N/A</v>
      </c>
      <c r="W711" t="str" cm="1">
        <f t="array" aca="1" ref="W711" ca="1">IFERROR(INDIRECT("$U"&amp;V711),"")</f>
        <v/>
      </c>
      <c r="Z711" t="e" cm="1">
        <f t="array" ref="Z711">INDEX($AE$2:$AS$40,MOD(ROW()-ROW($AE$2),ROWS($AE$2:$AS$40))+1,INT((ROW()-ROW($AE$2))/ROWS($AE$2:$AS$40))+1)</f>
        <v>#REF!</v>
      </c>
      <c r="AA711" t="e">
        <f t="shared" ca="1" si="83"/>
        <v>#N/A</v>
      </c>
      <c r="AB711" t="str" cm="1">
        <f t="array" aca="1" ref="AB711" ca="1">IFERROR(INDIRECT("$Z"&amp;AA711),"")</f>
        <v/>
      </c>
      <c r="AP711" t="str">
        <f t="shared" si="77"/>
        <v/>
      </c>
      <c r="AQ711" t="str">
        <f t="shared" si="78"/>
        <v/>
      </c>
      <c r="AR711" t="str">
        <f t="shared" si="79"/>
        <v/>
      </c>
      <c r="AS711" t="str">
        <f t="shared" si="80"/>
        <v/>
      </c>
    </row>
    <row r="712" spans="5:45" x14ac:dyDescent="0.25">
      <c r="E712" t="str">
        <f ca="1"/>
        <v/>
      </c>
      <c r="F712" t="str">
        <f ca="1"/>
        <v/>
      </c>
      <c r="P712" t="e" cm="1">
        <f t="array" ref="P712">INDEX($B$2:$D$40,MOD(ROW()-ROW($B$2),ROWS($B$2:$D$40))+1,INT((ROW()-ROW($B$2))/ROWS($B$2:$D$40))+1)</f>
        <v>#REF!</v>
      </c>
      <c r="Q712" t="e">
        <f t="shared" ca="1" si="81"/>
        <v>#N/A</v>
      </c>
      <c r="R712" t="str" cm="1">
        <f t="array" aca="1" ref="R712" ca="1">IFERROR(INDIRECT("$P"&amp;Q712),"")</f>
        <v/>
      </c>
      <c r="U712" t="e" cm="1">
        <f t="array" ref="U712">INDEX($C$2:$D$40,MOD(ROW()-ROW($C$2),ROWS($C$2:$D$40))+1,INT((ROW()-ROW($C$2))/ROWS($C$2:$D$40))+1)</f>
        <v>#REF!</v>
      </c>
      <c r="V712" t="e">
        <f t="shared" ca="1" si="82"/>
        <v>#N/A</v>
      </c>
      <c r="W712" t="str" cm="1">
        <f t="array" aca="1" ref="W712" ca="1">IFERROR(INDIRECT("$U"&amp;V712),"")</f>
        <v/>
      </c>
      <c r="Z712" t="e" cm="1">
        <f t="array" ref="Z712">INDEX($AE$2:$AS$40,MOD(ROW()-ROW($AE$2),ROWS($AE$2:$AS$40))+1,INT((ROW()-ROW($AE$2))/ROWS($AE$2:$AS$40))+1)</f>
        <v>#REF!</v>
      </c>
      <c r="AA712" t="e">
        <f t="shared" ca="1" si="83"/>
        <v>#N/A</v>
      </c>
      <c r="AB712" t="str" cm="1">
        <f t="array" aca="1" ref="AB712" ca="1">IFERROR(INDIRECT("$Z"&amp;AA712),"")</f>
        <v/>
      </c>
      <c r="AP712" t="str">
        <f t="shared" si="77"/>
        <v/>
      </c>
      <c r="AQ712" t="str">
        <f t="shared" si="78"/>
        <v/>
      </c>
      <c r="AR712" t="str">
        <f t="shared" si="79"/>
        <v/>
      </c>
      <c r="AS712" t="str">
        <f t="shared" si="80"/>
        <v/>
      </c>
    </row>
    <row r="713" spans="5:45" x14ac:dyDescent="0.25">
      <c r="E713" t="str">
        <f ca="1"/>
        <v/>
      </c>
      <c r="F713" t="str">
        <f ca="1"/>
        <v/>
      </c>
      <c r="P713" t="e" cm="1">
        <f t="array" ref="P713">INDEX($B$2:$D$40,MOD(ROW()-ROW($B$2),ROWS($B$2:$D$40))+1,INT((ROW()-ROW($B$2))/ROWS($B$2:$D$40))+1)</f>
        <v>#REF!</v>
      </c>
      <c r="Q713" t="e">
        <f t="shared" ca="1" si="81"/>
        <v>#N/A</v>
      </c>
      <c r="R713" t="str" cm="1">
        <f t="array" aca="1" ref="R713" ca="1">IFERROR(INDIRECT("$P"&amp;Q713),"")</f>
        <v/>
      </c>
      <c r="U713" t="e" cm="1">
        <f t="array" ref="U713">INDEX($C$2:$D$40,MOD(ROW()-ROW($C$2),ROWS($C$2:$D$40))+1,INT((ROW()-ROW($C$2))/ROWS($C$2:$D$40))+1)</f>
        <v>#REF!</v>
      </c>
      <c r="V713" t="e">
        <f t="shared" ca="1" si="82"/>
        <v>#N/A</v>
      </c>
      <c r="W713" t="str" cm="1">
        <f t="array" aca="1" ref="W713" ca="1">IFERROR(INDIRECT("$U"&amp;V713),"")</f>
        <v/>
      </c>
      <c r="Z713" t="e" cm="1">
        <f t="array" ref="Z713">INDEX($AE$2:$AS$40,MOD(ROW()-ROW($AE$2),ROWS($AE$2:$AS$40))+1,INT((ROW()-ROW($AE$2))/ROWS($AE$2:$AS$40))+1)</f>
        <v>#REF!</v>
      </c>
      <c r="AA713" t="e">
        <f t="shared" ca="1" si="83"/>
        <v>#N/A</v>
      </c>
      <c r="AB713" t="str" cm="1">
        <f t="array" aca="1" ref="AB713" ca="1">IFERROR(INDIRECT("$Z"&amp;AA713),"")</f>
        <v/>
      </c>
      <c r="AP713" t="str">
        <f t="shared" si="77"/>
        <v/>
      </c>
      <c r="AQ713" t="str">
        <f t="shared" si="78"/>
        <v/>
      </c>
      <c r="AR713" t="str">
        <f t="shared" si="79"/>
        <v/>
      </c>
      <c r="AS713" t="str">
        <f t="shared" si="80"/>
        <v/>
      </c>
    </row>
    <row r="714" spans="5:45" x14ac:dyDescent="0.25">
      <c r="E714" t="str">
        <f ca="1"/>
        <v/>
      </c>
      <c r="F714" t="str">
        <f ca="1"/>
        <v/>
      </c>
      <c r="P714" t="e" cm="1">
        <f t="array" ref="P714">INDEX($B$2:$D$40,MOD(ROW()-ROW($B$2),ROWS($B$2:$D$40))+1,INT((ROW()-ROW($B$2))/ROWS($B$2:$D$40))+1)</f>
        <v>#REF!</v>
      </c>
      <c r="Q714" t="e">
        <f t="shared" ca="1" si="81"/>
        <v>#N/A</v>
      </c>
      <c r="R714" t="str" cm="1">
        <f t="array" aca="1" ref="R714" ca="1">IFERROR(INDIRECT("$P"&amp;Q714),"")</f>
        <v/>
      </c>
      <c r="U714" t="e" cm="1">
        <f t="array" ref="U714">INDEX($C$2:$D$40,MOD(ROW()-ROW($C$2),ROWS($C$2:$D$40))+1,INT((ROW()-ROW($C$2))/ROWS($C$2:$D$40))+1)</f>
        <v>#REF!</v>
      </c>
      <c r="V714" t="e">
        <f t="shared" ca="1" si="82"/>
        <v>#N/A</v>
      </c>
      <c r="W714" t="str" cm="1">
        <f t="array" aca="1" ref="W714" ca="1">IFERROR(INDIRECT("$U"&amp;V714),"")</f>
        <v/>
      </c>
      <c r="Z714" t="e" cm="1">
        <f t="array" ref="Z714">INDEX($AE$2:$AS$40,MOD(ROW()-ROW($AE$2),ROWS($AE$2:$AS$40))+1,INT((ROW()-ROW($AE$2))/ROWS($AE$2:$AS$40))+1)</f>
        <v>#REF!</v>
      </c>
      <c r="AA714" t="e">
        <f t="shared" ca="1" si="83"/>
        <v>#N/A</v>
      </c>
      <c r="AB714" t="str" cm="1">
        <f t="array" aca="1" ref="AB714" ca="1">IFERROR(INDIRECT("$Z"&amp;AA714),"")</f>
        <v/>
      </c>
      <c r="AP714" t="str">
        <f t="shared" si="77"/>
        <v/>
      </c>
      <c r="AQ714" t="str">
        <f t="shared" si="78"/>
        <v/>
      </c>
      <c r="AR714" t="str">
        <f t="shared" si="79"/>
        <v/>
      </c>
      <c r="AS714" t="str">
        <f t="shared" si="80"/>
        <v/>
      </c>
    </row>
    <row r="715" spans="5:45" x14ac:dyDescent="0.25">
      <c r="E715" t="str">
        <f ca="1"/>
        <v/>
      </c>
      <c r="F715" t="str">
        <f ca="1"/>
        <v/>
      </c>
      <c r="P715" t="e" cm="1">
        <f t="array" ref="P715">INDEX($B$2:$D$40,MOD(ROW()-ROW($B$2),ROWS($B$2:$D$40))+1,INT((ROW()-ROW($B$2))/ROWS($B$2:$D$40))+1)</f>
        <v>#REF!</v>
      </c>
      <c r="Q715" t="e">
        <f t="shared" ca="1" si="81"/>
        <v>#N/A</v>
      </c>
      <c r="R715" t="str" cm="1">
        <f t="array" aca="1" ref="R715" ca="1">IFERROR(INDIRECT("$P"&amp;Q715),"")</f>
        <v/>
      </c>
      <c r="U715" t="e" cm="1">
        <f t="array" ref="U715">INDEX($C$2:$D$40,MOD(ROW()-ROW($C$2),ROWS($C$2:$D$40))+1,INT((ROW()-ROW($C$2))/ROWS($C$2:$D$40))+1)</f>
        <v>#REF!</v>
      </c>
      <c r="V715" t="e">
        <f t="shared" ca="1" si="82"/>
        <v>#N/A</v>
      </c>
      <c r="W715" t="str" cm="1">
        <f t="array" aca="1" ref="W715" ca="1">IFERROR(INDIRECT("$U"&amp;V715),"")</f>
        <v/>
      </c>
      <c r="Z715" t="e" cm="1">
        <f t="array" ref="Z715">INDEX($AE$2:$AS$40,MOD(ROW()-ROW($AE$2),ROWS($AE$2:$AS$40))+1,INT((ROW()-ROW($AE$2))/ROWS($AE$2:$AS$40))+1)</f>
        <v>#REF!</v>
      </c>
      <c r="AA715" t="e">
        <f t="shared" ca="1" si="83"/>
        <v>#N/A</v>
      </c>
      <c r="AB715" t="str" cm="1">
        <f t="array" aca="1" ref="AB715" ca="1">IFERROR(INDIRECT("$Z"&amp;AA715),"")</f>
        <v/>
      </c>
      <c r="AP715" t="str">
        <f t="shared" si="77"/>
        <v/>
      </c>
      <c r="AQ715" t="str">
        <f t="shared" si="78"/>
        <v/>
      </c>
      <c r="AR715" t="str">
        <f t="shared" si="79"/>
        <v/>
      </c>
      <c r="AS715" t="str">
        <f t="shared" si="80"/>
        <v/>
      </c>
    </row>
    <row r="716" spans="5:45" x14ac:dyDescent="0.25">
      <c r="E716" t="str">
        <f ca="1"/>
        <v/>
      </c>
      <c r="F716" t="str">
        <f ca="1"/>
        <v/>
      </c>
      <c r="P716" t="e" cm="1">
        <f t="array" ref="P716">INDEX($B$2:$D$40,MOD(ROW()-ROW($B$2),ROWS($B$2:$D$40))+1,INT((ROW()-ROW($B$2))/ROWS($B$2:$D$40))+1)</f>
        <v>#REF!</v>
      </c>
      <c r="Q716" t="e">
        <f t="shared" ca="1" si="81"/>
        <v>#N/A</v>
      </c>
      <c r="R716" t="str" cm="1">
        <f t="array" aca="1" ref="R716" ca="1">IFERROR(INDIRECT("$P"&amp;Q716),"")</f>
        <v/>
      </c>
      <c r="U716" t="e" cm="1">
        <f t="array" ref="U716">INDEX($C$2:$D$40,MOD(ROW()-ROW($C$2),ROWS($C$2:$D$40))+1,INT((ROW()-ROW($C$2))/ROWS($C$2:$D$40))+1)</f>
        <v>#REF!</v>
      </c>
      <c r="V716" t="e">
        <f t="shared" ca="1" si="82"/>
        <v>#N/A</v>
      </c>
      <c r="W716" t="str" cm="1">
        <f t="array" aca="1" ref="W716" ca="1">IFERROR(INDIRECT("$U"&amp;V716),"")</f>
        <v/>
      </c>
      <c r="Z716" t="e" cm="1">
        <f t="array" ref="Z716">INDEX($AE$2:$AS$40,MOD(ROW()-ROW($AE$2),ROWS($AE$2:$AS$40))+1,INT((ROW()-ROW($AE$2))/ROWS($AE$2:$AS$40))+1)</f>
        <v>#REF!</v>
      </c>
      <c r="AA716" t="e">
        <f t="shared" ca="1" si="83"/>
        <v>#N/A</v>
      </c>
      <c r="AB716" t="str" cm="1">
        <f t="array" aca="1" ref="AB716" ca="1">IFERROR(INDIRECT("$Z"&amp;AA716),"")</f>
        <v/>
      </c>
      <c r="AP716" t="str">
        <f t="shared" si="77"/>
        <v/>
      </c>
      <c r="AQ716" t="str">
        <f t="shared" si="78"/>
        <v/>
      </c>
      <c r="AR716" t="str">
        <f t="shared" si="79"/>
        <v/>
      </c>
      <c r="AS716" t="str">
        <f t="shared" si="80"/>
        <v/>
      </c>
    </row>
    <row r="717" spans="5:45" x14ac:dyDescent="0.25">
      <c r="E717" t="str">
        <f ca="1"/>
        <v/>
      </c>
      <c r="F717" t="str">
        <f ca="1"/>
        <v/>
      </c>
      <c r="P717" t="e" cm="1">
        <f t="array" ref="P717">INDEX($B$2:$D$40,MOD(ROW()-ROW($B$2),ROWS($B$2:$D$40))+1,INT((ROW()-ROW($B$2))/ROWS($B$2:$D$40))+1)</f>
        <v>#REF!</v>
      </c>
      <c r="Q717" t="e">
        <f t="shared" ca="1" si="81"/>
        <v>#N/A</v>
      </c>
      <c r="R717" t="str" cm="1">
        <f t="array" aca="1" ref="R717" ca="1">IFERROR(INDIRECT("$P"&amp;Q717),"")</f>
        <v/>
      </c>
      <c r="U717" t="e" cm="1">
        <f t="array" ref="U717">INDEX($C$2:$D$40,MOD(ROW()-ROW($C$2),ROWS($C$2:$D$40))+1,INT((ROW()-ROW($C$2))/ROWS($C$2:$D$40))+1)</f>
        <v>#REF!</v>
      </c>
      <c r="V717" t="e">
        <f t="shared" ca="1" si="82"/>
        <v>#N/A</v>
      </c>
      <c r="W717" t="str" cm="1">
        <f t="array" aca="1" ref="W717" ca="1">IFERROR(INDIRECT("$U"&amp;V717),"")</f>
        <v/>
      </c>
      <c r="Z717" t="e" cm="1">
        <f t="array" ref="Z717">INDEX($AE$2:$AS$40,MOD(ROW()-ROW($AE$2),ROWS($AE$2:$AS$40))+1,INT((ROW()-ROW($AE$2))/ROWS($AE$2:$AS$40))+1)</f>
        <v>#REF!</v>
      </c>
      <c r="AA717" t="e">
        <f t="shared" ca="1" si="83"/>
        <v>#N/A</v>
      </c>
      <c r="AB717" t="str" cm="1">
        <f t="array" aca="1" ref="AB717" ca="1">IFERROR(INDIRECT("$Z"&amp;AA717),"")</f>
        <v/>
      </c>
      <c r="AP717" t="str">
        <f t="shared" si="77"/>
        <v/>
      </c>
      <c r="AQ717" t="str">
        <f t="shared" si="78"/>
        <v/>
      </c>
      <c r="AR717" t="str">
        <f t="shared" si="79"/>
        <v/>
      </c>
      <c r="AS717" t="str">
        <f t="shared" si="80"/>
        <v/>
      </c>
    </row>
    <row r="718" spans="5:45" x14ac:dyDescent="0.25">
      <c r="E718" t="str">
        <f ca="1"/>
        <v/>
      </c>
      <c r="F718" t="str">
        <f ca="1"/>
        <v/>
      </c>
      <c r="P718" t="e" cm="1">
        <f t="array" ref="P718">INDEX($B$2:$D$40,MOD(ROW()-ROW($B$2),ROWS($B$2:$D$40))+1,INT((ROW()-ROW($B$2))/ROWS($B$2:$D$40))+1)</f>
        <v>#REF!</v>
      </c>
      <c r="Q718" t="e">
        <f t="shared" ca="1" si="81"/>
        <v>#N/A</v>
      </c>
      <c r="R718" t="str" cm="1">
        <f t="array" aca="1" ref="R718" ca="1">IFERROR(INDIRECT("$P"&amp;Q718),"")</f>
        <v/>
      </c>
      <c r="U718" t="e" cm="1">
        <f t="array" ref="U718">INDEX($C$2:$D$40,MOD(ROW()-ROW($C$2),ROWS($C$2:$D$40))+1,INT((ROW()-ROW($C$2))/ROWS($C$2:$D$40))+1)</f>
        <v>#REF!</v>
      </c>
      <c r="V718" t="e">
        <f t="shared" ca="1" si="82"/>
        <v>#N/A</v>
      </c>
      <c r="W718" t="str" cm="1">
        <f t="array" aca="1" ref="W718" ca="1">IFERROR(INDIRECT("$U"&amp;V718),"")</f>
        <v/>
      </c>
      <c r="Z718" t="e" cm="1">
        <f t="array" ref="Z718">INDEX($AE$2:$AS$40,MOD(ROW()-ROW($AE$2),ROWS($AE$2:$AS$40))+1,INT((ROW()-ROW($AE$2))/ROWS($AE$2:$AS$40))+1)</f>
        <v>#REF!</v>
      </c>
      <c r="AA718" t="e">
        <f t="shared" ca="1" si="83"/>
        <v>#N/A</v>
      </c>
      <c r="AB718" t="str" cm="1">
        <f t="array" aca="1" ref="AB718" ca="1">IFERROR(INDIRECT("$Z"&amp;AA718),"")</f>
        <v/>
      </c>
      <c r="AP718" t="str">
        <f t="shared" si="77"/>
        <v/>
      </c>
      <c r="AQ718" t="str">
        <f t="shared" si="78"/>
        <v/>
      </c>
      <c r="AR718" t="str">
        <f t="shared" si="79"/>
        <v/>
      </c>
      <c r="AS718" t="str">
        <f t="shared" si="80"/>
        <v/>
      </c>
    </row>
    <row r="719" spans="5:45" x14ac:dyDescent="0.25">
      <c r="E719" t="str">
        <f ca="1"/>
        <v/>
      </c>
      <c r="F719" t="str">
        <f ca="1"/>
        <v/>
      </c>
      <c r="P719" t="e" cm="1">
        <f t="array" ref="P719">INDEX($B$2:$D$40,MOD(ROW()-ROW($B$2),ROWS($B$2:$D$40))+1,INT((ROW()-ROW($B$2))/ROWS($B$2:$D$40))+1)</f>
        <v>#REF!</v>
      </c>
      <c r="Q719" t="e">
        <f t="shared" ca="1" si="81"/>
        <v>#N/A</v>
      </c>
      <c r="R719" t="str" cm="1">
        <f t="array" aca="1" ref="R719" ca="1">IFERROR(INDIRECT("$P"&amp;Q719),"")</f>
        <v/>
      </c>
      <c r="U719" t="e" cm="1">
        <f t="array" ref="U719">INDEX($C$2:$D$40,MOD(ROW()-ROW($C$2),ROWS($C$2:$D$40))+1,INT((ROW()-ROW($C$2))/ROWS($C$2:$D$40))+1)</f>
        <v>#REF!</v>
      </c>
      <c r="V719" t="e">
        <f t="shared" ca="1" si="82"/>
        <v>#N/A</v>
      </c>
      <c r="W719" t="str" cm="1">
        <f t="array" aca="1" ref="W719" ca="1">IFERROR(INDIRECT("$U"&amp;V719),"")</f>
        <v/>
      </c>
      <c r="Z719" t="e" cm="1">
        <f t="array" ref="Z719">INDEX($AE$2:$AS$40,MOD(ROW()-ROW($AE$2),ROWS($AE$2:$AS$40))+1,INT((ROW()-ROW($AE$2))/ROWS($AE$2:$AS$40))+1)</f>
        <v>#REF!</v>
      </c>
      <c r="AA719" t="e">
        <f t="shared" ca="1" si="83"/>
        <v>#N/A</v>
      </c>
      <c r="AB719" t="str" cm="1">
        <f t="array" aca="1" ref="AB719" ca="1">IFERROR(INDIRECT("$Z"&amp;AA719),"")</f>
        <v/>
      </c>
      <c r="AP719" t="str">
        <f t="shared" si="77"/>
        <v/>
      </c>
      <c r="AQ719" t="str">
        <f t="shared" si="78"/>
        <v/>
      </c>
      <c r="AR719" t="str">
        <f t="shared" si="79"/>
        <v/>
      </c>
      <c r="AS719" t="str">
        <f t="shared" si="80"/>
        <v/>
      </c>
    </row>
    <row r="720" spans="5:45" x14ac:dyDescent="0.25">
      <c r="E720" t="str">
        <f ca="1"/>
        <v/>
      </c>
      <c r="F720" t="str">
        <f ca="1"/>
        <v/>
      </c>
      <c r="P720" t="e" cm="1">
        <f t="array" ref="P720">INDEX($B$2:$D$40,MOD(ROW()-ROW($B$2),ROWS($B$2:$D$40))+1,INT((ROW()-ROW($B$2))/ROWS($B$2:$D$40))+1)</f>
        <v>#REF!</v>
      </c>
      <c r="Q720" t="e">
        <f t="shared" ca="1" si="81"/>
        <v>#N/A</v>
      </c>
      <c r="R720" t="str" cm="1">
        <f t="array" aca="1" ref="R720" ca="1">IFERROR(INDIRECT("$P"&amp;Q720),"")</f>
        <v/>
      </c>
      <c r="U720" t="e" cm="1">
        <f t="array" ref="U720">INDEX($C$2:$D$40,MOD(ROW()-ROW($C$2),ROWS($C$2:$D$40))+1,INT((ROW()-ROW($C$2))/ROWS($C$2:$D$40))+1)</f>
        <v>#REF!</v>
      </c>
      <c r="V720" t="e">
        <f t="shared" ca="1" si="82"/>
        <v>#N/A</v>
      </c>
      <c r="W720" t="str" cm="1">
        <f t="array" aca="1" ref="W720" ca="1">IFERROR(INDIRECT("$U"&amp;V720),"")</f>
        <v/>
      </c>
      <c r="Z720" t="e" cm="1">
        <f t="array" ref="Z720">INDEX($AE$2:$AS$40,MOD(ROW()-ROW($AE$2),ROWS($AE$2:$AS$40))+1,INT((ROW()-ROW($AE$2))/ROWS($AE$2:$AS$40))+1)</f>
        <v>#REF!</v>
      </c>
      <c r="AA720" t="e">
        <f t="shared" ca="1" si="83"/>
        <v>#N/A</v>
      </c>
      <c r="AB720" t="str" cm="1">
        <f t="array" aca="1" ref="AB720" ca="1">IFERROR(INDIRECT("$Z"&amp;AA720),"")</f>
        <v/>
      </c>
      <c r="AP720" t="str">
        <f t="shared" si="77"/>
        <v/>
      </c>
      <c r="AQ720" t="str">
        <f t="shared" si="78"/>
        <v/>
      </c>
      <c r="AR720" t="str">
        <f t="shared" si="79"/>
        <v/>
      </c>
      <c r="AS720" t="str">
        <f t="shared" si="80"/>
        <v/>
      </c>
    </row>
    <row r="721" spans="5:45" x14ac:dyDescent="0.25">
      <c r="E721" t="str">
        <f ca="1"/>
        <v/>
      </c>
      <c r="F721" t="str">
        <f ca="1"/>
        <v/>
      </c>
      <c r="P721" t="e" cm="1">
        <f t="array" ref="P721">INDEX($B$2:$D$40,MOD(ROW()-ROW($B$2),ROWS($B$2:$D$40))+1,INT((ROW()-ROW($B$2))/ROWS($B$2:$D$40))+1)</f>
        <v>#REF!</v>
      </c>
      <c r="Q721" t="e">
        <f t="shared" ca="1" si="81"/>
        <v>#N/A</v>
      </c>
      <c r="R721" t="str" cm="1">
        <f t="array" aca="1" ref="R721" ca="1">IFERROR(INDIRECT("$P"&amp;Q721),"")</f>
        <v/>
      </c>
      <c r="U721" t="e" cm="1">
        <f t="array" ref="U721">INDEX($C$2:$D$40,MOD(ROW()-ROW($C$2),ROWS($C$2:$D$40))+1,INT((ROW()-ROW($C$2))/ROWS($C$2:$D$40))+1)</f>
        <v>#REF!</v>
      </c>
      <c r="V721" t="e">
        <f t="shared" ca="1" si="82"/>
        <v>#N/A</v>
      </c>
      <c r="W721" t="str" cm="1">
        <f t="array" aca="1" ref="W721" ca="1">IFERROR(INDIRECT("$U"&amp;V721),"")</f>
        <v/>
      </c>
      <c r="Z721" t="e" cm="1">
        <f t="array" ref="Z721">INDEX($AE$2:$AS$40,MOD(ROW()-ROW($AE$2),ROWS($AE$2:$AS$40))+1,INT((ROW()-ROW($AE$2))/ROWS($AE$2:$AS$40))+1)</f>
        <v>#REF!</v>
      </c>
      <c r="AA721" t="e">
        <f t="shared" ca="1" si="83"/>
        <v>#N/A</v>
      </c>
      <c r="AB721" t="str" cm="1">
        <f t="array" aca="1" ref="AB721" ca="1">IFERROR(INDIRECT("$Z"&amp;AA721),"")</f>
        <v/>
      </c>
      <c r="AP721" t="str">
        <f t="shared" si="77"/>
        <v/>
      </c>
      <c r="AQ721" t="str">
        <f t="shared" si="78"/>
        <v/>
      </c>
      <c r="AR721" t="str">
        <f t="shared" si="79"/>
        <v/>
      </c>
      <c r="AS721" t="str">
        <f t="shared" si="80"/>
        <v/>
      </c>
    </row>
    <row r="722" spans="5:45" x14ac:dyDescent="0.25">
      <c r="E722" t="str">
        <f ca="1"/>
        <v/>
      </c>
      <c r="F722" t="str">
        <f ca="1"/>
        <v/>
      </c>
      <c r="P722" t="e" cm="1">
        <f t="array" ref="P722">INDEX($B$2:$D$40,MOD(ROW()-ROW($B$2),ROWS($B$2:$D$40))+1,INT((ROW()-ROW($B$2))/ROWS($B$2:$D$40))+1)</f>
        <v>#REF!</v>
      </c>
      <c r="Q722" t="e">
        <f t="shared" ca="1" si="81"/>
        <v>#N/A</v>
      </c>
      <c r="R722" t="str" cm="1">
        <f t="array" aca="1" ref="R722" ca="1">IFERROR(INDIRECT("$P"&amp;Q722),"")</f>
        <v/>
      </c>
      <c r="U722" t="e" cm="1">
        <f t="array" ref="U722">INDEX($C$2:$D$40,MOD(ROW()-ROW($C$2),ROWS($C$2:$D$40))+1,INT((ROW()-ROW($C$2))/ROWS($C$2:$D$40))+1)</f>
        <v>#REF!</v>
      </c>
      <c r="V722" t="e">
        <f t="shared" ca="1" si="82"/>
        <v>#N/A</v>
      </c>
      <c r="W722" t="str" cm="1">
        <f t="array" aca="1" ref="W722" ca="1">IFERROR(INDIRECT("$U"&amp;V722),"")</f>
        <v/>
      </c>
      <c r="Z722" t="e" cm="1">
        <f t="array" ref="Z722">INDEX($AE$2:$AS$40,MOD(ROW()-ROW($AE$2),ROWS($AE$2:$AS$40))+1,INT((ROW()-ROW($AE$2))/ROWS($AE$2:$AS$40))+1)</f>
        <v>#REF!</v>
      </c>
      <c r="AA722" t="e">
        <f t="shared" ca="1" si="83"/>
        <v>#N/A</v>
      </c>
      <c r="AB722" t="str" cm="1">
        <f t="array" aca="1" ref="AB722" ca="1">IFERROR(INDIRECT("$Z"&amp;AA722),"")</f>
        <v/>
      </c>
      <c r="AP722" t="str">
        <f t="shared" si="77"/>
        <v/>
      </c>
      <c r="AQ722" t="str">
        <f t="shared" si="78"/>
        <v/>
      </c>
      <c r="AR722" t="str">
        <f t="shared" si="79"/>
        <v/>
      </c>
      <c r="AS722" t="str">
        <f t="shared" si="80"/>
        <v/>
      </c>
    </row>
    <row r="723" spans="5:45" x14ac:dyDescent="0.25">
      <c r="E723" t="str">
        <f ca="1"/>
        <v/>
      </c>
      <c r="F723" t="str">
        <f ca="1"/>
        <v/>
      </c>
      <c r="P723" t="e" cm="1">
        <f t="array" ref="P723">INDEX($B$2:$D$40,MOD(ROW()-ROW($B$2),ROWS($B$2:$D$40))+1,INT((ROW()-ROW($B$2))/ROWS($B$2:$D$40))+1)</f>
        <v>#REF!</v>
      </c>
      <c r="Q723" t="e">
        <f t="shared" ca="1" si="81"/>
        <v>#N/A</v>
      </c>
      <c r="R723" t="str" cm="1">
        <f t="array" aca="1" ref="R723" ca="1">IFERROR(INDIRECT("$P"&amp;Q723),"")</f>
        <v/>
      </c>
      <c r="U723" t="e" cm="1">
        <f t="array" ref="U723">INDEX($C$2:$D$40,MOD(ROW()-ROW($C$2),ROWS($C$2:$D$40))+1,INT((ROW()-ROW($C$2))/ROWS($C$2:$D$40))+1)</f>
        <v>#REF!</v>
      </c>
      <c r="V723" t="e">
        <f t="shared" ca="1" si="82"/>
        <v>#N/A</v>
      </c>
      <c r="W723" t="str" cm="1">
        <f t="array" aca="1" ref="W723" ca="1">IFERROR(INDIRECT("$U"&amp;V723),"")</f>
        <v/>
      </c>
      <c r="Z723" t="e" cm="1">
        <f t="array" ref="Z723">INDEX($AE$2:$AS$40,MOD(ROW()-ROW($AE$2),ROWS($AE$2:$AS$40))+1,INT((ROW()-ROW($AE$2))/ROWS($AE$2:$AS$40))+1)</f>
        <v>#REF!</v>
      </c>
      <c r="AA723" t="e">
        <f t="shared" ca="1" si="83"/>
        <v>#N/A</v>
      </c>
      <c r="AB723" t="str" cm="1">
        <f t="array" aca="1" ref="AB723" ca="1">IFERROR(INDIRECT("$Z"&amp;AA723),"")</f>
        <v/>
      </c>
      <c r="AP723" t="str">
        <f t="shared" si="77"/>
        <v/>
      </c>
      <c r="AQ723" t="str">
        <f t="shared" si="78"/>
        <v/>
      </c>
      <c r="AR723" t="str">
        <f t="shared" si="79"/>
        <v/>
      </c>
      <c r="AS723" t="str">
        <f t="shared" si="80"/>
        <v/>
      </c>
    </row>
    <row r="724" spans="5:45" x14ac:dyDescent="0.25">
      <c r="E724" t="str">
        <f ca="1"/>
        <v/>
      </c>
      <c r="F724" t="str">
        <f ca="1"/>
        <v/>
      </c>
      <c r="P724" t="e" cm="1">
        <f t="array" ref="P724">INDEX($B$2:$D$40,MOD(ROW()-ROW($B$2),ROWS($B$2:$D$40))+1,INT((ROW()-ROW($B$2))/ROWS($B$2:$D$40))+1)</f>
        <v>#REF!</v>
      </c>
      <c r="Q724" t="e">
        <f t="shared" ca="1" si="81"/>
        <v>#N/A</v>
      </c>
      <c r="R724" t="str" cm="1">
        <f t="array" aca="1" ref="R724" ca="1">IFERROR(INDIRECT("$P"&amp;Q724),"")</f>
        <v/>
      </c>
      <c r="U724" t="e" cm="1">
        <f t="array" ref="U724">INDEX($C$2:$D$40,MOD(ROW()-ROW($C$2),ROWS($C$2:$D$40))+1,INT((ROW()-ROW($C$2))/ROWS($C$2:$D$40))+1)</f>
        <v>#REF!</v>
      </c>
      <c r="V724" t="e">
        <f t="shared" ca="1" si="82"/>
        <v>#N/A</v>
      </c>
      <c r="W724" t="str" cm="1">
        <f t="array" aca="1" ref="W724" ca="1">IFERROR(INDIRECT("$U"&amp;V724),"")</f>
        <v/>
      </c>
      <c r="Z724" t="e" cm="1">
        <f t="array" ref="Z724">INDEX($AE$2:$AS$40,MOD(ROW()-ROW($AE$2),ROWS($AE$2:$AS$40))+1,INT((ROW()-ROW($AE$2))/ROWS($AE$2:$AS$40))+1)</f>
        <v>#REF!</v>
      </c>
      <c r="AA724" t="e">
        <f t="shared" ca="1" si="83"/>
        <v>#N/A</v>
      </c>
      <c r="AB724" t="str" cm="1">
        <f t="array" aca="1" ref="AB724" ca="1">IFERROR(INDIRECT("$Z"&amp;AA724),"")</f>
        <v/>
      </c>
      <c r="AP724" t="str">
        <f t="shared" si="77"/>
        <v/>
      </c>
      <c r="AQ724" t="str">
        <f t="shared" si="78"/>
        <v/>
      </c>
      <c r="AR724" t="str">
        <f t="shared" si="79"/>
        <v/>
      </c>
      <c r="AS724" t="str">
        <f t="shared" si="80"/>
        <v/>
      </c>
    </row>
    <row r="725" spans="5:45" x14ac:dyDescent="0.25">
      <c r="E725" t="str">
        <f ca="1"/>
        <v/>
      </c>
      <c r="F725" t="str">
        <f ca="1"/>
        <v/>
      </c>
      <c r="P725" t="e" cm="1">
        <f t="array" ref="P725">INDEX($B$2:$D$40,MOD(ROW()-ROW($B$2),ROWS($B$2:$D$40))+1,INT((ROW()-ROW($B$2))/ROWS($B$2:$D$40))+1)</f>
        <v>#REF!</v>
      </c>
      <c r="Q725" t="e">
        <f t="shared" ca="1" si="81"/>
        <v>#N/A</v>
      </c>
      <c r="R725" t="str" cm="1">
        <f t="array" aca="1" ref="R725" ca="1">IFERROR(INDIRECT("$P"&amp;Q725),"")</f>
        <v/>
      </c>
      <c r="U725" t="e" cm="1">
        <f t="array" ref="U725">INDEX($C$2:$D$40,MOD(ROW()-ROW($C$2),ROWS($C$2:$D$40))+1,INT((ROW()-ROW($C$2))/ROWS($C$2:$D$40))+1)</f>
        <v>#REF!</v>
      </c>
      <c r="V725" t="e">
        <f t="shared" ca="1" si="82"/>
        <v>#N/A</v>
      </c>
      <c r="W725" t="str" cm="1">
        <f t="array" aca="1" ref="W725" ca="1">IFERROR(INDIRECT("$U"&amp;V725),"")</f>
        <v/>
      </c>
      <c r="Z725" t="e" cm="1">
        <f t="array" ref="Z725">INDEX($AE$2:$AS$40,MOD(ROW()-ROW($AE$2),ROWS($AE$2:$AS$40))+1,INT((ROW()-ROW($AE$2))/ROWS($AE$2:$AS$40))+1)</f>
        <v>#REF!</v>
      </c>
      <c r="AA725" t="e">
        <f t="shared" ca="1" si="83"/>
        <v>#N/A</v>
      </c>
      <c r="AB725" t="str" cm="1">
        <f t="array" aca="1" ref="AB725" ca="1">IFERROR(INDIRECT("$Z"&amp;AA725),"")</f>
        <v/>
      </c>
      <c r="AP725" t="str">
        <f t="shared" si="77"/>
        <v/>
      </c>
      <c r="AQ725" t="str">
        <f t="shared" si="78"/>
        <v/>
      </c>
      <c r="AR725" t="str">
        <f t="shared" si="79"/>
        <v/>
      </c>
      <c r="AS725" t="str">
        <f t="shared" si="80"/>
        <v/>
      </c>
    </row>
    <row r="726" spans="5:45" x14ac:dyDescent="0.25">
      <c r="E726" t="str">
        <f ca="1"/>
        <v/>
      </c>
      <c r="F726" t="str">
        <f ca="1"/>
        <v/>
      </c>
      <c r="P726" t="e" cm="1">
        <f t="array" ref="P726">INDEX($B$2:$D$40,MOD(ROW()-ROW($B$2),ROWS($B$2:$D$40))+1,INT((ROW()-ROW($B$2))/ROWS($B$2:$D$40))+1)</f>
        <v>#REF!</v>
      </c>
      <c r="Q726" t="e">
        <f t="shared" ca="1" si="81"/>
        <v>#N/A</v>
      </c>
      <c r="R726" t="str" cm="1">
        <f t="array" aca="1" ref="R726" ca="1">IFERROR(INDIRECT("$P"&amp;Q726),"")</f>
        <v/>
      </c>
      <c r="U726" t="e" cm="1">
        <f t="array" ref="U726">INDEX($C$2:$D$40,MOD(ROW()-ROW($C$2),ROWS($C$2:$D$40))+1,INT((ROW()-ROW($C$2))/ROWS($C$2:$D$40))+1)</f>
        <v>#REF!</v>
      </c>
      <c r="V726" t="e">
        <f t="shared" ca="1" si="82"/>
        <v>#N/A</v>
      </c>
      <c r="W726" t="str" cm="1">
        <f t="array" aca="1" ref="W726" ca="1">IFERROR(INDIRECT("$U"&amp;V726),"")</f>
        <v/>
      </c>
      <c r="Z726" t="e" cm="1">
        <f t="array" ref="Z726">INDEX($AE$2:$AS$40,MOD(ROW()-ROW($AE$2),ROWS($AE$2:$AS$40))+1,INT((ROW()-ROW($AE$2))/ROWS($AE$2:$AS$40))+1)</f>
        <v>#REF!</v>
      </c>
      <c r="AA726" t="e">
        <f t="shared" ca="1" si="83"/>
        <v>#N/A</v>
      </c>
      <c r="AB726" t="str" cm="1">
        <f t="array" aca="1" ref="AB726" ca="1">IFERROR(INDIRECT("$Z"&amp;AA726),"")</f>
        <v/>
      </c>
      <c r="AP726" t="str">
        <f t="shared" si="77"/>
        <v/>
      </c>
      <c r="AQ726" t="str">
        <f t="shared" si="78"/>
        <v/>
      </c>
      <c r="AR726" t="str">
        <f t="shared" si="79"/>
        <v/>
      </c>
      <c r="AS726" t="str">
        <f t="shared" si="80"/>
        <v/>
      </c>
    </row>
    <row r="727" spans="5:45" x14ac:dyDescent="0.25">
      <c r="E727" t="str">
        <f ca="1"/>
        <v/>
      </c>
      <c r="F727" t="str">
        <f ca="1"/>
        <v/>
      </c>
      <c r="P727" t="e" cm="1">
        <f t="array" ref="P727">INDEX($B$2:$D$40,MOD(ROW()-ROW($B$2),ROWS($B$2:$D$40))+1,INT((ROW()-ROW($B$2))/ROWS($B$2:$D$40))+1)</f>
        <v>#REF!</v>
      </c>
      <c r="Q727" t="e">
        <f t="shared" ca="1" si="81"/>
        <v>#N/A</v>
      </c>
      <c r="R727" t="str" cm="1">
        <f t="array" aca="1" ref="R727" ca="1">IFERROR(INDIRECT("$P"&amp;Q727),"")</f>
        <v/>
      </c>
      <c r="U727" t="e" cm="1">
        <f t="array" ref="U727">INDEX($C$2:$D$40,MOD(ROW()-ROW($C$2),ROWS($C$2:$D$40))+1,INT((ROW()-ROW($C$2))/ROWS($C$2:$D$40))+1)</f>
        <v>#REF!</v>
      </c>
      <c r="V727" t="e">
        <f t="shared" ca="1" si="82"/>
        <v>#N/A</v>
      </c>
      <c r="W727" t="str" cm="1">
        <f t="array" aca="1" ref="W727" ca="1">IFERROR(INDIRECT("$U"&amp;V727),"")</f>
        <v/>
      </c>
      <c r="Z727" t="e" cm="1">
        <f t="array" ref="Z727">INDEX($AE$2:$AS$40,MOD(ROW()-ROW($AE$2),ROWS($AE$2:$AS$40))+1,INT((ROW()-ROW($AE$2))/ROWS($AE$2:$AS$40))+1)</f>
        <v>#REF!</v>
      </c>
      <c r="AA727" t="e">
        <f t="shared" ca="1" si="83"/>
        <v>#N/A</v>
      </c>
      <c r="AB727" t="str" cm="1">
        <f t="array" aca="1" ref="AB727" ca="1">IFERROR(INDIRECT("$Z"&amp;AA727),"")</f>
        <v/>
      </c>
      <c r="AP727" t="str">
        <f t="shared" si="77"/>
        <v/>
      </c>
      <c r="AQ727" t="str">
        <f t="shared" si="78"/>
        <v/>
      </c>
      <c r="AR727" t="str">
        <f t="shared" si="79"/>
        <v/>
      </c>
      <c r="AS727" t="str">
        <f t="shared" si="80"/>
        <v/>
      </c>
    </row>
    <row r="728" spans="5:45" x14ac:dyDescent="0.25">
      <c r="E728" t="str">
        <f ca="1"/>
        <v/>
      </c>
      <c r="F728" t="str">
        <f ca="1"/>
        <v/>
      </c>
      <c r="P728" t="e" cm="1">
        <f t="array" ref="P728">INDEX($B$2:$D$40,MOD(ROW()-ROW($B$2),ROWS($B$2:$D$40))+1,INT((ROW()-ROW($B$2))/ROWS($B$2:$D$40))+1)</f>
        <v>#REF!</v>
      </c>
      <c r="Q728" t="e">
        <f t="shared" ca="1" si="81"/>
        <v>#N/A</v>
      </c>
      <c r="R728" t="str" cm="1">
        <f t="array" aca="1" ref="R728" ca="1">IFERROR(INDIRECT("$P"&amp;Q728),"")</f>
        <v/>
      </c>
      <c r="U728" t="e" cm="1">
        <f t="array" ref="U728">INDEX($C$2:$D$40,MOD(ROW()-ROW($C$2),ROWS($C$2:$D$40))+1,INT((ROW()-ROW($C$2))/ROWS($C$2:$D$40))+1)</f>
        <v>#REF!</v>
      </c>
      <c r="V728" t="e">
        <f t="shared" ca="1" si="82"/>
        <v>#N/A</v>
      </c>
      <c r="W728" t="str" cm="1">
        <f t="array" aca="1" ref="W728" ca="1">IFERROR(INDIRECT("$U"&amp;V728),"")</f>
        <v/>
      </c>
      <c r="Z728" t="e" cm="1">
        <f t="array" ref="Z728">INDEX($AE$2:$AS$40,MOD(ROW()-ROW($AE$2),ROWS($AE$2:$AS$40))+1,INT((ROW()-ROW($AE$2))/ROWS($AE$2:$AS$40))+1)</f>
        <v>#REF!</v>
      </c>
      <c r="AA728" t="e">
        <f t="shared" ca="1" si="83"/>
        <v>#N/A</v>
      </c>
      <c r="AB728" t="str" cm="1">
        <f t="array" aca="1" ref="AB728" ca="1">IFERROR(INDIRECT("$Z"&amp;AA728),"")</f>
        <v/>
      </c>
      <c r="AP728" t="str">
        <f t="shared" si="77"/>
        <v/>
      </c>
      <c r="AQ728" t="str">
        <f t="shared" si="78"/>
        <v/>
      </c>
      <c r="AR728" t="str">
        <f t="shared" si="79"/>
        <v/>
      </c>
      <c r="AS728" t="str">
        <f t="shared" si="80"/>
        <v/>
      </c>
    </row>
    <row r="729" spans="5:45" x14ac:dyDescent="0.25">
      <c r="E729" t="str">
        <f ca="1"/>
        <v/>
      </c>
      <c r="F729" t="str">
        <f ca="1"/>
        <v/>
      </c>
      <c r="P729" t="e" cm="1">
        <f t="array" ref="P729">INDEX($B$2:$D$40,MOD(ROW()-ROW($B$2),ROWS($B$2:$D$40))+1,INT((ROW()-ROW($B$2))/ROWS($B$2:$D$40))+1)</f>
        <v>#REF!</v>
      </c>
      <c r="Q729" t="e">
        <f t="shared" ca="1" si="81"/>
        <v>#N/A</v>
      </c>
      <c r="R729" t="str" cm="1">
        <f t="array" aca="1" ref="R729" ca="1">IFERROR(INDIRECT("$P"&amp;Q729),"")</f>
        <v/>
      </c>
      <c r="U729" t="e" cm="1">
        <f t="array" ref="U729">INDEX($C$2:$D$40,MOD(ROW()-ROW($C$2),ROWS($C$2:$D$40))+1,INT((ROW()-ROW($C$2))/ROWS($C$2:$D$40))+1)</f>
        <v>#REF!</v>
      </c>
      <c r="V729" t="e">
        <f t="shared" ca="1" si="82"/>
        <v>#N/A</v>
      </c>
      <c r="W729" t="str" cm="1">
        <f t="array" aca="1" ref="W729" ca="1">IFERROR(INDIRECT("$U"&amp;V729),"")</f>
        <v/>
      </c>
      <c r="Z729" t="e" cm="1">
        <f t="array" ref="Z729">INDEX($AE$2:$AS$40,MOD(ROW()-ROW($AE$2),ROWS($AE$2:$AS$40))+1,INT((ROW()-ROW($AE$2))/ROWS($AE$2:$AS$40))+1)</f>
        <v>#REF!</v>
      </c>
      <c r="AA729" t="e">
        <f t="shared" ca="1" si="83"/>
        <v>#N/A</v>
      </c>
      <c r="AB729" t="str" cm="1">
        <f t="array" aca="1" ref="AB729" ca="1">IFERROR(INDIRECT("$Z"&amp;AA729),"")</f>
        <v/>
      </c>
      <c r="AP729" t="str">
        <f t="shared" si="77"/>
        <v/>
      </c>
      <c r="AQ729" t="str">
        <f t="shared" si="78"/>
        <v/>
      </c>
      <c r="AR729" t="str">
        <f t="shared" si="79"/>
        <v/>
      </c>
      <c r="AS729" t="str">
        <f t="shared" si="80"/>
        <v/>
      </c>
    </row>
    <row r="730" spans="5:45" x14ac:dyDescent="0.25">
      <c r="E730" t="str">
        <f ca="1"/>
        <v/>
      </c>
      <c r="F730" t="str">
        <f ca="1"/>
        <v/>
      </c>
      <c r="P730" t="e" cm="1">
        <f t="array" ref="P730">INDEX($B$2:$D$40,MOD(ROW()-ROW($B$2),ROWS($B$2:$D$40))+1,INT((ROW()-ROW($B$2))/ROWS($B$2:$D$40))+1)</f>
        <v>#REF!</v>
      </c>
      <c r="Q730" t="e">
        <f t="shared" ca="1" si="81"/>
        <v>#N/A</v>
      </c>
      <c r="R730" t="str" cm="1">
        <f t="array" aca="1" ref="R730" ca="1">IFERROR(INDIRECT("$P"&amp;Q730),"")</f>
        <v/>
      </c>
      <c r="U730" t="e" cm="1">
        <f t="array" ref="U730">INDEX($C$2:$D$40,MOD(ROW()-ROW($C$2),ROWS($C$2:$D$40))+1,INT((ROW()-ROW($C$2))/ROWS($C$2:$D$40))+1)</f>
        <v>#REF!</v>
      </c>
      <c r="V730" t="e">
        <f t="shared" ca="1" si="82"/>
        <v>#N/A</v>
      </c>
      <c r="W730" t="str" cm="1">
        <f t="array" aca="1" ref="W730" ca="1">IFERROR(INDIRECT("$U"&amp;V730),"")</f>
        <v/>
      </c>
      <c r="Z730" t="e" cm="1">
        <f t="array" ref="Z730">INDEX($AE$2:$AS$40,MOD(ROW()-ROW($AE$2),ROWS($AE$2:$AS$40))+1,INT((ROW()-ROW($AE$2))/ROWS($AE$2:$AS$40))+1)</f>
        <v>#REF!</v>
      </c>
      <c r="AA730" t="e">
        <f t="shared" ca="1" si="83"/>
        <v>#N/A</v>
      </c>
      <c r="AB730" t="str" cm="1">
        <f t="array" aca="1" ref="AB730" ca="1">IFERROR(INDIRECT("$Z"&amp;AA730),"")</f>
        <v/>
      </c>
      <c r="AP730" t="str">
        <f t="shared" si="77"/>
        <v/>
      </c>
      <c r="AQ730" t="str">
        <f t="shared" si="78"/>
        <v/>
      </c>
      <c r="AR730" t="str">
        <f t="shared" si="79"/>
        <v/>
      </c>
      <c r="AS730" t="str">
        <f t="shared" si="80"/>
        <v/>
      </c>
    </row>
    <row r="731" spans="5:45" x14ac:dyDescent="0.25">
      <c r="E731" t="str">
        <f ca="1"/>
        <v/>
      </c>
      <c r="F731" t="str">
        <f ca="1"/>
        <v/>
      </c>
      <c r="P731" t="e" cm="1">
        <f t="array" ref="P731">INDEX($B$2:$D$40,MOD(ROW()-ROW($B$2),ROWS($B$2:$D$40))+1,INT((ROW()-ROW($B$2))/ROWS($B$2:$D$40))+1)</f>
        <v>#REF!</v>
      </c>
      <c r="Q731" t="e">
        <f t="shared" ca="1" si="81"/>
        <v>#N/A</v>
      </c>
      <c r="R731" t="str" cm="1">
        <f t="array" aca="1" ref="R731" ca="1">IFERROR(INDIRECT("$P"&amp;Q731),"")</f>
        <v/>
      </c>
      <c r="U731" t="e" cm="1">
        <f t="array" ref="U731">INDEX($C$2:$D$40,MOD(ROW()-ROW($C$2),ROWS($C$2:$D$40))+1,INT((ROW()-ROW($C$2))/ROWS($C$2:$D$40))+1)</f>
        <v>#REF!</v>
      </c>
      <c r="V731" t="e">
        <f t="shared" ca="1" si="82"/>
        <v>#N/A</v>
      </c>
      <c r="W731" t="str" cm="1">
        <f t="array" aca="1" ref="W731" ca="1">IFERROR(INDIRECT("$U"&amp;V731),"")</f>
        <v/>
      </c>
      <c r="Z731" t="e" cm="1">
        <f t="array" ref="Z731">INDEX($AE$2:$AS$40,MOD(ROW()-ROW($AE$2),ROWS($AE$2:$AS$40))+1,INT((ROW()-ROW($AE$2))/ROWS($AE$2:$AS$40))+1)</f>
        <v>#REF!</v>
      </c>
      <c r="AA731" t="e">
        <f t="shared" ca="1" si="83"/>
        <v>#N/A</v>
      </c>
      <c r="AB731" t="str" cm="1">
        <f t="array" aca="1" ref="AB731" ca="1">IFERROR(INDIRECT("$Z"&amp;AA731),"")</f>
        <v/>
      </c>
      <c r="AP731" t="str">
        <f t="shared" si="77"/>
        <v/>
      </c>
      <c r="AQ731" t="str">
        <f t="shared" si="78"/>
        <v/>
      </c>
      <c r="AR731" t="str">
        <f t="shared" si="79"/>
        <v/>
      </c>
      <c r="AS731" t="str">
        <f t="shared" si="80"/>
        <v/>
      </c>
    </row>
    <row r="732" spans="5:45" x14ac:dyDescent="0.25">
      <c r="E732" t="str">
        <f ca="1"/>
        <v/>
      </c>
      <c r="F732" t="str">
        <f ca="1"/>
        <v/>
      </c>
      <c r="P732" t="e" cm="1">
        <f t="array" ref="P732">INDEX($B$2:$D$40,MOD(ROW()-ROW($B$2),ROWS($B$2:$D$40))+1,INT((ROW()-ROW($B$2))/ROWS($B$2:$D$40))+1)</f>
        <v>#REF!</v>
      </c>
      <c r="Q732" t="e">
        <f t="shared" ca="1" si="81"/>
        <v>#N/A</v>
      </c>
      <c r="R732" t="str" cm="1">
        <f t="array" aca="1" ref="R732" ca="1">IFERROR(INDIRECT("$P"&amp;Q732),"")</f>
        <v/>
      </c>
      <c r="U732" t="e" cm="1">
        <f t="array" ref="U732">INDEX($C$2:$D$40,MOD(ROW()-ROW($C$2),ROWS($C$2:$D$40))+1,INT((ROW()-ROW($C$2))/ROWS($C$2:$D$40))+1)</f>
        <v>#REF!</v>
      </c>
      <c r="V732" t="e">
        <f t="shared" ca="1" si="82"/>
        <v>#N/A</v>
      </c>
      <c r="W732" t="str" cm="1">
        <f t="array" aca="1" ref="W732" ca="1">IFERROR(INDIRECT("$U"&amp;V732),"")</f>
        <v/>
      </c>
      <c r="Z732" t="e" cm="1">
        <f t="array" ref="Z732">INDEX($AE$2:$AS$40,MOD(ROW()-ROW($AE$2),ROWS($AE$2:$AS$40))+1,INT((ROW()-ROW($AE$2))/ROWS($AE$2:$AS$40))+1)</f>
        <v>#REF!</v>
      </c>
      <c r="AA732" t="e">
        <f t="shared" ca="1" si="83"/>
        <v>#N/A</v>
      </c>
      <c r="AB732" t="str" cm="1">
        <f t="array" aca="1" ref="AB732" ca="1">IFERROR(INDIRECT("$Z"&amp;AA732),"")</f>
        <v/>
      </c>
      <c r="AP732" t="str">
        <f t="shared" si="77"/>
        <v/>
      </c>
      <c r="AQ732" t="str">
        <f t="shared" si="78"/>
        <v/>
      </c>
      <c r="AR732" t="str">
        <f t="shared" si="79"/>
        <v/>
      </c>
      <c r="AS732" t="str">
        <f t="shared" si="80"/>
        <v/>
      </c>
    </row>
    <row r="733" spans="5:45" x14ac:dyDescent="0.25">
      <c r="E733" t="str">
        <f ca="1"/>
        <v/>
      </c>
      <c r="F733" t="str">
        <f ca="1"/>
        <v/>
      </c>
      <c r="P733" t="e" cm="1">
        <f t="array" ref="P733">INDEX($B$2:$D$40,MOD(ROW()-ROW($B$2),ROWS($B$2:$D$40))+1,INT((ROW()-ROW($B$2))/ROWS($B$2:$D$40))+1)</f>
        <v>#REF!</v>
      </c>
      <c r="Q733" t="e">
        <f t="shared" ca="1" si="81"/>
        <v>#N/A</v>
      </c>
      <c r="R733" t="str" cm="1">
        <f t="array" aca="1" ref="R733" ca="1">IFERROR(INDIRECT("$P"&amp;Q733),"")</f>
        <v/>
      </c>
      <c r="U733" t="e" cm="1">
        <f t="array" ref="U733">INDEX($C$2:$D$40,MOD(ROW()-ROW($C$2),ROWS($C$2:$D$40))+1,INT((ROW()-ROW($C$2))/ROWS($C$2:$D$40))+1)</f>
        <v>#REF!</v>
      </c>
      <c r="V733" t="e">
        <f t="shared" ca="1" si="82"/>
        <v>#N/A</v>
      </c>
      <c r="W733" t="str" cm="1">
        <f t="array" aca="1" ref="W733" ca="1">IFERROR(INDIRECT("$U"&amp;V733),"")</f>
        <v/>
      </c>
      <c r="Z733" t="e" cm="1">
        <f t="array" ref="Z733">INDEX($AE$2:$AS$40,MOD(ROW()-ROW($AE$2),ROWS($AE$2:$AS$40))+1,INT((ROW()-ROW($AE$2))/ROWS($AE$2:$AS$40))+1)</f>
        <v>#REF!</v>
      </c>
      <c r="AA733" t="e">
        <f t="shared" ca="1" si="83"/>
        <v>#N/A</v>
      </c>
      <c r="AB733" t="str" cm="1">
        <f t="array" aca="1" ref="AB733" ca="1">IFERROR(INDIRECT("$Z"&amp;AA733),"")</f>
        <v/>
      </c>
      <c r="AP733" t="str">
        <f t="shared" si="77"/>
        <v/>
      </c>
      <c r="AQ733" t="str">
        <f t="shared" si="78"/>
        <v/>
      </c>
      <c r="AR733" t="str">
        <f t="shared" si="79"/>
        <v/>
      </c>
      <c r="AS733" t="str">
        <f t="shared" si="80"/>
        <v/>
      </c>
    </row>
    <row r="734" spans="5:45" x14ac:dyDescent="0.25">
      <c r="E734" t="str">
        <f ca="1"/>
        <v/>
      </c>
      <c r="F734" t="str">
        <f ca="1"/>
        <v/>
      </c>
      <c r="P734" t="e" cm="1">
        <f t="array" ref="P734">INDEX($B$2:$D$40,MOD(ROW()-ROW($B$2),ROWS($B$2:$D$40))+1,INT((ROW()-ROW($B$2))/ROWS($B$2:$D$40))+1)</f>
        <v>#REF!</v>
      </c>
      <c r="Q734" t="e">
        <f t="shared" ca="1" si="81"/>
        <v>#N/A</v>
      </c>
      <c r="R734" t="str" cm="1">
        <f t="array" aca="1" ref="R734" ca="1">IFERROR(INDIRECT("$P"&amp;Q734),"")</f>
        <v/>
      </c>
      <c r="U734" t="e" cm="1">
        <f t="array" ref="U734">INDEX($C$2:$D$40,MOD(ROW()-ROW($C$2),ROWS($C$2:$D$40))+1,INT((ROW()-ROW($C$2))/ROWS($C$2:$D$40))+1)</f>
        <v>#REF!</v>
      </c>
      <c r="V734" t="e">
        <f t="shared" ca="1" si="82"/>
        <v>#N/A</v>
      </c>
      <c r="W734" t="str" cm="1">
        <f t="array" aca="1" ref="W734" ca="1">IFERROR(INDIRECT("$U"&amp;V734),"")</f>
        <v/>
      </c>
      <c r="Z734" t="e" cm="1">
        <f t="array" ref="Z734">INDEX($AE$2:$AS$40,MOD(ROW()-ROW($AE$2),ROWS($AE$2:$AS$40))+1,INT((ROW()-ROW($AE$2))/ROWS($AE$2:$AS$40))+1)</f>
        <v>#REF!</v>
      </c>
      <c r="AA734" t="e">
        <f t="shared" ca="1" si="83"/>
        <v>#N/A</v>
      </c>
      <c r="AB734" t="str" cm="1">
        <f t="array" aca="1" ref="AB734" ca="1">IFERROR(INDIRECT("$Z"&amp;AA734),"")</f>
        <v/>
      </c>
      <c r="AP734" t="str">
        <f t="shared" si="77"/>
        <v/>
      </c>
      <c r="AQ734" t="str">
        <f t="shared" si="78"/>
        <v/>
      </c>
      <c r="AR734" t="str">
        <f t="shared" si="79"/>
        <v/>
      </c>
      <c r="AS734" t="str">
        <f t="shared" si="80"/>
        <v/>
      </c>
    </row>
    <row r="735" spans="5:45" x14ac:dyDescent="0.25">
      <c r="E735" t="str">
        <f ca="1"/>
        <v/>
      </c>
      <c r="F735" t="str">
        <f ca="1"/>
        <v/>
      </c>
      <c r="P735" t="e" cm="1">
        <f t="array" ref="P735">INDEX($B$2:$D$40,MOD(ROW()-ROW($B$2),ROWS($B$2:$D$40))+1,INT((ROW()-ROW($B$2))/ROWS($B$2:$D$40))+1)</f>
        <v>#REF!</v>
      </c>
      <c r="Q735" t="e">
        <f t="shared" ca="1" si="81"/>
        <v>#N/A</v>
      </c>
      <c r="R735" t="str" cm="1">
        <f t="array" aca="1" ref="R735" ca="1">IFERROR(INDIRECT("$P"&amp;Q735),"")</f>
        <v/>
      </c>
      <c r="U735" t="e" cm="1">
        <f t="array" ref="U735">INDEX($C$2:$D$40,MOD(ROW()-ROW($C$2),ROWS($C$2:$D$40))+1,INT((ROW()-ROW($C$2))/ROWS($C$2:$D$40))+1)</f>
        <v>#REF!</v>
      </c>
      <c r="V735" t="e">
        <f t="shared" ca="1" si="82"/>
        <v>#N/A</v>
      </c>
      <c r="W735" t="str" cm="1">
        <f t="array" aca="1" ref="W735" ca="1">IFERROR(INDIRECT("$U"&amp;V735),"")</f>
        <v/>
      </c>
      <c r="Z735" t="e" cm="1">
        <f t="array" ref="Z735">INDEX($AE$2:$AS$40,MOD(ROW()-ROW($AE$2),ROWS($AE$2:$AS$40))+1,INT((ROW()-ROW($AE$2))/ROWS($AE$2:$AS$40))+1)</f>
        <v>#REF!</v>
      </c>
      <c r="AA735" t="e">
        <f t="shared" ca="1" si="83"/>
        <v>#N/A</v>
      </c>
      <c r="AB735" t="str" cm="1">
        <f t="array" aca="1" ref="AB735" ca="1">IFERROR(INDIRECT("$Z"&amp;AA735),"")</f>
        <v/>
      </c>
      <c r="AP735" t="str">
        <f t="shared" si="77"/>
        <v/>
      </c>
      <c r="AQ735" t="str">
        <f t="shared" si="78"/>
        <v/>
      </c>
      <c r="AR735" t="str">
        <f t="shared" si="79"/>
        <v/>
      </c>
      <c r="AS735" t="str">
        <f t="shared" si="80"/>
        <v/>
      </c>
    </row>
    <row r="736" spans="5:45" x14ac:dyDescent="0.25">
      <c r="E736" t="str">
        <f ca="1"/>
        <v/>
      </c>
      <c r="F736" t="str">
        <f ca="1"/>
        <v/>
      </c>
      <c r="P736" t="e" cm="1">
        <f t="array" ref="P736">INDEX($B$2:$D$40,MOD(ROW()-ROW($B$2),ROWS($B$2:$D$40))+1,INT((ROW()-ROW($B$2))/ROWS($B$2:$D$40))+1)</f>
        <v>#REF!</v>
      </c>
      <c r="Q736" t="e">
        <f t="shared" ca="1" si="81"/>
        <v>#N/A</v>
      </c>
      <c r="R736" t="str" cm="1">
        <f t="array" aca="1" ref="R736" ca="1">IFERROR(INDIRECT("$P"&amp;Q736),"")</f>
        <v/>
      </c>
      <c r="U736" t="e" cm="1">
        <f t="array" ref="U736">INDEX($C$2:$D$40,MOD(ROW()-ROW($C$2),ROWS($C$2:$D$40))+1,INT((ROW()-ROW($C$2))/ROWS($C$2:$D$40))+1)</f>
        <v>#REF!</v>
      </c>
      <c r="V736" t="e">
        <f t="shared" ca="1" si="82"/>
        <v>#N/A</v>
      </c>
      <c r="W736" t="str" cm="1">
        <f t="array" aca="1" ref="W736" ca="1">IFERROR(INDIRECT("$U"&amp;V736),"")</f>
        <v/>
      </c>
      <c r="Z736" t="e" cm="1">
        <f t="array" ref="Z736">INDEX($AE$2:$AS$40,MOD(ROW()-ROW($AE$2),ROWS($AE$2:$AS$40))+1,INT((ROW()-ROW($AE$2))/ROWS($AE$2:$AS$40))+1)</f>
        <v>#REF!</v>
      </c>
      <c r="AA736" t="e">
        <f t="shared" ca="1" si="83"/>
        <v>#N/A</v>
      </c>
      <c r="AB736" t="str" cm="1">
        <f t="array" aca="1" ref="AB736" ca="1">IFERROR(INDIRECT("$Z"&amp;AA736),"")</f>
        <v/>
      </c>
      <c r="AP736" t="str">
        <f t="shared" si="77"/>
        <v/>
      </c>
      <c r="AQ736" t="str">
        <f t="shared" si="78"/>
        <v/>
      </c>
      <c r="AR736" t="str">
        <f t="shared" si="79"/>
        <v/>
      </c>
      <c r="AS736" t="str">
        <f t="shared" si="80"/>
        <v/>
      </c>
    </row>
    <row r="737" spans="5:45" x14ac:dyDescent="0.25">
      <c r="E737" t="str">
        <f ca="1"/>
        <v/>
      </c>
      <c r="F737" t="str">
        <f ca="1"/>
        <v/>
      </c>
      <c r="P737" t="e" cm="1">
        <f t="array" ref="P737">INDEX($B$2:$D$40,MOD(ROW()-ROW($B$2),ROWS($B$2:$D$40))+1,INT((ROW()-ROW($B$2))/ROWS($B$2:$D$40))+1)</f>
        <v>#REF!</v>
      </c>
      <c r="Q737" t="e">
        <f t="shared" ca="1" si="81"/>
        <v>#N/A</v>
      </c>
      <c r="R737" t="str" cm="1">
        <f t="array" aca="1" ref="R737" ca="1">IFERROR(INDIRECT("$P"&amp;Q737),"")</f>
        <v/>
      </c>
      <c r="U737" t="e" cm="1">
        <f t="array" ref="U737">INDEX($C$2:$D$40,MOD(ROW()-ROW($C$2),ROWS($C$2:$D$40))+1,INT((ROW()-ROW($C$2))/ROWS($C$2:$D$40))+1)</f>
        <v>#REF!</v>
      </c>
      <c r="V737" t="e">
        <f t="shared" ca="1" si="82"/>
        <v>#N/A</v>
      </c>
      <c r="W737" t="str" cm="1">
        <f t="array" aca="1" ref="W737" ca="1">IFERROR(INDIRECT("$U"&amp;V737),"")</f>
        <v/>
      </c>
      <c r="Z737" t="e" cm="1">
        <f t="array" ref="Z737">INDEX($AE$2:$AS$40,MOD(ROW()-ROW($AE$2),ROWS($AE$2:$AS$40))+1,INT((ROW()-ROW($AE$2))/ROWS($AE$2:$AS$40))+1)</f>
        <v>#REF!</v>
      </c>
      <c r="AA737" t="e">
        <f t="shared" ca="1" si="83"/>
        <v>#N/A</v>
      </c>
      <c r="AB737" t="str" cm="1">
        <f t="array" aca="1" ref="AB737" ca="1">IFERROR(INDIRECT("$Z"&amp;AA737),"")</f>
        <v/>
      </c>
      <c r="AP737" t="str">
        <f t="shared" si="77"/>
        <v/>
      </c>
      <c r="AQ737" t="str">
        <f t="shared" si="78"/>
        <v/>
      </c>
      <c r="AR737" t="str">
        <f t="shared" si="79"/>
        <v/>
      </c>
      <c r="AS737" t="str">
        <f t="shared" si="80"/>
        <v/>
      </c>
    </row>
    <row r="738" spans="5:45" x14ac:dyDescent="0.25">
      <c r="E738" t="str">
        <f ca="1"/>
        <v/>
      </c>
      <c r="F738" t="str">
        <f ca="1"/>
        <v/>
      </c>
      <c r="P738" t="e" cm="1">
        <f t="array" ref="P738">INDEX($B$2:$D$40,MOD(ROW()-ROW($B$2),ROWS($B$2:$D$40))+1,INT((ROW()-ROW($B$2))/ROWS($B$2:$D$40))+1)</f>
        <v>#REF!</v>
      </c>
      <c r="Q738" t="e">
        <f t="shared" ca="1" si="81"/>
        <v>#N/A</v>
      </c>
      <c r="R738" t="str" cm="1">
        <f t="array" aca="1" ref="R738" ca="1">IFERROR(INDIRECT("$P"&amp;Q738),"")</f>
        <v/>
      </c>
      <c r="U738" t="e" cm="1">
        <f t="array" ref="U738">INDEX($C$2:$D$40,MOD(ROW()-ROW($C$2),ROWS($C$2:$D$40))+1,INT((ROW()-ROW($C$2))/ROWS($C$2:$D$40))+1)</f>
        <v>#REF!</v>
      </c>
      <c r="V738" t="e">
        <f t="shared" ca="1" si="82"/>
        <v>#N/A</v>
      </c>
      <c r="W738" t="str" cm="1">
        <f t="array" aca="1" ref="W738" ca="1">IFERROR(INDIRECT("$U"&amp;V738),"")</f>
        <v/>
      </c>
      <c r="Z738" t="e" cm="1">
        <f t="array" ref="Z738">INDEX($AE$2:$AS$40,MOD(ROW()-ROW($AE$2),ROWS($AE$2:$AS$40))+1,INT((ROW()-ROW($AE$2))/ROWS($AE$2:$AS$40))+1)</f>
        <v>#REF!</v>
      </c>
      <c r="AA738" t="e">
        <f t="shared" ca="1" si="83"/>
        <v>#N/A</v>
      </c>
      <c r="AB738" t="str" cm="1">
        <f t="array" aca="1" ref="AB738" ca="1">IFERROR(INDIRECT("$Z"&amp;AA738),"")</f>
        <v/>
      </c>
      <c r="AP738" t="str">
        <f t="shared" si="77"/>
        <v/>
      </c>
      <c r="AQ738" t="str">
        <f t="shared" si="78"/>
        <v/>
      </c>
      <c r="AR738" t="str">
        <f t="shared" si="79"/>
        <v/>
      </c>
      <c r="AS738" t="str">
        <f t="shared" si="80"/>
        <v/>
      </c>
    </row>
    <row r="739" spans="5:45" x14ac:dyDescent="0.25">
      <c r="E739" t="str">
        <f ca="1"/>
        <v/>
      </c>
      <c r="F739" t="str">
        <f ca="1"/>
        <v/>
      </c>
      <c r="P739" t="e" cm="1">
        <f t="array" ref="P739">INDEX($B$2:$D$40,MOD(ROW()-ROW($B$2),ROWS($B$2:$D$40))+1,INT((ROW()-ROW($B$2))/ROWS($B$2:$D$40))+1)</f>
        <v>#REF!</v>
      </c>
      <c r="Q739" t="e">
        <f t="shared" ca="1" si="81"/>
        <v>#N/A</v>
      </c>
      <c r="R739" t="str" cm="1">
        <f t="array" aca="1" ref="R739" ca="1">IFERROR(INDIRECT("$P"&amp;Q739),"")</f>
        <v/>
      </c>
      <c r="U739" t="e" cm="1">
        <f t="array" ref="U739">INDEX($C$2:$D$40,MOD(ROW()-ROW($C$2),ROWS($C$2:$D$40))+1,INT((ROW()-ROW($C$2))/ROWS($C$2:$D$40))+1)</f>
        <v>#REF!</v>
      </c>
      <c r="V739" t="e">
        <f t="shared" ca="1" si="82"/>
        <v>#N/A</v>
      </c>
      <c r="W739" t="str" cm="1">
        <f t="array" aca="1" ref="W739" ca="1">IFERROR(INDIRECT("$U"&amp;V739),"")</f>
        <v/>
      </c>
      <c r="Z739" t="e" cm="1">
        <f t="array" ref="Z739">INDEX($AE$2:$AS$40,MOD(ROW()-ROW($AE$2),ROWS($AE$2:$AS$40))+1,INT((ROW()-ROW($AE$2))/ROWS($AE$2:$AS$40))+1)</f>
        <v>#REF!</v>
      </c>
      <c r="AA739" t="e">
        <f t="shared" ca="1" si="83"/>
        <v>#N/A</v>
      </c>
      <c r="AB739" t="str" cm="1">
        <f t="array" aca="1" ref="AB739" ca="1">IFERROR(INDIRECT("$Z"&amp;AA739),"")</f>
        <v/>
      </c>
      <c r="AP739" t="str">
        <f t="shared" si="77"/>
        <v/>
      </c>
      <c r="AQ739" t="str">
        <f t="shared" si="78"/>
        <v/>
      </c>
      <c r="AR739" t="str">
        <f t="shared" si="79"/>
        <v/>
      </c>
      <c r="AS739" t="str">
        <f t="shared" si="80"/>
        <v/>
      </c>
    </row>
    <row r="740" spans="5:45" x14ac:dyDescent="0.25">
      <c r="E740" t="str">
        <f ca="1"/>
        <v/>
      </c>
      <c r="F740" t="str">
        <f ca="1"/>
        <v/>
      </c>
      <c r="P740" t="e" cm="1">
        <f t="array" ref="P740">INDEX($B$2:$D$40,MOD(ROW()-ROW($B$2),ROWS($B$2:$D$40))+1,INT((ROW()-ROW($B$2))/ROWS($B$2:$D$40))+1)</f>
        <v>#REF!</v>
      </c>
      <c r="Q740" t="e">
        <f t="shared" ca="1" si="81"/>
        <v>#N/A</v>
      </c>
      <c r="R740" t="str" cm="1">
        <f t="array" aca="1" ref="R740" ca="1">IFERROR(INDIRECT("$P"&amp;Q740),"")</f>
        <v/>
      </c>
      <c r="U740" t="e" cm="1">
        <f t="array" ref="U740">INDEX($C$2:$D$40,MOD(ROW()-ROW($C$2),ROWS($C$2:$D$40))+1,INT((ROW()-ROW($C$2))/ROWS($C$2:$D$40))+1)</f>
        <v>#REF!</v>
      </c>
      <c r="V740" t="e">
        <f t="shared" ca="1" si="82"/>
        <v>#N/A</v>
      </c>
      <c r="W740" t="str" cm="1">
        <f t="array" aca="1" ref="W740" ca="1">IFERROR(INDIRECT("$U"&amp;V740),"")</f>
        <v/>
      </c>
      <c r="Z740" t="e" cm="1">
        <f t="array" ref="Z740">INDEX($AE$2:$AS$40,MOD(ROW()-ROW($AE$2),ROWS($AE$2:$AS$40))+1,INT((ROW()-ROW($AE$2))/ROWS($AE$2:$AS$40))+1)</f>
        <v>#REF!</v>
      </c>
      <c r="AA740" t="e">
        <f t="shared" ca="1" si="83"/>
        <v>#N/A</v>
      </c>
      <c r="AB740" t="str" cm="1">
        <f t="array" aca="1" ref="AB740" ca="1">IFERROR(INDIRECT("$Z"&amp;AA740),"")</f>
        <v/>
      </c>
      <c r="AP740" t="str">
        <f t="shared" si="77"/>
        <v/>
      </c>
      <c r="AQ740" t="str">
        <f t="shared" si="78"/>
        <v/>
      </c>
      <c r="AR740" t="str">
        <f t="shared" si="79"/>
        <v/>
      </c>
      <c r="AS740" t="str">
        <f t="shared" si="80"/>
        <v/>
      </c>
    </row>
    <row r="741" spans="5:45" x14ac:dyDescent="0.25">
      <c r="E741" t="str">
        <f ca="1"/>
        <v/>
      </c>
      <c r="F741" t="str">
        <f ca="1"/>
        <v/>
      </c>
      <c r="P741" t="e" cm="1">
        <f t="array" ref="P741">INDEX($B$2:$D$40,MOD(ROW()-ROW($B$2),ROWS($B$2:$D$40))+1,INT((ROW()-ROW($B$2))/ROWS($B$2:$D$40))+1)</f>
        <v>#REF!</v>
      </c>
      <c r="Q741" t="e">
        <f t="shared" ca="1" si="81"/>
        <v>#N/A</v>
      </c>
      <c r="R741" t="str" cm="1">
        <f t="array" aca="1" ref="R741" ca="1">IFERROR(INDIRECT("$P"&amp;Q741),"")</f>
        <v/>
      </c>
      <c r="U741" t="e" cm="1">
        <f t="array" ref="U741">INDEX($C$2:$D$40,MOD(ROW()-ROW($C$2),ROWS($C$2:$D$40))+1,INT((ROW()-ROW($C$2))/ROWS($C$2:$D$40))+1)</f>
        <v>#REF!</v>
      </c>
      <c r="V741" t="e">
        <f t="shared" ca="1" si="82"/>
        <v>#N/A</v>
      </c>
      <c r="W741" t="str" cm="1">
        <f t="array" aca="1" ref="W741" ca="1">IFERROR(INDIRECT("$U"&amp;V741),"")</f>
        <v/>
      </c>
      <c r="Z741" t="e" cm="1">
        <f t="array" ref="Z741">INDEX($AE$2:$AS$40,MOD(ROW()-ROW($AE$2),ROWS($AE$2:$AS$40))+1,INT((ROW()-ROW($AE$2))/ROWS($AE$2:$AS$40))+1)</f>
        <v>#REF!</v>
      </c>
      <c r="AA741" t="e">
        <f t="shared" ca="1" si="83"/>
        <v>#N/A</v>
      </c>
      <c r="AB741" t="str" cm="1">
        <f t="array" aca="1" ref="AB741" ca="1">IFERROR(INDIRECT("$Z"&amp;AA741),"")</f>
        <v/>
      </c>
      <c r="AP741" t="str">
        <f t="shared" si="77"/>
        <v/>
      </c>
      <c r="AQ741" t="str">
        <f t="shared" si="78"/>
        <v/>
      </c>
      <c r="AR741" t="str">
        <f t="shared" si="79"/>
        <v/>
      </c>
      <c r="AS741" t="str">
        <f t="shared" si="80"/>
        <v/>
      </c>
    </row>
    <row r="742" spans="5:45" x14ac:dyDescent="0.25">
      <c r="E742" t="str">
        <f ca="1"/>
        <v/>
      </c>
      <c r="F742" t="str">
        <f ca="1"/>
        <v/>
      </c>
      <c r="P742" t="e" cm="1">
        <f t="array" ref="P742">INDEX($B$2:$D$40,MOD(ROW()-ROW($B$2),ROWS($B$2:$D$40))+1,INT((ROW()-ROW($B$2))/ROWS($B$2:$D$40))+1)</f>
        <v>#REF!</v>
      </c>
      <c r="Q742" t="e">
        <f t="shared" ca="1" si="81"/>
        <v>#N/A</v>
      </c>
      <c r="R742" t="str" cm="1">
        <f t="array" aca="1" ref="R742" ca="1">IFERROR(INDIRECT("$P"&amp;Q742),"")</f>
        <v/>
      </c>
      <c r="U742" t="e" cm="1">
        <f t="array" ref="U742">INDEX($C$2:$D$40,MOD(ROW()-ROW($C$2),ROWS($C$2:$D$40))+1,INT((ROW()-ROW($C$2))/ROWS($C$2:$D$40))+1)</f>
        <v>#REF!</v>
      </c>
      <c r="V742" t="e">
        <f t="shared" ca="1" si="82"/>
        <v>#N/A</v>
      </c>
      <c r="W742" t="str" cm="1">
        <f t="array" aca="1" ref="W742" ca="1">IFERROR(INDIRECT("$U"&amp;V742),"")</f>
        <v/>
      </c>
      <c r="Z742" t="e" cm="1">
        <f t="array" ref="Z742">INDEX($AE$2:$AS$40,MOD(ROW()-ROW($AE$2),ROWS($AE$2:$AS$40))+1,INT((ROW()-ROW($AE$2))/ROWS($AE$2:$AS$40))+1)</f>
        <v>#REF!</v>
      </c>
      <c r="AA742" t="e">
        <f t="shared" ca="1" si="83"/>
        <v>#N/A</v>
      </c>
      <c r="AB742" t="str" cm="1">
        <f t="array" aca="1" ref="AB742" ca="1">IFERROR(INDIRECT("$Z"&amp;AA742),"")</f>
        <v/>
      </c>
      <c r="AP742" t="str">
        <f t="shared" si="77"/>
        <v/>
      </c>
      <c r="AQ742" t="str">
        <f t="shared" si="78"/>
        <v/>
      </c>
      <c r="AR742" t="str">
        <f t="shared" si="79"/>
        <v/>
      </c>
      <c r="AS742" t="str">
        <f t="shared" si="80"/>
        <v/>
      </c>
    </row>
    <row r="743" spans="5:45" x14ac:dyDescent="0.25">
      <c r="E743" t="str">
        <f ca="1"/>
        <v/>
      </c>
      <c r="F743" t="str">
        <f ca="1"/>
        <v/>
      </c>
      <c r="P743" t="e" cm="1">
        <f t="array" ref="P743">INDEX($B$2:$D$40,MOD(ROW()-ROW($B$2),ROWS($B$2:$D$40))+1,INT((ROW()-ROW($B$2))/ROWS($B$2:$D$40))+1)</f>
        <v>#REF!</v>
      </c>
      <c r="Q743" t="e">
        <f t="shared" ca="1" si="81"/>
        <v>#N/A</v>
      </c>
      <c r="R743" t="str" cm="1">
        <f t="array" aca="1" ref="R743" ca="1">IFERROR(INDIRECT("$P"&amp;Q743),"")</f>
        <v/>
      </c>
      <c r="U743" t="e" cm="1">
        <f t="array" ref="U743">INDEX($C$2:$D$40,MOD(ROW()-ROW($C$2),ROWS($C$2:$D$40))+1,INT((ROW()-ROW($C$2))/ROWS($C$2:$D$40))+1)</f>
        <v>#REF!</v>
      </c>
      <c r="V743" t="e">
        <f t="shared" ca="1" si="82"/>
        <v>#N/A</v>
      </c>
      <c r="W743" t="str" cm="1">
        <f t="array" aca="1" ref="W743" ca="1">IFERROR(INDIRECT("$U"&amp;V743),"")</f>
        <v/>
      </c>
      <c r="Z743" t="e" cm="1">
        <f t="array" ref="Z743">INDEX($AE$2:$AS$40,MOD(ROW()-ROW($AE$2),ROWS($AE$2:$AS$40))+1,INT((ROW()-ROW($AE$2))/ROWS($AE$2:$AS$40))+1)</f>
        <v>#REF!</v>
      </c>
      <c r="AA743" t="e">
        <f t="shared" ca="1" si="83"/>
        <v>#N/A</v>
      </c>
      <c r="AB743" t="str" cm="1">
        <f t="array" aca="1" ref="AB743" ca="1">IFERROR(INDIRECT("$Z"&amp;AA743),"")</f>
        <v/>
      </c>
      <c r="AP743" t="str">
        <f t="shared" si="77"/>
        <v/>
      </c>
      <c r="AQ743" t="str">
        <f t="shared" si="78"/>
        <v/>
      </c>
      <c r="AR743" t="str">
        <f t="shared" si="79"/>
        <v/>
      </c>
      <c r="AS743" t="str">
        <f t="shared" si="80"/>
        <v/>
      </c>
    </row>
    <row r="744" spans="5:45" x14ac:dyDescent="0.25">
      <c r="E744" t="str">
        <f ca="1"/>
        <v/>
      </c>
      <c r="F744" t="str">
        <f ca="1"/>
        <v/>
      </c>
      <c r="P744" t="e" cm="1">
        <f t="array" ref="P744">INDEX($B$2:$D$40,MOD(ROW()-ROW($B$2),ROWS($B$2:$D$40))+1,INT((ROW()-ROW($B$2))/ROWS($B$2:$D$40))+1)</f>
        <v>#REF!</v>
      </c>
      <c r="Q744" t="e">
        <f t="shared" ca="1" si="81"/>
        <v>#N/A</v>
      </c>
      <c r="R744" t="str" cm="1">
        <f t="array" aca="1" ref="R744" ca="1">IFERROR(INDIRECT("$P"&amp;Q744),"")</f>
        <v/>
      </c>
      <c r="U744" t="e" cm="1">
        <f t="array" ref="U744">INDEX($C$2:$D$40,MOD(ROW()-ROW($C$2),ROWS($C$2:$D$40))+1,INT((ROW()-ROW($C$2))/ROWS($C$2:$D$40))+1)</f>
        <v>#REF!</v>
      </c>
      <c r="V744" t="e">
        <f t="shared" ca="1" si="82"/>
        <v>#N/A</v>
      </c>
      <c r="W744" t="str" cm="1">
        <f t="array" aca="1" ref="W744" ca="1">IFERROR(INDIRECT("$U"&amp;V744),"")</f>
        <v/>
      </c>
      <c r="Z744" t="e" cm="1">
        <f t="array" ref="Z744">INDEX($AE$2:$AS$40,MOD(ROW()-ROW($AE$2),ROWS($AE$2:$AS$40))+1,INT((ROW()-ROW($AE$2))/ROWS($AE$2:$AS$40))+1)</f>
        <v>#REF!</v>
      </c>
      <c r="AA744" t="e">
        <f t="shared" ca="1" si="83"/>
        <v>#N/A</v>
      </c>
      <c r="AB744" t="str" cm="1">
        <f t="array" aca="1" ref="AB744" ca="1">IFERROR(INDIRECT("$Z"&amp;AA744),"")</f>
        <v/>
      </c>
      <c r="AP744" t="str">
        <f t="shared" si="77"/>
        <v/>
      </c>
      <c r="AQ744" t="str">
        <f t="shared" si="78"/>
        <v/>
      </c>
      <c r="AR744" t="str">
        <f t="shared" si="79"/>
        <v/>
      </c>
      <c r="AS744" t="str">
        <f t="shared" si="80"/>
        <v/>
      </c>
    </row>
    <row r="745" spans="5:45" x14ac:dyDescent="0.25">
      <c r="E745" t="str">
        <f ca="1"/>
        <v/>
      </c>
      <c r="F745" t="str">
        <f ca="1"/>
        <v/>
      </c>
      <c r="P745" t="e" cm="1">
        <f t="array" ref="P745">INDEX($B$2:$D$40,MOD(ROW()-ROW($B$2),ROWS($B$2:$D$40))+1,INT((ROW()-ROW($B$2))/ROWS($B$2:$D$40))+1)</f>
        <v>#REF!</v>
      </c>
      <c r="Q745" t="e">
        <f t="shared" ca="1" si="81"/>
        <v>#N/A</v>
      </c>
      <c r="R745" t="str" cm="1">
        <f t="array" aca="1" ref="R745" ca="1">IFERROR(INDIRECT("$P"&amp;Q745),"")</f>
        <v/>
      </c>
      <c r="U745" t="e" cm="1">
        <f t="array" ref="U745">INDEX($C$2:$D$40,MOD(ROW()-ROW($C$2),ROWS($C$2:$D$40))+1,INT((ROW()-ROW($C$2))/ROWS($C$2:$D$40))+1)</f>
        <v>#REF!</v>
      </c>
      <c r="V745" t="e">
        <f t="shared" ca="1" si="82"/>
        <v>#N/A</v>
      </c>
      <c r="W745" t="str" cm="1">
        <f t="array" aca="1" ref="W745" ca="1">IFERROR(INDIRECT("$U"&amp;V745),"")</f>
        <v/>
      </c>
      <c r="Z745" t="e" cm="1">
        <f t="array" ref="Z745">INDEX($AE$2:$AS$40,MOD(ROW()-ROW($AE$2),ROWS($AE$2:$AS$40))+1,INT((ROW()-ROW($AE$2))/ROWS($AE$2:$AS$40))+1)</f>
        <v>#REF!</v>
      </c>
      <c r="AA745" t="e">
        <f t="shared" ca="1" si="83"/>
        <v>#N/A</v>
      </c>
      <c r="AB745" t="str" cm="1">
        <f t="array" aca="1" ref="AB745" ca="1">IFERROR(INDIRECT("$Z"&amp;AA745),"")</f>
        <v/>
      </c>
      <c r="AP745" t="str">
        <f t="shared" si="77"/>
        <v/>
      </c>
      <c r="AQ745" t="str">
        <f t="shared" si="78"/>
        <v/>
      </c>
      <c r="AR745" t="str">
        <f t="shared" si="79"/>
        <v/>
      </c>
      <c r="AS745" t="str">
        <f t="shared" si="80"/>
        <v/>
      </c>
    </row>
    <row r="746" spans="5:45" x14ac:dyDescent="0.25">
      <c r="E746" t="str">
        <f ca="1"/>
        <v/>
      </c>
      <c r="F746" t="str">
        <f ca="1"/>
        <v/>
      </c>
      <c r="P746" t="e" cm="1">
        <f t="array" ref="P746">INDEX($B$2:$D$40,MOD(ROW()-ROW($B$2),ROWS($B$2:$D$40))+1,INT((ROW()-ROW($B$2))/ROWS($B$2:$D$40))+1)</f>
        <v>#REF!</v>
      </c>
      <c r="Q746" t="e">
        <f t="shared" ca="1" si="81"/>
        <v>#N/A</v>
      </c>
      <c r="R746" t="str" cm="1">
        <f t="array" aca="1" ref="R746" ca="1">IFERROR(INDIRECT("$P"&amp;Q746),"")</f>
        <v/>
      </c>
      <c r="U746" t="e" cm="1">
        <f t="array" ref="U746">INDEX($C$2:$D$40,MOD(ROW()-ROW($C$2),ROWS($C$2:$D$40))+1,INT((ROW()-ROW($C$2))/ROWS($C$2:$D$40))+1)</f>
        <v>#REF!</v>
      </c>
      <c r="V746" t="e">
        <f t="shared" ca="1" si="82"/>
        <v>#N/A</v>
      </c>
      <c r="W746" t="str" cm="1">
        <f t="array" aca="1" ref="W746" ca="1">IFERROR(INDIRECT("$U"&amp;V746),"")</f>
        <v/>
      </c>
      <c r="Z746" t="e" cm="1">
        <f t="array" ref="Z746">INDEX($AE$2:$AS$40,MOD(ROW()-ROW($AE$2),ROWS($AE$2:$AS$40))+1,INT((ROW()-ROW($AE$2))/ROWS($AE$2:$AS$40))+1)</f>
        <v>#REF!</v>
      </c>
      <c r="AA746" t="e">
        <f t="shared" ca="1" si="83"/>
        <v>#N/A</v>
      </c>
      <c r="AB746" t="str" cm="1">
        <f t="array" aca="1" ref="AB746" ca="1">IFERROR(INDIRECT("$Z"&amp;AA746),"")</f>
        <v/>
      </c>
      <c r="AP746" t="str">
        <f t="shared" si="77"/>
        <v/>
      </c>
      <c r="AQ746" t="str">
        <f t="shared" si="78"/>
        <v/>
      </c>
      <c r="AR746" t="str">
        <f t="shared" si="79"/>
        <v/>
      </c>
      <c r="AS746" t="str">
        <f t="shared" si="80"/>
        <v/>
      </c>
    </row>
    <row r="747" spans="5:45" x14ac:dyDescent="0.25">
      <c r="E747" t="str">
        <f ca="1"/>
        <v/>
      </c>
      <c r="F747" t="str">
        <f ca="1"/>
        <v/>
      </c>
      <c r="P747" t="e" cm="1">
        <f t="array" ref="P747">INDEX($B$2:$D$40,MOD(ROW()-ROW($B$2),ROWS($B$2:$D$40))+1,INT((ROW()-ROW($B$2))/ROWS($B$2:$D$40))+1)</f>
        <v>#REF!</v>
      </c>
      <c r="Q747" t="e">
        <f t="shared" ca="1" si="81"/>
        <v>#N/A</v>
      </c>
      <c r="R747" t="str" cm="1">
        <f t="array" aca="1" ref="R747" ca="1">IFERROR(INDIRECT("$P"&amp;Q747),"")</f>
        <v/>
      </c>
      <c r="U747" t="e" cm="1">
        <f t="array" ref="U747">INDEX($C$2:$D$40,MOD(ROW()-ROW($C$2),ROWS($C$2:$D$40))+1,INT((ROW()-ROW($C$2))/ROWS($C$2:$D$40))+1)</f>
        <v>#REF!</v>
      </c>
      <c r="V747" t="e">
        <f t="shared" ca="1" si="82"/>
        <v>#N/A</v>
      </c>
      <c r="W747" t="str" cm="1">
        <f t="array" aca="1" ref="W747" ca="1">IFERROR(INDIRECT("$U"&amp;V747),"")</f>
        <v/>
      </c>
      <c r="Z747" t="e" cm="1">
        <f t="array" ref="Z747">INDEX($AE$2:$AS$40,MOD(ROW()-ROW($AE$2),ROWS($AE$2:$AS$40))+1,INT((ROW()-ROW($AE$2))/ROWS($AE$2:$AS$40))+1)</f>
        <v>#REF!</v>
      </c>
      <c r="AA747" t="e">
        <f t="shared" ca="1" si="83"/>
        <v>#N/A</v>
      </c>
      <c r="AB747" t="str" cm="1">
        <f t="array" aca="1" ref="AB747" ca="1">IFERROR(INDIRECT("$Z"&amp;AA747),"")</f>
        <v/>
      </c>
      <c r="AP747" t="str">
        <f t="shared" si="77"/>
        <v/>
      </c>
      <c r="AQ747" t="str">
        <f t="shared" si="78"/>
        <v/>
      </c>
      <c r="AR747" t="str">
        <f t="shared" si="79"/>
        <v/>
      </c>
      <c r="AS747" t="str">
        <f t="shared" si="80"/>
        <v/>
      </c>
    </row>
    <row r="748" spans="5:45" x14ac:dyDescent="0.25">
      <c r="E748" t="str">
        <f ca="1"/>
        <v/>
      </c>
      <c r="F748" t="str">
        <f ca="1"/>
        <v/>
      </c>
      <c r="P748" t="e" cm="1">
        <f t="array" ref="P748">INDEX($B$2:$D$40,MOD(ROW()-ROW($B$2),ROWS($B$2:$D$40))+1,INT((ROW()-ROW($B$2))/ROWS($B$2:$D$40))+1)</f>
        <v>#REF!</v>
      </c>
      <c r="Q748" t="e">
        <f t="shared" ca="1" si="81"/>
        <v>#N/A</v>
      </c>
      <c r="R748" t="str" cm="1">
        <f t="array" aca="1" ref="R748" ca="1">IFERROR(INDIRECT("$P"&amp;Q748),"")</f>
        <v/>
      </c>
      <c r="U748" t="e" cm="1">
        <f t="array" ref="U748">INDEX($C$2:$D$40,MOD(ROW()-ROW($C$2),ROWS($C$2:$D$40))+1,INT((ROW()-ROW($C$2))/ROWS($C$2:$D$40))+1)</f>
        <v>#REF!</v>
      </c>
      <c r="V748" t="e">
        <f t="shared" ca="1" si="82"/>
        <v>#N/A</v>
      </c>
      <c r="W748" t="str" cm="1">
        <f t="array" aca="1" ref="W748" ca="1">IFERROR(INDIRECT("$U"&amp;V748),"")</f>
        <v/>
      </c>
      <c r="Z748" t="e" cm="1">
        <f t="array" ref="Z748">INDEX($AE$2:$AS$40,MOD(ROW()-ROW($AE$2),ROWS($AE$2:$AS$40))+1,INT((ROW()-ROW($AE$2))/ROWS($AE$2:$AS$40))+1)</f>
        <v>#REF!</v>
      </c>
      <c r="AA748" t="e">
        <f t="shared" ca="1" si="83"/>
        <v>#N/A</v>
      </c>
      <c r="AB748" t="str" cm="1">
        <f t="array" aca="1" ref="AB748" ca="1">IFERROR(INDIRECT("$Z"&amp;AA748),"")</f>
        <v/>
      </c>
      <c r="AP748" t="str">
        <f t="shared" si="77"/>
        <v/>
      </c>
      <c r="AQ748" t="str">
        <f t="shared" si="78"/>
        <v/>
      </c>
      <c r="AR748" t="str">
        <f t="shared" si="79"/>
        <v/>
      </c>
      <c r="AS748" t="str">
        <f t="shared" si="80"/>
        <v/>
      </c>
    </row>
    <row r="749" spans="5:45" x14ac:dyDescent="0.25">
      <c r="E749" t="str">
        <f ca="1"/>
        <v/>
      </c>
      <c r="F749" t="str">
        <f ca="1"/>
        <v/>
      </c>
      <c r="P749" t="e" cm="1">
        <f t="array" ref="P749">INDEX($B$2:$D$40,MOD(ROW()-ROW($B$2),ROWS($B$2:$D$40))+1,INT((ROW()-ROW($B$2))/ROWS($B$2:$D$40))+1)</f>
        <v>#REF!</v>
      </c>
      <c r="Q749" t="e">
        <f t="shared" ca="1" si="81"/>
        <v>#N/A</v>
      </c>
      <c r="R749" t="str" cm="1">
        <f t="array" aca="1" ref="R749" ca="1">IFERROR(INDIRECT("$P"&amp;Q749),"")</f>
        <v/>
      </c>
      <c r="U749" t="e" cm="1">
        <f t="array" ref="U749">INDEX($C$2:$D$40,MOD(ROW()-ROW($C$2),ROWS($C$2:$D$40))+1,INT((ROW()-ROW($C$2))/ROWS($C$2:$D$40))+1)</f>
        <v>#REF!</v>
      </c>
      <c r="V749" t="e">
        <f t="shared" ca="1" si="82"/>
        <v>#N/A</v>
      </c>
      <c r="W749" t="str" cm="1">
        <f t="array" aca="1" ref="W749" ca="1">IFERROR(INDIRECT("$U"&amp;V749),"")</f>
        <v/>
      </c>
      <c r="Z749" t="e" cm="1">
        <f t="array" ref="Z749">INDEX($AE$2:$AS$40,MOD(ROW()-ROW($AE$2),ROWS($AE$2:$AS$40))+1,INT((ROW()-ROW($AE$2))/ROWS($AE$2:$AS$40))+1)</f>
        <v>#REF!</v>
      </c>
      <c r="AA749" t="e">
        <f t="shared" ca="1" si="83"/>
        <v>#N/A</v>
      </c>
      <c r="AB749" t="str" cm="1">
        <f t="array" aca="1" ref="AB749" ca="1">IFERROR(INDIRECT("$Z"&amp;AA749),"")</f>
        <v/>
      </c>
      <c r="AP749" t="str">
        <f t="shared" si="77"/>
        <v/>
      </c>
      <c r="AQ749" t="str">
        <f t="shared" si="78"/>
        <v/>
      </c>
      <c r="AR749" t="str">
        <f t="shared" si="79"/>
        <v/>
      </c>
      <c r="AS749" t="str">
        <f t="shared" si="80"/>
        <v/>
      </c>
    </row>
    <row r="750" spans="5:45" x14ac:dyDescent="0.25">
      <c r="E750" t="str">
        <f ca="1"/>
        <v/>
      </c>
      <c r="F750" t="str">
        <f ca="1"/>
        <v/>
      </c>
      <c r="P750" t="e" cm="1">
        <f t="array" ref="P750">INDEX($B$2:$D$40,MOD(ROW()-ROW($B$2),ROWS($B$2:$D$40))+1,INT((ROW()-ROW($B$2))/ROWS($B$2:$D$40))+1)</f>
        <v>#REF!</v>
      </c>
      <c r="Q750" t="e">
        <f t="shared" ca="1" si="81"/>
        <v>#N/A</v>
      </c>
      <c r="R750" t="str" cm="1">
        <f t="array" aca="1" ref="R750" ca="1">IFERROR(INDIRECT("$P"&amp;Q750),"")</f>
        <v/>
      </c>
      <c r="U750" t="e" cm="1">
        <f t="array" ref="U750">INDEX($C$2:$D$40,MOD(ROW()-ROW($C$2),ROWS($C$2:$D$40))+1,INT((ROW()-ROW($C$2))/ROWS($C$2:$D$40))+1)</f>
        <v>#REF!</v>
      </c>
      <c r="V750" t="e">
        <f t="shared" ca="1" si="82"/>
        <v>#N/A</v>
      </c>
      <c r="W750" t="str" cm="1">
        <f t="array" aca="1" ref="W750" ca="1">IFERROR(INDIRECT("$U"&amp;V750),"")</f>
        <v/>
      </c>
      <c r="Z750" t="e" cm="1">
        <f t="array" ref="Z750">INDEX($AE$2:$AS$40,MOD(ROW()-ROW($AE$2),ROWS($AE$2:$AS$40))+1,INT((ROW()-ROW($AE$2))/ROWS($AE$2:$AS$40))+1)</f>
        <v>#REF!</v>
      </c>
      <c r="AA750" t="e">
        <f t="shared" ca="1" si="83"/>
        <v>#N/A</v>
      </c>
      <c r="AB750" t="str" cm="1">
        <f t="array" aca="1" ref="AB750" ca="1">IFERROR(INDIRECT("$Z"&amp;AA750),"")</f>
        <v/>
      </c>
      <c r="AP750" t="str">
        <f t="shared" si="77"/>
        <v/>
      </c>
      <c r="AQ750" t="str">
        <f t="shared" si="78"/>
        <v/>
      </c>
      <c r="AR750" t="str">
        <f t="shared" si="79"/>
        <v/>
      </c>
      <c r="AS750" t="str">
        <f t="shared" si="80"/>
        <v/>
      </c>
    </row>
    <row r="751" spans="5:45" x14ac:dyDescent="0.25">
      <c r="E751" t="str">
        <f ca="1"/>
        <v/>
      </c>
      <c r="F751" t="str">
        <f ca="1"/>
        <v/>
      </c>
      <c r="P751" t="e" cm="1">
        <f t="array" ref="P751">INDEX($B$2:$D$40,MOD(ROW()-ROW($B$2),ROWS($B$2:$D$40))+1,INT((ROW()-ROW($B$2))/ROWS($B$2:$D$40))+1)</f>
        <v>#REF!</v>
      </c>
      <c r="Q751" t="e">
        <f t="shared" ca="1" si="81"/>
        <v>#N/A</v>
      </c>
      <c r="R751" t="str" cm="1">
        <f t="array" aca="1" ref="R751" ca="1">IFERROR(INDIRECT("$P"&amp;Q751),"")</f>
        <v/>
      </c>
      <c r="U751" t="e" cm="1">
        <f t="array" ref="U751">INDEX($C$2:$D$40,MOD(ROW()-ROW($C$2),ROWS($C$2:$D$40))+1,INT((ROW()-ROW($C$2))/ROWS($C$2:$D$40))+1)</f>
        <v>#REF!</v>
      </c>
      <c r="V751" t="e">
        <f t="shared" ca="1" si="82"/>
        <v>#N/A</v>
      </c>
      <c r="W751" t="str" cm="1">
        <f t="array" aca="1" ref="W751" ca="1">IFERROR(INDIRECT("$U"&amp;V751),"")</f>
        <v/>
      </c>
      <c r="Z751" t="e" cm="1">
        <f t="array" ref="Z751">INDEX($AE$2:$AS$40,MOD(ROW()-ROW($AE$2),ROWS($AE$2:$AS$40))+1,INT((ROW()-ROW($AE$2))/ROWS($AE$2:$AS$40))+1)</f>
        <v>#REF!</v>
      </c>
      <c r="AA751" t="e">
        <f t="shared" ca="1" si="83"/>
        <v>#N/A</v>
      </c>
      <c r="AB751" t="str" cm="1">
        <f t="array" aca="1" ref="AB751" ca="1">IFERROR(INDIRECT("$Z"&amp;AA751),"")</f>
        <v/>
      </c>
      <c r="AP751" t="str">
        <f t="shared" si="77"/>
        <v/>
      </c>
      <c r="AQ751" t="str">
        <f t="shared" si="78"/>
        <v/>
      </c>
      <c r="AR751" t="str">
        <f t="shared" si="79"/>
        <v/>
      </c>
      <c r="AS751" t="str">
        <f t="shared" si="80"/>
        <v/>
      </c>
    </row>
    <row r="752" spans="5:45" x14ac:dyDescent="0.25">
      <c r="E752" t="str">
        <f ca="1"/>
        <v/>
      </c>
      <c r="F752" t="str">
        <f ca="1"/>
        <v/>
      </c>
      <c r="P752" t="e" cm="1">
        <f t="array" ref="P752">INDEX($B$2:$D$40,MOD(ROW()-ROW($B$2),ROWS($B$2:$D$40))+1,INT((ROW()-ROW($B$2))/ROWS($B$2:$D$40))+1)</f>
        <v>#REF!</v>
      </c>
      <c r="Q752" t="e">
        <f t="shared" ca="1" si="81"/>
        <v>#N/A</v>
      </c>
      <c r="R752" t="str" cm="1">
        <f t="array" aca="1" ref="R752" ca="1">IFERROR(INDIRECT("$P"&amp;Q752),"")</f>
        <v/>
      </c>
      <c r="U752" t="e" cm="1">
        <f t="array" ref="U752">INDEX($C$2:$D$40,MOD(ROW()-ROW($C$2),ROWS($C$2:$D$40))+1,INT((ROW()-ROW($C$2))/ROWS($C$2:$D$40))+1)</f>
        <v>#REF!</v>
      </c>
      <c r="V752" t="e">
        <f t="shared" ca="1" si="82"/>
        <v>#N/A</v>
      </c>
      <c r="W752" t="str" cm="1">
        <f t="array" aca="1" ref="W752" ca="1">IFERROR(INDIRECT("$U"&amp;V752),"")</f>
        <v/>
      </c>
      <c r="Z752" t="e" cm="1">
        <f t="array" ref="Z752">INDEX($AE$2:$AS$40,MOD(ROW()-ROW($AE$2),ROWS($AE$2:$AS$40))+1,INT((ROW()-ROW($AE$2))/ROWS($AE$2:$AS$40))+1)</f>
        <v>#REF!</v>
      </c>
      <c r="AA752" t="e">
        <f t="shared" ca="1" si="83"/>
        <v>#N/A</v>
      </c>
      <c r="AB752" t="str" cm="1">
        <f t="array" aca="1" ref="AB752" ca="1">IFERROR(INDIRECT("$Z"&amp;AA752),"")</f>
        <v/>
      </c>
      <c r="AP752" t="str">
        <f t="shared" si="77"/>
        <v/>
      </c>
      <c r="AQ752" t="str">
        <f t="shared" si="78"/>
        <v/>
      </c>
      <c r="AR752" t="str">
        <f t="shared" si="79"/>
        <v/>
      </c>
      <c r="AS752" t="str">
        <f t="shared" si="80"/>
        <v/>
      </c>
    </row>
    <row r="753" spans="5:45" x14ac:dyDescent="0.25">
      <c r="E753" t="str">
        <f ca="1"/>
        <v/>
      </c>
      <c r="F753" t="str">
        <f ca="1"/>
        <v/>
      </c>
      <c r="P753" t="e" cm="1">
        <f t="array" ref="P753">INDEX($B$2:$D$40,MOD(ROW()-ROW($B$2),ROWS($B$2:$D$40))+1,INT((ROW()-ROW($B$2))/ROWS($B$2:$D$40))+1)</f>
        <v>#REF!</v>
      </c>
      <c r="Q753" t="e">
        <f t="shared" ca="1" si="81"/>
        <v>#N/A</v>
      </c>
      <c r="R753" t="str" cm="1">
        <f t="array" aca="1" ref="R753" ca="1">IFERROR(INDIRECT("$P"&amp;Q753),"")</f>
        <v/>
      </c>
      <c r="U753" t="e" cm="1">
        <f t="array" ref="U753">INDEX($C$2:$D$40,MOD(ROW()-ROW($C$2),ROWS($C$2:$D$40))+1,INT((ROW()-ROW($C$2))/ROWS($C$2:$D$40))+1)</f>
        <v>#REF!</v>
      </c>
      <c r="V753" t="e">
        <f t="shared" ca="1" si="82"/>
        <v>#N/A</v>
      </c>
      <c r="W753" t="str" cm="1">
        <f t="array" aca="1" ref="W753" ca="1">IFERROR(INDIRECT("$U"&amp;V753),"")</f>
        <v/>
      </c>
      <c r="Z753" t="e" cm="1">
        <f t="array" ref="Z753">INDEX($AE$2:$AS$40,MOD(ROW()-ROW($AE$2),ROWS($AE$2:$AS$40))+1,INT((ROW()-ROW($AE$2))/ROWS($AE$2:$AS$40))+1)</f>
        <v>#REF!</v>
      </c>
      <c r="AA753" t="e">
        <f t="shared" ca="1" si="83"/>
        <v>#N/A</v>
      </c>
      <c r="AB753" t="str" cm="1">
        <f t="array" aca="1" ref="AB753" ca="1">IFERROR(INDIRECT("$Z"&amp;AA753),"")</f>
        <v/>
      </c>
      <c r="AP753" t="str">
        <f t="shared" si="77"/>
        <v/>
      </c>
      <c r="AQ753" t="str">
        <f t="shared" si="78"/>
        <v/>
      </c>
      <c r="AR753" t="str">
        <f t="shared" si="79"/>
        <v/>
      </c>
      <c r="AS753" t="str">
        <f t="shared" si="80"/>
        <v/>
      </c>
    </row>
    <row r="754" spans="5:45" x14ac:dyDescent="0.25">
      <c r="E754" t="str">
        <f ca="1"/>
        <v/>
      </c>
      <c r="F754" t="str">
        <f ca="1"/>
        <v/>
      </c>
      <c r="P754" t="e" cm="1">
        <f t="array" ref="P754">INDEX($B$2:$D$40,MOD(ROW()-ROW($B$2),ROWS($B$2:$D$40))+1,INT((ROW()-ROW($B$2))/ROWS($B$2:$D$40))+1)</f>
        <v>#REF!</v>
      </c>
      <c r="Q754" t="e">
        <f t="shared" ca="1" si="81"/>
        <v>#N/A</v>
      </c>
      <c r="R754" t="str" cm="1">
        <f t="array" aca="1" ref="R754" ca="1">IFERROR(INDIRECT("$P"&amp;Q754),"")</f>
        <v/>
      </c>
      <c r="U754" t="e" cm="1">
        <f t="array" ref="U754">INDEX($C$2:$D$40,MOD(ROW()-ROW($C$2),ROWS($C$2:$D$40))+1,INT((ROW()-ROW($C$2))/ROWS($C$2:$D$40))+1)</f>
        <v>#REF!</v>
      </c>
      <c r="V754" t="e">
        <f t="shared" ca="1" si="82"/>
        <v>#N/A</v>
      </c>
      <c r="W754" t="str" cm="1">
        <f t="array" aca="1" ref="W754" ca="1">IFERROR(INDIRECT("$U"&amp;V754),"")</f>
        <v/>
      </c>
      <c r="Z754" t="e" cm="1">
        <f t="array" ref="Z754">INDEX($AE$2:$AS$40,MOD(ROW()-ROW($AE$2),ROWS($AE$2:$AS$40))+1,INT((ROW()-ROW($AE$2))/ROWS($AE$2:$AS$40))+1)</f>
        <v>#REF!</v>
      </c>
      <c r="AA754" t="e">
        <f t="shared" ca="1" si="83"/>
        <v>#N/A</v>
      </c>
      <c r="AB754" t="str" cm="1">
        <f t="array" aca="1" ref="AB754" ca="1">IFERROR(INDIRECT("$Z"&amp;AA754),"")</f>
        <v/>
      </c>
      <c r="AP754" t="str">
        <f t="shared" si="77"/>
        <v/>
      </c>
      <c r="AQ754" t="str">
        <f t="shared" si="78"/>
        <v/>
      </c>
      <c r="AR754" t="str">
        <f t="shared" si="79"/>
        <v/>
      </c>
      <c r="AS754" t="str">
        <f t="shared" si="80"/>
        <v/>
      </c>
    </row>
    <row r="755" spans="5:45" x14ac:dyDescent="0.25">
      <c r="E755" t="str">
        <f ca="1"/>
        <v/>
      </c>
      <c r="F755" t="str">
        <f ca="1"/>
        <v/>
      </c>
      <c r="P755" t="e" cm="1">
        <f t="array" ref="P755">INDEX($B$2:$D$40,MOD(ROW()-ROW($B$2),ROWS($B$2:$D$40))+1,INT((ROW()-ROW($B$2))/ROWS($B$2:$D$40))+1)</f>
        <v>#REF!</v>
      </c>
      <c r="Q755" t="e">
        <f t="shared" ca="1" si="81"/>
        <v>#N/A</v>
      </c>
      <c r="R755" t="str" cm="1">
        <f t="array" aca="1" ref="R755" ca="1">IFERROR(INDIRECT("$P"&amp;Q755),"")</f>
        <v/>
      </c>
      <c r="U755" t="e" cm="1">
        <f t="array" ref="U755">INDEX($C$2:$D$40,MOD(ROW()-ROW($C$2),ROWS($C$2:$D$40))+1,INT((ROW()-ROW($C$2))/ROWS($C$2:$D$40))+1)</f>
        <v>#REF!</v>
      </c>
      <c r="V755" t="e">
        <f t="shared" ca="1" si="82"/>
        <v>#N/A</v>
      </c>
      <c r="W755" t="str" cm="1">
        <f t="array" aca="1" ref="W755" ca="1">IFERROR(INDIRECT("$U"&amp;V755),"")</f>
        <v/>
      </c>
      <c r="Z755" t="e" cm="1">
        <f t="array" ref="Z755">INDEX($AE$2:$AS$40,MOD(ROW()-ROW($AE$2),ROWS($AE$2:$AS$40))+1,INT((ROW()-ROW($AE$2))/ROWS($AE$2:$AS$40))+1)</f>
        <v>#REF!</v>
      </c>
      <c r="AA755" t="e">
        <f t="shared" ca="1" si="83"/>
        <v>#N/A</v>
      </c>
      <c r="AB755" t="str" cm="1">
        <f t="array" aca="1" ref="AB755" ca="1">IFERROR(INDIRECT("$Z"&amp;AA755),"")</f>
        <v/>
      </c>
      <c r="AP755" t="str">
        <f t="shared" si="77"/>
        <v/>
      </c>
      <c r="AQ755" t="str">
        <f t="shared" si="78"/>
        <v/>
      </c>
      <c r="AR755" t="str">
        <f t="shared" si="79"/>
        <v/>
      </c>
      <c r="AS755" t="str">
        <f t="shared" si="80"/>
        <v/>
      </c>
    </row>
    <row r="756" spans="5:45" x14ac:dyDescent="0.25">
      <c r="E756" t="str">
        <f ca="1"/>
        <v/>
      </c>
      <c r="F756" t="str">
        <f ca="1"/>
        <v/>
      </c>
      <c r="P756" t="e" cm="1">
        <f t="array" ref="P756">INDEX($B$2:$D$40,MOD(ROW()-ROW($B$2),ROWS($B$2:$D$40))+1,INT((ROW()-ROW($B$2))/ROWS($B$2:$D$40))+1)</f>
        <v>#REF!</v>
      </c>
      <c r="Q756" t="e">
        <f t="shared" ca="1" si="81"/>
        <v>#N/A</v>
      </c>
      <c r="R756" t="str" cm="1">
        <f t="array" aca="1" ref="R756" ca="1">IFERROR(INDIRECT("$P"&amp;Q756),"")</f>
        <v/>
      </c>
      <c r="U756" t="e" cm="1">
        <f t="array" ref="U756">INDEX($C$2:$D$40,MOD(ROW()-ROW($C$2),ROWS($C$2:$D$40))+1,INT((ROW()-ROW($C$2))/ROWS($C$2:$D$40))+1)</f>
        <v>#REF!</v>
      </c>
      <c r="V756" t="e">
        <f t="shared" ca="1" si="82"/>
        <v>#N/A</v>
      </c>
      <c r="W756" t="str" cm="1">
        <f t="array" aca="1" ref="W756" ca="1">IFERROR(INDIRECT("$U"&amp;V756),"")</f>
        <v/>
      </c>
      <c r="Z756" t="e" cm="1">
        <f t="array" ref="Z756">INDEX($AE$2:$AS$40,MOD(ROW()-ROW($AE$2),ROWS($AE$2:$AS$40))+1,INT((ROW()-ROW($AE$2))/ROWS($AE$2:$AS$40))+1)</f>
        <v>#REF!</v>
      </c>
      <c r="AA756" t="e">
        <f t="shared" ca="1" si="83"/>
        <v>#N/A</v>
      </c>
      <c r="AB756" t="str" cm="1">
        <f t="array" aca="1" ref="AB756" ca="1">IFERROR(INDIRECT("$Z"&amp;AA756),"")</f>
        <v/>
      </c>
      <c r="AP756" t="str">
        <f t="shared" si="77"/>
        <v/>
      </c>
      <c r="AQ756" t="str">
        <f t="shared" si="78"/>
        <v/>
      </c>
      <c r="AR756" t="str">
        <f t="shared" si="79"/>
        <v/>
      </c>
      <c r="AS756" t="str">
        <f t="shared" si="80"/>
        <v/>
      </c>
    </row>
    <row r="757" spans="5:45" x14ac:dyDescent="0.25">
      <c r="E757" t="str">
        <f ca="1"/>
        <v/>
      </c>
      <c r="F757" t="str">
        <f ca="1"/>
        <v/>
      </c>
      <c r="P757" t="e" cm="1">
        <f t="array" ref="P757">INDEX($B$2:$D$40,MOD(ROW()-ROW($B$2),ROWS($B$2:$D$40))+1,INT((ROW()-ROW($B$2))/ROWS($B$2:$D$40))+1)</f>
        <v>#REF!</v>
      </c>
      <c r="Q757" t="e">
        <f t="shared" ca="1" si="81"/>
        <v>#N/A</v>
      </c>
      <c r="R757" t="str" cm="1">
        <f t="array" aca="1" ref="R757" ca="1">IFERROR(INDIRECT("$P"&amp;Q757),"")</f>
        <v/>
      </c>
      <c r="U757" t="e" cm="1">
        <f t="array" ref="U757">INDEX($C$2:$D$40,MOD(ROW()-ROW($C$2),ROWS($C$2:$D$40))+1,INT((ROW()-ROW($C$2))/ROWS($C$2:$D$40))+1)</f>
        <v>#REF!</v>
      </c>
      <c r="V757" t="e">
        <f t="shared" ca="1" si="82"/>
        <v>#N/A</v>
      </c>
      <c r="W757" t="str" cm="1">
        <f t="array" aca="1" ref="W757" ca="1">IFERROR(INDIRECT("$U"&amp;V757),"")</f>
        <v/>
      </c>
      <c r="Z757" t="e" cm="1">
        <f t="array" ref="Z757">INDEX($AE$2:$AS$40,MOD(ROW()-ROW($AE$2),ROWS($AE$2:$AS$40))+1,INT((ROW()-ROW($AE$2))/ROWS($AE$2:$AS$40))+1)</f>
        <v>#REF!</v>
      </c>
      <c r="AA757" t="e">
        <f t="shared" ca="1" si="83"/>
        <v>#N/A</v>
      </c>
      <c r="AB757" t="str" cm="1">
        <f t="array" aca="1" ref="AB757" ca="1">IFERROR(INDIRECT("$Z"&amp;AA757),"")</f>
        <v/>
      </c>
      <c r="AP757" t="str">
        <f t="shared" si="77"/>
        <v/>
      </c>
      <c r="AQ757" t="str">
        <f t="shared" si="78"/>
        <v/>
      </c>
      <c r="AR757" t="str">
        <f t="shared" si="79"/>
        <v/>
      </c>
      <c r="AS757" t="str">
        <f t="shared" si="80"/>
        <v/>
      </c>
    </row>
    <row r="758" spans="5:45" x14ac:dyDescent="0.25">
      <c r="E758" t="str">
        <f ca="1"/>
        <v/>
      </c>
      <c r="F758" t="str">
        <f ca="1"/>
        <v/>
      </c>
      <c r="P758" t="e" cm="1">
        <f t="array" ref="P758">INDEX($B$2:$D$40,MOD(ROW()-ROW($B$2),ROWS($B$2:$D$40))+1,INT((ROW()-ROW($B$2))/ROWS($B$2:$D$40))+1)</f>
        <v>#REF!</v>
      </c>
      <c r="Q758" t="e">
        <f t="shared" ca="1" si="81"/>
        <v>#N/A</v>
      </c>
      <c r="R758" t="str" cm="1">
        <f t="array" aca="1" ref="R758" ca="1">IFERROR(INDIRECT("$P"&amp;Q758),"")</f>
        <v/>
      </c>
      <c r="U758" t="e" cm="1">
        <f t="array" ref="U758">INDEX($C$2:$D$40,MOD(ROW()-ROW($C$2),ROWS($C$2:$D$40))+1,INT((ROW()-ROW($C$2))/ROWS($C$2:$D$40))+1)</f>
        <v>#REF!</v>
      </c>
      <c r="V758" t="e">
        <f t="shared" ca="1" si="82"/>
        <v>#N/A</v>
      </c>
      <c r="W758" t="str" cm="1">
        <f t="array" aca="1" ref="W758" ca="1">IFERROR(INDIRECT("$U"&amp;V758),"")</f>
        <v/>
      </c>
      <c r="Z758" t="e" cm="1">
        <f t="array" ref="Z758">INDEX($AE$2:$AS$40,MOD(ROW()-ROW($AE$2),ROWS($AE$2:$AS$40))+1,INT((ROW()-ROW($AE$2))/ROWS($AE$2:$AS$40))+1)</f>
        <v>#REF!</v>
      </c>
      <c r="AA758" t="e">
        <f t="shared" ca="1" si="83"/>
        <v>#N/A</v>
      </c>
      <c r="AB758" t="str" cm="1">
        <f t="array" aca="1" ref="AB758" ca="1">IFERROR(INDIRECT("$Z"&amp;AA758),"")</f>
        <v/>
      </c>
      <c r="AP758" t="str">
        <f t="shared" si="77"/>
        <v/>
      </c>
      <c r="AQ758" t="str">
        <f t="shared" si="78"/>
        <v/>
      </c>
      <c r="AR758" t="str">
        <f t="shared" si="79"/>
        <v/>
      </c>
      <c r="AS758" t="str">
        <f t="shared" si="80"/>
        <v/>
      </c>
    </row>
    <row r="759" spans="5:45" x14ac:dyDescent="0.25">
      <c r="E759" t="str">
        <f ca="1"/>
        <v/>
      </c>
      <c r="F759" t="str">
        <f ca="1"/>
        <v/>
      </c>
      <c r="P759" t="e" cm="1">
        <f t="array" ref="P759">INDEX($B$2:$D$40,MOD(ROW()-ROW($B$2),ROWS($B$2:$D$40))+1,INT((ROW()-ROW($B$2))/ROWS($B$2:$D$40))+1)</f>
        <v>#REF!</v>
      </c>
      <c r="Q759" t="e">
        <f t="shared" ca="1" si="81"/>
        <v>#N/A</v>
      </c>
      <c r="R759" t="str" cm="1">
        <f t="array" aca="1" ref="R759" ca="1">IFERROR(INDIRECT("$P"&amp;Q759),"")</f>
        <v/>
      </c>
      <c r="U759" t="e" cm="1">
        <f t="array" ref="U759">INDEX($C$2:$D$40,MOD(ROW()-ROW($C$2),ROWS($C$2:$D$40))+1,INT((ROW()-ROW($C$2))/ROWS($C$2:$D$40))+1)</f>
        <v>#REF!</v>
      </c>
      <c r="V759" t="e">
        <f t="shared" ca="1" si="82"/>
        <v>#N/A</v>
      </c>
      <c r="W759" t="str" cm="1">
        <f t="array" aca="1" ref="W759" ca="1">IFERROR(INDIRECT("$U"&amp;V759),"")</f>
        <v/>
      </c>
      <c r="Z759" t="e" cm="1">
        <f t="array" ref="Z759">INDEX($AE$2:$AS$40,MOD(ROW()-ROW($AE$2),ROWS($AE$2:$AS$40))+1,INT((ROW()-ROW($AE$2))/ROWS($AE$2:$AS$40))+1)</f>
        <v>#REF!</v>
      </c>
      <c r="AA759" t="e">
        <f t="shared" ca="1" si="83"/>
        <v>#N/A</v>
      </c>
      <c r="AB759" t="str" cm="1">
        <f t="array" aca="1" ref="AB759" ca="1">IFERROR(INDIRECT("$Z"&amp;AA759),"")</f>
        <v/>
      </c>
      <c r="AP759" t="str">
        <f t="shared" si="77"/>
        <v/>
      </c>
      <c r="AQ759" t="str">
        <f t="shared" si="78"/>
        <v/>
      </c>
      <c r="AR759" t="str">
        <f t="shared" si="79"/>
        <v/>
      </c>
      <c r="AS759" t="str">
        <f t="shared" si="80"/>
        <v/>
      </c>
    </row>
    <row r="760" spans="5:45" x14ac:dyDescent="0.25">
      <c r="E760" t="str">
        <f ca="1"/>
        <v/>
      </c>
      <c r="F760" t="str">
        <f ca="1"/>
        <v/>
      </c>
      <c r="P760" t="e" cm="1">
        <f t="array" ref="P760">INDEX($B$2:$D$40,MOD(ROW()-ROW($B$2),ROWS($B$2:$D$40))+1,INT((ROW()-ROW($B$2))/ROWS($B$2:$D$40))+1)</f>
        <v>#REF!</v>
      </c>
      <c r="Q760" t="e">
        <f t="shared" ca="1" si="81"/>
        <v>#N/A</v>
      </c>
      <c r="R760" t="str" cm="1">
        <f t="array" aca="1" ref="R760" ca="1">IFERROR(INDIRECT("$P"&amp;Q760),"")</f>
        <v/>
      </c>
      <c r="U760" t="e" cm="1">
        <f t="array" ref="U760">INDEX($C$2:$D$40,MOD(ROW()-ROW($C$2),ROWS($C$2:$D$40))+1,INT((ROW()-ROW($C$2))/ROWS($C$2:$D$40))+1)</f>
        <v>#REF!</v>
      </c>
      <c r="V760" t="e">
        <f t="shared" ca="1" si="82"/>
        <v>#N/A</v>
      </c>
      <c r="W760" t="str" cm="1">
        <f t="array" aca="1" ref="W760" ca="1">IFERROR(INDIRECT("$U"&amp;V760),"")</f>
        <v/>
      </c>
      <c r="Z760" t="e" cm="1">
        <f t="array" ref="Z760">INDEX($AE$2:$AS$40,MOD(ROW()-ROW($AE$2),ROWS($AE$2:$AS$40))+1,INT((ROW()-ROW($AE$2))/ROWS($AE$2:$AS$40))+1)</f>
        <v>#REF!</v>
      </c>
      <c r="AA760" t="e">
        <f t="shared" ca="1" si="83"/>
        <v>#N/A</v>
      </c>
      <c r="AB760" t="str" cm="1">
        <f t="array" aca="1" ref="AB760" ca="1">IFERROR(INDIRECT("$Z"&amp;AA760),"")</f>
        <v/>
      </c>
      <c r="AP760" t="str">
        <f t="shared" si="77"/>
        <v/>
      </c>
      <c r="AQ760" t="str">
        <f t="shared" si="78"/>
        <v/>
      </c>
      <c r="AR760" t="str">
        <f t="shared" si="79"/>
        <v/>
      </c>
      <c r="AS760" t="str">
        <f t="shared" si="80"/>
        <v/>
      </c>
    </row>
    <row r="761" spans="5:45" x14ac:dyDescent="0.25">
      <c r="E761" t="str">
        <f ca="1"/>
        <v/>
      </c>
      <c r="F761" t="str">
        <f ca="1"/>
        <v/>
      </c>
      <c r="P761" t="e" cm="1">
        <f t="array" ref="P761">INDEX($B$2:$D$40,MOD(ROW()-ROW($B$2),ROWS($B$2:$D$40))+1,INT((ROW()-ROW($B$2))/ROWS($B$2:$D$40))+1)</f>
        <v>#REF!</v>
      </c>
      <c r="Q761" t="e">
        <f t="shared" ca="1" si="81"/>
        <v>#N/A</v>
      </c>
      <c r="R761" t="str" cm="1">
        <f t="array" aca="1" ref="R761" ca="1">IFERROR(INDIRECT("$P"&amp;Q761),"")</f>
        <v/>
      </c>
      <c r="U761" t="e" cm="1">
        <f t="array" ref="U761">INDEX($C$2:$D$40,MOD(ROW()-ROW($C$2),ROWS($C$2:$D$40))+1,INT((ROW()-ROW($C$2))/ROWS($C$2:$D$40))+1)</f>
        <v>#REF!</v>
      </c>
      <c r="V761" t="e">
        <f t="shared" ca="1" si="82"/>
        <v>#N/A</v>
      </c>
      <c r="W761" t="str" cm="1">
        <f t="array" aca="1" ref="W761" ca="1">IFERROR(INDIRECT("$U"&amp;V761),"")</f>
        <v/>
      </c>
      <c r="Z761" t="e" cm="1">
        <f t="array" ref="Z761">INDEX($AE$2:$AS$40,MOD(ROW()-ROW($AE$2),ROWS($AE$2:$AS$40))+1,INT((ROW()-ROW($AE$2))/ROWS($AE$2:$AS$40))+1)</f>
        <v>#REF!</v>
      </c>
      <c r="AA761" t="e">
        <f t="shared" ca="1" si="83"/>
        <v>#N/A</v>
      </c>
      <c r="AB761" t="str" cm="1">
        <f t="array" aca="1" ref="AB761" ca="1">IFERROR(INDIRECT("$Z"&amp;AA761),"")</f>
        <v/>
      </c>
      <c r="AP761" t="str">
        <f t="shared" si="77"/>
        <v/>
      </c>
      <c r="AQ761" t="str">
        <f t="shared" si="78"/>
        <v/>
      </c>
      <c r="AR761" t="str">
        <f t="shared" si="79"/>
        <v/>
      </c>
      <c r="AS761" t="str">
        <f t="shared" si="80"/>
        <v/>
      </c>
    </row>
    <row r="762" spans="5:45" x14ac:dyDescent="0.25">
      <c r="E762" t="str">
        <f ca="1"/>
        <v/>
      </c>
      <c r="F762" t="str">
        <f ca="1"/>
        <v/>
      </c>
      <c r="P762" t="e" cm="1">
        <f t="array" ref="P762">INDEX($B$2:$D$40,MOD(ROW()-ROW($B$2),ROWS($B$2:$D$40))+1,INT((ROW()-ROW($B$2))/ROWS($B$2:$D$40))+1)</f>
        <v>#REF!</v>
      </c>
      <c r="Q762" t="e">
        <f t="shared" ca="1" si="81"/>
        <v>#N/A</v>
      </c>
      <c r="R762" t="str" cm="1">
        <f t="array" aca="1" ref="R762" ca="1">IFERROR(INDIRECT("$P"&amp;Q762),"")</f>
        <v/>
      </c>
      <c r="U762" t="e" cm="1">
        <f t="array" ref="U762">INDEX($C$2:$D$40,MOD(ROW()-ROW($C$2),ROWS($C$2:$D$40))+1,INT((ROW()-ROW($C$2))/ROWS($C$2:$D$40))+1)</f>
        <v>#REF!</v>
      </c>
      <c r="V762" t="e">
        <f t="shared" ca="1" si="82"/>
        <v>#N/A</v>
      </c>
      <c r="W762" t="str" cm="1">
        <f t="array" aca="1" ref="W762" ca="1">IFERROR(INDIRECT("$U"&amp;V762),"")</f>
        <v/>
      </c>
      <c r="Z762" t="e" cm="1">
        <f t="array" ref="Z762">INDEX($AE$2:$AS$40,MOD(ROW()-ROW($AE$2),ROWS($AE$2:$AS$40))+1,INT((ROW()-ROW($AE$2))/ROWS($AE$2:$AS$40))+1)</f>
        <v>#REF!</v>
      </c>
      <c r="AA762" t="e">
        <f t="shared" ca="1" si="83"/>
        <v>#N/A</v>
      </c>
      <c r="AB762" t="str" cm="1">
        <f t="array" aca="1" ref="AB762" ca="1">IFERROR(INDIRECT("$Z"&amp;AA762),"")</f>
        <v/>
      </c>
      <c r="AP762" t="str">
        <f t="shared" si="77"/>
        <v/>
      </c>
      <c r="AQ762" t="str">
        <f t="shared" si="78"/>
        <v/>
      </c>
      <c r="AR762" t="str">
        <f t="shared" si="79"/>
        <v/>
      </c>
      <c r="AS762" t="str">
        <f t="shared" si="80"/>
        <v/>
      </c>
    </row>
    <row r="763" spans="5:45" x14ac:dyDescent="0.25">
      <c r="E763" t="str">
        <f ca="1"/>
        <v/>
      </c>
      <c r="F763" t="str">
        <f ca="1"/>
        <v/>
      </c>
      <c r="P763" t="e" cm="1">
        <f t="array" ref="P763">INDEX($B$2:$D$40,MOD(ROW()-ROW($B$2),ROWS($B$2:$D$40))+1,INT((ROW()-ROW($B$2))/ROWS($B$2:$D$40))+1)</f>
        <v>#REF!</v>
      </c>
      <c r="Q763" t="e">
        <f t="shared" ca="1" si="81"/>
        <v>#N/A</v>
      </c>
      <c r="R763" t="str" cm="1">
        <f t="array" aca="1" ref="R763" ca="1">IFERROR(INDIRECT("$P"&amp;Q763),"")</f>
        <v/>
      </c>
      <c r="U763" t="e" cm="1">
        <f t="array" ref="U763">INDEX($C$2:$D$40,MOD(ROW()-ROW($C$2),ROWS($C$2:$D$40))+1,INT((ROW()-ROW($C$2))/ROWS($C$2:$D$40))+1)</f>
        <v>#REF!</v>
      </c>
      <c r="V763" t="e">
        <f t="shared" ca="1" si="82"/>
        <v>#N/A</v>
      </c>
      <c r="W763" t="str" cm="1">
        <f t="array" aca="1" ref="W763" ca="1">IFERROR(INDIRECT("$U"&amp;V763),"")</f>
        <v/>
      </c>
      <c r="Z763" t="e" cm="1">
        <f t="array" ref="Z763">INDEX($AE$2:$AS$40,MOD(ROW()-ROW($AE$2),ROWS($AE$2:$AS$40))+1,INT((ROW()-ROW($AE$2))/ROWS($AE$2:$AS$40))+1)</f>
        <v>#REF!</v>
      </c>
      <c r="AA763" t="e">
        <f t="shared" ca="1" si="83"/>
        <v>#N/A</v>
      </c>
      <c r="AB763" t="str" cm="1">
        <f t="array" aca="1" ref="AB763" ca="1">IFERROR(INDIRECT("$Z"&amp;AA763),"")</f>
        <v/>
      </c>
      <c r="AP763" t="str">
        <f t="shared" si="77"/>
        <v/>
      </c>
      <c r="AQ763" t="str">
        <f t="shared" si="78"/>
        <v/>
      </c>
      <c r="AR763" t="str">
        <f t="shared" si="79"/>
        <v/>
      </c>
      <c r="AS763" t="str">
        <f t="shared" si="80"/>
        <v/>
      </c>
    </row>
    <row r="764" spans="5:45" x14ac:dyDescent="0.25">
      <c r="E764" t="str">
        <f ca="1"/>
        <v/>
      </c>
      <c r="F764" t="str">
        <f ca="1"/>
        <v/>
      </c>
      <c r="P764" t="e" cm="1">
        <f t="array" ref="P764">INDEX($B$2:$D$40,MOD(ROW()-ROW($B$2),ROWS($B$2:$D$40))+1,INT((ROW()-ROW($B$2))/ROWS($B$2:$D$40))+1)</f>
        <v>#REF!</v>
      </c>
      <c r="Q764" t="e">
        <f t="shared" ca="1" si="81"/>
        <v>#N/A</v>
      </c>
      <c r="R764" t="str" cm="1">
        <f t="array" aca="1" ref="R764" ca="1">IFERROR(INDIRECT("$P"&amp;Q764),"")</f>
        <v/>
      </c>
      <c r="U764" t="e" cm="1">
        <f t="array" ref="U764">INDEX($C$2:$D$40,MOD(ROW()-ROW($C$2),ROWS($C$2:$D$40))+1,INT((ROW()-ROW($C$2))/ROWS($C$2:$D$40))+1)</f>
        <v>#REF!</v>
      </c>
      <c r="V764" t="e">
        <f t="shared" ca="1" si="82"/>
        <v>#N/A</v>
      </c>
      <c r="W764" t="str" cm="1">
        <f t="array" aca="1" ref="W764" ca="1">IFERROR(INDIRECT("$U"&amp;V764),"")</f>
        <v/>
      </c>
      <c r="Z764" t="e" cm="1">
        <f t="array" ref="Z764">INDEX($AE$2:$AS$40,MOD(ROW()-ROW($AE$2),ROWS($AE$2:$AS$40))+1,INT((ROW()-ROW($AE$2))/ROWS($AE$2:$AS$40))+1)</f>
        <v>#REF!</v>
      </c>
      <c r="AA764" t="e">
        <f t="shared" ca="1" si="83"/>
        <v>#N/A</v>
      </c>
      <c r="AB764" t="str" cm="1">
        <f t="array" aca="1" ref="AB764" ca="1">IFERROR(INDIRECT("$Z"&amp;AA764),"")</f>
        <v/>
      </c>
      <c r="AP764" t="str">
        <f t="shared" si="77"/>
        <v/>
      </c>
      <c r="AQ764" t="str">
        <f t="shared" si="78"/>
        <v/>
      </c>
      <c r="AR764" t="str">
        <f t="shared" si="79"/>
        <v/>
      </c>
      <c r="AS764" t="str">
        <f t="shared" si="80"/>
        <v/>
      </c>
    </row>
    <row r="765" spans="5:45" x14ac:dyDescent="0.25">
      <c r="E765" t="str">
        <f ca="1"/>
        <v/>
      </c>
      <c r="F765" t="str">
        <f ca="1"/>
        <v/>
      </c>
      <c r="P765" t="e" cm="1">
        <f t="array" ref="P765">INDEX($B$2:$D$40,MOD(ROW()-ROW($B$2),ROWS($B$2:$D$40))+1,INT((ROW()-ROW($B$2))/ROWS($B$2:$D$40))+1)</f>
        <v>#REF!</v>
      </c>
      <c r="Q765" t="e">
        <f t="shared" ca="1" si="81"/>
        <v>#N/A</v>
      </c>
      <c r="R765" t="str" cm="1">
        <f t="array" aca="1" ref="R765" ca="1">IFERROR(INDIRECT("$P"&amp;Q765),"")</f>
        <v/>
      </c>
      <c r="U765" t="e" cm="1">
        <f t="array" ref="U765">INDEX($C$2:$D$40,MOD(ROW()-ROW($C$2),ROWS($C$2:$D$40))+1,INT((ROW()-ROW($C$2))/ROWS($C$2:$D$40))+1)</f>
        <v>#REF!</v>
      </c>
      <c r="V765" t="e">
        <f t="shared" ca="1" si="82"/>
        <v>#N/A</v>
      </c>
      <c r="W765" t="str" cm="1">
        <f t="array" aca="1" ref="W765" ca="1">IFERROR(INDIRECT("$U"&amp;V765),"")</f>
        <v/>
      </c>
      <c r="Z765" t="e" cm="1">
        <f t="array" ref="Z765">INDEX($AE$2:$AS$40,MOD(ROW()-ROW($AE$2),ROWS($AE$2:$AS$40))+1,INT((ROW()-ROW($AE$2))/ROWS($AE$2:$AS$40))+1)</f>
        <v>#REF!</v>
      </c>
      <c r="AA765" t="e">
        <f t="shared" ca="1" si="83"/>
        <v>#N/A</v>
      </c>
      <c r="AB765" t="str" cm="1">
        <f t="array" aca="1" ref="AB765" ca="1">IFERROR(INDIRECT("$Z"&amp;AA765),"")</f>
        <v/>
      </c>
      <c r="AP765" t="str">
        <f t="shared" si="77"/>
        <v/>
      </c>
      <c r="AQ765" t="str">
        <f t="shared" si="78"/>
        <v/>
      </c>
      <c r="AR765" t="str">
        <f t="shared" si="79"/>
        <v/>
      </c>
      <c r="AS765" t="str">
        <f t="shared" si="80"/>
        <v/>
      </c>
    </row>
    <row r="766" spans="5:45" x14ac:dyDescent="0.25">
      <c r="E766" t="str">
        <f ca="1"/>
        <v/>
      </c>
      <c r="F766" t="str">
        <f ca="1"/>
        <v/>
      </c>
      <c r="P766" t="e" cm="1">
        <f t="array" ref="P766">INDEX($B$2:$D$40,MOD(ROW()-ROW($B$2),ROWS($B$2:$D$40))+1,INT((ROW()-ROW($B$2))/ROWS($B$2:$D$40))+1)</f>
        <v>#REF!</v>
      </c>
      <c r="Q766" t="e">
        <f t="shared" ca="1" si="81"/>
        <v>#N/A</v>
      </c>
      <c r="R766" t="str" cm="1">
        <f t="array" aca="1" ref="R766" ca="1">IFERROR(INDIRECT("$P"&amp;Q766),"")</f>
        <v/>
      </c>
      <c r="U766" t="e" cm="1">
        <f t="array" ref="U766">INDEX($C$2:$D$40,MOD(ROW()-ROW($C$2),ROWS($C$2:$D$40))+1,INT((ROW()-ROW($C$2))/ROWS($C$2:$D$40))+1)</f>
        <v>#REF!</v>
      </c>
      <c r="V766" t="e">
        <f t="shared" ca="1" si="82"/>
        <v>#N/A</v>
      </c>
      <c r="W766" t="str" cm="1">
        <f t="array" aca="1" ref="W766" ca="1">IFERROR(INDIRECT("$U"&amp;V766),"")</f>
        <v/>
      </c>
      <c r="Z766" t="e" cm="1">
        <f t="array" ref="Z766">INDEX($AE$2:$AS$40,MOD(ROW()-ROW($AE$2),ROWS($AE$2:$AS$40))+1,INT((ROW()-ROW($AE$2))/ROWS($AE$2:$AS$40))+1)</f>
        <v>#REF!</v>
      </c>
      <c r="AA766" t="e">
        <f t="shared" ca="1" si="83"/>
        <v>#N/A</v>
      </c>
      <c r="AB766" t="str" cm="1">
        <f t="array" aca="1" ref="AB766" ca="1">IFERROR(INDIRECT("$Z"&amp;AA766),"")</f>
        <v/>
      </c>
      <c r="AP766" t="str">
        <f t="shared" si="77"/>
        <v/>
      </c>
      <c r="AQ766" t="str">
        <f t="shared" si="78"/>
        <v/>
      </c>
      <c r="AR766" t="str">
        <f t="shared" si="79"/>
        <v/>
      </c>
      <c r="AS766" t="str">
        <f t="shared" si="80"/>
        <v/>
      </c>
    </row>
    <row r="767" spans="5:45" x14ac:dyDescent="0.25">
      <c r="E767" t="str">
        <f ca="1"/>
        <v/>
      </c>
      <c r="F767" t="str">
        <f ca="1"/>
        <v/>
      </c>
      <c r="P767" t="e" cm="1">
        <f t="array" ref="P767">INDEX($B$2:$D$40,MOD(ROW()-ROW($B$2),ROWS($B$2:$D$40))+1,INT((ROW()-ROW($B$2))/ROWS($B$2:$D$40))+1)</f>
        <v>#REF!</v>
      </c>
      <c r="Q767" t="e">
        <f t="shared" ca="1" si="81"/>
        <v>#N/A</v>
      </c>
      <c r="R767" t="str" cm="1">
        <f t="array" aca="1" ref="R767" ca="1">IFERROR(INDIRECT("$P"&amp;Q767),"")</f>
        <v/>
      </c>
      <c r="U767" t="e" cm="1">
        <f t="array" ref="U767">INDEX($C$2:$D$40,MOD(ROW()-ROW($C$2),ROWS($C$2:$D$40))+1,INT((ROW()-ROW($C$2))/ROWS($C$2:$D$40))+1)</f>
        <v>#REF!</v>
      </c>
      <c r="V767" t="e">
        <f t="shared" ca="1" si="82"/>
        <v>#N/A</v>
      </c>
      <c r="W767" t="str" cm="1">
        <f t="array" aca="1" ref="W767" ca="1">IFERROR(INDIRECT("$U"&amp;V767),"")</f>
        <v/>
      </c>
      <c r="Z767" t="e" cm="1">
        <f t="array" ref="Z767">INDEX($AE$2:$AS$40,MOD(ROW()-ROW($AE$2),ROWS($AE$2:$AS$40))+1,INT((ROW()-ROW($AE$2))/ROWS($AE$2:$AS$40))+1)</f>
        <v>#REF!</v>
      </c>
      <c r="AA767" t="e">
        <f t="shared" ca="1" si="83"/>
        <v>#N/A</v>
      </c>
      <c r="AB767" t="str" cm="1">
        <f t="array" aca="1" ref="AB767" ca="1">IFERROR(INDIRECT("$Z"&amp;AA767),"")</f>
        <v/>
      </c>
      <c r="AP767" t="str">
        <f t="shared" si="77"/>
        <v/>
      </c>
      <c r="AQ767" t="str">
        <f t="shared" si="78"/>
        <v/>
      </c>
      <c r="AR767" t="str">
        <f t="shared" si="79"/>
        <v/>
      </c>
      <c r="AS767" t="str">
        <f t="shared" si="80"/>
        <v/>
      </c>
    </row>
    <row r="768" spans="5:45" x14ac:dyDescent="0.25">
      <c r="E768" t="str">
        <f ca="1"/>
        <v/>
      </c>
      <c r="F768" t="str">
        <f ca="1"/>
        <v/>
      </c>
      <c r="P768" t="e" cm="1">
        <f t="array" ref="P768">INDEX($B$2:$D$40,MOD(ROW()-ROW($B$2),ROWS($B$2:$D$40))+1,INT((ROW()-ROW($B$2))/ROWS($B$2:$D$40))+1)</f>
        <v>#REF!</v>
      </c>
      <c r="Q768" t="e">
        <f t="shared" ca="1" si="81"/>
        <v>#N/A</v>
      </c>
      <c r="R768" t="str" cm="1">
        <f t="array" aca="1" ref="R768" ca="1">IFERROR(INDIRECT("$P"&amp;Q768),"")</f>
        <v/>
      </c>
      <c r="U768" t="e" cm="1">
        <f t="array" ref="U768">INDEX($C$2:$D$40,MOD(ROW()-ROW($C$2),ROWS($C$2:$D$40))+1,INT((ROW()-ROW($C$2))/ROWS($C$2:$D$40))+1)</f>
        <v>#REF!</v>
      </c>
      <c r="V768" t="e">
        <f t="shared" ca="1" si="82"/>
        <v>#N/A</v>
      </c>
      <c r="W768" t="str" cm="1">
        <f t="array" aca="1" ref="W768" ca="1">IFERROR(INDIRECT("$U"&amp;V768),"")</f>
        <v/>
      </c>
      <c r="Z768" t="e" cm="1">
        <f t="array" ref="Z768">INDEX($AE$2:$AS$40,MOD(ROW()-ROW($AE$2),ROWS($AE$2:$AS$40))+1,INT((ROW()-ROW($AE$2))/ROWS($AE$2:$AS$40))+1)</f>
        <v>#REF!</v>
      </c>
      <c r="AA768" t="e">
        <f t="shared" ca="1" si="83"/>
        <v>#N/A</v>
      </c>
      <c r="AB768" t="str" cm="1">
        <f t="array" aca="1" ref="AB768" ca="1">IFERROR(INDIRECT("$Z"&amp;AA768),"")</f>
        <v/>
      </c>
      <c r="AP768" t="str">
        <f t="shared" si="77"/>
        <v/>
      </c>
      <c r="AQ768" t="str">
        <f t="shared" si="78"/>
        <v/>
      </c>
      <c r="AR768" t="str">
        <f t="shared" si="79"/>
        <v/>
      </c>
      <c r="AS768" t="str">
        <f t="shared" si="80"/>
        <v/>
      </c>
    </row>
    <row r="769" spans="5:45" x14ac:dyDescent="0.25">
      <c r="E769" t="str">
        <f ca="1"/>
        <v/>
      </c>
      <c r="F769" t="str">
        <f ca="1"/>
        <v/>
      </c>
      <c r="P769" t="e" cm="1">
        <f t="array" ref="P769">INDEX($B$2:$D$40,MOD(ROW()-ROW($B$2),ROWS($B$2:$D$40))+1,INT((ROW()-ROW($B$2))/ROWS($B$2:$D$40))+1)</f>
        <v>#REF!</v>
      </c>
      <c r="Q769" t="e">
        <f t="shared" ca="1" si="81"/>
        <v>#N/A</v>
      </c>
      <c r="R769" t="str" cm="1">
        <f t="array" aca="1" ref="R769" ca="1">IFERROR(INDIRECT("$P"&amp;Q769),"")</f>
        <v/>
      </c>
      <c r="U769" t="e" cm="1">
        <f t="array" ref="U769">INDEX($C$2:$D$40,MOD(ROW()-ROW($C$2),ROWS($C$2:$D$40))+1,INT((ROW()-ROW($C$2))/ROWS($C$2:$D$40))+1)</f>
        <v>#REF!</v>
      </c>
      <c r="V769" t="e">
        <f t="shared" ca="1" si="82"/>
        <v>#N/A</v>
      </c>
      <c r="W769" t="str" cm="1">
        <f t="array" aca="1" ref="W769" ca="1">IFERROR(INDIRECT("$U"&amp;V769),"")</f>
        <v/>
      </c>
      <c r="Z769" t="e" cm="1">
        <f t="array" ref="Z769">INDEX($AE$2:$AS$40,MOD(ROW()-ROW($AE$2),ROWS($AE$2:$AS$40))+1,INT((ROW()-ROW($AE$2))/ROWS($AE$2:$AS$40))+1)</f>
        <v>#REF!</v>
      </c>
      <c r="AA769" t="e">
        <f t="shared" ca="1" si="83"/>
        <v>#N/A</v>
      </c>
      <c r="AB769" t="str" cm="1">
        <f t="array" aca="1" ref="AB769" ca="1">IFERROR(INDIRECT("$Z"&amp;AA769),"")</f>
        <v/>
      </c>
      <c r="AP769" t="str">
        <f t="shared" si="77"/>
        <v/>
      </c>
      <c r="AQ769" t="str">
        <f t="shared" si="78"/>
        <v/>
      </c>
      <c r="AR769" t="str">
        <f t="shared" si="79"/>
        <v/>
      </c>
      <c r="AS769" t="str">
        <f t="shared" si="80"/>
        <v/>
      </c>
    </row>
    <row r="770" spans="5:45" x14ac:dyDescent="0.25">
      <c r="E770" t="str">
        <f ca="1"/>
        <v/>
      </c>
      <c r="F770" t="str">
        <f ca="1"/>
        <v/>
      </c>
      <c r="P770" t="e" cm="1">
        <f t="array" ref="P770">INDEX($B$2:$D$40,MOD(ROW()-ROW($B$2),ROWS($B$2:$D$40))+1,INT((ROW()-ROW($B$2))/ROWS($B$2:$D$40))+1)</f>
        <v>#REF!</v>
      </c>
      <c r="Q770" t="e">
        <f t="shared" ca="1" si="81"/>
        <v>#N/A</v>
      </c>
      <c r="R770" t="str" cm="1">
        <f t="array" aca="1" ref="R770" ca="1">IFERROR(INDIRECT("$P"&amp;Q770),"")</f>
        <v/>
      </c>
      <c r="U770" t="e" cm="1">
        <f t="array" ref="U770">INDEX($C$2:$D$40,MOD(ROW()-ROW($C$2),ROWS($C$2:$D$40))+1,INT((ROW()-ROW($C$2))/ROWS($C$2:$D$40))+1)</f>
        <v>#REF!</v>
      </c>
      <c r="V770" t="e">
        <f t="shared" ca="1" si="82"/>
        <v>#N/A</v>
      </c>
      <c r="W770" t="str" cm="1">
        <f t="array" aca="1" ref="W770" ca="1">IFERROR(INDIRECT("$U"&amp;V770),"")</f>
        <v/>
      </c>
      <c r="Z770" t="e" cm="1">
        <f t="array" ref="Z770">INDEX($AE$2:$AS$40,MOD(ROW()-ROW($AE$2),ROWS($AE$2:$AS$40))+1,INT((ROW()-ROW($AE$2))/ROWS($AE$2:$AS$40))+1)</f>
        <v>#REF!</v>
      </c>
      <c r="AA770" t="e">
        <f t="shared" ca="1" si="83"/>
        <v>#N/A</v>
      </c>
      <c r="AB770" t="str" cm="1">
        <f t="array" aca="1" ref="AB770" ca="1">IFERROR(INDIRECT("$Z"&amp;AA770),"")</f>
        <v/>
      </c>
      <c r="AP770" t="str">
        <f t="shared" si="77"/>
        <v/>
      </c>
      <c r="AQ770" t="str">
        <f t="shared" si="78"/>
        <v/>
      </c>
      <c r="AR770" t="str">
        <f t="shared" si="79"/>
        <v/>
      </c>
      <c r="AS770" t="str">
        <f t="shared" si="80"/>
        <v/>
      </c>
    </row>
    <row r="771" spans="5:45" x14ac:dyDescent="0.25">
      <c r="E771" t="str">
        <f ca="1"/>
        <v/>
      </c>
      <c r="F771" t="str">
        <f ca="1"/>
        <v/>
      </c>
      <c r="P771" t="e" cm="1">
        <f t="array" ref="P771">INDEX($B$2:$D$40,MOD(ROW()-ROW($B$2),ROWS($B$2:$D$40))+1,INT((ROW()-ROW($B$2))/ROWS($B$2:$D$40))+1)</f>
        <v>#REF!</v>
      </c>
      <c r="Q771" t="e">
        <f t="shared" ca="1" si="81"/>
        <v>#N/A</v>
      </c>
      <c r="R771" t="str" cm="1">
        <f t="array" aca="1" ref="R771" ca="1">IFERROR(INDIRECT("$P"&amp;Q771),"")</f>
        <v/>
      </c>
      <c r="U771" t="e" cm="1">
        <f t="array" ref="U771">INDEX($C$2:$D$40,MOD(ROW()-ROW($C$2),ROWS($C$2:$D$40))+1,INT((ROW()-ROW($C$2))/ROWS($C$2:$D$40))+1)</f>
        <v>#REF!</v>
      </c>
      <c r="V771" t="e">
        <f t="shared" ca="1" si="82"/>
        <v>#N/A</v>
      </c>
      <c r="W771" t="str" cm="1">
        <f t="array" aca="1" ref="W771" ca="1">IFERROR(INDIRECT("$U"&amp;V771),"")</f>
        <v/>
      </c>
      <c r="Z771" t="e" cm="1">
        <f t="array" ref="Z771">INDEX($AE$2:$AS$40,MOD(ROW()-ROW($AE$2),ROWS($AE$2:$AS$40))+1,INT((ROW()-ROW($AE$2))/ROWS($AE$2:$AS$40))+1)</f>
        <v>#REF!</v>
      </c>
      <c r="AA771" t="e">
        <f t="shared" ca="1" si="83"/>
        <v>#N/A</v>
      </c>
      <c r="AB771" t="str" cm="1">
        <f t="array" aca="1" ref="AB771" ca="1">IFERROR(INDIRECT("$Z"&amp;AA771),"")</f>
        <v/>
      </c>
      <c r="AP771" t="str">
        <f t="shared" ref="AP771:AP834" si="84">IF(AI771&lt;&gt;"", _xlfn.CONCAT(AI771, " (airside)"), "")</f>
        <v/>
      </c>
      <c r="AQ771" t="str">
        <f t="shared" ref="AQ771:AQ834" si="85">IF(AI771&lt;&gt;"", _xlfn.CONCAT(AI771, " (waterside)"), "")</f>
        <v/>
      </c>
      <c r="AR771" t="str">
        <f t="shared" ref="AR771:AR834" si="86">IF(AJ771&lt;&gt;"", _xlfn.CONCAT(AJ771, " (supply)"), "")</f>
        <v/>
      </c>
      <c r="AS771" t="str">
        <f t="shared" ref="AS771:AS834" si="87">IF(AJ771&lt;&gt;"", _xlfn.CONCAT(AJ771, " (exhaust)"), "")</f>
        <v/>
      </c>
    </row>
    <row r="772" spans="5:45" x14ac:dyDescent="0.25">
      <c r="E772" t="str">
        <f ca="1"/>
        <v/>
      </c>
      <c r="F772" t="str">
        <f ca="1"/>
        <v/>
      </c>
      <c r="P772" t="e" cm="1">
        <f t="array" ref="P772">INDEX($B$2:$D$40,MOD(ROW()-ROW($B$2),ROWS($B$2:$D$40))+1,INT((ROW()-ROW($B$2))/ROWS($B$2:$D$40))+1)</f>
        <v>#REF!</v>
      </c>
      <c r="Q772" t="e">
        <f t="shared" ref="Q772:Q835" ca="1" si="88">MATCH("*",INDIRECT(ADDRESS(Q771+1,16,1)&amp;":$P$1000"),0)+Q771</f>
        <v>#N/A</v>
      </c>
      <c r="R772" t="str" cm="1">
        <f t="array" aca="1" ref="R772" ca="1">IFERROR(INDIRECT("$P"&amp;Q772),"")</f>
        <v/>
      </c>
      <c r="U772" t="e" cm="1">
        <f t="array" ref="U772">INDEX($C$2:$D$40,MOD(ROW()-ROW($C$2),ROWS($C$2:$D$40))+1,INT((ROW()-ROW($C$2))/ROWS($C$2:$D$40))+1)</f>
        <v>#REF!</v>
      </c>
      <c r="V772" t="e">
        <f t="shared" ref="V772:V835" ca="1" si="89">MATCH("*",INDIRECT(ADDRESS(V771+1,21,1)&amp;":$U$1000"),0)+V771</f>
        <v>#N/A</v>
      </c>
      <c r="W772" t="str" cm="1">
        <f t="array" aca="1" ref="W772" ca="1">IFERROR(INDIRECT("$U"&amp;V772),"")</f>
        <v/>
      </c>
      <c r="Z772" t="e" cm="1">
        <f t="array" ref="Z772">INDEX($AE$2:$AS$40,MOD(ROW()-ROW($AE$2),ROWS($AE$2:$AS$40))+1,INT((ROW()-ROW($AE$2))/ROWS($AE$2:$AS$40))+1)</f>
        <v>#REF!</v>
      </c>
      <c r="AA772" t="e">
        <f t="shared" ref="AA772:AA835" ca="1" si="90">MATCH("*",INDIRECT(ADDRESS(AA771+1,26,1)&amp;":$Z$1000"),0)+AA771</f>
        <v>#N/A</v>
      </c>
      <c r="AB772" t="str" cm="1">
        <f t="array" aca="1" ref="AB772" ca="1">IFERROR(INDIRECT("$Z"&amp;AA772),"")</f>
        <v/>
      </c>
      <c r="AP772" t="str">
        <f t="shared" si="84"/>
        <v/>
      </c>
      <c r="AQ772" t="str">
        <f t="shared" si="85"/>
        <v/>
      </c>
      <c r="AR772" t="str">
        <f t="shared" si="86"/>
        <v/>
      </c>
      <c r="AS772" t="str">
        <f t="shared" si="87"/>
        <v/>
      </c>
    </row>
    <row r="773" spans="5:45" x14ac:dyDescent="0.25">
      <c r="E773" t="str">
        <f ca="1"/>
        <v/>
      </c>
      <c r="F773" t="str">
        <f ca="1"/>
        <v/>
      </c>
      <c r="P773" t="e" cm="1">
        <f t="array" ref="P773">INDEX($B$2:$D$40,MOD(ROW()-ROW($B$2),ROWS($B$2:$D$40))+1,INT((ROW()-ROW($B$2))/ROWS($B$2:$D$40))+1)</f>
        <v>#REF!</v>
      </c>
      <c r="Q773" t="e">
        <f t="shared" ca="1" si="88"/>
        <v>#N/A</v>
      </c>
      <c r="R773" t="str" cm="1">
        <f t="array" aca="1" ref="R773" ca="1">IFERROR(INDIRECT("$P"&amp;Q773),"")</f>
        <v/>
      </c>
      <c r="U773" t="e" cm="1">
        <f t="array" ref="U773">INDEX($C$2:$D$40,MOD(ROW()-ROW($C$2),ROWS($C$2:$D$40))+1,INT((ROW()-ROW($C$2))/ROWS($C$2:$D$40))+1)</f>
        <v>#REF!</v>
      </c>
      <c r="V773" t="e">
        <f t="shared" ca="1" si="89"/>
        <v>#N/A</v>
      </c>
      <c r="W773" t="str" cm="1">
        <f t="array" aca="1" ref="W773" ca="1">IFERROR(INDIRECT("$U"&amp;V773),"")</f>
        <v/>
      </c>
      <c r="Z773" t="e" cm="1">
        <f t="array" ref="Z773">INDEX($AE$2:$AS$40,MOD(ROW()-ROW($AE$2),ROWS($AE$2:$AS$40))+1,INT((ROW()-ROW($AE$2))/ROWS($AE$2:$AS$40))+1)</f>
        <v>#REF!</v>
      </c>
      <c r="AA773" t="e">
        <f t="shared" ca="1" si="90"/>
        <v>#N/A</v>
      </c>
      <c r="AB773" t="str" cm="1">
        <f t="array" aca="1" ref="AB773" ca="1">IFERROR(INDIRECT("$Z"&amp;AA773),"")</f>
        <v/>
      </c>
      <c r="AP773" t="str">
        <f t="shared" si="84"/>
        <v/>
      </c>
      <c r="AQ773" t="str">
        <f t="shared" si="85"/>
        <v/>
      </c>
      <c r="AR773" t="str">
        <f t="shared" si="86"/>
        <v/>
      </c>
      <c r="AS773" t="str">
        <f t="shared" si="87"/>
        <v/>
      </c>
    </row>
    <row r="774" spans="5:45" x14ac:dyDescent="0.25">
      <c r="E774" t="str">
        <f ca="1"/>
        <v/>
      </c>
      <c r="F774" t="str">
        <f ca="1"/>
        <v/>
      </c>
      <c r="P774" t="e" cm="1">
        <f t="array" ref="P774">INDEX($B$2:$D$40,MOD(ROW()-ROW($B$2),ROWS($B$2:$D$40))+1,INT((ROW()-ROW($B$2))/ROWS($B$2:$D$40))+1)</f>
        <v>#REF!</v>
      </c>
      <c r="Q774" t="e">
        <f t="shared" ca="1" si="88"/>
        <v>#N/A</v>
      </c>
      <c r="R774" t="str" cm="1">
        <f t="array" aca="1" ref="R774" ca="1">IFERROR(INDIRECT("$P"&amp;Q774),"")</f>
        <v/>
      </c>
      <c r="U774" t="e" cm="1">
        <f t="array" ref="U774">INDEX($C$2:$D$40,MOD(ROW()-ROW($C$2),ROWS($C$2:$D$40))+1,INT((ROW()-ROW($C$2))/ROWS($C$2:$D$40))+1)</f>
        <v>#REF!</v>
      </c>
      <c r="V774" t="e">
        <f t="shared" ca="1" si="89"/>
        <v>#N/A</v>
      </c>
      <c r="W774" t="str" cm="1">
        <f t="array" aca="1" ref="W774" ca="1">IFERROR(INDIRECT("$U"&amp;V774),"")</f>
        <v/>
      </c>
      <c r="Z774" t="e" cm="1">
        <f t="array" ref="Z774">INDEX($AE$2:$AS$40,MOD(ROW()-ROW($AE$2),ROWS($AE$2:$AS$40))+1,INT((ROW()-ROW($AE$2))/ROWS($AE$2:$AS$40))+1)</f>
        <v>#REF!</v>
      </c>
      <c r="AA774" t="e">
        <f t="shared" ca="1" si="90"/>
        <v>#N/A</v>
      </c>
      <c r="AB774" t="str" cm="1">
        <f t="array" aca="1" ref="AB774" ca="1">IFERROR(INDIRECT("$Z"&amp;AA774),"")</f>
        <v/>
      </c>
      <c r="AP774" t="str">
        <f t="shared" si="84"/>
        <v/>
      </c>
      <c r="AQ774" t="str">
        <f t="shared" si="85"/>
        <v/>
      </c>
      <c r="AR774" t="str">
        <f t="shared" si="86"/>
        <v/>
      </c>
      <c r="AS774" t="str">
        <f t="shared" si="87"/>
        <v/>
      </c>
    </row>
    <row r="775" spans="5:45" x14ac:dyDescent="0.25">
      <c r="E775" t="str">
        <f ca="1"/>
        <v/>
      </c>
      <c r="F775" t="str">
        <f ca="1"/>
        <v/>
      </c>
      <c r="P775" t="e" cm="1">
        <f t="array" ref="P775">INDEX($B$2:$D$40,MOD(ROW()-ROW($B$2),ROWS($B$2:$D$40))+1,INT((ROW()-ROW($B$2))/ROWS($B$2:$D$40))+1)</f>
        <v>#REF!</v>
      </c>
      <c r="Q775" t="e">
        <f t="shared" ca="1" si="88"/>
        <v>#N/A</v>
      </c>
      <c r="R775" t="str" cm="1">
        <f t="array" aca="1" ref="R775" ca="1">IFERROR(INDIRECT("$P"&amp;Q775),"")</f>
        <v/>
      </c>
      <c r="U775" t="e" cm="1">
        <f t="array" ref="U775">INDEX($C$2:$D$40,MOD(ROW()-ROW($C$2),ROWS($C$2:$D$40))+1,INT((ROW()-ROW($C$2))/ROWS($C$2:$D$40))+1)</f>
        <v>#REF!</v>
      </c>
      <c r="V775" t="e">
        <f t="shared" ca="1" si="89"/>
        <v>#N/A</v>
      </c>
      <c r="W775" t="str" cm="1">
        <f t="array" aca="1" ref="W775" ca="1">IFERROR(INDIRECT("$U"&amp;V775),"")</f>
        <v/>
      </c>
      <c r="Z775" t="e" cm="1">
        <f t="array" ref="Z775">INDEX($AE$2:$AS$40,MOD(ROW()-ROW($AE$2),ROWS($AE$2:$AS$40))+1,INT((ROW()-ROW($AE$2))/ROWS($AE$2:$AS$40))+1)</f>
        <v>#REF!</v>
      </c>
      <c r="AA775" t="e">
        <f t="shared" ca="1" si="90"/>
        <v>#N/A</v>
      </c>
      <c r="AB775" t="str" cm="1">
        <f t="array" aca="1" ref="AB775" ca="1">IFERROR(INDIRECT("$Z"&amp;AA775),"")</f>
        <v/>
      </c>
      <c r="AP775" t="str">
        <f t="shared" si="84"/>
        <v/>
      </c>
      <c r="AQ775" t="str">
        <f t="shared" si="85"/>
        <v/>
      </c>
      <c r="AR775" t="str">
        <f t="shared" si="86"/>
        <v/>
      </c>
      <c r="AS775" t="str">
        <f t="shared" si="87"/>
        <v/>
      </c>
    </row>
    <row r="776" spans="5:45" x14ac:dyDescent="0.25">
      <c r="E776" t="str">
        <f ca="1"/>
        <v/>
      </c>
      <c r="F776" t="str">
        <f ca="1"/>
        <v/>
      </c>
      <c r="P776" t="e" cm="1">
        <f t="array" ref="P776">INDEX($B$2:$D$40,MOD(ROW()-ROW($B$2),ROWS($B$2:$D$40))+1,INT((ROW()-ROW($B$2))/ROWS($B$2:$D$40))+1)</f>
        <v>#REF!</v>
      </c>
      <c r="Q776" t="e">
        <f t="shared" ca="1" si="88"/>
        <v>#N/A</v>
      </c>
      <c r="R776" t="str" cm="1">
        <f t="array" aca="1" ref="R776" ca="1">IFERROR(INDIRECT("$P"&amp;Q776),"")</f>
        <v/>
      </c>
      <c r="U776" t="e" cm="1">
        <f t="array" ref="U776">INDEX($C$2:$D$40,MOD(ROW()-ROW($C$2),ROWS($C$2:$D$40))+1,INT((ROW()-ROW($C$2))/ROWS($C$2:$D$40))+1)</f>
        <v>#REF!</v>
      </c>
      <c r="V776" t="e">
        <f t="shared" ca="1" si="89"/>
        <v>#N/A</v>
      </c>
      <c r="W776" t="str" cm="1">
        <f t="array" aca="1" ref="W776" ca="1">IFERROR(INDIRECT("$U"&amp;V776),"")</f>
        <v/>
      </c>
      <c r="Z776" t="e" cm="1">
        <f t="array" ref="Z776">INDEX($AE$2:$AS$40,MOD(ROW()-ROW($AE$2),ROWS($AE$2:$AS$40))+1,INT((ROW()-ROW($AE$2))/ROWS($AE$2:$AS$40))+1)</f>
        <v>#REF!</v>
      </c>
      <c r="AA776" t="e">
        <f t="shared" ca="1" si="90"/>
        <v>#N/A</v>
      </c>
      <c r="AB776" t="str" cm="1">
        <f t="array" aca="1" ref="AB776" ca="1">IFERROR(INDIRECT("$Z"&amp;AA776),"")</f>
        <v/>
      </c>
      <c r="AP776" t="str">
        <f t="shared" si="84"/>
        <v/>
      </c>
      <c r="AQ776" t="str">
        <f t="shared" si="85"/>
        <v/>
      </c>
      <c r="AR776" t="str">
        <f t="shared" si="86"/>
        <v/>
      </c>
      <c r="AS776" t="str">
        <f t="shared" si="87"/>
        <v/>
      </c>
    </row>
    <row r="777" spans="5:45" x14ac:dyDescent="0.25">
      <c r="E777" t="str">
        <f ca="1"/>
        <v/>
      </c>
      <c r="F777" t="str">
        <f ca="1"/>
        <v/>
      </c>
      <c r="P777" t="e" cm="1">
        <f t="array" ref="P777">INDEX($B$2:$D$40,MOD(ROW()-ROW($B$2),ROWS($B$2:$D$40))+1,INT((ROW()-ROW($B$2))/ROWS($B$2:$D$40))+1)</f>
        <v>#REF!</v>
      </c>
      <c r="Q777" t="e">
        <f t="shared" ca="1" si="88"/>
        <v>#N/A</v>
      </c>
      <c r="R777" t="str" cm="1">
        <f t="array" aca="1" ref="R777" ca="1">IFERROR(INDIRECT("$P"&amp;Q777),"")</f>
        <v/>
      </c>
      <c r="U777" t="e" cm="1">
        <f t="array" ref="U777">INDEX($C$2:$D$40,MOD(ROW()-ROW($C$2),ROWS($C$2:$D$40))+1,INT((ROW()-ROW($C$2))/ROWS($C$2:$D$40))+1)</f>
        <v>#REF!</v>
      </c>
      <c r="V777" t="e">
        <f t="shared" ca="1" si="89"/>
        <v>#N/A</v>
      </c>
      <c r="W777" t="str" cm="1">
        <f t="array" aca="1" ref="W777" ca="1">IFERROR(INDIRECT("$U"&amp;V777),"")</f>
        <v/>
      </c>
      <c r="Z777" t="e" cm="1">
        <f t="array" ref="Z777">INDEX($AE$2:$AS$40,MOD(ROW()-ROW($AE$2),ROWS($AE$2:$AS$40))+1,INT((ROW()-ROW($AE$2))/ROWS($AE$2:$AS$40))+1)</f>
        <v>#REF!</v>
      </c>
      <c r="AA777" t="e">
        <f t="shared" ca="1" si="90"/>
        <v>#N/A</v>
      </c>
      <c r="AB777" t="str" cm="1">
        <f t="array" aca="1" ref="AB777" ca="1">IFERROR(INDIRECT("$Z"&amp;AA777),"")</f>
        <v/>
      </c>
      <c r="AP777" t="str">
        <f t="shared" si="84"/>
        <v/>
      </c>
      <c r="AQ777" t="str">
        <f t="shared" si="85"/>
        <v/>
      </c>
      <c r="AR777" t="str">
        <f t="shared" si="86"/>
        <v/>
      </c>
      <c r="AS777" t="str">
        <f t="shared" si="87"/>
        <v/>
      </c>
    </row>
    <row r="778" spans="5:45" x14ac:dyDescent="0.25">
      <c r="E778" t="str">
        <f ca="1"/>
        <v/>
      </c>
      <c r="F778" t="str">
        <f ca="1"/>
        <v/>
      </c>
      <c r="P778" t="e" cm="1">
        <f t="array" ref="P778">INDEX($B$2:$D$40,MOD(ROW()-ROW($B$2),ROWS($B$2:$D$40))+1,INT((ROW()-ROW($B$2))/ROWS($B$2:$D$40))+1)</f>
        <v>#REF!</v>
      </c>
      <c r="Q778" t="e">
        <f t="shared" ca="1" si="88"/>
        <v>#N/A</v>
      </c>
      <c r="R778" t="str" cm="1">
        <f t="array" aca="1" ref="R778" ca="1">IFERROR(INDIRECT("$P"&amp;Q778),"")</f>
        <v/>
      </c>
      <c r="U778" t="e" cm="1">
        <f t="array" ref="U778">INDEX($C$2:$D$40,MOD(ROW()-ROW($C$2),ROWS($C$2:$D$40))+1,INT((ROW()-ROW($C$2))/ROWS($C$2:$D$40))+1)</f>
        <v>#REF!</v>
      </c>
      <c r="V778" t="e">
        <f t="shared" ca="1" si="89"/>
        <v>#N/A</v>
      </c>
      <c r="W778" t="str" cm="1">
        <f t="array" aca="1" ref="W778" ca="1">IFERROR(INDIRECT("$U"&amp;V778),"")</f>
        <v/>
      </c>
      <c r="Z778" t="e" cm="1">
        <f t="array" ref="Z778">INDEX($AE$2:$AS$40,MOD(ROW()-ROW($AE$2),ROWS($AE$2:$AS$40))+1,INT((ROW()-ROW($AE$2))/ROWS($AE$2:$AS$40))+1)</f>
        <v>#REF!</v>
      </c>
      <c r="AA778" t="e">
        <f t="shared" ca="1" si="90"/>
        <v>#N/A</v>
      </c>
      <c r="AB778" t="str" cm="1">
        <f t="array" aca="1" ref="AB778" ca="1">IFERROR(INDIRECT("$Z"&amp;AA778),"")</f>
        <v/>
      </c>
      <c r="AP778" t="str">
        <f t="shared" si="84"/>
        <v/>
      </c>
      <c r="AQ778" t="str">
        <f t="shared" si="85"/>
        <v/>
      </c>
      <c r="AR778" t="str">
        <f t="shared" si="86"/>
        <v/>
      </c>
      <c r="AS778" t="str">
        <f t="shared" si="87"/>
        <v/>
      </c>
    </row>
    <row r="779" spans="5:45" x14ac:dyDescent="0.25">
      <c r="E779" t="str">
        <f ca="1"/>
        <v/>
      </c>
      <c r="F779" t="str">
        <f ca="1"/>
        <v/>
      </c>
      <c r="P779" t="e" cm="1">
        <f t="array" ref="P779">INDEX($B$2:$D$40,MOD(ROW()-ROW($B$2),ROWS($B$2:$D$40))+1,INT((ROW()-ROW($B$2))/ROWS($B$2:$D$40))+1)</f>
        <v>#REF!</v>
      </c>
      <c r="Q779" t="e">
        <f t="shared" ca="1" si="88"/>
        <v>#N/A</v>
      </c>
      <c r="R779" t="str" cm="1">
        <f t="array" aca="1" ref="R779" ca="1">IFERROR(INDIRECT("$P"&amp;Q779),"")</f>
        <v/>
      </c>
      <c r="U779" t="e" cm="1">
        <f t="array" ref="U779">INDEX($C$2:$D$40,MOD(ROW()-ROW($C$2),ROWS($C$2:$D$40))+1,INT((ROW()-ROW($C$2))/ROWS($C$2:$D$40))+1)</f>
        <v>#REF!</v>
      </c>
      <c r="V779" t="e">
        <f t="shared" ca="1" si="89"/>
        <v>#N/A</v>
      </c>
      <c r="W779" t="str" cm="1">
        <f t="array" aca="1" ref="W779" ca="1">IFERROR(INDIRECT("$U"&amp;V779),"")</f>
        <v/>
      </c>
      <c r="Z779" t="e" cm="1">
        <f t="array" ref="Z779">INDEX($AE$2:$AS$40,MOD(ROW()-ROW($AE$2),ROWS($AE$2:$AS$40))+1,INT((ROW()-ROW($AE$2))/ROWS($AE$2:$AS$40))+1)</f>
        <v>#REF!</v>
      </c>
      <c r="AA779" t="e">
        <f t="shared" ca="1" si="90"/>
        <v>#N/A</v>
      </c>
      <c r="AB779" t="str" cm="1">
        <f t="array" aca="1" ref="AB779" ca="1">IFERROR(INDIRECT("$Z"&amp;AA779),"")</f>
        <v/>
      </c>
      <c r="AP779" t="str">
        <f t="shared" si="84"/>
        <v/>
      </c>
      <c r="AQ779" t="str">
        <f t="shared" si="85"/>
        <v/>
      </c>
      <c r="AR779" t="str">
        <f t="shared" si="86"/>
        <v/>
      </c>
      <c r="AS779" t="str">
        <f t="shared" si="87"/>
        <v/>
      </c>
    </row>
    <row r="780" spans="5:45" x14ac:dyDescent="0.25">
      <c r="E780" t="str">
        <f ca="1"/>
        <v/>
      </c>
      <c r="F780" t="str">
        <f ca="1"/>
        <v/>
      </c>
      <c r="P780" t="e" cm="1">
        <f t="array" ref="P780">INDEX($B$2:$D$40,MOD(ROW()-ROW($B$2),ROWS($B$2:$D$40))+1,INT((ROW()-ROW($B$2))/ROWS($B$2:$D$40))+1)</f>
        <v>#REF!</v>
      </c>
      <c r="Q780" t="e">
        <f t="shared" ca="1" si="88"/>
        <v>#N/A</v>
      </c>
      <c r="R780" t="str" cm="1">
        <f t="array" aca="1" ref="R780" ca="1">IFERROR(INDIRECT("$P"&amp;Q780),"")</f>
        <v/>
      </c>
      <c r="U780" t="e" cm="1">
        <f t="array" ref="U780">INDEX($C$2:$D$40,MOD(ROW()-ROW($C$2),ROWS($C$2:$D$40))+1,INT((ROW()-ROW($C$2))/ROWS($C$2:$D$40))+1)</f>
        <v>#REF!</v>
      </c>
      <c r="V780" t="e">
        <f t="shared" ca="1" si="89"/>
        <v>#N/A</v>
      </c>
      <c r="W780" t="str" cm="1">
        <f t="array" aca="1" ref="W780" ca="1">IFERROR(INDIRECT("$U"&amp;V780),"")</f>
        <v/>
      </c>
      <c r="Z780" t="e" cm="1">
        <f t="array" ref="Z780">INDEX($AE$2:$AS$40,MOD(ROW()-ROW($AE$2),ROWS($AE$2:$AS$40))+1,INT((ROW()-ROW($AE$2))/ROWS($AE$2:$AS$40))+1)</f>
        <v>#REF!</v>
      </c>
      <c r="AA780" t="e">
        <f t="shared" ca="1" si="90"/>
        <v>#N/A</v>
      </c>
      <c r="AB780" t="str" cm="1">
        <f t="array" aca="1" ref="AB780" ca="1">IFERROR(INDIRECT("$Z"&amp;AA780),"")</f>
        <v/>
      </c>
      <c r="AP780" t="str">
        <f t="shared" si="84"/>
        <v/>
      </c>
      <c r="AQ780" t="str">
        <f t="shared" si="85"/>
        <v/>
      </c>
      <c r="AR780" t="str">
        <f t="shared" si="86"/>
        <v/>
      </c>
      <c r="AS780" t="str">
        <f t="shared" si="87"/>
        <v/>
      </c>
    </row>
    <row r="781" spans="5:45" x14ac:dyDescent="0.25">
      <c r="E781" t="str">
        <f ca="1"/>
        <v/>
      </c>
      <c r="F781" t="str">
        <f ca="1"/>
        <v/>
      </c>
      <c r="P781" t="e" cm="1">
        <f t="array" ref="P781">INDEX($B$2:$D$40,MOD(ROW()-ROW($B$2),ROWS($B$2:$D$40))+1,INT((ROW()-ROW($B$2))/ROWS($B$2:$D$40))+1)</f>
        <v>#REF!</v>
      </c>
      <c r="Q781" t="e">
        <f t="shared" ca="1" si="88"/>
        <v>#N/A</v>
      </c>
      <c r="R781" t="str" cm="1">
        <f t="array" aca="1" ref="R781" ca="1">IFERROR(INDIRECT("$P"&amp;Q781),"")</f>
        <v/>
      </c>
      <c r="U781" t="e" cm="1">
        <f t="array" ref="U781">INDEX($C$2:$D$40,MOD(ROW()-ROW($C$2),ROWS($C$2:$D$40))+1,INT((ROW()-ROW($C$2))/ROWS($C$2:$D$40))+1)</f>
        <v>#REF!</v>
      </c>
      <c r="V781" t="e">
        <f t="shared" ca="1" si="89"/>
        <v>#N/A</v>
      </c>
      <c r="W781" t="str" cm="1">
        <f t="array" aca="1" ref="W781" ca="1">IFERROR(INDIRECT("$U"&amp;V781),"")</f>
        <v/>
      </c>
      <c r="Z781" t="e" cm="1">
        <f t="array" ref="Z781">INDEX($AE$2:$AS$40,MOD(ROW()-ROW($AE$2),ROWS($AE$2:$AS$40))+1,INT((ROW()-ROW($AE$2))/ROWS($AE$2:$AS$40))+1)</f>
        <v>#REF!</v>
      </c>
      <c r="AA781" t="e">
        <f t="shared" ca="1" si="90"/>
        <v>#N/A</v>
      </c>
      <c r="AB781" t="str" cm="1">
        <f t="array" aca="1" ref="AB781" ca="1">IFERROR(INDIRECT("$Z"&amp;AA781),"")</f>
        <v/>
      </c>
      <c r="AP781" t="str">
        <f t="shared" si="84"/>
        <v/>
      </c>
      <c r="AQ781" t="str">
        <f t="shared" si="85"/>
        <v/>
      </c>
      <c r="AR781" t="str">
        <f t="shared" si="86"/>
        <v/>
      </c>
      <c r="AS781" t="str">
        <f t="shared" si="87"/>
        <v/>
      </c>
    </row>
    <row r="782" spans="5:45" x14ac:dyDescent="0.25">
      <c r="E782" t="str">
        <f ca="1"/>
        <v/>
      </c>
      <c r="F782" t="str">
        <f ca="1"/>
        <v/>
      </c>
      <c r="P782" t="e" cm="1">
        <f t="array" ref="P782">INDEX($B$2:$D$40,MOD(ROW()-ROW($B$2),ROWS($B$2:$D$40))+1,INT((ROW()-ROW($B$2))/ROWS($B$2:$D$40))+1)</f>
        <v>#REF!</v>
      </c>
      <c r="Q782" t="e">
        <f t="shared" ca="1" si="88"/>
        <v>#N/A</v>
      </c>
      <c r="R782" t="str" cm="1">
        <f t="array" aca="1" ref="R782" ca="1">IFERROR(INDIRECT("$P"&amp;Q782),"")</f>
        <v/>
      </c>
      <c r="U782" t="e" cm="1">
        <f t="array" ref="U782">INDEX($C$2:$D$40,MOD(ROW()-ROW($C$2),ROWS($C$2:$D$40))+1,INT((ROW()-ROW($C$2))/ROWS($C$2:$D$40))+1)</f>
        <v>#REF!</v>
      </c>
      <c r="V782" t="e">
        <f t="shared" ca="1" si="89"/>
        <v>#N/A</v>
      </c>
      <c r="W782" t="str" cm="1">
        <f t="array" aca="1" ref="W782" ca="1">IFERROR(INDIRECT("$U"&amp;V782),"")</f>
        <v/>
      </c>
      <c r="Z782" t="e" cm="1">
        <f t="array" ref="Z782">INDEX($AE$2:$AS$40,MOD(ROW()-ROW($AE$2),ROWS($AE$2:$AS$40))+1,INT((ROW()-ROW($AE$2))/ROWS($AE$2:$AS$40))+1)</f>
        <v>#REF!</v>
      </c>
      <c r="AA782" t="e">
        <f t="shared" ca="1" si="90"/>
        <v>#N/A</v>
      </c>
      <c r="AB782" t="str" cm="1">
        <f t="array" aca="1" ref="AB782" ca="1">IFERROR(INDIRECT("$Z"&amp;AA782),"")</f>
        <v/>
      </c>
      <c r="AP782" t="str">
        <f t="shared" si="84"/>
        <v/>
      </c>
      <c r="AQ782" t="str">
        <f t="shared" si="85"/>
        <v/>
      </c>
      <c r="AR782" t="str">
        <f t="shared" si="86"/>
        <v/>
      </c>
      <c r="AS782" t="str">
        <f t="shared" si="87"/>
        <v/>
      </c>
    </row>
    <row r="783" spans="5:45" x14ac:dyDescent="0.25">
      <c r="E783" t="str">
        <f ca="1"/>
        <v/>
      </c>
      <c r="F783" t="str">
        <f ca="1"/>
        <v/>
      </c>
      <c r="P783" t="e" cm="1">
        <f t="array" ref="P783">INDEX($B$2:$D$40,MOD(ROW()-ROW($B$2),ROWS($B$2:$D$40))+1,INT((ROW()-ROW($B$2))/ROWS($B$2:$D$40))+1)</f>
        <v>#REF!</v>
      </c>
      <c r="Q783" t="e">
        <f t="shared" ca="1" si="88"/>
        <v>#N/A</v>
      </c>
      <c r="R783" t="str" cm="1">
        <f t="array" aca="1" ref="R783" ca="1">IFERROR(INDIRECT("$P"&amp;Q783),"")</f>
        <v/>
      </c>
      <c r="U783" t="e" cm="1">
        <f t="array" ref="U783">INDEX($C$2:$D$40,MOD(ROW()-ROW($C$2),ROWS($C$2:$D$40))+1,INT((ROW()-ROW($C$2))/ROWS($C$2:$D$40))+1)</f>
        <v>#REF!</v>
      </c>
      <c r="V783" t="e">
        <f t="shared" ca="1" si="89"/>
        <v>#N/A</v>
      </c>
      <c r="W783" t="str" cm="1">
        <f t="array" aca="1" ref="W783" ca="1">IFERROR(INDIRECT("$U"&amp;V783),"")</f>
        <v/>
      </c>
      <c r="Z783" t="e" cm="1">
        <f t="array" ref="Z783">INDEX($AE$2:$AS$40,MOD(ROW()-ROW($AE$2),ROWS($AE$2:$AS$40))+1,INT((ROW()-ROW($AE$2))/ROWS($AE$2:$AS$40))+1)</f>
        <v>#REF!</v>
      </c>
      <c r="AA783" t="e">
        <f t="shared" ca="1" si="90"/>
        <v>#N/A</v>
      </c>
      <c r="AB783" t="str" cm="1">
        <f t="array" aca="1" ref="AB783" ca="1">IFERROR(INDIRECT("$Z"&amp;AA783),"")</f>
        <v/>
      </c>
      <c r="AP783" t="str">
        <f t="shared" si="84"/>
        <v/>
      </c>
      <c r="AQ783" t="str">
        <f t="shared" si="85"/>
        <v/>
      </c>
      <c r="AR783" t="str">
        <f t="shared" si="86"/>
        <v/>
      </c>
      <c r="AS783" t="str">
        <f t="shared" si="87"/>
        <v/>
      </c>
    </row>
    <row r="784" spans="5:45" x14ac:dyDescent="0.25">
      <c r="E784" t="str">
        <f ca="1"/>
        <v/>
      </c>
      <c r="F784" t="str">
        <f ca="1"/>
        <v/>
      </c>
      <c r="P784" t="e" cm="1">
        <f t="array" ref="P784">INDEX($B$2:$D$40,MOD(ROW()-ROW($B$2),ROWS($B$2:$D$40))+1,INT((ROW()-ROW($B$2))/ROWS($B$2:$D$40))+1)</f>
        <v>#REF!</v>
      </c>
      <c r="Q784" t="e">
        <f t="shared" ca="1" si="88"/>
        <v>#N/A</v>
      </c>
      <c r="R784" t="str" cm="1">
        <f t="array" aca="1" ref="R784" ca="1">IFERROR(INDIRECT("$P"&amp;Q784),"")</f>
        <v/>
      </c>
      <c r="U784" t="e" cm="1">
        <f t="array" ref="U784">INDEX($C$2:$D$40,MOD(ROW()-ROW($C$2),ROWS($C$2:$D$40))+1,INT((ROW()-ROW($C$2))/ROWS($C$2:$D$40))+1)</f>
        <v>#REF!</v>
      </c>
      <c r="V784" t="e">
        <f t="shared" ca="1" si="89"/>
        <v>#N/A</v>
      </c>
      <c r="W784" t="str" cm="1">
        <f t="array" aca="1" ref="W784" ca="1">IFERROR(INDIRECT("$U"&amp;V784),"")</f>
        <v/>
      </c>
      <c r="Z784" t="e" cm="1">
        <f t="array" ref="Z784">INDEX($AE$2:$AS$40,MOD(ROW()-ROW($AE$2),ROWS($AE$2:$AS$40))+1,INT((ROW()-ROW($AE$2))/ROWS($AE$2:$AS$40))+1)</f>
        <v>#REF!</v>
      </c>
      <c r="AA784" t="e">
        <f t="shared" ca="1" si="90"/>
        <v>#N/A</v>
      </c>
      <c r="AB784" t="str" cm="1">
        <f t="array" aca="1" ref="AB784" ca="1">IFERROR(INDIRECT("$Z"&amp;AA784),"")</f>
        <v/>
      </c>
      <c r="AP784" t="str">
        <f t="shared" si="84"/>
        <v/>
      </c>
      <c r="AQ784" t="str">
        <f t="shared" si="85"/>
        <v/>
      </c>
      <c r="AR784" t="str">
        <f t="shared" si="86"/>
        <v/>
      </c>
      <c r="AS784" t="str">
        <f t="shared" si="87"/>
        <v/>
      </c>
    </row>
    <row r="785" spans="5:45" x14ac:dyDescent="0.25">
      <c r="E785" t="str">
        <f ca="1"/>
        <v/>
      </c>
      <c r="F785" t="str">
        <f ca="1"/>
        <v/>
      </c>
      <c r="P785" t="e" cm="1">
        <f t="array" ref="P785">INDEX($B$2:$D$40,MOD(ROW()-ROW($B$2),ROWS($B$2:$D$40))+1,INT((ROW()-ROW($B$2))/ROWS($B$2:$D$40))+1)</f>
        <v>#REF!</v>
      </c>
      <c r="Q785" t="e">
        <f t="shared" ca="1" si="88"/>
        <v>#N/A</v>
      </c>
      <c r="R785" t="str" cm="1">
        <f t="array" aca="1" ref="R785" ca="1">IFERROR(INDIRECT("$P"&amp;Q785),"")</f>
        <v/>
      </c>
      <c r="U785" t="e" cm="1">
        <f t="array" ref="U785">INDEX($C$2:$D$40,MOD(ROW()-ROW($C$2),ROWS($C$2:$D$40))+1,INT((ROW()-ROW($C$2))/ROWS($C$2:$D$40))+1)</f>
        <v>#REF!</v>
      </c>
      <c r="V785" t="e">
        <f t="shared" ca="1" si="89"/>
        <v>#N/A</v>
      </c>
      <c r="W785" t="str" cm="1">
        <f t="array" aca="1" ref="W785" ca="1">IFERROR(INDIRECT("$U"&amp;V785),"")</f>
        <v/>
      </c>
      <c r="Z785" t="e" cm="1">
        <f t="array" ref="Z785">INDEX($AE$2:$AS$40,MOD(ROW()-ROW($AE$2),ROWS($AE$2:$AS$40))+1,INT((ROW()-ROW($AE$2))/ROWS($AE$2:$AS$40))+1)</f>
        <v>#REF!</v>
      </c>
      <c r="AA785" t="e">
        <f t="shared" ca="1" si="90"/>
        <v>#N/A</v>
      </c>
      <c r="AB785" t="str" cm="1">
        <f t="array" aca="1" ref="AB785" ca="1">IFERROR(INDIRECT("$Z"&amp;AA785),"")</f>
        <v/>
      </c>
      <c r="AP785" t="str">
        <f t="shared" si="84"/>
        <v/>
      </c>
      <c r="AQ785" t="str">
        <f t="shared" si="85"/>
        <v/>
      </c>
      <c r="AR785" t="str">
        <f t="shared" si="86"/>
        <v/>
      </c>
      <c r="AS785" t="str">
        <f t="shared" si="87"/>
        <v/>
      </c>
    </row>
    <row r="786" spans="5:45" x14ac:dyDescent="0.25">
      <c r="E786" t="str">
        <f ca="1"/>
        <v/>
      </c>
      <c r="F786" t="str">
        <f ca="1"/>
        <v/>
      </c>
      <c r="P786" t="e" cm="1">
        <f t="array" ref="P786">INDEX($B$2:$D$40,MOD(ROW()-ROW($B$2),ROWS($B$2:$D$40))+1,INT((ROW()-ROW($B$2))/ROWS($B$2:$D$40))+1)</f>
        <v>#REF!</v>
      </c>
      <c r="Q786" t="e">
        <f t="shared" ca="1" si="88"/>
        <v>#N/A</v>
      </c>
      <c r="R786" t="str" cm="1">
        <f t="array" aca="1" ref="R786" ca="1">IFERROR(INDIRECT("$P"&amp;Q786),"")</f>
        <v/>
      </c>
      <c r="U786" t="e" cm="1">
        <f t="array" ref="U786">INDEX($C$2:$D$40,MOD(ROW()-ROW($C$2),ROWS($C$2:$D$40))+1,INT((ROW()-ROW($C$2))/ROWS($C$2:$D$40))+1)</f>
        <v>#REF!</v>
      </c>
      <c r="V786" t="e">
        <f t="shared" ca="1" si="89"/>
        <v>#N/A</v>
      </c>
      <c r="W786" t="str" cm="1">
        <f t="array" aca="1" ref="W786" ca="1">IFERROR(INDIRECT("$U"&amp;V786),"")</f>
        <v/>
      </c>
      <c r="Z786" t="e" cm="1">
        <f t="array" ref="Z786">INDEX($AE$2:$AS$40,MOD(ROW()-ROW($AE$2),ROWS($AE$2:$AS$40))+1,INT((ROW()-ROW($AE$2))/ROWS($AE$2:$AS$40))+1)</f>
        <v>#REF!</v>
      </c>
      <c r="AA786" t="e">
        <f t="shared" ca="1" si="90"/>
        <v>#N/A</v>
      </c>
      <c r="AB786" t="str" cm="1">
        <f t="array" aca="1" ref="AB786" ca="1">IFERROR(INDIRECT("$Z"&amp;AA786),"")</f>
        <v/>
      </c>
      <c r="AP786" t="str">
        <f t="shared" si="84"/>
        <v/>
      </c>
      <c r="AQ786" t="str">
        <f t="shared" si="85"/>
        <v/>
      </c>
      <c r="AR786" t="str">
        <f t="shared" si="86"/>
        <v/>
      </c>
      <c r="AS786" t="str">
        <f t="shared" si="87"/>
        <v/>
      </c>
    </row>
    <row r="787" spans="5:45" x14ac:dyDescent="0.25">
      <c r="E787" t="str">
        <f ca="1"/>
        <v/>
      </c>
      <c r="F787" t="str">
        <f ca="1"/>
        <v/>
      </c>
      <c r="P787" t="e" cm="1">
        <f t="array" ref="P787">INDEX($B$2:$D$40,MOD(ROW()-ROW($B$2),ROWS($B$2:$D$40))+1,INT((ROW()-ROW($B$2))/ROWS($B$2:$D$40))+1)</f>
        <v>#REF!</v>
      </c>
      <c r="Q787" t="e">
        <f t="shared" ca="1" si="88"/>
        <v>#N/A</v>
      </c>
      <c r="R787" t="str" cm="1">
        <f t="array" aca="1" ref="R787" ca="1">IFERROR(INDIRECT("$P"&amp;Q787),"")</f>
        <v/>
      </c>
      <c r="U787" t="e" cm="1">
        <f t="array" ref="U787">INDEX($C$2:$D$40,MOD(ROW()-ROW($C$2),ROWS($C$2:$D$40))+1,INT((ROW()-ROW($C$2))/ROWS($C$2:$D$40))+1)</f>
        <v>#REF!</v>
      </c>
      <c r="V787" t="e">
        <f t="shared" ca="1" si="89"/>
        <v>#N/A</v>
      </c>
      <c r="W787" t="str" cm="1">
        <f t="array" aca="1" ref="W787" ca="1">IFERROR(INDIRECT("$U"&amp;V787),"")</f>
        <v/>
      </c>
      <c r="Z787" t="e" cm="1">
        <f t="array" ref="Z787">INDEX($AE$2:$AS$40,MOD(ROW()-ROW($AE$2),ROWS($AE$2:$AS$40))+1,INT((ROW()-ROW($AE$2))/ROWS($AE$2:$AS$40))+1)</f>
        <v>#REF!</v>
      </c>
      <c r="AA787" t="e">
        <f t="shared" ca="1" si="90"/>
        <v>#N/A</v>
      </c>
      <c r="AB787" t="str" cm="1">
        <f t="array" aca="1" ref="AB787" ca="1">IFERROR(INDIRECT("$Z"&amp;AA787),"")</f>
        <v/>
      </c>
      <c r="AP787" t="str">
        <f t="shared" si="84"/>
        <v/>
      </c>
      <c r="AQ787" t="str">
        <f t="shared" si="85"/>
        <v/>
      </c>
      <c r="AR787" t="str">
        <f t="shared" si="86"/>
        <v/>
      </c>
      <c r="AS787" t="str">
        <f t="shared" si="87"/>
        <v/>
      </c>
    </row>
    <row r="788" spans="5:45" x14ac:dyDescent="0.25">
      <c r="E788" t="str">
        <f ca="1"/>
        <v/>
      </c>
      <c r="F788" t="str">
        <f ca="1"/>
        <v/>
      </c>
      <c r="P788" t="e" cm="1">
        <f t="array" ref="P788">INDEX($B$2:$D$40,MOD(ROW()-ROW($B$2),ROWS($B$2:$D$40))+1,INT((ROW()-ROW($B$2))/ROWS($B$2:$D$40))+1)</f>
        <v>#REF!</v>
      </c>
      <c r="Q788" t="e">
        <f t="shared" ca="1" si="88"/>
        <v>#N/A</v>
      </c>
      <c r="R788" t="str" cm="1">
        <f t="array" aca="1" ref="R788" ca="1">IFERROR(INDIRECT("$P"&amp;Q788),"")</f>
        <v/>
      </c>
      <c r="U788" t="e" cm="1">
        <f t="array" ref="U788">INDEX($C$2:$D$40,MOD(ROW()-ROW($C$2),ROWS($C$2:$D$40))+1,INT((ROW()-ROW($C$2))/ROWS($C$2:$D$40))+1)</f>
        <v>#REF!</v>
      </c>
      <c r="V788" t="e">
        <f t="shared" ca="1" si="89"/>
        <v>#N/A</v>
      </c>
      <c r="W788" t="str" cm="1">
        <f t="array" aca="1" ref="W788" ca="1">IFERROR(INDIRECT("$U"&amp;V788),"")</f>
        <v/>
      </c>
      <c r="Z788" t="e" cm="1">
        <f t="array" ref="Z788">INDEX($AE$2:$AS$40,MOD(ROW()-ROW($AE$2),ROWS($AE$2:$AS$40))+1,INT((ROW()-ROW($AE$2))/ROWS($AE$2:$AS$40))+1)</f>
        <v>#REF!</v>
      </c>
      <c r="AA788" t="e">
        <f t="shared" ca="1" si="90"/>
        <v>#N/A</v>
      </c>
      <c r="AB788" t="str" cm="1">
        <f t="array" aca="1" ref="AB788" ca="1">IFERROR(INDIRECT("$Z"&amp;AA788),"")</f>
        <v/>
      </c>
      <c r="AP788" t="str">
        <f t="shared" si="84"/>
        <v/>
      </c>
      <c r="AQ788" t="str">
        <f t="shared" si="85"/>
        <v/>
      </c>
      <c r="AR788" t="str">
        <f t="shared" si="86"/>
        <v/>
      </c>
      <c r="AS788" t="str">
        <f t="shared" si="87"/>
        <v/>
      </c>
    </row>
    <row r="789" spans="5:45" x14ac:dyDescent="0.25">
      <c r="E789" t="str">
        <f ca="1"/>
        <v/>
      </c>
      <c r="F789" t="str">
        <f ca="1"/>
        <v/>
      </c>
      <c r="P789" t="e" cm="1">
        <f t="array" ref="P789">INDEX($B$2:$D$40,MOD(ROW()-ROW($B$2),ROWS($B$2:$D$40))+1,INT((ROW()-ROW($B$2))/ROWS($B$2:$D$40))+1)</f>
        <v>#REF!</v>
      </c>
      <c r="Q789" t="e">
        <f t="shared" ca="1" si="88"/>
        <v>#N/A</v>
      </c>
      <c r="R789" t="str" cm="1">
        <f t="array" aca="1" ref="R789" ca="1">IFERROR(INDIRECT("$P"&amp;Q789),"")</f>
        <v/>
      </c>
      <c r="U789" t="e" cm="1">
        <f t="array" ref="U789">INDEX($C$2:$D$40,MOD(ROW()-ROW($C$2),ROWS($C$2:$D$40))+1,INT((ROW()-ROW($C$2))/ROWS($C$2:$D$40))+1)</f>
        <v>#REF!</v>
      </c>
      <c r="V789" t="e">
        <f t="shared" ca="1" si="89"/>
        <v>#N/A</v>
      </c>
      <c r="W789" t="str" cm="1">
        <f t="array" aca="1" ref="W789" ca="1">IFERROR(INDIRECT("$U"&amp;V789),"")</f>
        <v/>
      </c>
      <c r="Z789" t="e" cm="1">
        <f t="array" ref="Z789">INDEX($AE$2:$AS$40,MOD(ROW()-ROW($AE$2),ROWS($AE$2:$AS$40))+1,INT((ROW()-ROW($AE$2))/ROWS($AE$2:$AS$40))+1)</f>
        <v>#REF!</v>
      </c>
      <c r="AA789" t="e">
        <f t="shared" ca="1" si="90"/>
        <v>#N/A</v>
      </c>
      <c r="AB789" t="str" cm="1">
        <f t="array" aca="1" ref="AB789" ca="1">IFERROR(INDIRECT("$Z"&amp;AA789),"")</f>
        <v/>
      </c>
      <c r="AP789" t="str">
        <f t="shared" si="84"/>
        <v/>
      </c>
      <c r="AQ789" t="str">
        <f t="shared" si="85"/>
        <v/>
      </c>
      <c r="AR789" t="str">
        <f t="shared" si="86"/>
        <v/>
      </c>
      <c r="AS789" t="str">
        <f t="shared" si="87"/>
        <v/>
      </c>
    </row>
    <row r="790" spans="5:45" x14ac:dyDescent="0.25">
      <c r="E790" t="str">
        <f ca="1"/>
        <v/>
      </c>
      <c r="F790" t="str">
        <f ca="1"/>
        <v/>
      </c>
      <c r="P790" t="e" cm="1">
        <f t="array" ref="P790">INDEX($B$2:$D$40,MOD(ROW()-ROW($B$2),ROWS($B$2:$D$40))+1,INT((ROW()-ROW($B$2))/ROWS($B$2:$D$40))+1)</f>
        <v>#REF!</v>
      </c>
      <c r="Q790" t="e">
        <f t="shared" ca="1" si="88"/>
        <v>#N/A</v>
      </c>
      <c r="R790" t="str" cm="1">
        <f t="array" aca="1" ref="R790" ca="1">IFERROR(INDIRECT("$P"&amp;Q790),"")</f>
        <v/>
      </c>
      <c r="U790" t="e" cm="1">
        <f t="array" ref="U790">INDEX($C$2:$D$40,MOD(ROW()-ROW($C$2),ROWS($C$2:$D$40))+1,INT((ROW()-ROW($C$2))/ROWS($C$2:$D$40))+1)</f>
        <v>#REF!</v>
      </c>
      <c r="V790" t="e">
        <f t="shared" ca="1" si="89"/>
        <v>#N/A</v>
      </c>
      <c r="W790" t="str" cm="1">
        <f t="array" aca="1" ref="W790" ca="1">IFERROR(INDIRECT("$U"&amp;V790),"")</f>
        <v/>
      </c>
      <c r="Z790" t="e" cm="1">
        <f t="array" ref="Z790">INDEX($AE$2:$AS$40,MOD(ROW()-ROW($AE$2),ROWS($AE$2:$AS$40))+1,INT((ROW()-ROW($AE$2))/ROWS($AE$2:$AS$40))+1)</f>
        <v>#REF!</v>
      </c>
      <c r="AA790" t="e">
        <f t="shared" ca="1" si="90"/>
        <v>#N/A</v>
      </c>
      <c r="AB790" t="str" cm="1">
        <f t="array" aca="1" ref="AB790" ca="1">IFERROR(INDIRECT("$Z"&amp;AA790),"")</f>
        <v/>
      </c>
      <c r="AP790" t="str">
        <f t="shared" si="84"/>
        <v/>
      </c>
      <c r="AQ790" t="str">
        <f t="shared" si="85"/>
        <v/>
      </c>
      <c r="AR790" t="str">
        <f t="shared" si="86"/>
        <v/>
      </c>
      <c r="AS790" t="str">
        <f t="shared" si="87"/>
        <v/>
      </c>
    </row>
    <row r="791" spans="5:45" x14ac:dyDescent="0.25">
      <c r="E791" t="str">
        <f ca="1"/>
        <v/>
      </c>
      <c r="F791" t="str">
        <f ca="1"/>
        <v/>
      </c>
      <c r="P791" t="e" cm="1">
        <f t="array" ref="P791">INDEX($B$2:$D$40,MOD(ROW()-ROW($B$2),ROWS($B$2:$D$40))+1,INT((ROW()-ROW($B$2))/ROWS($B$2:$D$40))+1)</f>
        <v>#REF!</v>
      </c>
      <c r="Q791" t="e">
        <f t="shared" ca="1" si="88"/>
        <v>#N/A</v>
      </c>
      <c r="R791" t="str" cm="1">
        <f t="array" aca="1" ref="R791" ca="1">IFERROR(INDIRECT("$P"&amp;Q791),"")</f>
        <v/>
      </c>
      <c r="U791" t="e" cm="1">
        <f t="array" ref="U791">INDEX($C$2:$D$40,MOD(ROW()-ROW($C$2),ROWS($C$2:$D$40))+1,INT((ROW()-ROW($C$2))/ROWS($C$2:$D$40))+1)</f>
        <v>#REF!</v>
      </c>
      <c r="V791" t="e">
        <f t="shared" ca="1" si="89"/>
        <v>#N/A</v>
      </c>
      <c r="W791" t="str" cm="1">
        <f t="array" aca="1" ref="W791" ca="1">IFERROR(INDIRECT("$U"&amp;V791),"")</f>
        <v/>
      </c>
      <c r="Z791" t="e" cm="1">
        <f t="array" ref="Z791">INDEX($AE$2:$AS$40,MOD(ROW()-ROW($AE$2),ROWS($AE$2:$AS$40))+1,INT((ROW()-ROW($AE$2))/ROWS($AE$2:$AS$40))+1)</f>
        <v>#REF!</v>
      </c>
      <c r="AA791" t="e">
        <f t="shared" ca="1" si="90"/>
        <v>#N/A</v>
      </c>
      <c r="AB791" t="str" cm="1">
        <f t="array" aca="1" ref="AB791" ca="1">IFERROR(INDIRECT("$Z"&amp;AA791),"")</f>
        <v/>
      </c>
      <c r="AP791" t="str">
        <f t="shared" si="84"/>
        <v/>
      </c>
      <c r="AQ791" t="str">
        <f t="shared" si="85"/>
        <v/>
      </c>
      <c r="AR791" t="str">
        <f t="shared" si="86"/>
        <v/>
      </c>
      <c r="AS791" t="str">
        <f t="shared" si="87"/>
        <v/>
      </c>
    </row>
    <row r="792" spans="5:45" x14ac:dyDescent="0.25">
      <c r="E792" t="str">
        <f ca="1"/>
        <v/>
      </c>
      <c r="F792" t="str">
        <f ca="1"/>
        <v/>
      </c>
      <c r="P792" t="e" cm="1">
        <f t="array" ref="P792">INDEX($B$2:$D$40,MOD(ROW()-ROW($B$2),ROWS($B$2:$D$40))+1,INT((ROW()-ROW($B$2))/ROWS($B$2:$D$40))+1)</f>
        <v>#REF!</v>
      </c>
      <c r="Q792" t="e">
        <f t="shared" ca="1" si="88"/>
        <v>#N/A</v>
      </c>
      <c r="R792" t="str" cm="1">
        <f t="array" aca="1" ref="R792" ca="1">IFERROR(INDIRECT("$P"&amp;Q792),"")</f>
        <v/>
      </c>
      <c r="U792" t="e" cm="1">
        <f t="array" ref="U792">INDEX($C$2:$D$40,MOD(ROW()-ROW($C$2),ROWS($C$2:$D$40))+1,INT((ROW()-ROW($C$2))/ROWS($C$2:$D$40))+1)</f>
        <v>#REF!</v>
      </c>
      <c r="V792" t="e">
        <f t="shared" ca="1" si="89"/>
        <v>#N/A</v>
      </c>
      <c r="W792" t="str" cm="1">
        <f t="array" aca="1" ref="W792" ca="1">IFERROR(INDIRECT("$U"&amp;V792),"")</f>
        <v/>
      </c>
      <c r="Z792" t="e" cm="1">
        <f t="array" ref="Z792">INDEX($AE$2:$AS$40,MOD(ROW()-ROW($AE$2),ROWS($AE$2:$AS$40))+1,INT((ROW()-ROW($AE$2))/ROWS($AE$2:$AS$40))+1)</f>
        <v>#REF!</v>
      </c>
      <c r="AA792" t="e">
        <f t="shared" ca="1" si="90"/>
        <v>#N/A</v>
      </c>
      <c r="AB792" t="str" cm="1">
        <f t="array" aca="1" ref="AB792" ca="1">IFERROR(INDIRECT("$Z"&amp;AA792),"")</f>
        <v/>
      </c>
      <c r="AP792" t="str">
        <f t="shared" si="84"/>
        <v/>
      </c>
      <c r="AQ792" t="str">
        <f t="shared" si="85"/>
        <v/>
      </c>
      <c r="AR792" t="str">
        <f t="shared" si="86"/>
        <v/>
      </c>
      <c r="AS792" t="str">
        <f t="shared" si="87"/>
        <v/>
      </c>
    </row>
    <row r="793" spans="5:45" x14ac:dyDescent="0.25">
      <c r="E793" t="str">
        <f ca="1"/>
        <v/>
      </c>
      <c r="F793" t="str">
        <f ca="1"/>
        <v/>
      </c>
      <c r="P793" t="e" cm="1">
        <f t="array" ref="P793">INDEX($B$2:$D$40,MOD(ROW()-ROW($B$2),ROWS($B$2:$D$40))+1,INT((ROW()-ROW($B$2))/ROWS($B$2:$D$40))+1)</f>
        <v>#REF!</v>
      </c>
      <c r="Q793" t="e">
        <f t="shared" ca="1" si="88"/>
        <v>#N/A</v>
      </c>
      <c r="R793" t="str" cm="1">
        <f t="array" aca="1" ref="R793" ca="1">IFERROR(INDIRECT("$P"&amp;Q793),"")</f>
        <v/>
      </c>
      <c r="U793" t="e" cm="1">
        <f t="array" ref="U793">INDEX($C$2:$D$40,MOD(ROW()-ROW($C$2),ROWS($C$2:$D$40))+1,INT((ROW()-ROW($C$2))/ROWS($C$2:$D$40))+1)</f>
        <v>#REF!</v>
      </c>
      <c r="V793" t="e">
        <f t="shared" ca="1" si="89"/>
        <v>#N/A</v>
      </c>
      <c r="W793" t="str" cm="1">
        <f t="array" aca="1" ref="W793" ca="1">IFERROR(INDIRECT("$U"&amp;V793),"")</f>
        <v/>
      </c>
      <c r="Z793" t="e" cm="1">
        <f t="array" ref="Z793">INDEX($AE$2:$AS$40,MOD(ROW()-ROW($AE$2),ROWS($AE$2:$AS$40))+1,INT((ROW()-ROW($AE$2))/ROWS($AE$2:$AS$40))+1)</f>
        <v>#REF!</v>
      </c>
      <c r="AA793" t="e">
        <f t="shared" ca="1" si="90"/>
        <v>#N/A</v>
      </c>
      <c r="AB793" t="str" cm="1">
        <f t="array" aca="1" ref="AB793" ca="1">IFERROR(INDIRECT("$Z"&amp;AA793),"")</f>
        <v/>
      </c>
      <c r="AP793" t="str">
        <f t="shared" si="84"/>
        <v/>
      </c>
      <c r="AQ793" t="str">
        <f t="shared" si="85"/>
        <v/>
      </c>
      <c r="AR793" t="str">
        <f t="shared" si="86"/>
        <v/>
      </c>
      <c r="AS793" t="str">
        <f t="shared" si="87"/>
        <v/>
      </c>
    </row>
    <row r="794" spans="5:45" x14ac:dyDescent="0.25">
      <c r="E794" t="str">
        <f ca="1"/>
        <v/>
      </c>
      <c r="F794" t="str">
        <f ca="1"/>
        <v/>
      </c>
      <c r="P794" t="e" cm="1">
        <f t="array" ref="P794">INDEX($B$2:$D$40,MOD(ROW()-ROW($B$2),ROWS($B$2:$D$40))+1,INT((ROW()-ROW($B$2))/ROWS($B$2:$D$40))+1)</f>
        <v>#REF!</v>
      </c>
      <c r="Q794" t="e">
        <f t="shared" ca="1" si="88"/>
        <v>#N/A</v>
      </c>
      <c r="R794" t="str" cm="1">
        <f t="array" aca="1" ref="R794" ca="1">IFERROR(INDIRECT("$P"&amp;Q794),"")</f>
        <v/>
      </c>
      <c r="U794" t="e" cm="1">
        <f t="array" ref="U794">INDEX($C$2:$D$40,MOD(ROW()-ROW($C$2),ROWS($C$2:$D$40))+1,INT((ROW()-ROW($C$2))/ROWS($C$2:$D$40))+1)</f>
        <v>#REF!</v>
      </c>
      <c r="V794" t="e">
        <f t="shared" ca="1" si="89"/>
        <v>#N/A</v>
      </c>
      <c r="W794" t="str" cm="1">
        <f t="array" aca="1" ref="W794" ca="1">IFERROR(INDIRECT("$U"&amp;V794),"")</f>
        <v/>
      </c>
      <c r="Z794" t="e" cm="1">
        <f t="array" ref="Z794">INDEX($AE$2:$AS$40,MOD(ROW()-ROW($AE$2),ROWS($AE$2:$AS$40))+1,INT((ROW()-ROW($AE$2))/ROWS($AE$2:$AS$40))+1)</f>
        <v>#REF!</v>
      </c>
      <c r="AA794" t="e">
        <f t="shared" ca="1" si="90"/>
        <v>#N/A</v>
      </c>
      <c r="AB794" t="str" cm="1">
        <f t="array" aca="1" ref="AB794" ca="1">IFERROR(INDIRECT("$Z"&amp;AA794),"")</f>
        <v/>
      </c>
      <c r="AP794" t="str">
        <f t="shared" si="84"/>
        <v/>
      </c>
      <c r="AQ794" t="str">
        <f t="shared" si="85"/>
        <v/>
      </c>
      <c r="AR794" t="str">
        <f t="shared" si="86"/>
        <v/>
      </c>
      <c r="AS794" t="str">
        <f t="shared" si="87"/>
        <v/>
      </c>
    </row>
    <row r="795" spans="5:45" x14ac:dyDescent="0.25">
      <c r="E795" t="str">
        <f ca="1"/>
        <v/>
      </c>
      <c r="F795" t="str">
        <f ca="1"/>
        <v/>
      </c>
      <c r="P795" t="e" cm="1">
        <f t="array" ref="P795">INDEX($B$2:$D$40,MOD(ROW()-ROW($B$2),ROWS($B$2:$D$40))+1,INT((ROW()-ROW($B$2))/ROWS($B$2:$D$40))+1)</f>
        <v>#REF!</v>
      </c>
      <c r="Q795" t="e">
        <f t="shared" ca="1" si="88"/>
        <v>#N/A</v>
      </c>
      <c r="R795" t="str" cm="1">
        <f t="array" aca="1" ref="R795" ca="1">IFERROR(INDIRECT("$P"&amp;Q795),"")</f>
        <v/>
      </c>
      <c r="U795" t="e" cm="1">
        <f t="array" ref="U795">INDEX($C$2:$D$40,MOD(ROW()-ROW($C$2),ROWS($C$2:$D$40))+1,INT((ROW()-ROW($C$2))/ROWS($C$2:$D$40))+1)</f>
        <v>#REF!</v>
      </c>
      <c r="V795" t="e">
        <f t="shared" ca="1" si="89"/>
        <v>#N/A</v>
      </c>
      <c r="W795" t="str" cm="1">
        <f t="array" aca="1" ref="W795" ca="1">IFERROR(INDIRECT("$U"&amp;V795),"")</f>
        <v/>
      </c>
      <c r="Z795" t="e" cm="1">
        <f t="array" ref="Z795">INDEX($AE$2:$AS$40,MOD(ROW()-ROW($AE$2),ROWS($AE$2:$AS$40))+1,INT((ROW()-ROW($AE$2))/ROWS($AE$2:$AS$40))+1)</f>
        <v>#REF!</v>
      </c>
      <c r="AA795" t="e">
        <f t="shared" ca="1" si="90"/>
        <v>#N/A</v>
      </c>
      <c r="AB795" t="str" cm="1">
        <f t="array" aca="1" ref="AB795" ca="1">IFERROR(INDIRECT("$Z"&amp;AA795),"")</f>
        <v/>
      </c>
      <c r="AP795" t="str">
        <f t="shared" si="84"/>
        <v/>
      </c>
      <c r="AQ795" t="str">
        <f t="shared" si="85"/>
        <v/>
      </c>
      <c r="AR795" t="str">
        <f t="shared" si="86"/>
        <v/>
      </c>
      <c r="AS795" t="str">
        <f t="shared" si="87"/>
        <v/>
      </c>
    </row>
    <row r="796" spans="5:45" x14ac:dyDescent="0.25">
      <c r="E796" t="str">
        <f ca="1"/>
        <v/>
      </c>
      <c r="F796" t="str">
        <f ca="1"/>
        <v/>
      </c>
      <c r="P796" t="e" cm="1">
        <f t="array" ref="P796">INDEX($B$2:$D$40,MOD(ROW()-ROW($B$2),ROWS($B$2:$D$40))+1,INT((ROW()-ROW($B$2))/ROWS($B$2:$D$40))+1)</f>
        <v>#REF!</v>
      </c>
      <c r="Q796" t="e">
        <f t="shared" ca="1" si="88"/>
        <v>#N/A</v>
      </c>
      <c r="R796" t="str" cm="1">
        <f t="array" aca="1" ref="R796" ca="1">IFERROR(INDIRECT("$P"&amp;Q796),"")</f>
        <v/>
      </c>
      <c r="U796" t="e" cm="1">
        <f t="array" ref="U796">INDEX($C$2:$D$40,MOD(ROW()-ROW($C$2),ROWS($C$2:$D$40))+1,INT((ROW()-ROW($C$2))/ROWS($C$2:$D$40))+1)</f>
        <v>#REF!</v>
      </c>
      <c r="V796" t="e">
        <f t="shared" ca="1" si="89"/>
        <v>#N/A</v>
      </c>
      <c r="W796" t="str" cm="1">
        <f t="array" aca="1" ref="W796" ca="1">IFERROR(INDIRECT("$U"&amp;V796),"")</f>
        <v/>
      </c>
      <c r="Z796" t="e" cm="1">
        <f t="array" ref="Z796">INDEX($AE$2:$AS$40,MOD(ROW()-ROW($AE$2),ROWS($AE$2:$AS$40))+1,INT((ROW()-ROW($AE$2))/ROWS($AE$2:$AS$40))+1)</f>
        <v>#REF!</v>
      </c>
      <c r="AA796" t="e">
        <f t="shared" ca="1" si="90"/>
        <v>#N/A</v>
      </c>
      <c r="AB796" t="str" cm="1">
        <f t="array" aca="1" ref="AB796" ca="1">IFERROR(INDIRECT("$Z"&amp;AA796),"")</f>
        <v/>
      </c>
      <c r="AP796" t="str">
        <f t="shared" si="84"/>
        <v/>
      </c>
      <c r="AQ796" t="str">
        <f t="shared" si="85"/>
        <v/>
      </c>
      <c r="AR796" t="str">
        <f t="shared" si="86"/>
        <v/>
      </c>
      <c r="AS796" t="str">
        <f t="shared" si="87"/>
        <v/>
      </c>
    </row>
    <row r="797" spans="5:45" x14ac:dyDescent="0.25">
      <c r="E797" t="str">
        <f ca="1"/>
        <v/>
      </c>
      <c r="F797" t="str">
        <f ca="1"/>
        <v/>
      </c>
      <c r="P797" t="e" cm="1">
        <f t="array" ref="P797">INDEX($B$2:$D$40,MOD(ROW()-ROW($B$2),ROWS($B$2:$D$40))+1,INT((ROW()-ROW($B$2))/ROWS($B$2:$D$40))+1)</f>
        <v>#REF!</v>
      </c>
      <c r="Q797" t="e">
        <f t="shared" ca="1" si="88"/>
        <v>#N/A</v>
      </c>
      <c r="R797" t="str" cm="1">
        <f t="array" aca="1" ref="R797" ca="1">IFERROR(INDIRECT("$P"&amp;Q797),"")</f>
        <v/>
      </c>
      <c r="U797" t="e" cm="1">
        <f t="array" ref="U797">INDEX($C$2:$D$40,MOD(ROW()-ROW($C$2),ROWS($C$2:$D$40))+1,INT((ROW()-ROW($C$2))/ROWS($C$2:$D$40))+1)</f>
        <v>#REF!</v>
      </c>
      <c r="V797" t="e">
        <f t="shared" ca="1" si="89"/>
        <v>#N/A</v>
      </c>
      <c r="W797" t="str" cm="1">
        <f t="array" aca="1" ref="W797" ca="1">IFERROR(INDIRECT("$U"&amp;V797),"")</f>
        <v/>
      </c>
      <c r="Z797" t="e" cm="1">
        <f t="array" ref="Z797">INDEX($AE$2:$AS$40,MOD(ROW()-ROW($AE$2),ROWS($AE$2:$AS$40))+1,INT((ROW()-ROW($AE$2))/ROWS($AE$2:$AS$40))+1)</f>
        <v>#REF!</v>
      </c>
      <c r="AA797" t="e">
        <f t="shared" ca="1" si="90"/>
        <v>#N/A</v>
      </c>
      <c r="AB797" t="str" cm="1">
        <f t="array" aca="1" ref="AB797" ca="1">IFERROR(INDIRECT("$Z"&amp;AA797),"")</f>
        <v/>
      </c>
      <c r="AP797" t="str">
        <f t="shared" si="84"/>
        <v/>
      </c>
      <c r="AQ797" t="str">
        <f t="shared" si="85"/>
        <v/>
      </c>
      <c r="AR797" t="str">
        <f t="shared" si="86"/>
        <v/>
      </c>
      <c r="AS797" t="str">
        <f t="shared" si="87"/>
        <v/>
      </c>
    </row>
    <row r="798" spans="5:45" x14ac:dyDescent="0.25">
      <c r="E798" t="str">
        <f ca="1"/>
        <v/>
      </c>
      <c r="F798" t="str">
        <f ca="1"/>
        <v/>
      </c>
      <c r="P798" t="e" cm="1">
        <f t="array" ref="P798">INDEX($B$2:$D$40,MOD(ROW()-ROW($B$2),ROWS($B$2:$D$40))+1,INT((ROW()-ROW($B$2))/ROWS($B$2:$D$40))+1)</f>
        <v>#REF!</v>
      </c>
      <c r="Q798" t="e">
        <f t="shared" ca="1" si="88"/>
        <v>#N/A</v>
      </c>
      <c r="R798" t="str" cm="1">
        <f t="array" aca="1" ref="R798" ca="1">IFERROR(INDIRECT("$P"&amp;Q798),"")</f>
        <v/>
      </c>
      <c r="U798" t="e" cm="1">
        <f t="array" ref="U798">INDEX($C$2:$D$40,MOD(ROW()-ROW($C$2),ROWS($C$2:$D$40))+1,INT((ROW()-ROW($C$2))/ROWS($C$2:$D$40))+1)</f>
        <v>#REF!</v>
      </c>
      <c r="V798" t="e">
        <f t="shared" ca="1" si="89"/>
        <v>#N/A</v>
      </c>
      <c r="W798" t="str" cm="1">
        <f t="array" aca="1" ref="W798" ca="1">IFERROR(INDIRECT("$U"&amp;V798),"")</f>
        <v/>
      </c>
      <c r="Z798" t="e" cm="1">
        <f t="array" ref="Z798">INDEX($AE$2:$AS$40,MOD(ROW()-ROW($AE$2),ROWS($AE$2:$AS$40))+1,INT((ROW()-ROW($AE$2))/ROWS($AE$2:$AS$40))+1)</f>
        <v>#REF!</v>
      </c>
      <c r="AA798" t="e">
        <f t="shared" ca="1" si="90"/>
        <v>#N/A</v>
      </c>
      <c r="AB798" t="str" cm="1">
        <f t="array" aca="1" ref="AB798" ca="1">IFERROR(INDIRECT("$Z"&amp;AA798),"")</f>
        <v/>
      </c>
      <c r="AP798" t="str">
        <f t="shared" si="84"/>
        <v/>
      </c>
      <c r="AQ798" t="str">
        <f t="shared" si="85"/>
        <v/>
      </c>
      <c r="AR798" t="str">
        <f t="shared" si="86"/>
        <v/>
      </c>
      <c r="AS798" t="str">
        <f t="shared" si="87"/>
        <v/>
      </c>
    </row>
    <row r="799" spans="5:45" x14ac:dyDescent="0.25">
      <c r="E799" t="str">
        <f ca="1"/>
        <v/>
      </c>
      <c r="F799" t="str">
        <f ca="1"/>
        <v/>
      </c>
      <c r="P799" t="e" cm="1">
        <f t="array" ref="P799">INDEX($B$2:$D$40,MOD(ROW()-ROW($B$2),ROWS($B$2:$D$40))+1,INT((ROW()-ROW($B$2))/ROWS($B$2:$D$40))+1)</f>
        <v>#REF!</v>
      </c>
      <c r="Q799" t="e">
        <f t="shared" ca="1" si="88"/>
        <v>#N/A</v>
      </c>
      <c r="R799" t="str" cm="1">
        <f t="array" aca="1" ref="R799" ca="1">IFERROR(INDIRECT("$P"&amp;Q799),"")</f>
        <v/>
      </c>
      <c r="U799" t="e" cm="1">
        <f t="array" ref="U799">INDEX($C$2:$D$40,MOD(ROW()-ROW($C$2),ROWS($C$2:$D$40))+1,INT((ROW()-ROW($C$2))/ROWS($C$2:$D$40))+1)</f>
        <v>#REF!</v>
      </c>
      <c r="V799" t="e">
        <f t="shared" ca="1" si="89"/>
        <v>#N/A</v>
      </c>
      <c r="W799" t="str" cm="1">
        <f t="array" aca="1" ref="W799" ca="1">IFERROR(INDIRECT("$U"&amp;V799),"")</f>
        <v/>
      </c>
      <c r="Z799" t="e" cm="1">
        <f t="array" ref="Z799">INDEX($AE$2:$AS$40,MOD(ROW()-ROW($AE$2),ROWS($AE$2:$AS$40))+1,INT((ROW()-ROW($AE$2))/ROWS($AE$2:$AS$40))+1)</f>
        <v>#REF!</v>
      </c>
      <c r="AA799" t="e">
        <f t="shared" ca="1" si="90"/>
        <v>#N/A</v>
      </c>
      <c r="AB799" t="str" cm="1">
        <f t="array" aca="1" ref="AB799" ca="1">IFERROR(INDIRECT("$Z"&amp;AA799),"")</f>
        <v/>
      </c>
      <c r="AP799" t="str">
        <f t="shared" si="84"/>
        <v/>
      </c>
      <c r="AQ799" t="str">
        <f t="shared" si="85"/>
        <v/>
      </c>
      <c r="AR799" t="str">
        <f t="shared" si="86"/>
        <v/>
      </c>
      <c r="AS799" t="str">
        <f t="shared" si="87"/>
        <v/>
      </c>
    </row>
    <row r="800" spans="5:45" x14ac:dyDescent="0.25">
      <c r="E800" t="str">
        <f ca="1"/>
        <v/>
      </c>
      <c r="F800" t="str">
        <f ca="1"/>
        <v/>
      </c>
      <c r="P800" t="e" cm="1">
        <f t="array" ref="P800">INDEX($B$2:$D$40,MOD(ROW()-ROW($B$2),ROWS($B$2:$D$40))+1,INT((ROW()-ROW($B$2))/ROWS($B$2:$D$40))+1)</f>
        <v>#REF!</v>
      </c>
      <c r="Q800" t="e">
        <f t="shared" ca="1" si="88"/>
        <v>#N/A</v>
      </c>
      <c r="R800" t="str" cm="1">
        <f t="array" aca="1" ref="R800" ca="1">IFERROR(INDIRECT("$P"&amp;Q800),"")</f>
        <v/>
      </c>
      <c r="U800" t="e" cm="1">
        <f t="array" ref="U800">INDEX($C$2:$D$40,MOD(ROW()-ROW($C$2),ROWS($C$2:$D$40))+1,INT((ROW()-ROW($C$2))/ROWS($C$2:$D$40))+1)</f>
        <v>#REF!</v>
      </c>
      <c r="V800" t="e">
        <f t="shared" ca="1" si="89"/>
        <v>#N/A</v>
      </c>
      <c r="W800" t="str" cm="1">
        <f t="array" aca="1" ref="W800" ca="1">IFERROR(INDIRECT("$U"&amp;V800),"")</f>
        <v/>
      </c>
      <c r="Z800" t="e" cm="1">
        <f t="array" ref="Z800">INDEX($AE$2:$AS$40,MOD(ROW()-ROW($AE$2),ROWS($AE$2:$AS$40))+1,INT((ROW()-ROW($AE$2))/ROWS($AE$2:$AS$40))+1)</f>
        <v>#REF!</v>
      </c>
      <c r="AA800" t="e">
        <f t="shared" ca="1" si="90"/>
        <v>#N/A</v>
      </c>
      <c r="AB800" t="str" cm="1">
        <f t="array" aca="1" ref="AB800" ca="1">IFERROR(INDIRECT("$Z"&amp;AA800),"")</f>
        <v/>
      </c>
      <c r="AP800" t="str">
        <f t="shared" si="84"/>
        <v/>
      </c>
      <c r="AQ800" t="str">
        <f t="shared" si="85"/>
        <v/>
      </c>
      <c r="AR800" t="str">
        <f t="shared" si="86"/>
        <v/>
      </c>
      <c r="AS800" t="str">
        <f t="shared" si="87"/>
        <v/>
      </c>
    </row>
    <row r="801" spans="5:45" x14ac:dyDescent="0.25">
      <c r="E801" t="str">
        <f ca="1"/>
        <v/>
      </c>
      <c r="F801" t="str">
        <f ca="1"/>
        <v/>
      </c>
      <c r="P801" t="e" cm="1">
        <f t="array" ref="P801">INDEX($B$2:$D$40,MOD(ROW()-ROW($B$2),ROWS($B$2:$D$40))+1,INT((ROW()-ROW($B$2))/ROWS($B$2:$D$40))+1)</f>
        <v>#REF!</v>
      </c>
      <c r="Q801" t="e">
        <f t="shared" ca="1" si="88"/>
        <v>#N/A</v>
      </c>
      <c r="R801" t="str" cm="1">
        <f t="array" aca="1" ref="R801" ca="1">IFERROR(INDIRECT("$P"&amp;Q801),"")</f>
        <v/>
      </c>
      <c r="U801" t="e" cm="1">
        <f t="array" ref="U801">INDEX($C$2:$D$40,MOD(ROW()-ROW($C$2),ROWS($C$2:$D$40))+1,INT((ROW()-ROW($C$2))/ROWS($C$2:$D$40))+1)</f>
        <v>#REF!</v>
      </c>
      <c r="V801" t="e">
        <f t="shared" ca="1" si="89"/>
        <v>#N/A</v>
      </c>
      <c r="W801" t="str" cm="1">
        <f t="array" aca="1" ref="W801" ca="1">IFERROR(INDIRECT("$U"&amp;V801),"")</f>
        <v/>
      </c>
      <c r="Z801" t="e" cm="1">
        <f t="array" ref="Z801">INDEX($AE$2:$AS$40,MOD(ROW()-ROW($AE$2),ROWS($AE$2:$AS$40))+1,INT((ROW()-ROW($AE$2))/ROWS($AE$2:$AS$40))+1)</f>
        <v>#REF!</v>
      </c>
      <c r="AA801" t="e">
        <f t="shared" ca="1" si="90"/>
        <v>#N/A</v>
      </c>
      <c r="AB801" t="str" cm="1">
        <f t="array" aca="1" ref="AB801" ca="1">IFERROR(INDIRECT("$Z"&amp;AA801),"")</f>
        <v/>
      </c>
      <c r="AP801" t="str">
        <f t="shared" si="84"/>
        <v/>
      </c>
      <c r="AQ801" t="str">
        <f t="shared" si="85"/>
        <v/>
      </c>
      <c r="AR801" t="str">
        <f t="shared" si="86"/>
        <v/>
      </c>
      <c r="AS801" t="str">
        <f t="shared" si="87"/>
        <v/>
      </c>
    </row>
    <row r="802" spans="5:45" x14ac:dyDescent="0.25">
      <c r="E802" t="str">
        <f ca="1"/>
        <v/>
      </c>
      <c r="F802" t="str">
        <f ca="1"/>
        <v/>
      </c>
      <c r="P802" t="e" cm="1">
        <f t="array" ref="P802">INDEX($B$2:$D$40,MOD(ROW()-ROW($B$2),ROWS($B$2:$D$40))+1,INT((ROW()-ROW($B$2))/ROWS($B$2:$D$40))+1)</f>
        <v>#REF!</v>
      </c>
      <c r="Q802" t="e">
        <f t="shared" ca="1" si="88"/>
        <v>#N/A</v>
      </c>
      <c r="R802" t="str" cm="1">
        <f t="array" aca="1" ref="R802" ca="1">IFERROR(INDIRECT("$P"&amp;Q802),"")</f>
        <v/>
      </c>
      <c r="U802" t="e" cm="1">
        <f t="array" ref="U802">INDEX($C$2:$D$40,MOD(ROW()-ROW($C$2),ROWS($C$2:$D$40))+1,INT((ROW()-ROW($C$2))/ROWS($C$2:$D$40))+1)</f>
        <v>#REF!</v>
      </c>
      <c r="V802" t="e">
        <f t="shared" ca="1" si="89"/>
        <v>#N/A</v>
      </c>
      <c r="W802" t="str" cm="1">
        <f t="array" aca="1" ref="W802" ca="1">IFERROR(INDIRECT("$U"&amp;V802),"")</f>
        <v/>
      </c>
      <c r="Z802" t="e" cm="1">
        <f t="array" ref="Z802">INDEX($AE$2:$AS$40,MOD(ROW()-ROW($AE$2),ROWS($AE$2:$AS$40))+1,INT((ROW()-ROW($AE$2))/ROWS($AE$2:$AS$40))+1)</f>
        <v>#REF!</v>
      </c>
      <c r="AA802" t="e">
        <f t="shared" ca="1" si="90"/>
        <v>#N/A</v>
      </c>
      <c r="AB802" t="str" cm="1">
        <f t="array" aca="1" ref="AB802" ca="1">IFERROR(INDIRECT("$Z"&amp;AA802),"")</f>
        <v/>
      </c>
      <c r="AP802" t="str">
        <f t="shared" si="84"/>
        <v/>
      </c>
      <c r="AQ802" t="str">
        <f t="shared" si="85"/>
        <v/>
      </c>
      <c r="AR802" t="str">
        <f t="shared" si="86"/>
        <v/>
      </c>
      <c r="AS802" t="str">
        <f t="shared" si="87"/>
        <v/>
      </c>
    </row>
    <row r="803" spans="5:45" x14ac:dyDescent="0.25">
      <c r="E803" t="str">
        <f ca="1"/>
        <v/>
      </c>
      <c r="F803" t="str">
        <f ca="1"/>
        <v/>
      </c>
      <c r="P803" t="e" cm="1">
        <f t="array" ref="P803">INDEX($B$2:$D$40,MOD(ROW()-ROW($B$2),ROWS($B$2:$D$40))+1,INT((ROW()-ROW($B$2))/ROWS($B$2:$D$40))+1)</f>
        <v>#REF!</v>
      </c>
      <c r="Q803" t="e">
        <f t="shared" ca="1" si="88"/>
        <v>#N/A</v>
      </c>
      <c r="R803" t="str" cm="1">
        <f t="array" aca="1" ref="R803" ca="1">IFERROR(INDIRECT("$P"&amp;Q803),"")</f>
        <v/>
      </c>
      <c r="U803" t="e" cm="1">
        <f t="array" ref="U803">INDEX($C$2:$D$40,MOD(ROW()-ROW($C$2),ROWS($C$2:$D$40))+1,INT((ROW()-ROW($C$2))/ROWS($C$2:$D$40))+1)</f>
        <v>#REF!</v>
      </c>
      <c r="V803" t="e">
        <f t="shared" ca="1" si="89"/>
        <v>#N/A</v>
      </c>
      <c r="W803" t="str" cm="1">
        <f t="array" aca="1" ref="W803" ca="1">IFERROR(INDIRECT("$U"&amp;V803),"")</f>
        <v/>
      </c>
      <c r="Z803" t="e" cm="1">
        <f t="array" ref="Z803">INDEX($AE$2:$AS$40,MOD(ROW()-ROW($AE$2),ROWS($AE$2:$AS$40))+1,INT((ROW()-ROW($AE$2))/ROWS($AE$2:$AS$40))+1)</f>
        <v>#REF!</v>
      </c>
      <c r="AA803" t="e">
        <f t="shared" ca="1" si="90"/>
        <v>#N/A</v>
      </c>
      <c r="AB803" t="str" cm="1">
        <f t="array" aca="1" ref="AB803" ca="1">IFERROR(INDIRECT("$Z"&amp;AA803),"")</f>
        <v/>
      </c>
      <c r="AP803" t="str">
        <f t="shared" si="84"/>
        <v/>
      </c>
      <c r="AQ803" t="str">
        <f t="shared" si="85"/>
        <v/>
      </c>
      <c r="AR803" t="str">
        <f t="shared" si="86"/>
        <v/>
      </c>
      <c r="AS803" t="str">
        <f t="shared" si="87"/>
        <v/>
      </c>
    </row>
    <row r="804" spans="5:45" x14ac:dyDescent="0.25">
      <c r="E804" t="str">
        <f ca="1"/>
        <v/>
      </c>
      <c r="F804" t="str">
        <f ca="1"/>
        <v/>
      </c>
      <c r="P804" t="e" cm="1">
        <f t="array" ref="P804">INDEX($B$2:$D$40,MOD(ROW()-ROW($B$2),ROWS($B$2:$D$40))+1,INT((ROW()-ROW($B$2))/ROWS($B$2:$D$40))+1)</f>
        <v>#REF!</v>
      </c>
      <c r="Q804" t="e">
        <f t="shared" ca="1" si="88"/>
        <v>#N/A</v>
      </c>
      <c r="R804" t="str" cm="1">
        <f t="array" aca="1" ref="R804" ca="1">IFERROR(INDIRECT("$P"&amp;Q804),"")</f>
        <v/>
      </c>
      <c r="U804" t="e" cm="1">
        <f t="array" ref="U804">INDEX($C$2:$D$40,MOD(ROW()-ROW($C$2),ROWS($C$2:$D$40))+1,INT((ROW()-ROW($C$2))/ROWS($C$2:$D$40))+1)</f>
        <v>#REF!</v>
      </c>
      <c r="V804" t="e">
        <f t="shared" ca="1" si="89"/>
        <v>#N/A</v>
      </c>
      <c r="W804" t="str" cm="1">
        <f t="array" aca="1" ref="W804" ca="1">IFERROR(INDIRECT("$U"&amp;V804),"")</f>
        <v/>
      </c>
      <c r="Z804" t="e" cm="1">
        <f t="array" ref="Z804">INDEX($AE$2:$AS$40,MOD(ROW()-ROW($AE$2),ROWS($AE$2:$AS$40))+1,INT((ROW()-ROW($AE$2))/ROWS($AE$2:$AS$40))+1)</f>
        <v>#REF!</v>
      </c>
      <c r="AA804" t="e">
        <f t="shared" ca="1" si="90"/>
        <v>#N/A</v>
      </c>
      <c r="AB804" t="str" cm="1">
        <f t="array" aca="1" ref="AB804" ca="1">IFERROR(INDIRECT("$Z"&amp;AA804),"")</f>
        <v/>
      </c>
      <c r="AP804" t="str">
        <f t="shared" si="84"/>
        <v/>
      </c>
      <c r="AQ804" t="str">
        <f t="shared" si="85"/>
        <v/>
      </c>
      <c r="AR804" t="str">
        <f t="shared" si="86"/>
        <v/>
      </c>
      <c r="AS804" t="str">
        <f t="shared" si="87"/>
        <v/>
      </c>
    </row>
    <row r="805" spans="5:45" x14ac:dyDescent="0.25">
      <c r="E805" t="str">
        <f ca="1"/>
        <v/>
      </c>
      <c r="F805" t="str">
        <f ca="1"/>
        <v/>
      </c>
      <c r="P805" t="e" cm="1">
        <f t="array" ref="P805">INDEX($B$2:$D$40,MOD(ROW()-ROW($B$2),ROWS($B$2:$D$40))+1,INT((ROW()-ROW($B$2))/ROWS($B$2:$D$40))+1)</f>
        <v>#REF!</v>
      </c>
      <c r="Q805" t="e">
        <f t="shared" ca="1" si="88"/>
        <v>#N/A</v>
      </c>
      <c r="R805" t="str" cm="1">
        <f t="array" aca="1" ref="R805" ca="1">IFERROR(INDIRECT("$P"&amp;Q805),"")</f>
        <v/>
      </c>
      <c r="U805" t="e" cm="1">
        <f t="array" ref="U805">INDEX($C$2:$D$40,MOD(ROW()-ROW($C$2),ROWS($C$2:$D$40))+1,INT((ROW()-ROW($C$2))/ROWS($C$2:$D$40))+1)</f>
        <v>#REF!</v>
      </c>
      <c r="V805" t="e">
        <f t="shared" ca="1" si="89"/>
        <v>#N/A</v>
      </c>
      <c r="W805" t="str" cm="1">
        <f t="array" aca="1" ref="W805" ca="1">IFERROR(INDIRECT("$U"&amp;V805),"")</f>
        <v/>
      </c>
      <c r="Z805" t="e" cm="1">
        <f t="array" ref="Z805">INDEX($AE$2:$AS$40,MOD(ROW()-ROW($AE$2),ROWS($AE$2:$AS$40))+1,INT((ROW()-ROW($AE$2))/ROWS($AE$2:$AS$40))+1)</f>
        <v>#REF!</v>
      </c>
      <c r="AA805" t="e">
        <f t="shared" ca="1" si="90"/>
        <v>#N/A</v>
      </c>
      <c r="AB805" t="str" cm="1">
        <f t="array" aca="1" ref="AB805" ca="1">IFERROR(INDIRECT("$Z"&amp;AA805),"")</f>
        <v/>
      </c>
      <c r="AP805" t="str">
        <f t="shared" si="84"/>
        <v/>
      </c>
      <c r="AQ805" t="str">
        <f t="shared" si="85"/>
        <v/>
      </c>
      <c r="AR805" t="str">
        <f t="shared" si="86"/>
        <v/>
      </c>
      <c r="AS805" t="str">
        <f t="shared" si="87"/>
        <v/>
      </c>
    </row>
    <row r="806" spans="5:45" x14ac:dyDescent="0.25">
      <c r="E806" t="str">
        <f ca="1"/>
        <v/>
      </c>
      <c r="F806" t="str">
        <f ca="1"/>
        <v/>
      </c>
      <c r="P806" t="e" cm="1">
        <f t="array" ref="P806">INDEX($B$2:$D$40,MOD(ROW()-ROW($B$2),ROWS($B$2:$D$40))+1,INT((ROW()-ROW($B$2))/ROWS($B$2:$D$40))+1)</f>
        <v>#REF!</v>
      </c>
      <c r="Q806" t="e">
        <f t="shared" ca="1" si="88"/>
        <v>#N/A</v>
      </c>
      <c r="R806" t="str" cm="1">
        <f t="array" aca="1" ref="R806" ca="1">IFERROR(INDIRECT("$P"&amp;Q806),"")</f>
        <v/>
      </c>
      <c r="U806" t="e" cm="1">
        <f t="array" ref="U806">INDEX($C$2:$D$40,MOD(ROW()-ROW($C$2),ROWS($C$2:$D$40))+1,INT((ROW()-ROW($C$2))/ROWS($C$2:$D$40))+1)</f>
        <v>#REF!</v>
      </c>
      <c r="V806" t="e">
        <f t="shared" ca="1" si="89"/>
        <v>#N/A</v>
      </c>
      <c r="W806" t="str" cm="1">
        <f t="array" aca="1" ref="W806" ca="1">IFERROR(INDIRECT("$U"&amp;V806),"")</f>
        <v/>
      </c>
      <c r="Z806" t="e" cm="1">
        <f t="array" ref="Z806">INDEX($AE$2:$AS$40,MOD(ROW()-ROW($AE$2),ROWS($AE$2:$AS$40))+1,INT((ROW()-ROW($AE$2))/ROWS($AE$2:$AS$40))+1)</f>
        <v>#REF!</v>
      </c>
      <c r="AA806" t="e">
        <f t="shared" ca="1" si="90"/>
        <v>#N/A</v>
      </c>
      <c r="AB806" t="str" cm="1">
        <f t="array" aca="1" ref="AB806" ca="1">IFERROR(INDIRECT("$Z"&amp;AA806),"")</f>
        <v/>
      </c>
      <c r="AP806" t="str">
        <f t="shared" si="84"/>
        <v/>
      </c>
      <c r="AQ806" t="str">
        <f t="shared" si="85"/>
        <v/>
      </c>
      <c r="AR806" t="str">
        <f t="shared" si="86"/>
        <v/>
      </c>
      <c r="AS806" t="str">
        <f t="shared" si="87"/>
        <v/>
      </c>
    </row>
    <row r="807" spans="5:45" x14ac:dyDescent="0.25">
      <c r="E807" t="str">
        <f ca="1"/>
        <v/>
      </c>
      <c r="F807" t="str">
        <f ca="1"/>
        <v/>
      </c>
      <c r="P807" t="e" cm="1">
        <f t="array" ref="P807">INDEX($B$2:$D$40,MOD(ROW()-ROW($B$2),ROWS($B$2:$D$40))+1,INT((ROW()-ROW($B$2))/ROWS($B$2:$D$40))+1)</f>
        <v>#REF!</v>
      </c>
      <c r="Q807" t="e">
        <f t="shared" ca="1" si="88"/>
        <v>#N/A</v>
      </c>
      <c r="R807" t="str" cm="1">
        <f t="array" aca="1" ref="R807" ca="1">IFERROR(INDIRECT("$P"&amp;Q807),"")</f>
        <v/>
      </c>
      <c r="U807" t="e" cm="1">
        <f t="array" ref="U807">INDEX($C$2:$D$40,MOD(ROW()-ROW($C$2),ROWS($C$2:$D$40))+1,INT((ROW()-ROW($C$2))/ROWS($C$2:$D$40))+1)</f>
        <v>#REF!</v>
      </c>
      <c r="V807" t="e">
        <f t="shared" ca="1" si="89"/>
        <v>#N/A</v>
      </c>
      <c r="W807" t="str" cm="1">
        <f t="array" aca="1" ref="W807" ca="1">IFERROR(INDIRECT("$U"&amp;V807),"")</f>
        <v/>
      </c>
      <c r="Z807" t="e" cm="1">
        <f t="array" ref="Z807">INDEX($AE$2:$AS$40,MOD(ROW()-ROW($AE$2),ROWS($AE$2:$AS$40))+1,INT((ROW()-ROW($AE$2))/ROWS($AE$2:$AS$40))+1)</f>
        <v>#REF!</v>
      </c>
      <c r="AA807" t="e">
        <f t="shared" ca="1" si="90"/>
        <v>#N/A</v>
      </c>
      <c r="AB807" t="str" cm="1">
        <f t="array" aca="1" ref="AB807" ca="1">IFERROR(INDIRECT("$Z"&amp;AA807),"")</f>
        <v/>
      </c>
      <c r="AP807" t="str">
        <f t="shared" si="84"/>
        <v/>
      </c>
      <c r="AQ807" t="str">
        <f t="shared" si="85"/>
        <v/>
      </c>
      <c r="AR807" t="str">
        <f t="shared" si="86"/>
        <v/>
      </c>
      <c r="AS807" t="str">
        <f t="shared" si="87"/>
        <v/>
      </c>
    </row>
    <row r="808" spans="5:45" x14ac:dyDescent="0.25">
      <c r="E808" t="str">
        <f ca="1"/>
        <v/>
      </c>
      <c r="F808" t="str">
        <f ca="1"/>
        <v/>
      </c>
      <c r="P808" t="e" cm="1">
        <f t="array" ref="P808">INDEX($B$2:$D$40,MOD(ROW()-ROW($B$2),ROWS($B$2:$D$40))+1,INT((ROW()-ROW($B$2))/ROWS($B$2:$D$40))+1)</f>
        <v>#REF!</v>
      </c>
      <c r="Q808" t="e">
        <f t="shared" ca="1" si="88"/>
        <v>#N/A</v>
      </c>
      <c r="R808" t="str" cm="1">
        <f t="array" aca="1" ref="R808" ca="1">IFERROR(INDIRECT("$P"&amp;Q808),"")</f>
        <v/>
      </c>
      <c r="U808" t="e" cm="1">
        <f t="array" ref="U808">INDEX($C$2:$D$40,MOD(ROW()-ROW($C$2),ROWS($C$2:$D$40))+1,INT((ROW()-ROW($C$2))/ROWS($C$2:$D$40))+1)</f>
        <v>#REF!</v>
      </c>
      <c r="V808" t="e">
        <f t="shared" ca="1" si="89"/>
        <v>#N/A</v>
      </c>
      <c r="W808" t="str" cm="1">
        <f t="array" aca="1" ref="W808" ca="1">IFERROR(INDIRECT("$U"&amp;V808),"")</f>
        <v/>
      </c>
      <c r="Z808" t="e" cm="1">
        <f t="array" ref="Z808">INDEX($AE$2:$AS$40,MOD(ROW()-ROW($AE$2),ROWS($AE$2:$AS$40))+1,INT((ROW()-ROW($AE$2))/ROWS($AE$2:$AS$40))+1)</f>
        <v>#REF!</v>
      </c>
      <c r="AA808" t="e">
        <f t="shared" ca="1" si="90"/>
        <v>#N/A</v>
      </c>
      <c r="AB808" t="str" cm="1">
        <f t="array" aca="1" ref="AB808" ca="1">IFERROR(INDIRECT("$Z"&amp;AA808),"")</f>
        <v/>
      </c>
      <c r="AP808" t="str">
        <f t="shared" si="84"/>
        <v/>
      </c>
      <c r="AQ808" t="str">
        <f t="shared" si="85"/>
        <v/>
      </c>
      <c r="AR808" t="str">
        <f t="shared" si="86"/>
        <v/>
      </c>
      <c r="AS808" t="str">
        <f t="shared" si="87"/>
        <v/>
      </c>
    </row>
    <row r="809" spans="5:45" x14ac:dyDescent="0.25">
      <c r="E809" t="str">
        <f ca="1"/>
        <v/>
      </c>
      <c r="F809" t="str">
        <f ca="1"/>
        <v/>
      </c>
      <c r="P809" t="e" cm="1">
        <f t="array" ref="P809">INDEX($B$2:$D$40,MOD(ROW()-ROW($B$2),ROWS($B$2:$D$40))+1,INT((ROW()-ROW($B$2))/ROWS($B$2:$D$40))+1)</f>
        <v>#REF!</v>
      </c>
      <c r="Q809" t="e">
        <f t="shared" ca="1" si="88"/>
        <v>#N/A</v>
      </c>
      <c r="R809" t="str" cm="1">
        <f t="array" aca="1" ref="R809" ca="1">IFERROR(INDIRECT("$P"&amp;Q809),"")</f>
        <v/>
      </c>
      <c r="U809" t="e" cm="1">
        <f t="array" ref="U809">INDEX($C$2:$D$40,MOD(ROW()-ROW($C$2),ROWS($C$2:$D$40))+1,INT((ROW()-ROW($C$2))/ROWS($C$2:$D$40))+1)</f>
        <v>#REF!</v>
      </c>
      <c r="V809" t="e">
        <f t="shared" ca="1" si="89"/>
        <v>#N/A</v>
      </c>
      <c r="W809" t="str" cm="1">
        <f t="array" aca="1" ref="W809" ca="1">IFERROR(INDIRECT("$U"&amp;V809),"")</f>
        <v/>
      </c>
      <c r="Z809" t="e" cm="1">
        <f t="array" ref="Z809">INDEX($AE$2:$AS$40,MOD(ROW()-ROW($AE$2),ROWS($AE$2:$AS$40))+1,INT((ROW()-ROW($AE$2))/ROWS($AE$2:$AS$40))+1)</f>
        <v>#REF!</v>
      </c>
      <c r="AA809" t="e">
        <f t="shared" ca="1" si="90"/>
        <v>#N/A</v>
      </c>
      <c r="AB809" t="str" cm="1">
        <f t="array" aca="1" ref="AB809" ca="1">IFERROR(INDIRECT("$Z"&amp;AA809),"")</f>
        <v/>
      </c>
      <c r="AP809" t="str">
        <f t="shared" si="84"/>
        <v/>
      </c>
      <c r="AQ809" t="str">
        <f t="shared" si="85"/>
        <v/>
      </c>
      <c r="AR809" t="str">
        <f t="shared" si="86"/>
        <v/>
      </c>
      <c r="AS809" t="str">
        <f t="shared" si="87"/>
        <v/>
      </c>
    </row>
    <row r="810" spans="5:45" x14ac:dyDescent="0.25">
      <c r="E810" t="str">
        <f ca="1"/>
        <v/>
      </c>
      <c r="F810" t="str">
        <f ca="1"/>
        <v/>
      </c>
      <c r="P810" t="e" cm="1">
        <f t="array" ref="P810">INDEX($B$2:$D$40,MOD(ROW()-ROW($B$2),ROWS($B$2:$D$40))+1,INT((ROW()-ROW($B$2))/ROWS($B$2:$D$40))+1)</f>
        <v>#REF!</v>
      </c>
      <c r="Q810" t="e">
        <f t="shared" ca="1" si="88"/>
        <v>#N/A</v>
      </c>
      <c r="R810" t="str" cm="1">
        <f t="array" aca="1" ref="R810" ca="1">IFERROR(INDIRECT("$P"&amp;Q810),"")</f>
        <v/>
      </c>
      <c r="U810" t="e" cm="1">
        <f t="array" ref="U810">INDEX($C$2:$D$40,MOD(ROW()-ROW($C$2),ROWS($C$2:$D$40))+1,INT((ROW()-ROW($C$2))/ROWS($C$2:$D$40))+1)</f>
        <v>#REF!</v>
      </c>
      <c r="V810" t="e">
        <f t="shared" ca="1" si="89"/>
        <v>#N/A</v>
      </c>
      <c r="W810" t="str" cm="1">
        <f t="array" aca="1" ref="W810" ca="1">IFERROR(INDIRECT("$U"&amp;V810),"")</f>
        <v/>
      </c>
      <c r="Z810" t="e" cm="1">
        <f t="array" ref="Z810">INDEX($AE$2:$AS$40,MOD(ROW()-ROW($AE$2),ROWS($AE$2:$AS$40))+1,INT((ROW()-ROW($AE$2))/ROWS($AE$2:$AS$40))+1)</f>
        <v>#REF!</v>
      </c>
      <c r="AA810" t="e">
        <f t="shared" ca="1" si="90"/>
        <v>#N/A</v>
      </c>
      <c r="AB810" t="str" cm="1">
        <f t="array" aca="1" ref="AB810" ca="1">IFERROR(INDIRECT("$Z"&amp;AA810),"")</f>
        <v/>
      </c>
      <c r="AP810" t="str">
        <f t="shared" si="84"/>
        <v/>
      </c>
      <c r="AQ810" t="str">
        <f t="shared" si="85"/>
        <v/>
      </c>
      <c r="AR810" t="str">
        <f t="shared" si="86"/>
        <v/>
      </c>
      <c r="AS810" t="str">
        <f t="shared" si="87"/>
        <v/>
      </c>
    </row>
    <row r="811" spans="5:45" x14ac:dyDescent="0.25">
      <c r="E811" t="str">
        <f ca="1"/>
        <v/>
      </c>
      <c r="F811" t="str">
        <f ca="1"/>
        <v/>
      </c>
      <c r="P811" t="e" cm="1">
        <f t="array" ref="P811">INDEX($B$2:$D$40,MOD(ROW()-ROW($B$2),ROWS($B$2:$D$40))+1,INT((ROW()-ROW($B$2))/ROWS($B$2:$D$40))+1)</f>
        <v>#REF!</v>
      </c>
      <c r="Q811" t="e">
        <f t="shared" ca="1" si="88"/>
        <v>#N/A</v>
      </c>
      <c r="R811" t="str" cm="1">
        <f t="array" aca="1" ref="R811" ca="1">IFERROR(INDIRECT("$P"&amp;Q811),"")</f>
        <v/>
      </c>
      <c r="U811" t="e" cm="1">
        <f t="array" ref="U811">INDEX($C$2:$D$40,MOD(ROW()-ROW($C$2),ROWS($C$2:$D$40))+1,INT((ROW()-ROW($C$2))/ROWS($C$2:$D$40))+1)</f>
        <v>#REF!</v>
      </c>
      <c r="V811" t="e">
        <f t="shared" ca="1" si="89"/>
        <v>#N/A</v>
      </c>
      <c r="W811" t="str" cm="1">
        <f t="array" aca="1" ref="W811" ca="1">IFERROR(INDIRECT("$U"&amp;V811),"")</f>
        <v/>
      </c>
      <c r="Z811" t="e" cm="1">
        <f t="array" ref="Z811">INDEX($AE$2:$AS$40,MOD(ROW()-ROW($AE$2),ROWS($AE$2:$AS$40))+1,INT((ROW()-ROW($AE$2))/ROWS($AE$2:$AS$40))+1)</f>
        <v>#REF!</v>
      </c>
      <c r="AA811" t="e">
        <f t="shared" ca="1" si="90"/>
        <v>#N/A</v>
      </c>
      <c r="AB811" t="str" cm="1">
        <f t="array" aca="1" ref="AB811" ca="1">IFERROR(INDIRECT("$Z"&amp;AA811),"")</f>
        <v/>
      </c>
      <c r="AP811" t="str">
        <f t="shared" si="84"/>
        <v/>
      </c>
      <c r="AQ811" t="str">
        <f t="shared" si="85"/>
        <v/>
      </c>
      <c r="AR811" t="str">
        <f t="shared" si="86"/>
        <v/>
      </c>
      <c r="AS811" t="str">
        <f t="shared" si="87"/>
        <v/>
      </c>
    </row>
    <row r="812" spans="5:45" x14ac:dyDescent="0.25">
      <c r="E812" t="str">
        <f ca="1"/>
        <v/>
      </c>
      <c r="F812" t="str">
        <f ca="1"/>
        <v/>
      </c>
      <c r="P812" t="e" cm="1">
        <f t="array" ref="P812">INDEX($B$2:$D$40,MOD(ROW()-ROW($B$2),ROWS($B$2:$D$40))+1,INT((ROW()-ROW($B$2))/ROWS($B$2:$D$40))+1)</f>
        <v>#REF!</v>
      </c>
      <c r="Q812" t="e">
        <f t="shared" ca="1" si="88"/>
        <v>#N/A</v>
      </c>
      <c r="R812" t="str" cm="1">
        <f t="array" aca="1" ref="R812" ca="1">IFERROR(INDIRECT("$P"&amp;Q812),"")</f>
        <v/>
      </c>
      <c r="U812" t="e" cm="1">
        <f t="array" ref="U812">INDEX($C$2:$D$40,MOD(ROW()-ROW($C$2),ROWS($C$2:$D$40))+1,INT((ROW()-ROW($C$2))/ROWS($C$2:$D$40))+1)</f>
        <v>#REF!</v>
      </c>
      <c r="V812" t="e">
        <f t="shared" ca="1" si="89"/>
        <v>#N/A</v>
      </c>
      <c r="W812" t="str" cm="1">
        <f t="array" aca="1" ref="W812" ca="1">IFERROR(INDIRECT("$U"&amp;V812),"")</f>
        <v/>
      </c>
      <c r="Z812" t="e" cm="1">
        <f t="array" ref="Z812">INDEX($AE$2:$AS$40,MOD(ROW()-ROW($AE$2),ROWS($AE$2:$AS$40))+1,INT((ROW()-ROW($AE$2))/ROWS($AE$2:$AS$40))+1)</f>
        <v>#REF!</v>
      </c>
      <c r="AA812" t="e">
        <f t="shared" ca="1" si="90"/>
        <v>#N/A</v>
      </c>
      <c r="AB812" t="str" cm="1">
        <f t="array" aca="1" ref="AB812" ca="1">IFERROR(INDIRECT("$Z"&amp;AA812),"")</f>
        <v/>
      </c>
      <c r="AP812" t="str">
        <f t="shared" si="84"/>
        <v/>
      </c>
      <c r="AQ812" t="str">
        <f t="shared" si="85"/>
        <v/>
      </c>
      <c r="AR812" t="str">
        <f t="shared" si="86"/>
        <v/>
      </c>
      <c r="AS812" t="str">
        <f t="shared" si="87"/>
        <v/>
      </c>
    </row>
    <row r="813" spans="5:45" x14ac:dyDescent="0.25">
      <c r="E813" t="str">
        <f ca="1"/>
        <v/>
      </c>
      <c r="F813" t="str">
        <f ca="1"/>
        <v/>
      </c>
      <c r="P813" t="e" cm="1">
        <f t="array" ref="P813">INDEX($B$2:$D$40,MOD(ROW()-ROW($B$2),ROWS($B$2:$D$40))+1,INT((ROW()-ROW($B$2))/ROWS($B$2:$D$40))+1)</f>
        <v>#REF!</v>
      </c>
      <c r="Q813" t="e">
        <f t="shared" ca="1" si="88"/>
        <v>#N/A</v>
      </c>
      <c r="R813" t="str" cm="1">
        <f t="array" aca="1" ref="R813" ca="1">IFERROR(INDIRECT("$P"&amp;Q813),"")</f>
        <v/>
      </c>
      <c r="U813" t="e" cm="1">
        <f t="array" ref="U813">INDEX($C$2:$D$40,MOD(ROW()-ROW($C$2),ROWS($C$2:$D$40))+1,INT((ROW()-ROW($C$2))/ROWS($C$2:$D$40))+1)</f>
        <v>#REF!</v>
      </c>
      <c r="V813" t="e">
        <f t="shared" ca="1" si="89"/>
        <v>#N/A</v>
      </c>
      <c r="W813" t="str" cm="1">
        <f t="array" aca="1" ref="W813" ca="1">IFERROR(INDIRECT("$U"&amp;V813),"")</f>
        <v/>
      </c>
      <c r="Z813" t="e" cm="1">
        <f t="array" ref="Z813">INDEX($AE$2:$AS$40,MOD(ROW()-ROW($AE$2),ROWS($AE$2:$AS$40))+1,INT((ROW()-ROW($AE$2))/ROWS($AE$2:$AS$40))+1)</f>
        <v>#REF!</v>
      </c>
      <c r="AA813" t="e">
        <f t="shared" ca="1" si="90"/>
        <v>#N/A</v>
      </c>
      <c r="AB813" t="str" cm="1">
        <f t="array" aca="1" ref="AB813" ca="1">IFERROR(INDIRECT("$Z"&amp;AA813),"")</f>
        <v/>
      </c>
      <c r="AP813" t="str">
        <f t="shared" si="84"/>
        <v/>
      </c>
      <c r="AQ813" t="str">
        <f t="shared" si="85"/>
        <v/>
      </c>
      <c r="AR813" t="str">
        <f t="shared" si="86"/>
        <v/>
      </c>
      <c r="AS813" t="str">
        <f t="shared" si="87"/>
        <v/>
      </c>
    </row>
    <row r="814" spans="5:45" x14ac:dyDescent="0.25">
      <c r="E814" t="str">
        <f ca="1"/>
        <v/>
      </c>
      <c r="F814" t="str">
        <f ca="1"/>
        <v/>
      </c>
      <c r="P814" t="e" cm="1">
        <f t="array" ref="P814">INDEX($B$2:$D$40,MOD(ROW()-ROW($B$2),ROWS($B$2:$D$40))+1,INT((ROW()-ROW($B$2))/ROWS($B$2:$D$40))+1)</f>
        <v>#REF!</v>
      </c>
      <c r="Q814" t="e">
        <f t="shared" ca="1" si="88"/>
        <v>#N/A</v>
      </c>
      <c r="R814" t="str" cm="1">
        <f t="array" aca="1" ref="R814" ca="1">IFERROR(INDIRECT("$P"&amp;Q814),"")</f>
        <v/>
      </c>
      <c r="U814" t="e" cm="1">
        <f t="array" ref="U814">INDEX($C$2:$D$40,MOD(ROW()-ROW($C$2),ROWS($C$2:$D$40))+1,INT((ROW()-ROW($C$2))/ROWS($C$2:$D$40))+1)</f>
        <v>#REF!</v>
      </c>
      <c r="V814" t="e">
        <f t="shared" ca="1" si="89"/>
        <v>#N/A</v>
      </c>
      <c r="W814" t="str" cm="1">
        <f t="array" aca="1" ref="W814" ca="1">IFERROR(INDIRECT("$U"&amp;V814),"")</f>
        <v/>
      </c>
      <c r="Z814" t="e" cm="1">
        <f t="array" ref="Z814">INDEX($AE$2:$AS$40,MOD(ROW()-ROW($AE$2),ROWS($AE$2:$AS$40))+1,INT((ROW()-ROW($AE$2))/ROWS($AE$2:$AS$40))+1)</f>
        <v>#REF!</v>
      </c>
      <c r="AA814" t="e">
        <f t="shared" ca="1" si="90"/>
        <v>#N/A</v>
      </c>
      <c r="AB814" t="str" cm="1">
        <f t="array" aca="1" ref="AB814" ca="1">IFERROR(INDIRECT("$Z"&amp;AA814),"")</f>
        <v/>
      </c>
      <c r="AP814" t="str">
        <f t="shared" si="84"/>
        <v/>
      </c>
      <c r="AQ814" t="str">
        <f t="shared" si="85"/>
        <v/>
      </c>
      <c r="AR814" t="str">
        <f t="shared" si="86"/>
        <v/>
      </c>
      <c r="AS814" t="str">
        <f t="shared" si="87"/>
        <v/>
      </c>
    </row>
    <row r="815" spans="5:45" x14ac:dyDescent="0.25">
      <c r="E815" t="str">
        <f ca="1"/>
        <v/>
      </c>
      <c r="F815" t="str">
        <f ca="1"/>
        <v/>
      </c>
      <c r="P815" t="e" cm="1">
        <f t="array" ref="P815">INDEX($B$2:$D$40,MOD(ROW()-ROW($B$2),ROWS($B$2:$D$40))+1,INT((ROW()-ROW($B$2))/ROWS($B$2:$D$40))+1)</f>
        <v>#REF!</v>
      </c>
      <c r="Q815" t="e">
        <f t="shared" ca="1" si="88"/>
        <v>#N/A</v>
      </c>
      <c r="R815" t="str" cm="1">
        <f t="array" aca="1" ref="R815" ca="1">IFERROR(INDIRECT("$P"&amp;Q815),"")</f>
        <v/>
      </c>
      <c r="U815" t="e" cm="1">
        <f t="array" ref="U815">INDEX($C$2:$D$40,MOD(ROW()-ROW($C$2),ROWS($C$2:$D$40))+1,INT((ROW()-ROW($C$2))/ROWS($C$2:$D$40))+1)</f>
        <v>#REF!</v>
      </c>
      <c r="V815" t="e">
        <f t="shared" ca="1" si="89"/>
        <v>#N/A</v>
      </c>
      <c r="W815" t="str" cm="1">
        <f t="array" aca="1" ref="W815" ca="1">IFERROR(INDIRECT("$U"&amp;V815),"")</f>
        <v/>
      </c>
      <c r="Z815" t="e" cm="1">
        <f t="array" ref="Z815">INDEX($AE$2:$AS$40,MOD(ROW()-ROW($AE$2),ROWS($AE$2:$AS$40))+1,INT((ROW()-ROW($AE$2))/ROWS($AE$2:$AS$40))+1)</f>
        <v>#REF!</v>
      </c>
      <c r="AA815" t="e">
        <f t="shared" ca="1" si="90"/>
        <v>#N/A</v>
      </c>
      <c r="AB815" t="str" cm="1">
        <f t="array" aca="1" ref="AB815" ca="1">IFERROR(INDIRECT("$Z"&amp;AA815),"")</f>
        <v/>
      </c>
      <c r="AP815" t="str">
        <f t="shared" si="84"/>
        <v/>
      </c>
      <c r="AQ815" t="str">
        <f t="shared" si="85"/>
        <v/>
      </c>
      <c r="AR815" t="str">
        <f t="shared" si="86"/>
        <v/>
      </c>
      <c r="AS815" t="str">
        <f t="shared" si="87"/>
        <v/>
      </c>
    </row>
    <row r="816" spans="5:45" x14ac:dyDescent="0.25">
      <c r="E816" t="str">
        <f ca="1"/>
        <v/>
      </c>
      <c r="F816" t="str">
        <f ca="1"/>
        <v/>
      </c>
      <c r="P816" t="e" cm="1">
        <f t="array" ref="P816">INDEX($B$2:$D$40,MOD(ROW()-ROW($B$2),ROWS($B$2:$D$40))+1,INT((ROW()-ROW($B$2))/ROWS($B$2:$D$40))+1)</f>
        <v>#REF!</v>
      </c>
      <c r="Q816" t="e">
        <f t="shared" ca="1" si="88"/>
        <v>#N/A</v>
      </c>
      <c r="R816" t="str" cm="1">
        <f t="array" aca="1" ref="R816" ca="1">IFERROR(INDIRECT("$P"&amp;Q816),"")</f>
        <v/>
      </c>
      <c r="U816" t="e" cm="1">
        <f t="array" ref="U816">INDEX($C$2:$D$40,MOD(ROW()-ROW($C$2),ROWS($C$2:$D$40))+1,INT((ROW()-ROW($C$2))/ROWS($C$2:$D$40))+1)</f>
        <v>#REF!</v>
      </c>
      <c r="V816" t="e">
        <f t="shared" ca="1" si="89"/>
        <v>#N/A</v>
      </c>
      <c r="W816" t="str" cm="1">
        <f t="array" aca="1" ref="W816" ca="1">IFERROR(INDIRECT("$U"&amp;V816),"")</f>
        <v/>
      </c>
      <c r="Z816" t="e" cm="1">
        <f t="array" ref="Z816">INDEX($AE$2:$AS$40,MOD(ROW()-ROW($AE$2),ROWS($AE$2:$AS$40))+1,INT((ROW()-ROW($AE$2))/ROWS($AE$2:$AS$40))+1)</f>
        <v>#REF!</v>
      </c>
      <c r="AA816" t="e">
        <f t="shared" ca="1" si="90"/>
        <v>#N/A</v>
      </c>
      <c r="AB816" t="str" cm="1">
        <f t="array" aca="1" ref="AB816" ca="1">IFERROR(INDIRECT("$Z"&amp;AA816),"")</f>
        <v/>
      </c>
      <c r="AP816" t="str">
        <f t="shared" si="84"/>
        <v/>
      </c>
      <c r="AQ816" t="str">
        <f t="shared" si="85"/>
        <v/>
      </c>
      <c r="AR816" t="str">
        <f t="shared" si="86"/>
        <v/>
      </c>
      <c r="AS816" t="str">
        <f t="shared" si="87"/>
        <v/>
      </c>
    </row>
    <row r="817" spans="5:45" x14ac:dyDescent="0.25">
      <c r="E817" t="str">
        <f ca="1"/>
        <v/>
      </c>
      <c r="F817" t="str">
        <f ca="1"/>
        <v/>
      </c>
      <c r="P817" t="e" cm="1">
        <f t="array" ref="P817">INDEX($B$2:$D$40,MOD(ROW()-ROW($B$2),ROWS($B$2:$D$40))+1,INT((ROW()-ROW($B$2))/ROWS($B$2:$D$40))+1)</f>
        <v>#REF!</v>
      </c>
      <c r="Q817" t="e">
        <f t="shared" ca="1" si="88"/>
        <v>#N/A</v>
      </c>
      <c r="R817" t="str" cm="1">
        <f t="array" aca="1" ref="R817" ca="1">IFERROR(INDIRECT("$P"&amp;Q817),"")</f>
        <v/>
      </c>
      <c r="U817" t="e" cm="1">
        <f t="array" ref="U817">INDEX($C$2:$D$40,MOD(ROW()-ROW($C$2),ROWS($C$2:$D$40))+1,INT((ROW()-ROW($C$2))/ROWS($C$2:$D$40))+1)</f>
        <v>#REF!</v>
      </c>
      <c r="V817" t="e">
        <f t="shared" ca="1" si="89"/>
        <v>#N/A</v>
      </c>
      <c r="W817" t="str" cm="1">
        <f t="array" aca="1" ref="W817" ca="1">IFERROR(INDIRECT("$U"&amp;V817),"")</f>
        <v/>
      </c>
      <c r="Z817" t="e" cm="1">
        <f t="array" ref="Z817">INDEX($AE$2:$AS$40,MOD(ROW()-ROW($AE$2),ROWS($AE$2:$AS$40))+1,INT((ROW()-ROW($AE$2))/ROWS($AE$2:$AS$40))+1)</f>
        <v>#REF!</v>
      </c>
      <c r="AA817" t="e">
        <f t="shared" ca="1" si="90"/>
        <v>#N/A</v>
      </c>
      <c r="AB817" t="str" cm="1">
        <f t="array" aca="1" ref="AB817" ca="1">IFERROR(INDIRECT("$Z"&amp;AA817),"")</f>
        <v/>
      </c>
      <c r="AP817" t="str">
        <f t="shared" si="84"/>
        <v/>
      </c>
      <c r="AQ817" t="str">
        <f t="shared" si="85"/>
        <v/>
      </c>
      <c r="AR817" t="str">
        <f t="shared" si="86"/>
        <v/>
      </c>
      <c r="AS817" t="str">
        <f t="shared" si="87"/>
        <v/>
      </c>
    </row>
    <row r="818" spans="5:45" x14ac:dyDescent="0.25">
      <c r="E818" t="str">
        <f ca="1"/>
        <v/>
      </c>
      <c r="F818" t="str">
        <f ca="1"/>
        <v/>
      </c>
      <c r="P818" t="e" cm="1">
        <f t="array" ref="P818">INDEX($B$2:$D$40,MOD(ROW()-ROW($B$2),ROWS($B$2:$D$40))+1,INT((ROW()-ROW($B$2))/ROWS($B$2:$D$40))+1)</f>
        <v>#REF!</v>
      </c>
      <c r="Q818" t="e">
        <f t="shared" ca="1" si="88"/>
        <v>#N/A</v>
      </c>
      <c r="R818" t="str" cm="1">
        <f t="array" aca="1" ref="R818" ca="1">IFERROR(INDIRECT("$P"&amp;Q818),"")</f>
        <v/>
      </c>
      <c r="U818" t="e" cm="1">
        <f t="array" ref="U818">INDEX($C$2:$D$40,MOD(ROW()-ROW($C$2),ROWS($C$2:$D$40))+1,INT((ROW()-ROW($C$2))/ROWS($C$2:$D$40))+1)</f>
        <v>#REF!</v>
      </c>
      <c r="V818" t="e">
        <f t="shared" ca="1" si="89"/>
        <v>#N/A</v>
      </c>
      <c r="W818" t="str" cm="1">
        <f t="array" aca="1" ref="W818" ca="1">IFERROR(INDIRECT("$U"&amp;V818),"")</f>
        <v/>
      </c>
      <c r="Z818" t="e" cm="1">
        <f t="array" ref="Z818">INDEX($AE$2:$AS$40,MOD(ROW()-ROW($AE$2),ROWS($AE$2:$AS$40))+1,INT((ROW()-ROW($AE$2))/ROWS($AE$2:$AS$40))+1)</f>
        <v>#REF!</v>
      </c>
      <c r="AA818" t="e">
        <f t="shared" ca="1" si="90"/>
        <v>#N/A</v>
      </c>
      <c r="AB818" t="str" cm="1">
        <f t="array" aca="1" ref="AB818" ca="1">IFERROR(INDIRECT("$Z"&amp;AA818),"")</f>
        <v/>
      </c>
      <c r="AP818" t="str">
        <f t="shared" si="84"/>
        <v/>
      </c>
      <c r="AQ818" t="str">
        <f t="shared" si="85"/>
        <v/>
      </c>
      <c r="AR818" t="str">
        <f t="shared" si="86"/>
        <v/>
      </c>
      <c r="AS818" t="str">
        <f t="shared" si="87"/>
        <v/>
      </c>
    </row>
    <row r="819" spans="5:45" x14ac:dyDescent="0.25">
      <c r="E819" t="str">
        <f ca="1"/>
        <v/>
      </c>
      <c r="F819" t="str">
        <f ca="1"/>
        <v/>
      </c>
      <c r="P819" t="e" cm="1">
        <f t="array" ref="P819">INDEX($B$2:$D$40,MOD(ROW()-ROW($B$2),ROWS($B$2:$D$40))+1,INT((ROW()-ROW($B$2))/ROWS($B$2:$D$40))+1)</f>
        <v>#REF!</v>
      </c>
      <c r="Q819" t="e">
        <f t="shared" ca="1" si="88"/>
        <v>#N/A</v>
      </c>
      <c r="R819" t="str" cm="1">
        <f t="array" aca="1" ref="R819" ca="1">IFERROR(INDIRECT("$P"&amp;Q819),"")</f>
        <v/>
      </c>
      <c r="U819" t="e" cm="1">
        <f t="array" ref="U819">INDEX($C$2:$D$40,MOD(ROW()-ROW($C$2),ROWS($C$2:$D$40))+1,INT((ROW()-ROW($C$2))/ROWS($C$2:$D$40))+1)</f>
        <v>#REF!</v>
      </c>
      <c r="V819" t="e">
        <f t="shared" ca="1" si="89"/>
        <v>#N/A</v>
      </c>
      <c r="W819" t="str" cm="1">
        <f t="array" aca="1" ref="W819" ca="1">IFERROR(INDIRECT("$U"&amp;V819),"")</f>
        <v/>
      </c>
      <c r="Z819" t="e" cm="1">
        <f t="array" ref="Z819">INDEX($AE$2:$AS$40,MOD(ROW()-ROW($AE$2),ROWS($AE$2:$AS$40))+1,INT((ROW()-ROW($AE$2))/ROWS($AE$2:$AS$40))+1)</f>
        <v>#REF!</v>
      </c>
      <c r="AA819" t="e">
        <f t="shared" ca="1" si="90"/>
        <v>#N/A</v>
      </c>
      <c r="AB819" t="str" cm="1">
        <f t="array" aca="1" ref="AB819" ca="1">IFERROR(INDIRECT("$Z"&amp;AA819),"")</f>
        <v/>
      </c>
      <c r="AP819" t="str">
        <f t="shared" si="84"/>
        <v/>
      </c>
      <c r="AQ819" t="str">
        <f t="shared" si="85"/>
        <v/>
      </c>
      <c r="AR819" t="str">
        <f t="shared" si="86"/>
        <v/>
      </c>
      <c r="AS819" t="str">
        <f t="shared" si="87"/>
        <v/>
      </c>
    </row>
    <row r="820" spans="5:45" x14ac:dyDescent="0.25">
      <c r="E820" t="str">
        <f ca="1"/>
        <v/>
      </c>
      <c r="F820" t="str">
        <f ca="1"/>
        <v/>
      </c>
      <c r="P820" t="e" cm="1">
        <f t="array" ref="P820">INDEX($B$2:$D$40,MOD(ROW()-ROW($B$2),ROWS($B$2:$D$40))+1,INT((ROW()-ROW($B$2))/ROWS($B$2:$D$40))+1)</f>
        <v>#REF!</v>
      </c>
      <c r="Q820" t="e">
        <f t="shared" ca="1" si="88"/>
        <v>#N/A</v>
      </c>
      <c r="R820" t="str" cm="1">
        <f t="array" aca="1" ref="R820" ca="1">IFERROR(INDIRECT("$P"&amp;Q820),"")</f>
        <v/>
      </c>
      <c r="U820" t="e" cm="1">
        <f t="array" ref="U820">INDEX($C$2:$D$40,MOD(ROW()-ROW($C$2),ROWS($C$2:$D$40))+1,INT((ROW()-ROW($C$2))/ROWS($C$2:$D$40))+1)</f>
        <v>#REF!</v>
      </c>
      <c r="V820" t="e">
        <f t="shared" ca="1" si="89"/>
        <v>#N/A</v>
      </c>
      <c r="W820" t="str" cm="1">
        <f t="array" aca="1" ref="W820" ca="1">IFERROR(INDIRECT("$U"&amp;V820),"")</f>
        <v/>
      </c>
      <c r="Z820" t="e" cm="1">
        <f t="array" ref="Z820">INDEX($AE$2:$AS$40,MOD(ROW()-ROW($AE$2),ROWS($AE$2:$AS$40))+1,INT((ROW()-ROW($AE$2))/ROWS($AE$2:$AS$40))+1)</f>
        <v>#REF!</v>
      </c>
      <c r="AA820" t="e">
        <f t="shared" ca="1" si="90"/>
        <v>#N/A</v>
      </c>
      <c r="AB820" t="str" cm="1">
        <f t="array" aca="1" ref="AB820" ca="1">IFERROR(INDIRECT("$Z"&amp;AA820),"")</f>
        <v/>
      </c>
      <c r="AP820" t="str">
        <f t="shared" si="84"/>
        <v/>
      </c>
      <c r="AQ820" t="str">
        <f t="shared" si="85"/>
        <v/>
      </c>
      <c r="AR820" t="str">
        <f t="shared" si="86"/>
        <v/>
      </c>
      <c r="AS820" t="str">
        <f t="shared" si="87"/>
        <v/>
      </c>
    </row>
    <row r="821" spans="5:45" x14ac:dyDescent="0.25">
      <c r="E821" t="str">
        <f ca="1"/>
        <v/>
      </c>
      <c r="F821" t="str">
        <f ca="1"/>
        <v/>
      </c>
      <c r="P821" t="e" cm="1">
        <f t="array" ref="P821">INDEX($B$2:$D$40,MOD(ROW()-ROW($B$2),ROWS($B$2:$D$40))+1,INT((ROW()-ROW($B$2))/ROWS($B$2:$D$40))+1)</f>
        <v>#REF!</v>
      </c>
      <c r="Q821" t="e">
        <f t="shared" ca="1" si="88"/>
        <v>#N/A</v>
      </c>
      <c r="R821" t="str" cm="1">
        <f t="array" aca="1" ref="R821" ca="1">IFERROR(INDIRECT("$P"&amp;Q821),"")</f>
        <v/>
      </c>
      <c r="U821" t="e" cm="1">
        <f t="array" ref="U821">INDEX($C$2:$D$40,MOD(ROW()-ROW($C$2),ROWS($C$2:$D$40))+1,INT((ROW()-ROW($C$2))/ROWS($C$2:$D$40))+1)</f>
        <v>#REF!</v>
      </c>
      <c r="V821" t="e">
        <f t="shared" ca="1" si="89"/>
        <v>#N/A</v>
      </c>
      <c r="W821" t="str" cm="1">
        <f t="array" aca="1" ref="W821" ca="1">IFERROR(INDIRECT("$U"&amp;V821),"")</f>
        <v/>
      </c>
      <c r="Z821" t="e" cm="1">
        <f t="array" ref="Z821">INDEX($AE$2:$AS$40,MOD(ROW()-ROW($AE$2),ROWS($AE$2:$AS$40))+1,INT((ROW()-ROW($AE$2))/ROWS($AE$2:$AS$40))+1)</f>
        <v>#REF!</v>
      </c>
      <c r="AA821" t="e">
        <f t="shared" ca="1" si="90"/>
        <v>#N/A</v>
      </c>
      <c r="AB821" t="str" cm="1">
        <f t="array" aca="1" ref="AB821" ca="1">IFERROR(INDIRECT("$Z"&amp;AA821),"")</f>
        <v/>
      </c>
      <c r="AP821" t="str">
        <f t="shared" si="84"/>
        <v/>
      </c>
      <c r="AQ821" t="str">
        <f t="shared" si="85"/>
        <v/>
      </c>
      <c r="AR821" t="str">
        <f t="shared" si="86"/>
        <v/>
      </c>
      <c r="AS821" t="str">
        <f t="shared" si="87"/>
        <v/>
      </c>
    </row>
    <row r="822" spans="5:45" x14ac:dyDescent="0.25">
      <c r="E822" t="str">
        <f ca="1"/>
        <v/>
      </c>
      <c r="F822" t="str">
        <f ca="1"/>
        <v/>
      </c>
      <c r="P822" t="e" cm="1">
        <f t="array" ref="P822">INDEX($B$2:$D$40,MOD(ROW()-ROW($B$2),ROWS($B$2:$D$40))+1,INT((ROW()-ROW($B$2))/ROWS($B$2:$D$40))+1)</f>
        <v>#REF!</v>
      </c>
      <c r="Q822" t="e">
        <f t="shared" ca="1" si="88"/>
        <v>#N/A</v>
      </c>
      <c r="R822" t="str" cm="1">
        <f t="array" aca="1" ref="R822" ca="1">IFERROR(INDIRECT("$P"&amp;Q822),"")</f>
        <v/>
      </c>
      <c r="U822" t="e" cm="1">
        <f t="array" ref="U822">INDEX($C$2:$D$40,MOD(ROW()-ROW($C$2),ROWS($C$2:$D$40))+1,INT((ROW()-ROW($C$2))/ROWS($C$2:$D$40))+1)</f>
        <v>#REF!</v>
      </c>
      <c r="V822" t="e">
        <f t="shared" ca="1" si="89"/>
        <v>#N/A</v>
      </c>
      <c r="W822" t="str" cm="1">
        <f t="array" aca="1" ref="W822" ca="1">IFERROR(INDIRECT("$U"&amp;V822),"")</f>
        <v/>
      </c>
      <c r="Z822" t="e" cm="1">
        <f t="array" ref="Z822">INDEX($AE$2:$AS$40,MOD(ROW()-ROW($AE$2),ROWS($AE$2:$AS$40))+1,INT((ROW()-ROW($AE$2))/ROWS($AE$2:$AS$40))+1)</f>
        <v>#REF!</v>
      </c>
      <c r="AA822" t="e">
        <f t="shared" ca="1" si="90"/>
        <v>#N/A</v>
      </c>
      <c r="AB822" t="str" cm="1">
        <f t="array" aca="1" ref="AB822" ca="1">IFERROR(INDIRECT("$Z"&amp;AA822),"")</f>
        <v/>
      </c>
      <c r="AP822" t="str">
        <f t="shared" si="84"/>
        <v/>
      </c>
      <c r="AQ822" t="str">
        <f t="shared" si="85"/>
        <v/>
      </c>
      <c r="AR822" t="str">
        <f t="shared" si="86"/>
        <v/>
      </c>
      <c r="AS822" t="str">
        <f t="shared" si="87"/>
        <v/>
      </c>
    </row>
    <row r="823" spans="5:45" x14ac:dyDescent="0.25">
      <c r="E823" t="str">
        <f ca="1"/>
        <v/>
      </c>
      <c r="F823" t="str">
        <f ca="1"/>
        <v/>
      </c>
      <c r="P823" t="e" cm="1">
        <f t="array" ref="P823">INDEX($B$2:$D$40,MOD(ROW()-ROW($B$2),ROWS($B$2:$D$40))+1,INT((ROW()-ROW($B$2))/ROWS($B$2:$D$40))+1)</f>
        <v>#REF!</v>
      </c>
      <c r="Q823" t="e">
        <f t="shared" ca="1" si="88"/>
        <v>#N/A</v>
      </c>
      <c r="R823" t="str" cm="1">
        <f t="array" aca="1" ref="R823" ca="1">IFERROR(INDIRECT("$P"&amp;Q823),"")</f>
        <v/>
      </c>
      <c r="U823" t="e" cm="1">
        <f t="array" ref="U823">INDEX($C$2:$D$40,MOD(ROW()-ROW($C$2),ROWS($C$2:$D$40))+1,INT((ROW()-ROW($C$2))/ROWS($C$2:$D$40))+1)</f>
        <v>#REF!</v>
      </c>
      <c r="V823" t="e">
        <f t="shared" ca="1" si="89"/>
        <v>#N/A</v>
      </c>
      <c r="W823" t="str" cm="1">
        <f t="array" aca="1" ref="W823" ca="1">IFERROR(INDIRECT("$U"&amp;V823),"")</f>
        <v/>
      </c>
      <c r="Z823" t="e" cm="1">
        <f t="array" ref="Z823">INDEX($AE$2:$AS$40,MOD(ROW()-ROW($AE$2),ROWS($AE$2:$AS$40))+1,INT((ROW()-ROW($AE$2))/ROWS($AE$2:$AS$40))+1)</f>
        <v>#REF!</v>
      </c>
      <c r="AA823" t="e">
        <f t="shared" ca="1" si="90"/>
        <v>#N/A</v>
      </c>
      <c r="AB823" t="str" cm="1">
        <f t="array" aca="1" ref="AB823" ca="1">IFERROR(INDIRECT("$Z"&amp;AA823),"")</f>
        <v/>
      </c>
      <c r="AP823" t="str">
        <f t="shared" si="84"/>
        <v/>
      </c>
      <c r="AQ823" t="str">
        <f t="shared" si="85"/>
        <v/>
      </c>
      <c r="AR823" t="str">
        <f t="shared" si="86"/>
        <v/>
      </c>
      <c r="AS823" t="str">
        <f t="shared" si="87"/>
        <v/>
      </c>
    </row>
    <row r="824" spans="5:45" x14ac:dyDescent="0.25">
      <c r="E824" t="str">
        <f ca="1"/>
        <v/>
      </c>
      <c r="F824" t="str">
        <f ca="1"/>
        <v/>
      </c>
      <c r="P824" t="e" cm="1">
        <f t="array" ref="P824">INDEX($B$2:$D$40,MOD(ROW()-ROW($B$2),ROWS($B$2:$D$40))+1,INT((ROW()-ROW($B$2))/ROWS($B$2:$D$40))+1)</f>
        <v>#REF!</v>
      </c>
      <c r="Q824" t="e">
        <f t="shared" ca="1" si="88"/>
        <v>#N/A</v>
      </c>
      <c r="R824" t="str" cm="1">
        <f t="array" aca="1" ref="R824" ca="1">IFERROR(INDIRECT("$P"&amp;Q824),"")</f>
        <v/>
      </c>
      <c r="U824" t="e" cm="1">
        <f t="array" ref="U824">INDEX($C$2:$D$40,MOD(ROW()-ROW($C$2),ROWS($C$2:$D$40))+1,INT((ROW()-ROW($C$2))/ROWS($C$2:$D$40))+1)</f>
        <v>#REF!</v>
      </c>
      <c r="V824" t="e">
        <f t="shared" ca="1" si="89"/>
        <v>#N/A</v>
      </c>
      <c r="W824" t="str" cm="1">
        <f t="array" aca="1" ref="W824" ca="1">IFERROR(INDIRECT("$U"&amp;V824),"")</f>
        <v/>
      </c>
      <c r="Z824" t="e" cm="1">
        <f t="array" ref="Z824">INDEX($AE$2:$AS$40,MOD(ROW()-ROW($AE$2),ROWS($AE$2:$AS$40))+1,INT((ROW()-ROW($AE$2))/ROWS($AE$2:$AS$40))+1)</f>
        <v>#REF!</v>
      </c>
      <c r="AA824" t="e">
        <f t="shared" ca="1" si="90"/>
        <v>#N/A</v>
      </c>
      <c r="AB824" t="str" cm="1">
        <f t="array" aca="1" ref="AB824" ca="1">IFERROR(INDIRECT("$Z"&amp;AA824),"")</f>
        <v/>
      </c>
      <c r="AP824" t="str">
        <f t="shared" si="84"/>
        <v/>
      </c>
      <c r="AQ824" t="str">
        <f t="shared" si="85"/>
        <v/>
      </c>
      <c r="AR824" t="str">
        <f t="shared" si="86"/>
        <v/>
      </c>
      <c r="AS824" t="str">
        <f t="shared" si="87"/>
        <v/>
      </c>
    </row>
    <row r="825" spans="5:45" x14ac:dyDescent="0.25">
      <c r="E825" t="str">
        <f ca="1"/>
        <v/>
      </c>
      <c r="F825" t="str">
        <f ca="1"/>
        <v/>
      </c>
      <c r="P825" t="e" cm="1">
        <f t="array" ref="P825">INDEX($B$2:$D$40,MOD(ROW()-ROW($B$2),ROWS($B$2:$D$40))+1,INT((ROW()-ROW($B$2))/ROWS($B$2:$D$40))+1)</f>
        <v>#REF!</v>
      </c>
      <c r="Q825" t="e">
        <f t="shared" ca="1" si="88"/>
        <v>#N/A</v>
      </c>
      <c r="R825" t="str" cm="1">
        <f t="array" aca="1" ref="R825" ca="1">IFERROR(INDIRECT("$P"&amp;Q825),"")</f>
        <v/>
      </c>
      <c r="U825" t="e" cm="1">
        <f t="array" ref="U825">INDEX($C$2:$D$40,MOD(ROW()-ROW($C$2),ROWS($C$2:$D$40))+1,INT((ROW()-ROW($C$2))/ROWS($C$2:$D$40))+1)</f>
        <v>#REF!</v>
      </c>
      <c r="V825" t="e">
        <f t="shared" ca="1" si="89"/>
        <v>#N/A</v>
      </c>
      <c r="W825" t="str" cm="1">
        <f t="array" aca="1" ref="W825" ca="1">IFERROR(INDIRECT("$U"&amp;V825),"")</f>
        <v/>
      </c>
      <c r="Z825" t="e" cm="1">
        <f t="array" ref="Z825">INDEX($AE$2:$AS$40,MOD(ROW()-ROW($AE$2),ROWS($AE$2:$AS$40))+1,INT((ROW()-ROW($AE$2))/ROWS($AE$2:$AS$40))+1)</f>
        <v>#REF!</v>
      </c>
      <c r="AA825" t="e">
        <f t="shared" ca="1" si="90"/>
        <v>#N/A</v>
      </c>
      <c r="AB825" t="str" cm="1">
        <f t="array" aca="1" ref="AB825" ca="1">IFERROR(INDIRECT("$Z"&amp;AA825),"")</f>
        <v/>
      </c>
      <c r="AP825" t="str">
        <f t="shared" si="84"/>
        <v/>
      </c>
      <c r="AQ825" t="str">
        <f t="shared" si="85"/>
        <v/>
      </c>
      <c r="AR825" t="str">
        <f t="shared" si="86"/>
        <v/>
      </c>
      <c r="AS825" t="str">
        <f t="shared" si="87"/>
        <v/>
      </c>
    </row>
    <row r="826" spans="5:45" x14ac:dyDescent="0.25">
      <c r="E826" t="str">
        <f ca="1"/>
        <v/>
      </c>
      <c r="F826" t="str">
        <f ca="1"/>
        <v/>
      </c>
      <c r="P826" t="e" cm="1">
        <f t="array" ref="P826">INDEX($B$2:$D$40,MOD(ROW()-ROW($B$2),ROWS($B$2:$D$40))+1,INT((ROW()-ROW($B$2))/ROWS($B$2:$D$40))+1)</f>
        <v>#REF!</v>
      </c>
      <c r="Q826" t="e">
        <f t="shared" ca="1" si="88"/>
        <v>#N/A</v>
      </c>
      <c r="R826" t="str" cm="1">
        <f t="array" aca="1" ref="R826" ca="1">IFERROR(INDIRECT("$P"&amp;Q826),"")</f>
        <v/>
      </c>
      <c r="U826" t="e" cm="1">
        <f t="array" ref="U826">INDEX($C$2:$D$40,MOD(ROW()-ROW($C$2),ROWS($C$2:$D$40))+1,INT((ROW()-ROW($C$2))/ROWS($C$2:$D$40))+1)</f>
        <v>#REF!</v>
      </c>
      <c r="V826" t="e">
        <f t="shared" ca="1" si="89"/>
        <v>#N/A</v>
      </c>
      <c r="W826" t="str" cm="1">
        <f t="array" aca="1" ref="W826" ca="1">IFERROR(INDIRECT("$U"&amp;V826),"")</f>
        <v/>
      </c>
      <c r="Z826" t="e" cm="1">
        <f t="array" ref="Z826">INDEX($AE$2:$AS$40,MOD(ROW()-ROW($AE$2),ROWS($AE$2:$AS$40))+1,INT((ROW()-ROW($AE$2))/ROWS($AE$2:$AS$40))+1)</f>
        <v>#REF!</v>
      </c>
      <c r="AA826" t="e">
        <f t="shared" ca="1" si="90"/>
        <v>#N/A</v>
      </c>
      <c r="AB826" t="str" cm="1">
        <f t="array" aca="1" ref="AB826" ca="1">IFERROR(INDIRECT("$Z"&amp;AA826),"")</f>
        <v/>
      </c>
      <c r="AP826" t="str">
        <f t="shared" si="84"/>
        <v/>
      </c>
      <c r="AQ826" t="str">
        <f t="shared" si="85"/>
        <v/>
      </c>
      <c r="AR826" t="str">
        <f t="shared" si="86"/>
        <v/>
      </c>
      <c r="AS826" t="str">
        <f t="shared" si="87"/>
        <v/>
      </c>
    </row>
    <row r="827" spans="5:45" x14ac:dyDescent="0.25">
      <c r="E827" t="str">
        <f ca="1"/>
        <v/>
      </c>
      <c r="F827" t="str">
        <f ca="1"/>
        <v/>
      </c>
      <c r="P827" t="e" cm="1">
        <f t="array" ref="P827">INDEX($B$2:$D$40,MOD(ROW()-ROW($B$2),ROWS($B$2:$D$40))+1,INT((ROW()-ROW($B$2))/ROWS($B$2:$D$40))+1)</f>
        <v>#REF!</v>
      </c>
      <c r="Q827" t="e">
        <f t="shared" ca="1" si="88"/>
        <v>#N/A</v>
      </c>
      <c r="R827" t="str" cm="1">
        <f t="array" aca="1" ref="R827" ca="1">IFERROR(INDIRECT("$P"&amp;Q827),"")</f>
        <v/>
      </c>
      <c r="U827" t="e" cm="1">
        <f t="array" ref="U827">INDEX($C$2:$D$40,MOD(ROW()-ROW($C$2),ROWS($C$2:$D$40))+1,INT((ROW()-ROW($C$2))/ROWS($C$2:$D$40))+1)</f>
        <v>#REF!</v>
      </c>
      <c r="V827" t="e">
        <f t="shared" ca="1" si="89"/>
        <v>#N/A</v>
      </c>
      <c r="W827" t="str" cm="1">
        <f t="array" aca="1" ref="W827" ca="1">IFERROR(INDIRECT("$U"&amp;V827),"")</f>
        <v/>
      </c>
      <c r="Z827" t="e" cm="1">
        <f t="array" ref="Z827">INDEX($AE$2:$AS$40,MOD(ROW()-ROW($AE$2),ROWS($AE$2:$AS$40))+1,INT((ROW()-ROW($AE$2))/ROWS($AE$2:$AS$40))+1)</f>
        <v>#REF!</v>
      </c>
      <c r="AA827" t="e">
        <f t="shared" ca="1" si="90"/>
        <v>#N/A</v>
      </c>
      <c r="AB827" t="str" cm="1">
        <f t="array" aca="1" ref="AB827" ca="1">IFERROR(INDIRECT("$Z"&amp;AA827),"")</f>
        <v/>
      </c>
      <c r="AP827" t="str">
        <f t="shared" si="84"/>
        <v/>
      </c>
      <c r="AQ827" t="str">
        <f t="shared" si="85"/>
        <v/>
      </c>
      <c r="AR827" t="str">
        <f t="shared" si="86"/>
        <v/>
      </c>
      <c r="AS827" t="str">
        <f t="shared" si="87"/>
        <v/>
      </c>
    </row>
    <row r="828" spans="5:45" x14ac:dyDescent="0.25">
      <c r="E828" t="str">
        <f ca="1"/>
        <v/>
      </c>
      <c r="F828" t="str">
        <f ca="1"/>
        <v/>
      </c>
      <c r="P828" t="e" cm="1">
        <f t="array" ref="P828">INDEX($B$2:$D$40,MOD(ROW()-ROW($B$2),ROWS($B$2:$D$40))+1,INT((ROW()-ROW($B$2))/ROWS($B$2:$D$40))+1)</f>
        <v>#REF!</v>
      </c>
      <c r="Q828" t="e">
        <f t="shared" ca="1" si="88"/>
        <v>#N/A</v>
      </c>
      <c r="R828" t="str" cm="1">
        <f t="array" aca="1" ref="R828" ca="1">IFERROR(INDIRECT("$P"&amp;Q828),"")</f>
        <v/>
      </c>
      <c r="U828" t="e" cm="1">
        <f t="array" ref="U828">INDEX($C$2:$D$40,MOD(ROW()-ROW($C$2),ROWS($C$2:$D$40))+1,INT((ROW()-ROW($C$2))/ROWS($C$2:$D$40))+1)</f>
        <v>#REF!</v>
      </c>
      <c r="V828" t="e">
        <f t="shared" ca="1" si="89"/>
        <v>#N/A</v>
      </c>
      <c r="W828" t="str" cm="1">
        <f t="array" aca="1" ref="W828" ca="1">IFERROR(INDIRECT("$U"&amp;V828),"")</f>
        <v/>
      </c>
      <c r="Z828" t="e" cm="1">
        <f t="array" ref="Z828">INDEX($AE$2:$AS$40,MOD(ROW()-ROW($AE$2),ROWS($AE$2:$AS$40))+1,INT((ROW()-ROW($AE$2))/ROWS($AE$2:$AS$40))+1)</f>
        <v>#REF!</v>
      </c>
      <c r="AA828" t="e">
        <f t="shared" ca="1" si="90"/>
        <v>#N/A</v>
      </c>
      <c r="AB828" t="str" cm="1">
        <f t="array" aca="1" ref="AB828" ca="1">IFERROR(INDIRECT("$Z"&amp;AA828),"")</f>
        <v/>
      </c>
      <c r="AP828" t="str">
        <f t="shared" si="84"/>
        <v/>
      </c>
      <c r="AQ828" t="str">
        <f t="shared" si="85"/>
        <v/>
      </c>
      <c r="AR828" t="str">
        <f t="shared" si="86"/>
        <v/>
      </c>
      <c r="AS828" t="str">
        <f t="shared" si="87"/>
        <v/>
      </c>
    </row>
    <row r="829" spans="5:45" x14ac:dyDescent="0.25">
      <c r="E829" t="str">
        <f ca="1"/>
        <v/>
      </c>
      <c r="F829" t="str">
        <f ca="1"/>
        <v/>
      </c>
      <c r="P829" t="e" cm="1">
        <f t="array" ref="P829">INDEX($B$2:$D$40,MOD(ROW()-ROW($B$2),ROWS($B$2:$D$40))+1,INT((ROW()-ROW($B$2))/ROWS($B$2:$D$40))+1)</f>
        <v>#REF!</v>
      </c>
      <c r="Q829" t="e">
        <f t="shared" ca="1" si="88"/>
        <v>#N/A</v>
      </c>
      <c r="R829" t="str" cm="1">
        <f t="array" aca="1" ref="R829" ca="1">IFERROR(INDIRECT("$P"&amp;Q829),"")</f>
        <v/>
      </c>
      <c r="U829" t="e" cm="1">
        <f t="array" ref="U829">INDEX($C$2:$D$40,MOD(ROW()-ROW($C$2),ROWS($C$2:$D$40))+1,INT((ROW()-ROW($C$2))/ROWS($C$2:$D$40))+1)</f>
        <v>#REF!</v>
      </c>
      <c r="V829" t="e">
        <f t="shared" ca="1" si="89"/>
        <v>#N/A</v>
      </c>
      <c r="W829" t="str" cm="1">
        <f t="array" aca="1" ref="W829" ca="1">IFERROR(INDIRECT("$U"&amp;V829),"")</f>
        <v/>
      </c>
      <c r="Z829" t="e" cm="1">
        <f t="array" ref="Z829">INDEX($AE$2:$AS$40,MOD(ROW()-ROW($AE$2),ROWS($AE$2:$AS$40))+1,INT((ROW()-ROW($AE$2))/ROWS($AE$2:$AS$40))+1)</f>
        <v>#REF!</v>
      </c>
      <c r="AA829" t="e">
        <f t="shared" ca="1" si="90"/>
        <v>#N/A</v>
      </c>
      <c r="AB829" t="str" cm="1">
        <f t="array" aca="1" ref="AB829" ca="1">IFERROR(INDIRECT("$Z"&amp;AA829),"")</f>
        <v/>
      </c>
      <c r="AP829" t="str">
        <f t="shared" si="84"/>
        <v/>
      </c>
      <c r="AQ829" t="str">
        <f t="shared" si="85"/>
        <v/>
      </c>
      <c r="AR829" t="str">
        <f t="shared" si="86"/>
        <v/>
      </c>
      <c r="AS829" t="str">
        <f t="shared" si="87"/>
        <v/>
      </c>
    </row>
    <row r="830" spans="5:45" x14ac:dyDescent="0.25">
      <c r="E830" t="str">
        <f ca="1"/>
        <v/>
      </c>
      <c r="F830" t="str">
        <f ca="1"/>
        <v/>
      </c>
      <c r="P830" t="e" cm="1">
        <f t="array" ref="P830">INDEX($B$2:$D$40,MOD(ROW()-ROW($B$2),ROWS($B$2:$D$40))+1,INT((ROW()-ROW($B$2))/ROWS($B$2:$D$40))+1)</f>
        <v>#REF!</v>
      </c>
      <c r="Q830" t="e">
        <f t="shared" ca="1" si="88"/>
        <v>#N/A</v>
      </c>
      <c r="R830" t="str" cm="1">
        <f t="array" aca="1" ref="R830" ca="1">IFERROR(INDIRECT("$P"&amp;Q830),"")</f>
        <v/>
      </c>
      <c r="U830" t="e" cm="1">
        <f t="array" ref="U830">INDEX($C$2:$D$40,MOD(ROW()-ROW($C$2),ROWS($C$2:$D$40))+1,INT((ROW()-ROW($C$2))/ROWS($C$2:$D$40))+1)</f>
        <v>#REF!</v>
      </c>
      <c r="V830" t="e">
        <f t="shared" ca="1" si="89"/>
        <v>#N/A</v>
      </c>
      <c r="W830" t="str" cm="1">
        <f t="array" aca="1" ref="W830" ca="1">IFERROR(INDIRECT("$U"&amp;V830),"")</f>
        <v/>
      </c>
      <c r="Z830" t="e" cm="1">
        <f t="array" ref="Z830">INDEX($AE$2:$AS$40,MOD(ROW()-ROW($AE$2),ROWS($AE$2:$AS$40))+1,INT((ROW()-ROW($AE$2))/ROWS($AE$2:$AS$40))+1)</f>
        <v>#REF!</v>
      </c>
      <c r="AA830" t="e">
        <f t="shared" ca="1" si="90"/>
        <v>#N/A</v>
      </c>
      <c r="AB830" t="str" cm="1">
        <f t="array" aca="1" ref="AB830" ca="1">IFERROR(INDIRECT("$Z"&amp;AA830),"")</f>
        <v/>
      </c>
      <c r="AP830" t="str">
        <f t="shared" si="84"/>
        <v/>
      </c>
      <c r="AQ830" t="str">
        <f t="shared" si="85"/>
        <v/>
      </c>
      <c r="AR830" t="str">
        <f t="shared" si="86"/>
        <v/>
      </c>
      <c r="AS830" t="str">
        <f t="shared" si="87"/>
        <v/>
      </c>
    </row>
    <row r="831" spans="5:45" x14ac:dyDescent="0.25">
      <c r="E831" t="str">
        <f ca="1"/>
        <v/>
      </c>
      <c r="F831" t="str">
        <f ca="1"/>
        <v/>
      </c>
      <c r="P831" t="e" cm="1">
        <f t="array" ref="P831">INDEX($B$2:$D$40,MOD(ROW()-ROW($B$2),ROWS($B$2:$D$40))+1,INT((ROW()-ROW($B$2))/ROWS($B$2:$D$40))+1)</f>
        <v>#REF!</v>
      </c>
      <c r="Q831" t="e">
        <f t="shared" ca="1" si="88"/>
        <v>#N/A</v>
      </c>
      <c r="R831" t="str" cm="1">
        <f t="array" aca="1" ref="R831" ca="1">IFERROR(INDIRECT("$P"&amp;Q831),"")</f>
        <v/>
      </c>
      <c r="U831" t="e" cm="1">
        <f t="array" ref="U831">INDEX($C$2:$D$40,MOD(ROW()-ROW($C$2),ROWS($C$2:$D$40))+1,INT((ROW()-ROW($C$2))/ROWS($C$2:$D$40))+1)</f>
        <v>#REF!</v>
      </c>
      <c r="V831" t="e">
        <f t="shared" ca="1" si="89"/>
        <v>#N/A</v>
      </c>
      <c r="W831" t="str" cm="1">
        <f t="array" aca="1" ref="W831" ca="1">IFERROR(INDIRECT("$U"&amp;V831),"")</f>
        <v/>
      </c>
      <c r="Z831" t="e" cm="1">
        <f t="array" ref="Z831">INDEX($AE$2:$AS$40,MOD(ROW()-ROW($AE$2),ROWS($AE$2:$AS$40))+1,INT((ROW()-ROW($AE$2))/ROWS($AE$2:$AS$40))+1)</f>
        <v>#REF!</v>
      </c>
      <c r="AA831" t="e">
        <f t="shared" ca="1" si="90"/>
        <v>#N/A</v>
      </c>
      <c r="AB831" t="str" cm="1">
        <f t="array" aca="1" ref="AB831" ca="1">IFERROR(INDIRECT("$Z"&amp;AA831),"")</f>
        <v/>
      </c>
      <c r="AP831" t="str">
        <f t="shared" si="84"/>
        <v/>
      </c>
      <c r="AQ831" t="str">
        <f t="shared" si="85"/>
        <v/>
      </c>
      <c r="AR831" t="str">
        <f t="shared" si="86"/>
        <v/>
      </c>
      <c r="AS831" t="str">
        <f t="shared" si="87"/>
        <v/>
      </c>
    </row>
    <row r="832" spans="5:45" x14ac:dyDescent="0.25">
      <c r="E832" t="str">
        <f ca="1"/>
        <v/>
      </c>
      <c r="F832" t="str">
        <f ca="1"/>
        <v/>
      </c>
      <c r="P832" t="e" cm="1">
        <f t="array" ref="P832">INDEX($B$2:$D$40,MOD(ROW()-ROW($B$2),ROWS($B$2:$D$40))+1,INT((ROW()-ROW($B$2))/ROWS($B$2:$D$40))+1)</f>
        <v>#REF!</v>
      </c>
      <c r="Q832" t="e">
        <f t="shared" ca="1" si="88"/>
        <v>#N/A</v>
      </c>
      <c r="R832" t="str" cm="1">
        <f t="array" aca="1" ref="R832" ca="1">IFERROR(INDIRECT("$P"&amp;Q832),"")</f>
        <v/>
      </c>
      <c r="U832" t="e" cm="1">
        <f t="array" ref="U832">INDEX($C$2:$D$40,MOD(ROW()-ROW($C$2),ROWS($C$2:$D$40))+1,INT((ROW()-ROW($C$2))/ROWS($C$2:$D$40))+1)</f>
        <v>#REF!</v>
      </c>
      <c r="V832" t="e">
        <f t="shared" ca="1" si="89"/>
        <v>#N/A</v>
      </c>
      <c r="W832" t="str" cm="1">
        <f t="array" aca="1" ref="W832" ca="1">IFERROR(INDIRECT("$U"&amp;V832),"")</f>
        <v/>
      </c>
      <c r="Z832" t="e" cm="1">
        <f t="array" ref="Z832">INDEX($AE$2:$AS$40,MOD(ROW()-ROW($AE$2),ROWS($AE$2:$AS$40))+1,INT((ROW()-ROW($AE$2))/ROWS($AE$2:$AS$40))+1)</f>
        <v>#REF!</v>
      </c>
      <c r="AA832" t="e">
        <f t="shared" ca="1" si="90"/>
        <v>#N/A</v>
      </c>
      <c r="AB832" t="str" cm="1">
        <f t="array" aca="1" ref="AB832" ca="1">IFERROR(INDIRECT("$Z"&amp;AA832),"")</f>
        <v/>
      </c>
      <c r="AP832" t="str">
        <f t="shared" si="84"/>
        <v/>
      </c>
      <c r="AQ832" t="str">
        <f t="shared" si="85"/>
        <v/>
      </c>
      <c r="AR832" t="str">
        <f t="shared" si="86"/>
        <v/>
      </c>
      <c r="AS832" t="str">
        <f t="shared" si="87"/>
        <v/>
      </c>
    </row>
    <row r="833" spans="5:45" x14ac:dyDescent="0.25">
      <c r="E833" t="str">
        <f ca="1"/>
        <v/>
      </c>
      <c r="F833" t="str">
        <f ca="1"/>
        <v/>
      </c>
      <c r="P833" t="e" cm="1">
        <f t="array" ref="P833">INDEX($B$2:$D$40,MOD(ROW()-ROW($B$2),ROWS($B$2:$D$40))+1,INT((ROW()-ROW($B$2))/ROWS($B$2:$D$40))+1)</f>
        <v>#REF!</v>
      </c>
      <c r="Q833" t="e">
        <f t="shared" ca="1" si="88"/>
        <v>#N/A</v>
      </c>
      <c r="R833" t="str" cm="1">
        <f t="array" aca="1" ref="R833" ca="1">IFERROR(INDIRECT("$P"&amp;Q833),"")</f>
        <v/>
      </c>
      <c r="U833" t="e" cm="1">
        <f t="array" ref="U833">INDEX($C$2:$D$40,MOD(ROW()-ROW($C$2),ROWS($C$2:$D$40))+1,INT((ROW()-ROW($C$2))/ROWS($C$2:$D$40))+1)</f>
        <v>#REF!</v>
      </c>
      <c r="V833" t="e">
        <f t="shared" ca="1" si="89"/>
        <v>#N/A</v>
      </c>
      <c r="W833" t="str" cm="1">
        <f t="array" aca="1" ref="W833" ca="1">IFERROR(INDIRECT("$U"&amp;V833),"")</f>
        <v/>
      </c>
      <c r="Z833" t="e" cm="1">
        <f t="array" ref="Z833">INDEX($AE$2:$AS$40,MOD(ROW()-ROW($AE$2),ROWS($AE$2:$AS$40))+1,INT((ROW()-ROW($AE$2))/ROWS($AE$2:$AS$40))+1)</f>
        <v>#REF!</v>
      </c>
      <c r="AA833" t="e">
        <f t="shared" ca="1" si="90"/>
        <v>#N/A</v>
      </c>
      <c r="AB833" t="str" cm="1">
        <f t="array" aca="1" ref="AB833" ca="1">IFERROR(INDIRECT("$Z"&amp;AA833),"")</f>
        <v/>
      </c>
      <c r="AP833" t="str">
        <f t="shared" si="84"/>
        <v/>
      </c>
      <c r="AQ833" t="str">
        <f t="shared" si="85"/>
        <v/>
      </c>
      <c r="AR833" t="str">
        <f t="shared" si="86"/>
        <v/>
      </c>
      <c r="AS833" t="str">
        <f t="shared" si="87"/>
        <v/>
      </c>
    </row>
    <row r="834" spans="5:45" x14ac:dyDescent="0.25">
      <c r="E834" t="str">
        <f ca="1"/>
        <v/>
      </c>
      <c r="F834" t="str">
        <f ca="1"/>
        <v/>
      </c>
      <c r="P834" t="e" cm="1">
        <f t="array" ref="P834">INDEX($B$2:$D$40,MOD(ROW()-ROW($B$2),ROWS($B$2:$D$40))+1,INT((ROW()-ROW($B$2))/ROWS($B$2:$D$40))+1)</f>
        <v>#REF!</v>
      </c>
      <c r="Q834" t="e">
        <f t="shared" ca="1" si="88"/>
        <v>#N/A</v>
      </c>
      <c r="R834" t="str" cm="1">
        <f t="array" aca="1" ref="R834" ca="1">IFERROR(INDIRECT("$P"&amp;Q834),"")</f>
        <v/>
      </c>
      <c r="U834" t="e" cm="1">
        <f t="array" ref="U834">INDEX($C$2:$D$40,MOD(ROW()-ROW($C$2),ROWS($C$2:$D$40))+1,INT((ROW()-ROW($C$2))/ROWS($C$2:$D$40))+1)</f>
        <v>#REF!</v>
      </c>
      <c r="V834" t="e">
        <f t="shared" ca="1" si="89"/>
        <v>#N/A</v>
      </c>
      <c r="W834" t="str" cm="1">
        <f t="array" aca="1" ref="W834" ca="1">IFERROR(INDIRECT("$U"&amp;V834),"")</f>
        <v/>
      </c>
      <c r="Z834" t="e" cm="1">
        <f t="array" ref="Z834">INDEX($AE$2:$AS$40,MOD(ROW()-ROW($AE$2),ROWS($AE$2:$AS$40))+1,INT((ROW()-ROW($AE$2))/ROWS($AE$2:$AS$40))+1)</f>
        <v>#REF!</v>
      </c>
      <c r="AA834" t="e">
        <f t="shared" ca="1" si="90"/>
        <v>#N/A</v>
      </c>
      <c r="AB834" t="str" cm="1">
        <f t="array" aca="1" ref="AB834" ca="1">IFERROR(INDIRECT("$Z"&amp;AA834),"")</f>
        <v/>
      </c>
      <c r="AP834" t="str">
        <f t="shared" si="84"/>
        <v/>
      </c>
      <c r="AQ834" t="str">
        <f t="shared" si="85"/>
        <v/>
      </c>
      <c r="AR834" t="str">
        <f t="shared" si="86"/>
        <v/>
      </c>
      <c r="AS834" t="str">
        <f t="shared" si="87"/>
        <v/>
      </c>
    </row>
    <row r="835" spans="5:45" x14ac:dyDescent="0.25">
      <c r="E835" t="str">
        <f ca="1"/>
        <v/>
      </c>
      <c r="F835" t="str">
        <f ca="1"/>
        <v/>
      </c>
      <c r="P835" t="e" cm="1">
        <f t="array" ref="P835">INDEX($B$2:$D$40,MOD(ROW()-ROW($B$2),ROWS($B$2:$D$40))+1,INT((ROW()-ROW($B$2))/ROWS($B$2:$D$40))+1)</f>
        <v>#REF!</v>
      </c>
      <c r="Q835" t="e">
        <f t="shared" ca="1" si="88"/>
        <v>#N/A</v>
      </c>
      <c r="R835" t="str" cm="1">
        <f t="array" aca="1" ref="R835" ca="1">IFERROR(INDIRECT("$P"&amp;Q835),"")</f>
        <v/>
      </c>
      <c r="U835" t="e" cm="1">
        <f t="array" ref="U835">INDEX($C$2:$D$40,MOD(ROW()-ROW($C$2),ROWS($C$2:$D$40))+1,INT((ROW()-ROW($C$2))/ROWS($C$2:$D$40))+1)</f>
        <v>#REF!</v>
      </c>
      <c r="V835" t="e">
        <f t="shared" ca="1" si="89"/>
        <v>#N/A</v>
      </c>
      <c r="W835" t="str" cm="1">
        <f t="array" aca="1" ref="W835" ca="1">IFERROR(INDIRECT("$U"&amp;V835),"")</f>
        <v/>
      </c>
      <c r="Z835" t="e" cm="1">
        <f t="array" ref="Z835">INDEX($AE$2:$AS$40,MOD(ROW()-ROW($AE$2),ROWS($AE$2:$AS$40))+1,INT((ROW()-ROW($AE$2))/ROWS($AE$2:$AS$40))+1)</f>
        <v>#REF!</v>
      </c>
      <c r="AA835" t="e">
        <f t="shared" ca="1" si="90"/>
        <v>#N/A</v>
      </c>
      <c r="AB835" t="str" cm="1">
        <f t="array" aca="1" ref="AB835" ca="1">IFERROR(INDIRECT("$Z"&amp;AA835),"")</f>
        <v/>
      </c>
      <c r="AP835" t="str">
        <f t="shared" ref="AP835:AP898" si="91">IF(AI835&lt;&gt;"", _xlfn.CONCAT(AI835, " (airside)"), "")</f>
        <v/>
      </c>
      <c r="AQ835" t="str">
        <f t="shared" ref="AQ835:AQ898" si="92">IF(AI835&lt;&gt;"", _xlfn.CONCAT(AI835, " (waterside)"), "")</f>
        <v/>
      </c>
      <c r="AR835" t="str">
        <f t="shared" ref="AR835:AR898" si="93">IF(AJ835&lt;&gt;"", _xlfn.CONCAT(AJ835, " (supply)"), "")</f>
        <v/>
      </c>
      <c r="AS835" t="str">
        <f t="shared" ref="AS835:AS898" si="94">IF(AJ835&lt;&gt;"", _xlfn.CONCAT(AJ835, " (exhaust)"), "")</f>
        <v/>
      </c>
    </row>
    <row r="836" spans="5:45" x14ac:dyDescent="0.25">
      <c r="E836" t="str">
        <f ca="1"/>
        <v/>
      </c>
      <c r="F836" t="str">
        <f ca="1"/>
        <v/>
      </c>
      <c r="P836" t="e" cm="1">
        <f t="array" ref="P836">INDEX($B$2:$D$40,MOD(ROW()-ROW($B$2),ROWS($B$2:$D$40))+1,INT((ROW()-ROW($B$2))/ROWS($B$2:$D$40))+1)</f>
        <v>#REF!</v>
      </c>
      <c r="Q836" t="e">
        <f t="shared" ref="Q836:Q899" ca="1" si="95">MATCH("*",INDIRECT(ADDRESS(Q835+1,16,1)&amp;":$P$1000"),0)+Q835</f>
        <v>#N/A</v>
      </c>
      <c r="R836" t="str" cm="1">
        <f t="array" aca="1" ref="R836" ca="1">IFERROR(INDIRECT("$P"&amp;Q836),"")</f>
        <v/>
      </c>
      <c r="U836" t="e" cm="1">
        <f t="array" ref="U836">INDEX($C$2:$D$40,MOD(ROW()-ROW($C$2),ROWS($C$2:$D$40))+1,INT((ROW()-ROW($C$2))/ROWS($C$2:$D$40))+1)</f>
        <v>#REF!</v>
      </c>
      <c r="V836" t="e">
        <f t="shared" ref="V836:V899" ca="1" si="96">MATCH("*",INDIRECT(ADDRESS(V835+1,21,1)&amp;":$U$1000"),0)+V835</f>
        <v>#N/A</v>
      </c>
      <c r="W836" t="str" cm="1">
        <f t="array" aca="1" ref="W836" ca="1">IFERROR(INDIRECT("$U"&amp;V836),"")</f>
        <v/>
      </c>
      <c r="Z836" t="e" cm="1">
        <f t="array" ref="Z836">INDEX($AE$2:$AS$40,MOD(ROW()-ROW($AE$2),ROWS($AE$2:$AS$40))+1,INT((ROW()-ROW($AE$2))/ROWS($AE$2:$AS$40))+1)</f>
        <v>#REF!</v>
      </c>
      <c r="AA836" t="e">
        <f t="shared" ref="AA836:AA899" ca="1" si="97">MATCH("*",INDIRECT(ADDRESS(AA835+1,26,1)&amp;":$Z$1000"),0)+AA835</f>
        <v>#N/A</v>
      </c>
      <c r="AB836" t="str" cm="1">
        <f t="array" aca="1" ref="AB836" ca="1">IFERROR(INDIRECT("$Z"&amp;AA836),"")</f>
        <v/>
      </c>
      <c r="AP836" t="str">
        <f t="shared" si="91"/>
        <v/>
      </c>
      <c r="AQ836" t="str">
        <f t="shared" si="92"/>
        <v/>
      </c>
      <c r="AR836" t="str">
        <f t="shared" si="93"/>
        <v/>
      </c>
      <c r="AS836" t="str">
        <f t="shared" si="94"/>
        <v/>
      </c>
    </row>
    <row r="837" spans="5:45" x14ac:dyDescent="0.25">
      <c r="E837" t="str">
        <f ca="1"/>
        <v/>
      </c>
      <c r="F837" t="str">
        <f ca="1"/>
        <v/>
      </c>
      <c r="P837" t="e" cm="1">
        <f t="array" ref="P837">INDEX($B$2:$D$40,MOD(ROW()-ROW($B$2),ROWS($B$2:$D$40))+1,INT((ROW()-ROW($B$2))/ROWS($B$2:$D$40))+1)</f>
        <v>#REF!</v>
      </c>
      <c r="Q837" t="e">
        <f t="shared" ca="1" si="95"/>
        <v>#N/A</v>
      </c>
      <c r="R837" t="str" cm="1">
        <f t="array" aca="1" ref="R837" ca="1">IFERROR(INDIRECT("$P"&amp;Q837),"")</f>
        <v/>
      </c>
      <c r="U837" t="e" cm="1">
        <f t="array" ref="U837">INDEX($C$2:$D$40,MOD(ROW()-ROW($C$2),ROWS($C$2:$D$40))+1,INT((ROW()-ROW($C$2))/ROWS($C$2:$D$40))+1)</f>
        <v>#REF!</v>
      </c>
      <c r="V837" t="e">
        <f t="shared" ca="1" si="96"/>
        <v>#N/A</v>
      </c>
      <c r="W837" t="str" cm="1">
        <f t="array" aca="1" ref="W837" ca="1">IFERROR(INDIRECT("$U"&amp;V837),"")</f>
        <v/>
      </c>
      <c r="Z837" t="e" cm="1">
        <f t="array" ref="Z837">INDEX($AE$2:$AS$40,MOD(ROW()-ROW($AE$2),ROWS($AE$2:$AS$40))+1,INT((ROW()-ROW($AE$2))/ROWS($AE$2:$AS$40))+1)</f>
        <v>#REF!</v>
      </c>
      <c r="AA837" t="e">
        <f t="shared" ca="1" si="97"/>
        <v>#N/A</v>
      </c>
      <c r="AB837" t="str" cm="1">
        <f t="array" aca="1" ref="AB837" ca="1">IFERROR(INDIRECT("$Z"&amp;AA837),"")</f>
        <v/>
      </c>
      <c r="AP837" t="str">
        <f t="shared" si="91"/>
        <v/>
      </c>
      <c r="AQ837" t="str">
        <f t="shared" si="92"/>
        <v/>
      </c>
      <c r="AR837" t="str">
        <f t="shared" si="93"/>
        <v/>
      </c>
      <c r="AS837" t="str">
        <f t="shared" si="94"/>
        <v/>
      </c>
    </row>
    <row r="838" spans="5:45" x14ac:dyDescent="0.25">
      <c r="E838" t="str">
        <f ca="1"/>
        <v/>
      </c>
      <c r="F838" t="str">
        <f ca="1"/>
        <v/>
      </c>
      <c r="P838" t="e" cm="1">
        <f t="array" ref="P838">INDEX($B$2:$D$40,MOD(ROW()-ROW($B$2),ROWS($B$2:$D$40))+1,INT((ROW()-ROW($B$2))/ROWS($B$2:$D$40))+1)</f>
        <v>#REF!</v>
      </c>
      <c r="Q838" t="e">
        <f t="shared" ca="1" si="95"/>
        <v>#N/A</v>
      </c>
      <c r="R838" t="str" cm="1">
        <f t="array" aca="1" ref="R838" ca="1">IFERROR(INDIRECT("$P"&amp;Q838),"")</f>
        <v/>
      </c>
      <c r="U838" t="e" cm="1">
        <f t="array" ref="U838">INDEX($C$2:$D$40,MOD(ROW()-ROW($C$2),ROWS($C$2:$D$40))+1,INT((ROW()-ROW($C$2))/ROWS($C$2:$D$40))+1)</f>
        <v>#REF!</v>
      </c>
      <c r="V838" t="e">
        <f t="shared" ca="1" si="96"/>
        <v>#N/A</v>
      </c>
      <c r="W838" t="str" cm="1">
        <f t="array" aca="1" ref="W838" ca="1">IFERROR(INDIRECT("$U"&amp;V838),"")</f>
        <v/>
      </c>
      <c r="Z838" t="e" cm="1">
        <f t="array" ref="Z838">INDEX($AE$2:$AS$40,MOD(ROW()-ROW($AE$2),ROWS($AE$2:$AS$40))+1,INT((ROW()-ROW($AE$2))/ROWS($AE$2:$AS$40))+1)</f>
        <v>#REF!</v>
      </c>
      <c r="AA838" t="e">
        <f t="shared" ca="1" si="97"/>
        <v>#N/A</v>
      </c>
      <c r="AB838" t="str" cm="1">
        <f t="array" aca="1" ref="AB838" ca="1">IFERROR(INDIRECT("$Z"&amp;AA838),"")</f>
        <v/>
      </c>
      <c r="AP838" t="str">
        <f t="shared" si="91"/>
        <v/>
      </c>
      <c r="AQ838" t="str">
        <f t="shared" si="92"/>
        <v/>
      </c>
      <c r="AR838" t="str">
        <f t="shared" si="93"/>
        <v/>
      </c>
      <c r="AS838" t="str">
        <f t="shared" si="94"/>
        <v/>
      </c>
    </row>
    <row r="839" spans="5:45" x14ac:dyDescent="0.25">
      <c r="E839" t="str">
        <f ca="1"/>
        <v/>
      </c>
      <c r="F839" t="str">
        <f ca="1"/>
        <v/>
      </c>
      <c r="P839" t="e" cm="1">
        <f t="array" ref="P839">INDEX($B$2:$D$40,MOD(ROW()-ROW($B$2),ROWS($B$2:$D$40))+1,INT((ROW()-ROW($B$2))/ROWS($B$2:$D$40))+1)</f>
        <v>#REF!</v>
      </c>
      <c r="Q839" t="e">
        <f t="shared" ca="1" si="95"/>
        <v>#N/A</v>
      </c>
      <c r="R839" t="str" cm="1">
        <f t="array" aca="1" ref="R839" ca="1">IFERROR(INDIRECT("$P"&amp;Q839),"")</f>
        <v/>
      </c>
      <c r="U839" t="e" cm="1">
        <f t="array" ref="U839">INDEX($C$2:$D$40,MOD(ROW()-ROW($C$2),ROWS($C$2:$D$40))+1,INT((ROW()-ROW($C$2))/ROWS($C$2:$D$40))+1)</f>
        <v>#REF!</v>
      </c>
      <c r="V839" t="e">
        <f t="shared" ca="1" si="96"/>
        <v>#N/A</v>
      </c>
      <c r="W839" t="str" cm="1">
        <f t="array" aca="1" ref="W839" ca="1">IFERROR(INDIRECT("$U"&amp;V839),"")</f>
        <v/>
      </c>
      <c r="Z839" t="e" cm="1">
        <f t="array" ref="Z839">INDEX($AE$2:$AS$40,MOD(ROW()-ROW($AE$2),ROWS($AE$2:$AS$40))+1,INT((ROW()-ROW($AE$2))/ROWS($AE$2:$AS$40))+1)</f>
        <v>#REF!</v>
      </c>
      <c r="AA839" t="e">
        <f t="shared" ca="1" si="97"/>
        <v>#N/A</v>
      </c>
      <c r="AB839" t="str" cm="1">
        <f t="array" aca="1" ref="AB839" ca="1">IFERROR(INDIRECT("$Z"&amp;AA839),"")</f>
        <v/>
      </c>
      <c r="AP839" t="str">
        <f t="shared" si="91"/>
        <v/>
      </c>
      <c r="AQ839" t="str">
        <f t="shared" si="92"/>
        <v/>
      </c>
      <c r="AR839" t="str">
        <f t="shared" si="93"/>
        <v/>
      </c>
      <c r="AS839" t="str">
        <f t="shared" si="94"/>
        <v/>
      </c>
    </row>
    <row r="840" spans="5:45" x14ac:dyDescent="0.25">
      <c r="E840" t="str">
        <f ca="1"/>
        <v/>
      </c>
      <c r="F840" t="str">
        <f ca="1"/>
        <v/>
      </c>
      <c r="P840" t="e" cm="1">
        <f t="array" ref="P840">INDEX($B$2:$D$40,MOD(ROW()-ROW($B$2),ROWS($B$2:$D$40))+1,INT((ROW()-ROW($B$2))/ROWS($B$2:$D$40))+1)</f>
        <v>#REF!</v>
      </c>
      <c r="Q840" t="e">
        <f t="shared" ca="1" si="95"/>
        <v>#N/A</v>
      </c>
      <c r="R840" t="str" cm="1">
        <f t="array" aca="1" ref="R840" ca="1">IFERROR(INDIRECT("$P"&amp;Q840),"")</f>
        <v/>
      </c>
      <c r="U840" t="e" cm="1">
        <f t="array" ref="U840">INDEX($C$2:$D$40,MOD(ROW()-ROW($C$2),ROWS($C$2:$D$40))+1,INT((ROW()-ROW($C$2))/ROWS($C$2:$D$40))+1)</f>
        <v>#REF!</v>
      </c>
      <c r="V840" t="e">
        <f t="shared" ca="1" si="96"/>
        <v>#N/A</v>
      </c>
      <c r="W840" t="str" cm="1">
        <f t="array" aca="1" ref="W840" ca="1">IFERROR(INDIRECT("$U"&amp;V840),"")</f>
        <v/>
      </c>
      <c r="Z840" t="e" cm="1">
        <f t="array" ref="Z840">INDEX($AE$2:$AS$40,MOD(ROW()-ROW($AE$2),ROWS($AE$2:$AS$40))+1,INT((ROW()-ROW($AE$2))/ROWS($AE$2:$AS$40))+1)</f>
        <v>#REF!</v>
      </c>
      <c r="AA840" t="e">
        <f t="shared" ca="1" si="97"/>
        <v>#N/A</v>
      </c>
      <c r="AB840" t="str" cm="1">
        <f t="array" aca="1" ref="AB840" ca="1">IFERROR(INDIRECT("$Z"&amp;AA840),"")</f>
        <v/>
      </c>
      <c r="AP840" t="str">
        <f t="shared" si="91"/>
        <v/>
      </c>
      <c r="AQ840" t="str">
        <f t="shared" si="92"/>
        <v/>
      </c>
      <c r="AR840" t="str">
        <f t="shared" si="93"/>
        <v/>
      </c>
      <c r="AS840" t="str">
        <f t="shared" si="94"/>
        <v/>
      </c>
    </row>
    <row r="841" spans="5:45" x14ac:dyDescent="0.25">
      <c r="E841" t="str">
        <f ca="1"/>
        <v/>
      </c>
      <c r="F841" t="str">
        <f ca="1"/>
        <v/>
      </c>
      <c r="P841" t="e" cm="1">
        <f t="array" ref="P841">INDEX($B$2:$D$40,MOD(ROW()-ROW($B$2),ROWS($B$2:$D$40))+1,INT((ROW()-ROW($B$2))/ROWS($B$2:$D$40))+1)</f>
        <v>#REF!</v>
      </c>
      <c r="Q841" t="e">
        <f t="shared" ca="1" si="95"/>
        <v>#N/A</v>
      </c>
      <c r="R841" t="str" cm="1">
        <f t="array" aca="1" ref="R841" ca="1">IFERROR(INDIRECT("$P"&amp;Q841),"")</f>
        <v/>
      </c>
      <c r="U841" t="e" cm="1">
        <f t="array" ref="U841">INDEX($C$2:$D$40,MOD(ROW()-ROW($C$2),ROWS($C$2:$D$40))+1,INT((ROW()-ROW($C$2))/ROWS($C$2:$D$40))+1)</f>
        <v>#REF!</v>
      </c>
      <c r="V841" t="e">
        <f t="shared" ca="1" si="96"/>
        <v>#N/A</v>
      </c>
      <c r="W841" t="str" cm="1">
        <f t="array" aca="1" ref="W841" ca="1">IFERROR(INDIRECT("$U"&amp;V841),"")</f>
        <v/>
      </c>
      <c r="Z841" t="e" cm="1">
        <f t="array" ref="Z841">INDEX($AE$2:$AS$40,MOD(ROW()-ROW($AE$2),ROWS($AE$2:$AS$40))+1,INT((ROW()-ROW($AE$2))/ROWS($AE$2:$AS$40))+1)</f>
        <v>#REF!</v>
      </c>
      <c r="AA841" t="e">
        <f t="shared" ca="1" si="97"/>
        <v>#N/A</v>
      </c>
      <c r="AB841" t="str" cm="1">
        <f t="array" aca="1" ref="AB841" ca="1">IFERROR(INDIRECT("$Z"&amp;AA841),"")</f>
        <v/>
      </c>
      <c r="AP841" t="str">
        <f t="shared" si="91"/>
        <v/>
      </c>
      <c r="AQ841" t="str">
        <f t="shared" si="92"/>
        <v/>
      </c>
      <c r="AR841" t="str">
        <f t="shared" si="93"/>
        <v/>
      </c>
      <c r="AS841" t="str">
        <f t="shared" si="94"/>
        <v/>
      </c>
    </row>
    <row r="842" spans="5:45" x14ac:dyDescent="0.25">
      <c r="E842" t="str">
        <f ca="1"/>
        <v/>
      </c>
      <c r="F842" t="str">
        <f ca="1"/>
        <v/>
      </c>
      <c r="P842" t="e" cm="1">
        <f t="array" ref="P842">INDEX($B$2:$D$40,MOD(ROW()-ROW($B$2),ROWS($B$2:$D$40))+1,INT((ROW()-ROW($B$2))/ROWS($B$2:$D$40))+1)</f>
        <v>#REF!</v>
      </c>
      <c r="Q842" t="e">
        <f t="shared" ca="1" si="95"/>
        <v>#N/A</v>
      </c>
      <c r="R842" t="str" cm="1">
        <f t="array" aca="1" ref="R842" ca="1">IFERROR(INDIRECT("$P"&amp;Q842),"")</f>
        <v/>
      </c>
      <c r="U842" t="e" cm="1">
        <f t="array" ref="U842">INDEX($C$2:$D$40,MOD(ROW()-ROW($C$2),ROWS($C$2:$D$40))+1,INT((ROW()-ROW($C$2))/ROWS($C$2:$D$40))+1)</f>
        <v>#REF!</v>
      </c>
      <c r="V842" t="e">
        <f t="shared" ca="1" si="96"/>
        <v>#N/A</v>
      </c>
      <c r="W842" t="str" cm="1">
        <f t="array" aca="1" ref="W842" ca="1">IFERROR(INDIRECT("$U"&amp;V842),"")</f>
        <v/>
      </c>
      <c r="Z842" t="e" cm="1">
        <f t="array" ref="Z842">INDEX($AE$2:$AS$40,MOD(ROW()-ROW($AE$2),ROWS($AE$2:$AS$40))+1,INT((ROW()-ROW($AE$2))/ROWS($AE$2:$AS$40))+1)</f>
        <v>#REF!</v>
      </c>
      <c r="AA842" t="e">
        <f t="shared" ca="1" si="97"/>
        <v>#N/A</v>
      </c>
      <c r="AB842" t="str" cm="1">
        <f t="array" aca="1" ref="AB842" ca="1">IFERROR(INDIRECT("$Z"&amp;AA842),"")</f>
        <v/>
      </c>
      <c r="AP842" t="str">
        <f t="shared" si="91"/>
        <v/>
      </c>
      <c r="AQ842" t="str">
        <f t="shared" si="92"/>
        <v/>
      </c>
      <c r="AR842" t="str">
        <f t="shared" si="93"/>
        <v/>
      </c>
      <c r="AS842" t="str">
        <f t="shared" si="94"/>
        <v/>
      </c>
    </row>
    <row r="843" spans="5:45" x14ac:dyDescent="0.25">
      <c r="E843" t="str">
        <f ca="1"/>
        <v/>
      </c>
      <c r="F843" t="str">
        <f ca="1"/>
        <v/>
      </c>
      <c r="P843" t="e" cm="1">
        <f t="array" ref="P843">INDEX($B$2:$D$40,MOD(ROW()-ROW($B$2),ROWS($B$2:$D$40))+1,INT((ROW()-ROW($B$2))/ROWS($B$2:$D$40))+1)</f>
        <v>#REF!</v>
      </c>
      <c r="Q843" t="e">
        <f t="shared" ca="1" si="95"/>
        <v>#N/A</v>
      </c>
      <c r="R843" t="str" cm="1">
        <f t="array" aca="1" ref="R843" ca="1">IFERROR(INDIRECT("$P"&amp;Q843),"")</f>
        <v/>
      </c>
      <c r="U843" t="e" cm="1">
        <f t="array" ref="U843">INDEX($C$2:$D$40,MOD(ROW()-ROW($C$2),ROWS($C$2:$D$40))+1,INT((ROW()-ROW($C$2))/ROWS($C$2:$D$40))+1)</f>
        <v>#REF!</v>
      </c>
      <c r="V843" t="e">
        <f t="shared" ca="1" si="96"/>
        <v>#N/A</v>
      </c>
      <c r="W843" t="str" cm="1">
        <f t="array" aca="1" ref="W843" ca="1">IFERROR(INDIRECT("$U"&amp;V843),"")</f>
        <v/>
      </c>
      <c r="Z843" t="e" cm="1">
        <f t="array" ref="Z843">INDEX($AE$2:$AS$40,MOD(ROW()-ROW($AE$2),ROWS($AE$2:$AS$40))+1,INT((ROW()-ROW($AE$2))/ROWS($AE$2:$AS$40))+1)</f>
        <v>#REF!</v>
      </c>
      <c r="AA843" t="e">
        <f t="shared" ca="1" si="97"/>
        <v>#N/A</v>
      </c>
      <c r="AB843" t="str" cm="1">
        <f t="array" aca="1" ref="AB843" ca="1">IFERROR(INDIRECT("$Z"&amp;AA843),"")</f>
        <v/>
      </c>
      <c r="AP843" t="str">
        <f t="shared" si="91"/>
        <v/>
      </c>
      <c r="AQ843" t="str">
        <f t="shared" si="92"/>
        <v/>
      </c>
      <c r="AR843" t="str">
        <f t="shared" si="93"/>
        <v/>
      </c>
      <c r="AS843" t="str">
        <f t="shared" si="94"/>
        <v/>
      </c>
    </row>
    <row r="844" spans="5:45" x14ac:dyDescent="0.25">
      <c r="E844" t="str">
        <f ca="1"/>
        <v/>
      </c>
      <c r="F844" t="str">
        <f ca="1"/>
        <v/>
      </c>
      <c r="P844" t="e" cm="1">
        <f t="array" ref="P844">INDEX($B$2:$D$40,MOD(ROW()-ROW($B$2),ROWS($B$2:$D$40))+1,INT((ROW()-ROW($B$2))/ROWS($B$2:$D$40))+1)</f>
        <v>#REF!</v>
      </c>
      <c r="Q844" t="e">
        <f t="shared" ca="1" si="95"/>
        <v>#N/A</v>
      </c>
      <c r="R844" t="str" cm="1">
        <f t="array" aca="1" ref="R844" ca="1">IFERROR(INDIRECT("$P"&amp;Q844),"")</f>
        <v/>
      </c>
      <c r="U844" t="e" cm="1">
        <f t="array" ref="U844">INDEX($C$2:$D$40,MOD(ROW()-ROW($C$2),ROWS($C$2:$D$40))+1,INT((ROW()-ROW($C$2))/ROWS($C$2:$D$40))+1)</f>
        <v>#REF!</v>
      </c>
      <c r="V844" t="e">
        <f t="shared" ca="1" si="96"/>
        <v>#N/A</v>
      </c>
      <c r="W844" t="str" cm="1">
        <f t="array" aca="1" ref="W844" ca="1">IFERROR(INDIRECT("$U"&amp;V844),"")</f>
        <v/>
      </c>
      <c r="Z844" t="e" cm="1">
        <f t="array" ref="Z844">INDEX($AE$2:$AS$40,MOD(ROW()-ROW($AE$2),ROWS($AE$2:$AS$40))+1,INT((ROW()-ROW($AE$2))/ROWS($AE$2:$AS$40))+1)</f>
        <v>#REF!</v>
      </c>
      <c r="AA844" t="e">
        <f t="shared" ca="1" si="97"/>
        <v>#N/A</v>
      </c>
      <c r="AB844" t="str" cm="1">
        <f t="array" aca="1" ref="AB844" ca="1">IFERROR(INDIRECT("$Z"&amp;AA844),"")</f>
        <v/>
      </c>
      <c r="AP844" t="str">
        <f t="shared" si="91"/>
        <v/>
      </c>
      <c r="AQ844" t="str">
        <f t="shared" si="92"/>
        <v/>
      </c>
      <c r="AR844" t="str">
        <f t="shared" si="93"/>
        <v/>
      </c>
      <c r="AS844" t="str">
        <f t="shared" si="94"/>
        <v/>
      </c>
    </row>
    <row r="845" spans="5:45" x14ac:dyDescent="0.25">
      <c r="E845" t="str">
        <f ca="1"/>
        <v/>
      </c>
      <c r="F845" t="str">
        <f ca="1"/>
        <v/>
      </c>
      <c r="P845" t="e" cm="1">
        <f t="array" ref="P845">INDEX($B$2:$D$40,MOD(ROW()-ROW($B$2),ROWS($B$2:$D$40))+1,INT((ROW()-ROW($B$2))/ROWS($B$2:$D$40))+1)</f>
        <v>#REF!</v>
      </c>
      <c r="Q845" t="e">
        <f t="shared" ca="1" si="95"/>
        <v>#N/A</v>
      </c>
      <c r="R845" t="str" cm="1">
        <f t="array" aca="1" ref="R845" ca="1">IFERROR(INDIRECT("$P"&amp;Q845),"")</f>
        <v/>
      </c>
      <c r="U845" t="e" cm="1">
        <f t="array" ref="U845">INDEX($C$2:$D$40,MOD(ROW()-ROW($C$2),ROWS($C$2:$D$40))+1,INT((ROW()-ROW($C$2))/ROWS($C$2:$D$40))+1)</f>
        <v>#REF!</v>
      </c>
      <c r="V845" t="e">
        <f t="shared" ca="1" si="96"/>
        <v>#N/A</v>
      </c>
      <c r="W845" t="str" cm="1">
        <f t="array" aca="1" ref="W845" ca="1">IFERROR(INDIRECT("$U"&amp;V845),"")</f>
        <v/>
      </c>
      <c r="Z845" t="e" cm="1">
        <f t="array" ref="Z845">INDEX($AE$2:$AS$40,MOD(ROW()-ROW($AE$2),ROWS($AE$2:$AS$40))+1,INT((ROW()-ROW($AE$2))/ROWS($AE$2:$AS$40))+1)</f>
        <v>#REF!</v>
      </c>
      <c r="AA845" t="e">
        <f t="shared" ca="1" si="97"/>
        <v>#N/A</v>
      </c>
      <c r="AB845" t="str" cm="1">
        <f t="array" aca="1" ref="AB845" ca="1">IFERROR(INDIRECT("$Z"&amp;AA845),"")</f>
        <v/>
      </c>
      <c r="AP845" t="str">
        <f t="shared" si="91"/>
        <v/>
      </c>
      <c r="AQ845" t="str">
        <f t="shared" si="92"/>
        <v/>
      </c>
      <c r="AR845" t="str">
        <f t="shared" si="93"/>
        <v/>
      </c>
      <c r="AS845" t="str">
        <f t="shared" si="94"/>
        <v/>
      </c>
    </row>
    <row r="846" spans="5:45" x14ac:dyDescent="0.25">
      <c r="E846" t="str">
        <f ca="1"/>
        <v/>
      </c>
      <c r="F846" t="str">
        <f ca="1"/>
        <v/>
      </c>
      <c r="P846" t="e" cm="1">
        <f t="array" ref="P846">INDEX($B$2:$D$40,MOD(ROW()-ROW($B$2),ROWS($B$2:$D$40))+1,INT((ROW()-ROW($B$2))/ROWS($B$2:$D$40))+1)</f>
        <v>#REF!</v>
      </c>
      <c r="Q846" t="e">
        <f t="shared" ca="1" si="95"/>
        <v>#N/A</v>
      </c>
      <c r="R846" t="str" cm="1">
        <f t="array" aca="1" ref="R846" ca="1">IFERROR(INDIRECT("$P"&amp;Q846),"")</f>
        <v/>
      </c>
      <c r="U846" t="e" cm="1">
        <f t="array" ref="U846">INDEX($C$2:$D$40,MOD(ROW()-ROW($C$2),ROWS($C$2:$D$40))+1,INT((ROW()-ROW($C$2))/ROWS($C$2:$D$40))+1)</f>
        <v>#REF!</v>
      </c>
      <c r="V846" t="e">
        <f t="shared" ca="1" si="96"/>
        <v>#N/A</v>
      </c>
      <c r="W846" t="str" cm="1">
        <f t="array" aca="1" ref="W846" ca="1">IFERROR(INDIRECT("$U"&amp;V846),"")</f>
        <v/>
      </c>
      <c r="Z846" t="e" cm="1">
        <f t="array" ref="Z846">INDEX($AE$2:$AS$40,MOD(ROW()-ROW($AE$2),ROWS($AE$2:$AS$40))+1,INT((ROW()-ROW($AE$2))/ROWS($AE$2:$AS$40))+1)</f>
        <v>#REF!</v>
      </c>
      <c r="AA846" t="e">
        <f t="shared" ca="1" si="97"/>
        <v>#N/A</v>
      </c>
      <c r="AB846" t="str" cm="1">
        <f t="array" aca="1" ref="AB846" ca="1">IFERROR(INDIRECT("$Z"&amp;AA846),"")</f>
        <v/>
      </c>
      <c r="AP846" t="str">
        <f t="shared" si="91"/>
        <v/>
      </c>
      <c r="AQ846" t="str">
        <f t="shared" si="92"/>
        <v/>
      </c>
      <c r="AR846" t="str">
        <f t="shared" si="93"/>
        <v/>
      </c>
      <c r="AS846" t="str">
        <f t="shared" si="94"/>
        <v/>
      </c>
    </row>
    <row r="847" spans="5:45" x14ac:dyDescent="0.25">
      <c r="E847" t="str">
        <f ca="1"/>
        <v/>
      </c>
      <c r="F847" t="str">
        <f ca="1"/>
        <v/>
      </c>
      <c r="P847" t="e" cm="1">
        <f t="array" ref="P847">INDEX($B$2:$D$40,MOD(ROW()-ROW($B$2),ROWS($B$2:$D$40))+1,INT((ROW()-ROW($B$2))/ROWS($B$2:$D$40))+1)</f>
        <v>#REF!</v>
      </c>
      <c r="Q847" t="e">
        <f t="shared" ca="1" si="95"/>
        <v>#N/A</v>
      </c>
      <c r="R847" t="str" cm="1">
        <f t="array" aca="1" ref="R847" ca="1">IFERROR(INDIRECT("$P"&amp;Q847),"")</f>
        <v/>
      </c>
      <c r="U847" t="e" cm="1">
        <f t="array" ref="U847">INDEX($C$2:$D$40,MOD(ROW()-ROW($C$2),ROWS($C$2:$D$40))+1,INT((ROW()-ROW($C$2))/ROWS($C$2:$D$40))+1)</f>
        <v>#REF!</v>
      </c>
      <c r="V847" t="e">
        <f t="shared" ca="1" si="96"/>
        <v>#N/A</v>
      </c>
      <c r="W847" t="str" cm="1">
        <f t="array" aca="1" ref="W847" ca="1">IFERROR(INDIRECT("$U"&amp;V847),"")</f>
        <v/>
      </c>
      <c r="Z847" t="e" cm="1">
        <f t="array" ref="Z847">INDEX($AE$2:$AS$40,MOD(ROW()-ROW($AE$2),ROWS($AE$2:$AS$40))+1,INT((ROW()-ROW($AE$2))/ROWS($AE$2:$AS$40))+1)</f>
        <v>#REF!</v>
      </c>
      <c r="AA847" t="e">
        <f t="shared" ca="1" si="97"/>
        <v>#N/A</v>
      </c>
      <c r="AB847" t="str" cm="1">
        <f t="array" aca="1" ref="AB847" ca="1">IFERROR(INDIRECT("$Z"&amp;AA847),"")</f>
        <v/>
      </c>
      <c r="AP847" t="str">
        <f t="shared" si="91"/>
        <v/>
      </c>
      <c r="AQ847" t="str">
        <f t="shared" si="92"/>
        <v/>
      </c>
      <c r="AR847" t="str">
        <f t="shared" si="93"/>
        <v/>
      </c>
      <c r="AS847" t="str">
        <f t="shared" si="94"/>
        <v/>
      </c>
    </row>
    <row r="848" spans="5:45" x14ac:dyDescent="0.25">
      <c r="E848" t="str">
        <f ca="1"/>
        <v/>
      </c>
      <c r="F848" t="str">
        <f ca="1"/>
        <v/>
      </c>
      <c r="P848" t="e" cm="1">
        <f t="array" ref="P848">INDEX($B$2:$D$40,MOD(ROW()-ROW($B$2),ROWS($B$2:$D$40))+1,INT((ROW()-ROW($B$2))/ROWS($B$2:$D$40))+1)</f>
        <v>#REF!</v>
      </c>
      <c r="Q848" t="e">
        <f t="shared" ca="1" si="95"/>
        <v>#N/A</v>
      </c>
      <c r="R848" t="str" cm="1">
        <f t="array" aca="1" ref="R848" ca="1">IFERROR(INDIRECT("$P"&amp;Q848),"")</f>
        <v/>
      </c>
      <c r="U848" t="e" cm="1">
        <f t="array" ref="U848">INDEX($C$2:$D$40,MOD(ROW()-ROW($C$2),ROWS($C$2:$D$40))+1,INT((ROW()-ROW($C$2))/ROWS($C$2:$D$40))+1)</f>
        <v>#REF!</v>
      </c>
      <c r="V848" t="e">
        <f t="shared" ca="1" si="96"/>
        <v>#N/A</v>
      </c>
      <c r="W848" t="str" cm="1">
        <f t="array" aca="1" ref="W848" ca="1">IFERROR(INDIRECT("$U"&amp;V848),"")</f>
        <v/>
      </c>
      <c r="Z848" t="e" cm="1">
        <f t="array" ref="Z848">INDEX($AE$2:$AS$40,MOD(ROW()-ROW($AE$2),ROWS($AE$2:$AS$40))+1,INT((ROW()-ROW($AE$2))/ROWS($AE$2:$AS$40))+1)</f>
        <v>#REF!</v>
      </c>
      <c r="AA848" t="e">
        <f t="shared" ca="1" si="97"/>
        <v>#N/A</v>
      </c>
      <c r="AB848" t="str" cm="1">
        <f t="array" aca="1" ref="AB848" ca="1">IFERROR(INDIRECT("$Z"&amp;AA848),"")</f>
        <v/>
      </c>
      <c r="AP848" t="str">
        <f t="shared" si="91"/>
        <v/>
      </c>
      <c r="AQ848" t="str">
        <f t="shared" si="92"/>
        <v/>
      </c>
      <c r="AR848" t="str">
        <f t="shared" si="93"/>
        <v/>
      </c>
      <c r="AS848" t="str">
        <f t="shared" si="94"/>
        <v/>
      </c>
    </row>
    <row r="849" spans="5:45" x14ac:dyDescent="0.25">
      <c r="E849" t="str">
        <f ca="1"/>
        <v/>
      </c>
      <c r="F849" t="str">
        <f ca="1"/>
        <v/>
      </c>
      <c r="P849" t="e" cm="1">
        <f t="array" ref="P849">INDEX($B$2:$D$40,MOD(ROW()-ROW($B$2),ROWS($B$2:$D$40))+1,INT((ROW()-ROW($B$2))/ROWS($B$2:$D$40))+1)</f>
        <v>#REF!</v>
      </c>
      <c r="Q849" t="e">
        <f t="shared" ca="1" si="95"/>
        <v>#N/A</v>
      </c>
      <c r="R849" t="str" cm="1">
        <f t="array" aca="1" ref="R849" ca="1">IFERROR(INDIRECT("$P"&amp;Q849),"")</f>
        <v/>
      </c>
      <c r="U849" t="e" cm="1">
        <f t="array" ref="U849">INDEX($C$2:$D$40,MOD(ROW()-ROW($C$2),ROWS($C$2:$D$40))+1,INT((ROW()-ROW($C$2))/ROWS($C$2:$D$40))+1)</f>
        <v>#REF!</v>
      </c>
      <c r="V849" t="e">
        <f t="shared" ca="1" si="96"/>
        <v>#N/A</v>
      </c>
      <c r="W849" t="str" cm="1">
        <f t="array" aca="1" ref="W849" ca="1">IFERROR(INDIRECT("$U"&amp;V849),"")</f>
        <v/>
      </c>
      <c r="Z849" t="e" cm="1">
        <f t="array" ref="Z849">INDEX($AE$2:$AS$40,MOD(ROW()-ROW($AE$2),ROWS($AE$2:$AS$40))+1,INT((ROW()-ROW($AE$2))/ROWS($AE$2:$AS$40))+1)</f>
        <v>#REF!</v>
      </c>
      <c r="AA849" t="e">
        <f t="shared" ca="1" si="97"/>
        <v>#N/A</v>
      </c>
      <c r="AB849" t="str" cm="1">
        <f t="array" aca="1" ref="AB849" ca="1">IFERROR(INDIRECT("$Z"&amp;AA849),"")</f>
        <v/>
      </c>
      <c r="AP849" t="str">
        <f t="shared" si="91"/>
        <v/>
      </c>
      <c r="AQ849" t="str">
        <f t="shared" si="92"/>
        <v/>
      </c>
      <c r="AR849" t="str">
        <f t="shared" si="93"/>
        <v/>
      </c>
      <c r="AS849" t="str">
        <f t="shared" si="94"/>
        <v/>
      </c>
    </row>
    <row r="850" spans="5:45" x14ac:dyDescent="0.25">
      <c r="E850" t="str">
        <f ca="1"/>
        <v/>
      </c>
      <c r="F850" t="str">
        <f ca="1"/>
        <v/>
      </c>
      <c r="P850" t="e" cm="1">
        <f t="array" ref="P850">INDEX($B$2:$D$40,MOD(ROW()-ROW($B$2),ROWS($B$2:$D$40))+1,INT((ROW()-ROW($B$2))/ROWS($B$2:$D$40))+1)</f>
        <v>#REF!</v>
      </c>
      <c r="Q850" t="e">
        <f t="shared" ca="1" si="95"/>
        <v>#N/A</v>
      </c>
      <c r="R850" t="str" cm="1">
        <f t="array" aca="1" ref="R850" ca="1">IFERROR(INDIRECT("$P"&amp;Q850),"")</f>
        <v/>
      </c>
      <c r="U850" t="e" cm="1">
        <f t="array" ref="U850">INDEX($C$2:$D$40,MOD(ROW()-ROW($C$2),ROWS($C$2:$D$40))+1,INT((ROW()-ROW($C$2))/ROWS($C$2:$D$40))+1)</f>
        <v>#REF!</v>
      </c>
      <c r="V850" t="e">
        <f t="shared" ca="1" si="96"/>
        <v>#N/A</v>
      </c>
      <c r="W850" t="str" cm="1">
        <f t="array" aca="1" ref="W850" ca="1">IFERROR(INDIRECT("$U"&amp;V850),"")</f>
        <v/>
      </c>
      <c r="Z850" t="e" cm="1">
        <f t="array" ref="Z850">INDEX($AE$2:$AS$40,MOD(ROW()-ROW($AE$2),ROWS($AE$2:$AS$40))+1,INT((ROW()-ROW($AE$2))/ROWS($AE$2:$AS$40))+1)</f>
        <v>#REF!</v>
      </c>
      <c r="AA850" t="e">
        <f t="shared" ca="1" si="97"/>
        <v>#N/A</v>
      </c>
      <c r="AB850" t="str" cm="1">
        <f t="array" aca="1" ref="AB850" ca="1">IFERROR(INDIRECT("$Z"&amp;AA850),"")</f>
        <v/>
      </c>
      <c r="AP850" t="str">
        <f t="shared" si="91"/>
        <v/>
      </c>
      <c r="AQ850" t="str">
        <f t="shared" si="92"/>
        <v/>
      </c>
      <c r="AR850" t="str">
        <f t="shared" si="93"/>
        <v/>
      </c>
      <c r="AS850" t="str">
        <f t="shared" si="94"/>
        <v/>
      </c>
    </row>
    <row r="851" spans="5:45" x14ac:dyDescent="0.25">
      <c r="E851" t="str">
        <f ca="1"/>
        <v/>
      </c>
      <c r="F851" t="str">
        <f ca="1"/>
        <v/>
      </c>
      <c r="P851" t="e" cm="1">
        <f t="array" ref="P851">INDEX($B$2:$D$40,MOD(ROW()-ROW($B$2),ROWS($B$2:$D$40))+1,INT((ROW()-ROW($B$2))/ROWS($B$2:$D$40))+1)</f>
        <v>#REF!</v>
      </c>
      <c r="Q851" t="e">
        <f t="shared" ca="1" si="95"/>
        <v>#N/A</v>
      </c>
      <c r="R851" t="str" cm="1">
        <f t="array" aca="1" ref="R851" ca="1">IFERROR(INDIRECT("$P"&amp;Q851),"")</f>
        <v/>
      </c>
      <c r="U851" t="e" cm="1">
        <f t="array" ref="U851">INDEX($C$2:$D$40,MOD(ROW()-ROW($C$2),ROWS($C$2:$D$40))+1,INT((ROW()-ROW($C$2))/ROWS($C$2:$D$40))+1)</f>
        <v>#REF!</v>
      </c>
      <c r="V851" t="e">
        <f t="shared" ca="1" si="96"/>
        <v>#N/A</v>
      </c>
      <c r="W851" t="str" cm="1">
        <f t="array" aca="1" ref="W851" ca="1">IFERROR(INDIRECT("$U"&amp;V851),"")</f>
        <v/>
      </c>
      <c r="Z851" t="e" cm="1">
        <f t="array" ref="Z851">INDEX($AE$2:$AS$40,MOD(ROW()-ROW($AE$2),ROWS($AE$2:$AS$40))+1,INT((ROW()-ROW($AE$2))/ROWS($AE$2:$AS$40))+1)</f>
        <v>#REF!</v>
      </c>
      <c r="AA851" t="e">
        <f t="shared" ca="1" si="97"/>
        <v>#N/A</v>
      </c>
      <c r="AB851" t="str" cm="1">
        <f t="array" aca="1" ref="AB851" ca="1">IFERROR(INDIRECT("$Z"&amp;AA851),"")</f>
        <v/>
      </c>
      <c r="AP851" t="str">
        <f t="shared" si="91"/>
        <v/>
      </c>
      <c r="AQ851" t="str">
        <f t="shared" si="92"/>
        <v/>
      </c>
      <c r="AR851" t="str">
        <f t="shared" si="93"/>
        <v/>
      </c>
      <c r="AS851" t="str">
        <f t="shared" si="94"/>
        <v/>
      </c>
    </row>
    <row r="852" spans="5:45" x14ac:dyDescent="0.25">
      <c r="E852" t="str">
        <f ca="1"/>
        <v/>
      </c>
      <c r="F852" t="str">
        <f ca="1"/>
        <v/>
      </c>
      <c r="P852" t="e" cm="1">
        <f t="array" ref="P852">INDEX($B$2:$D$40,MOD(ROW()-ROW($B$2),ROWS($B$2:$D$40))+1,INT((ROW()-ROW($B$2))/ROWS($B$2:$D$40))+1)</f>
        <v>#REF!</v>
      </c>
      <c r="Q852" t="e">
        <f t="shared" ca="1" si="95"/>
        <v>#N/A</v>
      </c>
      <c r="R852" t="str" cm="1">
        <f t="array" aca="1" ref="R852" ca="1">IFERROR(INDIRECT("$P"&amp;Q852),"")</f>
        <v/>
      </c>
      <c r="U852" t="e" cm="1">
        <f t="array" ref="U852">INDEX($C$2:$D$40,MOD(ROW()-ROW($C$2),ROWS($C$2:$D$40))+1,INT((ROW()-ROW($C$2))/ROWS($C$2:$D$40))+1)</f>
        <v>#REF!</v>
      </c>
      <c r="V852" t="e">
        <f t="shared" ca="1" si="96"/>
        <v>#N/A</v>
      </c>
      <c r="W852" t="str" cm="1">
        <f t="array" aca="1" ref="W852" ca="1">IFERROR(INDIRECT("$U"&amp;V852),"")</f>
        <v/>
      </c>
      <c r="Z852" t="e" cm="1">
        <f t="array" ref="Z852">INDEX($AE$2:$AS$40,MOD(ROW()-ROW($AE$2),ROWS($AE$2:$AS$40))+1,INT((ROW()-ROW($AE$2))/ROWS($AE$2:$AS$40))+1)</f>
        <v>#REF!</v>
      </c>
      <c r="AA852" t="e">
        <f t="shared" ca="1" si="97"/>
        <v>#N/A</v>
      </c>
      <c r="AB852" t="str" cm="1">
        <f t="array" aca="1" ref="AB852" ca="1">IFERROR(INDIRECT("$Z"&amp;AA852),"")</f>
        <v/>
      </c>
      <c r="AP852" t="str">
        <f t="shared" si="91"/>
        <v/>
      </c>
      <c r="AQ852" t="str">
        <f t="shared" si="92"/>
        <v/>
      </c>
      <c r="AR852" t="str">
        <f t="shared" si="93"/>
        <v/>
      </c>
      <c r="AS852" t="str">
        <f t="shared" si="94"/>
        <v/>
      </c>
    </row>
    <row r="853" spans="5:45" x14ac:dyDescent="0.25">
      <c r="E853" t="str">
        <f ca="1"/>
        <v/>
      </c>
      <c r="F853" t="str">
        <f ca="1"/>
        <v/>
      </c>
      <c r="P853" t="e" cm="1">
        <f t="array" ref="P853">INDEX($B$2:$D$40,MOD(ROW()-ROW($B$2),ROWS($B$2:$D$40))+1,INT((ROW()-ROW($B$2))/ROWS($B$2:$D$40))+1)</f>
        <v>#REF!</v>
      </c>
      <c r="Q853" t="e">
        <f t="shared" ca="1" si="95"/>
        <v>#N/A</v>
      </c>
      <c r="R853" t="str" cm="1">
        <f t="array" aca="1" ref="R853" ca="1">IFERROR(INDIRECT("$P"&amp;Q853),"")</f>
        <v/>
      </c>
      <c r="U853" t="e" cm="1">
        <f t="array" ref="U853">INDEX($C$2:$D$40,MOD(ROW()-ROW($C$2),ROWS($C$2:$D$40))+1,INT((ROW()-ROW($C$2))/ROWS($C$2:$D$40))+1)</f>
        <v>#REF!</v>
      </c>
      <c r="V853" t="e">
        <f t="shared" ca="1" si="96"/>
        <v>#N/A</v>
      </c>
      <c r="W853" t="str" cm="1">
        <f t="array" aca="1" ref="W853" ca="1">IFERROR(INDIRECT("$U"&amp;V853),"")</f>
        <v/>
      </c>
      <c r="Z853" t="e" cm="1">
        <f t="array" ref="Z853">INDEX($AE$2:$AS$40,MOD(ROW()-ROW($AE$2),ROWS($AE$2:$AS$40))+1,INT((ROW()-ROW($AE$2))/ROWS($AE$2:$AS$40))+1)</f>
        <v>#REF!</v>
      </c>
      <c r="AA853" t="e">
        <f t="shared" ca="1" si="97"/>
        <v>#N/A</v>
      </c>
      <c r="AB853" t="str" cm="1">
        <f t="array" aca="1" ref="AB853" ca="1">IFERROR(INDIRECT("$Z"&amp;AA853),"")</f>
        <v/>
      </c>
      <c r="AP853" t="str">
        <f t="shared" si="91"/>
        <v/>
      </c>
      <c r="AQ853" t="str">
        <f t="shared" si="92"/>
        <v/>
      </c>
      <c r="AR853" t="str">
        <f t="shared" si="93"/>
        <v/>
      </c>
      <c r="AS853" t="str">
        <f t="shared" si="94"/>
        <v/>
      </c>
    </row>
    <row r="854" spans="5:45" x14ac:dyDescent="0.25">
      <c r="E854" t="str">
        <f ca="1"/>
        <v/>
      </c>
      <c r="F854" t="str">
        <f ca="1"/>
        <v/>
      </c>
      <c r="P854" t="e" cm="1">
        <f t="array" ref="P854">INDEX($B$2:$D$40,MOD(ROW()-ROW($B$2),ROWS($B$2:$D$40))+1,INT((ROW()-ROW($B$2))/ROWS($B$2:$D$40))+1)</f>
        <v>#REF!</v>
      </c>
      <c r="Q854" t="e">
        <f t="shared" ca="1" si="95"/>
        <v>#N/A</v>
      </c>
      <c r="R854" t="str" cm="1">
        <f t="array" aca="1" ref="R854" ca="1">IFERROR(INDIRECT("$P"&amp;Q854),"")</f>
        <v/>
      </c>
      <c r="U854" t="e" cm="1">
        <f t="array" ref="U854">INDEX($C$2:$D$40,MOD(ROW()-ROW($C$2),ROWS($C$2:$D$40))+1,INT((ROW()-ROW($C$2))/ROWS($C$2:$D$40))+1)</f>
        <v>#REF!</v>
      </c>
      <c r="V854" t="e">
        <f t="shared" ca="1" si="96"/>
        <v>#N/A</v>
      </c>
      <c r="W854" t="str" cm="1">
        <f t="array" aca="1" ref="W854" ca="1">IFERROR(INDIRECT("$U"&amp;V854),"")</f>
        <v/>
      </c>
      <c r="Z854" t="e" cm="1">
        <f t="array" ref="Z854">INDEX($AE$2:$AS$40,MOD(ROW()-ROW($AE$2),ROWS($AE$2:$AS$40))+1,INT((ROW()-ROW($AE$2))/ROWS($AE$2:$AS$40))+1)</f>
        <v>#REF!</v>
      </c>
      <c r="AA854" t="e">
        <f t="shared" ca="1" si="97"/>
        <v>#N/A</v>
      </c>
      <c r="AB854" t="str" cm="1">
        <f t="array" aca="1" ref="AB854" ca="1">IFERROR(INDIRECT("$Z"&amp;AA854),"")</f>
        <v/>
      </c>
      <c r="AP854" t="str">
        <f t="shared" si="91"/>
        <v/>
      </c>
      <c r="AQ854" t="str">
        <f t="shared" si="92"/>
        <v/>
      </c>
      <c r="AR854" t="str">
        <f t="shared" si="93"/>
        <v/>
      </c>
      <c r="AS854" t="str">
        <f t="shared" si="94"/>
        <v/>
      </c>
    </row>
    <row r="855" spans="5:45" x14ac:dyDescent="0.25">
      <c r="E855" t="str">
        <f ca="1"/>
        <v/>
      </c>
      <c r="F855" t="str">
        <f ca="1"/>
        <v/>
      </c>
      <c r="P855" t="e" cm="1">
        <f t="array" ref="P855">INDEX($B$2:$D$40,MOD(ROW()-ROW($B$2),ROWS($B$2:$D$40))+1,INT((ROW()-ROW($B$2))/ROWS($B$2:$D$40))+1)</f>
        <v>#REF!</v>
      </c>
      <c r="Q855" t="e">
        <f t="shared" ca="1" si="95"/>
        <v>#N/A</v>
      </c>
      <c r="R855" t="str" cm="1">
        <f t="array" aca="1" ref="R855" ca="1">IFERROR(INDIRECT("$P"&amp;Q855),"")</f>
        <v/>
      </c>
      <c r="U855" t="e" cm="1">
        <f t="array" ref="U855">INDEX($C$2:$D$40,MOD(ROW()-ROW($C$2),ROWS($C$2:$D$40))+1,INT((ROW()-ROW($C$2))/ROWS($C$2:$D$40))+1)</f>
        <v>#REF!</v>
      </c>
      <c r="V855" t="e">
        <f t="shared" ca="1" si="96"/>
        <v>#N/A</v>
      </c>
      <c r="W855" t="str" cm="1">
        <f t="array" aca="1" ref="W855" ca="1">IFERROR(INDIRECT("$U"&amp;V855),"")</f>
        <v/>
      </c>
      <c r="Z855" t="e" cm="1">
        <f t="array" ref="Z855">INDEX($AE$2:$AS$40,MOD(ROW()-ROW($AE$2),ROWS($AE$2:$AS$40))+1,INT((ROW()-ROW($AE$2))/ROWS($AE$2:$AS$40))+1)</f>
        <v>#REF!</v>
      </c>
      <c r="AA855" t="e">
        <f t="shared" ca="1" si="97"/>
        <v>#N/A</v>
      </c>
      <c r="AB855" t="str" cm="1">
        <f t="array" aca="1" ref="AB855" ca="1">IFERROR(INDIRECT("$Z"&amp;AA855),"")</f>
        <v/>
      </c>
      <c r="AP855" t="str">
        <f t="shared" si="91"/>
        <v/>
      </c>
      <c r="AQ855" t="str">
        <f t="shared" si="92"/>
        <v/>
      </c>
      <c r="AR855" t="str">
        <f t="shared" si="93"/>
        <v/>
      </c>
      <c r="AS855" t="str">
        <f t="shared" si="94"/>
        <v/>
      </c>
    </row>
    <row r="856" spans="5:45" x14ac:dyDescent="0.25">
      <c r="E856" t="str">
        <f ca="1"/>
        <v/>
      </c>
      <c r="F856" t="str">
        <f ca="1"/>
        <v/>
      </c>
      <c r="P856" t="e" cm="1">
        <f t="array" ref="P856">INDEX($B$2:$D$40,MOD(ROW()-ROW($B$2),ROWS($B$2:$D$40))+1,INT((ROW()-ROW($B$2))/ROWS($B$2:$D$40))+1)</f>
        <v>#REF!</v>
      </c>
      <c r="Q856" t="e">
        <f t="shared" ca="1" si="95"/>
        <v>#N/A</v>
      </c>
      <c r="R856" t="str" cm="1">
        <f t="array" aca="1" ref="R856" ca="1">IFERROR(INDIRECT("$P"&amp;Q856),"")</f>
        <v/>
      </c>
      <c r="U856" t="e" cm="1">
        <f t="array" ref="U856">INDEX($C$2:$D$40,MOD(ROW()-ROW($C$2),ROWS($C$2:$D$40))+1,INT((ROW()-ROW($C$2))/ROWS($C$2:$D$40))+1)</f>
        <v>#REF!</v>
      </c>
      <c r="V856" t="e">
        <f t="shared" ca="1" si="96"/>
        <v>#N/A</v>
      </c>
      <c r="W856" t="str" cm="1">
        <f t="array" aca="1" ref="W856" ca="1">IFERROR(INDIRECT("$U"&amp;V856),"")</f>
        <v/>
      </c>
      <c r="Z856" t="e" cm="1">
        <f t="array" ref="Z856">INDEX($AE$2:$AS$40,MOD(ROW()-ROW($AE$2),ROWS($AE$2:$AS$40))+1,INT((ROW()-ROW($AE$2))/ROWS($AE$2:$AS$40))+1)</f>
        <v>#REF!</v>
      </c>
      <c r="AA856" t="e">
        <f t="shared" ca="1" si="97"/>
        <v>#N/A</v>
      </c>
      <c r="AB856" t="str" cm="1">
        <f t="array" aca="1" ref="AB856" ca="1">IFERROR(INDIRECT("$Z"&amp;AA856),"")</f>
        <v/>
      </c>
      <c r="AP856" t="str">
        <f t="shared" si="91"/>
        <v/>
      </c>
      <c r="AQ856" t="str">
        <f t="shared" si="92"/>
        <v/>
      </c>
      <c r="AR856" t="str">
        <f t="shared" si="93"/>
        <v/>
      </c>
      <c r="AS856" t="str">
        <f t="shared" si="94"/>
        <v/>
      </c>
    </row>
    <row r="857" spans="5:45" x14ac:dyDescent="0.25">
      <c r="E857" t="str">
        <f ca="1"/>
        <v/>
      </c>
      <c r="F857" t="str">
        <f ca="1"/>
        <v/>
      </c>
      <c r="P857" t="e" cm="1">
        <f t="array" ref="P857">INDEX($B$2:$D$40,MOD(ROW()-ROW($B$2),ROWS($B$2:$D$40))+1,INT((ROW()-ROW($B$2))/ROWS($B$2:$D$40))+1)</f>
        <v>#REF!</v>
      </c>
      <c r="Q857" t="e">
        <f t="shared" ca="1" si="95"/>
        <v>#N/A</v>
      </c>
      <c r="R857" t="str" cm="1">
        <f t="array" aca="1" ref="R857" ca="1">IFERROR(INDIRECT("$P"&amp;Q857),"")</f>
        <v/>
      </c>
      <c r="U857" t="e" cm="1">
        <f t="array" ref="U857">INDEX($C$2:$D$40,MOD(ROW()-ROW($C$2),ROWS($C$2:$D$40))+1,INT((ROW()-ROW($C$2))/ROWS($C$2:$D$40))+1)</f>
        <v>#REF!</v>
      </c>
      <c r="V857" t="e">
        <f t="shared" ca="1" si="96"/>
        <v>#N/A</v>
      </c>
      <c r="W857" t="str" cm="1">
        <f t="array" aca="1" ref="W857" ca="1">IFERROR(INDIRECT("$U"&amp;V857),"")</f>
        <v/>
      </c>
      <c r="Z857" t="e" cm="1">
        <f t="array" ref="Z857">INDEX($AE$2:$AS$40,MOD(ROW()-ROW($AE$2),ROWS($AE$2:$AS$40))+1,INT((ROW()-ROW($AE$2))/ROWS($AE$2:$AS$40))+1)</f>
        <v>#REF!</v>
      </c>
      <c r="AA857" t="e">
        <f t="shared" ca="1" si="97"/>
        <v>#N/A</v>
      </c>
      <c r="AB857" t="str" cm="1">
        <f t="array" aca="1" ref="AB857" ca="1">IFERROR(INDIRECT("$Z"&amp;AA857),"")</f>
        <v/>
      </c>
      <c r="AP857" t="str">
        <f t="shared" si="91"/>
        <v/>
      </c>
      <c r="AQ857" t="str">
        <f t="shared" si="92"/>
        <v/>
      </c>
      <c r="AR857" t="str">
        <f t="shared" si="93"/>
        <v/>
      </c>
      <c r="AS857" t="str">
        <f t="shared" si="94"/>
        <v/>
      </c>
    </row>
    <row r="858" spans="5:45" x14ac:dyDescent="0.25">
      <c r="E858" t="str">
        <f ca="1"/>
        <v/>
      </c>
      <c r="F858" t="str">
        <f ca="1"/>
        <v/>
      </c>
      <c r="P858" t="e" cm="1">
        <f t="array" ref="P858">INDEX($B$2:$D$40,MOD(ROW()-ROW($B$2),ROWS($B$2:$D$40))+1,INT((ROW()-ROW($B$2))/ROWS($B$2:$D$40))+1)</f>
        <v>#REF!</v>
      </c>
      <c r="Q858" t="e">
        <f t="shared" ca="1" si="95"/>
        <v>#N/A</v>
      </c>
      <c r="R858" t="str" cm="1">
        <f t="array" aca="1" ref="R858" ca="1">IFERROR(INDIRECT("$P"&amp;Q858),"")</f>
        <v/>
      </c>
      <c r="U858" t="e" cm="1">
        <f t="array" ref="U858">INDEX($C$2:$D$40,MOD(ROW()-ROW($C$2),ROWS($C$2:$D$40))+1,INT((ROW()-ROW($C$2))/ROWS($C$2:$D$40))+1)</f>
        <v>#REF!</v>
      </c>
      <c r="V858" t="e">
        <f t="shared" ca="1" si="96"/>
        <v>#N/A</v>
      </c>
      <c r="W858" t="str" cm="1">
        <f t="array" aca="1" ref="W858" ca="1">IFERROR(INDIRECT("$U"&amp;V858),"")</f>
        <v/>
      </c>
      <c r="Z858" t="e" cm="1">
        <f t="array" ref="Z858">INDEX($AE$2:$AS$40,MOD(ROW()-ROW($AE$2),ROWS($AE$2:$AS$40))+1,INT((ROW()-ROW($AE$2))/ROWS($AE$2:$AS$40))+1)</f>
        <v>#REF!</v>
      </c>
      <c r="AA858" t="e">
        <f t="shared" ca="1" si="97"/>
        <v>#N/A</v>
      </c>
      <c r="AB858" t="str" cm="1">
        <f t="array" aca="1" ref="AB858" ca="1">IFERROR(INDIRECT("$Z"&amp;AA858),"")</f>
        <v/>
      </c>
      <c r="AP858" t="str">
        <f t="shared" si="91"/>
        <v/>
      </c>
      <c r="AQ858" t="str">
        <f t="shared" si="92"/>
        <v/>
      </c>
      <c r="AR858" t="str">
        <f t="shared" si="93"/>
        <v/>
      </c>
      <c r="AS858" t="str">
        <f t="shared" si="94"/>
        <v/>
      </c>
    </row>
    <row r="859" spans="5:45" x14ac:dyDescent="0.25">
      <c r="E859" t="str">
        <f ca="1"/>
        <v/>
      </c>
      <c r="F859" t="str">
        <f ca="1"/>
        <v/>
      </c>
      <c r="P859" t="e" cm="1">
        <f t="array" ref="P859">INDEX($B$2:$D$40,MOD(ROW()-ROW($B$2),ROWS($B$2:$D$40))+1,INT((ROW()-ROW($B$2))/ROWS($B$2:$D$40))+1)</f>
        <v>#REF!</v>
      </c>
      <c r="Q859" t="e">
        <f t="shared" ca="1" si="95"/>
        <v>#N/A</v>
      </c>
      <c r="R859" t="str" cm="1">
        <f t="array" aca="1" ref="R859" ca="1">IFERROR(INDIRECT("$P"&amp;Q859),"")</f>
        <v/>
      </c>
      <c r="U859" t="e" cm="1">
        <f t="array" ref="U859">INDEX($C$2:$D$40,MOD(ROW()-ROW($C$2),ROWS($C$2:$D$40))+1,INT((ROW()-ROW($C$2))/ROWS($C$2:$D$40))+1)</f>
        <v>#REF!</v>
      </c>
      <c r="V859" t="e">
        <f t="shared" ca="1" si="96"/>
        <v>#N/A</v>
      </c>
      <c r="W859" t="str" cm="1">
        <f t="array" aca="1" ref="W859" ca="1">IFERROR(INDIRECT("$U"&amp;V859),"")</f>
        <v/>
      </c>
      <c r="Z859" t="e" cm="1">
        <f t="array" ref="Z859">INDEX($AE$2:$AS$40,MOD(ROW()-ROW($AE$2),ROWS($AE$2:$AS$40))+1,INT((ROW()-ROW($AE$2))/ROWS($AE$2:$AS$40))+1)</f>
        <v>#REF!</v>
      </c>
      <c r="AA859" t="e">
        <f t="shared" ca="1" si="97"/>
        <v>#N/A</v>
      </c>
      <c r="AB859" t="str" cm="1">
        <f t="array" aca="1" ref="AB859" ca="1">IFERROR(INDIRECT("$Z"&amp;AA859),"")</f>
        <v/>
      </c>
      <c r="AP859" t="str">
        <f t="shared" si="91"/>
        <v/>
      </c>
      <c r="AQ859" t="str">
        <f t="shared" si="92"/>
        <v/>
      </c>
      <c r="AR859" t="str">
        <f t="shared" si="93"/>
        <v/>
      </c>
      <c r="AS859" t="str">
        <f t="shared" si="94"/>
        <v/>
      </c>
    </row>
    <row r="860" spans="5:45" x14ac:dyDescent="0.25">
      <c r="E860" t="str">
        <f ca="1"/>
        <v/>
      </c>
      <c r="F860" t="str">
        <f ca="1"/>
        <v/>
      </c>
      <c r="P860" t="e" cm="1">
        <f t="array" ref="P860">INDEX($B$2:$D$40,MOD(ROW()-ROW($B$2),ROWS($B$2:$D$40))+1,INT((ROW()-ROW($B$2))/ROWS($B$2:$D$40))+1)</f>
        <v>#REF!</v>
      </c>
      <c r="Q860" t="e">
        <f t="shared" ca="1" si="95"/>
        <v>#N/A</v>
      </c>
      <c r="R860" t="str" cm="1">
        <f t="array" aca="1" ref="R860" ca="1">IFERROR(INDIRECT("$P"&amp;Q860),"")</f>
        <v/>
      </c>
      <c r="U860" t="e" cm="1">
        <f t="array" ref="U860">INDEX($C$2:$D$40,MOD(ROW()-ROW($C$2),ROWS($C$2:$D$40))+1,INT((ROW()-ROW($C$2))/ROWS($C$2:$D$40))+1)</f>
        <v>#REF!</v>
      </c>
      <c r="V860" t="e">
        <f t="shared" ca="1" si="96"/>
        <v>#N/A</v>
      </c>
      <c r="W860" t="str" cm="1">
        <f t="array" aca="1" ref="W860" ca="1">IFERROR(INDIRECT("$U"&amp;V860),"")</f>
        <v/>
      </c>
      <c r="Z860" t="e" cm="1">
        <f t="array" ref="Z860">INDEX($AE$2:$AS$40,MOD(ROW()-ROW($AE$2),ROWS($AE$2:$AS$40))+1,INT((ROW()-ROW($AE$2))/ROWS($AE$2:$AS$40))+1)</f>
        <v>#REF!</v>
      </c>
      <c r="AA860" t="e">
        <f t="shared" ca="1" si="97"/>
        <v>#N/A</v>
      </c>
      <c r="AB860" t="str" cm="1">
        <f t="array" aca="1" ref="AB860" ca="1">IFERROR(INDIRECT("$Z"&amp;AA860),"")</f>
        <v/>
      </c>
      <c r="AP860" t="str">
        <f t="shared" si="91"/>
        <v/>
      </c>
      <c r="AQ860" t="str">
        <f t="shared" si="92"/>
        <v/>
      </c>
      <c r="AR860" t="str">
        <f t="shared" si="93"/>
        <v/>
      </c>
      <c r="AS860" t="str">
        <f t="shared" si="94"/>
        <v/>
      </c>
    </row>
    <row r="861" spans="5:45" x14ac:dyDescent="0.25">
      <c r="E861" t="str">
        <f ca="1"/>
        <v/>
      </c>
      <c r="F861" t="str">
        <f ca="1"/>
        <v/>
      </c>
      <c r="P861" t="e" cm="1">
        <f t="array" ref="P861">INDEX($B$2:$D$40,MOD(ROW()-ROW($B$2),ROWS($B$2:$D$40))+1,INT((ROW()-ROW($B$2))/ROWS($B$2:$D$40))+1)</f>
        <v>#REF!</v>
      </c>
      <c r="Q861" t="e">
        <f t="shared" ca="1" si="95"/>
        <v>#N/A</v>
      </c>
      <c r="R861" t="str" cm="1">
        <f t="array" aca="1" ref="R861" ca="1">IFERROR(INDIRECT("$P"&amp;Q861),"")</f>
        <v/>
      </c>
      <c r="U861" t="e" cm="1">
        <f t="array" ref="U861">INDEX($C$2:$D$40,MOD(ROW()-ROW($C$2),ROWS($C$2:$D$40))+1,INT((ROW()-ROW($C$2))/ROWS($C$2:$D$40))+1)</f>
        <v>#REF!</v>
      </c>
      <c r="V861" t="e">
        <f t="shared" ca="1" si="96"/>
        <v>#N/A</v>
      </c>
      <c r="W861" t="str" cm="1">
        <f t="array" aca="1" ref="W861" ca="1">IFERROR(INDIRECT("$U"&amp;V861),"")</f>
        <v/>
      </c>
      <c r="Z861" t="e" cm="1">
        <f t="array" ref="Z861">INDEX($AE$2:$AS$40,MOD(ROW()-ROW($AE$2),ROWS($AE$2:$AS$40))+1,INT((ROW()-ROW($AE$2))/ROWS($AE$2:$AS$40))+1)</f>
        <v>#REF!</v>
      </c>
      <c r="AA861" t="e">
        <f t="shared" ca="1" si="97"/>
        <v>#N/A</v>
      </c>
      <c r="AB861" t="str" cm="1">
        <f t="array" aca="1" ref="AB861" ca="1">IFERROR(INDIRECT("$Z"&amp;AA861),"")</f>
        <v/>
      </c>
      <c r="AP861" t="str">
        <f t="shared" si="91"/>
        <v/>
      </c>
      <c r="AQ861" t="str">
        <f t="shared" si="92"/>
        <v/>
      </c>
      <c r="AR861" t="str">
        <f t="shared" si="93"/>
        <v/>
      </c>
      <c r="AS861" t="str">
        <f t="shared" si="94"/>
        <v/>
      </c>
    </row>
    <row r="862" spans="5:45" x14ac:dyDescent="0.25">
      <c r="E862" t="str">
        <f ca="1"/>
        <v/>
      </c>
      <c r="F862" t="str">
        <f ca="1"/>
        <v/>
      </c>
      <c r="P862" t="e" cm="1">
        <f t="array" ref="P862">INDEX($B$2:$D$40,MOD(ROW()-ROW($B$2),ROWS($B$2:$D$40))+1,INT((ROW()-ROW($B$2))/ROWS($B$2:$D$40))+1)</f>
        <v>#REF!</v>
      </c>
      <c r="Q862" t="e">
        <f t="shared" ca="1" si="95"/>
        <v>#N/A</v>
      </c>
      <c r="R862" t="str" cm="1">
        <f t="array" aca="1" ref="R862" ca="1">IFERROR(INDIRECT("$P"&amp;Q862),"")</f>
        <v/>
      </c>
      <c r="U862" t="e" cm="1">
        <f t="array" ref="U862">INDEX($C$2:$D$40,MOD(ROW()-ROW($C$2),ROWS($C$2:$D$40))+1,INT((ROW()-ROW($C$2))/ROWS($C$2:$D$40))+1)</f>
        <v>#REF!</v>
      </c>
      <c r="V862" t="e">
        <f t="shared" ca="1" si="96"/>
        <v>#N/A</v>
      </c>
      <c r="W862" t="str" cm="1">
        <f t="array" aca="1" ref="W862" ca="1">IFERROR(INDIRECT("$U"&amp;V862),"")</f>
        <v/>
      </c>
      <c r="Z862" t="e" cm="1">
        <f t="array" ref="Z862">INDEX($AE$2:$AS$40,MOD(ROW()-ROW($AE$2),ROWS($AE$2:$AS$40))+1,INT((ROW()-ROW($AE$2))/ROWS($AE$2:$AS$40))+1)</f>
        <v>#REF!</v>
      </c>
      <c r="AA862" t="e">
        <f t="shared" ca="1" si="97"/>
        <v>#N/A</v>
      </c>
      <c r="AB862" t="str" cm="1">
        <f t="array" aca="1" ref="AB862" ca="1">IFERROR(INDIRECT("$Z"&amp;AA862),"")</f>
        <v/>
      </c>
      <c r="AP862" t="str">
        <f t="shared" si="91"/>
        <v/>
      </c>
      <c r="AQ862" t="str">
        <f t="shared" si="92"/>
        <v/>
      </c>
      <c r="AR862" t="str">
        <f t="shared" si="93"/>
        <v/>
      </c>
      <c r="AS862" t="str">
        <f t="shared" si="94"/>
        <v/>
      </c>
    </row>
    <row r="863" spans="5:45" x14ac:dyDescent="0.25">
      <c r="E863" t="str">
        <f ca="1"/>
        <v/>
      </c>
      <c r="F863" t="str">
        <f ca="1"/>
        <v/>
      </c>
      <c r="P863" t="e" cm="1">
        <f t="array" ref="P863">INDEX($B$2:$D$40,MOD(ROW()-ROW($B$2),ROWS($B$2:$D$40))+1,INT((ROW()-ROW($B$2))/ROWS($B$2:$D$40))+1)</f>
        <v>#REF!</v>
      </c>
      <c r="Q863" t="e">
        <f t="shared" ca="1" si="95"/>
        <v>#N/A</v>
      </c>
      <c r="R863" t="str" cm="1">
        <f t="array" aca="1" ref="R863" ca="1">IFERROR(INDIRECT("$P"&amp;Q863),"")</f>
        <v/>
      </c>
      <c r="U863" t="e" cm="1">
        <f t="array" ref="U863">INDEX($C$2:$D$40,MOD(ROW()-ROW($C$2),ROWS($C$2:$D$40))+1,INT((ROW()-ROW($C$2))/ROWS($C$2:$D$40))+1)</f>
        <v>#REF!</v>
      </c>
      <c r="V863" t="e">
        <f t="shared" ca="1" si="96"/>
        <v>#N/A</v>
      </c>
      <c r="W863" t="str" cm="1">
        <f t="array" aca="1" ref="W863" ca="1">IFERROR(INDIRECT("$U"&amp;V863),"")</f>
        <v/>
      </c>
      <c r="Z863" t="e" cm="1">
        <f t="array" ref="Z863">INDEX($AE$2:$AS$40,MOD(ROW()-ROW($AE$2),ROWS($AE$2:$AS$40))+1,INT((ROW()-ROW($AE$2))/ROWS($AE$2:$AS$40))+1)</f>
        <v>#REF!</v>
      </c>
      <c r="AA863" t="e">
        <f t="shared" ca="1" si="97"/>
        <v>#N/A</v>
      </c>
      <c r="AB863" t="str" cm="1">
        <f t="array" aca="1" ref="AB863" ca="1">IFERROR(INDIRECT("$Z"&amp;AA863),"")</f>
        <v/>
      </c>
      <c r="AP863" t="str">
        <f t="shared" si="91"/>
        <v/>
      </c>
      <c r="AQ863" t="str">
        <f t="shared" si="92"/>
        <v/>
      </c>
      <c r="AR863" t="str">
        <f t="shared" si="93"/>
        <v/>
      </c>
      <c r="AS863" t="str">
        <f t="shared" si="94"/>
        <v/>
      </c>
    </row>
    <row r="864" spans="5:45" x14ac:dyDescent="0.25">
      <c r="E864" t="str">
        <f ca="1"/>
        <v/>
      </c>
      <c r="F864" t="str">
        <f ca="1"/>
        <v/>
      </c>
      <c r="P864" t="e" cm="1">
        <f t="array" ref="P864">INDEX($B$2:$D$40,MOD(ROW()-ROW($B$2),ROWS($B$2:$D$40))+1,INT((ROW()-ROW($B$2))/ROWS($B$2:$D$40))+1)</f>
        <v>#REF!</v>
      </c>
      <c r="Q864" t="e">
        <f t="shared" ca="1" si="95"/>
        <v>#N/A</v>
      </c>
      <c r="R864" t="str" cm="1">
        <f t="array" aca="1" ref="R864" ca="1">IFERROR(INDIRECT("$P"&amp;Q864),"")</f>
        <v/>
      </c>
      <c r="U864" t="e" cm="1">
        <f t="array" ref="U864">INDEX($C$2:$D$40,MOD(ROW()-ROW($C$2),ROWS($C$2:$D$40))+1,INT((ROW()-ROW($C$2))/ROWS($C$2:$D$40))+1)</f>
        <v>#REF!</v>
      </c>
      <c r="V864" t="e">
        <f t="shared" ca="1" si="96"/>
        <v>#N/A</v>
      </c>
      <c r="W864" t="str" cm="1">
        <f t="array" aca="1" ref="W864" ca="1">IFERROR(INDIRECT("$U"&amp;V864),"")</f>
        <v/>
      </c>
      <c r="Z864" t="e" cm="1">
        <f t="array" ref="Z864">INDEX($AE$2:$AS$40,MOD(ROW()-ROW($AE$2),ROWS($AE$2:$AS$40))+1,INT((ROW()-ROW($AE$2))/ROWS($AE$2:$AS$40))+1)</f>
        <v>#REF!</v>
      </c>
      <c r="AA864" t="e">
        <f t="shared" ca="1" si="97"/>
        <v>#N/A</v>
      </c>
      <c r="AB864" t="str" cm="1">
        <f t="array" aca="1" ref="AB864" ca="1">IFERROR(INDIRECT("$Z"&amp;AA864),"")</f>
        <v/>
      </c>
      <c r="AP864" t="str">
        <f t="shared" si="91"/>
        <v/>
      </c>
      <c r="AQ864" t="str">
        <f t="shared" si="92"/>
        <v/>
      </c>
      <c r="AR864" t="str">
        <f t="shared" si="93"/>
        <v/>
      </c>
      <c r="AS864" t="str">
        <f t="shared" si="94"/>
        <v/>
      </c>
    </row>
    <row r="865" spans="5:45" x14ac:dyDescent="0.25">
      <c r="E865" t="str">
        <f ca="1"/>
        <v/>
      </c>
      <c r="F865" t="str">
        <f ca="1"/>
        <v/>
      </c>
      <c r="P865" t="e" cm="1">
        <f t="array" ref="P865">INDEX($B$2:$D$40,MOD(ROW()-ROW($B$2),ROWS($B$2:$D$40))+1,INT((ROW()-ROW($B$2))/ROWS($B$2:$D$40))+1)</f>
        <v>#REF!</v>
      </c>
      <c r="Q865" t="e">
        <f t="shared" ca="1" si="95"/>
        <v>#N/A</v>
      </c>
      <c r="R865" t="str" cm="1">
        <f t="array" aca="1" ref="R865" ca="1">IFERROR(INDIRECT("$P"&amp;Q865),"")</f>
        <v/>
      </c>
      <c r="U865" t="e" cm="1">
        <f t="array" ref="U865">INDEX($C$2:$D$40,MOD(ROW()-ROW($C$2),ROWS($C$2:$D$40))+1,INT((ROW()-ROW($C$2))/ROWS($C$2:$D$40))+1)</f>
        <v>#REF!</v>
      </c>
      <c r="V865" t="e">
        <f t="shared" ca="1" si="96"/>
        <v>#N/A</v>
      </c>
      <c r="W865" t="str" cm="1">
        <f t="array" aca="1" ref="W865" ca="1">IFERROR(INDIRECT("$U"&amp;V865),"")</f>
        <v/>
      </c>
      <c r="Z865" t="e" cm="1">
        <f t="array" ref="Z865">INDEX($AE$2:$AS$40,MOD(ROW()-ROW($AE$2),ROWS($AE$2:$AS$40))+1,INT((ROW()-ROW($AE$2))/ROWS($AE$2:$AS$40))+1)</f>
        <v>#REF!</v>
      </c>
      <c r="AA865" t="e">
        <f t="shared" ca="1" si="97"/>
        <v>#N/A</v>
      </c>
      <c r="AB865" t="str" cm="1">
        <f t="array" aca="1" ref="AB865" ca="1">IFERROR(INDIRECT("$Z"&amp;AA865),"")</f>
        <v/>
      </c>
      <c r="AP865" t="str">
        <f t="shared" si="91"/>
        <v/>
      </c>
      <c r="AQ865" t="str">
        <f t="shared" si="92"/>
        <v/>
      </c>
      <c r="AR865" t="str">
        <f t="shared" si="93"/>
        <v/>
      </c>
      <c r="AS865" t="str">
        <f t="shared" si="94"/>
        <v/>
      </c>
    </row>
    <row r="866" spans="5:45" x14ac:dyDescent="0.25">
      <c r="E866" t="str">
        <f ca="1"/>
        <v/>
      </c>
      <c r="F866" t="str">
        <f ca="1"/>
        <v/>
      </c>
      <c r="P866" t="e" cm="1">
        <f t="array" ref="P866">INDEX($B$2:$D$40,MOD(ROW()-ROW($B$2),ROWS($B$2:$D$40))+1,INT((ROW()-ROW($B$2))/ROWS($B$2:$D$40))+1)</f>
        <v>#REF!</v>
      </c>
      <c r="Q866" t="e">
        <f t="shared" ca="1" si="95"/>
        <v>#N/A</v>
      </c>
      <c r="R866" t="str" cm="1">
        <f t="array" aca="1" ref="R866" ca="1">IFERROR(INDIRECT("$P"&amp;Q866),"")</f>
        <v/>
      </c>
      <c r="U866" t="e" cm="1">
        <f t="array" ref="U866">INDEX($C$2:$D$40,MOD(ROW()-ROW($C$2),ROWS($C$2:$D$40))+1,INT((ROW()-ROW($C$2))/ROWS($C$2:$D$40))+1)</f>
        <v>#REF!</v>
      </c>
      <c r="V866" t="e">
        <f t="shared" ca="1" si="96"/>
        <v>#N/A</v>
      </c>
      <c r="W866" t="str" cm="1">
        <f t="array" aca="1" ref="W866" ca="1">IFERROR(INDIRECT("$U"&amp;V866),"")</f>
        <v/>
      </c>
      <c r="Z866" t="e" cm="1">
        <f t="array" ref="Z866">INDEX($AE$2:$AS$40,MOD(ROW()-ROW($AE$2),ROWS($AE$2:$AS$40))+1,INT((ROW()-ROW($AE$2))/ROWS($AE$2:$AS$40))+1)</f>
        <v>#REF!</v>
      </c>
      <c r="AA866" t="e">
        <f t="shared" ca="1" si="97"/>
        <v>#N/A</v>
      </c>
      <c r="AB866" t="str" cm="1">
        <f t="array" aca="1" ref="AB866" ca="1">IFERROR(INDIRECT("$Z"&amp;AA866),"")</f>
        <v/>
      </c>
      <c r="AP866" t="str">
        <f t="shared" si="91"/>
        <v/>
      </c>
      <c r="AQ866" t="str">
        <f t="shared" si="92"/>
        <v/>
      </c>
      <c r="AR866" t="str">
        <f t="shared" si="93"/>
        <v/>
      </c>
      <c r="AS866" t="str">
        <f t="shared" si="94"/>
        <v/>
      </c>
    </row>
    <row r="867" spans="5:45" x14ac:dyDescent="0.25">
      <c r="E867" t="str">
        <f ca="1"/>
        <v/>
      </c>
      <c r="F867" t="str">
        <f ca="1"/>
        <v/>
      </c>
      <c r="P867" t="e" cm="1">
        <f t="array" ref="P867">INDEX($B$2:$D$40,MOD(ROW()-ROW($B$2),ROWS($B$2:$D$40))+1,INT((ROW()-ROW($B$2))/ROWS($B$2:$D$40))+1)</f>
        <v>#REF!</v>
      </c>
      <c r="Q867" t="e">
        <f t="shared" ca="1" si="95"/>
        <v>#N/A</v>
      </c>
      <c r="R867" t="str" cm="1">
        <f t="array" aca="1" ref="R867" ca="1">IFERROR(INDIRECT("$P"&amp;Q867),"")</f>
        <v/>
      </c>
      <c r="U867" t="e" cm="1">
        <f t="array" ref="U867">INDEX($C$2:$D$40,MOD(ROW()-ROW($C$2),ROWS($C$2:$D$40))+1,INT((ROW()-ROW($C$2))/ROWS($C$2:$D$40))+1)</f>
        <v>#REF!</v>
      </c>
      <c r="V867" t="e">
        <f t="shared" ca="1" si="96"/>
        <v>#N/A</v>
      </c>
      <c r="W867" t="str" cm="1">
        <f t="array" aca="1" ref="W867" ca="1">IFERROR(INDIRECT("$U"&amp;V867),"")</f>
        <v/>
      </c>
      <c r="Z867" t="e" cm="1">
        <f t="array" ref="Z867">INDEX($AE$2:$AS$40,MOD(ROW()-ROW($AE$2),ROWS($AE$2:$AS$40))+1,INT((ROW()-ROW($AE$2))/ROWS($AE$2:$AS$40))+1)</f>
        <v>#REF!</v>
      </c>
      <c r="AA867" t="e">
        <f t="shared" ca="1" si="97"/>
        <v>#N/A</v>
      </c>
      <c r="AB867" t="str" cm="1">
        <f t="array" aca="1" ref="AB867" ca="1">IFERROR(INDIRECT("$Z"&amp;AA867),"")</f>
        <v/>
      </c>
      <c r="AP867" t="str">
        <f t="shared" si="91"/>
        <v/>
      </c>
      <c r="AQ867" t="str">
        <f t="shared" si="92"/>
        <v/>
      </c>
      <c r="AR867" t="str">
        <f t="shared" si="93"/>
        <v/>
      </c>
      <c r="AS867" t="str">
        <f t="shared" si="94"/>
        <v/>
      </c>
    </row>
    <row r="868" spans="5:45" x14ac:dyDescent="0.25">
      <c r="E868" t="str">
        <f ca="1"/>
        <v/>
      </c>
      <c r="F868" t="str">
        <f ca="1"/>
        <v/>
      </c>
      <c r="P868" t="e" cm="1">
        <f t="array" ref="P868">INDEX($B$2:$D$40,MOD(ROW()-ROW($B$2),ROWS($B$2:$D$40))+1,INT((ROW()-ROW($B$2))/ROWS($B$2:$D$40))+1)</f>
        <v>#REF!</v>
      </c>
      <c r="Q868" t="e">
        <f t="shared" ca="1" si="95"/>
        <v>#N/A</v>
      </c>
      <c r="R868" t="str" cm="1">
        <f t="array" aca="1" ref="R868" ca="1">IFERROR(INDIRECT("$P"&amp;Q868),"")</f>
        <v/>
      </c>
      <c r="U868" t="e" cm="1">
        <f t="array" ref="U868">INDEX($C$2:$D$40,MOD(ROW()-ROW($C$2),ROWS($C$2:$D$40))+1,INT((ROW()-ROW($C$2))/ROWS($C$2:$D$40))+1)</f>
        <v>#REF!</v>
      </c>
      <c r="V868" t="e">
        <f t="shared" ca="1" si="96"/>
        <v>#N/A</v>
      </c>
      <c r="W868" t="str" cm="1">
        <f t="array" aca="1" ref="W868" ca="1">IFERROR(INDIRECT("$U"&amp;V868),"")</f>
        <v/>
      </c>
      <c r="Z868" t="e" cm="1">
        <f t="array" ref="Z868">INDEX($AE$2:$AS$40,MOD(ROW()-ROW($AE$2),ROWS($AE$2:$AS$40))+1,INT((ROW()-ROW($AE$2))/ROWS($AE$2:$AS$40))+1)</f>
        <v>#REF!</v>
      </c>
      <c r="AA868" t="e">
        <f t="shared" ca="1" si="97"/>
        <v>#N/A</v>
      </c>
      <c r="AB868" t="str" cm="1">
        <f t="array" aca="1" ref="AB868" ca="1">IFERROR(INDIRECT("$Z"&amp;AA868),"")</f>
        <v/>
      </c>
      <c r="AP868" t="str">
        <f t="shared" si="91"/>
        <v/>
      </c>
      <c r="AQ868" t="str">
        <f t="shared" si="92"/>
        <v/>
      </c>
      <c r="AR868" t="str">
        <f t="shared" si="93"/>
        <v/>
      </c>
      <c r="AS868" t="str">
        <f t="shared" si="94"/>
        <v/>
      </c>
    </row>
    <row r="869" spans="5:45" x14ac:dyDescent="0.25">
      <c r="E869" t="str">
        <f ca="1"/>
        <v/>
      </c>
      <c r="F869" t="str">
        <f ca="1"/>
        <v/>
      </c>
      <c r="P869" t="e" cm="1">
        <f t="array" ref="P869">INDEX($B$2:$D$40,MOD(ROW()-ROW($B$2),ROWS($B$2:$D$40))+1,INT((ROW()-ROW($B$2))/ROWS($B$2:$D$40))+1)</f>
        <v>#REF!</v>
      </c>
      <c r="Q869" t="e">
        <f t="shared" ca="1" si="95"/>
        <v>#N/A</v>
      </c>
      <c r="R869" t="str" cm="1">
        <f t="array" aca="1" ref="R869" ca="1">IFERROR(INDIRECT("$P"&amp;Q869),"")</f>
        <v/>
      </c>
      <c r="U869" t="e" cm="1">
        <f t="array" ref="U869">INDEX($C$2:$D$40,MOD(ROW()-ROW($C$2),ROWS($C$2:$D$40))+1,INT((ROW()-ROW($C$2))/ROWS($C$2:$D$40))+1)</f>
        <v>#REF!</v>
      </c>
      <c r="V869" t="e">
        <f t="shared" ca="1" si="96"/>
        <v>#N/A</v>
      </c>
      <c r="W869" t="str" cm="1">
        <f t="array" aca="1" ref="W869" ca="1">IFERROR(INDIRECT("$U"&amp;V869),"")</f>
        <v/>
      </c>
      <c r="Z869" t="e" cm="1">
        <f t="array" ref="Z869">INDEX($AE$2:$AS$40,MOD(ROW()-ROW($AE$2),ROWS($AE$2:$AS$40))+1,INT((ROW()-ROW($AE$2))/ROWS($AE$2:$AS$40))+1)</f>
        <v>#REF!</v>
      </c>
      <c r="AA869" t="e">
        <f t="shared" ca="1" si="97"/>
        <v>#N/A</v>
      </c>
      <c r="AB869" t="str" cm="1">
        <f t="array" aca="1" ref="AB869" ca="1">IFERROR(INDIRECT("$Z"&amp;AA869),"")</f>
        <v/>
      </c>
      <c r="AP869" t="str">
        <f t="shared" si="91"/>
        <v/>
      </c>
      <c r="AQ869" t="str">
        <f t="shared" si="92"/>
        <v/>
      </c>
      <c r="AR869" t="str">
        <f t="shared" si="93"/>
        <v/>
      </c>
      <c r="AS869" t="str">
        <f t="shared" si="94"/>
        <v/>
      </c>
    </row>
    <row r="870" spans="5:45" x14ac:dyDescent="0.25">
      <c r="E870" t="str">
        <f ca="1"/>
        <v/>
      </c>
      <c r="F870" t="str">
        <f ca="1"/>
        <v/>
      </c>
      <c r="P870" t="e" cm="1">
        <f t="array" ref="P870">INDEX($B$2:$D$40,MOD(ROW()-ROW($B$2),ROWS($B$2:$D$40))+1,INT((ROW()-ROW($B$2))/ROWS($B$2:$D$40))+1)</f>
        <v>#REF!</v>
      </c>
      <c r="Q870" t="e">
        <f t="shared" ca="1" si="95"/>
        <v>#N/A</v>
      </c>
      <c r="R870" t="str" cm="1">
        <f t="array" aca="1" ref="R870" ca="1">IFERROR(INDIRECT("$P"&amp;Q870),"")</f>
        <v/>
      </c>
      <c r="U870" t="e" cm="1">
        <f t="array" ref="U870">INDEX($C$2:$D$40,MOD(ROW()-ROW($C$2),ROWS($C$2:$D$40))+1,INT((ROW()-ROW($C$2))/ROWS($C$2:$D$40))+1)</f>
        <v>#REF!</v>
      </c>
      <c r="V870" t="e">
        <f t="shared" ca="1" si="96"/>
        <v>#N/A</v>
      </c>
      <c r="W870" t="str" cm="1">
        <f t="array" aca="1" ref="W870" ca="1">IFERROR(INDIRECT("$U"&amp;V870),"")</f>
        <v/>
      </c>
      <c r="Z870" t="e" cm="1">
        <f t="array" ref="Z870">INDEX($AE$2:$AS$40,MOD(ROW()-ROW($AE$2),ROWS($AE$2:$AS$40))+1,INT((ROW()-ROW($AE$2))/ROWS($AE$2:$AS$40))+1)</f>
        <v>#REF!</v>
      </c>
      <c r="AA870" t="e">
        <f t="shared" ca="1" si="97"/>
        <v>#N/A</v>
      </c>
      <c r="AB870" t="str" cm="1">
        <f t="array" aca="1" ref="AB870" ca="1">IFERROR(INDIRECT("$Z"&amp;AA870),"")</f>
        <v/>
      </c>
      <c r="AP870" t="str">
        <f t="shared" si="91"/>
        <v/>
      </c>
      <c r="AQ870" t="str">
        <f t="shared" si="92"/>
        <v/>
      </c>
      <c r="AR870" t="str">
        <f t="shared" si="93"/>
        <v/>
      </c>
      <c r="AS870" t="str">
        <f t="shared" si="94"/>
        <v/>
      </c>
    </row>
    <row r="871" spans="5:45" x14ac:dyDescent="0.25">
      <c r="E871" t="str">
        <f ca="1"/>
        <v/>
      </c>
      <c r="F871" t="str">
        <f ca="1"/>
        <v/>
      </c>
      <c r="P871" t="e" cm="1">
        <f t="array" ref="P871">INDEX($B$2:$D$40,MOD(ROW()-ROW($B$2),ROWS($B$2:$D$40))+1,INT((ROW()-ROW($B$2))/ROWS($B$2:$D$40))+1)</f>
        <v>#REF!</v>
      </c>
      <c r="Q871" t="e">
        <f t="shared" ca="1" si="95"/>
        <v>#N/A</v>
      </c>
      <c r="R871" t="str" cm="1">
        <f t="array" aca="1" ref="R871" ca="1">IFERROR(INDIRECT("$P"&amp;Q871),"")</f>
        <v/>
      </c>
      <c r="U871" t="e" cm="1">
        <f t="array" ref="U871">INDEX($C$2:$D$40,MOD(ROW()-ROW($C$2),ROWS($C$2:$D$40))+1,INT((ROW()-ROW($C$2))/ROWS($C$2:$D$40))+1)</f>
        <v>#REF!</v>
      </c>
      <c r="V871" t="e">
        <f t="shared" ca="1" si="96"/>
        <v>#N/A</v>
      </c>
      <c r="W871" t="str" cm="1">
        <f t="array" aca="1" ref="W871" ca="1">IFERROR(INDIRECT("$U"&amp;V871),"")</f>
        <v/>
      </c>
      <c r="Z871" t="e" cm="1">
        <f t="array" ref="Z871">INDEX($AE$2:$AS$40,MOD(ROW()-ROW($AE$2),ROWS($AE$2:$AS$40))+1,INT((ROW()-ROW($AE$2))/ROWS($AE$2:$AS$40))+1)</f>
        <v>#REF!</v>
      </c>
      <c r="AA871" t="e">
        <f t="shared" ca="1" si="97"/>
        <v>#N/A</v>
      </c>
      <c r="AB871" t="str" cm="1">
        <f t="array" aca="1" ref="AB871" ca="1">IFERROR(INDIRECT("$Z"&amp;AA871),"")</f>
        <v/>
      </c>
      <c r="AP871" t="str">
        <f t="shared" si="91"/>
        <v/>
      </c>
      <c r="AQ871" t="str">
        <f t="shared" si="92"/>
        <v/>
      </c>
      <c r="AR871" t="str">
        <f t="shared" si="93"/>
        <v/>
      </c>
      <c r="AS871" t="str">
        <f t="shared" si="94"/>
        <v/>
      </c>
    </row>
    <row r="872" spans="5:45" x14ac:dyDescent="0.25">
      <c r="E872" t="str">
        <f ca="1"/>
        <v/>
      </c>
      <c r="F872" t="str">
        <f ca="1"/>
        <v/>
      </c>
      <c r="P872" t="e" cm="1">
        <f t="array" ref="P872">INDEX($B$2:$D$40,MOD(ROW()-ROW($B$2),ROWS($B$2:$D$40))+1,INT((ROW()-ROW($B$2))/ROWS($B$2:$D$40))+1)</f>
        <v>#REF!</v>
      </c>
      <c r="Q872" t="e">
        <f t="shared" ca="1" si="95"/>
        <v>#N/A</v>
      </c>
      <c r="R872" t="str" cm="1">
        <f t="array" aca="1" ref="R872" ca="1">IFERROR(INDIRECT("$P"&amp;Q872),"")</f>
        <v/>
      </c>
      <c r="U872" t="e" cm="1">
        <f t="array" ref="U872">INDEX($C$2:$D$40,MOD(ROW()-ROW($C$2),ROWS($C$2:$D$40))+1,INT((ROW()-ROW($C$2))/ROWS($C$2:$D$40))+1)</f>
        <v>#REF!</v>
      </c>
      <c r="V872" t="e">
        <f t="shared" ca="1" si="96"/>
        <v>#N/A</v>
      </c>
      <c r="W872" t="str" cm="1">
        <f t="array" aca="1" ref="W872" ca="1">IFERROR(INDIRECT("$U"&amp;V872),"")</f>
        <v/>
      </c>
      <c r="Z872" t="e" cm="1">
        <f t="array" ref="Z872">INDEX($AE$2:$AS$40,MOD(ROW()-ROW($AE$2),ROWS($AE$2:$AS$40))+1,INT((ROW()-ROW($AE$2))/ROWS($AE$2:$AS$40))+1)</f>
        <v>#REF!</v>
      </c>
      <c r="AA872" t="e">
        <f t="shared" ca="1" si="97"/>
        <v>#N/A</v>
      </c>
      <c r="AB872" t="str" cm="1">
        <f t="array" aca="1" ref="AB872" ca="1">IFERROR(INDIRECT("$Z"&amp;AA872),"")</f>
        <v/>
      </c>
      <c r="AP872" t="str">
        <f t="shared" si="91"/>
        <v/>
      </c>
      <c r="AQ872" t="str">
        <f t="shared" si="92"/>
        <v/>
      </c>
      <c r="AR872" t="str">
        <f t="shared" si="93"/>
        <v/>
      </c>
      <c r="AS872" t="str">
        <f t="shared" si="94"/>
        <v/>
      </c>
    </row>
    <row r="873" spans="5:45" x14ac:dyDescent="0.25">
      <c r="E873" t="str">
        <f ca="1"/>
        <v/>
      </c>
      <c r="F873" t="str">
        <f ca="1"/>
        <v/>
      </c>
      <c r="P873" t="e" cm="1">
        <f t="array" ref="P873">INDEX($B$2:$D$40,MOD(ROW()-ROW($B$2),ROWS($B$2:$D$40))+1,INT((ROW()-ROW($B$2))/ROWS($B$2:$D$40))+1)</f>
        <v>#REF!</v>
      </c>
      <c r="Q873" t="e">
        <f t="shared" ca="1" si="95"/>
        <v>#N/A</v>
      </c>
      <c r="R873" t="str" cm="1">
        <f t="array" aca="1" ref="R873" ca="1">IFERROR(INDIRECT("$P"&amp;Q873),"")</f>
        <v/>
      </c>
      <c r="U873" t="e" cm="1">
        <f t="array" ref="U873">INDEX($C$2:$D$40,MOD(ROW()-ROW($C$2),ROWS($C$2:$D$40))+1,INT((ROW()-ROW($C$2))/ROWS($C$2:$D$40))+1)</f>
        <v>#REF!</v>
      </c>
      <c r="V873" t="e">
        <f t="shared" ca="1" si="96"/>
        <v>#N/A</v>
      </c>
      <c r="W873" t="str" cm="1">
        <f t="array" aca="1" ref="W873" ca="1">IFERROR(INDIRECT("$U"&amp;V873),"")</f>
        <v/>
      </c>
      <c r="Z873" t="e" cm="1">
        <f t="array" ref="Z873">INDEX($AE$2:$AS$40,MOD(ROW()-ROW($AE$2),ROWS($AE$2:$AS$40))+1,INT((ROW()-ROW($AE$2))/ROWS($AE$2:$AS$40))+1)</f>
        <v>#REF!</v>
      </c>
      <c r="AA873" t="e">
        <f t="shared" ca="1" si="97"/>
        <v>#N/A</v>
      </c>
      <c r="AB873" t="str" cm="1">
        <f t="array" aca="1" ref="AB873" ca="1">IFERROR(INDIRECT("$Z"&amp;AA873),"")</f>
        <v/>
      </c>
      <c r="AP873" t="str">
        <f t="shared" si="91"/>
        <v/>
      </c>
      <c r="AQ873" t="str">
        <f t="shared" si="92"/>
        <v/>
      </c>
      <c r="AR873" t="str">
        <f t="shared" si="93"/>
        <v/>
      </c>
      <c r="AS873" t="str">
        <f t="shared" si="94"/>
        <v/>
      </c>
    </row>
    <row r="874" spans="5:45" x14ac:dyDescent="0.25">
      <c r="E874" t="str">
        <f ca="1"/>
        <v/>
      </c>
      <c r="F874" t="str">
        <f ca="1"/>
        <v/>
      </c>
      <c r="P874" t="e" cm="1">
        <f t="array" ref="P874">INDEX($B$2:$D$40,MOD(ROW()-ROW($B$2),ROWS($B$2:$D$40))+1,INT((ROW()-ROW($B$2))/ROWS($B$2:$D$40))+1)</f>
        <v>#REF!</v>
      </c>
      <c r="Q874" t="e">
        <f t="shared" ca="1" si="95"/>
        <v>#N/A</v>
      </c>
      <c r="R874" t="str" cm="1">
        <f t="array" aca="1" ref="R874" ca="1">IFERROR(INDIRECT("$P"&amp;Q874),"")</f>
        <v/>
      </c>
      <c r="U874" t="e" cm="1">
        <f t="array" ref="U874">INDEX($C$2:$D$40,MOD(ROW()-ROW($C$2),ROWS($C$2:$D$40))+1,INT((ROW()-ROW($C$2))/ROWS($C$2:$D$40))+1)</f>
        <v>#REF!</v>
      </c>
      <c r="V874" t="e">
        <f t="shared" ca="1" si="96"/>
        <v>#N/A</v>
      </c>
      <c r="W874" t="str" cm="1">
        <f t="array" aca="1" ref="W874" ca="1">IFERROR(INDIRECT("$U"&amp;V874),"")</f>
        <v/>
      </c>
      <c r="Z874" t="e" cm="1">
        <f t="array" ref="Z874">INDEX($AE$2:$AS$40,MOD(ROW()-ROW($AE$2),ROWS($AE$2:$AS$40))+1,INT((ROW()-ROW($AE$2))/ROWS($AE$2:$AS$40))+1)</f>
        <v>#REF!</v>
      </c>
      <c r="AA874" t="e">
        <f t="shared" ca="1" si="97"/>
        <v>#N/A</v>
      </c>
      <c r="AB874" t="str" cm="1">
        <f t="array" aca="1" ref="AB874" ca="1">IFERROR(INDIRECT("$Z"&amp;AA874),"")</f>
        <v/>
      </c>
      <c r="AP874" t="str">
        <f t="shared" si="91"/>
        <v/>
      </c>
      <c r="AQ874" t="str">
        <f t="shared" si="92"/>
        <v/>
      </c>
      <c r="AR874" t="str">
        <f t="shared" si="93"/>
        <v/>
      </c>
      <c r="AS874" t="str">
        <f t="shared" si="94"/>
        <v/>
      </c>
    </row>
    <row r="875" spans="5:45" x14ac:dyDescent="0.25">
      <c r="E875" t="str">
        <f ca="1"/>
        <v/>
      </c>
      <c r="F875" t="str">
        <f ca="1"/>
        <v/>
      </c>
      <c r="P875" t="e" cm="1">
        <f t="array" ref="P875">INDEX($B$2:$D$40,MOD(ROW()-ROW($B$2),ROWS($B$2:$D$40))+1,INT((ROW()-ROW($B$2))/ROWS($B$2:$D$40))+1)</f>
        <v>#REF!</v>
      </c>
      <c r="Q875" t="e">
        <f t="shared" ca="1" si="95"/>
        <v>#N/A</v>
      </c>
      <c r="R875" t="str" cm="1">
        <f t="array" aca="1" ref="R875" ca="1">IFERROR(INDIRECT("$P"&amp;Q875),"")</f>
        <v/>
      </c>
      <c r="U875" t="e" cm="1">
        <f t="array" ref="U875">INDEX($C$2:$D$40,MOD(ROW()-ROW($C$2),ROWS($C$2:$D$40))+1,INT((ROW()-ROW($C$2))/ROWS($C$2:$D$40))+1)</f>
        <v>#REF!</v>
      </c>
      <c r="V875" t="e">
        <f t="shared" ca="1" si="96"/>
        <v>#N/A</v>
      </c>
      <c r="W875" t="str" cm="1">
        <f t="array" aca="1" ref="W875" ca="1">IFERROR(INDIRECT("$U"&amp;V875),"")</f>
        <v/>
      </c>
      <c r="Z875" t="e" cm="1">
        <f t="array" ref="Z875">INDEX($AE$2:$AS$40,MOD(ROW()-ROW($AE$2),ROWS($AE$2:$AS$40))+1,INT((ROW()-ROW($AE$2))/ROWS($AE$2:$AS$40))+1)</f>
        <v>#REF!</v>
      </c>
      <c r="AA875" t="e">
        <f t="shared" ca="1" si="97"/>
        <v>#N/A</v>
      </c>
      <c r="AB875" t="str" cm="1">
        <f t="array" aca="1" ref="AB875" ca="1">IFERROR(INDIRECT("$Z"&amp;AA875),"")</f>
        <v/>
      </c>
      <c r="AP875" t="str">
        <f t="shared" si="91"/>
        <v/>
      </c>
      <c r="AQ875" t="str">
        <f t="shared" si="92"/>
        <v/>
      </c>
      <c r="AR875" t="str">
        <f t="shared" si="93"/>
        <v/>
      </c>
      <c r="AS875" t="str">
        <f t="shared" si="94"/>
        <v/>
      </c>
    </row>
    <row r="876" spans="5:45" x14ac:dyDescent="0.25">
      <c r="E876" t="str">
        <f ca="1"/>
        <v/>
      </c>
      <c r="F876" t="str">
        <f ca="1"/>
        <v/>
      </c>
      <c r="P876" t="e" cm="1">
        <f t="array" ref="P876">INDEX($B$2:$D$40,MOD(ROW()-ROW($B$2),ROWS($B$2:$D$40))+1,INT((ROW()-ROW($B$2))/ROWS($B$2:$D$40))+1)</f>
        <v>#REF!</v>
      </c>
      <c r="Q876" t="e">
        <f t="shared" ca="1" si="95"/>
        <v>#N/A</v>
      </c>
      <c r="R876" t="str" cm="1">
        <f t="array" aca="1" ref="R876" ca="1">IFERROR(INDIRECT("$P"&amp;Q876),"")</f>
        <v/>
      </c>
      <c r="U876" t="e" cm="1">
        <f t="array" ref="U876">INDEX($C$2:$D$40,MOD(ROW()-ROW($C$2),ROWS($C$2:$D$40))+1,INT((ROW()-ROW($C$2))/ROWS($C$2:$D$40))+1)</f>
        <v>#REF!</v>
      </c>
      <c r="V876" t="e">
        <f t="shared" ca="1" si="96"/>
        <v>#N/A</v>
      </c>
      <c r="W876" t="str" cm="1">
        <f t="array" aca="1" ref="W876" ca="1">IFERROR(INDIRECT("$U"&amp;V876),"")</f>
        <v/>
      </c>
      <c r="Z876" t="e" cm="1">
        <f t="array" ref="Z876">INDEX($AE$2:$AS$40,MOD(ROW()-ROW($AE$2),ROWS($AE$2:$AS$40))+1,INT((ROW()-ROW($AE$2))/ROWS($AE$2:$AS$40))+1)</f>
        <v>#REF!</v>
      </c>
      <c r="AA876" t="e">
        <f t="shared" ca="1" si="97"/>
        <v>#N/A</v>
      </c>
      <c r="AB876" t="str" cm="1">
        <f t="array" aca="1" ref="AB876" ca="1">IFERROR(INDIRECT("$Z"&amp;AA876),"")</f>
        <v/>
      </c>
      <c r="AP876" t="str">
        <f t="shared" si="91"/>
        <v/>
      </c>
      <c r="AQ876" t="str">
        <f t="shared" si="92"/>
        <v/>
      </c>
      <c r="AR876" t="str">
        <f t="shared" si="93"/>
        <v/>
      </c>
      <c r="AS876" t="str">
        <f t="shared" si="94"/>
        <v/>
      </c>
    </row>
    <row r="877" spans="5:45" x14ac:dyDescent="0.25">
      <c r="E877" t="str">
        <f ca="1"/>
        <v/>
      </c>
      <c r="F877" t="str">
        <f ca="1"/>
        <v/>
      </c>
      <c r="P877" t="e" cm="1">
        <f t="array" ref="P877">INDEX($B$2:$D$40,MOD(ROW()-ROW($B$2),ROWS($B$2:$D$40))+1,INT((ROW()-ROW($B$2))/ROWS($B$2:$D$40))+1)</f>
        <v>#REF!</v>
      </c>
      <c r="Q877" t="e">
        <f t="shared" ca="1" si="95"/>
        <v>#N/A</v>
      </c>
      <c r="R877" t="str" cm="1">
        <f t="array" aca="1" ref="R877" ca="1">IFERROR(INDIRECT("$P"&amp;Q877),"")</f>
        <v/>
      </c>
      <c r="U877" t="e" cm="1">
        <f t="array" ref="U877">INDEX($C$2:$D$40,MOD(ROW()-ROW($C$2),ROWS($C$2:$D$40))+1,INT((ROW()-ROW($C$2))/ROWS($C$2:$D$40))+1)</f>
        <v>#REF!</v>
      </c>
      <c r="V877" t="e">
        <f t="shared" ca="1" si="96"/>
        <v>#N/A</v>
      </c>
      <c r="W877" t="str" cm="1">
        <f t="array" aca="1" ref="W877" ca="1">IFERROR(INDIRECT("$U"&amp;V877),"")</f>
        <v/>
      </c>
      <c r="Z877" t="e" cm="1">
        <f t="array" ref="Z877">INDEX($AE$2:$AS$40,MOD(ROW()-ROW($AE$2),ROWS($AE$2:$AS$40))+1,INT((ROW()-ROW($AE$2))/ROWS($AE$2:$AS$40))+1)</f>
        <v>#REF!</v>
      </c>
      <c r="AA877" t="e">
        <f t="shared" ca="1" si="97"/>
        <v>#N/A</v>
      </c>
      <c r="AB877" t="str" cm="1">
        <f t="array" aca="1" ref="AB877" ca="1">IFERROR(INDIRECT("$Z"&amp;AA877),"")</f>
        <v/>
      </c>
      <c r="AP877" t="str">
        <f t="shared" si="91"/>
        <v/>
      </c>
      <c r="AQ877" t="str">
        <f t="shared" si="92"/>
        <v/>
      </c>
      <c r="AR877" t="str">
        <f t="shared" si="93"/>
        <v/>
      </c>
      <c r="AS877" t="str">
        <f t="shared" si="94"/>
        <v/>
      </c>
    </row>
    <row r="878" spans="5:45" x14ac:dyDescent="0.25">
      <c r="E878" t="str">
        <f ca="1"/>
        <v/>
      </c>
      <c r="F878" t="str">
        <f ca="1"/>
        <v/>
      </c>
      <c r="P878" t="e" cm="1">
        <f t="array" ref="P878">INDEX($B$2:$D$40,MOD(ROW()-ROW($B$2),ROWS($B$2:$D$40))+1,INT((ROW()-ROW($B$2))/ROWS($B$2:$D$40))+1)</f>
        <v>#REF!</v>
      </c>
      <c r="Q878" t="e">
        <f t="shared" ca="1" si="95"/>
        <v>#N/A</v>
      </c>
      <c r="R878" t="str" cm="1">
        <f t="array" aca="1" ref="R878" ca="1">IFERROR(INDIRECT("$P"&amp;Q878),"")</f>
        <v/>
      </c>
      <c r="U878" t="e" cm="1">
        <f t="array" ref="U878">INDEX($C$2:$D$40,MOD(ROW()-ROW($C$2),ROWS($C$2:$D$40))+1,INT((ROW()-ROW($C$2))/ROWS($C$2:$D$40))+1)</f>
        <v>#REF!</v>
      </c>
      <c r="V878" t="e">
        <f t="shared" ca="1" si="96"/>
        <v>#N/A</v>
      </c>
      <c r="W878" t="str" cm="1">
        <f t="array" aca="1" ref="W878" ca="1">IFERROR(INDIRECT("$U"&amp;V878),"")</f>
        <v/>
      </c>
      <c r="Z878" t="e" cm="1">
        <f t="array" ref="Z878">INDEX($AE$2:$AS$40,MOD(ROW()-ROW($AE$2),ROWS($AE$2:$AS$40))+1,INT((ROW()-ROW($AE$2))/ROWS($AE$2:$AS$40))+1)</f>
        <v>#REF!</v>
      </c>
      <c r="AA878" t="e">
        <f t="shared" ca="1" si="97"/>
        <v>#N/A</v>
      </c>
      <c r="AB878" t="str" cm="1">
        <f t="array" aca="1" ref="AB878" ca="1">IFERROR(INDIRECT("$Z"&amp;AA878),"")</f>
        <v/>
      </c>
      <c r="AP878" t="str">
        <f t="shared" si="91"/>
        <v/>
      </c>
      <c r="AQ878" t="str">
        <f t="shared" si="92"/>
        <v/>
      </c>
      <c r="AR878" t="str">
        <f t="shared" si="93"/>
        <v/>
      </c>
      <c r="AS878" t="str">
        <f t="shared" si="94"/>
        <v/>
      </c>
    </row>
    <row r="879" spans="5:45" x14ac:dyDescent="0.25">
      <c r="E879" t="str">
        <f ca="1"/>
        <v/>
      </c>
      <c r="F879" t="str">
        <f ca="1"/>
        <v/>
      </c>
      <c r="P879" t="e" cm="1">
        <f t="array" ref="P879">INDEX($B$2:$D$40,MOD(ROW()-ROW($B$2),ROWS($B$2:$D$40))+1,INT((ROW()-ROW($B$2))/ROWS($B$2:$D$40))+1)</f>
        <v>#REF!</v>
      </c>
      <c r="Q879" t="e">
        <f t="shared" ca="1" si="95"/>
        <v>#N/A</v>
      </c>
      <c r="R879" t="str" cm="1">
        <f t="array" aca="1" ref="R879" ca="1">IFERROR(INDIRECT("$P"&amp;Q879),"")</f>
        <v/>
      </c>
      <c r="U879" t="e" cm="1">
        <f t="array" ref="U879">INDEX($C$2:$D$40,MOD(ROW()-ROW($C$2),ROWS($C$2:$D$40))+1,INT((ROW()-ROW($C$2))/ROWS($C$2:$D$40))+1)</f>
        <v>#REF!</v>
      </c>
      <c r="V879" t="e">
        <f t="shared" ca="1" si="96"/>
        <v>#N/A</v>
      </c>
      <c r="W879" t="str" cm="1">
        <f t="array" aca="1" ref="W879" ca="1">IFERROR(INDIRECT("$U"&amp;V879),"")</f>
        <v/>
      </c>
      <c r="Z879" t="e" cm="1">
        <f t="array" ref="Z879">INDEX($AE$2:$AS$40,MOD(ROW()-ROW($AE$2),ROWS($AE$2:$AS$40))+1,INT((ROW()-ROW($AE$2))/ROWS($AE$2:$AS$40))+1)</f>
        <v>#REF!</v>
      </c>
      <c r="AA879" t="e">
        <f t="shared" ca="1" si="97"/>
        <v>#N/A</v>
      </c>
      <c r="AB879" t="str" cm="1">
        <f t="array" aca="1" ref="AB879" ca="1">IFERROR(INDIRECT("$Z"&amp;AA879),"")</f>
        <v/>
      </c>
      <c r="AP879" t="str">
        <f t="shared" si="91"/>
        <v/>
      </c>
      <c r="AQ879" t="str">
        <f t="shared" si="92"/>
        <v/>
      </c>
      <c r="AR879" t="str">
        <f t="shared" si="93"/>
        <v/>
      </c>
      <c r="AS879" t="str">
        <f t="shared" si="94"/>
        <v/>
      </c>
    </row>
    <row r="880" spans="5:45" x14ac:dyDescent="0.25">
      <c r="E880" t="str">
        <f ca="1"/>
        <v/>
      </c>
      <c r="F880" t="str">
        <f ca="1"/>
        <v/>
      </c>
      <c r="P880" t="e" cm="1">
        <f t="array" ref="P880">INDEX($B$2:$D$40,MOD(ROW()-ROW($B$2),ROWS($B$2:$D$40))+1,INT((ROW()-ROW($B$2))/ROWS($B$2:$D$40))+1)</f>
        <v>#REF!</v>
      </c>
      <c r="Q880" t="e">
        <f t="shared" ca="1" si="95"/>
        <v>#N/A</v>
      </c>
      <c r="R880" t="str" cm="1">
        <f t="array" aca="1" ref="R880" ca="1">IFERROR(INDIRECT("$P"&amp;Q880),"")</f>
        <v/>
      </c>
      <c r="U880" t="e" cm="1">
        <f t="array" ref="U880">INDEX($C$2:$D$40,MOD(ROW()-ROW($C$2),ROWS($C$2:$D$40))+1,INT((ROW()-ROW($C$2))/ROWS($C$2:$D$40))+1)</f>
        <v>#REF!</v>
      </c>
      <c r="V880" t="e">
        <f t="shared" ca="1" si="96"/>
        <v>#N/A</v>
      </c>
      <c r="W880" t="str" cm="1">
        <f t="array" aca="1" ref="W880" ca="1">IFERROR(INDIRECT("$U"&amp;V880),"")</f>
        <v/>
      </c>
      <c r="Z880" t="e" cm="1">
        <f t="array" ref="Z880">INDEX($AE$2:$AS$40,MOD(ROW()-ROW($AE$2),ROWS($AE$2:$AS$40))+1,INT((ROW()-ROW($AE$2))/ROWS($AE$2:$AS$40))+1)</f>
        <v>#REF!</v>
      </c>
      <c r="AA880" t="e">
        <f t="shared" ca="1" si="97"/>
        <v>#N/A</v>
      </c>
      <c r="AB880" t="str" cm="1">
        <f t="array" aca="1" ref="AB880" ca="1">IFERROR(INDIRECT("$Z"&amp;AA880),"")</f>
        <v/>
      </c>
      <c r="AP880" t="str">
        <f t="shared" si="91"/>
        <v/>
      </c>
      <c r="AQ880" t="str">
        <f t="shared" si="92"/>
        <v/>
      </c>
      <c r="AR880" t="str">
        <f t="shared" si="93"/>
        <v/>
      </c>
      <c r="AS880" t="str">
        <f t="shared" si="94"/>
        <v/>
      </c>
    </row>
    <row r="881" spans="5:45" x14ac:dyDescent="0.25">
      <c r="E881" t="str">
        <f ca="1"/>
        <v/>
      </c>
      <c r="F881" t="str">
        <f ca="1"/>
        <v/>
      </c>
      <c r="P881" t="e" cm="1">
        <f t="array" ref="P881">INDEX($B$2:$D$40,MOD(ROW()-ROW($B$2),ROWS($B$2:$D$40))+1,INT((ROW()-ROW($B$2))/ROWS($B$2:$D$40))+1)</f>
        <v>#REF!</v>
      </c>
      <c r="Q881" t="e">
        <f t="shared" ca="1" si="95"/>
        <v>#N/A</v>
      </c>
      <c r="R881" t="str" cm="1">
        <f t="array" aca="1" ref="R881" ca="1">IFERROR(INDIRECT("$P"&amp;Q881),"")</f>
        <v/>
      </c>
      <c r="U881" t="e" cm="1">
        <f t="array" ref="U881">INDEX($C$2:$D$40,MOD(ROW()-ROW($C$2),ROWS($C$2:$D$40))+1,INT((ROW()-ROW($C$2))/ROWS($C$2:$D$40))+1)</f>
        <v>#REF!</v>
      </c>
      <c r="V881" t="e">
        <f t="shared" ca="1" si="96"/>
        <v>#N/A</v>
      </c>
      <c r="W881" t="str" cm="1">
        <f t="array" aca="1" ref="W881" ca="1">IFERROR(INDIRECT("$U"&amp;V881),"")</f>
        <v/>
      </c>
      <c r="Z881" t="e" cm="1">
        <f t="array" ref="Z881">INDEX($AE$2:$AS$40,MOD(ROW()-ROW($AE$2),ROWS($AE$2:$AS$40))+1,INT((ROW()-ROW($AE$2))/ROWS($AE$2:$AS$40))+1)</f>
        <v>#REF!</v>
      </c>
      <c r="AA881" t="e">
        <f t="shared" ca="1" si="97"/>
        <v>#N/A</v>
      </c>
      <c r="AB881" t="str" cm="1">
        <f t="array" aca="1" ref="AB881" ca="1">IFERROR(INDIRECT("$Z"&amp;AA881),"")</f>
        <v/>
      </c>
      <c r="AP881" t="str">
        <f t="shared" si="91"/>
        <v/>
      </c>
      <c r="AQ881" t="str">
        <f t="shared" si="92"/>
        <v/>
      </c>
      <c r="AR881" t="str">
        <f t="shared" si="93"/>
        <v/>
      </c>
      <c r="AS881" t="str">
        <f t="shared" si="94"/>
        <v/>
      </c>
    </row>
    <row r="882" spans="5:45" x14ac:dyDescent="0.25">
      <c r="E882" t="str">
        <f ca="1"/>
        <v/>
      </c>
      <c r="F882" t="str">
        <f ca="1"/>
        <v/>
      </c>
      <c r="P882" t="e" cm="1">
        <f t="array" ref="P882">INDEX($B$2:$D$40,MOD(ROW()-ROW($B$2),ROWS($B$2:$D$40))+1,INT((ROW()-ROW($B$2))/ROWS($B$2:$D$40))+1)</f>
        <v>#REF!</v>
      </c>
      <c r="Q882" t="e">
        <f t="shared" ca="1" si="95"/>
        <v>#N/A</v>
      </c>
      <c r="R882" t="str" cm="1">
        <f t="array" aca="1" ref="R882" ca="1">IFERROR(INDIRECT("$P"&amp;Q882),"")</f>
        <v/>
      </c>
      <c r="U882" t="e" cm="1">
        <f t="array" ref="U882">INDEX($C$2:$D$40,MOD(ROW()-ROW($C$2),ROWS($C$2:$D$40))+1,INT((ROW()-ROW($C$2))/ROWS($C$2:$D$40))+1)</f>
        <v>#REF!</v>
      </c>
      <c r="V882" t="e">
        <f t="shared" ca="1" si="96"/>
        <v>#N/A</v>
      </c>
      <c r="W882" t="str" cm="1">
        <f t="array" aca="1" ref="W882" ca="1">IFERROR(INDIRECT("$U"&amp;V882),"")</f>
        <v/>
      </c>
      <c r="Z882" t="e" cm="1">
        <f t="array" ref="Z882">INDEX($AE$2:$AS$40,MOD(ROW()-ROW($AE$2),ROWS($AE$2:$AS$40))+1,INT((ROW()-ROW($AE$2))/ROWS($AE$2:$AS$40))+1)</f>
        <v>#REF!</v>
      </c>
      <c r="AA882" t="e">
        <f t="shared" ca="1" si="97"/>
        <v>#N/A</v>
      </c>
      <c r="AB882" t="str" cm="1">
        <f t="array" aca="1" ref="AB882" ca="1">IFERROR(INDIRECT("$Z"&amp;AA882),"")</f>
        <v/>
      </c>
      <c r="AP882" t="str">
        <f t="shared" si="91"/>
        <v/>
      </c>
      <c r="AQ882" t="str">
        <f t="shared" si="92"/>
        <v/>
      </c>
      <c r="AR882" t="str">
        <f t="shared" si="93"/>
        <v/>
      </c>
      <c r="AS882" t="str">
        <f t="shared" si="94"/>
        <v/>
      </c>
    </row>
    <row r="883" spans="5:45" x14ac:dyDescent="0.25">
      <c r="E883" t="str">
        <f ca="1"/>
        <v/>
      </c>
      <c r="F883" t="str">
        <f ca="1"/>
        <v/>
      </c>
      <c r="P883" t="e" cm="1">
        <f t="array" ref="P883">INDEX($B$2:$D$40,MOD(ROW()-ROW($B$2),ROWS($B$2:$D$40))+1,INT((ROW()-ROW($B$2))/ROWS($B$2:$D$40))+1)</f>
        <v>#REF!</v>
      </c>
      <c r="Q883" t="e">
        <f t="shared" ca="1" si="95"/>
        <v>#N/A</v>
      </c>
      <c r="R883" t="str" cm="1">
        <f t="array" aca="1" ref="R883" ca="1">IFERROR(INDIRECT("$P"&amp;Q883),"")</f>
        <v/>
      </c>
      <c r="U883" t="e" cm="1">
        <f t="array" ref="U883">INDEX($C$2:$D$40,MOD(ROW()-ROW($C$2),ROWS($C$2:$D$40))+1,INT((ROW()-ROW($C$2))/ROWS($C$2:$D$40))+1)</f>
        <v>#REF!</v>
      </c>
      <c r="V883" t="e">
        <f t="shared" ca="1" si="96"/>
        <v>#N/A</v>
      </c>
      <c r="W883" t="str" cm="1">
        <f t="array" aca="1" ref="W883" ca="1">IFERROR(INDIRECT("$U"&amp;V883),"")</f>
        <v/>
      </c>
      <c r="Z883" t="e" cm="1">
        <f t="array" ref="Z883">INDEX($AE$2:$AS$40,MOD(ROW()-ROW($AE$2),ROWS($AE$2:$AS$40))+1,INT((ROW()-ROW($AE$2))/ROWS($AE$2:$AS$40))+1)</f>
        <v>#REF!</v>
      </c>
      <c r="AA883" t="e">
        <f t="shared" ca="1" si="97"/>
        <v>#N/A</v>
      </c>
      <c r="AB883" t="str" cm="1">
        <f t="array" aca="1" ref="AB883" ca="1">IFERROR(INDIRECT("$Z"&amp;AA883),"")</f>
        <v/>
      </c>
      <c r="AP883" t="str">
        <f t="shared" si="91"/>
        <v/>
      </c>
      <c r="AQ883" t="str">
        <f t="shared" si="92"/>
        <v/>
      </c>
      <c r="AR883" t="str">
        <f t="shared" si="93"/>
        <v/>
      </c>
      <c r="AS883" t="str">
        <f t="shared" si="94"/>
        <v/>
      </c>
    </row>
    <row r="884" spans="5:45" x14ac:dyDescent="0.25">
      <c r="E884" t="str">
        <f ca="1"/>
        <v/>
      </c>
      <c r="F884" t="str">
        <f ca="1"/>
        <v/>
      </c>
      <c r="P884" t="e" cm="1">
        <f t="array" ref="P884">INDEX($B$2:$D$40,MOD(ROW()-ROW($B$2),ROWS($B$2:$D$40))+1,INT((ROW()-ROW($B$2))/ROWS($B$2:$D$40))+1)</f>
        <v>#REF!</v>
      </c>
      <c r="Q884" t="e">
        <f t="shared" ca="1" si="95"/>
        <v>#N/A</v>
      </c>
      <c r="R884" t="str" cm="1">
        <f t="array" aca="1" ref="R884" ca="1">IFERROR(INDIRECT("$P"&amp;Q884),"")</f>
        <v/>
      </c>
      <c r="U884" t="e" cm="1">
        <f t="array" ref="U884">INDEX($C$2:$D$40,MOD(ROW()-ROW($C$2),ROWS($C$2:$D$40))+1,INT((ROW()-ROW($C$2))/ROWS($C$2:$D$40))+1)</f>
        <v>#REF!</v>
      </c>
      <c r="V884" t="e">
        <f t="shared" ca="1" si="96"/>
        <v>#N/A</v>
      </c>
      <c r="W884" t="str" cm="1">
        <f t="array" aca="1" ref="W884" ca="1">IFERROR(INDIRECT("$U"&amp;V884),"")</f>
        <v/>
      </c>
      <c r="Z884" t="e" cm="1">
        <f t="array" ref="Z884">INDEX($AE$2:$AS$40,MOD(ROW()-ROW($AE$2),ROWS($AE$2:$AS$40))+1,INT((ROW()-ROW($AE$2))/ROWS($AE$2:$AS$40))+1)</f>
        <v>#REF!</v>
      </c>
      <c r="AA884" t="e">
        <f t="shared" ca="1" si="97"/>
        <v>#N/A</v>
      </c>
      <c r="AB884" t="str" cm="1">
        <f t="array" aca="1" ref="AB884" ca="1">IFERROR(INDIRECT("$Z"&amp;AA884),"")</f>
        <v/>
      </c>
      <c r="AP884" t="str">
        <f t="shared" si="91"/>
        <v/>
      </c>
      <c r="AQ884" t="str">
        <f t="shared" si="92"/>
        <v/>
      </c>
      <c r="AR884" t="str">
        <f t="shared" si="93"/>
        <v/>
      </c>
      <c r="AS884" t="str">
        <f t="shared" si="94"/>
        <v/>
      </c>
    </row>
    <row r="885" spans="5:45" x14ac:dyDescent="0.25">
      <c r="E885" t="str">
        <f ca="1"/>
        <v/>
      </c>
      <c r="F885" t="str">
        <f ca="1"/>
        <v/>
      </c>
      <c r="P885" t="e" cm="1">
        <f t="array" ref="P885">INDEX($B$2:$D$40,MOD(ROW()-ROW($B$2),ROWS($B$2:$D$40))+1,INT((ROW()-ROW($B$2))/ROWS($B$2:$D$40))+1)</f>
        <v>#REF!</v>
      </c>
      <c r="Q885" t="e">
        <f t="shared" ca="1" si="95"/>
        <v>#N/A</v>
      </c>
      <c r="R885" t="str" cm="1">
        <f t="array" aca="1" ref="R885" ca="1">IFERROR(INDIRECT("$P"&amp;Q885),"")</f>
        <v/>
      </c>
      <c r="U885" t="e" cm="1">
        <f t="array" ref="U885">INDEX($C$2:$D$40,MOD(ROW()-ROW($C$2),ROWS($C$2:$D$40))+1,INT((ROW()-ROW($C$2))/ROWS($C$2:$D$40))+1)</f>
        <v>#REF!</v>
      </c>
      <c r="V885" t="e">
        <f t="shared" ca="1" si="96"/>
        <v>#N/A</v>
      </c>
      <c r="W885" t="str" cm="1">
        <f t="array" aca="1" ref="W885" ca="1">IFERROR(INDIRECT("$U"&amp;V885),"")</f>
        <v/>
      </c>
      <c r="Z885" t="e" cm="1">
        <f t="array" ref="Z885">INDEX($AE$2:$AS$40,MOD(ROW()-ROW($AE$2),ROWS($AE$2:$AS$40))+1,INT((ROW()-ROW($AE$2))/ROWS($AE$2:$AS$40))+1)</f>
        <v>#REF!</v>
      </c>
      <c r="AA885" t="e">
        <f t="shared" ca="1" si="97"/>
        <v>#N/A</v>
      </c>
      <c r="AB885" t="str" cm="1">
        <f t="array" aca="1" ref="AB885" ca="1">IFERROR(INDIRECT("$Z"&amp;AA885),"")</f>
        <v/>
      </c>
      <c r="AP885" t="str">
        <f t="shared" si="91"/>
        <v/>
      </c>
      <c r="AQ885" t="str">
        <f t="shared" si="92"/>
        <v/>
      </c>
      <c r="AR885" t="str">
        <f t="shared" si="93"/>
        <v/>
      </c>
      <c r="AS885" t="str">
        <f t="shared" si="94"/>
        <v/>
      </c>
    </row>
    <row r="886" spans="5:45" x14ac:dyDescent="0.25">
      <c r="E886" t="str">
        <f ca="1"/>
        <v/>
      </c>
      <c r="F886" t="str">
        <f ca="1"/>
        <v/>
      </c>
      <c r="P886" t="e" cm="1">
        <f t="array" ref="P886">INDEX($B$2:$D$40,MOD(ROW()-ROW($B$2),ROWS($B$2:$D$40))+1,INT((ROW()-ROW($B$2))/ROWS($B$2:$D$40))+1)</f>
        <v>#REF!</v>
      </c>
      <c r="Q886" t="e">
        <f t="shared" ca="1" si="95"/>
        <v>#N/A</v>
      </c>
      <c r="R886" t="str" cm="1">
        <f t="array" aca="1" ref="R886" ca="1">IFERROR(INDIRECT("$P"&amp;Q886),"")</f>
        <v/>
      </c>
      <c r="U886" t="e" cm="1">
        <f t="array" ref="U886">INDEX($C$2:$D$40,MOD(ROW()-ROW($C$2),ROWS($C$2:$D$40))+1,INT((ROW()-ROW($C$2))/ROWS($C$2:$D$40))+1)</f>
        <v>#REF!</v>
      </c>
      <c r="V886" t="e">
        <f t="shared" ca="1" si="96"/>
        <v>#N/A</v>
      </c>
      <c r="W886" t="str" cm="1">
        <f t="array" aca="1" ref="W886" ca="1">IFERROR(INDIRECT("$U"&amp;V886),"")</f>
        <v/>
      </c>
      <c r="Z886" t="e" cm="1">
        <f t="array" ref="Z886">INDEX($AE$2:$AS$40,MOD(ROW()-ROW($AE$2),ROWS($AE$2:$AS$40))+1,INT((ROW()-ROW($AE$2))/ROWS($AE$2:$AS$40))+1)</f>
        <v>#REF!</v>
      </c>
      <c r="AA886" t="e">
        <f t="shared" ca="1" si="97"/>
        <v>#N/A</v>
      </c>
      <c r="AB886" t="str" cm="1">
        <f t="array" aca="1" ref="AB886" ca="1">IFERROR(INDIRECT("$Z"&amp;AA886),"")</f>
        <v/>
      </c>
      <c r="AP886" t="str">
        <f t="shared" si="91"/>
        <v/>
      </c>
      <c r="AQ886" t="str">
        <f t="shared" si="92"/>
        <v/>
      </c>
      <c r="AR886" t="str">
        <f t="shared" si="93"/>
        <v/>
      </c>
      <c r="AS886" t="str">
        <f t="shared" si="94"/>
        <v/>
      </c>
    </row>
    <row r="887" spans="5:45" x14ac:dyDescent="0.25">
      <c r="E887" t="str">
        <f ca="1"/>
        <v/>
      </c>
      <c r="F887" t="str">
        <f ca="1"/>
        <v/>
      </c>
      <c r="P887" t="e" cm="1">
        <f t="array" ref="P887">INDEX($B$2:$D$40,MOD(ROW()-ROW($B$2),ROWS($B$2:$D$40))+1,INT((ROW()-ROW($B$2))/ROWS($B$2:$D$40))+1)</f>
        <v>#REF!</v>
      </c>
      <c r="Q887" t="e">
        <f t="shared" ca="1" si="95"/>
        <v>#N/A</v>
      </c>
      <c r="R887" t="str" cm="1">
        <f t="array" aca="1" ref="R887" ca="1">IFERROR(INDIRECT("$P"&amp;Q887),"")</f>
        <v/>
      </c>
      <c r="U887" t="e" cm="1">
        <f t="array" ref="U887">INDEX($C$2:$D$40,MOD(ROW()-ROW($C$2),ROWS($C$2:$D$40))+1,INT((ROW()-ROW($C$2))/ROWS($C$2:$D$40))+1)</f>
        <v>#REF!</v>
      </c>
      <c r="V887" t="e">
        <f t="shared" ca="1" si="96"/>
        <v>#N/A</v>
      </c>
      <c r="W887" t="str" cm="1">
        <f t="array" aca="1" ref="W887" ca="1">IFERROR(INDIRECT("$U"&amp;V887),"")</f>
        <v/>
      </c>
      <c r="Z887" t="e" cm="1">
        <f t="array" ref="Z887">INDEX($AE$2:$AS$40,MOD(ROW()-ROW($AE$2),ROWS($AE$2:$AS$40))+1,INT((ROW()-ROW($AE$2))/ROWS($AE$2:$AS$40))+1)</f>
        <v>#REF!</v>
      </c>
      <c r="AA887" t="e">
        <f t="shared" ca="1" si="97"/>
        <v>#N/A</v>
      </c>
      <c r="AB887" t="str" cm="1">
        <f t="array" aca="1" ref="AB887" ca="1">IFERROR(INDIRECT("$Z"&amp;AA887),"")</f>
        <v/>
      </c>
      <c r="AP887" t="str">
        <f t="shared" si="91"/>
        <v/>
      </c>
      <c r="AQ887" t="str">
        <f t="shared" si="92"/>
        <v/>
      </c>
      <c r="AR887" t="str">
        <f t="shared" si="93"/>
        <v/>
      </c>
      <c r="AS887" t="str">
        <f t="shared" si="94"/>
        <v/>
      </c>
    </row>
    <row r="888" spans="5:45" x14ac:dyDescent="0.25">
      <c r="E888" t="str">
        <f ca="1"/>
        <v/>
      </c>
      <c r="F888" t="str">
        <f ca="1"/>
        <v/>
      </c>
      <c r="P888" t="e" cm="1">
        <f t="array" ref="P888">INDEX($B$2:$D$40,MOD(ROW()-ROW($B$2),ROWS($B$2:$D$40))+1,INT((ROW()-ROW($B$2))/ROWS($B$2:$D$40))+1)</f>
        <v>#REF!</v>
      </c>
      <c r="Q888" t="e">
        <f t="shared" ca="1" si="95"/>
        <v>#N/A</v>
      </c>
      <c r="R888" t="str" cm="1">
        <f t="array" aca="1" ref="R888" ca="1">IFERROR(INDIRECT("$P"&amp;Q888),"")</f>
        <v/>
      </c>
      <c r="U888" t="e" cm="1">
        <f t="array" ref="U888">INDEX($C$2:$D$40,MOD(ROW()-ROW($C$2),ROWS($C$2:$D$40))+1,INT((ROW()-ROW($C$2))/ROWS($C$2:$D$40))+1)</f>
        <v>#REF!</v>
      </c>
      <c r="V888" t="e">
        <f t="shared" ca="1" si="96"/>
        <v>#N/A</v>
      </c>
      <c r="W888" t="str" cm="1">
        <f t="array" aca="1" ref="W888" ca="1">IFERROR(INDIRECT("$U"&amp;V888),"")</f>
        <v/>
      </c>
      <c r="Z888" t="e" cm="1">
        <f t="array" ref="Z888">INDEX($AE$2:$AS$40,MOD(ROW()-ROW($AE$2),ROWS($AE$2:$AS$40))+1,INT((ROW()-ROW($AE$2))/ROWS($AE$2:$AS$40))+1)</f>
        <v>#REF!</v>
      </c>
      <c r="AA888" t="e">
        <f t="shared" ca="1" si="97"/>
        <v>#N/A</v>
      </c>
      <c r="AB888" t="str" cm="1">
        <f t="array" aca="1" ref="AB888" ca="1">IFERROR(INDIRECT("$Z"&amp;AA888),"")</f>
        <v/>
      </c>
      <c r="AP888" t="str">
        <f t="shared" si="91"/>
        <v/>
      </c>
      <c r="AQ888" t="str">
        <f t="shared" si="92"/>
        <v/>
      </c>
      <c r="AR888" t="str">
        <f t="shared" si="93"/>
        <v/>
      </c>
      <c r="AS888" t="str">
        <f t="shared" si="94"/>
        <v/>
      </c>
    </row>
    <row r="889" spans="5:45" x14ac:dyDescent="0.25">
      <c r="E889" t="str">
        <f ca="1"/>
        <v/>
      </c>
      <c r="F889" t="str">
        <f ca="1"/>
        <v/>
      </c>
      <c r="P889" t="e" cm="1">
        <f t="array" ref="P889">INDEX($B$2:$D$40,MOD(ROW()-ROW($B$2),ROWS($B$2:$D$40))+1,INT((ROW()-ROW($B$2))/ROWS($B$2:$D$40))+1)</f>
        <v>#REF!</v>
      </c>
      <c r="Q889" t="e">
        <f t="shared" ca="1" si="95"/>
        <v>#N/A</v>
      </c>
      <c r="R889" t="str" cm="1">
        <f t="array" aca="1" ref="R889" ca="1">IFERROR(INDIRECT("$P"&amp;Q889),"")</f>
        <v/>
      </c>
      <c r="U889" t="e" cm="1">
        <f t="array" ref="U889">INDEX($C$2:$D$40,MOD(ROW()-ROW($C$2),ROWS($C$2:$D$40))+1,INT((ROW()-ROW($C$2))/ROWS($C$2:$D$40))+1)</f>
        <v>#REF!</v>
      </c>
      <c r="V889" t="e">
        <f t="shared" ca="1" si="96"/>
        <v>#N/A</v>
      </c>
      <c r="W889" t="str" cm="1">
        <f t="array" aca="1" ref="W889" ca="1">IFERROR(INDIRECT("$U"&amp;V889),"")</f>
        <v/>
      </c>
      <c r="Z889" t="e" cm="1">
        <f t="array" ref="Z889">INDEX($AE$2:$AS$40,MOD(ROW()-ROW($AE$2),ROWS($AE$2:$AS$40))+1,INT((ROW()-ROW($AE$2))/ROWS($AE$2:$AS$40))+1)</f>
        <v>#REF!</v>
      </c>
      <c r="AA889" t="e">
        <f t="shared" ca="1" si="97"/>
        <v>#N/A</v>
      </c>
      <c r="AB889" t="str" cm="1">
        <f t="array" aca="1" ref="AB889" ca="1">IFERROR(INDIRECT("$Z"&amp;AA889),"")</f>
        <v/>
      </c>
      <c r="AP889" t="str">
        <f t="shared" si="91"/>
        <v/>
      </c>
      <c r="AQ889" t="str">
        <f t="shared" si="92"/>
        <v/>
      </c>
      <c r="AR889" t="str">
        <f t="shared" si="93"/>
        <v/>
      </c>
      <c r="AS889" t="str">
        <f t="shared" si="94"/>
        <v/>
      </c>
    </row>
    <row r="890" spans="5:45" x14ac:dyDescent="0.25">
      <c r="E890" t="str">
        <f ca="1"/>
        <v/>
      </c>
      <c r="F890" t="str">
        <f ca="1"/>
        <v/>
      </c>
      <c r="P890" t="e" cm="1">
        <f t="array" ref="P890">INDEX($B$2:$D$40,MOD(ROW()-ROW($B$2),ROWS($B$2:$D$40))+1,INT((ROW()-ROW($B$2))/ROWS($B$2:$D$40))+1)</f>
        <v>#REF!</v>
      </c>
      <c r="Q890" t="e">
        <f t="shared" ca="1" si="95"/>
        <v>#N/A</v>
      </c>
      <c r="R890" t="str" cm="1">
        <f t="array" aca="1" ref="R890" ca="1">IFERROR(INDIRECT("$P"&amp;Q890),"")</f>
        <v/>
      </c>
      <c r="U890" t="e" cm="1">
        <f t="array" ref="U890">INDEX($C$2:$D$40,MOD(ROW()-ROW($C$2),ROWS($C$2:$D$40))+1,INT((ROW()-ROW($C$2))/ROWS($C$2:$D$40))+1)</f>
        <v>#REF!</v>
      </c>
      <c r="V890" t="e">
        <f t="shared" ca="1" si="96"/>
        <v>#N/A</v>
      </c>
      <c r="W890" t="str" cm="1">
        <f t="array" aca="1" ref="W890" ca="1">IFERROR(INDIRECT("$U"&amp;V890),"")</f>
        <v/>
      </c>
      <c r="Z890" t="e" cm="1">
        <f t="array" ref="Z890">INDEX($AE$2:$AS$40,MOD(ROW()-ROW($AE$2),ROWS($AE$2:$AS$40))+1,INT((ROW()-ROW($AE$2))/ROWS($AE$2:$AS$40))+1)</f>
        <v>#REF!</v>
      </c>
      <c r="AA890" t="e">
        <f t="shared" ca="1" si="97"/>
        <v>#N/A</v>
      </c>
      <c r="AB890" t="str" cm="1">
        <f t="array" aca="1" ref="AB890" ca="1">IFERROR(INDIRECT("$Z"&amp;AA890),"")</f>
        <v/>
      </c>
      <c r="AP890" t="str">
        <f t="shared" si="91"/>
        <v/>
      </c>
      <c r="AQ890" t="str">
        <f t="shared" si="92"/>
        <v/>
      </c>
      <c r="AR890" t="str">
        <f t="shared" si="93"/>
        <v/>
      </c>
      <c r="AS890" t="str">
        <f t="shared" si="94"/>
        <v/>
      </c>
    </row>
    <row r="891" spans="5:45" x14ac:dyDescent="0.25">
      <c r="E891" t="str">
        <f ca="1"/>
        <v/>
      </c>
      <c r="F891" t="str">
        <f ca="1"/>
        <v/>
      </c>
      <c r="P891" t="e" cm="1">
        <f t="array" ref="P891">INDEX($B$2:$D$40,MOD(ROW()-ROW($B$2),ROWS($B$2:$D$40))+1,INT((ROW()-ROW($B$2))/ROWS($B$2:$D$40))+1)</f>
        <v>#REF!</v>
      </c>
      <c r="Q891" t="e">
        <f t="shared" ca="1" si="95"/>
        <v>#N/A</v>
      </c>
      <c r="R891" t="str" cm="1">
        <f t="array" aca="1" ref="R891" ca="1">IFERROR(INDIRECT("$P"&amp;Q891),"")</f>
        <v/>
      </c>
      <c r="U891" t="e" cm="1">
        <f t="array" ref="U891">INDEX($C$2:$D$40,MOD(ROW()-ROW($C$2),ROWS($C$2:$D$40))+1,INT((ROW()-ROW($C$2))/ROWS($C$2:$D$40))+1)</f>
        <v>#REF!</v>
      </c>
      <c r="V891" t="e">
        <f t="shared" ca="1" si="96"/>
        <v>#N/A</v>
      </c>
      <c r="W891" t="str" cm="1">
        <f t="array" aca="1" ref="W891" ca="1">IFERROR(INDIRECT("$U"&amp;V891),"")</f>
        <v/>
      </c>
      <c r="Z891" t="e" cm="1">
        <f t="array" ref="Z891">INDEX($AE$2:$AS$40,MOD(ROW()-ROW($AE$2),ROWS($AE$2:$AS$40))+1,INT((ROW()-ROW($AE$2))/ROWS($AE$2:$AS$40))+1)</f>
        <v>#REF!</v>
      </c>
      <c r="AA891" t="e">
        <f t="shared" ca="1" si="97"/>
        <v>#N/A</v>
      </c>
      <c r="AB891" t="str" cm="1">
        <f t="array" aca="1" ref="AB891" ca="1">IFERROR(INDIRECT("$Z"&amp;AA891),"")</f>
        <v/>
      </c>
      <c r="AP891" t="str">
        <f t="shared" si="91"/>
        <v/>
      </c>
      <c r="AQ891" t="str">
        <f t="shared" si="92"/>
        <v/>
      </c>
      <c r="AR891" t="str">
        <f t="shared" si="93"/>
        <v/>
      </c>
      <c r="AS891" t="str">
        <f t="shared" si="94"/>
        <v/>
      </c>
    </row>
    <row r="892" spans="5:45" x14ac:dyDescent="0.25">
      <c r="E892" t="str">
        <f ca="1"/>
        <v/>
      </c>
      <c r="F892" t="str">
        <f ca="1"/>
        <v/>
      </c>
      <c r="P892" t="e" cm="1">
        <f t="array" ref="P892">INDEX($B$2:$D$40,MOD(ROW()-ROW($B$2),ROWS($B$2:$D$40))+1,INT((ROW()-ROW($B$2))/ROWS($B$2:$D$40))+1)</f>
        <v>#REF!</v>
      </c>
      <c r="Q892" t="e">
        <f t="shared" ca="1" si="95"/>
        <v>#N/A</v>
      </c>
      <c r="R892" t="str" cm="1">
        <f t="array" aca="1" ref="R892" ca="1">IFERROR(INDIRECT("$P"&amp;Q892),"")</f>
        <v/>
      </c>
      <c r="U892" t="e" cm="1">
        <f t="array" ref="U892">INDEX($C$2:$D$40,MOD(ROW()-ROW($C$2),ROWS($C$2:$D$40))+1,INT((ROW()-ROW($C$2))/ROWS($C$2:$D$40))+1)</f>
        <v>#REF!</v>
      </c>
      <c r="V892" t="e">
        <f t="shared" ca="1" si="96"/>
        <v>#N/A</v>
      </c>
      <c r="W892" t="str" cm="1">
        <f t="array" aca="1" ref="W892" ca="1">IFERROR(INDIRECT("$U"&amp;V892),"")</f>
        <v/>
      </c>
      <c r="Z892" t="e" cm="1">
        <f t="array" ref="Z892">INDEX($AE$2:$AS$40,MOD(ROW()-ROW($AE$2),ROWS($AE$2:$AS$40))+1,INT((ROW()-ROW($AE$2))/ROWS($AE$2:$AS$40))+1)</f>
        <v>#REF!</v>
      </c>
      <c r="AA892" t="e">
        <f t="shared" ca="1" si="97"/>
        <v>#N/A</v>
      </c>
      <c r="AB892" t="str" cm="1">
        <f t="array" aca="1" ref="AB892" ca="1">IFERROR(INDIRECT("$Z"&amp;AA892),"")</f>
        <v/>
      </c>
      <c r="AP892" t="str">
        <f t="shared" si="91"/>
        <v/>
      </c>
      <c r="AQ892" t="str">
        <f t="shared" si="92"/>
        <v/>
      </c>
      <c r="AR892" t="str">
        <f t="shared" si="93"/>
        <v/>
      </c>
      <c r="AS892" t="str">
        <f t="shared" si="94"/>
        <v/>
      </c>
    </row>
    <row r="893" spans="5:45" x14ac:dyDescent="0.25">
      <c r="E893" t="str">
        <f ca="1"/>
        <v/>
      </c>
      <c r="F893" t="str">
        <f ca="1"/>
        <v/>
      </c>
      <c r="P893" t="e" cm="1">
        <f t="array" ref="P893">INDEX($B$2:$D$40,MOD(ROW()-ROW($B$2),ROWS($B$2:$D$40))+1,INT((ROW()-ROW($B$2))/ROWS($B$2:$D$40))+1)</f>
        <v>#REF!</v>
      </c>
      <c r="Q893" t="e">
        <f t="shared" ca="1" si="95"/>
        <v>#N/A</v>
      </c>
      <c r="R893" t="str" cm="1">
        <f t="array" aca="1" ref="R893" ca="1">IFERROR(INDIRECT("$P"&amp;Q893),"")</f>
        <v/>
      </c>
      <c r="U893" t="e" cm="1">
        <f t="array" ref="U893">INDEX($C$2:$D$40,MOD(ROW()-ROW($C$2),ROWS($C$2:$D$40))+1,INT((ROW()-ROW($C$2))/ROWS($C$2:$D$40))+1)</f>
        <v>#REF!</v>
      </c>
      <c r="V893" t="e">
        <f t="shared" ca="1" si="96"/>
        <v>#N/A</v>
      </c>
      <c r="W893" t="str" cm="1">
        <f t="array" aca="1" ref="W893" ca="1">IFERROR(INDIRECT("$U"&amp;V893),"")</f>
        <v/>
      </c>
      <c r="Z893" t="e" cm="1">
        <f t="array" ref="Z893">INDEX($AE$2:$AS$40,MOD(ROW()-ROW($AE$2),ROWS($AE$2:$AS$40))+1,INT((ROW()-ROW($AE$2))/ROWS($AE$2:$AS$40))+1)</f>
        <v>#REF!</v>
      </c>
      <c r="AA893" t="e">
        <f t="shared" ca="1" si="97"/>
        <v>#N/A</v>
      </c>
      <c r="AB893" t="str" cm="1">
        <f t="array" aca="1" ref="AB893" ca="1">IFERROR(INDIRECT("$Z"&amp;AA893),"")</f>
        <v/>
      </c>
      <c r="AP893" t="str">
        <f t="shared" si="91"/>
        <v/>
      </c>
      <c r="AQ893" t="str">
        <f t="shared" si="92"/>
        <v/>
      </c>
      <c r="AR893" t="str">
        <f t="shared" si="93"/>
        <v/>
      </c>
      <c r="AS893" t="str">
        <f t="shared" si="94"/>
        <v/>
      </c>
    </row>
    <row r="894" spans="5:45" x14ac:dyDescent="0.25">
      <c r="E894" t="str">
        <f ca="1"/>
        <v/>
      </c>
      <c r="F894" t="str">
        <f ca="1"/>
        <v/>
      </c>
      <c r="P894" t="e" cm="1">
        <f t="array" ref="P894">INDEX($B$2:$D$40,MOD(ROW()-ROW($B$2),ROWS($B$2:$D$40))+1,INT((ROW()-ROW($B$2))/ROWS($B$2:$D$40))+1)</f>
        <v>#REF!</v>
      </c>
      <c r="Q894" t="e">
        <f t="shared" ca="1" si="95"/>
        <v>#N/A</v>
      </c>
      <c r="R894" t="str" cm="1">
        <f t="array" aca="1" ref="R894" ca="1">IFERROR(INDIRECT("$P"&amp;Q894),"")</f>
        <v/>
      </c>
      <c r="U894" t="e" cm="1">
        <f t="array" ref="U894">INDEX($C$2:$D$40,MOD(ROW()-ROW($C$2),ROWS($C$2:$D$40))+1,INT((ROW()-ROW($C$2))/ROWS($C$2:$D$40))+1)</f>
        <v>#REF!</v>
      </c>
      <c r="V894" t="e">
        <f t="shared" ca="1" si="96"/>
        <v>#N/A</v>
      </c>
      <c r="W894" t="str" cm="1">
        <f t="array" aca="1" ref="W894" ca="1">IFERROR(INDIRECT("$U"&amp;V894),"")</f>
        <v/>
      </c>
      <c r="Z894" t="e" cm="1">
        <f t="array" ref="Z894">INDEX($AE$2:$AS$40,MOD(ROW()-ROW($AE$2),ROWS($AE$2:$AS$40))+1,INT((ROW()-ROW($AE$2))/ROWS($AE$2:$AS$40))+1)</f>
        <v>#REF!</v>
      </c>
      <c r="AA894" t="e">
        <f t="shared" ca="1" si="97"/>
        <v>#N/A</v>
      </c>
      <c r="AB894" t="str" cm="1">
        <f t="array" aca="1" ref="AB894" ca="1">IFERROR(INDIRECT("$Z"&amp;AA894),"")</f>
        <v/>
      </c>
      <c r="AP894" t="str">
        <f t="shared" si="91"/>
        <v/>
      </c>
      <c r="AQ894" t="str">
        <f t="shared" si="92"/>
        <v/>
      </c>
      <c r="AR894" t="str">
        <f t="shared" si="93"/>
        <v/>
      </c>
      <c r="AS894" t="str">
        <f t="shared" si="94"/>
        <v/>
      </c>
    </row>
    <row r="895" spans="5:45" x14ac:dyDescent="0.25">
      <c r="E895" t="str">
        <f ca="1"/>
        <v/>
      </c>
      <c r="F895" t="str">
        <f ca="1"/>
        <v/>
      </c>
      <c r="P895" t="e" cm="1">
        <f t="array" ref="P895">INDEX($B$2:$D$40,MOD(ROW()-ROW($B$2),ROWS($B$2:$D$40))+1,INT((ROW()-ROW($B$2))/ROWS($B$2:$D$40))+1)</f>
        <v>#REF!</v>
      </c>
      <c r="Q895" t="e">
        <f t="shared" ca="1" si="95"/>
        <v>#N/A</v>
      </c>
      <c r="R895" t="str" cm="1">
        <f t="array" aca="1" ref="R895" ca="1">IFERROR(INDIRECT("$P"&amp;Q895),"")</f>
        <v/>
      </c>
      <c r="U895" t="e" cm="1">
        <f t="array" ref="U895">INDEX($C$2:$D$40,MOD(ROW()-ROW($C$2),ROWS($C$2:$D$40))+1,INT((ROW()-ROW($C$2))/ROWS($C$2:$D$40))+1)</f>
        <v>#REF!</v>
      </c>
      <c r="V895" t="e">
        <f t="shared" ca="1" si="96"/>
        <v>#N/A</v>
      </c>
      <c r="W895" t="str" cm="1">
        <f t="array" aca="1" ref="W895" ca="1">IFERROR(INDIRECT("$U"&amp;V895),"")</f>
        <v/>
      </c>
      <c r="Z895" t="e" cm="1">
        <f t="array" ref="Z895">INDEX($AE$2:$AS$40,MOD(ROW()-ROW($AE$2),ROWS($AE$2:$AS$40))+1,INT((ROW()-ROW($AE$2))/ROWS($AE$2:$AS$40))+1)</f>
        <v>#REF!</v>
      </c>
      <c r="AA895" t="e">
        <f t="shared" ca="1" si="97"/>
        <v>#N/A</v>
      </c>
      <c r="AB895" t="str" cm="1">
        <f t="array" aca="1" ref="AB895" ca="1">IFERROR(INDIRECT("$Z"&amp;AA895),"")</f>
        <v/>
      </c>
      <c r="AP895" t="str">
        <f t="shared" si="91"/>
        <v/>
      </c>
      <c r="AQ895" t="str">
        <f t="shared" si="92"/>
        <v/>
      </c>
      <c r="AR895" t="str">
        <f t="shared" si="93"/>
        <v/>
      </c>
      <c r="AS895" t="str">
        <f t="shared" si="94"/>
        <v/>
      </c>
    </row>
    <row r="896" spans="5:45" x14ac:dyDescent="0.25">
      <c r="E896" t="str">
        <f ca="1"/>
        <v/>
      </c>
      <c r="F896" t="str">
        <f ca="1"/>
        <v/>
      </c>
      <c r="P896" t="e" cm="1">
        <f t="array" ref="P896">INDEX($B$2:$D$40,MOD(ROW()-ROW($B$2),ROWS($B$2:$D$40))+1,INT((ROW()-ROW($B$2))/ROWS($B$2:$D$40))+1)</f>
        <v>#REF!</v>
      </c>
      <c r="Q896" t="e">
        <f t="shared" ca="1" si="95"/>
        <v>#N/A</v>
      </c>
      <c r="R896" t="str" cm="1">
        <f t="array" aca="1" ref="R896" ca="1">IFERROR(INDIRECT("$P"&amp;Q896),"")</f>
        <v/>
      </c>
      <c r="U896" t="e" cm="1">
        <f t="array" ref="U896">INDEX($C$2:$D$40,MOD(ROW()-ROW($C$2),ROWS($C$2:$D$40))+1,INT((ROW()-ROW($C$2))/ROWS($C$2:$D$40))+1)</f>
        <v>#REF!</v>
      </c>
      <c r="V896" t="e">
        <f t="shared" ca="1" si="96"/>
        <v>#N/A</v>
      </c>
      <c r="W896" t="str" cm="1">
        <f t="array" aca="1" ref="W896" ca="1">IFERROR(INDIRECT("$U"&amp;V896),"")</f>
        <v/>
      </c>
      <c r="Z896" t="e" cm="1">
        <f t="array" ref="Z896">INDEX($AE$2:$AS$40,MOD(ROW()-ROW($AE$2),ROWS($AE$2:$AS$40))+1,INT((ROW()-ROW($AE$2))/ROWS($AE$2:$AS$40))+1)</f>
        <v>#REF!</v>
      </c>
      <c r="AA896" t="e">
        <f t="shared" ca="1" si="97"/>
        <v>#N/A</v>
      </c>
      <c r="AB896" t="str" cm="1">
        <f t="array" aca="1" ref="AB896" ca="1">IFERROR(INDIRECT("$Z"&amp;AA896),"")</f>
        <v/>
      </c>
      <c r="AP896" t="str">
        <f t="shared" si="91"/>
        <v/>
      </c>
      <c r="AQ896" t="str">
        <f t="shared" si="92"/>
        <v/>
      </c>
      <c r="AR896" t="str">
        <f t="shared" si="93"/>
        <v/>
      </c>
      <c r="AS896" t="str">
        <f t="shared" si="94"/>
        <v/>
      </c>
    </row>
    <row r="897" spans="5:45" x14ac:dyDescent="0.25">
      <c r="E897" t="str">
        <f ca="1"/>
        <v/>
      </c>
      <c r="F897" t="str">
        <f ca="1"/>
        <v/>
      </c>
      <c r="P897" t="e" cm="1">
        <f t="array" ref="P897">INDEX($B$2:$D$40,MOD(ROW()-ROW($B$2),ROWS($B$2:$D$40))+1,INT((ROW()-ROW($B$2))/ROWS($B$2:$D$40))+1)</f>
        <v>#REF!</v>
      </c>
      <c r="Q897" t="e">
        <f t="shared" ca="1" si="95"/>
        <v>#N/A</v>
      </c>
      <c r="R897" t="str" cm="1">
        <f t="array" aca="1" ref="R897" ca="1">IFERROR(INDIRECT("$P"&amp;Q897),"")</f>
        <v/>
      </c>
      <c r="U897" t="e" cm="1">
        <f t="array" ref="U897">INDEX($C$2:$D$40,MOD(ROW()-ROW($C$2),ROWS($C$2:$D$40))+1,INT((ROW()-ROW($C$2))/ROWS($C$2:$D$40))+1)</f>
        <v>#REF!</v>
      </c>
      <c r="V897" t="e">
        <f t="shared" ca="1" si="96"/>
        <v>#N/A</v>
      </c>
      <c r="W897" t="str" cm="1">
        <f t="array" aca="1" ref="W897" ca="1">IFERROR(INDIRECT("$U"&amp;V897),"")</f>
        <v/>
      </c>
      <c r="Z897" t="e" cm="1">
        <f t="array" ref="Z897">INDEX($AE$2:$AS$40,MOD(ROW()-ROW($AE$2),ROWS($AE$2:$AS$40))+1,INT((ROW()-ROW($AE$2))/ROWS($AE$2:$AS$40))+1)</f>
        <v>#REF!</v>
      </c>
      <c r="AA897" t="e">
        <f t="shared" ca="1" si="97"/>
        <v>#N/A</v>
      </c>
      <c r="AB897" t="str" cm="1">
        <f t="array" aca="1" ref="AB897" ca="1">IFERROR(INDIRECT("$Z"&amp;AA897),"")</f>
        <v/>
      </c>
      <c r="AP897" t="str">
        <f t="shared" si="91"/>
        <v/>
      </c>
      <c r="AQ897" t="str">
        <f t="shared" si="92"/>
        <v/>
      </c>
      <c r="AR897" t="str">
        <f t="shared" si="93"/>
        <v/>
      </c>
      <c r="AS897" t="str">
        <f t="shared" si="94"/>
        <v/>
      </c>
    </row>
    <row r="898" spans="5:45" x14ac:dyDescent="0.25">
      <c r="E898" t="str">
        <f ca="1"/>
        <v/>
      </c>
      <c r="F898" t="str">
        <f ca="1"/>
        <v/>
      </c>
      <c r="P898" t="e" cm="1">
        <f t="array" ref="P898">INDEX($B$2:$D$40,MOD(ROW()-ROW($B$2),ROWS($B$2:$D$40))+1,INT((ROW()-ROW($B$2))/ROWS($B$2:$D$40))+1)</f>
        <v>#REF!</v>
      </c>
      <c r="Q898" t="e">
        <f t="shared" ca="1" si="95"/>
        <v>#N/A</v>
      </c>
      <c r="R898" t="str" cm="1">
        <f t="array" aca="1" ref="R898" ca="1">IFERROR(INDIRECT("$P"&amp;Q898),"")</f>
        <v/>
      </c>
      <c r="U898" t="e" cm="1">
        <f t="array" ref="U898">INDEX($C$2:$D$40,MOD(ROW()-ROW($C$2),ROWS($C$2:$D$40))+1,INT((ROW()-ROW($C$2))/ROWS($C$2:$D$40))+1)</f>
        <v>#REF!</v>
      </c>
      <c r="V898" t="e">
        <f t="shared" ca="1" si="96"/>
        <v>#N/A</v>
      </c>
      <c r="W898" t="str" cm="1">
        <f t="array" aca="1" ref="W898" ca="1">IFERROR(INDIRECT("$U"&amp;V898),"")</f>
        <v/>
      </c>
      <c r="Z898" t="e" cm="1">
        <f t="array" ref="Z898">INDEX($AE$2:$AS$40,MOD(ROW()-ROW($AE$2),ROWS($AE$2:$AS$40))+1,INT((ROW()-ROW($AE$2))/ROWS($AE$2:$AS$40))+1)</f>
        <v>#REF!</v>
      </c>
      <c r="AA898" t="e">
        <f t="shared" ca="1" si="97"/>
        <v>#N/A</v>
      </c>
      <c r="AB898" t="str" cm="1">
        <f t="array" aca="1" ref="AB898" ca="1">IFERROR(INDIRECT("$Z"&amp;AA898),"")</f>
        <v/>
      </c>
      <c r="AP898" t="str">
        <f t="shared" si="91"/>
        <v/>
      </c>
      <c r="AQ898" t="str">
        <f t="shared" si="92"/>
        <v/>
      </c>
      <c r="AR898" t="str">
        <f t="shared" si="93"/>
        <v/>
      </c>
      <c r="AS898" t="str">
        <f t="shared" si="94"/>
        <v/>
      </c>
    </row>
    <row r="899" spans="5:45" x14ac:dyDescent="0.25">
      <c r="E899" t="str">
        <f ca="1"/>
        <v/>
      </c>
      <c r="F899" t="str">
        <f ca="1"/>
        <v/>
      </c>
      <c r="P899" t="e" cm="1">
        <f t="array" ref="P899">INDEX($B$2:$D$40,MOD(ROW()-ROW($B$2),ROWS($B$2:$D$40))+1,INT((ROW()-ROW($B$2))/ROWS($B$2:$D$40))+1)</f>
        <v>#REF!</v>
      </c>
      <c r="Q899" t="e">
        <f t="shared" ca="1" si="95"/>
        <v>#N/A</v>
      </c>
      <c r="R899" t="str" cm="1">
        <f t="array" aca="1" ref="R899" ca="1">IFERROR(INDIRECT("$P"&amp;Q899),"")</f>
        <v/>
      </c>
      <c r="U899" t="e" cm="1">
        <f t="array" ref="U899">INDEX($C$2:$D$40,MOD(ROW()-ROW($C$2),ROWS($C$2:$D$40))+1,INT((ROW()-ROW($C$2))/ROWS($C$2:$D$40))+1)</f>
        <v>#REF!</v>
      </c>
      <c r="V899" t="e">
        <f t="shared" ca="1" si="96"/>
        <v>#N/A</v>
      </c>
      <c r="W899" t="str" cm="1">
        <f t="array" aca="1" ref="W899" ca="1">IFERROR(INDIRECT("$U"&amp;V899),"")</f>
        <v/>
      </c>
      <c r="Z899" t="e" cm="1">
        <f t="array" ref="Z899">INDEX($AE$2:$AS$40,MOD(ROW()-ROW($AE$2),ROWS($AE$2:$AS$40))+1,INT((ROW()-ROW($AE$2))/ROWS($AE$2:$AS$40))+1)</f>
        <v>#REF!</v>
      </c>
      <c r="AA899" t="e">
        <f t="shared" ca="1" si="97"/>
        <v>#N/A</v>
      </c>
      <c r="AB899" t="str" cm="1">
        <f t="array" aca="1" ref="AB899" ca="1">IFERROR(INDIRECT("$Z"&amp;AA899),"")</f>
        <v/>
      </c>
      <c r="AP899" t="str">
        <f t="shared" ref="AP899:AP962" si="98">IF(AI899&lt;&gt;"", _xlfn.CONCAT(AI899, " (airside)"), "")</f>
        <v/>
      </c>
      <c r="AQ899" t="str">
        <f t="shared" ref="AQ899:AQ962" si="99">IF(AI899&lt;&gt;"", _xlfn.CONCAT(AI899, " (waterside)"), "")</f>
        <v/>
      </c>
      <c r="AR899" t="str">
        <f t="shared" ref="AR899:AR962" si="100">IF(AJ899&lt;&gt;"", _xlfn.CONCAT(AJ899, " (supply)"), "")</f>
        <v/>
      </c>
      <c r="AS899" t="str">
        <f t="shared" ref="AS899:AS962" si="101">IF(AJ899&lt;&gt;"", _xlfn.CONCAT(AJ899, " (exhaust)"), "")</f>
        <v/>
      </c>
    </row>
    <row r="900" spans="5:45" x14ac:dyDescent="0.25">
      <c r="E900" t="str">
        <f ca="1"/>
        <v/>
      </c>
      <c r="F900" t="str">
        <f ca="1"/>
        <v/>
      </c>
      <c r="P900" t="e" cm="1">
        <f t="array" ref="P900">INDEX($B$2:$D$40,MOD(ROW()-ROW($B$2),ROWS($B$2:$D$40))+1,INT((ROW()-ROW($B$2))/ROWS($B$2:$D$40))+1)</f>
        <v>#REF!</v>
      </c>
      <c r="Q900" t="e">
        <f t="shared" ref="Q900:Q963" ca="1" si="102">MATCH("*",INDIRECT(ADDRESS(Q899+1,16,1)&amp;":$P$1000"),0)+Q899</f>
        <v>#N/A</v>
      </c>
      <c r="R900" t="str" cm="1">
        <f t="array" aca="1" ref="R900" ca="1">IFERROR(INDIRECT("$P"&amp;Q900),"")</f>
        <v/>
      </c>
      <c r="U900" t="e" cm="1">
        <f t="array" ref="U900">INDEX($C$2:$D$40,MOD(ROW()-ROW($C$2),ROWS($C$2:$D$40))+1,INT((ROW()-ROW($C$2))/ROWS($C$2:$D$40))+1)</f>
        <v>#REF!</v>
      </c>
      <c r="V900" t="e">
        <f t="shared" ref="V900:V963" ca="1" si="103">MATCH("*",INDIRECT(ADDRESS(V899+1,21,1)&amp;":$U$1000"),0)+V899</f>
        <v>#N/A</v>
      </c>
      <c r="W900" t="str" cm="1">
        <f t="array" aca="1" ref="W900" ca="1">IFERROR(INDIRECT("$U"&amp;V900),"")</f>
        <v/>
      </c>
      <c r="Z900" t="e" cm="1">
        <f t="array" ref="Z900">INDEX($AE$2:$AS$40,MOD(ROW()-ROW($AE$2),ROWS($AE$2:$AS$40))+1,INT((ROW()-ROW($AE$2))/ROWS($AE$2:$AS$40))+1)</f>
        <v>#REF!</v>
      </c>
      <c r="AA900" t="e">
        <f t="shared" ref="AA900:AA963" ca="1" si="104">MATCH("*",INDIRECT(ADDRESS(AA899+1,26,1)&amp;":$Z$1000"),0)+AA899</f>
        <v>#N/A</v>
      </c>
      <c r="AB900" t="str" cm="1">
        <f t="array" aca="1" ref="AB900" ca="1">IFERROR(INDIRECT("$Z"&amp;AA900),"")</f>
        <v/>
      </c>
      <c r="AP900" t="str">
        <f t="shared" si="98"/>
        <v/>
      </c>
      <c r="AQ900" t="str">
        <f t="shared" si="99"/>
        <v/>
      </c>
      <c r="AR900" t="str">
        <f t="shared" si="100"/>
        <v/>
      </c>
      <c r="AS900" t="str">
        <f t="shared" si="101"/>
        <v/>
      </c>
    </row>
    <row r="901" spans="5:45" x14ac:dyDescent="0.25">
      <c r="E901" t="str">
        <f ca="1"/>
        <v/>
      </c>
      <c r="F901" t="str">
        <f ca="1"/>
        <v/>
      </c>
      <c r="P901" t="e" cm="1">
        <f t="array" ref="P901">INDEX($B$2:$D$40,MOD(ROW()-ROW($B$2),ROWS($B$2:$D$40))+1,INT((ROW()-ROW($B$2))/ROWS($B$2:$D$40))+1)</f>
        <v>#REF!</v>
      </c>
      <c r="Q901" t="e">
        <f t="shared" ca="1" si="102"/>
        <v>#N/A</v>
      </c>
      <c r="R901" t="str" cm="1">
        <f t="array" aca="1" ref="R901" ca="1">IFERROR(INDIRECT("$P"&amp;Q901),"")</f>
        <v/>
      </c>
      <c r="U901" t="e" cm="1">
        <f t="array" ref="U901">INDEX($C$2:$D$40,MOD(ROW()-ROW($C$2),ROWS($C$2:$D$40))+1,INT((ROW()-ROW($C$2))/ROWS($C$2:$D$40))+1)</f>
        <v>#REF!</v>
      </c>
      <c r="V901" t="e">
        <f t="shared" ca="1" si="103"/>
        <v>#N/A</v>
      </c>
      <c r="W901" t="str" cm="1">
        <f t="array" aca="1" ref="W901" ca="1">IFERROR(INDIRECT("$U"&amp;V901),"")</f>
        <v/>
      </c>
      <c r="Z901" t="e" cm="1">
        <f t="array" ref="Z901">INDEX($AE$2:$AS$40,MOD(ROW()-ROW($AE$2),ROWS($AE$2:$AS$40))+1,INT((ROW()-ROW($AE$2))/ROWS($AE$2:$AS$40))+1)</f>
        <v>#REF!</v>
      </c>
      <c r="AA901" t="e">
        <f t="shared" ca="1" si="104"/>
        <v>#N/A</v>
      </c>
      <c r="AB901" t="str" cm="1">
        <f t="array" aca="1" ref="AB901" ca="1">IFERROR(INDIRECT("$Z"&amp;AA901),"")</f>
        <v/>
      </c>
      <c r="AP901" t="str">
        <f t="shared" si="98"/>
        <v/>
      </c>
      <c r="AQ901" t="str">
        <f t="shared" si="99"/>
        <v/>
      </c>
      <c r="AR901" t="str">
        <f t="shared" si="100"/>
        <v/>
      </c>
      <c r="AS901" t="str">
        <f t="shared" si="101"/>
        <v/>
      </c>
    </row>
    <row r="902" spans="5:45" x14ac:dyDescent="0.25">
      <c r="E902" t="str">
        <f ca="1"/>
        <v/>
      </c>
      <c r="F902" t="str">
        <f ca="1"/>
        <v/>
      </c>
      <c r="P902" t="e" cm="1">
        <f t="array" ref="P902">INDEX($B$2:$D$40,MOD(ROW()-ROW($B$2),ROWS($B$2:$D$40))+1,INT((ROW()-ROW($B$2))/ROWS($B$2:$D$40))+1)</f>
        <v>#REF!</v>
      </c>
      <c r="Q902" t="e">
        <f t="shared" ca="1" si="102"/>
        <v>#N/A</v>
      </c>
      <c r="R902" t="str" cm="1">
        <f t="array" aca="1" ref="R902" ca="1">IFERROR(INDIRECT("$P"&amp;Q902),"")</f>
        <v/>
      </c>
      <c r="U902" t="e" cm="1">
        <f t="array" ref="U902">INDEX($C$2:$D$40,MOD(ROW()-ROW($C$2),ROWS($C$2:$D$40))+1,INT((ROW()-ROW($C$2))/ROWS($C$2:$D$40))+1)</f>
        <v>#REF!</v>
      </c>
      <c r="V902" t="e">
        <f t="shared" ca="1" si="103"/>
        <v>#N/A</v>
      </c>
      <c r="W902" t="str" cm="1">
        <f t="array" aca="1" ref="W902" ca="1">IFERROR(INDIRECT("$U"&amp;V902),"")</f>
        <v/>
      </c>
      <c r="Z902" t="e" cm="1">
        <f t="array" ref="Z902">INDEX($AE$2:$AS$40,MOD(ROW()-ROW($AE$2),ROWS($AE$2:$AS$40))+1,INT((ROW()-ROW($AE$2))/ROWS($AE$2:$AS$40))+1)</f>
        <v>#REF!</v>
      </c>
      <c r="AA902" t="e">
        <f t="shared" ca="1" si="104"/>
        <v>#N/A</v>
      </c>
      <c r="AB902" t="str" cm="1">
        <f t="array" aca="1" ref="AB902" ca="1">IFERROR(INDIRECT("$Z"&amp;AA902),"")</f>
        <v/>
      </c>
      <c r="AP902" t="str">
        <f t="shared" si="98"/>
        <v/>
      </c>
      <c r="AQ902" t="str">
        <f t="shared" si="99"/>
        <v/>
      </c>
      <c r="AR902" t="str">
        <f t="shared" si="100"/>
        <v/>
      </c>
      <c r="AS902" t="str">
        <f t="shared" si="101"/>
        <v/>
      </c>
    </row>
    <row r="903" spans="5:45" x14ac:dyDescent="0.25">
      <c r="E903" t="str">
        <f ca="1"/>
        <v/>
      </c>
      <c r="F903" t="str">
        <f ca="1"/>
        <v/>
      </c>
      <c r="P903" t="e" cm="1">
        <f t="array" ref="P903">INDEX($B$2:$D$40,MOD(ROW()-ROW($B$2),ROWS($B$2:$D$40))+1,INT((ROW()-ROW($B$2))/ROWS($B$2:$D$40))+1)</f>
        <v>#REF!</v>
      </c>
      <c r="Q903" t="e">
        <f t="shared" ca="1" si="102"/>
        <v>#N/A</v>
      </c>
      <c r="R903" t="str" cm="1">
        <f t="array" aca="1" ref="R903" ca="1">IFERROR(INDIRECT("$P"&amp;Q903),"")</f>
        <v/>
      </c>
      <c r="U903" t="e" cm="1">
        <f t="array" ref="U903">INDEX($C$2:$D$40,MOD(ROW()-ROW($C$2),ROWS($C$2:$D$40))+1,INT((ROW()-ROW($C$2))/ROWS($C$2:$D$40))+1)</f>
        <v>#REF!</v>
      </c>
      <c r="V903" t="e">
        <f t="shared" ca="1" si="103"/>
        <v>#N/A</v>
      </c>
      <c r="W903" t="str" cm="1">
        <f t="array" aca="1" ref="W903" ca="1">IFERROR(INDIRECT("$U"&amp;V903),"")</f>
        <v/>
      </c>
      <c r="Z903" t="e" cm="1">
        <f t="array" ref="Z903">INDEX($AE$2:$AS$40,MOD(ROW()-ROW($AE$2),ROWS($AE$2:$AS$40))+1,INT((ROW()-ROW($AE$2))/ROWS($AE$2:$AS$40))+1)</f>
        <v>#REF!</v>
      </c>
      <c r="AA903" t="e">
        <f t="shared" ca="1" si="104"/>
        <v>#N/A</v>
      </c>
      <c r="AB903" t="str" cm="1">
        <f t="array" aca="1" ref="AB903" ca="1">IFERROR(INDIRECT("$Z"&amp;AA903),"")</f>
        <v/>
      </c>
      <c r="AP903" t="str">
        <f t="shared" si="98"/>
        <v/>
      </c>
      <c r="AQ903" t="str">
        <f t="shared" si="99"/>
        <v/>
      </c>
      <c r="AR903" t="str">
        <f t="shared" si="100"/>
        <v/>
      </c>
      <c r="AS903" t="str">
        <f t="shared" si="101"/>
        <v/>
      </c>
    </row>
    <row r="904" spans="5:45" x14ac:dyDescent="0.25">
      <c r="E904" t="str">
        <f ca="1"/>
        <v/>
      </c>
      <c r="F904" t="str">
        <f ca="1"/>
        <v/>
      </c>
      <c r="P904" t="e" cm="1">
        <f t="array" ref="P904">INDEX($B$2:$D$40,MOD(ROW()-ROW($B$2),ROWS($B$2:$D$40))+1,INT((ROW()-ROW($B$2))/ROWS($B$2:$D$40))+1)</f>
        <v>#REF!</v>
      </c>
      <c r="Q904" t="e">
        <f t="shared" ca="1" si="102"/>
        <v>#N/A</v>
      </c>
      <c r="R904" t="str" cm="1">
        <f t="array" aca="1" ref="R904" ca="1">IFERROR(INDIRECT("$P"&amp;Q904),"")</f>
        <v/>
      </c>
      <c r="U904" t="e" cm="1">
        <f t="array" ref="U904">INDEX($C$2:$D$40,MOD(ROW()-ROW($C$2),ROWS($C$2:$D$40))+1,INT((ROW()-ROW($C$2))/ROWS($C$2:$D$40))+1)</f>
        <v>#REF!</v>
      </c>
      <c r="V904" t="e">
        <f t="shared" ca="1" si="103"/>
        <v>#N/A</v>
      </c>
      <c r="W904" t="str" cm="1">
        <f t="array" aca="1" ref="W904" ca="1">IFERROR(INDIRECT("$U"&amp;V904),"")</f>
        <v/>
      </c>
      <c r="Z904" t="e" cm="1">
        <f t="array" ref="Z904">INDEX($AE$2:$AS$40,MOD(ROW()-ROW($AE$2),ROWS($AE$2:$AS$40))+1,INT((ROW()-ROW($AE$2))/ROWS($AE$2:$AS$40))+1)</f>
        <v>#REF!</v>
      </c>
      <c r="AA904" t="e">
        <f t="shared" ca="1" si="104"/>
        <v>#N/A</v>
      </c>
      <c r="AB904" t="str" cm="1">
        <f t="array" aca="1" ref="AB904" ca="1">IFERROR(INDIRECT("$Z"&amp;AA904),"")</f>
        <v/>
      </c>
      <c r="AP904" t="str">
        <f t="shared" si="98"/>
        <v/>
      </c>
      <c r="AQ904" t="str">
        <f t="shared" si="99"/>
        <v/>
      </c>
      <c r="AR904" t="str">
        <f t="shared" si="100"/>
        <v/>
      </c>
      <c r="AS904" t="str">
        <f t="shared" si="101"/>
        <v/>
      </c>
    </row>
    <row r="905" spans="5:45" x14ac:dyDescent="0.25">
      <c r="E905" t="str">
        <f ca="1"/>
        <v/>
      </c>
      <c r="F905" t="str">
        <f ca="1"/>
        <v/>
      </c>
      <c r="P905" t="e" cm="1">
        <f t="array" ref="P905">INDEX($B$2:$D$40,MOD(ROW()-ROW($B$2),ROWS($B$2:$D$40))+1,INT((ROW()-ROW($B$2))/ROWS($B$2:$D$40))+1)</f>
        <v>#REF!</v>
      </c>
      <c r="Q905" t="e">
        <f t="shared" ca="1" si="102"/>
        <v>#N/A</v>
      </c>
      <c r="R905" t="str" cm="1">
        <f t="array" aca="1" ref="R905" ca="1">IFERROR(INDIRECT("$P"&amp;Q905),"")</f>
        <v/>
      </c>
      <c r="U905" t="e" cm="1">
        <f t="array" ref="U905">INDEX($C$2:$D$40,MOD(ROW()-ROW($C$2),ROWS($C$2:$D$40))+1,INT((ROW()-ROW($C$2))/ROWS($C$2:$D$40))+1)</f>
        <v>#REF!</v>
      </c>
      <c r="V905" t="e">
        <f t="shared" ca="1" si="103"/>
        <v>#N/A</v>
      </c>
      <c r="W905" t="str" cm="1">
        <f t="array" aca="1" ref="W905" ca="1">IFERROR(INDIRECT("$U"&amp;V905),"")</f>
        <v/>
      </c>
      <c r="Z905" t="e" cm="1">
        <f t="array" ref="Z905">INDEX($AE$2:$AS$40,MOD(ROW()-ROW($AE$2),ROWS($AE$2:$AS$40))+1,INT((ROW()-ROW($AE$2))/ROWS($AE$2:$AS$40))+1)</f>
        <v>#REF!</v>
      </c>
      <c r="AA905" t="e">
        <f t="shared" ca="1" si="104"/>
        <v>#N/A</v>
      </c>
      <c r="AB905" t="str" cm="1">
        <f t="array" aca="1" ref="AB905" ca="1">IFERROR(INDIRECT("$Z"&amp;AA905),"")</f>
        <v/>
      </c>
      <c r="AP905" t="str">
        <f t="shared" si="98"/>
        <v/>
      </c>
      <c r="AQ905" t="str">
        <f t="shared" si="99"/>
        <v/>
      </c>
      <c r="AR905" t="str">
        <f t="shared" si="100"/>
        <v/>
      </c>
      <c r="AS905" t="str">
        <f t="shared" si="101"/>
        <v/>
      </c>
    </row>
    <row r="906" spans="5:45" x14ac:dyDescent="0.25">
      <c r="E906" t="str">
        <f ca="1"/>
        <v/>
      </c>
      <c r="F906" t="str">
        <f ca="1"/>
        <v/>
      </c>
      <c r="P906" t="e" cm="1">
        <f t="array" ref="P906">INDEX($B$2:$D$40,MOD(ROW()-ROW($B$2),ROWS($B$2:$D$40))+1,INT((ROW()-ROW($B$2))/ROWS($B$2:$D$40))+1)</f>
        <v>#REF!</v>
      </c>
      <c r="Q906" t="e">
        <f t="shared" ca="1" si="102"/>
        <v>#N/A</v>
      </c>
      <c r="R906" t="str" cm="1">
        <f t="array" aca="1" ref="R906" ca="1">IFERROR(INDIRECT("$P"&amp;Q906),"")</f>
        <v/>
      </c>
      <c r="U906" t="e" cm="1">
        <f t="array" ref="U906">INDEX($C$2:$D$40,MOD(ROW()-ROW($C$2),ROWS($C$2:$D$40))+1,INT((ROW()-ROW($C$2))/ROWS($C$2:$D$40))+1)</f>
        <v>#REF!</v>
      </c>
      <c r="V906" t="e">
        <f t="shared" ca="1" si="103"/>
        <v>#N/A</v>
      </c>
      <c r="W906" t="str" cm="1">
        <f t="array" aca="1" ref="W906" ca="1">IFERROR(INDIRECT("$U"&amp;V906),"")</f>
        <v/>
      </c>
      <c r="Z906" t="e" cm="1">
        <f t="array" ref="Z906">INDEX($AE$2:$AS$40,MOD(ROW()-ROW($AE$2),ROWS($AE$2:$AS$40))+1,INT((ROW()-ROW($AE$2))/ROWS($AE$2:$AS$40))+1)</f>
        <v>#REF!</v>
      </c>
      <c r="AA906" t="e">
        <f t="shared" ca="1" si="104"/>
        <v>#N/A</v>
      </c>
      <c r="AB906" t="str" cm="1">
        <f t="array" aca="1" ref="AB906" ca="1">IFERROR(INDIRECT("$Z"&amp;AA906),"")</f>
        <v/>
      </c>
      <c r="AP906" t="str">
        <f t="shared" si="98"/>
        <v/>
      </c>
      <c r="AQ906" t="str">
        <f t="shared" si="99"/>
        <v/>
      </c>
      <c r="AR906" t="str">
        <f t="shared" si="100"/>
        <v/>
      </c>
      <c r="AS906" t="str">
        <f t="shared" si="101"/>
        <v/>
      </c>
    </row>
    <row r="907" spans="5:45" x14ac:dyDescent="0.25">
      <c r="E907" t="str">
        <f ca="1"/>
        <v/>
      </c>
      <c r="F907" t="str">
        <f ca="1"/>
        <v/>
      </c>
      <c r="P907" t="e" cm="1">
        <f t="array" ref="P907">INDEX($B$2:$D$40,MOD(ROW()-ROW($B$2),ROWS($B$2:$D$40))+1,INT((ROW()-ROW($B$2))/ROWS($B$2:$D$40))+1)</f>
        <v>#REF!</v>
      </c>
      <c r="Q907" t="e">
        <f t="shared" ca="1" si="102"/>
        <v>#N/A</v>
      </c>
      <c r="R907" t="str" cm="1">
        <f t="array" aca="1" ref="R907" ca="1">IFERROR(INDIRECT("$P"&amp;Q907),"")</f>
        <v/>
      </c>
      <c r="U907" t="e" cm="1">
        <f t="array" ref="U907">INDEX($C$2:$D$40,MOD(ROW()-ROW($C$2),ROWS($C$2:$D$40))+1,INT((ROW()-ROW($C$2))/ROWS($C$2:$D$40))+1)</f>
        <v>#REF!</v>
      </c>
      <c r="V907" t="e">
        <f t="shared" ca="1" si="103"/>
        <v>#N/A</v>
      </c>
      <c r="W907" t="str" cm="1">
        <f t="array" aca="1" ref="W907" ca="1">IFERROR(INDIRECT("$U"&amp;V907),"")</f>
        <v/>
      </c>
      <c r="Z907" t="e" cm="1">
        <f t="array" ref="Z907">INDEX($AE$2:$AS$40,MOD(ROW()-ROW($AE$2),ROWS($AE$2:$AS$40))+1,INT((ROW()-ROW($AE$2))/ROWS($AE$2:$AS$40))+1)</f>
        <v>#REF!</v>
      </c>
      <c r="AA907" t="e">
        <f t="shared" ca="1" si="104"/>
        <v>#N/A</v>
      </c>
      <c r="AB907" t="str" cm="1">
        <f t="array" aca="1" ref="AB907" ca="1">IFERROR(INDIRECT("$Z"&amp;AA907),"")</f>
        <v/>
      </c>
      <c r="AP907" t="str">
        <f t="shared" si="98"/>
        <v/>
      </c>
      <c r="AQ907" t="str">
        <f t="shared" si="99"/>
        <v/>
      </c>
      <c r="AR907" t="str">
        <f t="shared" si="100"/>
        <v/>
      </c>
      <c r="AS907" t="str">
        <f t="shared" si="101"/>
        <v/>
      </c>
    </row>
    <row r="908" spans="5:45" x14ac:dyDescent="0.25">
      <c r="E908" t="str">
        <f ca="1"/>
        <v/>
      </c>
      <c r="F908" t="str">
        <f ca="1"/>
        <v/>
      </c>
      <c r="P908" t="e" cm="1">
        <f t="array" ref="P908">INDEX($B$2:$D$40,MOD(ROW()-ROW($B$2),ROWS($B$2:$D$40))+1,INT((ROW()-ROW($B$2))/ROWS($B$2:$D$40))+1)</f>
        <v>#REF!</v>
      </c>
      <c r="Q908" t="e">
        <f t="shared" ca="1" si="102"/>
        <v>#N/A</v>
      </c>
      <c r="R908" t="str" cm="1">
        <f t="array" aca="1" ref="R908" ca="1">IFERROR(INDIRECT("$P"&amp;Q908),"")</f>
        <v/>
      </c>
      <c r="U908" t="e" cm="1">
        <f t="array" ref="U908">INDEX($C$2:$D$40,MOD(ROW()-ROW($C$2),ROWS($C$2:$D$40))+1,INT((ROW()-ROW($C$2))/ROWS($C$2:$D$40))+1)</f>
        <v>#REF!</v>
      </c>
      <c r="V908" t="e">
        <f t="shared" ca="1" si="103"/>
        <v>#N/A</v>
      </c>
      <c r="W908" t="str" cm="1">
        <f t="array" aca="1" ref="W908" ca="1">IFERROR(INDIRECT("$U"&amp;V908),"")</f>
        <v/>
      </c>
      <c r="Z908" t="e" cm="1">
        <f t="array" ref="Z908">INDEX($AE$2:$AS$40,MOD(ROW()-ROW($AE$2),ROWS($AE$2:$AS$40))+1,INT((ROW()-ROW($AE$2))/ROWS($AE$2:$AS$40))+1)</f>
        <v>#REF!</v>
      </c>
      <c r="AA908" t="e">
        <f t="shared" ca="1" si="104"/>
        <v>#N/A</v>
      </c>
      <c r="AB908" t="str" cm="1">
        <f t="array" aca="1" ref="AB908" ca="1">IFERROR(INDIRECT("$Z"&amp;AA908),"")</f>
        <v/>
      </c>
      <c r="AP908" t="str">
        <f t="shared" si="98"/>
        <v/>
      </c>
      <c r="AQ908" t="str">
        <f t="shared" si="99"/>
        <v/>
      </c>
      <c r="AR908" t="str">
        <f t="shared" si="100"/>
        <v/>
      </c>
      <c r="AS908" t="str">
        <f t="shared" si="101"/>
        <v/>
      </c>
    </row>
    <row r="909" spans="5:45" x14ac:dyDescent="0.25">
      <c r="E909" t="str">
        <f ca="1"/>
        <v/>
      </c>
      <c r="F909" t="str">
        <f ca="1"/>
        <v/>
      </c>
      <c r="P909" t="e" cm="1">
        <f t="array" ref="P909">INDEX($B$2:$D$40,MOD(ROW()-ROW($B$2),ROWS($B$2:$D$40))+1,INT((ROW()-ROW($B$2))/ROWS($B$2:$D$40))+1)</f>
        <v>#REF!</v>
      </c>
      <c r="Q909" t="e">
        <f t="shared" ca="1" si="102"/>
        <v>#N/A</v>
      </c>
      <c r="R909" t="str" cm="1">
        <f t="array" aca="1" ref="R909" ca="1">IFERROR(INDIRECT("$P"&amp;Q909),"")</f>
        <v/>
      </c>
      <c r="U909" t="e" cm="1">
        <f t="array" ref="U909">INDEX($C$2:$D$40,MOD(ROW()-ROW($C$2),ROWS($C$2:$D$40))+1,INT((ROW()-ROW($C$2))/ROWS($C$2:$D$40))+1)</f>
        <v>#REF!</v>
      </c>
      <c r="V909" t="e">
        <f t="shared" ca="1" si="103"/>
        <v>#N/A</v>
      </c>
      <c r="W909" t="str" cm="1">
        <f t="array" aca="1" ref="W909" ca="1">IFERROR(INDIRECT("$U"&amp;V909),"")</f>
        <v/>
      </c>
      <c r="Z909" t="e" cm="1">
        <f t="array" ref="Z909">INDEX($AE$2:$AS$40,MOD(ROW()-ROW($AE$2),ROWS($AE$2:$AS$40))+1,INT((ROW()-ROW($AE$2))/ROWS($AE$2:$AS$40))+1)</f>
        <v>#REF!</v>
      </c>
      <c r="AA909" t="e">
        <f t="shared" ca="1" si="104"/>
        <v>#N/A</v>
      </c>
      <c r="AB909" t="str" cm="1">
        <f t="array" aca="1" ref="AB909" ca="1">IFERROR(INDIRECT("$Z"&amp;AA909),"")</f>
        <v/>
      </c>
      <c r="AP909" t="str">
        <f t="shared" si="98"/>
        <v/>
      </c>
      <c r="AQ909" t="str">
        <f t="shared" si="99"/>
        <v/>
      </c>
      <c r="AR909" t="str">
        <f t="shared" si="100"/>
        <v/>
      </c>
      <c r="AS909" t="str">
        <f t="shared" si="101"/>
        <v/>
      </c>
    </row>
    <row r="910" spans="5:45" x14ac:dyDescent="0.25">
      <c r="E910" t="str">
        <f ca="1"/>
        <v/>
      </c>
      <c r="F910" t="str">
        <f ca="1"/>
        <v/>
      </c>
      <c r="P910" t="e" cm="1">
        <f t="array" ref="P910">INDEX($B$2:$D$40,MOD(ROW()-ROW($B$2),ROWS($B$2:$D$40))+1,INT((ROW()-ROW($B$2))/ROWS($B$2:$D$40))+1)</f>
        <v>#REF!</v>
      </c>
      <c r="Q910" t="e">
        <f t="shared" ca="1" si="102"/>
        <v>#N/A</v>
      </c>
      <c r="R910" t="str" cm="1">
        <f t="array" aca="1" ref="R910" ca="1">IFERROR(INDIRECT("$P"&amp;Q910),"")</f>
        <v/>
      </c>
      <c r="U910" t="e" cm="1">
        <f t="array" ref="U910">INDEX($C$2:$D$40,MOD(ROW()-ROW($C$2),ROWS($C$2:$D$40))+1,INT((ROW()-ROW($C$2))/ROWS($C$2:$D$40))+1)</f>
        <v>#REF!</v>
      </c>
      <c r="V910" t="e">
        <f t="shared" ca="1" si="103"/>
        <v>#N/A</v>
      </c>
      <c r="W910" t="str" cm="1">
        <f t="array" aca="1" ref="W910" ca="1">IFERROR(INDIRECT("$U"&amp;V910),"")</f>
        <v/>
      </c>
      <c r="Z910" t="e" cm="1">
        <f t="array" ref="Z910">INDEX($AE$2:$AS$40,MOD(ROW()-ROW($AE$2),ROWS($AE$2:$AS$40))+1,INT((ROW()-ROW($AE$2))/ROWS($AE$2:$AS$40))+1)</f>
        <v>#REF!</v>
      </c>
      <c r="AA910" t="e">
        <f t="shared" ca="1" si="104"/>
        <v>#N/A</v>
      </c>
      <c r="AB910" t="str" cm="1">
        <f t="array" aca="1" ref="AB910" ca="1">IFERROR(INDIRECT("$Z"&amp;AA910),"")</f>
        <v/>
      </c>
      <c r="AP910" t="str">
        <f t="shared" si="98"/>
        <v/>
      </c>
      <c r="AQ910" t="str">
        <f t="shared" si="99"/>
        <v/>
      </c>
      <c r="AR910" t="str">
        <f t="shared" si="100"/>
        <v/>
      </c>
      <c r="AS910" t="str">
        <f t="shared" si="101"/>
        <v/>
      </c>
    </row>
    <row r="911" spans="5:45" x14ac:dyDescent="0.25">
      <c r="E911" t="str">
        <f ca="1"/>
        <v/>
      </c>
      <c r="F911" t="str">
        <f ca="1"/>
        <v/>
      </c>
      <c r="P911" t="e" cm="1">
        <f t="array" ref="P911">INDEX($B$2:$D$40,MOD(ROW()-ROW($B$2),ROWS($B$2:$D$40))+1,INT((ROW()-ROW($B$2))/ROWS($B$2:$D$40))+1)</f>
        <v>#REF!</v>
      </c>
      <c r="Q911" t="e">
        <f t="shared" ca="1" si="102"/>
        <v>#N/A</v>
      </c>
      <c r="R911" t="str" cm="1">
        <f t="array" aca="1" ref="R911" ca="1">IFERROR(INDIRECT("$P"&amp;Q911),"")</f>
        <v/>
      </c>
      <c r="U911" t="e" cm="1">
        <f t="array" ref="U911">INDEX($C$2:$D$40,MOD(ROW()-ROW($C$2),ROWS($C$2:$D$40))+1,INT((ROW()-ROW($C$2))/ROWS($C$2:$D$40))+1)</f>
        <v>#REF!</v>
      </c>
      <c r="V911" t="e">
        <f t="shared" ca="1" si="103"/>
        <v>#N/A</v>
      </c>
      <c r="W911" t="str" cm="1">
        <f t="array" aca="1" ref="W911" ca="1">IFERROR(INDIRECT("$U"&amp;V911),"")</f>
        <v/>
      </c>
      <c r="Z911" t="e" cm="1">
        <f t="array" ref="Z911">INDEX($AE$2:$AS$40,MOD(ROW()-ROW($AE$2),ROWS($AE$2:$AS$40))+1,INT((ROW()-ROW($AE$2))/ROWS($AE$2:$AS$40))+1)</f>
        <v>#REF!</v>
      </c>
      <c r="AA911" t="e">
        <f t="shared" ca="1" si="104"/>
        <v>#N/A</v>
      </c>
      <c r="AB911" t="str" cm="1">
        <f t="array" aca="1" ref="AB911" ca="1">IFERROR(INDIRECT("$Z"&amp;AA911),"")</f>
        <v/>
      </c>
      <c r="AP911" t="str">
        <f t="shared" si="98"/>
        <v/>
      </c>
      <c r="AQ911" t="str">
        <f t="shared" si="99"/>
        <v/>
      </c>
      <c r="AR911" t="str">
        <f t="shared" si="100"/>
        <v/>
      </c>
      <c r="AS911" t="str">
        <f t="shared" si="101"/>
        <v/>
      </c>
    </row>
    <row r="912" spans="5:45" x14ac:dyDescent="0.25">
      <c r="E912" t="str">
        <f ca="1"/>
        <v/>
      </c>
      <c r="F912" t="str">
        <f ca="1"/>
        <v/>
      </c>
      <c r="P912" t="e" cm="1">
        <f t="array" ref="P912">INDEX($B$2:$D$40,MOD(ROW()-ROW($B$2),ROWS($B$2:$D$40))+1,INT((ROW()-ROW($B$2))/ROWS($B$2:$D$40))+1)</f>
        <v>#REF!</v>
      </c>
      <c r="Q912" t="e">
        <f t="shared" ca="1" si="102"/>
        <v>#N/A</v>
      </c>
      <c r="R912" t="str" cm="1">
        <f t="array" aca="1" ref="R912" ca="1">IFERROR(INDIRECT("$P"&amp;Q912),"")</f>
        <v/>
      </c>
      <c r="U912" t="e" cm="1">
        <f t="array" ref="U912">INDEX($C$2:$D$40,MOD(ROW()-ROW($C$2),ROWS($C$2:$D$40))+1,INT((ROW()-ROW($C$2))/ROWS($C$2:$D$40))+1)</f>
        <v>#REF!</v>
      </c>
      <c r="V912" t="e">
        <f t="shared" ca="1" si="103"/>
        <v>#N/A</v>
      </c>
      <c r="W912" t="str" cm="1">
        <f t="array" aca="1" ref="W912" ca="1">IFERROR(INDIRECT("$U"&amp;V912),"")</f>
        <v/>
      </c>
      <c r="Z912" t="e" cm="1">
        <f t="array" ref="Z912">INDEX($AE$2:$AS$40,MOD(ROW()-ROW($AE$2),ROWS($AE$2:$AS$40))+1,INT((ROW()-ROW($AE$2))/ROWS($AE$2:$AS$40))+1)</f>
        <v>#REF!</v>
      </c>
      <c r="AA912" t="e">
        <f t="shared" ca="1" si="104"/>
        <v>#N/A</v>
      </c>
      <c r="AB912" t="str" cm="1">
        <f t="array" aca="1" ref="AB912" ca="1">IFERROR(INDIRECT("$Z"&amp;AA912),"")</f>
        <v/>
      </c>
      <c r="AP912" t="str">
        <f t="shared" si="98"/>
        <v/>
      </c>
      <c r="AQ912" t="str">
        <f t="shared" si="99"/>
        <v/>
      </c>
      <c r="AR912" t="str">
        <f t="shared" si="100"/>
        <v/>
      </c>
      <c r="AS912" t="str">
        <f t="shared" si="101"/>
        <v/>
      </c>
    </row>
    <row r="913" spans="5:45" x14ac:dyDescent="0.25">
      <c r="E913" t="str">
        <f ca="1"/>
        <v/>
      </c>
      <c r="F913" t="str">
        <f ca="1"/>
        <v/>
      </c>
      <c r="P913" t="e" cm="1">
        <f t="array" ref="P913">INDEX($B$2:$D$40,MOD(ROW()-ROW($B$2),ROWS($B$2:$D$40))+1,INT((ROW()-ROW($B$2))/ROWS($B$2:$D$40))+1)</f>
        <v>#REF!</v>
      </c>
      <c r="Q913" t="e">
        <f t="shared" ca="1" si="102"/>
        <v>#N/A</v>
      </c>
      <c r="R913" t="str" cm="1">
        <f t="array" aca="1" ref="R913" ca="1">IFERROR(INDIRECT("$P"&amp;Q913),"")</f>
        <v/>
      </c>
      <c r="U913" t="e" cm="1">
        <f t="array" ref="U913">INDEX($C$2:$D$40,MOD(ROW()-ROW($C$2),ROWS($C$2:$D$40))+1,INT((ROW()-ROW($C$2))/ROWS($C$2:$D$40))+1)</f>
        <v>#REF!</v>
      </c>
      <c r="V913" t="e">
        <f t="shared" ca="1" si="103"/>
        <v>#N/A</v>
      </c>
      <c r="W913" t="str" cm="1">
        <f t="array" aca="1" ref="W913" ca="1">IFERROR(INDIRECT("$U"&amp;V913),"")</f>
        <v/>
      </c>
      <c r="Z913" t="e" cm="1">
        <f t="array" ref="Z913">INDEX($AE$2:$AS$40,MOD(ROW()-ROW($AE$2),ROWS($AE$2:$AS$40))+1,INT((ROW()-ROW($AE$2))/ROWS($AE$2:$AS$40))+1)</f>
        <v>#REF!</v>
      </c>
      <c r="AA913" t="e">
        <f t="shared" ca="1" si="104"/>
        <v>#N/A</v>
      </c>
      <c r="AB913" t="str" cm="1">
        <f t="array" aca="1" ref="AB913" ca="1">IFERROR(INDIRECT("$Z"&amp;AA913),"")</f>
        <v/>
      </c>
      <c r="AP913" t="str">
        <f t="shared" si="98"/>
        <v/>
      </c>
      <c r="AQ913" t="str">
        <f t="shared" si="99"/>
        <v/>
      </c>
      <c r="AR913" t="str">
        <f t="shared" si="100"/>
        <v/>
      </c>
      <c r="AS913" t="str">
        <f t="shared" si="101"/>
        <v/>
      </c>
    </row>
    <row r="914" spans="5:45" x14ac:dyDescent="0.25">
      <c r="E914" t="str">
        <f ca="1"/>
        <v/>
      </c>
      <c r="F914" t="str">
        <f ca="1"/>
        <v/>
      </c>
      <c r="P914" t="e" cm="1">
        <f t="array" ref="P914">INDEX($B$2:$D$40,MOD(ROW()-ROW($B$2),ROWS($B$2:$D$40))+1,INT((ROW()-ROW($B$2))/ROWS($B$2:$D$40))+1)</f>
        <v>#REF!</v>
      </c>
      <c r="Q914" t="e">
        <f t="shared" ca="1" si="102"/>
        <v>#N/A</v>
      </c>
      <c r="R914" t="str" cm="1">
        <f t="array" aca="1" ref="R914" ca="1">IFERROR(INDIRECT("$P"&amp;Q914),"")</f>
        <v/>
      </c>
      <c r="U914" t="e" cm="1">
        <f t="array" ref="U914">INDEX($C$2:$D$40,MOD(ROW()-ROW($C$2),ROWS($C$2:$D$40))+1,INT((ROW()-ROW($C$2))/ROWS($C$2:$D$40))+1)</f>
        <v>#REF!</v>
      </c>
      <c r="V914" t="e">
        <f t="shared" ca="1" si="103"/>
        <v>#N/A</v>
      </c>
      <c r="W914" t="str" cm="1">
        <f t="array" aca="1" ref="W914" ca="1">IFERROR(INDIRECT("$U"&amp;V914),"")</f>
        <v/>
      </c>
      <c r="Z914" t="e" cm="1">
        <f t="array" ref="Z914">INDEX($AE$2:$AS$40,MOD(ROW()-ROW($AE$2),ROWS($AE$2:$AS$40))+1,INT((ROW()-ROW($AE$2))/ROWS($AE$2:$AS$40))+1)</f>
        <v>#REF!</v>
      </c>
      <c r="AA914" t="e">
        <f t="shared" ca="1" si="104"/>
        <v>#N/A</v>
      </c>
      <c r="AB914" t="str" cm="1">
        <f t="array" aca="1" ref="AB914" ca="1">IFERROR(INDIRECT("$Z"&amp;AA914),"")</f>
        <v/>
      </c>
      <c r="AP914" t="str">
        <f t="shared" si="98"/>
        <v/>
      </c>
      <c r="AQ914" t="str">
        <f t="shared" si="99"/>
        <v/>
      </c>
      <c r="AR914" t="str">
        <f t="shared" si="100"/>
        <v/>
      </c>
      <c r="AS914" t="str">
        <f t="shared" si="101"/>
        <v/>
      </c>
    </row>
    <row r="915" spans="5:45" x14ac:dyDescent="0.25">
      <c r="E915" t="str">
        <f ca="1"/>
        <v/>
      </c>
      <c r="F915" t="str">
        <f ca="1"/>
        <v/>
      </c>
      <c r="P915" t="e" cm="1">
        <f t="array" ref="P915">INDEX($B$2:$D$40,MOD(ROW()-ROW($B$2),ROWS($B$2:$D$40))+1,INT((ROW()-ROW($B$2))/ROWS($B$2:$D$40))+1)</f>
        <v>#REF!</v>
      </c>
      <c r="Q915" t="e">
        <f t="shared" ca="1" si="102"/>
        <v>#N/A</v>
      </c>
      <c r="R915" t="str" cm="1">
        <f t="array" aca="1" ref="R915" ca="1">IFERROR(INDIRECT("$P"&amp;Q915),"")</f>
        <v/>
      </c>
      <c r="U915" t="e" cm="1">
        <f t="array" ref="U915">INDEX($C$2:$D$40,MOD(ROW()-ROW($C$2),ROWS($C$2:$D$40))+1,INT((ROW()-ROW($C$2))/ROWS($C$2:$D$40))+1)</f>
        <v>#REF!</v>
      </c>
      <c r="V915" t="e">
        <f t="shared" ca="1" si="103"/>
        <v>#N/A</v>
      </c>
      <c r="W915" t="str" cm="1">
        <f t="array" aca="1" ref="W915" ca="1">IFERROR(INDIRECT("$U"&amp;V915),"")</f>
        <v/>
      </c>
      <c r="Z915" t="e" cm="1">
        <f t="array" ref="Z915">INDEX($AE$2:$AS$40,MOD(ROW()-ROW($AE$2),ROWS($AE$2:$AS$40))+1,INT((ROW()-ROW($AE$2))/ROWS($AE$2:$AS$40))+1)</f>
        <v>#REF!</v>
      </c>
      <c r="AA915" t="e">
        <f t="shared" ca="1" si="104"/>
        <v>#N/A</v>
      </c>
      <c r="AB915" t="str" cm="1">
        <f t="array" aca="1" ref="AB915" ca="1">IFERROR(INDIRECT("$Z"&amp;AA915),"")</f>
        <v/>
      </c>
      <c r="AP915" t="str">
        <f t="shared" si="98"/>
        <v/>
      </c>
      <c r="AQ915" t="str">
        <f t="shared" si="99"/>
        <v/>
      </c>
      <c r="AR915" t="str">
        <f t="shared" si="100"/>
        <v/>
      </c>
      <c r="AS915" t="str">
        <f t="shared" si="101"/>
        <v/>
      </c>
    </row>
    <row r="916" spans="5:45" x14ac:dyDescent="0.25">
      <c r="E916" t="str">
        <f ca="1"/>
        <v/>
      </c>
      <c r="F916" t="str">
        <f ca="1"/>
        <v/>
      </c>
      <c r="P916" t="e" cm="1">
        <f t="array" ref="P916">INDEX($B$2:$D$40,MOD(ROW()-ROW($B$2),ROWS($B$2:$D$40))+1,INT((ROW()-ROW($B$2))/ROWS($B$2:$D$40))+1)</f>
        <v>#REF!</v>
      </c>
      <c r="Q916" t="e">
        <f t="shared" ca="1" si="102"/>
        <v>#N/A</v>
      </c>
      <c r="R916" t="str" cm="1">
        <f t="array" aca="1" ref="R916" ca="1">IFERROR(INDIRECT("$P"&amp;Q916),"")</f>
        <v/>
      </c>
      <c r="U916" t="e" cm="1">
        <f t="array" ref="U916">INDEX($C$2:$D$40,MOD(ROW()-ROW($C$2),ROWS($C$2:$D$40))+1,INT((ROW()-ROW($C$2))/ROWS($C$2:$D$40))+1)</f>
        <v>#REF!</v>
      </c>
      <c r="V916" t="e">
        <f t="shared" ca="1" si="103"/>
        <v>#N/A</v>
      </c>
      <c r="W916" t="str" cm="1">
        <f t="array" aca="1" ref="W916" ca="1">IFERROR(INDIRECT("$U"&amp;V916),"")</f>
        <v/>
      </c>
      <c r="Z916" t="e" cm="1">
        <f t="array" ref="Z916">INDEX($AE$2:$AS$40,MOD(ROW()-ROW($AE$2),ROWS($AE$2:$AS$40))+1,INT((ROW()-ROW($AE$2))/ROWS($AE$2:$AS$40))+1)</f>
        <v>#REF!</v>
      </c>
      <c r="AA916" t="e">
        <f t="shared" ca="1" si="104"/>
        <v>#N/A</v>
      </c>
      <c r="AB916" t="str" cm="1">
        <f t="array" aca="1" ref="AB916" ca="1">IFERROR(INDIRECT("$Z"&amp;AA916),"")</f>
        <v/>
      </c>
      <c r="AP916" t="str">
        <f t="shared" si="98"/>
        <v/>
      </c>
      <c r="AQ916" t="str">
        <f t="shared" si="99"/>
        <v/>
      </c>
      <c r="AR916" t="str">
        <f t="shared" si="100"/>
        <v/>
      </c>
      <c r="AS916" t="str">
        <f t="shared" si="101"/>
        <v/>
      </c>
    </row>
    <row r="917" spans="5:45" x14ac:dyDescent="0.25">
      <c r="E917" t="str">
        <f ca="1"/>
        <v/>
      </c>
      <c r="F917" t="str">
        <f ca="1"/>
        <v/>
      </c>
      <c r="P917" t="e" cm="1">
        <f t="array" ref="P917">INDEX($B$2:$D$40,MOD(ROW()-ROW($B$2),ROWS($B$2:$D$40))+1,INT((ROW()-ROW($B$2))/ROWS($B$2:$D$40))+1)</f>
        <v>#REF!</v>
      </c>
      <c r="Q917" t="e">
        <f t="shared" ca="1" si="102"/>
        <v>#N/A</v>
      </c>
      <c r="R917" t="str" cm="1">
        <f t="array" aca="1" ref="R917" ca="1">IFERROR(INDIRECT("$P"&amp;Q917),"")</f>
        <v/>
      </c>
      <c r="U917" t="e" cm="1">
        <f t="array" ref="U917">INDEX($C$2:$D$40,MOD(ROW()-ROW($C$2),ROWS($C$2:$D$40))+1,INT((ROW()-ROW($C$2))/ROWS($C$2:$D$40))+1)</f>
        <v>#REF!</v>
      </c>
      <c r="V917" t="e">
        <f t="shared" ca="1" si="103"/>
        <v>#N/A</v>
      </c>
      <c r="W917" t="str" cm="1">
        <f t="array" aca="1" ref="W917" ca="1">IFERROR(INDIRECT("$U"&amp;V917),"")</f>
        <v/>
      </c>
      <c r="Z917" t="e" cm="1">
        <f t="array" ref="Z917">INDEX($AE$2:$AS$40,MOD(ROW()-ROW($AE$2),ROWS($AE$2:$AS$40))+1,INT((ROW()-ROW($AE$2))/ROWS($AE$2:$AS$40))+1)</f>
        <v>#REF!</v>
      </c>
      <c r="AA917" t="e">
        <f t="shared" ca="1" si="104"/>
        <v>#N/A</v>
      </c>
      <c r="AB917" t="str" cm="1">
        <f t="array" aca="1" ref="AB917" ca="1">IFERROR(INDIRECT("$Z"&amp;AA917),"")</f>
        <v/>
      </c>
      <c r="AP917" t="str">
        <f t="shared" si="98"/>
        <v/>
      </c>
      <c r="AQ917" t="str">
        <f t="shared" si="99"/>
        <v/>
      </c>
      <c r="AR917" t="str">
        <f t="shared" si="100"/>
        <v/>
      </c>
      <c r="AS917" t="str">
        <f t="shared" si="101"/>
        <v/>
      </c>
    </row>
    <row r="918" spans="5:45" x14ac:dyDescent="0.25">
      <c r="E918" t="str">
        <f ca="1"/>
        <v/>
      </c>
      <c r="F918" t="str">
        <f ca="1"/>
        <v/>
      </c>
      <c r="P918" t="e" cm="1">
        <f t="array" ref="P918">INDEX($B$2:$D$40,MOD(ROW()-ROW($B$2),ROWS($B$2:$D$40))+1,INT((ROW()-ROW($B$2))/ROWS($B$2:$D$40))+1)</f>
        <v>#REF!</v>
      </c>
      <c r="Q918" t="e">
        <f t="shared" ca="1" si="102"/>
        <v>#N/A</v>
      </c>
      <c r="R918" t="str" cm="1">
        <f t="array" aca="1" ref="R918" ca="1">IFERROR(INDIRECT("$P"&amp;Q918),"")</f>
        <v/>
      </c>
      <c r="U918" t="e" cm="1">
        <f t="array" ref="U918">INDEX($C$2:$D$40,MOD(ROW()-ROW($C$2),ROWS($C$2:$D$40))+1,INT((ROW()-ROW($C$2))/ROWS($C$2:$D$40))+1)</f>
        <v>#REF!</v>
      </c>
      <c r="V918" t="e">
        <f t="shared" ca="1" si="103"/>
        <v>#N/A</v>
      </c>
      <c r="W918" t="str" cm="1">
        <f t="array" aca="1" ref="W918" ca="1">IFERROR(INDIRECT("$U"&amp;V918),"")</f>
        <v/>
      </c>
      <c r="Z918" t="e" cm="1">
        <f t="array" ref="Z918">INDEX($AE$2:$AS$40,MOD(ROW()-ROW($AE$2),ROWS($AE$2:$AS$40))+1,INT((ROW()-ROW($AE$2))/ROWS($AE$2:$AS$40))+1)</f>
        <v>#REF!</v>
      </c>
      <c r="AA918" t="e">
        <f t="shared" ca="1" si="104"/>
        <v>#N/A</v>
      </c>
      <c r="AB918" t="str" cm="1">
        <f t="array" aca="1" ref="AB918" ca="1">IFERROR(INDIRECT("$Z"&amp;AA918),"")</f>
        <v/>
      </c>
      <c r="AP918" t="str">
        <f t="shared" si="98"/>
        <v/>
      </c>
      <c r="AQ918" t="str">
        <f t="shared" si="99"/>
        <v/>
      </c>
      <c r="AR918" t="str">
        <f t="shared" si="100"/>
        <v/>
      </c>
      <c r="AS918" t="str">
        <f t="shared" si="101"/>
        <v/>
      </c>
    </row>
    <row r="919" spans="5:45" x14ac:dyDescent="0.25">
      <c r="E919" t="str">
        <f ca="1"/>
        <v/>
      </c>
      <c r="F919" t="str">
        <f ca="1"/>
        <v/>
      </c>
      <c r="P919" t="e" cm="1">
        <f t="array" ref="P919">INDEX($B$2:$D$40,MOD(ROW()-ROW($B$2),ROWS($B$2:$D$40))+1,INT((ROW()-ROW($B$2))/ROWS($B$2:$D$40))+1)</f>
        <v>#REF!</v>
      </c>
      <c r="Q919" t="e">
        <f t="shared" ca="1" si="102"/>
        <v>#N/A</v>
      </c>
      <c r="R919" t="str" cm="1">
        <f t="array" aca="1" ref="R919" ca="1">IFERROR(INDIRECT("$P"&amp;Q919),"")</f>
        <v/>
      </c>
      <c r="U919" t="e" cm="1">
        <f t="array" ref="U919">INDEX($C$2:$D$40,MOD(ROW()-ROW($C$2),ROWS($C$2:$D$40))+1,INT((ROW()-ROW($C$2))/ROWS($C$2:$D$40))+1)</f>
        <v>#REF!</v>
      </c>
      <c r="V919" t="e">
        <f t="shared" ca="1" si="103"/>
        <v>#N/A</v>
      </c>
      <c r="W919" t="str" cm="1">
        <f t="array" aca="1" ref="W919" ca="1">IFERROR(INDIRECT("$U"&amp;V919),"")</f>
        <v/>
      </c>
      <c r="Z919" t="e" cm="1">
        <f t="array" ref="Z919">INDEX($AE$2:$AS$40,MOD(ROW()-ROW($AE$2),ROWS($AE$2:$AS$40))+1,INT((ROW()-ROW($AE$2))/ROWS($AE$2:$AS$40))+1)</f>
        <v>#REF!</v>
      </c>
      <c r="AA919" t="e">
        <f t="shared" ca="1" si="104"/>
        <v>#N/A</v>
      </c>
      <c r="AB919" t="str" cm="1">
        <f t="array" aca="1" ref="AB919" ca="1">IFERROR(INDIRECT("$Z"&amp;AA919),"")</f>
        <v/>
      </c>
      <c r="AP919" t="str">
        <f t="shared" si="98"/>
        <v/>
      </c>
      <c r="AQ919" t="str">
        <f t="shared" si="99"/>
        <v/>
      </c>
      <c r="AR919" t="str">
        <f t="shared" si="100"/>
        <v/>
      </c>
      <c r="AS919" t="str">
        <f t="shared" si="101"/>
        <v/>
      </c>
    </row>
    <row r="920" spans="5:45" x14ac:dyDescent="0.25">
      <c r="E920" t="str">
        <f ca="1"/>
        <v/>
      </c>
      <c r="F920" t="str">
        <f ca="1"/>
        <v/>
      </c>
      <c r="P920" t="e" cm="1">
        <f t="array" ref="P920">INDEX($B$2:$D$40,MOD(ROW()-ROW($B$2),ROWS($B$2:$D$40))+1,INT((ROW()-ROW($B$2))/ROWS($B$2:$D$40))+1)</f>
        <v>#REF!</v>
      </c>
      <c r="Q920" t="e">
        <f t="shared" ca="1" si="102"/>
        <v>#N/A</v>
      </c>
      <c r="R920" t="str" cm="1">
        <f t="array" aca="1" ref="R920" ca="1">IFERROR(INDIRECT("$P"&amp;Q920),"")</f>
        <v/>
      </c>
      <c r="U920" t="e" cm="1">
        <f t="array" ref="U920">INDEX($C$2:$D$40,MOD(ROW()-ROW($C$2),ROWS($C$2:$D$40))+1,INT((ROW()-ROW($C$2))/ROWS($C$2:$D$40))+1)</f>
        <v>#REF!</v>
      </c>
      <c r="V920" t="e">
        <f t="shared" ca="1" si="103"/>
        <v>#N/A</v>
      </c>
      <c r="W920" t="str" cm="1">
        <f t="array" aca="1" ref="W920" ca="1">IFERROR(INDIRECT("$U"&amp;V920),"")</f>
        <v/>
      </c>
      <c r="Z920" t="e" cm="1">
        <f t="array" ref="Z920">INDEX($AE$2:$AS$40,MOD(ROW()-ROW($AE$2),ROWS($AE$2:$AS$40))+1,INT((ROW()-ROW($AE$2))/ROWS($AE$2:$AS$40))+1)</f>
        <v>#REF!</v>
      </c>
      <c r="AA920" t="e">
        <f t="shared" ca="1" si="104"/>
        <v>#N/A</v>
      </c>
      <c r="AB920" t="str" cm="1">
        <f t="array" aca="1" ref="AB920" ca="1">IFERROR(INDIRECT("$Z"&amp;AA920),"")</f>
        <v/>
      </c>
      <c r="AP920" t="str">
        <f t="shared" si="98"/>
        <v/>
      </c>
      <c r="AQ920" t="str">
        <f t="shared" si="99"/>
        <v/>
      </c>
      <c r="AR920" t="str">
        <f t="shared" si="100"/>
        <v/>
      </c>
      <c r="AS920" t="str">
        <f t="shared" si="101"/>
        <v/>
      </c>
    </row>
    <row r="921" spans="5:45" x14ac:dyDescent="0.25">
      <c r="E921" t="str">
        <f ca="1"/>
        <v/>
      </c>
      <c r="F921" t="str">
        <f ca="1"/>
        <v/>
      </c>
      <c r="P921" t="e" cm="1">
        <f t="array" ref="P921">INDEX($B$2:$D$40,MOD(ROW()-ROW($B$2),ROWS($B$2:$D$40))+1,INT((ROW()-ROW($B$2))/ROWS($B$2:$D$40))+1)</f>
        <v>#REF!</v>
      </c>
      <c r="Q921" t="e">
        <f t="shared" ca="1" si="102"/>
        <v>#N/A</v>
      </c>
      <c r="R921" t="str" cm="1">
        <f t="array" aca="1" ref="R921" ca="1">IFERROR(INDIRECT("$P"&amp;Q921),"")</f>
        <v/>
      </c>
      <c r="U921" t="e" cm="1">
        <f t="array" ref="U921">INDEX($C$2:$D$40,MOD(ROW()-ROW($C$2),ROWS($C$2:$D$40))+1,INT((ROW()-ROW($C$2))/ROWS($C$2:$D$40))+1)</f>
        <v>#REF!</v>
      </c>
      <c r="V921" t="e">
        <f t="shared" ca="1" si="103"/>
        <v>#N/A</v>
      </c>
      <c r="W921" t="str" cm="1">
        <f t="array" aca="1" ref="W921" ca="1">IFERROR(INDIRECT("$U"&amp;V921),"")</f>
        <v/>
      </c>
      <c r="Z921" t="e" cm="1">
        <f t="array" ref="Z921">INDEX($AE$2:$AS$40,MOD(ROW()-ROW($AE$2),ROWS($AE$2:$AS$40))+1,INT((ROW()-ROW($AE$2))/ROWS($AE$2:$AS$40))+1)</f>
        <v>#REF!</v>
      </c>
      <c r="AA921" t="e">
        <f t="shared" ca="1" si="104"/>
        <v>#N/A</v>
      </c>
      <c r="AB921" t="str" cm="1">
        <f t="array" aca="1" ref="AB921" ca="1">IFERROR(INDIRECT("$Z"&amp;AA921),"")</f>
        <v/>
      </c>
      <c r="AP921" t="str">
        <f t="shared" si="98"/>
        <v/>
      </c>
      <c r="AQ921" t="str">
        <f t="shared" si="99"/>
        <v/>
      </c>
      <c r="AR921" t="str">
        <f t="shared" si="100"/>
        <v/>
      </c>
      <c r="AS921" t="str">
        <f t="shared" si="101"/>
        <v/>
      </c>
    </row>
    <row r="922" spans="5:45" x14ac:dyDescent="0.25">
      <c r="E922" t="str">
        <f ca="1"/>
        <v/>
      </c>
      <c r="F922" t="str">
        <f ca="1"/>
        <v/>
      </c>
      <c r="P922" t="e" cm="1">
        <f t="array" ref="P922">INDEX($B$2:$D$40,MOD(ROW()-ROW($B$2),ROWS($B$2:$D$40))+1,INT((ROW()-ROW($B$2))/ROWS($B$2:$D$40))+1)</f>
        <v>#REF!</v>
      </c>
      <c r="Q922" t="e">
        <f t="shared" ca="1" si="102"/>
        <v>#N/A</v>
      </c>
      <c r="R922" t="str" cm="1">
        <f t="array" aca="1" ref="R922" ca="1">IFERROR(INDIRECT("$P"&amp;Q922),"")</f>
        <v/>
      </c>
      <c r="U922" t="e" cm="1">
        <f t="array" ref="U922">INDEX($C$2:$D$40,MOD(ROW()-ROW($C$2),ROWS($C$2:$D$40))+1,INT((ROW()-ROW($C$2))/ROWS($C$2:$D$40))+1)</f>
        <v>#REF!</v>
      </c>
      <c r="V922" t="e">
        <f t="shared" ca="1" si="103"/>
        <v>#N/A</v>
      </c>
      <c r="W922" t="str" cm="1">
        <f t="array" aca="1" ref="W922" ca="1">IFERROR(INDIRECT("$U"&amp;V922),"")</f>
        <v/>
      </c>
      <c r="Z922" t="e" cm="1">
        <f t="array" ref="Z922">INDEX($AE$2:$AS$40,MOD(ROW()-ROW($AE$2),ROWS($AE$2:$AS$40))+1,INT((ROW()-ROW($AE$2))/ROWS($AE$2:$AS$40))+1)</f>
        <v>#REF!</v>
      </c>
      <c r="AA922" t="e">
        <f t="shared" ca="1" si="104"/>
        <v>#N/A</v>
      </c>
      <c r="AB922" t="str" cm="1">
        <f t="array" aca="1" ref="AB922" ca="1">IFERROR(INDIRECT("$Z"&amp;AA922),"")</f>
        <v/>
      </c>
      <c r="AP922" t="str">
        <f t="shared" si="98"/>
        <v/>
      </c>
      <c r="AQ922" t="str">
        <f t="shared" si="99"/>
        <v/>
      </c>
      <c r="AR922" t="str">
        <f t="shared" si="100"/>
        <v/>
      </c>
      <c r="AS922" t="str">
        <f t="shared" si="101"/>
        <v/>
      </c>
    </row>
    <row r="923" spans="5:45" x14ac:dyDescent="0.25">
      <c r="E923" t="str">
        <f ca="1"/>
        <v/>
      </c>
      <c r="F923" t="str">
        <f ca="1"/>
        <v/>
      </c>
      <c r="P923" t="e" cm="1">
        <f t="array" ref="P923">INDEX($B$2:$D$40,MOD(ROW()-ROW($B$2),ROWS($B$2:$D$40))+1,INT((ROW()-ROW($B$2))/ROWS($B$2:$D$40))+1)</f>
        <v>#REF!</v>
      </c>
      <c r="Q923" t="e">
        <f t="shared" ca="1" si="102"/>
        <v>#N/A</v>
      </c>
      <c r="R923" t="str" cm="1">
        <f t="array" aca="1" ref="R923" ca="1">IFERROR(INDIRECT("$P"&amp;Q923),"")</f>
        <v/>
      </c>
      <c r="U923" t="e" cm="1">
        <f t="array" ref="U923">INDEX($C$2:$D$40,MOD(ROW()-ROW($C$2),ROWS($C$2:$D$40))+1,INT((ROW()-ROW($C$2))/ROWS($C$2:$D$40))+1)</f>
        <v>#REF!</v>
      </c>
      <c r="V923" t="e">
        <f t="shared" ca="1" si="103"/>
        <v>#N/A</v>
      </c>
      <c r="W923" t="str" cm="1">
        <f t="array" aca="1" ref="W923" ca="1">IFERROR(INDIRECT("$U"&amp;V923),"")</f>
        <v/>
      </c>
      <c r="Z923" t="e" cm="1">
        <f t="array" ref="Z923">INDEX($AE$2:$AS$40,MOD(ROW()-ROW($AE$2),ROWS($AE$2:$AS$40))+1,INT((ROW()-ROW($AE$2))/ROWS($AE$2:$AS$40))+1)</f>
        <v>#REF!</v>
      </c>
      <c r="AA923" t="e">
        <f t="shared" ca="1" si="104"/>
        <v>#N/A</v>
      </c>
      <c r="AB923" t="str" cm="1">
        <f t="array" aca="1" ref="AB923" ca="1">IFERROR(INDIRECT("$Z"&amp;AA923),"")</f>
        <v/>
      </c>
      <c r="AP923" t="str">
        <f t="shared" si="98"/>
        <v/>
      </c>
      <c r="AQ923" t="str">
        <f t="shared" si="99"/>
        <v/>
      </c>
      <c r="AR923" t="str">
        <f t="shared" si="100"/>
        <v/>
      </c>
      <c r="AS923" t="str">
        <f t="shared" si="101"/>
        <v/>
      </c>
    </row>
    <row r="924" spans="5:45" x14ac:dyDescent="0.25">
      <c r="E924" t="str">
        <f ca="1"/>
        <v/>
      </c>
      <c r="F924" t="str">
        <f ca="1"/>
        <v/>
      </c>
      <c r="P924" t="e" cm="1">
        <f t="array" ref="P924">INDEX($B$2:$D$40,MOD(ROW()-ROW($B$2),ROWS($B$2:$D$40))+1,INT((ROW()-ROW($B$2))/ROWS($B$2:$D$40))+1)</f>
        <v>#REF!</v>
      </c>
      <c r="Q924" t="e">
        <f t="shared" ca="1" si="102"/>
        <v>#N/A</v>
      </c>
      <c r="R924" t="str" cm="1">
        <f t="array" aca="1" ref="R924" ca="1">IFERROR(INDIRECT("$P"&amp;Q924),"")</f>
        <v/>
      </c>
      <c r="U924" t="e" cm="1">
        <f t="array" ref="U924">INDEX($C$2:$D$40,MOD(ROW()-ROW($C$2),ROWS($C$2:$D$40))+1,INT((ROW()-ROW($C$2))/ROWS($C$2:$D$40))+1)</f>
        <v>#REF!</v>
      </c>
      <c r="V924" t="e">
        <f t="shared" ca="1" si="103"/>
        <v>#N/A</v>
      </c>
      <c r="W924" t="str" cm="1">
        <f t="array" aca="1" ref="W924" ca="1">IFERROR(INDIRECT("$U"&amp;V924),"")</f>
        <v/>
      </c>
      <c r="Z924" t="e" cm="1">
        <f t="array" ref="Z924">INDEX($AE$2:$AS$40,MOD(ROW()-ROW($AE$2),ROWS($AE$2:$AS$40))+1,INT((ROW()-ROW($AE$2))/ROWS($AE$2:$AS$40))+1)</f>
        <v>#REF!</v>
      </c>
      <c r="AA924" t="e">
        <f t="shared" ca="1" si="104"/>
        <v>#N/A</v>
      </c>
      <c r="AB924" t="str" cm="1">
        <f t="array" aca="1" ref="AB924" ca="1">IFERROR(INDIRECT("$Z"&amp;AA924),"")</f>
        <v/>
      </c>
      <c r="AP924" t="str">
        <f t="shared" si="98"/>
        <v/>
      </c>
      <c r="AQ924" t="str">
        <f t="shared" si="99"/>
        <v/>
      </c>
      <c r="AR924" t="str">
        <f t="shared" si="100"/>
        <v/>
      </c>
      <c r="AS924" t="str">
        <f t="shared" si="101"/>
        <v/>
      </c>
    </row>
    <row r="925" spans="5:45" x14ac:dyDescent="0.25">
      <c r="E925" t="str">
        <f ca="1"/>
        <v/>
      </c>
      <c r="F925" t="str">
        <f ca="1"/>
        <v/>
      </c>
      <c r="P925" t="e" cm="1">
        <f t="array" ref="P925">INDEX($B$2:$D$40,MOD(ROW()-ROW($B$2),ROWS($B$2:$D$40))+1,INT((ROW()-ROW($B$2))/ROWS($B$2:$D$40))+1)</f>
        <v>#REF!</v>
      </c>
      <c r="Q925" t="e">
        <f t="shared" ca="1" si="102"/>
        <v>#N/A</v>
      </c>
      <c r="R925" t="str" cm="1">
        <f t="array" aca="1" ref="R925" ca="1">IFERROR(INDIRECT("$P"&amp;Q925),"")</f>
        <v/>
      </c>
      <c r="U925" t="e" cm="1">
        <f t="array" ref="U925">INDEX($C$2:$D$40,MOD(ROW()-ROW($C$2),ROWS($C$2:$D$40))+1,INT((ROW()-ROW($C$2))/ROWS($C$2:$D$40))+1)</f>
        <v>#REF!</v>
      </c>
      <c r="V925" t="e">
        <f t="shared" ca="1" si="103"/>
        <v>#N/A</v>
      </c>
      <c r="W925" t="str" cm="1">
        <f t="array" aca="1" ref="W925" ca="1">IFERROR(INDIRECT("$U"&amp;V925),"")</f>
        <v/>
      </c>
      <c r="Z925" t="e" cm="1">
        <f t="array" ref="Z925">INDEX($AE$2:$AS$40,MOD(ROW()-ROW($AE$2),ROWS($AE$2:$AS$40))+1,INT((ROW()-ROW($AE$2))/ROWS($AE$2:$AS$40))+1)</f>
        <v>#REF!</v>
      </c>
      <c r="AA925" t="e">
        <f t="shared" ca="1" si="104"/>
        <v>#N/A</v>
      </c>
      <c r="AB925" t="str" cm="1">
        <f t="array" aca="1" ref="AB925" ca="1">IFERROR(INDIRECT("$Z"&amp;AA925),"")</f>
        <v/>
      </c>
      <c r="AP925" t="str">
        <f t="shared" si="98"/>
        <v/>
      </c>
      <c r="AQ925" t="str">
        <f t="shared" si="99"/>
        <v/>
      </c>
      <c r="AR925" t="str">
        <f t="shared" si="100"/>
        <v/>
      </c>
      <c r="AS925" t="str">
        <f t="shared" si="101"/>
        <v/>
      </c>
    </row>
    <row r="926" spans="5:45" x14ac:dyDescent="0.25">
      <c r="E926" t="str">
        <f ca="1"/>
        <v/>
      </c>
      <c r="F926" t="str">
        <f ca="1"/>
        <v/>
      </c>
      <c r="P926" t="e" cm="1">
        <f t="array" ref="P926">INDEX($B$2:$D$40,MOD(ROW()-ROW($B$2),ROWS($B$2:$D$40))+1,INT((ROW()-ROW($B$2))/ROWS($B$2:$D$40))+1)</f>
        <v>#REF!</v>
      </c>
      <c r="Q926" t="e">
        <f t="shared" ca="1" si="102"/>
        <v>#N/A</v>
      </c>
      <c r="R926" t="str" cm="1">
        <f t="array" aca="1" ref="R926" ca="1">IFERROR(INDIRECT("$P"&amp;Q926),"")</f>
        <v/>
      </c>
      <c r="U926" t="e" cm="1">
        <f t="array" ref="U926">INDEX($C$2:$D$40,MOD(ROW()-ROW($C$2),ROWS($C$2:$D$40))+1,INT((ROW()-ROW($C$2))/ROWS($C$2:$D$40))+1)</f>
        <v>#REF!</v>
      </c>
      <c r="V926" t="e">
        <f t="shared" ca="1" si="103"/>
        <v>#N/A</v>
      </c>
      <c r="W926" t="str" cm="1">
        <f t="array" aca="1" ref="W926" ca="1">IFERROR(INDIRECT("$U"&amp;V926),"")</f>
        <v/>
      </c>
      <c r="Z926" t="e" cm="1">
        <f t="array" ref="Z926">INDEX($AE$2:$AS$40,MOD(ROW()-ROW($AE$2),ROWS($AE$2:$AS$40))+1,INT((ROW()-ROW($AE$2))/ROWS($AE$2:$AS$40))+1)</f>
        <v>#REF!</v>
      </c>
      <c r="AA926" t="e">
        <f t="shared" ca="1" si="104"/>
        <v>#N/A</v>
      </c>
      <c r="AB926" t="str" cm="1">
        <f t="array" aca="1" ref="AB926" ca="1">IFERROR(INDIRECT("$Z"&amp;AA926),"")</f>
        <v/>
      </c>
      <c r="AP926" t="str">
        <f t="shared" si="98"/>
        <v/>
      </c>
      <c r="AQ926" t="str">
        <f t="shared" si="99"/>
        <v/>
      </c>
      <c r="AR926" t="str">
        <f t="shared" si="100"/>
        <v/>
      </c>
      <c r="AS926" t="str">
        <f t="shared" si="101"/>
        <v/>
      </c>
    </row>
    <row r="927" spans="5:45" x14ac:dyDescent="0.25">
      <c r="E927" t="str">
        <f ca="1"/>
        <v/>
      </c>
      <c r="F927" t="str">
        <f ca="1"/>
        <v/>
      </c>
      <c r="P927" t="e" cm="1">
        <f t="array" ref="P927">INDEX($B$2:$D$40,MOD(ROW()-ROW($B$2),ROWS($B$2:$D$40))+1,INT((ROW()-ROW($B$2))/ROWS($B$2:$D$40))+1)</f>
        <v>#REF!</v>
      </c>
      <c r="Q927" t="e">
        <f t="shared" ca="1" si="102"/>
        <v>#N/A</v>
      </c>
      <c r="R927" t="str" cm="1">
        <f t="array" aca="1" ref="R927" ca="1">IFERROR(INDIRECT("$P"&amp;Q927),"")</f>
        <v/>
      </c>
      <c r="U927" t="e" cm="1">
        <f t="array" ref="U927">INDEX($C$2:$D$40,MOD(ROW()-ROW($C$2),ROWS($C$2:$D$40))+1,INT((ROW()-ROW($C$2))/ROWS($C$2:$D$40))+1)</f>
        <v>#REF!</v>
      </c>
      <c r="V927" t="e">
        <f t="shared" ca="1" si="103"/>
        <v>#N/A</v>
      </c>
      <c r="W927" t="str" cm="1">
        <f t="array" aca="1" ref="W927" ca="1">IFERROR(INDIRECT("$U"&amp;V927),"")</f>
        <v/>
      </c>
      <c r="Z927" t="e" cm="1">
        <f t="array" ref="Z927">INDEX($AE$2:$AS$40,MOD(ROW()-ROW($AE$2),ROWS($AE$2:$AS$40))+1,INT((ROW()-ROW($AE$2))/ROWS($AE$2:$AS$40))+1)</f>
        <v>#REF!</v>
      </c>
      <c r="AA927" t="e">
        <f t="shared" ca="1" si="104"/>
        <v>#N/A</v>
      </c>
      <c r="AB927" t="str" cm="1">
        <f t="array" aca="1" ref="AB927" ca="1">IFERROR(INDIRECT("$Z"&amp;AA927),"")</f>
        <v/>
      </c>
      <c r="AP927" t="str">
        <f t="shared" si="98"/>
        <v/>
      </c>
      <c r="AQ927" t="str">
        <f t="shared" si="99"/>
        <v/>
      </c>
      <c r="AR927" t="str">
        <f t="shared" si="100"/>
        <v/>
      </c>
      <c r="AS927" t="str">
        <f t="shared" si="101"/>
        <v/>
      </c>
    </row>
    <row r="928" spans="5:45" x14ac:dyDescent="0.25">
      <c r="E928" t="str">
        <f ca="1"/>
        <v/>
      </c>
      <c r="F928" t="str">
        <f ca="1"/>
        <v/>
      </c>
      <c r="P928" t="e" cm="1">
        <f t="array" ref="P928">INDEX($B$2:$D$40,MOD(ROW()-ROW($B$2),ROWS($B$2:$D$40))+1,INT((ROW()-ROW($B$2))/ROWS($B$2:$D$40))+1)</f>
        <v>#REF!</v>
      </c>
      <c r="Q928" t="e">
        <f t="shared" ca="1" si="102"/>
        <v>#N/A</v>
      </c>
      <c r="R928" t="str" cm="1">
        <f t="array" aca="1" ref="R928" ca="1">IFERROR(INDIRECT("$P"&amp;Q928),"")</f>
        <v/>
      </c>
      <c r="U928" t="e" cm="1">
        <f t="array" ref="U928">INDEX($C$2:$D$40,MOD(ROW()-ROW($C$2),ROWS($C$2:$D$40))+1,INT((ROW()-ROW($C$2))/ROWS($C$2:$D$40))+1)</f>
        <v>#REF!</v>
      </c>
      <c r="V928" t="e">
        <f t="shared" ca="1" si="103"/>
        <v>#N/A</v>
      </c>
      <c r="W928" t="str" cm="1">
        <f t="array" aca="1" ref="W928" ca="1">IFERROR(INDIRECT("$U"&amp;V928),"")</f>
        <v/>
      </c>
      <c r="Z928" t="e" cm="1">
        <f t="array" ref="Z928">INDEX($AE$2:$AS$40,MOD(ROW()-ROW($AE$2),ROWS($AE$2:$AS$40))+1,INT((ROW()-ROW($AE$2))/ROWS($AE$2:$AS$40))+1)</f>
        <v>#REF!</v>
      </c>
      <c r="AA928" t="e">
        <f t="shared" ca="1" si="104"/>
        <v>#N/A</v>
      </c>
      <c r="AB928" t="str" cm="1">
        <f t="array" aca="1" ref="AB928" ca="1">IFERROR(INDIRECT("$Z"&amp;AA928),"")</f>
        <v/>
      </c>
      <c r="AP928" t="str">
        <f t="shared" si="98"/>
        <v/>
      </c>
      <c r="AQ928" t="str">
        <f t="shared" si="99"/>
        <v/>
      </c>
      <c r="AR928" t="str">
        <f t="shared" si="100"/>
        <v/>
      </c>
      <c r="AS928" t="str">
        <f t="shared" si="101"/>
        <v/>
      </c>
    </row>
    <row r="929" spans="5:45" x14ac:dyDescent="0.25">
      <c r="E929" t="str">
        <f ca="1"/>
        <v/>
      </c>
      <c r="F929" t="str">
        <f ca="1"/>
        <v/>
      </c>
      <c r="P929" t="e" cm="1">
        <f t="array" ref="P929">INDEX($B$2:$D$40,MOD(ROW()-ROW($B$2),ROWS($B$2:$D$40))+1,INT((ROW()-ROW($B$2))/ROWS($B$2:$D$40))+1)</f>
        <v>#REF!</v>
      </c>
      <c r="Q929" t="e">
        <f t="shared" ca="1" si="102"/>
        <v>#N/A</v>
      </c>
      <c r="R929" t="str" cm="1">
        <f t="array" aca="1" ref="R929" ca="1">IFERROR(INDIRECT("$P"&amp;Q929),"")</f>
        <v/>
      </c>
      <c r="U929" t="e" cm="1">
        <f t="array" ref="U929">INDEX($C$2:$D$40,MOD(ROW()-ROW($C$2),ROWS($C$2:$D$40))+1,INT((ROW()-ROW($C$2))/ROWS($C$2:$D$40))+1)</f>
        <v>#REF!</v>
      </c>
      <c r="V929" t="e">
        <f t="shared" ca="1" si="103"/>
        <v>#N/A</v>
      </c>
      <c r="W929" t="str" cm="1">
        <f t="array" aca="1" ref="W929" ca="1">IFERROR(INDIRECT("$U"&amp;V929),"")</f>
        <v/>
      </c>
      <c r="Z929" t="e" cm="1">
        <f t="array" ref="Z929">INDEX($AE$2:$AS$40,MOD(ROW()-ROW($AE$2),ROWS($AE$2:$AS$40))+1,INT((ROW()-ROW($AE$2))/ROWS($AE$2:$AS$40))+1)</f>
        <v>#REF!</v>
      </c>
      <c r="AA929" t="e">
        <f t="shared" ca="1" si="104"/>
        <v>#N/A</v>
      </c>
      <c r="AB929" t="str" cm="1">
        <f t="array" aca="1" ref="AB929" ca="1">IFERROR(INDIRECT("$Z"&amp;AA929),"")</f>
        <v/>
      </c>
      <c r="AP929" t="str">
        <f t="shared" si="98"/>
        <v/>
      </c>
      <c r="AQ929" t="str">
        <f t="shared" si="99"/>
        <v/>
      </c>
      <c r="AR929" t="str">
        <f t="shared" si="100"/>
        <v/>
      </c>
      <c r="AS929" t="str">
        <f t="shared" si="101"/>
        <v/>
      </c>
    </row>
    <row r="930" spans="5:45" x14ac:dyDescent="0.25">
      <c r="E930" t="str">
        <f ca="1"/>
        <v/>
      </c>
      <c r="F930" t="str">
        <f ca="1"/>
        <v/>
      </c>
      <c r="P930" t="e" cm="1">
        <f t="array" ref="P930">INDEX($B$2:$D$40,MOD(ROW()-ROW($B$2),ROWS($B$2:$D$40))+1,INT((ROW()-ROW($B$2))/ROWS($B$2:$D$40))+1)</f>
        <v>#REF!</v>
      </c>
      <c r="Q930" t="e">
        <f t="shared" ca="1" si="102"/>
        <v>#N/A</v>
      </c>
      <c r="R930" t="str" cm="1">
        <f t="array" aca="1" ref="R930" ca="1">IFERROR(INDIRECT("$P"&amp;Q930),"")</f>
        <v/>
      </c>
      <c r="U930" t="e" cm="1">
        <f t="array" ref="U930">INDEX($C$2:$D$40,MOD(ROW()-ROW($C$2),ROWS($C$2:$D$40))+1,INT((ROW()-ROW($C$2))/ROWS($C$2:$D$40))+1)</f>
        <v>#REF!</v>
      </c>
      <c r="V930" t="e">
        <f t="shared" ca="1" si="103"/>
        <v>#N/A</v>
      </c>
      <c r="W930" t="str" cm="1">
        <f t="array" aca="1" ref="W930" ca="1">IFERROR(INDIRECT("$U"&amp;V930),"")</f>
        <v/>
      </c>
      <c r="Z930" t="e" cm="1">
        <f t="array" ref="Z930">INDEX($AE$2:$AS$40,MOD(ROW()-ROW($AE$2),ROWS($AE$2:$AS$40))+1,INT((ROW()-ROW($AE$2))/ROWS($AE$2:$AS$40))+1)</f>
        <v>#REF!</v>
      </c>
      <c r="AA930" t="e">
        <f t="shared" ca="1" si="104"/>
        <v>#N/A</v>
      </c>
      <c r="AB930" t="str" cm="1">
        <f t="array" aca="1" ref="AB930" ca="1">IFERROR(INDIRECT("$Z"&amp;AA930),"")</f>
        <v/>
      </c>
      <c r="AP930" t="str">
        <f t="shared" si="98"/>
        <v/>
      </c>
      <c r="AQ930" t="str">
        <f t="shared" si="99"/>
        <v/>
      </c>
      <c r="AR930" t="str">
        <f t="shared" si="100"/>
        <v/>
      </c>
      <c r="AS930" t="str">
        <f t="shared" si="101"/>
        <v/>
      </c>
    </row>
    <row r="931" spans="5:45" x14ac:dyDescent="0.25">
      <c r="E931" t="str">
        <f ca="1"/>
        <v/>
      </c>
      <c r="F931" t="str">
        <f ca="1"/>
        <v/>
      </c>
      <c r="P931" t="e" cm="1">
        <f t="array" ref="P931">INDEX($B$2:$D$40,MOD(ROW()-ROW($B$2),ROWS($B$2:$D$40))+1,INT((ROW()-ROW($B$2))/ROWS($B$2:$D$40))+1)</f>
        <v>#REF!</v>
      </c>
      <c r="Q931" t="e">
        <f t="shared" ca="1" si="102"/>
        <v>#N/A</v>
      </c>
      <c r="R931" t="str" cm="1">
        <f t="array" aca="1" ref="R931" ca="1">IFERROR(INDIRECT("$P"&amp;Q931),"")</f>
        <v/>
      </c>
      <c r="U931" t="e" cm="1">
        <f t="array" ref="U931">INDEX($C$2:$D$40,MOD(ROW()-ROW($C$2),ROWS($C$2:$D$40))+1,INT((ROW()-ROW($C$2))/ROWS($C$2:$D$40))+1)</f>
        <v>#REF!</v>
      </c>
      <c r="V931" t="e">
        <f t="shared" ca="1" si="103"/>
        <v>#N/A</v>
      </c>
      <c r="W931" t="str" cm="1">
        <f t="array" aca="1" ref="W931" ca="1">IFERROR(INDIRECT("$U"&amp;V931),"")</f>
        <v/>
      </c>
      <c r="Z931" t="e" cm="1">
        <f t="array" ref="Z931">INDEX($AE$2:$AS$40,MOD(ROW()-ROW($AE$2),ROWS($AE$2:$AS$40))+1,INT((ROW()-ROW($AE$2))/ROWS($AE$2:$AS$40))+1)</f>
        <v>#REF!</v>
      </c>
      <c r="AA931" t="e">
        <f t="shared" ca="1" si="104"/>
        <v>#N/A</v>
      </c>
      <c r="AB931" t="str" cm="1">
        <f t="array" aca="1" ref="AB931" ca="1">IFERROR(INDIRECT("$Z"&amp;AA931),"")</f>
        <v/>
      </c>
      <c r="AP931" t="str">
        <f t="shared" si="98"/>
        <v/>
      </c>
      <c r="AQ931" t="str">
        <f t="shared" si="99"/>
        <v/>
      </c>
      <c r="AR931" t="str">
        <f t="shared" si="100"/>
        <v/>
      </c>
      <c r="AS931" t="str">
        <f t="shared" si="101"/>
        <v/>
      </c>
    </row>
    <row r="932" spans="5:45" x14ac:dyDescent="0.25">
      <c r="E932" t="str">
        <f ca="1"/>
        <v/>
      </c>
      <c r="F932" t="str">
        <f ca="1"/>
        <v/>
      </c>
      <c r="P932" t="e" cm="1">
        <f t="array" ref="P932">INDEX($B$2:$D$40,MOD(ROW()-ROW($B$2),ROWS($B$2:$D$40))+1,INT((ROW()-ROW($B$2))/ROWS($B$2:$D$40))+1)</f>
        <v>#REF!</v>
      </c>
      <c r="Q932" t="e">
        <f t="shared" ca="1" si="102"/>
        <v>#N/A</v>
      </c>
      <c r="R932" t="str" cm="1">
        <f t="array" aca="1" ref="R932" ca="1">IFERROR(INDIRECT("$P"&amp;Q932),"")</f>
        <v/>
      </c>
      <c r="U932" t="e" cm="1">
        <f t="array" ref="U932">INDEX($C$2:$D$40,MOD(ROW()-ROW($C$2),ROWS($C$2:$D$40))+1,INT((ROW()-ROW($C$2))/ROWS($C$2:$D$40))+1)</f>
        <v>#REF!</v>
      </c>
      <c r="V932" t="e">
        <f t="shared" ca="1" si="103"/>
        <v>#N/A</v>
      </c>
      <c r="W932" t="str" cm="1">
        <f t="array" aca="1" ref="W932" ca="1">IFERROR(INDIRECT("$U"&amp;V932),"")</f>
        <v/>
      </c>
      <c r="Z932" t="e" cm="1">
        <f t="array" ref="Z932">INDEX($AE$2:$AS$40,MOD(ROW()-ROW($AE$2),ROWS($AE$2:$AS$40))+1,INT((ROW()-ROW($AE$2))/ROWS($AE$2:$AS$40))+1)</f>
        <v>#REF!</v>
      </c>
      <c r="AA932" t="e">
        <f t="shared" ca="1" si="104"/>
        <v>#N/A</v>
      </c>
      <c r="AB932" t="str" cm="1">
        <f t="array" aca="1" ref="AB932" ca="1">IFERROR(INDIRECT("$Z"&amp;AA932),"")</f>
        <v/>
      </c>
      <c r="AP932" t="str">
        <f t="shared" si="98"/>
        <v/>
      </c>
      <c r="AQ932" t="str">
        <f t="shared" si="99"/>
        <v/>
      </c>
      <c r="AR932" t="str">
        <f t="shared" si="100"/>
        <v/>
      </c>
      <c r="AS932" t="str">
        <f t="shared" si="101"/>
        <v/>
      </c>
    </row>
    <row r="933" spans="5:45" x14ac:dyDescent="0.25">
      <c r="E933" t="str">
        <f ca="1"/>
        <v/>
      </c>
      <c r="F933" t="str">
        <f ca="1"/>
        <v/>
      </c>
      <c r="P933" t="e" cm="1">
        <f t="array" ref="P933">INDEX($B$2:$D$40,MOD(ROW()-ROW($B$2),ROWS($B$2:$D$40))+1,INT((ROW()-ROW($B$2))/ROWS($B$2:$D$40))+1)</f>
        <v>#REF!</v>
      </c>
      <c r="Q933" t="e">
        <f t="shared" ca="1" si="102"/>
        <v>#N/A</v>
      </c>
      <c r="R933" t="str" cm="1">
        <f t="array" aca="1" ref="R933" ca="1">IFERROR(INDIRECT("$P"&amp;Q933),"")</f>
        <v/>
      </c>
      <c r="U933" t="e" cm="1">
        <f t="array" ref="U933">INDEX($C$2:$D$40,MOD(ROW()-ROW($C$2),ROWS($C$2:$D$40))+1,INT((ROW()-ROW($C$2))/ROWS($C$2:$D$40))+1)</f>
        <v>#REF!</v>
      </c>
      <c r="V933" t="e">
        <f t="shared" ca="1" si="103"/>
        <v>#N/A</v>
      </c>
      <c r="W933" t="str" cm="1">
        <f t="array" aca="1" ref="W933" ca="1">IFERROR(INDIRECT("$U"&amp;V933),"")</f>
        <v/>
      </c>
      <c r="Z933" t="e" cm="1">
        <f t="array" ref="Z933">INDEX($AE$2:$AS$40,MOD(ROW()-ROW($AE$2),ROWS($AE$2:$AS$40))+1,INT((ROW()-ROW($AE$2))/ROWS($AE$2:$AS$40))+1)</f>
        <v>#REF!</v>
      </c>
      <c r="AA933" t="e">
        <f t="shared" ca="1" si="104"/>
        <v>#N/A</v>
      </c>
      <c r="AB933" t="str" cm="1">
        <f t="array" aca="1" ref="AB933" ca="1">IFERROR(INDIRECT("$Z"&amp;AA933),"")</f>
        <v/>
      </c>
      <c r="AP933" t="str">
        <f t="shared" si="98"/>
        <v/>
      </c>
      <c r="AQ933" t="str">
        <f t="shared" si="99"/>
        <v/>
      </c>
      <c r="AR933" t="str">
        <f t="shared" si="100"/>
        <v/>
      </c>
      <c r="AS933" t="str">
        <f t="shared" si="101"/>
        <v/>
      </c>
    </row>
    <row r="934" spans="5:45" x14ac:dyDescent="0.25">
      <c r="E934" t="str">
        <f ca="1"/>
        <v/>
      </c>
      <c r="F934" t="str">
        <f ca="1"/>
        <v/>
      </c>
      <c r="P934" t="e" cm="1">
        <f t="array" ref="P934">INDEX($B$2:$D$40,MOD(ROW()-ROW($B$2),ROWS($B$2:$D$40))+1,INT((ROW()-ROW($B$2))/ROWS($B$2:$D$40))+1)</f>
        <v>#REF!</v>
      </c>
      <c r="Q934" t="e">
        <f t="shared" ca="1" si="102"/>
        <v>#N/A</v>
      </c>
      <c r="R934" t="str" cm="1">
        <f t="array" aca="1" ref="R934" ca="1">IFERROR(INDIRECT("$P"&amp;Q934),"")</f>
        <v/>
      </c>
      <c r="U934" t="e" cm="1">
        <f t="array" ref="U934">INDEX($C$2:$D$40,MOD(ROW()-ROW($C$2),ROWS($C$2:$D$40))+1,INT((ROW()-ROW($C$2))/ROWS($C$2:$D$40))+1)</f>
        <v>#REF!</v>
      </c>
      <c r="V934" t="e">
        <f t="shared" ca="1" si="103"/>
        <v>#N/A</v>
      </c>
      <c r="W934" t="str" cm="1">
        <f t="array" aca="1" ref="W934" ca="1">IFERROR(INDIRECT("$U"&amp;V934),"")</f>
        <v/>
      </c>
      <c r="Z934" t="e" cm="1">
        <f t="array" ref="Z934">INDEX($AE$2:$AS$40,MOD(ROW()-ROW($AE$2),ROWS($AE$2:$AS$40))+1,INT((ROW()-ROW($AE$2))/ROWS($AE$2:$AS$40))+1)</f>
        <v>#REF!</v>
      </c>
      <c r="AA934" t="e">
        <f t="shared" ca="1" si="104"/>
        <v>#N/A</v>
      </c>
      <c r="AB934" t="str" cm="1">
        <f t="array" aca="1" ref="AB934" ca="1">IFERROR(INDIRECT("$Z"&amp;AA934),"")</f>
        <v/>
      </c>
      <c r="AP934" t="str">
        <f t="shared" si="98"/>
        <v/>
      </c>
      <c r="AQ934" t="str">
        <f t="shared" si="99"/>
        <v/>
      </c>
      <c r="AR934" t="str">
        <f t="shared" si="100"/>
        <v/>
      </c>
      <c r="AS934" t="str">
        <f t="shared" si="101"/>
        <v/>
      </c>
    </row>
    <row r="935" spans="5:45" x14ac:dyDescent="0.25">
      <c r="E935" t="str">
        <f ca="1"/>
        <v/>
      </c>
      <c r="F935" t="str">
        <f ca="1"/>
        <v/>
      </c>
      <c r="P935" t="e" cm="1">
        <f t="array" ref="P935">INDEX($B$2:$D$40,MOD(ROW()-ROW($B$2),ROWS($B$2:$D$40))+1,INT((ROW()-ROW($B$2))/ROWS($B$2:$D$40))+1)</f>
        <v>#REF!</v>
      </c>
      <c r="Q935" t="e">
        <f t="shared" ca="1" si="102"/>
        <v>#N/A</v>
      </c>
      <c r="R935" t="str" cm="1">
        <f t="array" aca="1" ref="R935" ca="1">IFERROR(INDIRECT("$P"&amp;Q935),"")</f>
        <v/>
      </c>
      <c r="U935" t="e" cm="1">
        <f t="array" ref="U935">INDEX($C$2:$D$40,MOD(ROW()-ROW($C$2),ROWS($C$2:$D$40))+1,INT((ROW()-ROW($C$2))/ROWS($C$2:$D$40))+1)</f>
        <v>#REF!</v>
      </c>
      <c r="V935" t="e">
        <f t="shared" ca="1" si="103"/>
        <v>#N/A</v>
      </c>
      <c r="W935" t="str" cm="1">
        <f t="array" aca="1" ref="W935" ca="1">IFERROR(INDIRECT("$U"&amp;V935),"")</f>
        <v/>
      </c>
      <c r="Z935" t="e" cm="1">
        <f t="array" ref="Z935">INDEX($AE$2:$AS$40,MOD(ROW()-ROW($AE$2),ROWS($AE$2:$AS$40))+1,INT((ROW()-ROW($AE$2))/ROWS($AE$2:$AS$40))+1)</f>
        <v>#REF!</v>
      </c>
      <c r="AA935" t="e">
        <f t="shared" ca="1" si="104"/>
        <v>#N/A</v>
      </c>
      <c r="AB935" t="str" cm="1">
        <f t="array" aca="1" ref="AB935" ca="1">IFERROR(INDIRECT("$Z"&amp;AA935),"")</f>
        <v/>
      </c>
      <c r="AP935" t="str">
        <f t="shared" si="98"/>
        <v/>
      </c>
      <c r="AQ935" t="str">
        <f t="shared" si="99"/>
        <v/>
      </c>
      <c r="AR935" t="str">
        <f t="shared" si="100"/>
        <v/>
      </c>
      <c r="AS935" t="str">
        <f t="shared" si="101"/>
        <v/>
      </c>
    </row>
    <row r="936" spans="5:45" x14ac:dyDescent="0.25">
      <c r="E936" t="str">
        <f ca="1"/>
        <v/>
      </c>
      <c r="F936" t="str">
        <f ca="1"/>
        <v/>
      </c>
      <c r="P936" t="e" cm="1">
        <f t="array" ref="P936">INDEX($B$2:$D$40,MOD(ROW()-ROW($B$2),ROWS($B$2:$D$40))+1,INT((ROW()-ROW($B$2))/ROWS($B$2:$D$40))+1)</f>
        <v>#REF!</v>
      </c>
      <c r="Q936" t="e">
        <f t="shared" ca="1" si="102"/>
        <v>#N/A</v>
      </c>
      <c r="R936" t="str" cm="1">
        <f t="array" aca="1" ref="R936" ca="1">IFERROR(INDIRECT("$P"&amp;Q936),"")</f>
        <v/>
      </c>
      <c r="U936" t="e" cm="1">
        <f t="array" ref="U936">INDEX($C$2:$D$40,MOD(ROW()-ROW($C$2),ROWS($C$2:$D$40))+1,INT((ROW()-ROW($C$2))/ROWS($C$2:$D$40))+1)</f>
        <v>#REF!</v>
      </c>
      <c r="V936" t="e">
        <f t="shared" ca="1" si="103"/>
        <v>#N/A</v>
      </c>
      <c r="W936" t="str" cm="1">
        <f t="array" aca="1" ref="W936" ca="1">IFERROR(INDIRECT("$U"&amp;V936),"")</f>
        <v/>
      </c>
      <c r="Z936" t="e" cm="1">
        <f t="array" ref="Z936">INDEX($AE$2:$AS$40,MOD(ROW()-ROW($AE$2),ROWS($AE$2:$AS$40))+1,INT((ROW()-ROW($AE$2))/ROWS($AE$2:$AS$40))+1)</f>
        <v>#REF!</v>
      </c>
      <c r="AA936" t="e">
        <f t="shared" ca="1" si="104"/>
        <v>#N/A</v>
      </c>
      <c r="AB936" t="str" cm="1">
        <f t="array" aca="1" ref="AB936" ca="1">IFERROR(INDIRECT("$Z"&amp;AA936),"")</f>
        <v/>
      </c>
      <c r="AP936" t="str">
        <f t="shared" si="98"/>
        <v/>
      </c>
      <c r="AQ936" t="str">
        <f t="shared" si="99"/>
        <v/>
      </c>
      <c r="AR936" t="str">
        <f t="shared" si="100"/>
        <v/>
      </c>
      <c r="AS936" t="str">
        <f t="shared" si="101"/>
        <v/>
      </c>
    </row>
    <row r="937" spans="5:45" x14ac:dyDescent="0.25">
      <c r="E937" t="str">
        <f ca="1"/>
        <v/>
      </c>
      <c r="F937" t="str">
        <f ca="1"/>
        <v/>
      </c>
      <c r="P937" t="e" cm="1">
        <f t="array" ref="P937">INDEX($B$2:$D$40,MOD(ROW()-ROW($B$2),ROWS($B$2:$D$40))+1,INT((ROW()-ROW($B$2))/ROWS($B$2:$D$40))+1)</f>
        <v>#REF!</v>
      </c>
      <c r="Q937" t="e">
        <f t="shared" ca="1" si="102"/>
        <v>#N/A</v>
      </c>
      <c r="R937" t="str" cm="1">
        <f t="array" aca="1" ref="R937" ca="1">IFERROR(INDIRECT("$P"&amp;Q937),"")</f>
        <v/>
      </c>
      <c r="U937" t="e" cm="1">
        <f t="array" ref="U937">INDEX($C$2:$D$40,MOD(ROW()-ROW($C$2),ROWS($C$2:$D$40))+1,INT((ROW()-ROW($C$2))/ROWS($C$2:$D$40))+1)</f>
        <v>#REF!</v>
      </c>
      <c r="V937" t="e">
        <f t="shared" ca="1" si="103"/>
        <v>#N/A</v>
      </c>
      <c r="W937" t="str" cm="1">
        <f t="array" aca="1" ref="W937" ca="1">IFERROR(INDIRECT("$U"&amp;V937),"")</f>
        <v/>
      </c>
      <c r="Z937" t="e" cm="1">
        <f t="array" ref="Z937">INDEX($AE$2:$AS$40,MOD(ROW()-ROW($AE$2),ROWS($AE$2:$AS$40))+1,INT((ROW()-ROW($AE$2))/ROWS($AE$2:$AS$40))+1)</f>
        <v>#REF!</v>
      </c>
      <c r="AA937" t="e">
        <f t="shared" ca="1" si="104"/>
        <v>#N/A</v>
      </c>
      <c r="AB937" t="str" cm="1">
        <f t="array" aca="1" ref="AB937" ca="1">IFERROR(INDIRECT("$Z"&amp;AA937),"")</f>
        <v/>
      </c>
      <c r="AP937" t="str">
        <f t="shared" si="98"/>
        <v/>
      </c>
      <c r="AQ937" t="str">
        <f t="shared" si="99"/>
        <v/>
      </c>
      <c r="AR937" t="str">
        <f t="shared" si="100"/>
        <v/>
      </c>
      <c r="AS937" t="str">
        <f t="shared" si="101"/>
        <v/>
      </c>
    </row>
    <row r="938" spans="5:45" x14ac:dyDescent="0.25">
      <c r="E938" t="str">
        <f ca="1"/>
        <v/>
      </c>
      <c r="F938" t="str">
        <f ca="1"/>
        <v/>
      </c>
      <c r="P938" t="e" cm="1">
        <f t="array" ref="P938">INDEX($B$2:$D$40,MOD(ROW()-ROW($B$2),ROWS($B$2:$D$40))+1,INT((ROW()-ROW($B$2))/ROWS($B$2:$D$40))+1)</f>
        <v>#REF!</v>
      </c>
      <c r="Q938" t="e">
        <f t="shared" ca="1" si="102"/>
        <v>#N/A</v>
      </c>
      <c r="R938" t="str" cm="1">
        <f t="array" aca="1" ref="R938" ca="1">IFERROR(INDIRECT("$P"&amp;Q938),"")</f>
        <v/>
      </c>
      <c r="U938" t="e" cm="1">
        <f t="array" ref="U938">INDEX($C$2:$D$40,MOD(ROW()-ROW($C$2),ROWS($C$2:$D$40))+1,INT((ROW()-ROW($C$2))/ROWS($C$2:$D$40))+1)</f>
        <v>#REF!</v>
      </c>
      <c r="V938" t="e">
        <f t="shared" ca="1" si="103"/>
        <v>#N/A</v>
      </c>
      <c r="W938" t="str" cm="1">
        <f t="array" aca="1" ref="W938" ca="1">IFERROR(INDIRECT("$U"&amp;V938),"")</f>
        <v/>
      </c>
      <c r="Z938" t="e" cm="1">
        <f t="array" ref="Z938">INDEX($AE$2:$AS$40,MOD(ROW()-ROW($AE$2),ROWS($AE$2:$AS$40))+1,INT((ROW()-ROW($AE$2))/ROWS($AE$2:$AS$40))+1)</f>
        <v>#REF!</v>
      </c>
      <c r="AA938" t="e">
        <f t="shared" ca="1" si="104"/>
        <v>#N/A</v>
      </c>
      <c r="AB938" t="str" cm="1">
        <f t="array" aca="1" ref="AB938" ca="1">IFERROR(INDIRECT("$Z"&amp;AA938),"")</f>
        <v/>
      </c>
      <c r="AP938" t="str">
        <f t="shared" si="98"/>
        <v/>
      </c>
      <c r="AQ938" t="str">
        <f t="shared" si="99"/>
        <v/>
      </c>
      <c r="AR938" t="str">
        <f t="shared" si="100"/>
        <v/>
      </c>
      <c r="AS938" t="str">
        <f t="shared" si="101"/>
        <v/>
      </c>
    </row>
    <row r="939" spans="5:45" x14ac:dyDescent="0.25">
      <c r="E939" t="str">
        <f ca="1"/>
        <v/>
      </c>
      <c r="F939" t="str">
        <f ca="1"/>
        <v/>
      </c>
      <c r="P939" t="e" cm="1">
        <f t="array" ref="P939">INDEX($B$2:$D$40,MOD(ROW()-ROW($B$2),ROWS($B$2:$D$40))+1,INT((ROW()-ROW($B$2))/ROWS($B$2:$D$40))+1)</f>
        <v>#REF!</v>
      </c>
      <c r="Q939" t="e">
        <f t="shared" ca="1" si="102"/>
        <v>#N/A</v>
      </c>
      <c r="R939" t="str" cm="1">
        <f t="array" aca="1" ref="R939" ca="1">IFERROR(INDIRECT("$P"&amp;Q939),"")</f>
        <v/>
      </c>
      <c r="U939" t="e" cm="1">
        <f t="array" ref="U939">INDEX($C$2:$D$40,MOD(ROW()-ROW($C$2),ROWS($C$2:$D$40))+1,INT((ROW()-ROW($C$2))/ROWS($C$2:$D$40))+1)</f>
        <v>#REF!</v>
      </c>
      <c r="V939" t="e">
        <f t="shared" ca="1" si="103"/>
        <v>#N/A</v>
      </c>
      <c r="W939" t="str" cm="1">
        <f t="array" aca="1" ref="W939" ca="1">IFERROR(INDIRECT("$U"&amp;V939),"")</f>
        <v/>
      </c>
      <c r="Z939" t="e" cm="1">
        <f t="array" ref="Z939">INDEX($AE$2:$AS$40,MOD(ROW()-ROW($AE$2),ROWS($AE$2:$AS$40))+1,INT((ROW()-ROW($AE$2))/ROWS($AE$2:$AS$40))+1)</f>
        <v>#REF!</v>
      </c>
      <c r="AA939" t="e">
        <f t="shared" ca="1" si="104"/>
        <v>#N/A</v>
      </c>
      <c r="AB939" t="str" cm="1">
        <f t="array" aca="1" ref="AB939" ca="1">IFERROR(INDIRECT("$Z"&amp;AA939),"")</f>
        <v/>
      </c>
      <c r="AP939" t="str">
        <f t="shared" si="98"/>
        <v/>
      </c>
      <c r="AQ939" t="str">
        <f t="shared" si="99"/>
        <v/>
      </c>
      <c r="AR939" t="str">
        <f t="shared" si="100"/>
        <v/>
      </c>
      <c r="AS939" t="str">
        <f t="shared" si="101"/>
        <v/>
      </c>
    </row>
    <row r="940" spans="5:45" x14ac:dyDescent="0.25">
      <c r="E940" t="str">
        <f ca="1"/>
        <v/>
      </c>
      <c r="F940" t="str">
        <f ca="1"/>
        <v/>
      </c>
      <c r="P940" t="e" cm="1">
        <f t="array" ref="P940">INDEX($B$2:$D$40,MOD(ROW()-ROW($B$2),ROWS($B$2:$D$40))+1,INT((ROW()-ROW($B$2))/ROWS($B$2:$D$40))+1)</f>
        <v>#REF!</v>
      </c>
      <c r="Q940" t="e">
        <f t="shared" ca="1" si="102"/>
        <v>#N/A</v>
      </c>
      <c r="R940" t="str" cm="1">
        <f t="array" aca="1" ref="R940" ca="1">IFERROR(INDIRECT("$P"&amp;Q940),"")</f>
        <v/>
      </c>
      <c r="U940" t="e" cm="1">
        <f t="array" ref="U940">INDEX($C$2:$D$40,MOD(ROW()-ROW($C$2),ROWS($C$2:$D$40))+1,INT((ROW()-ROW($C$2))/ROWS($C$2:$D$40))+1)</f>
        <v>#REF!</v>
      </c>
      <c r="V940" t="e">
        <f t="shared" ca="1" si="103"/>
        <v>#N/A</v>
      </c>
      <c r="W940" t="str" cm="1">
        <f t="array" aca="1" ref="W940" ca="1">IFERROR(INDIRECT("$U"&amp;V940),"")</f>
        <v/>
      </c>
      <c r="Z940" t="e" cm="1">
        <f t="array" ref="Z940">INDEX($AE$2:$AS$40,MOD(ROW()-ROW($AE$2),ROWS($AE$2:$AS$40))+1,INT((ROW()-ROW($AE$2))/ROWS($AE$2:$AS$40))+1)</f>
        <v>#REF!</v>
      </c>
      <c r="AA940" t="e">
        <f t="shared" ca="1" si="104"/>
        <v>#N/A</v>
      </c>
      <c r="AB940" t="str" cm="1">
        <f t="array" aca="1" ref="AB940" ca="1">IFERROR(INDIRECT("$Z"&amp;AA940),"")</f>
        <v/>
      </c>
      <c r="AP940" t="str">
        <f t="shared" si="98"/>
        <v/>
      </c>
      <c r="AQ940" t="str">
        <f t="shared" si="99"/>
        <v/>
      </c>
      <c r="AR940" t="str">
        <f t="shared" si="100"/>
        <v/>
      </c>
      <c r="AS940" t="str">
        <f t="shared" si="101"/>
        <v/>
      </c>
    </row>
    <row r="941" spans="5:45" x14ac:dyDescent="0.25">
      <c r="E941" t="str">
        <f ca="1"/>
        <v/>
      </c>
      <c r="F941" t="str">
        <f ca="1"/>
        <v/>
      </c>
      <c r="P941" t="e" cm="1">
        <f t="array" ref="P941">INDEX($B$2:$D$40,MOD(ROW()-ROW($B$2),ROWS($B$2:$D$40))+1,INT((ROW()-ROW($B$2))/ROWS($B$2:$D$40))+1)</f>
        <v>#REF!</v>
      </c>
      <c r="Q941" t="e">
        <f t="shared" ca="1" si="102"/>
        <v>#N/A</v>
      </c>
      <c r="R941" t="str" cm="1">
        <f t="array" aca="1" ref="R941" ca="1">IFERROR(INDIRECT("$P"&amp;Q941),"")</f>
        <v/>
      </c>
      <c r="U941" t="e" cm="1">
        <f t="array" ref="U941">INDEX($C$2:$D$40,MOD(ROW()-ROW($C$2),ROWS($C$2:$D$40))+1,INT((ROW()-ROW($C$2))/ROWS($C$2:$D$40))+1)</f>
        <v>#REF!</v>
      </c>
      <c r="V941" t="e">
        <f t="shared" ca="1" si="103"/>
        <v>#N/A</v>
      </c>
      <c r="W941" t="str" cm="1">
        <f t="array" aca="1" ref="W941" ca="1">IFERROR(INDIRECT("$U"&amp;V941),"")</f>
        <v/>
      </c>
      <c r="Z941" t="e" cm="1">
        <f t="array" ref="Z941">INDEX($AE$2:$AS$40,MOD(ROW()-ROW($AE$2),ROWS($AE$2:$AS$40))+1,INT((ROW()-ROW($AE$2))/ROWS($AE$2:$AS$40))+1)</f>
        <v>#REF!</v>
      </c>
      <c r="AA941" t="e">
        <f t="shared" ca="1" si="104"/>
        <v>#N/A</v>
      </c>
      <c r="AB941" t="str" cm="1">
        <f t="array" aca="1" ref="AB941" ca="1">IFERROR(INDIRECT("$Z"&amp;AA941),"")</f>
        <v/>
      </c>
      <c r="AP941" t="str">
        <f t="shared" si="98"/>
        <v/>
      </c>
      <c r="AQ941" t="str">
        <f t="shared" si="99"/>
        <v/>
      </c>
      <c r="AR941" t="str">
        <f t="shared" si="100"/>
        <v/>
      </c>
      <c r="AS941" t="str">
        <f t="shared" si="101"/>
        <v/>
      </c>
    </row>
    <row r="942" spans="5:45" x14ac:dyDescent="0.25">
      <c r="E942" t="str">
        <f ca="1"/>
        <v/>
      </c>
      <c r="F942" t="str">
        <f ca="1"/>
        <v/>
      </c>
      <c r="P942" t="e" cm="1">
        <f t="array" ref="P942">INDEX($B$2:$D$40,MOD(ROW()-ROW($B$2),ROWS($B$2:$D$40))+1,INT((ROW()-ROW($B$2))/ROWS($B$2:$D$40))+1)</f>
        <v>#REF!</v>
      </c>
      <c r="Q942" t="e">
        <f t="shared" ca="1" si="102"/>
        <v>#N/A</v>
      </c>
      <c r="R942" t="str" cm="1">
        <f t="array" aca="1" ref="R942" ca="1">IFERROR(INDIRECT("$P"&amp;Q942),"")</f>
        <v/>
      </c>
      <c r="U942" t="e" cm="1">
        <f t="array" ref="U942">INDEX($C$2:$D$40,MOD(ROW()-ROW($C$2),ROWS($C$2:$D$40))+1,INT((ROW()-ROW($C$2))/ROWS($C$2:$D$40))+1)</f>
        <v>#REF!</v>
      </c>
      <c r="V942" t="e">
        <f t="shared" ca="1" si="103"/>
        <v>#N/A</v>
      </c>
      <c r="W942" t="str" cm="1">
        <f t="array" aca="1" ref="W942" ca="1">IFERROR(INDIRECT("$U"&amp;V942),"")</f>
        <v/>
      </c>
      <c r="Z942" t="e" cm="1">
        <f t="array" ref="Z942">INDEX($AE$2:$AS$40,MOD(ROW()-ROW($AE$2),ROWS($AE$2:$AS$40))+1,INT((ROW()-ROW($AE$2))/ROWS($AE$2:$AS$40))+1)</f>
        <v>#REF!</v>
      </c>
      <c r="AA942" t="e">
        <f t="shared" ca="1" si="104"/>
        <v>#N/A</v>
      </c>
      <c r="AB942" t="str" cm="1">
        <f t="array" aca="1" ref="AB942" ca="1">IFERROR(INDIRECT("$Z"&amp;AA942),"")</f>
        <v/>
      </c>
      <c r="AP942" t="str">
        <f t="shared" si="98"/>
        <v/>
      </c>
      <c r="AQ942" t="str">
        <f t="shared" si="99"/>
        <v/>
      </c>
      <c r="AR942" t="str">
        <f t="shared" si="100"/>
        <v/>
      </c>
      <c r="AS942" t="str">
        <f t="shared" si="101"/>
        <v/>
      </c>
    </row>
    <row r="943" spans="5:45" x14ac:dyDescent="0.25">
      <c r="E943" t="str">
        <f ca="1"/>
        <v/>
      </c>
      <c r="F943" t="str">
        <f ca="1"/>
        <v/>
      </c>
      <c r="P943" t="e" cm="1">
        <f t="array" ref="P943">INDEX($B$2:$D$40,MOD(ROW()-ROW($B$2),ROWS($B$2:$D$40))+1,INT((ROW()-ROW($B$2))/ROWS($B$2:$D$40))+1)</f>
        <v>#REF!</v>
      </c>
      <c r="Q943" t="e">
        <f t="shared" ca="1" si="102"/>
        <v>#N/A</v>
      </c>
      <c r="R943" t="str" cm="1">
        <f t="array" aca="1" ref="R943" ca="1">IFERROR(INDIRECT("$P"&amp;Q943),"")</f>
        <v/>
      </c>
      <c r="U943" t="e" cm="1">
        <f t="array" ref="U943">INDEX($C$2:$D$40,MOD(ROW()-ROW($C$2),ROWS($C$2:$D$40))+1,INT((ROW()-ROW($C$2))/ROWS($C$2:$D$40))+1)</f>
        <v>#REF!</v>
      </c>
      <c r="V943" t="e">
        <f t="shared" ca="1" si="103"/>
        <v>#N/A</v>
      </c>
      <c r="W943" t="str" cm="1">
        <f t="array" aca="1" ref="W943" ca="1">IFERROR(INDIRECT("$U"&amp;V943),"")</f>
        <v/>
      </c>
      <c r="Z943" t="e" cm="1">
        <f t="array" ref="Z943">INDEX($AE$2:$AS$40,MOD(ROW()-ROW($AE$2),ROWS($AE$2:$AS$40))+1,INT((ROW()-ROW($AE$2))/ROWS($AE$2:$AS$40))+1)</f>
        <v>#REF!</v>
      </c>
      <c r="AA943" t="e">
        <f t="shared" ca="1" si="104"/>
        <v>#N/A</v>
      </c>
      <c r="AB943" t="str" cm="1">
        <f t="array" aca="1" ref="AB943" ca="1">IFERROR(INDIRECT("$Z"&amp;AA943),"")</f>
        <v/>
      </c>
      <c r="AP943" t="str">
        <f t="shared" si="98"/>
        <v/>
      </c>
      <c r="AQ943" t="str">
        <f t="shared" si="99"/>
        <v/>
      </c>
      <c r="AR943" t="str">
        <f t="shared" si="100"/>
        <v/>
      </c>
      <c r="AS943" t="str">
        <f t="shared" si="101"/>
        <v/>
      </c>
    </row>
    <row r="944" spans="5:45" x14ac:dyDescent="0.25">
      <c r="E944" t="str">
        <f ca="1"/>
        <v/>
      </c>
      <c r="F944" t="str">
        <f ca="1"/>
        <v/>
      </c>
      <c r="P944" t="e" cm="1">
        <f t="array" ref="P944">INDEX($B$2:$D$40,MOD(ROW()-ROW($B$2),ROWS($B$2:$D$40))+1,INT((ROW()-ROW($B$2))/ROWS($B$2:$D$40))+1)</f>
        <v>#REF!</v>
      </c>
      <c r="Q944" t="e">
        <f t="shared" ca="1" si="102"/>
        <v>#N/A</v>
      </c>
      <c r="R944" t="str" cm="1">
        <f t="array" aca="1" ref="R944" ca="1">IFERROR(INDIRECT("$P"&amp;Q944),"")</f>
        <v/>
      </c>
      <c r="U944" t="e" cm="1">
        <f t="array" ref="U944">INDEX($C$2:$D$40,MOD(ROW()-ROW($C$2),ROWS($C$2:$D$40))+1,INT((ROW()-ROW($C$2))/ROWS($C$2:$D$40))+1)</f>
        <v>#REF!</v>
      </c>
      <c r="V944" t="e">
        <f t="shared" ca="1" si="103"/>
        <v>#N/A</v>
      </c>
      <c r="W944" t="str" cm="1">
        <f t="array" aca="1" ref="W944" ca="1">IFERROR(INDIRECT("$U"&amp;V944),"")</f>
        <v/>
      </c>
      <c r="Z944" t="e" cm="1">
        <f t="array" ref="Z944">INDEX($AE$2:$AS$40,MOD(ROW()-ROW($AE$2),ROWS($AE$2:$AS$40))+1,INT((ROW()-ROW($AE$2))/ROWS($AE$2:$AS$40))+1)</f>
        <v>#REF!</v>
      </c>
      <c r="AA944" t="e">
        <f t="shared" ca="1" si="104"/>
        <v>#N/A</v>
      </c>
      <c r="AB944" t="str" cm="1">
        <f t="array" aca="1" ref="AB944" ca="1">IFERROR(INDIRECT("$Z"&amp;AA944),"")</f>
        <v/>
      </c>
      <c r="AP944" t="str">
        <f t="shared" si="98"/>
        <v/>
      </c>
      <c r="AQ944" t="str">
        <f t="shared" si="99"/>
        <v/>
      </c>
      <c r="AR944" t="str">
        <f t="shared" si="100"/>
        <v/>
      </c>
      <c r="AS944" t="str">
        <f t="shared" si="101"/>
        <v/>
      </c>
    </row>
    <row r="945" spans="5:45" x14ac:dyDescent="0.25">
      <c r="E945" t="str">
        <f ca="1"/>
        <v/>
      </c>
      <c r="F945" t="str">
        <f ca="1"/>
        <v/>
      </c>
      <c r="P945" t="e" cm="1">
        <f t="array" ref="P945">INDEX($B$2:$D$40,MOD(ROW()-ROW($B$2),ROWS($B$2:$D$40))+1,INT((ROW()-ROW($B$2))/ROWS($B$2:$D$40))+1)</f>
        <v>#REF!</v>
      </c>
      <c r="Q945" t="e">
        <f t="shared" ca="1" si="102"/>
        <v>#N/A</v>
      </c>
      <c r="R945" t="str" cm="1">
        <f t="array" aca="1" ref="R945" ca="1">IFERROR(INDIRECT("$P"&amp;Q945),"")</f>
        <v/>
      </c>
      <c r="U945" t="e" cm="1">
        <f t="array" ref="U945">INDEX($C$2:$D$40,MOD(ROW()-ROW($C$2),ROWS($C$2:$D$40))+1,INT((ROW()-ROW($C$2))/ROWS($C$2:$D$40))+1)</f>
        <v>#REF!</v>
      </c>
      <c r="V945" t="e">
        <f t="shared" ca="1" si="103"/>
        <v>#N/A</v>
      </c>
      <c r="W945" t="str" cm="1">
        <f t="array" aca="1" ref="W945" ca="1">IFERROR(INDIRECT("$U"&amp;V945),"")</f>
        <v/>
      </c>
      <c r="Z945" t="e" cm="1">
        <f t="array" ref="Z945">INDEX($AE$2:$AS$40,MOD(ROW()-ROW($AE$2),ROWS($AE$2:$AS$40))+1,INT((ROW()-ROW($AE$2))/ROWS($AE$2:$AS$40))+1)</f>
        <v>#REF!</v>
      </c>
      <c r="AA945" t="e">
        <f t="shared" ca="1" si="104"/>
        <v>#N/A</v>
      </c>
      <c r="AB945" t="str" cm="1">
        <f t="array" aca="1" ref="AB945" ca="1">IFERROR(INDIRECT("$Z"&amp;AA945),"")</f>
        <v/>
      </c>
      <c r="AP945" t="str">
        <f t="shared" si="98"/>
        <v/>
      </c>
      <c r="AQ945" t="str">
        <f t="shared" si="99"/>
        <v/>
      </c>
      <c r="AR945" t="str">
        <f t="shared" si="100"/>
        <v/>
      </c>
      <c r="AS945" t="str">
        <f t="shared" si="101"/>
        <v/>
      </c>
    </row>
    <row r="946" spans="5:45" x14ac:dyDescent="0.25">
      <c r="E946" t="str">
        <f ca="1"/>
        <v/>
      </c>
      <c r="F946" t="str">
        <f ca="1"/>
        <v/>
      </c>
      <c r="P946" t="e" cm="1">
        <f t="array" ref="P946">INDEX($B$2:$D$40,MOD(ROW()-ROW($B$2),ROWS($B$2:$D$40))+1,INT((ROW()-ROW($B$2))/ROWS($B$2:$D$40))+1)</f>
        <v>#REF!</v>
      </c>
      <c r="Q946" t="e">
        <f t="shared" ca="1" si="102"/>
        <v>#N/A</v>
      </c>
      <c r="R946" t="str" cm="1">
        <f t="array" aca="1" ref="R946" ca="1">IFERROR(INDIRECT("$P"&amp;Q946),"")</f>
        <v/>
      </c>
      <c r="U946" t="e" cm="1">
        <f t="array" ref="U946">INDEX($C$2:$D$40,MOD(ROW()-ROW($C$2),ROWS($C$2:$D$40))+1,INT((ROW()-ROW($C$2))/ROWS($C$2:$D$40))+1)</f>
        <v>#REF!</v>
      </c>
      <c r="V946" t="e">
        <f t="shared" ca="1" si="103"/>
        <v>#N/A</v>
      </c>
      <c r="W946" t="str" cm="1">
        <f t="array" aca="1" ref="W946" ca="1">IFERROR(INDIRECT("$U"&amp;V946),"")</f>
        <v/>
      </c>
      <c r="Z946" t="e" cm="1">
        <f t="array" ref="Z946">INDEX($AE$2:$AS$40,MOD(ROW()-ROW($AE$2),ROWS($AE$2:$AS$40))+1,INT((ROW()-ROW($AE$2))/ROWS($AE$2:$AS$40))+1)</f>
        <v>#REF!</v>
      </c>
      <c r="AA946" t="e">
        <f t="shared" ca="1" si="104"/>
        <v>#N/A</v>
      </c>
      <c r="AB946" t="str" cm="1">
        <f t="array" aca="1" ref="AB946" ca="1">IFERROR(INDIRECT("$Z"&amp;AA946),"")</f>
        <v/>
      </c>
      <c r="AP946" t="str">
        <f t="shared" si="98"/>
        <v/>
      </c>
      <c r="AQ946" t="str">
        <f t="shared" si="99"/>
        <v/>
      </c>
      <c r="AR946" t="str">
        <f t="shared" si="100"/>
        <v/>
      </c>
      <c r="AS946" t="str">
        <f t="shared" si="101"/>
        <v/>
      </c>
    </row>
    <row r="947" spans="5:45" x14ac:dyDescent="0.25">
      <c r="E947" t="str">
        <f ca="1"/>
        <v/>
      </c>
      <c r="F947" t="str">
        <f ca="1"/>
        <v/>
      </c>
      <c r="P947" t="e" cm="1">
        <f t="array" ref="P947">INDEX($B$2:$D$40,MOD(ROW()-ROW($B$2),ROWS($B$2:$D$40))+1,INT((ROW()-ROW($B$2))/ROWS($B$2:$D$40))+1)</f>
        <v>#REF!</v>
      </c>
      <c r="Q947" t="e">
        <f t="shared" ca="1" si="102"/>
        <v>#N/A</v>
      </c>
      <c r="R947" t="str" cm="1">
        <f t="array" aca="1" ref="R947" ca="1">IFERROR(INDIRECT("$P"&amp;Q947),"")</f>
        <v/>
      </c>
      <c r="U947" t="e" cm="1">
        <f t="array" ref="U947">INDEX($C$2:$D$40,MOD(ROW()-ROW($C$2),ROWS($C$2:$D$40))+1,INT((ROW()-ROW($C$2))/ROWS($C$2:$D$40))+1)</f>
        <v>#REF!</v>
      </c>
      <c r="V947" t="e">
        <f t="shared" ca="1" si="103"/>
        <v>#N/A</v>
      </c>
      <c r="W947" t="str" cm="1">
        <f t="array" aca="1" ref="W947" ca="1">IFERROR(INDIRECT("$U"&amp;V947),"")</f>
        <v/>
      </c>
      <c r="Z947" t="e" cm="1">
        <f t="array" ref="Z947">INDEX($AE$2:$AS$40,MOD(ROW()-ROW($AE$2),ROWS($AE$2:$AS$40))+1,INT((ROW()-ROW($AE$2))/ROWS($AE$2:$AS$40))+1)</f>
        <v>#REF!</v>
      </c>
      <c r="AA947" t="e">
        <f t="shared" ca="1" si="104"/>
        <v>#N/A</v>
      </c>
      <c r="AB947" t="str" cm="1">
        <f t="array" aca="1" ref="AB947" ca="1">IFERROR(INDIRECT("$Z"&amp;AA947),"")</f>
        <v/>
      </c>
      <c r="AP947" t="str">
        <f t="shared" si="98"/>
        <v/>
      </c>
      <c r="AQ947" t="str">
        <f t="shared" si="99"/>
        <v/>
      </c>
      <c r="AR947" t="str">
        <f t="shared" si="100"/>
        <v/>
      </c>
      <c r="AS947" t="str">
        <f t="shared" si="101"/>
        <v/>
      </c>
    </row>
    <row r="948" spans="5:45" x14ac:dyDescent="0.25">
      <c r="E948" t="str">
        <f ca="1"/>
        <v/>
      </c>
      <c r="F948" t="str">
        <f ca="1"/>
        <v/>
      </c>
      <c r="P948" t="e" cm="1">
        <f t="array" ref="P948">INDEX($B$2:$D$40,MOD(ROW()-ROW($B$2),ROWS($B$2:$D$40))+1,INT((ROW()-ROW($B$2))/ROWS($B$2:$D$40))+1)</f>
        <v>#REF!</v>
      </c>
      <c r="Q948" t="e">
        <f t="shared" ca="1" si="102"/>
        <v>#N/A</v>
      </c>
      <c r="R948" t="str" cm="1">
        <f t="array" aca="1" ref="R948" ca="1">IFERROR(INDIRECT("$P"&amp;Q948),"")</f>
        <v/>
      </c>
      <c r="U948" t="e" cm="1">
        <f t="array" ref="U948">INDEX($C$2:$D$40,MOD(ROW()-ROW($C$2),ROWS($C$2:$D$40))+1,INT((ROW()-ROW($C$2))/ROWS($C$2:$D$40))+1)</f>
        <v>#REF!</v>
      </c>
      <c r="V948" t="e">
        <f t="shared" ca="1" si="103"/>
        <v>#N/A</v>
      </c>
      <c r="W948" t="str" cm="1">
        <f t="array" aca="1" ref="W948" ca="1">IFERROR(INDIRECT("$U"&amp;V948),"")</f>
        <v/>
      </c>
      <c r="Z948" t="e" cm="1">
        <f t="array" ref="Z948">INDEX($AE$2:$AS$40,MOD(ROW()-ROW($AE$2),ROWS($AE$2:$AS$40))+1,INT((ROW()-ROW($AE$2))/ROWS($AE$2:$AS$40))+1)</f>
        <v>#REF!</v>
      </c>
      <c r="AA948" t="e">
        <f t="shared" ca="1" si="104"/>
        <v>#N/A</v>
      </c>
      <c r="AB948" t="str" cm="1">
        <f t="array" aca="1" ref="AB948" ca="1">IFERROR(INDIRECT("$Z"&amp;AA948),"")</f>
        <v/>
      </c>
      <c r="AP948" t="str">
        <f t="shared" si="98"/>
        <v/>
      </c>
      <c r="AQ948" t="str">
        <f t="shared" si="99"/>
        <v/>
      </c>
      <c r="AR948" t="str">
        <f t="shared" si="100"/>
        <v/>
      </c>
      <c r="AS948" t="str">
        <f t="shared" si="101"/>
        <v/>
      </c>
    </row>
    <row r="949" spans="5:45" x14ac:dyDescent="0.25">
      <c r="E949" t="str">
        <f ca="1"/>
        <v/>
      </c>
      <c r="F949" t="str">
        <f ca="1"/>
        <v/>
      </c>
      <c r="P949" t="e" cm="1">
        <f t="array" ref="P949">INDEX($B$2:$D$40,MOD(ROW()-ROW($B$2),ROWS($B$2:$D$40))+1,INT((ROW()-ROW($B$2))/ROWS($B$2:$D$40))+1)</f>
        <v>#REF!</v>
      </c>
      <c r="Q949" t="e">
        <f t="shared" ca="1" si="102"/>
        <v>#N/A</v>
      </c>
      <c r="R949" t="str" cm="1">
        <f t="array" aca="1" ref="R949" ca="1">IFERROR(INDIRECT("$P"&amp;Q949),"")</f>
        <v/>
      </c>
      <c r="U949" t="e" cm="1">
        <f t="array" ref="U949">INDEX($C$2:$D$40,MOD(ROW()-ROW($C$2),ROWS($C$2:$D$40))+1,INT((ROW()-ROW($C$2))/ROWS($C$2:$D$40))+1)</f>
        <v>#REF!</v>
      </c>
      <c r="V949" t="e">
        <f t="shared" ca="1" si="103"/>
        <v>#N/A</v>
      </c>
      <c r="W949" t="str" cm="1">
        <f t="array" aca="1" ref="W949" ca="1">IFERROR(INDIRECT("$U"&amp;V949),"")</f>
        <v/>
      </c>
      <c r="Z949" t="e" cm="1">
        <f t="array" ref="Z949">INDEX($AE$2:$AS$40,MOD(ROW()-ROW($AE$2),ROWS($AE$2:$AS$40))+1,INT((ROW()-ROW($AE$2))/ROWS($AE$2:$AS$40))+1)</f>
        <v>#REF!</v>
      </c>
      <c r="AA949" t="e">
        <f t="shared" ca="1" si="104"/>
        <v>#N/A</v>
      </c>
      <c r="AB949" t="str" cm="1">
        <f t="array" aca="1" ref="AB949" ca="1">IFERROR(INDIRECT("$Z"&amp;AA949),"")</f>
        <v/>
      </c>
      <c r="AP949" t="str">
        <f t="shared" si="98"/>
        <v/>
      </c>
      <c r="AQ949" t="str">
        <f t="shared" si="99"/>
        <v/>
      </c>
      <c r="AR949" t="str">
        <f t="shared" si="100"/>
        <v/>
      </c>
      <c r="AS949" t="str">
        <f t="shared" si="101"/>
        <v/>
      </c>
    </row>
    <row r="950" spans="5:45" x14ac:dyDescent="0.25">
      <c r="E950" t="str">
        <f ca="1"/>
        <v/>
      </c>
      <c r="F950" t="str">
        <f ca="1"/>
        <v/>
      </c>
      <c r="P950" t="e" cm="1">
        <f t="array" ref="P950">INDEX($B$2:$D$40,MOD(ROW()-ROW($B$2),ROWS($B$2:$D$40))+1,INT((ROW()-ROW($B$2))/ROWS($B$2:$D$40))+1)</f>
        <v>#REF!</v>
      </c>
      <c r="Q950" t="e">
        <f t="shared" ca="1" si="102"/>
        <v>#N/A</v>
      </c>
      <c r="R950" t="str" cm="1">
        <f t="array" aca="1" ref="R950" ca="1">IFERROR(INDIRECT("$P"&amp;Q950),"")</f>
        <v/>
      </c>
      <c r="U950" t="e" cm="1">
        <f t="array" ref="U950">INDEX($C$2:$D$40,MOD(ROW()-ROW($C$2),ROWS($C$2:$D$40))+1,INT((ROW()-ROW($C$2))/ROWS($C$2:$D$40))+1)</f>
        <v>#REF!</v>
      </c>
      <c r="V950" t="e">
        <f t="shared" ca="1" si="103"/>
        <v>#N/A</v>
      </c>
      <c r="W950" t="str" cm="1">
        <f t="array" aca="1" ref="W950" ca="1">IFERROR(INDIRECT("$U"&amp;V950),"")</f>
        <v/>
      </c>
      <c r="Z950" t="e" cm="1">
        <f t="array" ref="Z950">INDEX($AE$2:$AS$40,MOD(ROW()-ROW($AE$2),ROWS($AE$2:$AS$40))+1,INT((ROW()-ROW($AE$2))/ROWS($AE$2:$AS$40))+1)</f>
        <v>#REF!</v>
      </c>
      <c r="AA950" t="e">
        <f t="shared" ca="1" si="104"/>
        <v>#N/A</v>
      </c>
      <c r="AB950" t="str" cm="1">
        <f t="array" aca="1" ref="AB950" ca="1">IFERROR(INDIRECT("$Z"&amp;AA950),"")</f>
        <v/>
      </c>
      <c r="AP950" t="str">
        <f t="shared" si="98"/>
        <v/>
      </c>
      <c r="AQ950" t="str">
        <f t="shared" si="99"/>
        <v/>
      </c>
      <c r="AR950" t="str">
        <f t="shared" si="100"/>
        <v/>
      </c>
      <c r="AS950" t="str">
        <f t="shared" si="101"/>
        <v/>
      </c>
    </row>
    <row r="951" spans="5:45" x14ac:dyDescent="0.25">
      <c r="E951" t="str">
        <f ca="1"/>
        <v/>
      </c>
      <c r="F951" t="str">
        <f ca="1"/>
        <v/>
      </c>
      <c r="P951" t="e" cm="1">
        <f t="array" ref="P951">INDEX($B$2:$D$40,MOD(ROW()-ROW($B$2),ROWS($B$2:$D$40))+1,INT((ROW()-ROW($B$2))/ROWS($B$2:$D$40))+1)</f>
        <v>#REF!</v>
      </c>
      <c r="Q951" t="e">
        <f t="shared" ca="1" si="102"/>
        <v>#N/A</v>
      </c>
      <c r="R951" t="str" cm="1">
        <f t="array" aca="1" ref="R951" ca="1">IFERROR(INDIRECT("$P"&amp;Q951),"")</f>
        <v/>
      </c>
      <c r="U951" t="e" cm="1">
        <f t="array" ref="U951">INDEX($C$2:$D$40,MOD(ROW()-ROW($C$2),ROWS($C$2:$D$40))+1,INT((ROW()-ROW($C$2))/ROWS($C$2:$D$40))+1)</f>
        <v>#REF!</v>
      </c>
      <c r="V951" t="e">
        <f t="shared" ca="1" si="103"/>
        <v>#N/A</v>
      </c>
      <c r="W951" t="str" cm="1">
        <f t="array" aca="1" ref="W951" ca="1">IFERROR(INDIRECT("$U"&amp;V951),"")</f>
        <v/>
      </c>
      <c r="Z951" t="e" cm="1">
        <f t="array" ref="Z951">INDEX($AE$2:$AS$40,MOD(ROW()-ROW($AE$2),ROWS($AE$2:$AS$40))+1,INT((ROW()-ROW($AE$2))/ROWS($AE$2:$AS$40))+1)</f>
        <v>#REF!</v>
      </c>
      <c r="AA951" t="e">
        <f t="shared" ca="1" si="104"/>
        <v>#N/A</v>
      </c>
      <c r="AB951" t="str" cm="1">
        <f t="array" aca="1" ref="AB951" ca="1">IFERROR(INDIRECT("$Z"&amp;AA951),"")</f>
        <v/>
      </c>
      <c r="AP951" t="str">
        <f t="shared" si="98"/>
        <v/>
      </c>
      <c r="AQ951" t="str">
        <f t="shared" si="99"/>
        <v/>
      </c>
      <c r="AR951" t="str">
        <f t="shared" si="100"/>
        <v/>
      </c>
      <c r="AS951" t="str">
        <f t="shared" si="101"/>
        <v/>
      </c>
    </row>
    <row r="952" spans="5:45" x14ac:dyDescent="0.25">
      <c r="E952" t="str">
        <f ca="1"/>
        <v/>
      </c>
      <c r="F952" t="str">
        <f ca="1"/>
        <v/>
      </c>
      <c r="P952" t="e" cm="1">
        <f t="array" ref="P952">INDEX($B$2:$D$40,MOD(ROW()-ROW($B$2),ROWS($B$2:$D$40))+1,INT((ROW()-ROW($B$2))/ROWS($B$2:$D$40))+1)</f>
        <v>#REF!</v>
      </c>
      <c r="Q952" t="e">
        <f t="shared" ca="1" si="102"/>
        <v>#N/A</v>
      </c>
      <c r="R952" t="str" cm="1">
        <f t="array" aca="1" ref="R952" ca="1">IFERROR(INDIRECT("$P"&amp;Q952),"")</f>
        <v/>
      </c>
      <c r="U952" t="e" cm="1">
        <f t="array" ref="U952">INDEX($C$2:$D$40,MOD(ROW()-ROW($C$2),ROWS($C$2:$D$40))+1,INT((ROW()-ROW($C$2))/ROWS($C$2:$D$40))+1)</f>
        <v>#REF!</v>
      </c>
      <c r="V952" t="e">
        <f t="shared" ca="1" si="103"/>
        <v>#N/A</v>
      </c>
      <c r="W952" t="str" cm="1">
        <f t="array" aca="1" ref="W952" ca="1">IFERROR(INDIRECT("$U"&amp;V952),"")</f>
        <v/>
      </c>
      <c r="Z952" t="e" cm="1">
        <f t="array" ref="Z952">INDEX($AE$2:$AS$40,MOD(ROW()-ROW($AE$2),ROWS($AE$2:$AS$40))+1,INT((ROW()-ROW($AE$2))/ROWS($AE$2:$AS$40))+1)</f>
        <v>#REF!</v>
      </c>
      <c r="AA952" t="e">
        <f t="shared" ca="1" si="104"/>
        <v>#N/A</v>
      </c>
      <c r="AB952" t="str" cm="1">
        <f t="array" aca="1" ref="AB952" ca="1">IFERROR(INDIRECT("$Z"&amp;AA952),"")</f>
        <v/>
      </c>
      <c r="AP952" t="str">
        <f t="shared" si="98"/>
        <v/>
      </c>
      <c r="AQ952" t="str">
        <f t="shared" si="99"/>
        <v/>
      </c>
      <c r="AR952" t="str">
        <f t="shared" si="100"/>
        <v/>
      </c>
      <c r="AS952" t="str">
        <f t="shared" si="101"/>
        <v/>
      </c>
    </row>
    <row r="953" spans="5:45" x14ac:dyDescent="0.25">
      <c r="E953" t="str">
        <f ca="1"/>
        <v/>
      </c>
      <c r="F953" t="str">
        <f ca="1"/>
        <v/>
      </c>
      <c r="P953" t="e" cm="1">
        <f t="array" ref="P953">INDEX($B$2:$D$40,MOD(ROW()-ROW($B$2),ROWS($B$2:$D$40))+1,INT((ROW()-ROW($B$2))/ROWS($B$2:$D$40))+1)</f>
        <v>#REF!</v>
      </c>
      <c r="Q953" t="e">
        <f t="shared" ca="1" si="102"/>
        <v>#N/A</v>
      </c>
      <c r="R953" t="str" cm="1">
        <f t="array" aca="1" ref="R953" ca="1">IFERROR(INDIRECT("$P"&amp;Q953),"")</f>
        <v/>
      </c>
      <c r="U953" t="e" cm="1">
        <f t="array" ref="U953">INDEX($C$2:$D$40,MOD(ROW()-ROW($C$2),ROWS($C$2:$D$40))+1,INT((ROW()-ROW($C$2))/ROWS($C$2:$D$40))+1)</f>
        <v>#REF!</v>
      </c>
      <c r="V953" t="e">
        <f t="shared" ca="1" si="103"/>
        <v>#N/A</v>
      </c>
      <c r="W953" t="str" cm="1">
        <f t="array" aca="1" ref="W953" ca="1">IFERROR(INDIRECT("$U"&amp;V953),"")</f>
        <v/>
      </c>
      <c r="Z953" t="e" cm="1">
        <f t="array" ref="Z953">INDEX($AE$2:$AS$40,MOD(ROW()-ROW($AE$2),ROWS($AE$2:$AS$40))+1,INT((ROW()-ROW($AE$2))/ROWS($AE$2:$AS$40))+1)</f>
        <v>#REF!</v>
      </c>
      <c r="AA953" t="e">
        <f t="shared" ca="1" si="104"/>
        <v>#N/A</v>
      </c>
      <c r="AB953" t="str" cm="1">
        <f t="array" aca="1" ref="AB953" ca="1">IFERROR(INDIRECT("$Z"&amp;AA953),"")</f>
        <v/>
      </c>
      <c r="AP953" t="str">
        <f t="shared" si="98"/>
        <v/>
      </c>
      <c r="AQ953" t="str">
        <f t="shared" si="99"/>
        <v/>
      </c>
      <c r="AR953" t="str">
        <f t="shared" si="100"/>
        <v/>
      </c>
      <c r="AS953" t="str">
        <f t="shared" si="101"/>
        <v/>
      </c>
    </row>
    <row r="954" spans="5:45" x14ac:dyDescent="0.25">
      <c r="E954" t="str">
        <f ca="1"/>
        <v/>
      </c>
      <c r="F954" t="str">
        <f ca="1"/>
        <v/>
      </c>
      <c r="P954" t="e" cm="1">
        <f t="array" ref="P954">INDEX($B$2:$D$40,MOD(ROW()-ROW($B$2),ROWS($B$2:$D$40))+1,INT((ROW()-ROW($B$2))/ROWS($B$2:$D$40))+1)</f>
        <v>#REF!</v>
      </c>
      <c r="Q954" t="e">
        <f t="shared" ca="1" si="102"/>
        <v>#N/A</v>
      </c>
      <c r="R954" t="str" cm="1">
        <f t="array" aca="1" ref="R954" ca="1">IFERROR(INDIRECT("$P"&amp;Q954),"")</f>
        <v/>
      </c>
      <c r="U954" t="e" cm="1">
        <f t="array" ref="U954">INDEX($C$2:$D$40,MOD(ROW()-ROW($C$2),ROWS($C$2:$D$40))+1,INT((ROW()-ROW($C$2))/ROWS($C$2:$D$40))+1)</f>
        <v>#REF!</v>
      </c>
      <c r="V954" t="e">
        <f t="shared" ca="1" si="103"/>
        <v>#N/A</v>
      </c>
      <c r="W954" t="str" cm="1">
        <f t="array" aca="1" ref="W954" ca="1">IFERROR(INDIRECT("$U"&amp;V954),"")</f>
        <v/>
      </c>
      <c r="Z954" t="e" cm="1">
        <f t="array" ref="Z954">INDEX($AE$2:$AS$40,MOD(ROW()-ROW($AE$2),ROWS($AE$2:$AS$40))+1,INT((ROW()-ROW($AE$2))/ROWS($AE$2:$AS$40))+1)</f>
        <v>#REF!</v>
      </c>
      <c r="AA954" t="e">
        <f t="shared" ca="1" si="104"/>
        <v>#N/A</v>
      </c>
      <c r="AB954" t="str" cm="1">
        <f t="array" aca="1" ref="AB954" ca="1">IFERROR(INDIRECT("$Z"&amp;AA954),"")</f>
        <v/>
      </c>
      <c r="AP954" t="str">
        <f t="shared" si="98"/>
        <v/>
      </c>
      <c r="AQ954" t="str">
        <f t="shared" si="99"/>
        <v/>
      </c>
      <c r="AR954" t="str">
        <f t="shared" si="100"/>
        <v/>
      </c>
      <c r="AS954" t="str">
        <f t="shared" si="101"/>
        <v/>
      </c>
    </row>
    <row r="955" spans="5:45" x14ac:dyDescent="0.25">
      <c r="E955" t="str">
        <f ca="1"/>
        <v/>
      </c>
      <c r="F955" t="str">
        <f ca="1"/>
        <v/>
      </c>
      <c r="P955" t="e" cm="1">
        <f t="array" ref="P955">INDEX($B$2:$D$40,MOD(ROW()-ROW($B$2),ROWS($B$2:$D$40))+1,INT((ROW()-ROW($B$2))/ROWS($B$2:$D$40))+1)</f>
        <v>#REF!</v>
      </c>
      <c r="Q955" t="e">
        <f t="shared" ca="1" si="102"/>
        <v>#N/A</v>
      </c>
      <c r="R955" t="str" cm="1">
        <f t="array" aca="1" ref="R955" ca="1">IFERROR(INDIRECT("$P"&amp;Q955),"")</f>
        <v/>
      </c>
      <c r="U955" t="e" cm="1">
        <f t="array" ref="U955">INDEX($C$2:$D$40,MOD(ROW()-ROW($C$2),ROWS($C$2:$D$40))+1,INT((ROW()-ROW($C$2))/ROWS($C$2:$D$40))+1)</f>
        <v>#REF!</v>
      </c>
      <c r="V955" t="e">
        <f t="shared" ca="1" si="103"/>
        <v>#N/A</v>
      </c>
      <c r="W955" t="str" cm="1">
        <f t="array" aca="1" ref="W955" ca="1">IFERROR(INDIRECT("$U"&amp;V955),"")</f>
        <v/>
      </c>
      <c r="Z955" t="e" cm="1">
        <f t="array" ref="Z955">INDEX($AE$2:$AS$40,MOD(ROW()-ROW($AE$2),ROWS($AE$2:$AS$40))+1,INT((ROW()-ROW($AE$2))/ROWS($AE$2:$AS$40))+1)</f>
        <v>#REF!</v>
      </c>
      <c r="AA955" t="e">
        <f t="shared" ca="1" si="104"/>
        <v>#N/A</v>
      </c>
      <c r="AB955" t="str" cm="1">
        <f t="array" aca="1" ref="AB955" ca="1">IFERROR(INDIRECT("$Z"&amp;AA955),"")</f>
        <v/>
      </c>
      <c r="AP955" t="str">
        <f t="shared" si="98"/>
        <v/>
      </c>
      <c r="AQ955" t="str">
        <f t="shared" si="99"/>
        <v/>
      </c>
      <c r="AR955" t="str">
        <f t="shared" si="100"/>
        <v/>
      </c>
      <c r="AS955" t="str">
        <f t="shared" si="101"/>
        <v/>
      </c>
    </row>
    <row r="956" spans="5:45" x14ac:dyDescent="0.25">
      <c r="E956" t="str">
        <f ca="1"/>
        <v/>
      </c>
      <c r="F956" t="str">
        <f ca="1"/>
        <v/>
      </c>
      <c r="P956" t="e" cm="1">
        <f t="array" ref="P956">INDEX($B$2:$D$40,MOD(ROW()-ROW($B$2),ROWS($B$2:$D$40))+1,INT((ROW()-ROW($B$2))/ROWS($B$2:$D$40))+1)</f>
        <v>#REF!</v>
      </c>
      <c r="Q956" t="e">
        <f t="shared" ca="1" si="102"/>
        <v>#N/A</v>
      </c>
      <c r="R956" t="str" cm="1">
        <f t="array" aca="1" ref="R956" ca="1">IFERROR(INDIRECT("$P"&amp;Q956),"")</f>
        <v/>
      </c>
      <c r="U956" t="e" cm="1">
        <f t="array" ref="U956">INDEX($C$2:$D$40,MOD(ROW()-ROW($C$2),ROWS($C$2:$D$40))+1,INT((ROW()-ROW($C$2))/ROWS($C$2:$D$40))+1)</f>
        <v>#REF!</v>
      </c>
      <c r="V956" t="e">
        <f t="shared" ca="1" si="103"/>
        <v>#N/A</v>
      </c>
      <c r="W956" t="str" cm="1">
        <f t="array" aca="1" ref="W956" ca="1">IFERROR(INDIRECT("$U"&amp;V956),"")</f>
        <v/>
      </c>
      <c r="Z956" t="e" cm="1">
        <f t="array" ref="Z956">INDEX($AE$2:$AS$40,MOD(ROW()-ROW($AE$2),ROWS($AE$2:$AS$40))+1,INT((ROW()-ROW($AE$2))/ROWS($AE$2:$AS$40))+1)</f>
        <v>#REF!</v>
      </c>
      <c r="AA956" t="e">
        <f t="shared" ca="1" si="104"/>
        <v>#N/A</v>
      </c>
      <c r="AB956" t="str" cm="1">
        <f t="array" aca="1" ref="AB956" ca="1">IFERROR(INDIRECT("$Z"&amp;AA956),"")</f>
        <v/>
      </c>
      <c r="AP956" t="str">
        <f t="shared" si="98"/>
        <v/>
      </c>
      <c r="AQ956" t="str">
        <f t="shared" si="99"/>
        <v/>
      </c>
      <c r="AR956" t="str">
        <f t="shared" si="100"/>
        <v/>
      </c>
      <c r="AS956" t="str">
        <f t="shared" si="101"/>
        <v/>
      </c>
    </row>
    <row r="957" spans="5:45" x14ac:dyDescent="0.25">
      <c r="E957" t="str">
        <f ca="1"/>
        <v/>
      </c>
      <c r="F957" t="str">
        <f ca="1"/>
        <v/>
      </c>
      <c r="P957" t="e" cm="1">
        <f t="array" ref="P957">INDEX($B$2:$D$40,MOD(ROW()-ROW($B$2),ROWS($B$2:$D$40))+1,INT((ROW()-ROW($B$2))/ROWS($B$2:$D$40))+1)</f>
        <v>#REF!</v>
      </c>
      <c r="Q957" t="e">
        <f t="shared" ca="1" si="102"/>
        <v>#N/A</v>
      </c>
      <c r="R957" t="str" cm="1">
        <f t="array" aca="1" ref="R957" ca="1">IFERROR(INDIRECT("$P"&amp;Q957),"")</f>
        <v/>
      </c>
      <c r="U957" t="e" cm="1">
        <f t="array" ref="U957">INDEX($C$2:$D$40,MOD(ROW()-ROW($C$2),ROWS($C$2:$D$40))+1,INT((ROW()-ROW($C$2))/ROWS($C$2:$D$40))+1)</f>
        <v>#REF!</v>
      </c>
      <c r="V957" t="e">
        <f t="shared" ca="1" si="103"/>
        <v>#N/A</v>
      </c>
      <c r="W957" t="str" cm="1">
        <f t="array" aca="1" ref="W957" ca="1">IFERROR(INDIRECT("$U"&amp;V957),"")</f>
        <v/>
      </c>
      <c r="Z957" t="e" cm="1">
        <f t="array" ref="Z957">INDEX($AE$2:$AS$40,MOD(ROW()-ROW($AE$2),ROWS($AE$2:$AS$40))+1,INT((ROW()-ROW($AE$2))/ROWS($AE$2:$AS$40))+1)</f>
        <v>#REF!</v>
      </c>
      <c r="AA957" t="e">
        <f t="shared" ca="1" si="104"/>
        <v>#N/A</v>
      </c>
      <c r="AB957" t="str" cm="1">
        <f t="array" aca="1" ref="AB957" ca="1">IFERROR(INDIRECT("$Z"&amp;AA957),"")</f>
        <v/>
      </c>
      <c r="AP957" t="str">
        <f t="shared" si="98"/>
        <v/>
      </c>
      <c r="AQ957" t="str">
        <f t="shared" si="99"/>
        <v/>
      </c>
      <c r="AR957" t="str">
        <f t="shared" si="100"/>
        <v/>
      </c>
      <c r="AS957" t="str">
        <f t="shared" si="101"/>
        <v/>
      </c>
    </row>
    <row r="958" spans="5:45" x14ac:dyDescent="0.25">
      <c r="E958" t="str">
        <f ca="1"/>
        <v/>
      </c>
      <c r="F958" t="str">
        <f ca="1"/>
        <v/>
      </c>
      <c r="P958" t="e" cm="1">
        <f t="array" ref="P958">INDEX($B$2:$D$40,MOD(ROW()-ROW($B$2),ROWS($B$2:$D$40))+1,INT((ROW()-ROW($B$2))/ROWS($B$2:$D$40))+1)</f>
        <v>#REF!</v>
      </c>
      <c r="Q958" t="e">
        <f t="shared" ca="1" si="102"/>
        <v>#N/A</v>
      </c>
      <c r="R958" t="str" cm="1">
        <f t="array" aca="1" ref="R958" ca="1">IFERROR(INDIRECT("$P"&amp;Q958),"")</f>
        <v/>
      </c>
      <c r="U958" t="e" cm="1">
        <f t="array" ref="U958">INDEX($C$2:$D$40,MOD(ROW()-ROW($C$2),ROWS($C$2:$D$40))+1,INT((ROW()-ROW($C$2))/ROWS($C$2:$D$40))+1)</f>
        <v>#REF!</v>
      </c>
      <c r="V958" t="e">
        <f t="shared" ca="1" si="103"/>
        <v>#N/A</v>
      </c>
      <c r="W958" t="str" cm="1">
        <f t="array" aca="1" ref="W958" ca="1">IFERROR(INDIRECT("$U"&amp;V958),"")</f>
        <v/>
      </c>
      <c r="Z958" t="e" cm="1">
        <f t="array" ref="Z958">INDEX($AE$2:$AS$40,MOD(ROW()-ROW($AE$2),ROWS($AE$2:$AS$40))+1,INT((ROW()-ROW($AE$2))/ROWS($AE$2:$AS$40))+1)</f>
        <v>#REF!</v>
      </c>
      <c r="AA958" t="e">
        <f t="shared" ca="1" si="104"/>
        <v>#N/A</v>
      </c>
      <c r="AB958" t="str" cm="1">
        <f t="array" aca="1" ref="AB958" ca="1">IFERROR(INDIRECT("$Z"&amp;AA958),"")</f>
        <v/>
      </c>
      <c r="AP958" t="str">
        <f t="shared" si="98"/>
        <v/>
      </c>
      <c r="AQ958" t="str">
        <f t="shared" si="99"/>
        <v/>
      </c>
      <c r="AR958" t="str">
        <f t="shared" si="100"/>
        <v/>
      </c>
      <c r="AS958" t="str">
        <f t="shared" si="101"/>
        <v/>
      </c>
    </row>
    <row r="959" spans="5:45" x14ac:dyDescent="0.25">
      <c r="E959" t="str">
        <f ca="1"/>
        <v/>
      </c>
      <c r="F959" t="str">
        <f ca="1"/>
        <v/>
      </c>
      <c r="P959" t="e" cm="1">
        <f t="array" ref="P959">INDEX($B$2:$D$40,MOD(ROW()-ROW($B$2),ROWS($B$2:$D$40))+1,INT((ROW()-ROW($B$2))/ROWS($B$2:$D$40))+1)</f>
        <v>#REF!</v>
      </c>
      <c r="Q959" t="e">
        <f t="shared" ca="1" si="102"/>
        <v>#N/A</v>
      </c>
      <c r="R959" t="str" cm="1">
        <f t="array" aca="1" ref="R959" ca="1">IFERROR(INDIRECT("$P"&amp;Q959),"")</f>
        <v/>
      </c>
      <c r="U959" t="e" cm="1">
        <f t="array" ref="U959">INDEX($C$2:$D$40,MOD(ROW()-ROW($C$2),ROWS($C$2:$D$40))+1,INT((ROW()-ROW($C$2))/ROWS($C$2:$D$40))+1)</f>
        <v>#REF!</v>
      </c>
      <c r="V959" t="e">
        <f t="shared" ca="1" si="103"/>
        <v>#N/A</v>
      </c>
      <c r="W959" t="str" cm="1">
        <f t="array" aca="1" ref="W959" ca="1">IFERROR(INDIRECT("$U"&amp;V959),"")</f>
        <v/>
      </c>
      <c r="Z959" t="e" cm="1">
        <f t="array" ref="Z959">INDEX($AE$2:$AS$40,MOD(ROW()-ROW($AE$2),ROWS($AE$2:$AS$40))+1,INT((ROW()-ROW($AE$2))/ROWS($AE$2:$AS$40))+1)</f>
        <v>#REF!</v>
      </c>
      <c r="AA959" t="e">
        <f t="shared" ca="1" si="104"/>
        <v>#N/A</v>
      </c>
      <c r="AB959" t="str" cm="1">
        <f t="array" aca="1" ref="AB959" ca="1">IFERROR(INDIRECT("$Z"&amp;AA959),"")</f>
        <v/>
      </c>
      <c r="AP959" t="str">
        <f t="shared" si="98"/>
        <v/>
      </c>
      <c r="AQ959" t="str">
        <f t="shared" si="99"/>
        <v/>
      </c>
      <c r="AR959" t="str">
        <f t="shared" si="100"/>
        <v/>
      </c>
      <c r="AS959" t="str">
        <f t="shared" si="101"/>
        <v/>
      </c>
    </row>
    <row r="960" spans="5:45" x14ac:dyDescent="0.25">
      <c r="E960" t="str">
        <f ca="1"/>
        <v/>
      </c>
      <c r="F960" t="str">
        <f ca="1"/>
        <v/>
      </c>
      <c r="P960" t="e" cm="1">
        <f t="array" ref="P960">INDEX($B$2:$D$40,MOD(ROW()-ROW($B$2),ROWS($B$2:$D$40))+1,INT((ROW()-ROW($B$2))/ROWS($B$2:$D$40))+1)</f>
        <v>#REF!</v>
      </c>
      <c r="Q960" t="e">
        <f t="shared" ca="1" si="102"/>
        <v>#N/A</v>
      </c>
      <c r="R960" t="str" cm="1">
        <f t="array" aca="1" ref="R960" ca="1">IFERROR(INDIRECT("$P"&amp;Q960),"")</f>
        <v/>
      </c>
      <c r="U960" t="e" cm="1">
        <f t="array" ref="U960">INDEX($C$2:$D$40,MOD(ROW()-ROW($C$2),ROWS($C$2:$D$40))+1,INT((ROW()-ROW($C$2))/ROWS($C$2:$D$40))+1)</f>
        <v>#REF!</v>
      </c>
      <c r="V960" t="e">
        <f t="shared" ca="1" si="103"/>
        <v>#N/A</v>
      </c>
      <c r="W960" t="str" cm="1">
        <f t="array" aca="1" ref="W960" ca="1">IFERROR(INDIRECT("$U"&amp;V960),"")</f>
        <v/>
      </c>
      <c r="Z960" t="e" cm="1">
        <f t="array" ref="Z960">INDEX($AE$2:$AS$40,MOD(ROW()-ROW($AE$2),ROWS($AE$2:$AS$40))+1,INT((ROW()-ROW($AE$2))/ROWS($AE$2:$AS$40))+1)</f>
        <v>#REF!</v>
      </c>
      <c r="AA960" t="e">
        <f t="shared" ca="1" si="104"/>
        <v>#N/A</v>
      </c>
      <c r="AB960" t="str" cm="1">
        <f t="array" aca="1" ref="AB960" ca="1">IFERROR(INDIRECT("$Z"&amp;AA960),"")</f>
        <v/>
      </c>
      <c r="AP960" t="str">
        <f t="shared" si="98"/>
        <v/>
      </c>
      <c r="AQ960" t="str">
        <f t="shared" si="99"/>
        <v/>
      </c>
      <c r="AR960" t="str">
        <f t="shared" si="100"/>
        <v/>
      </c>
      <c r="AS960" t="str">
        <f t="shared" si="101"/>
        <v/>
      </c>
    </row>
    <row r="961" spans="5:45" x14ac:dyDescent="0.25">
      <c r="E961" t="str">
        <f ca="1"/>
        <v/>
      </c>
      <c r="F961" t="str">
        <f ca="1"/>
        <v/>
      </c>
      <c r="P961" t="e" cm="1">
        <f t="array" ref="P961">INDEX($B$2:$D$40,MOD(ROW()-ROW($B$2),ROWS($B$2:$D$40))+1,INT((ROW()-ROW($B$2))/ROWS($B$2:$D$40))+1)</f>
        <v>#REF!</v>
      </c>
      <c r="Q961" t="e">
        <f t="shared" ca="1" si="102"/>
        <v>#N/A</v>
      </c>
      <c r="R961" t="str" cm="1">
        <f t="array" aca="1" ref="R961" ca="1">IFERROR(INDIRECT("$P"&amp;Q961),"")</f>
        <v/>
      </c>
      <c r="U961" t="e" cm="1">
        <f t="array" ref="U961">INDEX($C$2:$D$40,MOD(ROW()-ROW($C$2),ROWS($C$2:$D$40))+1,INT((ROW()-ROW($C$2))/ROWS($C$2:$D$40))+1)</f>
        <v>#REF!</v>
      </c>
      <c r="V961" t="e">
        <f t="shared" ca="1" si="103"/>
        <v>#N/A</v>
      </c>
      <c r="W961" t="str" cm="1">
        <f t="array" aca="1" ref="W961" ca="1">IFERROR(INDIRECT("$U"&amp;V961),"")</f>
        <v/>
      </c>
      <c r="Z961" t="e" cm="1">
        <f t="array" ref="Z961">INDEX($AE$2:$AS$40,MOD(ROW()-ROW($AE$2),ROWS($AE$2:$AS$40))+1,INT((ROW()-ROW($AE$2))/ROWS($AE$2:$AS$40))+1)</f>
        <v>#REF!</v>
      </c>
      <c r="AA961" t="e">
        <f t="shared" ca="1" si="104"/>
        <v>#N/A</v>
      </c>
      <c r="AB961" t="str" cm="1">
        <f t="array" aca="1" ref="AB961" ca="1">IFERROR(INDIRECT("$Z"&amp;AA961),"")</f>
        <v/>
      </c>
      <c r="AP961" t="str">
        <f t="shared" si="98"/>
        <v/>
      </c>
      <c r="AQ961" t="str">
        <f t="shared" si="99"/>
        <v/>
      </c>
      <c r="AR961" t="str">
        <f t="shared" si="100"/>
        <v/>
      </c>
      <c r="AS961" t="str">
        <f t="shared" si="101"/>
        <v/>
      </c>
    </row>
    <row r="962" spans="5:45" x14ac:dyDescent="0.25">
      <c r="E962" t="str">
        <f ca="1"/>
        <v/>
      </c>
      <c r="F962" t="str">
        <f ca="1"/>
        <v/>
      </c>
      <c r="P962" t="e" cm="1">
        <f t="array" ref="P962">INDEX($B$2:$D$40,MOD(ROW()-ROW($B$2),ROWS($B$2:$D$40))+1,INT((ROW()-ROW($B$2))/ROWS($B$2:$D$40))+1)</f>
        <v>#REF!</v>
      </c>
      <c r="Q962" t="e">
        <f t="shared" ca="1" si="102"/>
        <v>#N/A</v>
      </c>
      <c r="R962" t="str" cm="1">
        <f t="array" aca="1" ref="R962" ca="1">IFERROR(INDIRECT("$P"&amp;Q962),"")</f>
        <v/>
      </c>
      <c r="U962" t="e" cm="1">
        <f t="array" ref="U962">INDEX($C$2:$D$40,MOD(ROW()-ROW($C$2),ROWS($C$2:$D$40))+1,INT((ROW()-ROW($C$2))/ROWS($C$2:$D$40))+1)</f>
        <v>#REF!</v>
      </c>
      <c r="V962" t="e">
        <f t="shared" ca="1" si="103"/>
        <v>#N/A</v>
      </c>
      <c r="W962" t="str" cm="1">
        <f t="array" aca="1" ref="W962" ca="1">IFERROR(INDIRECT("$U"&amp;V962),"")</f>
        <v/>
      </c>
      <c r="Z962" t="e" cm="1">
        <f t="array" ref="Z962">INDEX($AE$2:$AS$40,MOD(ROW()-ROW($AE$2),ROWS($AE$2:$AS$40))+1,INT((ROW()-ROW($AE$2))/ROWS($AE$2:$AS$40))+1)</f>
        <v>#REF!</v>
      </c>
      <c r="AA962" t="e">
        <f t="shared" ca="1" si="104"/>
        <v>#N/A</v>
      </c>
      <c r="AB962" t="str" cm="1">
        <f t="array" aca="1" ref="AB962" ca="1">IFERROR(INDIRECT("$Z"&amp;AA962),"")</f>
        <v/>
      </c>
      <c r="AP962" t="str">
        <f t="shared" si="98"/>
        <v/>
      </c>
      <c r="AQ962" t="str">
        <f t="shared" si="99"/>
        <v/>
      </c>
      <c r="AR962" t="str">
        <f t="shared" si="100"/>
        <v/>
      </c>
      <c r="AS962" t="str">
        <f t="shared" si="101"/>
        <v/>
      </c>
    </row>
    <row r="963" spans="5:45" x14ac:dyDescent="0.25">
      <c r="E963" t="str">
        <f ca="1"/>
        <v/>
      </c>
      <c r="F963" t="str">
        <f ca="1"/>
        <v/>
      </c>
      <c r="P963" t="e" cm="1">
        <f t="array" ref="P963">INDEX($B$2:$D$40,MOD(ROW()-ROW($B$2),ROWS($B$2:$D$40))+1,INT((ROW()-ROW($B$2))/ROWS($B$2:$D$40))+1)</f>
        <v>#REF!</v>
      </c>
      <c r="Q963" t="e">
        <f t="shared" ca="1" si="102"/>
        <v>#N/A</v>
      </c>
      <c r="R963" t="str" cm="1">
        <f t="array" aca="1" ref="R963" ca="1">IFERROR(INDIRECT("$P"&amp;Q963),"")</f>
        <v/>
      </c>
      <c r="U963" t="e" cm="1">
        <f t="array" ref="U963">INDEX($C$2:$D$40,MOD(ROW()-ROW($C$2),ROWS($C$2:$D$40))+1,INT((ROW()-ROW($C$2))/ROWS($C$2:$D$40))+1)</f>
        <v>#REF!</v>
      </c>
      <c r="V963" t="e">
        <f t="shared" ca="1" si="103"/>
        <v>#N/A</v>
      </c>
      <c r="W963" t="str" cm="1">
        <f t="array" aca="1" ref="W963" ca="1">IFERROR(INDIRECT("$U"&amp;V963),"")</f>
        <v/>
      </c>
      <c r="Z963" t="e" cm="1">
        <f t="array" ref="Z963">INDEX($AE$2:$AS$40,MOD(ROW()-ROW($AE$2),ROWS($AE$2:$AS$40))+1,INT((ROW()-ROW($AE$2))/ROWS($AE$2:$AS$40))+1)</f>
        <v>#REF!</v>
      </c>
      <c r="AA963" t="e">
        <f t="shared" ca="1" si="104"/>
        <v>#N/A</v>
      </c>
      <c r="AB963" t="str" cm="1">
        <f t="array" aca="1" ref="AB963" ca="1">IFERROR(INDIRECT("$Z"&amp;AA963),"")</f>
        <v/>
      </c>
      <c r="AP963" t="str">
        <f t="shared" ref="AP963:AP1000" si="105">IF(AI963&lt;&gt;"", _xlfn.CONCAT(AI963, " (airside)"), "")</f>
        <v/>
      </c>
      <c r="AQ963" t="str">
        <f t="shared" ref="AQ963:AQ1000" si="106">IF(AI963&lt;&gt;"", _xlfn.CONCAT(AI963, " (waterside)"), "")</f>
        <v/>
      </c>
      <c r="AR963" t="str">
        <f t="shared" ref="AR963:AR1000" si="107">IF(AJ963&lt;&gt;"", _xlfn.CONCAT(AJ963, " (supply)"), "")</f>
        <v/>
      </c>
      <c r="AS963" t="str">
        <f t="shared" ref="AS963:AS1000" si="108">IF(AJ963&lt;&gt;"", _xlfn.CONCAT(AJ963, " (exhaust)"), "")</f>
        <v/>
      </c>
    </row>
    <row r="964" spans="5:45" x14ac:dyDescent="0.25">
      <c r="E964" t="str">
        <f ca="1"/>
        <v/>
      </c>
      <c r="F964" t="str">
        <f ca="1"/>
        <v/>
      </c>
      <c r="P964" t="e" cm="1">
        <f t="array" ref="P964">INDEX($B$2:$D$40,MOD(ROW()-ROW($B$2),ROWS($B$2:$D$40))+1,INT((ROW()-ROW($B$2))/ROWS($B$2:$D$40))+1)</f>
        <v>#REF!</v>
      </c>
      <c r="Q964" t="e">
        <f t="shared" ref="Q964:Q1000" ca="1" si="109">MATCH("*",INDIRECT(ADDRESS(Q963+1,16,1)&amp;":$P$1000"),0)+Q963</f>
        <v>#N/A</v>
      </c>
      <c r="R964" t="str" cm="1">
        <f t="array" aca="1" ref="R964" ca="1">IFERROR(INDIRECT("$P"&amp;Q964),"")</f>
        <v/>
      </c>
      <c r="U964" t="e" cm="1">
        <f t="array" ref="U964">INDEX($C$2:$D$40,MOD(ROW()-ROW($C$2),ROWS($C$2:$D$40))+1,INT((ROW()-ROW($C$2))/ROWS($C$2:$D$40))+1)</f>
        <v>#REF!</v>
      </c>
      <c r="V964" t="e">
        <f t="shared" ref="V964:V1000" ca="1" si="110">MATCH("*",INDIRECT(ADDRESS(V963+1,21,1)&amp;":$U$1000"),0)+V963</f>
        <v>#N/A</v>
      </c>
      <c r="W964" t="str" cm="1">
        <f t="array" aca="1" ref="W964" ca="1">IFERROR(INDIRECT("$U"&amp;V964),"")</f>
        <v/>
      </c>
      <c r="Z964" t="e" cm="1">
        <f t="array" ref="Z964">INDEX($AE$2:$AS$40,MOD(ROW()-ROW($AE$2),ROWS($AE$2:$AS$40))+1,INT((ROW()-ROW($AE$2))/ROWS($AE$2:$AS$40))+1)</f>
        <v>#REF!</v>
      </c>
      <c r="AA964" t="e">
        <f t="shared" ref="AA964:AA1000" ca="1" si="111">MATCH("*",INDIRECT(ADDRESS(AA963+1,26,1)&amp;":$Z$1000"),0)+AA963</f>
        <v>#N/A</v>
      </c>
      <c r="AB964" t="str" cm="1">
        <f t="array" aca="1" ref="AB964" ca="1">IFERROR(INDIRECT("$Z"&amp;AA964),"")</f>
        <v/>
      </c>
      <c r="AP964" t="str">
        <f t="shared" si="105"/>
        <v/>
      </c>
      <c r="AQ964" t="str">
        <f t="shared" si="106"/>
        <v/>
      </c>
      <c r="AR964" t="str">
        <f t="shared" si="107"/>
        <v/>
      </c>
      <c r="AS964" t="str">
        <f t="shared" si="108"/>
        <v/>
      </c>
    </row>
    <row r="965" spans="5:45" x14ac:dyDescent="0.25">
      <c r="E965" t="str">
        <f ca="1"/>
        <v/>
      </c>
      <c r="F965" t="str">
        <f ca="1"/>
        <v/>
      </c>
      <c r="P965" t="e" cm="1">
        <f t="array" ref="P965">INDEX($B$2:$D$40,MOD(ROW()-ROW($B$2),ROWS($B$2:$D$40))+1,INT((ROW()-ROW($B$2))/ROWS($B$2:$D$40))+1)</f>
        <v>#REF!</v>
      </c>
      <c r="Q965" t="e">
        <f t="shared" ca="1" si="109"/>
        <v>#N/A</v>
      </c>
      <c r="R965" t="str" cm="1">
        <f t="array" aca="1" ref="R965" ca="1">IFERROR(INDIRECT("$P"&amp;Q965),"")</f>
        <v/>
      </c>
      <c r="U965" t="e" cm="1">
        <f t="array" ref="U965">INDEX($C$2:$D$40,MOD(ROW()-ROW($C$2),ROWS($C$2:$D$40))+1,INT((ROW()-ROW($C$2))/ROWS($C$2:$D$40))+1)</f>
        <v>#REF!</v>
      </c>
      <c r="V965" t="e">
        <f t="shared" ca="1" si="110"/>
        <v>#N/A</v>
      </c>
      <c r="W965" t="str" cm="1">
        <f t="array" aca="1" ref="W965" ca="1">IFERROR(INDIRECT("$U"&amp;V965),"")</f>
        <v/>
      </c>
      <c r="Z965" t="e" cm="1">
        <f t="array" ref="Z965">INDEX($AE$2:$AS$40,MOD(ROW()-ROW($AE$2),ROWS($AE$2:$AS$40))+1,INT((ROW()-ROW($AE$2))/ROWS($AE$2:$AS$40))+1)</f>
        <v>#REF!</v>
      </c>
      <c r="AA965" t="e">
        <f t="shared" ca="1" si="111"/>
        <v>#N/A</v>
      </c>
      <c r="AB965" t="str" cm="1">
        <f t="array" aca="1" ref="AB965" ca="1">IFERROR(INDIRECT("$Z"&amp;AA965),"")</f>
        <v/>
      </c>
      <c r="AP965" t="str">
        <f t="shared" si="105"/>
        <v/>
      </c>
      <c r="AQ965" t="str">
        <f t="shared" si="106"/>
        <v/>
      </c>
      <c r="AR965" t="str">
        <f t="shared" si="107"/>
        <v/>
      </c>
      <c r="AS965" t="str">
        <f t="shared" si="108"/>
        <v/>
      </c>
    </row>
    <row r="966" spans="5:45" x14ac:dyDescent="0.25">
      <c r="E966" t="str">
        <f ca="1"/>
        <v/>
      </c>
      <c r="F966" t="str">
        <f ca="1"/>
        <v/>
      </c>
      <c r="P966" t="e" cm="1">
        <f t="array" ref="P966">INDEX($B$2:$D$40,MOD(ROW()-ROW($B$2),ROWS($B$2:$D$40))+1,INT((ROW()-ROW($B$2))/ROWS($B$2:$D$40))+1)</f>
        <v>#REF!</v>
      </c>
      <c r="Q966" t="e">
        <f t="shared" ca="1" si="109"/>
        <v>#N/A</v>
      </c>
      <c r="R966" t="str" cm="1">
        <f t="array" aca="1" ref="R966" ca="1">IFERROR(INDIRECT("$P"&amp;Q966),"")</f>
        <v/>
      </c>
      <c r="U966" t="e" cm="1">
        <f t="array" ref="U966">INDEX($C$2:$D$40,MOD(ROW()-ROW($C$2),ROWS($C$2:$D$40))+1,INT((ROW()-ROW($C$2))/ROWS($C$2:$D$40))+1)</f>
        <v>#REF!</v>
      </c>
      <c r="V966" t="e">
        <f t="shared" ca="1" si="110"/>
        <v>#N/A</v>
      </c>
      <c r="W966" t="str" cm="1">
        <f t="array" aca="1" ref="W966" ca="1">IFERROR(INDIRECT("$U"&amp;V966),"")</f>
        <v/>
      </c>
      <c r="Z966" t="e" cm="1">
        <f t="array" ref="Z966">INDEX($AE$2:$AS$40,MOD(ROW()-ROW($AE$2),ROWS($AE$2:$AS$40))+1,INT((ROW()-ROW($AE$2))/ROWS($AE$2:$AS$40))+1)</f>
        <v>#REF!</v>
      </c>
      <c r="AA966" t="e">
        <f t="shared" ca="1" si="111"/>
        <v>#N/A</v>
      </c>
      <c r="AB966" t="str" cm="1">
        <f t="array" aca="1" ref="AB966" ca="1">IFERROR(INDIRECT("$Z"&amp;AA966),"")</f>
        <v/>
      </c>
      <c r="AP966" t="str">
        <f t="shared" si="105"/>
        <v/>
      </c>
      <c r="AQ966" t="str">
        <f t="shared" si="106"/>
        <v/>
      </c>
      <c r="AR966" t="str">
        <f t="shared" si="107"/>
        <v/>
      </c>
      <c r="AS966" t="str">
        <f t="shared" si="108"/>
        <v/>
      </c>
    </row>
    <row r="967" spans="5:45" x14ac:dyDescent="0.25">
      <c r="E967" t="str">
        <f ca="1"/>
        <v/>
      </c>
      <c r="F967" t="str">
        <f ca="1"/>
        <v/>
      </c>
      <c r="P967" t="e" cm="1">
        <f t="array" ref="P967">INDEX($B$2:$D$40,MOD(ROW()-ROW($B$2),ROWS($B$2:$D$40))+1,INT((ROW()-ROW($B$2))/ROWS($B$2:$D$40))+1)</f>
        <v>#REF!</v>
      </c>
      <c r="Q967" t="e">
        <f t="shared" ca="1" si="109"/>
        <v>#N/A</v>
      </c>
      <c r="R967" t="str" cm="1">
        <f t="array" aca="1" ref="R967" ca="1">IFERROR(INDIRECT("$P"&amp;Q967),"")</f>
        <v/>
      </c>
      <c r="U967" t="e" cm="1">
        <f t="array" ref="U967">INDEX($C$2:$D$40,MOD(ROW()-ROW($C$2),ROWS($C$2:$D$40))+1,INT((ROW()-ROW($C$2))/ROWS($C$2:$D$40))+1)</f>
        <v>#REF!</v>
      </c>
      <c r="V967" t="e">
        <f t="shared" ca="1" si="110"/>
        <v>#N/A</v>
      </c>
      <c r="W967" t="str" cm="1">
        <f t="array" aca="1" ref="W967" ca="1">IFERROR(INDIRECT("$U"&amp;V967),"")</f>
        <v/>
      </c>
      <c r="Z967" t="e" cm="1">
        <f t="array" ref="Z967">INDEX($AE$2:$AS$40,MOD(ROW()-ROW($AE$2),ROWS($AE$2:$AS$40))+1,INT((ROW()-ROW($AE$2))/ROWS($AE$2:$AS$40))+1)</f>
        <v>#REF!</v>
      </c>
      <c r="AA967" t="e">
        <f t="shared" ca="1" si="111"/>
        <v>#N/A</v>
      </c>
      <c r="AB967" t="str" cm="1">
        <f t="array" aca="1" ref="AB967" ca="1">IFERROR(INDIRECT("$Z"&amp;AA967),"")</f>
        <v/>
      </c>
      <c r="AP967" t="str">
        <f t="shared" si="105"/>
        <v/>
      </c>
      <c r="AQ967" t="str">
        <f t="shared" si="106"/>
        <v/>
      </c>
      <c r="AR967" t="str">
        <f t="shared" si="107"/>
        <v/>
      </c>
      <c r="AS967" t="str">
        <f t="shared" si="108"/>
        <v/>
      </c>
    </row>
    <row r="968" spans="5:45" x14ac:dyDescent="0.25">
      <c r="E968" t="str">
        <f ca="1"/>
        <v/>
      </c>
      <c r="F968" t="str">
        <f ca="1"/>
        <v/>
      </c>
      <c r="P968" t="e" cm="1">
        <f t="array" ref="P968">INDEX($B$2:$D$40,MOD(ROW()-ROW($B$2),ROWS($B$2:$D$40))+1,INT((ROW()-ROW($B$2))/ROWS($B$2:$D$40))+1)</f>
        <v>#REF!</v>
      </c>
      <c r="Q968" t="e">
        <f t="shared" ca="1" si="109"/>
        <v>#N/A</v>
      </c>
      <c r="R968" t="str" cm="1">
        <f t="array" aca="1" ref="R968" ca="1">IFERROR(INDIRECT("$P"&amp;Q968),"")</f>
        <v/>
      </c>
      <c r="U968" t="e" cm="1">
        <f t="array" ref="U968">INDEX($C$2:$D$40,MOD(ROW()-ROW($C$2),ROWS($C$2:$D$40))+1,INT((ROW()-ROW($C$2))/ROWS($C$2:$D$40))+1)</f>
        <v>#REF!</v>
      </c>
      <c r="V968" t="e">
        <f t="shared" ca="1" si="110"/>
        <v>#N/A</v>
      </c>
      <c r="W968" t="str" cm="1">
        <f t="array" aca="1" ref="W968" ca="1">IFERROR(INDIRECT("$U"&amp;V968),"")</f>
        <v/>
      </c>
      <c r="Z968" t="e" cm="1">
        <f t="array" ref="Z968">INDEX($AE$2:$AS$40,MOD(ROW()-ROW($AE$2),ROWS($AE$2:$AS$40))+1,INT((ROW()-ROW($AE$2))/ROWS($AE$2:$AS$40))+1)</f>
        <v>#REF!</v>
      </c>
      <c r="AA968" t="e">
        <f t="shared" ca="1" si="111"/>
        <v>#N/A</v>
      </c>
      <c r="AB968" t="str" cm="1">
        <f t="array" aca="1" ref="AB968" ca="1">IFERROR(INDIRECT("$Z"&amp;AA968),"")</f>
        <v/>
      </c>
      <c r="AP968" t="str">
        <f t="shared" si="105"/>
        <v/>
      </c>
      <c r="AQ968" t="str">
        <f t="shared" si="106"/>
        <v/>
      </c>
      <c r="AR968" t="str">
        <f t="shared" si="107"/>
        <v/>
      </c>
      <c r="AS968" t="str">
        <f t="shared" si="108"/>
        <v/>
      </c>
    </row>
    <row r="969" spans="5:45" x14ac:dyDescent="0.25">
      <c r="E969" t="str">
        <f ca="1"/>
        <v/>
      </c>
      <c r="F969" t="str">
        <f ca="1"/>
        <v/>
      </c>
      <c r="P969" t="e" cm="1">
        <f t="array" ref="P969">INDEX($B$2:$D$40,MOD(ROW()-ROW($B$2),ROWS($B$2:$D$40))+1,INT((ROW()-ROW($B$2))/ROWS($B$2:$D$40))+1)</f>
        <v>#REF!</v>
      </c>
      <c r="Q969" t="e">
        <f t="shared" ca="1" si="109"/>
        <v>#N/A</v>
      </c>
      <c r="R969" t="str" cm="1">
        <f t="array" aca="1" ref="R969" ca="1">IFERROR(INDIRECT("$P"&amp;Q969),"")</f>
        <v/>
      </c>
      <c r="U969" t="e" cm="1">
        <f t="array" ref="U969">INDEX($C$2:$D$40,MOD(ROW()-ROW($C$2),ROWS($C$2:$D$40))+1,INT((ROW()-ROW($C$2))/ROWS($C$2:$D$40))+1)</f>
        <v>#REF!</v>
      </c>
      <c r="V969" t="e">
        <f t="shared" ca="1" si="110"/>
        <v>#N/A</v>
      </c>
      <c r="W969" t="str" cm="1">
        <f t="array" aca="1" ref="W969" ca="1">IFERROR(INDIRECT("$U"&amp;V969),"")</f>
        <v/>
      </c>
      <c r="Z969" t="e" cm="1">
        <f t="array" ref="Z969">INDEX($AE$2:$AS$40,MOD(ROW()-ROW($AE$2),ROWS($AE$2:$AS$40))+1,INT((ROW()-ROW($AE$2))/ROWS($AE$2:$AS$40))+1)</f>
        <v>#REF!</v>
      </c>
      <c r="AA969" t="e">
        <f t="shared" ca="1" si="111"/>
        <v>#N/A</v>
      </c>
      <c r="AB969" t="str" cm="1">
        <f t="array" aca="1" ref="AB969" ca="1">IFERROR(INDIRECT("$Z"&amp;AA969),"")</f>
        <v/>
      </c>
      <c r="AP969" t="str">
        <f t="shared" si="105"/>
        <v/>
      </c>
      <c r="AQ969" t="str">
        <f t="shared" si="106"/>
        <v/>
      </c>
      <c r="AR969" t="str">
        <f t="shared" si="107"/>
        <v/>
      </c>
      <c r="AS969" t="str">
        <f t="shared" si="108"/>
        <v/>
      </c>
    </row>
    <row r="970" spans="5:45" x14ac:dyDescent="0.25">
      <c r="E970" t="str">
        <f ca="1"/>
        <v/>
      </c>
      <c r="F970" t="str">
        <f ca="1"/>
        <v/>
      </c>
      <c r="P970" t="e" cm="1">
        <f t="array" ref="P970">INDEX($B$2:$D$40,MOD(ROW()-ROW($B$2),ROWS($B$2:$D$40))+1,INT((ROW()-ROW($B$2))/ROWS($B$2:$D$40))+1)</f>
        <v>#REF!</v>
      </c>
      <c r="Q970" t="e">
        <f t="shared" ca="1" si="109"/>
        <v>#N/A</v>
      </c>
      <c r="R970" t="str" cm="1">
        <f t="array" aca="1" ref="R970" ca="1">IFERROR(INDIRECT("$P"&amp;Q970),"")</f>
        <v/>
      </c>
      <c r="U970" t="e" cm="1">
        <f t="array" ref="U970">INDEX($C$2:$D$40,MOD(ROW()-ROW($C$2),ROWS($C$2:$D$40))+1,INT((ROW()-ROW($C$2))/ROWS($C$2:$D$40))+1)</f>
        <v>#REF!</v>
      </c>
      <c r="V970" t="e">
        <f t="shared" ca="1" si="110"/>
        <v>#N/A</v>
      </c>
      <c r="W970" t="str" cm="1">
        <f t="array" aca="1" ref="W970" ca="1">IFERROR(INDIRECT("$U"&amp;V970),"")</f>
        <v/>
      </c>
      <c r="Z970" t="e" cm="1">
        <f t="array" ref="Z970">INDEX($AE$2:$AS$40,MOD(ROW()-ROW($AE$2),ROWS($AE$2:$AS$40))+1,INT((ROW()-ROW($AE$2))/ROWS($AE$2:$AS$40))+1)</f>
        <v>#REF!</v>
      </c>
      <c r="AA970" t="e">
        <f t="shared" ca="1" si="111"/>
        <v>#N/A</v>
      </c>
      <c r="AB970" t="str" cm="1">
        <f t="array" aca="1" ref="AB970" ca="1">IFERROR(INDIRECT("$Z"&amp;AA970),"")</f>
        <v/>
      </c>
      <c r="AP970" t="str">
        <f t="shared" si="105"/>
        <v/>
      </c>
      <c r="AQ970" t="str">
        <f t="shared" si="106"/>
        <v/>
      </c>
      <c r="AR970" t="str">
        <f t="shared" si="107"/>
        <v/>
      </c>
      <c r="AS970" t="str">
        <f t="shared" si="108"/>
        <v/>
      </c>
    </row>
    <row r="971" spans="5:45" x14ac:dyDescent="0.25">
      <c r="E971" t="str">
        <f ca="1"/>
        <v/>
      </c>
      <c r="F971" t="str">
        <f ca="1"/>
        <v/>
      </c>
      <c r="P971" t="e" cm="1">
        <f t="array" ref="P971">INDEX($B$2:$D$40,MOD(ROW()-ROW($B$2),ROWS($B$2:$D$40))+1,INT((ROW()-ROW($B$2))/ROWS($B$2:$D$40))+1)</f>
        <v>#REF!</v>
      </c>
      <c r="Q971" t="e">
        <f t="shared" ca="1" si="109"/>
        <v>#N/A</v>
      </c>
      <c r="R971" t="str" cm="1">
        <f t="array" aca="1" ref="R971" ca="1">IFERROR(INDIRECT("$P"&amp;Q971),"")</f>
        <v/>
      </c>
      <c r="U971" t="e" cm="1">
        <f t="array" ref="U971">INDEX($C$2:$D$40,MOD(ROW()-ROW($C$2),ROWS($C$2:$D$40))+1,INT((ROW()-ROW($C$2))/ROWS($C$2:$D$40))+1)</f>
        <v>#REF!</v>
      </c>
      <c r="V971" t="e">
        <f t="shared" ca="1" si="110"/>
        <v>#N/A</v>
      </c>
      <c r="W971" t="str" cm="1">
        <f t="array" aca="1" ref="W971" ca="1">IFERROR(INDIRECT("$U"&amp;V971),"")</f>
        <v/>
      </c>
      <c r="Z971" t="e" cm="1">
        <f t="array" ref="Z971">INDEX($AE$2:$AS$40,MOD(ROW()-ROW($AE$2),ROWS($AE$2:$AS$40))+1,INT((ROW()-ROW($AE$2))/ROWS($AE$2:$AS$40))+1)</f>
        <v>#REF!</v>
      </c>
      <c r="AA971" t="e">
        <f t="shared" ca="1" si="111"/>
        <v>#N/A</v>
      </c>
      <c r="AB971" t="str" cm="1">
        <f t="array" aca="1" ref="AB971" ca="1">IFERROR(INDIRECT("$Z"&amp;AA971),"")</f>
        <v/>
      </c>
      <c r="AP971" t="str">
        <f t="shared" si="105"/>
        <v/>
      </c>
      <c r="AQ971" t="str">
        <f t="shared" si="106"/>
        <v/>
      </c>
      <c r="AR971" t="str">
        <f t="shared" si="107"/>
        <v/>
      </c>
      <c r="AS971" t="str">
        <f t="shared" si="108"/>
        <v/>
      </c>
    </row>
    <row r="972" spans="5:45" x14ac:dyDescent="0.25">
      <c r="E972" t="str">
        <f ca="1"/>
        <v/>
      </c>
      <c r="F972" t="str">
        <f ca="1"/>
        <v/>
      </c>
      <c r="P972" t="e" cm="1">
        <f t="array" ref="P972">INDEX($B$2:$D$40,MOD(ROW()-ROW($B$2),ROWS($B$2:$D$40))+1,INT((ROW()-ROW($B$2))/ROWS($B$2:$D$40))+1)</f>
        <v>#REF!</v>
      </c>
      <c r="Q972" t="e">
        <f t="shared" ca="1" si="109"/>
        <v>#N/A</v>
      </c>
      <c r="R972" t="str" cm="1">
        <f t="array" aca="1" ref="R972" ca="1">IFERROR(INDIRECT("$P"&amp;Q972),"")</f>
        <v/>
      </c>
      <c r="U972" t="e" cm="1">
        <f t="array" ref="U972">INDEX($C$2:$D$40,MOD(ROW()-ROW($C$2),ROWS($C$2:$D$40))+1,INT((ROW()-ROW($C$2))/ROWS($C$2:$D$40))+1)</f>
        <v>#REF!</v>
      </c>
      <c r="V972" t="e">
        <f t="shared" ca="1" si="110"/>
        <v>#N/A</v>
      </c>
      <c r="W972" t="str" cm="1">
        <f t="array" aca="1" ref="W972" ca="1">IFERROR(INDIRECT("$U"&amp;V972),"")</f>
        <v/>
      </c>
      <c r="Z972" t="e" cm="1">
        <f t="array" ref="Z972">INDEX($AE$2:$AS$40,MOD(ROW()-ROW($AE$2),ROWS($AE$2:$AS$40))+1,INT((ROW()-ROW($AE$2))/ROWS($AE$2:$AS$40))+1)</f>
        <v>#REF!</v>
      </c>
      <c r="AA972" t="e">
        <f t="shared" ca="1" si="111"/>
        <v>#N/A</v>
      </c>
      <c r="AB972" t="str" cm="1">
        <f t="array" aca="1" ref="AB972" ca="1">IFERROR(INDIRECT("$Z"&amp;AA972),"")</f>
        <v/>
      </c>
      <c r="AP972" t="str">
        <f t="shared" si="105"/>
        <v/>
      </c>
      <c r="AQ972" t="str">
        <f t="shared" si="106"/>
        <v/>
      </c>
      <c r="AR972" t="str">
        <f t="shared" si="107"/>
        <v/>
      </c>
      <c r="AS972" t="str">
        <f t="shared" si="108"/>
        <v/>
      </c>
    </row>
    <row r="973" spans="5:45" x14ac:dyDescent="0.25">
      <c r="E973" t="str">
        <f ca="1"/>
        <v/>
      </c>
      <c r="F973" t="str">
        <f ca="1"/>
        <v/>
      </c>
      <c r="P973" t="e" cm="1">
        <f t="array" ref="P973">INDEX($B$2:$D$40,MOD(ROW()-ROW($B$2),ROWS($B$2:$D$40))+1,INT((ROW()-ROW($B$2))/ROWS($B$2:$D$40))+1)</f>
        <v>#REF!</v>
      </c>
      <c r="Q973" t="e">
        <f t="shared" ca="1" si="109"/>
        <v>#N/A</v>
      </c>
      <c r="R973" t="str" cm="1">
        <f t="array" aca="1" ref="R973" ca="1">IFERROR(INDIRECT("$P"&amp;Q973),"")</f>
        <v/>
      </c>
      <c r="U973" t="e" cm="1">
        <f t="array" ref="U973">INDEX($C$2:$D$40,MOD(ROW()-ROW($C$2),ROWS($C$2:$D$40))+1,INT((ROW()-ROW($C$2))/ROWS($C$2:$D$40))+1)</f>
        <v>#REF!</v>
      </c>
      <c r="V973" t="e">
        <f t="shared" ca="1" si="110"/>
        <v>#N/A</v>
      </c>
      <c r="W973" t="str" cm="1">
        <f t="array" aca="1" ref="W973" ca="1">IFERROR(INDIRECT("$U"&amp;V973),"")</f>
        <v/>
      </c>
      <c r="Z973" t="e" cm="1">
        <f t="array" ref="Z973">INDEX($AE$2:$AS$40,MOD(ROW()-ROW($AE$2),ROWS($AE$2:$AS$40))+1,INT((ROW()-ROW($AE$2))/ROWS($AE$2:$AS$40))+1)</f>
        <v>#REF!</v>
      </c>
      <c r="AA973" t="e">
        <f t="shared" ca="1" si="111"/>
        <v>#N/A</v>
      </c>
      <c r="AB973" t="str" cm="1">
        <f t="array" aca="1" ref="AB973" ca="1">IFERROR(INDIRECT("$Z"&amp;AA973),"")</f>
        <v/>
      </c>
      <c r="AP973" t="str">
        <f t="shared" si="105"/>
        <v/>
      </c>
      <c r="AQ973" t="str">
        <f t="shared" si="106"/>
        <v/>
      </c>
      <c r="AR973" t="str">
        <f t="shared" si="107"/>
        <v/>
      </c>
      <c r="AS973" t="str">
        <f t="shared" si="108"/>
        <v/>
      </c>
    </row>
    <row r="974" spans="5:45" x14ac:dyDescent="0.25">
      <c r="E974" t="str">
        <f ca="1"/>
        <v/>
      </c>
      <c r="F974" t="str">
        <f ca="1"/>
        <v/>
      </c>
      <c r="P974" t="e" cm="1">
        <f t="array" ref="P974">INDEX($B$2:$D$40,MOD(ROW()-ROW($B$2),ROWS($B$2:$D$40))+1,INT((ROW()-ROW($B$2))/ROWS($B$2:$D$40))+1)</f>
        <v>#REF!</v>
      </c>
      <c r="Q974" t="e">
        <f t="shared" ca="1" si="109"/>
        <v>#N/A</v>
      </c>
      <c r="R974" t="str" cm="1">
        <f t="array" aca="1" ref="R974" ca="1">IFERROR(INDIRECT("$P"&amp;Q974),"")</f>
        <v/>
      </c>
      <c r="U974" t="e" cm="1">
        <f t="array" ref="U974">INDEX($C$2:$D$40,MOD(ROW()-ROW($C$2),ROWS($C$2:$D$40))+1,INT((ROW()-ROW($C$2))/ROWS($C$2:$D$40))+1)</f>
        <v>#REF!</v>
      </c>
      <c r="V974" t="e">
        <f t="shared" ca="1" si="110"/>
        <v>#N/A</v>
      </c>
      <c r="W974" t="str" cm="1">
        <f t="array" aca="1" ref="W974" ca="1">IFERROR(INDIRECT("$U"&amp;V974),"")</f>
        <v/>
      </c>
      <c r="Z974" t="e" cm="1">
        <f t="array" ref="Z974">INDEX($AE$2:$AS$40,MOD(ROW()-ROW($AE$2),ROWS($AE$2:$AS$40))+1,INT((ROW()-ROW($AE$2))/ROWS($AE$2:$AS$40))+1)</f>
        <v>#REF!</v>
      </c>
      <c r="AA974" t="e">
        <f t="shared" ca="1" si="111"/>
        <v>#N/A</v>
      </c>
      <c r="AB974" t="str" cm="1">
        <f t="array" aca="1" ref="AB974" ca="1">IFERROR(INDIRECT("$Z"&amp;AA974),"")</f>
        <v/>
      </c>
      <c r="AP974" t="str">
        <f t="shared" si="105"/>
        <v/>
      </c>
      <c r="AQ974" t="str">
        <f t="shared" si="106"/>
        <v/>
      </c>
      <c r="AR974" t="str">
        <f t="shared" si="107"/>
        <v/>
      </c>
      <c r="AS974" t="str">
        <f t="shared" si="108"/>
        <v/>
      </c>
    </row>
    <row r="975" spans="5:45" x14ac:dyDescent="0.25">
      <c r="E975" t="str">
        <f ca="1"/>
        <v/>
      </c>
      <c r="F975" t="str">
        <f ca="1"/>
        <v/>
      </c>
      <c r="P975" t="e" cm="1">
        <f t="array" ref="P975">INDEX($B$2:$D$40,MOD(ROW()-ROW($B$2),ROWS($B$2:$D$40))+1,INT((ROW()-ROW($B$2))/ROWS($B$2:$D$40))+1)</f>
        <v>#REF!</v>
      </c>
      <c r="Q975" t="e">
        <f t="shared" ca="1" si="109"/>
        <v>#N/A</v>
      </c>
      <c r="R975" t="str" cm="1">
        <f t="array" aca="1" ref="R975" ca="1">IFERROR(INDIRECT("$P"&amp;Q975),"")</f>
        <v/>
      </c>
      <c r="U975" t="e" cm="1">
        <f t="array" ref="U975">INDEX($C$2:$D$40,MOD(ROW()-ROW($C$2),ROWS($C$2:$D$40))+1,INT((ROW()-ROW($C$2))/ROWS($C$2:$D$40))+1)</f>
        <v>#REF!</v>
      </c>
      <c r="V975" t="e">
        <f t="shared" ca="1" si="110"/>
        <v>#N/A</v>
      </c>
      <c r="W975" t="str" cm="1">
        <f t="array" aca="1" ref="W975" ca="1">IFERROR(INDIRECT("$U"&amp;V975),"")</f>
        <v/>
      </c>
      <c r="Z975" t="e" cm="1">
        <f t="array" ref="Z975">INDEX($AE$2:$AS$40,MOD(ROW()-ROW($AE$2),ROWS($AE$2:$AS$40))+1,INT((ROW()-ROW($AE$2))/ROWS($AE$2:$AS$40))+1)</f>
        <v>#REF!</v>
      </c>
      <c r="AA975" t="e">
        <f t="shared" ca="1" si="111"/>
        <v>#N/A</v>
      </c>
      <c r="AB975" t="str" cm="1">
        <f t="array" aca="1" ref="AB975" ca="1">IFERROR(INDIRECT("$Z"&amp;AA975),"")</f>
        <v/>
      </c>
      <c r="AP975" t="str">
        <f t="shared" si="105"/>
        <v/>
      </c>
      <c r="AQ975" t="str">
        <f t="shared" si="106"/>
        <v/>
      </c>
      <c r="AR975" t="str">
        <f t="shared" si="107"/>
        <v/>
      </c>
      <c r="AS975" t="str">
        <f t="shared" si="108"/>
        <v/>
      </c>
    </row>
    <row r="976" spans="5:45" x14ac:dyDescent="0.25">
      <c r="E976" t="str">
        <f ca="1"/>
        <v/>
      </c>
      <c r="F976" t="str">
        <f ca="1"/>
        <v/>
      </c>
      <c r="P976" t="e" cm="1">
        <f t="array" ref="P976">INDEX($B$2:$D$40,MOD(ROW()-ROW($B$2),ROWS($B$2:$D$40))+1,INT((ROW()-ROW($B$2))/ROWS($B$2:$D$40))+1)</f>
        <v>#REF!</v>
      </c>
      <c r="Q976" t="e">
        <f t="shared" ca="1" si="109"/>
        <v>#N/A</v>
      </c>
      <c r="R976" t="str" cm="1">
        <f t="array" aca="1" ref="R976" ca="1">IFERROR(INDIRECT("$P"&amp;Q976),"")</f>
        <v/>
      </c>
      <c r="U976" t="e" cm="1">
        <f t="array" ref="U976">INDEX($C$2:$D$40,MOD(ROW()-ROW($C$2),ROWS($C$2:$D$40))+1,INT((ROW()-ROW($C$2))/ROWS($C$2:$D$40))+1)</f>
        <v>#REF!</v>
      </c>
      <c r="V976" t="e">
        <f t="shared" ca="1" si="110"/>
        <v>#N/A</v>
      </c>
      <c r="W976" t="str" cm="1">
        <f t="array" aca="1" ref="W976" ca="1">IFERROR(INDIRECT("$U"&amp;V976),"")</f>
        <v/>
      </c>
      <c r="Z976" t="e" cm="1">
        <f t="array" ref="Z976">INDEX($AE$2:$AS$40,MOD(ROW()-ROW($AE$2),ROWS($AE$2:$AS$40))+1,INT((ROW()-ROW($AE$2))/ROWS($AE$2:$AS$40))+1)</f>
        <v>#REF!</v>
      </c>
      <c r="AA976" t="e">
        <f t="shared" ca="1" si="111"/>
        <v>#N/A</v>
      </c>
      <c r="AB976" t="str" cm="1">
        <f t="array" aca="1" ref="AB976" ca="1">IFERROR(INDIRECT("$Z"&amp;AA976),"")</f>
        <v/>
      </c>
      <c r="AP976" t="str">
        <f t="shared" si="105"/>
        <v/>
      </c>
      <c r="AQ976" t="str">
        <f t="shared" si="106"/>
        <v/>
      </c>
      <c r="AR976" t="str">
        <f t="shared" si="107"/>
        <v/>
      </c>
      <c r="AS976" t="str">
        <f t="shared" si="108"/>
        <v/>
      </c>
    </row>
    <row r="977" spans="5:45" x14ac:dyDescent="0.25">
      <c r="E977" t="str">
        <f ca="1"/>
        <v/>
      </c>
      <c r="F977" t="str">
        <f ca="1"/>
        <v/>
      </c>
      <c r="P977" t="e" cm="1">
        <f t="array" ref="P977">INDEX($B$2:$D$40,MOD(ROW()-ROW($B$2),ROWS($B$2:$D$40))+1,INT((ROW()-ROW($B$2))/ROWS($B$2:$D$40))+1)</f>
        <v>#REF!</v>
      </c>
      <c r="Q977" t="e">
        <f t="shared" ca="1" si="109"/>
        <v>#N/A</v>
      </c>
      <c r="R977" t="str" cm="1">
        <f t="array" aca="1" ref="R977" ca="1">IFERROR(INDIRECT("$P"&amp;Q977),"")</f>
        <v/>
      </c>
      <c r="U977" t="e" cm="1">
        <f t="array" ref="U977">INDEX($C$2:$D$40,MOD(ROW()-ROW($C$2),ROWS($C$2:$D$40))+1,INT((ROW()-ROW($C$2))/ROWS($C$2:$D$40))+1)</f>
        <v>#REF!</v>
      </c>
      <c r="V977" t="e">
        <f t="shared" ca="1" si="110"/>
        <v>#N/A</v>
      </c>
      <c r="W977" t="str" cm="1">
        <f t="array" aca="1" ref="W977" ca="1">IFERROR(INDIRECT("$U"&amp;V977),"")</f>
        <v/>
      </c>
      <c r="Z977" t="e" cm="1">
        <f t="array" ref="Z977">INDEX($AE$2:$AS$40,MOD(ROW()-ROW($AE$2),ROWS($AE$2:$AS$40))+1,INT((ROW()-ROW($AE$2))/ROWS($AE$2:$AS$40))+1)</f>
        <v>#REF!</v>
      </c>
      <c r="AA977" t="e">
        <f t="shared" ca="1" si="111"/>
        <v>#N/A</v>
      </c>
      <c r="AB977" t="str" cm="1">
        <f t="array" aca="1" ref="AB977" ca="1">IFERROR(INDIRECT("$Z"&amp;AA977),"")</f>
        <v/>
      </c>
      <c r="AP977" t="str">
        <f t="shared" si="105"/>
        <v/>
      </c>
      <c r="AQ977" t="str">
        <f t="shared" si="106"/>
        <v/>
      </c>
      <c r="AR977" t="str">
        <f t="shared" si="107"/>
        <v/>
      </c>
      <c r="AS977" t="str">
        <f t="shared" si="108"/>
        <v/>
      </c>
    </row>
    <row r="978" spans="5:45" x14ac:dyDescent="0.25">
      <c r="E978" t="str">
        <f ca="1"/>
        <v/>
      </c>
      <c r="F978" t="str">
        <f ca="1"/>
        <v/>
      </c>
      <c r="P978" t="e" cm="1">
        <f t="array" ref="P978">INDEX($B$2:$D$40,MOD(ROW()-ROW($B$2),ROWS($B$2:$D$40))+1,INT((ROW()-ROW($B$2))/ROWS($B$2:$D$40))+1)</f>
        <v>#REF!</v>
      </c>
      <c r="Q978" t="e">
        <f t="shared" ca="1" si="109"/>
        <v>#N/A</v>
      </c>
      <c r="R978" t="str" cm="1">
        <f t="array" aca="1" ref="R978" ca="1">IFERROR(INDIRECT("$P"&amp;Q978),"")</f>
        <v/>
      </c>
      <c r="U978" t="e" cm="1">
        <f t="array" ref="U978">INDEX($C$2:$D$40,MOD(ROW()-ROW($C$2),ROWS($C$2:$D$40))+1,INT((ROW()-ROW($C$2))/ROWS($C$2:$D$40))+1)</f>
        <v>#REF!</v>
      </c>
      <c r="V978" t="e">
        <f t="shared" ca="1" si="110"/>
        <v>#N/A</v>
      </c>
      <c r="W978" t="str" cm="1">
        <f t="array" aca="1" ref="W978" ca="1">IFERROR(INDIRECT("$U"&amp;V978),"")</f>
        <v/>
      </c>
      <c r="Z978" t="e" cm="1">
        <f t="array" ref="Z978">INDEX($AE$2:$AS$40,MOD(ROW()-ROW($AE$2),ROWS($AE$2:$AS$40))+1,INT((ROW()-ROW($AE$2))/ROWS($AE$2:$AS$40))+1)</f>
        <v>#REF!</v>
      </c>
      <c r="AA978" t="e">
        <f t="shared" ca="1" si="111"/>
        <v>#N/A</v>
      </c>
      <c r="AB978" t="str" cm="1">
        <f t="array" aca="1" ref="AB978" ca="1">IFERROR(INDIRECT("$Z"&amp;AA978),"")</f>
        <v/>
      </c>
      <c r="AP978" t="str">
        <f t="shared" si="105"/>
        <v/>
      </c>
      <c r="AQ978" t="str">
        <f t="shared" si="106"/>
        <v/>
      </c>
      <c r="AR978" t="str">
        <f t="shared" si="107"/>
        <v/>
      </c>
      <c r="AS978" t="str">
        <f t="shared" si="108"/>
        <v/>
      </c>
    </row>
    <row r="979" spans="5:45" x14ac:dyDescent="0.25">
      <c r="E979" t="str">
        <f ca="1"/>
        <v/>
      </c>
      <c r="F979" t="str">
        <f ca="1"/>
        <v/>
      </c>
      <c r="P979" t="e" cm="1">
        <f t="array" ref="P979">INDEX($B$2:$D$40,MOD(ROW()-ROW($B$2),ROWS($B$2:$D$40))+1,INT((ROW()-ROW($B$2))/ROWS($B$2:$D$40))+1)</f>
        <v>#REF!</v>
      </c>
      <c r="Q979" t="e">
        <f t="shared" ca="1" si="109"/>
        <v>#N/A</v>
      </c>
      <c r="R979" t="str" cm="1">
        <f t="array" aca="1" ref="R979" ca="1">IFERROR(INDIRECT("$P"&amp;Q979),"")</f>
        <v/>
      </c>
      <c r="U979" t="e" cm="1">
        <f t="array" ref="U979">INDEX($C$2:$D$40,MOD(ROW()-ROW($C$2),ROWS($C$2:$D$40))+1,INT((ROW()-ROW($C$2))/ROWS($C$2:$D$40))+1)</f>
        <v>#REF!</v>
      </c>
      <c r="V979" t="e">
        <f t="shared" ca="1" si="110"/>
        <v>#N/A</v>
      </c>
      <c r="W979" t="str" cm="1">
        <f t="array" aca="1" ref="W979" ca="1">IFERROR(INDIRECT("$U"&amp;V979),"")</f>
        <v/>
      </c>
      <c r="Z979" t="e" cm="1">
        <f t="array" ref="Z979">INDEX($AE$2:$AS$40,MOD(ROW()-ROW($AE$2),ROWS($AE$2:$AS$40))+1,INT((ROW()-ROW($AE$2))/ROWS($AE$2:$AS$40))+1)</f>
        <v>#REF!</v>
      </c>
      <c r="AA979" t="e">
        <f t="shared" ca="1" si="111"/>
        <v>#N/A</v>
      </c>
      <c r="AB979" t="str" cm="1">
        <f t="array" aca="1" ref="AB979" ca="1">IFERROR(INDIRECT("$Z"&amp;AA979),"")</f>
        <v/>
      </c>
      <c r="AP979" t="str">
        <f t="shared" si="105"/>
        <v/>
      </c>
      <c r="AQ979" t="str">
        <f t="shared" si="106"/>
        <v/>
      </c>
      <c r="AR979" t="str">
        <f t="shared" si="107"/>
        <v/>
      </c>
      <c r="AS979" t="str">
        <f t="shared" si="108"/>
        <v/>
      </c>
    </row>
    <row r="980" spans="5:45" x14ac:dyDescent="0.25">
      <c r="E980" t="str">
        <f ca="1"/>
        <v/>
      </c>
      <c r="F980" t="str">
        <f ca="1"/>
        <v/>
      </c>
      <c r="P980" t="e" cm="1">
        <f t="array" ref="P980">INDEX($B$2:$D$40,MOD(ROW()-ROW($B$2),ROWS($B$2:$D$40))+1,INT((ROW()-ROW($B$2))/ROWS($B$2:$D$40))+1)</f>
        <v>#REF!</v>
      </c>
      <c r="Q980" t="e">
        <f t="shared" ca="1" si="109"/>
        <v>#N/A</v>
      </c>
      <c r="R980" t="str" cm="1">
        <f t="array" aca="1" ref="R980" ca="1">IFERROR(INDIRECT("$P"&amp;Q980),"")</f>
        <v/>
      </c>
      <c r="U980" t="e" cm="1">
        <f t="array" ref="U980">INDEX($C$2:$D$40,MOD(ROW()-ROW($C$2),ROWS($C$2:$D$40))+1,INT((ROW()-ROW($C$2))/ROWS($C$2:$D$40))+1)</f>
        <v>#REF!</v>
      </c>
      <c r="V980" t="e">
        <f t="shared" ca="1" si="110"/>
        <v>#N/A</v>
      </c>
      <c r="W980" t="str" cm="1">
        <f t="array" aca="1" ref="W980" ca="1">IFERROR(INDIRECT("$U"&amp;V980),"")</f>
        <v/>
      </c>
      <c r="Z980" t="e" cm="1">
        <f t="array" ref="Z980">INDEX($AE$2:$AS$40,MOD(ROW()-ROW($AE$2),ROWS($AE$2:$AS$40))+1,INT((ROW()-ROW($AE$2))/ROWS($AE$2:$AS$40))+1)</f>
        <v>#REF!</v>
      </c>
      <c r="AA980" t="e">
        <f t="shared" ca="1" si="111"/>
        <v>#N/A</v>
      </c>
      <c r="AB980" t="str" cm="1">
        <f t="array" aca="1" ref="AB980" ca="1">IFERROR(INDIRECT("$Z"&amp;AA980),"")</f>
        <v/>
      </c>
      <c r="AP980" t="str">
        <f t="shared" si="105"/>
        <v/>
      </c>
      <c r="AQ980" t="str">
        <f t="shared" si="106"/>
        <v/>
      </c>
      <c r="AR980" t="str">
        <f t="shared" si="107"/>
        <v/>
      </c>
      <c r="AS980" t="str">
        <f t="shared" si="108"/>
        <v/>
      </c>
    </row>
    <row r="981" spans="5:45" x14ac:dyDescent="0.25">
      <c r="E981" t="str">
        <f ca="1"/>
        <v/>
      </c>
      <c r="F981" t="str">
        <f ca="1"/>
        <v/>
      </c>
      <c r="P981" t="e" cm="1">
        <f t="array" ref="P981">INDEX($B$2:$D$40,MOD(ROW()-ROW($B$2),ROWS($B$2:$D$40))+1,INT((ROW()-ROW($B$2))/ROWS($B$2:$D$40))+1)</f>
        <v>#REF!</v>
      </c>
      <c r="Q981" t="e">
        <f t="shared" ca="1" si="109"/>
        <v>#N/A</v>
      </c>
      <c r="R981" t="str" cm="1">
        <f t="array" aca="1" ref="R981" ca="1">IFERROR(INDIRECT("$P"&amp;Q981),"")</f>
        <v/>
      </c>
      <c r="U981" t="e" cm="1">
        <f t="array" ref="U981">INDEX($C$2:$D$40,MOD(ROW()-ROW($C$2),ROWS($C$2:$D$40))+1,INT((ROW()-ROW($C$2))/ROWS($C$2:$D$40))+1)</f>
        <v>#REF!</v>
      </c>
      <c r="V981" t="e">
        <f t="shared" ca="1" si="110"/>
        <v>#N/A</v>
      </c>
      <c r="W981" t="str" cm="1">
        <f t="array" aca="1" ref="W981" ca="1">IFERROR(INDIRECT("$U"&amp;V981),"")</f>
        <v/>
      </c>
      <c r="Z981" t="e" cm="1">
        <f t="array" ref="Z981">INDEX($AE$2:$AS$40,MOD(ROW()-ROW($AE$2),ROWS($AE$2:$AS$40))+1,INT((ROW()-ROW($AE$2))/ROWS($AE$2:$AS$40))+1)</f>
        <v>#REF!</v>
      </c>
      <c r="AA981" t="e">
        <f t="shared" ca="1" si="111"/>
        <v>#N/A</v>
      </c>
      <c r="AB981" t="str" cm="1">
        <f t="array" aca="1" ref="AB981" ca="1">IFERROR(INDIRECT("$Z"&amp;AA981),"")</f>
        <v/>
      </c>
      <c r="AP981" t="str">
        <f t="shared" si="105"/>
        <v/>
      </c>
      <c r="AQ981" t="str">
        <f t="shared" si="106"/>
        <v/>
      </c>
      <c r="AR981" t="str">
        <f t="shared" si="107"/>
        <v/>
      </c>
      <c r="AS981" t="str">
        <f t="shared" si="108"/>
        <v/>
      </c>
    </row>
    <row r="982" spans="5:45" x14ac:dyDescent="0.25">
      <c r="E982" t="str">
        <f ca="1"/>
        <v/>
      </c>
      <c r="F982" t="str">
        <f ca="1"/>
        <v/>
      </c>
      <c r="P982" t="e" cm="1">
        <f t="array" ref="P982">INDEX($B$2:$D$40,MOD(ROW()-ROW($B$2),ROWS($B$2:$D$40))+1,INT((ROW()-ROW($B$2))/ROWS($B$2:$D$40))+1)</f>
        <v>#REF!</v>
      </c>
      <c r="Q982" t="e">
        <f t="shared" ca="1" si="109"/>
        <v>#N/A</v>
      </c>
      <c r="R982" t="str" cm="1">
        <f t="array" aca="1" ref="R982" ca="1">IFERROR(INDIRECT("$P"&amp;Q982),"")</f>
        <v/>
      </c>
      <c r="U982" t="e" cm="1">
        <f t="array" ref="U982">INDEX($C$2:$D$40,MOD(ROW()-ROW($C$2),ROWS($C$2:$D$40))+1,INT((ROW()-ROW($C$2))/ROWS($C$2:$D$40))+1)</f>
        <v>#REF!</v>
      </c>
      <c r="V982" t="e">
        <f t="shared" ca="1" si="110"/>
        <v>#N/A</v>
      </c>
      <c r="W982" t="str" cm="1">
        <f t="array" aca="1" ref="W982" ca="1">IFERROR(INDIRECT("$U"&amp;V982),"")</f>
        <v/>
      </c>
      <c r="Z982" t="e" cm="1">
        <f t="array" ref="Z982">INDEX($AE$2:$AS$40,MOD(ROW()-ROW($AE$2),ROWS($AE$2:$AS$40))+1,INT((ROW()-ROW($AE$2))/ROWS($AE$2:$AS$40))+1)</f>
        <v>#REF!</v>
      </c>
      <c r="AA982" t="e">
        <f t="shared" ca="1" si="111"/>
        <v>#N/A</v>
      </c>
      <c r="AB982" t="str" cm="1">
        <f t="array" aca="1" ref="AB982" ca="1">IFERROR(INDIRECT("$Z"&amp;AA982),"")</f>
        <v/>
      </c>
      <c r="AP982" t="str">
        <f t="shared" si="105"/>
        <v/>
      </c>
      <c r="AQ982" t="str">
        <f t="shared" si="106"/>
        <v/>
      </c>
      <c r="AR982" t="str">
        <f t="shared" si="107"/>
        <v/>
      </c>
      <c r="AS982" t="str">
        <f t="shared" si="108"/>
        <v/>
      </c>
    </row>
    <row r="983" spans="5:45" x14ac:dyDescent="0.25">
      <c r="E983" t="str">
        <f ca="1"/>
        <v/>
      </c>
      <c r="F983" t="str">
        <f ca="1"/>
        <v/>
      </c>
      <c r="P983" t="e" cm="1">
        <f t="array" ref="P983">INDEX($B$2:$D$40,MOD(ROW()-ROW($B$2),ROWS($B$2:$D$40))+1,INT((ROW()-ROW($B$2))/ROWS($B$2:$D$40))+1)</f>
        <v>#REF!</v>
      </c>
      <c r="Q983" t="e">
        <f t="shared" ca="1" si="109"/>
        <v>#N/A</v>
      </c>
      <c r="R983" t="str" cm="1">
        <f t="array" aca="1" ref="R983" ca="1">IFERROR(INDIRECT("$P"&amp;Q983),"")</f>
        <v/>
      </c>
      <c r="U983" t="e" cm="1">
        <f t="array" ref="U983">INDEX($C$2:$D$40,MOD(ROW()-ROW($C$2),ROWS($C$2:$D$40))+1,INT((ROW()-ROW($C$2))/ROWS($C$2:$D$40))+1)</f>
        <v>#REF!</v>
      </c>
      <c r="V983" t="e">
        <f t="shared" ca="1" si="110"/>
        <v>#N/A</v>
      </c>
      <c r="W983" t="str" cm="1">
        <f t="array" aca="1" ref="W983" ca="1">IFERROR(INDIRECT("$U"&amp;V983),"")</f>
        <v/>
      </c>
      <c r="Z983" t="e" cm="1">
        <f t="array" ref="Z983">INDEX($AE$2:$AS$40,MOD(ROW()-ROW($AE$2),ROWS($AE$2:$AS$40))+1,INT((ROW()-ROW($AE$2))/ROWS($AE$2:$AS$40))+1)</f>
        <v>#REF!</v>
      </c>
      <c r="AA983" t="e">
        <f t="shared" ca="1" si="111"/>
        <v>#N/A</v>
      </c>
      <c r="AB983" t="str" cm="1">
        <f t="array" aca="1" ref="AB983" ca="1">IFERROR(INDIRECT("$Z"&amp;AA983),"")</f>
        <v/>
      </c>
      <c r="AP983" t="str">
        <f t="shared" si="105"/>
        <v/>
      </c>
      <c r="AQ983" t="str">
        <f t="shared" si="106"/>
        <v/>
      </c>
      <c r="AR983" t="str">
        <f t="shared" si="107"/>
        <v/>
      </c>
      <c r="AS983" t="str">
        <f t="shared" si="108"/>
        <v/>
      </c>
    </row>
    <row r="984" spans="5:45" x14ac:dyDescent="0.25">
      <c r="E984" t="str">
        <f ca="1"/>
        <v/>
      </c>
      <c r="F984" t="str">
        <f ca="1"/>
        <v/>
      </c>
      <c r="P984" t="e" cm="1">
        <f t="array" ref="P984">INDEX($B$2:$D$40,MOD(ROW()-ROW($B$2),ROWS($B$2:$D$40))+1,INT((ROW()-ROW($B$2))/ROWS($B$2:$D$40))+1)</f>
        <v>#REF!</v>
      </c>
      <c r="Q984" t="e">
        <f t="shared" ca="1" si="109"/>
        <v>#N/A</v>
      </c>
      <c r="R984" t="str" cm="1">
        <f t="array" aca="1" ref="R984" ca="1">IFERROR(INDIRECT("$P"&amp;Q984),"")</f>
        <v/>
      </c>
      <c r="U984" t="e" cm="1">
        <f t="array" ref="U984">INDEX($C$2:$D$40,MOD(ROW()-ROW($C$2),ROWS($C$2:$D$40))+1,INT((ROW()-ROW($C$2))/ROWS($C$2:$D$40))+1)</f>
        <v>#REF!</v>
      </c>
      <c r="V984" t="e">
        <f t="shared" ca="1" si="110"/>
        <v>#N/A</v>
      </c>
      <c r="W984" t="str" cm="1">
        <f t="array" aca="1" ref="W984" ca="1">IFERROR(INDIRECT("$U"&amp;V984),"")</f>
        <v/>
      </c>
      <c r="Z984" t="e" cm="1">
        <f t="array" ref="Z984">INDEX($AE$2:$AS$40,MOD(ROW()-ROW($AE$2),ROWS($AE$2:$AS$40))+1,INT((ROW()-ROW($AE$2))/ROWS($AE$2:$AS$40))+1)</f>
        <v>#REF!</v>
      </c>
      <c r="AA984" t="e">
        <f t="shared" ca="1" si="111"/>
        <v>#N/A</v>
      </c>
      <c r="AB984" t="str" cm="1">
        <f t="array" aca="1" ref="AB984" ca="1">IFERROR(INDIRECT("$Z"&amp;AA984),"")</f>
        <v/>
      </c>
      <c r="AP984" t="str">
        <f t="shared" si="105"/>
        <v/>
      </c>
      <c r="AQ984" t="str">
        <f t="shared" si="106"/>
        <v/>
      </c>
      <c r="AR984" t="str">
        <f t="shared" si="107"/>
        <v/>
      </c>
      <c r="AS984" t="str">
        <f t="shared" si="108"/>
        <v/>
      </c>
    </row>
    <row r="985" spans="5:45" x14ac:dyDescent="0.25">
      <c r="E985" t="str">
        <f ca="1"/>
        <v/>
      </c>
      <c r="F985" t="str">
        <f ca="1"/>
        <v/>
      </c>
      <c r="P985" t="e" cm="1">
        <f t="array" ref="P985">INDEX($B$2:$D$40,MOD(ROW()-ROW($B$2),ROWS($B$2:$D$40))+1,INT((ROW()-ROW($B$2))/ROWS($B$2:$D$40))+1)</f>
        <v>#REF!</v>
      </c>
      <c r="Q985" t="e">
        <f t="shared" ca="1" si="109"/>
        <v>#N/A</v>
      </c>
      <c r="R985" t="str" cm="1">
        <f t="array" aca="1" ref="R985" ca="1">IFERROR(INDIRECT("$P"&amp;Q985),"")</f>
        <v/>
      </c>
      <c r="U985" t="e" cm="1">
        <f t="array" ref="U985">INDEX($C$2:$D$40,MOD(ROW()-ROW($C$2),ROWS($C$2:$D$40))+1,INT((ROW()-ROW($C$2))/ROWS($C$2:$D$40))+1)</f>
        <v>#REF!</v>
      </c>
      <c r="V985" t="e">
        <f t="shared" ca="1" si="110"/>
        <v>#N/A</v>
      </c>
      <c r="W985" t="str" cm="1">
        <f t="array" aca="1" ref="W985" ca="1">IFERROR(INDIRECT("$U"&amp;V985),"")</f>
        <v/>
      </c>
      <c r="Z985" t="e" cm="1">
        <f t="array" ref="Z985">INDEX($AE$2:$AS$40,MOD(ROW()-ROW($AE$2),ROWS($AE$2:$AS$40))+1,INT((ROW()-ROW($AE$2))/ROWS($AE$2:$AS$40))+1)</f>
        <v>#REF!</v>
      </c>
      <c r="AA985" t="e">
        <f t="shared" ca="1" si="111"/>
        <v>#N/A</v>
      </c>
      <c r="AB985" t="str" cm="1">
        <f t="array" aca="1" ref="AB985" ca="1">IFERROR(INDIRECT("$Z"&amp;AA985),"")</f>
        <v/>
      </c>
      <c r="AP985" t="str">
        <f t="shared" si="105"/>
        <v/>
      </c>
      <c r="AQ985" t="str">
        <f t="shared" si="106"/>
        <v/>
      </c>
      <c r="AR985" t="str">
        <f t="shared" si="107"/>
        <v/>
      </c>
      <c r="AS985" t="str">
        <f t="shared" si="108"/>
        <v/>
      </c>
    </row>
    <row r="986" spans="5:45" x14ac:dyDescent="0.25">
      <c r="E986" t="str">
        <f ca="1"/>
        <v/>
      </c>
      <c r="F986" t="str">
        <f ca="1"/>
        <v/>
      </c>
      <c r="P986" t="e" cm="1">
        <f t="array" ref="P986">INDEX($B$2:$D$40,MOD(ROW()-ROW($B$2),ROWS($B$2:$D$40))+1,INT((ROW()-ROW($B$2))/ROWS($B$2:$D$40))+1)</f>
        <v>#REF!</v>
      </c>
      <c r="Q986" t="e">
        <f t="shared" ca="1" si="109"/>
        <v>#N/A</v>
      </c>
      <c r="R986" t="str" cm="1">
        <f t="array" aca="1" ref="R986" ca="1">IFERROR(INDIRECT("$P"&amp;Q986),"")</f>
        <v/>
      </c>
      <c r="U986" t="e" cm="1">
        <f t="array" ref="U986">INDEX($C$2:$D$40,MOD(ROW()-ROW($C$2),ROWS($C$2:$D$40))+1,INT((ROW()-ROW($C$2))/ROWS($C$2:$D$40))+1)</f>
        <v>#REF!</v>
      </c>
      <c r="V986" t="e">
        <f t="shared" ca="1" si="110"/>
        <v>#N/A</v>
      </c>
      <c r="W986" t="str" cm="1">
        <f t="array" aca="1" ref="W986" ca="1">IFERROR(INDIRECT("$U"&amp;V986),"")</f>
        <v/>
      </c>
      <c r="Z986" t="e" cm="1">
        <f t="array" ref="Z986">INDEX($AE$2:$AS$40,MOD(ROW()-ROW($AE$2),ROWS($AE$2:$AS$40))+1,INT((ROW()-ROW($AE$2))/ROWS($AE$2:$AS$40))+1)</f>
        <v>#REF!</v>
      </c>
      <c r="AA986" t="e">
        <f t="shared" ca="1" si="111"/>
        <v>#N/A</v>
      </c>
      <c r="AB986" t="str" cm="1">
        <f t="array" aca="1" ref="AB986" ca="1">IFERROR(INDIRECT("$Z"&amp;AA986),"")</f>
        <v/>
      </c>
      <c r="AP986" t="str">
        <f t="shared" si="105"/>
        <v/>
      </c>
      <c r="AQ986" t="str">
        <f t="shared" si="106"/>
        <v/>
      </c>
      <c r="AR986" t="str">
        <f t="shared" si="107"/>
        <v/>
      </c>
      <c r="AS986" t="str">
        <f t="shared" si="108"/>
        <v/>
      </c>
    </row>
    <row r="987" spans="5:45" x14ac:dyDescent="0.25">
      <c r="E987" t="str">
        <f ca="1"/>
        <v/>
      </c>
      <c r="F987" t="str">
        <f ca="1"/>
        <v/>
      </c>
      <c r="P987" t="e" cm="1">
        <f t="array" ref="P987">INDEX($B$2:$D$40,MOD(ROW()-ROW($B$2),ROWS($B$2:$D$40))+1,INT((ROW()-ROW($B$2))/ROWS($B$2:$D$40))+1)</f>
        <v>#REF!</v>
      </c>
      <c r="Q987" t="e">
        <f t="shared" ca="1" si="109"/>
        <v>#N/A</v>
      </c>
      <c r="R987" t="str" cm="1">
        <f t="array" aca="1" ref="R987" ca="1">IFERROR(INDIRECT("$P"&amp;Q987),"")</f>
        <v/>
      </c>
      <c r="U987" t="e" cm="1">
        <f t="array" ref="U987">INDEX($C$2:$D$40,MOD(ROW()-ROW($C$2),ROWS($C$2:$D$40))+1,INT((ROW()-ROW($C$2))/ROWS($C$2:$D$40))+1)</f>
        <v>#REF!</v>
      </c>
      <c r="V987" t="e">
        <f t="shared" ca="1" si="110"/>
        <v>#N/A</v>
      </c>
      <c r="W987" t="str" cm="1">
        <f t="array" aca="1" ref="W987" ca="1">IFERROR(INDIRECT("$U"&amp;V987),"")</f>
        <v/>
      </c>
      <c r="Z987" t="e" cm="1">
        <f t="array" ref="Z987">INDEX($AE$2:$AS$40,MOD(ROW()-ROW($AE$2),ROWS($AE$2:$AS$40))+1,INT((ROW()-ROW($AE$2))/ROWS($AE$2:$AS$40))+1)</f>
        <v>#REF!</v>
      </c>
      <c r="AA987" t="e">
        <f t="shared" ca="1" si="111"/>
        <v>#N/A</v>
      </c>
      <c r="AB987" t="str" cm="1">
        <f t="array" aca="1" ref="AB987" ca="1">IFERROR(INDIRECT("$Z"&amp;AA987),"")</f>
        <v/>
      </c>
      <c r="AP987" t="str">
        <f t="shared" si="105"/>
        <v/>
      </c>
      <c r="AQ987" t="str">
        <f t="shared" si="106"/>
        <v/>
      </c>
      <c r="AR987" t="str">
        <f t="shared" si="107"/>
        <v/>
      </c>
      <c r="AS987" t="str">
        <f t="shared" si="108"/>
        <v/>
      </c>
    </row>
    <row r="988" spans="5:45" x14ac:dyDescent="0.25">
      <c r="E988" t="str">
        <f ca="1"/>
        <v/>
      </c>
      <c r="F988" t="str">
        <f ca="1"/>
        <v/>
      </c>
      <c r="P988" t="e" cm="1">
        <f t="array" ref="P988">INDEX($B$2:$D$40,MOD(ROW()-ROW($B$2),ROWS($B$2:$D$40))+1,INT((ROW()-ROW($B$2))/ROWS($B$2:$D$40))+1)</f>
        <v>#REF!</v>
      </c>
      <c r="Q988" t="e">
        <f t="shared" ca="1" si="109"/>
        <v>#N/A</v>
      </c>
      <c r="R988" t="str" cm="1">
        <f t="array" aca="1" ref="R988" ca="1">IFERROR(INDIRECT("$P"&amp;Q988),"")</f>
        <v/>
      </c>
      <c r="U988" t="e" cm="1">
        <f t="array" ref="U988">INDEX($C$2:$D$40,MOD(ROW()-ROW($C$2),ROWS($C$2:$D$40))+1,INT((ROW()-ROW($C$2))/ROWS($C$2:$D$40))+1)</f>
        <v>#REF!</v>
      </c>
      <c r="V988" t="e">
        <f t="shared" ca="1" si="110"/>
        <v>#N/A</v>
      </c>
      <c r="W988" t="str" cm="1">
        <f t="array" aca="1" ref="W988" ca="1">IFERROR(INDIRECT("$U"&amp;V988),"")</f>
        <v/>
      </c>
      <c r="Z988" t="e" cm="1">
        <f t="array" ref="Z988">INDEX($AE$2:$AS$40,MOD(ROW()-ROW($AE$2),ROWS($AE$2:$AS$40))+1,INT((ROW()-ROW($AE$2))/ROWS($AE$2:$AS$40))+1)</f>
        <v>#REF!</v>
      </c>
      <c r="AA988" t="e">
        <f t="shared" ca="1" si="111"/>
        <v>#N/A</v>
      </c>
      <c r="AB988" t="str" cm="1">
        <f t="array" aca="1" ref="AB988" ca="1">IFERROR(INDIRECT("$Z"&amp;AA988),"")</f>
        <v/>
      </c>
      <c r="AP988" t="str">
        <f t="shared" si="105"/>
        <v/>
      </c>
      <c r="AQ988" t="str">
        <f t="shared" si="106"/>
        <v/>
      </c>
      <c r="AR988" t="str">
        <f t="shared" si="107"/>
        <v/>
      </c>
      <c r="AS988" t="str">
        <f t="shared" si="108"/>
        <v/>
      </c>
    </row>
    <row r="989" spans="5:45" x14ac:dyDescent="0.25">
      <c r="E989" t="str">
        <f ca="1"/>
        <v/>
      </c>
      <c r="F989" t="str">
        <f ca="1"/>
        <v/>
      </c>
      <c r="P989" t="e" cm="1">
        <f t="array" ref="P989">INDEX($B$2:$D$40,MOD(ROW()-ROW($B$2),ROWS($B$2:$D$40))+1,INT((ROW()-ROW($B$2))/ROWS($B$2:$D$40))+1)</f>
        <v>#REF!</v>
      </c>
      <c r="Q989" t="e">
        <f t="shared" ca="1" si="109"/>
        <v>#N/A</v>
      </c>
      <c r="R989" t="str" cm="1">
        <f t="array" aca="1" ref="R989" ca="1">IFERROR(INDIRECT("$P"&amp;Q989),"")</f>
        <v/>
      </c>
      <c r="U989" t="e" cm="1">
        <f t="array" ref="U989">INDEX($C$2:$D$40,MOD(ROW()-ROW($C$2),ROWS($C$2:$D$40))+1,INT((ROW()-ROW($C$2))/ROWS($C$2:$D$40))+1)</f>
        <v>#REF!</v>
      </c>
      <c r="V989" t="e">
        <f t="shared" ca="1" si="110"/>
        <v>#N/A</v>
      </c>
      <c r="W989" t="str" cm="1">
        <f t="array" aca="1" ref="W989" ca="1">IFERROR(INDIRECT("$U"&amp;V989),"")</f>
        <v/>
      </c>
      <c r="Z989" t="e" cm="1">
        <f t="array" ref="Z989">INDEX($AE$2:$AS$40,MOD(ROW()-ROW($AE$2),ROWS($AE$2:$AS$40))+1,INT((ROW()-ROW($AE$2))/ROWS($AE$2:$AS$40))+1)</f>
        <v>#REF!</v>
      </c>
      <c r="AA989" t="e">
        <f t="shared" ca="1" si="111"/>
        <v>#N/A</v>
      </c>
      <c r="AB989" t="str" cm="1">
        <f t="array" aca="1" ref="AB989" ca="1">IFERROR(INDIRECT("$Z"&amp;AA989),"")</f>
        <v/>
      </c>
      <c r="AP989" t="str">
        <f t="shared" si="105"/>
        <v/>
      </c>
      <c r="AQ989" t="str">
        <f t="shared" si="106"/>
        <v/>
      </c>
      <c r="AR989" t="str">
        <f t="shared" si="107"/>
        <v/>
      </c>
      <c r="AS989" t="str">
        <f t="shared" si="108"/>
        <v/>
      </c>
    </row>
    <row r="990" spans="5:45" x14ac:dyDescent="0.25">
      <c r="E990" t="str">
        <f ca="1"/>
        <v/>
      </c>
      <c r="F990" t="str">
        <f ca="1"/>
        <v/>
      </c>
      <c r="P990" t="e" cm="1">
        <f t="array" ref="P990">INDEX($B$2:$D$40,MOD(ROW()-ROW($B$2),ROWS($B$2:$D$40))+1,INT((ROW()-ROW($B$2))/ROWS($B$2:$D$40))+1)</f>
        <v>#REF!</v>
      </c>
      <c r="Q990" t="e">
        <f t="shared" ca="1" si="109"/>
        <v>#N/A</v>
      </c>
      <c r="R990" t="str" cm="1">
        <f t="array" aca="1" ref="R990" ca="1">IFERROR(INDIRECT("$P"&amp;Q990),"")</f>
        <v/>
      </c>
      <c r="U990" t="e" cm="1">
        <f t="array" ref="U990">INDEX($C$2:$D$40,MOD(ROW()-ROW($C$2),ROWS($C$2:$D$40))+1,INT((ROW()-ROW($C$2))/ROWS($C$2:$D$40))+1)</f>
        <v>#REF!</v>
      </c>
      <c r="V990" t="e">
        <f t="shared" ca="1" si="110"/>
        <v>#N/A</v>
      </c>
      <c r="W990" t="str" cm="1">
        <f t="array" aca="1" ref="W990" ca="1">IFERROR(INDIRECT("$U"&amp;V990),"")</f>
        <v/>
      </c>
      <c r="Z990" t="e" cm="1">
        <f t="array" ref="Z990">INDEX($AE$2:$AS$40,MOD(ROW()-ROW($AE$2),ROWS($AE$2:$AS$40))+1,INT((ROW()-ROW($AE$2))/ROWS($AE$2:$AS$40))+1)</f>
        <v>#REF!</v>
      </c>
      <c r="AA990" t="e">
        <f t="shared" ca="1" si="111"/>
        <v>#N/A</v>
      </c>
      <c r="AB990" t="str" cm="1">
        <f t="array" aca="1" ref="AB990" ca="1">IFERROR(INDIRECT("$Z"&amp;AA990),"")</f>
        <v/>
      </c>
      <c r="AP990" t="str">
        <f t="shared" si="105"/>
        <v/>
      </c>
      <c r="AQ990" t="str">
        <f t="shared" si="106"/>
        <v/>
      </c>
      <c r="AR990" t="str">
        <f t="shared" si="107"/>
        <v/>
      </c>
      <c r="AS990" t="str">
        <f t="shared" si="108"/>
        <v/>
      </c>
    </row>
    <row r="991" spans="5:45" x14ac:dyDescent="0.25">
      <c r="E991" t="str">
        <f ca="1"/>
        <v/>
      </c>
      <c r="F991" t="str">
        <f ca="1"/>
        <v/>
      </c>
      <c r="P991" t="e" cm="1">
        <f t="array" ref="P991">INDEX($B$2:$D$40,MOD(ROW()-ROW($B$2),ROWS($B$2:$D$40))+1,INT((ROW()-ROW($B$2))/ROWS($B$2:$D$40))+1)</f>
        <v>#REF!</v>
      </c>
      <c r="Q991" t="e">
        <f t="shared" ca="1" si="109"/>
        <v>#N/A</v>
      </c>
      <c r="R991" t="str" cm="1">
        <f t="array" aca="1" ref="R991" ca="1">IFERROR(INDIRECT("$P"&amp;Q991),"")</f>
        <v/>
      </c>
      <c r="U991" t="e" cm="1">
        <f t="array" ref="U991">INDEX($C$2:$D$40,MOD(ROW()-ROW($C$2),ROWS($C$2:$D$40))+1,INT((ROW()-ROW($C$2))/ROWS($C$2:$D$40))+1)</f>
        <v>#REF!</v>
      </c>
      <c r="V991" t="e">
        <f t="shared" ca="1" si="110"/>
        <v>#N/A</v>
      </c>
      <c r="W991" t="str" cm="1">
        <f t="array" aca="1" ref="W991" ca="1">IFERROR(INDIRECT("$U"&amp;V991),"")</f>
        <v/>
      </c>
      <c r="Z991" t="e" cm="1">
        <f t="array" ref="Z991">INDEX($AE$2:$AS$40,MOD(ROW()-ROW($AE$2),ROWS($AE$2:$AS$40))+1,INT((ROW()-ROW($AE$2))/ROWS($AE$2:$AS$40))+1)</f>
        <v>#REF!</v>
      </c>
      <c r="AA991" t="e">
        <f t="shared" ca="1" si="111"/>
        <v>#N/A</v>
      </c>
      <c r="AB991" t="str" cm="1">
        <f t="array" aca="1" ref="AB991" ca="1">IFERROR(INDIRECT("$Z"&amp;AA991),"")</f>
        <v/>
      </c>
      <c r="AP991" t="str">
        <f t="shared" si="105"/>
        <v/>
      </c>
      <c r="AQ991" t="str">
        <f t="shared" si="106"/>
        <v/>
      </c>
      <c r="AR991" t="str">
        <f t="shared" si="107"/>
        <v/>
      </c>
      <c r="AS991" t="str">
        <f t="shared" si="108"/>
        <v/>
      </c>
    </row>
    <row r="992" spans="5:45" x14ac:dyDescent="0.25">
      <c r="E992" t="str">
        <f ca="1"/>
        <v/>
      </c>
      <c r="F992" t="str">
        <f ca="1"/>
        <v/>
      </c>
      <c r="P992" t="e" cm="1">
        <f t="array" ref="P992">INDEX($B$2:$D$40,MOD(ROW()-ROW($B$2),ROWS($B$2:$D$40))+1,INT((ROW()-ROW($B$2))/ROWS($B$2:$D$40))+1)</f>
        <v>#REF!</v>
      </c>
      <c r="Q992" t="e">
        <f t="shared" ca="1" si="109"/>
        <v>#N/A</v>
      </c>
      <c r="R992" t="str" cm="1">
        <f t="array" aca="1" ref="R992" ca="1">IFERROR(INDIRECT("$P"&amp;Q992),"")</f>
        <v/>
      </c>
      <c r="U992" t="e" cm="1">
        <f t="array" ref="U992">INDEX($C$2:$D$40,MOD(ROW()-ROW($C$2),ROWS($C$2:$D$40))+1,INT((ROW()-ROW($C$2))/ROWS($C$2:$D$40))+1)</f>
        <v>#REF!</v>
      </c>
      <c r="V992" t="e">
        <f t="shared" ca="1" si="110"/>
        <v>#N/A</v>
      </c>
      <c r="W992" t="str" cm="1">
        <f t="array" aca="1" ref="W992" ca="1">IFERROR(INDIRECT("$U"&amp;V992),"")</f>
        <v/>
      </c>
      <c r="Z992" t="e" cm="1">
        <f t="array" ref="Z992">INDEX($AE$2:$AS$40,MOD(ROW()-ROW($AE$2),ROWS($AE$2:$AS$40))+1,INT((ROW()-ROW($AE$2))/ROWS($AE$2:$AS$40))+1)</f>
        <v>#REF!</v>
      </c>
      <c r="AA992" t="e">
        <f t="shared" ca="1" si="111"/>
        <v>#N/A</v>
      </c>
      <c r="AB992" t="str" cm="1">
        <f t="array" aca="1" ref="AB992" ca="1">IFERROR(INDIRECT("$Z"&amp;AA992),"")</f>
        <v/>
      </c>
      <c r="AP992" t="str">
        <f t="shared" si="105"/>
        <v/>
      </c>
      <c r="AQ992" t="str">
        <f t="shared" si="106"/>
        <v/>
      </c>
      <c r="AR992" t="str">
        <f t="shared" si="107"/>
        <v/>
      </c>
      <c r="AS992" t="str">
        <f t="shared" si="108"/>
        <v/>
      </c>
    </row>
    <row r="993" spans="5:45" x14ac:dyDescent="0.25">
      <c r="E993" t="str">
        <f ca="1"/>
        <v/>
      </c>
      <c r="F993" t="str">
        <f ca="1"/>
        <v/>
      </c>
      <c r="P993" t="e" cm="1">
        <f t="array" ref="P993">INDEX($B$2:$D$40,MOD(ROW()-ROW($B$2),ROWS($B$2:$D$40))+1,INT((ROW()-ROW($B$2))/ROWS($B$2:$D$40))+1)</f>
        <v>#REF!</v>
      </c>
      <c r="Q993" t="e">
        <f t="shared" ca="1" si="109"/>
        <v>#N/A</v>
      </c>
      <c r="R993" t="str" cm="1">
        <f t="array" aca="1" ref="R993" ca="1">IFERROR(INDIRECT("$P"&amp;Q993),"")</f>
        <v/>
      </c>
      <c r="U993" t="e" cm="1">
        <f t="array" ref="U993">INDEX($C$2:$D$40,MOD(ROW()-ROW($C$2),ROWS($C$2:$D$40))+1,INT((ROW()-ROW($C$2))/ROWS($C$2:$D$40))+1)</f>
        <v>#REF!</v>
      </c>
      <c r="V993" t="e">
        <f t="shared" ca="1" si="110"/>
        <v>#N/A</v>
      </c>
      <c r="W993" t="str" cm="1">
        <f t="array" aca="1" ref="W993" ca="1">IFERROR(INDIRECT("$U"&amp;V993),"")</f>
        <v/>
      </c>
      <c r="Z993" t="e" cm="1">
        <f t="array" ref="Z993">INDEX($AE$2:$AS$40,MOD(ROW()-ROW($AE$2),ROWS($AE$2:$AS$40))+1,INT((ROW()-ROW($AE$2))/ROWS($AE$2:$AS$40))+1)</f>
        <v>#REF!</v>
      </c>
      <c r="AA993" t="e">
        <f t="shared" ca="1" si="111"/>
        <v>#N/A</v>
      </c>
      <c r="AB993" t="str" cm="1">
        <f t="array" aca="1" ref="AB993" ca="1">IFERROR(INDIRECT("$Z"&amp;AA993),"")</f>
        <v/>
      </c>
      <c r="AP993" t="str">
        <f t="shared" si="105"/>
        <v/>
      </c>
      <c r="AQ993" t="str">
        <f t="shared" si="106"/>
        <v/>
      </c>
      <c r="AR993" t="str">
        <f t="shared" si="107"/>
        <v/>
      </c>
      <c r="AS993" t="str">
        <f t="shared" si="108"/>
        <v/>
      </c>
    </row>
    <row r="994" spans="5:45" x14ac:dyDescent="0.25">
      <c r="E994" t="str">
        <f ca="1"/>
        <v/>
      </c>
      <c r="F994" t="str">
        <f ca="1"/>
        <v/>
      </c>
      <c r="P994" t="e" cm="1">
        <f t="array" ref="P994">INDEX($B$2:$D$40,MOD(ROW()-ROW($B$2),ROWS($B$2:$D$40))+1,INT((ROW()-ROW($B$2))/ROWS($B$2:$D$40))+1)</f>
        <v>#REF!</v>
      </c>
      <c r="Q994" t="e">
        <f t="shared" ca="1" si="109"/>
        <v>#N/A</v>
      </c>
      <c r="R994" t="str" cm="1">
        <f t="array" aca="1" ref="R994" ca="1">IFERROR(INDIRECT("$P"&amp;Q994),"")</f>
        <v/>
      </c>
      <c r="U994" t="e" cm="1">
        <f t="array" ref="U994">INDEX($C$2:$D$40,MOD(ROW()-ROW($C$2),ROWS($C$2:$D$40))+1,INT((ROW()-ROW($C$2))/ROWS($C$2:$D$40))+1)</f>
        <v>#REF!</v>
      </c>
      <c r="V994" t="e">
        <f t="shared" ca="1" si="110"/>
        <v>#N/A</v>
      </c>
      <c r="W994" t="str" cm="1">
        <f t="array" aca="1" ref="W994" ca="1">IFERROR(INDIRECT("$U"&amp;V994),"")</f>
        <v/>
      </c>
      <c r="Z994" t="e" cm="1">
        <f t="array" ref="Z994">INDEX($AE$2:$AS$40,MOD(ROW()-ROW($AE$2),ROWS($AE$2:$AS$40))+1,INT((ROW()-ROW($AE$2))/ROWS($AE$2:$AS$40))+1)</f>
        <v>#REF!</v>
      </c>
      <c r="AA994" t="e">
        <f t="shared" ca="1" si="111"/>
        <v>#N/A</v>
      </c>
      <c r="AB994" t="str" cm="1">
        <f t="array" aca="1" ref="AB994" ca="1">IFERROR(INDIRECT("$Z"&amp;AA994),"")</f>
        <v/>
      </c>
      <c r="AP994" t="str">
        <f t="shared" si="105"/>
        <v/>
      </c>
      <c r="AQ994" t="str">
        <f t="shared" si="106"/>
        <v/>
      </c>
      <c r="AR994" t="str">
        <f t="shared" si="107"/>
        <v/>
      </c>
      <c r="AS994" t="str">
        <f t="shared" si="108"/>
        <v/>
      </c>
    </row>
    <row r="995" spans="5:45" x14ac:dyDescent="0.25">
      <c r="E995" t="str">
        <f ca="1"/>
        <v/>
      </c>
      <c r="F995" t="str">
        <f ca="1"/>
        <v/>
      </c>
      <c r="P995" t="e" cm="1">
        <f t="array" ref="P995">INDEX($B$2:$D$40,MOD(ROW()-ROW($B$2),ROWS($B$2:$D$40))+1,INT((ROW()-ROW($B$2))/ROWS($B$2:$D$40))+1)</f>
        <v>#REF!</v>
      </c>
      <c r="Q995" t="e">
        <f t="shared" ca="1" si="109"/>
        <v>#N/A</v>
      </c>
      <c r="R995" t="str" cm="1">
        <f t="array" aca="1" ref="R995" ca="1">IFERROR(INDIRECT("$P"&amp;Q995),"")</f>
        <v/>
      </c>
      <c r="U995" t="e" cm="1">
        <f t="array" ref="U995">INDEX($C$2:$D$40,MOD(ROW()-ROW($C$2),ROWS($C$2:$D$40))+1,INT((ROW()-ROW($C$2))/ROWS($C$2:$D$40))+1)</f>
        <v>#REF!</v>
      </c>
      <c r="V995" t="e">
        <f t="shared" ca="1" si="110"/>
        <v>#N/A</v>
      </c>
      <c r="W995" t="str" cm="1">
        <f t="array" aca="1" ref="W995" ca="1">IFERROR(INDIRECT("$U"&amp;V995),"")</f>
        <v/>
      </c>
      <c r="Z995" t="e" cm="1">
        <f t="array" ref="Z995">INDEX($AE$2:$AS$40,MOD(ROW()-ROW($AE$2),ROWS($AE$2:$AS$40))+1,INT((ROW()-ROW($AE$2))/ROWS($AE$2:$AS$40))+1)</f>
        <v>#REF!</v>
      </c>
      <c r="AA995" t="e">
        <f t="shared" ca="1" si="111"/>
        <v>#N/A</v>
      </c>
      <c r="AB995" t="str" cm="1">
        <f t="array" aca="1" ref="AB995" ca="1">IFERROR(INDIRECT("$Z"&amp;AA995),"")</f>
        <v/>
      </c>
      <c r="AP995" t="str">
        <f t="shared" si="105"/>
        <v/>
      </c>
      <c r="AQ995" t="str">
        <f t="shared" si="106"/>
        <v/>
      </c>
      <c r="AR995" t="str">
        <f t="shared" si="107"/>
        <v/>
      </c>
      <c r="AS995" t="str">
        <f t="shared" si="108"/>
        <v/>
      </c>
    </row>
    <row r="996" spans="5:45" x14ac:dyDescent="0.25">
      <c r="E996" t="str">
        <f ca="1"/>
        <v/>
      </c>
      <c r="F996" t="str">
        <f ca="1"/>
        <v/>
      </c>
      <c r="P996" t="e" cm="1">
        <f t="array" ref="P996">INDEX($B$2:$D$40,MOD(ROW()-ROW($B$2),ROWS($B$2:$D$40))+1,INT((ROW()-ROW($B$2))/ROWS($B$2:$D$40))+1)</f>
        <v>#REF!</v>
      </c>
      <c r="Q996" t="e">
        <f t="shared" ca="1" si="109"/>
        <v>#N/A</v>
      </c>
      <c r="R996" t="str" cm="1">
        <f t="array" aca="1" ref="R996" ca="1">IFERROR(INDIRECT("$P"&amp;Q996),"")</f>
        <v/>
      </c>
      <c r="U996" t="e" cm="1">
        <f t="array" ref="U996">INDEX($C$2:$D$40,MOD(ROW()-ROW($C$2),ROWS($C$2:$D$40))+1,INT((ROW()-ROW($C$2))/ROWS($C$2:$D$40))+1)</f>
        <v>#REF!</v>
      </c>
      <c r="V996" t="e">
        <f t="shared" ca="1" si="110"/>
        <v>#N/A</v>
      </c>
      <c r="W996" t="str" cm="1">
        <f t="array" aca="1" ref="W996" ca="1">IFERROR(INDIRECT("$U"&amp;V996),"")</f>
        <v/>
      </c>
      <c r="Z996" t="e" cm="1">
        <f t="array" ref="Z996">INDEX($AE$2:$AS$40,MOD(ROW()-ROW($AE$2),ROWS($AE$2:$AS$40))+1,INT((ROW()-ROW($AE$2))/ROWS($AE$2:$AS$40))+1)</f>
        <v>#REF!</v>
      </c>
      <c r="AA996" t="e">
        <f t="shared" ca="1" si="111"/>
        <v>#N/A</v>
      </c>
      <c r="AB996" t="str" cm="1">
        <f t="array" aca="1" ref="AB996" ca="1">IFERROR(INDIRECT("$Z"&amp;AA996),"")</f>
        <v/>
      </c>
      <c r="AP996" t="str">
        <f t="shared" si="105"/>
        <v/>
      </c>
      <c r="AQ996" t="str">
        <f t="shared" si="106"/>
        <v/>
      </c>
      <c r="AR996" t="str">
        <f t="shared" si="107"/>
        <v/>
      </c>
      <c r="AS996" t="str">
        <f t="shared" si="108"/>
        <v/>
      </c>
    </row>
    <row r="997" spans="5:45" x14ac:dyDescent="0.25">
      <c r="E997" t="str">
        <f ca="1"/>
        <v/>
      </c>
      <c r="F997" t="str">
        <f ca="1"/>
        <v/>
      </c>
      <c r="P997" t="e" cm="1">
        <f t="array" ref="P997">INDEX($B$2:$D$40,MOD(ROW()-ROW($B$2),ROWS($B$2:$D$40))+1,INT((ROW()-ROW($B$2))/ROWS($B$2:$D$40))+1)</f>
        <v>#REF!</v>
      </c>
      <c r="Q997" t="e">
        <f t="shared" ca="1" si="109"/>
        <v>#N/A</v>
      </c>
      <c r="R997" t="str" cm="1">
        <f t="array" aca="1" ref="R997" ca="1">IFERROR(INDIRECT("$P"&amp;Q997),"")</f>
        <v/>
      </c>
      <c r="U997" t="e" cm="1">
        <f t="array" ref="U997">INDEX($C$2:$D$40,MOD(ROW()-ROW($C$2),ROWS($C$2:$D$40))+1,INT((ROW()-ROW($C$2))/ROWS($C$2:$D$40))+1)</f>
        <v>#REF!</v>
      </c>
      <c r="V997" t="e">
        <f t="shared" ca="1" si="110"/>
        <v>#N/A</v>
      </c>
      <c r="W997" t="str" cm="1">
        <f t="array" aca="1" ref="W997" ca="1">IFERROR(INDIRECT("$U"&amp;V997),"")</f>
        <v/>
      </c>
      <c r="Z997" t="e" cm="1">
        <f t="array" ref="Z997">INDEX($AE$2:$AS$40,MOD(ROW()-ROW($AE$2),ROWS($AE$2:$AS$40))+1,INT((ROW()-ROW($AE$2))/ROWS($AE$2:$AS$40))+1)</f>
        <v>#REF!</v>
      </c>
      <c r="AA997" t="e">
        <f t="shared" ca="1" si="111"/>
        <v>#N/A</v>
      </c>
      <c r="AB997" t="str" cm="1">
        <f t="array" aca="1" ref="AB997" ca="1">IFERROR(INDIRECT("$Z"&amp;AA997),"")</f>
        <v/>
      </c>
      <c r="AP997" t="str">
        <f t="shared" si="105"/>
        <v/>
      </c>
      <c r="AQ997" t="str">
        <f t="shared" si="106"/>
        <v/>
      </c>
      <c r="AR997" t="str">
        <f t="shared" si="107"/>
        <v/>
      </c>
      <c r="AS997" t="str">
        <f t="shared" si="108"/>
        <v/>
      </c>
    </row>
    <row r="998" spans="5:45" x14ac:dyDescent="0.25">
      <c r="E998" t="str">
        <f ca="1"/>
        <v/>
      </c>
      <c r="F998" t="str">
        <f ca="1"/>
        <v/>
      </c>
      <c r="P998" t="e" cm="1">
        <f t="array" ref="P998">INDEX($B$2:$D$40,MOD(ROW()-ROW($B$2),ROWS($B$2:$D$40))+1,INT((ROW()-ROW($B$2))/ROWS($B$2:$D$40))+1)</f>
        <v>#REF!</v>
      </c>
      <c r="Q998" t="e">
        <f t="shared" ca="1" si="109"/>
        <v>#N/A</v>
      </c>
      <c r="R998" t="str" cm="1">
        <f t="array" aca="1" ref="R998" ca="1">IFERROR(INDIRECT("$P"&amp;Q998),"")</f>
        <v/>
      </c>
      <c r="U998" t="e" cm="1">
        <f t="array" ref="U998">INDEX($C$2:$D$40,MOD(ROW()-ROW($C$2),ROWS($C$2:$D$40))+1,INT((ROW()-ROW($C$2))/ROWS($C$2:$D$40))+1)</f>
        <v>#REF!</v>
      </c>
      <c r="V998" t="e">
        <f t="shared" ca="1" si="110"/>
        <v>#N/A</v>
      </c>
      <c r="W998" t="str" cm="1">
        <f t="array" aca="1" ref="W998" ca="1">IFERROR(INDIRECT("$U"&amp;V998),"")</f>
        <v/>
      </c>
      <c r="Z998" t="e" cm="1">
        <f t="array" ref="Z998">INDEX($AE$2:$AS$40,MOD(ROW()-ROW($AE$2),ROWS($AE$2:$AS$40))+1,INT((ROW()-ROW($AE$2))/ROWS($AE$2:$AS$40))+1)</f>
        <v>#REF!</v>
      </c>
      <c r="AA998" t="e">
        <f t="shared" ca="1" si="111"/>
        <v>#N/A</v>
      </c>
      <c r="AB998" t="str" cm="1">
        <f t="array" aca="1" ref="AB998" ca="1">IFERROR(INDIRECT("$Z"&amp;AA998),"")</f>
        <v/>
      </c>
      <c r="AP998" t="str">
        <f t="shared" si="105"/>
        <v/>
      </c>
      <c r="AQ998" t="str">
        <f t="shared" si="106"/>
        <v/>
      </c>
      <c r="AR998" t="str">
        <f t="shared" si="107"/>
        <v/>
      </c>
      <c r="AS998" t="str">
        <f t="shared" si="108"/>
        <v/>
      </c>
    </row>
    <row r="999" spans="5:45" x14ac:dyDescent="0.25">
      <c r="E999" t="str">
        <f ca="1"/>
        <v/>
      </c>
      <c r="F999" t="str">
        <f ca="1"/>
        <v/>
      </c>
      <c r="P999" t="e" cm="1">
        <f t="array" ref="P999">INDEX($B$2:$D$40,MOD(ROW()-ROW($B$2),ROWS($B$2:$D$40))+1,INT((ROW()-ROW($B$2))/ROWS($B$2:$D$40))+1)</f>
        <v>#REF!</v>
      </c>
      <c r="Q999" t="e">
        <f t="shared" ca="1" si="109"/>
        <v>#N/A</v>
      </c>
      <c r="R999" t="str" cm="1">
        <f t="array" aca="1" ref="R999" ca="1">IFERROR(INDIRECT("$P"&amp;Q999),"")</f>
        <v/>
      </c>
      <c r="U999" t="e" cm="1">
        <f t="array" ref="U999">INDEX($C$2:$D$40,MOD(ROW()-ROW($C$2),ROWS($C$2:$D$40))+1,INT((ROW()-ROW($C$2))/ROWS($C$2:$D$40))+1)</f>
        <v>#REF!</v>
      </c>
      <c r="V999" t="e">
        <f t="shared" ca="1" si="110"/>
        <v>#N/A</v>
      </c>
      <c r="W999" t="str" cm="1">
        <f t="array" aca="1" ref="W999" ca="1">IFERROR(INDIRECT("$U"&amp;V999),"")</f>
        <v/>
      </c>
      <c r="Z999" t="e" cm="1">
        <f t="array" ref="Z999">INDEX($AE$2:$AS$40,MOD(ROW()-ROW($AE$2),ROWS($AE$2:$AS$40))+1,INT((ROW()-ROW($AE$2))/ROWS($AE$2:$AS$40))+1)</f>
        <v>#REF!</v>
      </c>
      <c r="AA999" t="e">
        <f t="shared" ca="1" si="111"/>
        <v>#N/A</v>
      </c>
      <c r="AB999" t="str" cm="1">
        <f t="array" aca="1" ref="AB999" ca="1">IFERROR(INDIRECT("$Z"&amp;AA999),"")</f>
        <v/>
      </c>
      <c r="AP999" t="str">
        <f t="shared" si="105"/>
        <v/>
      </c>
      <c r="AQ999" t="str">
        <f t="shared" si="106"/>
        <v/>
      </c>
      <c r="AR999" t="str">
        <f t="shared" si="107"/>
        <v/>
      </c>
      <c r="AS999" t="str">
        <f t="shared" si="108"/>
        <v/>
      </c>
    </row>
    <row r="1000" spans="5:45" x14ac:dyDescent="0.25">
      <c r="P1000" t="e" cm="1">
        <f t="array" ref="P1000">INDEX($B$2:$D$40,MOD(ROW()-ROW($B$2),ROWS($B$2:$D$40))+1,INT((ROW()-ROW($B$2))/ROWS($B$2:$D$40))+1)</f>
        <v>#REF!</v>
      </c>
      <c r="Q1000" t="e">
        <f t="shared" ca="1" si="109"/>
        <v>#N/A</v>
      </c>
      <c r="R1000" t="str" cm="1">
        <f t="array" aca="1" ref="R1000" ca="1">IFERROR(INDIRECT("$P"&amp;Q1000),"")</f>
        <v/>
      </c>
      <c r="U1000" t="e" cm="1">
        <f t="array" ref="U1000">INDEX($C$2:$D$40,MOD(ROW()-ROW($C$2),ROWS($C$2:$D$40))+1,INT((ROW()-ROW($C$2))/ROWS($C$2:$D$40))+1)</f>
        <v>#REF!</v>
      </c>
      <c r="V1000" t="e">
        <f t="shared" ca="1" si="110"/>
        <v>#N/A</v>
      </c>
      <c r="W1000" t="str" cm="1">
        <f t="array" aca="1" ref="W1000" ca="1">IFERROR(INDIRECT("$U"&amp;V1000),"")</f>
        <v/>
      </c>
      <c r="Z1000" t="e" cm="1">
        <f t="array" ref="Z1000">INDEX($AE$2:$AS$40,MOD(ROW()-ROW($AE$2),ROWS($AE$2:$AS$40))+1,INT((ROW()-ROW($AE$2))/ROWS($AE$2:$AS$40))+1)</f>
        <v>#REF!</v>
      </c>
      <c r="AA1000" t="e">
        <f t="shared" ca="1" si="111"/>
        <v>#N/A</v>
      </c>
      <c r="AB1000" t="str" cm="1">
        <f t="array" aca="1" ref="AB1000" ca="1">IFERROR(INDIRECT("$Z"&amp;AA1000),"")</f>
        <v/>
      </c>
      <c r="AP1000" t="str">
        <f t="shared" si="105"/>
        <v/>
      </c>
      <c r="AQ1000" t="str">
        <f t="shared" si="106"/>
        <v/>
      </c>
      <c r="AR1000" t="str">
        <f t="shared" si="107"/>
        <v/>
      </c>
      <c r="AS1000" t="str">
        <f t="shared" si="108"/>
        <v/>
      </c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FE67A-27F6-4BA1-B495-054A8677A66E}">
  <sheetPr codeName="Sheet15"/>
  <dimension ref="A1:A3"/>
  <sheetViews>
    <sheetView workbookViewId="0">
      <selection activeCell="A3" sqref="A3"/>
    </sheetView>
  </sheetViews>
  <sheetFormatPr defaultColWidth="8.85546875" defaultRowHeight="15" x14ac:dyDescent="0.25"/>
  <sheetData>
    <row r="1" spans="1:1" x14ac:dyDescent="0.25">
      <c r="A1" t="s">
        <v>55</v>
      </c>
    </row>
    <row r="2" spans="1:1" x14ac:dyDescent="0.25">
      <c r="A2" t="s">
        <v>54</v>
      </c>
    </row>
    <row r="3" spans="1:1" x14ac:dyDescent="0.25">
      <c r="A3" t="str">
        <f>""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7</vt:i4>
      </vt:variant>
    </vt:vector>
  </HeadingPairs>
  <TitlesOfParts>
    <vt:vector size="25" baseType="lpstr">
      <vt:lpstr>System</vt:lpstr>
      <vt:lpstr>BuildingSpace</vt:lpstr>
      <vt:lpstr>Damper</vt:lpstr>
      <vt:lpstr>SpaceHeater</vt:lpstr>
      <vt:lpstr>Valve</vt:lpstr>
      <vt:lpstr>Pump</vt:lpstr>
      <vt:lpstr>Coil</vt:lpstr>
      <vt:lpstr>AirToAirHeatRecovery</vt:lpstr>
      <vt:lpstr>Fan</vt:lpstr>
      <vt:lpstr>SetpointController</vt:lpstr>
      <vt:lpstr>RulebasedController</vt:lpstr>
      <vt:lpstr>Schedule</vt:lpstr>
      <vt:lpstr>ShadingDevice</vt:lpstr>
      <vt:lpstr>Sensor</vt:lpstr>
      <vt:lpstr>Meter</vt:lpstr>
      <vt:lpstr>Property</vt:lpstr>
      <vt:lpstr>named_ranges</vt:lpstr>
      <vt:lpstr>Controller_options</vt:lpstr>
      <vt:lpstr>controller_options</vt:lpstr>
      <vt:lpstr>property_class</vt:lpstr>
      <vt:lpstr>property_instance</vt:lpstr>
      <vt:lpstr>sheet_dampers</vt:lpstr>
      <vt:lpstr>sheet_space_heaters</vt:lpstr>
      <vt:lpstr>sheet_spaces</vt:lpstr>
      <vt:lpstr>sheet_systems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Jakob Bjørnskov</dc:creator>
  <cp:lastModifiedBy>Jakob Bjørnskov</cp:lastModifiedBy>
  <dcterms:created xsi:type="dcterms:W3CDTF">2022-08-09T11:16:30Z</dcterms:created>
  <dcterms:modified xsi:type="dcterms:W3CDTF">2024-08-01T07:14:44Z</dcterms:modified>
</cp:coreProperties>
</file>